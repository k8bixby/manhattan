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Summary'!$A$5:$K$37</definedName>
    <definedName name="_xlnm._FilterDatabase" localSheetId="1" hidden="1">'Acct Summary'!$A$5:$J$105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50" customWidth="1" min="4" max="4"/>
    <col width="22" customWidth="1" min="5" max="5"/>
    <col width="22" customWidth="1" min="6" max="6"/>
    <col width="23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MEETH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Votra, James</t>
        </is>
      </c>
      <c r="B6" s="4" t="inlineStr">
        <is>
          <t>Ancheta, Rowena</t>
        </is>
      </c>
      <c r="C6" s="5" t="n">
        <v>29600000</v>
      </c>
      <c r="D6" s="4" t="inlineStr">
        <is>
          <t>MEETH_29600000 - Hospital Administration</t>
        </is>
      </c>
      <c r="E6" s="6" t="n">
        <v>1372893.85</v>
      </c>
      <c r="F6" s="6" t="n">
        <v>735359.8280074075</v>
      </c>
      <c r="G6" s="6" t="n">
        <v>903140.4335929815</v>
      </c>
      <c r="H6" s="6" t="n">
        <v>810296.6900000004</v>
      </c>
      <c r="I6" s="6" t="n">
        <v>-562597.1599999997</v>
      </c>
      <c r="J6" s="6" t="n">
        <v>74936.86199259292</v>
      </c>
      <c r="K6" s="6" t="n">
        <v>-92843.74359298113</v>
      </c>
    </row>
    <row r="7">
      <c r="A7" s="4" t="inlineStr">
        <is>
          <t>Votra, James</t>
        </is>
      </c>
      <c r="B7" s="4" t="inlineStr">
        <is>
          <t>Bedi, Anupama</t>
        </is>
      </c>
      <c r="C7" s="5" t="n">
        <v>29620005</v>
      </c>
      <c r="D7" s="4" t="inlineStr">
        <is>
          <t>MEETH_29620005 - ACP Services - Amb Surgery</t>
        </is>
      </c>
      <c r="E7" s="6" t="n">
        <v>2891.16</v>
      </c>
      <c r="F7" s="6" t="n">
        <v>3345</v>
      </c>
      <c r="G7" s="6" t="n">
        <v>2902.96</v>
      </c>
      <c r="H7" s="6" t="n">
        <v>5086</v>
      </c>
      <c r="I7" s="6" t="n">
        <v>2194.84</v>
      </c>
      <c r="J7" s="6" t="n">
        <v>1741</v>
      </c>
      <c r="K7" s="6" t="n">
        <v>2183.04</v>
      </c>
    </row>
    <row r="8">
      <c r="A8" s="4" t="inlineStr">
        <is>
          <t>Votra, James</t>
        </is>
      </c>
      <c r="B8" s="4" t="inlineStr">
        <is>
          <t>Bratkovsky, Elena</t>
        </is>
      </c>
      <c r="C8" s="5" t="n">
        <v>29600130</v>
      </c>
      <c r="D8" s="4" t="inlineStr">
        <is>
          <t>MEETH_29600130 - Quality Management</t>
        </is>
      </c>
      <c r="E8" s="6" t="n">
        <v>1407.06</v>
      </c>
      <c r="F8" s="6" t="n">
        <v>2757</v>
      </c>
      <c r="G8" s="6" t="n">
        <v>2589.54</v>
      </c>
      <c r="H8" s="6" t="n">
        <v>2857</v>
      </c>
      <c r="I8" s="6" t="n">
        <v>1449.94</v>
      </c>
      <c r="J8" s="6" t="n">
        <v>100</v>
      </c>
      <c r="K8" s="6" t="n">
        <v>267.46</v>
      </c>
    </row>
    <row r="9">
      <c r="A9" s="4" t="inlineStr">
        <is>
          <t>Votra, James</t>
        </is>
      </c>
      <c r="B9" s="4" t="inlineStr">
        <is>
          <t>Burke, Shana</t>
        </is>
      </c>
      <c r="C9" s="5" t="n">
        <v>29663430</v>
      </c>
      <c r="D9" s="4" t="inlineStr">
        <is>
          <t>MEETH_29663430 - OP Svc - Primary Care RDC</t>
        </is>
      </c>
      <c r="E9" s="6" t="n">
        <v>27893.72</v>
      </c>
      <c r="F9" s="6" t="n">
        <v>29829.0722962958</v>
      </c>
      <c r="G9" s="6" t="n">
        <v>36870.8513708944</v>
      </c>
      <c r="H9" s="6" t="n">
        <v>33443.9146730618</v>
      </c>
      <c r="I9" s="6" t="n">
        <v>5550.1946730618</v>
      </c>
      <c r="J9" s="6" t="n">
        <v>3614.842376766002</v>
      </c>
      <c r="K9" s="6" t="n">
        <v>-3426.9366978326</v>
      </c>
    </row>
    <row r="10">
      <c r="A10" s="4" t="inlineStr">
        <is>
          <t>Votra, James</t>
        </is>
      </c>
      <c r="B10" s="4" t="inlineStr">
        <is>
          <t>Destasio, Victor</t>
        </is>
      </c>
      <c r="C10" s="5" t="n">
        <v>29691010</v>
      </c>
      <c r="D10" s="4" t="inlineStr">
        <is>
          <t>MEETH_29691010 - Sup Svc-Dietary</t>
        </is>
      </c>
      <c r="E10" s="6" t="n">
        <v>425161.32</v>
      </c>
      <c r="F10" s="6" t="n">
        <v>426790.5585000005</v>
      </c>
      <c r="G10" s="6" t="n">
        <v>434014.6680662981</v>
      </c>
      <c r="H10" s="6" t="n">
        <v>422752.0868508284</v>
      </c>
      <c r="I10" s="6" t="n">
        <v>-2409.233149171632</v>
      </c>
      <c r="J10" s="6" t="n">
        <v>-4038.471649172076</v>
      </c>
      <c r="K10" s="6" t="n">
        <v>-11262.58121546975</v>
      </c>
    </row>
    <row r="11">
      <c r="A11" s="4" t="inlineStr">
        <is>
          <t>Votra, James</t>
        </is>
      </c>
      <c r="B11" s="4" t="inlineStr">
        <is>
          <t>Fontes, Tanya M</t>
        </is>
      </c>
      <c r="C11" s="5" t="n">
        <v>29657000</v>
      </c>
      <c r="D11" s="4" t="inlineStr">
        <is>
          <t>MEETH_29657000 - Anesthesia</t>
        </is>
      </c>
      <c r="E11" s="6" t="n">
        <v>896031</v>
      </c>
      <c r="F11" s="6" t="n">
        <v>949977.6384752061</v>
      </c>
      <c r="G11" s="6" t="n">
        <v>1075754.457528384</v>
      </c>
      <c r="H11" s="6" t="n">
        <v>1073781.642432154</v>
      </c>
      <c r="I11" s="6" t="n">
        <v>177750.6424321537</v>
      </c>
      <c r="J11" s="6" t="n">
        <v>123804.0039569476</v>
      </c>
      <c r="K11" s="6" t="n">
        <v>-1972.815096230246</v>
      </c>
    </row>
    <row r="12">
      <c r="A12" s="4" t="inlineStr">
        <is>
          <t>Votra, James</t>
        </is>
      </c>
      <c r="B12" s="4" t="inlineStr">
        <is>
          <t>Fukunaga, Takumi</t>
        </is>
      </c>
      <c r="C12" s="5" t="n">
        <v>29656060</v>
      </c>
      <c r="D12" s="4" t="inlineStr">
        <is>
          <t>MEETH_29656060 - CT - Sports Medicine OP</t>
        </is>
      </c>
      <c r="E12" s="6" t="n">
        <v>66327.61</v>
      </c>
      <c r="F12" s="6" t="n">
        <v>67352.591481482</v>
      </c>
      <c r="G12" s="6" t="n">
        <v>72366.1335929817</v>
      </c>
      <c r="H12" s="6" t="n">
        <v>71174.89571671429</v>
      </c>
      <c r="I12" s="6" t="n">
        <v>4847.285716714294</v>
      </c>
      <c r="J12" s="6" t="n">
        <v>3822.304235232295</v>
      </c>
      <c r="K12" s="6" t="n">
        <v>-1191.237876267405</v>
      </c>
    </row>
    <row r="13">
      <c r="A13" s="4" t="inlineStr">
        <is>
          <t>Votra, James</t>
        </is>
      </c>
      <c r="B13" s="4" t="inlineStr">
        <is>
          <t>Fukunaga, Takumi</t>
        </is>
      </c>
      <c r="C13" s="5" t="n">
        <v>29656080</v>
      </c>
      <c r="D13" s="4" t="inlineStr">
        <is>
          <t>MEETH_29656080 - NISMAT Research</t>
        </is>
      </c>
      <c r="E13" s="6" t="n">
        <v>360.41</v>
      </c>
      <c r="F13" s="6" t="n">
        <v>330.0000000001</v>
      </c>
      <c r="G13" s="6" t="n">
        <v>1079.349286625</v>
      </c>
      <c r="H13" s="6" t="n">
        <v>1079.349286625</v>
      </c>
      <c r="I13" s="6" t="n">
        <v>718.9392866249998</v>
      </c>
      <c r="J13" s="6" t="n">
        <v>749.3492866248998</v>
      </c>
      <c r="K13" s="6" t="n">
        <v>0</v>
      </c>
    </row>
    <row r="14">
      <c r="A14" s="4" t="inlineStr">
        <is>
          <t>Votra, James</t>
        </is>
      </c>
      <c r="B14" s="4" t="inlineStr">
        <is>
          <t>Garcia-Vasquez, Karen</t>
        </is>
      </c>
      <c r="C14" s="5" t="n">
        <v>29643000</v>
      </c>
      <c r="D14" s="4" t="inlineStr">
        <is>
          <t>MEETH_29643000 - Retinal Research</t>
        </is>
      </c>
      <c r="E14" s="6" t="n">
        <v>1025.16</v>
      </c>
      <c r="F14" s="6" t="n">
        <v>879.3100000008</v>
      </c>
      <c r="G14" s="6" t="n">
        <v>-2263.14</v>
      </c>
      <c r="H14" s="6" t="n">
        <v>0</v>
      </c>
      <c r="I14" s="6" t="n">
        <v>-1025.16</v>
      </c>
      <c r="J14" s="6" t="n">
        <v>-879.3100000008</v>
      </c>
      <c r="K14" s="6" t="n">
        <v>2263.14</v>
      </c>
    </row>
    <row r="15">
      <c r="A15" s="4" t="inlineStr">
        <is>
          <t>Votra, James</t>
        </is>
      </c>
      <c r="B15" s="4" t="inlineStr">
        <is>
          <t>Garcia-Vasquez, Karen</t>
        </is>
      </c>
      <c r="C15" s="5" t="n">
        <v>29663000</v>
      </c>
      <c r="D15" s="4" t="inlineStr">
        <is>
          <t>MEETH_29663000 - Ophthalmology</t>
        </is>
      </c>
      <c r="E15" s="6" t="n">
        <v>28813.13</v>
      </c>
      <c r="F15" s="6" t="n">
        <v>13179.0750000001</v>
      </c>
      <c r="G15" s="6" t="n">
        <v>27146.7</v>
      </c>
      <c r="H15" s="6" t="n">
        <v>0</v>
      </c>
      <c r="I15" s="6" t="n">
        <v>-28813.13</v>
      </c>
      <c r="J15" s="6" t="n">
        <v>-13179.0750000001</v>
      </c>
      <c r="K15" s="6" t="n">
        <v>-27146.7</v>
      </c>
    </row>
    <row r="16">
      <c r="A16" s="4" t="inlineStr">
        <is>
          <t>Votra, James</t>
        </is>
      </c>
      <c r="B16" s="4" t="inlineStr">
        <is>
          <t>Garcia-Vasquez, Karen</t>
        </is>
      </c>
      <c r="C16" s="5" t="n">
        <v>29663010</v>
      </c>
      <c r="D16" s="4" t="inlineStr">
        <is>
          <t>MEETH_29663010 - Ophthalmology Administration</t>
        </is>
      </c>
      <c r="E16" s="6" t="n">
        <v>20254.47</v>
      </c>
      <c r="F16" s="6" t="n">
        <v>4896.0200000008</v>
      </c>
      <c r="G16" s="6" t="n">
        <v>529.8516574586</v>
      </c>
      <c r="H16" s="6" t="n">
        <v>0</v>
      </c>
      <c r="I16" s="6" t="n">
        <v>-20254.47</v>
      </c>
      <c r="J16" s="6" t="n">
        <v>-4896.0200000008</v>
      </c>
      <c r="K16" s="6" t="n">
        <v>-529.8516574586</v>
      </c>
    </row>
    <row r="17">
      <c r="A17" s="4" t="inlineStr">
        <is>
          <t>Votra, James</t>
        </is>
      </c>
      <c r="B17" s="4" t="inlineStr">
        <is>
          <t>Grinberg, Stan</t>
        </is>
      </c>
      <c r="C17" s="5" t="n">
        <v>29650170</v>
      </c>
      <c r="D17" s="4" t="inlineStr">
        <is>
          <t>MEETH_29650170 - Pathology - Clinical</t>
        </is>
      </c>
      <c r="E17" s="6" t="n">
        <v>157077.02</v>
      </c>
      <c r="F17" s="6" t="n">
        <v>152628.3482371409</v>
      </c>
      <c r="G17" s="6" t="n">
        <v>168121.7376923073</v>
      </c>
      <c r="H17" s="6" t="n">
        <v>156168.5377618324</v>
      </c>
      <c r="I17" s="6" t="n">
        <v>-908.4822381676058</v>
      </c>
      <c r="J17" s="6" t="n">
        <v>3540.189524691523</v>
      </c>
      <c r="K17" s="6" t="n">
        <v>-11953.19993047489</v>
      </c>
    </row>
    <row r="18">
      <c r="A18" s="4" t="inlineStr">
        <is>
          <t>Votra, James</t>
        </is>
      </c>
      <c r="B18" s="4" t="inlineStr">
        <is>
          <t>Grippo, Francesco</t>
        </is>
      </c>
      <c r="C18" s="5" t="n">
        <v>29653100</v>
      </c>
      <c r="D18" s="4" t="inlineStr">
        <is>
          <t>MEETH_29653100 - Radiology General</t>
        </is>
      </c>
      <c r="E18" s="6" t="n">
        <v>21046.24</v>
      </c>
      <c r="F18" s="6" t="n">
        <v>26498.0000000004</v>
      </c>
      <c r="G18" s="6" t="n">
        <v>4387.08</v>
      </c>
      <c r="H18" s="6" t="n">
        <v>26037.0800000004</v>
      </c>
      <c r="I18" s="6" t="n">
        <v>4990.840000000404</v>
      </c>
      <c r="J18" s="6" t="n">
        <v>-460.9199999999983</v>
      </c>
      <c r="K18" s="6" t="n">
        <v>21650.0000000004</v>
      </c>
    </row>
    <row r="19">
      <c r="A19" s="4" t="inlineStr">
        <is>
          <t>Votra, James</t>
        </is>
      </c>
      <c r="B19" s="4" t="inlineStr">
        <is>
          <t>Hohenberger, George</t>
        </is>
      </c>
      <c r="C19" s="5" t="n">
        <v>29692010</v>
      </c>
      <c r="D19" s="4" t="inlineStr">
        <is>
          <t>MEETH_29692010 - Sup Svc-Security</t>
        </is>
      </c>
      <c r="E19" s="6" t="n">
        <v>1295639.98</v>
      </c>
      <c r="F19" s="6" t="n">
        <v>1296647.480000001</v>
      </c>
      <c r="G19" s="6" t="n">
        <v>1337555.220276243</v>
      </c>
      <c r="H19" s="6" t="n">
        <v>1418891.349337017</v>
      </c>
      <c r="I19" s="6" t="n">
        <v>123251.3693370167</v>
      </c>
      <c r="J19" s="6" t="n">
        <v>122243.8693370158</v>
      </c>
      <c r="K19" s="6" t="n">
        <v>81336.12906077364</v>
      </c>
    </row>
    <row r="20">
      <c r="A20" s="4" t="inlineStr">
        <is>
          <t>Votra, James</t>
        </is>
      </c>
      <c r="B20" s="4" t="inlineStr">
        <is>
          <t>Huang, Wen Gao</t>
        </is>
      </c>
      <c r="C20" s="5" t="n">
        <v>29656000</v>
      </c>
      <c r="D20" s="4" t="inlineStr">
        <is>
          <t>MEETH_29656000 - CT - Pharmacy</t>
        </is>
      </c>
      <c r="E20" s="6" t="n">
        <v>2424785.72</v>
      </c>
      <c r="F20" s="6" t="n">
        <v>2568239.41246946</v>
      </c>
      <c r="G20" s="6" t="n">
        <v>2826429.152113412</v>
      </c>
      <c r="H20" s="6" t="n">
        <v>3327439.790569486</v>
      </c>
      <c r="I20" s="6" t="n">
        <v>902654.0705694864</v>
      </c>
      <c r="J20" s="6" t="n">
        <v>759200.3781000264</v>
      </c>
      <c r="K20" s="6" t="n">
        <v>501010.6384560745</v>
      </c>
    </row>
    <row r="21">
      <c r="A21" s="4" t="inlineStr">
        <is>
          <t>Votra, James</t>
        </is>
      </c>
      <c r="B21" s="4" t="inlineStr">
        <is>
          <t>Motilal, Hardath</t>
        </is>
      </c>
      <c r="C21" s="5" t="n">
        <v>29690030</v>
      </c>
      <c r="D21" s="4" t="inlineStr">
        <is>
          <t>MEETH_29690030 - General Maintenance</t>
        </is>
      </c>
      <c r="E21" s="6" t="n">
        <v>1347.26</v>
      </c>
      <c r="F21" s="6" t="n">
        <v>0</v>
      </c>
      <c r="G21" s="6" t="n">
        <v>30817.066077348</v>
      </c>
      <c r="H21" s="6" t="n">
        <v>18121.7815469613</v>
      </c>
      <c r="I21" s="6" t="n">
        <v>16774.5215469613</v>
      </c>
      <c r="J21" s="6" t="n">
        <v>18121.7815469613</v>
      </c>
      <c r="K21" s="6" t="n">
        <v>-12695.2845303867</v>
      </c>
    </row>
    <row r="22">
      <c r="A22" s="4" t="inlineStr">
        <is>
          <t>Votra, James</t>
        </is>
      </c>
      <c r="B22" s="4" t="inlineStr">
        <is>
          <t>Motilal, Hardath</t>
        </is>
      </c>
      <c r="C22" s="5" t="n">
        <v>29690080</v>
      </c>
      <c r="D22" s="4" t="inlineStr">
        <is>
          <t>MEETH_29690080 - Sup Svc - Engineerg And Maint</t>
        </is>
      </c>
      <c r="E22" s="6" t="n">
        <v>5384535.26</v>
      </c>
      <c r="F22" s="6" t="n">
        <v>4896237.048333334</v>
      </c>
      <c r="G22" s="6" t="n">
        <v>5755882.329992108</v>
      </c>
      <c r="H22" s="6" t="n">
        <v>5730665.435793212</v>
      </c>
      <c r="I22" s="6" t="n">
        <v>346130.1757932119</v>
      </c>
      <c r="J22" s="6" t="n">
        <v>834428.3874598779</v>
      </c>
      <c r="K22" s="6" t="n">
        <v>-25216.89419889636</v>
      </c>
    </row>
    <row r="23">
      <c r="A23" s="4" t="inlineStr">
        <is>
          <t>Votra, James</t>
        </is>
      </c>
      <c r="B23" s="4" t="inlineStr">
        <is>
          <t>Moya, Luz</t>
        </is>
      </c>
      <c r="C23" s="5" t="n">
        <v>29661010</v>
      </c>
      <c r="D23" s="4" t="inlineStr">
        <is>
          <t>MEETH_29661010 - OP Center for Mental Health</t>
        </is>
      </c>
      <c r="E23" s="6" t="n">
        <v>769809.17</v>
      </c>
      <c r="F23" s="6" t="n">
        <v>786249.8075</v>
      </c>
      <c r="G23" s="6" t="n">
        <v>768021.1040556128</v>
      </c>
      <c r="H23" s="6" t="n">
        <v>896672.130718232</v>
      </c>
      <c r="I23" s="6" t="n">
        <v>126862.960718232</v>
      </c>
      <c r="J23" s="6" t="n">
        <v>110422.323218232</v>
      </c>
      <c r="K23" s="6" t="n">
        <v>128651.0266626192</v>
      </c>
    </row>
    <row r="24">
      <c r="A24" s="4" t="inlineStr">
        <is>
          <t>Votra, James</t>
        </is>
      </c>
      <c r="B24" s="4" t="inlineStr">
        <is>
          <t>Moya, Luz</t>
        </is>
      </c>
      <c r="C24" s="5" t="n">
        <v>29665200</v>
      </c>
      <c r="D24" s="4" t="inlineStr">
        <is>
          <t>MEETH_29665200 - CAL - OPS</t>
        </is>
      </c>
      <c r="E24" s="6" t="n">
        <v>12969.7</v>
      </c>
      <c r="F24" s="6" t="n">
        <v>16770.499999999</v>
      </c>
      <c r="G24" s="6" t="n">
        <v>11989.4435359116</v>
      </c>
      <c r="H24" s="6" t="n">
        <v>17547</v>
      </c>
      <c r="I24" s="6" t="n">
        <v>4577.299999999999</v>
      </c>
      <c r="J24" s="6" t="n">
        <v>776.5000000010004</v>
      </c>
      <c r="K24" s="6" t="n">
        <v>5557.5564640884</v>
      </c>
    </row>
    <row r="25">
      <c r="A25" s="4" t="inlineStr">
        <is>
          <t>Votra, James</t>
        </is>
      </c>
      <c r="B25" s="4" t="inlineStr">
        <is>
          <t>Newman, Hannah S</t>
        </is>
      </c>
      <c r="C25" s="5" t="n">
        <v>29628025</v>
      </c>
      <c r="D25" s="4" t="inlineStr">
        <is>
          <t>MEETH_29628025 - Medicine - Epidemiology</t>
        </is>
      </c>
      <c r="E25" s="6" t="n">
        <v>0</v>
      </c>
      <c r="F25" s="6" t="n">
        <v>0</v>
      </c>
      <c r="G25" s="6" t="n">
        <v>207</v>
      </c>
      <c r="H25" s="6" t="n">
        <v>207</v>
      </c>
      <c r="I25" s="6" t="n">
        <v>207</v>
      </c>
      <c r="J25" s="6" t="n">
        <v>207</v>
      </c>
      <c r="K25" s="6" t="n">
        <v>0</v>
      </c>
    </row>
    <row r="26">
      <c r="A26" s="4" t="inlineStr">
        <is>
          <t>Votra, James</t>
        </is>
      </c>
      <c r="B26" s="4" t="inlineStr">
        <is>
          <t>Ng, Tammy K</t>
        </is>
      </c>
      <c r="C26" s="5" t="n">
        <v>29690020</v>
      </c>
      <c r="D26" s="4" t="inlineStr">
        <is>
          <t>MEETH_29690020 - Sup Svc-Biomedical</t>
        </is>
      </c>
      <c r="E26" s="6" t="n">
        <v>8956.91</v>
      </c>
      <c r="F26" s="6" t="n">
        <v>13218.8805925942</v>
      </c>
      <c r="G26" s="6" t="n">
        <v>9772.1481318681</v>
      </c>
      <c r="H26" s="6" t="n">
        <v>25923</v>
      </c>
      <c r="I26" s="6" t="n">
        <v>16966.09</v>
      </c>
      <c r="J26" s="6" t="n">
        <v>12704.1194074058</v>
      </c>
      <c r="K26" s="6" t="n">
        <v>16150.8518681319</v>
      </c>
    </row>
    <row r="27">
      <c r="A27" s="4" t="inlineStr">
        <is>
          <t>Votra, James</t>
        </is>
      </c>
      <c r="B27" s="4" t="inlineStr">
        <is>
          <t>Petrone, Christina</t>
        </is>
      </c>
      <c r="C27" s="5" t="n">
        <v>29653005</v>
      </c>
      <c r="D27" s="4" t="inlineStr">
        <is>
          <t>MEETH_29653005 - Cancer Program</t>
        </is>
      </c>
      <c r="E27" s="6" t="n">
        <v>66012.17999999999</v>
      </c>
      <c r="F27" s="6" t="n">
        <v>21062.4999999998</v>
      </c>
      <c r="G27" s="6" t="n">
        <v>26316.9765448364</v>
      </c>
      <c r="H27" s="6" t="n">
        <v>11952.31</v>
      </c>
      <c r="I27" s="6" t="n">
        <v>-54059.87</v>
      </c>
      <c r="J27" s="6" t="n">
        <v>-9110.189999999799</v>
      </c>
      <c r="K27" s="6" t="n">
        <v>-14364.6665448364</v>
      </c>
    </row>
    <row r="28">
      <c r="A28" s="4" t="inlineStr">
        <is>
          <t>Votra, James</t>
        </is>
      </c>
      <c r="B28" s="4" t="inlineStr">
        <is>
          <t>Petrone, Christina</t>
        </is>
      </c>
      <c r="C28" s="5" t="n">
        <v>29663400</v>
      </c>
      <c r="D28" s="4" t="inlineStr">
        <is>
          <t>MEETH_29663400 - OP Svc - Ambulatory Infusion</t>
        </is>
      </c>
      <c r="E28" s="6" t="n">
        <v>27290120.93</v>
      </c>
      <c r="F28" s="6" t="n">
        <v>29388587.61815238</v>
      </c>
      <c r="G28" s="6" t="n">
        <v>32624065.92210859</v>
      </c>
      <c r="H28" s="6" t="n">
        <v>32459321.58546418</v>
      </c>
      <c r="I28" s="6" t="n">
        <v>5169200.655464184</v>
      </c>
      <c r="J28" s="6" t="n">
        <v>3070733.967311807</v>
      </c>
      <c r="K28" s="6" t="n">
        <v>-164744.3366444074</v>
      </c>
    </row>
    <row r="29">
      <c r="A29" s="4" t="inlineStr">
        <is>
          <t>Votra, James</t>
        </is>
      </c>
      <c r="B29" s="4" t="inlineStr">
        <is>
          <t>Tapia, Peter</t>
        </is>
      </c>
      <c r="C29" s="5" t="n">
        <v>29690000</v>
      </c>
      <c r="D29" s="4" t="inlineStr">
        <is>
          <t>MEETH_29690000 - Environmental Services</t>
        </is>
      </c>
      <c r="E29" s="6" t="n">
        <v>583668.17</v>
      </c>
      <c r="F29" s="6" t="n">
        <v>580280.6472839511</v>
      </c>
      <c r="G29" s="6" t="n">
        <v>472393.1743063571</v>
      </c>
      <c r="H29" s="6" t="n">
        <v>408202.419281768</v>
      </c>
      <c r="I29" s="6" t="n">
        <v>-175465.750718232</v>
      </c>
      <c r="J29" s="6" t="n">
        <v>-172078.228002183</v>
      </c>
      <c r="K29" s="6" t="n">
        <v>-64190.75502458907</v>
      </c>
    </row>
    <row r="30">
      <c r="A30" s="4" t="inlineStr">
        <is>
          <t>Votra, James</t>
        </is>
      </c>
      <c r="B30" s="4" t="inlineStr">
        <is>
          <t>Tapia, Peter</t>
        </is>
      </c>
      <c r="C30" s="5" t="n">
        <v>29693000</v>
      </c>
      <c r="D30" s="4" t="inlineStr">
        <is>
          <t>MEETH_29693000 - Sup Svc-Laundry and Linen</t>
        </is>
      </c>
      <c r="E30" s="6" t="n">
        <v>293846.44</v>
      </c>
      <c r="F30" s="6" t="n">
        <v>230005.3233333337</v>
      </c>
      <c r="G30" s="6" t="n">
        <v>343344.255737357</v>
      </c>
      <c r="H30" s="6" t="n">
        <v>384312.26</v>
      </c>
      <c r="I30" s="6" t="n">
        <v>90465.81999999995</v>
      </c>
      <c r="J30" s="6" t="n">
        <v>154306.9366666663</v>
      </c>
      <c r="K30" s="6" t="n">
        <v>40968.00426264299</v>
      </c>
    </row>
    <row r="31">
      <c r="A31" s="4" t="inlineStr">
        <is>
          <t>Votra, James</t>
        </is>
      </c>
      <c r="B31" s="4" t="inlineStr">
        <is>
          <t>Votra, James</t>
        </is>
      </c>
      <c r="C31" s="5" t="n">
        <v>29630010</v>
      </c>
      <c r="D31" s="4" t="inlineStr">
        <is>
          <t>MEETH_29630010 - Pain Management</t>
        </is>
      </c>
      <c r="E31" s="6" t="n">
        <v>979.03</v>
      </c>
      <c r="F31" s="6" t="n">
        <v>881.3099999999999</v>
      </c>
      <c r="G31" s="6" t="n">
        <v>849.64</v>
      </c>
      <c r="H31" s="6" t="n">
        <v>0</v>
      </c>
      <c r="I31" s="6" t="n">
        <v>-979.03</v>
      </c>
      <c r="J31" s="6" t="n">
        <v>-881.3099999999999</v>
      </c>
      <c r="K31" s="6" t="n">
        <v>-849.64</v>
      </c>
    </row>
    <row r="32">
      <c r="A32" s="4" t="inlineStr">
        <is>
          <t>Votra, James</t>
        </is>
      </c>
      <c r="B32" s="4" t="inlineStr">
        <is>
          <t>Votra, James</t>
        </is>
      </c>
      <c r="C32" s="5" t="n">
        <v>29632040</v>
      </c>
      <c r="D32" s="4" t="inlineStr">
        <is>
          <t>MEETH_29632040 - Surgery - Plastic</t>
        </is>
      </c>
      <c r="E32" s="6" t="n">
        <v>4659.02</v>
      </c>
      <c r="F32" s="6" t="n">
        <v>3340.7599999992</v>
      </c>
      <c r="G32" s="6" t="n">
        <v>3691.3</v>
      </c>
      <c r="H32" s="6" t="n">
        <v>3666.88</v>
      </c>
      <c r="I32" s="6" t="n">
        <v>-992.1400000000003</v>
      </c>
      <c r="J32" s="6" t="n">
        <v>326.1200000008002</v>
      </c>
      <c r="K32" s="6" t="n">
        <v>-24.42000000000007</v>
      </c>
    </row>
    <row r="33">
      <c r="A33" s="4" t="inlineStr">
        <is>
          <t>Votra, James</t>
        </is>
      </c>
      <c r="B33" s="4" t="inlineStr">
        <is>
          <t>Votra, James</t>
        </is>
      </c>
      <c r="C33" s="5" t="n">
        <v>29634010</v>
      </c>
      <c r="D33" s="4" t="inlineStr">
        <is>
          <t>MEETH_29634010 - Pediatrics Ophthalmology</t>
        </is>
      </c>
      <c r="E33" s="6" t="n">
        <v>3086.78</v>
      </c>
      <c r="F33" s="6" t="n">
        <v>3020.88</v>
      </c>
      <c r="G33" s="6" t="n">
        <v>2635.14</v>
      </c>
      <c r="H33" s="6" t="n">
        <v>0</v>
      </c>
      <c r="I33" s="6" t="n">
        <v>-3086.78</v>
      </c>
      <c r="J33" s="6" t="n">
        <v>-3020.88</v>
      </c>
      <c r="K33" s="6" t="n">
        <v>-2635.14</v>
      </c>
    </row>
    <row r="34">
      <c r="A34" s="4" t="inlineStr">
        <is>
          <t>Votra, James</t>
        </is>
      </c>
      <c r="B34" s="4" t="inlineStr">
        <is>
          <t>Votra, James</t>
        </is>
      </c>
      <c r="C34" s="5" t="n">
        <v>29641010</v>
      </c>
      <c r="D34" s="4" t="inlineStr">
        <is>
          <t>MEETH_29641010 - Ophthalmology - Glover</t>
        </is>
      </c>
      <c r="E34" s="6" t="n">
        <v>1273</v>
      </c>
      <c r="F34" s="6" t="n">
        <v>1797.9999999996</v>
      </c>
      <c r="G34" s="6" t="n">
        <v>1641.44</v>
      </c>
      <c r="H34" s="6" t="n">
        <v>0</v>
      </c>
      <c r="I34" s="6" t="n">
        <v>-1273</v>
      </c>
      <c r="J34" s="6" t="n">
        <v>-1797.9999999996</v>
      </c>
      <c r="K34" s="6" t="n">
        <v>-1641.44</v>
      </c>
    </row>
    <row r="35">
      <c r="A35" s="4" t="inlineStr">
        <is>
          <t>Votra, James</t>
        </is>
      </c>
      <c r="B35" s="4" t="inlineStr">
        <is>
          <t>Votra, James</t>
        </is>
      </c>
      <c r="C35" s="5" t="n">
        <v>29693050</v>
      </c>
      <c r="D35" s="4" t="inlineStr">
        <is>
          <t>MEETH_29693050 - Sup Svc-Telecommunications</t>
        </is>
      </c>
      <c r="E35" s="6" t="n">
        <v>65159.19</v>
      </c>
      <c r="F35" s="6" t="n">
        <v>72146.14999999991</v>
      </c>
      <c r="G35" s="6" t="n">
        <v>135753.825112015</v>
      </c>
      <c r="H35" s="6" t="n">
        <v>0</v>
      </c>
      <c r="I35" s="6" t="n">
        <v>-65159.19</v>
      </c>
      <c r="J35" s="6" t="n">
        <v>-72146.14999999991</v>
      </c>
      <c r="K35" s="6" t="n">
        <v>-135753.825112015</v>
      </c>
    </row>
    <row r="36">
      <c r="A36" s="4" t="inlineStr">
        <is>
          <t>Votra, James</t>
        </is>
      </c>
      <c r="B36" s="4" t="inlineStr">
        <is>
          <t>Votra, James</t>
        </is>
      </c>
      <c r="C36" s="5" t="n">
        <v>29699000</v>
      </c>
      <c r="D36" s="4" t="inlineStr">
        <is>
          <t>MEETH_29699000 - Corp retained</t>
        </is>
      </c>
      <c r="E36" s="6" t="n">
        <v>3556.86</v>
      </c>
      <c r="F36" s="6" t="n">
        <v>200.0000000004</v>
      </c>
      <c r="G36" s="6" t="n">
        <v>41058</v>
      </c>
      <c r="H36" s="6" t="n">
        <v>0</v>
      </c>
      <c r="I36" s="6" t="n">
        <v>-3556.86</v>
      </c>
      <c r="J36" s="6" t="n">
        <v>-200.0000000004</v>
      </c>
      <c r="K36" s="6" t="n">
        <v>-41058</v>
      </c>
    </row>
    <row r="37">
      <c r="A37" s="4" t="inlineStr">
        <is>
          <t>Votra, James</t>
        </is>
      </c>
      <c r="B37" s="4" t="inlineStr">
        <is>
          <t>Wu, Lucy L</t>
        </is>
      </c>
      <c r="C37" s="5" t="n">
        <v>29664000</v>
      </c>
      <c r="D37" s="4" t="inlineStr">
        <is>
          <t>MEETH_29664000 - Op Svc - Plastic</t>
        </is>
      </c>
      <c r="E37" s="6" t="n">
        <v>43980.18</v>
      </c>
      <c r="F37" s="6" t="n">
        <v>33118.2156419756</v>
      </c>
      <c r="G37" s="6" t="n">
        <v>23762.4268896848</v>
      </c>
      <c r="H37" s="6" t="n">
        <v>29153.2338287104</v>
      </c>
      <c r="I37" s="6" t="n">
        <v>-14826.9461712896</v>
      </c>
      <c r="J37" s="6" t="n">
        <v>-3964.9818132652</v>
      </c>
      <c r="K37" s="6" t="n">
        <v>5390.806939025599</v>
      </c>
    </row>
    <row r="38">
      <c r="A38" s="7" t="inlineStr">
        <is>
          <t>Total</t>
        </is>
      </c>
      <c r="B38" s="7" t="n"/>
      <c r="C38" s="7">
        <f>SUM(C6:C37)</f>
        <v/>
      </c>
      <c r="D38" s="7" t="n"/>
      <c r="E38" s="8">
        <f>SUM(E6:E37)</f>
        <v/>
      </c>
      <c r="F38" s="8">
        <f>SUM(F6:F37)</f>
        <v/>
      </c>
      <c r="G38" s="8">
        <f>SUM(G6:G37)</f>
        <v/>
      </c>
      <c r="H38" s="8">
        <f>SUM(H6:H37)</f>
        <v/>
      </c>
      <c r="I38" s="8">
        <f>SUM(I6:I37)</f>
        <v/>
      </c>
      <c r="J38" s="8">
        <f>SUM(J6:J37)</f>
        <v/>
      </c>
      <c r="K38" s="8">
        <f>SUM(K6:K37)</f>
        <v/>
      </c>
    </row>
  </sheetData>
  <autoFilter ref="A5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3" customWidth="1" min="4" max="4"/>
    <col width="23" customWidth="1" min="5" max="5"/>
    <col width="23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MEETH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Votra, James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-1343.09</v>
      </c>
      <c r="E6" s="6" t="n">
        <v>-27.0399999999</v>
      </c>
      <c r="F6" s="6" t="n">
        <v>-3220.438021978</v>
      </c>
      <c r="G6" s="6" t="n">
        <v>-2504.727032967</v>
      </c>
      <c r="H6" s="6" t="n">
        <v>-1161.637032967</v>
      </c>
      <c r="I6" s="6" t="n">
        <v>-2477.6870329671</v>
      </c>
      <c r="J6" s="6" t="n">
        <v>715.710989011</v>
      </c>
    </row>
    <row r="7">
      <c r="A7" s="4" t="inlineStr">
        <is>
          <t>Votra, James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-21019.61</v>
      </c>
      <c r="E7" s="6" t="n">
        <v>-16589.9999999991</v>
      </c>
      <c r="F7" s="6" t="n">
        <v>-30588.0478021978</v>
      </c>
      <c r="G7" s="6" t="n">
        <v>-14617.1953846154</v>
      </c>
      <c r="H7" s="6" t="n">
        <v>6402.414615384601</v>
      </c>
      <c r="I7" s="6" t="n">
        <v>1972.804615383699</v>
      </c>
      <c r="J7" s="6" t="n">
        <v>15970.8524175824</v>
      </c>
    </row>
    <row r="8">
      <c r="A8" s="4" t="inlineStr">
        <is>
          <t>Votra, James</t>
        </is>
      </c>
      <c r="B8" s="4" t="inlineStr">
        <is>
          <t>A_55020</t>
        </is>
      </c>
      <c r="C8" s="4" t="inlineStr">
        <is>
          <t>A_55020 - Rebates-Pharmaceuticals</t>
        </is>
      </c>
      <c r="D8" s="6" t="n">
        <v>-510331.98</v>
      </c>
      <c r="E8" s="6" t="n">
        <v>-575682.3800000001</v>
      </c>
      <c r="F8" s="6" t="n">
        <v>-451122.6574585637</v>
      </c>
      <c r="G8" s="6" t="n">
        <v>0</v>
      </c>
      <c r="H8" s="6" t="n">
        <v>510331.98</v>
      </c>
      <c r="I8" s="6" t="n">
        <v>575682.3800000001</v>
      </c>
      <c r="J8" s="6" t="n">
        <v>451122.6574585637</v>
      </c>
    </row>
    <row r="9">
      <c r="A9" s="4" t="inlineStr">
        <is>
          <t>Votra, James</t>
        </is>
      </c>
      <c r="B9" s="4" t="inlineStr">
        <is>
          <t>A_61000</t>
        </is>
      </c>
      <c r="C9" s="4" t="inlineStr">
        <is>
          <t>A_61000 - Consulting Fees</t>
        </is>
      </c>
      <c r="D9" s="6" t="n">
        <v>112210.2</v>
      </c>
      <c r="E9" s="6" t="n">
        <v>0</v>
      </c>
      <c r="F9" s="6" t="n">
        <v>9350</v>
      </c>
      <c r="G9" s="6" t="n">
        <v>10000</v>
      </c>
      <c r="H9" s="6" t="n">
        <v>-102210.2</v>
      </c>
      <c r="I9" s="6" t="n">
        <v>10000</v>
      </c>
      <c r="J9" s="6" t="n">
        <v>650</v>
      </c>
    </row>
    <row r="10">
      <c r="A10" s="4" t="inlineStr">
        <is>
          <t>Votra, James</t>
        </is>
      </c>
      <c r="B10" s="4" t="inlineStr">
        <is>
          <t>A_61010</t>
        </is>
      </c>
      <c r="C10" s="4" t="inlineStr">
        <is>
          <t>A_61010 - Legal Fees</t>
        </is>
      </c>
      <c r="D10" s="6" t="n">
        <v>48135.09</v>
      </c>
      <c r="E10" s="6" t="n">
        <v>7557.9999999996</v>
      </c>
      <c r="F10" s="6" t="n">
        <v>15597.9</v>
      </c>
      <c r="G10" s="6" t="n">
        <v>10000</v>
      </c>
      <c r="H10" s="6" t="n">
        <v>-38135.09</v>
      </c>
      <c r="I10" s="6" t="n">
        <v>2442.0000000004</v>
      </c>
      <c r="J10" s="6" t="n">
        <v>-5597.9</v>
      </c>
    </row>
    <row r="11">
      <c r="A11" s="4" t="inlineStr">
        <is>
          <t>Votra, James</t>
        </is>
      </c>
      <c r="B11" s="4" t="inlineStr">
        <is>
          <t>A_61300</t>
        </is>
      </c>
      <c r="C11" s="4" t="inlineStr">
        <is>
          <t>A_61300 - Nursing Fees</t>
        </is>
      </c>
      <c r="D11" s="6" t="n">
        <v>195580.29</v>
      </c>
      <c r="E11" s="6" t="n">
        <v>0</v>
      </c>
      <c r="F11" s="6" t="n">
        <v>171960</v>
      </c>
      <c r="G11" s="6" t="n">
        <v>0</v>
      </c>
      <c r="H11" s="6" t="n">
        <v>-195580.29</v>
      </c>
      <c r="I11" s="6" t="n">
        <v>0</v>
      </c>
      <c r="J11" s="6" t="n">
        <v>-171960</v>
      </c>
    </row>
    <row r="12">
      <c r="A12" s="4" t="inlineStr">
        <is>
          <t>Votra, James</t>
        </is>
      </c>
      <c r="B12" s="4" t="inlineStr">
        <is>
          <t>A_61400</t>
        </is>
      </c>
      <c r="C12" s="4" t="inlineStr">
        <is>
          <t>A_61400 - Other Fees</t>
        </is>
      </c>
      <c r="D12" s="6" t="n">
        <v>4144.75</v>
      </c>
      <c r="E12" s="6" t="n">
        <v>1250.0004</v>
      </c>
      <c r="F12" s="6" t="n">
        <v>1022.5</v>
      </c>
      <c r="G12" s="6" t="n">
        <v>0</v>
      </c>
      <c r="H12" s="6" t="n">
        <v>-4144.75</v>
      </c>
      <c r="I12" s="6" t="n">
        <v>-1250.0004</v>
      </c>
      <c r="J12" s="6" t="n">
        <v>-1022.5</v>
      </c>
    </row>
    <row r="13">
      <c r="A13" s="4" t="inlineStr">
        <is>
          <t>Votra, James</t>
        </is>
      </c>
      <c r="B13" s="4" t="inlineStr">
        <is>
          <t>A_63000</t>
        </is>
      </c>
      <c r="C13" s="4" t="inlineStr">
        <is>
          <t>A_63000 - Supplies - Laboratory</t>
        </is>
      </c>
      <c r="D13" s="6" t="n">
        <v>8842.439999999999</v>
      </c>
      <c r="E13" s="6" t="n">
        <v>11093.4325843399</v>
      </c>
      <c r="F13" s="6" t="n">
        <v>7755.359010989</v>
      </c>
      <c r="G13" s="6" t="n">
        <v>7755.359010989</v>
      </c>
      <c r="H13" s="6" t="n">
        <v>-1087.080989010999</v>
      </c>
      <c r="I13" s="6" t="n">
        <v>-3338.0735733509</v>
      </c>
      <c r="J13" s="6" t="n">
        <v>0</v>
      </c>
    </row>
    <row r="14">
      <c r="A14" s="4" t="inlineStr">
        <is>
          <t>Votra, James</t>
        </is>
      </c>
      <c r="B14" s="4" t="inlineStr">
        <is>
          <t>A_63005</t>
        </is>
      </c>
      <c r="C14" s="4" t="inlineStr">
        <is>
          <t>A_63005 - Supplies - Reagents</t>
        </is>
      </c>
      <c r="D14" s="6" t="n">
        <v>131588.65</v>
      </c>
      <c r="E14" s="6" t="n">
        <v>132879.902920994</v>
      </c>
      <c r="F14" s="6" t="n">
        <v>134605.9516483513</v>
      </c>
      <c r="G14" s="6" t="n">
        <v>130824.790728865</v>
      </c>
      <c r="H14" s="6" t="n">
        <v>-763.859271134992</v>
      </c>
      <c r="I14" s="6" t="n">
        <v>-2055.112192129003</v>
      </c>
      <c r="J14" s="6" t="n">
        <v>-3781.160919486298</v>
      </c>
    </row>
    <row r="15">
      <c r="A15" s="4" t="inlineStr">
        <is>
          <t>Votra, James</t>
        </is>
      </c>
      <c r="B15" s="4" t="inlineStr">
        <is>
          <t>A_63020</t>
        </is>
      </c>
      <c r="C15" s="4" t="inlineStr">
        <is>
          <t>A_63020 - Supplies Wound Closure</t>
        </is>
      </c>
      <c r="D15" s="6" t="n">
        <v>138.46</v>
      </c>
      <c r="E15" s="6" t="n">
        <v>0</v>
      </c>
      <c r="F15" s="6" t="n">
        <v>105.4763736264</v>
      </c>
      <c r="G15" s="6" t="n">
        <v>105.4763736264</v>
      </c>
      <c r="H15" s="6" t="n">
        <v>-32.9836263736</v>
      </c>
      <c r="I15" s="6" t="n">
        <v>105.4763736264</v>
      </c>
      <c r="J15" s="6" t="n">
        <v>0</v>
      </c>
    </row>
    <row r="16">
      <c r="A16" s="4" t="inlineStr">
        <is>
          <t>Votra, James</t>
        </is>
      </c>
      <c r="B16" s="4" t="inlineStr">
        <is>
          <t>A_63030</t>
        </is>
      </c>
      <c r="C16" s="4" t="inlineStr">
        <is>
          <t>A_63030 - Supplies - Medical</t>
        </is>
      </c>
      <c r="D16" s="6" t="n">
        <v>681513.95</v>
      </c>
      <c r="E16" s="6" t="n">
        <v>705040.992816293</v>
      </c>
      <c r="F16" s="6" t="n">
        <v>834261.1842857152</v>
      </c>
      <c r="G16" s="6" t="n">
        <v>794367.2820879124</v>
      </c>
      <c r="H16" s="6" t="n">
        <v>112853.3320879125</v>
      </c>
      <c r="I16" s="6" t="n">
        <v>89326.2892716194</v>
      </c>
      <c r="J16" s="6" t="n">
        <v>-39893.90219780279</v>
      </c>
    </row>
    <row r="17">
      <c r="A17" s="4" t="inlineStr">
        <is>
          <t>Votra, James</t>
        </is>
      </c>
      <c r="B17" s="4" t="inlineStr">
        <is>
          <t>A_63032</t>
        </is>
      </c>
      <c r="C17" s="4" t="inlineStr">
        <is>
          <t>A_63032 - Supplies - Medical - PPE</t>
        </is>
      </c>
      <c r="D17" s="6" t="n">
        <v>180</v>
      </c>
      <c r="E17" s="6" t="n">
        <v>0</v>
      </c>
      <c r="F17" s="6" t="n">
        <v>0</v>
      </c>
      <c r="G17" s="6" t="n">
        <v>0</v>
      </c>
      <c r="H17" s="6" t="n">
        <v>-180</v>
      </c>
      <c r="I17" s="6" t="n">
        <v>0</v>
      </c>
      <c r="J17" s="6" t="n">
        <v>0</v>
      </c>
    </row>
    <row r="18">
      <c r="A18" s="4" t="inlineStr">
        <is>
          <t>Votra, James</t>
        </is>
      </c>
      <c r="B18" s="4" t="inlineStr">
        <is>
          <t>A_63035</t>
        </is>
      </c>
      <c r="C18" s="4" t="inlineStr">
        <is>
          <t>A_63035 - Supplies - Gases</t>
        </is>
      </c>
      <c r="D18" s="6" t="n">
        <v>297.36</v>
      </c>
      <c r="E18" s="6" t="n">
        <v>0</v>
      </c>
      <c r="F18" s="6" t="n">
        <v>-170.8536263736</v>
      </c>
      <c r="G18" s="6" t="n">
        <v>0</v>
      </c>
      <c r="H18" s="6" t="n">
        <v>-297.36</v>
      </c>
      <c r="I18" s="6" t="n">
        <v>0</v>
      </c>
      <c r="J18" s="6" t="n">
        <v>170.8536263736</v>
      </c>
    </row>
    <row r="19">
      <c r="A19" s="4" t="inlineStr">
        <is>
          <t>Votra, James</t>
        </is>
      </c>
      <c r="B19" s="4" t="inlineStr">
        <is>
          <t>A_63045</t>
        </is>
      </c>
      <c r="C19" s="4" t="inlineStr">
        <is>
          <t>A_63045 - Supplies - Med Equip Repair</t>
        </is>
      </c>
      <c r="D19" s="6" t="n">
        <v>4603.06</v>
      </c>
      <c r="E19" s="6" t="n">
        <v>6197.3088641978</v>
      </c>
      <c r="F19" s="6" t="n">
        <v>6660.6369230769</v>
      </c>
      <c r="G19" s="6" t="n">
        <v>17054.7291208791</v>
      </c>
      <c r="H19" s="6" t="n">
        <v>12451.6691208791</v>
      </c>
      <c r="I19" s="6" t="n">
        <v>10857.4202566813</v>
      </c>
      <c r="J19" s="6" t="n">
        <v>10394.0921978022</v>
      </c>
    </row>
    <row r="20">
      <c r="A20" s="4" t="inlineStr">
        <is>
          <t>Votra, James</t>
        </is>
      </c>
      <c r="B20" s="4" t="inlineStr">
        <is>
          <t>A_63050</t>
        </is>
      </c>
      <c r="C20" s="4" t="inlineStr">
        <is>
          <t>A_63050 - Supplies - Iv Solutions &amp; Sets</t>
        </is>
      </c>
      <c r="D20" s="6" t="n">
        <v>569706.83</v>
      </c>
      <c r="E20" s="6" t="n">
        <v>615906.5264378609</v>
      </c>
      <c r="F20" s="6" t="n">
        <v>569205.6936263745</v>
      </c>
      <c r="G20" s="6" t="n">
        <v>567233.9360439565</v>
      </c>
      <c r="H20" s="6" t="n">
        <v>-2472.893956043408</v>
      </c>
      <c r="I20" s="6" t="n">
        <v>-48672.59039390436</v>
      </c>
      <c r="J20" s="6" t="n">
        <v>-1971.757582417922</v>
      </c>
    </row>
    <row r="21">
      <c r="A21" s="4" t="inlineStr">
        <is>
          <t>Votra, James</t>
        </is>
      </c>
      <c r="B21" s="4" t="inlineStr">
        <is>
          <t>A_63060</t>
        </is>
      </c>
      <c r="C21" s="4" t="inlineStr">
        <is>
          <t>A_63060 - Supplies - Surgery Packs-Sheet</t>
        </is>
      </c>
      <c r="D21" s="6" t="n">
        <v>834.0400000000001</v>
      </c>
      <c r="E21" s="6" t="n">
        <v>0</v>
      </c>
      <c r="F21" s="6" t="n">
        <v>1033.6081318681</v>
      </c>
      <c r="G21" s="6" t="n">
        <v>1033.6081318681</v>
      </c>
      <c r="H21" s="6" t="n">
        <v>199.5681318680998</v>
      </c>
      <c r="I21" s="6" t="n">
        <v>1033.6081318681</v>
      </c>
      <c r="J21" s="6" t="n">
        <v>0</v>
      </c>
    </row>
    <row r="22">
      <c r="A22" s="4" t="inlineStr">
        <is>
          <t>Votra, James</t>
        </is>
      </c>
      <c r="B22" s="4" t="inlineStr">
        <is>
          <t>A_63062</t>
        </is>
      </c>
      <c r="C22" s="4" t="inlineStr">
        <is>
          <t>A_63062 - Supplies - Impl - Oth Vascular</t>
        </is>
      </c>
      <c r="D22" s="6" t="n">
        <v>413.2</v>
      </c>
      <c r="E22" s="6" t="n">
        <v>0</v>
      </c>
      <c r="F22" s="6" t="n">
        <v>0</v>
      </c>
      <c r="G22" s="6" t="n">
        <v>0</v>
      </c>
      <c r="H22" s="6" t="n">
        <v>-413.2</v>
      </c>
      <c r="I22" s="6" t="n">
        <v>0</v>
      </c>
      <c r="J22" s="6" t="n">
        <v>0</v>
      </c>
    </row>
    <row r="23">
      <c r="A23" s="4" t="inlineStr">
        <is>
          <t>Votra, James</t>
        </is>
      </c>
      <c r="B23" s="4" t="inlineStr">
        <is>
          <t>A_63070</t>
        </is>
      </c>
      <c r="C23" s="4" t="inlineStr">
        <is>
          <t>A_63070 - Supplies - Implants - All Oth</t>
        </is>
      </c>
      <c r="D23" s="6" t="n">
        <v>9296.85</v>
      </c>
      <c r="E23" s="6" t="n">
        <v>12814.4239033689</v>
      </c>
      <c r="F23" s="6" t="n">
        <v>23233.860989011</v>
      </c>
      <c r="G23" s="6" t="n">
        <v>23233.860989011</v>
      </c>
      <c r="H23" s="6" t="n">
        <v>13937.010989011</v>
      </c>
      <c r="I23" s="6" t="n">
        <v>10419.4370856421</v>
      </c>
      <c r="J23" s="6" t="n">
        <v>0</v>
      </c>
    </row>
    <row r="24">
      <c r="A24" s="4" t="inlineStr">
        <is>
          <t>Votra, James</t>
        </is>
      </c>
      <c r="B24" s="4" t="inlineStr">
        <is>
          <t>A_63080</t>
        </is>
      </c>
      <c r="C24" s="4" t="inlineStr">
        <is>
          <t>A_63080 - Supplies - Surgical</t>
        </is>
      </c>
      <c r="D24" s="6" t="n">
        <v>835352.75</v>
      </c>
      <c r="E24" s="6" t="n">
        <v>911871.9669989288</v>
      </c>
      <c r="F24" s="6" t="n">
        <v>737971.3503296695</v>
      </c>
      <c r="G24" s="6" t="n">
        <v>732611.9238461531</v>
      </c>
      <c r="H24" s="6" t="n">
        <v>-102740.8261538469</v>
      </c>
      <c r="I24" s="6" t="n">
        <v>-179260.0431527757</v>
      </c>
      <c r="J24" s="6" t="n">
        <v>-5359.426483516465</v>
      </c>
    </row>
    <row r="25">
      <c r="A25" s="4" t="inlineStr">
        <is>
          <t>Votra, James</t>
        </is>
      </c>
      <c r="B25" s="4" t="inlineStr">
        <is>
          <t>A_63300</t>
        </is>
      </c>
      <c r="C25" s="4" t="inlineStr">
        <is>
          <t>A_63300 - Rx - All Other</t>
        </is>
      </c>
      <c r="D25" s="6" t="n">
        <v>15944669.63</v>
      </c>
      <c r="E25" s="6" t="n">
        <v>17449129.56605773</v>
      </c>
      <c r="F25" s="6" t="n">
        <v>15861056.48784534</v>
      </c>
      <c r="G25" s="6" t="n">
        <v>15861426.21160224</v>
      </c>
      <c r="H25" s="6" t="n">
        <v>-83243.41839775629</v>
      </c>
      <c r="I25" s="6" t="n">
        <v>-1587703.354455492</v>
      </c>
      <c r="J25" s="6" t="n">
        <v>369.7237569056451</v>
      </c>
    </row>
    <row r="26">
      <c r="A26" s="4" t="inlineStr">
        <is>
          <t>Votra, James</t>
        </is>
      </c>
      <c r="B26" s="4" t="inlineStr">
        <is>
          <t>A_63310</t>
        </is>
      </c>
      <c r="C26" s="4" t="inlineStr">
        <is>
          <t>A_63310 - Rx - Anticogulants</t>
        </is>
      </c>
      <c r="D26" s="6" t="n">
        <v>226.5</v>
      </c>
      <c r="E26" s="6" t="n">
        <v>0</v>
      </c>
      <c r="F26" s="6" t="n">
        <v>253.4632596685</v>
      </c>
      <c r="G26" s="6" t="n">
        <v>253.4632596685</v>
      </c>
      <c r="H26" s="6" t="n">
        <v>26.9632596685</v>
      </c>
      <c r="I26" s="6" t="n">
        <v>253.4632596685</v>
      </c>
      <c r="J26" s="6" t="n">
        <v>0</v>
      </c>
    </row>
    <row r="27">
      <c r="A27" s="4" t="inlineStr">
        <is>
          <t>Votra, James</t>
        </is>
      </c>
      <c r="B27" s="4" t="inlineStr">
        <is>
          <t>A_63320</t>
        </is>
      </c>
      <c r="C27" s="4" t="inlineStr">
        <is>
          <t>A_63320 - Systemic Antiinfectives</t>
        </is>
      </c>
      <c r="D27" s="6" t="n">
        <v>20131.5</v>
      </c>
      <c r="E27" s="6" t="n">
        <v>20484.4703644319</v>
      </c>
      <c r="F27" s="6" t="n">
        <v>25960.5342541436</v>
      </c>
      <c r="G27" s="6" t="n">
        <v>25960.5342541436</v>
      </c>
      <c r="H27" s="6" t="n">
        <v>5829.0342541436</v>
      </c>
      <c r="I27" s="6" t="n">
        <v>5476.063889711699</v>
      </c>
      <c r="J27" s="6" t="n">
        <v>0</v>
      </c>
    </row>
    <row r="28">
      <c r="A28" s="4" t="inlineStr">
        <is>
          <t>Votra, James</t>
        </is>
      </c>
      <c r="B28" s="4" t="inlineStr">
        <is>
          <t>A_63330</t>
        </is>
      </c>
      <c r="C28" s="4" t="inlineStr">
        <is>
          <t>A_63330 - Antineoplastics</t>
        </is>
      </c>
      <c r="D28" s="6" t="n">
        <v>7550202.05</v>
      </c>
      <c r="E28" s="6" t="n">
        <v>9761966.751036121</v>
      </c>
      <c r="F28" s="6" t="n">
        <v>7826941.445580112</v>
      </c>
      <c r="G28" s="6" t="n">
        <v>7826941.445580112</v>
      </c>
      <c r="H28" s="6" t="n">
        <v>276739.395580112</v>
      </c>
      <c r="I28" s="6" t="n">
        <v>-1935025.305456009</v>
      </c>
      <c r="J28" s="6" t="n">
        <v>0</v>
      </c>
    </row>
    <row r="29">
      <c r="A29" s="4" t="inlineStr">
        <is>
          <t>Votra, James</t>
        </is>
      </c>
      <c r="B29" s="4" t="inlineStr">
        <is>
          <t>A_63340</t>
        </is>
      </c>
      <c r="C29" s="4" t="inlineStr">
        <is>
          <t>A_63340 - Hematopoietic Agents</t>
        </is>
      </c>
      <c r="D29" s="6" t="n">
        <v>0</v>
      </c>
      <c r="E29" s="6" t="n">
        <v>-192.3000000001</v>
      </c>
      <c r="F29" s="6" t="n">
        <v>0</v>
      </c>
      <c r="G29" s="6" t="n">
        <v>0</v>
      </c>
      <c r="H29" s="6" t="n">
        <v>0</v>
      </c>
      <c r="I29" s="6" t="n">
        <v>192.3000000001</v>
      </c>
      <c r="J29" s="6" t="n">
        <v>0</v>
      </c>
    </row>
    <row r="30">
      <c r="A30" s="4" t="inlineStr">
        <is>
          <t>Votra, James</t>
        </is>
      </c>
      <c r="B30" s="4" t="inlineStr">
        <is>
          <t>A_63350</t>
        </is>
      </c>
      <c r="C30" s="4" t="inlineStr">
        <is>
          <t>A_63350 - Anesthesiology</t>
        </is>
      </c>
      <c r="D30" s="6" t="n">
        <v>611130.34</v>
      </c>
      <c r="E30" s="6" t="n">
        <v>747225</v>
      </c>
      <c r="F30" s="6" t="n">
        <v>520567.7187845306</v>
      </c>
      <c r="G30" s="6" t="n">
        <v>520567.7187845306</v>
      </c>
      <c r="H30" s="6" t="n">
        <v>-90562.62121546938</v>
      </c>
      <c r="I30" s="6" t="n">
        <v>-226657.2812154694</v>
      </c>
      <c r="J30" s="6" t="n">
        <v>0</v>
      </c>
    </row>
    <row r="31">
      <c r="A31" s="4" t="inlineStr">
        <is>
          <t>Votra, James</t>
        </is>
      </c>
      <c r="B31" s="4" t="inlineStr">
        <is>
          <t>A_63360</t>
        </is>
      </c>
      <c r="C31" s="4" t="inlineStr">
        <is>
          <t>A_63360 - Rx - Radio Pharmaceuticals</t>
        </is>
      </c>
      <c r="D31" s="6" t="n">
        <v>428.85</v>
      </c>
      <c r="E31" s="6" t="n">
        <v>0</v>
      </c>
      <c r="F31" s="6" t="n">
        <v>0</v>
      </c>
      <c r="G31" s="6" t="n">
        <v>0</v>
      </c>
      <c r="H31" s="6" t="n">
        <v>-428.85</v>
      </c>
      <c r="I31" s="6" t="n">
        <v>0</v>
      </c>
      <c r="J31" s="6" t="n">
        <v>0</v>
      </c>
    </row>
    <row r="32">
      <c r="A32" s="4" t="inlineStr">
        <is>
          <t>Votra, James</t>
        </is>
      </c>
      <c r="B32" s="4" t="inlineStr">
        <is>
          <t>A_63368</t>
        </is>
      </c>
      <c r="C32" s="4" t="inlineStr">
        <is>
          <t>A_63368 - Interventional Cardiology</t>
        </is>
      </c>
      <c r="D32" s="6" t="n">
        <v>288.3</v>
      </c>
      <c r="E32" s="6" t="n">
        <v>0</v>
      </c>
      <c r="F32" s="6" t="n">
        <v>289.7414364641</v>
      </c>
      <c r="G32" s="6" t="n">
        <v>289.7414364641</v>
      </c>
      <c r="H32" s="6" t="n">
        <v>1.441436464099979</v>
      </c>
      <c r="I32" s="6" t="n">
        <v>289.7414364641</v>
      </c>
      <c r="J32" s="6" t="n">
        <v>0</v>
      </c>
    </row>
    <row r="33">
      <c r="A33" s="4" t="inlineStr">
        <is>
          <t>Votra, James</t>
        </is>
      </c>
      <c r="B33" s="4" t="inlineStr">
        <is>
          <t>A_63369</t>
        </is>
      </c>
      <c r="C33" s="4" t="inlineStr">
        <is>
          <t>A_63369 - Hemostatic Agents</t>
        </is>
      </c>
      <c r="D33" s="6" t="n">
        <v>3543.97</v>
      </c>
      <c r="E33" s="6" t="n">
        <v>3974.9190028457</v>
      </c>
      <c r="F33" s="6" t="n">
        <v>4134.2602209945</v>
      </c>
      <c r="G33" s="6" t="n">
        <v>4134.2602209945</v>
      </c>
      <c r="H33" s="6" t="n">
        <v>590.2902209945</v>
      </c>
      <c r="I33" s="6" t="n">
        <v>159.3412181487997</v>
      </c>
      <c r="J33" s="6" t="n">
        <v>0</v>
      </c>
    </row>
    <row r="34">
      <c r="A34" s="4" t="inlineStr">
        <is>
          <t>Votra, James</t>
        </is>
      </c>
      <c r="B34" s="4" t="inlineStr">
        <is>
          <t>A_63372</t>
        </is>
      </c>
      <c r="C34" s="4" t="inlineStr">
        <is>
          <t>A_63372 - Outsourced</t>
        </is>
      </c>
      <c r="D34" s="6" t="n">
        <v>0</v>
      </c>
      <c r="E34" s="6" t="n">
        <v>0</v>
      </c>
      <c r="F34" s="6" t="n">
        <v>53963.3342541436</v>
      </c>
      <c r="G34" s="6" t="n">
        <v>53963.3342541436</v>
      </c>
      <c r="H34" s="6" t="n">
        <v>53963.3342541436</v>
      </c>
      <c r="I34" s="6" t="n">
        <v>53963.3342541436</v>
      </c>
      <c r="J34" s="6" t="n">
        <v>0</v>
      </c>
    </row>
    <row r="35">
      <c r="A35" s="4" t="inlineStr">
        <is>
          <t>Votra, James</t>
        </is>
      </c>
      <c r="B35" s="4" t="inlineStr">
        <is>
          <t>A_63373</t>
        </is>
      </c>
      <c r="C35" s="4" t="inlineStr">
        <is>
          <t>A_63373 - Transplant Medications</t>
        </is>
      </c>
      <c r="D35" s="6" t="n">
        <v>19741.38</v>
      </c>
      <c r="E35" s="6" t="n">
        <v>18093.7063507857</v>
      </c>
      <c r="F35" s="6" t="n">
        <v>32692.1828729282</v>
      </c>
      <c r="G35" s="6" t="n">
        <v>32692.1828729282</v>
      </c>
      <c r="H35" s="6" t="n">
        <v>12950.8028729282</v>
      </c>
      <c r="I35" s="6" t="n">
        <v>14598.4765221425</v>
      </c>
      <c r="J35" s="6" t="n">
        <v>0</v>
      </c>
    </row>
    <row r="36">
      <c r="A36" s="4" t="inlineStr">
        <is>
          <t>Votra, James</t>
        </is>
      </c>
      <c r="B36" s="4" t="inlineStr">
        <is>
          <t>A_63374</t>
        </is>
      </c>
      <c r="C36" s="4" t="inlineStr">
        <is>
          <t>A_63374 - Modulation agents</t>
        </is>
      </c>
      <c r="D36" s="6" t="n">
        <v>2624517.74</v>
      </c>
      <c r="E36" s="6" t="n">
        <v>2699245.359688471</v>
      </c>
      <c r="F36" s="6" t="n">
        <v>2698265.32320442</v>
      </c>
      <c r="G36" s="6" t="n">
        <v>2698265.32320442</v>
      </c>
      <c r="H36" s="6" t="n">
        <v>73747.58320441982</v>
      </c>
      <c r="I36" s="6" t="n">
        <v>-980.0364840510301</v>
      </c>
      <c r="J36" s="6" t="n">
        <v>0</v>
      </c>
    </row>
    <row r="37">
      <c r="A37" s="4" t="inlineStr">
        <is>
          <t>Votra, James</t>
        </is>
      </c>
      <c r="B37" s="4" t="inlineStr">
        <is>
          <t>A_63376</t>
        </is>
      </c>
      <c r="C37" s="4" t="inlineStr">
        <is>
          <t>A_63376 - HIV Medications</t>
        </is>
      </c>
      <c r="D37" s="6" t="n">
        <v>328964.54</v>
      </c>
      <c r="E37" s="6" t="n">
        <v>328646.589775878</v>
      </c>
      <c r="F37" s="6" t="n">
        <v>469872.14281768</v>
      </c>
      <c r="G37" s="6" t="n">
        <v>469872.14281768</v>
      </c>
      <c r="H37" s="6" t="n">
        <v>140907.60281768</v>
      </c>
      <c r="I37" s="6" t="n">
        <v>141225.553041802</v>
      </c>
      <c r="J37" s="6" t="n">
        <v>0</v>
      </c>
    </row>
    <row r="38">
      <c r="A38" s="4" t="inlineStr">
        <is>
          <t>Votra, James</t>
        </is>
      </c>
      <c r="B38" s="4" t="inlineStr">
        <is>
          <t>A_63377</t>
        </is>
      </c>
      <c r="C38" s="4" t="inlineStr">
        <is>
          <t>A_63377 - Thrombolytics</t>
        </is>
      </c>
      <c r="D38" s="6" t="n">
        <v>1513.92</v>
      </c>
      <c r="E38" s="6" t="n">
        <v>1421.344754843</v>
      </c>
      <c r="F38" s="6" t="n">
        <v>0</v>
      </c>
      <c r="G38" s="6" t="n">
        <v>0</v>
      </c>
      <c r="H38" s="6" t="n">
        <v>-1513.92</v>
      </c>
      <c r="I38" s="6" t="n">
        <v>-1421.344754843</v>
      </c>
      <c r="J38" s="6" t="n">
        <v>0</v>
      </c>
    </row>
    <row r="39">
      <c r="A39" s="4" t="inlineStr">
        <is>
          <t>Votra, James</t>
        </is>
      </c>
      <c r="B39" s="4" t="inlineStr">
        <is>
          <t>A_63378</t>
        </is>
      </c>
      <c r="C39" s="4" t="inlineStr">
        <is>
          <t>A_63378 - Atypical Antipsychotics</t>
        </is>
      </c>
      <c r="D39" s="6" t="n">
        <v>0</v>
      </c>
      <c r="E39" s="6" t="n">
        <v>0</v>
      </c>
      <c r="F39" s="6" t="n">
        <v>2060.4350828729</v>
      </c>
      <c r="G39" s="6" t="n">
        <v>2060.4350828729</v>
      </c>
      <c r="H39" s="6" t="n">
        <v>2060.4350828729</v>
      </c>
      <c r="I39" s="6" t="n">
        <v>2060.4350828729</v>
      </c>
      <c r="J39" s="6" t="n">
        <v>0</v>
      </c>
    </row>
    <row r="40">
      <c r="A40" s="4" t="inlineStr">
        <is>
          <t>Votra, James</t>
        </is>
      </c>
      <c r="B40" s="4" t="inlineStr">
        <is>
          <t>A_63383</t>
        </is>
      </c>
      <c r="C40" s="4" t="inlineStr">
        <is>
          <t>A_63383 - Drugs Non-Formulary</t>
        </is>
      </c>
      <c r="D40" s="6" t="n">
        <v>1601448.17</v>
      </c>
      <c r="E40" s="6" t="n">
        <v>122901.9948844112</v>
      </c>
      <c r="F40" s="6" t="n">
        <v>7083097.096408839</v>
      </c>
      <c r="G40" s="6" t="n">
        <v>7083097.096408839</v>
      </c>
      <c r="H40" s="6" t="n">
        <v>5481648.926408839</v>
      </c>
      <c r="I40" s="6" t="n">
        <v>6960195.101524428</v>
      </c>
      <c r="J40" s="6" t="n">
        <v>0</v>
      </c>
    </row>
    <row r="41">
      <c r="A41" s="4" t="inlineStr">
        <is>
          <t>Votra, James</t>
        </is>
      </c>
      <c r="B41" s="4" t="inlineStr">
        <is>
          <t>A_63391</t>
        </is>
      </c>
      <c r="C41" s="4" t="inlineStr">
        <is>
          <t>A_63391 - Vaccines</t>
        </is>
      </c>
      <c r="D41" s="6" t="n">
        <v>142053.26</v>
      </c>
      <c r="E41" s="6" t="n">
        <v>176882.206672183</v>
      </c>
      <c r="F41" s="6" t="n">
        <v>106631.866298343</v>
      </c>
      <c r="G41" s="6" t="n">
        <v>106631.866298343</v>
      </c>
      <c r="H41" s="6" t="n">
        <v>-35421.39370165701</v>
      </c>
      <c r="I41" s="6" t="n">
        <v>-70250.34037384001</v>
      </c>
      <c r="J41" s="6" t="n">
        <v>0</v>
      </c>
    </row>
    <row r="42">
      <c r="A42" s="4" t="inlineStr">
        <is>
          <t>Votra, James</t>
        </is>
      </c>
      <c r="B42" s="4" t="inlineStr">
        <is>
          <t>A_64000</t>
        </is>
      </c>
      <c r="C42" s="4" t="inlineStr">
        <is>
          <t>A_64000 - Supplies - Hotel Services</t>
        </is>
      </c>
      <c r="D42" s="6" t="n">
        <v>247009.91</v>
      </c>
      <c r="E42" s="6" t="n">
        <v>212073.8000000001</v>
      </c>
      <c r="F42" s="6" t="n">
        <v>306073.2707182321</v>
      </c>
      <c r="G42" s="6" t="n">
        <v>211964.149723757</v>
      </c>
      <c r="H42" s="6" t="n">
        <v>-35045.76027624297</v>
      </c>
      <c r="I42" s="6" t="n">
        <v>-109.6502762431046</v>
      </c>
      <c r="J42" s="6" t="n">
        <v>-94109.12099447515</v>
      </c>
    </row>
    <row r="43">
      <c r="A43" s="4" t="inlineStr">
        <is>
          <t>Votra, James</t>
        </is>
      </c>
      <c r="B43" s="4" t="inlineStr">
        <is>
          <t>A_64010</t>
        </is>
      </c>
      <c r="C43" s="4" t="inlineStr">
        <is>
          <t>A_64010 - Supplies - Linen And Bedding</t>
        </is>
      </c>
      <c r="D43" s="6" t="n">
        <v>323.64</v>
      </c>
      <c r="E43" s="6" t="n">
        <v>39.3239825502</v>
      </c>
      <c r="F43" s="6" t="n">
        <v>423.964640884</v>
      </c>
      <c r="G43" s="6" t="n">
        <v>423.964640884</v>
      </c>
      <c r="H43" s="6" t="n">
        <v>100.324640884</v>
      </c>
      <c r="I43" s="6" t="n">
        <v>384.6406583338</v>
      </c>
      <c r="J43" s="6" t="n">
        <v>0</v>
      </c>
    </row>
    <row r="44">
      <c r="A44" s="4" t="inlineStr">
        <is>
          <t>Votra, James</t>
        </is>
      </c>
      <c r="B44" s="4" t="inlineStr">
        <is>
          <t>A_64020</t>
        </is>
      </c>
      <c r="C44" s="4" t="inlineStr">
        <is>
          <t>A_64020 - Supplies - Office</t>
        </is>
      </c>
      <c r="D44" s="6" t="n">
        <v>47262.82</v>
      </c>
      <c r="E44" s="6" t="n">
        <v>48868.7500000008</v>
      </c>
      <c r="F44" s="6" t="n">
        <v>42291.9046961325</v>
      </c>
      <c r="G44" s="6" t="n">
        <v>38914.7803314917</v>
      </c>
      <c r="H44" s="6" t="n">
        <v>-8348.039668508303</v>
      </c>
      <c r="I44" s="6" t="n">
        <v>-9953.969668509104</v>
      </c>
      <c r="J44" s="6" t="n">
        <v>-3377.124364640804</v>
      </c>
    </row>
    <row r="45">
      <c r="A45" s="4" t="inlineStr">
        <is>
          <t>Votra, James</t>
        </is>
      </c>
      <c r="B45" s="4" t="inlineStr">
        <is>
          <t>A_64030</t>
        </is>
      </c>
      <c r="C45" s="4" t="inlineStr">
        <is>
          <t>A_64030 - Supplies - Other Non Medical</t>
        </is>
      </c>
      <c r="D45" s="6" t="n">
        <v>447780.37</v>
      </c>
      <c r="E45" s="6" t="n">
        <v>116487.1799999994</v>
      </c>
      <c r="F45" s="6" t="n">
        <v>379017.9359116021</v>
      </c>
      <c r="G45" s="6" t="n">
        <v>338414.4846961325</v>
      </c>
      <c r="H45" s="6" t="n">
        <v>-109365.8853038675</v>
      </c>
      <c r="I45" s="6" t="n">
        <v>221927.3046961331</v>
      </c>
      <c r="J45" s="6" t="n">
        <v>-40603.45121546963</v>
      </c>
    </row>
    <row r="46">
      <c r="A46" s="4" t="inlineStr">
        <is>
          <t>Votra, James</t>
        </is>
      </c>
      <c r="B46" s="4" t="inlineStr">
        <is>
          <t>A_64045</t>
        </is>
      </c>
      <c r="C46" s="4" t="inlineStr">
        <is>
          <t>A_64045 - Air Condition &amp; Refrig</t>
        </is>
      </c>
      <c r="D46" s="6" t="n">
        <v>4178.3</v>
      </c>
      <c r="E46" s="6" t="n">
        <v>-604</v>
      </c>
      <c r="F46" s="6" t="n">
        <v>0</v>
      </c>
      <c r="G46" s="6" t="n">
        <v>0</v>
      </c>
      <c r="H46" s="6" t="n">
        <v>-4178.3</v>
      </c>
      <c r="I46" s="6" t="n">
        <v>604</v>
      </c>
      <c r="J46" s="6" t="n">
        <v>0</v>
      </c>
    </row>
    <row r="47">
      <c r="A47" s="4" t="inlineStr">
        <is>
          <t>Votra, James</t>
        </is>
      </c>
      <c r="B47" s="4" t="inlineStr">
        <is>
          <t>A_64090</t>
        </is>
      </c>
      <c r="C47" s="4" t="inlineStr">
        <is>
          <t>A_64090 - Non Med &amp; Non Surg Rebates</t>
        </is>
      </c>
      <c r="D47" s="6" t="n">
        <v>-835.78</v>
      </c>
      <c r="E47" s="6" t="n">
        <v>0</v>
      </c>
      <c r="F47" s="6" t="n">
        <v>-1911.2085635359</v>
      </c>
      <c r="G47" s="6" t="n">
        <v>0</v>
      </c>
      <c r="H47" s="6" t="n">
        <v>835.78</v>
      </c>
      <c r="I47" s="6" t="n">
        <v>0</v>
      </c>
      <c r="J47" s="6" t="n">
        <v>1911.2085635359</v>
      </c>
    </row>
    <row r="48">
      <c r="A48" s="4" t="inlineStr">
        <is>
          <t>Votra, James</t>
        </is>
      </c>
      <c r="B48" s="4" t="inlineStr">
        <is>
          <t>A_64500</t>
        </is>
      </c>
      <c r="C48" s="4" t="inlineStr">
        <is>
          <t>A_64500 - Dietary - Meat-Fish-Poultry</t>
        </is>
      </c>
      <c r="D48" s="6" t="n">
        <v>171.2</v>
      </c>
      <c r="E48" s="6" t="n">
        <v>357.9375</v>
      </c>
      <c r="F48" s="6" t="n">
        <v>611.7279005525</v>
      </c>
      <c r="G48" s="6" t="n">
        <v>611.7279005525</v>
      </c>
      <c r="H48" s="6" t="n">
        <v>440.5279005525001</v>
      </c>
      <c r="I48" s="6" t="n">
        <v>253.7904005525</v>
      </c>
      <c r="J48" s="6" t="n">
        <v>0</v>
      </c>
    </row>
    <row r="49">
      <c r="A49" s="4" t="inlineStr">
        <is>
          <t>Votra, James</t>
        </is>
      </c>
      <c r="B49" s="4" t="inlineStr">
        <is>
          <t>A_64505</t>
        </is>
      </c>
      <c r="C49" s="4" t="inlineStr">
        <is>
          <t>A_64505 - Food SI</t>
        </is>
      </c>
      <c r="D49" s="6" t="n">
        <v>85061.96000000001</v>
      </c>
      <c r="E49" s="6" t="n">
        <v>79909.1460000004</v>
      </c>
      <c r="F49" s="6" t="n">
        <v>81856.9165745856</v>
      </c>
      <c r="G49" s="6" t="n">
        <v>81856.9165745856</v>
      </c>
      <c r="H49" s="6" t="n">
        <v>-3205.043425414406</v>
      </c>
      <c r="I49" s="6" t="n">
        <v>1947.7705745852</v>
      </c>
      <c r="J49" s="6" t="n">
        <v>0</v>
      </c>
    </row>
    <row r="50">
      <c r="A50" s="4" t="inlineStr">
        <is>
          <t>Votra, James</t>
        </is>
      </c>
      <c r="B50" s="4" t="inlineStr">
        <is>
          <t>A_64510</t>
        </is>
      </c>
      <c r="C50" s="4" t="inlineStr">
        <is>
          <t>A_64510 - Dietary-Groceries &amp; Beverages</t>
        </is>
      </c>
      <c r="D50" s="6" t="n">
        <v>197992.35</v>
      </c>
      <c r="E50" s="6" t="n">
        <v>198214.92</v>
      </c>
      <c r="F50" s="6" t="n">
        <v>215093.068232044</v>
      </c>
      <c r="G50" s="6" t="n">
        <v>215093.068232044</v>
      </c>
      <c r="H50" s="6" t="n">
        <v>17100.71823204399</v>
      </c>
      <c r="I50" s="6" t="n">
        <v>16878.14823204398</v>
      </c>
      <c r="J50" s="6" t="n">
        <v>0</v>
      </c>
    </row>
    <row r="51">
      <c r="A51" s="4" t="inlineStr">
        <is>
          <t>Votra, James</t>
        </is>
      </c>
      <c r="B51" s="4" t="inlineStr">
        <is>
          <t>A_64520</t>
        </is>
      </c>
      <c r="C51" s="4" t="inlineStr">
        <is>
          <t>A_64520 - Dietary - Dairy</t>
        </is>
      </c>
      <c r="D51" s="6" t="n">
        <v>11598.06</v>
      </c>
      <c r="E51" s="6" t="n">
        <v>12474.9800000002</v>
      </c>
      <c r="F51" s="6" t="n">
        <v>12373.3386740331</v>
      </c>
      <c r="G51" s="6" t="n">
        <v>12373.3386740331</v>
      </c>
      <c r="H51" s="6" t="n">
        <v>775.2786740331012</v>
      </c>
      <c r="I51" s="6" t="n">
        <v>-101.641325967099</v>
      </c>
      <c r="J51" s="6" t="n">
        <v>0</v>
      </c>
    </row>
    <row r="52">
      <c r="A52" s="4" t="inlineStr">
        <is>
          <t>Votra, James</t>
        </is>
      </c>
      <c r="B52" s="4" t="inlineStr">
        <is>
          <t>A_64530</t>
        </is>
      </c>
      <c r="C52" s="4" t="inlineStr">
        <is>
          <t>A_64530 - Dietary-Bread-Bakery Products</t>
        </is>
      </c>
      <c r="D52" s="6" t="n">
        <v>69412.05</v>
      </c>
      <c r="E52" s="6" t="n">
        <v>74696.985</v>
      </c>
      <c r="F52" s="6" t="n">
        <v>74577.46546961329</v>
      </c>
      <c r="G52" s="6" t="n">
        <v>74577.46546961329</v>
      </c>
      <c r="H52" s="6" t="n">
        <v>5165.41546961329</v>
      </c>
      <c r="I52" s="6" t="n">
        <v>-119.5195303867076</v>
      </c>
      <c r="J52" s="6" t="n">
        <v>0</v>
      </c>
    </row>
    <row r="53">
      <c r="A53" s="4" t="inlineStr">
        <is>
          <t>Votra, James</t>
        </is>
      </c>
      <c r="B53" s="4" t="inlineStr">
        <is>
          <t>A_64540</t>
        </is>
      </c>
      <c r="C53" s="4" t="inlineStr">
        <is>
          <t>A_64540 - Dietary-Fruits And Vegetables</t>
        </is>
      </c>
      <c r="D53" s="6" t="n">
        <v>16003.23</v>
      </c>
      <c r="E53" s="6" t="n">
        <v>17822.3400000002</v>
      </c>
      <c r="F53" s="6" t="n">
        <v>18136.144198895</v>
      </c>
      <c r="G53" s="6" t="n">
        <v>18136.144198895</v>
      </c>
      <c r="H53" s="6" t="n">
        <v>2132.914198895</v>
      </c>
      <c r="I53" s="6" t="n">
        <v>313.8041988947989</v>
      </c>
      <c r="J53" s="6" t="n">
        <v>0</v>
      </c>
    </row>
    <row r="54">
      <c r="A54" s="4" t="inlineStr">
        <is>
          <t>Votra, James</t>
        </is>
      </c>
      <c r="B54" s="4" t="inlineStr">
        <is>
          <t>A_64560</t>
        </is>
      </c>
      <c r="C54" s="4" t="inlineStr">
        <is>
          <t>A_64560 - Dietary - Tableware</t>
        </is>
      </c>
      <c r="D54" s="6" t="n">
        <v>29676.9</v>
      </c>
      <c r="E54" s="6" t="n">
        <v>26280.2999999999</v>
      </c>
      <c r="F54" s="6" t="n">
        <v>37145.908839779</v>
      </c>
      <c r="G54" s="6" t="n">
        <v>26280.2999999999</v>
      </c>
      <c r="H54" s="6" t="n">
        <v>-3396.6000000001</v>
      </c>
      <c r="I54" s="6" t="n">
        <v>0</v>
      </c>
      <c r="J54" s="6" t="n">
        <v>-10865.6088397791</v>
      </c>
    </row>
    <row r="55">
      <c r="A55" s="4" t="inlineStr">
        <is>
          <t>Votra, James</t>
        </is>
      </c>
      <c r="B55" s="4" t="inlineStr">
        <is>
          <t>A_64580</t>
        </is>
      </c>
      <c r="C55" s="4" t="inlineStr">
        <is>
          <t>A_64580 - Dietary - Kosher Foods</t>
        </is>
      </c>
      <c r="D55" s="6" t="n">
        <v>7892</v>
      </c>
      <c r="E55" s="6" t="n">
        <v>9156.1599999999</v>
      </c>
      <c r="F55" s="6" t="n">
        <v>8497.8453038674</v>
      </c>
      <c r="G55" s="6" t="n">
        <v>8497.8453038674</v>
      </c>
      <c r="H55" s="6" t="n">
        <v>605.8453038673997</v>
      </c>
      <c r="I55" s="6" t="n">
        <v>-658.3146961325001</v>
      </c>
      <c r="J55" s="6" t="n">
        <v>0</v>
      </c>
    </row>
    <row r="56">
      <c r="A56" s="4" t="inlineStr">
        <is>
          <t>Votra, James</t>
        </is>
      </c>
      <c r="B56" s="4" t="inlineStr">
        <is>
          <t>A_64590</t>
        </is>
      </c>
      <c r="C56" s="4" t="inlineStr">
        <is>
          <t>A_64590 - Dietary - Rebates</t>
        </is>
      </c>
      <c r="D56" s="6" t="n">
        <v>-6249.12</v>
      </c>
      <c r="E56" s="6" t="n">
        <v>0</v>
      </c>
      <c r="F56" s="6" t="n">
        <v>-2972.370441989</v>
      </c>
      <c r="G56" s="6" t="n">
        <v>-2972.370441989</v>
      </c>
      <c r="H56" s="6" t="n">
        <v>3276.749558011</v>
      </c>
      <c r="I56" s="6" t="n">
        <v>-2972.370441989</v>
      </c>
      <c r="J56" s="6" t="n">
        <v>0</v>
      </c>
    </row>
    <row r="57">
      <c r="A57" s="4" t="inlineStr">
        <is>
          <t>Votra, James</t>
        </is>
      </c>
      <c r="B57" s="4" t="inlineStr">
        <is>
          <t>A_65000</t>
        </is>
      </c>
      <c r="C57" s="4" t="inlineStr">
        <is>
          <t>A_65000 - Electricity</t>
        </is>
      </c>
      <c r="D57" s="6" t="n">
        <v>1531182.59</v>
      </c>
      <c r="E57" s="6" t="n">
        <v>1650592.2492</v>
      </c>
      <c r="F57" s="6" t="n">
        <v>1666124.796408839</v>
      </c>
      <c r="G57" s="6" t="n">
        <v>1666124.796408839</v>
      </c>
      <c r="H57" s="6" t="n">
        <v>134942.2064088392</v>
      </c>
      <c r="I57" s="6" t="n">
        <v>15532.54720883933</v>
      </c>
      <c r="J57" s="6" t="n">
        <v>0</v>
      </c>
    </row>
    <row r="58">
      <c r="A58" s="4" t="inlineStr">
        <is>
          <t>Votra, James</t>
        </is>
      </c>
      <c r="B58" s="4" t="inlineStr">
        <is>
          <t>A_65010</t>
        </is>
      </c>
      <c r="C58" s="4" t="inlineStr">
        <is>
          <t>A_65010 - Fuel Oil</t>
        </is>
      </c>
      <c r="D58" s="6" t="n">
        <v>1347.26</v>
      </c>
      <c r="E58" s="6" t="n">
        <v>0</v>
      </c>
      <c r="F58" s="6" t="n">
        <v>25195.2845303867</v>
      </c>
      <c r="G58" s="6" t="n">
        <v>12500</v>
      </c>
      <c r="H58" s="6" t="n">
        <v>11152.74</v>
      </c>
      <c r="I58" s="6" t="n">
        <v>12500</v>
      </c>
      <c r="J58" s="6" t="n">
        <v>-12695.2845303867</v>
      </c>
    </row>
    <row r="59">
      <c r="A59" s="4" t="inlineStr">
        <is>
          <t>Votra, James</t>
        </is>
      </c>
      <c r="B59" s="4" t="inlineStr">
        <is>
          <t>A_65020</t>
        </is>
      </c>
      <c r="C59" s="4" t="inlineStr">
        <is>
          <t>A_65020 - Water &amp; Sewer</t>
        </is>
      </c>
      <c r="D59" s="6" t="n">
        <v>711211.96</v>
      </c>
      <c r="E59" s="6" t="n">
        <v>675000</v>
      </c>
      <c r="F59" s="6" t="n">
        <v>629206.9237569059</v>
      </c>
      <c r="G59" s="6" t="n">
        <v>629206.9237569059</v>
      </c>
      <c r="H59" s="6" t="n">
        <v>-82005.03624309401</v>
      </c>
      <c r="I59" s="6" t="n">
        <v>-45793.07624309405</v>
      </c>
      <c r="J59" s="6" t="n">
        <v>0</v>
      </c>
    </row>
    <row r="60">
      <c r="A60" s="4" t="inlineStr">
        <is>
          <t>Votra, James</t>
        </is>
      </c>
      <c r="B60" s="4" t="inlineStr">
        <is>
          <t>A_65030</t>
        </is>
      </c>
      <c r="C60" s="4" t="inlineStr">
        <is>
          <t>A_65030 - Disposable Services</t>
        </is>
      </c>
      <c r="D60" s="6" t="n">
        <v>214043.6</v>
      </c>
      <c r="E60" s="6" t="n">
        <v>213275.9999999997</v>
      </c>
      <c r="F60" s="6" t="n">
        <v>110430.810497238</v>
      </c>
      <c r="G60" s="6" t="n">
        <v>155000</v>
      </c>
      <c r="H60" s="6" t="n">
        <v>-59043.60000000001</v>
      </c>
      <c r="I60" s="6" t="n">
        <v>-58275.99999999971</v>
      </c>
      <c r="J60" s="6" t="n">
        <v>44569.189502762</v>
      </c>
    </row>
    <row r="61">
      <c r="A61" s="4" t="inlineStr">
        <is>
          <t>Votra, James</t>
        </is>
      </c>
      <c r="B61" s="4" t="inlineStr">
        <is>
          <t>A_65050</t>
        </is>
      </c>
      <c r="C61" s="4" t="inlineStr">
        <is>
          <t>A_65050 - Telephone</t>
        </is>
      </c>
      <c r="D61" s="6" t="n">
        <v>130515.29</v>
      </c>
      <c r="E61" s="6" t="n">
        <v>48876.9999000009</v>
      </c>
      <c r="F61" s="6" t="n">
        <v>21013.93729281791</v>
      </c>
      <c r="G61" s="6" t="n">
        <v>23860.8238121549</v>
      </c>
      <c r="H61" s="6" t="n">
        <v>-106654.4661878451</v>
      </c>
      <c r="I61" s="6" t="n">
        <v>-25016.176087846</v>
      </c>
      <c r="J61" s="6" t="n">
        <v>2846.886519336993</v>
      </c>
    </row>
    <row r="62">
      <c r="A62" s="4" t="inlineStr">
        <is>
          <t>Votra, James</t>
        </is>
      </c>
      <c r="B62" s="4" t="inlineStr">
        <is>
          <t>A_65060</t>
        </is>
      </c>
      <c r="C62" s="4" t="inlineStr">
        <is>
          <t>A_65060 - Natural Gas</t>
        </is>
      </c>
      <c r="D62" s="6" t="n">
        <v>135.19</v>
      </c>
      <c r="E62" s="6" t="n">
        <v>68.00000000039999</v>
      </c>
      <c r="F62" s="6" t="n">
        <v>281.1306629834</v>
      </c>
      <c r="G62" s="6" t="n">
        <v>281.1306629834</v>
      </c>
      <c r="H62" s="6" t="n">
        <v>145.9406629834</v>
      </c>
      <c r="I62" s="6" t="n">
        <v>213.130662983</v>
      </c>
      <c r="J62" s="6" t="n">
        <v>0</v>
      </c>
    </row>
    <row r="63">
      <c r="A63" s="4" t="inlineStr">
        <is>
          <t>Votra, James</t>
        </is>
      </c>
      <c r="B63" s="4" t="inlineStr">
        <is>
          <t>A_65080</t>
        </is>
      </c>
      <c r="C63" s="4" t="inlineStr">
        <is>
          <t>A_65080 - Steam</t>
        </is>
      </c>
      <c r="D63" s="6" t="n">
        <v>1537235.64</v>
      </c>
      <c r="E63" s="6" t="n">
        <v>1634999.9998</v>
      </c>
      <c r="F63" s="6" t="n">
        <v>2120712.73563536</v>
      </c>
      <c r="G63" s="6" t="n">
        <v>2120712.73563536</v>
      </c>
      <c r="H63" s="6" t="n">
        <v>583477.0956353599</v>
      </c>
      <c r="I63" s="6" t="n">
        <v>485712.7358353597</v>
      </c>
      <c r="J63" s="6" t="n">
        <v>0</v>
      </c>
    </row>
    <row r="64">
      <c r="A64" s="4" t="inlineStr">
        <is>
          <t>Votra, James</t>
        </is>
      </c>
      <c r="B64" s="4" t="inlineStr">
        <is>
          <t>A_65505</t>
        </is>
      </c>
      <c r="C64" s="4" t="inlineStr">
        <is>
          <t>A_65505 - Equipment Service Contracts</t>
        </is>
      </c>
      <c r="D64" s="6" t="n">
        <v>318351.5699999999</v>
      </c>
      <c r="E64" s="6" t="n">
        <v>230255.0000000004</v>
      </c>
      <c r="F64" s="6" t="n">
        <v>288004.34</v>
      </c>
      <c r="G64" s="6" t="n">
        <v>265333.52</v>
      </c>
      <c r="H64" s="6" t="n">
        <v>-53018.04999999993</v>
      </c>
      <c r="I64" s="6" t="n">
        <v>35078.51999999961</v>
      </c>
      <c r="J64" s="6" t="n">
        <v>-22670.81999999995</v>
      </c>
    </row>
    <row r="65">
      <c r="A65" s="4" t="inlineStr">
        <is>
          <t>Votra, James</t>
        </is>
      </c>
      <c r="B65" s="4" t="inlineStr">
        <is>
          <t>A_65507</t>
        </is>
      </c>
      <c r="C65" s="4" t="inlineStr">
        <is>
          <t>A_65507 - Medical Equip Srvcs Contracts</t>
        </is>
      </c>
      <c r="D65" s="6" t="n">
        <v>38816.85</v>
      </c>
      <c r="E65" s="6" t="n">
        <v>29253</v>
      </c>
      <c r="F65" s="6" t="n">
        <v>9600</v>
      </c>
      <c r="G65" s="6" t="n">
        <v>21650.0000000004</v>
      </c>
      <c r="H65" s="6" t="n">
        <v>-17166.8499999996</v>
      </c>
      <c r="I65" s="6" t="n">
        <v>-7602.9999999996</v>
      </c>
      <c r="J65" s="6" t="n">
        <v>12050.0000000004</v>
      </c>
    </row>
    <row r="66">
      <c r="A66" s="4" t="inlineStr">
        <is>
          <t>Votra, James</t>
        </is>
      </c>
      <c r="B66" s="4" t="inlineStr">
        <is>
          <t>A_65510</t>
        </is>
      </c>
      <c r="C66" s="4" t="inlineStr">
        <is>
          <t>A_65510 - Freight</t>
        </is>
      </c>
      <c r="D66" s="6" t="n">
        <v>48930.44</v>
      </c>
      <c r="E66" s="6" t="n">
        <v>42601.9976876148</v>
      </c>
      <c r="F66" s="6" t="n">
        <v>57090.4</v>
      </c>
      <c r="G66" s="6" t="n">
        <v>57154.117687614</v>
      </c>
      <c r="H66" s="6" t="n">
        <v>8223.677687613999</v>
      </c>
      <c r="I66" s="6" t="n">
        <v>14552.1199999992</v>
      </c>
      <c r="J66" s="6" t="n">
        <v>63.71768761400017</v>
      </c>
    </row>
    <row r="67">
      <c r="A67" s="4" t="inlineStr">
        <is>
          <t>Votra, James</t>
        </is>
      </c>
      <c r="B67" s="4" t="inlineStr">
        <is>
          <t>A_65515</t>
        </is>
      </c>
      <c r="C67" s="4" t="inlineStr">
        <is>
          <t>A_65515 - Ge Central Equip Svc Contract</t>
        </is>
      </c>
      <c r="D67" s="6" t="n">
        <v>21004.02</v>
      </c>
      <c r="E67" s="6" t="n">
        <v>19632</v>
      </c>
      <c r="F67" s="6" t="n">
        <v>18653.7</v>
      </c>
      <c r="G67" s="6" t="n">
        <v>18653.7</v>
      </c>
      <c r="H67" s="6" t="n">
        <v>-2350.32</v>
      </c>
      <c r="I67" s="6" t="n">
        <v>-978.2999999999993</v>
      </c>
      <c r="J67" s="6" t="n">
        <v>0</v>
      </c>
    </row>
    <row r="68">
      <c r="A68" s="4" t="inlineStr">
        <is>
          <t>Votra, James</t>
        </is>
      </c>
      <c r="B68" s="4" t="inlineStr">
        <is>
          <t>A_65517</t>
        </is>
      </c>
      <c r="C68" s="4" t="inlineStr">
        <is>
          <t>A_65517 - Software Maint and Support</t>
        </is>
      </c>
      <c r="D68" s="6" t="n">
        <v>157671.07</v>
      </c>
      <c r="E68" s="6" t="n">
        <v>93948.99919999921</v>
      </c>
      <c r="F68" s="6" t="n">
        <v>64066.22</v>
      </c>
      <c r="G68" s="6" t="n">
        <v>113327.68</v>
      </c>
      <c r="H68" s="6" t="n">
        <v>-44343.39000000001</v>
      </c>
      <c r="I68" s="6" t="n">
        <v>19378.68080000079</v>
      </c>
      <c r="J68" s="6" t="n">
        <v>49261.45999999999</v>
      </c>
    </row>
    <row r="69">
      <c r="A69" s="4" t="inlineStr">
        <is>
          <t>Votra, James</t>
        </is>
      </c>
      <c r="B69" s="4" t="inlineStr">
        <is>
          <t>A_65518</t>
        </is>
      </c>
      <c r="C69" s="4" t="inlineStr">
        <is>
          <t>A_65518 - Cloud Maintenance and Support</t>
        </is>
      </c>
      <c r="D69" s="6" t="n">
        <v>346.32</v>
      </c>
      <c r="E69" s="6" t="n">
        <v>0</v>
      </c>
      <c r="F69" s="6" t="n">
        <v>692.64</v>
      </c>
      <c r="G69" s="6" t="n">
        <v>346.32</v>
      </c>
      <c r="H69" s="6" t="n">
        <v>0</v>
      </c>
      <c r="I69" s="6" t="n">
        <v>346.32</v>
      </c>
      <c r="J69" s="6" t="n">
        <v>-346.32</v>
      </c>
    </row>
    <row r="70">
      <c r="A70" s="4" t="inlineStr">
        <is>
          <t>Votra, James</t>
        </is>
      </c>
      <c r="B70" s="4" t="inlineStr">
        <is>
          <t>A_65521</t>
        </is>
      </c>
      <c r="C70" s="4" t="inlineStr">
        <is>
          <t>A_65521 - Landscapg-Reprs-Prchsd-Cont Sv</t>
        </is>
      </c>
      <c r="D70" s="6" t="n">
        <v>10500</v>
      </c>
      <c r="E70" s="6" t="n">
        <v>24999.9999999996</v>
      </c>
      <c r="F70" s="6" t="n">
        <v>33890</v>
      </c>
      <c r="G70" s="6" t="n">
        <v>33890</v>
      </c>
      <c r="H70" s="6" t="n">
        <v>23390</v>
      </c>
      <c r="I70" s="6" t="n">
        <v>8890.0000000004</v>
      </c>
      <c r="J70" s="6" t="n">
        <v>0</v>
      </c>
    </row>
    <row r="71">
      <c r="A71" s="4" t="inlineStr">
        <is>
          <t>Votra, James</t>
        </is>
      </c>
      <c r="B71" s="4" t="inlineStr">
        <is>
          <t>A_65523</t>
        </is>
      </c>
      <c r="C71" s="4" t="inlineStr">
        <is>
          <t>A_65523 - WaterTrtmt-Repr-Prchsd-Cont Sv</t>
        </is>
      </c>
      <c r="D71" s="6" t="n">
        <v>100318.96</v>
      </c>
      <c r="E71" s="6" t="n">
        <v>113008</v>
      </c>
      <c r="F71" s="6" t="n">
        <v>58000</v>
      </c>
      <c r="G71" s="6" t="n">
        <v>60000</v>
      </c>
      <c r="H71" s="6" t="n">
        <v>-40318.96000000001</v>
      </c>
      <c r="I71" s="6" t="n">
        <v>-53008</v>
      </c>
      <c r="J71" s="6" t="n">
        <v>2000</v>
      </c>
    </row>
    <row r="72">
      <c r="A72" s="4" t="inlineStr">
        <is>
          <t>Votra, James</t>
        </is>
      </c>
      <c r="B72" s="4" t="inlineStr">
        <is>
          <t>A_65524</t>
        </is>
      </c>
      <c r="C72" s="4" t="inlineStr">
        <is>
          <t>A_65524 - Fire Sup-Reprs-Prchsd-Contr Sv</t>
        </is>
      </c>
      <c r="D72" s="6" t="n">
        <v>144637.71</v>
      </c>
      <c r="E72" s="6" t="n">
        <v>124162.0004</v>
      </c>
      <c r="F72" s="6" t="n">
        <v>122451.12</v>
      </c>
      <c r="G72" s="6" t="n">
        <v>122451.12</v>
      </c>
      <c r="H72" s="6" t="n">
        <v>-22186.59</v>
      </c>
      <c r="I72" s="6" t="n">
        <v>-1710.880400000009</v>
      </c>
      <c r="J72" s="6" t="n">
        <v>0</v>
      </c>
    </row>
    <row r="73">
      <c r="A73" s="4" t="inlineStr">
        <is>
          <t>Votra, James</t>
        </is>
      </c>
      <c r="B73" s="4" t="inlineStr">
        <is>
          <t>A_65525</t>
        </is>
      </c>
      <c r="C73" s="4" t="inlineStr">
        <is>
          <t>A_65525 - Maintenance And Repairs</t>
        </is>
      </c>
      <c r="D73" s="6" t="n">
        <v>598503.39</v>
      </c>
      <c r="E73" s="6" t="n">
        <v>215133.0000000012</v>
      </c>
      <c r="F73" s="6" t="n">
        <v>553361.24</v>
      </c>
      <c r="G73" s="6" t="n">
        <v>539260.76</v>
      </c>
      <c r="H73" s="6" t="n">
        <v>-59242.63</v>
      </c>
      <c r="I73" s="6" t="n">
        <v>324127.7599999988</v>
      </c>
      <c r="J73" s="6" t="n">
        <v>-14100.47999999998</v>
      </c>
    </row>
    <row r="74">
      <c r="A74" s="4" t="inlineStr">
        <is>
          <t>Votra, James</t>
        </is>
      </c>
      <c r="B74" s="4" t="inlineStr">
        <is>
          <t>A_65526</t>
        </is>
      </c>
      <c r="C74" s="4" t="inlineStr">
        <is>
          <t>A_65526 - Door Lock-Reprs-Prchsd-Cont Sv</t>
        </is>
      </c>
      <c r="D74" s="6" t="n">
        <v>66606.87</v>
      </c>
      <c r="E74" s="6" t="n">
        <v>31538.0000000004</v>
      </c>
      <c r="F74" s="6" t="n">
        <v>66287.78</v>
      </c>
      <c r="G74" s="6" t="n">
        <v>66287.78</v>
      </c>
      <c r="H74" s="6" t="n">
        <v>-319.0899999999965</v>
      </c>
      <c r="I74" s="6" t="n">
        <v>34749.7799999996</v>
      </c>
      <c r="J74" s="6" t="n">
        <v>0</v>
      </c>
    </row>
    <row r="75">
      <c r="A75" s="4" t="inlineStr">
        <is>
          <t>Votra, James</t>
        </is>
      </c>
      <c r="B75" s="4" t="inlineStr">
        <is>
          <t>A_65527</t>
        </is>
      </c>
      <c r="C75" s="4" t="inlineStr">
        <is>
          <t>A_65527 - Med Equipment Maint &amp; Repairs</t>
        </is>
      </c>
      <c r="D75" s="6" t="n">
        <v>-794.96</v>
      </c>
      <c r="E75" s="6" t="n">
        <v>5297.0000000004</v>
      </c>
      <c r="F75" s="6" t="n">
        <v>1031.3</v>
      </c>
      <c r="G75" s="6" t="n">
        <v>6031.3</v>
      </c>
      <c r="H75" s="6" t="n">
        <v>6826.26</v>
      </c>
      <c r="I75" s="6" t="n">
        <v>734.2999999996</v>
      </c>
      <c r="J75" s="6" t="n">
        <v>5000</v>
      </c>
    </row>
    <row r="76">
      <c r="A76" s="4" t="inlineStr">
        <is>
          <t>Votra, James</t>
        </is>
      </c>
      <c r="B76" s="4" t="inlineStr">
        <is>
          <t>A_65528</t>
        </is>
      </c>
      <c r="C76" s="4" t="inlineStr">
        <is>
          <t>A_65528 - Elevator-Reprs-Prchsd-Contr Sv</t>
        </is>
      </c>
      <c r="D76" s="6" t="n">
        <v>166738.94</v>
      </c>
      <c r="E76" s="6" t="n">
        <v>124642.9996</v>
      </c>
      <c r="F76" s="6" t="n">
        <v>110827.04</v>
      </c>
      <c r="G76" s="6" t="n">
        <v>109646.88</v>
      </c>
      <c r="H76" s="6" t="n">
        <v>-57092.06</v>
      </c>
      <c r="I76" s="6" t="n">
        <v>-14996.11959999999</v>
      </c>
      <c r="J76" s="6" t="n">
        <v>-1180.159999999989</v>
      </c>
    </row>
    <row r="77">
      <c r="A77" s="4" t="inlineStr">
        <is>
          <t>Votra, James</t>
        </is>
      </c>
      <c r="B77" s="4" t="inlineStr">
        <is>
          <t>A_65529</t>
        </is>
      </c>
      <c r="C77" s="4" t="inlineStr">
        <is>
          <t>A_65529 - Generator-Reprs-Prchsd-Cont Sv</t>
        </is>
      </c>
      <c r="D77" s="6" t="n">
        <v>17722.23</v>
      </c>
      <c r="E77" s="6" t="n">
        <v>35444.0000000004</v>
      </c>
      <c r="F77" s="6" t="n">
        <v>0</v>
      </c>
      <c r="G77" s="6" t="n">
        <v>0</v>
      </c>
      <c r="H77" s="6" t="n">
        <v>-17722.23</v>
      </c>
      <c r="I77" s="6" t="n">
        <v>-35444.0000000004</v>
      </c>
      <c r="J77" s="6" t="n">
        <v>0</v>
      </c>
    </row>
    <row r="78">
      <c r="A78" s="4" t="inlineStr">
        <is>
          <t>Votra, James</t>
        </is>
      </c>
      <c r="B78" s="4" t="inlineStr">
        <is>
          <t>A_65533</t>
        </is>
      </c>
      <c r="C78" s="4" t="inlineStr">
        <is>
          <t>A_65533 - Other Purchased Svcs-Security</t>
        </is>
      </c>
      <c r="D78" s="6" t="n">
        <v>1193156.89</v>
      </c>
      <c r="E78" s="6" t="n">
        <v>1218672</v>
      </c>
      <c r="F78" s="6" t="n">
        <v>1221916.82</v>
      </c>
      <c r="G78" s="6" t="n">
        <v>1315942</v>
      </c>
      <c r="H78" s="6" t="n">
        <v>122785.1100000001</v>
      </c>
      <c r="I78" s="6" t="n">
        <v>97270</v>
      </c>
      <c r="J78" s="6" t="n">
        <v>94025.17999999993</v>
      </c>
    </row>
    <row r="79">
      <c r="A79" s="4" t="inlineStr">
        <is>
          <t>Votra, James</t>
        </is>
      </c>
      <c r="B79" s="4" t="inlineStr">
        <is>
          <t>A_65534</t>
        </is>
      </c>
      <c r="C79" s="4" t="inlineStr">
        <is>
          <t>A_65534 - Purchased Lab Svcs-Ref Test</t>
        </is>
      </c>
      <c r="D79" s="6" t="n">
        <v>0</v>
      </c>
      <c r="E79" s="6" t="n">
        <v>0</v>
      </c>
      <c r="F79" s="6" t="n">
        <v>1611.92</v>
      </c>
      <c r="G79" s="6" t="n">
        <v>0</v>
      </c>
      <c r="H79" s="6" t="n">
        <v>0</v>
      </c>
      <c r="I79" s="6" t="n">
        <v>0</v>
      </c>
      <c r="J79" s="6" t="n">
        <v>-1611.92</v>
      </c>
    </row>
    <row r="80">
      <c r="A80" s="4" t="inlineStr">
        <is>
          <t>Votra, James</t>
        </is>
      </c>
      <c r="B80" s="4" t="inlineStr">
        <is>
          <t>A_65535</t>
        </is>
      </c>
      <c r="C80" s="4" t="inlineStr">
        <is>
          <t>A_65535 - Other Purchased Services</t>
        </is>
      </c>
      <c r="D80" s="6" t="n">
        <v>428513.31</v>
      </c>
      <c r="E80" s="6" t="n">
        <v>254111.9920754088</v>
      </c>
      <c r="F80" s="6" t="n">
        <v>414015.04</v>
      </c>
      <c r="G80" s="6" t="n">
        <v>368170.05</v>
      </c>
      <c r="H80" s="6" t="n">
        <v>-60343.26000000001</v>
      </c>
      <c r="I80" s="6" t="n">
        <v>114058.0579245912</v>
      </c>
      <c r="J80" s="6" t="n">
        <v>-45844.98999999999</v>
      </c>
    </row>
    <row r="81">
      <c r="A81" s="4" t="inlineStr">
        <is>
          <t>Votra, James</t>
        </is>
      </c>
      <c r="B81" s="4" t="inlineStr">
        <is>
          <t>A_65536</t>
        </is>
      </c>
      <c r="C81" s="4" t="inlineStr">
        <is>
          <t>A_65536 - Oth Purch Serv- Credentialling</t>
        </is>
      </c>
      <c r="D81" s="6" t="n">
        <v>39368.89</v>
      </c>
      <c r="E81" s="6" t="n">
        <v>16455.9995999988</v>
      </c>
      <c r="F81" s="6" t="n">
        <v>13198.08</v>
      </c>
      <c r="G81" s="6" t="n">
        <v>12019</v>
      </c>
      <c r="H81" s="6" t="n">
        <v>-27349.89</v>
      </c>
      <c r="I81" s="6" t="n">
        <v>-4436.999599998799</v>
      </c>
      <c r="J81" s="6" t="n">
        <v>-1179.08</v>
      </c>
    </row>
    <row r="82">
      <c r="A82" s="4" t="inlineStr">
        <is>
          <t>Votra, James</t>
        </is>
      </c>
      <c r="B82" s="4" t="inlineStr">
        <is>
          <t>A_65540</t>
        </is>
      </c>
      <c r="C82" s="4" t="inlineStr">
        <is>
          <t>A_65540 - Outside Messenger Service</t>
        </is>
      </c>
      <c r="D82" s="6" t="n">
        <v>438.34</v>
      </c>
      <c r="E82" s="6" t="n">
        <v>537</v>
      </c>
      <c r="F82" s="6" t="n">
        <v>748.4200000000001</v>
      </c>
      <c r="G82" s="6" t="n">
        <v>461.06</v>
      </c>
      <c r="H82" s="6" t="n">
        <v>22.72000000000003</v>
      </c>
      <c r="I82" s="6" t="n">
        <v>-75.94</v>
      </c>
      <c r="J82" s="6" t="n">
        <v>-287.3600000000001</v>
      </c>
    </row>
    <row r="83">
      <c r="A83" s="4" t="inlineStr">
        <is>
          <t>Votra, James</t>
        </is>
      </c>
      <c r="B83" s="4" t="inlineStr">
        <is>
          <t>A_65542</t>
        </is>
      </c>
      <c r="C83" s="4" t="inlineStr">
        <is>
          <t>A_65542 - Translation Services</t>
        </is>
      </c>
      <c r="D83" s="6" t="n">
        <v>63312.57</v>
      </c>
      <c r="E83" s="6" t="n">
        <v>53997.15</v>
      </c>
      <c r="F83" s="6" t="n">
        <v>55047.68</v>
      </c>
      <c r="G83" s="6" t="n">
        <v>300</v>
      </c>
      <c r="H83" s="6" t="n">
        <v>-63012.57</v>
      </c>
      <c r="I83" s="6" t="n">
        <v>-53697.15</v>
      </c>
      <c r="J83" s="6" t="n">
        <v>-54747.68</v>
      </c>
    </row>
    <row r="84">
      <c r="A84" s="4" t="inlineStr">
        <is>
          <t>Votra, James</t>
        </is>
      </c>
      <c r="B84" s="4" t="inlineStr">
        <is>
          <t>A_65550</t>
        </is>
      </c>
      <c r="C84" s="4" t="inlineStr">
        <is>
          <t>A_65550 - Purchased Services-Subcontract</t>
        </is>
      </c>
      <c r="D84" s="6" t="n">
        <v>463.16</v>
      </c>
      <c r="E84" s="6" t="n">
        <v>0</v>
      </c>
      <c r="F84" s="6" t="n">
        <v>0</v>
      </c>
      <c r="G84" s="6" t="n">
        <v>0</v>
      </c>
      <c r="H84" s="6" t="n">
        <v>-463.16</v>
      </c>
      <c r="I84" s="6" t="n">
        <v>0</v>
      </c>
      <c r="J84" s="6" t="n">
        <v>0</v>
      </c>
    </row>
    <row r="85">
      <c r="A85" s="4" t="inlineStr">
        <is>
          <t>Votra, James</t>
        </is>
      </c>
      <c r="B85" s="4" t="inlineStr">
        <is>
          <t>A_65565</t>
        </is>
      </c>
      <c r="C85" s="4" t="inlineStr">
        <is>
          <t>A_65565 - Purchases Services - Linen</t>
        </is>
      </c>
      <c r="D85" s="6" t="n">
        <v>236384.79</v>
      </c>
      <c r="E85" s="6" t="n">
        <v>220169.49</v>
      </c>
      <c r="F85" s="6" t="n">
        <v>203322.8</v>
      </c>
      <c r="G85" s="6" t="n">
        <v>250279.26</v>
      </c>
      <c r="H85" s="6" t="n">
        <v>13894.47</v>
      </c>
      <c r="I85" s="6" t="n">
        <v>30109.77000000002</v>
      </c>
      <c r="J85" s="6" t="n">
        <v>46956.46000000002</v>
      </c>
    </row>
    <row r="86">
      <c r="A86" s="4" t="inlineStr">
        <is>
          <t>Votra, James</t>
        </is>
      </c>
      <c r="B86" s="4" t="inlineStr">
        <is>
          <t>A_66000</t>
        </is>
      </c>
      <c r="C86" s="4" t="inlineStr">
        <is>
          <t>A_66000 - Dues</t>
        </is>
      </c>
      <c r="D86" s="6" t="n">
        <v>42279</v>
      </c>
      <c r="E86" s="6" t="n">
        <v>14490.9963001824</v>
      </c>
      <c r="F86" s="6" t="n">
        <v>64500.06</v>
      </c>
      <c r="G86" s="6" t="n">
        <v>41595</v>
      </c>
      <c r="H86" s="6" t="n">
        <v>-684</v>
      </c>
      <c r="I86" s="6" t="n">
        <v>27104.0036998176</v>
      </c>
      <c r="J86" s="6" t="n">
        <v>-22905.06</v>
      </c>
    </row>
    <row r="87">
      <c r="A87" s="4" t="inlineStr">
        <is>
          <t>Votra, James</t>
        </is>
      </c>
      <c r="B87" s="4" t="inlineStr">
        <is>
          <t>A_66010</t>
        </is>
      </c>
      <c r="C87" s="4" t="inlineStr">
        <is>
          <t>A_66010 - Periodicals-Publ-Subscriptions</t>
        </is>
      </c>
      <c r="D87" s="6" t="n">
        <v>2021.57</v>
      </c>
      <c r="E87" s="6" t="n">
        <v>1749.9996</v>
      </c>
      <c r="F87" s="6" t="n">
        <v>167.24</v>
      </c>
      <c r="G87" s="6" t="n">
        <v>167.24</v>
      </c>
      <c r="H87" s="6" t="n">
        <v>-1854.33</v>
      </c>
      <c r="I87" s="6" t="n">
        <v>-1582.7596</v>
      </c>
      <c r="J87" s="6" t="n">
        <v>0</v>
      </c>
    </row>
    <row r="88">
      <c r="A88" s="4" t="inlineStr">
        <is>
          <t>Votra, James</t>
        </is>
      </c>
      <c r="B88" s="4" t="inlineStr">
        <is>
          <t>A_66020</t>
        </is>
      </c>
      <c r="C88" s="4" t="inlineStr">
        <is>
          <t>A_66020 - Outside Training</t>
        </is>
      </c>
      <c r="D88" s="6" t="n">
        <v>25490.36</v>
      </c>
      <c r="E88" s="6" t="n">
        <v>40974.9792510024</v>
      </c>
      <c r="F88" s="6" t="n">
        <v>25232.7</v>
      </c>
      <c r="G88" s="6" t="n">
        <v>40741</v>
      </c>
      <c r="H88" s="6" t="n">
        <v>15250.64</v>
      </c>
      <c r="I88" s="6" t="n">
        <v>-233.9792510023981</v>
      </c>
      <c r="J88" s="6" t="n">
        <v>15508.3</v>
      </c>
    </row>
    <row r="89">
      <c r="A89" s="4" t="inlineStr">
        <is>
          <t>Votra, James</t>
        </is>
      </c>
      <c r="B89" s="4" t="inlineStr">
        <is>
          <t>A_66030</t>
        </is>
      </c>
      <c r="C89" s="4" t="inlineStr">
        <is>
          <t>A_66030 - Microfilming &amp; Archiving</t>
        </is>
      </c>
      <c r="D89" s="6" t="n">
        <v>12411.28</v>
      </c>
      <c r="E89" s="6" t="n">
        <v>10368</v>
      </c>
      <c r="F89" s="6" t="n">
        <v>3104.36</v>
      </c>
      <c r="G89" s="6" t="n">
        <v>5066.18</v>
      </c>
      <c r="H89" s="6" t="n">
        <v>-7345.099999999999</v>
      </c>
      <c r="I89" s="6" t="n">
        <v>-5301.82</v>
      </c>
      <c r="J89" s="6" t="n">
        <v>1961.820000000001</v>
      </c>
    </row>
    <row r="90">
      <c r="A90" s="4" t="inlineStr">
        <is>
          <t>Votra, James</t>
        </is>
      </c>
      <c r="B90" s="4" t="inlineStr">
        <is>
          <t>A_66040</t>
        </is>
      </c>
      <c r="C90" s="4" t="inlineStr">
        <is>
          <t>A_66040 - Postage</t>
        </is>
      </c>
      <c r="D90" s="6" t="n">
        <v>12.16</v>
      </c>
      <c r="E90" s="6" t="n">
        <v>0</v>
      </c>
      <c r="F90" s="6" t="n">
        <v>0</v>
      </c>
      <c r="G90" s="6" t="n">
        <v>0</v>
      </c>
      <c r="H90" s="6" t="n">
        <v>-12.16</v>
      </c>
      <c r="I90" s="6" t="n">
        <v>0</v>
      </c>
      <c r="J90" s="6" t="n">
        <v>0</v>
      </c>
    </row>
    <row r="91">
      <c r="A91" s="4" t="inlineStr">
        <is>
          <t>Votra, James</t>
        </is>
      </c>
      <c r="B91" s="4" t="inlineStr">
        <is>
          <t>A_66050</t>
        </is>
      </c>
      <c r="C91" s="4" t="inlineStr">
        <is>
          <t>A_66050 - Printing And Duplication</t>
        </is>
      </c>
      <c r="D91" s="6" t="n">
        <v>77169.34</v>
      </c>
      <c r="E91" s="6" t="n">
        <v>71767.9912129344</v>
      </c>
      <c r="F91" s="6" t="n">
        <v>111810.14</v>
      </c>
      <c r="G91" s="6" t="n">
        <v>50912.03</v>
      </c>
      <c r="H91" s="6" t="n">
        <v>-26257.31</v>
      </c>
      <c r="I91" s="6" t="n">
        <v>-20855.9612129344</v>
      </c>
      <c r="J91" s="6" t="n">
        <v>-60898.11</v>
      </c>
    </row>
    <row r="92">
      <c r="A92" s="4" t="inlineStr">
        <is>
          <t>Votra, James</t>
        </is>
      </c>
      <c r="B92" s="4" t="inlineStr">
        <is>
          <t>A_66060</t>
        </is>
      </c>
      <c r="C92" s="4" t="inlineStr">
        <is>
          <t>A_66060 - Other Expenses</t>
        </is>
      </c>
      <c r="D92" s="6" t="n">
        <v>65194.39</v>
      </c>
      <c r="E92" s="6" t="n">
        <v>7803.9996</v>
      </c>
      <c r="F92" s="6" t="n">
        <v>2581.2</v>
      </c>
      <c r="G92" s="6" t="n">
        <v>3202.38</v>
      </c>
      <c r="H92" s="6" t="n">
        <v>-61992.01</v>
      </c>
      <c r="I92" s="6" t="n">
        <v>-4601.6196</v>
      </c>
      <c r="J92" s="6" t="n">
        <v>621.1800000000003</v>
      </c>
    </row>
    <row r="93">
      <c r="A93" s="4" t="inlineStr">
        <is>
          <t>Votra, James</t>
        </is>
      </c>
      <c r="B93" s="4" t="inlineStr">
        <is>
          <t>A_66070</t>
        </is>
      </c>
      <c r="C93" s="4" t="inlineStr">
        <is>
          <t>A_66070 - Advertising</t>
        </is>
      </c>
      <c r="D93" s="6" t="n">
        <v>87612.69</v>
      </c>
      <c r="E93" s="6" t="n">
        <v>73920</v>
      </c>
      <c r="F93" s="6" t="n">
        <v>76165.34</v>
      </c>
      <c r="G93" s="6" t="n">
        <v>75211.2</v>
      </c>
      <c r="H93" s="6" t="n">
        <v>-12401.49000000001</v>
      </c>
      <c r="I93" s="6" t="n">
        <v>1291.199999999997</v>
      </c>
      <c r="J93" s="6" t="n">
        <v>-954.1399999999994</v>
      </c>
    </row>
    <row r="94">
      <c r="A94" s="4" t="inlineStr">
        <is>
          <t>Votra, James</t>
        </is>
      </c>
      <c r="B94" s="4" t="inlineStr">
        <is>
          <t>A_66071</t>
        </is>
      </c>
      <c r="C94" s="4" t="inlineStr">
        <is>
          <t>A_66071 - Ad Placement Services</t>
        </is>
      </c>
      <c r="D94" s="6" t="n">
        <v>6000</v>
      </c>
      <c r="E94" s="6" t="n">
        <v>0</v>
      </c>
      <c r="F94" s="6" t="n">
        <v>0</v>
      </c>
      <c r="G94" s="6" t="n">
        <v>0</v>
      </c>
      <c r="H94" s="6" t="n">
        <v>-6000</v>
      </c>
      <c r="I94" s="6" t="n">
        <v>0</v>
      </c>
      <c r="J94" s="6" t="n">
        <v>0</v>
      </c>
    </row>
    <row r="95">
      <c r="A95" s="4" t="inlineStr">
        <is>
          <t>Votra, James</t>
        </is>
      </c>
      <c r="B95" s="4" t="inlineStr">
        <is>
          <t>A_66075</t>
        </is>
      </c>
      <c r="C95" s="4" t="inlineStr">
        <is>
          <t>A_66075 - Promotional items</t>
        </is>
      </c>
      <c r="D95" s="6" t="n">
        <v>10731.7</v>
      </c>
      <c r="E95" s="6" t="n">
        <v>17049.9999999996</v>
      </c>
      <c r="F95" s="6" t="n">
        <v>11913.62</v>
      </c>
      <c r="G95" s="6" t="n">
        <v>26500</v>
      </c>
      <c r="H95" s="6" t="n">
        <v>15768.3</v>
      </c>
      <c r="I95" s="6" t="n">
        <v>9450.0000000004</v>
      </c>
      <c r="J95" s="6" t="n">
        <v>14586.38</v>
      </c>
    </row>
    <row r="96">
      <c r="A96" s="4" t="inlineStr">
        <is>
          <t>Votra, James</t>
        </is>
      </c>
      <c r="B96" s="4" t="inlineStr">
        <is>
          <t>A_66076</t>
        </is>
      </c>
      <c r="C96" s="4" t="inlineStr">
        <is>
          <t>A_66076 - Corporate Sponsorships</t>
        </is>
      </c>
      <c r="D96" s="6" t="n">
        <v>5500</v>
      </c>
      <c r="E96" s="6" t="n">
        <v>2000.0000000004</v>
      </c>
      <c r="F96" s="6" t="n">
        <v>4000</v>
      </c>
      <c r="G96" s="6" t="n">
        <v>2000</v>
      </c>
      <c r="H96" s="6" t="n">
        <v>-3500</v>
      </c>
      <c r="I96" s="6" t="n">
        <v>-3.999502951046452e-10</v>
      </c>
      <c r="J96" s="6" t="n">
        <v>-2000</v>
      </c>
    </row>
    <row r="97">
      <c r="A97" s="4" t="inlineStr">
        <is>
          <t>Votra, James</t>
        </is>
      </c>
      <c r="B97" s="4" t="inlineStr">
        <is>
          <t>A_66090</t>
        </is>
      </c>
      <c r="C97" s="4" t="inlineStr">
        <is>
          <t>A_66090 - House Functions &amp; Corp Events</t>
        </is>
      </c>
      <c r="D97" s="6" t="n">
        <v>83371.43000000001</v>
      </c>
      <c r="E97" s="6" t="n">
        <v>87299.9996000004</v>
      </c>
      <c r="F97" s="6" t="n">
        <v>57956.7</v>
      </c>
      <c r="G97" s="6" t="n">
        <v>81026.9000000004</v>
      </c>
      <c r="H97" s="6" t="n">
        <v>-2344.529999999606</v>
      </c>
      <c r="I97" s="6" t="n">
        <v>-6273.099600000001</v>
      </c>
      <c r="J97" s="6" t="n">
        <v>23070.2000000004</v>
      </c>
    </row>
    <row r="98">
      <c r="A98" s="4" t="inlineStr">
        <is>
          <t>Votra, James</t>
        </is>
      </c>
      <c r="B98" s="4" t="inlineStr">
        <is>
          <t>A_66095</t>
        </is>
      </c>
      <c r="C98" s="4" t="inlineStr">
        <is>
          <t>A_66095 - Meals &amp; Entertainment</t>
        </is>
      </c>
      <c r="D98" s="6" t="n">
        <v>23661.36</v>
      </c>
      <c r="E98" s="6" t="n">
        <v>10736.0004</v>
      </c>
      <c r="F98" s="6" t="n">
        <v>4611.06</v>
      </c>
      <c r="G98" s="6" t="n">
        <v>10018.63</v>
      </c>
      <c r="H98" s="6" t="n">
        <v>-13642.73</v>
      </c>
      <c r="I98" s="6" t="n">
        <v>-717.3703999999998</v>
      </c>
      <c r="J98" s="6" t="n">
        <v>5407.570000000001</v>
      </c>
    </row>
    <row r="99">
      <c r="A99" s="4" t="inlineStr">
        <is>
          <t>Votra, James</t>
        </is>
      </c>
      <c r="B99" s="4" t="inlineStr">
        <is>
          <t>A_66150</t>
        </is>
      </c>
      <c r="C99" s="4" t="inlineStr">
        <is>
          <t>A_66150 - Travel</t>
        </is>
      </c>
      <c r="D99" s="6" t="n">
        <v>24618.08</v>
      </c>
      <c r="E99" s="6" t="n">
        <v>19966.9854811752</v>
      </c>
      <c r="F99" s="6" t="n">
        <v>44402.52</v>
      </c>
      <c r="G99" s="6" t="n">
        <v>25226.65</v>
      </c>
      <c r="H99" s="6" t="n">
        <v>608.5700000000033</v>
      </c>
      <c r="I99" s="6" t="n">
        <v>5259.6645188248</v>
      </c>
      <c r="J99" s="6" t="n">
        <v>-19175.87</v>
      </c>
    </row>
    <row r="100">
      <c r="A100" s="4" t="inlineStr">
        <is>
          <t>Votra, James</t>
        </is>
      </c>
      <c r="B100" s="4" t="inlineStr">
        <is>
          <t>A_66152</t>
        </is>
      </c>
      <c r="C100" s="4" t="inlineStr">
        <is>
          <t>A_66152 - Patient Transportation</t>
        </is>
      </c>
      <c r="D100" s="6" t="n">
        <v>674.9</v>
      </c>
      <c r="E100" s="6" t="n">
        <v>530.0000000004</v>
      </c>
      <c r="F100" s="6" t="n">
        <v>0</v>
      </c>
      <c r="G100" s="6" t="n">
        <v>0</v>
      </c>
      <c r="H100" s="6" t="n">
        <v>-674.9</v>
      </c>
      <c r="I100" s="6" t="n">
        <v>-530.0000000004</v>
      </c>
      <c r="J100" s="6" t="n">
        <v>0</v>
      </c>
    </row>
    <row r="101">
      <c r="A101" s="4" t="inlineStr">
        <is>
          <t>Votra, James</t>
        </is>
      </c>
      <c r="B101" s="4" t="inlineStr">
        <is>
          <t>A_66500</t>
        </is>
      </c>
      <c r="C101" s="4" t="inlineStr">
        <is>
          <t>A_66500 - Property Rentals</t>
        </is>
      </c>
      <c r="D101" s="6" t="n">
        <v>710293.8300000001</v>
      </c>
      <c r="E101" s="6" t="n">
        <v>718524</v>
      </c>
      <c r="F101" s="6" t="n">
        <v>719631.0199999999</v>
      </c>
      <c r="G101" s="6" t="n">
        <v>753193.39</v>
      </c>
      <c r="H101" s="6" t="n">
        <v>42899.55999999994</v>
      </c>
      <c r="I101" s="6" t="n">
        <v>34669.39000000001</v>
      </c>
      <c r="J101" s="6" t="n">
        <v>33562.37000000011</v>
      </c>
    </row>
    <row r="102">
      <c r="A102" s="4" t="inlineStr">
        <is>
          <t>Votra, James</t>
        </is>
      </c>
      <c r="B102" s="4" t="inlineStr">
        <is>
          <t>A_66510</t>
        </is>
      </c>
      <c r="C102" s="4" t="inlineStr">
        <is>
          <t>A_66510 - Lease-Rentals - Other</t>
        </is>
      </c>
      <c r="D102" s="6" t="n">
        <v>8692.619999999999</v>
      </c>
      <c r="E102" s="6" t="n">
        <v>3603</v>
      </c>
      <c r="F102" s="6" t="n">
        <v>10123.28</v>
      </c>
      <c r="G102" s="6" t="n">
        <v>10980.84</v>
      </c>
      <c r="H102" s="6" t="n">
        <v>2288.220000000001</v>
      </c>
      <c r="I102" s="6" t="n">
        <v>7377.84</v>
      </c>
      <c r="J102" s="6" t="n">
        <v>857.5599999999995</v>
      </c>
    </row>
    <row r="103">
      <c r="A103" s="4" t="inlineStr">
        <is>
          <t>Votra, James</t>
        </is>
      </c>
      <c r="B103" s="4" t="inlineStr">
        <is>
          <t>A_66515</t>
        </is>
      </c>
      <c r="C103" s="4" t="inlineStr">
        <is>
          <t>A_66515 - Lease Rentals - Copiers</t>
        </is>
      </c>
      <c r="D103" s="6" t="n">
        <v>45396.96</v>
      </c>
      <c r="E103" s="6" t="n">
        <v>43632.5803999992</v>
      </c>
      <c r="F103" s="6" t="n">
        <v>34945.36</v>
      </c>
      <c r="G103" s="6" t="n">
        <v>36223.0800000004</v>
      </c>
      <c r="H103" s="6" t="n">
        <v>-9173.879999999597</v>
      </c>
      <c r="I103" s="6" t="n">
        <v>-7409.500399998797</v>
      </c>
      <c r="J103" s="6" t="n">
        <v>1277.720000000401</v>
      </c>
    </row>
    <row r="104">
      <c r="A104" s="4" t="inlineStr">
        <is>
          <t>Votra, James</t>
        </is>
      </c>
      <c r="B104" s="4" t="inlineStr">
        <is>
          <t>A_66524</t>
        </is>
      </c>
      <c r="C104" s="4" t="inlineStr">
        <is>
          <t>A_66524 - Software Licensing Fees</t>
        </is>
      </c>
      <c r="D104" s="6" t="n">
        <v>7287.79</v>
      </c>
      <c r="E104" s="6" t="n">
        <v>3335.0000000004</v>
      </c>
      <c r="F104" s="6" t="n">
        <v>40363.8</v>
      </c>
      <c r="G104" s="6" t="n">
        <v>35001.48</v>
      </c>
      <c r="H104" s="6" t="n">
        <v>27713.69</v>
      </c>
      <c r="I104" s="6" t="n">
        <v>31666.4799999996</v>
      </c>
      <c r="J104" s="6" t="n">
        <v>-5362.32</v>
      </c>
    </row>
    <row r="105">
      <c r="A105" s="4" t="inlineStr">
        <is>
          <t>Votra, James</t>
        </is>
      </c>
      <c r="B105" s="4" t="inlineStr">
        <is>
          <t>A_66528</t>
        </is>
      </c>
      <c r="C105" s="4" t="inlineStr">
        <is>
          <t>A_66528 - Cloud Software Licensing Fees</t>
        </is>
      </c>
      <c r="D105" s="6" t="n">
        <v>184204.3</v>
      </c>
      <c r="E105" s="6" t="n">
        <v>183330</v>
      </c>
      <c r="F105" s="6" t="n">
        <v>179872.16</v>
      </c>
      <c r="G105" s="6" t="n">
        <v>181369.8</v>
      </c>
      <c r="H105" s="6" t="n">
        <v>-2834.5</v>
      </c>
      <c r="I105" s="6" t="n">
        <v>-1960.200000000012</v>
      </c>
      <c r="J105" s="6" t="n">
        <v>1497.639999999985</v>
      </c>
    </row>
    <row r="106">
      <c r="A106" s="7" t="inlineStr">
        <is>
          <t>Total</t>
        </is>
      </c>
      <c r="B106" s="7" t="n"/>
      <c r="C106" s="7" t="n"/>
      <c r="D106" s="8">
        <f>SUM(D6:D105)</f>
        <v/>
      </c>
      <c r="E106" s="8">
        <f>SUM(E6:E105)</f>
        <v/>
      </c>
      <c r="F106" s="8">
        <f>SUM(F6:F105)</f>
        <v/>
      </c>
      <c r="G106" s="8">
        <f>SUM(G6:G105)</f>
        <v/>
      </c>
      <c r="H106" s="8">
        <f>SUM(H6:H105)</f>
        <v/>
      </c>
      <c r="I106" s="8">
        <f>SUM(I6:I105)</f>
        <v/>
      </c>
      <c r="J106" s="8">
        <f>SUM(J6:J105)</f>
        <v/>
      </c>
    </row>
  </sheetData>
  <autoFilter ref="A5:J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2026-08-26T21:50:13Z</dcterms:created>
  <dcterms:modified xsi:type="dcterms:W3CDTF">2026-08-26T21:50:13Z</dcterms:modified>
</cp:coreProperties>
</file>