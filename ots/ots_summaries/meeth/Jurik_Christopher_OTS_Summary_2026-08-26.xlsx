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Summary'!$A$5:$K$10</definedName>
    <definedName name="_xlnm._FilterDatabase" localSheetId="1" hidden="1">'Acct Summary'!$A$5:$J$28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7" customWidth="1" min="3" max="3"/>
    <col width="41" customWidth="1" min="4" max="4"/>
    <col width="22" customWidth="1" min="5" max="5"/>
    <col width="20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MEETH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Jurik, Christopher</t>
        </is>
      </c>
      <c r="B6" s="4" t="inlineStr">
        <is>
          <t>DeSha, Lauren</t>
        </is>
      </c>
      <c r="C6" s="5" t="n">
        <v>29600180</v>
      </c>
      <c r="D6" s="4" t="inlineStr">
        <is>
          <t>MEETH_29600180 - Health Info Mgt</t>
        </is>
      </c>
      <c r="E6" s="6" t="n">
        <v>4438.35</v>
      </c>
      <c r="F6" s="6" t="n">
        <v>4457.925</v>
      </c>
      <c r="G6" s="6" t="n">
        <v>2367.34</v>
      </c>
      <c r="H6" s="6" t="n">
        <v>0</v>
      </c>
      <c r="I6" s="6" t="n">
        <v>-4438.35</v>
      </c>
      <c r="J6" s="6" t="n">
        <v>-4457.925</v>
      </c>
      <c r="K6" s="6" t="n">
        <v>-2367.34</v>
      </c>
    </row>
    <row r="7">
      <c r="A7" s="4" t="inlineStr">
        <is>
          <t>Jurik, Christopher</t>
        </is>
      </c>
      <c r="B7" s="4" t="inlineStr">
        <is>
          <t>Desantis, Carl</t>
        </is>
      </c>
      <c r="C7" s="5" t="n">
        <v>29601055</v>
      </c>
      <c r="D7" s="4" t="inlineStr">
        <is>
          <t>MEETH_29601055 - Access Services</t>
        </is>
      </c>
      <c r="E7" s="6" t="n">
        <v>47946.48</v>
      </c>
      <c r="F7" s="6" t="n">
        <v>46991.1541975306</v>
      </c>
      <c r="G7" s="6" t="n">
        <v>29468.0405743427</v>
      </c>
      <c r="H7" s="6" t="n">
        <v>31362.49</v>
      </c>
      <c r="I7" s="6" t="n">
        <v>-16583.99</v>
      </c>
      <c r="J7" s="6" t="n">
        <v>-15628.6641975306</v>
      </c>
      <c r="K7" s="6" t="n">
        <v>1894.449425657298</v>
      </c>
    </row>
    <row r="8">
      <c r="A8" s="4" t="inlineStr">
        <is>
          <t>Jurik, Christopher</t>
        </is>
      </c>
      <c r="B8" s="4" t="inlineStr">
        <is>
          <t>Holuka, Gregory</t>
        </is>
      </c>
      <c r="C8" s="5" t="n">
        <v>29600030</v>
      </c>
      <c r="D8" s="4" t="inlineStr">
        <is>
          <t>MEETH_29600030 - Finance Site</t>
        </is>
      </c>
      <c r="E8" s="6" t="n">
        <v>2570.86</v>
      </c>
      <c r="F8" s="6" t="n">
        <v>2582.0000000004</v>
      </c>
      <c r="G8" s="6" t="n">
        <v>2917.24</v>
      </c>
      <c r="H8" s="6" t="n">
        <v>0</v>
      </c>
      <c r="I8" s="6" t="n">
        <v>-2570.86</v>
      </c>
      <c r="J8" s="6" t="n">
        <v>-2582.0000000004</v>
      </c>
      <c r="K8" s="6" t="n">
        <v>-2917.24</v>
      </c>
    </row>
    <row r="9">
      <c r="A9" s="4" t="inlineStr">
        <is>
          <t>Jurik, Christopher</t>
        </is>
      </c>
      <c r="B9" s="4" t="inlineStr">
        <is>
          <t>Holuka, Gregory</t>
        </is>
      </c>
      <c r="C9" s="5" t="n">
        <v>29690040</v>
      </c>
      <c r="D9" s="4" t="inlineStr">
        <is>
          <t>MEETH_29690040 - Storeroom</t>
        </is>
      </c>
      <c r="E9" s="6" t="n">
        <v>3422.15</v>
      </c>
      <c r="F9" s="6" t="n">
        <v>0</v>
      </c>
      <c r="G9" s="6" t="n">
        <v>0</v>
      </c>
      <c r="H9" s="6" t="n">
        <v>0</v>
      </c>
      <c r="I9" s="6" t="n">
        <v>-3422.15</v>
      </c>
      <c r="J9" s="6" t="n">
        <v>0</v>
      </c>
      <c r="K9" s="6" t="n">
        <v>0</v>
      </c>
    </row>
    <row r="10">
      <c r="A10" s="4" t="inlineStr">
        <is>
          <t>Jurik, Christopher</t>
        </is>
      </c>
      <c r="B10" s="4" t="inlineStr">
        <is>
          <t>Maldonado, Jannell</t>
        </is>
      </c>
      <c r="C10" s="5" t="n">
        <v>29600160</v>
      </c>
      <c r="D10" s="4" t="inlineStr">
        <is>
          <t>MEETH_29600160 - Materials Operations</t>
        </is>
      </c>
      <c r="E10" s="6" t="n">
        <v>79881.90000000001</v>
      </c>
      <c r="F10" s="6" t="n">
        <v>68782.134273855</v>
      </c>
      <c r="G10" s="6" t="n">
        <v>20928.8884002187</v>
      </c>
      <c r="H10" s="6" t="n">
        <v>19768.3515493899</v>
      </c>
      <c r="I10" s="6" t="n">
        <v>-60113.54845061011</v>
      </c>
      <c r="J10" s="6" t="n">
        <v>-49013.7827244651</v>
      </c>
      <c r="K10" s="6" t="n">
        <v>-1160.536850828801</v>
      </c>
    </row>
    <row r="11">
      <c r="A11" s="7" t="inlineStr">
        <is>
          <t>Total</t>
        </is>
      </c>
      <c r="B11" s="7" t="n"/>
      <c r="C11" s="7">
        <f>SUM(C6:C10)</f>
        <v/>
      </c>
      <c r="D11" s="7" t="n"/>
      <c r="E11" s="8">
        <f>SUM(E6:E10)</f>
        <v/>
      </c>
      <c r="F11" s="8">
        <f>SUM(F6:F10)</f>
        <v/>
      </c>
      <c r="G11" s="8">
        <f>SUM(G6:G10)</f>
        <v/>
      </c>
      <c r="H11" s="8">
        <f>SUM(H6:H10)</f>
        <v/>
      </c>
      <c r="I11" s="8">
        <f>SUM(I6:I10)</f>
        <v/>
      </c>
      <c r="J11" s="8">
        <f>SUM(J6:J10)</f>
        <v/>
      </c>
      <c r="K11" s="8">
        <f>SUM(K6:K10)</f>
        <v/>
      </c>
    </row>
  </sheetData>
  <autoFilter ref="A5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0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MEETH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Jurik, Christopher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0</v>
      </c>
      <c r="E6" s="6" t="n">
        <v>-560.0000000004</v>
      </c>
      <c r="F6" s="6" t="n">
        <v>0</v>
      </c>
      <c r="G6" s="6" t="n">
        <v>0</v>
      </c>
      <c r="H6" s="6" t="n">
        <v>0</v>
      </c>
      <c r="I6" s="6" t="n">
        <v>560.0000000004</v>
      </c>
      <c r="J6" s="6" t="n">
        <v>0</v>
      </c>
    </row>
    <row r="7">
      <c r="A7" s="4" t="inlineStr">
        <is>
          <t>Jurik, Christopher</t>
        </is>
      </c>
      <c r="B7" s="4" t="inlineStr">
        <is>
          <t>A_63010</t>
        </is>
      </c>
      <c r="C7" s="4" t="inlineStr">
        <is>
          <t>A_63010 - Supplies - Implnts - Oth Ortho</t>
        </is>
      </c>
      <c r="D7" s="6" t="n">
        <v>5882.29</v>
      </c>
      <c r="E7" s="6" t="n">
        <v>8596.5692738538</v>
      </c>
      <c r="F7" s="6" t="n">
        <v>0</v>
      </c>
      <c r="G7" s="6" t="n">
        <v>0</v>
      </c>
      <c r="H7" s="6" t="n">
        <v>-5882.29</v>
      </c>
      <c r="I7" s="6" t="n">
        <v>-8596.5692738538</v>
      </c>
      <c r="J7" s="6" t="n">
        <v>0</v>
      </c>
    </row>
    <row r="8">
      <c r="A8" s="4" t="inlineStr">
        <is>
          <t>Jurik, Christopher</t>
        </is>
      </c>
      <c r="B8" s="4" t="inlineStr">
        <is>
          <t>A_63020</t>
        </is>
      </c>
      <c r="C8" s="4" t="inlineStr">
        <is>
          <t>A_63020 - Supplies Wound Closure</t>
        </is>
      </c>
      <c r="D8" s="6" t="n">
        <v>261.44</v>
      </c>
      <c r="E8" s="6" t="n">
        <v>0</v>
      </c>
      <c r="F8" s="6" t="n">
        <v>0</v>
      </c>
      <c r="G8" s="6" t="n">
        <v>0</v>
      </c>
      <c r="H8" s="6" t="n">
        <v>-261.44</v>
      </c>
      <c r="I8" s="6" t="n">
        <v>0</v>
      </c>
      <c r="J8" s="6" t="n">
        <v>0</v>
      </c>
    </row>
    <row r="9">
      <c r="A9" s="4" t="inlineStr">
        <is>
          <t>Jurik, Christopher</t>
        </is>
      </c>
      <c r="B9" s="4" t="inlineStr">
        <is>
          <t>A_63030</t>
        </is>
      </c>
      <c r="C9" s="4" t="inlineStr">
        <is>
          <t>A_63030 - Supplies - Medical</t>
        </is>
      </c>
      <c r="D9" s="6" t="n">
        <v>5302.58</v>
      </c>
      <c r="E9" s="6" t="n">
        <v>6605.1841975307</v>
      </c>
      <c r="F9" s="6" t="n">
        <v>3388.3556043956</v>
      </c>
      <c r="G9" s="6" t="n">
        <v>3468.3995604396</v>
      </c>
      <c r="H9" s="6" t="n">
        <v>-1834.1804395604</v>
      </c>
      <c r="I9" s="6" t="n">
        <v>-3136.7846370911</v>
      </c>
      <c r="J9" s="6" t="n">
        <v>80.04395604399997</v>
      </c>
    </row>
    <row r="10">
      <c r="A10" s="4" t="inlineStr">
        <is>
          <t>Jurik, Christopher</t>
        </is>
      </c>
      <c r="B10" s="4" t="inlineStr">
        <is>
          <t>A_63067</t>
        </is>
      </c>
      <c r="C10" s="4" t="inlineStr">
        <is>
          <t>A_63067 - Supplies - Implants - Urologic</t>
        </is>
      </c>
      <c r="D10" s="6" t="n">
        <v>542</v>
      </c>
      <c r="E10" s="6" t="n">
        <v>0</v>
      </c>
      <c r="F10" s="6" t="n">
        <v>0</v>
      </c>
      <c r="G10" s="6" t="n">
        <v>0</v>
      </c>
      <c r="H10" s="6" t="n">
        <v>-542</v>
      </c>
      <c r="I10" s="6" t="n">
        <v>0</v>
      </c>
      <c r="J10" s="6" t="n">
        <v>0</v>
      </c>
    </row>
    <row r="11">
      <c r="A11" s="4" t="inlineStr">
        <is>
          <t>Jurik, Christopher</t>
        </is>
      </c>
      <c r="B11" s="4" t="inlineStr">
        <is>
          <t>A_63068</t>
        </is>
      </c>
      <c r="C11" s="4" t="inlineStr">
        <is>
          <t>A_63068 - Supplies - Imp - Corneal Tissu</t>
        </is>
      </c>
      <c r="D11" s="6" t="n">
        <v>536</v>
      </c>
      <c r="E11" s="6" t="n">
        <v>0</v>
      </c>
      <c r="F11" s="6" t="n">
        <v>0</v>
      </c>
      <c r="G11" s="6" t="n">
        <v>0</v>
      </c>
      <c r="H11" s="6" t="n">
        <v>-536</v>
      </c>
      <c r="I11" s="6" t="n">
        <v>0</v>
      </c>
      <c r="J11" s="6" t="n">
        <v>0</v>
      </c>
    </row>
    <row r="12">
      <c r="A12" s="4" t="inlineStr">
        <is>
          <t>Jurik, Christopher</t>
        </is>
      </c>
      <c r="B12" s="4" t="inlineStr">
        <is>
          <t>A_63080</t>
        </is>
      </c>
      <c r="C12" s="4" t="inlineStr">
        <is>
          <t>A_63080 - Supplies - Surgical</t>
        </is>
      </c>
      <c r="D12" s="6" t="n">
        <v>4871.8</v>
      </c>
      <c r="E12" s="6" t="n">
        <v>0</v>
      </c>
      <c r="F12" s="6" t="n">
        <v>0</v>
      </c>
      <c r="G12" s="6" t="n">
        <v>0</v>
      </c>
      <c r="H12" s="6" t="n">
        <v>-4871.8</v>
      </c>
      <c r="I12" s="6" t="n">
        <v>0</v>
      </c>
      <c r="J12" s="6" t="n">
        <v>0</v>
      </c>
    </row>
    <row r="13">
      <c r="A13" s="4" t="inlineStr">
        <is>
          <t>Jurik, Christopher</t>
        </is>
      </c>
      <c r="B13" s="4" t="inlineStr">
        <is>
          <t>A_64000</t>
        </is>
      </c>
      <c r="C13" s="4" t="inlineStr">
        <is>
          <t>A_64000 - Supplies - Hotel Services</t>
        </is>
      </c>
      <c r="D13" s="6" t="n">
        <v>26456.64</v>
      </c>
      <c r="E13" s="6" t="n">
        <v>26020.9800000003</v>
      </c>
      <c r="F13" s="6" t="n">
        <v>2535.2980662983</v>
      </c>
      <c r="G13" s="6" t="n">
        <v>3031</v>
      </c>
      <c r="H13" s="6" t="n">
        <v>-23425.64</v>
      </c>
      <c r="I13" s="6" t="n">
        <v>-22989.9800000003</v>
      </c>
      <c r="J13" s="6" t="n">
        <v>495.7019337017</v>
      </c>
    </row>
    <row r="14">
      <c r="A14" s="4" t="inlineStr">
        <is>
          <t>Jurik, Christopher</t>
        </is>
      </c>
      <c r="B14" s="4" t="inlineStr">
        <is>
          <t>A_64020</t>
        </is>
      </c>
      <c r="C14" s="4" t="inlineStr">
        <is>
          <t>A_64020 - Supplies - Office</t>
        </is>
      </c>
      <c r="D14" s="6" t="n">
        <v>28541.19</v>
      </c>
      <c r="E14" s="6" t="n">
        <v>30741.5700000001</v>
      </c>
      <c r="F14" s="6" t="n">
        <v>8302.0964088398</v>
      </c>
      <c r="G14" s="6" t="n">
        <v>8259</v>
      </c>
      <c r="H14" s="6" t="n">
        <v>-20282.19</v>
      </c>
      <c r="I14" s="6" t="n">
        <v>-22482.5700000001</v>
      </c>
      <c r="J14" s="6" t="n">
        <v>-43.09640883979955</v>
      </c>
    </row>
    <row r="15">
      <c r="A15" s="4" t="inlineStr">
        <is>
          <t>Jurik, Christopher</t>
        </is>
      </c>
      <c r="B15" s="4" t="inlineStr">
        <is>
          <t>A_64030</t>
        </is>
      </c>
      <c r="C15" s="4" t="inlineStr">
        <is>
          <t>A_64030 - Supplies - Other Non Medical</t>
        </is>
      </c>
      <c r="D15" s="6" t="n">
        <v>375.75</v>
      </c>
      <c r="E15" s="6" t="n">
        <v>0</v>
      </c>
      <c r="F15" s="6" t="n">
        <v>1651.8367403315</v>
      </c>
      <c r="G15" s="6" t="n">
        <v>1558</v>
      </c>
      <c r="H15" s="6" t="n">
        <v>1182.25</v>
      </c>
      <c r="I15" s="6" t="n">
        <v>1558</v>
      </c>
      <c r="J15" s="6" t="n">
        <v>-93.83674033149987</v>
      </c>
    </row>
    <row r="16">
      <c r="A16" s="4" t="inlineStr">
        <is>
          <t>Jurik, Christopher</t>
        </is>
      </c>
      <c r="B16" s="4" t="inlineStr">
        <is>
          <t>A_65050</t>
        </is>
      </c>
      <c r="C16" s="4" t="inlineStr">
        <is>
          <t>A_65050 - Telephone</t>
        </is>
      </c>
      <c r="D16" s="6" t="n">
        <v>2579.87</v>
      </c>
      <c r="E16" s="6" t="n">
        <v>2560.9999999999</v>
      </c>
      <c r="F16" s="6" t="n">
        <v>2161.0621546962</v>
      </c>
      <c r="G16" s="6" t="n">
        <v>2232.1919889503</v>
      </c>
      <c r="H16" s="6" t="n">
        <v>-347.6780110497002</v>
      </c>
      <c r="I16" s="6" t="n">
        <v>-328.8080110496003</v>
      </c>
      <c r="J16" s="6" t="n">
        <v>71.12983425409993</v>
      </c>
    </row>
    <row r="17">
      <c r="A17" s="4" t="inlineStr">
        <is>
          <t>Jurik, Christopher</t>
        </is>
      </c>
      <c r="B17" s="4" t="inlineStr">
        <is>
          <t>A_65510</t>
        </is>
      </c>
      <c r="C17" s="4" t="inlineStr">
        <is>
          <t>A_65510 - Freight</t>
        </is>
      </c>
      <c r="D17" s="6" t="n">
        <v>211.89</v>
      </c>
      <c r="E17" s="6" t="n">
        <v>0</v>
      </c>
      <c r="F17" s="6" t="n">
        <v>34.56</v>
      </c>
      <c r="G17" s="6" t="n">
        <v>34.56</v>
      </c>
      <c r="H17" s="6" t="n">
        <v>-177.33</v>
      </c>
      <c r="I17" s="6" t="n">
        <v>34.56</v>
      </c>
      <c r="J17" s="6" t="n">
        <v>0</v>
      </c>
    </row>
    <row r="18">
      <c r="A18" s="4" t="inlineStr">
        <is>
          <t>Jurik, Christopher</t>
        </is>
      </c>
      <c r="B18" s="4" t="inlineStr">
        <is>
          <t>A_65517</t>
        </is>
      </c>
      <c r="C18" s="4" t="inlineStr">
        <is>
          <t>A_65517 - Software Maint and Support</t>
        </is>
      </c>
      <c r="D18" s="6" t="n">
        <v>1257.05</v>
      </c>
      <c r="E18" s="6" t="n">
        <v>1257</v>
      </c>
      <c r="F18" s="6" t="n">
        <v>2589.52</v>
      </c>
      <c r="G18" s="6" t="n">
        <v>1294.76</v>
      </c>
      <c r="H18" s="6" t="n">
        <v>37.71000000000004</v>
      </c>
      <c r="I18" s="6" t="n">
        <v>37.75999999999999</v>
      </c>
      <c r="J18" s="6" t="n">
        <v>-1294.76</v>
      </c>
    </row>
    <row r="19">
      <c r="A19" s="4" t="inlineStr">
        <is>
          <t>Jurik, Christopher</t>
        </is>
      </c>
      <c r="B19" s="4" t="inlineStr">
        <is>
          <t>A_65535</t>
        </is>
      </c>
      <c r="C19" s="4" t="inlineStr">
        <is>
          <t>A_65535 - Other Purchased Services</t>
        </is>
      </c>
      <c r="D19" s="6" t="n">
        <v>4503.15</v>
      </c>
      <c r="E19" s="6" t="n">
        <v>0</v>
      </c>
      <c r="F19" s="6" t="n">
        <v>9225.5</v>
      </c>
      <c r="G19" s="6" t="n">
        <v>4612.75</v>
      </c>
      <c r="H19" s="6" t="n">
        <v>109.6000000000004</v>
      </c>
      <c r="I19" s="6" t="n">
        <v>4612.75</v>
      </c>
      <c r="J19" s="6" t="n">
        <v>-4612.75</v>
      </c>
    </row>
    <row r="20">
      <c r="A20" s="4" t="inlineStr">
        <is>
          <t>Jurik, Christopher</t>
        </is>
      </c>
      <c r="B20" s="4" t="inlineStr">
        <is>
          <t>A_65540</t>
        </is>
      </c>
      <c r="C20" s="4" t="inlineStr">
        <is>
          <t>A_65540 - Outside Messenger Service</t>
        </is>
      </c>
      <c r="D20" s="6" t="n">
        <v>2083.21</v>
      </c>
      <c r="E20" s="6" t="n">
        <v>1707</v>
      </c>
      <c r="F20" s="6" t="n">
        <v>2652.4</v>
      </c>
      <c r="G20" s="6" t="n">
        <v>2652</v>
      </c>
      <c r="H20" s="6" t="n">
        <v>568.79</v>
      </c>
      <c r="I20" s="6" t="n">
        <v>945</v>
      </c>
      <c r="J20" s="6" t="n">
        <v>-0.4000000000000909</v>
      </c>
    </row>
    <row r="21">
      <c r="A21" s="4" t="inlineStr">
        <is>
          <t>Jurik, Christopher</t>
        </is>
      </c>
      <c r="B21" s="4" t="inlineStr">
        <is>
          <t>A_65542</t>
        </is>
      </c>
      <c r="C21" s="4" t="inlineStr">
        <is>
          <t>A_65542 - Translation Services</t>
        </is>
      </c>
      <c r="D21" s="6" t="n">
        <v>405</v>
      </c>
      <c r="E21" s="6" t="n">
        <v>0</v>
      </c>
      <c r="F21" s="6" t="n">
        <v>0</v>
      </c>
      <c r="G21" s="6" t="n">
        <v>0</v>
      </c>
      <c r="H21" s="6" t="n">
        <v>-405</v>
      </c>
      <c r="I21" s="6" t="n">
        <v>0</v>
      </c>
      <c r="J21" s="6" t="n">
        <v>0</v>
      </c>
    </row>
    <row r="22">
      <c r="A22" s="4" t="inlineStr">
        <is>
          <t>Jurik, Christopher</t>
        </is>
      </c>
      <c r="B22" s="4" t="inlineStr">
        <is>
          <t>A_66030</t>
        </is>
      </c>
      <c r="C22" s="4" t="inlineStr">
        <is>
          <t>A_66030 - Microfilming &amp; Archiving</t>
        </is>
      </c>
      <c r="D22" s="6" t="n">
        <v>2663.35</v>
      </c>
      <c r="E22" s="6" t="n">
        <v>2498.0000000004</v>
      </c>
      <c r="F22" s="6" t="n">
        <v>2405.1</v>
      </c>
      <c r="G22" s="6" t="n">
        <v>2405.1</v>
      </c>
      <c r="H22" s="6" t="n">
        <v>-258.25</v>
      </c>
      <c r="I22" s="6" t="n">
        <v>-92.90000000040027</v>
      </c>
      <c r="J22" s="6" t="n">
        <v>0</v>
      </c>
    </row>
    <row r="23">
      <c r="A23" s="4" t="inlineStr">
        <is>
          <t>Jurik, Christopher</t>
        </is>
      </c>
      <c r="B23" s="4" t="inlineStr">
        <is>
          <t>A_66050</t>
        </is>
      </c>
      <c r="C23" s="4" t="inlineStr">
        <is>
          <t>A_66050 - Printing And Duplication</t>
        </is>
      </c>
      <c r="D23" s="6" t="n">
        <v>41525.62</v>
      </c>
      <c r="E23" s="6" t="n">
        <v>31381.0000000008</v>
      </c>
      <c r="F23" s="6" t="n">
        <v>9229.5</v>
      </c>
      <c r="G23" s="6" t="n">
        <v>15250</v>
      </c>
      <c r="H23" s="6" t="n">
        <v>-26275.62</v>
      </c>
      <c r="I23" s="6" t="n">
        <v>-16131.0000000008</v>
      </c>
      <c r="J23" s="6" t="n">
        <v>6020.5</v>
      </c>
    </row>
    <row r="24">
      <c r="A24" s="4" t="inlineStr">
        <is>
          <t>Jurik, Christopher</t>
        </is>
      </c>
      <c r="B24" s="4" t="inlineStr">
        <is>
          <t>A_66060</t>
        </is>
      </c>
      <c r="C24" s="4" t="inlineStr">
        <is>
          <t>A_66060 - Other Expenses</t>
        </is>
      </c>
      <c r="D24" s="6" t="n">
        <v>152.8</v>
      </c>
      <c r="E24" s="6" t="n">
        <v>306</v>
      </c>
      <c r="F24" s="6" t="n">
        <v>525</v>
      </c>
      <c r="G24" s="6" t="n">
        <v>525</v>
      </c>
      <c r="H24" s="6" t="n">
        <v>372.2</v>
      </c>
      <c r="I24" s="6" t="n">
        <v>219</v>
      </c>
      <c r="J24" s="6" t="n">
        <v>0</v>
      </c>
    </row>
    <row r="25">
      <c r="A25" s="4" t="inlineStr">
        <is>
          <t>Jurik, Christopher</t>
        </is>
      </c>
      <c r="B25" s="4" t="inlineStr">
        <is>
          <t>A_66090</t>
        </is>
      </c>
      <c r="C25" s="4" t="inlineStr">
        <is>
          <t>A_66090 - House Functions &amp; Corp Events</t>
        </is>
      </c>
      <c r="D25" s="6" t="n">
        <v>282.5</v>
      </c>
      <c r="E25" s="6" t="n">
        <v>0</v>
      </c>
      <c r="F25" s="6" t="n">
        <v>1112.28</v>
      </c>
      <c r="G25" s="6" t="n">
        <v>979.96</v>
      </c>
      <c r="H25" s="6" t="n">
        <v>697.46</v>
      </c>
      <c r="I25" s="6" t="n">
        <v>979.96</v>
      </c>
      <c r="J25" s="6" t="n">
        <v>-132.3199999999999</v>
      </c>
    </row>
    <row r="26">
      <c r="A26" s="4" t="inlineStr">
        <is>
          <t>Jurik, Christopher</t>
        </is>
      </c>
      <c r="B26" s="4" t="inlineStr">
        <is>
          <t>A_66095</t>
        </is>
      </c>
      <c r="C26" s="4" t="inlineStr">
        <is>
          <t>A_66095 - Meals &amp; Entertainment</t>
        </is>
      </c>
      <c r="D26" s="6" t="n">
        <v>72.12</v>
      </c>
      <c r="E26" s="6" t="n">
        <v>2000.0000000004</v>
      </c>
      <c r="F26" s="6" t="n">
        <v>166.36</v>
      </c>
      <c r="G26" s="6" t="n">
        <v>166.36</v>
      </c>
      <c r="H26" s="6" t="n">
        <v>94.24000000000001</v>
      </c>
      <c r="I26" s="6" t="n">
        <v>-1833.6400000004</v>
      </c>
      <c r="J26" s="6" t="n">
        <v>0</v>
      </c>
    </row>
    <row r="27">
      <c r="A27" s="4" t="inlineStr">
        <is>
          <t>Jurik, Christopher</t>
        </is>
      </c>
      <c r="B27" s="4" t="inlineStr">
        <is>
          <t>A_66150</t>
        </is>
      </c>
      <c r="C27" s="4" t="inlineStr">
        <is>
          <t>A_66150 - Travel</t>
        </is>
      </c>
      <c r="D27" s="6" t="n">
        <v>22</v>
      </c>
      <c r="E27" s="6" t="n">
        <v>0</v>
      </c>
      <c r="F27" s="6" t="n">
        <v>181.42</v>
      </c>
      <c r="G27" s="6" t="n">
        <v>181.42</v>
      </c>
      <c r="H27" s="6" t="n">
        <v>159.42</v>
      </c>
      <c r="I27" s="6" t="n">
        <v>181.42</v>
      </c>
      <c r="J27" s="6" t="n">
        <v>0</v>
      </c>
    </row>
    <row r="28">
      <c r="A28" s="4" t="inlineStr">
        <is>
          <t>Jurik, Christopher</t>
        </is>
      </c>
      <c r="B28" s="4" t="inlineStr">
        <is>
          <t>A_66515</t>
        </is>
      </c>
      <c r="C28" s="4" t="inlineStr">
        <is>
          <t>A_66515 - Lease Rentals - Copiers</t>
        </is>
      </c>
      <c r="D28" s="6" t="n">
        <v>9731.49</v>
      </c>
      <c r="E28" s="6" t="n">
        <v>9698.91</v>
      </c>
      <c r="F28" s="6" t="n">
        <v>9521.220000000001</v>
      </c>
      <c r="G28" s="6" t="n">
        <v>4480.34</v>
      </c>
      <c r="H28" s="6" t="n">
        <v>-5251.15</v>
      </c>
      <c r="I28" s="6" t="n">
        <v>-5218.57</v>
      </c>
      <c r="J28" s="6" t="n">
        <v>-5040.880000000001</v>
      </c>
    </row>
    <row r="29">
      <c r="A29" s="7" t="inlineStr">
        <is>
          <t>Total</t>
        </is>
      </c>
      <c r="B29" s="7" t="n"/>
      <c r="C29" s="7" t="n"/>
      <c r="D29" s="8">
        <f>SUM(D6:D28)</f>
        <v/>
      </c>
      <c r="E29" s="8">
        <f>SUM(E6:E28)</f>
        <v/>
      </c>
      <c r="F29" s="8">
        <f>SUM(F6:F28)</f>
        <v/>
      </c>
      <c r="G29" s="8">
        <f>SUM(G6:G28)</f>
        <v/>
      </c>
      <c r="H29" s="8">
        <f>SUM(H6:H28)</f>
        <v/>
      </c>
      <c r="I29" s="8">
        <f>SUM(I6:I28)</f>
        <v/>
      </c>
      <c r="J29" s="8">
        <f>SUM(J6:J28)</f>
        <v/>
      </c>
    </row>
  </sheetData>
  <autoFilter ref="A5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2026-08-26T21:50:13Z</dcterms:created>
  <dcterms:modified xsi:type="dcterms:W3CDTF">2026-08-26T21:50:13Z</dcterms:modified>
</cp:coreProperties>
</file>