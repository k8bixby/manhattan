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Summary'!$A$5:$K$12</definedName>
    <definedName name="_xlnm._FilterDatabase" localSheetId="1" hidden="1">'Acct Summary'!$A$5:$J$66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48" customWidth="1" min="4" max="4"/>
    <col width="15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MEETH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Girdusky, Cynthia</t>
        </is>
      </c>
      <c r="B6" s="4" t="inlineStr">
        <is>
          <t>Enodiakhemen, Nelson</t>
        </is>
      </c>
      <c r="C6" s="5" t="n">
        <v>29651050</v>
      </c>
      <c r="D6" s="4" t="inlineStr">
        <is>
          <t>MEETH_29651050 - POS - Central Services</t>
        </is>
      </c>
      <c r="E6" s="6" t="n">
        <v>758807.49</v>
      </c>
      <c r="F6" s="6" t="n">
        <v>597756.5114238695</v>
      </c>
      <c r="G6" s="6" t="n">
        <v>629264.9120381278</v>
      </c>
      <c r="H6" s="6" t="n">
        <v>650827.8683067209</v>
      </c>
      <c r="I6" s="6" t="n">
        <v>-107979.6216932791</v>
      </c>
      <c r="J6" s="6" t="n">
        <v>53071.35688285134</v>
      </c>
      <c r="K6" s="6" t="n">
        <v>21562.95626859309</v>
      </c>
    </row>
    <row r="7">
      <c r="A7" s="4" t="inlineStr">
        <is>
          <t>Girdusky, Cynthia</t>
        </is>
      </c>
      <c r="B7" s="4" t="inlineStr">
        <is>
          <t>Garcia-Vasquez, Karen</t>
        </is>
      </c>
      <c r="C7" s="5" t="n">
        <v>29641020</v>
      </c>
      <c r="D7" s="4" t="inlineStr">
        <is>
          <t>MEETH_29641020 - Ophthalmology - Laser</t>
        </is>
      </c>
      <c r="E7" s="6" t="n">
        <v>135408.85</v>
      </c>
      <c r="F7" s="6" t="n">
        <v>-420</v>
      </c>
      <c r="G7" s="6" t="n">
        <v>622.5615263190002</v>
      </c>
      <c r="H7" s="6" t="n">
        <v>0</v>
      </c>
      <c r="I7" s="6" t="n">
        <v>-135408.85</v>
      </c>
      <c r="J7" s="6" t="n">
        <v>420</v>
      </c>
      <c r="K7" s="6" t="n">
        <v>-622.5615263190002</v>
      </c>
    </row>
    <row r="8">
      <c r="A8" s="4" t="inlineStr">
        <is>
          <t>Girdusky, Cynthia</t>
        </is>
      </c>
      <c r="B8" s="4" t="inlineStr">
        <is>
          <t>Girdusky, Cynthia</t>
        </is>
      </c>
      <c r="C8" s="5" t="n">
        <v>29651010</v>
      </c>
      <c r="D8" s="4" t="inlineStr">
        <is>
          <t>MEETH_29651010 - POS - Operating Room</t>
        </is>
      </c>
      <c r="E8" s="6" t="n">
        <v>31107808.14</v>
      </c>
      <c r="F8" s="6" t="n">
        <v>32913498.36869621</v>
      </c>
      <c r="G8" s="6" t="n">
        <v>36304738.51773723</v>
      </c>
      <c r="H8" s="6" t="n">
        <v>36125947.97048449</v>
      </c>
      <c r="I8" s="6" t="n">
        <v>5018139.830484487</v>
      </c>
      <c r="J8" s="6" t="n">
        <v>3212449.601788275</v>
      </c>
      <c r="K8" s="6" t="n">
        <v>-178790.5472527444</v>
      </c>
    </row>
    <row r="9">
      <c r="A9" s="4" t="inlineStr">
        <is>
          <t>Girdusky, Cynthia</t>
        </is>
      </c>
      <c r="B9" s="4" t="inlineStr">
        <is>
          <t>Guido, Amanda</t>
        </is>
      </c>
      <c r="C9" s="5" t="n">
        <v>29651020</v>
      </c>
      <c r="D9" s="4" t="inlineStr">
        <is>
          <t>MEETH_29651020 - POS - Recovery Room</t>
        </is>
      </c>
      <c r="E9" s="6" t="n">
        <v>126201.38</v>
      </c>
      <c r="F9" s="6" t="n">
        <v>123332.4631460901</v>
      </c>
      <c r="G9" s="6" t="n">
        <v>128009.2783735052</v>
      </c>
      <c r="H9" s="6" t="n">
        <v>95246.87925262601</v>
      </c>
      <c r="I9" s="6" t="n">
        <v>-30954.500747374</v>
      </c>
      <c r="J9" s="6" t="n">
        <v>-28085.58389346409</v>
      </c>
      <c r="K9" s="6" t="n">
        <v>-32762.39912087918</v>
      </c>
    </row>
    <row r="10">
      <c r="A10" s="4" t="inlineStr">
        <is>
          <t>Girdusky, Cynthia</t>
        </is>
      </c>
      <c r="B10" s="4" t="inlineStr">
        <is>
          <t>Guido, Amanda</t>
        </is>
      </c>
      <c r="C10" s="5" t="n">
        <v>29666000</v>
      </c>
      <c r="D10" s="4" t="inlineStr">
        <is>
          <t>MEETH_29666000 - OP Svc - Ambulatory Surgery</t>
        </is>
      </c>
      <c r="E10" s="6" t="n">
        <v>195582.82</v>
      </c>
      <c r="F10" s="6" t="n">
        <v>171433.2329236635</v>
      </c>
      <c r="G10" s="6" t="n">
        <v>143248.9454708276</v>
      </c>
      <c r="H10" s="6" t="n">
        <v>131172.2254805416</v>
      </c>
      <c r="I10" s="6" t="n">
        <v>-64410.59451945842</v>
      </c>
      <c r="J10" s="6" t="n">
        <v>-40261.0074431219</v>
      </c>
      <c r="K10" s="6" t="n">
        <v>-12076.71999028602</v>
      </c>
    </row>
    <row r="11">
      <c r="A11" s="4" t="inlineStr">
        <is>
          <t>Girdusky, Cynthia</t>
        </is>
      </c>
      <c r="B11" s="4" t="inlineStr">
        <is>
          <t>Whiffin, Jennifer</t>
        </is>
      </c>
      <c r="C11" s="5" t="n">
        <v>29651005</v>
      </c>
      <c r="D11" s="4" t="inlineStr">
        <is>
          <t>MEETH_29651005 - OR Booking</t>
        </is>
      </c>
      <c r="E11" s="6" t="n">
        <v>2782.5</v>
      </c>
      <c r="F11" s="6" t="n">
        <v>0</v>
      </c>
      <c r="G11" s="6" t="n">
        <v>3313.9194475138</v>
      </c>
      <c r="H11" s="6" t="n">
        <v>0</v>
      </c>
      <c r="I11" s="6" t="n">
        <v>-2782.5</v>
      </c>
      <c r="J11" s="6" t="n">
        <v>0</v>
      </c>
      <c r="K11" s="6" t="n">
        <v>-3313.9194475138</v>
      </c>
    </row>
    <row r="12">
      <c r="A12" s="4" t="inlineStr">
        <is>
          <t>Girdusky, Cynthia</t>
        </is>
      </c>
      <c r="B12" s="4" t="inlineStr">
        <is>
          <t>Whiffin, Jennifer</t>
        </is>
      </c>
      <c r="C12" s="5" t="n">
        <v>29651030</v>
      </c>
      <c r="D12" s="4" t="inlineStr">
        <is>
          <t>MEETH_29651030 - POS - Pre Admission Testing</t>
        </is>
      </c>
      <c r="E12" s="6" t="n">
        <v>70276.86</v>
      </c>
      <c r="F12" s="6" t="n">
        <v>43132.7890123461</v>
      </c>
      <c r="G12" s="6" t="n">
        <v>30618.1727830733</v>
      </c>
      <c r="H12" s="6" t="n">
        <v>30618.1727830733</v>
      </c>
      <c r="I12" s="6" t="n">
        <v>-39658.6872169267</v>
      </c>
      <c r="J12" s="6" t="n">
        <v>-12514.6162292728</v>
      </c>
      <c r="K12" s="6" t="n">
        <v>0</v>
      </c>
    </row>
    <row r="13">
      <c r="A13" s="7" t="inlineStr">
        <is>
          <t>Total</t>
        </is>
      </c>
      <c r="B13" s="7" t="n"/>
      <c r="C13" s="7">
        <f>SUM(C6:C12)</f>
        <v/>
      </c>
      <c r="D13" s="7" t="n"/>
      <c r="E13" s="8">
        <f>SUM(E6:E12)</f>
        <v/>
      </c>
      <c r="F13" s="8">
        <f>SUM(F6:F12)</f>
        <v/>
      </c>
      <c r="G13" s="8">
        <f>SUM(G6:G12)</f>
        <v/>
      </c>
      <c r="H13" s="8">
        <f>SUM(H6:H12)</f>
        <v/>
      </c>
      <c r="I13" s="8">
        <f>SUM(I6:I12)</f>
        <v/>
      </c>
      <c r="J13" s="8">
        <f>SUM(J6:J12)</f>
        <v/>
      </c>
      <c r="K13" s="8">
        <f>SUM(K6:K12)</f>
        <v/>
      </c>
    </row>
  </sheetData>
  <autoFilter ref="A5:K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3" customWidth="1" min="4" max="4"/>
    <col width="22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MEETH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Girdusky, Cynthia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-6890.04</v>
      </c>
      <c r="E6" s="6" t="n">
        <v>-6980.7699999996</v>
      </c>
      <c r="F6" s="6" t="n">
        <v>-5338.3915384615</v>
      </c>
      <c r="G6" s="6" t="n">
        <v>0</v>
      </c>
      <c r="H6" s="6" t="n">
        <v>6890.04</v>
      </c>
      <c r="I6" s="6" t="n">
        <v>6980.7699999996</v>
      </c>
      <c r="J6" s="6" t="n">
        <v>5338.3915384615</v>
      </c>
    </row>
    <row r="7">
      <c r="A7" s="4" t="inlineStr">
        <is>
          <t>Girdusky, Cynthia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-405114.48</v>
      </c>
      <c r="E7" s="6" t="n">
        <v>-342025.9999999996</v>
      </c>
      <c r="F7" s="6" t="n">
        <v>-318473.6934065939</v>
      </c>
      <c r="G7" s="6" t="n">
        <v>0</v>
      </c>
      <c r="H7" s="6" t="n">
        <v>405114.48</v>
      </c>
      <c r="I7" s="6" t="n">
        <v>342025.9999999996</v>
      </c>
      <c r="J7" s="6" t="n">
        <v>318473.6934065939</v>
      </c>
    </row>
    <row r="8">
      <c r="A8" s="4" t="inlineStr">
        <is>
          <t>Girdusky, Cynthia</t>
        </is>
      </c>
      <c r="B8" s="4" t="inlineStr">
        <is>
          <t>A_61200</t>
        </is>
      </c>
      <c r="C8" s="4" t="inlineStr">
        <is>
          <t>A_61200 - Temporary Employees</t>
        </is>
      </c>
      <c r="D8" s="6" t="n">
        <v>1091.64</v>
      </c>
      <c r="E8" s="6" t="n">
        <v>0</v>
      </c>
      <c r="F8" s="6" t="n">
        <v>0</v>
      </c>
      <c r="G8" s="6" t="n">
        <v>0</v>
      </c>
      <c r="H8" s="6" t="n">
        <v>-1091.64</v>
      </c>
      <c r="I8" s="6" t="n">
        <v>0</v>
      </c>
      <c r="J8" s="6" t="n">
        <v>0</v>
      </c>
    </row>
    <row r="9">
      <c r="A9" s="4" t="inlineStr">
        <is>
          <t>Girdusky, Cynthia</t>
        </is>
      </c>
      <c r="B9" s="4" t="inlineStr">
        <is>
          <t>A_63000</t>
        </is>
      </c>
      <c r="C9" s="4" t="inlineStr">
        <is>
          <t>A_63000 - Supplies - Laboratory</t>
        </is>
      </c>
      <c r="D9" s="6" t="n">
        <v>42082.7</v>
      </c>
      <c r="E9" s="6" t="n">
        <v>41679.29531481471</v>
      </c>
      <c r="F9" s="6" t="n">
        <v>60976.6658241758</v>
      </c>
      <c r="G9" s="6" t="n">
        <v>61256.0993406593</v>
      </c>
      <c r="H9" s="6" t="n">
        <v>19173.3993406593</v>
      </c>
      <c r="I9" s="6" t="n">
        <v>19576.8040258446</v>
      </c>
      <c r="J9" s="6" t="n">
        <v>279.4335164835065</v>
      </c>
    </row>
    <row r="10">
      <c r="A10" s="4" t="inlineStr">
        <is>
          <t>Girdusky, Cynthia</t>
        </is>
      </c>
      <c r="B10" s="4" t="inlineStr">
        <is>
          <t>A_63005</t>
        </is>
      </c>
      <c r="C10" s="4" t="inlineStr">
        <is>
          <t>A_63005 - Supplies - Reagents</t>
        </is>
      </c>
      <c r="D10" s="6" t="n">
        <v>11859.04</v>
      </c>
      <c r="E10" s="6" t="n">
        <v>15195.9535997941</v>
      </c>
      <c r="F10" s="6" t="n">
        <v>9777.307912087899</v>
      </c>
      <c r="G10" s="6" t="n">
        <v>8755.4002197802</v>
      </c>
      <c r="H10" s="6" t="n">
        <v>-3103.639780219801</v>
      </c>
      <c r="I10" s="6" t="n">
        <v>-6440.5533800139</v>
      </c>
      <c r="J10" s="6" t="n">
        <v>-1021.907692307699</v>
      </c>
    </row>
    <row r="11">
      <c r="A11" s="4" t="inlineStr">
        <is>
          <t>Girdusky, Cynthia</t>
        </is>
      </c>
      <c r="B11" s="4" t="inlineStr">
        <is>
          <t>A_63008</t>
        </is>
      </c>
      <c r="C11" s="4" t="inlineStr">
        <is>
          <t>A_63008 - Supplies - Implants - Spinal</t>
        </is>
      </c>
      <c r="D11" s="6" t="n">
        <v>7623.25</v>
      </c>
      <c r="E11" s="6" t="n">
        <v>13623.6301676956</v>
      </c>
      <c r="F11" s="6" t="n">
        <v>2397.0989010989</v>
      </c>
      <c r="G11" s="6" t="n">
        <v>2397.0989010989</v>
      </c>
      <c r="H11" s="6" t="n">
        <v>-5226.1510989011</v>
      </c>
      <c r="I11" s="6" t="n">
        <v>-11226.5312665967</v>
      </c>
      <c r="J11" s="6" t="n">
        <v>0</v>
      </c>
    </row>
    <row r="12">
      <c r="A12" s="4" t="inlineStr">
        <is>
          <t>Girdusky, Cynthia</t>
        </is>
      </c>
      <c r="B12" s="4" t="inlineStr">
        <is>
          <t>A_63009</t>
        </is>
      </c>
      <c r="C12" s="4" t="inlineStr">
        <is>
          <t>A_63009 - Supplies - Implants - Joint</t>
        </is>
      </c>
      <c r="D12" s="6" t="n">
        <v>124481.97</v>
      </c>
      <c r="E12" s="6" t="n">
        <v>151895.789034502</v>
      </c>
      <c r="F12" s="6" t="n">
        <v>146461.053626374</v>
      </c>
      <c r="G12" s="6" t="n">
        <v>146461.053626374</v>
      </c>
      <c r="H12" s="6" t="n">
        <v>21979.08362637399</v>
      </c>
      <c r="I12" s="6" t="n">
        <v>-5434.735408128006</v>
      </c>
      <c r="J12" s="6" t="n">
        <v>0</v>
      </c>
    </row>
    <row r="13">
      <c r="A13" s="4" t="inlineStr">
        <is>
          <t>Girdusky, Cynthia</t>
        </is>
      </c>
      <c r="B13" s="4" t="inlineStr">
        <is>
          <t>A_63010</t>
        </is>
      </c>
      <c r="C13" s="4" t="inlineStr">
        <is>
          <t>A_63010 - Supplies - Implnts - Oth Ortho</t>
        </is>
      </c>
      <c r="D13" s="6" t="n">
        <v>1581317.89</v>
      </c>
      <c r="E13" s="6" t="n">
        <v>1867550</v>
      </c>
      <c r="F13" s="6" t="n">
        <v>1606895.57010989</v>
      </c>
      <c r="G13" s="6" t="n">
        <v>1606895.57010989</v>
      </c>
      <c r="H13" s="6" t="n">
        <v>25577.68010989018</v>
      </c>
      <c r="I13" s="6" t="n">
        <v>-260654.4298901099</v>
      </c>
      <c r="J13" s="6" t="n">
        <v>0</v>
      </c>
    </row>
    <row r="14">
      <c r="A14" s="4" t="inlineStr">
        <is>
          <t>Girdusky, Cynthia</t>
        </is>
      </c>
      <c r="B14" s="4" t="inlineStr">
        <is>
          <t>A_63015</t>
        </is>
      </c>
      <c r="C14" s="4" t="inlineStr">
        <is>
          <t>A_63015 - Supplies - Implants - Neuro</t>
        </is>
      </c>
      <c r="D14" s="6" t="n">
        <v>1364971.98</v>
      </c>
      <c r="E14" s="6" t="n">
        <v>1474260.05893671</v>
      </c>
      <c r="F14" s="6" t="n">
        <v>1367398.68395604</v>
      </c>
      <c r="G14" s="6" t="n">
        <v>1367398.68395604</v>
      </c>
      <c r="H14" s="6" t="n">
        <v>2426.703956040088</v>
      </c>
      <c r="I14" s="6" t="n">
        <v>-106861.3749806699</v>
      </c>
      <c r="J14" s="6" t="n">
        <v>0</v>
      </c>
    </row>
    <row r="15">
      <c r="A15" s="4" t="inlineStr">
        <is>
          <t>Girdusky, Cynthia</t>
        </is>
      </c>
      <c r="B15" s="4" t="inlineStr">
        <is>
          <t>A_63020</t>
        </is>
      </c>
      <c r="C15" s="4" t="inlineStr">
        <is>
          <t>A_63020 - Supplies Wound Closure</t>
        </is>
      </c>
      <c r="D15" s="6" t="n">
        <v>984209.8199999999</v>
      </c>
      <c r="E15" s="6" t="n">
        <v>1138847.5</v>
      </c>
      <c r="F15" s="6" t="n">
        <v>1147316.08681319</v>
      </c>
      <c r="G15" s="6" t="n">
        <v>1147316.08681319</v>
      </c>
      <c r="H15" s="6" t="n">
        <v>163106.2668131901</v>
      </c>
      <c r="I15" s="6" t="n">
        <v>8468.586813190021</v>
      </c>
      <c r="J15" s="6" t="n">
        <v>0</v>
      </c>
    </row>
    <row r="16">
      <c r="A16" s="4" t="inlineStr">
        <is>
          <t>Girdusky, Cynthia</t>
        </is>
      </c>
      <c r="B16" s="4" t="inlineStr">
        <is>
          <t>A_63030</t>
        </is>
      </c>
      <c r="C16" s="4" t="inlineStr">
        <is>
          <t>A_63030 - Supplies - Medical</t>
        </is>
      </c>
      <c r="D16" s="6" t="n">
        <v>1824942.24</v>
      </c>
      <c r="E16" s="6" t="n">
        <v>1785572.342703704</v>
      </c>
      <c r="F16" s="6" t="n">
        <v>2307940.939120875</v>
      </c>
      <c r="G16" s="6" t="n">
        <v>2313185.027472524</v>
      </c>
      <c r="H16" s="6" t="n">
        <v>488242.7874725235</v>
      </c>
      <c r="I16" s="6" t="n">
        <v>527612.6847688199</v>
      </c>
      <c r="J16" s="6" t="n">
        <v>5244.088351648301</v>
      </c>
    </row>
    <row r="17">
      <c r="A17" s="4" t="inlineStr">
        <is>
          <t>Girdusky, Cynthia</t>
        </is>
      </c>
      <c r="B17" s="4" t="inlineStr">
        <is>
          <t>A_63032</t>
        </is>
      </c>
      <c r="C17" s="4" t="inlineStr">
        <is>
          <t>A_63032 - Supplies - Medical - PPE</t>
        </is>
      </c>
      <c r="D17" s="6" t="n">
        <v>12290.69</v>
      </c>
      <c r="E17" s="6" t="n">
        <v>13631.6196213996</v>
      </c>
      <c r="F17" s="6" t="n">
        <v>17914.0912087912</v>
      </c>
      <c r="G17" s="6" t="n">
        <v>17914.0912087912</v>
      </c>
      <c r="H17" s="6" t="n">
        <v>5623.401208791201</v>
      </c>
      <c r="I17" s="6" t="n">
        <v>4282.471587391599</v>
      </c>
      <c r="J17" s="6" t="n">
        <v>0</v>
      </c>
    </row>
    <row r="18">
      <c r="A18" s="4" t="inlineStr">
        <is>
          <t>Girdusky, Cynthia</t>
        </is>
      </c>
      <c r="B18" s="4" t="inlineStr">
        <is>
          <t>A_63035</t>
        </is>
      </c>
      <c r="C18" s="4" t="inlineStr">
        <is>
          <t>A_63035 - Supplies - Gases</t>
        </is>
      </c>
      <c r="D18" s="6" t="n">
        <v>86497.82000000001</v>
      </c>
      <c r="E18" s="6" t="n">
        <v>75563.9883127573</v>
      </c>
      <c r="F18" s="6" t="n">
        <v>76822.21351648351</v>
      </c>
      <c r="G18" s="6" t="n">
        <v>76822.21351648351</v>
      </c>
      <c r="H18" s="6" t="n">
        <v>-9675.606483516502</v>
      </c>
      <c r="I18" s="6" t="n">
        <v>1258.225203726208</v>
      </c>
      <c r="J18" s="6" t="n">
        <v>0</v>
      </c>
    </row>
    <row r="19">
      <c r="A19" s="4" t="inlineStr">
        <is>
          <t>Girdusky, Cynthia</t>
        </is>
      </c>
      <c r="B19" s="4" t="inlineStr">
        <is>
          <t>A_63040</t>
        </is>
      </c>
      <c r="C19" s="4" t="inlineStr">
        <is>
          <t>A_63040 - Supplies - Radiology</t>
        </is>
      </c>
      <c r="D19" s="6" t="n">
        <v>36168.2</v>
      </c>
      <c r="E19" s="6" t="n">
        <v>45114.108148148</v>
      </c>
      <c r="F19" s="6" t="n">
        <v>37630.3704395604</v>
      </c>
      <c r="G19" s="6" t="n">
        <v>37630.3704395604</v>
      </c>
      <c r="H19" s="6" t="n">
        <v>1462.170439560403</v>
      </c>
      <c r="I19" s="6" t="n">
        <v>-7483.7377085876</v>
      </c>
      <c r="J19" s="6" t="n">
        <v>0</v>
      </c>
    </row>
    <row r="20">
      <c r="A20" s="4" t="inlineStr">
        <is>
          <t>Girdusky, Cynthia</t>
        </is>
      </c>
      <c r="B20" s="4" t="inlineStr">
        <is>
          <t>A_63045</t>
        </is>
      </c>
      <c r="C20" s="4" t="inlineStr">
        <is>
          <t>A_63045 - Supplies - Med Equip Repair</t>
        </is>
      </c>
      <c r="D20" s="6" t="n">
        <v>47136</v>
      </c>
      <c r="E20" s="6" t="n">
        <v>72217.0074074077</v>
      </c>
      <c r="F20" s="6" t="n">
        <v>133624.3879120883</v>
      </c>
      <c r="G20" s="6" t="n">
        <v>144962.611648352</v>
      </c>
      <c r="H20" s="6" t="n">
        <v>97826.611648352</v>
      </c>
      <c r="I20" s="6" t="n">
        <v>72745.6042409443</v>
      </c>
      <c r="J20" s="6" t="n">
        <v>11338.2237362637</v>
      </c>
    </row>
    <row r="21">
      <c r="A21" s="4" t="inlineStr">
        <is>
          <t>Girdusky, Cynthia</t>
        </is>
      </c>
      <c r="B21" s="4" t="inlineStr">
        <is>
          <t>A_63050</t>
        </is>
      </c>
      <c r="C21" s="4" t="inlineStr">
        <is>
          <t>A_63050 - Supplies - Iv Solutions &amp; Sets</t>
        </is>
      </c>
      <c r="D21" s="6" t="n">
        <v>183517.72</v>
      </c>
      <c r="E21" s="6" t="n">
        <v>180278.3357734681</v>
      </c>
      <c r="F21" s="6" t="n">
        <v>181416.1450549454</v>
      </c>
      <c r="G21" s="6" t="n">
        <v>180431.6163736267</v>
      </c>
      <c r="H21" s="6" t="n">
        <v>-3086.103626373311</v>
      </c>
      <c r="I21" s="6" t="n">
        <v>153.280600158585</v>
      </c>
      <c r="J21" s="6" t="n">
        <v>-984.5286813186831</v>
      </c>
    </row>
    <row r="22">
      <c r="A22" s="4" t="inlineStr">
        <is>
          <t>Girdusky, Cynthia</t>
        </is>
      </c>
      <c r="B22" s="4" t="inlineStr">
        <is>
          <t>A_63059</t>
        </is>
      </c>
      <c r="C22" s="4" t="inlineStr">
        <is>
          <t>A_63059 - Supplies Impl Vascular Stents</t>
        </is>
      </c>
      <c r="D22" s="6" t="n">
        <v>0</v>
      </c>
      <c r="E22" s="6" t="n">
        <v>0</v>
      </c>
      <c r="F22" s="6" t="n">
        <v>8323.4835164835</v>
      </c>
      <c r="G22" s="6" t="n">
        <v>8323.4835164835</v>
      </c>
      <c r="H22" s="6" t="n">
        <v>8323.4835164835</v>
      </c>
      <c r="I22" s="6" t="n">
        <v>8323.4835164835</v>
      </c>
      <c r="J22" s="6" t="n">
        <v>0</v>
      </c>
    </row>
    <row r="23">
      <c r="A23" s="4" t="inlineStr">
        <is>
          <t>Girdusky, Cynthia</t>
        </is>
      </c>
      <c r="B23" s="4" t="inlineStr">
        <is>
          <t>A_63060</t>
        </is>
      </c>
      <c r="C23" s="4" t="inlineStr">
        <is>
          <t>A_63060 - Supplies - Surgery Packs-Sheet</t>
        </is>
      </c>
      <c r="D23" s="6" t="n">
        <v>1372484.33</v>
      </c>
      <c r="E23" s="6" t="n">
        <v>1455568.953555556</v>
      </c>
      <c r="F23" s="6" t="n">
        <v>1371142.079670325</v>
      </c>
      <c r="G23" s="6" t="n">
        <v>1371124.76450549</v>
      </c>
      <c r="H23" s="6" t="n">
        <v>-1359.565494510112</v>
      </c>
      <c r="I23" s="6" t="n">
        <v>-84444.18905006559</v>
      </c>
      <c r="J23" s="6" t="n">
        <v>-17.31516483519226</v>
      </c>
    </row>
    <row r="24">
      <c r="A24" s="4" t="inlineStr">
        <is>
          <t>Girdusky, Cynthia</t>
        </is>
      </c>
      <c r="B24" s="4" t="inlineStr">
        <is>
          <t>A_63062</t>
        </is>
      </c>
      <c r="C24" s="4" t="inlineStr">
        <is>
          <t>A_63062 - Supplies - Impl - Oth Vascular</t>
        </is>
      </c>
      <c r="D24" s="6" t="n">
        <v>145723.43</v>
      </c>
      <c r="E24" s="6" t="n">
        <v>163369.045387833</v>
      </c>
      <c r="F24" s="6" t="n">
        <v>177702.330989011</v>
      </c>
      <c r="G24" s="6" t="n">
        <v>177702.330989011</v>
      </c>
      <c r="H24" s="6" t="n">
        <v>31978.90098901102</v>
      </c>
      <c r="I24" s="6" t="n">
        <v>14333.28560117801</v>
      </c>
      <c r="J24" s="6" t="n">
        <v>0</v>
      </c>
    </row>
    <row r="25">
      <c r="A25" s="4" t="inlineStr">
        <is>
          <t>Girdusky, Cynthia</t>
        </is>
      </c>
      <c r="B25" s="4" t="inlineStr">
        <is>
          <t>A_63066</t>
        </is>
      </c>
      <c r="C25" s="4" t="inlineStr">
        <is>
          <t>A_63066 - Supplies - Implant - Breast</t>
        </is>
      </c>
      <c r="D25" s="6" t="n">
        <v>182692.11</v>
      </c>
      <c r="E25" s="6" t="n">
        <v>15072.420514636</v>
      </c>
      <c r="F25" s="6" t="n">
        <v>586840.277472528</v>
      </c>
      <c r="G25" s="6" t="n">
        <v>586840.277472528</v>
      </c>
      <c r="H25" s="6" t="n">
        <v>404148.1674725281</v>
      </c>
      <c r="I25" s="6" t="n">
        <v>571767.8569578921</v>
      </c>
      <c r="J25" s="6" t="n">
        <v>0</v>
      </c>
    </row>
    <row r="26">
      <c r="A26" s="4" t="inlineStr">
        <is>
          <t>Girdusky, Cynthia</t>
        </is>
      </c>
      <c r="B26" s="4" t="inlineStr">
        <is>
          <t>A_63067</t>
        </is>
      </c>
      <c r="C26" s="4" t="inlineStr">
        <is>
          <t>A_63067 - Supplies - Implants - Urologic</t>
        </is>
      </c>
      <c r="D26" s="6" t="n">
        <v>4940114.78</v>
      </c>
      <c r="E26" s="6" t="n">
        <v>5183052.5</v>
      </c>
      <c r="F26" s="6" t="n">
        <v>6291682.23725275</v>
      </c>
      <c r="G26" s="6" t="n">
        <v>6291682.23725275</v>
      </c>
      <c r="H26" s="6" t="n">
        <v>1351567.45725275</v>
      </c>
      <c r="I26" s="6" t="n">
        <v>1108629.73725275</v>
      </c>
      <c r="J26" s="6" t="n">
        <v>0</v>
      </c>
    </row>
    <row r="27">
      <c r="A27" s="4" t="inlineStr">
        <is>
          <t>Girdusky, Cynthia</t>
        </is>
      </c>
      <c r="B27" s="4" t="inlineStr">
        <is>
          <t>A_63068</t>
        </is>
      </c>
      <c r="C27" s="4" t="inlineStr">
        <is>
          <t>A_63068 - Supplies - Imp - Corneal Tissu</t>
        </is>
      </c>
      <c r="D27" s="6" t="n">
        <v>1898508.26</v>
      </c>
      <c r="E27" s="6" t="n">
        <v>1878650.14646076</v>
      </c>
      <c r="F27" s="6" t="n">
        <v>1270044.21230769</v>
      </c>
      <c r="G27" s="6" t="n">
        <v>1270044.21230769</v>
      </c>
      <c r="H27" s="6" t="n">
        <v>-628464.0476923101</v>
      </c>
      <c r="I27" s="6" t="n">
        <v>-608605.93415307</v>
      </c>
      <c r="J27" s="6" t="n">
        <v>0</v>
      </c>
    </row>
    <row r="28">
      <c r="A28" s="4" t="inlineStr">
        <is>
          <t>Girdusky, Cynthia</t>
        </is>
      </c>
      <c r="B28" s="4" t="inlineStr">
        <is>
          <t>A_63069</t>
        </is>
      </c>
      <c r="C28" s="4" t="inlineStr">
        <is>
          <t>A_63069 - Supplies - Imp - Intraculr Len</t>
        </is>
      </c>
      <c r="D28" s="6" t="n">
        <v>889538.2</v>
      </c>
      <c r="E28" s="6" t="n">
        <v>878847.692879332</v>
      </c>
      <c r="F28" s="6" t="n">
        <v>1143382.39120879</v>
      </c>
      <c r="G28" s="6" t="n">
        <v>1143382.39120879</v>
      </c>
      <c r="H28" s="6" t="n">
        <v>253844.1912087901</v>
      </c>
      <c r="I28" s="6" t="n">
        <v>264534.698329458</v>
      </c>
      <c r="J28" s="6" t="n">
        <v>0</v>
      </c>
    </row>
    <row r="29">
      <c r="A29" s="4" t="inlineStr">
        <is>
          <t>Girdusky, Cynthia</t>
        </is>
      </c>
      <c r="B29" s="4" t="inlineStr">
        <is>
          <t>A_63070</t>
        </is>
      </c>
      <c r="C29" s="4" t="inlineStr">
        <is>
          <t>A_63070 - Supplies - Implants - All Oth</t>
        </is>
      </c>
      <c r="D29" s="6" t="n">
        <v>5143687.35</v>
      </c>
      <c r="E29" s="6" t="n">
        <v>5582258.16</v>
      </c>
      <c r="F29" s="6" t="n">
        <v>7128292.47791209</v>
      </c>
      <c r="G29" s="6" t="n">
        <v>7128292.47791209</v>
      </c>
      <c r="H29" s="6" t="n">
        <v>1984605.12791209</v>
      </c>
      <c r="I29" s="6" t="n">
        <v>1546034.31791209</v>
      </c>
      <c r="J29" s="6" t="n">
        <v>0</v>
      </c>
    </row>
    <row r="30">
      <c r="A30" s="4" t="inlineStr">
        <is>
          <t>Girdusky, Cynthia</t>
        </is>
      </c>
      <c r="B30" s="4" t="inlineStr">
        <is>
          <t>A_63078</t>
        </is>
      </c>
      <c r="C30" s="4" t="inlineStr">
        <is>
          <t>A_63078 - Supplies - Implants - Cochlear</t>
        </is>
      </c>
      <c r="D30" s="6" t="n">
        <v>939017.39</v>
      </c>
      <c r="E30" s="6" t="n">
        <v>1283919.03266542</v>
      </c>
      <c r="F30" s="6" t="n">
        <v>433512.923076923</v>
      </c>
      <c r="G30" s="6" t="n">
        <v>433512.923076923</v>
      </c>
      <c r="H30" s="6" t="n">
        <v>-505504.466923077</v>
      </c>
      <c r="I30" s="6" t="n">
        <v>-850406.1095884971</v>
      </c>
      <c r="J30" s="6" t="n">
        <v>0</v>
      </c>
    </row>
    <row r="31">
      <c r="A31" s="4" t="inlineStr">
        <is>
          <t>Girdusky, Cynthia</t>
        </is>
      </c>
      <c r="B31" s="4" t="inlineStr">
        <is>
          <t>A_63080</t>
        </is>
      </c>
      <c r="C31" s="4" t="inlineStr">
        <is>
          <t>A_63080 - Supplies - Surgical</t>
        </is>
      </c>
      <c r="D31" s="6" t="n">
        <v>7441800.14</v>
      </c>
      <c r="E31" s="6" t="n">
        <v>8081432.054790123</v>
      </c>
      <c r="F31" s="6" t="n">
        <v>8686047.781978024</v>
      </c>
      <c r="G31" s="6" t="n">
        <v>8693225.946483519</v>
      </c>
      <c r="H31" s="6" t="n">
        <v>1251425.806483519</v>
      </c>
      <c r="I31" s="6" t="n">
        <v>611793.8916933956</v>
      </c>
      <c r="J31" s="6" t="n">
        <v>7178.164505494758</v>
      </c>
    </row>
    <row r="32">
      <c r="A32" s="4" t="inlineStr">
        <is>
          <t>Girdusky, Cynthia</t>
        </is>
      </c>
      <c r="B32" s="4" t="inlineStr">
        <is>
          <t>A_64000</t>
        </is>
      </c>
      <c r="C32" s="4" t="inlineStr">
        <is>
          <t>A_64000 - Supplies - Hotel Services</t>
        </is>
      </c>
      <c r="D32" s="6" t="n">
        <v>69106.88</v>
      </c>
      <c r="E32" s="6" t="n">
        <v>67431.2400000006</v>
      </c>
      <c r="F32" s="6" t="n">
        <v>70843.6364640885</v>
      </c>
      <c r="G32" s="6" t="n">
        <v>71274.82734806641</v>
      </c>
      <c r="H32" s="6" t="n">
        <v>2167.947348066402</v>
      </c>
      <c r="I32" s="6" t="n">
        <v>3843.587348065805</v>
      </c>
      <c r="J32" s="6" t="n">
        <v>431.1908839779062</v>
      </c>
    </row>
    <row r="33">
      <c r="A33" s="4" t="inlineStr">
        <is>
          <t>Girdusky, Cynthia</t>
        </is>
      </c>
      <c r="B33" s="4" t="inlineStr">
        <is>
          <t>A_64010</t>
        </is>
      </c>
      <c r="C33" s="4" t="inlineStr">
        <is>
          <t>A_64010 - Supplies - Linen And Bedding</t>
        </is>
      </c>
      <c r="D33" s="6" t="n">
        <v>184.32</v>
      </c>
      <c r="E33" s="6" t="n">
        <v>189.7149999999</v>
      </c>
      <c r="F33" s="6" t="n">
        <v>0</v>
      </c>
      <c r="G33" s="6" t="n">
        <v>0</v>
      </c>
      <c r="H33" s="6" t="n">
        <v>-184.32</v>
      </c>
      <c r="I33" s="6" t="n">
        <v>-189.7149999999</v>
      </c>
      <c r="J33" s="6" t="n">
        <v>0</v>
      </c>
    </row>
    <row r="34">
      <c r="A34" s="4" t="inlineStr">
        <is>
          <t>Girdusky, Cynthia</t>
        </is>
      </c>
      <c r="B34" s="4" t="inlineStr">
        <is>
          <t>A_64020</t>
        </is>
      </c>
      <c r="C34" s="4" t="inlineStr">
        <is>
          <t>A_64020 - Supplies - Office</t>
        </is>
      </c>
      <c r="D34" s="6" t="n">
        <v>38734.53</v>
      </c>
      <c r="E34" s="6" t="n">
        <v>28012.2750000003</v>
      </c>
      <c r="F34" s="6" t="n">
        <v>47856.1784530387</v>
      </c>
      <c r="G34" s="6" t="n">
        <v>54302.5102209945</v>
      </c>
      <c r="H34" s="6" t="n">
        <v>15567.9802209945</v>
      </c>
      <c r="I34" s="6" t="n">
        <v>26290.2352209942</v>
      </c>
      <c r="J34" s="6" t="n">
        <v>6446.331767955802</v>
      </c>
    </row>
    <row r="35">
      <c r="A35" s="4" t="inlineStr">
        <is>
          <t>Girdusky, Cynthia</t>
        </is>
      </c>
      <c r="B35" s="4" t="inlineStr">
        <is>
          <t>A_64030</t>
        </is>
      </c>
      <c r="C35" s="4" t="inlineStr">
        <is>
          <t>A_64030 - Supplies - Other Non Medical</t>
        </is>
      </c>
      <c r="D35" s="6" t="n">
        <v>6320.110000000001</v>
      </c>
      <c r="E35" s="6" t="n">
        <v>41093.6400000002</v>
      </c>
      <c r="F35" s="6" t="n">
        <v>22808.5071823205</v>
      </c>
      <c r="G35" s="6" t="n">
        <v>22796.4077348067</v>
      </c>
      <c r="H35" s="6" t="n">
        <v>16476.2977348067</v>
      </c>
      <c r="I35" s="6" t="n">
        <v>-18297.2322651935</v>
      </c>
      <c r="J35" s="6" t="n">
        <v>-12.09944751379953</v>
      </c>
    </row>
    <row r="36">
      <c r="A36" s="4" t="inlineStr">
        <is>
          <t>Girdusky, Cynthia</t>
        </is>
      </c>
      <c r="B36" s="4" t="inlineStr">
        <is>
          <t>A_64560</t>
        </is>
      </c>
      <c r="C36" s="4" t="inlineStr">
        <is>
          <t>A_64560 - Dietary - Tableware</t>
        </is>
      </c>
      <c r="D36" s="6" t="n">
        <v>6524.09</v>
      </c>
      <c r="E36" s="6" t="n">
        <v>6597.360000000101</v>
      </c>
      <c r="F36" s="6" t="n">
        <v>6302.4610497238</v>
      </c>
      <c r="G36" s="6" t="n">
        <v>6302.4610497238</v>
      </c>
      <c r="H36" s="6" t="n">
        <v>-221.6289502762002</v>
      </c>
      <c r="I36" s="6" t="n">
        <v>-294.8989502763006</v>
      </c>
      <c r="J36" s="6" t="n">
        <v>0</v>
      </c>
    </row>
    <row r="37">
      <c r="A37" s="4" t="inlineStr">
        <is>
          <t>Girdusky, Cynthia</t>
        </is>
      </c>
      <c r="B37" s="4" t="inlineStr">
        <is>
          <t>A_65050</t>
        </is>
      </c>
      <c r="C37" s="4" t="inlineStr">
        <is>
          <t>A_65050 - Telephone</t>
        </is>
      </c>
      <c r="D37" s="6" t="n">
        <v>7731.63</v>
      </c>
      <c r="E37" s="6" t="n">
        <v>4158.0000000002</v>
      </c>
      <c r="F37" s="6" t="n">
        <v>8171.059392265301</v>
      </c>
      <c r="G37" s="6" t="n">
        <v>5034.76160221</v>
      </c>
      <c r="H37" s="6" t="n">
        <v>-2696.86839779</v>
      </c>
      <c r="I37" s="6" t="n">
        <v>876.7616022098</v>
      </c>
      <c r="J37" s="6" t="n">
        <v>-3136.297790055301</v>
      </c>
    </row>
    <row r="38">
      <c r="A38" s="4" t="inlineStr">
        <is>
          <t>Girdusky, Cynthia</t>
        </is>
      </c>
      <c r="B38" s="4" t="inlineStr">
        <is>
          <t>A_65505</t>
        </is>
      </c>
      <c r="C38" s="4" t="inlineStr">
        <is>
          <t>A_65505 - Equipment Service Contracts</t>
        </is>
      </c>
      <c r="D38" s="6" t="n">
        <v>116211.36</v>
      </c>
      <c r="E38" s="6" t="n">
        <v>0</v>
      </c>
      <c r="F38" s="6" t="n">
        <v>0</v>
      </c>
      <c r="G38" s="6" t="n">
        <v>0</v>
      </c>
      <c r="H38" s="6" t="n">
        <v>-116211.36</v>
      </c>
      <c r="I38" s="6" t="n">
        <v>0</v>
      </c>
      <c r="J38" s="6" t="n">
        <v>0</v>
      </c>
    </row>
    <row r="39">
      <c r="A39" s="4" t="inlineStr">
        <is>
          <t>Girdusky, Cynthia</t>
        </is>
      </c>
      <c r="B39" s="4" t="inlineStr">
        <is>
          <t>A_65507</t>
        </is>
      </c>
      <c r="C39" s="4" t="inlineStr">
        <is>
          <t>A_65507 - Medical Equip Srvcs Contracts</t>
        </is>
      </c>
      <c r="D39" s="6" t="n">
        <v>843658.1900000001</v>
      </c>
      <c r="E39" s="6" t="n">
        <v>724569.509528119</v>
      </c>
      <c r="F39" s="6" t="n">
        <v>921560.7</v>
      </c>
      <c r="G39" s="6" t="n">
        <v>923138.9399999999</v>
      </c>
      <c r="H39" s="6" t="n">
        <v>79480.74999999988</v>
      </c>
      <c r="I39" s="6" t="n">
        <v>198569.4304718809</v>
      </c>
      <c r="J39" s="6" t="n">
        <v>1578.239999999991</v>
      </c>
    </row>
    <row r="40">
      <c r="A40" s="4" t="inlineStr">
        <is>
          <t>Girdusky, Cynthia</t>
        </is>
      </c>
      <c r="B40" s="4" t="inlineStr">
        <is>
          <t>A_65510</t>
        </is>
      </c>
      <c r="C40" s="4" t="inlineStr">
        <is>
          <t>A_65510 - Freight</t>
        </is>
      </c>
      <c r="D40" s="6" t="n">
        <v>330078.62</v>
      </c>
      <c r="E40" s="6" t="n">
        <v>342616.0000000008</v>
      </c>
      <c r="F40" s="6" t="n">
        <v>345272.96</v>
      </c>
      <c r="G40" s="6" t="n">
        <v>344299.2</v>
      </c>
      <c r="H40" s="6" t="n">
        <v>14220.58000000002</v>
      </c>
      <c r="I40" s="6" t="n">
        <v>1683.199999999197</v>
      </c>
      <c r="J40" s="6" t="n">
        <v>-973.7600000000093</v>
      </c>
    </row>
    <row r="41">
      <c r="A41" s="4" t="inlineStr">
        <is>
          <t>Girdusky, Cynthia</t>
        </is>
      </c>
      <c r="B41" s="4" t="inlineStr">
        <is>
          <t>A_65515</t>
        </is>
      </c>
      <c r="C41" s="4" t="inlineStr">
        <is>
          <t>A_65515 - Ge Central Equip Svc Contract</t>
        </is>
      </c>
      <c r="D41" s="6" t="n">
        <v>4808.74</v>
      </c>
      <c r="E41" s="6" t="n">
        <v>4872</v>
      </c>
      <c r="F41" s="6" t="n">
        <v>4387.08</v>
      </c>
      <c r="G41" s="6" t="n">
        <v>4387.08</v>
      </c>
      <c r="H41" s="6" t="n">
        <v>-421.6599999999999</v>
      </c>
      <c r="I41" s="6" t="n">
        <v>-484.9200000000001</v>
      </c>
      <c r="J41" s="6" t="n">
        <v>0</v>
      </c>
    </row>
    <row r="42">
      <c r="A42" s="4" t="inlineStr">
        <is>
          <t>Girdusky, Cynthia</t>
        </is>
      </c>
      <c r="B42" s="4" t="inlineStr">
        <is>
          <t>A_65517</t>
        </is>
      </c>
      <c r="C42" s="4" t="inlineStr">
        <is>
          <t>A_65517 - Software Maint and Support</t>
        </is>
      </c>
      <c r="D42" s="6" t="n">
        <v>272210.82</v>
      </c>
      <c r="E42" s="6" t="n">
        <v>158418.9999999996</v>
      </c>
      <c r="F42" s="6" t="n">
        <v>195173.74</v>
      </c>
      <c r="G42" s="6" t="n">
        <v>196468.72</v>
      </c>
      <c r="H42" s="6" t="n">
        <v>-75742.10000000001</v>
      </c>
      <c r="I42" s="6" t="n">
        <v>38049.72000000041</v>
      </c>
      <c r="J42" s="6" t="n">
        <v>1294.98000000001</v>
      </c>
    </row>
    <row r="43">
      <c r="A43" s="4" t="inlineStr">
        <is>
          <t>Girdusky, Cynthia</t>
        </is>
      </c>
      <c r="B43" s="4" t="inlineStr">
        <is>
          <t>A_65524</t>
        </is>
      </c>
      <c r="C43" s="4" t="inlineStr">
        <is>
          <t>A_65524 - Fire Sup-Reprs-Prchsd-Contr Sv</t>
        </is>
      </c>
      <c r="D43" s="6" t="n">
        <v>4960</v>
      </c>
      <c r="E43" s="6" t="n">
        <v>0</v>
      </c>
      <c r="F43" s="6" t="n">
        <v>0</v>
      </c>
      <c r="G43" s="6" t="n">
        <v>0</v>
      </c>
      <c r="H43" s="6" t="n">
        <v>-4960</v>
      </c>
      <c r="I43" s="6" t="n">
        <v>0</v>
      </c>
      <c r="J43" s="6" t="n">
        <v>0</v>
      </c>
    </row>
    <row r="44">
      <c r="A44" s="4" t="inlineStr">
        <is>
          <t>Girdusky, Cynthia</t>
        </is>
      </c>
      <c r="B44" s="4" t="inlineStr">
        <is>
          <t>A_65525</t>
        </is>
      </c>
      <c r="C44" s="4" t="inlineStr">
        <is>
          <t>A_65525 - Maintenance And Repairs</t>
        </is>
      </c>
      <c r="D44" s="6" t="n">
        <v>112028.87</v>
      </c>
      <c r="E44" s="6" t="n">
        <v>89000.00000000039</v>
      </c>
      <c r="F44" s="6" t="n">
        <v>10869.46</v>
      </c>
      <c r="G44" s="6" t="n">
        <v>20000</v>
      </c>
      <c r="H44" s="6" t="n">
        <v>-92028.87</v>
      </c>
      <c r="I44" s="6" t="n">
        <v>-69000.00000000039</v>
      </c>
      <c r="J44" s="6" t="n">
        <v>9130.540000000001</v>
      </c>
    </row>
    <row r="45">
      <c r="A45" s="4" t="inlineStr">
        <is>
          <t>Girdusky, Cynthia</t>
        </is>
      </c>
      <c r="B45" s="4" t="inlineStr">
        <is>
          <t>A_65526</t>
        </is>
      </c>
      <c r="C45" s="4" t="inlineStr">
        <is>
          <t>A_65526 - Door Lock-Reprs-Prchsd-Cont Sv</t>
        </is>
      </c>
      <c r="D45" s="6" t="n">
        <v>1550</v>
      </c>
      <c r="E45" s="6" t="n">
        <v>0</v>
      </c>
      <c r="F45" s="6" t="n">
        <v>0</v>
      </c>
      <c r="G45" s="6" t="n">
        <v>0</v>
      </c>
      <c r="H45" s="6" t="n">
        <v>-1550</v>
      </c>
      <c r="I45" s="6" t="n">
        <v>0</v>
      </c>
      <c r="J45" s="6" t="n">
        <v>0</v>
      </c>
    </row>
    <row r="46">
      <c r="A46" s="4" t="inlineStr">
        <is>
          <t>Girdusky, Cynthia</t>
        </is>
      </c>
      <c r="B46" s="4" t="inlineStr">
        <is>
          <t>A_65527</t>
        </is>
      </c>
      <c r="C46" s="4" t="inlineStr">
        <is>
          <t>A_65527 - Med Equipment Maint &amp; Repairs</t>
        </is>
      </c>
      <c r="D46" s="6" t="n">
        <v>39680.13</v>
      </c>
      <c r="E46" s="6" t="n">
        <v>153</v>
      </c>
      <c r="F46" s="6" t="n">
        <v>25714.8</v>
      </c>
      <c r="G46" s="6" t="n">
        <v>80000</v>
      </c>
      <c r="H46" s="6" t="n">
        <v>40319.87</v>
      </c>
      <c r="I46" s="6" t="n">
        <v>79847</v>
      </c>
      <c r="J46" s="6" t="n">
        <v>54285.2</v>
      </c>
    </row>
    <row r="47">
      <c r="A47" s="4" t="inlineStr">
        <is>
          <t>Girdusky, Cynthia</t>
        </is>
      </c>
      <c r="B47" s="4" t="inlineStr">
        <is>
          <t>A_65530</t>
        </is>
      </c>
      <c r="C47" s="4" t="inlineStr">
        <is>
          <t>A_65530 - Medical Purchased Services</t>
        </is>
      </c>
      <c r="D47" s="6" t="n">
        <v>208</v>
      </c>
      <c r="E47" s="6" t="n">
        <v>0</v>
      </c>
      <c r="F47" s="6" t="n">
        <v>13104</v>
      </c>
      <c r="G47" s="6" t="n">
        <v>13104</v>
      </c>
      <c r="H47" s="6" t="n">
        <v>12896</v>
      </c>
      <c r="I47" s="6" t="n">
        <v>13104</v>
      </c>
      <c r="J47" s="6" t="n">
        <v>0</v>
      </c>
    </row>
    <row r="48">
      <c r="A48" s="4" t="inlineStr">
        <is>
          <t>Girdusky, Cynthia</t>
        </is>
      </c>
      <c r="B48" s="4" t="inlineStr">
        <is>
          <t>A_65535</t>
        </is>
      </c>
      <c r="C48" s="4" t="inlineStr">
        <is>
          <t>A_65535 - Other Purchased Services</t>
        </is>
      </c>
      <c r="D48" s="6" t="n">
        <v>23835.81</v>
      </c>
      <c r="E48" s="6" t="n">
        <v>41805</v>
      </c>
      <c r="F48" s="6" t="n">
        <v>9157.18</v>
      </c>
      <c r="G48" s="6" t="n">
        <v>6968</v>
      </c>
      <c r="H48" s="6" t="n">
        <v>-16867.81</v>
      </c>
      <c r="I48" s="6" t="n">
        <v>-34837</v>
      </c>
      <c r="J48" s="6" t="n">
        <v>-2189.18</v>
      </c>
    </row>
    <row r="49">
      <c r="A49" s="4" t="inlineStr">
        <is>
          <t>Girdusky, Cynthia</t>
        </is>
      </c>
      <c r="B49" s="4" t="inlineStr">
        <is>
          <t>A_65536</t>
        </is>
      </c>
      <c r="C49" s="4" t="inlineStr">
        <is>
          <t>A_65536 - Oth Purch Serv- Credentialling</t>
        </is>
      </c>
      <c r="D49" s="6" t="n">
        <v>513.5599999999999</v>
      </c>
      <c r="E49" s="6" t="n">
        <v>0</v>
      </c>
      <c r="F49" s="6" t="n">
        <v>3050</v>
      </c>
      <c r="G49" s="6" t="n">
        <v>3050</v>
      </c>
      <c r="H49" s="6" t="n">
        <v>2536.44</v>
      </c>
      <c r="I49" s="6" t="n">
        <v>3050</v>
      </c>
      <c r="J49" s="6" t="n">
        <v>0</v>
      </c>
    </row>
    <row r="50">
      <c r="A50" s="4" t="inlineStr">
        <is>
          <t>Girdusky, Cynthia</t>
        </is>
      </c>
      <c r="B50" s="4" t="inlineStr">
        <is>
          <t>A_65540</t>
        </is>
      </c>
      <c r="C50" s="4" t="inlineStr">
        <is>
          <t>A_65540 - Outside Messenger Service</t>
        </is>
      </c>
      <c r="D50" s="6" t="n">
        <v>608.5</v>
      </c>
      <c r="E50" s="6" t="n">
        <v>0</v>
      </c>
      <c r="F50" s="6" t="n">
        <v>294.26</v>
      </c>
      <c r="G50" s="6" t="n">
        <v>254.1</v>
      </c>
      <c r="H50" s="6" t="n">
        <v>-354.4</v>
      </c>
      <c r="I50" s="6" t="n">
        <v>254.1</v>
      </c>
      <c r="J50" s="6" t="n">
        <v>-40.16</v>
      </c>
    </row>
    <row r="51">
      <c r="A51" s="4" t="inlineStr">
        <is>
          <t>Girdusky, Cynthia</t>
        </is>
      </c>
      <c r="B51" s="4" t="inlineStr">
        <is>
          <t>A_66020</t>
        </is>
      </c>
      <c r="C51" s="4" t="inlineStr">
        <is>
          <t>A_66020 - Outside Training</t>
        </is>
      </c>
      <c r="D51" s="6" t="n">
        <v>0</v>
      </c>
      <c r="E51" s="6" t="n">
        <v>1899.9999999996</v>
      </c>
      <c r="F51" s="6" t="n">
        <v>170.24</v>
      </c>
      <c r="G51" s="6" t="n">
        <v>1600</v>
      </c>
      <c r="H51" s="6" t="n">
        <v>1600</v>
      </c>
      <c r="I51" s="6" t="n">
        <v>-299.9999999996</v>
      </c>
      <c r="J51" s="6" t="n">
        <v>1429.76</v>
      </c>
    </row>
    <row r="52">
      <c r="A52" s="4" t="inlineStr">
        <is>
          <t>Girdusky, Cynthia</t>
        </is>
      </c>
      <c r="B52" s="4" t="inlineStr">
        <is>
          <t>A_66040</t>
        </is>
      </c>
      <c r="C52" s="4" t="inlineStr">
        <is>
          <t>A_66040 - Postage</t>
        </is>
      </c>
      <c r="D52" s="6" t="n">
        <v>0</v>
      </c>
      <c r="E52" s="6" t="n">
        <v>0</v>
      </c>
      <c r="F52" s="6" t="n">
        <v>92.5</v>
      </c>
      <c r="G52" s="6" t="n">
        <v>0</v>
      </c>
      <c r="H52" s="6" t="n">
        <v>0</v>
      </c>
      <c r="I52" s="6" t="n">
        <v>0</v>
      </c>
      <c r="J52" s="6" t="n">
        <v>-92.5</v>
      </c>
    </row>
    <row r="53">
      <c r="A53" s="4" t="inlineStr">
        <is>
          <t>Girdusky, Cynthia</t>
        </is>
      </c>
      <c r="B53" s="4" t="inlineStr">
        <is>
          <t>A_66050</t>
        </is>
      </c>
      <c r="C53" s="4" t="inlineStr">
        <is>
          <t>A_66050 - Printing And Duplication</t>
        </is>
      </c>
      <c r="D53" s="6" t="n">
        <v>67024.67</v>
      </c>
      <c r="E53" s="6" t="n">
        <v>47187</v>
      </c>
      <c r="F53" s="6" t="n">
        <v>21778.46</v>
      </c>
      <c r="G53" s="6" t="n">
        <v>20008.16</v>
      </c>
      <c r="H53" s="6" t="n">
        <v>-47016.50999999999</v>
      </c>
      <c r="I53" s="6" t="n">
        <v>-27178.84</v>
      </c>
      <c r="J53" s="6" t="n">
        <v>-1770.299999999999</v>
      </c>
    </row>
    <row r="54">
      <c r="A54" s="4" t="inlineStr">
        <is>
          <t>Girdusky, Cynthia</t>
        </is>
      </c>
      <c r="B54" s="4" t="inlineStr">
        <is>
          <t>A_66060</t>
        </is>
      </c>
      <c r="C54" s="4" t="inlineStr">
        <is>
          <t>A_66060 - Other Expenses</t>
        </is>
      </c>
      <c r="D54" s="6" t="n">
        <v>6874.93</v>
      </c>
      <c r="E54" s="6" t="n">
        <v>4706.0000000004</v>
      </c>
      <c r="F54" s="6" t="n">
        <v>2082.74</v>
      </c>
      <c r="G54" s="6" t="n">
        <v>1500</v>
      </c>
      <c r="H54" s="6" t="n">
        <v>-5374.93</v>
      </c>
      <c r="I54" s="6" t="n">
        <v>-3206.0000000004</v>
      </c>
      <c r="J54" s="6" t="n">
        <v>-582.7399999999998</v>
      </c>
    </row>
    <row r="55">
      <c r="A55" s="4" t="inlineStr">
        <is>
          <t>Girdusky, Cynthia</t>
        </is>
      </c>
      <c r="B55" s="4" t="inlineStr">
        <is>
          <t>A_66070</t>
        </is>
      </c>
      <c r="C55" s="4" t="inlineStr">
        <is>
          <t>A_66070 - Advertising</t>
        </is>
      </c>
      <c r="D55" s="6" t="n">
        <v>528.39</v>
      </c>
      <c r="E55" s="6" t="n">
        <v>0</v>
      </c>
      <c r="F55" s="6" t="n">
        <v>0</v>
      </c>
      <c r="G55" s="6" t="n">
        <v>0</v>
      </c>
      <c r="H55" s="6" t="n">
        <v>-528.39</v>
      </c>
      <c r="I55" s="6" t="n">
        <v>0</v>
      </c>
      <c r="J55" s="6" t="n">
        <v>0</v>
      </c>
    </row>
    <row r="56">
      <c r="A56" s="4" t="inlineStr">
        <is>
          <t>Girdusky, Cynthia</t>
        </is>
      </c>
      <c r="B56" s="4" t="inlineStr">
        <is>
          <t>A_66075</t>
        </is>
      </c>
      <c r="C56" s="4" t="inlineStr">
        <is>
          <t>A_66075 - Promotional items</t>
        </is>
      </c>
      <c r="D56" s="6" t="n">
        <v>6210</v>
      </c>
      <c r="E56" s="6" t="n">
        <v>2499.9999999996</v>
      </c>
      <c r="F56" s="6" t="n">
        <v>0</v>
      </c>
      <c r="G56" s="6" t="n">
        <v>0</v>
      </c>
      <c r="H56" s="6" t="n">
        <v>-6210</v>
      </c>
      <c r="I56" s="6" t="n">
        <v>-2499.9999999996</v>
      </c>
      <c r="J56" s="6" t="n">
        <v>0</v>
      </c>
    </row>
    <row r="57">
      <c r="A57" s="4" t="inlineStr">
        <is>
          <t>Girdusky, Cynthia</t>
        </is>
      </c>
      <c r="B57" s="4" t="inlineStr">
        <is>
          <t>A_66090</t>
        </is>
      </c>
      <c r="C57" s="4" t="inlineStr">
        <is>
          <t>A_66090 - House Functions &amp; Corp Events</t>
        </is>
      </c>
      <c r="D57" s="6" t="n">
        <v>0</v>
      </c>
      <c r="E57" s="6" t="n">
        <v>3750</v>
      </c>
      <c r="F57" s="6" t="n">
        <v>0</v>
      </c>
      <c r="G57" s="6" t="n">
        <v>0</v>
      </c>
      <c r="H57" s="6" t="n">
        <v>0</v>
      </c>
      <c r="I57" s="6" t="n">
        <v>-3750</v>
      </c>
      <c r="J57" s="6" t="n">
        <v>0</v>
      </c>
    </row>
    <row r="58">
      <c r="A58" s="4" t="inlineStr">
        <is>
          <t>Girdusky, Cynthia</t>
        </is>
      </c>
      <c r="B58" s="4" t="inlineStr">
        <is>
          <t>A_66095</t>
        </is>
      </c>
      <c r="C58" s="4" t="inlineStr">
        <is>
          <t>A_66095 - Meals &amp; Entertainment</t>
        </is>
      </c>
      <c r="D58" s="6" t="n">
        <v>0</v>
      </c>
      <c r="E58" s="6" t="n">
        <v>699.9999999996</v>
      </c>
      <c r="F58" s="6" t="n">
        <v>0</v>
      </c>
      <c r="G58" s="6" t="n">
        <v>0</v>
      </c>
      <c r="H58" s="6" t="n">
        <v>0</v>
      </c>
      <c r="I58" s="6" t="n">
        <v>-699.9999999996</v>
      </c>
      <c r="J58" s="6" t="n">
        <v>0</v>
      </c>
    </row>
    <row r="59">
      <c r="A59" s="4" t="inlineStr">
        <is>
          <t>Girdusky, Cynthia</t>
        </is>
      </c>
      <c r="B59" s="4" t="inlineStr">
        <is>
          <t>A_66110</t>
        </is>
      </c>
      <c r="C59" s="4" t="inlineStr">
        <is>
          <t>A_66110 - Mileage</t>
        </is>
      </c>
      <c r="D59" s="6" t="n">
        <v>0</v>
      </c>
      <c r="E59" s="6" t="n">
        <v>0</v>
      </c>
      <c r="F59" s="6" t="n">
        <v>329.6</v>
      </c>
      <c r="G59" s="6" t="n">
        <v>329.6</v>
      </c>
      <c r="H59" s="6" t="n">
        <v>329.6</v>
      </c>
      <c r="I59" s="6" t="n">
        <v>329.6</v>
      </c>
      <c r="J59" s="6" t="n">
        <v>0</v>
      </c>
    </row>
    <row r="60">
      <c r="A60" s="4" t="inlineStr">
        <is>
          <t>Girdusky, Cynthia</t>
        </is>
      </c>
      <c r="B60" s="4" t="inlineStr">
        <is>
          <t>A_66150</t>
        </is>
      </c>
      <c r="C60" s="4" t="inlineStr">
        <is>
          <t>A_66150 - Travel</t>
        </is>
      </c>
      <c r="D60" s="6" t="n">
        <v>6523.95</v>
      </c>
      <c r="E60" s="6" t="n">
        <v>4691.0000000004</v>
      </c>
      <c r="F60" s="6" t="n">
        <v>2836.92</v>
      </c>
      <c r="G60" s="6" t="n">
        <v>2900</v>
      </c>
      <c r="H60" s="6" t="n">
        <v>-3623.95</v>
      </c>
      <c r="I60" s="6" t="n">
        <v>-1791.0000000004</v>
      </c>
      <c r="J60" s="6" t="n">
        <v>63.07999999999993</v>
      </c>
    </row>
    <row r="61">
      <c r="A61" s="4" t="inlineStr">
        <is>
          <t>Girdusky, Cynthia</t>
        </is>
      </c>
      <c r="B61" s="4" t="inlineStr">
        <is>
          <t>A_66170</t>
        </is>
      </c>
      <c r="C61" s="4" t="inlineStr">
        <is>
          <t>A_66170 - FLEX-Traveler Allowance</t>
        </is>
      </c>
      <c r="D61" s="6" t="n">
        <v>464187.57</v>
      </c>
      <c r="E61" s="6" t="n">
        <v>170000.0004</v>
      </c>
      <c r="F61" s="6" t="n">
        <v>612993.72</v>
      </c>
      <c r="G61" s="6" t="n">
        <v>0</v>
      </c>
      <c r="H61" s="6" t="n">
        <v>-464187.57</v>
      </c>
      <c r="I61" s="6" t="n">
        <v>-170000.0004</v>
      </c>
      <c r="J61" s="6" t="n">
        <v>-612993.72</v>
      </c>
    </row>
    <row r="62">
      <c r="A62" s="4" t="inlineStr">
        <is>
          <t>Girdusky, Cynthia</t>
        </is>
      </c>
      <c r="B62" s="4" t="inlineStr">
        <is>
          <t>A_66510</t>
        </is>
      </c>
      <c r="C62" s="4" t="inlineStr">
        <is>
          <t>A_66510 - Lease-Rentals - Other</t>
        </is>
      </c>
      <c r="D62" s="6" t="n">
        <v>882002.3</v>
      </c>
      <c r="E62" s="6" t="n">
        <v>816082.999999999</v>
      </c>
      <c r="F62" s="6" t="n">
        <v>783899.2</v>
      </c>
      <c r="G62" s="6" t="n">
        <v>783899.2</v>
      </c>
      <c r="H62" s="6" t="n">
        <v>-98103.10000000009</v>
      </c>
      <c r="I62" s="6" t="n">
        <v>-32183.799999999</v>
      </c>
      <c r="J62" s="6" t="n">
        <v>0</v>
      </c>
    </row>
    <row r="63">
      <c r="A63" s="4" t="inlineStr">
        <is>
          <t>Girdusky, Cynthia</t>
        </is>
      </c>
      <c r="B63" s="4" t="inlineStr">
        <is>
          <t>A_66515</t>
        </is>
      </c>
      <c r="C63" s="4" t="inlineStr">
        <is>
          <t>A_66515 - Lease Rentals - Copiers</t>
        </is>
      </c>
      <c r="D63" s="6" t="n">
        <v>22737.64</v>
      </c>
      <c r="E63" s="6" t="n">
        <v>19566.7599999996</v>
      </c>
      <c r="F63" s="6" t="n">
        <v>18872.08</v>
      </c>
      <c r="G63" s="6" t="n">
        <v>18872.08</v>
      </c>
      <c r="H63" s="6" t="n">
        <v>-3865.559999999998</v>
      </c>
      <c r="I63" s="6" t="n">
        <v>-694.6799999995965</v>
      </c>
      <c r="J63" s="6" t="n">
        <v>0</v>
      </c>
    </row>
    <row r="64">
      <c r="A64" s="4" t="inlineStr">
        <is>
          <t>Girdusky, Cynthia</t>
        </is>
      </c>
      <c r="B64" s="4" t="inlineStr">
        <is>
          <t>A_66523</t>
        </is>
      </c>
      <c r="C64" s="4" t="inlineStr">
        <is>
          <t>A_66523 - Equipment Rental per click fee</t>
        </is>
      </c>
      <c r="D64" s="6" t="n">
        <v>158675</v>
      </c>
      <c r="E64" s="6" t="n">
        <v>184140</v>
      </c>
      <c r="F64" s="6" t="n">
        <v>184700</v>
      </c>
      <c r="G64" s="6" t="n">
        <v>180000</v>
      </c>
      <c r="H64" s="6" t="n">
        <v>21325</v>
      </c>
      <c r="I64" s="6" t="n">
        <v>-4140</v>
      </c>
      <c r="J64" s="6" t="n">
        <v>-4700</v>
      </c>
    </row>
    <row r="65">
      <c r="A65" s="4" t="inlineStr">
        <is>
          <t>Girdusky, Cynthia</t>
        </is>
      </c>
      <c r="B65" s="4" t="inlineStr">
        <is>
          <t>A_66526</t>
        </is>
      </c>
      <c r="C65" s="4" t="inlineStr">
        <is>
          <t>A_66526 - Rentals - Medical Equipment</t>
        </is>
      </c>
      <c r="D65" s="6" t="n">
        <v>53397</v>
      </c>
      <c r="E65" s="6" t="n">
        <v>36000</v>
      </c>
      <c r="F65" s="6" t="n">
        <v>57200</v>
      </c>
      <c r="G65" s="6" t="n">
        <v>57200</v>
      </c>
      <c r="H65" s="6" t="n">
        <v>3803</v>
      </c>
      <c r="I65" s="6" t="n">
        <v>21200</v>
      </c>
      <c r="J65" s="6" t="n">
        <v>0</v>
      </c>
    </row>
    <row r="66">
      <c r="A66" s="4" t="inlineStr">
        <is>
          <t>Girdusky, Cynthia</t>
        </is>
      </c>
      <c r="B66" s="4" t="inlineStr">
        <is>
          <t>A_66528</t>
        </is>
      </c>
      <c r="C66" s="4" t="inlineStr">
        <is>
          <t>A_66528 - Cloud Software Licensing Fees</t>
        </is>
      </c>
      <c r="D66" s="6" t="n">
        <v>0</v>
      </c>
      <c r="E66" s="6" t="n">
        <v>0</v>
      </c>
      <c r="F66" s="6" t="n">
        <v>566.1</v>
      </c>
      <c r="G66" s="6" t="n">
        <v>566.1</v>
      </c>
      <c r="H66" s="6" t="n">
        <v>566.1</v>
      </c>
      <c r="I66" s="6" t="n">
        <v>566.1</v>
      </c>
      <c r="J66" s="6" t="n">
        <v>0</v>
      </c>
    </row>
    <row r="67">
      <c r="A67" s="7" t="inlineStr">
        <is>
          <t>Total</t>
        </is>
      </c>
      <c r="B67" s="7" t="n"/>
      <c r="C67" s="7" t="n"/>
      <c r="D67" s="8">
        <f>SUM(D6:D66)</f>
        <v/>
      </c>
      <c r="E67" s="8">
        <f>SUM(E6:E66)</f>
        <v/>
      </c>
      <c r="F67" s="8">
        <f>SUM(F6:F66)</f>
        <v/>
      </c>
      <c r="G67" s="8">
        <f>SUM(G6:G66)</f>
        <v/>
      </c>
      <c r="H67" s="8">
        <f>SUM(H6:H66)</f>
        <v/>
      </c>
      <c r="I67" s="8">
        <f>SUM(I6:I66)</f>
        <v/>
      </c>
      <c r="J67" s="8">
        <f>SUM(J6:J66)</f>
        <v/>
      </c>
    </row>
  </sheetData>
  <autoFilter ref="A5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2026-08-26T21:50:13Z</dcterms:created>
  <dcterms:modified xsi:type="dcterms:W3CDTF">2026-08-26T21:50:13Z</dcterms:modified>
</cp:coreProperties>
</file>