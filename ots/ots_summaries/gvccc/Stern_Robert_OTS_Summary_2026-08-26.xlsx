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pt Summary" sheetId="1" state="visible" r:id="rId1"/>
    <sheet name="Acct Summary" sheetId="2" state="visible" r:id="rId2"/>
  </sheets>
  <definedNames>
    <definedName name="_xlnm._FilterDatabase" localSheetId="0" hidden="1">'Dept Summary'!$A$5:$K$7</definedName>
    <definedName name="_xlnm._FilterDatabase" localSheetId="1" hidden="1">'Acct Summary'!$A$5:$J$59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##0"/>
    <numFmt numFmtId="165" formatCode="_($* #,##0_);_($* (#,##0);_($* &quot;-&quot;??_);_(@_)"/>
  </numFmts>
  <fonts count="4">
    <font>
      <name val="Calibri"/>
      <family val="2"/>
      <color theme="1"/>
      <sz val="11"/>
      <scheme val="minor"/>
    </font>
    <font>
      <name val="Ebrima"/>
      <b val="1"/>
      <sz val="10"/>
    </font>
    <font>
      <name val="Ebrima"/>
      <b val="1"/>
      <color rgb="00000000"/>
      <sz val="10"/>
    </font>
    <font>
      <name val="Ebrima"/>
      <sz val="10"/>
    </font>
  </fonts>
  <fills count="5">
    <fill>
      <patternFill/>
    </fill>
    <fill>
      <patternFill patternType="gray125"/>
    </fill>
    <fill>
      <patternFill patternType="solid">
        <fgColor rgb="00C5D9F1"/>
        <bgColor rgb="00C5D9F1"/>
      </patternFill>
    </fill>
    <fill>
      <patternFill patternType="solid">
        <fgColor rgb="00BFBFBF"/>
        <bgColor rgb="00BFBFBF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top style="thin"/>
      <bottom style="double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0" applyAlignment="1" pivotButton="0" quotePrefix="0" xfId="0">
      <alignment horizontal="center" wrapText="1"/>
    </xf>
    <xf numFmtId="0" fontId="3" fillId="0" borderId="0" applyAlignment="1" pivotButton="0" quotePrefix="0" xfId="0">
      <alignment horizontal="left"/>
    </xf>
    <xf numFmtId="164" fontId="3" fillId="0" borderId="0" applyAlignment="1" pivotButton="0" quotePrefix="0" xfId="0">
      <alignment horizontal="left"/>
    </xf>
    <xf numFmtId="165" fontId="3" fillId="0" borderId="0" applyAlignment="1" pivotButton="0" quotePrefix="0" xfId="0">
      <alignment horizontal="left"/>
    </xf>
    <xf numFmtId="0" fontId="1" fillId="4" borderId="1" pivotButton="0" quotePrefix="0" xfId="0"/>
    <xf numFmtId="165" fontId="1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4" customWidth="1" min="1" max="1"/>
    <col width="17" customWidth="1" min="2" max="2"/>
    <col width="17" customWidth="1" min="3" max="3"/>
    <col width="38" customWidth="1" min="4" max="4"/>
    <col width="15" customWidth="1" min="5" max="5"/>
    <col width="21" customWidth="1" min="6" max="6"/>
    <col width="21" customWidth="1" min="7" max="7"/>
    <col width="29" customWidth="1" min="8" max="8"/>
    <col width="29" customWidth="1" min="9" max="9"/>
    <col width="29" customWidth="1" min="10" max="10"/>
    <col width="33" customWidth="1" min="11" max="11"/>
  </cols>
  <sheetData>
    <row r="1">
      <c r="A1" s="1" t="inlineStr">
        <is>
          <t>GVCCC</t>
        </is>
      </c>
    </row>
    <row r="2">
      <c r="A2" s="1" t="inlineStr">
        <is>
          <t>2027 OTS Summary by Department</t>
        </is>
      </c>
    </row>
    <row r="3">
      <c r="A3" s="1" t="inlineStr">
        <is>
          <t>Updated 2026-08-26</t>
        </is>
      </c>
    </row>
    <row r="4">
      <c r="I4" s="2" t="inlineStr">
        <is>
          <t>Variance</t>
        </is>
      </c>
      <c r="J4" s="2" t="n"/>
      <c r="K4" s="2" t="n"/>
    </row>
    <row r="5">
      <c r="A5" s="3" t="inlineStr">
        <is>
          <t>VP</t>
        </is>
      </c>
      <c r="B5" s="3" t="inlineStr">
        <is>
          <t>Director</t>
        </is>
      </c>
      <c r="C5" s="3" t="inlineStr">
        <is>
          <t>Department ID</t>
        </is>
      </c>
      <c r="D5" s="3" t="inlineStr">
        <is>
          <t>Department</t>
        </is>
      </c>
      <c r="E5" s="3" t="inlineStr">
        <is>
          <t>2025 Actual</t>
        </is>
      </c>
      <c r="F5" s="3" t="inlineStr">
        <is>
          <t>2026 Budget</t>
        </is>
      </c>
      <c r="G5" s="3" t="inlineStr">
        <is>
          <t>2026 Projection</t>
        </is>
      </c>
      <c r="H5" s="3" t="inlineStr">
        <is>
          <t>2027 Budget w/o Inflation</t>
        </is>
      </c>
      <c r="I5" s="3" t="inlineStr">
        <is>
          <t>2027 Budget - 2025 Actual</t>
        </is>
      </c>
      <c r="J5" s="3" t="inlineStr">
        <is>
          <t>2027 Budget - 2026 Budget</t>
        </is>
      </c>
      <c r="K5" s="3" t="inlineStr">
        <is>
          <t>2027 Budget - 2026 Projection</t>
        </is>
      </c>
    </row>
    <row r="6">
      <c r="A6" s="4" t="inlineStr">
        <is>
          <t>Stern, Robert</t>
        </is>
      </c>
      <c r="B6" s="4" t="inlineStr">
        <is>
          <t>Stern, Robert</t>
        </is>
      </c>
      <c r="C6" s="5" t="n">
        <v>74002561</v>
      </c>
      <c r="D6" s="4" t="inlineStr">
        <is>
          <t>GVCCC_74002561 - NRSG-Cardiac Cath</t>
        </is>
      </c>
      <c r="E6" s="6" t="n">
        <v>2807342.02</v>
      </c>
      <c r="F6" s="6" t="n">
        <v>4914924.984242377</v>
      </c>
      <c r="G6" s="6" t="n">
        <v>7336153.150550664</v>
      </c>
      <c r="H6" s="6" t="n">
        <v>7952943.898242972</v>
      </c>
      <c r="I6" s="6" t="n">
        <v>5145601.878242971</v>
      </c>
      <c r="J6" s="6" t="n">
        <v>3038018.914000595</v>
      </c>
      <c r="K6" s="6" t="n">
        <v>616790.7476923075</v>
      </c>
    </row>
    <row r="7">
      <c r="A7" s="4" t="inlineStr">
        <is>
          <t>Stern, Robert</t>
        </is>
      </c>
      <c r="B7" s="4" t="inlineStr">
        <is>
          <t>Stern, Robert</t>
        </is>
      </c>
      <c r="C7" s="5" t="n">
        <v>74002563</v>
      </c>
      <c r="D7" s="4" t="inlineStr">
        <is>
          <t>GVCCC_74002563 - Cardio EPS</t>
        </is>
      </c>
      <c r="E7" s="6" t="n">
        <v>-9147.33</v>
      </c>
      <c r="F7" s="6" t="n">
        <v>0</v>
      </c>
      <c r="G7" s="6" t="n">
        <v>0</v>
      </c>
      <c r="H7" s="6" t="n">
        <v>0</v>
      </c>
      <c r="I7" s="6" t="n">
        <v>9147.33</v>
      </c>
      <c r="J7" s="6" t="n">
        <v>0</v>
      </c>
      <c r="K7" s="6" t="n">
        <v>0</v>
      </c>
    </row>
    <row r="8">
      <c r="A8" s="7" t="inlineStr">
        <is>
          <t>Total</t>
        </is>
      </c>
      <c r="B8" s="7" t="n"/>
      <c r="C8" s="7">
        <f>SUM(C6:C7)</f>
        <v/>
      </c>
      <c r="D8" s="7" t="n"/>
      <c r="E8" s="8">
        <f>SUM(E6:E7)</f>
        <v/>
      </c>
      <c r="F8" s="8">
        <f>SUM(F6:F7)</f>
        <v/>
      </c>
      <c r="G8" s="8">
        <f>SUM(G6:G7)</f>
        <v/>
      </c>
      <c r="H8" s="8">
        <f>SUM(H6:H7)</f>
        <v/>
      </c>
      <c r="I8" s="8">
        <f>SUM(I6:I7)</f>
        <v/>
      </c>
      <c r="J8" s="8">
        <f>SUM(J6:J7)</f>
        <v/>
      </c>
      <c r="K8" s="8">
        <f>SUM(K6:K7)</f>
        <v/>
      </c>
    </row>
  </sheetData>
  <autoFilter ref="A5:K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1" customWidth="1" min="1" max="1"/>
    <col width="18" customWidth="1" min="2" max="2"/>
    <col width="44" customWidth="1" min="3" max="3"/>
    <col width="22" customWidth="1" min="4" max="4"/>
    <col width="20" customWidth="1" min="5" max="5"/>
    <col width="22" customWidth="1" min="6" max="6"/>
    <col width="29" customWidth="1" min="7" max="7"/>
    <col width="29" customWidth="1" min="8" max="8"/>
    <col width="29" customWidth="1" min="9" max="9"/>
    <col width="33" customWidth="1" min="10" max="10"/>
  </cols>
  <sheetData>
    <row r="1">
      <c r="A1" s="1" t="inlineStr">
        <is>
          <t>GVCCC</t>
        </is>
      </c>
    </row>
    <row r="2">
      <c r="A2" s="1" t="inlineStr">
        <is>
          <t>2027 OTS Summary by Account</t>
        </is>
      </c>
    </row>
    <row r="3">
      <c r="A3" s="1" t="inlineStr">
        <is>
          <t>Updated 2026-08-26</t>
        </is>
      </c>
    </row>
    <row r="4">
      <c r="H4" s="2" t="inlineStr">
        <is>
          <t>Variance</t>
        </is>
      </c>
      <c r="I4" s="2" t="n"/>
      <c r="J4" s="2" t="n"/>
    </row>
    <row r="5">
      <c r="A5" s="3" t="inlineStr">
        <is>
          <t>VP</t>
        </is>
      </c>
      <c r="B5" s="3" t="inlineStr">
        <is>
          <t>Account Number</t>
        </is>
      </c>
      <c r="C5" s="3" t="inlineStr">
        <is>
          <t>Account Name</t>
        </is>
      </c>
      <c r="D5" s="3" t="inlineStr">
        <is>
          <t>2025 Actual</t>
        </is>
      </c>
      <c r="E5" s="3" t="inlineStr">
        <is>
          <t>2026 Budget</t>
        </is>
      </c>
      <c r="F5" s="3" t="inlineStr">
        <is>
          <t>2026 Projection</t>
        </is>
      </c>
      <c r="G5" s="3" t="inlineStr">
        <is>
          <t>2027 Budget w/o Inflation</t>
        </is>
      </c>
      <c r="H5" s="3" t="inlineStr">
        <is>
          <t>2027 Budget - 2025 Actual</t>
        </is>
      </c>
      <c r="I5" s="3" t="inlineStr">
        <is>
          <t>2027 Budget - 2026 Budget</t>
        </is>
      </c>
      <c r="J5" s="3" t="inlineStr">
        <is>
          <t>2027 Budget - 2026 Projection</t>
        </is>
      </c>
    </row>
    <row r="6">
      <c r="A6" s="4" t="inlineStr">
        <is>
          <t>Stern, Robert</t>
        </is>
      </c>
      <c r="B6" s="4" t="inlineStr">
        <is>
          <t>A_55009</t>
        </is>
      </c>
      <c r="C6" s="4" t="inlineStr">
        <is>
          <t>A_55009 - Supply Chain Channel Rebates</t>
        </is>
      </c>
      <c r="D6" s="6" t="n">
        <v>-7</v>
      </c>
      <c r="E6" s="6" t="n">
        <v>0</v>
      </c>
      <c r="F6" s="6" t="n">
        <v>-56.3076923077</v>
      </c>
      <c r="G6" s="6" t="n">
        <v>0</v>
      </c>
      <c r="H6" s="6" t="n">
        <v>7</v>
      </c>
      <c r="I6" s="6" t="n">
        <v>0</v>
      </c>
      <c r="J6" s="6" t="n">
        <v>56.3076923077</v>
      </c>
    </row>
    <row r="7">
      <c r="A7" s="4" t="inlineStr">
        <is>
          <t>Stern, Robert</t>
        </is>
      </c>
      <c r="B7" s="4" t="inlineStr">
        <is>
          <t>A_55010</t>
        </is>
      </c>
      <c r="C7" s="4" t="inlineStr">
        <is>
          <t>A_55010 - Rebates From Vendors</t>
        </is>
      </c>
      <c r="D7" s="6" t="n">
        <v>-37019.43</v>
      </c>
      <c r="E7" s="6" t="n">
        <v>-517871</v>
      </c>
      <c r="F7" s="6" t="n">
        <v>-616662.42</v>
      </c>
      <c r="G7" s="6" t="n">
        <v>0</v>
      </c>
      <c r="H7" s="6" t="n">
        <v>37019.43</v>
      </c>
      <c r="I7" s="6" t="n">
        <v>517871</v>
      </c>
      <c r="J7" s="6" t="n">
        <v>616662.42</v>
      </c>
    </row>
    <row r="8">
      <c r="A8" s="4" t="inlineStr">
        <is>
          <t>Stern, Robert</t>
        </is>
      </c>
      <c r="B8" s="4" t="inlineStr">
        <is>
          <t>A_61000</t>
        </is>
      </c>
      <c r="C8" s="4" t="inlineStr">
        <is>
          <t>A_61000 - Consulting Fees</t>
        </is>
      </c>
      <c r="D8" s="6" t="n">
        <v>7600</v>
      </c>
      <c r="E8" s="6" t="n">
        <v>0</v>
      </c>
      <c r="F8" s="6" t="n">
        <v>0</v>
      </c>
      <c r="G8" s="6" t="n">
        <v>0</v>
      </c>
      <c r="H8" s="6" t="n">
        <v>-7600</v>
      </c>
      <c r="I8" s="6" t="n">
        <v>0</v>
      </c>
      <c r="J8" s="6" t="n">
        <v>0</v>
      </c>
    </row>
    <row r="9">
      <c r="A9" s="4" t="inlineStr">
        <is>
          <t>Stern, Robert</t>
        </is>
      </c>
      <c r="B9" s="4" t="inlineStr">
        <is>
          <t>A_61300</t>
        </is>
      </c>
      <c r="C9" s="4" t="inlineStr">
        <is>
          <t>A_61300 - Nursing Fees</t>
        </is>
      </c>
      <c r="D9" s="6" t="n">
        <v>67020</v>
      </c>
      <c r="E9" s="6" t="n">
        <v>0</v>
      </c>
      <c r="F9" s="6" t="n">
        <v>0</v>
      </c>
      <c r="G9" s="6" t="n">
        <v>0</v>
      </c>
      <c r="H9" s="6" t="n">
        <v>-67020</v>
      </c>
      <c r="I9" s="6" t="n">
        <v>0</v>
      </c>
      <c r="J9" s="6" t="n">
        <v>0</v>
      </c>
    </row>
    <row r="10">
      <c r="A10" s="4" t="inlineStr">
        <is>
          <t>Stern, Robert</t>
        </is>
      </c>
      <c r="B10" s="4" t="inlineStr">
        <is>
          <t>A_61400</t>
        </is>
      </c>
      <c r="C10" s="4" t="inlineStr">
        <is>
          <t>A_61400 - Other Fees</t>
        </is>
      </c>
      <c r="D10" s="6" t="n">
        <v>0</v>
      </c>
      <c r="E10" s="6" t="n">
        <v>0</v>
      </c>
      <c r="F10" s="6" t="n">
        <v>1776</v>
      </c>
      <c r="G10" s="6" t="n">
        <v>1776</v>
      </c>
      <c r="H10" s="6" t="n">
        <v>1776</v>
      </c>
      <c r="I10" s="6" t="n">
        <v>1776</v>
      </c>
      <c r="J10" s="6" t="n">
        <v>0</v>
      </c>
    </row>
    <row r="11">
      <c r="A11" s="4" t="inlineStr">
        <is>
          <t>Stern, Robert</t>
        </is>
      </c>
      <c r="B11" s="4" t="inlineStr">
        <is>
          <t>A_63000</t>
        </is>
      </c>
      <c r="C11" s="4" t="inlineStr">
        <is>
          <t>A_63000 - Supplies - Laboratory</t>
        </is>
      </c>
      <c r="D11" s="6" t="n">
        <v>14544.3</v>
      </c>
      <c r="E11" s="6" t="n">
        <v>9821.3074594593</v>
      </c>
      <c r="F11" s="6" t="n">
        <v>17399.0769230769</v>
      </c>
      <c r="G11" s="6" t="n">
        <v>17399.0769230769</v>
      </c>
      <c r="H11" s="6" t="n">
        <v>2854.776923076901</v>
      </c>
      <c r="I11" s="6" t="n">
        <v>7577.7694636176</v>
      </c>
      <c r="J11" s="6" t="n">
        <v>0</v>
      </c>
    </row>
    <row r="12">
      <c r="A12" s="4" t="inlineStr">
        <is>
          <t>Stern, Robert</t>
        </is>
      </c>
      <c r="B12" s="4" t="inlineStr">
        <is>
          <t>A_63005</t>
        </is>
      </c>
      <c r="C12" s="4" t="inlineStr">
        <is>
          <t>A_63005 - Supplies - Reagents</t>
        </is>
      </c>
      <c r="D12" s="6" t="n">
        <v>37229.98</v>
      </c>
      <c r="E12" s="6" t="n">
        <v>161194.637837838</v>
      </c>
      <c r="F12" s="6" t="n">
        <v>28274.1837362637</v>
      </c>
      <c r="G12" s="6" t="n">
        <v>28274.1837362637</v>
      </c>
      <c r="H12" s="6" t="n">
        <v>-8955.796263736302</v>
      </c>
      <c r="I12" s="6" t="n">
        <v>-132920.4541015743</v>
      </c>
      <c r="J12" s="6" t="n">
        <v>0</v>
      </c>
    </row>
    <row r="13">
      <c r="A13" s="4" t="inlineStr">
        <is>
          <t>Stern, Robert</t>
        </is>
      </c>
      <c r="B13" s="4" t="inlineStr">
        <is>
          <t>A_63009</t>
        </is>
      </c>
      <c r="C13" s="4" t="inlineStr">
        <is>
          <t>A_63009 - Supplies - Implants - Joint</t>
        </is>
      </c>
      <c r="D13" s="6" t="n">
        <v>0</v>
      </c>
      <c r="E13" s="6" t="n">
        <v>0</v>
      </c>
      <c r="F13" s="6" t="n">
        <v>6636.2637362637</v>
      </c>
      <c r="G13" s="6" t="n">
        <v>6636.2637362637</v>
      </c>
      <c r="H13" s="6" t="n">
        <v>6636.2637362637</v>
      </c>
      <c r="I13" s="6" t="n">
        <v>6636.2637362637</v>
      </c>
      <c r="J13" s="6" t="n">
        <v>0</v>
      </c>
    </row>
    <row r="14">
      <c r="A14" s="4" t="inlineStr">
        <is>
          <t>Stern, Robert</t>
        </is>
      </c>
      <c r="B14" s="4" t="inlineStr">
        <is>
          <t>A_63010</t>
        </is>
      </c>
      <c r="C14" s="4" t="inlineStr">
        <is>
          <t>A_63010 - Supplies - Implnts - Oth Ortho</t>
        </is>
      </c>
      <c r="D14" s="6" t="n">
        <v>0</v>
      </c>
      <c r="E14" s="6" t="n">
        <v>0</v>
      </c>
      <c r="F14" s="6" t="n">
        <v>1421.7692307692</v>
      </c>
      <c r="G14" s="6" t="n">
        <v>1421.7692307692</v>
      </c>
      <c r="H14" s="6" t="n">
        <v>1421.7692307692</v>
      </c>
      <c r="I14" s="6" t="n">
        <v>1421.7692307692</v>
      </c>
      <c r="J14" s="6" t="n">
        <v>0</v>
      </c>
    </row>
    <row r="15">
      <c r="A15" s="4" t="inlineStr">
        <is>
          <t>Stern, Robert</t>
        </is>
      </c>
      <c r="B15" s="4" t="inlineStr">
        <is>
          <t>A_63015</t>
        </is>
      </c>
      <c r="C15" s="4" t="inlineStr">
        <is>
          <t>A_63015 - Supplies - Implants - Neuro</t>
        </is>
      </c>
      <c r="D15" s="6" t="n">
        <v>544</v>
      </c>
      <c r="E15" s="6" t="n">
        <v>80663.41</v>
      </c>
      <c r="F15" s="6" t="n">
        <v>7704.0989010989</v>
      </c>
      <c r="G15" s="6" t="n">
        <v>7704.0989010989</v>
      </c>
      <c r="H15" s="6" t="n">
        <v>7160.0989010989</v>
      </c>
      <c r="I15" s="6" t="n">
        <v>-72959.3110989011</v>
      </c>
      <c r="J15" s="6" t="n">
        <v>0</v>
      </c>
    </row>
    <row r="16">
      <c r="A16" s="4" t="inlineStr">
        <is>
          <t>Stern, Robert</t>
        </is>
      </c>
      <c r="B16" s="4" t="inlineStr">
        <is>
          <t>A_63020</t>
        </is>
      </c>
      <c r="C16" s="4" t="inlineStr">
        <is>
          <t>A_63020 - Supplies Wound Closure</t>
        </is>
      </c>
      <c r="D16" s="6" t="n">
        <v>5305.23</v>
      </c>
      <c r="E16" s="6" t="n">
        <v>63969.1726270269</v>
      </c>
      <c r="F16" s="6" t="n">
        <v>4313.7323076923</v>
      </c>
      <c r="G16" s="6" t="n">
        <v>4313.7323076923</v>
      </c>
      <c r="H16" s="6" t="n">
        <v>-991.4976923076993</v>
      </c>
      <c r="I16" s="6" t="n">
        <v>-59655.4403193346</v>
      </c>
      <c r="J16" s="6" t="n">
        <v>0</v>
      </c>
    </row>
    <row r="17">
      <c r="A17" s="4" t="inlineStr">
        <is>
          <t>Stern, Robert</t>
        </is>
      </c>
      <c r="B17" s="4" t="inlineStr">
        <is>
          <t>A_63030</t>
        </is>
      </c>
      <c r="C17" s="4" t="inlineStr">
        <is>
          <t>A_63030 - Supplies - Medical</t>
        </is>
      </c>
      <c r="D17" s="6" t="n">
        <v>202589.28</v>
      </c>
      <c r="E17" s="6" t="n">
        <v>506670.589135135</v>
      </c>
      <c r="F17" s="6" t="n">
        <v>216950.381208791</v>
      </c>
      <c r="G17" s="6" t="n">
        <v>216950.381208791</v>
      </c>
      <c r="H17" s="6" t="n">
        <v>14361.10120879099</v>
      </c>
      <c r="I17" s="6" t="n">
        <v>-289720.207926344</v>
      </c>
      <c r="J17" s="6" t="n">
        <v>0</v>
      </c>
    </row>
    <row r="18">
      <c r="A18" s="4" t="inlineStr">
        <is>
          <t>Stern, Robert</t>
        </is>
      </c>
      <c r="B18" s="4" t="inlineStr">
        <is>
          <t>A_63032</t>
        </is>
      </c>
      <c r="C18" s="4" t="inlineStr">
        <is>
          <t>A_63032 - Supplies - Medical - PPE</t>
        </is>
      </c>
      <c r="D18" s="6" t="n">
        <v>0</v>
      </c>
      <c r="E18" s="6" t="n">
        <v>683.2799999997</v>
      </c>
      <c r="F18" s="6" t="n">
        <v>0</v>
      </c>
      <c r="G18" s="6" t="n">
        <v>0</v>
      </c>
      <c r="H18" s="6" t="n">
        <v>0</v>
      </c>
      <c r="I18" s="6" t="n">
        <v>-683.2799999997</v>
      </c>
      <c r="J18" s="6" t="n">
        <v>0</v>
      </c>
    </row>
    <row r="19">
      <c r="A19" s="4" t="inlineStr">
        <is>
          <t>Stern, Robert</t>
        </is>
      </c>
      <c r="B19" s="4" t="inlineStr">
        <is>
          <t>A_63035</t>
        </is>
      </c>
      <c r="C19" s="4" t="inlineStr">
        <is>
          <t>A_63035 - Supplies - Gases</t>
        </is>
      </c>
      <c r="D19" s="6" t="n">
        <v>0</v>
      </c>
      <c r="E19" s="6" t="n">
        <v>915.2000000003</v>
      </c>
      <c r="F19" s="6" t="n">
        <v>0</v>
      </c>
      <c r="G19" s="6" t="n">
        <v>0</v>
      </c>
      <c r="H19" s="6" t="n">
        <v>0</v>
      </c>
      <c r="I19" s="6" t="n">
        <v>-915.2000000003</v>
      </c>
      <c r="J19" s="6" t="n">
        <v>0</v>
      </c>
    </row>
    <row r="20">
      <c r="A20" s="4" t="inlineStr">
        <is>
          <t>Stern, Robert</t>
        </is>
      </c>
      <c r="B20" s="4" t="inlineStr">
        <is>
          <t>A_63040</t>
        </is>
      </c>
      <c r="C20" s="4" t="inlineStr">
        <is>
          <t>A_63040 - Supplies - Radiology</t>
        </is>
      </c>
      <c r="D20" s="6" t="n">
        <v>76580.52</v>
      </c>
      <c r="E20" s="6" t="n">
        <v>335334.378551352</v>
      </c>
      <c r="F20" s="6" t="n">
        <v>268655.703956044</v>
      </c>
      <c r="G20" s="6" t="n">
        <v>268655.703956044</v>
      </c>
      <c r="H20" s="6" t="n">
        <v>192075.183956044</v>
      </c>
      <c r="I20" s="6" t="n">
        <v>-66678.67459530802</v>
      </c>
      <c r="J20" s="6" t="n">
        <v>0</v>
      </c>
    </row>
    <row r="21">
      <c r="A21" s="4" t="inlineStr">
        <is>
          <t>Stern, Robert</t>
        </is>
      </c>
      <c r="B21" s="4" t="inlineStr">
        <is>
          <t>A_63045</t>
        </is>
      </c>
      <c r="C21" s="4" t="inlineStr">
        <is>
          <t>A_63045 - Supplies - Med Equip Repair</t>
        </is>
      </c>
      <c r="D21" s="6" t="n">
        <v>214.85</v>
      </c>
      <c r="E21" s="6" t="n">
        <v>2653.4555675672</v>
      </c>
      <c r="F21" s="6" t="n">
        <v>4779.0550549451</v>
      </c>
      <c r="G21" s="6" t="n">
        <v>4779.0550549451</v>
      </c>
      <c r="H21" s="6" t="n">
        <v>4564.2050549451</v>
      </c>
      <c r="I21" s="6" t="n">
        <v>2125.5994873779</v>
      </c>
      <c r="J21" s="6" t="n">
        <v>0</v>
      </c>
    </row>
    <row r="22">
      <c r="A22" s="4" t="inlineStr">
        <is>
          <t>Stern, Robert</t>
        </is>
      </c>
      <c r="B22" s="4" t="inlineStr">
        <is>
          <t>A_63050</t>
        </is>
      </c>
      <c r="C22" s="4" t="inlineStr">
        <is>
          <t>A_63050 - Supplies - Iv Solutions &amp; Sets</t>
        </is>
      </c>
      <c r="D22" s="6" t="n">
        <v>8474.110000000001</v>
      </c>
      <c r="E22" s="6" t="n">
        <v>45732.2571243245</v>
      </c>
      <c r="F22" s="6" t="n">
        <v>21464.7336263736</v>
      </c>
      <c r="G22" s="6" t="n">
        <v>21464.7336263736</v>
      </c>
      <c r="H22" s="6" t="n">
        <v>12990.6236263736</v>
      </c>
      <c r="I22" s="6" t="n">
        <v>-24267.5234979509</v>
      </c>
      <c r="J22" s="6" t="n">
        <v>0</v>
      </c>
    </row>
    <row r="23">
      <c r="A23" s="4" t="inlineStr">
        <is>
          <t>Stern, Robert</t>
        </is>
      </c>
      <c r="B23" s="4" t="inlineStr">
        <is>
          <t>A_63058</t>
        </is>
      </c>
      <c r="C23" s="4" t="inlineStr">
        <is>
          <t>A_63058 - Supplies Impl Coronary Stents</t>
        </is>
      </c>
      <c r="D23" s="6" t="n">
        <v>199925</v>
      </c>
      <c r="E23" s="6" t="n">
        <v>291737.405405405</v>
      </c>
      <c r="F23" s="6" t="n">
        <v>772997.027472527</v>
      </c>
      <c r="G23" s="6" t="n">
        <v>772997.027472527</v>
      </c>
      <c r="H23" s="6" t="n">
        <v>573072.027472527</v>
      </c>
      <c r="I23" s="6" t="n">
        <v>481259.622067122</v>
      </c>
      <c r="J23" s="6" t="n">
        <v>0</v>
      </c>
    </row>
    <row r="24">
      <c r="A24" s="4" t="inlineStr">
        <is>
          <t>Stern, Robert</t>
        </is>
      </c>
      <c r="B24" s="4" t="inlineStr">
        <is>
          <t>A_63059</t>
        </is>
      </c>
      <c r="C24" s="4" t="inlineStr">
        <is>
          <t>A_63059 - Supplies Impl Vascular Stents</t>
        </is>
      </c>
      <c r="D24" s="6" t="n">
        <v>62928</v>
      </c>
      <c r="E24" s="6" t="n">
        <v>348005.915675675</v>
      </c>
      <c r="F24" s="6" t="n">
        <v>193851.296703297</v>
      </c>
      <c r="G24" s="6" t="n">
        <v>193851.296703297</v>
      </c>
      <c r="H24" s="6" t="n">
        <v>130923.296703297</v>
      </c>
      <c r="I24" s="6" t="n">
        <v>-154154.618972378</v>
      </c>
      <c r="J24" s="6" t="n">
        <v>0</v>
      </c>
    </row>
    <row r="25">
      <c r="A25" s="4" t="inlineStr">
        <is>
          <t>Stern, Robert</t>
        </is>
      </c>
      <c r="B25" s="4" t="inlineStr">
        <is>
          <t>A_63060</t>
        </is>
      </c>
      <c r="C25" s="4" t="inlineStr">
        <is>
          <t>A_63060 - Supplies - Surgery Packs-Sheet</t>
        </is>
      </c>
      <c r="D25" s="6" t="n">
        <v>44903.97</v>
      </c>
      <c r="E25" s="6" t="n">
        <v>28827.1363459462</v>
      </c>
      <c r="F25" s="6" t="n">
        <v>260939.820659341</v>
      </c>
      <c r="G25" s="6" t="n">
        <v>260939.820659341</v>
      </c>
      <c r="H25" s="6" t="n">
        <v>216035.850659341</v>
      </c>
      <c r="I25" s="6" t="n">
        <v>232112.6843133948</v>
      </c>
      <c r="J25" s="6" t="n">
        <v>0</v>
      </c>
    </row>
    <row r="26">
      <c r="A26" s="4" t="inlineStr">
        <is>
          <t>Stern, Robert</t>
        </is>
      </c>
      <c r="B26" s="4" t="inlineStr">
        <is>
          <t>A_63062</t>
        </is>
      </c>
      <c r="C26" s="4" t="inlineStr">
        <is>
          <t>A_63062 - Supplies - Impl - Oth Vascular</t>
        </is>
      </c>
      <c r="D26" s="6" t="n">
        <v>316721.6</v>
      </c>
      <c r="E26" s="6" t="n">
        <v>873419.908237838</v>
      </c>
      <c r="F26" s="6" t="n">
        <v>900887.04</v>
      </c>
      <c r="G26" s="6" t="n">
        <v>900887.04</v>
      </c>
      <c r="H26" s="6" t="n">
        <v>584165.4400000001</v>
      </c>
      <c r="I26" s="6" t="n">
        <v>27467.13176216208</v>
      </c>
      <c r="J26" s="6" t="n">
        <v>0</v>
      </c>
    </row>
    <row r="27">
      <c r="A27" s="4" t="inlineStr">
        <is>
          <t>Stern, Robert</t>
        </is>
      </c>
      <c r="B27" s="4" t="inlineStr">
        <is>
          <t>A_63063</t>
        </is>
      </c>
      <c r="C27" s="4" t="inlineStr">
        <is>
          <t>A_63063 - Supplies - Implants - Pacemkrs</t>
        </is>
      </c>
      <c r="D27" s="6" t="n">
        <v>118835.1</v>
      </c>
      <c r="E27" s="6" t="n">
        <v>15363.2400000002</v>
      </c>
      <c r="F27" s="6" t="n">
        <v>598921.193406594</v>
      </c>
      <c r="G27" s="6" t="n">
        <v>598921.193406594</v>
      </c>
      <c r="H27" s="6" t="n">
        <v>480086.093406594</v>
      </c>
      <c r="I27" s="6" t="n">
        <v>583557.9534065938</v>
      </c>
      <c r="J27" s="6" t="n">
        <v>0</v>
      </c>
    </row>
    <row r="28">
      <c r="A28" s="4" t="inlineStr">
        <is>
          <t>Stern, Robert</t>
        </is>
      </c>
      <c r="B28" s="4" t="inlineStr">
        <is>
          <t>A_63064</t>
        </is>
      </c>
      <c r="C28" s="4" t="inlineStr">
        <is>
          <t>A_63064 - Supplies - Implants - ICDs</t>
        </is>
      </c>
      <c r="D28" s="6" t="n">
        <v>203978.6</v>
      </c>
      <c r="E28" s="6" t="n">
        <v>0</v>
      </c>
      <c r="F28" s="6" t="n">
        <v>332225.43956044</v>
      </c>
      <c r="G28" s="6" t="n">
        <v>332225.43956044</v>
      </c>
      <c r="H28" s="6" t="n">
        <v>128246.83956044</v>
      </c>
      <c r="I28" s="6" t="n">
        <v>332225.43956044</v>
      </c>
      <c r="J28" s="6" t="n">
        <v>0</v>
      </c>
    </row>
    <row r="29">
      <c r="A29" s="4" t="inlineStr">
        <is>
          <t>Stern, Robert</t>
        </is>
      </c>
      <c r="B29" s="4" t="inlineStr">
        <is>
          <t>A_63065</t>
        </is>
      </c>
      <c r="C29" s="4" t="inlineStr">
        <is>
          <t>A_63065 - Supplies - mpl - Oth Coronary</t>
        </is>
      </c>
      <c r="D29" s="6" t="n">
        <v>565638.66</v>
      </c>
      <c r="E29" s="6" t="n">
        <v>1641266.75303784</v>
      </c>
      <c r="F29" s="6" t="n">
        <v>2570703.6810989</v>
      </c>
      <c r="G29" s="6" t="n">
        <v>2570703.6810989</v>
      </c>
      <c r="H29" s="6" t="n">
        <v>2005065.0210989</v>
      </c>
      <c r="I29" s="6" t="n">
        <v>929436.9280610599</v>
      </c>
      <c r="J29" s="6" t="n">
        <v>0</v>
      </c>
    </row>
    <row r="30">
      <c r="A30" s="4" t="inlineStr">
        <is>
          <t>Stern, Robert</t>
        </is>
      </c>
      <c r="B30" s="4" t="inlineStr">
        <is>
          <t>A_63070</t>
        </is>
      </c>
      <c r="C30" s="4" t="inlineStr">
        <is>
          <t>A_63070 - Supplies - Implants - All Oth</t>
        </is>
      </c>
      <c r="D30" s="6" t="n">
        <v>34415.89</v>
      </c>
      <c r="E30" s="6" t="n">
        <v>197508.756843243</v>
      </c>
      <c r="F30" s="6" t="n">
        <v>64147.2514285714</v>
      </c>
      <c r="G30" s="6" t="n">
        <v>64147.2514285714</v>
      </c>
      <c r="H30" s="6" t="n">
        <v>29731.3614285714</v>
      </c>
      <c r="I30" s="6" t="n">
        <v>-133361.5054146716</v>
      </c>
      <c r="J30" s="6" t="n">
        <v>0</v>
      </c>
    </row>
    <row r="31">
      <c r="A31" s="4" t="inlineStr">
        <is>
          <t>Stern, Robert</t>
        </is>
      </c>
      <c r="B31" s="4" t="inlineStr">
        <is>
          <t>A_63073</t>
        </is>
      </c>
      <c r="C31" s="4" t="inlineStr">
        <is>
          <t>A_63073 - Supplies - Implants - Impella</t>
        </is>
      </c>
      <c r="D31" s="6" t="n">
        <v>225000</v>
      </c>
      <c r="E31" s="6" t="n">
        <v>85387.0000000002</v>
      </c>
      <c r="F31" s="6" t="n">
        <v>54296.7032967033</v>
      </c>
      <c r="G31" s="6" t="n">
        <v>54296.7032967033</v>
      </c>
      <c r="H31" s="6" t="n">
        <v>-170703.2967032967</v>
      </c>
      <c r="I31" s="6" t="n">
        <v>-31090.2967032969</v>
      </c>
      <c r="J31" s="6" t="n">
        <v>0</v>
      </c>
    </row>
    <row r="32">
      <c r="A32" s="4" t="inlineStr">
        <is>
          <t>Stern, Robert</t>
        </is>
      </c>
      <c r="B32" s="4" t="inlineStr">
        <is>
          <t>A_63077</t>
        </is>
      </c>
      <c r="C32" s="4" t="inlineStr">
        <is>
          <t>A_63077 - Supplies - Implants- Cardiomem</t>
        </is>
      </c>
      <c r="D32" s="6" t="n">
        <v>92500</v>
      </c>
      <c r="E32" s="6" t="n">
        <v>0</v>
      </c>
      <c r="F32" s="6" t="n">
        <v>0</v>
      </c>
      <c r="G32" s="6" t="n">
        <v>0</v>
      </c>
      <c r="H32" s="6" t="n">
        <v>-92500</v>
      </c>
      <c r="I32" s="6" t="n">
        <v>0</v>
      </c>
      <c r="J32" s="6" t="n">
        <v>0</v>
      </c>
    </row>
    <row r="33">
      <c r="A33" s="4" t="inlineStr">
        <is>
          <t>Stern, Robert</t>
        </is>
      </c>
      <c r="B33" s="4" t="inlineStr">
        <is>
          <t>A_63079</t>
        </is>
      </c>
      <c r="C33" s="4" t="inlineStr">
        <is>
          <t>A_63079 - Supplies - Imp - Loop Recorder</t>
        </is>
      </c>
      <c r="D33" s="6" t="n">
        <v>230395</v>
      </c>
      <c r="E33" s="6" t="n">
        <v>56932.7901234568</v>
      </c>
      <c r="F33" s="6" t="n">
        <v>604835.10989011</v>
      </c>
      <c r="G33" s="6" t="n">
        <v>604835.10989011</v>
      </c>
      <c r="H33" s="6" t="n">
        <v>374440.10989011</v>
      </c>
      <c r="I33" s="6" t="n">
        <v>547902.3197666532</v>
      </c>
      <c r="J33" s="6" t="n">
        <v>0</v>
      </c>
    </row>
    <row r="34">
      <c r="A34" s="4" t="inlineStr">
        <is>
          <t>Stern, Robert</t>
        </is>
      </c>
      <c r="B34" s="4" t="inlineStr">
        <is>
          <t>A_63080</t>
        </is>
      </c>
      <c r="C34" s="4" t="inlineStr">
        <is>
          <t>A_63080 - Supplies - Surgical</t>
        </is>
      </c>
      <c r="D34" s="6" t="n">
        <v>180159.58</v>
      </c>
      <c r="E34" s="6" t="n">
        <v>509018.140670271</v>
      </c>
      <c r="F34" s="6" t="n">
        <v>590234.625824176</v>
      </c>
      <c r="G34" s="6" t="n">
        <v>590234.625824176</v>
      </c>
      <c r="H34" s="6" t="n">
        <v>410075.045824176</v>
      </c>
      <c r="I34" s="6" t="n">
        <v>81216.485153905</v>
      </c>
      <c r="J34" s="6" t="n">
        <v>0</v>
      </c>
    </row>
    <row r="35">
      <c r="A35" s="4" t="inlineStr">
        <is>
          <t>Stern, Robert</t>
        </is>
      </c>
      <c r="B35" s="4" t="inlineStr">
        <is>
          <t>A_64000</t>
        </is>
      </c>
      <c r="C35" s="4" t="inlineStr">
        <is>
          <t>A_64000 - Supplies - Hotel Services</t>
        </is>
      </c>
      <c r="D35" s="6" t="n">
        <v>2364.61</v>
      </c>
      <c r="E35" s="6" t="n">
        <v>16802.39</v>
      </c>
      <c r="F35" s="6" t="n">
        <v>3323.4762430939</v>
      </c>
      <c r="G35" s="6" t="n">
        <v>3323.4762430939</v>
      </c>
      <c r="H35" s="6" t="n">
        <v>958.8662430938998</v>
      </c>
      <c r="I35" s="6" t="n">
        <v>-13478.9137569061</v>
      </c>
      <c r="J35" s="6" t="n">
        <v>0</v>
      </c>
    </row>
    <row r="36">
      <c r="A36" s="4" t="inlineStr">
        <is>
          <t>Stern, Robert</t>
        </is>
      </c>
      <c r="B36" s="4" t="inlineStr">
        <is>
          <t>A_64020</t>
        </is>
      </c>
      <c r="C36" s="4" t="inlineStr">
        <is>
          <t>A_64020 - Supplies - Office</t>
        </is>
      </c>
      <c r="D36" s="6" t="n">
        <v>4020.22</v>
      </c>
      <c r="E36" s="6" t="n">
        <v>8145.45</v>
      </c>
      <c r="F36" s="6" t="n">
        <v>6300.6662983425</v>
      </c>
      <c r="G36" s="6" t="n">
        <v>6300.6662983425</v>
      </c>
      <c r="H36" s="6" t="n">
        <v>2280.446298342501</v>
      </c>
      <c r="I36" s="6" t="n">
        <v>-1844.783701657499</v>
      </c>
      <c r="J36" s="6" t="n">
        <v>0</v>
      </c>
    </row>
    <row r="37">
      <c r="A37" s="4" t="inlineStr">
        <is>
          <t>Stern, Robert</t>
        </is>
      </c>
      <c r="B37" s="4" t="inlineStr">
        <is>
          <t>A_64030</t>
        </is>
      </c>
      <c r="C37" s="4" t="inlineStr">
        <is>
          <t>A_64030 - Supplies - Other Non Medical</t>
        </is>
      </c>
      <c r="D37" s="6" t="n">
        <v>35648.58</v>
      </c>
      <c r="E37" s="6" t="n">
        <v>13999.41</v>
      </c>
      <c r="F37" s="6" t="n">
        <v>7894.667679558</v>
      </c>
      <c r="G37" s="6" t="n">
        <v>7894.667679558</v>
      </c>
      <c r="H37" s="6" t="n">
        <v>-27753.912320442</v>
      </c>
      <c r="I37" s="6" t="n">
        <v>-6104.742320442</v>
      </c>
      <c r="J37" s="6" t="n">
        <v>0</v>
      </c>
    </row>
    <row r="38">
      <c r="A38" s="4" t="inlineStr">
        <is>
          <t>Stern, Robert</t>
        </is>
      </c>
      <c r="B38" s="4" t="inlineStr">
        <is>
          <t>A_64560</t>
        </is>
      </c>
      <c r="C38" s="4" t="inlineStr">
        <is>
          <t>A_64560 - Dietary - Tableware</t>
        </is>
      </c>
      <c r="D38" s="6" t="n">
        <v>12.6</v>
      </c>
      <c r="E38" s="6" t="n">
        <v>0</v>
      </c>
      <c r="F38" s="6" t="n">
        <v>0</v>
      </c>
      <c r="G38" s="6" t="n">
        <v>0</v>
      </c>
      <c r="H38" s="6" t="n">
        <v>-12.6</v>
      </c>
      <c r="I38" s="6" t="n">
        <v>0</v>
      </c>
      <c r="J38" s="6" t="n">
        <v>0</v>
      </c>
    </row>
    <row r="39">
      <c r="A39" s="4" t="inlineStr">
        <is>
          <t>Stern, Robert</t>
        </is>
      </c>
      <c r="B39" s="4" t="inlineStr">
        <is>
          <t>A_65507</t>
        </is>
      </c>
      <c r="C39" s="4" t="inlineStr">
        <is>
          <t>A_65507 - Medical Equip Srvcs Contracts</t>
        </is>
      </c>
      <c r="D39" s="6" t="n">
        <v>91122.48</v>
      </c>
      <c r="E39" s="6" t="n">
        <v>84999.99999999961</v>
      </c>
      <c r="F39" s="6" t="n">
        <v>392497.28</v>
      </c>
      <c r="G39" s="6" t="n">
        <v>392497</v>
      </c>
      <c r="H39" s="6" t="n">
        <v>301374.52</v>
      </c>
      <c r="I39" s="6" t="n">
        <v>307497.0000000004</v>
      </c>
      <c r="J39" s="6" t="n">
        <v>-0.2800000000279397</v>
      </c>
    </row>
    <row r="40">
      <c r="A40" s="4" t="inlineStr">
        <is>
          <t>Stern, Robert</t>
        </is>
      </c>
      <c r="B40" s="4" t="inlineStr">
        <is>
          <t>A_65510</t>
        </is>
      </c>
      <c r="C40" s="4" t="inlineStr">
        <is>
          <t>A_65510 - Freight</t>
        </is>
      </c>
      <c r="D40" s="6" t="n">
        <v>52.21</v>
      </c>
      <c r="E40" s="6" t="n">
        <v>0</v>
      </c>
      <c r="F40" s="6" t="n">
        <v>0</v>
      </c>
      <c r="G40" s="6" t="n">
        <v>0</v>
      </c>
      <c r="H40" s="6" t="n">
        <v>-52.21</v>
      </c>
      <c r="I40" s="6" t="n">
        <v>0</v>
      </c>
      <c r="J40" s="6" t="n">
        <v>0</v>
      </c>
    </row>
    <row r="41">
      <c r="A41" s="4" t="inlineStr">
        <is>
          <t>Stern, Robert</t>
        </is>
      </c>
      <c r="B41" s="4" t="inlineStr">
        <is>
          <t>A_65510</t>
        </is>
      </c>
      <c r="C41" s="4" t="inlineStr">
        <is>
          <t>A_65517 - Software Maint and Support</t>
        </is>
      </c>
      <c r="D41" s="6" t="n">
        <v>9327.1</v>
      </c>
      <c r="E41" s="6" t="n">
        <v>0</v>
      </c>
      <c r="F41" s="6" t="n">
        <v>12781.12</v>
      </c>
      <c r="G41" s="6" t="n">
        <v>12781.12</v>
      </c>
      <c r="H41" s="6" t="n">
        <v>3454.02</v>
      </c>
      <c r="I41" s="6" t="n">
        <v>12781.12</v>
      </c>
      <c r="J41" s="6" t="n">
        <v>0</v>
      </c>
    </row>
    <row r="42">
      <c r="A42" s="4" t="inlineStr">
        <is>
          <t>Stern, Robert</t>
        </is>
      </c>
      <c r="B42" s="4" t="inlineStr">
        <is>
          <t>A_65517</t>
        </is>
      </c>
      <c r="C42" s="4" t="inlineStr">
        <is>
          <t>A_65517 - Software Maint and Support</t>
        </is>
      </c>
      <c r="D42" s="6" t="n">
        <v>-9210.02</v>
      </c>
      <c r="E42" s="6" t="n">
        <v>0</v>
      </c>
      <c r="F42" s="6" t="n">
        <v>0</v>
      </c>
      <c r="G42" s="6" t="n">
        <v>0</v>
      </c>
      <c r="H42" s="6" t="n">
        <v>9210.02</v>
      </c>
      <c r="I42" s="6" t="n">
        <v>0</v>
      </c>
      <c r="J42" s="6" t="n">
        <v>0</v>
      </c>
    </row>
    <row r="43">
      <c r="A43" s="4" t="inlineStr">
        <is>
          <t>Stern, Robert</t>
        </is>
      </c>
      <c r="B43" s="4" t="inlineStr">
        <is>
          <t>A_65517</t>
        </is>
      </c>
      <c r="C43" s="4" t="inlineStr">
        <is>
          <t>A_65525 - Maintenance And Repairs</t>
        </is>
      </c>
      <c r="D43" s="6" t="n">
        <v>700</v>
      </c>
      <c r="E43" s="6" t="n">
        <v>0</v>
      </c>
      <c r="F43" s="6" t="n">
        <v>0</v>
      </c>
      <c r="G43" s="6" t="n">
        <v>0</v>
      </c>
      <c r="H43" s="6" t="n">
        <v>-700</v>
      </c>
      <c r="I43" s="6" t="n">
        <v>0</v>
      </c>
      <c r="J43" s="6" t="n">
        <v>0</v>
      </c>
    </row>
    <row r="44">
      <c r="A44" s="4" t="inlineStr">
        <is>
          <t>Stern, Robert</t>
        </is>
      </c>
      <c r="B44" s="4" t="inlineStr">
        <is>
          <t>A_65525</t>
        </is>
      </c>
      <c r="C44" s="4" t="inlineStr">
        <is>
          <t>A_65530 - Medical Purchased Services</t>
        </is>
      </c>
      <c r="D44" s="6" t="n">
        <v>1290</v>
      </c>
      <c r="E44" s="6" t="n">
        <v>0</v>
      </c>
      <c r="F44" s="6" t="n">
        <v>2150</v>
      </c>
      <c r="G44" s="6" t="n">
        <v>2150</v>
      </c>
      <c r="H44" s="6" t="n">
        <v>860</v>
      </c>
      <c r="I44" s="6" t="n">
        <v>2150</v>
      </c>
      <c r="J44" s="6" t="n">
        <v>0</v>
      </c>
    </row>
    <row r="45">
      <c r="A45" s="4" t="inlineStr">
        <is>
          <t>Stern, Robert</t>
        </is>
      </c>
      <c r="B45" s="4" t="inlineStr">
        <is>
          <t>A_65530</t>
        </is>
      </c>
      <c r="C45" s="4" t="inlineStr">
        <is>
          <t>A_65536 - Oth Purch Serv- Credentialling</t>
        </is>
      </c>
      <c r="D45" s="6" t="n">
        <v>1598</v>
      </c>
      <c r="E45" s="6" t="n">
        <v>0</v>
      </c>
      <c r="F45" s="6" t="n">
        <v>0.08000000000001251</v>
      </c>
      <c r="G45" s="6" t="n">
        <v>0</v>
      </c>
      <c r="H45" s="6" t="n">
        <v>-1598</v>
      </c>
      <c r="I45" s="6" t="n">
        <v>0</v>
      </c>
      <c r="J45" s="6" t="n">
        <v>-0.08000000000001251</v>
      </c>
    </row>
    <row r="46">
      <c r="A46" s="4" t="inlineStr">
        <is>
          <t>Stern, Robert</t>
        </is>
      </c>
      <c r="B46" s="4" t="inlineStr">
        <is>
          <t>A_65536</t>
        </is>
      </c>
      <c r="C46" s="4" t="inlineStr">
        <is>
          <t>A_65542 - Translation Services</t>
        </is>
      </c>
      <c r="D46" s="6" t="n">
        <v>346</v>
      </c>
      <c r="E46" s="6" t="n">
        <v>0</v>
      </c>
      <c r="F46" s="6" t="n">
        <v>0</v>
      </c>
      <c r="G46" s="6" t="n">
        <v>0</v>
      </c>
      <c r="H46" s="6" t="n">
        <v>-346</v>
      </c>
      <c r="I46" s="6" t="n">
        <v>0</v>
      </c>
      <c r="J46" s="6" t="n">
        <v>0</v>
      </c>
    </row>
    <row r="47">
      <c r="A47" s="4" t="inlineStr">
        <is>
          <t>Stern, Robert</t>
        </is>
      </c>
      <c r="B47" s="4" t="inlineStr">
        <is>
          <t>A_65542</t>
        </is>
      </c>
      <c r="C47" s="4" t="inlineStr">
        <is>
          <t>A_65550 - Purchased Services-Subcontract</t>
        </is>
      </c>
      <c r="D47" s="6" t="n">
        <v>149.85</v>
      </c>
      <c r="E47" s="6" t="n">
        <v>0</v>
      </c>
      <c r="F47" s="6" t="n">
        <v>0</v>
      </c>
      <c r="G47" s="6" t="n">
        <v>0</v>
      </c>
      <c r="H47" s="6" t="n">
        <v>-149.85</v>
      </c>
      <c r="I47" s="6" t="n">
        <v>0</v>
      </c>
      <c r="J47" s="6" t="n">
        <v>0</v>
      </c>
    </row>
    <row r="48">
      <c r="A48" s="4" t="inlineStr">
        <is>
          <t>Stern, Robert</t>
        </is>
      </c>
      <c r="B48" s="4" t="inlineStr">
        <is>
          <t>A_66000</t>
        </is>
      </c>
      <c r="C48" s="4" t="inlineStr">
        <is>
          <t>A_66000 - Dues</t>
        </is>
      </c>
      <c r="D48" s="6" t="n">
        <v>530</v>
      </c>
      <c r="E48" s="6" t="n">
        <v>6000</v>
      </c>
      <c r="F48" s="6" t="n">
        <v>0</v>
      </c>
      <c r="G48" s="6" t="n">
        <v>0</v>
      </c>
      <c r="H48" s="6" t="n">
        <v>-530</v>
      </c>
      <c r="I48" s="6" t="n">
        <v>-6000</v>
      </c>
      <c r="J48" s="6" t="n">
        <v>0</v>
      </c>
    </row>
    <row r="49">
      <c r="A49" s="4" t="inlineStr">
        <is>
          <t>Stern, Robert</t>
        </is>
      </c>
      <c r="B49" s="4" t="inlineStr">
        <is>
          <t>A_66020</t>
        </is>
      </c>
      <c r="C49" s="4" t="inlineStr">
        <is>
          <t>A_66020 - Outside Training</t>
        </is>
      </c>
      <c r="D49" s="6" t="n">
        <v>0</v>
      </c>
      <c r="E49" s="6" t="n">
        <v>2310</v>
      </c>
      <c r="F49" s="6" t="n">
        <v>1000</v>
      </c>
      <c r="G49" s="6" t="n">
        <v>1000</v>
      </c>
      <c r="H49" s="6" t="n">
        <v>1000</v>
      </c>
      <c r="I49" s="6" t="n">
        <v>-1310</v>
      </c>
      <c r="J49" s="6" t="n">
        <v>0</v>
      </c>
    </row>
    <row r="50">
      <c r="A50" s="4" t="inlineStr">
        <is>
          <t>Stern, Robert</t>
        </is>
      </c>
      <c r="B50" s="4" t="inlineStr">
        <is>
          <t>A_66030</t>
        </is>
      </c>
      <c r="C50" s="4" t="inlineStr">
        <is>
          <t>A_66030 - Microfilming &amp; Archiving</t>
        </is>
      </c>
      <c r="D50" s="6" t="n">
        <v>0</v>
      </c>
      <c r="E50" s="6" t="n">
        <v>2451</v>
      </c>
      <c r="F50" s="6" t="n">
        <v>0</v>
      </c>
      <c r="G50" s="6" t="n">
        <v>0</v>
      </c>
      <c r="H50" s="6" t="n">
        <v>0</v>
      </c>
      <c r="I50" s="6" t="n">
        <v>-2451</v>
      </c>
      <c r="J50" s="6" t="n">
        <v>0</v>
      </c>
    </row>
    <row r="51">
      <c r="A51" s="4" t="inlineStr">
        <is>
          <t>Stern, Robert</t>
        </is>
      </c>
      <c r="B51" s="4" t="inlineStr">
        <is>
          <t>A_66050</t>
        </is>
      </c>
      <c r="C51" s="4" t="inlineStr">
        <is>
          <t>A_66050 - Printing And Duplication</t>
        </is>
      </c>
      <c r="D51" s="6" t="n">
        <v>466.4</v>
      </c>
      <c r="E51" s="6" t="n">
        <v>33933.9996</v>
      </c>
      <c r="F51" s="6" t="n">
        <v>91.94</v>
      </c>
      <c r="G51" s="6" t="n">
        <v>91.94</v>
      </c>
      <c r="H51" s="6" t="n">
        <v>-374.46</v>
      </c>
      <c r="I51" s="6" t="n">
        <v>-33842.0596</v>
      </c>
      <c r="J51" s="6" t="n">
        <v>0</v>
      </c>
    </row>
    <row r="52">
      <c r="A52" s="4" t="inlineStr">
        <is>
          <t>Stern, Robert</t>
        </is>
      </c>
      <c r="B52" s="4" t="inlineStr">
        <is>
          <t>A_66060</t>
        </is>
      </c>
      <c r="C52" s="4" t="inlineStr">
        <is>
          <t>A_66060 - Other Expenses</t>
        </is>
      </c>
      <c r="D52" s="6" t="n">
        <v>60.49</v>
      </c>
      <c r="E52" s="6" t="n">
        <v>4800</v>
      </c>
      <c r="F52" s="6" t="n">
        <v>846.6</v>
      </c>
      <c r="G52" s="6" t="n">
        <v>846.6</v>
      </c>
      <c r="H52" s="6" t="n">
        <v>786.11</v>
      </c>
      <c r="I52" s="6" t="n">
        <v>-3953.4</v>
      </c>
      <c r="J52" s="6" t="n">
        <v>0</v>
      </c>
    </row>
    <row r="53">
      <c r="A53" s="4" t="inlineStr">
        <is>
          <t>Stern, Robert</t>
        </is>
      </c>
      <c r="B53" s="4" t="inlineStr">
        <is>
          <t>A_66090</t>
        </is>
      </c>
      <c r="C53" s="4" t="inlineStr">
        <is>
          <t>A_66090 - House Functions &amp; Corp Events</t>
        </is>
      </c>
      <c r="D53" s="6" t="n">
        <v>0</v>
      </c>
      <c r="E53" s="6" t="n">
        <v>1260</v>
      </c>
      <c r="F53" s="6" t="n">
        <v>1215.16</v>
      </c>
      <c r="G53" s="6" t="n">
        <v>1215</v>
      </c>
      <c r="H53" s="6" t="n">
        <v>1215</v>
      </c>
      <c r="I53" s="6" t="n">
        <v>-45</v>
      </c>
      <c r="J53" s="6" t="n">
        <v>-0.1600000000000819</v>
      </c>
    </row>
    <row r="54">
      <c r="A54" s="4" t="inlineStr">
        <is>
          <t>Stern, Robert</t>
        </is>
      </c>
      <c r="B54" s="4" t="inlineStr">
        <is>
          <t>A_66095</t>
        </is>
      </c>
      <c r="C54" s="4" t="inlineStr">
        <is>
          <t>A_66095 - Meals &amp; Entertainment</t>
        </is>
      </c>
      <c r="D54" s="6" t="n">
        <v>300</v>
      </c>
      <c r="E54" s="6" t="n">
        <v>0</v>
      </c>
      <c r="F54" s="6" t="n">
        <v>0.4600000000000364</v>
      </c>
      <c r="G54" s="6" t="n">
        <v>0</v>
      </c>
      <c r="H54" s="6" t="n">
        <v>-300</v>
      </c>
      <c r="I54" s="6" t="n">
        <v>0</v>
      </c>
      <c r="J54" s="6" t="n">
        <v>-0.4600000000000364</v>
      </c>
    </row>
    <row r="55">
      <c r="A55" s="4" t="inlineStr">
        <is>
          <t>Stern, Robert</t>
        </is>
      </c>
      <c r="B55" s="4" t="inlineStr">
        <is>
          <t>A_66110</t>
        </is>
      </c>
      <c r="C55" s="4" t="inlineStr">
        <is>
          <t>A_66110 - Mileage</t>
        </is>
      </c>
      <c r="D55" s="6" t="n">
        <v>335.67</v>
      </c>
      <c r="E55" s="6" t="n">
        <v>0</v>
      </c>
      <c r="F55" s="6" t="n">
        <v>0</v>
      </c>
      <c r="G55" s="6" t="n">
        <v>0</v>
      </c>
      <c r="H55" s="6" t="n">
        <v>-335.67</v>
      </c>
      <c r="I55" s="6" t="n">
        <v>0</v>
      </c>
      <c r="J55" s="6" t="n">
        <v>0</v>
      </c>
    </row>
    <row r="56">
      <c r="A56" s="4" t="inlineStr">
        <is>
          <t>Stern, Robert</t>
        </is>
      </c>
      <c r="B56" s="4" t="inlineStr">
        <is>
          <t>A_66150</t>
        </is>
      </c>
      <c r="C56" s="4" t="inlineStr">
        <is>
          <t>A_66150 - Travel</t>
        </is>
      </c>
      <c r="D56" s="6" t="n">
        <v>439.33</v>
      </c>
      <c r="E56" s="6" t="n">
        <v>0</v>
      </c>
      <c r="F56" s="6" t="n">
        <v>999.8599999999999</v>
      </c>
      <c r="G56" s="6" t="n">
        <v>1000</v>
      </c>
      <c r="H56" s="6" t="n">
        <v>560.67</v>
      </c>
      <c r="I56" s="6" t="n">
        <v>1000</v>
      </c>
      <c r="J56" s="6" t="n">
        <v>0.1400000000001</v>
      </c>
    </row>
    <row r="57">
      <c r="A57" s="4" t="inlineStr">
        <is>
          <t>Stern, Robert</t>
        </is>
      </c>
      <c r="B57" s="4" t="inlineStr">
        <is>
          <t>A_66152</t>
        </is>
      </c>
      <c r="C57" s="4" t="inlineStr">
        <is>
          <t>A_66152 - Patient Transportation</t>
        </is>
      </c>
      <c r="D57" s="6" t="n">
        <v>0</v>
      </c>
      <c r="E57" s="6" t="n">
        <v>0</v>
      </c>
      <c r="F57" s="6" t="n">
        <v>429.24</v>
      </c>
      <c r="G57" s="6" t="n">
        <v>429.24</v>
      </c>
      <c r="H57" s="6" t="n">
        <v>429.24</v>
      </c>
      <c r="I57" s="6" t="n">
        <v>429.24</v>
      </c>
      <c r="J57" s="6" t="n">
        <v>0</v>
      </c>
    </row>
    <row r="58">
      <c r="A58" s="4" t="inlineStr">
        <is>
          <t>Stern, Robert</t>
        </is>
      </c>
      <c r="B58" s="4" t="inlineStr">
        <is>
          <t>A_66515</t>
        </is>
      </c>
      <c r="C58" s="4" t="inlineStr">
        <is>
          <t>A_66515 - Lease Rentals - Copiers</t>
        </is>
      </c>
      <c r="D58" s="6" t="n">
        <v>0</v>
      </c>
      <c r="E58" s="6" t="n">
        <v>2988.9999999996</v>
      </c>
      <c r="F58" s="6" t="n">
        <v>0</v>
      </c>
      <c r="G58" s="6" t="n">
        <v>0</v>
      </c>
      <c r="H58" s="6" t="n">
        <v>0</v>
      </c>
      <c r="I58" s="6" t="n">
        <v>-2988.9999999996</v>
      </c>
      <c r="J58" s="6" t="n">
        <v>0</v>
      </c>
    </row>
    <row r="59">
      <c r="A59" s="4" t="inlineStr">
        <is>
          <t>Stern, Robert</t>
        </is>
      </c>
      <c r="B59" s="4" t="inlineStr">
        <is>
          <t>A_66528</t>
        </is>
      </c>
      <c r="C59" s="4" t="inlineStr">
        <is>
          <t>A_66528 - Cloud Software Licensing Fees</t>
        </is>
      </c>
      <c r="D59" s="6" t="n">
        <v>163.93</v>
      </c>
      <c r="E59" s="6" t="n">
        <v>0</v>
      </c>
      <c r="F59" s="6" t="n">
        <v>-72.86</v>
      </c>
      <c r="G59" s="6" t="n">
        <v>0</v>
      </c>
      <c r="H59" s="6" t="n">
        <v>-163.93</v>
      </c>
      <c r="I59" s="6" t="n">
        <v>0</v>
      </c>
      <c r="J59" s="6" t="n">
        <v>72.86</v>
      </c>
    </row>
    <row r="60">
      <c r="A60" s="7" t="inlineStr">
        <is>
          <t>Total</t>
        </is>
      </c>
      <c r="B60" s="7" t="n"/>
      <c r="C60" s="7" t="n"/>
      <c r="D60" s="8">
        <f>SUM(D6:D59)</f>
        <v/>
      </c>
      <c r="E60" s="8">
        <f>SUM(E6:E59)</f>
        <v/>
      </c>
      <c r="F60" s="8">
        <f>SUM(F6:F59)</f>
        <v/>
      </c>
      <c r="G60" s="8">
        <f>SUM(G6:G59)</f>
        <v/>
      </c>
      <c r="H60" s="8">
        <f>SUM(H6:H59)</f>
        <v/>
      </c>
      <c r="I60" s="8">
        <f>SUM(I6:I59)</f>
        <v/>
      </c>
      <c r="J60" s="8">
        <f>SUM(J6:J59)</f>
        <v/>
      </c>
    </row>
  </sheetData>
  <autoFilter ref="A5:J5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2026-08-26T21:50:05Z</dcterms:created>
  <dcterms:modified xsi:type="dcterms:W3CDTF">2026-08-26T21:50:05Z</dcterms:modified>
</cp:coreProperties>
</file>