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Summary'!$A$5:$K$8</definedName>
    <definedName name="_xlnm._FilterDatabase" localSheetId="1" hidden="1">'Acct Summary'!$A$5:$J$48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4" customWidth="1" min="4" max="4"/>
    <col width="21" customWidth="1" min="5" max="5"/>
    <col width="21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Baker, Daniel</t>
        </is>
      </c>
      <c r="B6" s="4" t="inlineStr">
        <is>
          <t>Baker, Daniel</t>
        </is>
      </c>
      <c r="C6" s="5" t="n">
        <v>74002510</v>
      </c>
      <c r="D6" s="4" t="inlineStr">
        <is>
          <t>GVCCC_74002510 - Pt Care Services</t>
        </is>
      </c>
      <c r="E6" s="6" t="n">
        <v>8955.780000000001</v>
      </c>
      <c r="F6" s="6" t="n">
        <v>9526.9914037042</v>
      </c>
      <c r="G6" s="6" t="n">
        <v>2886.3871428571</v>
      </c>
      <c r="H6" s="6" t="n">
        <v>0</v>
      </c>
      <c r="I6" s="6" t="n">
        <v>-8955.780000000001</v>
      </c>
      <c r="J6" s="6" t="n">
        <v>-9526.9914037042</v>
      </c>
      <c r="K6" s="6" t="n">
        <v>-2886.3871428571</v>
      </c>
    </row>
    <row r="7">
      <c r="A7" s="4" t="inlineStr">
        <is>
          <t>Baker, Daniel</t>
        </is>
      </c>
      <c r="B7" s="4" t="inlineStr">
        <is>
          <t>Baker, Daniel</t>
        </is>
      </c>
      <c r="C7" s="5" t="n">
        <v>74002550</v>
      </c>
      <c r="D7" s="4" t="inlineStr">
        <is>
          <t>GVCCC_74002550 - 6th Flr Sessional Space</t>
        </is>
      </c>
      <c r="E7" s="6" t="n">
        <v>56543.01</v>
      </c>
      <c r="F7" s="6" t="n">
        <v>-4722.2599999996</v>
      </c>
      <c r="G7" s="6" t="n">
        <v>54684.2102926355</v>
      </c>
      <c r="H7" s="6" t="n">
        <v>0</v>
      </c>
      <c r="I7" s="6" t="n">
        <v>-56543.01</v>
      </c>
      <c r="J7" s="6" t="n">
        <v>4722.2599999996</v>
      </c>
      <c r="K7" s="6" t="n">
        <v>-54684.2102926355</v>
      </c>
    </row>
    <row r="8">
      <c r="A8" s="4" t="inlineStr">
        <is>
          <t>Baker, Daniel</t>
        </is>
      </c>
      <c r="B8" s="4" t="inlineStr">
        <is>
          <t>Dempsey, Allison</t>
        </is>
      </c>
      <c r="C8" s="5" t="n">
        <v>74002500</v>
      </c>
      <c r="D8" s="4" t="inlineStr">
        <is>
          <t>GVCCC_74002500 - Administration</t>
        </is>
      </c>
      <c r="E8" s="6" t="n">
        <v>822375.1900000001</v>
      </c>
      <c r="F8" s="6" t="n">
        <v>598236.5883728405</v>
      </c>
      <c r="G8" s="6" t="n">
        <v>444662.8379691578</v>
      </c>
      <c r="H8" s="6" t="n">
        <v>492694.342320442</v>
      </c>
      <c r="I8" s="6" t="n">
        <v>-329680.8476795581</v>
      </c>
      <c r="J8" s="6" t="n">
        <v>-105542.2460523986</v>
      </c>
      <c r="K8" s="6" t="n">
        <v>48031.50435128412</v>
      </c>
    </row>
    <row r="9">
      <c r="A9" s="7" t="inlineStr">
        <is>
          <t>Total</t>
        </is>
      </c>
      <c r="B9" s="7" t="n"/>
      <c r="C9" s="7">
        <f>SUM(C6:C8)</f>
        <v/>
      </c>
      <c r="D9" s="7" t="n"/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  <c r="K9" s="8">
        <f>SUM(K6:K8)</f>
        <v/>
      </c>
    </row>
  </sheetData>
  <autoFilter ref="A5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1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Baker, Daniel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-398.11</v>
      </c>
      <c r="E6" s="6" t="n">
        <v>-170</v>
      </c>
      <c r="F6" s="6" t="n">
        <v>-1457.222967033</v>
      </c>
      <c r="G6" s="6" t="n">
        <v>0</v>
      </c>
      <c r="H6" s="6" t="n">
        <v>398.11</v>
      </c>
      <c r="I6" s="6" t="n">
        <v>170</v>
      </c>
      <c r="J6" s="6" t="n">
        <v>1457.222967033</v>
      </c>
    </row>
    <row r="7">
      <c r="A7" s="4" t="inlineStr">
        <is>
          <t>Baker, Daniel</t>
        </is>
      </c>
      <c r="B7" s="4" t="inlineStr">
        <is>
          <t>A_61000</t>
        </is>
      </c>
      <c r="C7" s="4" t="inlineStr">
        <is>
          <t>A_61000 - Consulting Fees</t>
        </is>
      </c>
      <c r="D7" s="6" t="n">
        <v>1288.31</v>
      </c>
      <c r="E7" s="6" t="n">
        <v>0</v>
      </c>
      <c r="F7" s="6" t="n">
        <v>0</v>
      </c>
      <c r="G7" s="6" t="n">
        <v>0</v>
      </c>
      <c r="H7" s="6" t="n">
        <v>-1288.31</v>
      </c>
      <c r="I7" s="6" t="n">
        <v>0</v>
      </c>
      <c r="J7" s="6" t="n">
        <v>0</v>
      </c>
    </row>
    <row r="8">
      <c r="A8" s="4" t="inlineStr">
        <is>
          <t>Baker, Daniel</t>
        </is>
      </c>
      <c r="B8" s="4" t="inlineStr">
        <is>
          <t>A_61400</t>
        </is>
      </c>
      <c r="C8" s="4" t="inlineStr">
        <is>
          <t>A_61400 - Other Fees</t>
        </is>
      </c>
      <c r="D8" s="6" t="n">
        <v>35</v>
      </c>
      <c r="E8" s="6" t="n">
        <v>0</v>
      </c>
      <c r="F8" s="6" t="n">
        <v>0</v>
      </c>
      <c r="G8" s="6" t="n">
        <v>0</v>
      </c>
      <c r="H8" s="6" t="n">
        <v>-35</v>
      </c>
      <c r="I8" s="6" t="n">
        <v>0</v>
      </c>
      <c r="J8" s="6" t="n">
        <v>0</v>
      </c>
    </row>
    <row r="9">
      <c r="A9" s="4" t="inlineStr">
        <is>
          <t>Baker, Daniel</t>
        </is>
      </c>
      <c r="B9" s="4" t="inlineStr">
        <is>
          <t>A_63000</t>
        </is>
      </c>
      <c r="C9" s="4" t="inlineStr">
        <is>
          <t>A_63000 - Supplies - Laboratory</t>
        </is>
      </c>
      <c r="D9" s="6" t="n">
        <v>525</v>
      </c>
      <c r="E9" s="6" t="n">
        <v>0</v>
      </c>
      <c r="F9" s="6" t="n">
        <v>0</v>
      </c>
      <c r="G9" s="6" t="n">
        <v>0</v>
      </c>
      <c r="H9" s="6" t="n">
        <v>-525</v>
      </c>
      <c r="I9" s="6" t="n">
        <v>0</v>
      </c>
      <c r="J9" s="6" t="n">
        <v>0</v>
      </c>
    </row>
    <row r="10">
      <c r="A10" s="4" t="inlineStr">
        <is>
          <t>Baker, Daniel</t>
        </is>
      </c>
      <c r="B10" s="4" t="inlineStr">
        <is>
          <t>A_63020</t>
        </is>
      </c>
      <c r="C10" s="4" t="inlineStr">
        <is>
          <t>A_63020 - Supplies Wound Closure</t>
        </is>
      </c>
      <c r="D10" s="6" t="n">
        <v>193.9</v>
      </c>
      <c r="E10" s="6" t="n">
        <v>0</v>
      </c>
      <c r="F10" s="6" t="n">
        <v>0</v>
      </c>
      <c r="G10" s="6" t="n">
        <v>0</v>
      </c>
      <c r="H10" s="6" t="n">
        <v>-193.9</v>
      </c>
      <c r="I10" s="6" t="n">
        <v>0</v>
      </c>
      <c r="J10" s="6" t="n">
        <v>0</v>
      </c>
    </row>
    <row r="11">
      <c r="A11" s="4" t="inlineStr">
        <is>
          <t>Baker, Daniel</t>
        </is>
      </c>
      <c r="B11" s="4" t="inlineStr">
        <is>
          <t>A_63030</t>
        </is>
      </c>
      <c r="C11" s="4" t="inlineStr">
        <is>
          <t>A_63030 - Supplies - Medical</t>
        </is>
      </c>
      <c r="D11" s="6" t="n">
        <v>10121.22</v>
      </c>
      <c r="E11" s="6" t="n">
        <v>13860.3459753086</v>
      </c>
      <c r="F11" s="6" t="n">
        <v>-2073.8324175824</v>
      </c>
      <c r="G11" s="6" t="n">
        <v>0</v>
      </c>
      <c r="H11" s="6" t="n">
        <v>-10121.22</v>
      </c>
      <c r="I11" s="6" t="n">
        <v>-13860.3459753086</v>
      </c>
      <c r="J11" s="6" t="n">
        <v>2073.8324175824</v>
      </c>
    </row>
    <row r="12">
      <c r="A12" s="4" t="inlineStr">
        <is>
          <t>Baker, Daniel</t>
        </is>
      </c>
      <c r="B12" s="4" t="inlineStr">
        <is>
          <t>A_63032</t>
        </is>
      </c>
      <c r="C12" s="4" t="inlineStr">
        <is>
          <t>A_63032 - Supplies - Medical - PPE</t>
        </is>
      </c>
      <c r="D12" s="6" t="n">
        <v>234.28</v>
      </c>
      <c r="E12" s="6" t="n">
        <v>0</v>
      </c>
      <c r="F12" s="6" t="n">
        <v>0</v>
      </c>
      <c r="G12" s="6" t="n">
        <v>0</v>
      </c>
      <c r="H12" s="6" t="n">
        <v>-234.28</v>
      </c>
      <c r="I12" s="6" t="n">
        <v>0</v>
      </c>
      <c r="J12" s="6" t="n">
        <v>0</v>
      </c>
    </row>
    <row r="13">
      <c r="A13" s="4" t="inlineStr">
        <is>
          <t>Baker, Daniel</t>
        </is>
      </c>
      <c r="B13" s="4" t="inlineStr">
        <is>
          <t>A_63045</t>
        </is>
      </c>
      <c r="C13" s="4" t="inlineStr">
        <is>
          <t>A_63045 - Supplies - Med Equip Repair</t>
        </is>
      </c>
      <c r="D13" s="6" t="n">
        <v>2878.53</v>
      </c>
      <c r="E13" s="6" t="n">
        <v>3138.7494567902</v>
      </c>
      <c r="F13" s="6" t="n">
        <v>3009.8271428571</v>
      </c>
      <c r="G13" s="6" t="n">
        <v>0</v>
      </c>
      <c r="H13" s="6" t="n">
        <v>-2878.53</v>
      </c>
      <c r="I13" s="6" t="n">
        <v>-3138.7494567902</v>
      </c>
      <c r="J13" s="6" t="n">
        <v>-3009.8271428571</v>
      </c>
    </row>
    <row r="14">
      <c r="A14" s="4" t="inlineStr">
        <is>
          <t>Baker, Daniel</t>
        </is>
      </c>
      <c r="B14" s="4" t="inlineStr">
        <is>
          <t>A_63050</t>
        </is>
      </c>
      <c r="C14" s="4" t="inlineStr">
        <is>
          <t>A_63050 - Supplies - Iv Solutions &amp; Sets</t>
        </is>
      </c>
      <c r="D14" s="6" t="n">
        <v>-246.72</v>
      </c>
      <c r="E14" s="6" t="n">
        <v>-0.0048555553</v>
      </c>
      <c r="F14" s="6" t="n">
        <v>0</v>
      </c>
      <c r="G14" s="6" t="n">
        <v>0</v>
      </c>
      <c r="H14" s="6" t="n">
        <v>246.72</v>
      </c>
      <c r="I14" s="6" t="n">
        <v>0.0048555553</v>
      </c>
      <c r="J14" s="6" t="n">
        <v>0</v>
      </c>
    </row>
    <row r="15">
      <c r="A15" s="4" t="inlineStr">
        <is>
          <t>Baker, Daniel</t>
        </is>
      </c>
      <c r="B15" s="4" t="inlineStr">
        <is>
          <t>A_63060</t>
        </is>
      </c>
      <c r="C15" s="4" t="inlineStr">
        <is>
          <t>A_63060 - Supplies - Surgery Packs-Sheet</t>
        </is>
      </c>
      <c r="D15" s="6" t="n">
        <v>189.78</v>
      </c>
      <c r="E15" s="6" t="n">
        <v>0</v>
      </c>
      <c r="F15" s="6" t="n">
        <v>0</v>
      </c>
      <c r="G15" s="6" t="n">
        <v>0</v>
      </c>
      <c r="H15" s="6" t="n">
        <v>-189.78</v>
      </c>
      <c r="I15" s="6" t="n">
        <v>0</v>
      </c>
      <c r="J15" s="6" t="n">
        <v>0</v>
      </c>
    </row>
    <row r="16">
      <c r="A16" s="4" t="inlineStr">
        <is>
          <t>Baker, Daniel</t>
        </is>
      </c>
      <c r="B16" s="4" t="inlineStr">
        <is>
          <t>A_63070</t>
        </is>
      </c>
      <c r="C16" s="4" t="inlineStr">
        <is>
          <t>A_63070 - Supplies - Implants - All Oth</t>
        </is>
      </c>
      <c r="D16" s="6" t="n">
        <v>428</v>
      </c>
      <c r="E16" s="6" t="n">
        <v>0</v>
      </c>
      <c r="F16" s="6" t="n">
        <v>0</v>
      </c>
      <c r="G16" s="6" t="n">
        <v>0</v>
      </c>
      <c r="H16" s="6" t="n">
        <v>-428</v>
      </c>
      <c r="I16" s="6" t="n">
        <v>0</v>
      </c>
      <c r="J16" s="6" t="n">
        <v>0</v>
      </c>
    </row>
    <row r="17">
      <c r="A17" s="4" t="inlineStr">
        <is>
          <t>Baker, Daniel</t>
        </is>
      </c>
      <c r="B17" s="4" t="inlineStr">
        <is>
          <t>A_63080</t>
        </is>
      </c>
      <c r="C17" s="4" t="inlineStr">
        <is>
          <t>A_63080 - Supplies - Surgical</t>
        </is>
      </c>
      <c r="D17" s="6" t="n">
        <v>614.8</v>
      </c>
      <c r="E17" s="6" t="n">
        <v>0</v>
      </c>
      <c r="F17" s="6" t="n">
        <v>0</v>
      </c>
      <c r="G17" s="6" t="n">
        <v>0</v>
      </c>
      <c r="H17" s="6" t="n">
        <v>-614.8</v>
      </c>
      <c r="I17" s="6" t="n">
        <v>0</v>
      </c>
      <c r="J17" s="6" t="n">
        <v>0</v>
      </c>
    </row>
    <row r="18">
      <c r="A18" s="4" t="inlineStr">
        <is>
          <t>Baker, Daniel</t>
        </is>
      </c>
      <c r="B18" s="4" t="inlineStr">
        <is>
          <t>A_64000</t>
        </is>
      </c>
      <c r="C18" s="4" t="inlineStr">
        <is>
          <t>A_64000 - Supplies - Hotel Services</t>
        </is>
      </c>
      <c r="D18" s="6" t="n">
        <v>10534.35</v>
      </c>
      <c r="E18" s="6" t="n">
        <v>10415.4000000001</v>
      </c>
      <c r="F18" s="6" t="n">
        <v>5204.9201657459</v>
      </c>
      <c r="G18" s="6" t="n">
        <v>5204.9201657459</v>
      </c>
      <c r="H18" s="6" t="n">
        <v>-5329.429834254101</v>
      </c>
      <c r="I18" s="6" t="n">
        <v>-5210.4798342542</v>
      </c>
      <c r="J18" s="6" t="n">
        <v>0</v>
      </c>
    </row>
    <row r="19">
      <c r="A19" s="4" t="inlineStr">
        <is>
          <t>Baker, Daniel</t>
        </is>
      </c>
      <c r="B19" s="4" t="inlineStr">
        <is>
          <t>A_64020</t>
        </is>
      </c>
      <c r="C19" s="4" t="inlineStr">
        <is>
          <t>A_64020 - Supplies - Office</t>
        </is>
      </c>
      <c r="D19" s="6" t="n">
        <v>22743.55</v>
      </c>
      <c r="E19" s="6" t="n">
        <v>8767.18</v>
      </c>
      <c r="F19" s="6" t="n">
        <v>-99354.7745856354</v>
      </c>
      <c r="G19" s="6" t="n">
        <v>5000</v>
      </c>
      <c r="H19" s="6" t="n">
        <v>-17743.55</v>
      </c>
      <c r="I19" s="6" t="n">
        <v>-3767.18</v>
      </c>
      <c r="J19" s="6" t="n">
        <v>104354.7745856354</v>
      </c>
    </row>
    <row r="20">
      <c r="A20" s="4" t="inlineStr">
        <is>
          <t>Baker, Daniel</t>
        </is>
      </c>
      <c r="B20" s="4" t="inlineStr">
        <is>
          <t>A_64030</t>
        </is>
      </c>
      <c r="C20" s="4" t="inlineStr">
        <is>
          <t>A_64030 - Supplies - Other Non Medical</t>
        </is>
      </c>
      <c r="D20" s="6" t="n">
        <v>5364.530000000001</v>
      </c>
      <c r="E20" s="6" t="n">
        <v>1627.02</v>
      </c>
      <c r="F20" s="6" t="n">
        <v>2182.9621546961</v>
      </c>
      <c r="G20" s="6" t="n">
        <v>2182.9621546961</v>
      </c>
      <c r="H20" s="6" t="n">
        <v>-3181.567845303901</v>
      </c>
      <c r="I20" s="6" t="n">
        <v>555.9421546960998</v>
      </c>
      <c r="J20" s="6" t="n">
        <v>0</v>
      </c>
    </row>
    <row r="21">
      <c r="A21" s="4" t="inlineStr">
        <is>
          <t>Baker, Daniel</t>
        </is>
      </c>
      <c r="B21" s="4" t="inlineStr">
        <is>
          <t>A_65050</t>
        </is>
      </c>
      <c r="C21" s="4" t="inlineStr">
        <is>
          <t>A_65050 - Telephone</t>
        </is>
      </c>
      <c r="D21" s="6" t="n">
        <v>10664.41</v>
      </c>
      <c r="E21" s="6" t="n">
        <v>6052.0000000001</v>
      </c>
      <c r="F21" s="6" t="n">
        <v>41969.6359116022</v>
      </c>
      <c r="G21" s="6" t="n">
        <v>23004</v>
      </c>
      <c r="H21" s="6" t="n">
        <v>12339.59</v>
      </c>
      <c r="I21" s="6" t="n">
        <v>16951.9999999999</v>
      </c>
      <c r="J21" s="6" t="n">
        <v>-18965.6359116022</v>
      </c>
    </row>
    <row r="22">
      <c r="A22" s="4" t="inlineStr">
        <is>
          <t>Baker, Daniel</t>
        </is>
      </c>
      <c r="B22" s="4" t="inlineStr">
        <is>
          <t>A_65505</t>
        </is>
      </c>
      <c r="C22" s="4" t="inlineStr">
        <is>
          <t>A_65505 - Equipment Service Contracts</t>
        </is>
      </c>
      <c r="D22" s="6" t="n">
        <v>464.36</v>
      </c>
      <c r="E22" s="6" t="n">
        <v>0</v>
      </c>
      <c r="F22" s="6" t="n">
        <v>1094.4</v>
      </c>
      <c r="G22" s="6" t="n">
        <v>1094.4</v>
      </c>
      <c r="H22" s="6" t="n">
        <v>630.0400000000001</v>
      </c>
      <c r="I22" s="6" t="n">
        <v>1094.4</v>
      </c>
      <c r="J22" s="6" t="n">
        <v>0</v>
      </c>
    </row>
    <row r="23">
      <c r="A23" s="4" t="inlineStr">
        <is>
          <t>Baker, Daniel</t>
        </is>
      </c>
      <c r="B23" s="4" t="inlineStr">
        <is>
          <t>A_65507</t>
        </is>
      </c>
      <c r="C23" s="4" t="inlineStr">
        <is>
          <t>A_65507 - Medical Equip Srvcs Contracts</t>
        </is>
      </c>
      <c r="D23" s="6" t="n">
        <v>18803.4</v>
      </c>
      <c r="E23" s="6" t="n">
        <v>14592.5300000004</v>
      </c>
      <c r="F23" s="6" t="n">
        <v>0</v>
      </c>
      <c r="G23" s="6" t="n">
        <v>0</v>
      </c>
      <c r="H23" s="6" t="n">
        <v>-18803.4</v>
      </c>
      <c r="I23" s="6" t="n">
        <v>-14592.5300000004</v>
      </c>
      <c r="J23" s="6" t="n">
        <v>0</v>
      </c>
    </row>
    <row r="24">
      <c r="A24" s="4" t="inlineStr">
        <is>
          <t>Baker, Daniel</t>
        </is>
      </c>
      <c r="B24" s="4" t="inlineStr">
        <is>
          <t>A_65510</t>
        </is>
      </c>
      <c r="C24" s="4" t="inlineStr">
        <is>
          <t>A_65510 - Freight</t>
        </is>
      </c>
      <c r="D24" s="6" t="n">
        <v>669.0799999999999</v>
      </c>
      <c r="E24" s="6" t="n">
        <v>0</v>
      </c>
      <c r="F24" s="6" t="n">
        <v>833.6199999999999</v>
      </c>
      <c r="G24" s="6" t="n">
        <v>500</v>
      </c>
      <c r="H24" s="6" t="n">
        <v>-169.0799999999999</v>
      </c>
      <c r="I24" s="6" t="n">
        <v>500</v>
      </c>
      <c r="J24" s="6" t="n">
        <v>-333.6199999999999</v>
      </c>
    </row>
    <row r="25">
      <c r="A25" s="4" t="inlineStr">
        <is>
          <t>Baker, Daniel</t>
        </is>
      </c>
      <c r="B25" s="4" t="inlineStr">
        <is>
          <t>A_65517</t>
        </is>
      </c>
      <c r="C25" s="4" t="inlineStr">
        <is>
          <t>A_65517 - Software Maint and Support</t>
        </is>
      </c>
      <c r="D25" s="6" t="n">
        <v>1743.3</v>
      </c>
      <c r="E25" s="6" t="n">
        <v>1686.9999999996</v>
      </c>
      <c r="F25" s="6" t="n">
        <v>1896.94</v>
      </c>
      <c r="G25" s="6" t="n">
        <v>1900</v>
      </c>
      <c r="H25" s="6" t="n">
        <v>156.7</v>
      </c>
      <c r="I25" s="6" t="n">
        <v>213.0000000004</v>
      </c>
      <c r="J25" s="6" t="n">
        <v>3.059999999999945</v>
      </c>
    </row>
    <row r="26">
      <c r="A26" s="4" t="inlineStr">
        <is>
          <t>Baker, Daniel</t>
        </is>
      </c>
      <c r="B26" s="4" t="inlineStr">
        <is>
          <t>A_65518</t>
        </is>
      </c>
      <c r="C26" s="4" t="inlineStr">
        <is>
          <t>A_65518 - Cloud Maintenance and Support</t>
        </is>
      </c>
      <c r="D26" s="6" t="n">
        <v>259.74</v>
      </c>
      <c r="E26" s="6" t="n">
        <v>0</v>
      </c>
      <c r="F26" s="6" t="n">
        <v>692.64</v>
      </c>
      <c r="G26" s="6" t="n">
        <v>300</v>
      </c>
      <c r="H26" s="6" t="n">
        <v>40.25999999999999</v>
      </c>
      <c r="I26" s="6" t="n">
        <v>300</v>
      </c>
      <c r="J26" s="6" t="n">
        <v>-392.64</v>
      </c>
    </row>
    <row r="27">
      <c r="A27" s="4" t="inlineStr">
        <is>
          <t>Baker, Daniel</t>
        </is>
      </c>
      <c r="B27" s="4" t="inlineStr">
        <is>
          <t>A_65533</t>
        </is>
      </c>
      <c r="C27" s="4" t="inlineStr">
        <is>
          <t>A_65533 - Other Purchased Svcs-Security</t>
        </is>
      </c>
      <c r="D27" s="6" t="n">
        <v>465</v>
      </c>
      <c r="E27" s="6" t="n">
        <v>0</v>
      </c>
      <c r="F27" s="6" t="n">
        <v>0</v>
      </c>
      <c r="G27" s="6" t="n">
        <v>0</v>
      </c>
      <c r="H27" s="6" t="n">
        <v>-465</v>
      </c>
      <c r="I27" s="6" t="n">
        <v>0</v>
      </c>
      <c r="J27" s="6" t="n">
        <v>0</v>
      </c>
    </row>
    <row r="28">
      <c r="A28" s="4" t="inlineStr">
        <is>
          <t>Baker, Daniel</t>
        </is>
      </c>
      <c r="B28" s="4" t="inlineStr">
        <is>
          <t>A_65535</t>
        </is>
      </c>
      <c r="C28" s="4" t="inlineStr">
        <is>
          <t>A_65535 - Other Purchased Services</t>
        </is>
      </c>
      <c r="D28" s="6" t="n">
        <v>18989.36</v>
      </c>
      <c r="E28" s="6" t="n">
        <v>9218.0000000004</v>
      </c>
      <c r="F28" s="6" t="n">
        <v>14335.08</v>
      </c>
      <c r="G28" s="6" t="n">
        <v>0</v>
      </c>
      <c r="H28" s="6" t="n">
        <v>-18989.36</v>
      </c>
      <c r="I28" s="6" t="n">
        <v>-9218.0000000004</v>
      </c>
      <c r="J28" s="6" t="n">
        <v>-14335.08</v>
      </c>
    </row>
    <row r="29">
      <c r="A29" s="4" t="inlineStr">
        <is>
          <t>Baker, Daniel</t>
        </is>
      </c>
      <c r="B29" s="4" t="inlineStr">
        <is>
          <t>A_65536</t>
        </is>
      </c>
      <c r="C29" s="4" t="inlineStr">
        <is>
          <t>A_65536 - Oth Purch Serv- Credentialling</t>
        </is>
      </c>
      <c r="D29" s="6" t="n">
        <v>6070.3</v>
      </c>
      <c r="E29" s="6" t="n">
        <v>0</v>
      </c>
      <c r="F29" s="6" t="n">
        <v>360</v>
      </c>
      <c r="G29" s="6" t="n">
        <v>10273</v>
      </c>
      <c r="H29" s="6" t="n">
        <v>4202.7</v>
      </c>
      <c r="I29" s="6" t="n">
        <v>10273</v>
      </c>
      <c r="J29" s="6" t="n">
        <v>9913</v>
      </c>
    </row>
    <row r="30">
      <c r="A30" s="4" t="inlineStr">
        <is>
          <t>Baker, Daniel</t>
        </is>
      </c>
      <c r="B30" s="4" t="inlineStr">
        <is>
          <t>A_65540</t>
        </is>
      </c>
      <c r="C30" s="4" t="inlineStr">
        <is>
          <t>A_65540 - Outside Messenger Service</t>
        </is>
      </c>
      <c r="D30" s="6" t="n">
        <v>790.77</v>
      </c>
      <c r="E30" s="6" t="n">
        <v>500.0000000004</v>
      </c>
      <c r="F30" s="6" t="n">
        <v>2188.98</v>
      </c>
      <c r="G30" s="6" t="n">
        <v>2188.98</v>
      </c>
      <c r="H30" s="6" t="n">
        <v>1398.21</v>
      </c>
      <c r="I30" s="6" t="n">
        <v>1688.9799999996</v>
      </c>
      <c r="J30" s="6" t="n">
        <v>0</v>
      </c>
    </row>
    <row r="31">
      <c r="A31" s="4" t="inlineStr">
        <is>
          <t>Baker, Daniel</t>
        </is>
      </c>
      <c r="B31" s="4" t="inlineStr">
        <is>
          <t>A_65541</t>
        </is>
      </c>
      <c r="C31" s="4" t="inlineStr">
        <is>
          <t>A_65541 - Valet Parking</t>
        </is>
      </c>
      <c r="D31" s="6" t="n">
        <v>180417.17</v>
      </c>
      <c r="E31" s="6" t="n">
        <v>0.249999999898137</v>
      </c>
      <c r="F31" s="6" t="n">
        <v>6000</v>
      </c>
      <c r="G31" s="6" t="n">
        <v>6000</v>
      </c>
      <c r="H31" s="6" t="n">
        <v>-174417.17</v>
      </c>
      <c r="I31" s="6" t="n">
        <v>5999.750000000102</v>
      </c>
      <c r="J31" s="6" t="n">
        <v>0</v>
      </c>
    </row>
    <row r="32">
      <c r="A32" s="4" t="inlineStr">
        <is>
          <t>Baker, Daniel</t>
        </is>
      </c>
      <c r="B32" s="4" t="inlineStr">
        <is>
          <t>A_65542</t>
        </is>
      </c>
      <c r="C32" s="4" t="inlineStr">
        <is>
          <t>A_65542 - Translation Services</t>
        </is>
      </c>
      <c r="D32" s="6" t="n">
        <v>52533.75</v>
      </c>
      <c r="E32" s="6" t="n">
        <v>-4076.31</v>
      </c>
      <c r="F32" s="6" t="n">
        <v>52511.72</v>
      </c>
      <c r="G32" s="6" t="n">
        <v>0</v>
      </c>
      <c r="H32" s="6" t="n">
        <v>-52533.75</v>
      </c>
      <c r="I32" s="6" t="n">
        <v>4076.31</v>
      </c>
      <c r="J32" s="6" t="n">
        <v>-52511.72</v>
      </c>
    </row>
    <row r="33">
      <c r="A33" s="4" t="inlineStr">
        <is>
          <t>Baker, Daniel</t>
        </is>
      </c>
      <c r="B33" s="4" t="inlineStr">
        <is>
          <t>A_65565</t>
        </is>
      </c>
      <c r="C33" s="4" t="inlineStr">
        <is>
          <t>A_65565 - Purchases Services - Linen</t>
        </is>
      </c>
      <c r="D33" s="6" t="n">
        <v>-7800</v>
      </c>
      <c r="E33" s="6" t="n">
        <v>0</v>
      </c>
      <c r="F33" s="6" t="n">
        <v>780.62</v>
      </c>
      <c r="G33" s="6" t="n">
        <v>0</v>
      </c>
      <c r="H33" s="6" t="n">
        <v>7800</v>
      </c>
      <c r="I33" s="6" t="n">
        <v>0</v>
      </c>
      <c r="J33" s="6" t="n">
        <v>-780.62</v>
      </c>
    </row>
    <row r="34">
      <c r="A34" s="4" t="inlineStr">
        <is>
          <t>Baker, Daniel</t>
        </is>
      </c>
      <c r="B34" s="4" t="inlineStr">
        <is>
          <t>A_66000</t>
        </is>
      </c>
      <c r="C34" s="4" t="inlineStr">
        <is>
          <t>A_66000 - Dues</t>
        </is>
      </c>
      <c r="D34" s="6" t="n">
        <v>1410</v>
      </c>
      <c r="E34" s="6" t="n">
        <v>4500</v>
      </c>
      <c r="F34" s="6" t="n">
        <v>1928</v>
      </c>
      <c r="G34" s="6" t="n">
        <v>1928</v>
      </c>
      <c r="H34" s="6" t="n">
        <v>518</v>
      </c>
      <c r="I34" s="6" t="n">
        <v>-2572</v>
      </c>
      <c r="J34" s="6" t="n">
        <v>0</v>
      </c>
    </row>
    <row r="35">
      <c r="A35" s="4" t="inlineStr">
        <is>
          <t>Baker, Daniel</t>
        </is>
      </c>
      <c r="B35" s="4" t="inlineStr">
        <is>
          <t>A_66010</t>
        </is>
      </c>
      <c r="C35" s="4" t="inlineStr">
        <is>
          <t>A_66010 - Periodicals-Publ-Subscriptions</t>
        </is>
      </c>
      <c r="D35" s="6" t="n">
        <v>4068.11</v>
      </c>
      <c r="E35" s="6" t="n">
        <v>1632</v>
      </c>
      <c r="F35" s="6" t="n">
        <v>3415.88</v>
      </c>
      <c r="G35" s="6" t="n">
        <v>1000</v>
      </c>
      <c r="H35" s="6" t="n">
        <v>-3068.11</v>
      </c>
      <c r="I35" s="6" t="n">
        <v>-632</v>
      </c>
      <c r="J35" s="6" t="n">
        <v>-2415.88</v>
      </c>
    </row>
    <row r="36">
      <c r="A36" s="4" t="inlineStr">
        <is>
          <t>Baker, Daniel</t>
        </is>
      </c>
      <c r="B36" s="4" t="inlineStr">
        <is>
          <t>A_66020</t>
        </is>
      </c>
      <c r="C36" s="4" t="inlineStr">
        <is>
          <t>A_66020 - Outside Training</t>
        </is>
      </c>
      <c r="D36" s="6" t="n">
        <v>2041.24</v>
      </c>
      <c r="E36" s="6" t="n">
        <v>1550.0000000004</v>
      </c>
      <c r="F36" s="6" t="n">
        <v>0</v>
      </c>
      <c r="G36" s="6" t="n">
        <v>0</v>
      </c>
      <c r="H36" s="6" t="n">
        <v>-2041.24</v>
      </c>
      <c r="I36" s="6" t="n">
        <v>-1550.0000000004</v>
      </c>
      <c r="J36" s="6" t="n">
        <v>0</v>
      </c>
    </row>
    <row r="37">
      <c r="A37" s="4" t="inlineStr">
        <is>
          <t>Baker, Daniel</t>
        </is>
      </c>
      <c r="B37" s="4" t="inlineStr">
        <is>
          <t>A_66050</t>
        </is>
      </c>
      <c r="C37" s="4" t="inlineStr">
        <is>
          <t>A_66050 - Printing And Duplication</t>
        </is>
      </c>
      <c r="D37" s="6" t="n">
        <v>25083.26</v>
      </c>
      <c r="E37" s="6" t="n">
        <v>1408.9899999996</v>
      </c>
      <c r="F37" s="6" t="n">
        <v>24274.8</v>
      </c>
      <c r="G37" s="6" t="n">
        <v>10000</v>
      </c>
      <c r="H37" s="6" t="n">
        <v>-15083.26</v>
      </c>
      <c r="I37" s="6" t="n">
        <v>8591.0100000004</v>
      </c>
      <c r="J37" s="6" t="n">
        <v>-14274.8</v>
      </c>
    </row>
    <row r="38">
      <c r="A38" s="4" t="inlineStr">
        <is>
          <t>Baker, Daniel</t>
        </is>
      </c>
      <c r="B38" s="4" t="inlineStr">
        <is>
          <t>A_66060</t>
        </is>
      </c>
      <c r="C38" s="4" t="inlineStr">
        <is>
          <t>A_66060 - Other Expenses</t>
        </is>
      </c>
      <c r="D38" s="6" t="n">
        <v>18881.94</v>
      </c>
      <c r="E38" s="6" t="n">
        <v>2499.9996</v>
      </c>
      <c r="F38" s="6" t="n">
        <v>15798.58</v>
      </c>
      <c r="G38" s="6" t="n">
        <v>0</v>
      </c>
      <c r="H38" s="6" t="n">
        <v>-18881.94</v>
      </c>
      <c r="I38" s="6" t="n">
        <v>-2499.9996</v>
      </c>
      <c r="J38" s="6" t="n">
        <v>-15798.58</v>
      </c>
    </row>
    <row r="39">
      <c r="A39" s="4" t="inlineStr">
        <is>
          <t>Baker, Daniel</t>
        </is>
      </c>
      <c r="B39" s="4" t="inlineStr">
        <is>
          <t>A_66070</t>
        </is>
      </c>
      <c r="C39" s="4" t="inlineStr">
        <is>
          <t>A_66070 - Advertising</t>
        </is>
      </c>
      <c r="D39" s="6" t="n">
        <v>111788.62</v>
      </c>
      <c r="E39" s="6" t="n">
        <v>130082</v>
      </c>
      <c r="F39" s="6" t="n">
        <v>82351.84</v>
      </c>
      <c r="G39" s="6" t="n">
        <v>82300</v>
      </c>
      <c r="H39" s="6" t="n">
        <v>-29488.62</v>
      </c>
      <c r="I39" s="6" t="n">
        <v>-47782</v>
      </c>
      <c r="J39" s="6" t="n">
        <v>-51.83999999999651</v>
      </c>
    </row>
    <row r="40">
      <c r="A40" s="4" t="inlineStr">
        <is>
          <t>Baker, Daniel</t>
        </is>
      </c>
      <c r="B40" s="4" t="inlineStr">
        <is>
          <t>A_66075</t>
        </is>
      </c>
      <c r="C40" s="4" t="inlineStr">
        <is>
          <t>A_66075 - Promotional items</t>
        </is>
      </c>
      <c r="D40" s="6" t="n">
        <v>50785.5</v>
      </c>
      <c r="E40" s="6" t="n">
        <v>0</v>
      </c>
      <c r="F40" s="6" t="n">
        <v>1176</v>
      </c>
      <c r="G40" s="6" t="n">
        <v>15000</v>
      </c>
      <c r="H40" s="6" t="n">
        <v>-35785.5</v>
      </c>
      <c r="I40" s="6" t="n">
        <v>15000</v>
      </c>
      <c r="J40" s="6" t="n">
        <v>13824</v>
      </c>
    </row>
    <row r="41">
      <c r="A41" s="4" t="inlineStr">
        <is>
          <t>Baker, Daniel</t>
        </is>
      </c>
      <c r="B41" s="4" t="inlineStr">
        <is>
          <t>A_66076</t>
        </is>
      </c>
      <c r="C41" s="4" t="inlineStr">
        <is>
          <t>A_66076 - Corporate Sponsorships</t>
        </is>
      </c>
      <c r="D41" s="6" t="n">
        <v>68250</v>
      </c>
      <c r="E41" s="6" t="n">
        <v>122000</v>
      </c>
      <c r="F41" s="6" t="n">
        <v>102836.04</v>
      </c>
      <c r="G41" s="6" t="n">
        <v>75000</v>
      </c>
      <c r="H41" s="6" t="n">
        <v>6750</v>
      </c>
      <c r="I41" s="6" t="n">
        <v>-47000</v>
      </c>
      <c r="J41" s="6" t="n">
        <v>-27836.03999999999</v>
      </c>
    </row>
    <row r="42">
      <c r="A42" s="4" t="inlineStr">
        <is>
          <t>Baker, Daniel</t>
        </is>
      </c>
      <c r="B42" s="4" t="inlineStr">
        <is>
          <t>A_66090</t>
        </is>
      </c>
      <c r="C42" s="4" t="inlineStr">
        <is>
          <t>A_66090 - House Functions &amp; Corp Events</t>
        </is>
      </c>
      <c r="D42" s="6" t="n">
        <v>41632.42</v>
      </c>
      <c r="E42" s="6" t="n">
        <v>50949.9996</v>
      </c>
      <c r="F42" s="6" t="n">
        <v>34279.8</v>
      </c>
      <c r="G42" s="6" t="n">
        <v>44062</v>
      </c>
      <c r="H42" s="6" t="n">
        <v>2429.580000000002</v>
      </c>
      <c r="I42" s="6" t="n">
        <v>-6887.999600000003</v>
      </c>
      <c r="J42" s="6" t="n">
        <v>9782.199999999997</v>
      </c>
    </row>
    <row r="43">
      <c r="A43" s="4" t="inlineStr">
        <is>
          <t>Baker, Daniel</t>
        </is>
      </c>
      <c r="B43" s="4" t="inlineStr">
        <is>
          <t>A_66095</t>
        </is>
      </c>
      <c r="C43" s="4" t="inlineStr">
        <is>
          <t>A_66095 - Meals &amp; Entertainment</t>
        </is>
      </c>
      <c r="D43" s="6" t="n">
        <v>13144.7</v>
      </c>
      <c r="E43" s="6" t="n">
        <v>18000</v>
      </c>
      <c r="F43" s="6" t="n">
        <v>3751.16</v>
      </c>
      <c r="G43" s="6" t="n">
        <v>3500</v>
      </c>
      <c r="H43" s="6" t="n">
        <v>-9644.700000000001</v>
      </c>
      <c r="I43" s="6" t="n">
        <v>-14500</v>
      </c>
      <c r="J43" s="6" t="n">
        <v>-251.1599999999999</v>
      </c>
    </row>
    <row r="44">
      <c r="A44" s="4" t="inlineStr">
        <is>
          <t>Baker, Daniel</t>
        </is>
      </c>
      <c r="B44" s="4" t="inlineStr">
        <is>
          <t>A_66150</t>
        </is>
      </c>
      <c r="C44" s="4" t="inlineStr">
        <is>
          <t>A_66150 - Travel</t>
        </is>
      </c>
      <c r="D44" s="6" t="n">
        <v>6855.53</v>
      </c>
      <c r="E44" s="6" t="n">
        <v>6650.0000000004</v>
      </c>
      <c r="F44" s="6" t="n">
        <v>4712.64</v>
      </c>
      <c r="G44" s="6" t="n">
        <v>5000</v>
      </c>
      <c r="H44" s="6" t="n">
        <v>-1855.53</v>
      </c>
      <c r="I44" s="6" t="n">
        <v>-1650.0000000004</v>
      </c>
      <c r="J44" s="6" t="n">
        <v>287.3599999999997</v>
      </c>
    </row>
    <row r="45">
      <c r="A45" s="4" t="inlineStr">
        <is>
          <t>Baker, Daniel</t>
        </is>
      </c>
      <c r="B45" s="4" t="inlineStr">
        <is>
          <t>A_66510</t>
        </is>
      </c>
      <c r="C45" s="4" t="inlineStr">
        <is>
          <t>A_66510 - Lease-Rentals - Other</t>
        </is>
      </c>
      <c r="D45" s="6" t="n">
        <v>3066.25</v>
      </c>
      <c r="E45" s="6" t="n">
        <v>0</v>
      </c>
      <c r="F45" s="6" t="n">
        <v>0</v>
      </c>
      <c r="G45" s="6" t="n">
        <v>0</v>
      </c>
      <c r="H45" s="6" t="n">
        <v>-3066.25</v>
      </c>
      <c r="I45" s="6" t="n">
        <v>0</v>
      </c>
      <c r="J45" s="6" t="n">
        <v>0</v>
      </c>
    </row>
    <row r="46">
      <c r="A46" s="4" t="inlineStr">
        <is>
          <t>Baker, Daniel</t>
        </is>
      </c>
      <c r="B46" s="4" t="inlineStr">
        <is>
          <t>A_66515</t>
        </is>
      </c>
      <c r="C46" s="4" t="inlineStr">
        <is>
          <t>A_66515 - Lease Rentals - Copiers</t>
        </is>
      </c>
      <c r="D46" s="6" t="n">
        <v>22303.15</v>
      </c>
      <c r="E46" s="6" t="n">
        <v>18156.1700000004</v>
      </c>
      <c r="F46" s="6" t="n">
        <v>14112.64</v>
      </c>
      <c r="G46" s="6" t="n">
        <v>14112.64</v>
      </c>
      <c r="H46" s="6" t="n">
        <v>-8190.510000000002</v>
      </c>
      <c r="I46" s="6" t="n">
        <v>-4043.530000000399</v>
      </c>
      <c r="J46" s="6" t="n">
        <v>0</v>
      </c>
    </row>
    <row r="47">
      <c r="A47" s="4" t="inlineStr">
        <is>
          <t>Baker, Daniel</t>
        </is>
      </c>
      <c r="B47" s="4" t="inlineStr">
        <is>
          <t>A_66524</t>
        </is>
      </c>
      <c r="C47" s="4" t="inlineStr">
        <is>
          <t>A_66524 - Software Licensing Fees</t>
        </is>
      </c>
      <c r="D47" s="6" t="n">
        <v>63</v>
      </c>
      <c r="E47" s="6" t="n">
        <v>0</v>
      </c>
      <c r="F47" s="6" t="n">
        <v>3887.44</v>
      </c>
      <c r="G47" s="6" t="n">
        <v>3887.44</v>
      </c>
      <c r="H47" s="6" t="n">
        <v>3824.44</v>
      </c>
      <c r="I47" s="6" t="n">
        <v>3887.44</v>
      </c>
      <c r="J47" s="6" t="n">
        <v>0</v>
      </c>
    </row>
    <row r="48">
      <c r="A48" s="4" t="inlineStr">
        <is>
          <t>Baker, Daniel</t>
        </is>
      </c>
      <c r="B48" s="4" t="inlineStr">
        <is>
          <t>A_66528</t>
        </is>
      </c>
      <c r="C48" s="4" t="inlineStr">
        <is>
          <t>A_66528 - Cloud Software Licensing Fees</t>
        </is>
      </c>
      <c r="D48" s="6" t="n">
        <v>179923.2</v>
      </c>
      <c r="E48" s="6" t="n">
        <v>180000</v>
      </c>
      <c r="F48" s="6" t="n">
        <v>179533.1</v>
      </c>
      <c r="G48" s="6" t="n">
        <v>179256</v>
      </c>
      <c r="H48" s="6" t="n">
        <v>-667.2000000000116</v>
      </c>
      <c r="I48" s="6" t="n">
        <v>-744</v>
      </c>
      <c r="J48" s="6" t="n">
        <v>-277.1000000000058</v>
      </c>
    </row>
    <row r="49">
      <c r="A49" s="7" t="inlineStr">
        <is>
          <t>Total</t>
        </is>
      </c>
      <c r="B49" s="7" t="n"/>
      <c r="C49" s="7" t="n"/>
      <c r="D49" s="8">
        <f>SUM(D6:D48)</f>
        <v/>
      </c>
      <c r="E49" s="8">
        <f>SUM(E6:E48)</f>
        <v/>
      </c>
      <c r="F49" s="8">
        <f>SUM(F6:F48)</f>
        <v/>
      </c>
      <c r="G49" s="8">
        <f>SUM(G6:G48)</f>
        <v/>
      </c>
      <c r="H49" s="8">
        <f>SUM(H6:H48)</f>
        <v/>
      </c>
      <c r="I49" s="8">
        <f>SUM(I6:I48)</f>
        <v/>
      </c>
      <c r="J49" s="8">
        <f>SUM(J6:J48)</f>
        <v/>
      </c>
    </row>
  </sheetData>
  <autoFilter ref="A5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