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7" customWidth="1" min="3" max="3"/>
    <col width="30" customWidth="1" min="4" max="4"/>
    <col width="15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Sartori, Danielle E</t>
        </is>
      </c>
      <c r="B6" s="4" t="inlineStr">
        <is>
          <t>Sartori, Danielle E</t>
        </is>
      </c>
      <c r="C6" s="5" t="n">
        <v>74002505</v>
      </c>
      <c r="D6" s="4" t="inlineStr">
        <is>
          <t>GVCCC_74002505 - Radiology</t>
        </is>
      </c>
      <c r="E6" s="6" t="n">
        <v>816150.26</v>
      </c>
      <c r="F6" s="6" t="n">
        <v>756522.1171296306</v>
      </c>
      <c r="G6" s="6" t="n">
        <v>524234.5176133812</v>
      </c>
      <c r="H6" s="6" t="n">
        <v>561821.3034471744</v>
      </c>
      <c r="I6" s="6" t="n">
        <v>-254328.9565528256</v>
      </c>
      <c r="J6" s="6" t="n">
        <v>-194700.8136824563</v>
      </c>
      <c r="K6" s="6" t="n">
        <v>37586.78583379317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0" customWidth="1" min="4" max="4"/>
    <col width="20" customWidth="1" min="5" max="5"/>
    <col width="20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Sartori, Danielle E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-267.44</v>
      </c>
      <c r="E6" s="6" t="n">
        <v>-9.9999999999</v>
      </c>
      <c r="F6" s="6" t="n">
        <v>-3340.9364835165</v>
      </c>
      <c r="G6" s="6" t="n">
        <v>-9.9999999999</v>
      </c>
      <c r="H6" s="6" t="n">
        <v>257.4400000001</v>
      </c>
      <c r="I6" s="6" t="n">
        <v>0</v>
      </c>
      <c r="J6" s="6" t="n">
        <v>3330.9364835166</v>
      </c>
    </row>
    <row r="7">
      <c r="A7" s="4" t="inlineStr">
        <is>
          <t>Sartori, Danielle E</t>
        </is>
      </c>
      <c r="B7" s="4" t="inlineStr">
        <is>
          <t>A_61300</t>
        </is>
      </c>
      <c r="C7" s="4" t="inlineStr">
        <is>
          <t>A_61300 - Nursing Fees</t>
        </is>
      </c>
      <c r="D7" s="6" t="n">
        <v>267307.65</v>
      </c>
      <c r="E7" s="6" t="n">
        <v>162000</v>
      </c>
      <c r="F7" s="6" t="n">
        <v>0</v>
      </c>
      <c r="G7" s="6" t="n">
        <v>0</v>
      </c>
      <c r="H7" s="6" t="n">
        <v>-267307.65</v>
      </c>
      <c r="I7" s="6" t="n">
        <v>-162000</v>
      </c>
      <c r="J7" s="6" t="n">
        <v>0</v>
      </c>
    </row>
    <row r="8">
      <c r="A8" s="4" t="inlineStr">
        <is>
          <t>Sartori, Danielle E</t>
        </is>
      </c>
      <c r="B8" s="4" t="inlineStr">
        <is>
          <t>A_61400</t>
        </is>
      </c>
      <c r="C8" s="4" t="inlineStr">
        <is>
          <t>A_61400 - Other Fees</t>
        </is>
      </c>
      <c r="D8" s="6" t="n">
        <v>50</v>
      </c>
      <c r="E8" s="6" t="n">
        <v>0</v>
      </c>
      <c r="F8" s="6" t="n">
        <v>0</v>
      </c>
      <c r="G8" s="6" t="n">
        <v>0</v>
      </c>
      <c r="H8" s="6" t="n">
        <v>-50</v>
      </c>
      <c r="I8" s="6" t="n">
        <v>0</v>
      </c>
      <c r="J8" s="6" t="n">
        <v>0</v>
      </c>
    </row>
    <row r="9">
      <c r="A9" s="4" t="inlineStr">
        <is>
          <t>Sartori, Danielle E</t>
        </is>
      </c>
      <c r="B9" s="4" t="inlineStr">
        <is>
          <t>A_63000</t>
        </is>
      </c>
      <c r="C9" s="4" t="inlineStr">
        <is>
          <t>A_63000 - Supplies - Laboratory</t>
        </is>
      </c>
      <c r="D9" s="6" t="n">
        <v>59.42</v>
      </c>
      <c r="E9" s="6" t="n">
        <v>0</v>
      </c>
      <c r="F9" s="6" t="n">
        <v>0</v>
      </c>
      <c r="G9" s="6" t="n">
        <v>0</v>
      </c>
      <c r="H9" s="6" t="n">
        <v>-59.42</v>
      </c>
      <c r="I9" s="6" t="n">
        <v>0</v>
      </c>
      <c r="J9" s="6" t="n">
        <v>0</v>
      </c>
    </row>
    <row r="10">
      <c r="A10" s="4" t="inlineStr">
        <is>
          <t>Sartori, Danielle E</t>
        </is>
      </c>
      <c r="B10" s="4" t="inlineStr">
        <is>
          <t>A_63030</t>
        </is>
      </c>
      <c r="C10" s="4" t="inlineStr">
        <is>
          <t>A_63030 - Supplies - Medical</t>
        </is>
      </c>
      <c r="D10" s="6" t="n">
        <v>56766.46</v>
      </c>
      <c r="E10" s="6" t="n">
        <v>49769.2018888891</v>
      </c>
      <c r="F10" s="6" t="n">
        <v>56639.8875824176</v>
      </c>
      <c r="G10" s="6" t="n">
        <v>56639.8875824176</v>
      </c>
      <c r="H10" s="6" t="n">
        <v>-126.5724175823998</v>
      </c>
      <c r="I10" s="6" t="n">
        <v>6870.685693528496</v>
      </c>
      <c r="J10" s="6" t="n">
        <v>0</v>
      </c>
    </row>
    <row r="11">
      <c r="A11" s="4" t="inlineStr">
        <is>
          <t>Sartori, Danielle E</t>
        </is>
      </c>
      <c r="B11" s="4" t="inlineStr">
        <is>
          <t>A_63040</t>
        </is>
      </c>
      <c r="C11" s="4" t="inlineStr">
        <is>
          <t>A_63040 - Supplies - Radiology</t>
        </is>
      </c>
      <c r="D11" s="6" t="n">
        <v>134972.22</v>
      </c>
      <c r="E11" s="6" t="n">
        <v>121814.190240741</v>
      </c>
      <c r="F11" s="6" t="n">
        <v>60029.6910989011</v>
      </c>
      <c r="G11" s="6" t="n">
        <v>60029.6910989011</v>
      </c>
      <c r="H11" s="6" t="n">
        <v>-74942.52890109891</v>
      </c>
      <c r="I11" s="6" t="n">
        <v>-61784.49914183989</v>
      </c>
      <c r="J11" s="6" t="n">
        <v>0</v>
      </c>
    </row>
    <row r="12">
      <c r="A12" s="4" t="inlineStr">
        <is>
          <t>Sartori, Danielle E</t>
        </is>
      </c>
      <c r="B12" s="4" t="inlineStr">
        <is>
          <t>A_63045</t>
        </is>
      </c>
      <c r="C12" s="4" t="inlineStr">
        <is>
          <t>A_63045 - Supplies - Med Equip Repair</t>
        </is>
      </c>
      <c r="D12" s="6" t="n">
        <v>22.66</v>
      </c>
      <c r="E12" s="6" t="n">
        <v>0</v>
      </c>
      <c r="F12" s="6" t="n">
        <v>0</v>
      </c>
      <c r="G12" s="6" t="n">
        <v>0</v>
      </c>
      <c r="H12" s="6" t="n">
        <v>-22.66</v>
      </c>
      <c r="I12" s="6" t="n">
        <v>0</v>
      </c>
      <c r="J12" s="6" t="n">
        <v>0</v>
      </c>
    </row>
    <row r="13">
      <c r="A13" s="4" t="inlineStr">
        <is>
          <t>Sartori, Danielle E</t>
        </is>
      </c>
      <c r="B13" s="4" t="inlineStr">
        <is>
          <t>A_63050</t>
        </is>
      </c>
      <c r="C13" s="4" t="inlineStr">
        <is>
          <t>A_63050 - Supplies - Iv Solutions &amp; Sets</t>
        </is>
      </c>
      <c r="D13" s="6" t="n">
        <v>0</v>
      </c>
      <c r="E13" s="6" t="n">
        <v>0</v>
      </c>
      <c r="F13" s="6" t="n">
        <v>1241.1421978022</v>
      </c>
      <c r="G13" s="6" t="n">
        <v>1241.1421978022</v>
      </c>
      <c r="H13" s="6" t="n">
        <v>1241.1421978022</v>
      </c>
      <c r="I13" s="6" t="n">
        <v>1241.1421978022</v>
      </c>
      <c r="J13" s="6" t="n">
        <v>0</v>
      </c>
    </row>
    <row r="14">
      <c r="A14" s="4" t="inlineStr">
        <is>
          <t>Sartori, Danielle E</t>
        </is>
      </c>
      <c r="B14" s="4" t="inlineStr">
        <is>
          <t>A_63060</t>
        </is>
      </c>
      <c r="C14" s="4" t="inlineStr">
        <is>
          <t>A_63060 - Supplies - Surgery Packs-Sheet</t>
        </is>
      </c>
      <c r="D14" s="6" t="n">
        <v>695.28</v>
      </c>
      <c r="E14" s="6" t="n">
        <v>0</v>
      </c>
      <c r="F14" s="6" t="n">
        <v>1666.3054945055</v>
      </c>
      <c r="G14" s="6" t="n">
        <v>1666.3054945055</v>
      </c>
      <c r="H14" s="6" t="n">
        <v>971.0254945055001</v>
      </c>
      <c r="I14" s="6" t="n">
        <v>1666.3054945055</v>
      </c>
      <c r="J14" s="6" t="n">
        <v>0</v>
      </c>
    </row>
    <row r="15">
      <c r="A15" s="4" t="inlineStr">
        <is>
          <t>Sartori, Danielle E</t>
        </is>
      </c>
      <c r="B15" s="4" t="inlineStr">
        <is>
          <t>A_63080</t>
        </is>
      </c>
      <c r="C15" s="4" t="inlineStr">
        <is>
          <t>A_63080 - Supplies - Surgical</t>
        </is>
      </c>
      <c r="D15" s="6" t="n">
        <v>291.6</v>
      </c>
      <c r="E15" s="6" t="n">
        <v>0</v>
      </c>
      <c r="F15" s="6" t="n">
        <v>143.1220879121</v>
      </c>
      <c r="G15" s="6" t="n">
        <v>143.1220879121</v>
      </c>
      <c r="H15" s="6" t="n">
        <v>-148.4779120879</v>
      </c>
      <c r="I15" s="6" t="n">
        <v>143.1220879121</v>
      </c>
      <c r="J15" s="6" t="n">
        <v>0</v>
      </c>
    </row>
    <row r="16">
      <c r="A16" s="4" t="inlineStr">
        <is>
          <t>Sartori, Danielle E</t>
        </is>
      </c>
      <c r="B16" s="4" t="inlineStr">
        <is>
          <t>A_64000</t>
        </is>
      </c>
      <c r="C16" s="4" t="inlineStr">
        <is>
          <t>A_64000 - Supplies - Hotel Services</t>
        </is>
      </c>
      <c r="D16" s="6" t="n">
        <v>1016.46</v>
      </c>
      <c r="E16" s="6" t="n">
        <v>1525.1699999999</v>
      </c>
      <c r="F16" s="6" t="n">
        <v>631.9743093923</v>
      </c>
      <c r="G16" s="6" t="n">
        <v>631.9743093923</v>
      </c>
      <c r="H16" s="6" t="n">
        <v>-384.4856906077</v>
      </c>
      <c r="I16" s="6" t="n">
        <v>-893.1956906076</v>
      </c>
      <c r="J16" s="6" t="n">
        <v>0</v>
      </c>
    </row>
    <row r="17">
      <c r="A17" s="4" t="inlineStr">
        <is>
          <t>Sartori, Danielle E</t>
        </is>
      </c>
      <c r="B17" s="4" t="inlineStr">
        <is>
          <t>A_64010</t>
        </is>
      </c>
      <c r="C17" s="4" t="inlineStr">
        <is>
          <t>A_64010 - Supplies - Linen And Bedding</t>
        </is>
      </c>
      <c r="D17" s="6" t="n">
        <v>261</v>
      </c>
      <c r="E17" s="6" t="n">
        <v>155.2499999999</v>
      </c>
      <c r="F17" s="6" t="n">
        <v>92.9237569061</v>
      </c>
      <c r="G17" s="6" t="n">
        <v>92.9237569061</v>
      </c>
      <c r="H17" s="6" t="n">
        <v>-168.0762430939</v>
      </c>
      <c r="I17" s="6" t="n">
        <v>-62.32624309380002</v>
      </c>
      <c r="J17" s="6" t="n">
        <v>0</v>
      </c>
    </row>
    <row r="18">
      <c r="A18" s="4" t="inlineStr">
        <is>
          <t>Sartori, Danielle E</t>
        </is>
      </c>
      <c r="B18" s="4" t="inlineStr">
        <is>
          <t>A_64020</t>
        </is>
      </c>
      <c r="C18" s="4" t="inlineStr">
        <is>
          <t>A_64020 - Supplies - Office</t>
        </is>
      </c>
      <c r="D18" s="6" t="n">
        <v>6853.6</v>
      </c>
      <c r="E18" s="6" t="n">
        <v>5302.3049999999</v>
      </c>
      <c r="F18" s="6" t="n">
        <v>1736.3110497238</v>
      </c>
      <c r="G18" s="6" t="n">
        <v>4236</v>
      </c>
      <c r="H18" s="6" t="n">
        <v>-2617.6</v>
      </c>
      <c r="I18" s="6" t="n">
        <v>-1066.3049999999</v>
      </c>
      <c r="J18" s="6" t="n">
        <v>2499.6889502762</v>
      </c>
    </row>
    <row r="19">
      <c r="A19" s="4" t="inlineStr">
        <is>
          <t>Sartori, Danielle E</t>
        </is>
      </c>
      <c r="B19" s="4" t="inlineStr">
        <is>
          <t>A_64030</t>
        </is>
      </c>
      <c r="C19" s="4" t="inlineStr">
        <is>
          <t>A_64030 - Supplies - Other Non Medical</t>
        </is>
      </c>
      <c r="D19" s="6" t="n">
        <v>358.6</v>
      </c>
      <c r="E19" s="6" t="n">
        <v>0</v>
      </c>
      <c r="F19" s="6" t="n">
        <v>379.176519337</v>
      </c>
      <c r="G19" s="6" t="n">
        <v>379.176519337</v>
      </c>
      <c r="H19" s="6" t="n">
        <v>20.57651933699998</v>
      </c>
      <c r="I19" s="6" t="n">
        <v>379.176519337</v>
      </c>
      <c r="J19" s="6" t="n">
        <v>0</v>
      </c>
    </row>
    <row r="20">
      <c r="A20" s="4" t="inlineStr">
        <is>
          <t>Sartori, Danielle E</t>
        </is>
      </c>
      <c r="B20" s="4" t="inlineStr">
        <is>
          <t>A_65505</t>
        </is>
      </c>
      <c r="C20" s="4" t="inlineStr">
        <is>
          <t>A_65505 - Equipment Service Contracts</t>
        </is>
      </c>
      <c r="D20" s="6" t="n">
        <v>23388.75</v>
      </c>
      <c r="E20" s="6" t="n">
        <v>0</v>
      </c>
      <c r="F20" s="6" t="n">
        <v>40095</v>
      </c>
      <c r="G20" s="6" t="n">
        <v>54540</v>
      </c>
      <c r="H20" s="6" t="n">
        <v>31151.25</v>
      </c>
      <c r="I20" s="6" t="n">
        <v>54540</v>
      </c>
      <c r="J20" s="6" t="n">
        <v>14445</v>
      </c>
    </row>
    <row r="21">
      <c r="A21" s="4" t="inlineStr">
        <is>
          <t>Sartori, Danielle E</t>
        </is>
      </c>
      <c r="B21" s="4" t="inlineStr">
        <is>
          <t>A_65507</t>
        </is>
      </c>
      <c r="C21" s="4" t="inlineStr">
        <is>
          <t>A_65507 - Medical Equip Srvcs Contracts</t>
        </is>
      </c>
      <c r="D21" s="6" t="n">
        <v>116468.03</v>
      </c>
      <c r="E21" s="6" t="n">
        <v>118481.0004</v>
      </c>
      <c r="F21" s="6" t="n">
        <v>124767.4</v>
      </c>
      <c r="G21" s="6" t="n">
        <v>118481.0004</v>
      </c>
      <c r="H21" s="6" t="n">
        <v>2012.970400000006</v>
      </c>
      <c r="I21" s="6" t="n">
        <v>0</v>
      </c>
      <c r="J21" s="6" t="n">
        <v>-6286.39959999999</v>
      </c>
    </row>
    <row r="22">
      <c r="A22" s="4" t="inlineStr">
        <is>
          <t>Sartori, Danielle E</t>
        </is>
      </c>
      <c r="B22" s="4" t="inlineStr">
        <is>
          <t>A_65510</t>
        </is>
      </c>
      <c r="C22" s="4" t="inlineStr">
        <is>
          <t>A_65510 - Freight</t>
        </is>
      </c>
      <c r="D22" s="6" t="n">
        <v>4854.86</v>
      </c>
      <c r="E22" s="6" t="n">
        <v>2852.0000000004</v>
      </c>
      <c r="F22" s="6" t="n">
        <v>5687.76</v>
      </c>
      <c r="G22" s="6" t="n">
        <v>5687.76</v>
      </c>
      <c r="H22" s="6" t="n">
        <v>832.9000000000005</v>
      </c>
      <c r="I22" s="6" t="n">
        <v>2835.7599999996</v>
      </c>
      <c r="J22" s="6" t="n">
        <v>0</v>
      </c>
    </row>
    <row r="23">
      <c r="A23" s="4" t="inlineStr">
        <is>
          <t>Sartori, Danielle E</t>
        </is>
      </c>
      <c r="B23" s="4" t="inlineStr">
        <is>
          <t>A_65515</t>
        </is>
      </c>
      <c r="C23" s="4" t="inlineStr">
        <is>
          <t>A_65515 - Ge Central Equip Svc Contract</t>
        </is>
      </c>
      <c r="D23" s="6" t="n">
        <v>129339.92</v>
      </c>
      <c r="E23" s="6" t="n">
        <v>120000</v>
      </c>
      <c r="F23" s="6" t="n">
        <v>138850.78</v>
      </c>
      <c r="G23" s="6" t="n">
        <v>138850.78</v>
      </c>
      <c r="H23" s="6" t="n">
        <v>9510.860000000001</v>
      </c>
      <c r="I23" s="6" t="n">
        <v>18850.78</v>
      </c>
      <c r="J23" s="6" t="n">
        <v>0</v>
      </c>
    </row>
    <row r="24">
      <c r="A24" s="4" t="inlineStr">
        <is>
          <t>Sartori, Danielle E</t>
        </is>
      </c>
      <c r="B24" s="4" t="inlineStr">
        <is>
          <t>A_65517</t>
        </is>
      </c>
      <c r="C24" s="4" t="inlineStr">
        <is>
          <t>A_65517 - Software Maint and Support</t>
        </is>
      </c>
      <c r="D24" s="6" t="n">
        <v>9003</v>
      </c>
      <c r="E24" s="6" t="n">
        <v>8834.0000000004</v>
      </c>
      <c r="F24" s="6" t="n">
        <v>0</v>
      </c>
      <c r="G24" s="6" t="n">
        <v>8834.0000000004</v>
      </c>
      <c r="H24" s="6" t="n">
        <v>-168.9999999995998</v>
      </c>
      <c r="I24" s="6" t="n">
        <v>0</v>
      </c>
      <c r="J24" s="6" t="n">
        <v>8834.0000000004</v>
      </c>
    </row>
    <row r="25">
      <c r="A25" s="4" t="inlineStr">
        <is>
          <t>Sartori, Danielle E</t>
        </is>
      </c>
      <c r="B25" s="4" t="inlineStr">
        <is>
          <t>A_65527</t>
        </is>
      </c>
      <c r="C25" s="4" t="inlineStr">
        <is>
          <t>A_65527 - Med Equipment Maint &amp; Repairs</t>
        </is>
      </c>
      <c r="D25" s="6" t="n">
        <v>11243.06</v>
      </c>
      <c r="E25" s="6" t="n">
        <v>5400</v>
      </c>
      <c r="F25" s="6" t="n">
        <v>23135.8</v>
      </c>
      <c r="G25" s="6" t="n">
        <v>15000</v>
      </c>
      <c r="H25" s="6" t="n">
        <v>3756.940000000001</v>
      </c>
      <c r="I25" s="6" t="n">
        <v>9600</v>
      </c>
      <c r="J25" s="6" t="n">
        <v>-8135.799999999999</v>
      </c>
    </row>
    <row r="26">
      <c r="A26" s="4" t="inlineStr">
        <is>
          <t>Sartori, Danielle E</t>
        </is>
      </c>
      <c r="B26" s="4" t="inlineStr">
        <is>
          <t>A_65530</t>
        </is>
      </c>
      <c r="C26" s="4" t="inlineStr">
        <is>
          <t>A_65530 - Medical Purchased Services</t>
        </is>
      </c>
      <c r="D26" s="6" t="n">
        <v>7613</v>
      </c>
      <c r="E26" s="6" t="n">
        <v>7476</v>
      </c>
      <c r="F26" s="6" t="n">
        <v>6230</v>
      </c>
      <c r="G26" s="6" t="n">
        <v>6230</v>
      </c>
      <c r="H26" s="6" t="n">
        <v>-1383</v>
      </c>
      <c r="I26" s="6" t="n">
        <v>-1246</v>
      </c>
      <c r="J26" s="6" t="n">
        <v>0</v>
      </c>
    </row>
    <row r="27">
      <c r="A27" s="4" t="inlineStr">
        <is>
          <t>Sartori, Danielle E</t>
        </is>
      </c>
      <c r="B27" s="4" t="inlineStr">
        <is>
          <t>A_65535</t>
        </is>
      </c>
      <c r="C27" s="4" t="inlineStr">
        <is>
          <t>A_65535 - Other Purchased Services</t>
        </is>
      </c>
      <c r="D27" s="6" t="n">
        <v>78.1999999999998</v>
      </c>
      <c r="E27" s="6" t="n">
        <v>612</v>
      </c>
      <c r="F27" s="6" t="n">
        <v>11332.64</v>
      </c>
      <c r="G27" s="6" t="n">
        <v>2374</v>
      </c>
      <c r="H27" s="6" t="n">
        <v>2295.8</v>
      </c>
      <c r="I27" s="6" t="n">
        <v>1762</v>
      </c>
      <c r="J27" s="6" t="n">
        <v>-8958.639999999999</v>
      </c>
    </row>
    <row r="28">
      <c r="A28" s="4" t="inlineStr">
        <is>
          <t>Sartori, Danielle E</t>
        </is>
      </c>
      <c r="B28" s="4" t="inlineStr">
        <is>
          <t>A_66000</t>
        </is>
      </c>
      <c r="C28" s="4" t="inlineStr">
        <is>
          <t>A_66000 - Dues</t>
        </is>
      </c>
      <c r="D28" s="6" t="n">
        <v>0</v>
      </c>
      <c r="E28" s="6" t="n">
        <v>3999.9996</v>
      </c>
      <c r="F28" s="6" t="n">
        <v>0</v>
      </c>
      <c r="G28" s="6" t="n">
        <v>0</v>
      </c>
      <c r="H28" s="6" t="n">
        <v>0</v>
      </c>
      <c r="I28" s="6" t="n">
        <v>-3999.9996</v>
      </c>
      <c r="J28" s="6" t="n">
        <v>0</v>
      </c>
    </row>
    <row r="29">
      <c r="A29" s="4" t="inlineStr">
        <is>
          <t>Sartori, Danielle E</t>
        </is>
      </c>
      <c r="B29" s="4" t="inlineStr">
        <is>
          <t>A_66050</t>
        </is>
      </c>
      <c r="C29" s="4" t="inlineStr">
        <is>
          <t>A_66050 - Printing And Duplication</t>
        </is>
      </c>
      <c r="D29" s="6" t="n">
        <v>51.63</v>
      </c>
      <c r="E29" s="6" t="n">
        <v>96</v>
      </c>
      <c r="F29" s="6" t="n">
        <v>103.54</v>
      </c>
      <c r="G29" s="6" t="n">
        <v>103.54</v>
      </c>
      <c r="H29" s="6" t="n">
        <v>51.91</v>
      </c>
      <c r="I29" s="6" t="n">
        <v>7.540000000000006</v>
      </c>
      <c r="J29" s="6" t="n">
        <v>0</v>
      </c>
    </row>
    <row r="30">
      <c r="A30" s="4" t="inlineStr">
        <is>
          <t>Sartori, Danielle E</t>
        </is>
      </c>
      <c r="B30" s="4" t="inlineStr">
        <is>
          <t>A_66060</t>
        </is>
      </c>
      <c r="C30" s="4" t="inlineStr">
        <is>
          <t>A_66060 - Other Expenses</t>
        </is>
      </c>
      <c r="D30" s="6" t="n">
        <v>2990.05</v>
      </c>
      <c r="E30" s="6" t="n">
        <v>1830</v>
      </c>
      <c r="F30" s="6" t="n">
        <v>0</v>
      </c>
      <c r="G30" s="6" t="n">
        <v>1830</v>
      </c>
      <c r="H30" s="6" t="n">
        <v>-1160.05</v>
      </c>
      <c r="I30" s="6" t="n">
        <v>0</v>
      </c>
      <c r="J30" s="6" t="n">
        <v>1830</v>
      </c>
    </row>
    <row r="31">
      <c r="A31" s="4" t="inlineStr">
        <is>
          <t>Sartori, Danielle E</t>
        </is>
      </c>
      <c r="B31" s="4" t="inlineStr">
        <is>
          <t>A_66090</t>
        </is>
      </c>
      <c r="C31" s="4" t="inlineStr">
        <is>
          <t>A_66090 - House Functions &amp; Corp Events</t>
        </is>
      </c>
      <c r="D31" s="6" t="n">
        <v>460.7</v>
      </c>
      <c r="E31" s="6" t="n">
        <v>1305</v>
      </c>
      <c r="F31" s="6" t="n">
        <v>0</v>
      </c>
      <c r="G31" s="6" t="n">
        <v>1305</v>
      </c>
      <c r="H31" s="6" t="n">
        <v>844.3</v>
      </c>
      <c r="I31" s="6" t="n">
        <v>0</v>
      </c>
      <c r="J31" s="6" t="n">
        <v>1305</v>
      </c>
    </row>
    <row r="32">
      <c r="A32" s="4" t="inlineStr">
        <is>
          <t>Sartori, Danielle E</t>
        </is>
      </c>
      <c r="B32" s="4" t="inlineStr">
        <is>
          <t>A_66095</t>
        </is>
      </c>
      <c r="C32" s="4" t="inlineStr">
        <is>
          <t>A_66095 - Meals &amp; Entertainment</t>
        </is>
      </c>
      <c r="D32" s="6" t="n">
        <v>94.55</v>
      </c>
      <c r="E32" s="6" t="n">
        <v>0</v>
      </c>
      <c r="F32" s="6" t="n">
        <v>0</v>
      </c>
      <c r="G32" s="6" t="n">
        <v>1500</v>
      </c>
      <c r="H32" s="6" t="n">
        <v>1405.45</v>
      </c>
      <c r="I32" s="6" t="n">
        <v>1500</v>
      </c>
      <c r="J32" s="6" t="n">
        <v>1500</v>
      </c>
    </row>
    <row r="33">
      <c r="A33" s="4" t="inlineStr">
        <is>
          <t>Sartori, Danielle E</t>
        </is>
      </c>
      <c r="B33" s="4" t="inlineStr">
        <is>
          <t>A_66170</t>
        </is>
      </c>
      <c r="C33" s="4" t="inlineStr">
        <is>
          <t>A_66170 - FLEX-Traveler Allowance</t>
        </is>
      </c>
      <c r="D33" s="6" t="n">
        <v>42177</v>
      </c>
      <c r="E33" s="6" t="n">
        <v>145080</v>
      </c>
      <c r="F33" s="6" t="n">
        <v>54340</v>
      </c>
      <c r="G33" s="6" t="n">
        <v>81510</v>
      </c>
      <c r="H33" s="6" t="n">
        <v>39333</v>
      </c>
      <c r="I33" s="6" t="n">
        <v>-63570</v>
      </c>
      <c r="J33" s="6" t="n">
        <v>27170</v>
      </c>
    </row>
    <row r="34">
      <c r="A34" s="4" t="inlineStr">
        <is>
          <t>Sartori, Danielle E</t>
        </is>
      </c>
      <c r="B34" s="4" t="inlineStr">
        <is>
          <t>A_66524</t>
        </is>
      </c>
      <c r="C34" s="4" t="inlineStr">
        <is>
          <t>A_66524 - Software Licensing Fees</t>
        </is>
      </c>
      <c r="D34" s="6" t="n">
        <v>0</v>
      </c>
      <c r="E34" s="6" t="n">
        <v>0</v>
      </c>
      <c r="F34" s="6" t="n">
        <v>472</v>
      </c>
      <c r="G34" s="6" t="n">
        <v>525</v>
      </c>
      <c r="H34" s="6" t="n">
        <v>525</v>
      </c>
      <c r="I34" s="6" t="n">
        <v>525</v>
      </c>
      <c r="J34" s="6" t="n">
        <v>53</v>
      </c>
    </row>
    <row r="35">
      <c r="A35" s="7" t="inlineStr">
        <is>
          <t>Total</t>
        </is>
      </c>
      <c r="B35" s="7" t="n"/>
      <c r="C35" s="7" t="n"/>
      <c r="D35" s="8">
        <f>SUM(D6:D34)</f>
        <v/>
      </c>
      <c r="E35" s="8">
        <f>SUM(E6:E34)</f>
        <v/>
      </c>
      <c r="F35" s="8">
        <f>SUM(F6:F34)</f>
        <v/>
      </c>
      <c r="G35" s="8">
        <f>SUM(G6:G34)</f>
        <v/>
      </c>
      <c r="H35" s="8">
        <f>SUM(H6:H34)</f>
        <v/>
      </c>
      <c r="I35" s="8">
        <f>SUM(I6:I34)</f>
        <v/>
      </c>
      <c r="J35" s="8">
        <f>SUM(J6:J34)</f>
        <v/>
      </c>
    </row>
  </sheetData>
  <autoFilter ref="A5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