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29" customWidth="1" min="4" max="4"/>
    <col width="22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Nowierski, Paul T</t>
        </is>
      </c>
      <c r="B6" s="4" t="inlineStr">
        <is>
          <t>Nowierski, Paul T</t>
        </is>
      </c>
      <c r="C6" s="5" t="n">
        <v>74002560</v>
      </c>
      <c r="D6" s="4" t="inlineStr">
        <is>
          <t>GVCCC_74002560 - Pharmacy</t>
        </is>
      </c>
      <c r="E6" s="6" t="n">
        <v>1178961.89</v>
      </c>
      <c r="F6" s="6" t="n">
        <v>2495717.831334983</v>
      </c>
      <c r="G6" s="6" t="n">
        <v>1550837.248450006</v>
      </c>
      <c r="H6" s="6" t="n">
        <v>1651390.500006075</v>
      </c>
      <c r="I6" s="6" t="n">
        <v>472428.6100060744</v>
      </c>
      <c r="J6" s="6" t="n">
        <v>-844327.331328908</v>
      </c>
      <c r="K6" s="6" t="n">
        <v>100553.2515560684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15" customWidth="1" min="4" max="4"/>
    <col width="21" customWidth="1" min="5" max="5"/>
    <col width="21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Nowierski, Paul T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0</v>
      </c>
      <c r="E6" s="6" t="n">
        <v>0</v>
      </c>
      <c r="F6" s="6" t="n">
        <v>-50.3350549451</v>
      </c>
      <c r="G6" s="6" t="n">
        <v>0</v>
      </c>
      <c r="H6" s="6" t="n">
        <v>0</v>
      </c>
      <c r="I6" s="6" t="n">
        <v>0</v>
      </c>
      <c r="J6" s="6" t="n">
        <v>50.3350549451</v>
      </c>
    </row>
    <row r="7">
      <c r="A7" s="4" t="inlineStr">
        <is>
          <t>Nowierski, Paul T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-20119</v>
      </c>
      <c r="E7" s="6" t="n">
        <v>0</v>
      </c>
      <c r="F7" s="6" t="n">
        <v>-33.5432967033</v>
      </c>
      <c r="G7" s="6" t="n">
        <v>0</v>
      </c>
      <c r="H7" s="6" t="n">
        <v>20119</v>
      </c>
      <c r="I7" s="6" t="n">
        <v>0</v>
      </c>
      <c r="J7" s="6" t="n">
        <v>33.5432967033</v>
      </c>
    </row>
    <row r="8">
      <c r="A8" s="4" t="inlineStr">
        <is>
          <t>Nowierski, Paul T</t>
        </is>
      </c>
      <c r="B8" s="4" t="inlineStr">
        <is>
          <t>A_55020</t>
        </is>
      </c>
      <c r="C8" s="4" t="inlineStr">
        <is>
          <t>A_55020 - Rebates-Pharmaceuticals</t>
        </is>
      </c>
      <c r="D8" s="6" t="n">
        <v>-23658.81</v>
      </c>
      <c r="E8" s="6" t="n">
        <v>-26414.3100000001</v>
      </c>
      <c r="F8" s="6" t="n">
        <v>-92336.8732044199</v>
      </c>
      <c r="G8" s="6" t="n">
        <v>0</v>
      </c>
      <c r="H8" s="6" t="n">
        <v>23658.81</v>
      </c>
      <c r="I8" s="6" t="n">
        <v>26414.3100000001</v>
      </c>
      <c r="J8" s="6" t="n">
        <v>92336.8732044199</v>
      </c>
    </row>
    <row r="9">
      <c r="A9" s="4" t="inlineStr">
        <is>
          <t>Nowierski, Paul T</t>
        </is>
      </c>
      <c r="B9" s="4" t="inlineStr">
        <is>
          <t>A_63030</t>
        </is>
      </c>
      <c r="C9" s="4" t="inlineStr">
        <is>
          <t>A_63030 - Supplies - Medical</t>
        </is>
      </c>
      <c r="D9" s="6" t="n">
        <v>7663.68</v>
      </c>
      <c r="E9" s="6" t="n">
        <v>3404.4858541386</v>
      </c>
      <c r="F9" s="6" t="n">
        <v>5791.8695604396</v>
      </c>
      <c r="G9" s="6" t="n">
        <v>5791.8695604396</v>
      </c>
      <c r="H9" s="6" t="n">
        <v>-1871.8104395604</v>
      </c>
      <c r="I9" s="6" t="n">
        <v>2387.383706301</v>
      </c>
      <c r="J9" s="6" t="n">
        <v>0</v>
      </c>
    </row>
    <row r="10">
      <c r="A10" s="4" t="inlineStr">
        <is>
          <t>Nowierski, Paul T</t>
        </is>
      </c>
      <c r="B10" s="4" t="inlineStr">
        <is>
          <t>A_63050</t>
        </is>
      </c>
      <c r="C10" s="4" t="inlineStr">
        <is>
          <t>A_63050 - Supplies - Iv Solutions &amp; Sets</t>
        </is>
      </c>
      <c r="D10" s="6" t="n">
        <v>6172</v>
      </c>
      <c r="E10" s="6" t="n">
        <v>4232.4981150358</v>
      </c>
      <c r="F10" s="6" t="n">
        <v>10412.5793406593</v>
      </c>
      <c r="G10" s="6" t="n">
        <v>10412.5793406593</v>
      </c>
      <c r="H10" s="6" t="n">
        <v>4240.5793406593</v>
      </c>
      <c r="I10" s="6" t="n">
        <v>6180.0812256235</v>
      </c>
      <c r="J10" s="6" t="n">
        <v>0</v>
      </c>
    </row>
    <row r="11">
      <c r="A11" s="4" t="inlineStr">
        <is>
          <t>Nowierski, Paul T</t>
        </is>
      </c>
      <c r="B11" s="4" t="inlineStr">
        <is>
          <t>A_63060</t>
        </is>
      </c>
      <c r="C11" s="4" t="inlineStr">
        <is>
          <t>A_63060 - Supplies - Surgery Packs-Sheet</t>
        </is>
      </c>
      <c r="D11" s="6" t="n">
        <v>112.6</v>
      </c>
      <c r="E11" s="6" t="n">
        <v>0</v>
      </c>
      <c r="F11" s="6" t="n">
        <v>0</v>
      </c>
      <c r="G11" s="6" t="n">
        <v>0</v>
      </c>
      <c r="H11" s="6" t="n">
        <v>-112.6</v>
      </c>
      <c r="I11" s="6" t="n">
        <v>0</v>
      </c>
      <c r="J11" s="6" t="n">
        <v>0</v>
      </c>
    </row>
    <row r="12">
      <c r="A12" s="4" t="inlineStr">
        <is>
          <t>Nowierski, Paul T</t>
        </is>
      </c>
      <c r="B12" s="4" t="inlineStr">
        <is>
          <t>A_63069</t>
        </is>
      </c>
      <c r="C12" s="4" t="inlineStr">
        <is>
          <t>A_63069 - Supplies - Imp - Intraculr Len</t>
        </is>
      </c>
      <c r="D12" s="6" t="n">
        <v>125</v>
      </c>
      <c r="E12" s="6" t="n">
        <v>0</v>
      </c>
      <c r="F12" s="6" t="n">
        <v>0</v>
      </c>
      <c r="G12" s="6" t="n">
        <v>0</v>
      </c>
      <c r="H12" s="6" t="n">
        <v>-125</v>
      </c>
      <c r="I12" s="6" t="n">
        <v>0</v>
      </c>
      <c r="J12" s="6" t="n">
        <v>0</v>
      </c>
    </row>
    <row r="13">
      <c r="A13" s="4" t="inlineStr">
        <is>
          <t>Nowierski, Paul T</t>
        </is>
      </c>
      <c r="B13" s="4" t="inlineStr">
        <is>
          <t>A_63080</t>
        </is>
      </c>
      <c r="C13" s="4" t="inlineStr">
        <is>
          <t>A_63080 - Supplies - Surgical</t>
        </is>
      </c>
      <c r="D13" s="6" t="n">
        <v>414.06</v>
      </c>
      <c r="E13" s="6" t="n">
        <v>0</v>
      </c>
      <c r="F13" s="6" t="n">
        <v>0</v>
      </c>
      <c r="G13" s="6" t="n">
        <v>0</v>
      </c>
      <c r="H13" s="6" t="n">
        <v>-414.06</v>
      </c>
      <c r="I13" s="6" t="n">
        <v>0</v>
      </c>
      <c r="J13" s="6" t="n">
        <v>0</v>
      </c>
    </row>
    <row r="14">
      <c r="A14" s="4" t="inlineStr">
        <is>
          <t>Nowierski, Paul T</t>
        </is>
      </c>
      <c r="B14" s="4" t="inlineStr">
        <is>
          <t>A_63300</t>
        </is>
      </c>
      <c r="C14" s="4" t="inlineStr">
        <is>
          <t>A_63300 - Rx - All Other</t>
        </is>
      </c>
      <c r="D14" s="6" t="n">
        <v>650053.46</v>
      </c>
      <c r="E14" s="6" t="n">
        <v>1705389.29402884</v>
      </c>
      <c r="F14" s="6" t="n">
        <v>1200900.67651934</v>
      </c>
      <c r="G14" s="6" t="n">
        <v>1200900.67651934</v>
      </c>
      <c r="H14" s="6" t="n">
        <v>550847.2165193399</v>
      </c>
      <c r="I14" s="6" t="n">
        <v>-504488.6175095001</v>
      </c>
      <c r="J14" s="6" t="n">
        <v>0</v>
      </c>
    </row>
    <row r="15">
      <c r="A15" s="4" t="inlineStr">
        <is>
          <t>Nowierski, Paul T</t>
        </is>
      </c>
      <c r="B15" s="4" t="inlineStr">
        <is>
          <t>A_63310</t>
        </is>
      </c>
      <c r="C15" s="4" t="inlineStr">
        <is>
          <t>A_63310 - Rx - Anticogulants</t>
        </is>
      </c>
      <c r="D15" s="6" t="n">
        <v>23762.71</v>
      </c>
      <c r="E15" s="6" t="n">
        <v>15610.2140919921</v>
      </c>
      <c r="F15" s="6" t="n">
        <v>41119.8513812155</v>
      </c>
      <c r="G15" s="6" t="n">
        <v>41119.8513812155</v>
      </c>
      <c r="H15" s="6" t="n">
        <v>17357.1413812155</v>
      </c>
      <c r="I15" s="6" t="n">
        <v>25509.6372892234</v>
      </c>
      <c r="J15" s="6" t="n">
        <v>0</v>
      </c>
    </row>
    <row r="16">
      <c r="A16" s="4" t="inlineStr">
        <is>
          <t>Nowierski, Paul T</t>
        </is>
      </c>
      <c r="B16" s="4" t="inlineStr">
        <is>
          <t>A_63320</t>
        </is>
      </c>
      <c r="C16" s="4" t="inlineStr">
        <is>
          <t>A_63320 - Systemic Antiinfectives</t>
        </is>
      </c>
      <c r="D16" s="6" t="n">
        <v>46132.59</v>
      </c>
      <c r="E16" s="6" t="n">
        <v>68336.7692018724</v>
      </c>
      <c r="F16" s="6" t="n">
        <v>20720.203038674</v>
      </c>
      <c r="G16" s="6" t="n">
        <v>20720.203038674</v>
      </c>
      <c r="H16" s="6" t="n">
        <v>-25412.386961326</v>
      </c>
      <c r="I16" s="6" t="n">
        <v>-47616.5661631984</v>
      </c>
      <c r="J16" s="6" t="n">
        <v>0</v>
      </c>
    </row>
    <row r="17">
      <c r="A17" s="4" t="inlineStr">
        <is>
          <t>Nowierski, Paul T</t>
        </is>
      </c>
      <c r="B17" s="4" t="inlineStr">
        <is>
          <t>A_63330</t>
        </is>
      </c>
      <c r="C17" s="4" t="inlineStr">
        <is>
          <t>A_63330 - Antineoplastics</t>
        </is>
      </c>
      <c r="D17" s="6" t="n">
        <v>26.14</v>
      </c>
      <c r="E17" s="6" t="n">
        <v>0</v>
      </c>
      <c r="F17" s="6" t="n">
        <v>0</v>
      </c>
      <c r="G17" s="6" t="n">
        <v>0</v>
      </c>
      <c r="H17" s="6" t="n">
        <v>-26.14</v>
      </c>
      <c r="I17" s="6" t="n">
        <v>0</v>
      </c>
      <c r="J17" s="6" t="n">
        <v>0</v>
      </c>
    </row>
    <row r="18">
      <c r="A18" s="4" t="inlineStr">
        <is>
          <t>Nowierski, Paul T</t>
        </is>
      </c>
      <c r="B18" s="4" t="inlineStr">
        <is>
          <t>A_63350</t>
        </is>
      </c>
      <c r="C18" s="4" t="inlineStr">
        <is>
          <t>A_63350 - Anesthesiology</t>
        </is>
      </c>
      <c r="D18" s="6" t="n">
        <v>68835.16</v>
      </c>
      <c r="E18" s="6" t="n">
        <v>58483.2403962404</v>
      </c>
      <c r="F18" s="6" t="n">
        <v>58962.7251381216</v>
      </c>
      <c r="G18" s="6" t="n">
        <v>58962.7251381216</v>
      </c>
      <c r="H18" s="6" t="n">
        <v>-9872.434861878406</v>
      </c>
      <c r="I18" s="6" t="n">
        <v>479.4847418811987</v>
      </c>
      <c r="J18" s="6" t="n">
        <v>0</v>
      </c>
    </row>
    <row r="19">
      <c r="A19" s="4" t="inlineStr">
        <is>
          <t>Nowierski, Paul T</t>
        </is>
      </c>
      <c r="B19" s="4" t="inlineStr">
        <is>
          <t>A_63360</t>
        </is>
      </c>
      <c r="C19" s="4" t="inlineStr">
        <is>
          <t>A_63360 - Rx - Radio Pharmaceuticals</t>
        </is>
      </c>
      <c r="D19" s="6" t="n">
        <v>18373.91</v>
      </c>
      <c r="E19" s="6" t="n">
        <v>25800.7701604596</v>
      </c>
      <c r="F19" s="6" t="n">
        <v>2018.1273480663</v>
      </c>
      <c r="G19" s="6" t="n">
        <v>2018.1273480663</v>
      </c>
      <c r="H19" s="6" t="n">
        <v>-16355.7826519337</v>
      </c>
      <c r="I19" s="6" t="n">
        <v>-23782.6428123933</v>
      </c>
      <c r="J19" s="6" t="n">
        <v>0</v>
      </c>
    </row>
    <row r="20">
      <c r="A20" s="4" t="inlineStr">
        <is>
          <t>Nowierski, Paul T</t>
        </is>
      </c>
      <c r="B20" s="4" t="inlineStr">
        <is>
          <t>A_63368</t>
        </is>
      </c>
      <c r="C20" s="4" t="inlineStr">
        <is>
          <t>A_63368 - Interventional Cardiology</t>
        </is>
      </c>
      <c r="D20" s="6" t="n">
        <v>2470.03</v>
      </c>
      <c r="E20" s="6" t="n">
        <v>3884.6032184421</v>
      </c>
      <c r="F20" s="6" t="n">
        <v>530.5607734807</v>
      </c>
      <c r="G20" s="6" t="n">
        <v>530.5607734807</v>
      </c>
      <c r="H20" s="6" t="n">
        <v>-1939.4692265193</v>
      </c>
      <c r="I20" s="6" t="n">
        <v>-3354.0424449614</v>
      </c>
      <c r="J20" s="6" t="n">
        <v>0</v>
      </c>
    </row>
    <row r="21">
      <c r="A21" s="4" t="inlineStr">
        <is>
          <t>Nowierski, Paul T</t>
        </is>
      </c>
      <c r="B21" s="4" t="inlineStr">
        <is>
          <t>A_63369</t>
        </is>
      </c>
      <c r="C21" s="4" t="inlineStr">
        <is>
          <t>A_63369 - Hemostatic Agents</t>
        </is>
      </c>
      <c r="D21" s="6" t="n">
        <v>484.53</v>
      </c>
      <c r="E21" s="6" t="n">
        <v>0</v>
      </c>
      <c r="F21" s="6" t="n">
        <v>1410.2107734807</v>
      </c>
      <c r="G21" s="6" t="n">
        <v>1410.2107734807</v>
      </c>
      <c r="H21" s="6" t="n">
        <v>925.6807734807001</v>
      </c>
      <c r="I21" s="6" t="n">
        <v>1410.2107734807</v>
      </c>
      <c r="J21" s="6" t="n">
        <v>0</v>
      </c>
    </row>
    <row r="22">
      <c r="A22" s="4" t="inlineStr">
        <is>
          <t>Nowierski, Paul T</t>
        </is>
      </c>
      <c r="B22" s="4" t="inlineStr">
        <is>
          <t>A_63372</t>
        </is>
      </c>
      <c r="C22" s="4" t="inlineStr">
        <is>
          <t>A_63372 - Outsourced</t>
        </is>
      </c>
      <c r="D22" s="6" t="n">
        <v>743.29</v>
      </c>
      <c r="E22" s="6" t="n">
        <v>0</v>
      </c>
      <c r="F22" s="6" t="n">
        <v>2326.1187845304</v>
      </c>
      <c r="G22" s="6" t="n">
        <v>2326.1187845304</v>
      </c>
      <c r="H22" s="6" t="n">
        <v>1582.8287845304</v>
      </c>
      <c r="I22" s="6" t="n">
        <v>2326.1187845304</v>
      </c>
      <c r="J22" s="6" t="n">
        <v>0</v>
      </c>
    </row>
    <row r="23">
      <c r="A23" s="4" t="inlineStr">
        <is>
          <t>Nowierski, Paul T</t>
        </is>
      </c>
      <c r="B23" s="4" t="inlineStr">
        <is>
          <t>A_63373</t>
        </is>
      </c>
      <c r="C23" s="4" t="inlineStr">
        <is>
          <t>A_63373 - Transplant Medications</t>
        </is>
      </c>
      <c r="D23" s="6" t="n">
        <v>1028.42</v>
      </c>
      <c r="E23" s="6" t="n">
        <v>0</v>
      </c>
      <c r="F23" s="6" t="n">
        <v>402.2864640884</v>
      </c>
      <c r="G23" s="6" t="n">
        <v>402.2864640884</v>
      </c>
      <c r="H23" s="6" t="n">
        <v>-626.1335359116001</v>
      </c>
      <c r="I23" s="6" t="n">
        <v>402.2864640884</v>
      </c>
      <c r="J23" s="6" t="n">
        <v>0</v>
      </c>
    </row>
    <row r="24">
      <c r="A24" s="4" t="inlineStr">
        <is>
          <t>Nowierski, Paul T</t>
        </is>
      </c>
      <c r="B24" s="4" t="inlineStr">
        <is>
          <t>A_63374</t>
        </is>
      </c>
      <c r="C24" s="4" t="inlineStr">
        <is>
          <t>A_63374 - Modulation agents</t>
        </is>
      </c>
      <c r="D24" s="6" t="n">
        <v>596.8099999999999</v>
      </c>
      <c r="E24" s="6" t="n">
        <v>0</v>
      </c>
      <c r="F24" s="6" t="n">
        <v>0</v>
      </c>
      <c r="G24" s="6" t="n">
        <v>0</v>
      </c>
      <c r="H24" s="6" t="n">
        <v>-596.8099999999999</v>
      </c>
      <c r="I24" s="6" t="n">
        <v>0</v>
      </c>
      <c r="J24" s="6" t="n">
        <v>0</v>
      </c>
    </row>
    <row r="25">
      <c r="A25" s="4" t="inlineStr">
        <is>
          <t>Nowierski, Paul T</t>
        </is>
      </c>
      <c r="B25" s="4" t="inlineStr">
        <is>
          <t>A_63376</t>
        </is>
      </c>
      <c r="C25" s="4" t="inlineStr">
        <is>
          <t>A_63376 - HIV Medications</t>
        </is>
      </c>
      <c r="D25" s="6" t="n">
        <v>68630.34</v>
      </c>
      <c r="E25" s="6" t="n">
        <v>33809.5109686037</v>
      </c>
      <c r="F25" s="6" t="n">
        <v>42482.7331491713</v>
      </c>
      <c r="G25" s="6" t="n">
        <v>42482.7331491713</v>
      </c>
      <c r="H25" s="6" t="n">
        <v>-26147.6068508287</v>
      </c>
      <c r="I25" s="6" t="n">
        <v>8673.222180567594</v>
      </c>
      <c r="J25" s="6" t="n">
        <v>0</v>
      </c>
    </row>
    <row r="26">
      <c r="A26" s="4" t="inlineStr">
        <is>
          <t>Nowierski, Paul T</t>
        </is>
      </c>
      <c r="B26" s="4" t="inlineStr">
        <is>
          <t>A_63377</t>
        </is>
      </c>
      <c r="C26" s="4" t="inlineStr">
        <is>
          <t>A_63377 - Thrombolytics</t>
        </is>
      </c>
      <c r="D26" s="6" t="n">
        <v>88286.91</v>
      </c>
      <c r="E26" s="6" t="n">
        <v>91814.5081165356</v>
      </c>
      <c r="F26" s="6" t="n">
        <v>97613.1801104972</v>
      </c>
      <c r="G26" s="6" t="n">
        <v>97613.1801104972</v>
      </c>
      <c r="H26" s="6" t="n">
        <v>9326.270110497193</v>
      </c>
      <c r="I26" s="6" t="n">
        <v>5798.671993961601</v>
      </c>
      <c r="J26" s="6" t="n">
        <v>0</v>
      </c>
    </row>
    <row r="27">
      <c r="A27" s="4" t="inlineStr">
        <is>
          <t>Nowierski, Paul T</t>
        </is>
      </c>
      <c r="B27" s="4" t="inlineStr">
        <is>
          <t>A_63378</t>
        </is>
      </c>
      <c r="C27" s="4" t="inlineStr">
        <is>
          <t>A_63378 - Atypical Antipsychotics</t>
        </is>
      </c>
      <c r="D27" s="6" t="n">
        <v>956.26</v>
      </c>
      <c r="E27" s="6" t="n">
        <v>1227.9771536248</v>
      </c>
      <c r="F27" s="6" t="n">
        <v>418.0359116022</v>
      </c>
      <c r="G27" s="6" t="n">
        <v>418.0359116022</v>
      </c>
      <c r="H27" s="6" t="n">
        <v>-538.2240883978</v>
      </c>
      <c r="I27" s="6" t="n">
        <v>-809.9412420225999</v>
      </c>
      <c r="J27" s="6" t="n">
        <v>0</v>
      </c>
    </row>
    <row r="28">
      <c r="A28" s="4" t="inlineStr">
        <is>
          <t>Nowierski, Paul T</t>
        </is>
      </c>
      <c r="B28" s="4" t="inlineStr">
        <is>
          <t>A_63383</t>
        </is>
      </c>
      <c r="C28" s="4" t="inlineStr">
        <is>
          <t>A_63383 - Drugs Non-Formulary</t>
        </is>
      </c>
      <c r="D28" s="6" t="n">
        <v>5145.83</v>
      </c>
      <c r="E28" s="6" t="n">
        <v>5460.0814886325</v>
      </c>
      <c r="F28" s="6" t="n">
        <v>3925.7060773481</v>
      </c>
      <c r="G28" s="6" t="n">
        <v>3925.7060773481</v>
      </c>
      <c r="H28" s="6" t="n">
        <v>-1220.1239226519</v>
      </c>
      <c r="I28" s="6" t="n">
        <v>-1534.3754112844</v>
      </c>
      <c r="J28" s="6" t="n">
        <v>0</v>
      </c>
    </row>
    <row r="29">
      <c r="A29" s="4" t="inlineStr">
        <is>
          <t>Nowierski, Paul T</t>
        </is>
      </c>
      <c r="B29" s="4" t="inlineStr">
        <is>
          <t>A_63391</t>
        </is>
      </c>
      <c r="C29" s="4" t="inlineStr">
        <is>
          <t>A_63391 - Vaccines</t>
        </is>
      </c>
      <c r="D29" s="6" t="n">
        <v>151802.01</v>
      </c>
      <c r="E29" s="6" t="n">
        <v>96997.6041421775</v>
      </c>
      <c r="F29" s="6" t="n">
        <v>94211.9044198895</v>
      </c>
      <c r="G29" s="6" t="n">
        <v>94211.9044198895</v>
      </c>
      <c r="H29" s="6" t="n">
        <v>-57590.10558011051</v>
      </c>
      <c r="I29" s="6" t="n">
        <v>-2785.699722288002</v>
      </c>
      <c r="J29" s="6" t="n">
        <v>0</v>
      </c>
    </row>
    <row r="30">
      <c r="A30" s="4" t="inlineStr">
        <is>
          <t>Nowierski, Paul T</t>
        </is>
      </c>
      <c r="B30" s="4" t="inlineStr">
        <is>
          <t>A_63410</t>
        </is>
      </c>
      <c r="C30" s="4" t="inlineStr">
        <is>
          <t>A_63410 - Blood Derivatives - Pharmacy</t>
        </is>
      </c>
      <c r="D30" s="6" t="n">
        <v>20461.73</v>
      </c>
      <c r="E30" s="6" t="n">
        <v>337499.719398387</v>
      </c>
      <c r="F30" s="6" t="n">
        <v>0</v>
      </c>
      <c r="G30" s="6" t="n">
        <v>0</v>
      </c>
      <c r="H30" s="6" t="n">
        <v>-20461.73</v>
      </c>
      <c r="I30" s="6" t="n">
        <v>-337499.719398387</v>
      </c>
      <c r="J30" s="6" t="n">
        <v>0</v>
      </c>
    </row>
    <row r="31">
      <c r="A31" s="4" t="inlineStr">
        <is>
          <t>Nowierski, Paul T</t>
        </is>
      </c>
      <c r="B31" s="4" t="inlineStr">
        <is>
          <t>A_64000</t>
        </is>
      </c>
      <c r="C31" s="4" t="inlineStr">
        <is>
          <t>A_64000 - Supplies - Hotel Services</t>
        </is>
      </c>
      <c r="D31" s="6" t="n">
        <v>3683.03</v>
      </c>
      <c r="E31" s="6" t="n">
        <v>2965.8600000001</v>
      </c>
      <c r="F31" s="6" t="n">
        <v>3206.3737569061</v>
      </c>
      <c r="G31" s="6" t="n">
        <v>3206.3737569061</v>
      </c>
      <c r="H31" s="6" t="n">
        <v>-476.6562430939002</v>
      </c>
      <c r="I31" s="6" t="n">
        <v>240.5137569059998</v>
      </c>
      <c r="J31" s="6" t="n">
        <v>0</v>
      </c>
    </row>
    <row r="32">
      <c r="A32" s="4" t="inlineStr">
        <is>
          <t>Nowierski, Paul T</t>
        </is>
      </c>
      <c r="B32" s="4" t="inlineStr">
        <is>
          <t>A_64020</t>
        </is>
      </c>
      <c r="C32" s="4" t="inlineStr">
        <is>
          <t>A_64020 - Supplies - Office</t>
        </is>
      </c>
      <c r="D32" s="6" t="n">
        <v>410.62</v>
      </c>
      <c r="E32" s="6" t="n">
        <v>562.0049999998</v>
      </c>
      <c r="F32" s="6" t="n">
        <v>590.6748618785</v>
      </c>
      <c r="G32" s="6" t="n">
        <v>590.6748618785</v>
      </c>
      <c r="H32" s="6" t="n">
        <v>180.0548618785</v>
      </c>
      <c r="I32" s="6" t="n">
        <v>28.66986187869998</v>
      </c>
      <c r="J32" s="6" t="n">
        <v>0</v>
      </c>
    </row>
    <row r="33">
      <c r="A33" s="4" t="inlineStr">
        <is>
          <t>Nowierski, Paul T</t>
        </is>
      </c>
      <c r="B33" s="4" t="inlineStr">
        <is>
          <t>A_64030</t>
        </is>
      </c>
      <c r="C33" s="4" t="inlineStr">
        <is>
          <t>A_64030 - Supplies - Other Non Medical</t>
        </is>
      </c>
      <c r="D33" s="6" t="n">
        <v>1227.85</v>
      </c>
      <c r="E33" s="6" t="n">
        <v>0</v>
      </c>
      <c r="F33" s="6" t="n">
        <v>3339.044198895</v>
      </c>
      <c r="G33" s="6" t="n">
        <v>3339.044198895</v>
      </c>
      <c r="H33" s="6" t="n">
        <v>2111.194198895</v>
      </c>
      <c r="I33" s="6" t="n">
        <v>3339.044198895</v>
      </c>
      <c r="J33" s="6" t="n">
        <v>0</v>
      </c>
    </row>
    <row r="34">
      <c r="A34" s="4" t="inlineStr">
        <is>
          <t>Nowierski, Paul T</t>
        </is>
      </c>
      <c r="B34" s="4" t="inlineStr">
        <is>
          <t>A_65030</t>
        </is>
      </c>
      <c r="C34" s="4" t="inlineStr">
        <is>
          <t>A_65030 - Disposable Services</t>
        </is>
      </c>
      <c r="D34" s="6" t="n">
        <v>1790.23</v>
      </c>
      <c r="E34" s="6" t="n">
        <v>0</v>
      </c>
      <c r="F34" s="6" t="n">
        <v>0</v>
      </c>
      <c r="G34" s="6" t="n">
        <v>0</v>
      </c>
      <c r="H34" s="6" t="n">
        <v>-1790.23</v>
      </c>
      <c r="I34" s="6" t="n">
        <v>0</v>
      </c>
      <c r="J34" s="6" t="n">
        <v>0</v>
      </c>
    </row>
    <row r="35">
      <c r="A35" s="4" t="inlineStr">
        <is>
          <t>Nowierski, Paul T</t>
        </is>
      </c>
      <c r="B35" s="4" t="inlineStr">
        <is>
          <t>A_65050</t>
        </is>
      </c>
      <c r="C35" s="4" t="inlineStr">
        <is>
          <t>A_65050 - Telephone</t>
        </is>
      </c>
      <c r="D35" s="6" t="n">
        <v>360.41</v>
      </c>
      <c r="E35" s="6" t="n">
        <v>393.0000000001</v>
      </c>
      <c r="F35" s="6" t="n">
        <v>396.4383977901</v>
      </c>
      <c r="G35" s="6" t="n">
        <v>396.4383977901</v>
      </c>
      <c r="H35" s="6" t="n">
        <v>36.02839779009997</v>
      </c>
      <c r="I35" s="6" t="n">
        <v>3.43839779000001</v>
      </c>
      <c r="J35" s="6" t="n">
        <v>0</v>
      </c>
    </row>
    <row r="36">
      <c r="A36" s="4" t="inlineStr">
        <is>
          <t>Nowierski, Paul T</t>
        </is>
      </c>
      <c r="B36" s="4" t="inlineStr">
        <is>
          <t>A_65505</t>
        </is>
      </c>
      <c r="C36" s="4" t="inlineStr">
        <is>
          <t>A_65505 - Equipment Service Contracts</t>
        </is>
      </c>
      <c r="D36" s="6" t="n">
        <v>29359</v>
      </c>
      <c r="E36" s="6" t="n">
        <v>46875</v>
      </c>
      <c r="F36" s="6" t="n">
        <v>43368.5</v>
      </c>
      <c r="G36" s="6" t="n">
        <v>51501</v>
      </c>
      <c r="H36" s="6" t="n">
        <v>22142</v>
      </c>
      <c r="I36" s="6" t="n">
        <v>4626</v>
      </c>
      <c r="J36" s="6" t="n">
        <v>8132.5</v>
      </c>
    </row>
    <row r="37">
      <c r="A37" s="4" t="inlineStr">
        <is>
          <t>Nowierski, Paul T</t>
        </is>
      </c>
      <c r="B37" s="4" t="inlineStr">
        <is>
          <t>A_65507</t>
        </is>
      </c>
      <c r="C37" s="4" t="inlineStr">
        <is>
          <t>A_65507 - Medical Equip Srvcs Contracts</t>
        </is>
      </c>
      <c r="D37" s="6" t="n">
        <v>2879</v>
      </c>
      <c r="E37" s="6" t="n">
        <v>0</v>
      </c>
      <c r="F37" s="6" t="n">
        <v>0</v>
      </c>
      <c r="G37" s="6" t="n">
        <v>0</v>
      </c>
      <c r="H37" s="6" t="n">
        <v>-2879</v>
      </c>
      <c r="I37" s="6" t="n">
        <v>0</v>
      </c>
      <c r="J37" s="6" t="n">
        <v>0</v>
      </c>
    </row>
    <row r="38">
      <c r="A38" s="4" t="inlineStr">
        <is>
          <t>Nowierski, Paul T</t>
        </is>
      </c>
      <c r="B38" s="4" t="inlineStr">
        <is>
          <t>A_65510</t>
        </is>
      </c>
      <c r="C38" s="4" t="inlineStr">
        <is>
          <t>A_65510 - Freight</t>
        </is>
      </c>
      <c r="D38" s="6" t="n">
        <v>962.63</v>
      </c>
      <c r="E38" s="6" t="n">
        <v>0</v>
      </c>
      <c r="F38" s="6" t="n">
        <v>2535.4</v>
      </c>
      <c r="G38" s="6" t="n">
        <v>2535.4</v>
      </c>
      <c r="H38" s="6" t="n">
        <v>1572.77</v>
      </c>
      <c r="I38" s="6" t="n">
        <v>2535.4</v>
      </c>
      <c r="J38" s="6" t="n">
        <v>0</v>
      </c>
    </row>
    <row r="39">
      <c r="A39" s="4" t="inlineStr">
        <is>
          <t>Nowierski, Paul T</t>
        </is>
      </c>
      <c r="B39" s="4" t="inlineStr">
        <is>
          <t>A_65517</t>
        </is>
      </c>
      <c r="C39" s="4" t="inlineStr">
        <is>
          <t>A_65517 - Software Maint and Support</t>
        </is>
      </c>
      <c r="D39" s="6" t="n">
        <v>6972.79</v>
      </c>
      <c r="E39" s="6" t="n">
        <v>0</v>
      </c>
      <c r="F39" s="6" t="n">
        <v>57.62</v>
      </c>
      <c r="G39" s="6" t="n">
        <v>57.62</v>
      </c>
      <c r="H39" s="6" t="n">
        <v>-6915.17</v>
      </c>
      <c r="I39" s="6" t="n">
        <v>57.62</v>
      </c>
      <c r="J39" s="6" t="n">
        <v>0</v>
      </c>
    </row>
    <row r="40">
      <c r="A40" s="4" t="inlineStr">
        <is>
          <t>Nowierski, Paul T</t>
        </is>
      </c>
      <c r="B40" s="4" t="inlineStr">
        <is>
          <t>A_65525</t>
        </is>
      </c>
      <c r="C40" s="4" t="inlineStr">
        <is>
          <t>A_65525 - Maintenance And Repairs</t>
        </is>
      </c>
      <c r="D40" s="6" t="n">
        <v>0</v>
      </c>
      <c r="E40" s="6" t="n">
        <v>0</v>
      </c>
      <c r="F40" s="6" t="n">
        <v>5090</v>
      </c>
      <c r="G40" s="6" t="n">
        <v>5090</v>
      </c>
      <c r="H40" s="6" t="n">
        <v>5090</v>
      </c>
      <c r="I40" s="6" t="n">
        <v>5090</v>
      </c>
      <c r="J40" s="6" t="n">
        <v>0</v>
      </c>
    </row>
    <row r="41">
      <c r="A41" s="4" t="inlineStr">
        <is>
          <t>Nowierski, Paul T</t>
        </is>
      </c>
      <c r="B41" s="4" t="inlineStr">
        <is>
          <t>A_65527</t>
        </is>
      </c>
      <c r="C41" s="4" t="inlineStr">
        <is>
          <t>A_65527 - Med Equipment Maint &amp; Repairs</t>
        </is>
      </c>
      <c r="D41" s="6" t="n">
        <v>2145</v>
      </c>
      <c r="E41" s="6" t="n">
        <v>0</v>
      </c>
      <c r="F41" s="6" t="n">
        <v>0</v>
      </c>
      <c r="G41" s="6" t="n">
        <v>0</v>
      </c>
      <c r="H41" s="6" t="n">
        <v>-2145</v>
      </c>
      <c r="I41" s="6" t="n">
        <v>0</v>
      </c>
      <c r="J41" s="6" t="n">
        <v>0</v>
      </c>
    </row>
    <row r="42">
      <c r="A42" s="4" t="inlineStr">
        <is>
          <t>Nowierski, Paul T</t>
        </is>
      </c>
      <c r="B42" s="4" t="inlineStr">
        <is>
          <t>A_65535</t>
        </is>
      </c>
      <c r="C42" s="4" t="inlineStr">
        <is>
          <t>A_65535 - Other Purchased Services</t>
        </is>
      </c>
      <c r="D42" s="6" t="n">
        <v>3871</v>
      </c>
      <c r="E42" s="6" t="n">
        <v>13680</v>
      </c>
      <c r="F42" s="6" t="n">
        <v>0</v>
      </c>
      <c r="G42" s="6" t="n">
        <v>0</v>
      </c>
      <c r="H42" s="6" t="n">
        <v>-3871</v>
      </c>
      <c r="I42" s="6" t="n">
        <v>-13680</v>
      </c>
      <c r="J42" s="6" t="n">
        <v>0</v>
      </c>
    </row>
    <row r="43">
      <c r="A43" s="4" t="inlineStr">
        <is>
          <t>Nowierski, Paul T</t>
        </is>
      </c>
      <c r="B43" s="4" t="inlineStr">
        <is>
          <t>A_65536</t>
        </is>
      </c>
      <c r="C43" s="4" t="inlineStr">
        <is>
          <t>A_65536 - Oth Purch Serv- Credentialling</t>
        </is>
      </c>
      <c r="D43" s="6" t="n">
        <v>1038</v>
      </c>
      <c r="E43" s="6" t="n">
        <v>600</v>
      </c>
      <c r="F43" s="6" t="n">
        <v>520</v>
      </c>
      <c r="G43" s="6" t="n">
        <v>520</v>
      </c>
      <c r="H43" s="6" t="n">
        <v>-518</v>
      </c>
      <c r="I43" s="6" t="n">
        <v>-80</v>
      </c>
      <c r="J43" s="6" t="n">
        <v>0</v>
      </c>
    </row>
    <row r="44">
      <c r="A44" s="4" t="inlineStr">
        <is>
          <t>Nowierski, Paul T</t>
        </is>
      </c>
      <c r="B44" s="4" t="inlineStr">
        <is>
          <t>A_66020</t>
        </is>
      </c>
      <c r="C44" s="4" t="inlineStr">
        <is>
          <t>A_66020 - Outside Training</t>
        </is>
      </c>
      <c r="D44" s="6" t="n">
        <v>743.02</v>
      </c>
      <c r="E44" s="6" t="n">
        <v>978</v>
      </c>
      <c r="F44" s="6" t="n">
        <v>135.66</v>
      </c>
      <c r="G44" s="6" t="n">
        <v>135.66</v>
      </c>
      <c r="H44" s="6" t="n">
        <v>-607.36</v>
      </c>
      <c r="I44" s="6" t="n">
        <v>-842.34</v>
      </c>
      <c r="J44" s="6" t="n">
        <v>0</v>
      </c>
    </row>
    <row r="45">
      <c r="A45" s="4" t="inlineStr">
        <is>
          <t>Nowierski, Paul T</t>
        </is>
      </c>
      <c r="B45" s="4" t="inlineStr">
        <is>
          <t>A_66050</t>
        </is>
      </c>
      <c r="C45" s="4" t="inlineStr">
        <is>
          <t>A_66050 - Printing And Duplication</t>
        </is>
      </c>
      <c r="D45" s="6" t="n">
        <v>2802.69</v>
      </c>
      <c r="E45" s="6" t="n">
        <v>0</v>
      </c>
      <c r="F45" s="6" t="n">
        <v>0</v>
      </c>
      <c r="G45" s="6" t="n">
        <v>0</v>
      </c>
      <c r="H45" s="6" t="n">
        <v>-2802.69</v>
      </c>
      <c r="I45" s="6" t="n">
        <v>0</v>
      </c>
      <c r="J45" s="6" t="n">
        <v>0</v>
      </c>
    </row>
    <row r="46">
      <c r="A46" s="4" t="inlineStr">
        <is>
          <t>Nowierski, Paul T</t>
        </is>
      </c>
      <c r="B46" s="4" t="inlineStr">
        <is>
          <t>A_66060</t>
        </is>
      </c>
      <c r="C46" s="4" t="inlineStr">
        <is>
          <t>A_66060 - Other Expenses</t>
        </is>
      </c>
      <c r="D46" s="6" t="n">
        <v>1950</v>
      </c>
      <c r="E46" s="6" t="n">
        <v>3327</v>
      </c>
      <c r="F46" s="6" t="n">
        <v>0</v>
      </c>
      <c r="G46" s="6" t="n">
        <v>0</v>
      </c>
      <c r="H46" s="6" t="n">
        <v>-1950</v>
      </c>
      <c r="I46" s="6" t="n">
        <v>-3327</v>
      </c>
      <c r="J46" s="6" t="n">
        <v>0</v>
      </c>
    </row>
    <row r="47">
      <c r="A47" s="4" t="inlineStr">
        <is>
          <t>Nowierski, Paul T</t>
        </is>
      </c>
      <c r="B47" s="4" t="inlineStr">
        <is>
          <t>A_66090</t>
        </is>
      </c>
      <c r="C47" s="4" t="inlineStr">
        <is>
          <t>A_66090 - House Functions &amp; Corp Events</t>
        </is>
      </c>
      <c r="D47" s="6" t="n">
        <v>227.48</v>
      </c>
      <c r="E47" s="6" t="n">
        <v>720</v>
      </c>
      <c r="F47" s="6" t="n">
        <v>541.3200000000001</v>
      </c>
      <c r="G47" s="6" t="n">
        <v>541.3200000000001</v>
      </c>
      <c r="H47" s="6" t="n">
        <v>313.84</v>
      </c>
      <c r="I47" s="6" t="n">
        <v>-178.6799999999999</v>
      </c>
      <c r="J47" s="6" t="n">
        <v>0</v>
      </c>
    </row>
    <row r="48">
      <c r="A48" s="4" t="inlineStr">
        <is>
          <t>Nowierski, Paul T</t>
        </is>
      </c>
      <c r="B48" s="4" t="inlineStr">
        <is>
          <t>A_66150</t>
        </is>
      </c>
      <c r="C48" s="4" t="inlineStr">
        <is>
          <t>A_66150 - Travel</t>
        </is>
      </c>
      <c r="D48" s="6" t="n">
        <v>39.48</v>
      </c>
      <c r="E48" s="6" t="n">
        <v>80.00000000039999</v>
      </c>
      <c r="F48" s="6" t="n">
        <v>230.2</v>
      </c>
      <c r="G48" s="6" t="n">
        <v>230.2</v>
      </c>
      <c r="H48" s="6" t="n">
        <v>190.72</v>
      </c>
      <c r="I48" s="6" t="n">
        <v>150.1999999996</v>
      </c>
      <c r="J48" s="6" t="n">
        <v>0</v>
      </c>
    </row>
    <row r="49">
      <c r="A49" s="7" t="inlineStr">
        <is>
          <t>Total</t>
        </is>
      </c>
      <c r="B49" s="7" t="n"/>
      <c r="C49" s="7" t="n"/>
      <c r="D49" s="8">
        <f>SUM(D6:D48)</f>
        <v/>
      </c>
      <c r="E49" s="8">
        <f>SUM(E6:E48)</f>
        <v/>
      </c>
      <c r="F49" s="8">
        <f>SUM(F6:F48)</f>
        <v/>
      </c>
      <c r="G49" s="8">
        <f>SUM(G6:G48)</f>
        <v/>
      </c>
      <c r="H49" s="8">
        <f>SUM(H6:H48)</f>
        <v/>
      </c>
      <c r="I49" s="8">
        <f>SUM(I6:I48)</f>
        <v/>
      </c>
      <c r="J49" s="8">
        <f>SUM(J6:J48)</f>
        <v/>
      </c>
    </row>
  </sheetData>
  <autoFilter ref="A5:J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