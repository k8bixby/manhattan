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Summary'!$A$5:$K$8</definedName>
    <definedName name="_xlnm._FilterDatabase" localSheetId="1" hidden="1">'Acct Summary'!$A$5:$J$62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7" customWidth="1" min="3" max="3"/>
    <col width="48" customWidth="1" min="4" max="4"/>
    <col width="15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Vieira, Sara</t>
        </is>
      </c>
      <c r="B6" s="4" t="inlineStr">
        <is>
          <t>Monosova, Sabina</t>
        </is>
      </c>
      <c r="C6" s="5" t="n">
        <v>74002520</v>
      </c>
      <c r="D6" s="4" t="inlineStr">
        <is>
          <t>GVCCC_74002520 - OP Svc - Emergency Services</t>
        </is>
      </c>
      <c r="E6" s="6" t="n">
        <v>1194411.46</v>
      </c>
      <c r="F6" s="6" t="n">
        <v>1047104.081552677</v>
      </c>
      <c r="G6" s="6" t="n">
        <v>1139003.062949426</v>
      </c>
      <c r="H6" s="6" t="n">
        <v>1170304.75801105</v>
      </c>
      <c r="I6" s="6" t="n">
        <v>-24106.70198895037</v>
      </c>
      <c r="J6" s="6" t="n">
        <v>123200.6764583722</v>
      </c>
      <c r="K6" s="6" t="n">
        <v>31301.69506162335</v>
      </c>
    </row>
    <row r="7">
      <c r="A7" s="4" t="inlineStr">
        <is>
          <t>Vieira, Sara</t>
        </is>
      </c>
      <c r="B7" s="4" t="inlineStr">
        <is>
          <t>Wong, Andrew</t>
        </is>
      </c>
      <c r="C7" s="5" t="n">
        <v>74002506</v>
      </c>
      <c r="D7" s="4" t="inlineStr">
        <is>
          <t>GVCCC_74002506 - Inpatient Unit</t>
        </is>
      </c>
      <c r="E7" s="6" t="n">
        <v>99868.64999999999</v>
      </c>
      <c r="F7" s="6" t="n">
        <v>921443.2713854776</v>
      </c>
      <c r="G7" s="6" t="n">
        <v>59811.1105700929</v>
      </c>
      <c r="H7" s="6" t="n">
        <v>61248.1044198895</v>
      </c>
      <c r="I7" s="6" t="n">
        <v>-38620.54558011049</v>
      </c>
      <c r="J7" s="6" t="n">
        <v>-860195.1669655881</v>
      </c>
      <c r="K7" s="6" t="n">
        <v>1436.9938497966</v>
      </c>
    </row>
    <row r="8">
      <c r="A8" s="4" t="inlineStr">
        <is>
          <t>Vieira, Sara</t>
        </is>
      </c>
      <c r="B8" s="4" t="inlineStr">
        <is>
          <t>Wong, Andrew</t>
        </is>
      </c>
      <c r="C8" s="5" t="n">
        <v>74002507</v>
      </c>
      <c r="D8" s="4" t="inlineStr">
        <is>
          <t>GVCCC_74002507 - Clinical Ancillary</t>
        </is>
      </c>
      <c r="E8" s="6" t="n">
        <v>7664.21</v>
      </c>
      <c r="F8" s="6" t="n">
        <v>98706.6044322582</v>
      </c>
      <c r="G8" s="6" t="n">
        <v>6030.683276668101</v>
      </c>
      <c r="H8" s="6" t="n">
        <v>10630</v>
      </c>
      <c r="I8" s="6" t="n">
        <v>2965.79</v>
      </c>
      <c r="J8" s="6" t="n">
        <v>-88076.6044322582</v>
      </c>
      <c r="K8" s="6" t="n">
        <v>4599.316723331899</v>
      </c>
    </row>
    <row r="9">
      <c r="A9" s="7" t="inlineStr">
        <is>
          <t>Total</t>
        </is>
      </c>
      <c r="B9" s="7" t="n"/>
      <c r="C9" s="7">
        <f>SUM(C6:C8)</f>
        <v/>
      </c>
      <c r="D9" s="7" t="n"/>
      <c r="E9" s="8">
        <f>SUM(E6:E8)</f>
        <v/>
      </c>
      <c r="F9" s="8">
        <f>SUM(F6:F8)</f>
        <v/>
      </c>
      <c r="G9" s="8">
        <f>SUM(G6:G8)</f>
        <v/>
      </c>
      <c r="H9" s="8">
        <f>SUM(H6:H8)</f>
        <v/>
      </c>
      <c r="I9" s="8">
        <f>SUM(I6:I8)</f>
        <v/>
      </c>
      <c r="J9" s="8">
        <f>SUM(J6:J8)</f>
        <v/>
      </c>
      <c r="K9" s="8">
        <f>SUM(K6:K8)</f>
        <v/>
      </c>
    </row>
  </sheetData>
  <autoFilter ref="A5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2" customWidth="1" min="5" max="5"/>
    <col width="24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Vieira, Sara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-1584.7</v>
      </c>
      <c r="E6" s="6" t="n">
        <v>0</v>
      </c>
      <c r="F6" s="6" t="n">
        <v>-3333.7572527473</v>
      </c>
      <c r="G6" s="6" t="n">
        <v>0</v>
      </c>
      <c r="H6" s="6" t="n">
        <v>1584.7</v>
      </c>
      <c r="I6" s="6" t="n">
        <v>0</v>
      </c>
      <c r="J6" s="6" t="n">
        <v>3333.7572527473</v>
      </c>
    </row>
    <row r="7">
      <c r="A7" s="4" t="inlineStr">
        <is>
          <t>Vieira, Sara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-18919.01</v>
      </c>
      <c r="E7" s="6" t="n">
        <v>-16620</v>
      </c>
      <c r="F7" s="6" t="n">
        <v>-27157.6223076923</v>
      </c>
      <c r="G7" s="6" t="n">
        <v>0</v>
      </c>
      <c r="H7" s="6" t="n">
        <v>18919.01</v>
      </c>
      <c r="I7" s="6" t="n">
        <v>16620</v>
      </c>
      <c r="J7" s="6" t="n">
        <v>27157.6223076923</v>
      </c>
    </row>
    <row r="8">
      <c r="A8" s="4" t="inlineStr">
        <is>
          <t>Vieira, Sara</t>
        </is>
      </c>
      <c r="B8" s="4" t="inlineStr">
        <is>
          <t>A_63000</t>
        </is>
      </c>
      <c r="C8" s="4" t="inlineStr">
        <is>
          <t>A_63000 - Supplies - Laboratory</t>
        </is>
      </c>
      <c r="D8" s="6" t="n">
        <v>48992.38</v>
      </c>
      <c r="E8" s="6" t="n">
        <v>147088.972508397</v>
      </c>
      <c r="F8" s="6" t="n">
        <v>43173.9583516483</v>
      </c>
      <c r="G8" s="6" t="n">
        <v>43173.66436464088</v>
      </c>
      <c r="H8" s="6" t="n">
        <v>-5818.71563535912</v>
      </c>
      <c r="I8" s="6" t="n">
        <v>-103915.3081437561</v>
      </c>
      <c r="J8" s="6" t="n">
        <v>-0.2939870074187638</v>
      </c>
    </row>
    <row r="9">
      <c r="A9" s="4" t="inlineStr">
        <is>
          <t>Vieira, Sara</t>
        </is>
      </c>
      <c r="B9" s="4" t="inlineStr">
        <is>
          <t>A_63005</t>
        </is>
      </c>
      <c r="C9" s="4" t="inlineStr">
        <is>
          <t>A_63005 - Supplies - Reagents</t>
        </is>
      </c>
      <c r="D9" s="6" t="n">
        <v>30587.07</v>
      </c>
      <c r="E9" s="6" t="n">
        <v>41889.1444730161</v>
      </c>
      <c r="F9" s="6" t="n">
        <v>30896.5457142858</v>
      </c>
      <c r="G9" s="6" t="n">
        <v>30896.59502762431</v>
      </c>
      <c r="H9" s="6" t="n">
        <v>309.5250276243096</v>
      </c>
      <c r="I9" s="6" t="n">
        <v>-10992.54944539179</v>
      </c>
      <c r="J9" s="6" t="n">
        <v>0.049313338509819</v>
      </c>
    </row>
    <row r="10">
      <c r="A10" s="4" t="inlineStr">
        <is>
          <t>Vieira, Sara</t>
        </is>
      </c>
      <c r="B10" s="4" t="inlineStr">
        <is>
          <t>A_63020</t>
        </is>
      </c>
      <c r="C10" s="4" t="inlineStr">
        <is>
          <t>A_63020 - Supplies Wound Closure</t>
        </is>
      </c>
      <c r="D10" s="6" t="n">
        <v>25854.76</v>
      </c>
      <c r="E10" s="6" t="n">
        <v>25510.694003212</v>
      </c>
      <c r="F10" s="6" t="n">
        <v>28729.6526373626</v>
      </c>
      <c r="G10" s="6" t="n">
        <v>28809.45</v>
      </c>
      <c r="H10" s="6" t="n">
        <v>2954.689999999999</v>
      </c>
      <c r="I10" s="6" t="n">
        <v>3298.755996787997</v>
      </c>
      <c r="J10" s="6" t="n">
        <v>79.79736263739687</v>
      </c>
    </row>
    <row r="11">
      <c r="A11" s="4" t="inlineStr">
        <is>
          <t>Vieira, Sara</t>
        </is>
      </c>
      <c r="B11" s="4" t="inlineStr">
        <is>
          <t>A_63030</t>
        </is>
      </c>
      <c r="C11" s="4" t="inlineStr">
        <is>
          <t>A_63030 - Supplies - Medical</t>
        </is>
      </c>
      <c r="D11" s="6" t="n">
        <v>341226.61</v>
      </c>
      <c r="E11" s="6" t="n">
        <v>532927.0042355591</v>
      </c>
      <c r="F11" s="6" t="n">
        <v>363325.4425274727</v>
      </c>
      <c r="G11" s="6" t="n">
        <v>366665.7527624309</v>
      </c>
      <c r="H11" s="6" t="n">
        <v>25439.14276243094</v>
      </c>
      <c r="I11" s="6" t="n">
        <v>-166261.2514731282</v>
      </c>
      <c r="J11" s="6" t="n">
        <v>3340.310234958248</v>
      </c>
    </row>
    <row r="12">
      <c r="A12" s="4" t="inlineStr">
        <is>
          <t>Vieira, Sara</t>
        </is>
      </c>
      <c r="B12" s="4" t="inlineStr">
        <is>
          <t>A_63032</t>
        </is>
      </c>
      <c r="C12" s="4" t="inlineStr">
        <is>
          <t>A_63032 - Supplies - Medical - PPE</t>
        </is>
      </c>
      <c r="D12" s="6" t="n">
        <v>1022.79</v>
      </c>
      <c r="E12" s="6" t="n">
        <v>3067.587851852</v>
      </c>
      <c r="F12" s="6" t="n">
        <v>1000.829010989</v>
      </c>
      <c r="G12" s="6" t="n">
        <v>1001</v>
      </c>
      <c r="H12" s="6" t="n">
        <v>-21.78999999999996</v>
      </c>
      <c r="I12" s="6" t="n">
        <v>-2066.587851852</v>
      </c>
      <c r="J12" s="6" t="n">
        <v>0.1709890109999606</v>
      </c>
    </row>
    <row r="13">
      <c r="A13" s="4" t="inlineStr">
        <is>
          <t>Vieira, Sara</t>
        </is>
      </c>
      <c r="B13" s="4" t="inlineStr">
        <is>
          <t>A_63035</t>
        </is>
      </c>
      <c r="C13" s="4" t="inlineStr">
        <is>
          <t>A_63035 - Supplies - Gases</t>
        </is>
      </c>
      <c r="D13" s="6" t="n">
        <v>-100.18</v>
      </c>
      <c r="E13" s="6" t="n">
        <v>12480</v>
      </c>
      <c r="F13" s="6" t="n">
        <v>0</v>
      </c>
      <c r="G13" s="6" t="n">
        <v>0</v>
      </c>
      <c r="H13" s="6" t="n">
        <v>100.18</v>
      </c>
      <c r="I13" s="6" t="n">
        <v>-12480</v>
      </c>
      <c r="J13" s="6" t="n">
        <v>0</v>
      </c>
    </row>
    <row r="14">
      <c r="A14" s="4" t="inlineStr">
        <is>
          <t>Vieira, Sara</t>
        </is>
      </c>
      <c r="B14" s="4" t="inlineStr">
        <is>
          <t>A_63040</t>
        </is>
      </c>
      <c r="C14" s="4" t="inlineStr">
        <is>
          <t>A_63040 - Supplies - Radiology</t>
        </is>
      </c>
      <c r="D14" s="6" t="n">
        <v>94.5</v>
      </c>
      <c r="E14" s="6" t="n">
        <v>0</v>
      </c>
      <c r="F14" s="6" t="n">
        <v>128000.2936263736</v>
      </c>
      <c r="G14" s="6" t="n">
        <v>128000</v>
      </c>
      <c r="H14" s="6" t="n">
        <v>127905.5</v>
      </c>
      <c r="I14" s="6" t="n">
        <v>128000</v>
      </c>
      <c r="J14" s="6" t="n">
        <v>-0.2936263736046385</v>
      </c>
    </row>
    <row r="15">
      <c r="A15" s="4" t="inlineStr">
        <is>
          <t>Vieira, Sara</t>
        </is>
      </c>
      <c r="B15" s="4" t="inlineStr">
        <is>
          <t>A_63045</t>
        </is>
      </c>
      <c r="C15" s="4" t="inlineStr">
        <is>
          <t>A_63045 - Supplies - Med Equip Repair</t>
        </is>
      </c>
      <c r="D15" s="6" t="n">
        <v>10067.93</v>
      </c>
      <c r="E15" s="6" t="n">
        <v>0</v>
      </c>
      <c r="F15" s="6" t="n">
        <v>13278.7446153846</v>
      </c>
      <c r="G15" s="6" t="n">
        <v>15491.15497237569</v>
      </c>
      <c r="H15" s="6" t="n">
        <v>5423.224972375692</v>
      </c>
      <c r="I15" s="6" t="n">
        <v>15491.15497237569</v>
      </c>
      <c r="J15" s="6" t="n">
        <v>2212.410356991093</v>
      </c>
    </row>
    <row r="16">
      <c r="A16" s="4" t="inlineStr">
        <is>
          <t>Vieira, Sara</t>
        </is>
      </c>
      <c r="B16" s="4" t="inlineStr">
        <is>
          <t>A_63050</t>
        </is>
      </c>
      <c r="C16" s="4" t="inlineStr">
        <is>
          <t>A_63050 - Supplies - Iv Solutions &amp; Sets</t>
        </is>
      </c>
      <c r="D16" s="6" t="n">
        <v>312298.78</v>
      </c>
      <c r="E16" s="6" t="n">
        <v>575286.99762411</v>
      </c>
      <c r="F16" s="6" t="n">
        <v>337909.7374725274</v>
      </c>
      <c r="G16" s="6" t="n">
        <v>338829.2378453039</v>
      </c>
      <c r="H16" s="6" t="n">
        <v>26530.45784530387</v>
      </c>
      <c r="I16" s="6" t="n">
        <v>-236457.7597788061</v>
      </c>
      <c r="J16" s="6" t="n">
        <v>919.5003727764706</v>
      </c>
    </row>
    <row r="17">
      <c r="A17" s="4" t="inlineStr">
        <is>
          <t>Vieira, Sara</t>
        </is>
      </c>
      <c r="B17" s="4" t="inlineStr">
        <is>
          <t>A_63060</t>
        </is>
      </c>
      <c r="C17" s="4" t="inlineStr">
        <is>
          <t>A_63060 - Supplies - Surgery Packs-Sheet</t>
        </is>
      </c>
      <c r="D17" s="6" t="n">
        <v>18390.94</v>
      </c>
      <c r="E17" s="6" t="n">
        <v>25038.3855225935</v>
      </c>
      <c r="F17" s="6" t="n">
        <v>21279.7226373626</v>
      </c>
      <c r="G17" s="6" t="n">
        <v>21338.82762430939</v>
      </c>
      <c r="H17" s="6" t="n">
        <v>2947.887624309391</v>
      </c>
      <c r="I17" s="6" t="n">
        <v>-3699.557898284111</v>
      </c>
      <c r="J17" s="6" t="n">
        <v>59.10498694678972</v>
      </c>
    </row>
    <row r="18">
      <c r="A18" s="4" t="inlineStr">
        <is>
          <t>Vieira, Sara</t>
        </is>
      </c>
      <c r="B18" s="4" t="inlineStr">
        <is>
          <t>A_63062</t>
        </is>
      </c>
      <c r="C18" s="4" t="inlineStr">
        <is>
          <t>A_63062 - Supplies - Impl - Oth Vascular</t>
        </is>
      </c>
      <c r="D18" s="6" t="n">
        <v>16967.02</v>
      </c>
      <c r="E18" s="6" t="n">
        <v>35067.4796721344</v>
      </c>
      <c r="F18" s="6" t="n">
        <v>14193.4869230769</v>
      </c>
      <c r="G18" s="6" t="n">
        <v>14193.80138121547</v>
      </c>
      <c r="H18" s="6" t="n">
        <v>-2773.218618784533</v>
      </c>
      <c r="I18" s="6" t="n">
        <v>-20873.67829091894</v>
      </c>
      <c r="J18" s="6" t="n">
        <v>0.3144581385677157</v>
      </c>
    </row>
    <row r="19">
      <c r="A19" s="4" t="inlineStr">
        <is>
          <t>Vieira, Sara</t>
        </is>
      </c>
      <c r="B19" s="4" t="inlineStr">
        <is>
          <t>A_63069</t>
        </is>
      </c>
      <c r="C19" s="4" t="inlineStr">
        <is>
          <t>A_63069 - Supplies - Imp - Intraculr Len</t>
        </is>
      </c>
      <c r="D19" s="6" t="n">
        <v>1353</v>
      </c>
      <c r="E19" s="6" t="n">
        <v>0</v>
      </c>
      <c r="F19" s="6" t="n">
        <v>0</v>
      </c>
      <c r="G19" s="6" t="n">
        <v>0</v>
      </c>
      <c r="H19" s="6" t="n">
        <v>-1353</v>
      </c>
      <c r="I19" s="6" t="n">
        <v>0</v>
      </c>
      <c r="J19" s="6" t="n">
        <v>0</v>
      </c>
    </row>
    <row r="20">
      <c r="A20" s="4" t="inlineStr">
        <is>
          <t>Vieira, Sara</t>
        </is>
      </c>
      <c r="B20" s="4" t="inlineStr">
        <is>
          <t>A_63070</t>
        </is>
      </c>
      <c r="C20" s="4" t="inlineStr">
        <is>
          <t>A_63070 - Supplies - Implants - All Oth</t>
        </is>
      </c>
      <c r="D20" s="6" t="n">
        <v>4727.67</v>
      </c>
      <c r="E20" s="6" t="n">
        <v>87793.42098890571</v>
      </c>
      <c r="F20" s="6" t="n">
        <v>5572.6359340659</v>
      </c>
      <c r="G20" s="6" t="n">
        <v>5573</v>
      </c>
      <c r="H20" s="6" t="n">
        <v>845.3299999999999</v>
      </c>
      <c r="I20" s="6" t="n">
        <v>-82220.42098890571</v>
      </c>
      <c r="J20" s="6" t="n">
        <v>0.3640659340999264</v>
      </c>
    </row>
    <row r="21">
      <c r="A21" s="4" t="inlineStr">
        <is>
          <t>Vieira, Sara</t>
        </is>
      </c>
      <c r="B21" s="4" t="inlineStr">
        <is>
          <t>A_63080</t>
        </is>
      </c>
      <c r="C21" s="4" t="inlineStr">
        <is>
          <t>A_63080 - Supplies - Surgical</t>
        </is>
      </c>
      <c r="D21" s="6" t="n">
        <v>50203.58</v>
      </c>
      <c r="E21" s="6" t="n">
        <v>275518.0350906337</v>
      </c>
      <c r="F21" s="6" t="n">
        <v>47534.49</v>
      </c>
      <c r="G21" s="6" t="n">
        <v>47534.15165745857</v>
      </c>
      <c r="H21" s="6" t="n">
        <v>-2669.428342541432</v>
      </c>
      <c r="I21" s="6" t="n">
        <v>-227983.8834331751</v>
      </c>
      <c r="J21" s="6" t="n">
        <v>-0.3383425414285739</v>
      </c>
    </row>
    <row r="22">
      <c r="A22" s="4" t="inlineStr">
        <is>
          <t>Vieira, Sara</t>
        </is>
      </c>
      <c r="B22" s="4" t="inlineStr">
        <is>
          <t>A_64000</t>
        </is>
      </c>
      <c r="C22" s="4" t="inlineStr">
        <is>
          <t>A_64000 - Supplies - Hotel Services</t>
        </is>
      </c>
      <c r="D22" s="6" t="n">
        <v>21881.68</v>
      </c>
      <c r="E22" s="6" t="n">
        <v>19987.4900000003</v>
      </c>
      <c r="F22" s="6" t="n">
        <v>26432.5337016574</v>
      </c>
      <c r="G22" s="6" t="n">
        <v>26432.53370165746</v>
      </c>
      <c r="H22" s="6" t="n">
        <v>4550.853701657459</v>
      </c>
      <c r="I22" s="6" t="n">
        <v>6445.04370165716</v>
      </c>
      <c r="J22" s="6" t="n">
        <v>5.820766091346741e-11</v>
      </c>
    </row>
    <row r="23">
      <c r="A23" s="4" t="inlineStr">
        <is>
          <t>Vieira, Sara</t>
        </is>
      </c>
      <c r="B23" s="4" t="inlineStr">
        <is>
          <t>A_64010</t>
        </is>
      </c>
      <c r="C23" s="4" t="inlineStr">
        <is>
          <t>A_64010 - Supplies - Linen And Bedding</t>
        </is>
      </c>
      <c r="D23" s="6" t="n">
        <v>108.38</v>
      </c>
      <c r="E23" s="6" t="n">
        <v>0</v>
      </c>
      <c r="F23" s="6" t="n">
        <v>108.2900552486</v>
      </c>
      <c r="G23" s="6" t="n">
        <v>108.2900552486188</v>
      </c>
      <c r="H23" s="6" t="n">
        <v>-0.0899447513811964</v>
      </c>
      <c r="I23" s="6" t="n">
        <v>108.2900552486188</v>
      </c>
      <c r="J23" s="6" t="n">
        <v>1.880096078821225e-11</v>
      </c>
    </row>
    <row r="24">
      <c r="A24" s="4" t="inlineStr">
        <is>
          <t>Vieira, Sara</t>
        </is>
      </c>
      <c r="B24" s="4" t="inlineStr">
        <is>
          <t>A_64020</t>
        </is>
      </c>
      <c r="C24" s="4" t="inlineStr">
        <is>
          <t>A_64020 - Supplies - Office</t>
        </is>
      </c>
      <c r="D24" s="6" t="n">
        <v>15423.83</v>
      </c>
      <c r="E24" s="6" t="n">
        <v>28735.7399999997</v>
      </c>
      <c r="F24" s="6" t="n">
        <v>26809.3287292818</v>
      </c>
      <c r="G24" s="6" t="n">
        <v>26808.89281767956</v>
      </c>
      <c r="H24" s="6" t="n">
        <v>11385.06281767956</v>
      </c>
      <c r="I24" s="6" t="n">
        <v>-1926.84718232014</v>
      </c>
      <c r="J24" s="6" t="n">
        <v>-0.4359116022387752</v>
      </c>
    </row>
    <row r="25">
      <c r="A25" s="4" t="inlineStr">
        <is>
          <t>Vieira, Sara</t>
        </is>
      </c>
      <c r="B25" s="4" t="inlineStr">
        <is>
          <t>A_64030</t>
        </is>
      </c>
      <c r="C25" s="4" t="inlineStr">
        <is>
          <t>A_64030 - Supplies - Other Non Medical</t>
        </is>
      </c>
      <c r="D25" s="6" t="n">
        <v>10791.29</v>
      </c>
      <c r="E25" s="6" t="n">
        <v>7165.3049999999</v>
      </c>
      <c r="F25" s="6" t="n">
        <v>21060.3588397791</v>
      </c>
      <c r="G25" s="6" t="n">
        <v>21060.66574585635</v>
      </c>
      <c r="H25" s="6" t="n">
        <v>10269.37574585635</v>
      </c>
      <c r="I25" s="6" t="n">
        <v>13895.36074585645</v>
      </c>
      <c r="J25" s="6" t="n">
        <v>0.3069060772540979</v>
      </c>
    </row>
    <row r="26">
      <c r="A26" s="4" t="inlineStr">
        <is>
          <t>Vieira, Sara</t>
        </is>
      </c>
      <c r="B26" s="4" t="inlineStr">
        <is>
          <t>A_64505</t>
        </is>
      </c>
      <c r="C26" s="4" t="inlineStr">
        <is>
          <t>A_64505 - Food SI</t>
        </is>
      </c>
      <c r="D26" s="6" t="n">
        <v>1707.8</v>
      </c>
      <c r="E26" s="6" t="n">
        <v>0</v>
      </c>
      <c r="F26" s="6" t="n">
        <v>0</v>
      </c>
      <c r="G26" s="6" t="n">
        <v>0</v>
      </c>
      <c r="H26" s="6" t="n">
        <v>-1707.8</v>
      </c>
      <c r="I26" s="6" t="n">
        <v>0</v>
      </c>
      <c r="J26" s="6" t="n">
        <v>0</v>
      </c>
    </row>
    <row r="27">
      <c r="A27" s="4" t="inlineStr">
        <is>
          <t>Vieira, Sara</t>
        </is>
      </c>
      <c r="B27" s="4" t="inlineStr">
        <is>
          <t>A_64510</t>
        </is>
      </c>
      <c r="C27" s="4" t="inlineStr">
        <is>
          <t>A_64510 - Dietary-Groceries &amp; Beverages</t>
        </is>
      </c>
      <c r="D27" s="6" t="n">
        <v>2542.26</v>
      </c>
      <c r="E27" s="6" t="n">
        <v>0</v>
      </c>
      <c r="F27" s="6" t="n">
        <v>0</v>
      </c>
      <c r="G27" s="6" t="n">
        <v>0</v>
      </c>
      <c r="H27" s="6" t="n">
        <v>-2542.26</v>
      </c>
      <c r="I27" s="6" t="n">
        <v>0</v>
      </c>
      <c r="J27" s="6" t="n">
        <v>0</v>
      </c>
    </row>
    <row r="28">
      <c r="A28" s="4" t="inlineStr">
        <is>
          <t>Vieira, Sara</t>
        </is>
      </c>
      <c r="B28" s="4" t="inlineStr">
        <is>
          <t>A_64520</t>
        </is>
      </c>
      <c r="C28" s="4" t="inlineStr">
        <is>
          <t>A_64520 - Dietary - Dairy</t>
        </is>
      </c>
      <c r="D28" s="6" t="n">
        <v>330.36</v>
      </c>
      <c r="E28" s="6" t="n">
        <v>0</v>
      </c>
      <c r="F28" s="6" t="n">
        <v>0</v>
      </c>
      <c r="G28" s="6" t="n">
        <v>0</v>
      </c>
      <c r="H28" s="6" t="n">
        <v>-330.36</v>
      </c>
      <c r="I28" s="6" t="n">
        <v>0</v>
      </c>
      <c r="J28" s="6" t="n">
        <v>0</v>
      </c>
    </row>
    <row r="29">
      <c r="A29" s="4" t="inlineStr">
        <is>
          <t>Vieira, Sara</t>
        </is>
      </c>
      <c r="B29" s="4" t="inlineStr">
        <is>
          <t>A_64550</t>
        </is>
      </c>
      <c r="C29" s="4" t="inlineStr">
        <is>
          <t>A_64550 - Dietary - Supplement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</row>
    <row r="30">
      <c r="A30" s="4" t="inlineStr">
        <is>
          <t>Vieira, Sara</t>
        </is>
      </c>
      <c r="B30" s="4" t="inlineStr">
        <is>
          <t>A_64560</t>
        </is>
      </c>
      <c r="C30" s="4" t="inlineStr">
        <is>
          <t>A_64560 - Dietary - Tableware</t>
        </is>
      </c>
      <c r="D30" s="6" t="n">
        <v>1030.26</v>
      </c>
      <c r="E30" s="6" t="n">
        <v>0</v>
      </c>
      <c r="F30" s="6" t="n">
        <v>-0.4121546960999467</v>
      </c>
      <c r="G30" s="6" t="n">
        <v>0</v>
      </c>
      <c r="H30" s="6" t="n">
        <v>-1030.26</v>
      </c>
      <c r="I30" s="6" t="n">
        <v>0</v>
      </c>
      <c r="J30" s="6" t="n">
        <v>0.4121546960999467</v>
      </c>
    </row>
    <row r="31">
      <c r="A31" s="4" t="inlineStr">
        <is>
          <t>Vieira, Sara</t>
        </is>
      </c>
      <c r="B31" s="4" t="inlineStr">
        <is>
          <t>A_65050</t>
        </is>
      </c>
      <c r="C31" s="4" t="inlineStr">
        <is>
          <t>A_65050 - Telephone</t>
        </is>
      </c>
      <c r="D31" s="6" t="n">
        <v>7800.940000000001</v>
      </c>
      <c r="E31" s="6" t="n">
        <v>2633.9999999999</v>
      </c>
      <c r="F31" s="6" t="n">
        <v>2976.8577348066</v>
      </c>
      <c r="G31" s="6" t="n">
        <v>2976.8091160221</v>
      </c>
      <c r="H31" s="6" t="n">
        <v>-4824.130883977901</v>
      </c>
      <c r="I31" s="6" t="n">
        <v>342.8091160221998</v>
      </c>
      <c r="J31" s="6" t="n">
        <v>-0.04861878450037693</v>
      </c>
    </row>
    <row r="32">
      <c r="A32" s="4" t="inlineStr">
        <is>
          <t>Vieira, Sara</t>
        </is>
      </c>
      <c r="B32" s="4" t="inlineStr">
        <is>
          <t>A_65505</t>
        </is>
      </c>
      <c r="C32" s="4" t="inlineStr">
        <is>
          <t>A_65505 - Equipment Service Contracts</t>
        </is>
      </c>
      <c r="D32" s="6" t="n">
        <v>17889.9</v>
      </c>
      <c r="E32" s="6" t="n">
        <v>6306.9999999996</v>
      </c>
      <c r="F32" s="6" t="n">
        <v>0</v>
      </c>
      <c r="G32" s="6" t="n">
        <v>0</v>
      </c>
      <c r="H32" s="6" t="n">
        <v>-17889.9</v>
      </c>
      <c r="I32" s="6" t="n">
        <v>-6306.9999999996</v>
      </c>
      <c r="J32" s="6" t="n">
        <v>0</v>
      </c>
    </row>
    <row r="33">
      <c r="A33" s="4" t="inlineStr">
        <is>
          <t>Vieira, Sara</t>
        </is>
      </c>
      <c r="B33" s="4" t="inlineStr">
        <is>
          <t>A_65507</t>
        </is>
      </c>
      <c r="C33" s="4" t="inlineStr">
        <is>
          <t>A_65507 - Medical Equip Srvcs Contracts</t>
        </is>
      </c>
      <c r="D33" s="6" t="n">
        <v>33231.93</v>
      </c>
      <c r="E33" s="6" t="n">
        <v>16250.7</v>
      </c>
      <c r="F33" s="6" t="n">
        <v>29208.4</v>
      </c>
      <c r="G33" s="6" t="n">
        <v>29208</v>
      </c>
      <c r="H33" s="6" t="n">
        <v>-4023.93</v>
      </c>
      <c r="I33" s="6" t="n">
        <v>12957.3</v>
      </c>
      <c r="J33" s="6" t="n">
        <v>-0.4000000000014552</v>
      </c>
    </row>
    <row r="34">
      <c r="A34" s="4" t="inlineStr">
        <is>
          <t>Vieira, Sara</t>
        </is>
      </c>
      <c r="B34" s="4" t="inlineStr">
        <is>
          <t>A_65510</t>
        </is>
      </c>
      <c r="C34" s="4" t="inlineStr">
        <is>
          <t>A_65510 - Freight</t>
        </is>
      </c>
      <c r="D34" s="6" t="n">
        <v>6059.31</v>
      </c>
      <c r="E34" s="6" t="n">
        <v>2313</v>
      </c>
      <c r="F34" s="6" t="n">
        <v>4340.26</v>
      </c>
      <c r="G34" s="6" t="n">
        <v>4374.723480662983</v>
      </c>
      <c r="H34" s="6" t="n">
        <v>-1684.586519337017</v>
      </c>
      <c r="I34" s="6" t="n">
        <v>2061.723480662983</v>
      </c>
      <c r="J34" s="6" t="n">
        <v>34.46348066298287</v>
      </c>
    </row>
    <row r="35">
      <c r="A35" s="4" t="inlineStr">
        <is>
          <t>Vieira, Sara</t>
        </is>
      </c>
      <c r="B35" s="4" t="inlineStr">
        <is>
          <t>A_65515</t>
        </is>
      </c>
      <c r="C35" s="4" t="inlineStr">
        <is>
          <t>A_65515 - Ge Central Equip Svc Contract</t>
        </is>
      </c>
      <c r="D35" s="6" t="n">
        <v>5526</v>
      </c>
      <c r="E35" s="6" t="n">
        <v>5526</v>
      </c>
      <c r="F35" s="6" t="n">
        <v>5526</v>
      </c>
      <c r="G35" s="6" t="n">
        <v>5571.795580110497</v>
      </c>
      <c r="H35" s="6" t="n">
        <v>45.79558011049721</v>
      </c>
      <c r="I35" s="6" t="n">
        <v>45.79558011049721</v>
      </c>
      <c r="J35" s="6" t="n">
        <v>45.79558011049721</v>
      </c>
    </row>
    <row r="36">
      <c r="A36" s="4" t="inlineStr">
        <is>
          <t>Vieira, Sara</t>
        </is>
      </c>
      <c r="B36" s="4" t="inlineStr">
        <is>
          <t>A_65517</t>
        </is>
      </c>
      <c r="C36" s="4" t="inlineStr">
        <is>
          <t>A_65517 - Software Maint and Support</t>
        </is>
      </c>
      <c r="D36" s="6" t="n">
        <v>36749</v>
      </c>
      <c r="E36" s="6" t="n">
        <v>0</v>
      </c>
      <c r="F36" s="6" t="n">
        <v>649.3199999999968</v>
      </c>
      <c r="G36" s="6" t="n">
        <v>650.1436464088398</v>
      </c>
      <c r="H36" s="6" t="n">
        <v>-36098.85635359116</v>
      </c>
      <c r="I36" s="6" t="n">
        <v>650.1436464088398</v>
      </c>
      <c r="J36" s="6" t="n">
        <v>0.8236464088430466</v>
      </c>
    </row>
    <row r="37">
      <c r="A37" s="4" t="inlineStr">
        <is>
          <t>Vieira, Sara</t>
        </is>
      </c>
      <c r="B37" s="4" t="inlineStr">
        <is>
          <t>A_65525</t>
        </is>
      </c>
      <c r="C37" s="4" t="inlineStr">
        <is>
          <t>A_65525 - Maintenance And Repairs</t>
        </is>
      </c>
      <c r="D37" s="6" t="n">
        <v>0</v>
      </c>
      <c r="E37" s="6" t="n">
        <v>1706.0000000004</v>
      </c>
      <c r="F37" s="6" t="n">
        <v>1700</v>
      </c>
      <c r="G37" s="6" t="n">
        <v>1700</v>
      </c>
      <c r="H37" s="6" t="n">
        <v>1700</v>
      </c>
      <c r="I37" s="6" t="n">
        <v>-6.00000000039995</v>
      </c>
      <c r="J37" s="6" t="n">
        <v>0</v>
      </c>
    </row>
    <row r="38">
      <c r="A38" s="4" t="inlineStr">
        <is>
          <t>Vieira, Sara</t>
        </is>
      </c>
      <c r="B38" s="4" t="inlineStr">
        <is>
          <t>A_65527</t>
        </is>
      </c>
      <c r="C38" s="4" t="inlineStr">
        <is>
          <t>A_65527 - Med Equipment Maint &amp; Repairs</t>
        </is>
      </c>
      <c r="D38" s="6" t="n">
        <v>1120</v>
      </c>
      <c r="E38" s="6" t="n">
        <v>0</v>
      </c>
      <c r="F38" s="6" t="n">
        <v>2661.8</v>
      </c>
      <c r="G38" s="6" t="n">
        <v>2662</v>
      </c>
      <c r="H38" s="6" t="n">
        <v>1542</v>
      </c>
      <c r="I38" s="6" t="n">
        <v>2662</v>
      </c>
      <c r="J38" s="6" t="n">
        <v>0.1999999999998181</v>
      </c>
    </row>
    <row r="39">
      <c r="A39" s="4" t="inlineStr">
        <is>
          <t>Vieira, Sara</t>
        </is>
      </c>
      <c r="B39" s="4" t="inlineStr">
        <is>
          <t>A_65530</t>
        </is>
      </c>
      <c r="C39" s="4" t="inlineStr">
        <is>
          <t>A_65530 - Medical Purchased Services</t>
        </is>
      </c>
      <c r="D39" s="6" t="n">
        <v>21.35</v>
      </c>
      <c r="E39" s="6" t="n">
        <v>0</v>
      </c>
      <c r="F39" s="6" t="n">
        <v>0</v>
      </c>
      <c r="G39" s="6" t="n">
        <v>0</v>
      </c>
      <c r="H39" s="6" t="n">
        <v>-21.35</v>
      </c>
      <c r="I39" s="6" t="n">
        <v>0</v>
      </c>
      <c r="J39" s="6" t="n">
        <v>0</v>
      </c>
    </row>
    <row r="40">
      <c r="A40" s="4" t="inlineStr">
        <is>
          <t>Vieira, Sara</t>
        </is>
      </c>
      <c r="B40" s="4" t="inlineStr">
        <is>
          <t>A_65535</t>
        </is>
      </c>
      <c r="C40" s="4" t="inlineStr">
        <is>
          <t>A_65535 - Other Purchased Services</t>
        </is>
      </c>
      <c r="D40" s="6" t="n">
        <v>11991.54</v>
      </c>
      <c r="E40" s="6" t="n">
        <v>8522.0000000004</v>
      </c>
      <c r="F40" s="6" t="n">
        <v>13986.32</v>
      </c>
      <c r="G40" s="6" t="n">
        <v>13986.31298342541</v>
      </c>
      <c r="H40" s="6" t="n">
        <v>1994.772983425413</v>
      </c>
      <c r="I40" s="6" t="n">
        <v>5464.312983425014</v>
      </c>
      <c r="J40" s="6" t="n">
        <v>-0.007016574585577473</v>
      </c>
    </row>
    <row r="41">
      <c r="A41" s="4" t="inlineStr">
        <is>
          <t>Vieira, Sara</t>
        </is>
      </c>
      <c r="B41" s="4" t="inlineStr">
        <is>
          <t>A_65536</t>
        </is>
      </c>
      <c r="C41" s="4" t="inlineStr">
        <is>
          <t>A_65536 - Oth Purch Serv- Credentialling</t>
        </is>
      </c>
      <c r="D41" s="6" t="n">
        <v>971.71</v>
      </c>
      <c r="E41" s="6" t="n">
        <v>1999.9999999992</v>
      </c>
      <c r="F41" s="6" t="n">
        <v>1200</v>
      </c>
      <c r="G41" s="6" t="n">
        <v>1200</v>
      </c>
      <c r="H41" s="6" t="n">
        <v>228.29</v>
      </c>
      <c r="I41" s="6" t="n">
        <v>-799.9999999992001</v>
      </c>
      <c r="J41" s="6" t="n">
        <v>0</v>
      </c>
    </row>
    <row r="42">
      <c r="A42" s="4" t="inlineStr">
        <is>
          <t>Vieira, Sara</t>
        </is>
      </c>
      <c r="B42" s="4" t="inlineStr">
        <is>
          <t>A_65540</t>
        </is>
      </c>
      <c r="C42" s="4" t="inlineStr">
        <is>
          <t>A_65540 - Outside Messenger Service</t>
        </is>
      </c>
      <c r="D42" s="6" t="n">
        <v>3198.81</v>
      </c>
      <c r="E42" s="6" t="n">
        <v>876</v>
      </c>
      <c r="F42" s="6" t="n">
        <v>9152.559999999999</v>
      </c>
      <c r="G42" s="6" t="n">
        <v>9152.788397790055</v>
      </c>
      <c r="H42" s="6" t="n">
        <v>5953.978397790055</v>
      </c>
      <c r="I42" s="6" t="n">
        <v>8276.788397790055</v>
      </c>
      <c r="J42" s="6" t="n">
        <v>0.228397790055169</v>
      </c>
    </row>
    <row r="43">
      <c r="A43" s="4" t="inlineStr">
        <is>
          <t>Vieira, Sara</t>
        </is>
      </c>
      <c r="B43" s="4" t="inlineStr">
        <is>
          <t>A_65542</t>
        </is>
      </c>
      <c r="C43" s="4" t="inlineStr">
        <is>
          <t>A_65542 - Translation Services</t>
        </is>
      </c>
      <c r="D43" s="6" t="n">
        <v>346</v>
      </c>
      <c r="E43" s="6" t="n">
        <v>60000</v>
      </c>
      <c r="F43" s="6" t="n">
        <v>0</v>
      </c>
      <c r="G43" s="6" t="n">
        <v>0</v>
      </c>
      <c r="H43" s="6" t="n">
        <v>-346</v>
      </c>
      <c r="I43" s="6" t="n">
        <v>-60000</v>
      </c>
      <c r="J43" s="6" t="n">
        <v>0</v>
      </c>
    </row>
    <row r="44">
      <c r="A44" s="4" t="inlineStr">
        <is>
          <t>Vieira, Sara</t>
        </is>
      </c>
      <c r="B44" s="4" t="inlineStr">
        <is>
          <t>A_65545</t>
        </is>
      </c>
      <c r="C44" s="4" t="inlineStr">
        <is>
          <t>A_65545 - Transcript Sevices</t>
        </is>
      </c>
      <c r="D44" s="6" t="n">
        <v>0</v>
      </c>
      <c r="E44" s="6" t="n">
        <v>1200</v>
      </c>
      <c r="F44" s="6" t="n">
        <v>0</v>
      </c>
      <c r="G44" s="6" t="n">
        <v>0</v>
      </c>
      <c r="H44" s="6" t="n">
        <v>0</v>
      </c>
      <c r="I44" s="6" t="n">
        <v>-1200</v>
      </c>
      <c r="J44" s="6" t="n">
        <v>0</v>
      </c>
    </row>
    <row r="45">
      <c r="A45" s="4" t="inlineStr">
        <is>
          <t>Vieira, Sara</t>
        </is>
      </c>
      <c r="B45" s="4" t="inlineStr">
        <is>
          <t>A_65555</t>
        </is>
      </c>
      <c r="C45" s="4" t="inlineStr">
        <is>
          <t>A_65555 - Purchased Services-Transp Svcs</t>
        </is>
      </c>
      <c r="D45" s="6" t="n">
        <v>0</v>
      </c>
      <c r="E45" s="6" t="n">
        <v>0</v>
      </c>
      <c r="F45" s="6" t="n">
        <v>-0.2000000000000455</v>
      </c>
      <c r="G45" s="6" t="n">
        <v>0</v>
      </c>
      <c r="H45" s="6" t="n">
        <v>0</v>
      </c>
      <c r="I45" s="6" t="n">
        <v>0</v>
      </c>
      <c r="J45" s="6" t="n">
        <v>0.2000000000000455</v>
      </c>
    </row>
    <row r="46">
      <c r="A46" s="4" t="inlineStr">
        <is>
          <t>Vieira, Sara</t>
        </is>
      </c>
      <c r="B46" s="4" t="inlineStr">
        <is>
          <t>A_65565</t>
        </is>
      </c>
      <c r="C46" s="4" t="inlineStr">
        <is>
          <t>A_65565 - Purchases Services - Linen</t>
        </is>
      </c>
      <c r="D46" s="6" t="n">
        <v>8246.889999999999</v>
      </c>
      <c r="E46" s="6" t="n">
        <v>0</v>
      </c>
      <c r="F46" s="6" t="n">
        <v>6966.24</v>
      </c>
      <c r="G46" s="6" t="n">
        <v>6966.498895027624</v>
      </c>
      <c r="H46" s="6" t="n">
        <v>-1280.391104972376</v>
      </c>
      <c r="I46" s="6" t="n">
        <v>6966.498895027624</v>
      </c>
      <c r="J46" s="6" t="n">
        <v>0.2588950276240212</v>
      </c>
    </row>
    <row r="47">
      <c r="A47" s="4" t="inlineStr">
        <is>
          <t>Vieira, Sara</t>
        </is>
      </c>
      <c r="B47" s="4" t="inlineStr">
        <is>
          <t>A_66000</t>
        </is>
      </c>
      <c r="C47" s="4" t="inlineStr">
        <is>
          <t>A_66000 - Dues</t>
        </is>
      </c>
      <c r="D47" s="6" t="n">
        <v>0</v>
      </c>
      <c r="E47" s="6" t="n">
        <v>12200.0000000004</v>
      </c>
      <c r="F47" s="6" t="n">
        <v>0</v>
      </c>
      <c r="G47" s="6" t="n">
        <v>0</v>
      </c>
      <c r="H47" s="6" t="n">
        <v>0</v>
      </c>
      <c r="I47" s="6" t="n">
        <v>-12200.0000000004</v>
      </c>
      <c r="J47" s="6" t="n">
        <v>0</v>
      </c>
    </row>
    <row r="48">
      <c r="A48" s="4" t="inlineStr">
        <is>
          <t>Vieira, Sara</t>
        </is>
      </c>
      <c r="B48" s="4" t="inlineStr">
        <is>
          <t>A_66020</t>
        </is>
      </c>
      <c r="C48" s="4" t="inlineStr">
        <is>
          <t>A_66020 - Outside Training</t>
        </is>
      </c>
      <c r="D48" s="6" t="n">
        <v>894</v>
      </c>
      <c r="E48" s="6" t="n">
        <v>7720.0004000004</v>
      </c>
      <c r="F48" s="6" t="n">
        <v>1200.28</v>
      </c>
      <c r="G48" s="6" t="n">
        <v>1200</v>
      </c>
      <c r="H48" s="6" t="n">
        <v>306</v>
      </c>
      <c r="I48" s="6" t="n">
        <v>-6520.0004000004</v>
      </c>
      <c r="J48" s="6" t="n">
        <v>-0.2799999999999727</v>
      </c>
    </row>
    <row r="49">
      <c r="A49" s="4" t="inlineStr">
        <is>
          <t>Vieira, Sara</t>
        </is>
      </c>
      <c r="B49" s="4" t="inlineStr">
        <is>
          <t>A_66030</t>
        </is>
      </c>
      <c r="C49" s="4" t="inlineStr">
        <is>
          <t>A_66030 - Microfilming &amp; Archiving</t>
        </is>
      </c>
      <c r="D49" s="6" t="n">
        <v>941.49</v>
      </c>
      <c r="E49" s="6" t="n">
        <v>0</v>
      </c>
      <c r="F49" s="6" t="n">
        <v>918.42</v>
      </c>
      <c r="G49" s="6" t="n">
        <v>917.9649171270718</v>
      </c>
      <c r="H49" s="6" t="n">
        <v>-23.52508287292824</v>
      </c>
      <c r="I49" s="6" t="n">
        <v>917.9649171270718</v>
      </c>
      <c r="J49" s="6" t="n">
        <v>-0.4550828729281875</v>
      </c>
    </row>
    <row r="50">
      <c r="A50" s="4" t="inlineStr">
        <is>
          <t>Vieira, Sara</t>
        </is>
      </c>
      <c r="B50" s="4" t="inlineStr">
        <is>
          <t>A_66050</t>
        </is>
      </c>
      <c r="C50" s="4" t="inlineStr">
        <is>
          <t>A_66050 - Printing And Duplication</t>
        </is>
      </c>
      <c r="D50" s="6" t="n">
        <v>21250.39</v>
      </c>
      <c r="E50" s="6" t="n">
        <v>25947</v>
      </c>
      <c r="F50" s="6" t="n">
        <v>7947.66</v>
      </c>
      <c r="G50" s="6" t="n">
        <v>7948.18950276243</v>
      </c>
      <c r="H50" s="6" t="n">
        <v>-13302.20049723757</v>
      </c>
      <c r="I50" s="6" t="n">
        <v>-17998.81049723757</v>
      </c>
      <c r="J50" s="6" t="n">
        <v>0.5295027624306385</v>
      </c>
    </row>
    <row r="51">
      <c r="A51" s="4" t="inlineStr">
        <is>
          <t>Vieira, Sara</t>
        </is>
      </c>
      <c r="B51" s="4" t="inlineStr">
        <is>
          <t>A_66060</t>
        </is>
      </c>
      <c r="C51" s="4" t="inlineStr">
        <is>
          <t>A_66060 - Other Expenses</t>
        </is>
      </c>
      <c r="D51" s="6" t="n">
        <v>4838.5</v>
      </c>
      <c r="E51" s="6" t="n">
        <v>4140.9999999996</v>
      </c>
      <c r="F51" s="6" t="n">
        <v>49.26</v>
      </c>
      <c r="G51" s="6" t="n">
        <v>49.66823204419889</v>
      </c>
      <c r="H51" s="6" t="n">
        <v>-4788.831767955801</v>
      </c>
      <c r="I51" s="6" t="n">
        <v>-4091.331767955401</v>
      </c>
      <c r="J51" s="6" t="n">
        <v>0.4082320441988969</v>
      </c>
    </row>
    <row r="52">
      <c r="A52" s="4" t="inlineStr">
        <is>
          <t>Vieira, Sara</t>
        </is>
      </c>
      <c r="B52" s="4" t="inlineStr">
        <is>
          <t>A_66068</t>
        </is>
      </c>
      <c r="C52" s="4" t="inlineStr">
        <is>
          <t>A_66068 - Patient Belongings - Reimburse</t>
        </is>
      </c>
      <c r="D52" s="6" t="n">
        <v>0</v>
      </c>
      <c r="E52" s="6" t="n">
        <v>0</v>
      </c>
      <c r="F52" s="6" t="n">
        <v>2553.98</v>
      </c>
      <c r="G52" s="6" t="n">
        <v>2554.427348066298</v>
      </c>
      <c r="H52" s="6" t="n">
        <v>2554.427348066298</v>
      </c>
      <c r="I52" s="6" t="n">
        <v>2554.427348066298</v>
      </c>
      <c r="J52" s="6" t="n">
        <v>0.4473480662982183</v>
      </c>
    </row>
    <row r="53">
      <c r="A53" s="4" t="inlineStr">
        <is>
          <t>Vieira, Sara</t>
        </is>
      </c>
      <c r="B53" s="4" t="inlineStr">
        <is>
          <t>A_66075</t>
        </is>
      </c>
      <c r="C53" s="4" t="inlineStr">
        <is>
          <t>A_66075 - Promotional items</t>
        </is>
      </c>
      <c r="D53" s="6" t="n">
        <v>0</v>
      </c>
      <c r="E53" s="6" t="n">
        <v>750</v>
      </c>
      <c r="F53" s="6" t="n">
        <v>1950</v>
      </c>
      <c r="G53" s="6" t="n">
        <v>1950</v>
      </c>
      <c r="H53" s="6" t="n">
        <v>1950</v>
      </c>
      <c r="I53" s="6" t="n">
        <v>1200</v>
      </c>
      <c r="J53" s="6" t="n">
        <v>0</v>
      </c>
    </row>
    <row r="54">
      <c r="A54" s="4" t="inlineStr">
        <is>
          <t>Vieira, Sara</t>
        </is>
      </c>
      <c r="B54" s="4" t="inlineStr">
        <is>
          <t>A_66090</t>
        </is>
      </c>
      <c r="C54" s="4" t="inlineStr">
        <is>
          <t>A_66090 - House Functions &amp; Corp Events</t>
        </is>
      </c>
      <c r="D54" s="6" t="n">
        <v>1637.37</v>
      </c>
      <c r="E54" s="6" t="n">
        <v>5985</v>
      </c>
      <c r="F54" s="6" t="n">
        <v>5935.059999999999</v>
      </c>
      <c r="G54" s="6" t="n">
        <v>5935</v>
      </c>
      <c r="H54" s="6" t="n">
        <v>4297.63</v>
      </c>
      <c r="I54" s="6" t="n">
        <v>-50</v>
      </c>
      <c r="J54" s="6" t="n">
        <v>-0.05999999999949068</v>
      </c>
    </row>
    <row r="55">
      <c r="A55" s="4" t="inlineStr">
        <is>
          <t>Vieira, Sara</t>
        </is>
      </c>
      <c r="B55" s="4" t="inlineStr">
        <is>
          <t>A_66095</t>
        </is>
      </c>
      <c r="C55" s="4" t="inlineStr">
        <is>
          <t>A_66095 - Meals &amp; Entertainment</t>
        </is>
      </c>
      <c r="D55" s="6" t="n">
        <v>0</v>
      </c>
      <c r="E55" s="6" t="n">
        <v>0</v>
      </c>
      <c r="F55" s="6" t="n">
        <v>0.2999999999999972</v>
      </c>
      <c r="G55" s="6" t="n">
        <v>0</v>
      </c>
      <c r="H55" s="6" t="n">
        <v>0</v>
      </c>
      <c r="I55" s="6" t="n">
        <v>0</v>
      </c>
      <c r="J55" s="6" t="n">
        <v>-0.2999999999999972</v>
      </c>
    </row>
    <row r="56">
      <c r="A56" s="4" t="inlineStr">
        <is>
          <t>Vieira, Sara</t>
        </is>
      </c>
      <c r="B56" s="4" t="inlineStr">
        <is>
          <t>A_66110</t>
        </is>
      </c>
      <c r="C56" s="4" t="inlineStr">
        <is>
          <t>A_66110 - Mileage</t>
        </is>
      </c>
      <c r="D56" s="6" t="n">
        <v>31.93</v>
      </c>
      <c r="E56" s="6" t="n">
        <v>0</v>
      </c>
      <c r="F56" s="6" t="n">
        <v>0</v>
      </c>
      <c r="G56" s="6" t="n">
        <v>0</v>
      </c>
      <c r="H56" s="6" t="n">
        <v>-31.93</v>
      </c>
      <c r="I56" s="6" t="n">
        <v>0</v>
      </c>
      <c r="J56" s="6" t="n">
        <v>0</v>
      </c>
    </row>
    <row r="57">
      <c r="A57" s="4" t="inlineStr">
        <is>
          <t>Vieira, Sara</t>
        </is>
      </c>
      <c r="B57" s="4" t="inlineStr">
        <is>
          <t>A_66130</t>
        </is>
      </c>
      <c r="C57" s="4" t="inlineStr">
        <is>
          <t>A_66130 - Sales Tax</t>
        </is>
      </c>
      <c r="D57" s="6" t="n">
        <v>385.2</v>
      </c>
      <c r="E57" s="6" t="n">
        <v>0</v>
      </c>
      <c r="F57" s="6" t="n">
        <v>0</v>
      </c>
      <c r="G57" s="6" t="n">
        <v>0</v>
      </c>
      <c r="H57" s="6" t="n">
        <v>-385.2</v>
      </c>
      <c r="I57" s="6" t="n">
        <v>0</v>
      </c>
      <c r="J57" s="6" t="n">
        <v>0</v>
      </c>
    </row>
    <row r="58">
      <c r="A58" s="4" t="inlineStr">
        <is>
          <t>Vieira, Sara</t>
        </is>
      </c>
      <c r="B58" s="4" t="inlineStr">
        <is>
          <t>A_66150</t>
        </is>
      </c>
      <c r="C58" s="4" t="inlineStr">
        <is>
          <t>A_66150 - Travel</t>
        </is>
      </c>
      <c r="D58" s="6" t="n">
        <v>5396.6</v>
      </c>
      <c r="E58" s="6" t="n">
        <v>5250</v>
      </c>
      <c r="F58" s="6" t="n">
        <v>2599.94</v>
      </c>
      <c r="G58" s="6" t="n">
        <v>2600</v>
      </c>
      <c r="H58" s="6" t="n">
        <v>-2796.6</v>
      </c>
      <c r="I58" s="6" t="n">
        <v>-2650</v>
      </c>
      <c r="J58" s="6" t="n">
        <v>0.05999999999994543</v>
      </c>
    </row>
    <row r="59">
      <c r="A59" s="4" t="inlineStr">
        <is>
          <t>Vieira, Sara</t>
        </is>
      </c>
      <c r="B59" s="4" t="inlineStr">
        <is>
          <t>A_66152</t>
        </is>
      </c>
      <c r="C59" s="4" t="inlineStr">
        <is>
          <t>A_66152 - Patient Transportation</t>
        </is>
      </c>
      <c r="D59" s="6" t="n">
        <v>5800</v>
      </c>
      <c r="E59" s="6" t="n">
        <v>6000</v>
      </c>
      <c r="F59" s="6" t="n">
        <v>6000</v>
      </c>
      <c r="G59" s="6" t="n">
        <v>6000</v>
      </c>
      <c r="H59" s="6" t="n">
        <v>200</v>
      </c>
      <c r="I59" s="6" t="n">
        <v>0</v>
      </c>
      <c r="J59" s="6" t="n">
        <v>0</v>
      </c>
    </row>
    <row r="60">
      <c r="A60" s="4" t="inlineStr">
        <is>
          <t>Vieira, Sara</t>
        </is>
      </c>
      <c r="B60" s="4" t="inlineStr">
        <is>
          <t>A_66170</t>
        </is>
      </c>
      <c r="C60" s="4" t="inlineStr">
        <is>
          <t>A_66170 - FLEX-Traveler Allowance</t>
        </is>
      </c>
      <c r="D60" s="6" t="n">
        <v>226403</v>
      </c>
      <c r="E60" s="6" t="n">
        <v>90000</v>
      </c>
      <c r="F60" s="6" t="n">
        <v>0</v>
      </c>
      <c r="G60" s="6" t="n">
        <v>0</v>
      </c>
      <c r="H60" s="6" t="n">
        <v>-226403</v>
      </c>
      <c r="I60" s="6" t="n">
        <v>-90000</v>
      </c>
      <c r="J60" s="6" t="n">
        <v>0</v>
      </c>
    </row>
    <row r="61">
      <c r="A61" s="4" t="inlineStr">
        <is>
          <t>Vieira, Sara</t>
        </is>
      </c>
      <c r="B61" s="4" t="inlineStr">
        <is>
          <t>A_66510</t>
        </is>
      </c>
      <c r="C61" s="4" t="inlineStr">
        <is>
          <t>A_66510 - Lease-Rentals - Other</t>
        </is>
      </c>
      <c r="D61" s="6" t="n">
        <v>1182</v>
      </c>
      <c r="E61" s="6" t="n">
        <v>990</v>
      </c>
      <c r="F61" s="6" t="n">
        <v>0</v>
      </c>
      <c r="G61" s="6" t="n">
        <v>0</v>
      </c>
      <c r="H61" s="6" t="n">
        <v>-1182</v>
      </c>
      <c r="I61" s="6" t="n">
        <v>-990</v>
      </c>
      <c r="J61" s="6" t="n">
        <v>0</v>
      </c>
    </row>
    <row r="62">
      <c r="A62" s="4" t="inlineStr">
        <is>
          <t>Vieira, Sara</t>
        </is>
      </c>
      <c r="B62" s="4" t="inlineStr">
        <is>
          <t>A_66528</t>
        </is>
      </c>
      <c r="C62" s="4" t="inlineStr">
        <is>
          <t>A_66528 - Cloud Software Licensing Fees</t>
        </is>
      </c>
      <c r="D62" s="6" t="n">
        <v>5031.46</v>
      </c>
      <c r="E62" s="6" t="n">
        <v>0</v>
      </c>
      <c r="F62" s="6" t="n">
        <v>18508.14</v>
      </c>
      <c r="G62" s="6" t="n">
        <v>18661.52237569061</v>
      </c>
      <c r="H62" s="6" t="n">
        <v>13630.06237569061</v>
      </c>
      <c r="I62" s="6" t="n">
        <v>18661.52237569061</v>
      </c>
      <c r="J62" s="6" t="n">
        <v>153.3823756906095</v>
      </c>
    </row>
    <row r="63">
      <c r="A63" s="7" t="inlineStr">
        <is>
          <t>Total</t>
        </is>
      </c>
      <c r="B63" s="7" t="n"/>
      <c r="C63" s="7" t="n"/>
      <c r="D63" s="8">
        <f>SUM(D6:D62)</f>
        <v/>
      </c>
      <c r="E63" s="8">
        <f>SUM(E6:E62)</f>
        <v/>
      </c>
      <c r="F63" s="8">
        <f>SUM(F6:F62)</f>
        <v/>
      </c>
      <c r="G63" s="8">
        <f>SUM(G6:G62)</f>
        <v/>
      </c>
      <c r="H63" s="8">
        <f>SUM(H6:H62)</f>
        <v/>
      </c>
      <c r="I63" s="8">
        <f>SUM(I6:I62)</f>
        <v/>
      </c>
      <c r="J63" s="8">
        <f>SUM(J6:J62)</f>
        <v/>
      </c>
    </row>
  </sheetData>
  <autoFilter ref="A5:J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2026-08-26T21:50:06Z</dcterms:created>
  <dcterms:modified xsi:type="dcterms:W3CDTF">2026-08-26T21:50:06Z</dcterms:modified>
</cp:coreProperties>
</file>