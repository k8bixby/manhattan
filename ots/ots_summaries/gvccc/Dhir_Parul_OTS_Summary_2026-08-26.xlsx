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Summary'!$A$5:$K$6</definedName>
    <definedName name="_xlnm._FilterDatabase" localSheetId="1" hidden="1">'Acct Summary'!$A$5:$J$14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7" customWidth="1" min="3" max="3"/>
    <col width="36" customWidth="1" min="4" max="4"/>
    <col width="22" customWidth="1" min="5" max="5"/>
    <col width="20" customWidth="1" min="6" max="6"/>
    <col width="20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Dhir, Parul</t>
        </is>
      </c>
      <c r="B6" s="4" t="inlineStr">
        <is>
          <t>Dhir, Parul</t>
        </is>
      </c>
      <c r="C6" s="5" t="n">
        <v>74002502</v>
      </c>
      <c r="D6" s="4" t="inlineStr">
        <is>
          <t>GVCCC_74002502 - Access Services</t>
        </is>
      </c>
      <c r="E6" s="6" t="n">
        <v>42281.39999999999</v>
      </c>
      <c r="F6" s="6" t="n">
        <v>44846.1079999992</v>
      </c>
      <c r="G6" s="6" t="n">
        <v>86603.60858721389</v>
      </c>
      <c r="H6" s="6" t="n">
        <v>78500</v>
      </c>
      <c r="I6" s="6" t="n">
        <v>36218.60000000001</v>
      </c>
      <c r="J6" s="6" t="n">
        <v>33653.8920000008</v>
      </c>
      <c r="K6" s="6" t="n">
        <v>-8103.608587213894</v>
      </c>
    </row>
    <row r="7">
      <c r="A7" s="7" t="inlineStr">
        <is>
          <t>Total</t>
        </is>
      </c>
      <c r="B7" s="7" t="n"/>
      <c r="C7" s="7">
        <f>SUM(C6:C6)</f>
        <v/>
      </c>
      <c r="D7" s="7" t="n"/>
      <c r="E7" s="8">
        <f>SUM(E6:E6)</f>
        <v/>
      </c>
      <c r="F7" s="8">
        <f>SUM(F6:F6)</f>
        <v/>
      </c>
      <c r="G7" s="8">
        <f>SUM(G6:G6)</f>
        <v/>
      </c>
      <c r="H7" s="8">
        <f>SUM(H6:H6)</f>
        <v/>
      </c>
      <c r="I7" s="8">
        <f>SUM(I6:I6)</f>
        <v/>
      </c>
      <c r="J7" s="8">
        <f>SUM(J6:J6)</f>
        <v/>
      </c>
      <c r="K7" s="8">
        <f>SUM(K6:K6)</f>
        <v/>
      </c>
    </row>
  </sheetData>
  <autoFilter ref="A5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3" customWidth="1" min="3" max="3"/>
    <col width="15" customWidth="1" min="4" max="4"/>
    <col width="19" customWidth="1" min="5" max="5"/>
    <col width="20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Dhir, Parul</t>
        </is>
      </c>
      <c r="B6" s="4" t="inlineStr">
        <is>
          <t>A_63030</t>
        </is>
      </c>
      <c r="C6" s="4" t="inlineStr">
        <is>
          <t>A_63030 - Supplies - Medical</t>
        </is>
      </c>
      <c r="D6" s="6" t="n">
        <v>0</v>
      </c>
      <c r="E6" s="6" t="n">
        <v>0</v>
      </c>
      <c r="F6" s="6" t="n">
        <v>1150.2857142857</v>
      </c>
      <c r="G6" s="6" t="n">
        <v>26100</v>
      </c>
      <c r="H6" s="6" t="n">
        <v>26100</v>
      </c>
      <c r="I6" s="6" t="n">
        <v>26100</v>
      </c>
      <c r="J6" s="6" t="n">
        <v>24949.7142857143</v>
      </c>
    </row>
    <row r="7">
      <c r="A7" s="4" t="inlineStr">
        <is>
          <t>Dhir, Parul</t>
        </is>
      </c>
      <c r="B7" s="4" t="inlineStr">
        <is>
          <t>A_64000</t>
        </is>
      </c>
      <c r="C7" s="4" t="inlineStr">
        <is>
          <t>A_64000 - Supplies - Hotel Services</t>
        </is>
      </c>
      <c r="D7" s="6" t="n">
        <v>0</v>
      </c>
      <c r="E7" s="6" t="n">
        <v>0</v>
      </c>
      <c r="F7" s="6" t="n">
        <v>184.3955801105</v>
      </c>
      <c r="G7" s="6" t="n">
        <v>1000</v>
      </c>
      <c r="H7" s="6" t="n">
        <v>1000</v>
      </c>
      <c r="I7" s="6" t="n">
        <v>1000</v>
      </c>
      <c r="J7" s="6" t="n">
        <v>815.6044198895</v>
      </c>
    </row>
    <row r="8">
      <c r="A8" s="4" t="inlineStr">
        <is>
          <t>Dhir, Parul</t>
        </is>
      </c>
      <c r="B8" s="4" t="inlineStr">
        <is>
          <t>A_64020</t>
        </is>
      </c>
      <c r="C8" s="4" t="inlineStr">
        <is>
          <t>A_64020 - Supplies - Office</t>
        </is>
      </c>
      <c r="D8" s="6" t="n">
        <v>26599.69</v>
      </c>
      <c r="E8" s="6" t="n">
        <v>29196.108</v>
      </c>
      <c r="F8" s="6" t="n">
        <v>71553.2488950276</v>
      </c>
      <c r="G8" s="6" t="n">
        <v>30000</v>
      </c>
      <c r="H8" s="6" t="n">
        <v>3400.310000000001</v>
      </c>
      <c r="I8" s="6" t="n">
        <v>803.8919999999998</v>
      </c>
      <c r="J8" s="6" t="n">
        <v>-41553.2488950276</v>
      </c>
    </row>
    <row r="9">
      <c r="A9" s="4" t="inlineStr">
        <is>
          <t>Dhir, Parul</t>
        </is>
      </c>
      <c r="B9" s="4" t="inlineStr">
        <is>
          <t>A_65050</t>
        </is>
      </c>
      <c r="C9" s="4" t="inlineStr">
        <is>
          <t>A_65050 - Telephone</t>
        </is>
      </c>
      <c r="D9" s="6" t="n">
        <v>207.17</v>
      </c>
      <c r="E9" s="6" t="n">
        <v>0</v>
      </c>
      <c r="F9" s="6" t="n">
        <v>396.4383977901</v>
      </c>
      <c r="G9" s="6" t="n">
        <v>0</v>
      </c>
      <c r="H9" s="6" t="n">
        <v>-207.17</v>
      </c>
      <c r="I9" s="6" t="n">
        <v>0</v>
      </c>
      <c r="J9" s="6" t="n">
        <v>-396.4383977901</v>
      </c>
    </row>
    <row r="10">
      <c r="A10" s="4" t="inlineStr">
        <is>
          <t>Dhir, Parul</t>
        </is>
      </c>
      <c r="B10" s="4" t="inlineStr">
        <is>
          <t>A_65510</t>
        </is>
      </c>
      <c r="C10" s="4" t="inlineStr">
        <is>
          <t>A_65510 - Freight</t>
        </is>
      </c>
      <c r="D10" s="6" t="n">
        <v>212.07</v>
      </c>
      <c r="E10" s="6" t="n">
        <v>0</v>
      </c>
      <c r="F10" s="6" t="n">
        <v>0</v>
      </c>
      <c r="G10" s="6" t="n">
        <v>1000</v>
      </c>
      <c r="H10" s="6" t="n">
        <v>787.9300000000001</v>
      </c>
      <c r="I10" s="6" t="n">
        <v>1000</v>
      </c>
      <c r="J10" s="6" t="n">
        <v>1000</v>
      </c>
    </row>
    <row r="11">
      <c r="A11" s="4" t="inlineStr">
        <is>
          <t>Dhir, Parul</t>
        </is>
      </c>
      <c r="B11" s="4" t="inlineStr">
        <is>
          <t>A_65535</t>
        </is>
      </c>
      <c r="C11" s="4" t="inlineStr">
        <is>
          <t>A_65535 - Other Purchased Services</t>
        </is>
      </c>
      <c r="D11" s="6" t="n">
        <v>1071</v>
      </c>
      <c r="E11" s="6" t="n">
        <v>4755.9999999996</v>
      </c>
      <c r="F11" s="6" t="n">
        <v>0</v>
      </c>
      <c r="G11" s="6" t="n">
        <v>0</v>
      </c>
      <c r="H11" s="6" t="n">
        <v>-1071</v>
      </c>
      <c r="I11" s="6" t="n">
        <v>-4755.9999999996</v>
      </c>
      <c r="J11" s="6" t="n">
        <v>0</v>
      </c>
    </row>
    <row r="12">
      <c r="A12" s="4" t="inlineStr">
        <is>
          <t>Dhir, Parul</t>
        </is>
      </c>
      <c r="B12" s="4" t="inlineStr">
        <is>
          <t>A_66050</t>
        </is>
      </c>
      <c r="C12" s="4" t="inlineStr">
        <is>
          <t>A_66050 - Printing And Duplication</t>
        </is>
      </c>
      <c r="D12" s="6" t="n">
        <v>13101.46</v>
      </c>
      <c r="E12" s="6" t="n">
        <v>9588.9999999996</v>
      </c>
      <c r="F12" s="6" t="n">
        <v>11623.14</v>
      </c>
      <c r="G12" s="6" t="n">
        <v>18000</v>
      </c>
      <c r="H12" s="6" t="n">
        <v>4898.540000000001</v>
      </c>
      <c r="I12" s="6" t="n">
        <v>8411.0000000004</v>
      </c>
      <c r="J12" s="6" t="n">
        <v>6376.860000000001</v>
      </c>
    </row>
    <row r="13">
      <c r="A13" s="4" t="inlineStr">
        <is>
          <t>Dhir, Parul</t>
        </is>
      </c>
      <c r="B13" s="4" t="inlineStr">
        <is>
          <t>A_66090</t>
        </is>
      </c>
      <c r="C13" s="4" t="inlineStr">
        <is>
          <t>A_66090 - House Functions &amp; Corp Events</t>
        </is>
      </c>
      <c r="D13" s="6" t="n">
        <v>468.05</v>
      </c>
      <c r="E13" s="6" t="n">
        <v>1305</v>
      </c>
      <c r="F13" s="6" t="n">
        <v>0</v>
      </c>
      <c r="G13" s="6" t="n">
        <v>0</v>
      </c>
      <c r="H13" s="6" t="n">
        <v>-468.05</v>
      </c>
      <c r="I13" s="6" t="n">
        <v>-1305</v>
      </c>
      <c r="J13" s="6" t="n">
        <v>0</v>
      </c>
    </row>
    <row r="14">
      <c r="A14" s="4" t="inlineStr">
        <is>
          <t>Dhir, Parul</t>
        </is>
      </c>
      <c r="B14" s="4" t="inlineStr">
        <is>
          <t>A_66095</t>
        </is>
      </c>
      <c r="C14" s="4" t="inlineStr">
        <is>
          <t>A_66095 - Meals &amp; Entertainment</t>
        </is>
      </c>
      <c r="D14" s="6" t="n">
        <v>621.96</v>
      </c>
      <c r="E14" s="6" t="n">
        <v>0</v>
      </c>
      <c r="F14" s="6" t="n">
        <v>1696.1</v>
      </c>
      <c r="G14" s="6" t="n">
        <v>2400</v>
      </c>
      <c r="H14" s="6" t="n">
        <v>1778.04</v>
      </c>
      <c r="I14" s="6" t="n">
        <v>2400</v>
      </c>
      <c r="J14" s="6" t="n">
        <v>703.9000000000001</v>
      </c>
    </row>
    <row r="15">
      <c r="A15" s="7" t="inlineStr">
        <is>
          <t>Total</t>
        </is>
      </c>
      <c r="B15" s="7" t="n"/>
      <c r="C15" s="7" t="n"/>
      <c r="D15" s="8">
        <f>SUM(D6:D14)</f>
        <v/>
      </c>
      <c r="E15" s="8">
        <f>SUM(E6:E14)</f>
        <v/>
      </c>
      <c r="F15" s="8">
        <f>SUM(F6:F14)</f>
        <v/>
      </c>
      <c r="G15" s="8">
        <f>SUM(G6:G14)</f>
        <v/>
      </c>
      <c r="H15" s="8">
        <f>SUM(H6:H14)</f>
        <v/>
      </c>
      <c r="I15" s="8">
        <f>SUM(I6:I14)</f>
        <v/>
      </c>
      <c r="J15" s="8">
        <f>SUM(J6:J14)</f>
        <v/>
      </c>
    </row>
  </sheetData>
  <autoFilter ref="A5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