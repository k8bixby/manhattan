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31" customWidth="1" min="4" max="4"/>
    <col width="15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Birnbaum, Laurie</t>
        </is>
      </c>
      <c r="B6" s="4" t="inlineStr">
        <is>
          <t>Birnbaum, Laurie</t>
        </is>
      </c>
      <c r="C6" s="5" t="n">
        <v>74002540</v>
      </c>
      <c r="D6" s="4" t="inlineStr">
        <is>
          <t>GVCCC_74002540 - Laboratory</t>
        </is>
      </c>
      <c r="E6" s="6" t="n">
        <v>1236281.66</v>
      </c>
      <c r="F6" s="6" t="n">
        <v>1164842.587493396</v>
      </c>
      <c r="G6" s="6" t="n">
        <v>1111294.007874446</v>
      </c>
      <c r="H6" s="6" t="n">
        <v>1065410.907228462</v>
      </c>
      <c r="I6" s="6" t="n">
        <v>-170870.7527715378</v>
      </c>
      <c r="J6" s="6" t="n">
        <v>-99431.6802649342</v>
      </c>
      <c r="K6" s="6" t="n">
        <v>-45883.10064598429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3" customWidth="1" min="3" max="3"/>
    <col width="15" customWidth="1" min="4" max="4"/>
    <col width="20" customWidth="1" min="5" max="5"/>
    <col width="21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Birnbaum, Laurie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-14402</v>
      </c>
      <c r="E6" s="6" t="n">
        <v>-8969.9999999998</v>
      </c>
      <c r="F6" s="6" t="n">
        <v>-14926.1235164835</v>
      </c>
      <c r="G6" s="6" t="n">
        <v>0</v>
      </c>
      <c r="H6" s="6" t="n">
        <v>14402</v>
      </c>
      <c r="I6" s="6" t="n">
        <v>8969.9999999998</v>
      </c>
      <c r="J6" s="6" t="n">
        <v>14926.1235164835</v>
      </c>
    </row>
    <row r="7">
      <c r="A7" s="4" t="inlineStr">
        <is>
          <t>Birnbaum, Laurie</t>
        </is>
      </c>
      <c r="B7" s="4" t="inlineStr">
        <is>
          <t>A_61200</t>
        </is>
      </c>
      <c r="C7" s="4" t="inlineStr">
        <is>
          <t>A_61200 - Temporary Employees</t>
        </is>
      </c>
      <c r="D7" s="6" t="n">
        <v>135211.43</v>
      </c>
      <c r="E7" s="6" t="n">
        <v>133789</v>
      </c>
      <c r="F7" s="6" t="n">
        <v>141876.84</v>
      </c>
      <c r="G7" s="6" t="n">
        <v>0</v>
      </c>
      <c r="H7" s="6" t="n">
        <v>-135211.43</v>
      </c>
      <c r="I7" s="6" t="n">
        <v>-133789</v>
      </c>
      <c r="J7" s="6" t="n">
        <v>-141876.84</v>
      </c>
    </row>
    <row r="8">
      <c r="A8" s="4" t="inlineStr">
        <is>
          <t>Birnbaum, Laurie</t>
        </is>
      </c>
      <c r="B8" s="4" t="inlineStr">
        <is>
          <t>A_61400</t>
        </is>
      </c>
      <c r="C8" s="4" t="inlineStr">
        <is>
          <t>A_61400 - Other Fees</t>
        </is>
      </c>
      <c r="D8" s="6" t="n">
        <v>8948.65</v>
      </c>
      <c r="E8" s="6" t="n">
        <v>6000</v>
      </c>
      <c r="F8" s="6" t="n">
        <v>2817.04</v>
      </c>
      <c r="G8" s="6" t="n">
        <v>6000</v>
      </c>
      <c r="H8" s="6" t="n">
        <v>-2948.65</v>
      </c>
      <c r="I8" s="6" t="n">
        <v>0</v>
      </c>
      <c r="J8" s="6" t="n">
        <v>3182.96</v>
      </c>
    </row>
    <row r="9">
      <c r="A9" s="4" t="inlineStr">
        <is>
          <t>Birnbaum, Laurie</t>
        </is>
      </c>
      <c r="B9" s="4" t="inlineStr">
        <is>
          <t>A_63000</t>
        </is>
      </c>
      <c r="C9" s="4" t="inlineStr">
        <is>
          <t>A_63000 - Supplies - Laboratory</t>
        </is>
      </c>
      <c r="D9" s="6" t="n">
        <v>300411.96</v>
      </c>
      <c r="E9" s="6" t="n">
        <v>251175.600266857</v>
      </c>
      <c r="F9" s="6" t="n">
        <v>272161.963846154</v>
      </c>
      <c r="G9" s="6" t="n">
        <v>300000</v>
      </c>
      <c r="H9" s="6" t="n">
        <v>-411.960000000021</v>
      </c>
      <c r="I9" s="6" t="n">
        <v>48824.39973314299</v>
      </c>
      <c r="J9" s="6" t="n">
        <v>27838.03615384601</v>
      </c>
    </row>
    <row r="10">
      <c r="A10" s="4" t="inlineStr">
        <is>
          <t>Birnbaum, Laurie</t>
        </is>
      </c>
      <c r="B10" s="4" t="inlineStr">
        <is>
          <t>A_63005</t>
        </is>
      </c>
      <c r="C10" s="4" t="inlineStr">
        <is>
          <t>A_63005 - Supplies - Reagents</t>
        </is>
      </c>
      <c r="D10" s="6" t="n">
        <v>732702.99</v>
      </c>
      <c r="E10" s="6" t="n">
        <v>729665.588649473</v>
      </c>
      <c r="F10" s="6" t="n">
        <v>649636.063846154</v>
      </c>
      <c r="G10" s="6" t="n">
        <v>700000</v>
      </c>
      <c r="H10" s="6" t="n">
        <v>-32702.98999999999</v>
      </c>
      <c r="I10" s="6" t="n">
        <v>-29665.58864947304</v>
      </c>
      <c r="J10" s="6" t="n">
        <v>50363.93615384598</v>
      </c>
    </row>
    <row r="11">
      <c r="A11" s="4" t="inlineStr">
        <is>
          <t>Birnbaum, Laurie</t>
        </is>
      </c>
      <c r="B11" s="4" t="inlineStr">
        <is>
          <t>A_63030</t>
        </is>
      </c>
      <c r="C11" s="4" t="inlineStr">
        <is>
          <t>A_63030 - Supplies - Medical</t>
        </is>
      </c>
      <c r="D11" s="6" t="n">
        <v>9822.82</v>
      </c>
      <c r="E11" s="6" t="n">
        <v>7510.6875436469</v>
      </c>
      <c r="F11" s="6" t="n">
        <v>4683.0705494506</v>
      </c>
      <c r="G11" s="6" t="n">
        <v>4683.0705494506</v>
      </c>
      <c r="H11" s="6" t="n">
        <v>-5139.7494505494</v>
      </c>
      <c r="I11" s="6" t="n">
        <v>-2827.6169941963</v>
      </c>
      <c r="J11" s="6" t="n">
        <v>0</v>
      </c>
    </row>
    <row r="12">
      <c r="A12" s="4" t="inlineStr">
        <is>
          <t>Birnbaum, Laurie</t>
        </is>
      </c>
      <c r="B12" s="4" t="inlineStr">
        <is>
          <t>A_63045</t>
        </is>
      </c>
      <c r="C12" s="4" t="inlineStr">
        <is>
          <t>A_63045 - Supplies - Med Equip Repair</t>
        </is>
      </c>
      <c r="D12" s="6" t="n">
        <v>94.52</v>
      </c>
      <c r="E12" s="6" t="n">
        <v>0.0023925929</v>
      </c>
      <c r="F12" s="6" t="n">
        <v>2435.5289010989</v>
      </c>
      <c r="G12" s="6" t="n">
        <v>0</v>
      </c>
      <c r="H12" s="6" t="n">
        <v>-94.52</v>
      </c>
      <c r="I12" s="6" t="n">
        <v>-0.0023925929</v>
      </c>
      <c r="J12" s="6" t="n">
        <v>-2435.5289010989</v>
      </c>
    </row>
    <row r="13">
      <c r="A13" s="4" t="inlineStr">
        <is>
          <t>Birnbaum, Laurie</t>
        </is>
      </c>
      <c r="B13" s="4" t="inlineStr">
        <is>
          <t>A_63080</t>
        </is>
      </c>
      <c r="C13" s="4" t="inlineStr">
        <is>
          <t>A_63080 - Supplies - Surgical</t>
        </is>
      </c>
      <c r="D13" s="6" t="n">
        <v>1443.96</v>
      </c>
      <c r="E13" s="6" t="n">
        <v>1349.6440408265</v>
      </c>
      <c r="F13" s="6" t="n">
        <v>680.9610989010999</v>
      </c>
      <c r="G13" s="6" t="n">
        <v>680.9610989010999</v>
      </c>
      <c r="H13" s="6" t="n">
        <v>-762.9989010989001</v>
      </c>
      <c r="I13" s="6" t="n">
        <v>-668.6829419254001</v>
      </c>
      <c r="J13" s="6" t="n">
        <v>0</v>
      </c>
    </row>
    <row r="14">
      <c r="A14" s="4" t="inlineStr">
        <is>
          <t>Birnbaum, Laurie</t>
        </is>
      </c>
      <c r="B14" s="4" t="inlineStr">
        <is>
          <t>A_64000</t>
        </is>
      </c>
      <c r="C14" s="4" t="inlineStr">
        <is>
          <t>A_64000 - Supplies - Hotel Services</t>
        </is>
      </c>
      <c r="D14" s="6" t="n">
        <v>993</v>
      </c>
      <c r="E14" s="6" t="n">
        <v>0</v>
      </c>
      <c r="F14" s="6" t="n">
        <v>563.9955801105</v>
      </c>
      <c r="G14" s="6" t="n">
        <v>563.9955801105</v>
      </c>
      <c r="H14" s="6" t="n">
        <v>-429.0044198895</v>
      </c>
      <c r="I14" s="6" t="n">
        <v>563.9955801105</v>
      </c>
      <c r="J14" s="6" t="n">
        <v>0</v>
      </c>
    </row>
    <row r="15">
      <c r="A15" s="4" t="inlineStr">
        <is>
          <t>Birnbaum, Laurie</t>
        </is>
      </c>
      <c r="B15" s="4" t="inlineStr">
        <is>
          <t>A_64020</t>
        </is>
      </c>
      <c r="C15" s="4" t="inlineStr">
        <is>
          <t>A_64020 - Supplies - Office</t>
        </is>
      </c>
      <c r="D15" s="6" t="n">
        <v>429.38</v>
      </c>
      <c r="E15" s="6" t="n">
        <v>267.0299999997</v>
      </c>
      <c r="F15" s="6" t="n">
        <v>2387.0193370166</v>
      </c>
      <c r="G15" s="6" t="n">
        <v>4000</v>
      </c>
      <c r="H15" s="6" t="n">
        <v>3570.62</v>
      </c>
      <c r="I15" s="6" t="n">
        <v>3732.9700000003</v>
      </c>
      <c r="J15" s="6" t="n">
        <v>1612.9806629834</v>
      </c>
    </row>
    <row r="16">
      <c r="A16" s="4" t="inlineStr">
        <is>
          <t>Birnbaum, Laurie</t>
        </is>
      </c>
      <c r="B16" s="4" t="inlineStr">
        <is>
          <t>A_64030</t>
        </is>
      </c>
      <c r="C16" s="4" t="inlineStr">
        <is>
          <t>A_64030 - Supplies - Other Non Medical</t>
        </is>
      </c>
      <c r="D16" s="6" t="n">
        <v>515.91</v>
      </c>
      <c r="E16" s="6" t="n">
        <v>415.0350000002</v>
      </c>
      <c r="F16" s="6" t="n">
        <v>3541.8914364641</v>
      </c>
      <c r="G16" s="6" t="n">
        <v>3542</v>
      </c>
      <c r="H16" s="6" t="n">
        <v>3026.09</v>
      </c>
      <c r="I16" s="6" t="n">
        <v>3126.9649999998</v>
      </c>
      <c r="J16" s="6" t="n">
        <v>0.1085635358999752</v>
      </c>
    </row>
    <row r="17">
      <c r="A17" s="4" t="inlineStr">
        <is>
          <t>Birnbaum, Laurie</t>
        </is>
      </c>
      <c r="B17" s="4" t="inlineStr">
        <is>
          <t>A_65050</t>
        </is>
      </c>
      <c r="C17" s="4" t="inlineStr">
        <is>
          <t>A_65050 - Telephone</t>
        </is>
      </c>
      <c r="D17" s="6" t="n">
        <v>720.8200000000001</v>
      </c>
      <c r="E17" s="6" t="n">
        <v>786.0000000002</v>
      </c>
      <c r="F17" s="6" t="n">
        <v>792.8767955801</v>
      </c>
      <c r="G17" s="6" t="n">
        <v>786</v>
      </c>
      <c r="H17" s="6" t="n">
        <v>65.17999999999995</v>
      </c>
      <c r="I17" s="6" t="n">
        <v>-1.999751475523226e-10</v>
      </c>
      <c r="J17" s="6" t="n">
        <v>-6.876795580099952</v>
      </c>
    </row>
    <row r="18">
      <c r="A18" s="4" t="inlineStr">
        <is>
          <t>Birnbaum, Laurie</t>
        </is>
      </c>
      <c r="B18" s="4" t="inlineStr">
        <is>
          <t>A_65505</t>
        </is>
      </c>
      <c r="C18" s="4" t="inlineStr">
        <is>
          <t>A_65505 - Equipment Service Contracts</t>
        </is>
      </c>
      <c r="D18" s="6" t="n">
        <v>17505.55</v>
      </c>
      <c r="E18" s="6" t="n">
        <v>0</v>
      </c>
      <c r="F18" s="6" t="n">
        <v>0</v>
      </c>
      <c r="G18" s="6" t="n">
        <v>0</v>
      </c>
      <c r="H18" s="6" t="n">
        <v>-17505.55</v>
      </c>
      <c r="I18" s="6" t="n">
        <v>0</v>
      </c>
      <c r="J18" s="6" t="n">
        <v>0</v>
      </c>
    </row>
    <row r="19">
      <c r="A19" s="4" t="inlineStr">
        <is>
          <t>Birnbaum, Laurie</t>
        </is>
      </c>
      <c r="B19" s="4" t="inlineStr">
        <is>
          <t>A_65510</t>
        </is>
      </c>
      <c r="C19" s="4" t="inlineStr">
        <is>
          <t>A_65510 - Freight</t>
        </is>
      </c>
      <c r="D19" s="6" t="n">
        <v>21175.67</v>
      </c>
      <c r="E19" s="6" t="n">
        <v>20873.0000000004</v>
      </c>
      <c r="F19" s="6" t="n">
        <v>21519.94</v>
      </c>
      <c r="G19" s="6" t="n">
        <v>21698</v>
      </c>
      <c r="H19" s="6" t="n">
        <v>522.3300000000017</v>
      </c>
      <c r="I19" s="6" t="n">
        <v>824.9999999995998</v>
      </c>
      <c r="J19" s="6" t="n">
        <v>178.0600000000013</v>
      </c>
    </row>
    <row r="20">
      <c r="A20" s="4" t="inlineStr">
        <is>
          <t>Birnbaum, Laurie</t>
        </is>
      </c>
      <c r="B20" s="4" t="inlineStr">
        <is>
          <t>A_65525</t>
        </is>
      </c>
      <c r="C20" s="4" t="inlineStr">
        <is>
          <t>A_65525 - Maintenance And Repairs</t>
        </is>
      </c>
      <c r="D20" s="6" t="n">
        <v>693.9400000000001</v>
      </c>
      <c r="E20" s="6" t="n">
        <v>345</v>
      </c>
      <c r="F20" s="6" t="n">
        <v>382</v>
      </c>
      <c r="G20" s="6" t="n">
        <v>385</v>
      </c>
      <c r="H20" s="6" t="n">
        <v>-308.9400000000001</v>
      </c>
      <c r="I20" s="6" t="n">
        <v>40</v>
      </c>
      <c r="J20" s="6" t="n">
        <v>3</v>
      </c>
    </row>
    <row r="21">
      <c r="A21" s="4" t="inlineStr">
        <is>
          <t>Birnbaum, Laurie</t>
        </is>
      </c>
      <c r="B21" s="4" t="inlineStr">
        <is>
          <t>A_65527</t>
        </is>
      </c>
      <c r="C21" s="4" t="inlineStr">
        <is>
          <t>A_65527 - Med Equipment Maint &amp; Repairs</t>
        </is>
      </c>
      <c r="D21" s="6" t="n">
        <v>5567.21</v>
      </c>
      <c r="E21" s="6" t="n">
        <v>5391.9999999996</v>
      </c>
      <c r="F21" s="6" t="n">
        <v>830.74</v>
      </c>
      <c r="G21" s="6" t="n">
        <v>500</v>
      </c>
      <c r="H21" s="6" t="n">
        <v>-5067.21</v>
      </c>
      <c r="I21" s="6" t="n">
        <v>-4891.9999999996</v>
      </c>
      <c r="J21" s="6" t="n">
        <v>-330.74</v>
      </c>
    </row>
    <row r="22">
      <c r="A22" s="4" t="inlineStr">
        <is>
          <t>Birnbaum, Laurie</t>
        </is>
      </c>
      <c r="B22" s="4" t="inlineStr">
        <is>
          <t>A_65535</t>
        </is>
      </c>
      <c r="C22" s="4" t="inlineStr">
        <is>
          <t>A_65535 - Other Purchased Services</t>
        </is>
      </c>
      <c r="D22" s="6" t="n">
        <v>4244.5</v>
      </c>
      <c r="E22" s="6" t="n">
        <v>11430.9996</v>
      </c>
      <c r="F22" s="6" t="n">
        <v>10601.46</v>
      </c>
      <c r="G22" s="6" t="n">
        <v>10689</v>
      </c>
      <c r="H22" s="6" t="n">
        <v>6444.5</v>
      </c>
      <c r="I22" s="6" t="n">
        <v>-741.9995999999992</v>
      </c>
      <c r="J22" s="6" t="n">
        <v>87.54000000000087</v>
      </c>
    </row>
    <row r="23">
      <c r="A23" s="4" t="inlineStr">
        <is>
          <t>Birnbaum, Laurie</t>
        </is>
      </c>
      <c r="B23" s="4" t="inlineStr">
        <is>
          <t>A_65540</t>
        </is>
      </c>
      <c r="C23" s="4" t="inlineStr">
        <is>
          <t>A_65540 - Outside Messenger Service</t>
        </is>
      </c>
      <c r="D23" s="6" t="n">
        <v>99.25</v>
      </c>
      <c r="E23" s="6" t="n">
        <v>600</v>
      </c>
      <c r="F23" s="6" t="n">
        <v>41.9</v>
      </c>
      <c r="G23" s="6" t="n">
        <v>600</v>
      </c>
      <c r="H23" s="6" t="n">
        <v>500.75</v>
      </c>
      <c r="I23" s="6" t="n">
        <v>0</v>
      </c>
      <c r="J23" s="6" t="n">
        <v>558.1</v>
      </c>
    </row>
    <row r="24">
      <c r="A24" s="4" t="inlineStr">
        <is>
          <t>Birnbaum, Laurie</t>
        </is>
      </c>
      <c r="B24" s="4" t="inlineStr">
        <is>
          <t>A_66020</t>
        </is>
      </c>
      <c r="C24" s="4" t="inlineStr">
        <is>
          <t>A_66020 - Outside Training</t>
        </is>
      </c>
      <c r="D24" s="6" t="n">
        <v>0</v>
      </c>
      <c r="E24" s="6" t="n">
        <v>450</v>
      </c>
      <c r="F24" s="6" t="n">
        <v>0</v>
      </c>
      <c r="G24" s="6" t="n">
        <v>0</v>
      </c>
      <c r="H24" s="6" t="n">
        <v>0</v>
      </c>
      <c r="I24" s="6" t="n">
        <v>-450</v>
      </c>
      <c r="J24" s="6" t="n">
        <v>0</v>
      </c>
    </row>
    <row r="25">
      <c r="A25" s="4" t="inlineStr">
        <is>
          <t>Birnbaum, Laurie</t>
        </is>
      </c>
      <c r="B25" s="4" t="inlineStr">
        <is>
          <t>A_66050</t>
        </is>
      </c>
      <c r="C25" s="4" t="inlineStr">
        <is>
          <t>A_66050 - Printing And Duplication</t>
        </is>
      </c>
      <c r="D25" s="6" t="n">
        <v>0</v>
      </c>
      <c r="E25" s="6" t="n">
        <v>249.9999999996</v>
      </c>
      <c r="F25" s="6" t="n">
        <v>0</v>
      </c>
      <c r="G25" s="6" t="n">
        <v>0</v>
      </c>
      <c r="H25" s="6" t="n">
        <v>0</v>
      </c>
      <c r="I25" s="6" t="n">
        <v>-249.9999999996</v>
      </c>
      <c r="J25" s="6" t="n">
        <v>0</v>
      </c>
    </row>
    <row r="26">
      <c r="A26" s="4" t="inlineStr">
        <is>
          <t>Birnbaum, Laurie</t>
        </is>
      </c>
      <c r="B26" s="4" t="inlineStr">
        <is>
          <t>A_66090</t>
        </is>
      </c>
      <c r="C26" s="4" t="inlineStr">
        <is>
          <t>A_66090 - House Functions &amp; Corp Events</t>
        </is>
      </c>
      <c r="D26" s="6" t="n">
        <v>1194.27</v>
      </c>
      <c r="E26" s="6" t="n">
        <v>675</v>
      </c>
      <c r="F26" s="6" t="n">
        <v>483.96</v>
      </c>
      <c r="G26" s="6" t="n">
        <v>500</v>
      </c>
      <c r="H26" s="6" t="n">
        <v>-694.27</v>
      </c>
      <c r="I26" s="6" t="n">
        <v>-175</v>
      </c>
      <c r="J26" s="6" t="n">
        <v>16.04000000000002</v>
      </c>
    </row>
    <row r="27">
      <c r="A27" s="4" t="inlineStr">
        <is>
          <t>Birnbaum, Laurie</t>
        </is>
      </c>
      <c r="B27" s="4" t="inlineStr">
        <is>
          <t>A_66150</t>
        </is>
      </c>
      <c r="C27" s="4" t="inlineStr">
        <is>
          <t>A_66150 - Travel</t>
        </is>
      </c>
      <c r="D27" s="6" t="n">
        <v>0</v>
      </c>
      <c r="E27" s="6" t="n">
        <v>338.0000000004</v>
      </c>
      <c r="F27" s="6" t="n">
        <v>0</v>
      </c>
      <c r="G27" s="6" t="n">
        <v>0</v>
      </c>
      <c r="H27" s="6" t="n">
        <v>0</v>
      </c>
      <c r="I27" s="6" t="n">
        <v>-338.0000000004</v>
      </c>
      <c r="J27" s="6" t="n">
        <v>0</v>
      </c>
    </row>
    <row r="28">
      <c r="A28" s="4" t="inlineStr">
        <is>
          <t>Birnbaum, Laurie</t>
        </is>
      </c>
      <c r="B28" s="4" t="inlineStr">
        <is>
          <t>A_66515</t>
        </is>
      </c>
      <c r="C28" s="4" t="inlineStr">
        <is>
          <t>A_66515 - Lease Rentals - Copiers</t>
        </is>
      </c>
      <c r="D28" s="6" t="n">
        <v>8907.83</v>
      </c>
      <c r="E28" s="6" t="n">
        <v>2499.9999999996</v>
      </c>
      <c r="F28" s="6" t="n">
        <v>10782.88</v>
      </c>
      <c r="G28" s="6" t="n">
        <v>10782.88</v>
      </c>
      <c r="H28" s="6" t="n">
        <v>1875.049999999999</v>
      </c>
      <c r="I28" s="6" t="n">
        <v>8282.880000000399</v>
      </c>
      <c r="J28" s="6" t="n">
        <v>0</v>
      </c>
    </row>
    <row r="29">
      <c r="A29" s="7" t="inlineStr">
        <is>
          <t>Total</t>
        </is>
      </c>
      <c r="B29" s="7" t="n"/>
      <c r="C29" s="7" t="n"/>
      <c r="D29" s="8">
        <f>SUM(D6:D28)</f>
        <v/>
      </c>
      <c r="E29" s="8">
        <f>SUM(E6:E28)</f>
        <v/>
      </c>
      <c r="F29" s="8">
        <f>SUM(F6:F28)</f>
        <v/>
      </c>
      <c r="G29" s="8">
        <f>SUM(G6:G28)</f>
        <v/>
      </c>
      <c r="H29" s="8">
        <f>SUM(H6:H28)</f>
        <v/>
      </c>
      <c r="I29" s="8">
        <f>SUM(I6:I28)</f>
        <v/>
      </c>
      <c r="J29" s="8">
        <f>SUM(J6:J28)</f>
        <v/>
      </c>
    </row>
  </sheetData>
  <autoFilter ref="A5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