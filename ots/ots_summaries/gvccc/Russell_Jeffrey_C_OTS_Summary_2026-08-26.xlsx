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Summary'!$A$5:$K$7</definedName>
    <definedName name="_xlnm._FilterDatabase" localSheetId="1" hidden="1">'Acct Summary'!$A$5:$J$46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7" customWidth="1" min="3" max="3"/>
    <col width="43" customWidth="1" min="4" max="4"/>
    <col width="15" customWidth="1" min="5" max="5"/>
    <col width="21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Russell, Jeffrey C</t>
        </is>
      </c>
      <c r="B6" s="4" t="inlineStr">
        <is>
          <t>Russell, Jeffrey C</t>
        </is>
      </c>
      <c r="C6" s="5" t="n">
        <v>74002503</v>
      </c>
      <c r="D6" s="4" t="inlineStr">
        <is>
          <t>GVCCC_74002503 - Environmental Services</t>
        </is>
      </c>
      <c r="E6" s="6" t="n">
        <v>164250.02</v>
      </c>
      <c r="F6" s="6" t="n">
        <v>331652.5104000006</v>
      </c>
      <c r="G6" s="6" t="n">
        <v>244026.3723847976</v>
      </c>
      <c r="H6" s="6" t="n">
        <v>228055.8754847915</v>
      </c>
      <c r="I6" s="6" t="n">
        <v>63805.85548479151</v>
      </c>
      <c r="J6" s="6" t="n">
        <v>-103596.6349152091</v>
      </c>
      <c r="K6" s="6" t="n">
        <v>-15970.49690000608</v>
      </c>
    </row>
    <row r="7">
      <c r="A7" s="4" t="inlineStr">
        <is>
          <t>Russell, Jeffrey C</t>
        </is>
      </c>
      <c r="B7" s="4" t="inlineStr">
        <is>
          <t>Russell, Jeffrey C</t>
        </is>
      </c>
      <c r="C7" s="5" t="n">
        <v>74002515</v>
      </c>
      <c r="D7" s="4" t="inlineStr">
        <is>
          <t>GVCCC_74002515 - General Maintenance</t>
        </is>
      </c>
      <c r="E7" s="6" t="n">
        <v>5768702.63</v>
      </c>
      <c r="F7" s="6" t="n">
        <v>2974314.029434156</v>
      </c>
      <c r="G7" s="6" t="n">
        <v>3315957.458599351</v>
      </c>
      <c r="H7" s="6" t="n">
        <v>3118636.392956706</v>
      </c>
      <c r="I7" s="6" t="n">
        <v>-2650066.237043294</v>
      </c>
      <c r="J7" s="6" t="n">
        <v>144322.3635225501</v>
      </c>
      <c r="K7" s="6" t="n">
        <v>-197321.0656426451</v>
      </c>
    </row>
    <row r="8">
      <c r="A8" s="7" t="inlineStr">
        <is>
          <t>Total</t>
        </is>
      </c>
      <c r="B8" s="7" t="n"/>
      <c r="C8" s="7">
        <f>SUM(C6:C7)</f>
        <v/>
      </c>
      <c r="D8" s="7" t="n"/>
      <c r="E8" s="8">
        <f>SUM(E6:E7)</f>
        <v/>
      </c>
      <c r="F8" s="8">
        <f>SUM(F6:F7)</f>
        <v/>
      </c>
      <c r="G8" s="8">
        <f>SUM(G6:G7)</f>
        <v/>
      </c>
      <c r="H8" s="8">
        <f>SUM(H6:H7)</f>
        <v/>
      </c>
      <c r="I8" s="8">
        <f>SUM(I6:I7)</f>
        <v/>
      </c>
      <c r="J8" s="8">
        <f>SUM(J6:J7)</f>
        <v/>
      </c>
      <c r="K8" s="8">
        <f>SUM(K6:K7)</f>
        <v/>
      </c>
    </row>
  </sheetData>
  <autoFilter ref="A5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2" customWidth="1" min="4" max="4"/>
    <col width="21" customWidth="1" min="5" max="5"/>
    <col width="22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Russell, Jeffrey C</t>
        </is>
      </c>
      <c r="B6" s="4" t="inlineStr">
        <is>
          <t>A_55010</t>
        </is>
      </c>
      <c r="C6" s="4" t="inlineStr">
        <is>
          <t>A_55010 - Rebates From Vendors</t>
        </is>
      </c>
      <c r="D6" s="6" t="n">
        <v>-673.51</v>
      </c>
      <c r="E6" s="6" t="n">
        <v>-3850.0000000002</v>
      </c>
      <c r="F6" s="6" t="n">
        <v>-621.6771428571</v>
      </c>
      <c r="G6" s="6" t="n">
        <v>0</v>
      </c>
      <c r="H6" s="6" t="n">
        <v>673.51</v>
      </c>
      <c r="I6" s="6" t="n">
        <v>3850.0000000002</v>
      </c>
      <c r="J6" s="6" t="n">
        <v>621.6771428571</v>
      </c>
    </row>
    <row r="7">
      <c r="A7" s="4" t="inlineStr">
        <is>
          <t>Russell, Jeffrey C</t>
        </is>
      </c>
      <c r="B7" s="4" t="inlineStr">
        <is>
          <t>A_61000</t>
        </is>
      </c>
      <c r="C7" s="4" t="inlineStr">
        <is>
          <t>A_61000 - Consulting Fees</t>
        </is>
      </c>
      <c r="D7" s="6" t="n">
        <v>-20486.25</v>
      </c>
      <c r="E7" s="6" t="n">
        <v>0</v>
      </c>
      <c r="F7" s="6" t="n">
        <v>0</v>
      </c>
      <c r="G7" s="6" t="n">
        <v>0</v>
      </c>
      <c r="H7" s="6" t="n">
        <v>20486.25</v>
      </c>
      <c r="I7" s="6" t="n">
        <v>0</v>
      </c>
      <c r="J7" s="6" t="n">
        <v>0</v>
      </c>
    </row>
    <row r="8">
      <c r="A8" s="4" t="inlineStr">
        <is>
          <t>Russell, Jeffrey C</t>
        </is>
      </c>
      <c r="B8" s="4" t="inlineStr">
        <is>
          <t>A_61400</t>
        </is>
      </c>
      <c r="C8" s="4" t="inlineStr">
        <is>
          <t>A_61400 - Other Fees</t>
        </is>
      </c>
      <c r="D8" s="6" t="n">
        <v>4530.16</v>
      </c>
      <c r="E8" s="6" t="n">
        <v>5580</v>
      </c>
      <c r="F8" s="6" t="n">
        <v>0</v>
      </c>
      <c r="G8" s="6" t="n">
        <v>0</v>
      </c>
      <c r="H8" s="6" t="n">
        <v>-4530.16</v>
      </c>
      <c r="I8" s="6" t="n">
        <v>-5580</v>
      </c>
      <c r="J8" s="6" t="n">
        <v>0</v>
      </c>
    </row>
    <row r="9">
      <c r="A9" s="4" t="inlineStr">
        <is>
          <t>Russell, Jeffrey C</t>
        </is>
      </c>
      <c r="B9" s="4" t="inlineStr">
        <is>
          <t>A_63030</t>
        </is>
      </c>
      <c r="C9" s="4" t="inlineStr">
        <is>
          <t>A_63030 - Supplies - Medical</t>
        </is>
      </c>
      <c r="D9" s="6" t="n">
        <v>2122</v>
      </c>
      <c r="E9" s="6" t="n">
        <v>295.8000000001</v>
      </c>
      <c r="F9" s="6" t="n">
        <v>771.6969230769</v>
      </c>
      <c r="G9" s="6" t="n">
        <v>0</v>
      </c>
      <c r="H9" s="6" t="n">
        <v>-2122</v>
      </c>
      <c r="I9" s="6" t="n">
        <v>-295.8000000001</v>
      </c>
      <c r="J9" s="6" t="n">
        <v>-771.6969230769</v>
      </c>
    </row>
    <row r="10">
      <c r="A10" s="4" t="inlineStr">
        <is>
          <t>Russell, Jeffrey C</t>
        </is>
      </c>
      <c r="B10" s="4" t="inlineStr">
        <is>
          <t>A_63035</t>
        </is>
      </c>
      <c r="C10" s="4" t="inlineStr">
        <is>
          <t>A_63035 - Supplies - Gases</t>
        </is>
      </c>
      <c r="D10" s="6" t="n">
        <v>15953.54</v>
      </c>
      <c r="E10" s="6" t="n">
        <v>10747.3039341563</v>
      </c>
      <c r="F10" s="6" t="n">
        <v>16097.5648351648</v>
      </c>
      <c r="G10" s="6" t="n">
        <v>16097.5648351648</v>
      </c>
      <c r="H10" s="6" t="n">
        <v>144.0248351648006</v>
      </c>
      <c r="I10" s="6" t="n">
        <v>5350.2609010085</v>
      </c>
      <c r="J10" s="6" t="n">
        <v>0</v>
      </c>
    </row>
    <row r="11">
      <c r="A11" s="4" t="inlineStr">
        <is>
          <t>Russell, Jeffrey C</t>
        </is>
      </c>
      <c r="B11" s="4" t="inlineStr">
        <is>
          <t>A_63080</t>
        </is>
      </c>
      <c r="C11" s="4" t="inlineStr">
        <is>
          <t>A_63080 - Supplies - Surgical</t>
        </is>
      </c>
      <c r="D11" s="6" t="n">
        <v>596.52</v>
      </c>
      <c r="E11" s="6" t="n">
        <v>0</v>
      </c>
      <c r="F11" s="6" t="n">
        <v>3701.5872527473</v>
      </c>
      <c r="G11" s="6" t="n">
        <v>3701.5872527473</v>
      </c>
      <c r="H11" s="6" t="n">
        <v>3105.0672527473</v>
      </c>
      <c r="I11" s="6" t="n">
        <v>3701.5872527473</v>
      </c>
      <c r="J11" s="6" t="n">
        <v>0</v>
      </c>
    </row>
    <row r="12">
      <c r="A12" s="4" t="inlineStr">
        <is>
          <t>Russell, Jeffrey C</t>
        </is>
      </c>
      <c r="B12" s="4" t="inlineStr">
        <is>
          <t>A_64000</t>
        </is>
      </c>
      <c r="C12" s="4" t="inlineStr">
        <is>
          <t>A_64000 - Supplies - Hotel Services</t>
        </is>
      </c>
      <c r="D12" s="6" t="n">
        <v>176018.17</v>
      </c>
      <c r="E12" s="6" t="n">
        <v>171786.7899999999</v>
      </c>
      <c r="F12" s="6" t="n">
        <v>166955.0936464089</v>
      </c>
      <c r="G12" s="6" t="n">
        <v>163341</v>
      </c>
      <c r="H12" s="6" t="n">
        <v>-12677.16999999998</v>
      </c>
      <c r="I12" s="6" t="n">
        <v>-8445.789999999892</v>
      </c>
      <c r="J12" s="6" t="n">
        <v>-3614.093646408903</v>
      </c>
    </row>
    <row r="13">
      <c r="A13" s="4" t="inlineStr">
        <is>
          <t>Russell, Jeffrey C</t>
        </is>
      </c>
      <c r="B13" s="4" t="inlineStr">
        <is>
          <t>A_64010</t>
        </is>
      </c>
      <c r="C13" s="4" t="inlineStr">
        <is>
          <t>A_64010 - Supplies - Linen And Bedding</t>
        </is>
      </c>
      <c r="D13" s="6" t="n">
        <v>1993.25</v>
      </c>
      <c r="E13" s="6" t="n">
        <v>0</v>
      </c>
      <c r="F13" s="6" t="n">
        <v>2411.7223756906</v>
      </c>
      <c r="G13" s="6" t="n">
        <v>2411.7223756906</v>
      </c>
      <c r="H13" s="6" t="n">
        <v>418.4723756906001</v>
      </c>
      <c r="I13" s="6" t="n">
        <v>2411.7223756906</v>
      </c>
      <c r="J13" s="6" t="n">
        <v>0</v>
      </c>
    </row>
    <row r="14">
      <c r="A14" s="4" t="inlineStr">
        <is>
          <t>Russell, Jeffrey C</t>
        </is>
      </c>
      <c r="B14" s="4" t="inlineStr">
        <is>
          <t>A_64020</t>
        </is>
      </c>
      <c r="C14" s="4" t="inlineStr">
        <is>
          <t>A_64020 - Supplies - Office</t>
        </is>
      </c>
      <c r="D14" s="6" t="n">
        <v>16606.34</v>
      </c>
      <c r="E14" s="6" t="n">
        <v>6903.4499999999</v>
      </c>
      <c r="F14" s="6" t="n">
        <v>3854.0773480663</v>
      </c>
      <c r="G14" s="6" t="n">
        <v>3854.0773480663</v>
      </c>
      <c r="H14" s="6" t="n">
        <v>-12752.2626519337</v>
      </c>
      <c r="I14" s="6" t="n">
        <v>-3049.3726519336</v>
      </c>
      <c r="J14" s="6" t="n">
        <v>0</v>
      </c>
    </row>
    <row r="15">
      <c r="A15" s="4" t="inlineStr">
        <is>
          <t>Russell, Jeffrey C</t>
        </is>
      </c>
      <c r="B15" s="4" t="inlineStr">
        <is>
          <t>A_64030</t>
        </is>
      </c>
      <c r="C15" s="4" t="inlineStr">
        <is>
          <t>A_64030 - Supplies - Other Non Medical</t>
        </is>
      </c>
      <c r="D15" s="6" t="n">
        <v>71124.10000000001</v>
      </c>
      <c r="E15" s="6" t="n">
        <v>43535.205</v>
      </c>
      <c r="F15" s="6" t="n">
        <v>126133.2516574586</v>
      </c>
      <c r="G15" s="6" t="n">
        <v>94362.52165745859</v>
      </c>
      <c r="H15" s="6" t="n">
        <v>23238.42165745859</v>
      </c>
      <c r="I15" s="6" t="n">
        <v>50827.31665745859</v>
      </c>
      <c r="J15" s="6" t="n">
        <v>-31770.73000000001</v>
      </c>
    </row>
    <row r="16">
      <c r="A16" s="4" t="inlineStr">
        <is>
          <t>Russell, Jeffrey C</t>
        </is>
      </c>
      <c r="B16" s="4" t="inlineStr">
        <is>
          <t>A_64090</t>
        </is>
      </c>
      <c r="C16" s="4" t="inlineStr">
        <is>
          <t>A_64090 - Non Med &amp; Non Surg Rebates</t>
        </is>
      </c>
      <c r="D16" s="6" t="n">
        <v>-678.91</v>
      </c>
      <c r="E16" s="6" t="n">
        <v>0</v>
      </c>
      <c r="F16" s="6" t="n">
        <v>-1221.6408839779</v>
      </c>
      <c r="G16" s="6" t="n">
        <v>0</v>
      </c>
      <c r="H16" s="6" t="n">
        <v>678.91</v>
      </c>
      <c r="I16" s="6" t="n">
        <v>0</v>
      </c>
      <c r="J16" s="6" t="n">
        <v>1221.6408839779</v>
      </c>
    </row>
    <row r="17">
      <c r="A17" s="4" t="inlineStr">
        <is>
          <t>Russell, Jeffrey C</t>
        </is>
      </c>
      <c r="B17" s="4" t="inlineStr">
        <is>
          <t>A_65000</t>
        </is>
      </c>
      <c r="C17" s="4" t="inlineStr">
        <is>
          <t>A_65000 - Electricity</t>
        </is>
      </c>
      <c r="D17" s="6" t="n">
        <v>1094453.41</v>
      </c>
      <c r="E17" s="6" t="n">
        <v>1206000.0004</v>
      </c>
      <c r="F17" s="6" t="n">
        <v>1228389.12900552</v>
      </c>
      <c r="G17" s="6" t="n">
        <v>1228389.12900552</v>
      </c>
      <c r="H17" s="6" t="n">
        <v>133935.71900552</v>
      </c>
      <c r="I17" s="6" t="n">
        <v>22389.12860551989</v>
      </c>
      <c r="J17" s="6" t="n">
        <v>0</v>
      </c>
    </row>
    <row r="18">
      <c r="A18" s="4" t="inlineStr">
        <is>
          <t>Russell, Jeffrey C</t>
        </is>
      </c>
      <c r="B18" s="4" t="inlineStr">
        <is>
          <t>A_65010</t>
        </is>
      </c>
      <c r="C18" s="4" t="inlineStr">
        <is>
          <t>A_65010 - Fuel Oil</t>
        </is>
      </c>
      <c r="D18" s="6" t="n">
        <v>578.88</v>
      </c>
      <c r="E18" s="6" t="n">
        <v>3435.9999999996</v>
      </c>
      <c r="F18" s="6" t="n">
        <v>7789.3218232044</v>
      </c>
      <c r="G18" s="6" t="n">
        <v>7789.3218232044</v>
      </c>
      <c r="H18" s="6" t="n">
        <v>7210.4418232044</v>
      </c>
      <c r="I18" s="6" t="n">
        <v>4353.3218232048</v>
      </c>
      <c r="J18" s="6" t="n">
        <v>0</v>
      </c>
    </row>
    <row r="19">
      <c r="A19" s="4" t="inlineStr">
        <is>
          <t>Russell, Jeffrey C</t>
        </is>
      </c>
      <c r="B19" s="4" t="inlineStr">
        <is>
          <t>A_65030</t>
        </is>
      </c>
      <c r="C19" s="4" t="inlineStr">
        <is>
          <t>A_65030 - Disposable Services</t>
        </is>
      </c>
      <c r="D19" s="6" t="n">
        <v>70110.83</v>
      </c>
      <c r="E19" s="6" t="n">
        <v>97651.00000000031</v>
      </c>
      <c r="F19" s="6" t="n">
        <v>54482.2593922652</v>
      </c>
      <c r="G19" s="6" t="n">
        <v>54482.2593922652</v>
      </c>
      <c r="H19" s="6" t="n">
        <v>-15628.5706077348</v>
      </c>
      <c r="I19" s="6" t="n">
        <v>-43168.7406077351</v>
      </c>
      <c r="J19" s="6" t="n">
        <v>0</v>
      </c>
    </row>
    <row r="20">
      <c r="A20" s="4" t="inlineStr">
        <is>
          <t>Russell, Jeffrey C</t>
        </is>
      </c>
      <c r="B20" s="4" t="inlineStr">
        <is>
          <t>A_65050</t>
        </is>
      </c>
      <c r="C20" s="4" t="inlineStr">
        <is>
          <t>A_65050 - Telephone</t>
        </is>
      </c>
      <c r="D20" s="6" t="n">
        <v>46516.06</v>
      </c>
      <c r="E20" s="6" t="n">
        <v>46500.0000000004</v>
      </c>
      <c r="F20" s="6" t="n">
        <v>54844.194198895</v>
      </c>
      <c r="G20" s="6" t="n">
        <v>54844.194198895</v>
      </c>
      <c r="H20" s="6" t="n">
        <v>8328.134198895001</v>
      </c>
      <c r="I20" s="6" t="n">
        <v>8344.194198894598</v>
      </c>
      <c r="J20" s="6" t="n">
        <v>0</v>
      </c>
    </row>
    <row r="21">
      <c r="A21" s="4" t="inlineStr">
        <is>
          <t>Russell, Jeffrey C</t>
        </is>
      </c>
      <c r="B21" s="4" t="inlineStr">
        <is>
          <t>A_65080</t>
        </is>
      </c>
      <c r="C21" s="4" t="inlineStr">
        <is>
          <t>A_65080 - Steam</t>
        </is>
      </c>
      <c r="D21" s="6" t="n">
        <v>609899.74</v>
      </c>
      <c r="E21" s="6" t="n">
        <v>732000.0000999999</v>
      </c>
      <c r="F21" s="6" t="n">
        <v>730312.750552486</v>
      </c>
      <c r="G21" s="6" t="n">
        <v>730312.750552486</v>
      </c>
      <c r="H21" s="6" t="n">
        <v>120413.0105524861</v>
      </c>
      <c r="I21" s="6" t="n">
        <v>-1687.2495475139</v>
      </c>
      <c r="J21" s="6" t="n">
        <v>0</v>
      </c>
    </row>
    <row r="22">
      <c r="A22" s="4" t="inlineStr">
        <is>
          <t>Russell, Jeffrey C</t>
        </is>
      </c>
      <c r="B22" s="4" t="inlineStr">
        <is>
          <t>A_65505</t>
        </is>
      </c>
      <c r="C22" s="4" t="inlineStr">
        <is>
          <t>A_65505 - Equipment Service Contracts</t>
        </is>
      </c>
      <c r="D22" s="6" t="n">
        <v>314584.25</v>
      </c>
      <c r="E22" s="6" t="n">
        <v>272270.0004</v>
      </c>
      <c r="F22" s="6" t="n">
        <v>353950.4</v>
      </c>
      <c r="G22" s="6" t="n">
        <v>273970</v>
      </c>
      <c r="H22" s="6" t="n">
        <v>-40614.25</v>
      </c>
      <c r="I22" s="6" t="n">
        <v>1699.999599999981</v>
      </c>
      <c r="J22" s="6" t="n">
        <v>-79980.40000000002</v>
      </c>
    </row>
    <row r="23">
      <c r="A23" s="4" t="inlineStr">
        <is>
          <t>Russell, Jeffrey C</t>
        </is>
      </c>
      <c r="B23" s="4" t="inlineStr">
        <is>
          <t>A_65507</t>
        </is>
      </c>
      <c r="C23" s="4" t="inlineStr">
        <is>
          <t>A_65507 - Medical Equip Srvcs Contracts</t>
        </is>
      </c>
      <c r="D23" s="6" t="n">
        <v>0</v>
      </c>
      <c r="E23" s="6" t="n">
        <v>22425</v>
      </c>
      <c r="F23" s="6" t="n">
        <v>0</v>
      </c>
      <c r="G23" s="6" t="n">
        <v>0</v>
      </c>
      <c r="H23" s="6" t="n">
        <v>0</v>
      </c>
      <c r="I23" s="6" t="n">
        <v>-22425</v>
      </c>
      <c r="J23" s="6" t="n">
        <v>0</v>
      </c>
    </row>
    <row r="24">
      <c r="A24" s="4" t="inlineStr">
        <is>
          <t>Russell, Jeffrey C</t>
        </is>
      </c>
      <c r="B24" s="4" t="inlineStr">
        <is>
          <t>A_65510</t>
        </is>
      </c>
      <c r="C24" s="4" t="inlineStr">
        <is>
          <t>A_65510 - Freight</t>
        </is>
      </c>
      <c r="D24" s="6" t="n">
        <v>9204.689999999999</v>
      </c>
      <c r="E24" s="6" t="n">
        <v>12737.0000000004</v>
      </c>
      <c r="F24" s="6" t="n">
        <v>9206.98</v>
      </c>
      <c r="G24" s="6" t="n">
        <v>8607.16</v>
      </c>
      <c r="H24" s="6" t="n">
        <v>-597.5299999999988</v>
      </c>
      <c r="I24" s="6" t="n">
        <v>-4129.8400000004</v>
      </c>
      <c r="J24" s="6" t="n">
        <v>-599.8199999999997</v>
      </c>
    </row>
    <row r="25">
      <c r="A25" s="4" t="inlineStr">
        <is>
          <t>Russell, Jeffrey C</t>
        </is>
      </c>
      <c r="B25" s="4" t="inlineStr">
        <is>
          <t>A_65517</t>
        </is>
      </c>
      <c r="C25" s="4" t="inlineStr">
        <is>
          <t>A_65517 - Software Maint and Support</t>
        </is>
      </c>
      <c r="D25" s="6" t="n">
        <v>169</v>
      </c>
      <c r="E25" s="6" t="n">
        <v>0</v>
      </c>
      <c r="F25" s="6" t="n">
        <v>0</v>
      </c>
      <c r="G25" s="6" t="n">
        <v>0</v>
      </c>
      <c r="H25" s="6" t="n">
        <v>-169</v>
      </c>
      <c r="I25" s="6" t="n">
        <v>0</v>
      </c>
      <c r="J25" s="6" t="n">
        <v>0</v>
      </c>
    </row>
    <row r="26">
      <c r="A26" s="4" t="inlineStr">
        <is>
          <t>Russell, Jeffrey C</t>
        </is>
      </c>
      <c r="B26" s="4" t="inlineStr">
        <is>
          <t>A_65521</t>
        </is>
      </c>
      <c r="C26" s="4" t="inlineStr">
        <is>
          <t>A_65521 - Landscapg-Reprs-Prchsd-Cont Sv</t>
        </is>
      </c>
      <c r="D26" s="6" t="n">
        <v>5506</v>
      </c>
      <c r="E26" s="6" t="n">
        <v>12000</v>
      </c>
      <c r="F26" s="6" t="n">
        <v>33062.10000000001</v>
      </c>
      <c r="G26" s="6" t="n">
        <v>21380</v>
      </c>
      <c r="H26" s="6" t="n">
        <v>15874</v>
      </c>
      <c r="I26" s="6" t="n">
        <v>9380</v>
      </c>
      <c r="J26" s="6" t="n">
        <v>-11682.10000000001</v>
      </c>
    </row>
    <row r="27">
      <c r="A27" s="4" t="inlineStr">
        <is>
          <t>Russell, Jeffrey C</t>
        </is>
      </c>
      <c r="B27" s="4" t="inlineStr">
        <is>
          <t>A_65522</t>
        </is>
      </c>
      <c r="C27" s="4" t="inlineStr">
        <is>
          <t>A_65522 - Electric-Reprs-Prchsd-Contr Sv</t>
        </is>
      </c>
      <c r="D27" s="6" t="n">
        <v>20291.07</v>
      </c>
      <c r="E27" s="6" t="n">
        <v>44451.9999999996</v>
      </c>
      <c r="F27" s="6" t="n">
        <v>35847.92</v>
      </c>
      <c r="G27" s="6" t="n">
        <v>35847.92</v>
      </c>
      <c r="H27" s="6" t="n">
        <v>15556.85</v>
      </c>
      <c r="I27" s="6" t="n">
        <v>-8604.079999999602</v>
      </c>
      <c r="J27" s="6" t="n">
        <v>0</v>
      </c>
    </row>
    <row r="28">
      <c r="A28" s="4" t="inlineStr">
        <is>
          <t>Russell, Jeffrey C</t>
        </is>
      </c>
      <c r="B28" s="4" t="inlineStr">
        <is>
          <t>A_65523</t>
        </is>
      </c>
      <c r="C28" s="4" t="inlineStr">
        <is>
          <t>A_65523 - WaterTrtmt-Repr-Prchsd-Cont Sv</t>
        </is>
      </c>
      <c r="D28" s="6" t="n">
        <v>38320.57</v>
      </c>
      <c r="E28" s="6" t="n">
        <v>47109.9999999996</v>
      </c>
      <c r="F28" s="6" t="n">
        <v>44786.16</v>
      </c>
      <c r="G28" s="6" t="n">
        <v>47109.9999999996</v>
      </c>
      <c r="H28" s="6" t="n">
        <v>8789.4299999996</v>
      </c>
      <c r="I28" s="6" t="n">
        <v>0</v>
      </c>
      <c r="J28" s="6" t="n">
        <v>2323.839999999596</v>
      </c>
    </row>
    <row r="29">
      <c r="A29" s="4" t="inlineStr">
        <is>
          <t>Russell, Jeffrey C</t>
        </is>
      </c>
      <c r="B29" s="4" t="inlineStr">
        <is>
          <t>A_65524</t>
        </is>
      </c>
      <c r="C29" s="4" t="inlineStr">
        <is>
          <t>A_65524 - Fire Sup-Reprs-Prchsd-Contr Sv</t>
        </is>
      </c>
      <c r="D29" s="6" t="n">
        <v>98341.66</v>
      </c>
      <c r="E29" s="6" t="n">
        <v>66822</v>
      </c>
      <c r="F29" s="6" t="n">
        <v>64353.56</v>
      </c>
      <c r="G29" s="6" t="n">
        <v>66822</v>
      </c>
      <c r="H29" s="6" t="n">
        <v>-31519.66</v>
      </c>
      <c r="I29" s="6" t="n">
        <v>0</v>
      </c>
      <c r="J29" s="6" t="n">
        <v>2468.440000000002</v>
      </c>
    </row>
    <row r="30">
      <c r="A30" s="4" t="inlineStr">
        <is>
          <t>Russell, Jeffrey C</t>
        </is>
      </c>
      <c r="B30" s="4" t="inlineStr">
        <is>
          <t>A_65525</t>
        </is>
      </c>
      <c r="C30" s="4" t="inlineStr">
        <is>
          <t>A_65525 - Maintenance And Repairs</t>
        </is>
      </c>
      <c r="D30" s="6" t="n">
        <v>184472</v>
      </c>
      <c r="E30" s="6" t="n">
        <v>198320</v>
      </c>
      <c r="F30" s="6" t="n">
        <v>286611.46</v>
      </c>
      <c r="G30" s="6" t="n">
        <v>240000</v>
      </c>
      <c r="H30" s="6" t="n">
        <v>55528</v>
      </c>
      <c r="I30" s="6" t="n">
        <v>41680</v>
      </c>
      <c r="J30" s="6" t="n">
        <v>-46611.46000000002</v>
      </c>
    </row>
    <row r="31">
      <c r="A31" s="4" t="inlineStr">
        <is>
          <t>Russell, Jeffrey C</t>
        </is>
      </c>
      <c r="B31" s="4" t="inlineStr">
        <is>
          <t>A_65526</t>
        </is>
      </c>
      <c r="C31" s="4" t="inlineStr">
        <is>
          <t>A_65526 - Door Lock-Reprs-Prchsd-Cont Sv</t>
        </is>
      </c>
      <c r="D31" s="6" t="n">
        <v>129518.49</v>
      </c>
      <c r="E31" s="6" t="n">
        <v>55997.0000000004</v>
      </c>
      <c r="F31" s="6" t="n">
        <v>76336.32000000001</v>
      </c>
      <c r="G31" s="6" t="n">
        <v>76336.32000000001</v>
      </c>
      <c r="H31" s="6" t="n">
        <v>-53182.17</v>
      </c>
      <c r="I31" s="6" t="n">
        <v>20339.31999999961</v>
      </c>
      <c r="J31" s="6" t="n">
        <v>0</v>
      </c>
    </row>
    <row r="32">
      <c r="A32" s="4" t="inlineStr">
        <is>
          <t>Russell, Jeffrey C</t>
        </is>
      </c>
      <c r="B32" s="4" t="inlineStr">
        <is>
          <t>A_65528</t>
        </is>
      </c>
      <c r="C32" s="4" t="inlineStr">
        <is>
          <t>A_65528 - Elevator-Reprs-Prchsd-Contr Sv</t>
        </is>
      </c>
      <c r="D32" s="6" t="n">
        <v>66699.39</v>
      </c>
      <c r="E32" s="6" t="n">
        <v>52392</v>
      </c>
      <c r="F32" s="6" t="n">
        <v>25467.52</v>
      </c>
      <c r="G32" s="6" t="n">
        <v>52392</v>
      </c>
      <c r="H32" s="6" t="n">
        <v>-14307.39</v>
      </c>
      <c r="I32" s="6" t="n">
        <v>0</v>
      </c>
      <c r="J32" s="6" t="n">
        <v>26924.48</v>
      </c>
    </row>
    <row r="33">
      <c r="A33" s="4" t="inlineStr">
        <is>
          <t>Russell, Jeffrey C</t>
        </is>
      </c>
      <c r="B33" s="4" t="inlineStr">
        <is>
          <t>A_65529</t>
        </is>
      </c>
      <c r="C33" s="4" t="inlineStr">
        <is>
          <t>A_65529 - Generator-Reprs-Prchsd-Cont Sv</t>
        </is>
      </c>
      <c r="D33" s="6" t="n">
        <v>36219.37</v>
      </c>
      <c r="E33" s="6" t="n">
        <v>104472.9996</v>
      </c>
      <c r="F33" s="6" t="n">
        <v>62285.12</v>
      </c>
      <c r="G33" s="6" t="n">
        <v>81357</v>
      </c>
      <c r="H33" s="6" t="n">
        <v>45137.63</v>
      </c>
      <c r="I33" s="6" t="n">
        <v>-23115.9996</v>
      </c>
      <c r="J33" s="6" t="n">
        <v>19071.88</v>
      </c>
    </row>
    <row r="34">
      <c r="A34" s="4" t="inlineStr">
        <is>
          <t>Russell, Jeffrey C</t>
        </is>
      </c>
      <c r="B34" s="4" t="inlineStr">
        <is>
          <t>A_65530</t>
        </is>
      </c>
      <c r="C34" s="4" t="inlineStr">
        <is>
          <t>A_65530 - Medical Purchased Services</t>
        </is>
      </c>
      <c r="D34" s="6" t="n">
        <v>0</v>
      </c>
      <c r="E34" s="6" t="n">
        <v>0</v>
      </c>
      <c r="F34" s="6" t="n">
        <v>784</v>
      </c>
      <c r="G34" s="6" t="n">
        <v>0</v>
      </c>
      <c r="H34" s="6" t="n">
        <v>0</v>
      </c>
      <c r="I34" s="6" t="n">
        <v>0</v>
      </c>
      <c r="J34" s="6" t="n">
        <v>-784</v>
      </c>
    </row>
    <row r="35">
      <c r="A35" s="4" t="inlineStr">
        <is>
          <t>Russell, Jeffrey C</t>
        </is>
      </c>
      <c r="B35" s="4" t="inlineStr">
        <is>
          <t>A_65531</t>
        </is>
      </c>
      <c r="C35" s="4" t="inlineStr">
        <is>
          <t>A_65531 - Purchased Service-Snow Remova</t>
        </is>
      </c>
      <c r="D35" s="6" t="n">
        <v>15927.57</v>
      </c>
      <c r="E35" s="6" t="n">
        <v>12000</v>
      </c>
      <c r="F35" s="6" t="n">
        <v>47000</v>
      </c>
      <c r="G35" s="6" t="n">
        <v>12000</v>
      </c>
      <c r="H35" s="6" t="n">
        <v>-3927.57</v>
      </c>
      <c r="I35" s="6" t="n">
        <v>0</v>
      </c>
      <c r="J35" s="6" t="n">
        <v>-35000</v>
      </c>
    </row>
    <row r="36">
      <c r="A36" s="4" t="inlineStr">
        <is>
          <t>Russell, Jeffrey C</t>
        </is>
      </c>
      <c r="B36" s="4" t="inlineStr">
        <is>
          <t>A_65533</t>
        </is>
      </c>
      <c r="C36" s="4" t="inlineStr">
        <is>
          <t>A_65533 - Other Purchased Svcs-Security</t>
        </is>
      </c>
      <c r="D36" s="6" t="n">
        <v>2786917.95</v>
      </c>
      <c r="E36" s="6" t="n">
        <v>0</v>
      </c>
      <c r="F36" s="6" t="n">
        <v>-0.4</v>
      </c>
      <c r="G36" s="6" t="n">
        <v>0</v>
      </c>
      <c r="H36" s="6" t="n">
        <v>-2786917.95</v>
      </c>
      <c r="I36" s="6" t="n">
        <v>0</v>
      </c>
      <c r="J36" s="6" t="n">
        <v>0.4</v>
      </c>
    </row>
    <row r="37">
      <c r="A37" s="4" t="inlineStr">
        <is>
          <t>Russell, Jeffrey C</t>
        </is>
      </c>
      <c r="B37" s="4" t="inlineStr">
        <is>
          <t>A_65535</t>
        </is>
      </c>
      <c r="C37" s="4" t="inlineStr">
        <is>
          <t>A_65535 - Other Purchased Services</t>
        </is>
      </c>
      <c r="D37" s="6" t="n">
        <v>102973.24</v>
      </c>
      <c r="E37" s="6" t="n">
        <v>75305.0004</v>
      </c>
      <c r="F37" s="6" t="n">
        <v>84559.5</v>
      </c>
      <c r="G37" s="6" t="n">
        <v>35200</v>
      </c>
      <c r="H37" s="6" t="n">
        <v>-67773.24000000001</v>
      </c>
      <c r="I37" s="6" t="n">
        <v>-40105.0004</v>
      </c>
      <c r="J37" s="6" t="n">
        <v>-49359.5</v>
      </c>
    </row>
    <row r="38">
      <c r="A38" s="4" t="inlineStr">
        <is>
          <t>Russell, Jeffrey C</t>
        </is>
      </c>
      <c r="B38" s="4" t="inlineStr">
        <is>
          <t>A_65540</t>
        </is>
      </c>
      <c r="C38" s="4" t="inlineStr">
        <is>
          <t>A_65540 - Outside Messenger Service</t>
        </is>
      </c>
      <c r="D38" s="6" t="n">
        <v>385.06</v>
      </c>
      <c r="E38" s="6" t="n">
        <v>99.99999999960001</v>
      </c>
      <c r="F38" s="6" t="n">
        <v>35.92</v>
      </c>
      <c r="G38" s="6" t="n">
        <v>35.92</v>
      </c>
      <c r="H38" s="6" t="n">
        <v>-349.14</v>
      </c>
      <c r="I38" s="6" t="n">
        <v>-64.07999999960001</v>
      </c>
      <c r="J38" s="6" t="n">
        <v>0</v>
      </c>
    </row>
    <row r="39">
      <c r="A39" s="4" t="inlineStr">
        <is>
          <t>Russell, Jeffrey C</t>
        </is>
      </c>
      <c r="B39" s="4" t="inlineStr">
        <is>
          <t>A_65565</t>
        </is>
      </c>
      <c r="C39" s="4" t="inlineStr">
        <is>
          <t>A_65565 - Purchases Services - Linen</t>
        </is>
      </c>
      <c r="D39" s="6" t="n">
        <v>16473.15</v>
      </c>
      <c r="E39" s="6" t="n">
        <v>0</v>
      </c>
      <c r="F39" s="6" t="n">
        <v>18968.88</v>
      </c>
      <c r="G39" s="6" t="n">
        <v>18968.88</v>
      </c>
      <c r="H39" s="6" t="n">
        <v>2495.73</v>
      </c>
      <c r="I39" s="6" t="n">
        <v>18968.88</v>
      </c>
      <c r="J39" s="6" t="n">
        <v>0</v>
      </c>
    </row>
    <row r="40">
      <c r="A40" s="4" t="inlineStr">
        <is>
          <t>Russell, Jeffrey C</t>
        </is>
      </c>
      <c r="B40" s="4" t="inlineStr">
        <is>
          <t>A_66020</t>
        </is>
      </c>
      <c r="C40" s="4" t="inlineStr">
        <is>
          <t>A_66020 - Outside Training</t>
        </is>
      </c>
      <c r="D40" s="6" t="n">
        <v>0</v>
      </c>
      <c r="E40" s="6" t="n">
        <v>500.0000000004</v>
      </c>
      <c r="F40" s="6" t="n">
        <v>0</v>
      </c>
      <c r="G40" s="6" t="n">
        <v>0</v>
      </c>
      <c r="H40" s="6" t="n">
        <v>0</v>
      </c>
      <c r="I40" s="6" t="n">
        <v>-500.0000000004</v>
      </c>
      <c r="J40" s="6" t="n">
        <v>0</v>
      </c>
    </row>
    <row r="41">
      <c r="A41" s="4" t="inlineStr">
        <is>
          <t>Russell, Jeffrey C</t>
        </is>
      </c>
      <c r="B41" s="4" t="inlineStr">
        <is>
          <t>A_66040</t>
        </is>
      </c>
      <c r="C41" s="4" t="inlineStr">
        <is>
          <t>A_66040 - Postage</t>
        </is>
      </c>
      <c r="D41" s="6" t="n">
        <v>9.960000000000001</v>
      </c>
      <c r="E41" s="6" t="n">
        <v>0</v>
      </c>
      <c r="F41" s="6" t="n">
        <v>0</v>
      </c>
      <c r="G41" s="6" t="n">
        <v>0</v>
      </c>
      <c r="H41" s="6" t="n">
        <v>-9.960000000000001</v>
      </c>
      <c r="I41" s="6" t="n">
        <v>0</v>
      </c>
      <c r="J41" s="6" t="n">
        <v>0</v>
      </c>
    </row>
    <row r="42">
      <c r="A42" s="4" t="inlineStr">
        <is>
          <t>Russell, Jeffrey C</t>
        </is>
      </c>
      <c r="B42" s="4" t="inlineStr">
        <is>
          <t>A_66050</t>
        </is>
      </c>
      <c r="C42" s="4" t="inlineStr">
        <is>
          <t>A_66050 - Printing And Duplication</t>
        </is>
      </c>
      <c r="D42" s="6" t="n">
        <v>1002.02</v>
      </c>
      <c r="E42" s="6" t="n">
        <v>489.99</v>
      </c>
      <c r="F42" s="6" t="n">
        <v>536.3200000000001</v>
      </c>
      <c r="G42" s="6" t="n">
        <v>200</v>
      </c>
      <c r="H42" s="6" t="n">
        <v>-802.02</v>
      </c>
      <c r="I42" s="6" t="n">
        <v>-289.99</v>
      </c>
      <c r="J42" s="6" t="n">
        <v>-336.3200000000001</v>
      </c>
    </row>
    <row r="43">
      <c r="A43" s="4" t="inlineStr">
        <is>
          <t>Russell, Jeffrey C</t>
        </is>
      </c>
      <c r="B43" s="4" t="inlineStr">
        <is>
          <t>A_66060</t>
        </is>
      </c>
      <c r="C43" s="4" t="inlineStr">
        <is>
          <t>A_66060 - Other Expenses</t>
        </is>
      </c>
      <c r="D43" s="6" t="n">
        <v>230.35</v>
      </c>
      <c r="E43" s="6" t="n">
        <v>797.0000000004</v>
      </c>
      <c r="F43" s="6" t="n">
        <v>21.54</v>
      </c>
      <c r="G43" s="6" t="n">
        <v>21.54</v>
      </c>
      <c r="H43" s="6" t="n">
        <v>-208.81</v>
      </c>
      <c r="I43" s="6" t="n">
        <v>-775.4600000004</v>
      </c>
      <c r="J43" s="6" t="n">
        <v>0</v>
      </c>
    </row>
    <row r="44">
      <c r="A44" s="4" t="inlineStr">
        <is>
          <t>Russell, Jeffrey C</t>
        </is>
      </c>
      <c r="B44" s="4" t="inlineStr">
        <is>
          <t>A_66090</t>
        </is>
      </c>
      <c r="C44" s="4" t="inlineStr">
        <is>
          <t>A_66090 - House Functions &amp; Corp Events</t>
        </is>
      </c>
      <c r="D44" s="6" t="n">
        <v>1231.1</v>
      </c>
      <c r="E44" s="6" t="n">
        <v>2295</v>
      </c>
      <c r="F44" s="6" t="n">
        <v>411.8</v>
      </c>
      <c r="G44" s="6" t="n">
        <v>1011.8</v>
      </c>
      <c r="H44" s="6" t="n">
        <v>-219.3</v>
      </c>
      <c r="I44" s="6" t="n">
        <v>-1283.2</v>
      </c>
      <c r="J44" s="6" t="n">
        <v>600</v>
      </c>
    </row>
    <row r="45">
      <c r="A45" s="4" t="inlineStr">
        <is>
          <t>Russell, Jeffrey C</t>
        </is>
      </c>
      <c r="B45" s="4" t="inlineStr">
        <is>
          <t>A_66510</t>
        </is>
      </c>
      <c r="C45" s="4" t="inlineStr">
        <is>
          <t>A_66510 - Lease-Rentals - Other</t>
        </is>
      </c>
      <c r="D45" s="6" t="n">
        <v>14222.93</v>
      </c>
      <c r="E45" s="6" t="n">
        <v>4896</v>
      </c>
      <c r="F45" s="6" t="n">
        <v>21392.2</v>
      </c>
      <c r="G45" s="6" t="n">
        <v>15612</v>
      </c>
      <c r="H45" s="6" t="n">
        <v>1389.07</v>
      </c>
      <c r="I45" s="6" t="n">
        <v>10716</v>
      </c>
      <c r="J45" s="6" t="n">
        <v>-5780.200000000001</v>
      </c>
    </row>
    <row r="46">
      <c r="A46" s="4" t="inlineStr">
        <is>
          <t>Russell, Jeffrey C</t>
        </is>
      </c>
      <c r="B46" s="4" t="inlineStr">
        <is>
          <t>A_66524</t>
        </is>
      </c>
      <c r="C46" s="4" t="inlineStr">
        <is>
          <t>A_66524 - Software Licensing Fees</t>
        </is>
      </c>
      <c r="D46" s="6" t="n">
        <v>1588.5</v>
      </c>
      <c r="E46" s="6" t="n">
        <v>0</v>
      </c>
      <c r="F46" s="6" t="n">
        <v>467.2</v>
      </c>
      <c r="G46" s="6" t="n">
        <v>233.6</v>
      </c>
      <c r="H46" s="6" t="n">
        <v>-1354.9</v>
      </c>
      <c r="I46" s="6" t="n">
        <v>233.6</v>
      </c>
      <c r="J46" s="6" t="n">
        <v>-233.6</v>
      </c>
    </row>
    <row r="47">
      <c r="A47" s="7" t="inlineStr">
        <is>
          <t>Total</t>
        </is>
      </c>
      <c r="B47" s="7" t="n"/>
      <c r="C47" s="7" t="n"/>
      <c r="D47" s="8">
        <f>SUM(D6:D46)</f>
        <v/>
      </c>
      <c r="E47" s="8">
        <f>SUM(E6:E46)</f>
        <v/>
      </c>
      <c r="F47" s="8">
        <f>SUM(F6:F46)</f>
        <v/>
      </c>
      <c r="G47" s="8">
        <f>SUM(G6:G46)</f>
        <v/>
      </c>
      <c r="H47" s="8">
        <f>SUM(H6:H46)</f>
        <v/>
      </c>
      <c r="I47" s="8">
        <f>SUM(I6:I46)</f>
        <v/>
      </c>
      <c r="J47" s="8">
        <f>SUM(J6:J46)</f>
        <v/>
      </c>
    </row>
  </sheetData>
  <autoFilter ref="A5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2026-08-26T21:50:05Z</dcterms:created>
  <dcterms:modified xsi:type="dcterms:W3CDTF">2026-08-26T21:50:05Z</dcterms:modified>
</cp:coreProperties>
</file>