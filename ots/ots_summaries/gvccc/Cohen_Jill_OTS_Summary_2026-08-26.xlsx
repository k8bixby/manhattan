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t Summary" sheetId="1" state="visible" r:id="rId1"/>
    <sheet name="Acct Summary" sheetId="2" state="visible" r:id="rId2"/>
  </sheets>
  <definedNames>
    <definedName name="_xlnm._FilterDatabase" localSheetId="0" hidden="1">'Dept Summary'!$A$5:$K$9</definedName>
    <definedName name="_xlnm._FilterDatabase" localSheetId="1" hidden="1">'Acct Summary'!$A$5:$J$66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##0"/>
    <numFmt numFmtId="165" formatCode="_($* #,##0_);_($* (#,##0);_($* &quot;-&quot;??_);_(@_)"/>
  </numFmts>
  <fonts count="4">
    <font>
      <name val="Calibri"/>
      <family val="2"/>
      <color theme="1"/>
      <sz val="11"/>
      <scheme val="minor"/>
    </font>
    <font>
      <name val="Ebrima"/>
      <b val="1"/>
      <sz val="10"/>
    </font>
    <font>
      <name val="Ebrima"/>
      <b val="1"/>
      <color rgb="00000000"/>
      <sz val="10"/>
    </font>
    <font>
      <name val="Ebrima"/>
      <sz val="10"/>
    </font>
  </fonts>
  <fills count="5">
    <fill>
      <patternFill/>
    </fill>
    <fill>
      <patternFill patternType="gray125"/>
    </fill>
    <fill>
      <patternFill patternType="solid">
        <fgColor rgb="00C5D9F1"/>
        <bgColor rgb="00C5D9F1"/>
      </patternFill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1" fillId="4" borderId="1" pivotButton="0" quotePrefix="0" xfId="0"/>
    <xf numFmtId="165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7" customWidth="1" min="3" max="3"/>
    <col width="51" customWidth="1" min="4" max="4"/>
    <col width="22" customWidth="1" min="5" max="5"/>
    <col width="22" customWidth="1" min="6" max="6"/>
    <col width="22" customWidth="1" min="7" max="7"/>
    <col width="29" customWidth="1" min="8" max="8"/>
    <col width="29" customWidth="1" min="9" max="9"/>
    <col width="29" customWidth="1" min="10" max="10"/>
    <col width="33" customWidth="1" min="11" max="11"/>
  </cols>
  <sheetData>
    <row r="1">
      <c r="A1" s="1" t="inlineStr">
        <is>
          <t>GVCCC</t>
        </is>
      </c>
    </row>
    <row r="2">
      <c r="A2" s="1" t="inlineStr">
        <is>
          <t>2027 OTS Summary by Department</t>
        </is>
      </c>
    </row>
    <row r="3">
      <c r="A3" s="1" t="inlineStr">
        <is>
          <t>Updated 2026-08-26</t>
        </is>
      </c>
    </row>
    <row r="4">
      <c r="I4" s="2" t="inlineStr">
        <is>
          <t>Variance</t>
        </is>
      </c>
      <c r="J4" s="2" t="n"/>
      <c r="K4" s="2" t="n"/>
    </row>
    <row r="5">
      <c r="A5" s="3" t="inlineStr">
        <is>
          <t>VP</t>
        </is>
      </c>
      <c r="B5" s="3" t="inlineStr">
        <is>
          <t>Director</t>
        </is>
      </c>
      <c r="C5" s="3" t="inlineStr">
        <is>
          <t>Department ID</t>
        </is>
      </c>
      <c r="D5" s="3" t="inlineStr">
        <is>
          <t>Department</t>
        </is>
      </c>
      <c r="E5" s="3" t="inlineStr">
        <is>
          <t>2025 Actual</t>
        </is>
      </c>
      <c r="F5" s="3" t="inlineStr">
        <is>
          <t>2026 Budget</t>
        </is>
      </c>
      <c r="G5" s="3" t="inlineStr">
        <is>
          <t>2026 Projection</t>
        </is>
      </c>
      <c r="H5" s="3" t="inlineStr">
        <is>
          <t>2027 Budget w/o Inflation</t>
        </is>
      </c>
      <c r="I5" s="3" t="inlineStr">
        <is>
          <t>2027 Budget - 2025 Actual</t>
        </is>
      </c>
      <c r="J5" s="3" t="inlineStr">
        <is>
          <t>2027 Budget - 2026 Budget</t>
        </is>
      </c>
      <c r="K5" s="3" t="inlineStr">
        <is>
          <t>2027 Budget - 2026 Projection</t>
        </is>
      </c>
    </row>
    <row r="6">
      <c r="A6" s="4" t="inlineStr">
        <is>
          <t>Cohen, Jill</t>
        </is>
      </c>
      <c r="B6" s="4" t="inlineStr">
        <is>
          <t>Tavarez, Nadia</t>
        </is>
      </c>
      <c r="C6" s="5" t="n">
        <v>74002545</v>
      </c>
      <c r="D6" s="4" t="inlineStr">
        <is>
          <t>GVCCC_74002545 - Op Svc Surgery Center - LHGV</t>
        </is>
      </c>
      <c r="E6" s="6" t="n">
        <v>11704450.47</v>
      </c>
      <c r="F6" s="6" t="n">
        <v>11668171.13095214</v>
      </c>
      <c r="G6" s="6" t="n">
        <v>12155642.62591282</v>
      </c>
      <c r="H6" s="6" t="n">
        <v>0</v>
      </c>
      <c r="I6" s="6" t="n">
        <v>-11704450.47</v>
      </c>
      <c r="J6" s="6" t="n">
        <v>-11668171.13095214</v>
      </c>
      <c r="K6" s="6" t="n">
        <v>-12155642.62591282</v>
      </c>
    </row>
    <row r="7">
      <c r="A7" s="4" t="inlineStr">
        <is>
          <t>Cohen, Jill</t>
        </is>
      </c>
      <c r="B7" s="4" t="inlineStr">
        <is>
          <t>Tavarez, Nadia</t>
        </is>
      </c>
      <c r="C7" s="5" t="n">
        <v>74002548</v>
      </c>
      <c r="D7" s="4" t="inlineStr">
        <is>
          <t>GVCCC_74002548 - Op Svc Endoscopy Center - LHGV</t>
        </is>
      </c>
      <c r="E7" s="6" t="n">
        <v>937951.86</v>
      </c>
      <c r="F7" s="6" t="n">
        <v>1152173.509841592</v>
      </c>
      <c r="G7" s="6" t="n">
        <v>1010658.195376723</v>
      </c>
      <c r="H7" s="6" t="n">
        <v>0</v>
      </c>
      <c r="I7" s="6" t="n">
        <v>-937951.86</v>
      </c>
      <c r="J7" s="6" t="n">
        <v>-1152173.509841592</v>
      </c>
      <c r="K7" s="6" t="n">
        <v>-1010658.195376723</v>
      </c>
    </row>
    <row r="8">
      <c r="A8" s="4" t="inlineStr">
        <is>
          <t>Cohen, Jill</t>
        </is>
      </c>
      <c r="B8" s="4" t="inlineStr">
        <is>
          <t>Tavarez, Nadia</t>
        </is>
      </c>
      <c r="C8" s="5" t="n">
        <v>74002562</v>
      </c>
      <c r="D8" s="4" t="inlineStr">
        <is>
          <t>GVCCC_74002562 - Pos-Central Services</t>
        </is>
      </c>
      <c r="E8" s="6" t="n">
        <v>87132.36</v>
      </c>
      <c r="F8" s="6" t="n">
        <v>105695.08054321</v>
      </c>
      <c r="G8" s="6" t="n">
        <v>623270.7905943777</v>
      </c>
      <c r="H8" s="6" t="n">
        <v>0</v>
      </c>
      <c r="I8" s="6" t="n">
        <v>-87132.36</v>
      </c>
      <c r="J8" s="6" t="n">
        <v>-105695.08054321</v>
      </c>
      <c r="K8" s="6" t="n">
        <v>-623270.7905943777</v>
      </c>
    </row>
    <row r="9">
      <c r="A9" s="4" t="inlineStr">
        <is>
          <t>Cohen, Jill</t>
        </is>
      </c>
      <c r="B9" s="4" t="inlineStr">
        <is>
          <t>Tavarez, Nadia</t>
        </is>
      </c>
      <c r="C9" s="5" t="n">
        <v>74002564</v>
      </c>
      <c r="D9" s="4" t="inlineStr">
        <is>
          <t>GVCCC_74002564 - POS - Recovery Room</t>
        </is>
      </c>
      <c r="E9" s="6" t="n">
        <v>156259.54</v>
      </c>
      <c r="F9" s="6" t="n">
        <v>141348.4144789087</v>
      </c>
      <c r="G9" s="6" t="n">
        <v>263038.1800825688</v>
      </c>
      <c r="H9" s="6" t="n">
        <v>0</v>
      </c>
      <c r="I9" s="6" t="n">
        <v>-156259.54</v>
      </c>
      <c r="J9" s="6" t="n">
        <v>-141348.4144789087</v>
      </c>
      <c r="K9" s="6" t="n">
        <v>-263038.1800825688</v>
      </c>
    </row>
    <row r="10">
      <c r="A10" s="7" t="inlineStr">
        <is>
          <t>Total</t>
        </is>
      </c>
      <c r="B10" s="7" t="n"/>
      <c r="C10" s="7">
        <f>SUM(C6:C9)</f>
        <v/>
      </c>
      <c r="D10" s="7" t="n"/>
      <c r="E10" s="8">
        <f>SUM(E6:E9)</f>
        <v/>
      </c>
      <c r="F10" s="8">
        <f>SUM(F6:F9)</f>
        <v/>
      </c>
      <c r="G10" s="8">
        <f>SUM(G6:G9)</f>
        <v/>
      </c>
      <c r="H10" s="8">
        <f>SUM(H6:H9)</f>
        <v/>
      </c>
      <c r="I10" s="8">
        <f>SUM(I6:I9)</f>
        <v/>
      </c>
      <c r="J10" s="8">
        <f>SUM(J6:J9)</f>
        <v/>
      </c>
      <c r="K10" s="8">
        <f>SUM(K6:K9)</f>
        <v/>
      </c>
    </row>
  </sheetData>
  <autoFilter ref="A5: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44" customWidth="1" min="3" max="3"/>
    <col width="22" customWidth="1" min="4" max="4"/>
    <col width="22" customWidth="1" min="5" max="5"/>
    <col width="23" customWidth="1" min="6" max="6"/>
    <col width="29" customWidth="1" min="7" max="7"/>
    <col width="29" customWidth="1" min="8" max="8"/>
    <col width="29" customWidth="1" min="9" max="9"/>
    <col width="33" customWidth="1" min="10" max="10"/>
  </cols>
  <sheetData>
    <row r="1">
      <c r="A1" s="1" t="inlineStr">
        <is>
          <t>GVCCC</t>
        </is>
      </c>
    </row>
    <row r="2">
      <c r="A2" s="1" t="inlineStr">
        <is>
          <t>2027 OTS Summary by Account</t>
        </is>
      </c>
    </row>
    <row r="3">
      <c r="A3" s="1" t="inlineStr">
        <is>
          <t>Updated 2026-08-26</t>
        </is>
      </c>
    </row>
    <row r="4">
      <c r="H4" s="2" t="inlineStr">
        <is>
          <t>Variance</t>
        </is>
      </c>
      <c r="I4" s="2" t="n"/>
      <c r="J4" s="2" t="n"/>
    </row>
    <row r="5">
      <c r="A5" s="3" t="inlineStr">
        <is>
          <t>VP</t>
        </is>
      </c>
      <c r="B5" s="3" t="inlineStr">
        <is>
          <t>Account Number</t>
        </is>
      </c>
      <c r="C5" s="3" t="inlineStr">
        <is>
          <t>Account Name</t>
        </is>
      </c>
      <c r="D5" s="3" t="inlineStr">
        <is>
          <t>2025 Actual</t>
        </is>
      </c>
      <c r="E5" s="3" t="inlineStr">
        <is>
          <t>2026 Budget</t>
        </is>
      </c>
      <c r="F5" s="3" t="inlineStr">
        <is>
          <t>2026 Projection</t>
        </is>
      </c>
      <c r="G5" s="3" t="inlineStr">
        <is>
          <t>2027 Budget w/o Inflation</t>
        </is>
      </c>
      <c r="H5" s="3" t="inlineStr">
        <is>
          <t>2027 Budget - 2025 Actual</t>
        </is>
      </c>
      <c r="I5" s="3" t="inlineStr">
        <is>
          <t>2027 Budget - 2026 Budget</t>
        </is>
      </c>
      <c r="J5" s="3" t="inlineStr">
        <is>
          <t>2027 Budget - 2026 Projection</t>
        </is>
      </c>
    </row>
    <row r="6">
      <c r="A6" s="4" t="inlineStr">
        <is>
          <t>Cohen, Jill</t>
        </is>
      </c>
      <c r="B6" s="4" t="inlineStr">
        <is>
          <t>A_55009</t>
        </is>
      </c>
      <c r="C6" s="4" t="inlineStr">
        <is>
          <t>A_55009 - Supply Chain Channel Rebates</t>
        </is>
      </c>
      <c r="D6" s="6" t="n">
        <v>-1242.14</v>
      </c>
      <c r="E6" s="6" t="n">
        <v>0</v>
      </c>
      <c r="F6" s="6" t="n">
        <v>-1607.5443956044</v>
      </c>
      <c r="G6" s="6" t="n">
        <v>0</v>
      </c>
      <c r="H6" s="6" t="n">
        <v>1242.14</v>
      </c>
      <c r="I6" s="6" t="n">
        <v>0</v>
      </c>
      <c r="J6" s="6" t="n">
        <v>1607.5443956044</v>
      </c>
    </row>
    <row r="7">
      <c r="A7" s="4" t="inlineStr">
        <is>
          <t>Cohen, Jill</t>
        </is>
      </c>
      <c r="B7" s="4" t="inlineStr">
        <is>
          <t>A_55010</t>
        </is>
      </c>
      <c r="C7" s="4" t="inlineStr">
        <is>
          <t>A_55010 - Rebates From Vendors</t>
        </is>
      </c>
      <c r="D7" s="6" t="n">
        <v>-73823.83</v>
      </c>
      <c r="E7" s="6" t="n">
        <v>-90139.9999999998</v>
      </c>
      <c r="F7" s="6" t="n">
        <v>-126285.3438461539</v>
      </c>
      <c r="G7" s="6" t="n">
        <v>0</v>
      </c>
      <c r="H7" s="6" t="n">
        <v>73823.83</v>
      </c>
      <c r="I7" s="6" t="n">
        <v>90139.9999999998</v>
      </c>
      <c r="J7" s="6" t="n">
        <v>126285.3438461539</v>
      </c>
    </row>
    <row r="8">
      <c r="A8" s="4" t="inlineStr">
        <is>
          <t>Cohen, Jill</t>
        </is>
      </c>
      <c r="B8" s="4" t="inlineStr">
        <is>
          <t>A_61000</t>
        </is>
      </c>
      <c r="C8" s="4" t="inlineStr">
        <is>
          <t>A_61000 - Consulting Fees</t>
        </is>
      </c>
      <c r="D8" s="6" t="n">
        <v>280862.06</v>
      </c>
      <c r="E8" s="6" t="n">
        <v>0</v>
      </c>
      <c r="F8" s="6" t="n">
        <v>53091.7</v>
      </c>
      <c r="G8" s="6" t="n">
        <v>0</v>
      </c>
      <c r="H8" s="6" t="n">
        <v>-280862.06</v>
      </c>
      <c r="I8" s="6" t="n">
        <v>0</v>
      </c>
      <c r="J8" s="6" t="n">
        <v>-53091.7</v>
      </c>
    </row>
    <row r="9">
      <c r="A9" s="4" t="inlineStr">
        <is>
          <t>Cohen, Jill</t>
        </is>
      </c>
      <c r="B9" s="4" t="inlineStr">
        <is>
          <t>A_61200</t>
        </is>
      </c>
      <c r="C9" s="4" t="inlineStr">
        <is>
          <t>A_61200 - Temporary Employees</t>
        </is>
      </c>
      <c r="D9" s="6" t="n">
        <v>45872.87</v>
      </c>
      <c r="E9" s="6" t="n">
        <v>163076</v>
      </c>
      <c r="F9" s="6" t="n">
        <v>0</v>
      </c>
      <c r="G9" s="6" t="n">
        <v>0</v>
      </c>
      <c r="H9" s="6" t="n">
        <v>-45872.87</v>
      </c>
      <c r="I9" s="6" t="n">
        <v>-163076</v>
      </c>
      <c r="J9" s="6" t="n">
        <v>0</v>
      </c>
    </row>
    <row r="10">
      <c r="A10" s="4" t="inlineStr">
        <is>
          <t>Cohen, Jill</t>
        </is>
      </c>
      <c r="B10" s="4" t="inlineStr">
        <is>
          <t>A_61400</t>
        </is>
      </c>
      <c r="C10" s="4" t="inlineStr">
        <is>
          <t>A_61400 - Other Fees</t>
        </is>
      </c>
      <c r="D10" s="6" t="n">
        <v>70</v>
      </c>
      <c r="E10" s="6" t="n">
        <v>0</v>
      </c>
      <c r="F10" s="6" t="n">
        <v>0</v>
      </c>
      <c r="G10" s="6" t="n">
        <v>0</v>
      </c>
      <c r="H10" s="6" t="n">
        <v>-70</v>
      </c>
      <c r="I10" s="6" t="n">
        <v>0</v>
      </c>
      <c r="J10" s="6" t="n">
        <v>0</v>
      </c>
    </row>
    <row r="11">
      <c r="A11" s="4" t="inlineStr">
        <is>
          <t>Cohen, Jill</t>
        </is>
      </c>
      <c r="B11" s="4" t="inlineStr">
        <is>
          <t>A_63000</t>
        </is>
      </c>
      <c r="C11" s="4" t="inlineStr">
        <is>
          <t>A_63000 - Supplies - Laboratory</t>
        </is>
      </c>
      <c r="D11" s="6" t="n">
        <v>20875.57</v>
      </c>
      <c r="E11" s="6" t="n">
        <v>20535.6792252496</v>
      </c>
      <c r="F11" s="6" t="n">
        <v>25069.7330769231</v>
      </c>
      <c r="G11" s="6" t="n">
        <v>0</v>
      </c>
      <c r="H11" s="6" t="n">
        <v>-20875.57</v>
      </c>
      <c r="I11" s="6" t="n">
        <v>-20535.6792252496</v>
      </c>
      <c r="J11" s="6" t="n">
        <v>-25069.7330769231</v>
      </c>
    </row>
    <row r="12">
      <c r="A12" s="4" t="inlineStr">
        <is>
          <t>Cohen, Jill</t>
        </is>
      </c>
      <c r="B12" s="4" t="inlineStr">
        <is>
          <t>A_63005</t>
        </is>
      </c>
      <c r="C12" s="4" t="inlineStr">
        <is>
          <t>A_63005 - Supplies - Reagents</t>
        </is>
      </c>
      <c r="D12" s="6" t="n">
        <v>755.16</v>
      </c>
      <c r="E12" s="6" t="n">
        <v>0</v>
      </c>
      <c r="F12" s="6" t="n">
        <v>1341.8123076923</v>
      </c>
      <c r="G12" s="6" t="n">
        <v>0</v>
      </c>
      <c r="H12" s="6" t="n">
        <v>-755.16</v>
      </c>
      <c r="I12" s="6" t="n">
        <v>0</v>
      </c>
      <c r="J12" s="6" t="n">
        <v>-1341.8123076923</v>
      </c>
    </row>
    <row r="13">
      <c r="A13" s="4" t="inlineStr">
        <is>
          <t>Cohen, Jill</t>
        </is>
      </c>
      <c r="B13" s="4" t="inlineStr">
        <is>
          <t>A_63008</t>
        </is>
      </c>
      <c r="C13" s="4" t="inlineStr">
        <is>
          <t>A_63008 - Supplies - Implants - Spinal</t>
        </is>
      </c>
      <c r="D13" s="6" t="n">
        <v>33357.49</v>
      </c>
      <c r="E13" s="6" t="n">
        <v>24075.9230164609</v>
      </c>
      <c r="F13" s="6" t="n">
        <v>764.1758241758</v>
      </c>
      <c r="G13" s="6" t="n">
        <v>0</v>
      </c>
      <c r="H13" s="6" t="n">
        <v>-33357.49</v>
      </c>
      <c r="I13" s="6" t="n">
        <v>-24075.9230164609</v>
      </c>
      <c r="J13" s="6" t="n">
        <v>-764.1758241758</v>
      </c>
    </row>
    <row r="14">
      <c r="A14" s="4" t="inlineStr">
        <is>
          <t>Cohen, Jill</t>
        </is>
      </c>
      <c r="B14" s="4" t="inlineStr">
        <is>
          <t>A_63009</t>
        </is>
      </c>
      <c r="C14" s="4" t="inlineStr">
        <is>
          <t>A_63009 - Supplies - Implants - Joint</t>
        </is>
      </c>
      <c r="D14" s="6" t="n">
        <v>1094675.47</v>
      </c>
      <c r="E14" s="6" t="n">
        <v>1294366.43961443</v>
      </c>
      <c r="F14" s="6" t="n">
        <v>990551.288571428</v>
      </c>
      <c r="G14" s="6" t="n">
        <v>0</v>
      </c>
      <c r="H14" s="6" t="n">
        <v>-1094675.47</v>
      </c>
      <c r="I14" s="6" t="n">
        <v>-1294366.43961443</v>
      </c>
      <c r="J14" s="6" t="n">
        <v>-990551.288571428</v>
      </c>
    </row>
    <row r="15">
      <c r="A15" s="4" t="inlineStr">
        <is>
          <t>Cohen, Jill</t>
        </is>
      </c>
      <c r="B15" s="4" t="inlineStr">
        <is>
          <t>A_63010</t>
        </is>
      </c>
      <c r="C15" s="4" t="inlineStr">
        <is>
          <t>A_63010 - Supplies - Implnts - Oth Ortho</t>
        </is>
      </c>
      <c r="D15" s="6" t="n">
        <v>2905521.96</v>
      </c>
      <c r="E15" s="6" t="n">
        <v>3395478.170412308</v>
      </c>
      <c r="F15" s="6" t="n">
        <v>3294207.151978022</v>
      </c>
      <c r="G15" s="6" t="n">
        <v>0</v>
      </c>
      <c r="H15" s="6" t="n">
        <v>-2905521.96</v>
      </c>
      <c r="I15" s="6" t="n">
        <v>-3395478.170412308</v>
      </c>
      <c r="J15" s="6" t="n">
        <v>-3294207.151978022</v>
      </c>
    </row>
    <row r="16">
      <c r="A16" s="4" t="inlineStr">
        <is>
          <t>Cohen, Jill</t>
        </is>
      </c>
      <c r="B16" s="4" t="inlineStr">
        <is>
          <t>A_63015</t>
        </is>
      </c>
      <c r="C16" s="4" t="inlineStr">
        <is>
          <t>A_63015 - Supplies - Implants - Neuro</t>
        </is>
      </c>
      <c r="D16" s="6" t="n">
        <v>2340478.75</v>
      </c>
      <c r="E16" s="6" t="n">
        <v>2256507.89167659</v>
      </c>
      <c r="F16" s="6" t="n">
        <v>2482740.32703297</v>
      </c>
      <c r="G16" s="6" t="n">
        <v>0</v>
      </c>
      <c r="H16" s="6" t="n">
        <v>-2340478.75</v>
      </c>
      <c r="I16" s="6" t="n">
        <v>-2256507.89167659</v>
      </c>
      <c r="J16" s="6" t="n">
        <v>-2482740.32703297</v>
      </c>
    </row>
    <row r="17">
      <c r="A17" s="4" t="inlineStr">
        <is>
          <t>Cohen, Jill</t>
        </is>
      </c>
      <c r="B17" s="4" t="inlineStr">
        <is>
          <t>A_63020</t>
        </is>
      </c>
      <c r="C17" s="4" t="inlineStr">
        <is>
          <t>A_63020 - Supplies Wound Closure</t>
        </is>
      </c>
      <c r="D17" s="6" t="n">
        <v>489600.06</v>
      </c>
      <c r="E17" s="6" t="n">
        <v>518874.1408529821</v>
      </c>
      <c r="F17" s="6" t="n">
        <v>559487.2272527472</v>
      </c>
      <c r="G17" s="6" t="n">
        <v>0</v>
      </c>
      <c r="H17" s="6" t="n">
        <v>-489600.06</v>
      </c>
      <c r="I17" s="6" t="n">
        <v>-518874.1408529821</v>
      </c>
      <c r="J17" s="6" t="n">
        <v>-559487.2272527472</v>
      </c>
    </row>
    <row r="18">
      <c r="A18" s="4" t="inlineStr">
        <is>
          <t>Cohen, Jill</t>
        </is>
      </c>
      <c r="B18" s="4" t="inlineStr">
        <is>
          <t>A_63030</t>
        </is>
      </c>
      <c r="C18" s="4" t="inlineStr">
        <is>
          <t>A_63030 - Supplies - Medical</t>
        </is>
      </c>
      <c r="D18" s="6" t="n">
        <v>681721.97</v>
      </c>
      <c r="E18" s="6" t="n">
        <v>569064.7430868925</v>
      </c>
      <c r="F18" s="6" t="n">
        <v>666451.1495604394</v>
      </c>
      <c r="G18" s="6" t="n">
        <v>0</v>
      </c>
      <c r="H18" s="6" t="n">
        <v>-681721.97</v>
      </c>
      <c r="I18" s="6" t="n">
        <v>-569064.7430868925</v>
      </c>
      <c r="J18" s="6" t="n">
        <v>-666451.1495604394</v>
      </c>
    </row>
    <row r="19">
      <c r="A19" s="4" t="inlineStr">
        <is>
          <t>Cohen, Jill</t>
        </is>
      </c>
      <c r="B19" s="4" t="inlineStr">
        <is>
          <t>A_63032</t>
        </is>
      </c>
      <c r="C19" s="4" t="inlineStr">
        <is>
          <t>A_63032 - Supplies - Medical - PPE</t>
        </is>
      </c>
      <c r="D19" s="6" t="n">
        <v>2841.05</v>
      </c>
      <c r="E19" s="6" t="n">
        <v>1703.2404077419</v>
      </c>
      <c r="F19" s="6" t="n">
        <v>2847.1582417583</v>
      </c>
      <c r="G19" s="6" t="n">
        <v>0</v>
      </c>
      <c r="H19" s="6" t="n">
        <v>-2841.05</v>
      </c>
      <c r="I19" s="6" t="n">
        <v>-1703.2404077419</v>
      </c>
      <c r="J19" s="6" t="n">
        <v>-2847.1582417583</v>
      </c>
    </row>
    <row r="20">
      <c r="A20" s="4" t="inlineStr">
        <is>
          <t>Cohen, Jill</t>
        </is>
      </c>
      <c r="B20" s="4" t="inlineStr">
        <is>
          <t>A_63035</t>
        </is>
      </c>
      <c r="C20" s="4" t="inlineStr">
        <is>
          <t>A_63035 - Supplies - Gases</t>
        </is>
      </c>
      <c r="D20" s="6" t="n">
        <v>2289.58</v>
      </c>
      <c r="E20" s="6" t="n">
        <v>2042.1479612903</v>
      </c>
      <c r="F20" s="6" t="n">
        <v>2618.0261538462</v>
      </c>
      <c r="G20" s="6" t="n">
        <v>0</v>
      </c>
      <c r="H20" s="6" t="n">
        <v>-2289.58</v>
      </c>
      <c r="I20" s="6" t="n">
        <v>-2042.1479612903</v>
      </c>
      <c r="J20" s="6" t="n">
        <v>-2618.0261538462</v>
      </c>
    </row>
    <row r="21">
      <c r="A21" s="4" t="inlineStr">
        <is>
          <t>Cohen, Jill</t>
        </is>
      </c>
      <c r="B21" s="4" t="inlineStr">
        <is>
          <t>A_63040</t>
        </is>
      </c>
      <c r="C21" s="4" t="inlineStr">
        <is>
          <t>A_63040 - Supplies - Radiology</t>
        </is>
      </c>
      <c r="D21" s="6" t="n">
        <v>12977.42</v>
      </c>
      <c r="E21" s="6" t="n">
        <v>16646.7462592594</v>
      </c>
      <c r="F21" s="6" t="n">
        <v>27168.4615384615</v>
      </c>
      <c r="G21" s="6" t="n">
        <v>0</v>
      </c>
      <c r="H21" s="6" t="n">
        <v>-12977.42</v>
      </c>
      <c r="I21" s="6" t="n">
        <v>-16646.7462592594</v>
      </c>
      <c r="J21" s="6" t="n">
        <v>-27168.4615384615</v>
      </c>
    </row>
    <row r="22">
      <c r="A22" s="4" t="inlineStr">
        <is>
          <t>Cohen, Jill</t>
        </is>
      </c>
      <c r="B22" s="4" t="inlineStr">
        <is>
          <t>A_63045</t>
        </is>
      </c>
      <c r="C22" s="4" t="inlineStr">
        <is>
          <t>A_63045 - Supplies - Med Equip Repair</t>
        </is>
      </c>
      <c r="D22" s="6" t="n">
        <v>40648.32</v>
      </c>
      <c r="E22" s="6" t="n">
        <v>21265.4741835479</v>
      </c>
      <c r="F22" s="6" t="n">
        <v>35230.5164835166</v>
      </c>
      <c r="G22" s="6" t="n">
        <v>0</v>
      </c>
      <c r="H22" s="6" t="n">
        <v>-40648.32</v>
      </c>
      <c r="I22" s="6" t="n">
        <v>-21265.4741835479</v>
      </c>
      <c r="J22" s="6" t="n">
        <v>-35230.5164835166</v>
      </c>
    </row>
    <row r="23">
      <c r="A23" s="4" t="inlineStr">
        <is>
          <t>Cohen, Jill</t>
        </is>
      </c>
      <c r="B23" s="4" t="inlineStr">
        <is>
          <t>A_63050</t>
        </is>
      </c>
      <c r="C23" s="4" t="inlineStr">
        <is>
          <t>A_63050 - Supplies - Iv Solutions &amp; Sets</t>
        </is>
      </c>
      <c r="D23" s="6" t="n">
        <v>133607.17</v>
      </c>
      <c r="E23" s="6" t="n">
        <v>143083.9001936566</v>
      </c>
      <c r="F23" s="6" t="n">
        <v>165455.5285714282</v>
      </c>
      <c r="G23" s="6" t="n">
        <v>0</v>
      </c>
      <c r="H23" s="6" t="n">
        <v>-133607.17</v>
      </c>
      <c r="I23" s="6" t="n">
        <v>-143083.9001936566</v>
      </c>
      <c r="J23" s="6" t="n">
        <v>-165455.5285714282</v>
      </c>
    </row>
    <row r="24">
      <c r="A24" s="4" t="inlineStr">
        <is>
          <t>Cohen, Jill</t>
        </is>
      </c>
      <c r="B24" s="4" t="inlineStr">
        <is>
          <t>A_63060</t>
        </is>
      </c>
      <c r="C24" s="4" t="inlineStr">
        <is>
          <t>A_63060 - Supplies - Surgery Packs-Sheet</t>
        </is>
      </c>
      <c r="D24" s="6" t="n">
        <v>336197.73</v>
      </c>
      <c r="E24" s="6" t="n">
        <v>367243.934081238</v>
      </c>
      <c r="F24" s="6" t="n">
        <v>368769.513956044</v>
      </c>
      <c r="G24" s="6" t="n">
        <v>0</v>
      </c>
      <c r="H24" s="6" t="n">
        <v>-336197.73</v>
      </c>
      <c r="I24" s="6" t="n">
        <v>-367243.934081238</v>
      </c>
      <c r="J24" s="6" t="n">
        <v>-368769.513956044</v>
      </c>
    </row>
    <row r="25">
      <c r="A25" s="4" t="inlineStr">
        <is>
          <t>Cohen, Jill</t>
        </is>
      </c>
      <c r="B25" s="4" t="inlineStr">
        <is>
          <t>A_63062</t>
        </is>
      </c>
      <c r="C25" s="4" t="inlineStr">
        <is>
          <t>A_63062 - Supplies - Impl - Oth Vascular</t>
        </is>
      </c>
      <c r="D25" s="6" t="n">
        <v>13408.81</v>
      </c>
      <c r="E25" s="6" t="n">
        <v>10367.9943256305</v>
      </c>
      <c r="F25" s="6" t="n">
        <v>20808.0250549451</v>
      </c>
      <c r="G25" s="6" t="n">
        <v>0</v>
      </c>
      <c r="H25" s="6" t="n">
        <v>-13408.81</v>
      </c>
      <c r="I25" s="6" t="n">
        <v>-10367.9943256305</v>
      </c>
      <c r="J25" s="6" t="n">
        <v>-20808.0250549451</v>
      </c>
    </row>
    <row r="26">
      <c r="A26" s="4" t="inlineStr">
        <is>
          <t>Cohen, Jill</t>
        </is>
      </c>
      <c r="B26" s="4" t="inlineStr">
        <is>
          <t>A_63063</t>
        </is>
      </c>
      <c r="C26" s="4" t="inlineStr">
        <is>
          <t>A_63063 - Supplies - Implants - Pacemkrs</t>
        </is>
      </c>
      <c r="D26" s="6" t="n">
        <v>0</v>
      </c>
      <c r="E26" s="6" t="n">
        <v>-473.9999999999</v>
      </c>
      <c r="F26" s="6" t="n">
        <v>35260.6813186813</v>
      </c>
      <c r="G26" s="6" t="n">
        <v>0</v>
      </c>
      <c r="H26" s="6" t="n">
        <v>0</v>
      </c>
      <c r="I26" s="6" t="n">
        <v>473.9999999999</v>
      </c>
      <c r="J26" s="6" t="n">
        <v>-35260.6813186813</v>
      </c>
    </row>
    <row r="27">
      <c r="A27" s="4" t="inlineStr">
        <is>
          <t>Cohen, Jill</t>
        </is>
      </c>
      <c r="B27" s="4" t="inlineStr">
        <is>
          <t>A_63064</t>
        </is>
      </c>
      <c r="C27" s="4" t="inlineStr">
        <is>
          <t>A_63064 - Supplies - Implants - ICDs</t>
        </is>
      </c>
      <c r="D27" s="6" t="n">
        <v>0</v>
      </c>
      <c r="E27" s="6" t="n">
        <v>-1746</v>
      </c>
      <c r="F27" s="6" t="n">
        <v>115519.252747253</v>
      </c>
      <c r="G27" s="6" t="n">
        <v>0</v>
      </c>
      <c r="H27" s="6" t="n">
        <v>0</v>
      </c>
      <c r="I27" s="6" t="n">
        <v>1746</v>
      </c>
      <c r="J27" s="6" t="n">
        <v>-115519.252747253</v>
      </c>
    </row>
    <row r="28">
      <c r="A28" s="4" t="inlineStr">
        <is>
          <t>Cohen, Jill</t>
        </is>
      </c>
      <c r="B28" s="4" t="inlineStr">
        <is>
          <t>A_63065</t>
        </is>
      </c>
      <c r="C28" s="4" t="inlineStr">
        <is>
          <t>A_63065 - Supplies - mpl - Oth Coronary</t>
        </is>
      </c>
      <c r="D28" s="6" t="n">
        <v>4790.1</v>
      </c>
      <c r="E28" s="6" t="n">
        <v>10101.4516049383</v>
      </c>
      <c r="F28" s="6" t="n">
        <v>2111.5384615385</v>
      </c>
      <c r="G28" s="6" t="n">
        <v>0</v>
      </c>
      <c r="H28" s="6" t="n">
        <v>-4790.1</v>
      </c>
      <c r="I28" s="6" t="n">
        <v>-10101.4516049383</v>
      </c>
      <c r="J28" s="6" t="n">
        <v>-2111.5384615385</v>
      </c>
    </row>
    <row r="29">
      <c r="A29" s="4" t="inlineStr">
        <is>
          <t>Cohen, Jill</t>
        </is>
      </c>
      <c r="B29" s="4" t="inlineStr">
        <is>
          <t>A_63066</t>
        </is>
      </c>
      <c r="C29" s="4" t="inlineStr">
        <is>
          <t>A_63066 - Supplies - Implant - Breast</t>
        </is>
      </c>
      <c r="D29" s="6" t="n">
        <v>32084.5</v>
      </c>
      <c r="E29" s="6" t="n">
        <v>16624.4319444445</v>
      </c>
      <c r="F29" s="6" t="n">
        <v>75354.77472527471</v>
      </c>
      <c r="G29" s="6" t="n">
        <v>0</v>
      </c>
      <c r="H29" s="6" t="n">
        <v>-32084.5</v>
      </c>
      <c r="I29" s="6" t="n">
        <v>-16624.4319444445</v>
      </c>
      <c r="J29" s="6" t="n">
        <v>-75354.77472527471</v>
      </c>
    </row>
    <row r="30">
      <c r="A30" s="4" t="inlineStr">
        <is>
          <t>Cohen, Jill</t>
        </is>
      </c>
      <c r="B30" s="4" t="inlineStr">
        <is>
          <t>A_63070</t>
        </is>
      </c>
      <c r="C30" s="4" t="inlineStr">
        <is>
          <t>A_63070 - Supplies - Implants - All Oth</t>
        </is>
      </c>
      <c r="D30" s="6" t="n">
        <v>285289.84</v>
      </c>
      <c r="E30" s="6" t="n">
        <v>252639.994697682</v>
      </c>
      <c r="F30" s="6" t="n">
        <v>612768.0995604395</v>
      </c>
      <c r="G30" s="6" t="n">
        <v>0</v>
      </c>
      <c r="H30" s="6" t="n">
        <v>-285289.84</v>
      </c>
      <c r="I30" s="6" t="n">
        <v>-252639.994697682</v>
      </c>
      <c r="J30" s="6" t="n">
        <v>-612768.0995604395</v>
      </c>
    </row>
    <row r="31">
      <c r="A31" s="4" t="inlineStr">
        <is>
          <t>Cohen, Jill</t>
        </is>
      </c>
      <c r="B31" s="4" t="inlineStr">
        <is>
          <t>A_63078</t>
        </is>
      </c>
      <c r="C31" s="4" t="inlineStr">
        <is>
          <t>A_63078 - Supplies - Implants - Cochlear</t>
        </is>
      </c>
      <c r="D31" s="6" t="n">
        <v>-126015.9</v>
      </c>
      <c r="E31" s="6" t="n">
        <v>-111095.863120988</v>
      </c>
      <c r="F31" s="6" t="n">
        <v>0</v>
      </c>
      <c r="G31" s="6" t="n">
        <v>0</v>
      </c>
      <c r="H31" s="6" t="n">
        <v>126015.9</v>
      </c>
      <c r="I31" s="6" t="n">
        <v>111095.863120988</v>
      </c>
      <c r="J31" s="6" t="n">
        <v>0</v>
      </c>
    </row>
    <row r="32">
      <c r="A32" s="4" t="inlineStr">
        <is>
          <t>Cohen, Jill</t>
        </is>
      </c>
      <c r="B32" s="4" t="inlineStr">
        <is>
          <t>A_63080</t>
        </is>
      </c>
      <c r="C32" s="4" t="inlineStr">
        <is>
          <t>A_63080 - Supplies - Surgical</t>
        </is>
      </c>
      <c r="D32" s="6" t="n">
        <v>2642080.77</v>
      </c>
      <c r="E32" s="6" t="n">
        <v>2896923.364351447</v>
      </c>
      <c r="F32" s="6" t="n">
        <v>3165830.439890108</v>
      </c>
      <c r="G32" s="6" t="n">
        <v>0</v>
      </c>
      <c r="H32" s="6" t="n">
        <v>-2642080.77</v>
      </c>
      <c r="I32" s="6" t="n">
        <v>-2896923.364351447</v>
      </c>
      <c r="J32" s="6" t="n">
        <v>-3165830.439890108</v>
      </c>
    </row>
    <row r="33">
      <c r="A33" s="4" t="inlineStr">
        <is>
          <t>Cohen, Jill</t>
        </is>
      </c>
      <c r="B33" s="4" t="inlineStr">
        <is>
          <t>A_64000</t>
        </is>
      </c>
      <c r="C33" s="4" t="inlineStr">
        <is>
          <t>A_64000 - Supplies - Hotel Services</t>
        </is>
      </c>
      <c r="D33" s="6" t="n">
        <v>16040.54</v>
      </c>
      <c r="E33" s="6" t="n">
        <v>2874.7299999997</v>
      </c>
      <c r="F33" s="6" t="n">
        <v>9859.0129834255</v>
      </c>
      <c r="G33" s="6" t="n">
        <v>0</v>
      </c>
      <c r="H33" s="6" t="n">
        <v>-16040.54</v>
      </c>
      <c r="I33" s="6" t="n">
        <v>-2874.7299999997</v>
      </c>
      <c r="J33" s="6" t="n">
        <v>-9859.0129834255</v>
      </c>
    </row>
    <row r="34">
      <c r="A34" s="4" t="inlineStr">
        <is>
          <t>Cohen, Jill</t>
        </is>
      </c>
      <c r="B34" s="4" t="inlineStr">
        <is>
          <t>A_64010</t>
        </is>
      </c>
      <c r="C34" s="4" t="inlineStr">
        <is>
          <t>A_64010 - Supplies - Linen And Bedding</t>
        </is>
      </c>
      <c r="D34" s="6" t="n">
        <v>1483.51</v>
      </c>
      <c r="E34" s="6" t="n">
        <v>1345.5</v>
      </c>
      <c r="F34" s="6" t="n">
        <v>368.0450276243</v>
      </c>
      <c r="G34" s="6" t="n">
        <v>0</v>
      </c>
      <c r="H34" s="6" t="n">
        <v>-1483.51</v>
      </c>
      <c r="I34" s="6" t="n">
        <v>-1345.5</v>
      </c>
      <c r="J34" s="6" t="n">
        <v>-368.0450276243</v>
      </c>
    </row>
    <row r="35">
      <c r="A35" s="4" t="inlineStr">
        <is>
          <t>Cohen, Jill</t>
        </is>
      </c>
      <c r="B35" s="4" t="inlineStr">
        <is>
          <t>A_64020</t>
        </is>
      </c>
      <c r="C35" s="4" t="inlineStr">
        <is>
          <t>A_64020 - Supplies - Office</t>
        </is>
      </c>
      <c r="D35" s="6" t="n">
        <v>7974.66</v>
      </c>
      <c r="E35" s="6" t="n">
        <v>4676.13</v>
      </c>
      <c r="F35" s="6" t="n">
        <v>51930.8690607735</v>
      </c>
      <c r="G35" s="6" t="n">
        <v>0</v>
      </c>
      <c r="H35" s="6" t="n">
        <v>-7974.66</v>
      </c>
      <c r="I35" s="6" t="n">
        <v>-4676.13</v>
      </c>
      <c r="J35" s="6" t="n">
        <v>-51930.8690607735</v>
      </c>
    </row>
    <row r="36">
      <c r="A36" s="4" t="inlineStr">
        <is>
          <t>Cohen, Jill</t>
        </is>
      </c>
      <c r="B36" s="4" t="inlineStr">
        <is>
          <t>A_64030</t>
        </is>
      </c>
      <c r="C36" s="4" t="inlineStr">
        <is>
          <t>A_64030 - Supplies - Other Non Medical</t>
        </is>
      </c>
      <c r="D36" s="6" t="n">
        <v>11528.68</v>
      </c>
      <c r="E36" s="6" t="n">
        <v>9487.845000000299</v>
      </c>
      <c r="F36" s="6" t="n">
        <v>6821.0635359115</v>
      </c>
      <c r="G36" s="6" t="n">
        <v>0</v>
      </c>
      <c r="H36" s="6" t="n">
        <v>-11528.68</v>
      </c>
      <c r="I36" s="6" t="n">
        <v>-9487.845000000299</v>
      </c>
      <c r="J36" s="6" t="n">
        <v>-6821.0635359115</v>
      </c>
    </row>
    <row r="37">
      <c r="A37" s="4" t="inlineStr">
        <is>
          <t>Cohen, Jill</t>
        </is>
      </c>
      <c r="B37" s="4" t="inlineStr">
        <is>
          <t>A_64090</t>
        </is>
      </c>
      <c r="C37" s="4" t="inlineStr">
        <is>
          <t>A_64090 - Non Med &amp; Non Surg Rebates</t>
        </is>
      </c>
      <c r="D37" s="6" t="n">
        <v>-125.85</v>
      </c>
      <c r="E37" s="6" t="n">
        <v>0</v>
      </c>
      <c r="F37" s="6" t="n">
        <v>0</v>
      </c>
      <c r="G37" s="6" t="n">
        <v>0</v>
      </c>
      <c r="H37" s="6" t="n">
        <v>125.85</v>
      </c>
      <c r="I37" s="6" t="n">
        <v>0</v>
      </c>
      <c r="J37" s="6" t="n">
        <v>0</v>
      </c>
    </row>
    <row r="38">
      <c r="A38" s="4" t="inlineStr">
        <is>
          <t>Cohen, Jill</t>
        </is>
      </c>
      <c r="B38" s="4" t="inlineStr">
        <is>
          <t>A_65030</t>
        </is>
      </c>
      <c r="C38" s="4" t="inlineStr">
        <is>
          <t>A_65030 - Disposable Services</t>
        </is>
      </c>
      <c r="D38" s="6" t="n">
        <v>1764.83</v>
      </c>
      <c r="E38" s="6" t="n">
        <v>0</v>
      </c>
      <c r="F38" s="6" t="n">
        <v>1806.0038674033</v>
      </c>
      <c r="G38" s="6" t="n">
        <v>0</v>
      </c>
      <c r="H38" s="6" t="n">
        <v>-1764.83</v>
      </c>
      <c r="I38" s="6" t="n">
        <v>0</v>
      </c>
      <c r="J38" s="6" t="n">
        <v>-1806.0038674033</v>
      </c>
    </row>
    <row r="39">
      <c r="A39" s="4" t="inlineStr">
        <is>
          <t>Cohen, Jill</t>
        </is>
      </c>
      <c r="B39" s="4" t="inlineStr">
        <is>
          <t>A_65050</t>
        </is>
      </c>
      <c r="C39" s="4" t="inlineStr">
        <is>
          <t>A_65050 - Telephone</t>
        </is>
      </c>
      <c r="D39" s="6" t="n">
        <v>2756.2</v>
      </c>
      <c r="E39" s="6" t="n">
        <v>1616</v>
      </c>
      <c r="F39" s="6" t="n">
        <v>2151.4834254144</v>
      </c>
      <c r="G39" s="6" t="n">
        <v>0</v>
      </c>
      <c r="H39" s="6" t="n">
        <v>-2756.2</v>
      </c>
      <c r="I39" s="6" t="n">
        <v>-1616</v>
      </c>
      <c r="J39" s="6" t="n">
        <v>-2151.4834254144</v>
      </c>
    </row>
    <row r="40">
      <c r="A40" s="4" t="inlineStr">
        <is>
          <t>Cohen, Jill</t>
        </is>
      </c>
      <c r="B40" s="4" t="inlineStr">
        <is>
          <t>A_65505</t>
        </is>
      </c>
      <c r="C40" s="4" t="inlineStr">
        <is>
          <t>A_65505 - Equipment Service Contracts</t>
        </is>
      </c>
      <c r="D40" s="6" t="n">
        <v>464.36</v>
      </c>
      <c r="E40" s="6" t="n">
        <v>1269</v>
      </c>
      <c r="F40" s="6" t="n">
        <v>7139.04</v>
      </c>
      <c r="G40" s="6" t="n">
        <v>0</v>
      </c>
      <c r="H40" s="6" t="n">
        <v>-464.36</v>
      </c>
      <c r="I40" s="6" t="n">
        <v>-1269</v>
      </c>
      <c r="J40" s="6" t="n">
        <v>-7139.04</v>
      </c>
    </row>
    <row r="41">
      <c r="A41" s="4" t="inlineStr">
        <is>
          <t>Cohen, Jill</t>
        </is>
      </c>
      <c r="B41" s="4" t="inlineStr">
        <is>
          <t>A_65507</t>
        </is>
      </c>
      <c r="C41" s="4" t="inlineStr">
        <is>
          <t>A_65507 - Medical Equip Srvcs Contracts</t>
        </is>
      </c>
      <c r="D41" s="6" t="n">
        <v>728378.47</v>
      </c>
      <c r="E41" s="6" t="n">
        <v>633254.5578298811</v>
      </c>
      <c r="F41" s="6" t="n">
        <v>722232.0800000001</v>
      </c>
      <c r="G41" s="6" t="n">
        <v>0</v>
      </c>
      <c r="H41" s="6" t="n">
        <v>-728378.47</v>
      </c>
      <c r="I41" s="6" t="n">
        <v>-633254.5578298811</v>
      </c>
      <c r="J41" s="6" t="n">
        <v>-722232.0800000001</v>
      </c>
    </row>
    <row r="42">
      <c r="A42" s="4" t="inlineStr">
        <is>
          <t>Cohen, Jill</t>
        </is>
      </c>
      <c r="B42" s="4" t="inlineStr">
        <is>
          <t>A_65510</t>
        </is>
      </c>
      <c r="C42" s="4" t="inlineStr">
        <is>
          <t>A_65510 - Freight</t>
        </is>
      </c>
      <c r="D42" s="6" t="n">
        <v>189117.03</v>
      </c>
      <c r="E42" s="6" t="n">
        <v>179448.9999999992</v>
      </c>
      <c r="F42" s="6" t="n">
        <v>164273.28</v>
      </c>
      <c r="G42" s="6" t="n">
        <v>0</v>
      </c>
      <c r="H42" s="6" t="n">
        <v>-189117.03</v>
      </c>
      <c r="I42" s="6" t="n">
        <v>-179448.9999999992</v>
      </c>
      <c r="J42" s="6" t="n">
        <v>-164273.28</v>
      </c>
    </row>
    <row r="43">
      <c r="A43" s="4" t="inlineStr">
        <is>
          <t>Cohen, Jill</t>
        </is>
      </c>
      <c r="B43" s="4" t="inlineStr">
        <is>
          <t>A_65515</t>
        </is>
      </c>
      <c r="C43" s="4" t="inlineStr">
        <is>
          <t>A_65515 - Ge Central Equip Svc Contract</t>
        </is>
      </c>
      <c r="D43" s="6" t="n">
        <v>23667.51</v>
      </c>
      <c r="E43" s="6" t="n">
        <v>23835.9999999996</v>
      </c>
      <c r="F43" s="6" t="n">
        <v>22428.18</v>
      </c>
      <c r="G43" s="6" t="n">
        <v>0</v>
      </c>
      <c r="H43" s="6" t="n">
        <v>-23667.51</v>
      </c>
      <c r="I43" s="6" t="n">
        <v>-23835.9999999996</v>
      </c>
      <c r="J43" s="6" t="n">
        <v>-22428.18</v>
      </c>
    </row>
    <row r="44">
      <c r="A44" s="4" t="inlineStr">
        <is>
          <t>Cohen, Jill</t>
        </is>
      </c>
      <c r="B44" s="4" t="inlineStr">
        <is>
          <t>A_65517</t>
        </is>
      </c>
      <c r="C44" s="4" t="inlineStr">
        <is>
          <t>A_65517 - Software Maint and Support</t>
        </is>
      </c>
      <c r="D44" s="6" t="n">
        <v>184365.21</v>
      </c>
      <c r="E44" s="6" t="n">
        <v>137546</v>
      </c>
      <c r="F44" s="6" t="n">
        <v>118736.8</v>
      </c>
      <c r="G44" s="6" t="n">
        <v>0</v>
      </c>
      <c r="H44" s="6" t="n">
        <v>-184365.21</v>
      </c>
      <c r="I44" s="6" t="n">
        <v>-137546</v>
      </c>
      <c r="J44" s="6" t="n">
        <v>-118736.8</v>
      </c>
    </row>
    <row r="45">
      <c r="A45" s="4" t="inlineStr">
        <is>
          <t>Cohen, Jill</t>
        </is>
      </c>
      <c r="B45" s="4" t="inlineStr">
        <is>
          <t>A_65525</t>
        </is>
      </c>
      <c r="C45" s="4" t="inlineStr">
        <is>
          <t>A_65525 - Maintenance And Repairs</t>
        </is>
      </c>
      <c r="D45" s="6" t="n">
        <v>25280.98</v>
      </c>
      <c r="E45" s="6" t="n">
        <v>23051.0000000004</v>
      </c>
      <c r="F45" s="6" t="n">
        <v>13475.32</v>
      </c>
      <c r="G45" s="6" t="n">
        <v>0</v>
      </c>
      <c r="H45" s="6" t="n">
        <v>-25280.98</v>
      </c>
      <c r="I45" s="6" t="n">
        <v>-23051.0000000004</v>
      </c>
      <c r="J45" s="6" t="n">
        <v>-13475.32</v>
      </c>
    </row>
    <row r="46">
      <c r="A46" s="4" t="inlineStr">
        <is>
          <t>Cohen, Jill</t>
        </is>
      </c>
      <c r="B46" s="4" t="inlineStr">
        <is>
          <t>A_65527</t>
        </is>
      </c>
      <c r="C46" s="4" t="inlineStr">
        <is>
          <t>A_65527 - Med Equipment Maint &amp; Repairs</t>
        </is>
      </c>
      <c r="D46" s="6" t="n">
        <v>8115.39</v>
      </c>
      <c r="E46" s="6" t="n">
        <v>3386.5682111676</v>
      </c>
      <c r="F46" s="6" t="n">
        <v>2067.5</v>
      </c>
      <c r="G46" s="6" t="n">
        <v>0</v>
      </c>
      <c r="H46" s="6" t="n">
        <v>-8115.39</v>
      </c>
      <c r="I46" s="6" t="n">
        <v>-3386.5682111676</v>
      </c>
      <c r="J46" s="6" t="n">
        <v>-2067.5</v>
      </c>
    </row>
    <row r="47">
      <c r="A47" s="4" t="inlineStr">
        <is>
          <t>Cohen, Jill</t>
        </is>
      </c>
      <c r="B47" s="4" t="inlineStr">
        <is>
          <t>A_65530</t>
        </is>
      </c>
      <c r="C47" s="4" t="inlineStr">
        <is>
          <t>A_65530 - Medical Purchased Services</t>
        </is>
      </c>
      <c r="D47" s="6" t="n">
        <v>9207</v>
      </c>
      <c r="E47" s="6" t="n">
        <v>5364</v>
      </c>
      <c r="F47" s="6" t="n">
        <v>34318</v>
      </c>
      <c r="G47" s="6" t="n">
        <v>0</v>
      </c>
      <c r="H47" s="6" t="n">
        <v>-9207</v>
      </c>
      <c r="I47" s="6" t="n">
        <v>-5364</v>
      </c>
      <c r="J47" s="6" t="n">
        <v>-34318</v>
      </c>
    </row>
    <row r="48">
      <c r="A48" s="4" t="inlineStr">
        <is>
          <t>Cohen, Jill</t>
        </is>
      </c>
      <c r="B48" s="4" t="inlineStr">
        <is>
          <t>A_65535</t>
        </is>
      </c>
      <c r="C48" s="4" t="inlineStr">
        <is>
          <t>A_65535 - Other Purchased Services</t>
        </is>
      </c>
      <c r="D48" s="6" t="n">
        <v>16423.86</v>
      </c>
      <c r="E48" s="6" t="n">
        <v>29943</v>
      </c>
      <c r="F48" s="6" t="n">
        <v>25363.84</v>
      </c>
      <c r="G48" s="6" t="n">
        <v>0</v>
      </c>
      <c r="H48" s="6" t="n">
        <v>-16423.86</v>
      </c>
      <c r="I48" s="6" t="n">
        <v>-29943</v>
      </c>
      <c r="J48" s="6" t="n">
        <v>-25363.84</v>
      </c>
    </row>
    <row r="49">
      <c r="A49" s="4" t="inlineStr">
        <is>
          <t>Cohen, Jill</t>
        </is>
      </c>
      <c r="B49" s="4" t="inlineStr">
        <is>
          <t>A_65536</t>
        </is>
      </c>
      <c r="C49" s="4" t="inlineStr">
        <is>
          <t>A_65536 - Oth Purch Serv- Credentialling</t>
        </is>
      </c>
      <c r="D49" s="6" t="n">
        <v>1795</v>
      </c>
      <c r="E49" s="6" t="n">
        <v>594.9999999996</v>
      </c>
      <c r="F49" s="6" t="n">
        <v>0</v>
      </c>
      <c r="G49" s="6" t="n">
        <v>0</v>
      </c>
      <c r="H49" s="6" t="n">
        <v>-1795</v>
      </c>
      <c r="I49" s="6" t="n">
        <v>-594.9999999996</v>
      </c>
      <c r="J49" s="6" t="n">
        <v>0</v>
      </c>
    </row>
    <row r="50">
      <c r="A50" s="4" t="inlineStr">
        <is>
          <t>Cohen, Jill</t>
        </is>
      </c>
      <c r="B50" s="4" t="inlineStr">
        <is>
          <t>A_65540</t>
        </is>
      </c>
      <c r="C50" s="4" t="inlineStr">
        <is>
          <t>A_65540 - Outside Messenger Service</t>
        </is>
      </c>
      <c r="D50" s="6" t="n">
        <v>0</v>
      </c>
      <c r="E50" s="6" t="n">
        <v>341.0000000004</v>
      </c>
      <c r="F50" s="6" t="n">
        <v>0</v>
      </c>
      <c r="G50" s="6" t="n">
        <v>0</v>
      </c>
      <c r="H50" s="6" t="n">
        <v>0</v>
      </c>
      <c r="I50" s="6" t="n">
        <v>-341.0000000004</v>
      </c>
      <c r="J50" s="6" t="n">
        <v>0</v>
      </c>
    </row>
    <row r="51">
      <c r="A51" s="4" t="inlineStr">
        <is>
          <t>Cohen, Jill</t>
        </is>
      </c>
      <c r="B51" s="4" t="inlineStr">
        <is>
          <t>A_65542</t>
        </is>
      </c>
      <c r="C51" s="4" t="inlineStr">
        <is>
          <t>A_65542 - Translation Services</t>
        </is>
      </c>
      <c r="D51" s="6" t="n">
        <v>1988.59</v>
      </c>
      <c r="E51" s="6" t="n">
        <v>4776</v>
      </c>
      <c r="F51" s="6" t="n">
        <v>0</v>
      </c>
      <c r="G51" s="6" t="n">
        <v>0</v>
      </c>
      <c r="H51" s="6" t="n">
        <v>-1988.59</v>
      </c>
      <c r="I51" s="6" t="n">
        <v>-4776</v>
      </c>
      <c r="J51" s="6" t="n">
        <v>0</v>
      </c>
    </row>
    <row r="52">
      <c r="A52" s="4" t="inlineStr">
        <is>
          <t>Cohen, Jill</t>
        </is>
      </c>
      <c r="B52" s="4" t="inlineStr">
        <is>
          <t>A_65545</t>
        </is>
      </c>
      <c r="C52" s="4" t="inlineStr">
        <is>
          <t>A_65545 - Transcript Sevices</t>
        </is>
      </c>
      <c r="D52" s="6" t="n">
        <v>-1150</v>
      </c>
      <c r="E52" s="6" t="n">
        <v>0</v>
      </c>
      <c r="F52" s="6" t="n">
        <v>0</v>
      </c>
      <c r="G52" s="6" t="n">
        <v>0</v>
      </c>
      <c r="H52" s="6" t="n">
        <v>1150</v>
      </c>
      <c r="I52" s="6" t="n">
        <v>0</v>
      </c>
      <c r="J52" s="6" t="n">
        <v>0</v>
      </c>
    </row>
    <row r="53">
      <c r="A53" s="4" t="inlineStr">
        <is>
          <t>Cohen, Jill</t>
        </is>
      </c>
      <c r="B53" s="4" t="inlineStr">
        <is>
          <t>A_65565</t>
        </is>
      </c>
      <c r="C53" s="4" t="inlineStr">
        <is>
          <t>A_65565 - Purchases Services - Linen</t>
        </is>
      </c>
      <c r="D53" s="6" t="n">
        <v>24054.43</v>
      </c>
      <c r="E53" s="6" t="n">
        <v>0</v>
      </c>
      <c r="F53" s="6" t="n">
        <v>27076.78</v>
      </c>
      <c r="G53" s="6" t="n">
        <v>0</v>
      </c>
      <c r="H53" s="6" t="n">
        <v>-24054.43</v>
      </c>
      <c r="I53" s="6" t="n">
        <v>0</v>
      </c>
      <c r="J53" s="6" t="n">
        <v>-27076.78</v>
      </c>
    </row>
    <row r="54">
      <c r="A54" s="4" t="inlineStr">
        <is>
          <t>Cohen, Jill</t>
        </is>
      </c>
      <c r="B54" s="4" t="inlineStr">
        <is>
          <t>A_66030</t>
        </is>
      </c>
      <c r="C54" s="4" t="inlineStr">
        <is>
          <t>A_66030 - Microfilming &amp; Archiving</t>
        </is>
      </c>
      <c r="D54" s="6" t="n">
        <v>115.26</v>
      </c>
      <c r="E54" s="6" t="n">
        <v>0</v>
      </c>
      <c r="F54" s="6" t="n">
        <v>130.56</v>
      </c>
      <c r="G54" s="6" t="n">
        <v>0</v>
      </c>
      <c r="H54" s="6" t="n">
        <v>-115.26</v>
      </c>
      <c r="I54" s="6" t="n">
        <v>0</v>
      </c>
      <c r="J54" s="6" t="n">
        <v>-130.56</v>
      </c>
    </row>
    <row r="55">
      <c r="A55" s="4" t="inlineStr">
        <is>
          <t>Cohen, Jill</t>
        </is>
      </c>
      <c r="B55" s="4" t="inlineStr">
        <is>
          <t>A_66050</t>
        </is>
      </c>
      <c r="C55" s="4" t="inlineStr">
        <is>
          <t>A_66050 - Printing And Duplication</t>
        </is>
      </c>
      <c r="D55" s="6" t="n">
        <v>6536.35</v>
      </c>
      <c r="E55" s="6" t="n">
        <v>9219</v>
      </c>
      <c r="F55" s="6" t="n">
        <v>2736.24</v>
      </c>
      <c r="G55" s="6" t="n">
        <v>0</v>
      </c>
      <c r="H55" s="6" t="n">
        <v>-6536.35</v>
      </c>
      <c r="I55" s="6" t="n">
        <v>-9219</v>
      </c>
      <c r="J55" s="6" t="n">
        <v>-2736.24</v>
      </c>
    </row>
    <row r="56">
      <c r="A56" s="4" t="inlineStr">
        <is>
          <t>Cohen, Jill</t>
        </is>
      </c>
      <c r="B56" s="4" t="inlineStr">
        <is>
          <t>A_66060</t>
        </is>
      </c>
      <c r="C56" s="4" t="inlineStr">
        <is>
          <t>A_66060 - Other Expenses</t>
        </is>
      </c>
      <c r="D56" s="6" t="n">
        <v>567.5</v>
      </c>
      <c r="E56" s="6" t="n">
        <v>0</v>
      </c>
      <c r="F56" s="6" t="n">
        <v>946.7</v>
      </c>
      <c r="G56" s="6" t="n">
        <v>0</v>
      </c>
      <c r="H56" s="6" t="n">
        <v>-567.5</v>
      </c>
      <c r="I56" s="6" t="n">
        <v>0</v>
      </c>
      <c r="J56" s="6" t="n">
        <v>-946.7</v>
      </c>
    </row>
    <row r="57">
      <c r="A57" s="4" t="inlineStr">
        <is>
          <t>Cohen, Jill</t>
        </is>
      </c>
      <c r="B57" s="4" t="inlineStr">
        <is>
          <t>A_66068</t>
        </is>
      </c>
      <c r="C57" s="4" t="inlineStr">
        <is>
          <t>A_66068 - Patient Belongings - Reimburse</t>
        </is>
      </c>
      <c r="D57" s="6" t="n">
        <v>0</v>
      </c>
      <c r="E57" s="6" t="n">
        <v>0</v>
      </c>
      <c r="F57" s="6" t="n">
        <v>315.38</v>
      </c>
      <c r="G57" s="6" t="n">
        <v>0</v>
      </c>
      <c r="H57" s="6" t="n">
        <v>0</v>
      </c>
      <c r="I57" s="6" t="n">
        <v>0</v>
      </c>
      <c r="J57" s="6" t="n">
        <v>-315.38</v>
      </c>
    </row>
    <row r="58">
      <c r="A58" s="4" t="inlineStr">
        <is>
          <t>Cohen, Jill</t>
        </is>
      </c>
      <c r="B58" s="4" t="inlineStr">
        <is>
          <t>A_66090</t>
        </is>
      </c>
      <c r="C58" s="4" t="inlineStr">
        <is>
          <t>A_66090 - House Functions &amp; Corp Events</t>
        </is>
      </c>
      <c r="D58" s="6" t="n">
        <v>875.6900000000001</v>
      </c>
      <c r="E58" s="6" t="n">
        <v>2790</v>
      </c>
      <c r="F58" s="6" t="n">
        <v>1775.2</v>
      </c>
      <c r="G58" s="6" t="n">
        <v>0</v>
      </c>
      <c r="H58" s="6" t="n">
        <v>-875.6900000000001</v>
      </c>
      <c r="I58" s="6" t="n">
        <v>-2790</v>
      </c>
      <c r="J58" s="6" t="n">
        <v>-1775.2</v>
      </c>
    </row>
    <row r="59">
      <c r="A59" s="4" t="inlineStr">
        <is>
          <t>Cohen, Jill</t>
        </is>
      </c>
      <c r="B59" s="4" t="inlineStr">
        <is>
          <t>A_66095</t>
        </is>
      </c>
      <c r="C59" s="4" t="inlineStr">
        <is>
          <t>A_66095 - Meals &amp; Entertainment</t>
        </is>
      </c>
      <c r="D59" s="6" t="n">
        <v>0</v>
      </c>
      <c r="E59" s="6" t="n">
        <v>0</v>
      </c>
      <c r="F59" s="6" t="n">
        <v>131.54</v>
      </c>
      <c r="G59" s="6" t="n">
        <v>0</v>
      </c>
      <c r="H59" s="6" t="n">
        <v>0</v>
      </c>
      <c r="I59" s="6" t="n">
        <v>0</v>
      </c>
      <c r="J59" s="6" t="n">
        <v>-131.54</v>
      </c>
    </row>
    <row r="60">
      <c r="A60" s="4" t="inlineStr">
        <is>
          <t>Cohen, Jill</t>
        </is>
      </c>
      <c r="B60" s="4" t="inlineStr">
        <is>
          <t>A_66110</t>
        </is>
      </c>
      <c r="C60" s="4" t="inlineStr">
        <is>
          <t>A_66110 - Mileage</t>
        </is>
      </c>
      <c r="D60" s="6" t="n">
        <v>0</v>
      </c>
      <c r="E60" s="6" t="n">
        <v>134.0000000004</v>
      </c>
      <c r="F60" s="6" t="n">
        <v>0</v>
      </c>
      <c r="G60" s="6" t="n">
        <v>0</v>
      </c>
      <c r="H60" s="6" t="n">
        <v>0</v>
      </c>
      <c r="I60" s="6" t="n">
        <v>-134.0000000004</v>
      </c>
      <c r="J60" s="6" t="n">
        <v>0</v>
      </c>
    </row>
    <row r="61">
      <c r="A61" s="4" t="inlineStr">
        <is>
          <t>Cohen, Jill</t>
        </is>
      </c>
      <c r="B61" s="4" t="inlineStr">
        <is>
          <t>A_66150</t>
        </is>
      </c>
      <c r="C61" s="4" t="inlineStr">
        <is>
          <t>A_66150 - Travel</t>
        </is>
      </c>
      <c r="D61" s="6" t="n">
        <v>2293.1</v>
      </c>
      <c r="E61" s="6" t="n">
        <v>3861</v>
      </c>
      <c r="F61" s="6" t="n">
        <v>677.78</v>
      </c>
      <c r="G61" s="6" t="n">
        <v>0</v>
      </c>
      <c r="H61" s="6" t="n">
        <v>-2293.1</v>
      </c>
      <c r="I61" s="6" t="n">
        <v>-3861</v>
      </c>
      <c r="J61" s="6" t="n">
        <v>-677.78</v>
      </c>
    </row>
    <row r="62">
      <c r="A62" s="4" t="inlineStr">
        <is>
          <t>Cohen, Jill</t>
        </is>
      </c>
      <c r="B62" s="4" t="inlineStr">
        <is>
          <t>A_66152</t>
        </is>
      </c>
      <c r="C62" s="4" t="inlineStr">
        <is>
          <t>A_66152 - Patient Transportation</t>
        </is>
      </c>
      <c r="D62" s="6" t="n">
        <v>148</v>
      </c>
      <c r="E62" s="6" t="n">
        <v>0</v>
      </c>
      <c r="F62" s="6" t="n">
        <v>232.26</v>
      </c>
      <c r="G62" s="6" t="n">
        <v>0</v>
      </c>
      <c r="H62" s="6" t="n">
        <v>-148</v>
      </c>
      <c r="I62" s="6" t="n">
        <v>0</v>
      </c>
      <c r="J62" s="6" t="n">
        <v>-232.26</v>
      </c>
    </row>
    <row r="63">
      <c r="A63" s="4" t="inlineStr">
        <is>
          <t>Cohen, Jill</t>
        </is>
      </c>
      <c r="B63" s="4" t="inlineStr">
        <is>
          <t>A_66170</t>
        </is>
      </c>
      <c r="C63" s="4" t="inlineStr">
        <is>
          <t>A_66170 - FLEX-Traveler Allowance</t>
        </is>
      </c>
      <c r="D63" s="6" t="n">
        <v>46680.57</v>
      </c>
      <c r="E63" s="6" t="n">
        <v>102000</v>
      </c>
      <c r="F63" s="6" t="n">
        <v>27588</v>
      </c>
      <c r="G63" s="6" t="n">
        <v>0</v>
      </c>
      <c r="H63" s="6" t="n">
        <v>-46680.57</v>
      </c>
      <c r="I63" s="6" t="n">
        <v>-102000</v>
      </c>
      <c r="J63" s="6" t="n">
        <v>-27588</v>
      </c>
    </row>
    <row r="64">
      <c r="A64" s="4" t="inlineStr">
        <is>
          <t>Cohen, Jill</t>
        </is>
      </c>
      <c r="B64" s="4" t="inlineStr">
        <is>
          <t>A_66510</t>
        </is>
      </c>
      <c r="C64" s="4" t="inlineStr">
        <is>
          <t>A_66510 - Lease-Rentals - Other</t>
        </is>
      </c>
      <c r="D64" s="6" t="n">
        <v>106781.52</v>
      </c>
      <c r="E64" s="6" t="n">
        <v>104155</v>
      </c>
      <c r="F64" s="6" t="n">
        <v>136837.8</v>
      </c>
      <c r="G64" s="6" t="n">
        <v>0</v>
      </c>
      <c r="H64" s="6" t="n">
        <v>-106781.52</v>
      </c>
      <c r="I64" s="6" t="n">
        <v>-104155</v>
      </c>
      <c r="J64" s="6" t="n">
        <v>-136837.8</v>
      </c>
    </row>
    <row r="65">
      <c r="A65" s="4" t="inlineStr">
        <is>
          <t>Cohen, Jill</t>
        </is>
      </c>
      <c r="B65" s="4" t="inlineStr">
        <is>
          <t>A_66515</t>
        </is>
      </c>
      <c r="C65" s="4" t="inlineStr">
        <is>
          <t>A_66515 - Lease Rentals - Copiers</t>
        </is>
      </c>
      <c r="D65" s="6" t="n">
        <v>7669.37</v>
      </c>
      <c r="E65" s="6" t="n">
        <v>5252.0000000004</v>
      </c>
      <c r="F65" s="6" t="n">
        <v>5853.12</v>
      </c>
      <c r="G65" s="6" t="n">
        <v>0</v>
      </c>
      <c r="H65" s="6" t="n">
        <v>-7669.37</v>
      </c>
      <c r="I65" s="6" t="n">
        <v>-5252.0000000004</v>
      </c>
      <c r="J65" s="6" t="n">
        <v>-5853.12</v>
      </c>
    </row>
    <row r="66">
      <c r="A66" s="4" t="inlineStr">
        <is>
          <t>Cohen, Jill</t>
        </is>
      </c>
      <c r="B66" s="4" t="inlineStr">
        <is>
          <t>A_67580</t>
        </is>
      </c>
      <c r="C66" s="4" t="inlineStr">
        <is>
          <t>A_67580 - Collection Agency</t>
        </is>
      </c>
      <c r="D66" s="6" t="n">
        <v>262071.69</v>
      </c>
      <c r="E66" s="6" t="n">
        <v>0</v>
      </c>
      <c r="F66" s="6" t="n">
        <v>89784.22</v>
      </c>
      <c r="G66" s="6" t="n">
        <v>0</v>
      </c>
      <c r="H66" s="6" t="n">
        <v>-262071.69</v>
      </c>
      <c r="I66" s="6" t="n">
        <v>0</v>
      </c>
      <c r="J66" s="6" t="n">
        <v>-89784.22</v>
      </c>
    </row>
    <row r="67">
      <c r="A67" s="7" t="inlineStr">
        <is>
          <t>Total</t>
        </is>
      </c>
      <c r="B67" s="7" t="n"/>
      <c r="C67" s="7" t="n"/>
      <c r="D67" s="8">
        <f>SUM(D6:D66)</f>
        <v/>
      </c>
      <c r="E67" s="8">
        <f>SUM(E6:E66)</f>
        <v/>
      </c>
      <c r="F67" s="8">
        <f>SUM(F6:F66)</f>
        <v/>
      </c>
      <c r="G67" s="8">
        <f>SUM(G6:G66)</f>
        <v/>
      </c>
      <c r="H67" s="8">
        <f>SUM(H6:H66)</f>
        <v/>
      </c>
      <c r="I67" s="8">
        <f>SUM(I6:I66)</f>
        <v/>
      </c>
      <c r="J67" s="8">
        <f>SUM(J6:J66)</f>
        <v/>
      </c>
    </row>
  </sheetData>
  <autoFilter ref="A5:J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2026-08-26T21:50:05Z</dcterms:created>
  <dcterms:modified xsi:type="dcterms:W3CDTF">2026-08-26T21:50:05Z</dcterms:modified>
</cp:coreProperties>
</file>