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ept Summary" sheetId="1" state="visible" r:id="rId1"/>
    <sheet name="Acct Summary" sheetId="2" state="visible" r:id="rId2"/>
  </sheets>
  <definedNames>
    <definedName name="_xlnm._FilterDatabase" localSheetId="0" hidden="1">'Dept Summary'!$A$5:$K$47</definedName>
    <definedName name="_xlnm._FilterDatabase" localSheetId="1" hidden="1">'Acct Summary'!$A$5:$J$91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###0"/>
    <numFmt numFmtId="165" formatCode="_($* #,##0_);_($* (#,##0);_($* &quot;-&quot;??_);_(@_)"/>
  </numFmts>
  <fonts count="4">
    <font>
      <name val="Calibri"/>
      <family val="2"/>
      <color theme="1"/>
      <sz val="11"/>
      <scheme val="minor"/>
    </font>
    <font>
      <name val="Ebrima"/>
      <b val="1"/>
      <sz val="10"/>
    </font>
    <font>
      <name val="Ebrima"/>
      <b val="1"/>
      <color rgb="00000000"/>
      <sz val="10"/>
    </font>
    <font>
      <name val="Ebrima"/>
      <sz val="10"/>
    </font>
  </fonts>
  <fills count="5">
    <fill>
      <patternFill/>
    </fill>
    <fill>
      <patternFill patternType="gray125"/>
    </fill>
    <fill>
      <patternFill patternType="solid">
        <fgColor rgb="00C5D9F1"/>
        <bgColor rgb="00C5D9F1"/>
      </patternFill>
    </fill>
    <fill>
      <patternFill patternType="solid">
        <fgColor rgb="00BFBFBF"/>
        <bgColor rgb="00BFBFBF"/>
      </patternFill>
    </fill>
    <fill>
      <patternFill patternType="solid">
        <fgColor rgb="00D9D9D9"/>
        <bgColor rgb="00D9D9D9"/>
      </patternFill>
    </fill>
  </fills>
  <borders count="2">
    <border>
      <left/>
      <right/>
      <top/>
      <bottom/>
      <diagonal/>
    </border>
    <border>
      <top style="thin"/>
      <bottom style="double"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pivotButton="0" quotePrefix="0" xfId="0"/>
    <xf numFmtId="0" fontId="1" fillId="2" borderId="0" applyAlignment="1" pivotButton="0" quotePrefix="0" xfId="0">
      <alignment horizontal="centerContinuous"/>
    </xf>
    <xf numFmtId="0" fontId="2" fillId="3" borderId="0" applyAlignment="1" pivotButton="0" quotePrefix="0" xfId="0">
      <alignment horizontal="center" wrapText="1"/>
    </xf>
    <xf numFmtId="0" fontId="3" fillId="0" borderId="0" applyAlignment="1" pivotButton="0" quotePrefix="0" xfId="0">
      <alignment horizontal="left"/>
    </xf>
    <xf numFmtId="164" fontId="3" fillId="0" borderId="0" applyAlignment="1" pivotButton="0" quotePrefix="0" xfId="0">
      <alignment horizontal="left"/>
    </xf>
    <xf numFmtId="165" fontId="3" fillId="0" borderId="0" applyAlignment="1" pivotButton="0" quotePrefix="0" xfId="0">
      <alignment horizontal="left"/>
    </xf>
    <xf numFmtId="0" fontId="1" fillId="4" borderId="1" pivotButton="0" quotePrefix="0" xfId="0"/>
    <xf numFmtId="165" fontId="1" fillId="4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8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34" customWidth="1" min="1" max="1"/>
    <col width="26" customWidth="1" min="2" max="2"/>
    <col width="17" customWidth="1" min="3" max="3"/>
    <col width="48" customWidth="1" min="4" max="4"/>
    <col width="22" customWidth="1" min="5" max="5"/>
    <col width="22" customWidth="1" min="6" max="6"/>
    <col width="22" customWidth="1" min="7" max="7"/>
    <col width="29" customWidth="1" min="8" max="8"/>
    <col width="29" customWidth="1" min="9" max="9"/>
    <col width="29" customWidth="1" min="10" max="10"/>
    <col width="33" customWidth="1" min="11" max="11"/>
  </cols>
  <sheetData>
    <row r="1">
      <c r="A1" s="1" t="inlineStr">
        <is>
          <t>LENOX</t>
        </is>
      </c>
    </row>
    <row r="2">
      <c r="A2" s="1" t="inlineStr">
        <is>
          <t>2027 OTS Summary by Department</t>
        </is>
      </c>
    </row>
    <row r="3">
      <c r="A3" s="1" t="inlineStr">
        <is>
          <t>Updated 2026-08-26</t>
        </is>
      </c>
    </row>
    <row r="4">
      <c r="I4" s="2" t="inlineStr">
        <is>
          <t>Variance</t>
        </is>
      </c>
      <c r="J4" s="2" t="n"/>
      <c r="K4" s="2" t="n"/>
    </row>
    <row r="5">
      <c r="A5" s="3" t="inlineStr">
        <is>
          <t>VP</t>
        </is>
      </c>
      <c r="B5" s="3" t="inlineStr">
        <is>
          <t>Director</t>
        </is>
      </c>
      <c r="C5" s="3" t="inlineStr">
        <is>
          <t>Department ID</t>
        </is>
      </c>
      <c r="D5" s="3" t="inlineStr">
        <is>
          <t>Department</t>
        </is>
      </c>
      <c r="E5" s="3" t="inlineStr">
        <is>
          <t>2025 Actual</t>
        </is>
      </c>
      <c r="F5" s="3" t="inlineStr">
        <is>
          <t>2026 Budget</t>
        </is>
      </c>
      <c r="G5" s="3" t="inlineStr">
        <is>
          <t>2026 Projection</t>
        </is>
      </c>
      <c r="H5" s="3" t="inlineStr">
        <is>
          <t>2027 Budget w/o Inflation</t>
        </is>
      </c>
      <c r="I5" s="3" t="inlineStr">
        <is>
          <t>2027 Budget - 2025 Actual</t>
        </is>
      </c>
      <c r="J5" s="3" t="inlineStr">
        <is>
          <t>2027 Budget - 2026 Budget</t>
        </is>
      </c>
      <c r="K5" s="3" t="inlineStr">
        <is>
          <t>2027 Budget - 2026 Projection</t>
        </is>
      </c>
    </row>
    <row r="6">
      <c r="A6" s="4" t="inlineStr">
        <is>
          <t>Cole, Brandon L</t>
        </is>
      </c>
      <c r="B6" s="4" t="inlineStr">
        <is>
          <t>Bennett, Andrew</t>
        </is>
      </c>
      <c r="C6" s="5" t="n">
        <v>15691000</v>
      </c>
      <c r="D6" s="4" t="inlineStr">
        <is>
          <t>LENOX_15691000 - Sup Svc-Food and Nutrition</t>
        </is>
      </c>
      <c r="E6" s="6" t="n">
        <v>7008349.85</v>
      </c>
      <c r="F6" s="6" t="n">
        <v>6861684.125833978</v>
      </c>
      <c r="G6" s="6" t="n">
        <v>7285493.081927021</v>
      </c>
      <c r="H6" s="6" t="n">
        <v>7363731.550332097</v>
      </c>
      <c r="I6" s="6" t="n">
        <v>355381.7003320977</v>
      </c>
      <c r="J6" s="6" t="n">
        <v>502047.4244981194</v>
      </c>
      <c r="K6" s="6" t="n">
        <v>78238.4684050763</v>
      </c>
    </row>
    <row r="7">
      <c r="A7" s="4" t="inlineStr">
        <is>
          <t>Cole, Brandon L</t>
        </is>
      </c>
      <c r="B7" s="4" t="inlineStr">
        <is>
          <t>Bennett, Andrew</t>
        </is>
      </c>
      <c r="C7" s="5" t="n">
        <v>15691010</v>
      </c>
      <c r="D7" s="4" t="inlineStr">
        <is>
          <t>LENOX_15691010 - Sup Svc-Dietary</t>
        </is>
      </c>
      <c r="E7" s="6" t="n">
        <v>1918.52</v>
      </c>
      <c r="F7" s="6" t="n">
        <v>1911.9999999996</v>
      </c>
      <c r="G7" s="6" t="n">
        <v>4797.24</v>
      </c>
      <c r="H7" s="6" t="n">
        <v>4797.24</v>
      </c>
      <c r="I7" s="6" t="n">
        <v>2878.72</v>
      </c>
      <c r="J7" s="6" t="n">
        <v>2885.2400000004</v>
      </c>
      <c r="K7" s="6" t="n">
        <v>0</v>
      </c>
    </row>
    <row r="8">
      <c r="A8" s="4" t="inlineStr">
        <is>
          <t>Cole, Brandon L</t>
        </is>
      </c>
      <c r="B8" s="4" t="inlineStr">
        <is>
          <t>Bennett, Andrew</t>
        </is>
      </c>
      <c r="C8" s="5" t="n">
        <v>15691020</v>
      </c>
      <c r="D8" s="4" t="inlineStr">
        <is>
          <t>LENOX_15691020 - Sup Svc-Cafeteria</t>
        </is>
      </c>
      <c r="E8" s="6" t="n">
        <v>541278.4700000002</v>
      </c>
      <c r="F8" s="6" t="n">
        <v>304489.3819516762</v>
      </c>
      <c r="G8" s="6" t="n">
        <v>867927.4674464203</v>
      </c>
      <c r="H8" s="6" t="n">
        <v>869507.4379005518</v>
      </c>
      <c r="I8" s="6" t="n">
        <v>328228.9679005516</v>
      </c>
      <c r="J8" s="6" t="n">
        <v>565018.0559488756</v>
      </c>
      <c r="K8" s="6" t="n">
        <v>1579.970454131486</v>
      </c>
    </row>
    <row r="9">
      <c r="A9" s="4" t="inlineStr">
        <is>
          <t>Cole, Brandon L</t>
        </is>
      </c>
      <c r="B9" s="4" t="inlineStr">
        <is>
          <t>Bennett, Andrew</t>
        </is>
      </c>
      <c r="C9" s="5" t="n">
        <v>15691050</v>
      </c>
      <c r="D9" s="4" t="inlineStr">
        <is>
          <t>LENOX_15691050 - Sup Svc-Catering</t>
        </is>
      </c>
      <c r="E9" s="6" t="n">
        <v>222.35</v>
      </c>
      <c r="F9" s="6" t="n">
        <v>0</v>
      </c>
      <c r="G9" s="6" t="n">
        <v>14640.7577348066</v>
      </c>
      <c r="H9" s="6" t="n">
        <v>0</v>
      </c>
      <c r="I9" s="6" t="n">
        <v>-222.35</v>
      </c>
      <c r="J9" s="6" t="n">
        <v>0</v>
      </c>
      <c r="K9" s="6" t="n">
        <v>-14640.7577348066</v>
      </c>
    </row>
    <row r="10">
      <c r="A10" s="4" t="inlineStr">
        <is>
          <t>Cole, Brandon L</t>
        </is>
      </c>
      <c r="B10" s="4" t="inlineStr">
        <is>
          <t>Fitzpatrick, Katherine</t>
        </is>
      </c>
      <c r="C10" s="5" t="n">
        <v>15600195</v>
      </c>
      <c r="D10" s="4" t="inlineStr">
        <is>
          <t>LENOX_15600195 - Bed Management</t>
        </is>
      </c>
      <c r="E10" s="6" t="n">
        <v>14010.16</v>
      </c>
      <c r="F10" s="6" t="n">
        <v>14874.5157167763</v>
      </c>
      <c r="G10" s="6" t="n">
        <v>13193.84754599</v>
      </c>
      <c r="H10" s="6" t="n">
        <v>12991.7833701658</v>
      </c>
      <c r="I10" s="6" t="n">
        <v>-1018.3766298342</v>
      </c>
      <c r="J10" s="6" t="n">
        <v>-1882.732346610499</v>
      </c>
      <c r="K10" s="6" t="n">
        <v>-202.0641758242</v>
      </c>
    </row>
    <row r="11">
      <c r="A11" s="4" t="inlineStr">
        <is>
          <t>Cole, Brandon L</t>
        </is>
      </c>
      <c r="B11" s="4" t="inlineStr">
        <is>
          <t>Grinberg, Stan</t>
        </is>
      </c>
      <c r="C11" s="5" t="n">
        <v>15650020</v>
      </c>
      <c r="D11" s="4" t="inlineStr">
        <is>
          <t>LENOX_15650020 - Lab-Chemistry</t>
        </is>
      </c>
      <c r="E11" s="6" t="n">
        <v>1012681.67</v>
      </c>
      <c r="F11" s="6" t="n">
        <v>988543.1878628755</v>
      </c>
      <c r="G11" s="6" t="n">
        <v>948429.2337138002</v>
      </c>
      <c r="H11" s="6" t="n">
        <v>948429.2337138002</v>
      </c>
      <c r="I11" s="6" t="n">
        <v>-64252.43628619972</v>
      </c>
      <c r="J11" s="6" t="n">
        <v>-40113.95414907532</v>
      </c>
      <c r="K11" s="6" t="n">
        <v>0</v>
      </c>
    </row>
    <row r="12">
      <c r="A12" s="4" t="inlineStr">
        <is>
          <t>Cole, Brandon L</t>
        </is>
      </c>
      <c r="B12" s="4" t="inlineStr">
        <is>
          <t>Grinberg, Stan</t>
        </is>
      </c>
      <c r="C12" s="5" t="n">
        <v>15650030</v>
      </c>
      <c r="D12" s="4" t="inlineStr">
        <is>
          <t>LENOX_15650030 - Lab - Hematology</t>
        </is>
      </c>
      <c r="E12" s="6" t="n">
        <v>646513.0700000001</v>
      </c>
      <c r="F12" s="6" t="n">
        <v>586410.4634381285</v>
      </c>
      <c r="G12" s="6" t="n">
        <v>517439.5775648103</v>
      </c>
      <c r="H12" s="6" t="n">
        <v>520009.5775648103</v>
      </c>
      <c r="I12" s="6" t="n">
        <v>-126503.4924351898</v>
      </c>
      <c r="J12" s="6" t="n">
        <v>-66400.88587331818</v>
      </c>
      <c r="K12" s="6" t="n">
        <v>2570</v>
      </c>
    </row>
    <row r="13">
      <c r="A13" s="4" t="inlineStr">
        <is>
          <t>Cole, Brandon L</t>
        </is>
      </c>
      <c r="B13" s="4" t="inlineStr">
        <is>
          <t>Grinberg, Stan</t>
        </is>
      </c>
      <c r="C13" s="5" t="n">
        <v>15650040</v>
      </c>
      <c r="D13" s="4" t="inlineStr">
        <is>
          <t>LENOX_15650040 - Lab-Immunohisto-Chemistry</t>
        </is>
      </c>
      <c r="E13" s="6" t="n">
        <v>515195.69</v>
      </c>
      <c r="F13" s="6" t="n">
        <v>495077.2631834337</v>
      </c>
      <c r="G13" s="6" t="n">
        <v>668621.3367974015</v>
      </c>
      <c r="H13" s="6" t="n">
        <v>659958.5478963027</v>
      </c>
      <c r="I13" s="6" t="n">
        <v>144762.8578963027</v>
      </c>
      <c r="J13" s="6" t="n">
        <v>164881.284712869</v>
      </c>
      <c r="K13" s="6" t="n">
        <v>-8662.788901098887</v>
      </c>
    </row>
    <row r="14">
      <c r="A14" s="4" t="inlineStr">
        <is>
          <t>Cole, Brandon L</t>
        </is>
      </c>
      <c r="B14" s="4" t="inlineStr">
        <is>
          <t>Grinberg, Stan</t>
        </is>
      </c>
      <c r="C14" s="5" t="n">
        <v>15650110</v>
      </c>
      <c r="D14" s="4" t="inlineStr">
        <is>
          <t>LENOX_15650110 - Lab - Microbiology</t>
        </is>
      </c>
      <c r="E14" s="6" t="n">
        <v>1609085.15</v>
      </c>
      <c r="F14" s="6" t="n">
        <v>1428115.711256337</v>
      </c>
      <c r="G14" s="6" t="n">
        <v>1458239.481538466</v>
      </c>
      <c r="H14" s="6" t="n">
        <v>1458239.481538466</v>
      </c>
      <c r="I14" s="6" t="n">
        <v>-150845.668461534</v>
      </c>
      <c r="J14" s="6" t="n">
        <v>30123.77028212906</v>
      </c>
      <c r="K14" s="6" t="n">
        <v>0</v>
      </c>
    </row>
    <row r="15">
      <c r="A15" s="4" t="inlineStr">
        <is>
          <t>Cole, Brandon L</t>
        </is>
      </c>
      <c r="B15" s="4" t="inlineStr">
        <is>
          <t>Grinberg, Stan</t>
        </is>
      </c>
      <c r="C15" s="5" t="n">
        <v>15650140</v>
      </c>
      <c r="D15" s="4" t="inlineStr">
        <is>
          <t>LENOX_15650140 - Lab Blood Bank</t>
        </is>
      </c>
      <c r="E15" s="6" t="n">
        <v>3654429.8</v>
      </c>
      <c r="F15" s="6" t="n">
        <v>3804426.103298239</v>
      </c>
      <c r="G15" s="6" t="n">
        <v>3610091.017494384</v>
      </c>
      <c r="H15" s="6" t="n">
        <v>3559969.936788901</v>
      </c>
      <c r="I15" s="6" t="n">
        <v>-94459.86321109859</v>
      </c>
      <c r="J15" s="6" t="n">
        <v>-244456.1665093382</v>
      </c>
      <c r="K15" s="6" t="n">
        <v>-50121.08070548251</v>
      </c>
    </row>
    <row r="16">
      <c r="A16" s="4" t="inlineStr">
        <is>
          <t>Cole, Brandon L</t>
        </is>
      </c>
      <c r="B16" s="4" t="inlineStr">
        <is>
          <t>Grinberg, Stan</t>
        </is>
      </c>
      <c r="C16" s="5" t="n">
        <v>15650160</v>
      </c>
      <c r="D16" s="4" t="inlineStr">
        <is>
          <t>LENOX_15650160 - Pathology - Anatomical</t>
        </is>
      </c>
      <c r="E16" s="6" t="n">
        <v>1040669.09</v>
      </c>
      <c r="F16" s="6" t="n">
        <v>1014229.734013162</v>
      </c>
      <c r="G16" s="6" t="n">
        <v>831726.6200934974</v>
      </c>
      <c r="H16" s="6" t="n">
        <v>905743.9007850158</v>
      </c>
      <c r="I16" s="6" t="n">
        <v>-134925.1892149842</v>
      </c>
      <c r="J16" s="6" t="n">
        <v>-108485.8332281463</v>
      </c>
      <c r="K16" s="6" t="n">
        <v>74017.28069151833</v>
      </c>
    </row>
    <row r="17">
      <c r="A17" s="4" t="inlineStr">
        <is>
          <t>Cole, Brandon L</t>
        </is>
      </c>
      <c r="B17" s="4" t="inlineStr">
        <is>
          <t>Grinberg, Stan</t>
        </is>
      </c>
      <c r="C17" s="5" t="n">
        <v>15650165</v>
      </c>
      <c r="D17" s="4" t="inlineStr">
        <is>
          <t>LENOX_15650165 - Pathology Ops</t>
        </is>
      </c>
      <c r="E17" s="6" t="n">
        <v>2038274.94</v>
      </c>
      <c r="F17" s="6" t="n">
        <v>1923277.890963816</v>
      </c>
      <c r="G17" s="6" t="n">
        <v>2171112.254070184</v>
      </c>
      <c r="H17" s="6" t="n">
        <v>2208594.386982766</v>
      </c>
      <c r="I17" s="6" t="n">
        <v>170319.4469827656</v>
      </c>
      <c r="J17" s="6" t="n">
        <v>285316.4960189499</v>
      </c>
      <c r="K17" s="6" t="n">
        <v>37482.13291258132</v>
      </c>
    </row>
    <row r="18">
      <c r="A18" s="4" t="inlineStr">
        <is>
          <t>Cole, Brandon L</t>
        </is>
      </c>
      <c r="B18" s="4" t="inlineStr">
        <is>
          <t>Grinberg, Stan</t>
        </is>
      </c>
      <c r="C18" s="5" t="n">
        <v>15650170</v>
      </c>
      <c r="D18" s="4" t="inlineStr">
        <is>
          <t>LENOX_15650170 - Pathology - Clinical</t>
        </is>
      </c>
      <c r="E18" s="6" t="n">
        <v>824102.48</v>
      </c>
      <c r="F18" s="6" t="n">
        <v>731655.0163739361</v>
      </c>
      <c r="G18" s="6" t="n">
        <v>829857.1334915912</v>
      </c>
      <c r="H18" s="6" t="n">
        <v>435550.7736846578</v>
      </c>
      <c r="I18" s="6" t="n">
        <v>-388551.7063153422</v>
      </c>
      <c r="J18" s="6" t="n">
        <v>-296104.2426892783</v>
      </c>
      <c r="K18" s="6" t="n">
        <v>-394306.3598069334</v>
      </c>
    </row>
    <row r="19">
      <c r="A19" s="4" t="inlineStr">
        <is>
          <t>Cole, Brandon L</t>
        </is>
      </c>
      <c r="B19" s="4" t="inlineStr">
        <is>
          <t>Grinberg, Stan</t>
        </is>
      </c>
      <c r="C19" s="5" t="n">
        <v>15650175</v>
      </c>
      <c r="D19" s="4" t="inlineStr">
        <is>
          <t>LENOX_15650175 - Pathology Cytology</t>
        </is>
      </c>
      <c r="E19" s="6" t="n">
        <v>65112.32999999999</v>
      </c>
      <c r="F19" s="6" t="n">
        <v>64128.6623828002</v>
      </c>
      <c r="G19" s="6" t="n">
        <v>65670.8731261003</v>
      </c>
      <c r="H19" s="6" t="n">
        <v>66967.0402901911</v>
      </c>
      <c r="I19" s="6" t="n">
        <v>1854.710290191106</v>
      </c>
      <c r="J19" s="6" t="n">
        <v>2838.377907390903</v>
      </c>
      <c r="K19" s="6" t="n">
        <v>1296.167164090803</v>
      </c>
    </row>
    <row r="20">
      <c r="A20" s="4" t="inlineStr">
        <is>
          <t>Cole, Brandon L</t>
        </is>
      </c>
      <c r="B20" s="4" t="inlineStr">
        <is>
          <t>Grippo, Francesco</t>
        </is>
      </c>
      <c r="C20" s="5" t="n">
        <v>15628020</v>
      </c>
      <c r="D20" s="4" t="inlineStr">
        <is>
          <t>LENOX_15628020 - Medicine - Nuclear Medicine</t>
        </is>
      </c>
      <c r="E20" s="6" t="n">
        <v>2800875.9</v>
      </c>
      <c r="F20" s="6" t="n">
        <v>2519820.393821152</v>
      </c>
      <c r="G20" s="6" t="n">
        <v>2739871.210497234</v>
      </c>
      <c r="H20" s="6" t="n">
        <v>2779125.256353587</v>
      </c>
      <c r="I20" s="6" t="n">
        <v>-21750.64364641253</v>
      </c>
      <c r="J20" s="6" t="n">
        <v>259304.862532435</v>
      </c>
      <c r="K20" s="6" t="n">
        <v>39254.04585635383</v>
      </c>
    </row>
    <row r="21">
      <c r="A21" s="4" t="inlineStr">
        <is>
          <t>Cole, Brandon L</t>
        </is>
      </c>
      <c r="B21" s="4" t="inlineStr">
        <is>
          <t>Grippo, Francesco</t>
        </is>
      </c>
      <c r="C21" s="5" t="n">
        <v>15653000</v>
      </c>
      <c r="D21" s="4" t="inlineStr">
        <is>
          <t>LENOX_15653000 - Radiology Administration</t>
        </is>
      </c>
      <c r="E21" s="6" t="n">
        <v>203109.52</v>
      </c>
      <c r="F21" s="6" t="n">
        <v>221417.454721325</v>
      </c>
      <c r="G21" s="6" t="n">
        <v>199295.3825626858</v>
      </c>
      <c r="H21" s="6" t="n">
        <v>205973.337667569</v>
      </c>
      <c r="I21" s="6" t="n">
        <v>2863.817667568976</v>
      </c>
      <c r="J21" s="6" t="n">
        <v>-15444.117053756</v>
      </c>
      <c r="K21" s="6" t="n">
        <v>6677.955104883207</v>
      </c>
    </row>
    <row r="22">
      <c r="A22" s="4" t="inlineStr">
        <is>
          <t>Cole, Brandon L</t>
        </is>
      </c>
      <c r="B22" s="4" t="inlineStr">
        <is>
          <t>Grippo, Francesco</t>
        </is>
      </c>
      <c r="C22" s="5" t="n">
        <v>15653001</v>
      </c>
      <c r="D22" s="4" t="inlineStr">
        <is>
          <t>LENOX_15653001 - Radiology Support</t>
        </is>
      </c>
      <c r="E22" s="6" t="n">
        <v>4656.48</v>
      </c>
      <c r="F22" s="6" t="n">
        <v>3475.51</v>
      </c>
      <c r="G22" s="6" t="n">
        <v>959.2877560561001</v>
      </c>
      <c r="H22" s="6" t="n">
        <v>894.1116022099</v>
      </c>
      <c r="I22" s="6" t="n">
        <v>-3762.368397790101</v>
      </c>
      <c r="J22" s="6" t="n">
        <v>-2581.3983977901</v>
      </c>
      <c r="K22" s="6" t="n">
        <v>-65.17615384620012</v>
      </c>
    </row>
    <row r="23">
      <c r="A23" s="4" t="inlineStr">
        <is>
          <t>Cole, Brandon L</t>
        </is>
      </c>
      <c r="B23" s="4" t="inlineStr">
        <is>
          <t>Grippo, Francesco</t>
        </is>
      </c>
      <c r="C23" s="5" t="n">
        <v>15653003</v>
      </c>
      <c r="D23" s="4" t="inlineStr">
        <is>
          <t>LENOX_15653003 - Radiology Customer Service</t>
        </is>
      </c>
      <c r="E23" s="6" t="n">
        <v>671545.65</v>
      </c>
      <c r="F23" s="6" t="n">
        <v>725397.2000000001</v>
      </c>
      <c r="G23" s="6" t="n">
        <v>696745.664917127</v>
      </c>
      <c r="H23" s="6" t="n">
        <v>725941.5032044197</v>
      </c>
      <c r="I23" s="6" t="n">
        <v>54395.85320441972</v>
      </c>
      <c r="J23" s="6" t="n">
        <v>544.3032044196734</v>
      </c>
      <c r="K23" s="6" t="n">
        <v>29195.83828729275</v>
      </c>
    </row>
    <row r="24">
      <c r="A24" s="4" t="inlineStr">
        <is>
          <t>Cole, Brandon L</t>
        </is>
      </c>
      <c r="B24" s="4" t="inlineStr">
        <is>
          <t>Grippo, Francesco</t>
        </is>
      </c>
      <c r="C24" s="5" t="n">
        <v>15653010</v>
      </c>
      <c r="D24" s="4" t="inlineStr">
        <is>
          <t>LENOX_15653010 - Interventional Radiology</t>
        </is>
      </c>
      <c r="E24" s="6" t="n">
        <v>2231339.7</v>
      </c>
      <c r="F24" s="6" t="n">
        <v>2363494.404876448</v>
      </c>
      <c r="G24" s="6" t="n">
        <v>2081132.136008743</v>
      </c>
      <c r="H24" s="6" t="n">
        <v>2084582.11518336</v>
      </c>
      <c r="I24" s="6" t="n">
        <v>-146757.58481664</v>
      </c>
      <c r="J24" s="6" t="n">
        <v>-278912.289693088</v>
      </c>
      <c r="K24" s="6" t="n">
        <v>3449.979174616979</v>
      </c>
    </row>
    <row r="25">
      <c r="A25" s="4" t="inlineStr">
        <is>
          <t>Cole, Brandon L</t>
        </is>
      </c>
      <c r="B25" s="4" t="inlineStr">
        <is>
          <t>Grippo, Francesco</t>
        </is>
      </c>
      <c r="C25" s="5" t="n">
        <v>15653015</v>
      </c>
      <c r="D25" s="4" t="inlineStr">
        <is>
          <t>LENOX_15653015 - Radiology CTA</t>
        </is>
      </c>
      <c r="E25" s="6" t="n">
        <v>1049.53</v>
      </c>
      <c r="F25" s="6" t="n">
        <v>873.8300000004</v>
      </c>
      <c r="G25" s="6" t="n">
        <v>849.64</v>
      </c>
      <c r="H25" s="6" t="n">
        <v>849.64</v>
      </c>
      <c r="I25" s="6" t="n">
        <v>-199.89</v>
      </c>
      <c r="J25" s="6" t="n">
        <v>-24.1900000004</v>
      </c>
      <c r="K25" s="6" t="n">
        <v>0</v>
      </c>
    </row>
    <row r="26">
      <c r="A26" s="4" t="inlineStr">
        <is>
          <t>Cole, Brandon L</t>
        </is>
      </c>
      <c r="B26" s="4" t="inlineStr">
        <is>
          <t>Grippo, Francesco</t>
        </is>
      </c>
      <c r="C26" s="5" t="n">
        <v>15653020</v>
      </c>
      <c r="D26" s="4" t="inlineStr">
        <is>
          <t>LENOX_15653020 - Radiology Diagnostic</t>
        </is>
      </c>
      <c r="E26" s="6" t="n">
        <v>706403.62</v>
      </c>
      <c r="F26" s="6" t="n">
        <v>694286.2998324782</v>
      </c>
      <c r="G26" s="6" t="n">
        <v>675940.2767427601</v>
      </c>
      <c r="H26" s="6" t="n">
        <v>718313.733422044</v>
      </c>
      <c r="I26" s="6" t="n">
        <v>11910.11342204397</v>
      </c>
      <c r="J26" s="6" t="n">
        <v>24027.4335895658</v>
      </c>
      <c r="K26" s="6" t="n">
        <v>42373.45667928387</v>
      </c>
    </row>
    <row r="27">
      <c r="A27" s="4" t="inlineStr">
        <is>
          <t>Cole, Brandon L</t>
        </is>
      </c>
      <c r="B27" s="4" t="inlineStr">
        <is>
          <t>Grippo, Francesco</t>
        </is>
      </c>
      <c r="C27" s="5" t="n">
        <v>15653025</v>
      </c>
      <c r="D27" s="4" t="inlineStr">
        <is>
          <t>LENOX_15653025 - Radiology PET/CT</t>
        </is>
      </c>
      <c r="E27" s="6" t="n">
        <v>25.31</v>
      </c>
      <c r="F27" s="6" t="n">
        <v>0</v>
      </c>
      <c r="G27" s="6" t="n">
        <v>0</v>
      </c>
      <c r="H27" s="6" t="n">
        <v>0</v>
      </c>
      <c r="I27" s="6" t="n">
        <v>-25.31</v>
      </c>
      <c r="J27" s="6" t="n">
        <v>0</v>
      </c>
      <c r="K27" s="6" t="n">
        <v>0</v>
      </c>
    </row>
    <row r="28">
      <c r="A28" s="4" t="inlineStr">
        <is>
          <t>Cole, Brandon L</t>
        </is>
      </c>
      <c r="B28" s="4" t="inlineStr">
        <is>
          <t>Grippo, Francesco</t>
        </is>
      </c>
      <c r="C28" s="5" t="n">
        <v>15653030</v>
      </c>
      <c r="D28" s="4" t="inlineStr">
        <is>
          <t>LENOX_15653030 - Radiology Ultrasound</t>
        </is>
      </c>
      <c r="E28" s="6" t="n">
        <v>95563.64999999999</v>
      </c>
      <c r="F28" s="6" t="n">
        <v>96901.2834718667</v>
      </c>
      <c r="G28" s="6" t="n">
        <v>80441.12815311761</v>
      </c>
      <c r="H28" s="6" t="n">
        <v>82441.43584542529</v>
      </c>
      <c r="I28" s="6" t="n">
        <v>-13122.2141545747</v>
      </c>
      <c r="J28" s="6" t="n">
        <v>-14459.84762644141</v>
      </c>
      <c r="K28" s="6" t="n">
        <v>2000.307692307688</v>
      </c>
    </row>
    <row r="29">
      <c r="A29" s="4" t="inlineStr">
        <is>
          <t>Cole, Brandon L</t>
        </is>
      </c>
      <c r="B29" s="4" t="inlineStr">
        <is>
          <t>Grippo, Francesco</t>
        </is>
      </c>
      <c r="C29" s="5" t="n">
        <v>15653040</v>
      </c>
      <c r="D29" s="4" t="inlineStr">
        <is>
          <t>LENOX_15653040 - Radiology Cat Scan</t>
        </is>
      </c>
      <c r="E29" s="6" t="n">
        <v>1027263.44</v>
      </c>
      <c r="F29" s="6" t="n">
        <v>967139.3926962601</v>
      </c>
      <c r="G29" s="6" t="n">
        <v>946420.7366437978</v>
      </c>
      <c r="H29" s="6" t="n">
        <v>1020511.563127315</v>
      </c>
      <c r="I29" s="6" t="n">
        <v>-6751.876872685272</v>
      </c>
      <c r="J29" s="6" t="n">
        <v>53372.17043105455</v>
      </c>
      <c r="K29" s="6" t="n">
        <v>74090.82648351684</v>
      </c>
    </row>
    <row r="30">
      <c r="A30" s="4" t="inlineStr">
        <is>
          <t>Cole, Brandon L</t>
        </is>
      </c>
      <c r="B30" s="4" t="inlineStr">
        <is>
          <t>Grippo, Francesco</t>
        </is>
      </c>
      <c r="C30" s="5" t="n">
        <v>15653060</v>
      </c>
      <c r="D30" s="4" t="inlineStr">
        <is>
          <t>LENOX_15653060 - Radiology MRI</t>
        </is>
      </c>
      <c r="E30" s="6" t="n">
        <v>483818.6</v>
      </c>
      <c r="F30" s="6" t="n">
        <v>470411.6851435124</v>
      </c>
      <c r="G30" s="6" t="n">
        <v>508778.1563359846</v>
      </c>
      <c r="H30" s="6" t="n">
        <v>570127.7563359847</v>
      </c>
      <c r="I30" s="6" t="n">
        <v>86309.15633598471</v>
      </c>
      <c r="J30" s="6" t="n">
        <v>99716.07119247224</v>
      </c>
      <c r="K30" s="6" t="n">
        <v>61349.60000000009</v>
      </c>
    </row>
    <row r="31">
      <c r="A31" s="4" t="inlineStr">
        <is>
          <t>Cole, Brandon L</t>
        </is>
      </c>
      <c r="B31" s="4" t="inlineStr">
        <is>
          <t>Grippo, Francesco</t>
        </is>
      </c>
      <c r="C31" s="5" t="n">
        <v>15653070</v>
      </c>
      <c r="D31" s="4" t="inlineStr">
        <is>
          <t>LENOX_15653070 - Radiology Blackhall</t>
        </is>
      </c>
      <c r="E31" s="6" t="n">
        <v>483</v>
      </c>
      <c r="F31" s="6" t="n">
        <v>22008</v>
      </c>
      <c r="G31" s="6" t="n">
        <v>3452.7029415336</v>
      </c>
      <c r="H31" s="6" t="n">
        <v>51935.5758697104</v>
      </c>
      <c r="I31" s="6" t="n">
        <v>51452.5758697104</v>
      </c>
      <c r="J31" s="6" t="n">
        <v>29927.5758697104</v>
      </c>
      <c r="K31" s="6" t="n">
        <v>48482.8729281768</v>
      </c>
    </row>
    <row r="32">
      <c r="A32" s="4" t="inlineStr">
        <is>
          <t>Cole, Brandon L</t>
        </is>
      </c>
      <c r="B32" s="4" t="inlineStr">
        <is>
          <t>Grippo, Francesco</t>
        </is>
      </c>
      <c r="C32" s="5" t="n">
        <v>15653090</v>
      </c>
      <c r="D32" s="4" t="inlineStr">
        <is>
          <t>LENOX_15653090 - Radiology Mammography</t>
        </is>
      </c>
      <c r="E32" s="6" t="n">
        <v>82994.31</v>
      </c>
      <c r="F32" s="6" t="n">
        <v>85865.1387116043</v>
      </c>
      <c r="G32" s="6" t="n">
        <v>147801.6314716775</v>
      </c>
      <c r="H32" s="6" t="n">
        <v>152320.1614716775</v>
      </c>
      <c r="I32" s="6" t="n">
        <v>69325.85147167748</v>
      </c>
      <c r="J32" s="6" t="n">
        <v>66455.02276007317</v>
      </c>
      <c r="K32" s="6" t="n">
        <v>4518.529999999999</v>
      </c>
    </row>
    <row r="33">
      <c r="A33" s="4" t="inlineStr">
        <is>
          <t>Cole, Brandon L</t>
        </is>
      </c>
      <c r="B33" s="4" t="inlineStr">
        <is>
          <t>Hohenberger, George</t>
        </is>
      </c>
      <c r="C33" s="5" t="n">
        <v>15600050</v>
      </c>
      <c r="D33" s="4" t="inlineStr">
        <is>
          <t>LENOX_15600050 - Safety</t>
        </is>
      </c>
      <c r="E33" s="6" t="n">
        <v>36954.52</v>
      </c>
      <c r="F33" s="6" t="n">
        <v>26757.0332411093</v>
      </c>
      <c r="G33" s="6" t="n">
        <v>45674.4291099508</v>
      </c>
      <c r="H33" s="6" t="n">
        <v>0</v>
      </c>
      <c r="I33" s="6" t="n">
        <v>-36954.52</v>
      </c>
      <c r="J33" s="6" t="n">
        <v>-26757.0332411093</v>
      </c>
      <c r="K33" s="6" t="n">
        <v>-45674.4291099508</v>
      </c>
    </row>
    <row r="34">
      <c r="A34" s="4" t="inlineStr">
        <is>
          <t>Cole, Brandon L</t>
        </is>
      </c>
      <c r="B34" s="4" t="inlineStr">
        <is>
          <t>Hohenberger, George</t>
        </is>
      </c>
      <c r="C34" s="5" t="n">
        <v>15692010</v>
      </c>
      <c r="D34" s="4" t="inlineStr">
        <is>
          <t>LENOX_15692010 - Sup Svc-Security</t>
        </is>
      </c>
      <c r="E34" s="6" t="n">
        <v>5023802.31</v>
      </c>
      <c r="F34" s="6" t="n">
        <v>4880486.298316236</v>
      </c>
      <c r="G34" s="6" t="n">
        <v>5022149.216933399</v>
      </c>
      <c r="H34" s="6" t="n">
        <v>6468950.669241091</v>
      </c>
      <c r="I34" s="6" t="n">
        <v>1445148.359241092</v>
      </c>
      <c r="J34" s="6" t="n">
        <v>1588464.370924856</v>
      </c>
      <c r="K34" s="6" t="n">
        <v>1446801.452307693</v>
      </c>
    </row>
    <row r="35">
      <c r="A35" s="4" t="inlineStr">
        <is>
          <t>Cole, Brandon L</t>
        </is>
      </c>
      <c r="B35" s="4" t="inlineStr">
        <is>
          <t>Holuka, Gregory</t>
        </is>
      </c>
      <c r="C35" s="5" t="n">
        <v>15628005</v>
      </c>
      <c r="D35" s="4" t="inlineStr">
        <is>
          <t>LENOX_15628005 - Transition of Care</t>
        </is>
      </c>
      <c r="E35" s="6" t="n">
        <v>7674.53</v>
      </c>
      <c r="F35" s="6" t="n">
        <v>5266.5</v>
      </c>
      <c r="G35" s="6" t="n">
        <v>6767.22</v>
      </c>
      <c r="H35" s="6" t="n">
        <v>0</v>
      </c>
      <c r="I35" s="6" t="n">
        <v>-7674.53</v>
      </c>
      <c r="J35" s="6" t="n">
        <v>-5266.5</v>
      </c>
      <c r="K35" s="6" t="n">
        <v>-6767.22</v>
      </c>
    </row>
    <row r="36">
      <c r="A36" s="4" t="inlineStr">
        <is>
          <t>Cole, Brandon L</t>
        </is>
      </c>
      <c r="B36" s="4" t="inlineStr">
        <is>
          <t>Holuka, Gregory</t>
        </is>
      </c>
      <c r="C36" s="5" t="n">
        <v>15656090</v>
      </c>
      <c r="D36" s="4" t="inlineStr">
        <is>
          <t>LENOX_15656090 - Speech Therapy</t>
        </is>
      </c>
      <c r="E36" s="6" t="n">
        <v>1540.6</v>
      </c>
      <c r="F36" s="6" t="n">
        <v>1308.3299999997</v>
      </c>
      <c r="G36" s="6" t="n">
        <v>5141.8814540708</v>
      </c>
      <c r="H36" s="6" t="n">
        <v>0</v>
      </c>
      <c r="I36" s="6" t="n">
        <v>-1540.6</v>
      </c>
      <c r="J36" s="6" t="n">
        <v>-1308.3299999997</v>
      </c>
      <c r="K36" s="6" t="n">
        <v>-5141.8814540708</v>
      </c>
    </row>
    <row r="37">
      <c r="A37" s="4" t="inlineStr">
        <is>
          <t>Cole, Brandon L</t>
        </is>
      </c>
      <c r="B37" s="4" t="inlineStr">
        <is>
          <t>Holuka, Gregory</t>
        </is>
      </c>
      <c r="C37" s="5" t="n">
        <v>15661010</v>
      </c>
      <c r="D37" s="4" t="inlineStr">
        <is>
          <t>LENOX_15661010 - OP Center for Mental Health</t>
        </is>
      </c>
      <c r="E37" s="6" t="n">
        <v>101.8</v>
      </c>
      <c r="F37" s="6" t="n">
        <v>0</v>
      </c>
      <c r="G37" s="6" t="n">
        <v>76.59999999999999</v>
      </c>
      <c r="H37" s="6" t="n">
        <v>0</v>
      </c>
      <c r="I37" s="6" t="n">
        <v>-101.8</v>
      </c>
      <c r="J37" s="6" t="n">
        <v>0</v>
      </c>
      <c r="K37" s="6" t="n">
        <v>-76.59999999999999</v>
      </c>
    </row>
    <row r="38">
      <c r="A38" s="4" t="inlineStr">
        <is>
          <t>Cole, Brandon L</t>
        </is>
      </c>
      <c r="B38" s="4" t="inlineStr">
        <is>
          <t>Holuka, Gregory</t>
        </is>
      </c>
      <c r="C38" s="5" t="n">
        <v>15661015</v>
      </c>
      <c r="D38" s="4" t="inlineStr">
        <is>
          <t>LENOX_15661015 - OP Svc-Psychology</t>
        </is>
      </c>
      <c r="E38" s="6" t="n">
        <v>1623.67</v>
      </c>
      <c r="F38" s="6" t="n">
        <v>1361.61</v>
      </c>
      <c r="G38" s="6" t="n">
        <v>1403.8</v>
      </c>
      <c r="H38" s="6" t="n">
        <v>0</v>
      </c>
      <c r="I38" s="6" t="n">
        <v>-1623.67</v>
      </c>
      <c r="J38" s="6" t="n">
        <v>-1361.61</v>
      </c>
      <c r="K38" s="6" t="n">
        <v>-1403.8</v>
      </c>
    </row>
    <row r="39">
      <c r="A39" s="4" t="inlineStr">
        <is>
          <t>Cole, Brandon L</t>
        </is>
      </c>
      <c r="B39" s="4" t="inlineStr">
        <is>
          <t>Holuka, Gregory</t>
        </is>
      </c>
      <c r="C39" s="5" t="n">
        <v>15663430</v>
      </c>
      <c r="D39" s="4" t="inlineStr">
        <is>
          <t>LENOX_15663430 - OP Svc - Primary Care RDC</t>
        </is>
      </c>
      <c r="E39" s="6" t="n">
        <v>1486.05</v>
      </c>
      <c r="F39" s="6" t="n">
        <v>1428</v>
      </c>
      <c r="G39" s="6" t="n">
        <v>-598.2320235566</v>
      </c>
      <c r="H39" s="6" t="n">
        <v>0</v>
      </c>
      <c r="I39" s="6" t="n">
        <v>-1486.05</v>
      </c>
      <c r="J39" s="6" t="n">
        <v>-1428</v>
      </c>
      <c r="K39" s="6" t="n">
        <v>598.2320235566</v>
      </c>
    </row>
    <row r="40">
      <c r="A40" s="4" t="inlineStr">
        <is>
          <t>Cole, Brandon L</t>
        </is>
      </c>
      <c r="B40" s="4" t="inlineStr">
        <is>
          <t>Holuka, Gregory</t>
        </is>
      </c>
      <c r="C40" s="5" t="n">
        <v>15670000</v>
      </c>
      <c r="D40" s="4" t="inlineStr">
        <is>
          <t>LENOX_15670000 - Ambulance</t>
        </is>
      </c>
      <c r="E40" s="6" t="n">
        <v>-476.53</v>
      </c>
      <c r="F40" s="6" t="n">
        <v>1130.0031242801</v>
      </c>
      <c r="G40" s="6" t="n">
        <v>52.94</v>
      </c>
      <c r="H40" s="6" t="n">
        <v>0</v>
      </c>
      <c r="I40" s="6" t="n">
        <v>476.53</v>
      </c>
      <c r="J40" s="6" t="n">
        <v>-1130.0031242801</v>
      </c>
      <c r="K40" s="6" t="n">
        <v>-52.94</v>
      </c>
    </row>
    <row r="41">
      <c r="A41" s="4" t="inlineStr">
        <is>
          <t>Cole, Brandon L</t>
        </is>
      </c>
      <c r="B41" s="4" t="inlineStr">
        <is>
          <t>Holuka, Gregory</t>
        </is>
      </c>
      <c r="C41" s="5" t="n">
        <v>15692000</v>
      </c>
      <c r="D41" s="4" t="inlineStr">
        <is>
          <t>LENOX_15692000 - Sup Svc-Lobby Svc</t>
        </is>
      </c>
      <c r="E41" s="6" t="n">
        <v>1728.46</v>
      </c>
      <c r="F41" s="6" t="n">
        <v>1579.1185925928</v>
      </c>
      <c r="G41" s="6" t="n">
        <v>2107.9589010989</v>
      </c>
      <c r="H41" s="6" t="n">
        <v>0</v>
      </c>
      <c r="I41" s="6" t="n">
        <v>-1728.46</v>
      </c>
      <c r="J41" s="6" t="n">
        <v>-1579.1185925928</v>
      </c>
      <c r="K41" s="6" t="n">
        <v>-2107.9589010989</v>
      </c>
    </row>
    <row r="42">
      <c r="A42" s="4" t="inlineStr">
        <is>
          <t>Cole, Brandon L</t>
        </is>
      </c>
      <c r="B42" s="4" t="inlineStr">
        <is>
          <t>Merrick, Sinead</t>
        </is>
      </c>
      <c r="C42" s="5" t="n">
        <v>15643020</v>
      </c>
      <c r="D42" s="4" t="inlineStr">
        <is>
          <t>LENOX_15643020 - Research - Cardio</t>
        </is>
      </c>
      <c r="E42" s="6" t="n">
        <v>3931.9</v>
      </c>
      <c r="F42" s="6" t="n">
        <v>3151.2700000008</v>
      </c>
      <c r="G42" s="6" t="n">
        <v>4175.66</v>
      </c>
      <c r="H42" s="6" t="n">
        <v>4175.66</v>
      </c>
      <c r="I42" s="6" t="n">
        <v>243.7599999999998</v>
      </c>
      <c r="J42" s="6" t="n">
        <v>1024.3899999992</v>
      </c>
      <c r="K42" s="6" t="n">
        <v>0</v>
      </c>
    </row>
    <row r="43">
      <c r="A43" s="4" t="inlineStr">
        <is>
          <t>Cole, Brandon L</t>
        </is>
      </c>
      <c r="B43" s="4" t="inlineStr">
        <is>
          <t>Merrick, Sinead</t>
        </is>
      </c>
      <c r="C43" s="5" t="n">
        <v>15652030</v>
      </c>
      <c r="D43" s="4" t="inlineStr">
        <is>
          <t>LENOX_15652030 - Cardio - Cardiology</t>
        </is>
      </c>
      <c r="E43" s="6" t="n">
        <v>80291.63</v>
      </c>
      <c r="F43" s="6" t="n">
        <v>62672.8225563648</v>
      </c>
      <c r="G43" s="6" t="n">
        <v>133063.68</v>
      </c>
      <c r="H43" s="6" t="n">
        <v>133063.68</v>
      </c>
      <c r="I43" s="6" t="n">
        <v>52772.04999999999</v>
      </c>
      <c r="J43" s="6" t="n">
        <v>70390.85744363519</v>
      </c>
      <c r="K43" s="6" t="n">
        <v>0</v>
      </c>
    </row>
    <row r="44">
      <c r="A44" s="4" t="inlineStr">
        <is>
          <t>Cole, Brandon L</t>
        </is>
      </c>
      <c r="B44" s="4" t="inlineStr">
        <is>
          <t>Ritz, Danilya</t>
        </is>
      </c>
      <c r="C44" s="5" t="n">
        <v>15637000</v>
      </c>
      <c r="D44" s="4" t="inlineStr">
        <is>
          <t>LENOX_15637000 - Gastroenterology</t>
        </is>
      </c>
      <c r="E44" s="6" t="n">
        <v>4224.09</v>
      </c>
      <c r="F44" s="6" t="n">
        <v>3856.2099999996</v>
      </c>
      <c r="G44" s="6" t="n">
        <v>4025.7137569061</v>
      </c>
      <c r="H44" s="6" t="n">
        <v>3960</v>
      </c>
      <c r="I44" s="6" t="n">
        <v>-264.0900000000001</v>
      </c>
      <c r="J44" s="6" t="n">
        <v>103.7900000004001</v>
      </c>
      <c r="K44" s="6" t="n">
        <v>-65.71375690610012</v>
      </c>
    </row>
    <row r="45">
      <c r="A45" s="4" t="inlineStr">
        <is>
          <t>Cole, Brandon L</t>
        </is>
      </c>
      <c r="B45" s="4" t="inlineStr">
        <is>
          <t>Ritz, Danilya</t>
        </is>
      </c>
      <c r="C45" s="5" t="n">
        <v>15698017</v>
      </c>
      <c r="D45" s="4" t="inlineStr">
        <is>
          <t>LENOX_15698017 - Gastroenterological Fund</t>
        </is>
      </c>
      <c r="E45" s="6" t="n">
        <v>0</v>
      </c>
      <c r="F45" s="6" t="n">
        <v>0</v>
      </c>
      <c r="G45" s="6" t="n">
        <v>27.2842541436</v>
      </c>
      <c r="H45" s="6" t="n">
        <v>0</v>
      </c>
      <c r="I45" s="6" t="n">
        <v>0</v>
      </c>
      <c r="J45" s="6" t="n">
        <v>0</v>
      </c>
      <c r="K45" s="6" t="n">
        <v>-27.2842541436</v>
      </c>
    </row>
    <row r="46">
      <c r="A46" s="4" t="inlineStr">
        <is>
          <t>Cole, Brandon L</t>
        </is>
      </c>
      <c r="B46" s="4" t="inlineStr">
        <is>
          <t>Sepulveda, Richard</t>
        </is>
      </c>
      <c r="C46" s="5" t="n">
        <v>15693000</v>
      </c>
      <c r="D46" s="4" t="inlineStr">
        <is>
          <t>LENOX_15693000 - Sup Svc-Laundry and Linen</t>
        </is>
      </c>
      <c r="E46" s="6" t="n">
        <v>1965712.64</v>
      </c>
      <c r="F46" s="6" t="n">
        <v>1705890.913888889</v>
      </c>
      <c r="G46" s="6" t="n">
        <v>1734109.141943416</v>
      </c>
      <c r="H46" s="6" t="n">
        <v>1701482.952219659</v>
      </c>
      <c r="I46" s="6" t="n">
        <v>-264229.6877803414</v>
      </c>
      <c r="J46" s="6" t="n">
        <v>-4407.961669230135</v>
      </c>
      <c r="K46" s="6" t="n">
        <v>-32626.18972375686</v>
      </c>
    </row>
    <row r="47">
      <c r="A47" s="4" t="inlineStr">
        <is>
          <t>Cole, Brandon L</t>
        </is>
      </c>
      <c r="B47" s="4" t="inlineStr">
        <is>
          <t>Sepulveda, Richard</t>
        </is>
      </c>
      <c r="C47" s="5" t="n">
        <v>15693010</v>
      </c>
      <c r="D47" s="4" t="inlineStr">
        <is>
          <t>LENOX_15693010 - Environmental Services</t>
        </is>
      </c>
      <c r="E47" s="6" t="n">
        <v>2794715.21</v>
      </c>
      <c r="F47" s="6" t="n">
        <v>2460309.275768905</v>
      </c>
      <c r="G47" s="6" t="n">
        <v>2987867.322236051</v>
      </c>
      <c r="H47" s="6" t="n">
        <v>2703010.350168175</v>
      </c>
      <c r="I47" s="6" t="n">
        <v>-91704.8598318249</v>
      </c>
      <c r="J47" s="6" t="n">
        <v>242701.0743992697</v>
      </c>
      <c r="K47" s="6" t="n">
        <v>-284856.9720678758</v>
      </c>
    </row>
    <row r="48">
      <c r="A48" s="7" t="inlineStr">
        <is>
          <t>Total</t>
        </is>
      </c>
      <c r="B48" s="7" t="n"/>
      <c r="C48" s="7">
        <f>SUM(C6:C47)</f>
        <v/>
      </c>
      <c r="D48" s="7" t="n"/>
      <c r="E48" s="8">
        <f>SUM(E6:E47)</f>
        <v/>
      </c>
      <c r="F48" s="8">
        <f>SUM(F6:F47)</f>
        <v/>
      </c>
      <c r="G48" s="8">
        <f>SUM(G6:G47)</f>
        <v/>
      </c>
      <c r="H48" s="8">
        <f>SUM(H6:H47)</f>
        <v/>
      </c>
      <c r="I48" s="8">
        <f>SUM(I6:I47)</f>
        <v/>
      </c>
      <c r="J48" s="8">
        <f>SUM(J6:J47)</f>
        <v/>
      </c>
      <c r="K48" s="8">
        <f>SUM(K6:K47)</f>
        <v/>
      </c>
    </row>
  </sheetData>
  <autoFilter ref="A5:K47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92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31" customWidth="1" min="1" max="1"/>
    <col width="18" customWidth="1" min="2" max="2"/>
    <col width="44" customWidth="1" min="3" max="3"/>
    <col width="23" customWidth="1" min="4" max="4"/>
    <col width="23" customWidth="1" min="5" max="5"/>
    <col width="22" customWidth="1" min="6" max="6"/>
    <col width="29" customWidth="1" min="7" max="7"/>
    <col width="29" customWidth="1" min="8" max="8"/>
    <col width="29" customWidth="1" min="9" max="9"/>
    <col width="33" customWidth="1" min="10" max="10"/>
  </cols>
  <sheetData>
    <row r="1">
      <c r="A1" s="1" t="inlineStr">
        <is>
          <t>LENOX</t>
        </is>
      </c>
    </row>
    <row r="2">
      <c r="A2" s="1" t="inlineStr">
        <is>
          <t>2027 OTS Summary by Account</t>
        </is>
      </c>
    </row>
    <row r="3">
      <c r="A3" s="1" t="inlineStr">
        <is>
          <t>Updated 2026-08-26</t>
        </is>
      </c>
    </row>
    <row r="4">
      <c r="H4" s="2" t="inlineStr">
        <is>
          <t>Variance</t>
        </is>
      </c>
      <c r="I4" s="2" t="n"/>
      <c r="J4" s="2" t="n"/>
    </row>
    <row r="5">
      <c r="A5" s="3" t="inlineStr">
        <is>
          <t>VP</t>
        </is>
      </c>
      <c r="B5" s="3" t="inlineStr">
        <is>
          <t>Account Number</t>
        </is>
      </c>
      <c r="C5" s="3" t="inlineStr">
        <is>
          <t>Account Name</t>
        </is>
      </c>
      <c r="D5" s="3" t="inlineStr">
        <is>
          <t>2025 Actual</t>
        </is>
      </c>
      <c r="E5" s="3" t="inlineStr">
        <is>
          <t>2026 Budget</t>
        </is>
      </c>
      <c r="F5" s="3" t="inlineStr">
        <is>
          <t>2026 Projection</t>
        </is>
      </c>
      <c r="G5" s="3" t="inlineStr">
        <is>
          <t>2027 Budget w/o Inflation</t>
        </is>
      </c>
      <c r="H5" s="3" t="inlineStr">
        <is>
          <t>2027 Budget - 2025 Actual</t>
        </is>
      </c>
      <c r="I5" s="3" t="inlineStr">
        <is>
          <t>2027 Budget - 2026 Budget</t>
        </is>
      </c>
      <c r="J5" s="3" t="inlineStr">
        <is>
          <t>2027 Budget - 2026 Projection</t>
        </is>
      </c>
    </row>
    <row r="6">
      <c r="A6" s="4" t="inlineStr">
        <is>
          <t>Cole, Brandon L</t>
        </is>
      </c>
      <c r="B6" s="4" t="inlineStr">
        <is>
          <t>A_55009</t>
        </is>
      </c>
      <c r="C6" s="4" t="inlineStr">
        <is>
          <t>A_55009 - Supply Chain Channel Rebates</t>
        </is>
      </c>
      <c r="D6" s="6" t="n">
        <v>-695.67</v>
      </c>
      <c r="E6" s="6" t="n">
        <v>0</v>
      </c>
      <c r="F6" s="6" t="n">
        <v>-656.7890109889</v>
      </c>
      <c r="G6" s="6" t="n">
        <v>-515.4969230769</v>
      </c>
      <c r="H6" s="6" t="n">
        <v>180.1730769231</v>
      </c>
      <c r="I6" s="6" t="n">
        <v>-515.4969230769</v>
      </c>
      <c r="J6" s="6" t="n">
        <v>141.2920879120001</v>
      </c>
    </row>
    <row r="7">
      <c r="A7" s="4" t="inlineStr">
        <is>
          <t>Cole, Brandon L</t>
        </is>
      </c>
      <c r="B7" s="4" t="inlineStr">
        <is>
          <t>A_55010</t>
        </is>
      </c>
      <c r="C7" s="4" t="inlineStr">
        <is>
          <t>A_55010 - Rebates From Vendors</t>
        </is>
      </c>
      <c r="D7" s="6" t="n">
        <v>-101586.69</v>
      </c>
      <c r="E7" s="6" t="n">
        <v>-107720.0000000007</v>
      </c>
      <c r="F7" s="6" t="n">
        <v>-224645.9334065935</v>
      </c>
      <c r="G7" s="6" t="n">
        <v>-166372.8692307692</v>
      </c>
      <c r="H7" s="6" t="n">
        <v>-64786.17923076919</v>
      </c>
      <c r="I7" s="6" t="n">
        <v>-58652.8692307685</v>
      </c>
      <c r="J7" s="6" t="n">
        <v>58273.06417582431</v>
      </c>
    </row>
    <row r="8">
      <c r="A8" s="4" t="inlineStr">
        <is>
          <t>Cole, Brandon L</t>
        </is>
      </c>
      <c r="B8" s="4" t="inlineStr">
        <is>
          <t>A_61000</t>
        </is>
      </c>
      <c r="C8" s="4" t="inlineStr">
        <is>
          <t>A_61000 - Consulting Fees</t>
        </is>
      </c>
      <c r="D8" s="6" t="n">
        <v>4569</v>
      </c>
      <c r="E8" s="6" t="n">
        <v>8598</v>
      </c>
      <c r="F8" s="6" t="n">
        <v>0</v>
      </c>
      <c r="G8" s="6" t="n">
        <v>0</v>
      </c>
      <c r="H8" s="6" t="n">
        <v>-4569</v>
      </c>
      <c r="I8" s="6" t="n">
        <v>-8598</v>
      </c>
      <c r="J8" s="6" t="n">
        <v>0</v>
      </c>
    </row>
    <row r="9">
      <c r="A9" s="4" t="inlineStr">
        <is>
          <t>Cole, Brandon L</t>
        </is>
      </c>
      <c r="B9" s="4" t="inlineStr">
        <is>
          <t>A_61010</t>
        </is>
      </c>
      <c r="C9" s="4" t="inlineStr">
        <is>
          <t>A_61010 - Legal Fees</t>
        </is>
      </c>
      <c r="D9" s="6" t="n">
        <v>47288.33</v>
      </c>
      <c r="E9" s="6" t="n">
        <v>15210</v>
      </c>
      <c r="F9" s="6" t="n">
        <v>4756.8</v>
      </c>
      <c r="G9" s="6" t="n">
        <v>0</v>
      </c>
      <c r="H9" s="6" t="n">
        <v>-47288.33</v>
      </c>
      <c r="I9" s="6" t="n">
        <v>-15210</v>
      </c>
      <c r="J9" s="6" t="n">
        <v>-4756.8</v>
      </c>
    </row>
    <row r="10">
      <c r="A10" s="4" t="inlineStr">
        <is>
          <t>Cole, Brandon L</t>
        </is>
      </c>
      <c r="B10" s="4" t="inlineStr">
        <is>
          <t>A_61200</t>
        </is>
      </c>
      <c r="C10" s="4" t="inlineStr">
        <is>
          <t>A_61200 - Temporary Employees</t>
        </is>
      </c>
      <c r="D10" s="6" t="n">
        <v>424020.07</v>
      </c>
      <c r="E10" s="6" t="n">
        <v>384000</v>
      </c>
      <c r="F10" s="6" t="n">
        <v>439524.6</v>
      </c>
      <c r="G10" s="6" t="n">
        <v>0</v>
      </c>
      <c r="H10" s="6" t="n">
        <v>-424020.07</v>
      </c>
      <c r="I10" s="6" t="n">
        <v>-384000</v>
      </c>
      <c r="J10" s="6" t="n">
        <v>-439524.6</v>
      </c>
    </row>
    <row r="11">
      <c r="A11" s="4" t="inlineStr">
        <is>
          <t>Cole, Brandon L</t>
        </is>
      </c>
      <c r="B11" s="4" t="inlineStr">
        <is>
          <t>A_61300</t>
        </is>
      </c>
      <c r="C11" s="4" t="inlineStr">
        <is>
          <t>A_61300 - Nursing Fees</t>
        </is>
      </c>
      <c r="D11" s="6" t="n">
        <v>127716.14</v>
      </c>
      <c r="E11" s="6" t="n">
        <v>236210.0004</v>
      </c>
      <c r="F11" s="6" t="n">
        <v>0</v>
      </c>
      <c r="G11" s="6" t="n">
        <v>0</v>
      </c>
      <c r="H11" s="6" t="n">
        <v>-127716.14</v>
      </c>
      <c r="I11" s="6" t="n">
        <v>-236210.0004</v>
      </c>
      <c r="J11" s="6" t="n">
        <v>0</v>
      </c>
    </row>
    <row r="12">
      <c r="A12" s="4" t="inlineStr">
        <is>
          <t>Cole, Brandon L</t>
        </is>
      </c>
      <c r="B12" s="4" t="inlineStr">
        <is>
          <t>A_61400</t>
        </is>
      </c>
      <c r="C12" s="4" t="inlineStr">
        <is>
          <t>A_61400 - Other Fees</t>
        </is>
      </c>
      <c r="D12" s="6" t="n">
        <v>311.96</v>
      </c>
      <c r="E12" s="6" t="n">
        <v>0</v>
      </c>
      <c r="F12" s="6" t="n">
        <v>0</v>
      </c>
      <c r="G12" s="6" t="n">
        <v>0</v>
      </c>
      <c r="H12" s="6" t="n">
        <v>-311.96</v>
      </c>
      <c r="I12" s="6" t="n">
        <v>0</v>
      </c>
      <c r="J12" s="6" t="n">
        <v>0</v>
      </c>
    </row>
    <row r="13">
      <c r="A13" s="4" t="inlineStr">
        <is>
          <t>Cole, Brandon L</t>
        </is>
      </c>
      <c r="B13" s="4" t="inlineStr">
        <is>
          <t>A_63000</t>
        </is>
      </c>
      <c r="C13" s="4" t="inlineStr">
        <is>
          <t>A_63000 - Supplies - Laboratory</t>
        </is>
      </c>
      <c r="D13" s="6" t="n">
        <v>1324768.24</v>
      </c>
      <c r="E13" s="6" t="n">
        <v>1194493.307171379</v>
      </c>
      <c r="F13" s="6" t="n">
        <v>1183719.311538461</v>
      </c>
      <c r="G13" s="6" t="n">
        <v>1183719.311538461</v>
      </c>
      <c r="H13" s="6" t="n">
        <v>-141048.9284615386</v>
      </c>
      <c r="I13" s="6" t="n">
        <v>-10773.99563291785</v>
      </c>
      <c r="J13" s="6" t="n">
        <v>0</v>
      </c>
    </row>
    <row r="14">
      <c r="A14" s="4" t="inlineStr">
        <is>
          <t>Cole, Brandon L</t>
        </is>
      </c>
      <c r="B14" s="4" t="inlineStr">
        <is>
          <t>A_63005</t>
        </is>
      </c>
      <c r="C14" s="4" t="inlineStr">
        <is>
          <t>A_63005 - Supplies - Reagents</t>
        </is>
      </c>
      <c r="D14" s="6" t="n">
        <v>3722177.99</v>
      </c>
      <c r="E14" s="6" t="n">
        <v>3623036.931831008</v>
      </c>
      <c r="F14" s="6" t="n">
        <v>3634590.892417587</v>
      </c>
      <c r="G14" s="6" t="n">
        <v>3639590.622307697</v>
      </c>
      <c r="H14" s="6" t="n">
        <v>-82587.36769230338</v>
      </c>
      <c r="I14" s="6" t="n">
        <v>16553.69047668902</v>
      </c>
      <c r="J14" s="6" t="n">
        <v>4999.729890109971</v>
      </c>
    </row>
    <row r="15">
      <c r="A15" s="4" t="inlineStr">
        <is>
          <t>Cole, Brandon L</t>
        </is>
      </c>
      <c r="B15" s="4" t="inlineStr">
        <is>
          <t>A_63008</t>
        </is>
      </c>
      <c r="C15" s="4" t="inlineStr">
        <is>
          <t>A_63008 - Supplies - Implants - Spinal</t>
        </is>
      </c>
      <c r="D15" s="6" t="n">
        <v>9298.700000000001</v>
      </c>
      <c r="E15" s="6" t="n">
        <v>7491.8953703703</v>
      </c>
      <c r="F15" s="6" t="n">
        <v>0</v>
      </c>
      <c r="G15" s="6" t="n">
        <v>0</v>
      </c>
      <c r="H15" s="6" t="n">
        <v>-9298.700000000001</v>
      </c>
      <c r="I15" s="6" t="n">
        <v>-7491.8953703703</v>
      </c>
      <c r="J15" s="6" t="n">
        <v>0</v>
      </c>
    </row>
    <row r="16">
      <c r="A16" s="4" t="inlineStr">
        <is>
          <t>Cole, Brandon L</t>
        </is>
      </c>
      <c r="B16" s="4" t="inlineStr">
        <is>
          <t>A_63010</t>
        </is>
      </c>
      <c r="C16" s="4" t="inlineStr">
        <is>
          <t>A_63010 - Supplies - Implnts - Oth Ortho</t>
        </is>
      </c>
      <c r="D16" s="6" t="n">
        <v>115.5</v>
      </c>
      <c r="E16" s="6" t="n">
        <v>0</v>
      </c>
      <c r="F16" s="6" t="n">
        <v>0</v>
      </c>
      <c r="G16" s="6" t="n">
        <v>0</v>
      </c>
      <c r="H16" s="6" t="n">
        <v>-115.5</v>
      </c>
      <c r="I16" s="6" t="n">
        <v>0</v>
      </c>
      <c r="J16" s="6" t="n">
        <v>0</v>
      </c>
    </row>
    <row r="17">
      <c r="A17" s="4" t="inlineStr">
        <is>
          <t>Cole, Brandon L</t>
        </is>
      </c>
      <c r="B17" s="4" t="inlineStr">
        <is>
          <t>A_63015</t>
        </is>
      </c>
      <c r="C17" s="4" t="inlineStr">
        <is>
          <t>A_63015 - Supplies - Implants - Neuro</t>
        </is>
      </c>
      <c r="D17" s="6" t="n">
        <v>437692.52</v>
      </c>
      <c r="E17" s="6" t="n">
        <v>452918.4442723</v>
      </c>
      <c r="F17" s="6" t="n">
        <v>325098.313516484</v>
      </c>
      <c r="G17" s="6" t="n">
        <v>325098.313516484</v>
      </c>
      <c r="H17" s="6" t="n">
        <v>-112594.206483516</v>
      </c>
      <c r="I17" s="6" t="n">
        <v>-127820.130755816</v>
      </c>
      <c r="J17" s="6" t="n">
        <v>0</v>
      </c>
    </row>
    <row r="18">
      <c r="A18" s="4" t="inlineStr">
        <is>
          <t>Cole, Brandon L</t>
        </is>
      </c>
      <c r="B18" s="4" t="inlineStr">
        <is>
          <t>A_63020</t>
        </is>
      </c>
      <c r="C18" s="4" t="inlineStr">
        <is>
          <t>A_63020 - Supplies Wound Closure</t>
        </is>
      </c>
      <c r="D18" s="6" t="n">
        <v>14813.84</v>
      </c>
      <c r="E18" s="6" t="n">
        <v>14721.3658796297</v>
      </c>
      <c r="F18" s="6" t="n">
        <v>13302.0286813187</v>
      </c>
      <c r="G18" s="6" t="n">
        <v>13302.0286813187</v>
      </c>
      <c r="H18" s="6" t="n">
        <v>-1511.811318681301</v>
      </c>
      <c r="I18" s="6" t="n">
        <v>-1419.337198311001</v>
      </c>
      <c r="J18" s="6" t="n">
        <v>0</v>
      </c>
    </row>
    <row r="19">
      <c r="A19" s="4" t="inlineStr">
        <is>
          <t>Cole, Brandon L</t>
        </is>
      </c>
      <c r="B19" s="4" t="inlineStr">
        <is>
          <t>A_63030</t>
        </is>
      </c>
      <c r="C19" s="4" t="inlineStr">
        <is>
          <t>A_63030 - Supplies - Medical</t>
        </is>
      </c>
      <c r="D19" s="6" t="n">
        <v>517957.43</v>
      </c>
      <c r="E19" s="6" t="n">
        <v>483183.8014766377</v>
      </c>
      <c r="F19" s="6" t="n">
        <v>580202.0228571418</v>
      </c>
      <c r="G19" s="6" t="n">
        <v>626717.923091181</v>
      </c>
      <c r="H19" s="6" t="n">
        <v>108760.493091181</v>
      </c>
      <c r="I19" s="6" t="n">
        <v>143534.1216145433</v>
      </c>
      <c r="J19" s="6" t="n">
        <v>46515.90023403917</v>
      </c>
    </row>
    <row r="20">
      <c r="A20" s="4" t="inlineStr">
        <is>
          <t>Cole, Brandon L</t>
        </is>
      </c>
      <c r="B20" s="4" t="inlineStr">
        <is>
          <t>A_63032</t>
        </is>
      </c>
      <c r="C20" s="4" t="inlineStr">
        <is>
          <t>A_63032 - Supplies - Medical - PPE</t>
        </is>
      </c>
      <c r="D20" s="6" t="n">
        <v>10196.15</v>
      </c>
      <c r="E20" s="6" t="n">
        <v>6846.2049218109</v>
      </c>
      <c r="F20" s="6" t="n">
        <v>4813.5837362636</v>
      </c>
      <c r="G20" s="6" t="n">
        <v>4286.0208791208</v>
      </c>
      <c r="H20" s="6" t="n">
        <v>-5910.1291208792</v>
      </c>
      <c r="I20" s="6" t="n">
        <v>-2560.184042690101</v>
      </c>
      <c r="J20" s="6" t="n">
        <v>-527.5628571428006</v>
      </c>
    </row>
    <row r="21">
      <c r="A21" s="4" t="inlineStr">
        <is>
          <t>Cole, Brandon L</t>
        </is>
      </c>
      <c r="B21" s="4" t="inlineStr">
        <is>
          <t>A_63035</t>
        </is>
      </c>
      <c r="C21" s="4" t="inlineStr">
        <is>
          <t>A_63035 - Supplies - Gases</t>
        </is>
      </c>
      <c r="D21" s="6" t="n">
        <v>856.4400000000001</v>
      </c>
      <c r="E21" s="6" t="n">
        <v>1484.0329218106</v>
      </c>
      <c r="F21" s="6" t="n">
        <v>0</v>
      </c>
      <c r="G21" s="6" t="n">
        <v>0</v>
      </c>
      <c r="H21" s="6" t="n">
        <v>-856.4400000000001</v>
      </c>
      <c r="I21" s="6" t="n">
        <v>-1484.0329218106</v>
      </c>
      <c r="J21" s="6" t="n">
        <v>0</v>
      </c>
    </row>
    <row r="22">
      <c r="A22" s="4" t="inlineStr">
        <is>
          <t>Cole, Brandon L</t>
        </is>
      </c>
      <c r="B22" s="4" t="inlineStr">
        <is>
          <t>A_63040</t>
        </is>
      </c>
      <c r="C22" s="4" t="inlineStr">
        <is>
          <t>A_63040 - Supplies - Radiology</t>
        </is>
      </c>
      <c r="D22" s="6" t="n">
        <v>604118.3</v>
      </c>
      <c r="E22" s="6" t="n">
        <v>644880.5291992505</v>
      </c>
      <c r="F22" s="6" t="n">
        <v>772978.6872527476</v>
      </c>
      <c r="G22" s="6" t="n">
        <v>772978.6872527476</v>
      </c>
      <c r="H22" s="6" t="n">
        <v>168860.3872527475</v>
      </c>
      <c r="I22" s="6" t="n">
        <v>128098.1580534971</v>
      </c>
      <c r="J22" s="6" t="n">
        <v>0</v>
      </c>
    </row>
    <row r="23">
      <c r="A23" s="4" t="inlineStr">
        <is>
          <t>Cole, Brandon L</t>
        </is>
      </c>
      <c r="B23" s="4" t="inlineStr">
        <is>
          <t>A_63045</t>
        </is>
      </c>
      <c r="C23" s="4" t="inlineStr">
        <is>
          <t>A_63045 - Supplies - Med Equip Repair</t>
        </is>
      </c>
      <c r="D23" s="6" t="n">
        <v>-387.41</v>
      </c>
      <c r="E23" s="6" t="n">
        <v>0</v>
      </c>
      <c r="F23" s="6" t="n">
        <v>20349.1978021978</v>
      </c>
      <c r="G23" s="6" t="n">
        <v>20349.1978021978</v>
      </c>
      <c r="H23" s="6" t="n">
        <v>20736.6078021978</v>
      </c>
      <c r="I23" s="6" t="n">
        <v>20349.1978021978</v>
      </c>
      <c r="J23" s="6" t="n">
        <v>0</v>
      </c>
    </row>
    <row r="24">
      <c r="A24" s="4" t="inlineStr">
        <is>
          <t>Cole, Brandon L</t>
        </is>
      </c>
      <c r="B24" s="4" t="inlineStr">
        <is>
          <t>A_63050</t>
        </is>
      </c>
      <c r="C24" s="4" t="inlineStr">
        <is>
          <t>A_63050 - Supplies - Iv Solutions &amp; Sets</t>
        </is>
      </c>
      <c r="D24" s="6" t="n">
        <v>142499.55</v>
      </c>
      <c r="E24" s="6" t="n">
        <v>173565.1302388764</v>
      </c>
      <c r="F24" s="6" t="n">
        <v>92264.33670329671</v>
      </c>
      <c r="G24" s="6" t="n">
        <v>145743.9133825806</v>
      </c>
      <c r="H24" s="6" t="n">
        <v>3244.363382580603</v>
      </c>
      <c r="I24" s="6" t="n">
        <v>-27821.21685629582</v>
      </c>
      <c r="J24" s="6" t="n">
        <v>53479.57667928388</v>
      </c>
    </row>
    <row r="25">
      <c r="A25" s="4" t="inlineStr">
        <is>
          <t>Cole, Brandon L</t>
        </is>
      </c>
      <c r="B25" s="4" t="inlineStr">
        <is>
          <t>A_63059</t>
        </is>
      </c>
      <c r="C25" s="4" t="inlineStr">
        <is>
          <t>A_63059 - Supplies Impl Vascular Stents</t>
        </is>
      </c>
      <c r="D25" s="6" t="n">
        <v>21603</v>
      </c>
      <c r="E25" s="6" t="n">
        <v>27730.6466126436</v>
      </c>
      <c r="F25" s="6" t="n">
        <v>-22295.8351648352</v>
      </c>
      <c r="G25" s="6" t="n">
        <v>-22295.8351648352</v>
      </c>
      <c r="H25" s="6" t="n">
        <v>-43898.8351648352</v>
      </c>
      <c r="I25" s="6" t="n">
        <v>-50026.4817774788</v>
      </c>
      <c r="J25" s="6" t="n">
        <v>0</v>
      </c>
    </row>
    <row r="26">
      <c r="A26" s="4" t="inlineStr">
        <is>
          <t>Cole, Brandon L</t>
        </is>
      </c>
      <c r="B26" s="4" t="inlineStr">
        <is>
          <t>A_63060</t>
        </is>
      </c>
      <c r="C26" s="4" t="inlineStr">
        <is>
          <t>A_63060 - Supplies - Surgery Packs-Sheet</t>
        </is>
      </c>
      <c r="D26" s="6" t="n">
        <v>88713.77</v>
      </c>
      <c r="E26" s="6" t="n">
        <v>95624.3701990323</v>
      </c>
      <c r="F26" s="6" t="n">
        <v>83158.94043956051</v>
      </c>
      <c r="G26" s="6" t="n">
        <v>83526.8404395605</v>
      </c>
      <c r="H26" s="6" t="n">
        <v>-5186.929560439501</v>
      </c>
      <c r="I26" s="6" t="n">
        <v>-12097.5297594718</v>
      </c>
      <c r="J26" s="6" t="n">
        <v>367.8999999999942</v>
      </c>
    </row>
    <row r="27">
      <c r="A27" s="4" t="inlineStr">
        <is>
          <t>Cole, Brandon L</t>
        </is>
      </c>
      <c r="B27" s="4" t="inlineStr">
        <is>
          <t>A_63062</t>
        </is>
      </c>
      <c r="C27" s="4" t="inlineStr">
        <is>
          <t>A_63062 - Supplies - Impl - Oth Vascular</t>
        </is>
      </c>
      <c r="D27" s="6" t="n">
        <v>775794.6</v>
      </c>
      <c r="E27" s="6" t="n">
        <v>801171.730544364</v>
      </c>
      <c r="F27" s="6" t="n">
        <v>833494.9974725276</v>
      </c>
      <c r="G27" s="6" t="n">
        <v>832038.0359340661</v>
      </c>
      <c r="H27" s="6" t="n">
        <v>56243.43593406607</v>
      </c>
      <c r="I27" s="6" t="n">
        <v>30866.30538970209</v>
      </c>
      <c r="J27" s="6" t="n">
        <v>-1456.961538461503</v>
      </c>
    </row>
    <row r="28">
      <c r="A28" s="4" t="inlineStr">
        <is>
          <t>Cole, Brandon L</t>
        </is>
      </c>
      <c r="B28" s="4" t="inlineStr">
        <is>
          <t>A_63065</t>
        </is>
      </c>
      <c r="C28" s="4" t="inlineStr">
        <is>
          <t>A_63065 - Supplies - mpl - Oth Coronary</t>
        </is>
      </c>
      <c r="D28" s="6" t="n">
        <v>68999.47</v>
      </c>
      <c r="E28" s="6" t="n">
        <v>80995.54953769869</v>
      </c>
      <c r="F28" s="6" t="n">
        <v>96190.7525274725</v>
      </c>
      <c r="G28" s="6" t="n">
        <v>96190.7525274725</v>
      </c>
      <c r="H28" s="6" t="n">
        <v>27191.2825274725</v>
      </c>
      <c r="I28" s="6" t="n">
        <v>15195.20298977381</v>
      </c>
      <c r="J28" s="6" t="n">
        <v>0</v>
      </c>
    </row>
    <row r="29">
      <c r="A29" s="4" t="inlineStr">
        <is>
          <t>Cole, Brandon L</t>
        </is>
      </c>
      <c r="B29" s="4" t="inlineStr">
        <is>
          <t>A_63066</t>
        </is>
      </c>
      <c r="C29" s="4" t="inlineStr">
        <is>
          <t>A_63066 - Supplies - Implant - Breast</t>
        </is>
      </c>
      <c r="D29" s="6" t="n">
        <v>0</v>
      </c>
      <c r="E29" s="6" t="n">
        <v>0</v>
      </c>
      <c r="F29" s="6" t="n">
        <v>839.3868131868001</v>
      </c>
      <c r="G29" s="6" t="n">
        <v>839.3868131868001</v>
      </c>
      <c r="H29" s="6" t="n">
        <v>839.3868131868001</v>
      </c>
      <c r="I29" s="6" t="n">
        <v>839.3868131868001</v>
      </c>
      <c r="J29" s="6" t="n">
        <v>0</v>
      </c>
    </row>
    <row r="30">
      <c r="A30" s="4" t="inlineStr">
        <is>
          <t>Cole, Brandon L</t>
        </is>
      </c>
      <c r="B30" s="4" t="inlineStr">
        <is>
          <t>A_63067</t>
        </is>
      </c>
      <c r="C30" s="4" t="inlineStr">
        <is>
          <t>A_63067 - Supplies - Implants - Urologic</t>
        </is>
      </c>
      <c r="D30" s="6" t="n">
        <v>35639.6</v>
      </c>
      <c r="E30" s="6" t="n">
        <v>43725.1003852879</v>
      </c>
      <c r="F30" s="6" t="n">
        <v>34858.9259340659</v>
      </c>
      <c r="G30" s="6" t="n">
        <v>34858.9259340659</v>
      </c>
      <c r="H30" s="6" t="n">
        <v>-780.6740659341012</v>
      </c>
      <c r="I30" s="6" t="n">
        <v>-8866.174451222003</v>
      </c>
      <c r="J30" s="6" t="n">
        <v>0</v>
      </c>
    </row>
    <row r="31">
      <c r="A31" s="4" t="inlineStr">
        <is>
          <t>Cole, Brandon L</t>
        </is>
      </c>
      <c r="B31" s="4" t="inlineStr">
        <is>
          <t>A_63070</t>
        </is>
      </c>
      <c r="C31" s="4" t="inlineStr">
        <is>
          <t>A_63070 - Supplies - Implants - All Oth</t>
        </is>
      </c>
      <c r="D31" s="6" t="n">
        <v>293293.45</v>
      </c>
      <c r="E31" s="6" t="n">
        <v>310065.3831612926</v>
      </c>
      <c r="F31" s="6" t="n">
        <v>162836.4164835167</v>
      </c>
      <c r="G31" s="6" t="n">
        <v>164836.7241758244</v>
      </c>
      <c r="H31" s="6" t="n">
        <v>-128456.7258241756</v>
      </c>
      <c r="I31" s="6" t="n">
        <v>-145228.6589854682</v>
      </c>
      <c r="J31" s="6" t="n">
        <v>2000.307692307717</v>
      </c>
    </row>
    <row r="32">
      <c r="A32" s="4" t="inlineStr">
        <is>
          <t>Cole, Brandon L</t>
        </is>
      </c>
      <c r="B32" s="4" t="inlineStr">
        <is>
          <t>A_63080</t>
        </is>
      </c>
      <c r="C32" s="4" t="inlineStr">
        <is>
          <t>A_63080 - Supplies - Surgical</t>
        </is>
      </c>
      <c r="D32" s="6" t="n">
        <v>133394.39</v>
      </c>
      <c r="E32" s="6" t="n">
        <v>79801.41863374489</v>
      </c>
      <c r="F32" s="6" t="n">
        <v>65562.48494505501</v>
      </c>
      <c r="G32" s="6" t="n">
        <v>61304.81901098911</v>
      </c>
      <c r="H32" s="6" t="n">
        <v>-72089.57098901088</v>
      </c>
      <c r="I32" s="6" t="n">
        <v>-18496.59962275578</v>
      </c>
      <c r="J32" s="6" t="n">
        <v>-4257.665934065903</v>
      </c>
    </row>
    <row r="33">
      <c r="A33" s="4" t="inlineStr">
        <is>
          <t>Cole, Brandon L</t>
        </is>
      </c>
      <c r="B33" s="4" t="inlineStr">
        <is>
          <t>A_63300</t>
        </is>
      </c>
      <c r="C33" s="4" t="inlineStr">
        <is>
          <t>A_63300 - Rx - All Other</t>
        </is>
      </c>
      <c r="D33" s="6" t="n">
        <v>14687.9</v>
      </c>
      <c r="E33" s="6" t="n">
        <v>9576.6480365226</v>
      </c>
      <c r="F33" s="6" t="n">
        <v>27596.8232044199</v>
      </c>
      <c r="G33" s="6" t="n">
        <v>27596.8232044199</v>
      </c>
      <c r="H33" s="6" t="n">
        <v>12908.9232044199</v>
      </c>
      <c r="I33" s="6" t="n">
        <v>18020.1751678973</v>
      </c>
      <c r="J33" s="6" t="n">
        <v>0</v>
      </c>
    </row>
    <row r="34">
      <c r="A34" s="4" t="inlineStr">
        <is>
          <t>Cole, Brandon L</t>
        </is>
      </c>
      <c r="B34" s="4" t="inlineStr">
        <is>
          <t>A_63360</t>
        </is>
      </c>
      <c r="C34" s="4" t="inlineStr">
        <is>
          <t>A_63360 - Rx - Radio Pharmaceuticals</t>
        </is>
      </c>
      <c r="D34" s="6" t="n">
        <v>2670282.87</v>
      </c>
      <c r="E34" s="6" t="n">
        <v>2377447.34244033</v>
      </c>
      <c r="F34" s="6" t="n">
        <v>2671809.27624309</v>
      </c>
      <c r="G34" s="6" t="n">
        <v>2671809.27624309</v>
      </c>
      <c r="H34" s="6" t="n">
        <v>1526.406243090052</v>
      </c>
      <c r="I34" s="6" t="n">
        <v>294361.9338027602</v>
      </c>
      <c r="J34" s="6" t="n">
        <v>0</v>
      </c>
    </row>
    <row r="35">
      <c r="A35" s="4" t="inlineStr">
        <is>
          <t>Cole, Brandon L</t>
        </is>
      </c>
      <c r="B35" s="4" t="inlineStr">
        <is>
          <t>A_63400</t>
        </is>
      </c>
      <c r="C35" s="4" t="inlineStr">
        <is>
          <t>A_63400 - Blood Products</t>
        </is>
      </c>
      <c r="D35" s="6" t="n">
        <v>2595756.71</v>
      </c>
      <c r="E35" s="6" t="n">
        <v>2645763.86144682</v>
      </c>
      <c r="F35" s="6" t="n">
        <v>2530646.51436464</v>
      </c>
      <c r="G35" s="6" t="n">
        <v>2530646.51436464</v>
      </c>
      <c r="H35" s="6" t="n">
        <v>-65110.19563535973</v>
      </c>
      <c r="I35" s="6" t="n">
        <v>-115117.34708218</v>
      </c>
      <c r="J35" s="6" t="n">
        <v>0</v>
      </c>
    </row>
    <row r="36">
      <c r="A36" s="4" t="inlineStr">
        <is>
          <t>Cole, Brandon L</t>
        </is>
      </c>
      <c r="B36" s="4" t="inlineStr">
        <is>
          <t>A_63420</t>
        </is>
      </c>
      <c r="C36" s="4" t="inlineStr">
        <is>
          <t>A_63420 - Hemophilia Blood</t>
        </is>
      </c>
      <c r="D36" s="6" t="n">
        <v>326373.73</v>
      </c>
      <c r="E36" s="6" t="n">
        <v>309945.559448096</v>
      </c>
      <c r="F36" s="6" t="n">
        <v>253925.216574586</v>
      </c>
      <c r="G36" s="6" t="n">
        <v>253925.216574586</v>
      </c>
      <c r="H36" s="6" t="n">
        <v>-72448.51342541398</v>
      </c>
      <c r="I36" s="6" t="n">
        <v>-56020.34287351003</v>
      </c>
      <c r="J36" s="6" t="n">
        <v>0</v>
      </c>
    </row>
    <row r="37">
      <c r="A37" s="4" t="inlineStr">
        <is>
          <t>Cole, Brandon L</t>
        </is>
      </c>
      <c r="B37" s="4" t="inlineStr">
        <is>
          <t>A_64000</t>
        </is>
      </c>
      <c r="C37" s="4" t="inlineStr">
        <is>
          <t>A_64000 - Supplies - Hotel Services</t>
        </is>
      </c>
      <c r="D37" s="6" t="n">
        <v>1742275.46</v>
      </c>
      <c r="E37" s="6" t="n">
        <v>1359437.750000002</v>
      </c>
      <c r="F37" s="6" t="n">
        <v>1956145.669613259</v>
      </c>
      <c r="G37" s="6" t="n">
        <v>1770304.27441989</v>
      </c>
      <c r="H37" s="6" t="n">
        <v>28028.81441988959</v>
      </c>
      <c r="I37" s="6" t="n">
        <v>410866.5244198877</v>
      </c>
      <c r="J37" s="6" t="n">
        <v>-185841.3951933698</v>
      </c>
    </row>
    <row r="38">
      <c r="A38" s="4" t="inlineStr">
        <is>
          <t>Cole, Brandon L</t>
        </is>
      </c>
      <c r="B38" s="4" t="inlineStr">
        <is>
          <t>A_64010</t>
        </is>
      </c>
      <c r="C38" s="4" t="inlineStr">
        <is>
          <t>A_64010 - Supplies - Linen And Bedding</t>
        </is>
      </c>
      <c r="D38" s="6" t="n">
        <v>68233.88</v>
      </c>
      <c r="E38" s="6" t="n">
        <v>46076.4399999996</v>
      </c>
      <c r="F38" s="6" t="n">
        <v>44329.7339779006</v>
      </c>
      <c r="G38" s="6" t="n">
        <v>43273.1698895028</v>
      </c>
      <c r="H38" s="6" t="n">
        <v>-24960.7101104972</v>
      </c>
      <c r="I38" s="6" t="n">
        <v>-2803.2701104968</v>
      </c>
      <c r="J38" s="6" t="n">
        <v>-1056.564088397798</v>
      </c>
    </row>
    <row r="39">
      <c r="A39" s="4" t="inlineStr">
        <is>
          <t>Cole, Brandon L</t>
        </is>
      </c>
      <c r="B39" s="4" t="inlineStr">
        <is>
          <t>A_64020</t>
        </is>
      </c>
      <c r="C39" s="4" t="inlineStr">
        <is>
          <t>A_64020 - Supplies - Office</t>
        </is>
      </c>
      <c r="D39" s="6" t="n">
        <v>225018.88</v>
      </c>
      <c r="E39" s="6" t="n">
        <v>320583.6249999986</v>
      </c>
      <c r="F39" s="6" t="n">
        <v>176632.9779005525</v>
      </c>
      <c r="G39" s="6" t="n">
        <v>172633.6878453034</v>
      </c>
      <c r="H39" s="6" t="n">
        <v>-52385.19215469662</v>
      </c>
      <c r="I39" s="6" t="n">
        <v>-147949.9371546952</v>
      </c>
      <c r="J39" s="6" t="n">
        <v>-3999.290055249119</v>
      </c>
    </row>
    <row r="40">
      <c r="A40" s="4" t="inlineStr">
        <is>
          <t>Cole, Brandon L</t>
        </is>
      </c>
      <c r="B40" s="4" t="inlineStr">
        <is>
          <t>A_64030</t>
        </is>
      </c>
      <c r="C40" s="4" t="inlineStr">
        <is>
          <t>A_64030 - Supplies - Other Non Medical</t>
        </is>
      </c>
      <c r="D40" s="6" t="n">
        <v>182132.86</v>
      </c>
      <c r="E40" s="6" t="n">
        <v>214182.8999999998</v>
      </c>
      <c r="F40" s="6" t="n">
        <v>139612.0563535916</v>
      </c>
      <c r="G40" s="6" t="n">
        <v>138546.40441989</v>
      </c>
      <c r="H40" s="6" t="n">
        <v>-43586.45558010999</v>
      </c>
      <c r="I40" s="6" t="n">
        <v>-75636.4955801098</v>
      </c>
      <c r="J40" s="6" t="n">
        <v>-1065.651933701622</v>
      </c>
    </row>
    <row r="41">
      <c r="A41" s="4" t="inlineStr">
        <is>
          <t>Cole, Brandon L</t>
        </is>
      </c>
      <c r="B41" s="4" t="inlineStr">
        <is>
          <t>A_64090</t>
        </is>
      </c>
      <c r="C41" s="4" t="inlineStr">
        <is>
          <t>A_64090 - Non Med &amp; Non Surg Rebates</t>
        </is>
      </c>
      <c r="D41" s="6" t="n">
        <v>-6251.51</v>
      </c>
      <c r="E41" s="6" t="n">
        <v>0</v>
      </c>
      <c r="F41" s="6" t="n">
        <v>0</v>
      </c>
      <c r="G41" s="6" t="n">
        <v>0</v>
      </c>
      <c r="H41" s="6" t="n">
        <v>6251.51</v>
      </c>
      <c r="I41" s="6" t="n">
        <v>0</v>
      </c>
      <c r="J41" s="6" t="n">
        <v>0</v>
      </c>
    </row>
    <row r="42">
      <c r="A42" s="4" t="inlineStr">
        <is>
          <t>Cole, Brandon L</t>
        </is>
      </c>
      <c r="B42" s="4" t="inlineStr">
        <is>
          <t>A_64500</t>
        </is>
      </c>
      <c r="C42" s="4" t="inlineStr">
        <is>
          <t>A_64500 - Dietary - Meat-Fish-Poultry</t>
        </is>
      </c>
      <c r="D42" s="6" t="n">
        <v>1249763.28</v>
      </c>
      <c r="E42" s="6" t="n">
        <v>1288851.46894082</v>
      </c>
      <c r="F42" s="6" t="n">
        <v>1848264.232872926</v>
      </c>
      <c r="G42" s="6" t="n">
        <v>1751761.777782652</v>
      </c>
      <c r="H42" s="6" t="n">
        <v>501998.4977826516</v>
      </c>
      <c r="I42" s="6" t="n">
        <v>462910.3088418315</v>
      </c>
      <c r="J42" s="6" t="n">
        <v>-96502.4550902741</v>
      </c>
    </row>
    <row r="43">
      <c r="A43" s="4" t="inlineStr">
        <is>
          <t>Cole, Brandon L</t>
        </is>
      </c>
      <c r="B43" s="4" t="inlineStr">
        <is>
          <t>A_64505</t>
        </is>
      </c>
      <c r="C43" s="4" t="inlineStr">
        <is>
          <t>A_64505 - Food SI</t>
        </is>
      </c>
      <c r="D43" s="6" t="n">
        <v>118328.42</v>
      </c>
      <c r="E43" s="6" t="n">
        <v>143621.3890000002</v>
      </c>
      <c r="F43" s="6" t="n">
        <v>22156.346961326</v>
      </c>
      <c r="G43" s="6" t="n">
        <v>20989.6443444953</v>
      </c>
      <c r="H43" s="6" t="n">
        <v>-97338.77565550469</v>
      </c>
      <c r="I43" s="6" t="n">
        <v>-122631.7446555049</v>
      </c>
      <c r="J43" s="6" t="n">
        <v>-1166.702616830698</v>
      </c>
    </row>
    <row r="44">
      <c r="A44" s="4" t="inlineStr">
        <is>
          <t>Cole, Brandon L</t>
        </is>
      </c>
      <c r="B44" s="4" t="inlineStr">
        <is>
          <t>A_64510</t>
        </is>
      </c>
      <c r="C44" s="4" t="inlineStr">
        <is>
          <t>A_64510 - Dietary-Groceries &amp; Beverages</t>
        </is>
      </c>
      <c r="D44" s="6" t="n">
        <v>2631452.93</v>
      </c>
      <c r="E44" s="6" t="n">
        <v>2465211.21643901</v>
      </c>
      <c r="F44" s="6" t="n">
        <v>3206480.756353593</v>
      </c>
      <c r="G44" s="6" t="n">
        <v>3067400.000494605</v>
      </c>
      <c r="H44" s="6" t="n">
        <v>435947.0704946048</v>
      </c>
      <c r="I44" s="6" t="n">
        <v>602188.7840555948</v>
      </c>
      <c r="J44" s="6" t="n">
        <v>-139080.7558589876</v>
      </c>
    </row>
    <row r="45">
      <c r="A45" s="4" t="inlineStr">
        <is>
          <t>Cole, Brandon L</t>
        </is>
      </c>
      <c r="B45" s="4" t="inlineStr">
        <is>
          <t>A_64520</t>
        </is>
      </c>
      <c r="C45" s="4" t="inlineStr">
        <is>
          <t>A_64520 - Dietary - Dairy</t>
        </is>
      </c>
      <c r="D45" s="6" t="n">
        <v>476295.25</v>
      </c>
      <c r="E45" s="6" t="n">
        <v>455660.205158785</v>
      </c>
      <c r="F45" s="6" t="n">
        <v>481694.3113259664</v>
      </c>
      <c r="G45" s="6" t="n">
        <v>458615.5173965981</v>
      </c>
      <c r="H45" s="6" t="n">
        <v>-17679.73260340194</v>
      </c>
      <c r="I45" s="6" t="n">
        <v>2955.312237813079</v>
      </c>
      <c r="J45" s="6" t="n">
        <v>-23078.79392936832</v>
      </c>
    </row>
    <row r="46">
      <c r="A46" s="4" t="inlineStr">
        <is>
          <t>Cole, Brandon L</t>
        </is>
      </c>
      <c r="B46" s="4" t="inlineStr">
        <is>
          <t>A_64530</t>
        </is>
      </c>
      <c r="C46" s="4" t="inlineStr">
        <is>
          <t>A_64530 - Dietary-Bread-Bakery Products</t>
        </is>
      </c>
      <c r="D46" s="6" t="n">
        <v>1085743.97</v>
      </c>
      <c r="E46" s="6" t="n">
        <v>1202156.021674342</v>
      </c>
      <c r="F46" s="6" t="n">
        <v>355836.4229281768</v>
      </c>
      <c r="G46" s="6" t="n">
        <v>340403.9150131525</v>
      </c>
      <c r="H46" s="6" t="n">
        <v>-745340.0549868476</v>
      </c>
      <c r="I46" s="6" t="n">
        <v>-861752.1066611896</v>
      </c>
      <c r="J46" s="6" t="n">
        <v>-15432.50791502435</v>
      </c>
    </row>
    <row r="47">
      <c r="A47" s="4" t="inlineStr">
        <is>
          <t>Cole, Brandon L</t>
        </is>
      </c>
      <c r="B47" s="4" t="inlineStr">
        <is>
          <t>A_64540</t>
        </is>
      </c>
      <c r="C47" s="4" t="inlineStr">
        <is>
          <t>A_64540 - Dietary-Fruits And Vegetables</t>
        </is>
      </c>
      <c r="D47" s="6" t="n">
        <v>1245042.6</v>
      </c>
      <c r="E47" s="6" t="n">
        <v>1095319.46278704</v>
      </c>
      <c r="F47" s="6" t="n">
        <v>1472260.612154696</v>
      </c>
      <c r="G47" s="6" t="n">
        <v>1396527.165203901</v>
      </c>
      <c r="H47" s="6" t="n">
        <v>151484.5652039011</v>
      </c>
      <c r="I47" s="6" t="n">
        <v>301207.7024168614</v>
      </c>
      <c r="J47" s="6" t="n">
        <v>-75733.4469507949</v>
      </c>
    </row>
    <row r="48">
      <c r="A48" s="4" t="inlineStr">
        <is>
          <t>Cole, Brandon L</t>
        </is>
      </c>
      <c r="B48" s="4" t="inlineStr">
        <is>
          <t>A_64550</t>
        </is>
      </c>
      <c r="C48" s="4" t="inlineStr">
        <is>
          <t>A_64550 - Dietary - Supplement</t>
        </is>
      </c>
      <c r="D48" s="6" t="n">
        <v>-621</v>
      </c>
      <c r="E48" s="6" t="n">
        <v>0</v>
      </c>
      <c r="F48" s="6" t="n">
        <v>4033.1491712707</v>
      </c>
      <c r="G48" s="6" t="n">
        <v>0</v>
      </c>
      <c r="H48" s="6" t="n">
        <v>621</v>
      </c>
      <c r="I48" s="6" t="n">
        <v>0</v>
      </c>
      <c r="J48" s="6" t="n">
        <v>-4033.1491712707</v>
      </c>
    </row>
    <row r="49">
      <c r="A49" s="4" t="inlineStr">
        <is>
          <t>Cole, Brandon L</t>
        </is>
      </c>
      <c r="B49" s="4" t="inlineStr">
        <is>
          <t>A_64560</t>
        </is>
      </c>
      <c r="C49" s="4" t="inlineStr">
        <is>
          <t>A_64560 - Dietary - Tableware</t>
        </is>
      </c>
      <c r="D49" s="6" t="n">
        <v>1056716.49</v>
      </c>
      <c r="E49" s="6" t="n">
        <v>950602.3500000003</v>
      </c>
      <c r="F49" s="6" t="n">
        <v>746149.7980662975</v>
      </c>
      <c r="G49" s="6" t="n">
        <v>713794.4604275777</v>
      </c>
      <c r="H49" s="6" t="n">
        <v>-342922.0295724223</v>
      </c>
      <c r="I49" s="6" t="n">
        <v>-236807.8895724226</v>
      </c>
      <c r="J49" s="6" t="n">
        <v>-32355.33763871982</v>
      </c>
    </row>
    <row r="50">
      <c r="A50" s="4" t="inlineStr">
        <is>
          <t>Cole, Brandon L</t>
        </is>
      </c>
      <c r="B50" s="4" t="inlineStr">
        <is>
          <t>A_64570</t>
        </is>
      </c>
      <c r="C50" s="4" t="inlineStr">
        <is>
          <t>A_64570 - Dietary Charge Out</t>
        </is>
      </c>
      <c r="D50" s="6" t="n">
        <v>-1604060.05</v>
      </c>
      <c r="E50" s="6" t="n">
        <v>-1774432.375690604</v>
      </c>
      <c r="F50" s="6" t="n">
        <v>-766706.3157458561</v>
      </c>
      <c r="G50" s="6" t="n">
        <v>-763921.4665745854</v>
      </c>
      <c r="H50" s="6" t="n">
        <v>840138.5834254144</v>
      </c>
      <c r="I50" s="6" t="n">
        <v>1010510.909116018</v>
      </c>
      <c r="J50" s="6" t="n">
        <v>2784.849171270733</v>
      </c>
    </row>
    <row r="51">
      <c r="A51" s="4" t="inlineStr">
        <is>
          <t>Cole, Brandon L</t>
        </is>
      </c>
      <c r="B51" s="4" t="inlineStr">
        <is>
          <t>A_64580</t>
        </is>
      </c>
      <c r="C51" s="4" t="inlineStr">
        <is>
          <t>A_64580 - Dietary - Kosher Foods</t>
        </is>
      </c>
      <c r="D51" s="6" t="n">
        <v>325689.7</v>
      </c>
      <c r="E51" s="6" t="n">
        <v>508068.08</v>
      </c>
      <c r="F51" s="6" t="n">
        <v>4005.320441989</v>
      </c>
      <c r="G51" s="6" t="n">
        <v>383350</v>
      </c>
      <c r="H51" s="6" t="n">
        <v>57660.29999999999</v>
      </c>
      <c r="I51" s="6" t="n">
        <v>-124718.08</v>
      </c>
      <c r="J51" s="6" t="n">
        <v>379344.679558011</v>
      </c>
    </row>
    <row r="52">
      <c r="A52" s="4" t="inlineStr">
        <is>
          <t>Cole, Brandon L</t>
        </is>
      </c>
      <c r="B52" s="4" t="inlineStr">
        <is>
          <t>A_64590</t>
        </is>
      </c>
      <c r="C52" s="4" t="inlineStr">
        <is>
          <t>A_64590 - Dietary - Rebates</t>
        </is>
      </c>
      <c r="D52" s="6" t="n">
        <v>-132531.29</v>
      </c>
      <c r="E52" s="6" t="n">
        <v>-47072.9999999998</v>
      </c>
      <c r="F52" s="6" t="n">
        <v>-49096.3919889503</v>
      </c>
      <c r="G52" s="6" t="n">
        <v>0</v>
      </c>
      <c r="H52" s="6" t="n">
        <v>132531.29</v>
      </c>
      <c r="I52" s="6" t="n">
        <v>47072.9999999998</v>
      </c>
      <c r="J52" s="6" t="n">
        <v>49096.3919889503</v>
      </c>
    </row>
    <row r="53">
      <c r="A53" s="4" t="inlineStr">
        <is>
          <t>Cole, Brandon L</t>
        </is>
      </c>
      <c r="B53" s="4" t="inlineStr">
        <is>
          <t>A_65030</t>
        </is>
      </c>
      <c r="C53" s="4" t="inlineStr">
        <is>
          <t>A_65030 - Disposable Services</t>
        </is>
      </c>
      <c r="D53" s="6" t="n">
        <v>725852.53</v>
      </c>
      <c r="E53" s="6" t="n">
        <v>685190</v>
      </c>
      <c r="F53" s="6" t="n">
        <v>808921.36878453</v>
      </c>
      <c r="G53" s="6" t="n">
        <v>725852.53</v>
      </c>
      <c r="H53" s="6" t="n">
        <v>0</v>
      </c>
      <c r="I53" s="6" t="n">
        <v>40662.53000000003</v>
      </c>
      <c r="J53" s="6" t="n">
        <v>-83068.83878452994</v>
      </c>
    </row>
    <row r="54">
      <c r="A54" s="4" t="inlineStr">
        <is>
          <t>Cole, Brandon L</t>
        </is>
      </c>
      <c r="B54" s="4" t="inlineStr">
        <is>
          <t>A_65050</t>
        </is>
      </c>
      <c r="C54" s="4" t="inlineStr">
        <is>
          <t>A_65050 - Telephone</t>
        </is>
      </c>
      <c r="D54" s="6" t="n">
        <v>32261.61</v>
      </c>
      <c r="E54" s="6" t="n">
        <v>30189.9999999996</v>
      </c>
      <c r="F54" s="6" t="n">
        <v>30819.6320441988</v>
      </c>
      <c r="G54" s="6" t="n">
        <v>30082.517127071</v>
      </c>
      <c r="H54" s="6" t="n">
        <v>-2179.092872928999</v>
      </c>
      <c r="I54" s="6" t="n">
        <v>-107.4828729285982</v>
      </c>
      <c r="J54" s="6" t="n">
        <v>-737.1149171277975</v>
      </c>
    </row>
    <row r="55">
      <c r="A55" s="4" t="inlineStr">
        <is>
          <t>Cole, Brandon L</t>
        </is>
      </c>
      <c r="B55" s="4" t="inlineStr">
        <is>
          <t>A_65505</t>
        </is>
      </c>
      <c r="C55" s="4" t="inlineStr">
        <is>
          <t>A_65505 - Equipment Service Contracts</t>
        </is>
      </c>
      <c r="D55" s="6" t="n">
        <v>160516.85</v>
      </c>
      <c r="E55" s="6" t="n">
        <v>76090.99999999801</v>
      </c>
      <c r="F55" s="6" t="n">
        <v>179125.44</v>
      </c>
      <c r="G55" s="6" t="n">
        <v>221074.8</v>
      </c>
      <c r="H55" s="6" t="n">
        <v>60557.94999999998</v>
      </c>
      <c r="I55" s="6" t="n">
        <v>144983.800000002</v>
      </c>
      <c r="J55" s="6" t="n">
        <v>41949.35999999999</v>
      </c>
    </row>
    <row r="56">
      <c r="A56" s="4" t="inlineStr">
        <is>
          <t>Cole, Brandon L</t>
        </is>
      </c>
      <c r="B56" s="4" t="inlineStr">
        <is>
          <t>A_65507</t>
        </is>
      </c>
      <c r="C56" s="4" t="inlineStr">
        <is>
          <t>A_65507 - Medical Equip Srvcs Contracts</t>
        </is>
      </c>
      <c r="D56" s="6" t="n">
        <v>1684774.43</v>
      </c>
      <c r="E56" s="6" t="n">
        <v>1652097.395085835</v>
      </c>
      <c r="F56" s="6" t="n">
        <v>1804589.02</v>
      </c>
      <c r="G56" s="6" t="n">
        <v>1968399.18</v>
      </c>
      <c r="H56" s="6" t="n">
        <v>283624.75</v>
      </c>
      <c r="I56" s="6" t="n">
        <v>316301.784914165</v>
      </c>
      <c r="J56" s="6" t="n">
        <v>163810.1599999999</v>
      </c>
    </row>
    <row r="57">
      <c r="A57" s="4" t="inlineStr">
        <is>
          <t>Cole, Brandon L</t>
        </is>
      </c>
      <c r="B57" s="4" t="inlineStr">
        <is>
          <t>A_65510</t>
        </is>
      </c>
      <c r="C57" s="4" t="inlineStr">
        <is>
          <t>A_65510 - Freight</t>
        </is>
      </c>
      <c r="D57" s="6" t="n">
        <v>265129.5</v>
      </c>
      <c r="E57" s="6" t="n">
        <v>262407.066714246</v>
      </c>
      <c r="F57" s="6" t="n">
        <v>220133</v>
      </c>
      <c r="G57" s="6" t="n">
        <v>239051.76</v>
      </c>
      <c r="H57" s="6" t="n">
        <v>-26077.73999999999</v>
      </c>
      <c r="I57" s="6" t="n">
        <v>-23355.30671424599</v>
      </c>
      <c r="J57" s="6" t="n">
        <v>18918.76000000001</v>
      </c>
    </row>
    <row r="58">
      <c r="A58" s="4" t="inlineStr">
        <is>
          <t>Cole, Brandon L</t>
        </is>
      </c>
      <c r="B58" s="4" t="inlineStr">
        <is>
          <t>A_65515</t>
        </is>
      </c>
      <c r="C58" s="4" t="inlineStr">
        <is>
          <t>A_65515 - Ge Central Equip Svc Contract</t>
        </is>
      </c>
      <c r="D58" s="6" t="n">
        <v>119179.05</v>
      </c>
      <c r="E58" s="6" t="n">
        <v>118761</v>
      </c>
      <c r="F58" s="6" t="n">
        <v>116652.16</v>
      </c>
      <c r="G58" s="6" t="n">
        <v>116652.16</v>
      </c>
      <c r="H58" s="6" t="n">
        <v>-2526.889999999999</v>
      </c>
      <c r="I58" s="6" t="n">
        <v>-2108.839999999997</v>
      </c>
      <c r="J58" s="6" t="n">
        <v>0</v>
      </c>
    </row>
    <row r="59">
      <c r="A59" s="4" t="inlineStr">
        <is>
          <t>Cole, Brandon L</t>
        </is>
      </c>
      <c r="B59" s="4" t="inlineStr">
        <is>
          <t>A_65517</t>
        </is>
      </c>
      <c r="C59" s="4" t="inlineStr">
        <is>
          <t>A_65517 - Software Maint and Support</t>
        </is>
      </c>
      <c r="D59" s="6" t="n">
        <v>672008.25</v>
      </c>
      <c r="E59" s="6" t="n">
        <v>771935.0000000005</v>
      </c>
      <c r="F59" s="6" t="n">
        <v>679051.22</v>
      </c>
      <c r="G59" s="6" t="n">
        <v>727691.1699999999</v>
      </c>
      <c r="H59" s="6" t="n">
        <v>55682.91999999993</v>
      </c>
      <c r="I59" s="6" t="n">
        <v>-44243.83000000054</v>
      </c>
      <c r="J59" s="6" t="n">
        <v>48639.94999999995</v>
      </c>
    </row>
    <row r="60">
      <c r="A60" s="4" t="inlineStr">
        <is>
          <t>Cole, Brandon L</t>
        </is>
      </c>
      <c r="B60" s="4" t="inlineStr">
        <is>
          <t>A_65520</t>
        </is>
      </c>
      <c r="C60" s="4" t="inlineStr">
        <is>
          <t>A_65520 - Purchased Laboratory Svs</t>
        </is>
      </c>
      <c r="D60" s="6" t="n">
        <v>5339</v>
      </c>
      <c r="E60" s="6" t="n">
        <v>0</v>
      </c>
      <c r="F60" s="6" t="n">
        <v>0</v>
      </c>
      <c r="G60" s="6" t="n">
        <v>0</v>
      </c>
      <c r="H60" s="6" t="n">
        <v>-5339</v>
      </c>
      <c r="I60" s="6" t="n">
        <v>0</v>
      </c>
      <c r="J60" s="6" t="n">
        <v>0</v>
      </c>
    </row>
    <row r="61">
      <c r="A61" s="4" t="inlineStr">
        <is>
          <t>Cole, Brandon L</t>
        </is>
      </c>
      <c r="B61" s="4" t="inlineStr">
        <is>
          <t>A_65524</t>
        </is>
      </c>
      <c r="C61" s="4" t="inlineStr">
        <is>
          <t>A_65524 - Fire Sup-Reprs-Prchsd-Contr Sv</t>
        </is>
      </c>
      <c r="D61" s="6" t="n">
        <v>1921.98</v>
      </c>
      <c r="E61" s="6" t="n">
        <v>0</v>
      </c>
      <c r="F61" s="6" t="n">
        <v>0</v>
      </c>
      <c r="G61" s="6" t="n">
        <v>0</v>
      </c>
      <c r="H61" s="6" t="n">
        <v>-1921.98</v>
      </c>
      <c r="I61" s="6" t="n">
        <v>0</v>
      </c>
      <c r="J61" s="6" t="n">
        <v>0</v>
      </c>
    </row>
    <row r="62">
      <c r="A62" s="4" t="inlineStr">
        <is>
          <t>Cole, Brandon L</t>
        </is>
      </c>
      <c r="B62" s="4" t="inlineStr">
        <is>
          <t>A_65525</t>
        </is>
      </c>
      <c r="C62" s="4" t="inlineStr">
        <is>
          <t>A_65525 - Maintenance And Repairs</t>
        </is>
      </c>
      <c r="D62" s="6" t="n">
        <v>467270.89</v>
      </c>
      <c r="E62" s="6" t="n">
        <v>268761.0004</v>
      </c>
      <c r="F62" s="6" t="n">
        <v>414756.9</v>
      </c>
      <c r="G62" s="6" t="n">
        <v>382304.65</v>
      </c>
      <c r="H62" s="6" t="n">
        <v>-84966.23999999999</v>
      </c>
      <c r="I62" s="6" t="n">
        <v>113543.6496</v>
      </c>
      <c r="J62" s="6" t="n">
        <v>-32452.25</v>
      </c>
    </row>
    <row r="63">
      <c r="A63" s="4" t="inlineStr">
        <is>
          <t>Cole, Brandon L</t>
        </is>
      </c>
      <c r="B63" s="4" t="inlineStr">
        <is>
          <t>A_65527</t>
        </is>
      </c>
      <c r="C63" s="4" t="inlineStr">
        <is>
          <t>A_65527 - Med Equipment Maint &amp; Repairs</t>
        </is>
      </c>
      <c r="D63" s="6" t="n">
        <v>91746.25999999999</v>
      </c>
      <c r="E63" s="6" t="n">
        <v>0</v>
      </c>
      <c r="F63" s="6" t="n">
        <v>104429.8</v>
      </c>
      <c r="G63" s="6" t="n">
        <v>53147.39999999999</v>
      </c>
      <c r="H63" s="6" t="n">
        <v>-38598.86</v>
      </c>
      <c r="I63" s="6" t="n">
        <v>53147.39999999999</v>
      </c>
      <c r="J63" s="6" t="n">
        <v>-51282.40000000001</v>
      </c>
    </row>
    <row r="64">
      <c r="A64" s="4" t="inlineStr">
        <is>
          <t>Cole, Brandon L</t>
        </is>
      </c>
      <c r="B64" s="4" t="inlineStr">
        <is>
          <t>A_65530</t>
        </is>
      </c>
      <c r="C64" s="4" t="inlineStr">
        <is>
          <t>A_65530 - Medical Purchased Services</t>
        </is>
      </c>
      <c r="D64" s="6" t="n">
        <v>313910.1</v>
      </c>
      <c r="E64" s="6" t="n">
        <v>421095.0004</v>
      </c>
      <c r="F64" s="6" t="n">
        <v>378618.42</v>
      </c>
      <c r="G64" s="6" t="n">
        <v>316306</v>
      </c>
      <c r="H64" s="6" t="n">
        <v>2395.900000000023</v>
      </c>
      <c r="I64" s="6" t="n">
        <v>-104789.0004</v>
      </c>
      <c r="J64" s="6" t="n">
        <v>-62312.41999999998</v>
      </c>
    </row>
    <row r="65">
      <c r="A65" s="4" t="inlineStr">
        <is>
          <t>Cole, Brandon L</t>
        </is>
      </c>
      <c r="B65" s="4" t="inlineStr">
        <is>
          <t>A_65533</t>
        </is>
      </c>
      <c r="C65" s="4" t="inlineStr">
        <is>
          <t>A_65533 - Other Purchased Svcs-Security</t>
        </is>
      </c>
      <c r="D65" s="6" t="n">
        <v>4684933.5</v>
      </c>
      <c r="E65" s="6" t="n">
        <v>4448146</v>
      </c>
      <c r="F65" s="6" t="n">
        <v>4701002.2</v>
      </c>
      <c r="G65" s="6" t="n">
        <v>6173039.600000001</v>
      </c>
      <c r="H65" s="6" t="n">
        <v>1488106.100000001</v>
      </c>
      <c r="I65" s="6" t="n">
        <v>1724893.600000001</v>
      </c>
      <c r="J65" s="6" t="n">
        <v>1472037.4</v>
      </c>
    </row>
    <row r="66">
      <c r="A66" s="4" t="inlineStr">
        <is>
          <t>Cole, Brandon L</t>
        </is>
      </c>
      <c r="B66" s="4" t="inlineStr">
        <is>
          <t>A_65534</t>
        </is>
      </c>
      <c r="C66" s="4" t="inlineStr">
        <is>
          <t>A_65534 - Purchased Lab Svcs-Ref Test</t>
        </is>
      </c>
      <c r="D66" s="6" t="n">
        <v>1480352.47</v>
      </c>
      <c r="E66" s="6" t="n">
        <v>1436206</v>
      </c>
      <c r="F66" s="6" t="n">
        <v>1410918.36</v>
      </c>
      <c r="G66" s="6" t="n">
        <v>1500000</v>
      </c>
      <c r="H66" s="6" t="n">
        <v>19647.53000000003</v>
      </c>
      <c r="I66" s="6" t="n">
        <v>63794</v>
      </c>
      <c r="J66" s="6" t="n">
        <v>89081.6399999999</v>
      </c>
    </row>
    <row r="67">
      <c r="A67" s="4" t="inlineStr">
        <is>
          <t>Cole, Brandon L</t>
        </is>
      </c>
      <c r="B67" s="4" t="inlineStr">
        <is>
          <t>A_65535</t>
        </is>
      </c>
      <c r="C67" s="4" t="inlineStr">
        <is>
          <t>A_65535 - Other Purchased Services</t>
        </is>
      </c>
      <c r="D67" s="6" t="n">
        <v>630145.46</v>
      </c>
      <c r="E67" s="6" t="n">
        <v>562811</v>
      </c>
      <c r="F67" s="6" t="n">
        <v>480670.98</v>
      </c>
      <c r="G67" s="6" t="n">
        <v>487193.3</v>
      </c>
      <c r="H67" s="6" t="n">
        <v>-142952.16</v>
      </c>
      <c r="I67" s="6" t="n">
        <v>-75617.70000000001</v>
      </c>
      <c r="J67" s="6" t="n">
        <v>6522.320000000007</v>
      </c>
    </row>
    <row r="68">
      <c r="A68" s="4" t="inlineStr">
        <is>
          <t>Cole, Brandon L</t>
        </is>
      </c>
      <c r="B68" s="4" t="inlineStr">
        <is>
          <t>A_65536</t>
        </is>
      </c>
      <c r="C68" s="4" t="inlineStr">
        <is>
          <t>A_65536 - Oth Purch Serv- Credentialling</t>
        </is>
      </c>
      <c r="D68" s="6" t="n">
        <v>35479.06</v>
      </c>
      <c r="E68" s="6" t="n">
        <v>61793.9999999988</v>
      </c>
      <c r="F68" s="6" t="n">
        <v>68857.78</v>
      </c>
      <c r="G68" s="6" t="n">
        <v>66602.44</v>
      </c>
      <c r="H68" s="6" t="n">
        <v>31123.38</v>
      </c>
      <c r="I68" s="6" t="n">
        <v>4808.440000001203</v>
      </c>
      <c r="J68" s="6" t="n">
        <v>-2255.339999999997</v>
      </c>
    </row>
    <row r="69">
      <c r="A69" s="4" t="inlineStr">
        <is>
          <t>Cole, Brandon L</t>
        </is>
      </c>
      <c r="B69" s="4" t="inlineStr">
        <is>
          <t>A_65540</t>
        </is>
      </c>
      <c r="C69" s="4" t="inlineStr">
        <is>
          <t>A_65540 - Outside Messenger Service</t>
        </is>
      </c>
      <c r="D69" s="6" t="n">
        <v>65849.29000000001</v>
      </c>
      <c r="E69" s="6" t="n">
        <v>52773</v>
      </c>
      <c r="F69" s="6" t="n">
        <v>71026.02</v>
      </c>
      <c r="G69" s="6" t="n">
        <v>61816.39000000001</v>
      </c>
      <c r="H69" s="6" t="n">
        <v>-4032.900000000001</v>
      </c>
      <c r="I69" s="6" t="n">
        <v>9043.390000000007</v>
      </c>
      <c r="J69" s="6" t="n">
        <v>-9209.629999999997</v>
      </c>
    </row>
    <row r="70">
      <c r="A70" s="4" t="inlineStr">
        <is>
          <t>Cole, Brandon L</t>
        </is>
      </c>
      <c r="B70" s="4" t="inlineStr">
        <is>
          <t>A_65542</t>
        </is>
      </c>
      <c r="C70" s="4" t="inlineStr">
        <is>
          <t>A_65542 - Translation Services</t>
        </is>
      </c>
      <c r="D70" s="6" t="n">
        <v>5550</v>
      </c>
      <c r="E70" s="6" t="n">
        <v>3300</v>
      </c>
      <c r="F70" s="6" t="n">
        <v>0</v>
      </c>
      <c r="G70" s="6" t="n">
        <v>0</v>
      </c>
      <c r="H70" s="6" t="n">
        <v>-5550</v>
      </c>
      <c r="I70" s="6" t="n">
        <v>-3300</v>
      </c>
      <c r="J70" s="6" t="n">
        <v>0</v>
      </c>
    </row>
    <row r="71">
      <c r="A71" s="4" t="inlineStr">
        <is>
          <t>Cole, Brandon L</t>
        </is>
      </c>
      <c r="B71" s="4" t="inlineStr">
        <is>
          <t>A_65543</t>
        </is>
      </c>
      <c r="C71" s="4" t="inlineStr">
        <is>
          <t>A_65543 - Purchased Services - Cleaning</t>
        </is>
      </c>
      <c r="D71" s="6" t="n">
        <v>5200</v>
      </c>
      <c r="E71" s="6" t="n">
        <v>0</v>
      </c>
      <c r="F71" s="6" t="n">
        <v>20000</v>
      </c>
      <c r="G71" s="6" t="n">
        <v>34000</v>
      </c>
      <c r="H71" s="6" t="n">
        <v>28800</v>
      </c>
      <c r="I71" s="6" t="n">
        <v>34000</v>
      </c>
      <c r="J71" s="6" t="n">
        <v>14000</v>
      </c>
    </row>
    <row r="72">
      <c r="A72" s="4" t="inlineStr">
        <is>
          <t>Cole, Brandon L</t>
        </is>
      </c>
      <c r="B72" s="4" t="inlineStr">
        <is>
          <t>A_65565</t>
        </is>
      </c>
      <c r="C72" s="4" t="inlineStr">
        <is>
          <t>A_65565 - Purchases Services - Linen</t>
        </is>
      </c>
      <c r="D72" s="6" t="n">
        <v>2199348.1</v>
      </c>
      <c r="E72" s="6" t="n">
        <v>2005033.32</v>
      </c>
      <c r="F72" s="6" t="n">
        <v>1997066.24</v>
      </c>
      <c r="G72" s="6" t="n">
        <v>1957951.76</v>
      </c>
      <c r="H72" s="6" t="n">
        <v>-241396.3400000001</v>
      </c>
      <c r="I72" s="6" t="n">
        <v>-47081.56000000006</v>
      </c>
      <c r="J72" s="6" t="n">
        <v>-39114.47999999998</v>
      </c>
    </row>
    <row r="73">
      <c r="A73" s="4" t="inlineStr">
        <is>
          <t>Cole, Brandon L</t>
        </is>
      </c>
      <c r="B73" s="4" t="inlineStr">
        <is>
          <t>A_66000</t>
        </is>
      </c>
      <c r="C73" s="4" t="inlineStr">
        <is>
          <t>A_66000 - Dues</t>
        </is>
      </c>
      <c r="D73" s="6" t="n">
        <v>14607.68</v>
      </c>
      <c r="E73" s="6" t="n">
        <v>26425.0000000008</v>
      </c>
      <c r="F73" s="6" t="n">
        <v>10171.3</v>
      </c>
      <c r="G73" s="6" t="n">
        <v>24645.81</v>
      </c>
      <c r="H73" s="6" t="n">
        <v>10038.13</v>
      </c>
      <c r="I73" s="6" t="n">
        <v>-1779.190000000803</v>
      </c>
      <c r="J73" s="6" t="n">
        <v>14474.51</v>
      </c>
    </row>
    <row r="74">
      <c r="A74" s="4" t="inlineStr">
        <is>
          <t>Cole, Brandon L</t>
        </is>
      </c>
      <c r="B74" s="4" t="inlineStr">
        <is>
          <t>A_66010</t>
        </is>
      </c>
      <c r="C74" s="4" t="inlineStr">
        <is>
          <t>A_66010 - Periodicals-Publ-Subscriptions</t>
        </is>
      </c>
      <c r="D74" s="6" t="n">
        <v>447.15</v>
      </c>
      <c r="E74" s="6" t="n">
        <v>0</v>
      </c>
      <c r="F74" s="6" t="n">
        <v>248.22</v>
      </c>
      <c r="G74" s="6" t="n">
        <v>248.22</v>
      </c>
      <c r="H74" s="6" t="n">
        <v>-198.93</v>
      </c>
      <c r="I74" s="6" t="n">
        <v>248.22</v>
      </c>
      <c r="J74" s="6" t="n">
        <v>0</v>
      </c>
    </row>
    <row r="75">
      <c r="A75" s="4" t="inlineStr">
        <is>
          <t>Cole, Brandon L</t>
        </is>
      </c>
      <c r="B75" s="4" t="inlineStr">
        <is>
          <t>A_66020</t>
        </is>
      </c>
      <c r="C75" s="4" t="inlineStr">
        <is>
          <t>A_66020 - Outside Training</t>
        </is>
      </c>
      <c r="D75" s="6" t="n">
        <v>9535.02</v>
      </c>
      <c r="E75" s="6" t="n">
        <v>7295.50726827</v>
      </c>
      <c r="F75" s="6" t="n">
        <v>10192.74</v>
      </c>
      <c r="G75" s="6" t="n">
        <v>6463.74</v>
      </c>
      <c r="H75" s="6" t="n">
        <v>-3071.280000000001</v>
      </c>
      <c r="I75" s="6" t="n">
        <v>-831.7672682700004</v>
      </c>
      <c r="J75" s="6" t="n">
        <v>-3729</v>
      </c>
    </row>
    <row r="76">
      <c r="A76" s="4" t="inlineStr">
        <is>
          <t>Cole, Brandon L</t>
        </is>
      </c>
      <c r="B76" s="4" t="inlineStr">
        <is>
          <t>A_66030</t>
        </is>
      </c>
      <c r="C76" s="4" t="inlineStr">
        <is>
          <t>A_66030 - Microfilming &amp; Archiving</t>
        </is>
      </c>
      <c r="D76" s="6" t="n">
        <v>158432.75</v>
      </c>
      <c r="E76" s="6" t="n">
        <v>119006.0000000004</v>
      </c>
      <c r="F76" s="6" t="n">
        <v>257568.7</v>
      </c>
      <c r="G76" s="6" t="n">
        <v>211775.38</v>
      </c>
      <c r="H76" s="6" t="n">
        <v>53342.63</v>
      </c>
      <c r="I76" s="6" t="n">
        <v>92769.3799999996</v>
      </c>
      <c r="J76" s="6" t="n">
        <v>-45793.32000000001</v>
      </c>
    </row>
    <row r="77">
      <c r="A77" s="4" t="inlineStr">
        <is>
          <t>Cole, Brandon L</t>
        </is>
      </c>
      <c r="B77" s="4" t="inlineStr">
        <is>
          <t>A_66040</t>
        </is>
      </c>
      <c r="C77" s="4" t="inlineStr">
        <is>
          <t>A_66040 - Postage</t>
        </is>
      </c>
      <c r="D77" s="6" t="n">
        <v>0</v>
      </c>
      <c r="E77" s="6" t="n">
        <v>39.9999999996</v>
      </c>
      <c r="F77" s="6" t="n">
        <v>0</v>
      </c>
      <c r="G77" s="6" t="n">
        <v>0</v>
      </c>
      <c r="H77" s="6" t="n">
        <v>0</v>
      </c>
      <c r="I77" s="6" t="n">
        <v>-39.9999999996</v>
      </c>
      <c r="J77" s="6" t="n">
        <v>0</v>
      </c>
    </row>
    <row r="78">
      <c r="A78" s="4" t="inlineStr">
        <is>
          <t>Cole, Brandon L</t>
        </is>
      </c>
      <c r="B78" s="4" t="inlineStr">
        <is>
          <t>A_66050</t>
        </is>
      </c>
      <c r="C78" s="4" t="inlineStr">
        <is>
          <t>A_66050 - Printing And Duplication</t>
        </is>
      </c>
      <c r="D78" s="6" t="n">
        <v>83922.33</v>
      </c>
      <c r="E78" s="6" t="n">
        <v>74227.92000000121</v>
      </c>
      <c r="F78" s="6" t="n">
        <v>60047.94</v>
      </c>
      <c r="G78" s="6" t="n">
        <v>63246.32000000001</v>
      </c>
      <c r="H78" s="6" t="n">
        <v>-20676.00999999999</v>
      </c>
      <c r="I78" s="6" t="n">
        <v>-10981.6000000012</v>
      </c>
      <c r="J78" s="6" t="n">
        <v>3198.380000000005</v>
      </c>
    </row>
    <row r="79">
      <c r="A79" s="4" t="inlineStr">
        <is>
          <t>Cole, Brandon L</t>
        </is>
      </c>
      <c r="B79" s="4" t="inlineStr">
        <is>
          <t>A_66060</t>
        </is>
      </c>
      <c r="C79" s="4" t="inlineStr">
        <is>
          <t>A_66060 - Other Expenses</t>
        </is>
      </c>
      <c r="D79" s="6" t="n">
        <v>2201.73</v>
      </c>
      <c r="E79" s="6" t="n">
        <v>26815.9996000008</v>
      </c>
      <c r="F79" s="6" t="n">
        <v>32126.22</v>
      </c>
      <c r="G79" s="6" t="n">
        <v>10320.86</v>
      </c>
      <c r="H79" s="6" t="n">
        <v>8119.130000000001</v>
      </c>
      <c r="I79" s="6" t="n">
        <v>-16495.1396000008</v>
      </c>
      <c r="J79" s="6" t="n">
        <v>-21805.36</v>
      </c>
    </row>
    <row r="80">
      <c r="A80" s="4" t="inlineStr">
        <is>
          <t>Cole, Brandon L</t>
        </is>
      </c>
      <c r="B80" s="4" t="inlineStr">
        <is>
          <t>A_66070</t>
        </is>
      </c>
      <c r="C80" s="4" t="inlineStr">
        <is>
          <t>A_66070 - Advertising</t>
        </is>
      </c>
      <c r="D80" s="6" t="n">
        <v>3800</v>
      </c>
      <c r="E80" s="6" t="n">
        <v>0</v>
      </c>
      <c r="F80" s="6" t="n">
        <v>0</v>
      </c>
      <c r="G80" s="6" t="n">
        <v>0</v>
      </c>
      <c r="H80" s="6" t="n">
        <v>-3800</v>
      </c>
      <c r="I80" s="6" t="n">
        <v>0</v>
      </c>
      <c r="J80" s="6" t="n">
        <v>0</v>
      </c>
    </row>
    <row r="81">
      <c r="A81" s="4" t="inlineStr">
        <is>
          <t>Cole, Brandon L</t>
        </is>
      </c>
      <c r="B81" s="4" t="inlineStr">
        <is>
          <t>A_66075</t>
        </is>
      </c>
      <c r="C81" s="4" t="inlineStr">
        <is>
          <t>A_66075 - Promotional items</t>
        </is>
      </c>
      <c r="D81" s="6" t="n">
        <v>24690.65</v>
      </c>
      <c r="E81" s="6" t="n">
        <v>32842.9999999992</v>
      </c>
      <c r="F81" s="6" t="n">
        <v>15977.8</v>
      </c>
      <c r="G81" s="6" t="n">
        <v>8640.9999999996</v>
      </c>
      <c r="H81" s="6" t="n">
        <v>-16049.6500000004</v>
      </c>
      <c r="I81" s="6" t="n">
        <v>-24201.9999999996</v>
      </c>
      <c r="J81" s="6" t="n">
        <v>-7336.800000000399</v>
      </c>
    </row>
    <row r="82">
      <c r="A82" s="4" t="inlineStr">
        <is>
          <t>Cole, Brandon L</t>
        </is>
      </c>
      <c r="B82" s="4" t="inlineStr">
        <is>
          <t>A_66076</t>
        </is>
      </c>
      <c r="C82" s="4" t="inlineStr">
        <is>
          <t>A_66076 - Corporate Sponsorships</t>
        </is>
      </c>
      <c r="D82" s="6" t="n">
        <v>0</v>
      </c>
      <c r="E82" s="6" t="n">
        <v>0</v>
      </c>
      <c r="F82" s="6" t="n">
        <v>1000</v>
      </c>
      <c r="G82" s="6" t="n">
        <v>500</v>
      </c>
      <c r="H82" s="6" t="n">
        <v>500</v>
      </c>
      <c r="I82" s="6" t="n">
        <v>500</v>
      </c>
      <c r="J82" s="6" t="n">
        <v>-500</v>
      </c>
    </row>
    <row r="83">
      <c r="A83" s="4" t="inlineStr">
        <is>
          <t>Cole, Brandon L</t>
        </is>
      </c>
      <c r="B83" s="4" t="inlineStr">
        <is>
          <t>A_66090</t>
        </is>
      </c>
      <c r="C83" s="4" t="inlineStr">
        <is>
          <t>A_66090 - House Functions &amp; Corp Events</t>
        </is>
      </c>
      <c r="D83" s="6" t="n">
        <v>5822.09</v>
      </c>
      <c r="E83" s="6" t="n">
        <v>3924.9534731784</v>
      </c>
      <c r="F83" s="6" t="n">
        <v>1064.94</v>
      </c>
      <c r="G83" s="6" t="n">
        <v>2674.72</v>
      </c>
      <c r="H83" s="6" t="n">
        <v>-3147.37</v>
      </c>
      <c r="I83" s="6" t="n">
        <v>-1250.2334731784</v>
      </c>
      <c r="J83" s="6" t="n">
        <v>1609.78</v>
      </c>
    </row>
    <row r="84">
      <c r="A84" s="4" t="inlineStr">
        <is>
          <t>Cole, Brandon L</t>
        </is>
      </c>
      <c r="B84" s="4" t="inlineStr">
        <is>
          <t>A_66095</t>
        </is>
      </c>
      <c r="C84" s="4" t="inlineStr">
        <is>
          <t>A_66095 - Meals &amp; Entertainment</t>
        </is>
      </c>
      <c r="D84" s="6" t="n">
        <v>8069.42</v>
      </c>
      <c r="E84" s="6" t="n">
        <v>19736.6285398812</v>
      </c>
      <c r="F84" s="6" t="n">
        <v>9012.460000000001</v>
      </c>
      <c r="G84" s="6" t="n">
        <v>6045.9373100084</v>
      </c>
      <c r="H84" s="6" t="n">
        <v>-2023.4826899916</v>
      </c>
      <c r="I84" s="6" t="n">
        <v>-13690.6912298728</v>
      </c>
      <c r="J84" s="6" t="n">
        <v>-2966.522689991601</v>
      </c>
    </row>
    <row r="85">
      <c r="A85" s="4" t="inlineStr">
        <is>
          <t>Cole, Brandon L</t>
        </is>
      </c>
      <c r="B85" s="4" t="inlineStr">
        <is>
          <t>A_66110</t>
        </is>
      </c>
      <c r="C85" s="4" t="inlineStr">
        <is>
          <t>A_66110 - Mileage</t>
        </is>
      </c>
      <c r="D85" s="6" t="n">
        <v>2124.14</v>
      </c>
      <c r="E85" s="6" t="n">
        <v>1160.0000000004</v>
      </c>
      <c r="F85" s="6" t="n">
        <v>2388.7</v>
      </c>
      <c r="G85" s="6" t="n">
        <v>2388.82</v>
      </c>
      <c r="H85" s="6" t="n">
        <v>264.6800000000003</v>
      </c>
      <c r="I85" s="6" t="n">
        <v>1228.8199999996</v>
      </c>
      <c r="J85" s="6" t="n">
        <v>0.1199999999998909</v>
      </c>
    </row>
    <row r="86">
      <c r="A86" s="4" t="inlineStr">
        <is>
          <t>Cole, Brandon L</t>
        </is>
      </c>
      <c r="B86" s="4" t="inlineStr">
        <is>
          <t>A_66150</t>
        </is>
      </c>
      <c r="C86" s="4" t="inlineStr">
        <is>
          <t>A_66150 - Travel</t>
        </is>
      </c>
      <c r="D86" s="6" t="n">
        <v>9289.07</v>
      </c>
      <c r="E86" s="6" t="n">
        <v>3041.8389417132</v>
      </c>
      <c r="F86" s="6" t="n">
        <v>15129.8</v>
      </c>
      <c r="G86" s="6" t="n">
        <v>12091.9351048832</v>
      </c>
      <c r="H86" s="6" t="n">
        <v>2802.8651048832</v>
      </c>
      <c r="I86" s="6" t="n">
        <v>9050.096163169999</v>
      </c>
      <c r="J86" s="6" t="n">
        <v>-3037.8648951168</v>
      </c>
    </row>
    <row r="87">
      <c r="A87" s="4" t="inlineStr">
        <is>
          <t>Cole, Brandon L</t>
        </is>
      </c>
      <c r="B87" s="4" t="inlineStr">
        <is>
          <t>A_66170</t>
        </is>
      </c>
      <c r="C87" s="4" t="inlineStr">
        <is>
          <t>A_66170 - FLEX-Traveler Allowance</t>
        </is>
      </c>
      <c r="D87" s="6" t="n">
        <v>103908</v>
      </c>
      <c r="E87" s="6" t="n">
        <v>102839.4271767612</v>
      </c>
      <c r="F87" s="6" t="n">
        <v>4956</v>
      </c>
      <c r="G87" s="6" t="n">
        <v>41684</v>
      </c>
      <c r="H87" s="6" t="n">
        <v>-62224</v>
      </c>
      <c r="I87" s="6" t="n">
        <v>-61155.42717676119</v>
      </c>
      <c r="J87" s="6" t="n">
        <v>36728</v>
      </c>
    </row>
    <row r="88">
      <c r="A88" s="4" t="inlineStr">
        <is>
          <t>Cole, Brandon L</t>
        </is>
      </c>
      <c r="B88" s="4" t="inlineStr">
        <is>
          <t>A_66510</t>
        </is>
      </c>
      <c r="C88" s="4" t="inlineStr">
        <is>
          <t>A_66510 - Lease-Rentals - Other</t>
        </is>
      </c>
      <c r="D88" s="6" t="n">
        <v>33739.4</v>
      </c>
      <c r="E88" s="6" t="n">
        <v>46335.9999999996</v>
      </c>
      <c r="F88" s="6" t="n">
        <v>35623.25999999999</v>
      </c>
      <c r="G88" s="6" t="n">
        <v>35291.84</v>
      </c>
      <c r="H88" s="6" t="n">
        <v>1552.439999999995</v>
      </c>
      <c r="I88" s="6" t="n">
        <v>-11044.1599999996</v>
      </c>
      <c r="J88" s="6" t="n">
        <v>-331.4199999999983</v>
      </c>
    </row>
    <row r="89">
      <c r="A89" s="4" t="inlineStr">
        <is>
          <t>Cole, Brandon L</t>
        </is>
      </c>
      <c r="B89" s="4" t="inlineStr">
        <is>
          <t>A_66515</t>
        </is>
      </c>
      <c r="C89" s="4" t="inlineStr">
        <is>
          <t>A_66515 - Lease Rentals - Copiers</t>
        </is>
      </c>
      <c r="D89" s="6" t="n">
        <v>82208.66</v>
      </c>
      <c r="E89" s="6" t="n">
        <v>75796.1900000004</v>
      </c>
      <c r="F89" s="6" t="n">
        <v>77276.88</v>
      </c>
      <c r="G89" s="6" t="n">
        <v>67123.22</v>
      </c>
      <c r="H89" s="6" t="n">
        <v>-15085.44</v>
      </c>
      <c r="I89" s="6" t="n">
        <v>-8672.970000000394</v>
      </c>
      <c r="J89" s="6" t="n">
        <v>-10153.66</v>
      </c>
    </row>
    <row r="90">
      <c r="A90" s="4" t="inlineStr">
        <is>
          <t>Cole, Brandon L</t>
        </is>
      </c>
      <c r="B90" s="4" t="inlineStr">
        <is>
          <t>A_66524</t>
        </is>
      </c>
      <c r="C90" s="4" t="inlineStr">
        <is>
          <t>A_66524 - Software Licensing Fees</t>
        </is>
      </c>
      <c r="D90" s="6" t="n">
        <v>40725.2</v>
      </c>
      <c r="E90" s="6" t="n">
        <v>0</v>
      </c>
      <c r="F90" s="6" t="n">
        <v>68481.86</v>
      </c>
      <c r="G90" s="6" t="n">
        <v>73851.92999999999</v>
      </c>
      <c r="H90" s="6" t="n">
        <v>33126.73</v>
      </c>
      <c r="I90" s="6" t="n">
        <v>73851.92999999999</v>
      </c>
      <c r="J90" s="6" t="n">
        <v>5370.069999999992</v>
      </c>
    </row>
    <row r="91">
      <c r="A91" s="4" t="inlineStr">
        <is>
          <t>Cole, Brandon L</t>
        </is>
      </c>
      <c r="B91" s="4" t="inlineStr">
        <is>
          <t>A_66528</t>
        </is>
      </c>
      <c r="C91" s="4" t="inlineStr">
        <is>
          <t>A_66528 - Cloud Software Licensing Fees</t>
        </is>
      </c>
      <c r="D91" s="6" t="n">
        <v>491.79</v>
      </c>
      <c r="E91" s="6" t="n">
        <v>0</v>
      </c>
      <c r="F91" s="6" t="n">
        <v>347.5</v>
      </c>
      <c r="G91" s="6" t="n">
        <v>137.32</v>
      </c>
      <c r="H91" s="6" t="n">
        <v>-354.47</v>
      </c>
      <c r="I91" s="6" t="n">
        <v>137.32</v>
      </c>
      <c r="J91" s="6" t="n">
        <v>-210.18</v>
      </c>
    </row>
    <row r="92">
      <c r="A92" s="7" t="inlineStr">
        <is>
          <t>Total</t>
        </is>
      </c>
      <c r="B92" s="7" t="n"/>
      <c r="C92" s="7" t="n"/>
      <c r="D92" s="8">
        <f>SUM(D6:D91)</f>
        <v/>
      </c>
      <c r="E92" s="8">
        <f>SUM(E6:E91)</f>
        <v/>
      </c>
      <c r="F92" s="8">
        <f>SUM(F6:F91)</f>
        <v/>
      </c>
      <c r="G92" s="8">
        <f>SUM(G6:G91)</f>
        <v/>
      </c>
      <c r="H92" s="8">
        <f>SUM(H6:H91)</f>
        <v/>
      </c>
      <c r="I92" s="8">
        <f>SUM(I6:I91)</f>
        <v/>
      </c>
      <c r="J92" s="8">
        <f>SUM(J6:J91)</f>
        <v/>
      </c>
    </row>
  </sheetData>
  <autoFilter ref="A5:J9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2026-08-26T21:50:08Z</dcterms:created>
  <dcterms:modified xsi:type="dcterms:W3CDTF">2026-08-26T21:50:08Z</dcterms:modified>
</cp:coreProperties>
</file>