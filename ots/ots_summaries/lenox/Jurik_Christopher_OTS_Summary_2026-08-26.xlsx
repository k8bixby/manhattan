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northwell-my.sharepoint.com/personal/kbixby_northwell_edu/Documents/Scripts/ots/ots_summaries/lenox/"/>
    </mc:Choice>
  </mc:AlternateContent>
  <xr:revisionPtr revIDLastSave="0" documentId="11_B3A12196B1AA6612295E99F62B5BDA16964DCABA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ept Summary" sheetId="1" r:id="rId1"/>
    <sheet name="Acct Summary" sheetId="2" r:id="rId2"/>
  </sheets>
  <definedNames>
    <definedName name="_xlnm._FilterDatabase" localSheetId="1" hidden="1">'Acct Summary'!$A$5:$J$54</definedName>
    <definedName name="_xlnm._FilterDatabase" localSheetId="0" hidden="1">'Dept Summary'!$A$5:$K$37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5" i="2" l="1"/>
  <c r="I55" i="2"/>
  <c r="H55" i="2"/>
  <c r="G55" i="2"/>
  <c r="F55" i="2"/>
  <c r="E55" i="2"/>
  <c r="D55" i="2"/>
  <c r="K38" i="1"/>
  <c r="J38" i="1"/>
  <c r="I38" i="1"/>
  <c r="H38" i="1"/>
  <c r="G38" i="1"/>
  <c r="F38" i="1"/>
  <c r="E38" i="1"/>
  <c r="C38" i="1"/>
</calcChain>
</file>

<file path=xl/sharedStrings.xml><?xml version="1.0" encoding="utf-8"?>
<sst xmlns="http://schemas.openxmlformats.org/spreadsheetml/2006/main" count="274" uniqueCount="155">
  <si>
    <t>LENOX</t>
  </si>
  <si>
    <t>2027 OTS Summary by Department</t>
  </si>
  <si>
    <t>Updated 2026-08-26</t>
  </si>
  <si>
    <t>Variance</t>
  </si>
  <si>
    <t>VP</t>
  </si>
  <si>
    <t>Director</t>
  </si>
  <si>
    <t>Department ID</t>
  </si>
  <si>
    <t>Department</t>
  </si>
  <si>
    <t>2025 Actual</t>
  </si>
  <si>
    <t>2026 Budget</t>
  </si>
  <si>
    <t>2026 Projection</t>
  </si>
  <si>
    <t>2027 Budget w/o Inflation</t>
  </si>
  <si>
    <t>2027 Budget - 2025 Actual</t>
  </si>
  <si>
    <t>2027 Budget - 2026 Budget</t>
  </si>
  <si>
    <t>2027 Budget - 2026 Projection</t>
  </si>
  <si>
    <t>Jurik, Christopher</t>
  </si>
  <si>
    <t>Cox, Shawn</t>
  </si>
  <si>
    <t>LENOX_15600100 - Mail Room</t>
  </si>
  <si>
    <t>DeSha, Lauren</t>
  </si>
  <si>
    <t>LENOX_15600170 - Medical Records</t>
  </si>
  <si>
    <t>LENOX_15600180 - Health Info Mgt</t>
  </si>
  <si>
    <t>Debacker, Johanna M</t>
  </si>
  <si>
    <t>LENOX_15600000 - Hospital Administration</t>
  </si>
  <si>
    <t>Desantis, Carl</t>
  </si>
  <si>
    <t>LENOX_15600360 - O360 Managed Staff and OTS</t>
  </si>
  <si>
    <t>LENOX_15601000 - Cashier</t>
  </si>
  <si>
    <t>LENOX_15601055 - Access Services</t>
  </si>
  <si>
    <t>Holuka, Gregory</t>
  </si>
  <si>
    <t>28799100_530500 - MHOTRS Clinic Enhancement Gran</t>
  </si>
  <si>
    <t>28799100_595001 - Cancer &amp; Prev Detectn Clinic</t>
  </si>
  <si>
    <t>28799100_595150 - Raisler Center Maintenance Fd</t>
  </si>
  <si>
    <t>28799100_595160 - Center for Parent Education</t>
  </si>
  <si>
    <t>LENOX_15600030 - Finance Site</t>
  </si>
  <si>
    <t>LENOX_15600210 - Reception</t>
  </si>
  <si>
    <t>LENOX_15600220 - Audiovisual</t>
  </si>
  <si>
    <t>LENOX_15600250 - Humanity Training</t>
  </si>
  <si>
    <t>LENOX_15601020 - Corporate Compliance</t>
  </si>
  <si>
    <t>LENOX_15601050 - Patient Accounting</t>
  </si>
  <si>
    <t>LENOX_15601330 - Public Relations</t>
  </si>
  <si>
    <t>LENOX_15601350 - Legal</t>
  </si>
  <si>
    <t>LENOX_15601365 - Development</t>
  </si>
  <si>
    <t>LENOX_15601433 - COVID19 Vaccine Administration</t>
  </si>
  <si>
    <t>LENOX_15601508 - Marketing</t>
  </si>
  <si>
    <t>LENOX_15643040 - Research - Clinical</t>
  </si>
  <si>
    <t>LENOX_15650035 - Special Hematology</t>
  </si>
  <si>
    <t>LENOX_15690040 - Storeroom</t>
  </si>
  <si>
    <t>LENOX_15693020 - Sup Svc-Parking Garage</t>
  </si>
  <si>
    <t>LENOX_15693065 - Sup Svc-NYC 1080 Lex Ave</t>
  </si>
  <si>
    <t>LENOX_15693075 - Sup Svc-NYC 122 E 76St</t>
  </si>
  <si>
    <t>LENOX_15693115 - Sup Svc-NYC 186 E 76St</t>
  </si>
  <si>
    <t>LENOX_15693125 - Sup Svc-NYC 1120 Lex Ave</t>
  </si>
  <si>
    <t>LENOX_15698008 - Lenox Hill Social Service Fund</t>
  </si>
  <si>
    <t>LENOX_15699000 - Corporate Retained Expenses</t>
  </si>
  <si>
    <t>Total</t>
  </si>
  <si>
    <t>2027 OTS Summary by Account</t>
  </si>
  <si>
    <t>Account Number</t>
  </si>
  <si>
    <t>Account Name</t>
  </si>
  <si>
    <t>A_55010</t>
  </si>
  <si>
    <t>A_55010 - Rebates From Vendors</t>
  </si>
  <si>
    <t>A_55020</t>
  </si>
  <si>
    <t>A_55020 - Rebates-Pharmaceuticals</t>
  </si>
  <si>
    <t>A_61000</t>
  </si>
  <si>
    <t>A_61000 - Consulting Fees</t>
  </si>
  <si>
    <t>A_61400</t>
  </si>
  <si>
    <t>A_61400 - Other Fees</t>
  </si>
  <si>
    <t>A_63030</t>
  </si>
  <si>
    <t>A_63030 - Supplies - Medical</t>
  </si>
  <si>
    <t>A_63045</t>
  </si>
  <si>
    <t>A_63045 - Supplies - Med Equip Repair</t>
  </si>
  <si>
    <t>A_63080</t>
  </si>
  <si>
    <t>A_63080 - Supplies - Surgical</t>
  </si>
  <si>
    <t>A_64000</t>
  </si>
  <si>
    <t>A_64000 - Supplies - Hotel Services</t>
  </si>
  <si>
    <t>A_64020</t>
  </si>
  <si>
    <t>A_64020 - Supplies - Office</t>
  </si>
  <si>
    <t>A_64030</t>
  </si>
  <si>
    <t>A_64030 - Supplies - Other Non Medical</t>
  </si>
  <si>
    <t>A_64570</t>
  </si>
  <si>
    <t>A_64570 - Dietary Charge Out</t>
  </si>
  <si>
    <t>A_65000</t>
  </si>
  <si>
    <t>A_65000 - Electricity</t>
  </si>
  <si>
    <t>A_65030</t>
  </si>
  <si>
    <t>A_65030 - Disposable Services</t>
  </si>
  <si>
    <t>A_65050</t>
  </si>
  <si>
    <t>A_65050 - Telephone</t>
  </si>
  <si>
    <t>A_65505</t>
  </si>
  <si>
    <t>A_65505 - Equipment Service Contracts</t>
  </si>
  <si>
    <t>A_65510</t>
  </si>
  <si>
    <t>A_65510 - Freight</t>
  </si>
  <si>
    <t>A_65517</t>
  </si>
  <si>
    <t>A_65517 - Software Maint and Support</t>
  </si>
  <si>
    <t>A_65525</t>
  </si>
  <si>
    <t>A_65525 - Maintenance And Repairs</t>
  </si>
  <si>
    <t>A_65528</t>
  </si>
  <si>
    <t>A_65528 - Elevator-Reprs-Prchsd-Contr Sv</t>
  </si>
  <si>
    <t>A_65530</t>
  </si>
  <si>
    <t>A_65530 - Medical Purchased Services</t>
  </si>
  <si>
    <t>A_65535</t>
  </si>
  <si>
    <t>A_65535 - Other Purchased Services</t>
  </si>
  <si>
    <t>A_65536</t>
  </si>
  <si>
    <t>A_65536 - Oth Purch Serv- Credentialling</t>
  </si>
  <si>
    <t>A_65540</t>
  </si>
  <si>
    <t>A_65540 - Outside Messenger Service</t>
  </si>
  <si>
    <t>A_66000</t>
  </si>
  <si>
    <t>A_66000 - Dues</t>
  </si>
  <si>
    <t>A_66010</t>
  </si>
  <si>
    <t>A_66010 - Periodicals-Publ-Subscriptions</t>
  </si>
  <si>
    <t>A_66020</t>
  </si>
  <si>
    <t>A_66020 - Outside Training</t>
  </si>
  <si>
    <t>A_66030</t>
  </si>
  <si>
    <t>A_66030 - Microfilming &amp; Archiving</t>
  </si>
  <si>
    <t>A_66040</t>
  </si>
  <si>
    <t>A_66040 - Postage</t>
  </si>
  <si>
    <t>A_66050</t>
  </si>
  <si>
    <t>A_66050 - Printing And Duplication</t>
  </si>
  <si>
    <t>A_66060</t>
  </si>
  <si>
    <t>A_66060 - Other Expenses</t>
  </si>
  <si>
    <t>A_66068</t>
  </si>
  <si>
    <t>A_66068 - Patient Belongings - Reimburse</t>
  </si>
  <si>
    <t>A_66070</t>
  </si>
  <si>
    <t>A_66070 - Advertising</t>
  </si>
  <si>
    <t>A_66075</t>
  </si>
  <si>
    <t>A_66075 - Promotional items</t>
  </si>
  <si>
    <t>A_66076</t>
  </si>
  <si>
    <t>A_66076 - Corporate Sponsorships</t>
  </si>
  <si>
    <t>A_66090</t>
  </si>
  <si>
    <t>A_66090 - House Functions &amp; Corp Events</t>
  </si>
  <si>
    <t>A_66095</t>
  </si>
  <si>
    <t>A_66095 - Meals &amp; Entertainment</t>
  </si>
  <si>
    <t>A_66110</t>
  </si>
  <si>
    <t>A_66110 - Mileage</t>
  </si>
  <si>
    <t>A_66120</t>
  </si>
  <si>
    <t>A_66120 - Time of Service-Cash Draw</t>
  </si>
  <si>
    <t>A_66150</t>
  </si>
  <si>
    <t>A_66150 - Travel</t>
  </si>
  <si>
    <t>A_66152</t>
  </si>
  <si>
    <t>A_66152 - Patient Transportation</t>
  </si>
  <si>
    <t>A_66500</t>
  </si>
  <si>
    <t>A_66500 - Property Rentals</t>
  </si>
  <si>
    <t>A_66510</t>
  </si>
  <si>
    <t>A_66510 - Lease-Rentals - Other</t>
  </si>
  <si>
    <t>A_66515</t>
  </si>
  <si>
    <t>A_66515 - Lease Rentals - Copiers</t>
  </si>
  <si>
    <t>A_66524</t>
  </si>
  <si>
    <t>A_66524 - Software Licensing Fees</t>
  </si>
  <si>
    <t>A_66528</t>
  </si>
  <si>
    <t>A_66528 - Cloud Software Licensing Fees</t>
  </si>
  <si>
    <t>A_66600</t>
  </si>
  <si>
    <t>A_66600 - Real Estate Tax</t>
  </si>
  <si>
    <t>A_66601</t>
  </si>
  <si>
    <t>A_66601 - RE Tax Fixed Leased Properties</t>
  </si>
  <si>
    <t>A_66602</t>
  </si>
  <si>
    <t>A_66602 - RE Tax Var Leased Properties</t>
  </si>
  <si>
    <t>A_68910</t>
  </si>
  <si>
    <t>A_68910 - Income Tax-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</si>
</sst>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_(\$* #,##0_);_(\$* \(#,##0\);_(\$* &quot;-&quot;??_);_(@_)"/>
  </numFmts>
  <fonts count="4" x14ac:knownFonts="1">
    <font>
      <sz val="11"/>
      <color theme="1"/>
      <name val="Calibri"/>
      <family val="2"/>
      <scheme val="minor"/>
    </font>
    <font>
      <b/>
      <sz val="10"/>
      <name val="Ebrima"/>
    </font>
    <font>
      <b/>
      <sz val="10"/>
      <color rgb="FF000000"/>
      <name val="Ebrima"/>
    </font>
    <font>
      <sz val="10"/>
      <name val="Ebrima"/>
    </font>
  </fonts>
  <fills count="5">
    <fill>
      <patternFill patternType="none"/>
    </fill>
    <fill>
      <patternFill patternType="gray125"/>
    </fill>
    <fill>
      <patternFill patternType="solid">
        <fgColor rgb="FFC5D9F1"/>
        <bgColor rgb="FFC5D9F1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2" fillId="3" borderId="0" xfId="0" applyFont="1" applyFill="1" applyAlignment="1">
      <alignment horizontal="center" wrapText="1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0" fontId="1" fillId="4" borderId="1" xfId="0" applyFont="1" applyFill="1" applyBorder="1"/>
    <xf numFmtId="165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workbookViewId="0">
      <pane ySplit="5" topLeftCell="A6" activePane="bottomLeft" state="frozen"/>
      <selection pane="bottomLeft" activeCell="D26" sqref="D26"/>
    </sheetView>
  </sheetViews>
  <sheetFormatPr defaultRowHeight="15" x14ac:dyDescent="0.25"/>
  <cols>
    <col min="1" max="1" width="34" customWidth="1"/>
    <col min="2" max="2" width="23" customWidth="1"/>
    <col min="3" max="3" width="17" customWidth="1"/>
    <col min="4" max="4" width="52" customWidth="1"/>
    <col min="5" max="5" width="25" customWidth="1"/>
    <col min="6" max="7" width="22" customWidth="1"/>
    <col min="8" max="10" width="29" customWidth="1"/>
    <col min="11" max="11" width="33" customWidth="1"/>
  </cols>
  <sheetData>
    <row r="1" spans="1:11" x14ac:dyDescent="0.25">
      <c r="A1" s="1" t="s">
        <v>0</v>
      </c>
    </row>
    <row r="2" spans="1:11" x14ac:dyDescent="0.25">
      <c r="A2" s="1" t="s">
        <v>1</v>
      </c>
    </row>
    <row r="3" spans="1:11" x14ac:dyDescent="0.25">
      <c r="A3" s="1" t="s">
        <v>2</v>
      </c>
    </row>
    <row r="4" spans="1:11" x14ac:dyDescent="0.25">
      <c r="I4" s="2" t="s">
        <v>3</v>
      </c>
      <c r="J4" s="2"/>
      <c r="K4" s="2"/>
    </row>
    <row r="5" spans="1:11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</row>
    <row r="6" spans="1:11" x14ac:dyDescent="0.25">
      <c r="A6" s="4" t="s">
        <v>15</v>
      </c>
      <c r="B6" s="4" t="s">
        <v>16</v>
      </c>
      <c r="C6" s="5">
        <v>15600100</v>
      </c>
      <c r="D6" s="4" t="s">
        <v>17</v>
      </c>
      <c r="E6" s="6">
        <v>80571.37999999999</v>
      </c>
      <c r="F6" s="6">
        <v>82301.800000000701</v>
      </c>
      <c r="G6" s="6">
        <v>80639.8401104972</v>
      </c>
      <c r="H6" s="6">
        <v>0</v>
      </c>
      <c r="I6" s="6">
        <v>-80571.37999999999</v>
      </c>
      <c r="J6" s="6">
        <v>-82301.800000000701</v>
      </c>
      <c r="K6" s="6">
        <v>-80639.8401104972</v>
      </c>
    </row>
    <row r="7" spans="1:11" x14ac:dyDescent="0.25">
      <c r="A7" s="4" t="s">
        <v>15</v>
      </c>
      <c r="B7" s="4" t="s">
        <v>18</v>
      </c>
      <c r="C7" s="5">
        <v>15600170</v>
      </c>
      <c r="D7" s="4" t="s">
        <v>19</v>
      </c>
      <c r="E7" s="6">
        <v>4182.92</v>
      </c>
      <c r="F7" s="6">
        <v>4113</v>
      </c>
      <c r="G7" s="6">
        <v>10653.465193370201</v>
      </c>
      <c r="H7" s="6">
        <v>0</v>
      </c>
      <c r="I7" s="6">
        <v>-4182.92</v>
      </c>
      <c r="J7" s="6">
        <v>-4113</v>
      </c>
      <c r="K7" s="6">
        <v>-10653.465193370201</v>
      </c>
    </row>
    <row r="8" spans="1:11" x14ac:dyDescent="0.25">
      <c r="A8" s="4" t="s">
        <v>15</v>
      </c>
      <c r="B8" s="4" t="s">
        <v>18</v>
      </c>
      <c r="C8" s="5">
        <v>15600180</v>
      </c>
      <c r="D8" s="4" t="s">
        <v>20</v>
      </c>
      <c r="E8" s="6">
        <v>54566.93</v>
      </c>
      <c r="F8" s="6">
        <v>66384.097380640393</v>
      </c>
      <c r="G8" s="6">
        <v>57091.904215894698</v>
      </c>
      <c r="H8" s="6">
        <v>42160.339740756499</v>
      </c>
      <c r="I8" s="6">
        <v>-12406.5902592435</v>
      </c>
      <c r="J8" s="6">
        <v>-24223.75763988389</v>
      </c>
      <c r="K8" s="6">
        <v>-14931.564475138201</v>
      </c>
    </row>
    <row r="9" spans="1:11" x14ac:dyDescent="0.25">
      <c r="A9" s="4" t="s">
        <v>15</v>
      </c>
      <c r="B9" s="4" t="s">
        <v>21</v>
      </c>
      <c r="C9" s="5">
        <v>15600000</v>
      </c>
      <c r="D9" s="4" t="s">
        <v>22</v>
      </c>
      <c r="E9" s="6">
        <v>6293009.1799999997</v>
      </c>
      <c r="F9" s="6">
        <v>7062877.6396911871</v>
      </c>
      <c r="G9" s="6">
        <v>7399875.2967263674</v>
      </c>
      <c r="H9" s="6">
        <v>7110303.2655817606</v>
      </c>
      <c r="I9" s="6">
        <v>817294.08558176178</v>
      </c>
      <c r="J9" s="6">
        <v>47425.625890574418</v>
      </c>
      <c r="K9" s="6">
        <v>-289572.03114460589</v>
      </c>
    </row>
    <row r="10" spans="1:11" x14ac:dyDescent="0.25">
      <c r="A10" s="4" t="s">
        <v>15</v>
      </c>
      <c r="B10" s="4" t="s">
        <v>23</v>
      </c>
      <c r="C10" s="5">
        <v>15600360</v>
      </c>
      <c r="D10" s="4" t="s">
        <v>24</v>
      </c>
      <c r="E10" s="6">
        <v>294.38</v>
      </c>
      <c r="F10" s="6">
        <v>0</v>
      </c>
      <c r="G10" s="6">
        <v>0</v>
      </c>
      <c r="H10" s="6">
        <v>0</v>
      </c>
      <c r="I10" s="6">
        <v>-294.38</v>
      </c>
      <c r="J10" s="6">
        <v>0</v>
      </c>
      <c r="K10" s="6">
        <v>0</v>
      </c>
    </row>
    <row r="11" spans="1:11" x14ac:dyDescent="0.25">
      <c r="A11" s="4" t="s">
        <v>15</v>
      </c>
      <c r="B11" s="4" t="s">
        <v>23</v>
      </c>
      <c r="C11" s="5">
        <v>15601000</v>
      </c>
      <c r="D11" s="4" t="s">
        <v>25</v>
      </c>
      <c r="E11" s="6">
        <v>25454.400000000001</v>
      </c>
      <c r="F11" s="6">
        <v>26974.069999999199</v>
      </c>
      <c r="G11" s="6">
        <v>18392.12</v>
      </c>
      <c r="H11" s="6">
        <v>8611</v>
      </c>
      <c r="I11" s="6">
        <v>-16843.400000000001</v>
      </c>
      <c r="J11" s="6">
        <v>-18363.069999999199</v>
      </c>
      <c r="K11" s="6">
        <v>-9781.119999999999</v>
      </c>
    </row>
    <row r="12" spans="1:11" x14ac:dyDescent="0.25">
      <c r="A12" s="4" t="s">
        <v>15</v>
      </c>
      <c r="B12" s="4" t="s">
        <v>23</v>
      </c>
      <c r="C12" s="5">
        <v>15601055</v>
      </c>
      <c r="D12" s="4" t="s">
        <v>26</v>
      </c>
      <c r="E12" s="6">
        <v>160058.63</v>
      </c>
      <c r="F12" s="6">
        <v>145493.01575866109</v>
      </c>
      <c r="G12" s="6">
        <v>101994.0595750107</v>
      </c>
      <c r="H12" s="6">
        <v>90790</v>
      </c>
      <c r="I12" s="6">
        <v>-69268.63</v>
      </c>
      <c r="J12" s="6">
        <v>-54703.015758661088</v>
      </c>
      <c r="K12" s="6">
        <v>-11204.0595750107</v>
      </c>
    </row>
    <row r="13" spans="1:11" x14ac:dyDescent="0.25">
      <c r="A13" s="4" t="s">
        <v>15</v>
      </c>
      <c r="B13" s="4" t="s">
        <v>27</v>
      </c>
      <c r="C13" s="5">
        <v>530500</v>
      </c>
      <c r="D13" s="4" t="s">
        <v>28</v>
      </c>
      <c r="E13" s="6">
        <v>-9.0949470177292804E-13</v>
      </c>
      <c r="F13" s="6">
        <v>0</v>
      </c>
      <c r="G13" s="6">
        <v>0</v>
      </c>
      <c r="H13" s="6">
        <v>0</v>
      </c>
      <c r="I13" s="6">
        <v>9.0949470177292804E-13</v>
      </c>
      <c r="J13" s="6">
        <v>0</v>
      </c>
      <c r="K13" s="6">
        <v>0</v>
      </c>
    </row>
    <row r="14" spans="1:11" x14ac:dyDescent="0.25">
      <c r="A14" s="4" t="s">
        <v>15</v>
      </c>
      <c r="B14" s="4" t="s">
        <v>27</v>
      </c>
      <c r="C14" s="5">
        <v>595001</v>
      </c>
      <c r="D14" s="4" t="s">
        <v>29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</row>
    <row r="15" spans="1:11" x14ac:dyDescent="0.25">
      <c r="A15" s="4" t="s">
        <v>15</v>
      </c>
      <c r="B15" s="4" t="s">
        <v>27</v>
      </c>
      <c r="C15" s="5">
        <v>595150</v>
      </c>
      <c r="D15" s="4" t="s">
        <v>30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</row>
    <row r="16" spans="1:11" x14ac:dyDescent="0.25">
      <c r="A16" s="4" t="s">
        <v>15</v>
      </c>
      <c r="B16" s="4" t="s">
        <v>27</v>
      </c>
      <c r="C16" s="5">
        <v>595160</v>
      </c>
      <c r="D16" s="4" t="s">
        <v>31</v>
      </c>
      <c r="E16" s="6">
        <v>6950.51</v>
      </c>
      <c r="F16" s="6">
        <v>0</v>
      </c>
      <c r="G16" s="6">
        <v>0</v>
      </c>
      <c r="H16" s="6">
        <v>0</v>
      </c>
      <c r="I16" s="6">
        <v>-6950.51</v>
      </c>
      <c r="J16" s="6">
        <v>0</v>
      </c>
      <c r="K16" s="6">
        <v>0</v>
      </c>
    </row>
    <row r="17" spans="1:11" x14ac:dyDescent="0.25">
      <c r="A17" s="4" t="s">
        <v>15</v>
      </c>
      <c r="B17" s="4" t="s">
        <v>27</v>
      </c>
      <c r="C17" s="5">
        <v>15600030</v>
      </c>
      <c r="D17" s="4" t="s">
        <v>32</v>
      </c>
      <c r="E17" s="6">
        <v>29075.1</v>
      </c>
      <c r="F17" s="6">
        <v>29339.565104883299</v>
      </c>
      <c r="G17" s="6">
        <v>25609.9162509866</v>
      </c>
      <c r="H17" s="6">
        <v>20785.249999999702</v>
      </c>
      <c r="I17" s="6">
        <v>-8289.8500000002969</v>
      </c>
      <c r="J17" s="6">
        <v>-8554.3151048835971</v>
      </c>
      <c r="K17" s="6">
        <v>-4824.6662509868947</v>
      </c>
    </row>
    <row r="18" spans="1:11" x14ac:dyDescent="0.25">
      <c r="A18" s="4" t="s">
        <v>15</v>
      </c>
      <c r="B18" s="4" t="s">
        <v>27</v>
      </c>
      <c r="C18" s="5">
        <v>15600210</v>
      </c>
      <c r="D18" s="4" t="s">
        <v>33</v>
      </c>
      <c r="E18" s="6">
        <v>103326.69</v>
      </c>
      <c r="F18" s="6">
        <v>36680.0000000004</v>
      </c>
      <c r="G18" s="6">
        <v>73738.808131868107</v>
      </c>
      <c r="H18" s="6">
        <v>0</v>
      </c>
      <c r="I18" s="6">
        <v>-103326.69</v>
      </c>
      <c r="J18" s="6">
        <v>-36680.0000000004</v>
      </c>
      <c r="K18" s="6">
        <v>-73738.808131868107</v>
      </c>
    </row>
    <row r="19" spans="1:11" x14ac:dyDescent="0.25">
      <c r="A19" s="4" t="s">
        <v>15</v>
      </c>
      <c r="B19" s="4" t="s">
        <v>27</v>
      </c>
      <c r="C19" s="5">
        <v>15600220</v>
      </c>
      <c r="D19" s="4" t="s">
        <v>34</v>
      </c>
      <c r="E19" s="6">
        <v>559.76</v>
      </c>
      <c r="F19" s="6">
        <v>549.99999999960005</v>
      </c>
      <c r="G19" s="6">
        <v>396.4383977901</v>
      </c>
      <c r="H19" s="6">
        <v>0</v>
      </c>
      <c r="I19" s="6">
        <v>-559.76</v>
      </c>
      <c r="J19" s="6">
        <v>-549.99999999960005</v>
      </c>
      <c r="K19" s="6">
        <v>-396.4383977901</v>
      </c>
    </row>
    <row r="20" spans="1:11" x14ac:dyDescent="0.25">
      <c r="A20" s="4" t="s">
        <v>15</v>
      </c>
      <c r="B20" s="4" t="s">
        <v>27</v>
      </c>
      <c r="C20" s="5">
        <v>15600250</v>
      </c>
      <c r="D20" s="4" t="s">
        <v>35</v>
      </c>
      <c r="E20" s="6">
        <v>717</v>
      </c>
      <c r="F20" s="6">
        <v>22.5699999996</v>
      </c>
      <c r="G20" s="6">
        <v>717</v>
      </c>
      <c r="H20" s="6">
        <v>0</v>
      </c>
      <c r="I20" s="6">
        <v>-717</v>
      </c>
      <c r="J20" s="6">
        <v>-22.5699999996</v>
      </c>
      <c r="K20" s="6">
        <v>-717</v>
      </c>
    </row>
    <row r="21" spans="1:11" x14ac:dyDescent="0.25">
      <c r="A21" s="4" t="s">
        <v>15</v>
      </c>
      <c r="B21" s="4" t="s">
        <v>27</v>
      </c>
      <c r="C21" s="5">
        <v>15601020</v>
      </c>
      <c r="D21" s="4" t="s">
        <v>36</v>
      </c>
      <c r="E21" s="6">
        <v>4219.16</v>
      </c>
      <c r="F21" s="6">
        <v>3660</v>
      </c>
      <c r="G21" s="6">
        <v>5078.1562637362986</v>
      </c>
      <c r="H21" s="6">
        <v>0</v>
      </c>
      <c r="I21" s="6">
        <v>-4219.16</v>
      </c>
      <c r="J21" s="6">
        <v>-3660</v>
      </c>
      <c r="K21" s="6">
        <v>-5078.1562637362986</v>
      </c>
    </row>
    <row r="22" spans="1:11" x14ac:dyDescent="0.25">
      <c r="A22" s="4" t="s">
        <v>15</v>
      </c>
      <c r="B22" s="4" t="s">
        <v>27</v>
      </c>
      <c r="C22" s="5">
        <v>15601050</v>
      </c>
      <c r="D22" s="4" t="s">
        <v>37</v>
      </c>
      <c r="E22" s="6">
        <v>5301.21</v>
      </c>
      <c r="F22" s="6">
        <v>6309.3100000007998</v>
      </c>
      <c r="G22" s="6">
        <v>1896.6309890110001</v>
      </c>
      <c r="H22" s="6">
        <v>0</v>
      </c>
      <c r="I22" s="6">
        <v>-5301.21</v>
      </c>
      <c r="J22" s="6">
        <v>-6309.3100000007998</v>
      </c>
      <c r="K22" s="6">
        <v>-1896.6309890110001</v>
      </c>
    </row>
    <row r="23" spans="1:11" x14ac:dyDescent="0.25">
      <c r="A23" s="4" t="s">
        <v>15</v>
      </c>
      <c r="B23" s="4" t="s">
        <v>27</v>
      </c>
      <c r="C23" s="5">
        <v>15601330</v>
      </c>
      <c r="D23" s="4" t="s">
        <v>38</v>
      </c>
      <c r="E23" s="6">
        <v>4256.95</v>
      </c>
      <c r="F23" s="6">
        <v>3572.19</v>
      </c>
      <c r="G23" s="6">
        <v>3539.6</v>
      </c>
      <c r="H23" s="6">
        <v>0</v>
      </c>
      <c r="I23" s="6">
        <v>-4256.95</v>
      </c>
      <c r="J23" s="6">
        <v>-3572.19</v>
      </c>
      <c r="K23" s="6">
        <v>-3539.6</v>
      </c>
    </row>
    <row r="24" spans="1:11" x14ac:dyDescent="0.25">
      <c r="A24" s="4" t="s">
        <v>15</v>
      </c>
      <c r="B24" s="4" t="s">
        <v>27</v>
      </c>
      <c r="C24" s="5">
        <v>15601350</v>
      </c>
      <c r="D24" s="4" t="s">
        <v>39</v>
      </c>
      <c r="E24" s="6">
        <v>16.7</v>
      </c>
      <c r="F24" s="6">
        <v>20.0000000004</v>
      </c>
      <c r="G24" s="6">
        <v>21.6951648352</v>
      </c>
      <c r="H24" s="6">
        <v>0</v>
      </c>
      <c r="I24" s="6">
        <v>-16.7</v>
      </c>
      <c r="J24" s="6">
        <v>-20.0000000004</v>
      </c>
      <c r="K24" s="6">
        <v>-21.6951648352</v>
      </c>
    </row>
    <row r="25" spans="1:11" x14ac:dyDescent="0.25">
      <c r="A25" s="4" t="s">
        <v>15</v>
      </c>
      <c r="B25" s="4" t="s">
        <v>27</v>
      </c>
      <c r="C25" s="5">
        <v>15601365</v>
      </c>
      <c r="D25" s="4" t="s">
        <v>40</v>
      </c>
      <c r="E25" s="6">
        <v>7569.24</v>
      </c>
      <c r="F25" s="6">
        <v>5082.5300000003999</v>
      </c>
      <c r="G25" s="6">
        <v>3804.12</v>
      </c>
      <c r="H25" s="6">
        <v>0</v>
      </c>
      <c r="I25" s="6">
        <v>-7569.24</v>
      </c>
      <c r="J25" s="6">
        <v>-5082.5300000003999</v>
      </c>
      <c r="K25" s="6">
        <v>-3804.12</v>
      </c>
    </row>
    <row r="26" spans="1:11" x14ac:dyDescent="0.25">
      <c r="A26" s="4" t="s">
        <v>15</v>
      </c>
      <c r="B26" s="4" t="s">
        <v>27</v>
      </c>
      <c r="C26" s="5">
        <v>15601433</v>
      </c>
      <c r="D26" s="4" t="s">
        <v>41</v>
      </c>
      <c r="E26" s="6">
        <v>340.45</v>
      </c>
      <c r="F26" s="6">
        <v>371.00000000040001</v>
      </c>
      <c r="G26" s="6">
        <v>557.1</v>
      </c>
      <c r="H26" s="6">
        <v>0</v>
      </c>
      <c r="I26" s="6">
        <v>-340.45</v>
      </c>
      <c r="J26" s="6">
        <v>-371.00000000040001</v>
      </c>
      <c r="K26" s="6">
        <v>-557.1</v>
      </c>
    </row>
    <row r="27" spans="1:11" x14ac:dyDescent="0.25">
      <c r="A27" s="4" t="s">
        <v>15</v>
      </c>
      <c r="B27" s="4" t="s">
        <v>27</v>
      </c>
      <c r="C27" s="5">
        <v>15601508</v>
      </c>
      <c r="D27" s="4" t="s">
        <v>42</v>
      </c>
      <c r="E27" s="6">
        <v>15.32</v>
      </c>
      <c r="F27" s="6">
        <v>20.0000000004</v>
      </c>
      <c r="G27" s="6">
        <v>0</v>
      </c>
      <c r="H27" s="6">
        <v>0</v>
      </c>
      <c r="I27" s="6">
        <v>-15.32</v>
      </c>
      <c r="J27" s="6">
        <v>-20.0000000004</v>
      </c>
      <c r="K27" s="6">
        <v>0</v>
      </c>
    </row>
    <row r="28" spans="1:11" x14ac:dyDescent="0.25">
      <c r="A28" s="4" t="s">
        <v>15</v>
      </c>
      <c r="B28" s="4" t="s">
        <v>27</v>
      </c>
      <c r="C28" s="5">
        <v>15643040</v>
      </c>
      <c r="D28" s="4" t="s">
        <v>43</v>
      </c>
      <c r="E28" s="6">
        <v>1211.07</v>
      </c>
      <c r="F28" s="6">
        <v>1236.0300000002001</v>
      </c>
      <c r="G28" s="6">
        <v>1587.0441988949999</v>
      </c>
      <c r="H28" s="6">
        <v>0</v>
      </c>
      <c r="I28" s="6">
        <v>-1211.07</v>
      </c>
      <c r="J28" s="6">
        <v>-1236.0300000002001</v>
      </c>
      <c r="K28" s="6">
        <v>-1587.0441988949999</v>
      </c>
    </row>
    <row r="29" spans="1:11" x14ac:dyDescent="0.25">
      <c r="A29" s="4" t="s">
        <v>15</v>
      </c>
      <c r="B29" s="4" t="s">
        <v>27</v>
      </c>
      <c r="C29" s="5">
        <v>15650035</v>
      </c>
      <c r="D29" s="4" t="s">
        <v>44</v>
      </c>
      <c r="E29" s="6">
        <v>5671.84</v>
      </c>
      <c r="F29" s="6">
        <v>5574.9999999995998</v>
      </c>
      <c r="G29" s="6">
        <v>5470.56</v>
      </c>
      <c r="H29" s="6">
        <v>0</v>
      </c>
      <c r="I29" s="6">
        <v>-5671.84</v>
      </c>
      <c r="J29" s="6">
        <v>-5574.9999999995998</v>
      </c>
      <c r="K29" s="6">
        <v>-5470.56</v>
      </c>
    </row>
    <row r="30" spans="1:11" x14ac:dyDescent="0.25">
      <c r="A30" s="4" t="s">
        <v>15</v>
      </c>
      <c r="B30" s="4" t="s">
        <v>27</v>
      </c>
      <c r="C30" s="5">
        <v>15690040</v>
      </c>
      <c r="D30" s="4" t="s">
        <v>45</v>
      </c>
      <c r="E30" s="6">
        <v>2171.9699999999998</v>
      </c>
      <c r="F30" s="6">
        <v>1970.0000000004</v>
      </c>
      <c r="G30" s="6">
        <v>2237.63</v>
      </c>
      <c r="H30" s="6">
        <v>0</v>
      </c>
      <c r="I30" s="6">
        <v>-2171.9699999999998</v>
      </c>
      <c r="J30" s="6">
        <v>-1970.0000000004</v>
      </c>
      <c r="K30" s="6">
        <v>-2237.63</v>
      </c>
    </row>
    <row r="31" spans="1:11" x14ac:dyDescent="0.25">
      <c r="A31" s="4" t="s">
        <v>15</v>
      </c>
      <c r="B31" s="4" t="s">
        <v>27</v>
      </c>
      <c r="C31" s="5">
        <v>15693020</v>
      </c>
      <c r="D31" s="4" t="s">
        <v>46</v>
      </c>
      <c r="E31" s="6">
        <v>1166293.97</v>
      </c>
      <c r="F31" s="6">
        <v>1169126</v>
      </c>
      <c r="G31" s="6">
        <v>1198237.80519337</v>
      </c>
      <c r="H31" s="6">
        <v>0</v>
      </c>
      <c r="I31" s="6">
        <v>-1166293.97</v>
      </c>
      <c r="J31" s="6">
        <v>-1169126</v>
      </c>
      <c r="K31" s="6">
        <v>-1198237.80519337</v>
      </c>
    </row>
    <row r="32" spans="1:11" x14ac:dyDescent="0.25">
      <c r="A32" s="4" t="s">
        <v>15</v>
      </c>
      <c r="B32" s="4" t="s">
        <v>27</v>
      </c>
      <c r="C32" s="5">
        <v>15693065</v>
      </c>
      <c r="D32" s="4" t="s">
        <v>47</v>
      </c>
      <c r="E32" s="6">
        <v>439.54</v>
      </c>
      <c r="F32" s="6">
        <v>0</v>
      </c>
      <c r="G32" s="6">
        <v>373.4897790055</v>
      </c>
      <c r="H32" s="6">
        <v>0</v>
      </c>
      <c r="I32" s="6">
        <v>-439.54</v>
      </c>
      <c r="J32" s="6">
        <v>0</v>
      </c>
      <c r="K32" s="6">
        <v>-373.4897790055</v>
      </c>
    </row>
    <row r="33" spans="1:11" x14ac:dyDescent="0.25">
      <c r="A33" s="4" t="s">
        <v>15</v>
      </c>
      <c r="B33" s="4" t="s">
        <v>27</v>
      </c>
      <c r="C33" s="5">
        <v>15693075</v>
      </c>
      <c r="D33" s="4" t="s">
        <v>48</v>
      </c>
      <c r="E33" s="6">
        <v>360.41</v>
      </c>
      <c r="F33" s="6">
        <v>339.99999999959999</v>
      </c>
      <c r="G33" s="6">
        <v>396.4383977901</v>
      </c>
      <c r="H33" s="6">
        <v>0</v>
      </c>
      <c r="I33" s="6">
        <v>-360.41</v>
      </c>
      <c r="J33" s="6">
        <v>-339.99999999959999</v>
      </c>
      <c r="K33" s="6">
        <v>-396.4383977901</v>
      </c>
    </row>
    <row r="34" spans="1:11" x14ac:dyDescent="0.25">
      <c r="A34" s="4" t="s">
        <v>15</v>
      </c>
      <c r="B34" s="4" t="s">
        <v>27</v>
      </c>
      <c r="C34" s="5">
        <v>15693115</v>
      </c>
      <c r="D34" s="4" t="s">
        <v>49</v>
      </c>
      <c r="E34" s="6">
        <v>147194.17000000001</v>
      </c>
      <c r="F34" s="6">
        <v>146888</v>
      </c>
      <c r="G34" s="6">
        <v>150560.28</v>
      </c>
      <c r="H34" s="6">
        <v>0</v>
      </c>
      <c r="I34" s="6">
        <v>-147194.17000000001</v>
      </c>
      <c r="J34" s="6">
        <v>-146888</v>
      </c>
      <c r="K34" s="6">
        <v>-150560.28</v>
      </c>
    </row>
    <row r="35" spans="1:11" x14ac:dyDescent="0.25">
      <c r="A35" s="4" t="s">
        <v>15</v>
      </c>
      <c r="B35" s="4" t="s">
        <v>27</v>
      </c>
      <c r="C35" s="5">
        <v>15693125</v>
      </c>
      <c r="D35" s="4" t="s">
        <v>50</v>
      </c>
      <c r="E35" s="6">
        <v>4452.8599999999997</v>
      </c>
      <c r="F35" s="6">
        <v>0</v>
      </c>
      <c r="G35" s="6">
        <v>1912.317679558</v>
      </c>
      <c r="H35" s="6">
        <v>0</v>
      </c>
      <c r="I35" s="6">
        <v>-4452.8599999999997</v>
      </c>
      <c r="J35" s="6">
        <v>0</v>
      </c>
      <c r="K35" s="6">
        <v>-1912.317679558</v>
      </c>
    </row>
    <row r="36" spans="1:11" x14ac:dyDescent="0.25">
      <c r="A36" s="4" t="s">
        <v>15</v>
      </c>
      <c r="B36" s="4" t="s">
        <v>27</v>
      </c>
      <c r="C36" s="5">
        <v>15698008</v>
      </c>
      <c r="D36" s="4" t="s">
        <v>51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</row>
    <row r="37" spans="1:11" x14ac:dyDescent="0.25">
      <c r="A37" s="4" t="s">
        <v>15</v>
      </c>
      <c r="B37" s="4" t="s">
        <v>15</v>
      </c>
      <c r="C37" s="5">
        <v>15699000</v>
      </c>
      <c r="D37" s="4" t="s">
        <v>52</v>
      </c>
      <c r="E37" s="6">
        <v>4656.7199999999993</v>
      </c>
      <c r="F37" s="6">
        <v>-10035</v>
      </c>
      <c r="G37" s="6">
        <v>3857.1799999999989</v>
      </c>
      <c r="H37" s="6">
        <v>0</v>
      </c>
      <c r="I37" s="6">
        <v>-4656.7199999999993</v>
      </c>
      <c r="J37" s="6">
        <v>10035</v>
      </c>
      <c r="K37" s="6">
        <v>-3857.1799999999989</v>
      </c>
    </row>
    <row r="38" spans="1:11" x14ac:dyDescent="0.25">
      <c r="A38" s="7" t="s">
        <v>53</v>
      </c>
      <c r="B38" s="7"/>
      <c r="C38" s="7">
        <f>SUM(C6:C37)</f>
        <v>439973965</v>
      </c>
      <c r="D38" s="7"/>
      <c r="E38" s="8">
        <f t="shared" ref="E38:K38" si="0">SUM(E6:E37)</f>
        <v>8112938.4600000009</v>
      </c>
      <c r="F38" s="8">
        <f t="shared" si="0"/>
        <v>8788870.8179353718</v>
      </c>
      <c r="G38" s="8">
        <f t="shared" si="0"/>
        <v>9148638.8962679822</v>
      </c>
      <c r="H38" s="8">
        <f t="shared" si="0"/>
        <v>7272649.8553225175</v>
      </c>
      <c r="I38" s="8">
        <f t="shared" si="0"/>
        <v>-840288.60467748216</v>
      </c>
      <c r="J38" s="8">
        <f t="shared" si="0"/>
        <v>-1516220.9626128557</v>
      </c>
      <c r="K38" s="8">
        <f t="shared" si="0"/>
        <v>-1875989.0409454682</v>
      </c>
    </row>
  </sheetData>
  <autoFilter ref="A5:K3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5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31" customWidth="1"/>
    <col min="2" max="2" width="18" customWidth="1"/>
    <col min="3" max="3" width="44" customWidth="1"/>
    <col min="4" max="6" width="22" customWidth="1"/>
    <col min="7" max="9" width="29" customWidth="1"/>
    <col min="10" max="10" width="33" customWidth="1"/>
  </cols>
  <sheetData>
    <row r="1" spans="1:10" x14ac:dyDescent="0.25">
      <c r="A1" s="1" t="s">
        <v>0</v>
      </c>
    </row>
    <row r="2" spans="1:10" x14ac:dyDescent="0.25">
      <c r="A2" s="1" t="s">
        <v>54</v>
      </c>
    </row>
    <row r="3" spans="1:10" x14ac:dyDescent="0.25">
      <c r="A3" s="1" t="s">
        <v>2</v>
      </c>
    </row>
    <row r="4" spans="1:10" x14ac:dyDescent="0.25">
      <c r="H4" s="2" t="s">
        <v>3</v>
      </c>
      <c r="I4" s="2"/>
      <c r="J4" s="2"/>
    </row>
    <row r="5" spans="1:10" x14ac:dyDescent="0.25">
      <c r="A5" s="3" t="s">
        <v>4</v>
      </c>
      <c r="B5" s="3" t="s">
        <v>55</v>
      </c>
      <c r="C5" s="3" t="s">
        <v>56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</row>
    <row r="6" spans="1:10" x14ac:dyDescent="0.25">
      <c r="A6" s="4" t="s">
        <v>15</v>
      </c>
      <c r="B6" s="4" t="s">
        <v>57</v>
      </c>
      <c r="C6" s="4" t="s">
        <v>58</v>
      </c>
      <c r="D6" s="6">
        <v>0</v>
      </c>
      <c r="E6" s="6">
        <v>0</v>
      </c>
      <c r="F6" s="6">
        <v>-1819.7238461539</v>
      </c>
      <c r="G6" s="6">
        <v>0</v>
      </c>
      <c r="H6" s="6">
        <v>0</v>
      </c>
      <c r="I6" s="6">
        <v>0</v>
      </c>
      <c r="J6" s="6">
        <v>1819.7238461539</v>
      </c>
    </row>
    <row r="7" spans="1:10" x14ac:dyDescent="0.25">
      <c r="A7" s="4" t="s">
        <v>15</v>
      </c>
      <c r="B7" s="4" t="s">
        <v>59</v>
      </c>
      <c r="C7" s="4" t="s">
        <v>60</v>
      </c>
      <c r="D7" s="6">
        <v>-1500</v>
      </c>
      <c r="E7" s="6">
        <v>0</v>
      </c>
      <c r="F7" s="6">
        <v>0</v>
      </c>
      <c r="G7" s="6">
        <v>0</v>
      </c>
      <c r="H7" s="6">
        <v>1500</v>
      </c>
      <c r="I7" s="6">
        <v>0</v>
      </c>
      <c r="J7" s="6">
        <v>0</v>
      </c>
    </row>
    <row r="8" spans="1:10" x14ac:dyDescent="0.25">
      <c r="A8" s="4" t="s">
        <v>15</v>
      </c>
      <c r="B8" s="4" t="s">
        <v>61</v>
      </c>
      <c r="C8" s="4" t="s">
        <v>62</v>
      </c>
      <c r="D8" s="6">
        <v>136538.88</v>
      </c>
      <c r="E8" s="6">
        <v>95040.999999999607</v>
      </c>
      <c r="F8" s="6">
        <v>95736.18</v>
      </c>
      <c r="G8" s="6">
        <v>8930.64</v>
      </c>
      <c r="H8" s="6">
        <v>-127608.24</v>
      </c>
      <c r="I8" s="6">
        <v>-86110.359999999608</v>
      </c>
      <c r="J8" s="6">
        <v>-86805.54</v>
      </c>
    </row>
    <row r="9" spans="1:10" x14ac:dyDescent="0.25">
      <c r="A9" s="4" t="s">
        <v>15</v>
      </c>
      <c r="B9" s="4" t="s">
        <v>63</v>
      </c>
      <c r="C9" s="4" t="s">
        <v>64</v>
      </c>
      <c r="D9" s="6">
        <v>105123.3</v>
      </c>
      <c r="E9" s="6">
        <v>116000</v>
      </c>
      <c r="F9" s="6">
        <v>202045.96</v>
      </c>
      <c r="G9" s="6">
        <v>199335.96</v>
      </c>
      <c r="H9" s="6">
        <v>94212.659999999989</v>
      </c>
      <c r="I9" s="6">
        <v>83335.959999999992</v>
      </c>
      <c r="J9" s="6">
        <v>-2710</v>
      </c>
    </row>
    <row r="10" spans="1:10" x14ac:dyDescent="0.25">
      <c r="A10" s="4" t="s">
        <v>15</v>
      </c>
      <c r="B10" s="4" t="s">
        <v>65</v>
      </c>
      <c r="C10" s="4" t="s">
        <v>66</v>
      </c>
      <c r="D10" s="6">
        <v>36257.550000000003</v>
      </c>
      <c r="E10" s="6">
        <v>44599.706359999203</v>
      </c>
      <c r="F10" s="6">
        <v>9069.0979120879001</v>
      </c>
      <c r="G10" s="6">
        <v>6706.2269230768998</v>
      </c>
      <c r="H10" s="6">
        <v>-29551.323076923101</v>
      </c>
      <c r="I10" s="6">
        <v>-37893.479436922302</v>
      </c>
      <c r="J10" s="6">
        <v>-2362.8709890109999</v>
      </c>
    </row>
    <row r="11" spans="1:10" x14ac:dyDescent="0.25">
      <c r="A11" s="4" t="s">
        <v>15</v>
      </c>
      <c r="B11" s="4" t="s">
        <v>67</v>
      </c>
      <c r="C11" s="4" t="s">
        <v>68</v>
      </c>
      <c r="D11" s="6">
        <v>23947.31</v>
      </c>
      <c r="E11" s="6">
        <v>22168.749049383001</v>
      </c>
      <c r="F11" s="6">
        <v>32109.441428571401</v>
      </c>
      <c r="G11" s="6">
        <v>29951.24</v>
      </c>
      <c r="H11" s="6">
        <v>6003.9299999999967</v>
      </c>
      <c r="I11" s="6">
        <v>7782.490950616997</v>
      </c>
      <c r="J11" s="6">
        <v>-2158.2014285714031</v>
      </c>
    </row>
    <row r="12" spans="1:10" x14ac:dyDescent="0.25">
      <c r="A12" s="4" t="s">
        <v>15</v>
      </c>
      <c r="B12" s="4" t="s">
        <v>69</v>
      </c>
      <c r="C12" s="4" t="s">
        <v>70</v>
      </c>
      <c r="D12" s="6">
        <v>506.2</v>
      </c>
      <c r="E12" s="6">
        <v>0</v>
      </c>
      <c r="F12" s="6">
        <v>0</v>
      </c>
      <c r="G12" s="6">
        <v>0</v>
      </c>
      <c r="H12" s="6">
        <v>-506.2</v>
      </c>
      <c r="I12" s="6">
        <v>0</v>
      </c>
      <c r="J12" s="6">
        <v>0</v>
      </c>
    </row>
    <row r="13" spans="1:10" x14ac:dyDescent="0.25">
      <c r="A13" s="4" t="s">
        <v>15</v>
      </c>
      <c r="B13" s="4" t="s">
        <v>71</v>
      </c>
      <c r="C13" s="4" t="s">
        <v>72</v>
      </c>
      <c r="D13" s="6">
        <v>7658.3</v>
      </c>
      <c r="E13" s="6">
        <v>7454.2199999998002</v>
      </c>
      <c r="F13" s="6">
        <v>4882.0060773481</v>
      </c>
      <c r="G13" s="6">
        <v>6694.7910497234998</v>
      </c>
      <c r="H13" s="6">
        <v>-963.5089502765004</v>
      </c>
      <c r="I13" s="6">
        <v>-759.42895027630038</v>
      </c>
      <c r="J13" s="6">
        <v>1812.7849723754</v>
      </c>
    </row>
    <row r="14" spans="1:10" x14ac:dyDescent="0.25">
      <c r="A14" s="4" t="s">
        <v>15</v>
      </c>
      <c r="B14" s="4" t="s">
        <v>73</v>
      </c>
      <c r="C14" s="4" t="s">
        <v>74</v>
      </c>
      <c r="D14" s="6">
        <v>57494.130000000012</v>
      </c>
      <c r="E14" s="6">
        <v>58063.500000000087</v>
      </c>
      <c r="F14" s="6">
        <v>21092.119889502799</v>
      </c>
      <c r="G14" s="6">
        <v>23693.951767955801</v>
      </c>
      <c r="H14" s="6">
        <v>-33800.178232044207</v>
      </c>
      <c r="I14" s="6">
        <v>-34369.548232044297</v>
      </c>
      <c r="J14" s="6">
        <v>2601.8318784529979</v>
      </c>
    </row>
    <row r="15" spans="1:10" x14ac:dyDescent="0.25">
      <c r="A15" s="4" t="s">
        <v>15</v>
      </c>
      <c r="B15" s="4" t="s">
        <v>75</v>
      </c>
      <c r="C15" s="4" t="s">
        <v>76</v>
      </c>
      <c r="D15" s="6">
        <v>8658.61</v>
      </c>
      <c r="E15" s="6">
        <v>9542.700000000099</v>
      </c>
      <c r="F15" s="6">
        <v>5589.0977900553007</v>
      </c>
      <c r="G15" s="6">
        <v>5007.04</v>
      </c>
      <c r="H15" s="6">
        <v>-3651.5700000000011</v>
      </c>
      <c r="I15" s="6">
        <v>-4535.660000000099</v>
      </c>
      <c r="J15" s="6">
        <v>-582.05779005530076</v>
      </c>
    </row>
    <row r="16" spans="1:10" x14ac:dyDescent="0.25">
      <c r="A16" s="4" t="s">
        <v>15</v>
      </c>
      <c r="B16" s="4" t="s">
        <v>77</v>
      </c>
      <c r="C16" s="4" t="s">
        <v>78</v>
      </c>
      <c r="D16" s="6">
        <v>54234.05</v>
      </c>
      <c r="E16" s="6">
        <v>78260.053314917095</v>
      </c>
      <c r="F16" s="6">
        <v>61725.996961325996</v>
      </c>
      <c r="G16" s="6">
        <v>61725.996961325996</v>
      </c>
      <c r="H16" s="6">
        <v>7491.9469613259926</v>
      </c>
      <c r="I16" s="6">
        <v>-16534.056353591099</v>
      </c>
      <c r="J16" s="6">
        <v>0</v>
      </c>
    </row>
    <row r="17" spans="1:10" x14ac:dyDescent="0.25">
      <c r="A17" s="4" t="s">
        <v>15</v>
      </c>
      <c r="B17" s="4" t="s">
        <v>79</v>
      </c>
      <c r="C17" s="4" t="s">
        <v>80</v>
      </c>
      <c r="D17" s="6">
        <v>4892.3999999999996</v>
      </c>
      <c r="E17" s="6">
        <v>0</v>
      </c>
      <c r="F17" s="6">
        <v>2285.8074585634999</v>
      </c>
      <c r="G17" s="6">
        <v>0</v>
      </c>
      <c r="H17" s="6">
        <v>-4892.3999999999996</v>
      </c>
      <c r="I17" s="6">
        <v>0</v>
      </c>
      <c r="J17" s="6">
        <v>-2285.8074585634999</v>
      </c>
    </row>
    <row r="18" spans="1:10" x14ac:dyDescent="0.25">
      <c r="A18" s="4" t="s">
        <v>15</v>
      </c>
      <c r="B18" s="4" t="s">
        <v>81</v>
      </c>
      <c r="C18" s="4" t="s">
        <v>82</v>
      </c>
      <c r="D18" s="6">
        <v>4626.1500000000005</v>
      </c>
      <c r="E18" s="6">
        <v>5760</v>
      </c>
      <c r="F18" s="6">
        <v>4761.9997237568996</v>
      </c>
      <c r="G18" s="6">
        <v>7431.9345303867003</v>
      </c>
      <c r="H18" s="6">
        <v>2805.7845303867002</v>
      </c>
      <c r="I18" s="6">
        <v>1671.9345303867001</v>
      </c>
      <c r="J18" s="6">
        <v>2669.9348066297998</v>
      </c>
    </row>
    <row r="19" spans="1:10" x14ac:dyDescent="0.25">
      <c r="A19" s="4" t="s">
        <v>15</v>
      </c>
      <c r="B19" s="4" t="s">
        <v>83</v>
      </c>
      <c r="C19" s="4" t="s">
        <v>84</v>
      </c>
      <c r="D19" s="6">
        <v>40502.86</v>
      </c>
      <c r="E19" s="6">
        <v>32619.999999998399</v>
      </c>
      <c r="F19" s="6">
        <v>61625.732872928413</v>
      </c>
      <c r="G19" s="6">
        <v>53292.544696132602</v>
      </c>
      <c r="H19" s="6">
        <v>12789.684696132599</v>
      </c>
      <c r="I19" s="6">
        <v>20672.544696134199</v>
      </c>
      <c r="J19" s="6">
        <v>-8333.1881767958039</v>
      </c>
    </row>
    <row r="20" spans="1:10" x14ac:dyDescent="0.25">
      <c r="A20" s="4" t="s">
        <v>15</v>
      </c>
      <c r="B20" s="4" t="s">
        <v>85</v>
      </c>
      <c r="C20" s="4" t="s">
        <v>86</v>
      </c>
      <c r="D20" s="6">
        <v>16523.060000000001</v>
      </c>
      <c r="E20" s="6">
        <v>20192.0000000004</v>
      </c>
      <c r="F20" s="6">
        <v>23797.7</v>
      </c>
      <c r="G20" s="6">
        <v>8240.6</v>
      </c>
      <c r="H20" s="6">
        <v>-8282.4600000000009</v>
      </c>
      <c r="I20" s="6">
        <v>-11951.4000000004</v>
      </c>
      <c r="J20" s="6">
        <v>-15557.1</v>
      </c>
    </row>
    <row r="21" spans="1:10" x14ac:dyDescent="0.25">
      <c r="A21" s="4" t="s">
        <v>15</v>
      </c>
      <c r="B21" s="4" t="s">
        <v>87</v>
      </c>
      <c r="C21" s="4" t="s">
        <v>88</v>
      </c>
      <c r="D21" s="6">
        <v>8458.32</v>
      </c>
      <c r="E21" s="6">
        <v>2365.5552639192001</v>
      </c>
      <c r="F21" s="6">
        <v>6319.6</v>
      </c>
      <c r="G21" s="6">
        <v>3622.76</v>
      </c>
      <c r="H21" s="6">
        <v>-4835.5599999999986</v>
      </c>
      <c r="I21" s="6">
        <v>1257.2047360808001</v>
      </c>
      <c r="J21" s="6">
        <v>-2696.84</v>
      </c>
    </row>
    <row r="22" spans="1:10" x14ac:dyDescent="0.25">
      <c r="A22" s="4" t="s">
        <v>15</v>
      </c>
      <c r="B22" s="4" t="s">
        <v>89</v>
      </c>
      <c r="C22" s="4" t="s">
        <v>90</v>
      </c>
      <c r="D22" s="6">
        <v>9861.82</v>
      </c>
      <c r="E22" s="6">
        <v>17550.9999999996</v>
      </c>
      <c r="F22" s="6">
        <v>35111.699999999997</v>
      </c>
      <c r="G22" s="6">
        <v>18703.060000000001</v>
      </c>
      <c r="H22" s="6">
        <v>8841.239999999998</v>
      </c>
      <c r="I22" s="6">
        <v>1152.0600000003981</v>
      </c>
      <c r="J22" s="6">
        <v>-16408.64</v>
      </c>
    </row>
    <row r="23" spans="1:10" x14ac:dyDescent="0.25">
      <c r="A23" s="4" t="s">
        <v>15</v>
      </c>
      <c r="B23" s="4" t="s">
        <v>91</v>
      </c>
      <c r="C23" s="4" t="s">
        <v>92</v>
      </c>
      <c r="D23" s="6">
        <v>13067</v>
      </c>
      <c r="E23" s="6">
        <v>0</v>
      </c>
      <c r="F23" s="6">
        <v>560</v>
      </c>
      <c r="G23" s="6">
        <v>0</v>
      </c>
      <c r="H23" s="6">
        <v>-13067</v>
      </c>
      <c r="I23" s="6">
        <v>0</v>
      </c>
      <c r="J23" s="6">
        <v>-560</v>
      </c>
    </row>
    <row r="24" spans="1:10" x14ac:dyDescent="0.25">
      <c r="A24" s="4" t="s">
        <v>15</v>
      </c>
      <c r="B24" s="4" t="s">
        <v>93</v>
      </c>
      <c r="C24" s="4" t="s">
        <v>94</v>
      </c>
      <c r="D24" s="6">
        <v>5489.92</v>
      </c>
      <c r="E24" s="6">
        <v>7997.0000000004002</v>
      </c>
      <c r="F24" s="6">
        <v>9330.16</v>
      </c>
      <c r="G24" s="6">
        <v>9330</v>
      </c>
      <c r="H24" s="6">
        <v>3840.08</v>
      </c>
      <c r="I24" s="6">
        <v>1332.9999999996</v>
      </c>
      <c r="J24" s="6">
        <v>-0.15999999999985451</v>
      </c>
    </row>
    <row r="25" spans="1:10" x14ac:dyDescent="0.25">
      <c r="A25" s="4" t="s">
        <v>15</v>
      </c>
      <c r="B25" s="4" t="s">
        <v>95</v>
      </c>
      <c r="C25" s="4" t="s">
        <v>96</v>
      </c>
      <c r="D25" s="6">
        <v>5379.95</v>
      </c>
      <c r="E25" s="6">
        <v>0</v>
      </c>
      <c r="F25" s="6">
        <v>0</v>
      </c>
      <c r="G25" s="6">
        <v>0</v>
      </c>
      <c r="H25" s="6">
        <v>-5379.95</v>
      </c>
      <c r="I25" s="6">
        <v>0</v>
      </c>
      <c r="J25" s="6">
        <v>0</v>
      </c>
    </row>
    <row r="26" spans="1:10" x14ac:dyDescent="0.25">
      <c r="A26" s="4" t="s">
        <v>15</v>
      </c>
      <c r="B26" s="4" t="s">
        <v>97</v>
      </c>
      <c r="C26" s="4" t="s">
        <v>98</v>
      </c>
      <c r="D26" s="6">
        <v>67022.899999999994</v>
      </c>
      <c r="E26" s="6">
        <v>30342</v>
      </c>
      <c r="F26" s="6">
        <v>66313.88</v>
      </c>
      <c r="G26" s="6">
        <v>37493.96</v>
      </c>
      <c r="H26" s="6">
        <v>-29528.94</v>
      </c>
      <c r="I26" s="6">
        <v>7151.9599999999991</v>
      </c>
      <c r="J26" s="6">
        <v>-28819.920000000009</v>
      </c>
    </row>
    <row r="27" spans="1:10" x14ac:dyDescent="0.25">
      <c r="A27" s="4" t="s">
        <v>15</v>
      </c>
      <c r="B27" s="4" t="s">
        <v>99</v>
      </c>
      <c r="C27" s="4" t="s">
        <v>100</v>
      </c>
      <c r="D27" s="6">
        <v>3595</v>
      </c>
      <c r="E27" s="6">
        <v>1026.9999999996</v>
      </c>
      <c r="F27" s="6">
        <v>2976</v>
      </c>
      <c r="G27" s="6">
        <v>2976</v>
      </c>
      <c r="H27" s="6">
        <v>-619</v>
      </c>
      <c r="I27" s="6">
        <v>1949.0000000004</v>
      </c>
      <c r="J27" s="6">
        <v>0</v>
      </c>
    </row>
    <row r="28" spans="1:10" x14ac:dyDescent="0.25">
      <c r="A28" s="4" t="s">
        <v>15</v>
      </c>
      <c r="B28" s="4" t="s">
        <v>101</v>
      </c>
      <c r="C28" s="4" t="s">
        <v>102</v>
      </c>
      <c r="D28" s="6">
        <v>24857.77</v>
      </c>
      <c r="E28" s="6">
        <v>23382.9999999996</v>
      </c>
      <c r="F28" s="6">
        <v>40817.78</v>
      </c>
      <c r="G28" s="6">
        <v>14453.940000000401</v>
      </c>
      <c r="H28" s="6">
        <v>-10403.8299999996</v>
      </c>
      <c r="I28" s="6">
        <v>-8929.0599999991991</v>
      </c>
      <c r="J28" s="6">
        <v>-26363.8399999996</v>
      </c>
    </row>
    <row r="29" spans="1:10" x14ac:dyDescent="0.25">
      <c r="A29" s="4" t="s">
        <v>15</v>
      </c>
      <c r="B29" s="4" t="s">
        <v>103</v>
      </c>
      <c r="C29" s="4" t="s">
        <v>104</v>
      </c>
      <c r="D29" s="6">
        <v>2670</v>
      </c>
      <c r="E29" s="6">
        <v>1580.0000000004</v>
      </c>
      <c r="F29" s="6">
        <v>2846.52</v>
      </c>
      <c r="G29" s="6">
        <v>1886.52</v>
      </c>
      <c r="H29" s="6">
        <v>-783.48</v>
      </c>
      <c r="I29" s="6">
        <v>306.51999999959997</v>
      </c>
      <c r="J29" s="6">
        <v>-960</v>
      </c>
    </row>
    <row r="30" spans="1:10" x14ac:dyDescent="0.25">
      <c r="A30" s="4" t="s">
        <v>15</v>
      </c>
      <c r="B30" s="4" t="s">
        <v>105</v>
      </c>
      <c r="C30" s="4" t="s">
        <v>106</v>
      </c>
      <c r="D30" s="6">
        <v>708.57</v>
      </c>
      <c r="E30" s="6">
        <v>1200</v>
      </c>
      <c r="F30" s="6">
        <v>0</v>
      </c>
      <c r="G30" s="6">
        <v>0</v>
      </c>
      <c r="H30" s="6">
        <v>-708.57</v>
      </c>
      <c r="I30" s="6">
        <v>-1200</v>
      </c>
      <c r="J30" s="6">
        <v>0</v>
      </c>
    </row>
    <row r="31" spans="1:10" x14ac:dyDescent="0.25">
      <c r="A31" s="4" t="s">
        <v>15</v>
      </c>
      <c r="B31" s="4" t="s">
        <v>107</v>
      </c>
      <c r="C31" s="4" t="s">
        <v>108</v>
      </c>
      <c r="D31" s="6">
        <v>10758.37</v>
      </c>
      <c r="E31" s="6">
        <v>14296.643026052399</v>
      </c>
      <c r="F31" s="6">
        <v>2750.56</v>
      </c>
      <c r="G31" s="6">
        <v>10000</v>
      </c>
      <c r="H31" s="6">
        <v>-758.3700000000008</v>
      </c>
      <c r="I31" s="6">
        <v>-4296.6430260523994</v>
      </c>
      <c r="J31" s="6">
        <v>7249.4400000000014</v>
      </c>
    </row>
    <row r="32" spans="1:10" x14ac:dyDescent="0.25">
      <c r="A32" s="4" t="s">
        <v>15</v>
      </c>
      <c r="B32" s="4" t="s">
        <v>109</v>
      </c>
      <c r="C32" s="4" t="s">
        <v>110</v>
      </c>
      <c r="D32" s="6">
        <v>144057.70000000001</v>
      </c>
      <c r="E32" s="6">
        <v>96722.000000000407</v>
      </c>
      <c r="F32" s="6">
        <v>87512</v>
      </c>
      <c r="G32" s="6">
        <v>5208.12</v>
      </c>
      <c r="H32" s="6">
        <v>-138849.57999999999</v>
      </c>
      <c r="I32" s="6">
        <v>-91513.880000000412</v>
      </c>
      <c r="J32" s="6">
        <v>-82303.88</v>
      </c>
    </row>
    <row r="33" spans="1:10" x14ac:dyDescent="0.25">
      <c r="A33" s="4" t="s">
        <v>15</v>
      </c>
      <c r="B33" s="4" t="s">
        <v>111</v>
      </c>
      <c r="C33" s="4" t="s">
        <v>112</v>
      </c>
      <c r="D33" s="6">
        <v>72528</v>
      </c>
      <c r="E33" s="6">
        <v>60480</v>
      </c>
      <c r="F33" s="6">
        <v>72576</v>
      </c>
      <c r="G33" s="6">
        <v>0</v>
      </c>
      <c r="H33" s="6">
        <v>-72528</v>
      </c>
      <c r="I33" s="6">
        <v>-60480</v>
      </c>
      <c r="J33" s="6">
        <v>-72576</v>
      </c>
    </row>
    <row r="34" spans="1:10" x14ac:dyDescent="0.25">
      <c r="A34" s="4" t="s">
        <v>15</v>
      </c>
      <c r="B34" s="4" t="s">
        <v>113</v>
      </c>
      <c r="C34" s="4" t="s">
        <v>114</v>
      </c>
      <c r="D34" s="6">
        <v>47314.01999999999</v>
      </c>
      <c r="E34" s="6">
        <v>143996.99999999959</v>
      </c>
      <c r="F34" s="6">
        <v>243954</v>
      </c>
      <c r="G34" s="6">
        <v>45157.760000000002</v>
      </c>
      <c r="H34" s="6">
        <v>-2156.259999999987</v>
      </c>
      <c r="I34" s="6">
        <v>-98839.239999999583</v>
      </c>
      <c r="J34" s="6">
        <v>-198796.24</v>
      </c>
    </row>
    <row r="35" spans="1:10" x14ac:dyDescent="0.25">
      <c r="A35" s="4" t="s">
        <v>15</v>
      </c>
      <c r="B35" s="4" t="s">
        <v>115</v>
      </c>
      <c r="C35" s="4" t="s">
        <v>116</v>
      </c>
      <c r="D35" s="6">
        <v>46784.46</v>
      </c>
      <c r="E35" s="6">
        <v>483599.99999999959</v>
      </c>
      <c r="F35" s="6">
        <v>291979.53999999998</v>
      </c>
      <c r="G35" s="6">
        <v>466295.34</v>
      </c>
      <c r="H35" s="6">
        <v>419510.87999999989</v>
      </c>
      <c r="I35" s="6">
        <v>-17304.659999999629</v>
      </c>
      <c r="J35" s="6">
        <v>174315.8</v>
      </c>
    </row>
    <row r="36" spans="1:10" x14ac:dyDescent="0.25">
      <c r="A36" s="4" t="s">
        <v>15</v>
      </c>
      <c r="B36" s="4" t="s">
        <v>117</v>
      </c>
      <c r="C36" s="4" t="s">
        <v>118</v>
      </c>
      <c r="D36" s="6">
        <v>1818.47</v>
      </c>
      <c r="E36" s="6">
        <v>0</v>
      </c>
      <c r="F36" s="6">
        <v>0</v>
      </c>
      <c r="G36" s="6">
        <v>0</v>
      </c>
      <c r="H36" s="6">
        <v>-1818.47</v>
      </c>
      <c r="I36" s="6">
        <v>0</v>
      </c>
      <c r="J36" s="6">
        <v>0</v>
      </c>
    </row>
    <row r="37" spans="1:10" x14ac:dyDescent="0.25">
      <c r="A37" s="4" t="s">
        <v>15</v>
      </c>
      <c r="B37" s="4" t="s">
        <v>119</v>
      </c>
      <c r="C37" s="4" t="s">
        <v>120</v>
      </c>
      <c r="D37" s="6">
        <v>14101.75</v>
      </c>
      <c r="E37" s="6">
        <v>389180</v>
      </c>
      <c r="F37" s="6">
        <v>409419.6</v>
      </c>
      <c r="G37" s="6">
        <v>354062</v>
      </c>
      <c r="H37" s="6">
        <v>339960.25</v>
      </c>
      <c r="I37" s="6">
        <v>-35118</v>
      </c>
      <c r="J37" s="6">
        <v>-55357.599999999977</v>
      </c>
    </row>
    <row r="38" spans="1:10" x14ac:dyDescent="0.25">
      <c r="A38" s="4" t="s">
        <v>15</v>
      </c>
      <c r="B38" s="4" t="s">
        <v>121</v>
      </c>
      <c r="C38" s="4" t="s">
        <v>122</v>
      </c>
      <c r="D38" s="6">
        <v>21864.63</v>
      </c>
      <c r="E38" s="6">
        <v>16445.0000000004</v>
      </c>
      <c r="F38" s="6">
        <v>35649.800000000003</v>
      </c>
      <c r="G38" s="6">
        <v>5036.0000000004002</v>
      </c>
      <c r="H38" s="6">
        <v>-16828.629999999601</v>
      </c>
      <c r="I38" s="6">
        <v>-11409</v>
      </c>
      <c r="J38" s="6">
        <v>-30613.799999999599</v>
      </c>
    </row>
    <row r="39" spans="1:10" x14ac:dyDescent="0.25">
      <c r="A39" s="4" t="s">
        <v>15</v>
      </c>
      <c r="B39" s="4" t="s">
        <v>123</v>
      </c>
      <c r="C39" s="4" t="s">
        <v>124</v>
      </c>
      <c r="D39" s="6">
        <v>190110</v>
      </c>
      <c r="E39" s="6">
        <v>152609.00039999999</v>
      </c>
      <c r="F39" s="6">
        <v>149860</v>
      </c>
      <c r="G39" s="6">
        <v>220900</v>
      </c>
      <c r="H39" s="6">
        <v>30790</v>
      </c>
      <c r="I39" s="6">
        <v>68290.99960000001</v>
      </c>
      <c r="J39" s="6">
        <v>71040</v>
      </c>
    </row>
    <row r="40" spans="1:10" x14ac:dyDescent="0.25">
      <c r="A40" s="4" t="s">
        <v>15</v>
      </c>
      <c r="B40" s="4" t="s">
        <v>125</v>
      </c>
      <c r="C40" s="4" t="s">
        <v>126</v>
      </c>
      <c r="D40" s="6">
        <v>100494.87</v>
      </c>
      <c r="E40" s="6">
        <v>75291.192596313602</v>
      </c>
      <c r="F40" s="6">
        <v>168044.36</v>
      </c>
      <c r="G40" s="6">
        <v>85613.349999999991</v>
      </c>
      <c r="H40" s="6">
        <v>-14881.52</v>
      </c>
      <c r="I40" s="6">
        <v>10322.157403686389</v>
      </c>
      <c r="J40" s="6">
        <v>-82431.009999999995</v>
      </c>
    </row>
    <row r="41" spans="1:10" x14ac:dyDescent="0.25">
      <c r="A41" s="4" t="s">
        <v>15</v>
      </c>
      <c r="B41" s="4" t="s">
        <v>127</v>
      </c>
      <c r="C41" s="4" t="s">
        <v>128</v>
      </c>
      <c r="D41" s="6">
        <v>10743.14</v>
      </c>
      <c r="E41" s="6">
        <v>9321.7644987996009</v>
      </c>
      <c r="F41" s="6">
        <v>40313.06</v>
      </c>
      <c r="G41" s="6">
        <v>6921.0493939152002</v>
      </c>
      <c r="H41" s="6">
        <v>-3822.0906060847992</v>
      </c>
      <c r="I41" s="6">
        <v>-2400.7151048844012</v>
      </c>
      <c r="J41" s="6">
        <v>-33392.010606084797</v>
      </c>
    </row>
    <row r="42" spans="1:10" x14ac:dyDescent="0.25">
      <c r="A42" s="4" t="s">
        <v>15</v>
      </c>
      <c r="B42" s="4" t="s">
        <v>129</v>
      </c>
      <c r="C42" s="4" t="s">
        <v>130</v>
      </c>
      <c r="D42" s="6">
        <v>190.73</v>
      </c>
      <c r="E42" s="6">
        <v>110.00000000039999</v>
      </c>
      <c r="F42" s="6">
        <v>0</v>
      </c>
      <c r="G42" s="6">
        <v>0</v>
      </c>
      <c r="H42" s="6">
        <v>-190.73</v>
      </c>
      <c r="I42" s="6">
        <v>-110.00000000039999</v>
      </c>
      <c r="J42" s="6">
        <v>0</v>
      </c>
    </row>
    <row r="43" spans="1:10" x14ac:dyDescent="0.25">
      <c r="A43" s="4" t="s">
        <v>15</v>
      </c>
      <c r="B43" s="4" t="s">
        <v>131</v>
      </c>
      <c r="C43" s="4" t="s">
        <v>132</v>
      </c>
      <c r="D43" s="6">
        <v>-10.14</v>
      </c>
      <c r="E43" s="6">
        <v>0</v>
      </c>
      <c r="F43" s="6">
        <v>0</v>
      </c>
      <c r="G43" s="6">
        <v>0</v>
      </c>
      <c r="H43" s="6">
        <v>10.14</v>
      </c>
      <c r="I43" s="6">
        <v>0</v>
      </c>
      <c r="J43" s="6">
        <v>0</v>
      </c>
    </row>
    <row r="44" spans="1:10" x14ac:dyDescent="0.25">
      <c r="A44" s="4" t="s">
        <v>15</v>
      </c>
      <c r="B44" s="4" t="s">
        <v>133</v>
      </c>
      <c r="C44" s="4" t="s">
        <v>134</v>
      </c>
      <c r="D44" s="6">
        <v>42838.97</v>
      </c>
      <c r="E44" s="6">
        <v>31134.693425988</v>
      </c>
      <c r="F44" s="6">
        <v>91994.040000000008</v>
      </c>
      <c r="G44" s="6">
        <v>43118.97</v>
      </c>
      <c r="H44" s="6">
        <v>280</v>
      </c>
      <c r="I44" s="6">
        <v>11984.276574011999</v>
      </c>
      <c r="J44" s="6">
        <v>-48875.070000000007</v>
      </c>
    </row>
    <row r="45" spans="1:10" x14ac:dyDescent="0.25">
      <c r="A45" s="4" t="s">
        <v>15</v>
      </c>
      <c r="B45" s="4" t="s">
        <v>135</v>
      </c>
      <c r="C45" s="4" t="s">
        <v>136</v>
      </c>
      <c r="D45" s="6">
        <v>362</v>
      </c>
      <c r="E45" s="6">
        <v>0</v>
      </c>
      <c r="F45" s="6">
        <v>0</v>
      </c>
      <c r="G45" s="6">
        <v>0</v>
      </c>
      <c r="H45" s="6">
        <v>-362</v>
      </c>
      <c r="I45" s="6">
        <v>0</v>
      </c>
      <c r="J45" s="6">
        <v>0</v>
      </c>
    </row>
    <row r="46" spans="1:10" x14ac:dyDescent="0.25">
      <c r="A46" s="4" t="s">
        <v>15</v>
      </c>
      <c r="B46" s="4" t="s">
        <v>137</v>
      </c>
      <c r="C46" s="4" t="s">
        <v>138</v>
      </c>
      <c r="D46" s="6">
        <v>3717937.22</v>
      </c>
      <c r="E46" s="6">
        <v>3672401</v>
      </c>
      <c r="F46" s="6">
        <v>3812572.5</v>
      </c>
      <c r="G46" s="6">
        <v>2505460</v>
      </c>
      <c r="H46" s="6">
        <v>-1212477.22</v>
      </c>
      <c r="I46" s="6">
        <v>-1166941</v>
      </c>
      <c r="J46" s="6">
        <v>-1307112.5</v>
      </c>
    </row>
    <row r="47" spans="1:10" x14ac:dyDescent="0.25">
      <c r="A47" s="4" t="s">
        <v>15</v>
      </c>
      <c r="B47" s="4" t="s">
        <v>139</v>
      </c>
      <c r="C47" s="4" t="s">
        <v>140</v>
      </c>
      <c r="D47" s="6">
        <v>4837.7299999999996</v>
      </c>
      <c r="E47" s="6">
        <v>19388.0000000004</v>
      </c>
      <c r="F47" s="6">
        <v>6114.4</v>
      </c>
      <c r="G47" s="6">
        <v>864</v>
      </c>
      <c r="H47" s="6">
        <v>-3973.73</v>
      </c>
      <c r="I47" s="6">
        <v>-18524.0000000004</v>
      </c>
      <c r="J47" s="6">
        <v>-5250.4</v>
      </c>
    </row>
    <row r="48" spans="1:10" x14ac:dyDescent="0.25">
      <c r="A48" s="4" t="s">
        <v>15</v>
      </c>
      <c r="B48" s="4" t="s">
        <v>141</v>
      </c>
      <c r="C48" s="4" t="s">
        <v>142</v>
      </c>
      <c r="D48" s="6">
        <v>54782.79</v>
      </c>
      <c r="E48" s="6">
        <v>50559.040000002002</v>
      </c>
      <c r="F48" s="6">
        <v>58724.06</v>
      </c>
      <c r="G48" s="6">
        <v>47049.54</v>
      </c>
      <c r="H48" s="6">
        <v>-7733.25</v>
      </c>
      <c r="I48" s="6">
        <v>-3509.5000000020009</v>
      </c>
      <c r="J48" s="6">
        <v>-11674.52</v>
      </c>
    </row>
    <row r="49" spans="1:10" x14ac:dyDescent="0.25">
      <c r="A49" s="4" t="s">
        <v>15</v>
      </c>
      <c r="B49" s="4" t="s">
        <v>143</v>
      </c>
      <c r="C49" s="4" t="s">
        <v>144</v>
      </c>
      <c r="D49" s="6">
        <v>2597097.7200000002</v>
      </c>
      <c r="E49" s="6">
        <v>2597754</v>
      </c>
      <c r="F49" s="6">
        <v>2588509.3199999998</v>
      </c>
      <c r="G49" s="6">
        <v>2579337.3199999998</v>
      </c>
      <c r="H49" s="6">
        <v>-17760.400000000369</v>
      </c>
      <c r="I49" s="6">
        <v>-18416.68000000063</v>
      </c>
      <c r="J49" s="6">
        <v>-9172</v>
      </c>
    </row>
    <row r="50" spans="1:10" x14ac:dyDescent="0.25">
      <c r="A50" s="4" t="s">
        <v>15</v>
      </c>
      <c r="B50" s="4" t="s">
        <v>145</v>
      </c>
      <c r="C50" s="4" t="s">
        <v>146</v>
      </c>
      <c r="D50" s="6">
        <v>180635.28</v>
      </c>
      <c r="E50" s="6">
        <v>179250</v>
      </c>
      <c r="F50" s="6">
        <v>182620.4</v>
      </c>
      <c r="G50" s="6">
        <v>180850</v>
      </c>
      <c r="H50" s="6">
        <v>214.71999999997209</v>
      </c>
      <c r="I50" s="6">
        <v>1600</v>
      </c>
      <c r="J50" s="6">
        <v>-1770.399999999994</v>
      </c>
    </row>
    <row r="51" spans="1:10" x14ac:dyDescent="0.25">
      <c r="A51" s="4" t="s">
        <v>15</v>
      </c>
      <c r="B51" s="4" t="s">
        <v>147</v>
      </c>
      <c r="C51" s="4" t="s">
        <v>148</v>
      </c>
      <c r="D51" s="6">
        <v>0</v>
      </c>
      <c r="E51" s="6">
        <v>0</v>
      </c>
      <c r="F51" s="6">
        <v>1260</v>
      </c>
      <c r="G51" s="6">
        <v>1800</v>
      </c>
      <c r="H51" s="6">
        <v>1800</v>
      </c>
      <c r="I51" s="6">
        <v>1800</v>
      </c>
      <c r="J51" s="6">
        <v>540</v>
      </c>
    </row>
    <row r="52" spans="1:10" x14ac:dyDescent="0.25">
      <c r="A52" s="4" t="s">
        <v>15</v>
      </c>
      <c r="B52" s="4" t="s">
        <v>149</v>
      </c>
      <c r="C52" s="4" t="s">
        <v>150</v>
      </c>
      <c r="D52" s="6">
        <v>0</v>
      </c>
      <c r="E52" s="6">
        <v>0</v>
      </c>
      <c r="F52" s="6">
        <v>2108.96</v>
      </c>
      <c r="G52" s="6">
        <v>0</v>
      </c>
      <c r="H52" s="6">
        <v>0</v>
      </c>
      <c r="I52" s="6">
        <v>0</v>
      </c>
      <c r="J52" s="6">
        <v>-2108.96</v>
      </c>
    </row>
    <row r="53" spans="1:10" x14ac:dyDescent="0.25">
      <c r="A53" s="4" t="s">
        <v>15</v>
      </c>
      <c r="B53" s="4" t="s">
        <v>151</v>
      </c>
      <c r="C53" s="4" t="s">
        <v>152</v>
      </c>
      <c r="D53" s="6">
        <v>216866.7</v>
      </c>
      <c r="E53" s="6">
        <v>221184</v>
      </c>
      <c r="F53" s="6">
        <v>215499.24</v>
      </c>
      <c r="G53" s="6">
        <v>215499.24</v>
      </c>
      <c r="H53" s="6">
        <v>-1367.460000000021</v>
      </c>
      <c r="I53" s="6">
        <v>-5684.7600000000093</v>
      </c>
      <c r="J53" s="6">
        <v>0</v>
      </c>
    </row>
    <row r="54" spans="1:10" x14ac:dyDescent="0.25">
      <c r="A54" s="4" t="s">
        <v>15</v>
      </c>
      <c r="B54" s="4" t="s">
        <v>153</v>
      </c>
      <c r="C54" s="4" t="s">
        <v>154</v>
      </c>
      <c r="D54" s="6">
        <v>250</v>
      </c>
      <c r="E54" s="6">
        <v>0</v>
      </c>
      <c r="F54" s="6">
        <v>0</v>
      </c>
      <c r="G54" s="6">
        <v>0</v>
      </c>
      <c r="H54" s="6">
        <v>-250</v>
      </c>
      <c r="I54" s="6">
        <v>0</v>
      </c>
      <c r="J54" s="6">
        <v>0</v>
      </c>
    </row>
    <row r="55" spans="1:10" x14ac:dyDescent="0.25">
      <c r="A55" s="7" t="s">
        <v>53</v>
      </c>
      <c r="B55" s="7"/>
      <c r="C55" s="7"/>
      <c r="D55" s="8">
        <f t="shared" ref="D55:J55" si="0">SUM(D6:D54)</f>
        <v>8112938.4600000009</v>
      </c>
      <c r="E55" s="8">
        <f t="shared" si="0"/>
        <v>8788870.8179353736</v>
      </c>
      <c r="F55" s="8">
        <f t="shared" si="0"/>
        <v>9148638.8962679878</v>
      </c>
      <c r="G55" s="8">
        <f t="shared" si="0"/>
        <v>7272649.8553225175</v>
      </c>
      <c r="H55" s="8">
        <f t="shared" si="0"/>
        <v>-840288.60467748297</v>
      </c>
      <c r="I55" s="8">
        <f t="shared" si="0"/>
        <v>-1516220.9626128562</v>
      </c>
      <c r="J55" s="8">
        <f t="shared" si="0"/>
        <v>-1875989.0409454687</v>
      </c>
    </row>
  </sheetData>
  <autoFilter ref="A5:J54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Dept Summary</vt:lpstr>
      <vt:lpstr>Acct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Bixby, Kate</cp:lastModifiedBy>
  <dcterms:created xsi:type="dcterms:W3CDTF">2026-08-26T21:50:10Z</dcterms:created>
  <dcterms:modified xsi:type="dcterms:W3CDTF">2026-08-26T21:50:51Z</dcterms:modified>
</cp:coreProperties>
</file>