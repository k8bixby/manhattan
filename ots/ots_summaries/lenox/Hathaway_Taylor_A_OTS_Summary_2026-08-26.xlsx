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Summary'!$A$5:$K$35</definedName>
    <definedName name="_xlnm._FilterDatabase" localSheetId="1" hidden="1">'Acct Summary'!$A$5:$J$86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47" customWidth="1" min="4" max="4"/>
    <col width="22" customWidth="1" min="5" max="5"/>
    <col width="22" customWidth="1" min="6" max="6"/>
    <col width="22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LENOX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Hathaway, Taylor A</t>
        </is>
      </c>
      <c r="B6" s="4" t="inlineStr">
        <is>
          <t>Alexatos, Jennifer</t>
        </is>
      </c>
      <c r="C6" s="5" t="n">
        <v>15638000</v>
      </c>
      <c r="D6" s="4" t="inlineStr">
        <is>
          <t>LENOX_15638000 - Orthopedics</t>
        </is>
      </c>
      <c r="E6" s="6" t="n">
        <v>293582.88</v>
      </c>
      <c r="F6" s="6" t="n">
        <v>344000.8789821593</v>
      </c>
      <c r="G6" s="6" t="n">
        <v>363478.3315093194</v>
      </c>
      <c r="H6" s="6" t="n">
        <v>294202.420840872</v>
      </c>
      <c r="I6" s="6" t="n">
        <v>619.5408408719813</v>
      </c>
      <c r="J6" s="6" t="n">
        <v>-49798.45814128732</v>
      </c>
      <c r="K6" s="6" t="n">
        <v>-69275.91066844744</v>
      </c>
    </row>
    <row r="7">
      <c r="A7" s="4" t="inlineStr">
        <is>
          <t>Hathaway, Taylor A</t>
        </is>
      </c>
      <c r="B7" s="4" t="inlineStr">
        <is>
          <t>Buslovich, Yuliya</t>
        </is>
      </c>
      <c r="C7" s="5" t="n">
        <v>15624020</v>
      </c>
      <c r="D7" s="4" t="inlineStr">
        <is>
          <t>LENOX_15624020 - Neurosurgery - EEG</t>
        </is>
      </c>
      <c r="E7" s="6" t="n">
        <v>3443.72</v>
      </c>
      <c r="F7" s="6" t="n">
        <v>3435.9999999996</v>
      </c>
      <c r="G7" s="6" t="n">
        <v>3454</v>
      </c>
      <c r="H7" s="6" t="n">
        <v>3454</v>
      </c>
      <c r="I7" s="6" t="n">
        <v>10.2800000000002</v>
      </c>
      <c r="J7" s="6" t="n">
        <v>18.00000000040018</v>
      </c>
      <c r="K7" s="6" t="n">
        <v>0</v>
      </c>
    </row>
    <row r="8">
      <c r="A8" s="4" t="inlineStr">
        <is>
          <t>Hathaway, Taylor A</t>
        </is>
      </c>
      <c r="B8" s="4" t="inlineStr">
        <is>
          <t>Buslovich, Yuliya</t>
        </is>
      </c>
      <c r="C8" s="5" t="n">
        <v>15625000</v>
      </c>
      <c r="D8" s="4" t="inlineStr">
        <is>
          <t>LENOX_15625000 - Neurosurgery</t>
        </is>
      </c>
      <c r="E8" s="6" t="n">
        <v>3457047.66</v>
      </c>
      <c r="F8" s="6" t="n">
        <v>3607951.878610446</v>
      </c>
      <c r="G8" s="6" t="n">
        <v>4128041.478346789</v>
      </c>
      <c r="H8" s="6" t="n">
        <v>4158775.798346789</v>
      </c>
      <c r="I8" s="6" t="n">
        <v>701728.1383467889</v>
      </c>
      <c r="J8" s="6" t="n">
        <v>550823.919736343</v>
      </c>
      <c r="K8" s="6" t="n">
        <v>30734.31999999983</v>
      </c>
    </row>
    <row r="9">
      <c r="A9" s="4" t="inlineStr">
        <is>
          <t>Hathaway, Taylor A</t>
        </is>
      </c>
      <c r="B9" s="4" t="inlineStr">
        <is>
          <t>Figueroa, David</t>
        </is>
      </c>
      <c r="C9" s="5" t="n">
        <v>15624000</v>
      </c>
      <c r="D9" s="4" t="inlineStr">
        <is>
          <t>LENOX_15624000 - Neurology</t>
        </is>
      </c>
      <c r="E9" s="6" t="n">
        <v>183867.74</v>
      </c>
      <c r="F9" s="6" t="n">
        <v>132765.3302491462</v>
      </c>
      <c r="G9" s="6" t="n">
        <v>187370.8682563292</v>
      </c>
      <c r="H9" s="6" t="n">
        <v>178343.4469376483</v>
      </c>
      <c r="I9" s="6" t="n">
        <v>-5524.293062351673</v>
      </c>
      <c r="J9" s="6" t="n">
        <v>45578.11668850211</v>
      </c>
      <c r="K9" s="6" t="n">
        <v>-9027.421318680892</v>
      </c>
    </row>
    <row r="10">
      <c r="A10" s="4" t="inlineStr">
        <is>
          <t>Hathaway, Taylor A</t>
        </is>
      </c>
      <c r="B10" s="4" t="inlineStr">
        <is>
          <t>Fontes, Tanya M</t>
        </is>
      </c>
      <c r="C10" s="5" t="n">
        <v>15657000</v>
      </c>
      <c r="D10" s="4" t="inlineStr">
        <is>
          <t>LENOX_15657000 - Anesthesia</t>
        </is>
      </c>
      <c r="E10" s="6" t="n">
        <v>2703937.72</v>
      </c>
      <c r="F10" s="6" t="n">
        <v>2774271.7746633</v>
      </c>
      <c r="G10" s="6" t="n">
        <v>2821369.92719325</v>
      </c>
      <c r="H10" s="6" t="n">
        <v>3045291.675892449</v>
      </c>
      <c r="I10" s="6" t="n">
        <v>341353.9558924483</v>
      </c>
      <c r="J10" s="6" t="n">
        <v>271019.9012291487</v>
      </c>
      <c r="K10" s="6" t="n">
        <v>223921.7486991989</v>
      </c>
    </row>
    <row r="11">
      <c r="A11" s="4" t="inlineStr">
        <is>
          <t>Hathaway, Taylor A</t>
        </is>
      </c>
      <c r="B11" s="4" t="inlineStr">
        <is>
          <t>Friedman, Hannah S</t>
        </is>
      </c>
      <c r="C11" s="5" t="n">
        <v>15632010</v>
      </c>
      <c r="D11" s="4" t="inlineStr">
        <is>
          <t>LENOX_15632010 - Pediatrics</t>
        </is>
      </c>
      <c r="E11" s="6" t="n">
        <v>326785.28</v>
      </c>
      <c r="F11" s="6" t="n">
        <v>338368.5576265674</v>
      </c>
      <c r="G11" s="6" t="n">
        <v>305356.4702762431</v>
      </c>
      <c r="H11" s="6" t="n">
        <v>310824.7963535912</v>
      </c>
      <c r="I11" s="6" t="n">
        <v>-15960.48364640883</v>
      </c>
      <c r="J11" s="6" t="n">
        <v>-27543.76127297617</v>
      </c>
      <c r="K11" s="6" t="n">
        <v>5468.326077348087</v>
      </c>
    </row>
    <row r="12">
      <c r="A12" s="4" t="inlineStr">
        <is>
          <t>Hathaway, Taylor A</t>
        </is>
      </c>
      <c r="B12" s="4" t="inlineStr">
        <is>
          <t>Friedman, Hannah S</t>
        </is>
      </c>
      <c r="C12" s="5" t="n">
        <v>15633015</v>
      </c>
      <c r="D12" s="4" t="inlineStr">
        <is>
          <t>LENOX_15633015 - OBS-GYN Physicians</t>
        </is>
      </c>
      <c r="E12" s="6" t="n">
        <v>1973248.39</v>
      </c>
      <c r="F12" s="6" t="n">
        <v>2698621.557233971</v>
      </c>
      <c r="G12" s="6" t="n">
        <v>2369910.123149171</v>
      </c>
      <c r="H12" s="6" t="n">
        <v>2428516.343149171</v>
      </c>
      <c r="I12" s="6" t="n">
        <v>455267.9531491711</v>
      </c>
      <c r="J12" s="6" t="n">
        <v>-270105.2140847999</v>
      </c>
      <c r="K12" s="6" t="n">
        <v>58606.21999999974</v>
      </c>
    </row>
    <row r="13">
      <c r="A13" s="4" t="inlineStr">
        <is>
          <t>Hathaway, Taylor A</t>
        </is>
      </c>
      <c r="B13" s="4" t="inlineStr">
        <is>
          <t>Gill, Harry S</t>
        </is>
      </c>
      <c r="C13" s="5" t="n">
        <v>15623000</v>
      </c>
      <c r="D13" s="4" t="inlineStr">
        <is>
          <t>LENOX_15623000 - Pulmonary Function Lab</t>
        </is>
      </c>
      <c r="E13" s="6" t="n">
        <v>18154.29</v>
      </c>
      <c r="F13" s="6" t="n">
        <v>21319.9917901056</v>
      </c>
      <c r="G13" s="6" t="n">
        <v>13824.8964944447</v>
      </c>
      <c r="H13" s="6" t="n">
        <v>17731.242192945</v>
      </c>
      <c r="I13" s="6" t="n">
        <v>-423.0478070550016</v>
      </c>
      <c r="J13" s="6" t="n">
        <v>-3588.7495971606</v>
      </c>
      <c r="K13" s="6" t="n">
        <v>3906.345698500299</v>
      </c>
    </row>
    <row r="14">
      <c r="A14" s="4" t="inlineStr">
        <is>
          <t>Hathaway, Taylor A</t>
        </is>
      </c>
      <c r="B14" s="4" t="inlineStr">
        <is>
          <t>Gill, Harry S</t>
        </is>
      </c>
      <c r="C14" s="5" t="n">
        <v>15656110</v>
      </c>
      <c r="D14" s="4" t="inlineStr">
        <is>
          <t>LENOX_15656110 - CT - Respiratory Therapy</t>
        </is>
      </c>
      <c r="E14" s="6" t="n">
        <v>1277588.68</v>
      </c>
      <c r="F14" s="6" t="n">
        <v>1305880.477217138</v>
      </c>
      <c r="G14" s="6" t="n">
        <v>1248529.333918402</v>
      </c>
      <c r="H14" s="6" t="n">
        <v>1262032.745813854</v>
      </c>
      <c r="I14" s="6" t="n">
        <v>-15555.9341861459</v>
      </c>
      <c r="J14" s="6" t="n">
        <v>-43847.73140328424</v>
      </c>
      <c r="K14" s="6" t="n">
        <v>13503.41189545253</v>
      </c>
    </row>
    <row r="15">
      <c r="A15" s="4" t="inlineStr">
        <is>
          <t>Hathaway, Taylor A</t>
        </is>
      </c>
      <c r="B15" s="4" t="inlineStr">
        <is>
          <t>Holuka, Gregory</t>
        </is>
      </c>
      <c r="C15" s="5" t="n">
        <v>15656060</v>
      </c>
      <c r="D15" s="4" t="inlineStr">
        <is>
          <t>LENOX_15656060 - CT - Sports Medicine OP</t>
        </is>
      </c>
      <c r="E15" s="6" t="n">
        <v>7291.39</v>
      </c>
      <c r="F15" s="6" t="n">
        <v>6448.094383780801</v>
      </c>
      <c r="G15" s="6" t="n">
        <v>17651.5141436465</v>
      </c>
      <c r="H15" s="6" t="n">
        <v>0</v>
      </c>
      <c r="I15" s="6" t="n">
        <v>-7291.39</v>
      </c>
      <c r="J15" s="6" t="n">
        <v>-6448.094383780801</v>
      </c>
      <c r="K15" s="6" t="n">
        <v>-17651.5141436465</v>
      </c>
    </row>
    <row r="16">
      <c r="A16" s="4" t="inlineStr">
        <is>
          <t>Hathaway, Taylor A</t>
        </is>
      </c>
      <c r="B16" s="4" t="inlineStr">
        <is>
          <t>Kaplan, Maya</t>
        </is>
      </c>
      <c r="C16" s="5" t="n">
        <v>15622000</v>
      </c>
      <c r="D16" s="4" t="inlineStr">
        <is>
          <t>LENOX_15622000 - Urology</t>
        </is>
      </c>
      <c r="E16" s="6" t="n">
        <v>20278.92</v>
      </c>
      <c r="F16" s="6" t="n">
        <v>28148.7328555361</v>
      </c>
      <c r="G16" s="6" t="n">
        <v>19002.2494141217</v>
      </c>
      <c r="H16" s="6" t="n">
        <v>12529.7162983424</v>
      </c>
      <c r="I16" s="6" t="n">
        <v>-7749.2037016576</v>
      </c>
      <c r="J16" s="6" t="n">
        <v>-15619.0165571937</v>
      </c>
      <c r="K16" s="6" t="n">
        <v>-6472.533115779301</v>
      </c>
    </row>
    <row r="17">
      <c r="A17" s="4" t="inlineStr">
        <is>
          <t>Hathaway, Taylor A</t>
        </is>
      </c>
      <c r="B17" s="4" t="inlineStr">
        <is>
          <t>Merrick, Sinead</t>
        </is>
      </c>
      <c r="C17" s="5" t="n">
        <v>15652040</v>
      </c>
      <c r="D17" s="4" t="inlineStr">
        <is>
          <t>LENOX_15652040 - Cardio Administration</t>
        </is>
      </c>
      <c r="E17" s="6" t="n">
        <v>197085.69</v>
      </c>
      <c r="F17" s="6" t="n">
        <v>272502.2709030106</v>
      </c>
      <c r="G17" s="6" t="n">
        <v>236635.9221886954</v>
      </c>
      <c r="H17" s="6" t="n">
        <v>267639.0159502329</v>
      </c>
      <c r="I17" s="6" t="n">
        <v>70553.32595023292</v>
      </c>
      <c r="J17" s="6" t="n">
        <v>-4863.254952777701</v>
      </c>
      <c r="K17" s="6" t="n">
        <v>31003.09376153752</v>
      </c>
    </row>
    <row r="18">
      <c r="A18" s="4" t="inlineStr">
        <is>
          <t>Hathaway, Taylor A</t>
        </is>
      </c>
      <c r="B18" s="4" t="inlineStr">
        <is>
          <t>Merrick, Sinead</t>
        </is>
      </c>
      <c r="C18" s="5" t="n">
        <v>15652055</v>
      </c>
      <c r="D18" s="4" t="inlineStr">
        <is>
          <t>LENOX_15652055 - Surgery - Cardiac</t>
        </is>
      </c>
      <c r="E18" s="6" t="n">
        <v>1094989.05</v>
      </c>
      <c r="F18" s="6" t="n">
        <v>1233125.951787057</v>
      </c>
      <c r="G18" s="6" t="n">
        <v>1275462.464916519</v>
      </c>
      <c r="H18" s="6" t="n">
        <v>1275399.129861575</v>
      </c>
      <c r="I18" s="6" t="n">
        <v>180410.0798615746</v>
      </c>
      <c r="J18" s="6" t="n">
        <v>42273.17807451775</v>
      </c>
      <c r="K18" s="6" t="n">
        <v>-63.33505494450219</v>
      </c>
    </row>
    <row r="19">
      <c r="A19" s="4" t="inlineStr">
        <is>
          <t>Hathaway, Taylor A</t>
        </is>
      </c>
      <c r="B19" s="4" t="inlineStr">
        <is>
          <t>Mohabir, Amanda</t>
        </is>
      </c>
      <c r="C19" s="5" t="n">
        <v>15653005</v>
      </c>
      <c r="D19" s="4" t="inlineStr">
        <is>
          <t>LENOX_15653005 - Radiation Oncology</t>
        </is>
      </c>
      <c r="E19" s="6" t="n">
        <v>1480584.61</v>
      </c>
      <c r="F19" s="6" t="n">
        <v>1606440.238334675</v>
      </c>
      <c r="G19" s="6" t="n">
        <v>1637025.960378848</v>
      </c>
      <c r="H19" s="6" t="n">
        <v>1631030.967915161</v>
      </c>
      <c r="I19" s="6" t="n">
        <v>150446.3579151609</v>
      </c>
      <c r="J19" s="6" t="n">
        <v>24590.72958048573</v>
      </c>
      <c r="K19" s="6" t="n">
        <v>-5994.992463686736</v>
      </c>
    </row>
    <row r="20">
      <c r="A20" s="4" t="inlineStr">
        <is>
          <t>Hathaway, Taylor A</t>
        </is>
      </c>
      <c r="B20" s="4" t="inlineStr">
        <is>
          <t>Parziale, Teresa</t>
        </is>
      </c>
      <c r="C20" s="5" t="n">
        <v>15620070</v>
      </c>
      <c r="D20" s="4" t="inlineStr">
        <is>
          <t>LENOX_15620070 - Patient Transport Services</t>
        </is>
      </c>
      <c r="E20" s="6" t="n">
        <v>18549.29</v>
      </c>
      <c r="F20" s="6" t="n">
        <v>73747.58248347419</v>
      </c>
      <c r="G20" s="6" t="n">
        <v>63470.835415579</v>
      </c>
      <c r="H20" s="6" t="n">
        <v>67907</v>
      </c>
      <c r="I20" s="6" t="n">
        <v>49357.71</v>
      </c>
      <c r="J20" s="6" t="n">
        <v>-5840.582483474194</v>
      </c>
      <c r="K20" s="6" t="n">
        <v>4436.164584421</v>
      </c>
    </row>
    <row r="21">
      <c r="A21" s="4" t="inlineStr">
        <is>
          <t>Hathaway, Taylor A</t>
        </is>
      </c>
      <c r="B21" s="4" t="inlineStr">
        <is>
          <t>Parziale, Teresa</t>
        </is>
      </c>
      <c r="C21" s="5" t="n">
        <v>15656050</v>
      </c>
      <c r="D21" s="4" t="inlineStr">
        <is>
          <t>LENOX_15656050 - CT - Physical Therapy IP</t>
        </is>
      </c>
      <c r="E21" s="6" t="n">
        <v>32153.78</v>
      </c>
      <c r="F21" s="6" t="n">
        <v>36593.5922945802</v>
      </c>
      <c r="G21" s="6" t="n">
        <v>19093.0594001578</v>
      </c>
      <c r="H21" s="6" t="n">
        <v>37549</v>
      </c>
      <c r="I21" s="6" t="n">
        <v>5395.220000000001</v>
      </c>
      <c r="J21" s="6" t="n">
        <v>955.4077054197987</v>
      </c>
      <c r="K21" s="6" t="n">
        <v>18455.9405998422</v>
      </c>
    </row>
    <row r="22">
      <c r="A22" s="4" t="inlineStr">
        <is>
          <t>Hathaway, Taylor A</t>
        </is>
      </c>
      <c r="B22" s="4" t="inlineStr">
        <is>
          <t>Ravishankar, Krithika</t>
        </is>
      </c>
      <c r="C22" s="5" t="n">
        <v>15660030</v>
      </c>
      <c r="D22" s="4" t="inlineStr">
        <is>
          <t>LENOX_15660030 - ED Patient Care Svc Mgt</t>
        </is>
      </c>
      <c r="E22" s="6" t="n">
        <v>4806.34</v>
      </c>
      <c r="F22" s="6" t="n">
        <v>7192.2476736588</v>
      </c>
      <c r="G22" s="6" t="n">
        <v>8415.7709100844</v>
      </c>
      <c r="H22" s="6" t="n">
        <v>6715.8876736584</v>
      </c>
      <c r="I22" s="6" t="n">
        <v>1909.5476736584</v>
      </c>
      <c r="J22" s="6" t="n">
        <v>-476.3600000003999</v>
      </c>
      <c r="K22" s="6" t="n">
        <v>-1699.883236426001</v>
      </c>
    </row>
    <row r="23">
      <c r="A23" s="4" t="inlineStr">
        <is>
          <t>Hathaway, Taylor A</t>
        </is>
      </c>
      <c r="B23" s="4" t="inlineStr">
        <is>
          <t>Reyes, Julissa</t>
        </is>
      </c>
      <c r="C23" s="5" t="n">
        <v>15627000</v>
      </c>
      <c r="D23" s="4" t="inlineStr">
        <is>
          <t>LENOX_15627000 - Otolaryngology</t>
        </is>
      </c>
      <c r="E23" s="6" t="n">
        <v>39379.18</v>
      </c>
      <c r="F23" s="6" t="n">
        <v>369210.5950451499</v>
      </c>
      <c r="G23" s="6" t="n">
        <v>419949.9737411208</v>
      </c>
      <c r="H23" s="6" t="n">
        <v>420010.8137411208</v>
      </c>
      <c r="I23" s="6" t="n">
        <v>380631.6337411208</v>
      </c>
      <c r="J23" s="6" t="n">
        <v>50800.21869597089</v>
      </c>
      <c r="K23" s="6" t="n">
        <v>60.8399999999674</v>
      </c>
    </row>
    <row r="24">
      <c r="A24" s="4" t="inlineStr">
        <is>
          <t>Hathaway, Taylor A</t>
        </is>
      </c>
      <c r="B24" s="4" t="inlineStr">
        <is>
          <t>Ritz, Danilya</t>
        </is>
      </c>
      <c r="C24" s="5" t="n">
        <v>15613025</v>
      </c>
      <c r="D24" s="4" t="inlineStr">
        <is>
          <t>LENOX_15613025 - Sleep Center</t>
        </is>
      </c>
      <c r="E24" s="6" t="n">
        <v>298683.98</v>
      </c>
      <c r="F24" s="6" t="n">
        <v>326053.8694089056</v>
      </c>
      <c r="G24" s="6" t="n">
        <v>295047.1469947181</v>
      </c>
      <c r="H24" s="6" t="n">
        <v>315660.3341345935</v>
      </c>
      <c r="I24" s="6" t="n">
        <v>16976.35413459351</v>
      </c>
      <c r="J24" s="6" t="n">
        <v>-10393.53527431213</v>
      </c>
      <c r="K24" s="6" t="n">
        <v>20613.18713987537</v>
      </c>
    </row>
    <row r="25">
      <c r="A25" s="4" t="inlineStr">
        <is>
          <t>Hathaway, Taylor A</t>
        </is>
      </c>
      <c r="B25" s="4" t="inlineStr">
        <is>
          <t>Ritz, Danilya</t>
        </is>
      </c>
      <c r="C25" s="5" t="n">
        <v>15614010</v>
      </c>
      <c r="D25" s="4" t="inlineStr">
        <is>
          <t>LENOX_15614010 - Renal Pat Care Svc Mgt</t>
        </is>
      </c>
      <c r="E25" s="6" t="n">
        <v>13295.07</v>
      </c>
      <c r="F25" s="6" t="n">
        <v>9315.3135002256</v>
      </c>
      <c r="G25" s="6" t="n">
        <v>13612.908839779</v>
      </c>
      <c r="H25" s="6" t="n">
        <v>13612.908839779</v>
      </c>
      <c r="I25" s="6" t="n">
        <v>317.8388397790004</v>
      </c>
      <c r="J25" s="6" t="n">
        <v>4297.5953395534</v>
      </c>
      <c r="K25" s="6" t="n">
        <v>0</v>
      </c>
    </row>
    <row r="26">
      <c r="A26" s="4" t="inlineStr">
        <is>
          <t>Hathaway, Taylor A</t>
        </is>
      </c>
      <c r="B26" s="4" t="inlineStr">
        <is>
          <t>Ritz, Danilya</t>
        </is>
      </c>
      <c r="C26" s="5" t="n">
        <v>15623005</v>
      </c>
      <c r="D26" s="4" t="inlineStr">
        <is>
          <t>LENOX_15623005 - Pulmonary Medicine</t>
        </is>
      </c>
      <c r="E26" s="6" t="n">
        <v>228.93</v>
      </c>
      <c r="F26" s="6" t="n">
        <v>281.0000000004</v>
      </c>
      <c r="G26" s="6" t="n">
        <v>176.8939226519</v>
      </c>
      <c r="H26" s="6" t="n">
        <v>900</v>
      </c>
      <c r="I26" s="6" t="n">
        <v>671.0699999999999</v>
      </c>
      <c r="J26" s="6" t="n">
        <v>618.9999999996</v>
      </c>
      <c r="K26" s="6" t="n">
        <v>723.1060773481</v>
      </c>
    </row>
    <row r="27">
      <c r="A27" s="4" t="inlineStr">
        <is>
          <t>Hathaway, Taylor A</t>
        </is>
      </c>
      <c r="B27" s="4" t="inlineStr">
        <is>
          <t>Ritz, Danilya</t>
        </is>
      </c>
      <c r="C27" s="5" t="n">
        <v>15627040</v>
      </c>
      <c r="D27" s="4" t="inlineStr">
        <is>
          <t>LENOX_15627040 - Head and Neck</t>
        </is>
      </c>
      <c r="E27" s="6" t="n">
        <v>3376.9</v>
      </c>
      <c r="F27" s="6" t="n">
        <v>3420</v>
      </c>
      <c r="G27" s="6" t="n">
        <v>3000.0910989011</v>
      </c>
      <c r="H27" s="6" t="n">
        <v>2430.76</v>
      </c>
      <c r="I27" s="6" t="n">
        <v>-946.1399999999999</v>
      </c>
      <c r="J27" s="6" t="n">
        <v>-989.2399999999998</v>
      </c>
      <c r="K27" s="6" t="n">
        <v>-569.3310989010997</v>
      </c>
    </row>
    <row r="28">
      <c r="A28" s="4" t="inlineStr">
        <is>
          <t>Hathaway, Taylor A</t>
        </is>
      </c>
      <c r="B28" s="4" t="inlineStr">
        <is>
          <t>Ritz, Danilya</t>
        </is>
      </c>
      <c r="C28" s="5" t="n">
        <v>15628120</v>
      </c>
      <c r="D28" s="4" t="inlineStr">
        <is>
          <t>LENOX_15628120 - Medicine - Internal Med</t>
        </is>
      </c>
      <c r="E28" s="6" t="n">
        <v>132965.2</v>
      </c>
      <c r="F28" s="6" t="n">
        <v>114005.0672914857</v>
      </c>
      <c r="G28" s="6" t="n">
        <v>47225.8497122216</v>
      </c>
      <c r="H28" s="6" t="n">
        <v>38052.2173917796</v>
      </c>
      <c r="I28" s="6" t="n">
        <v>-94912.98260822041</v>
      </c>
      <c r="J28" s="6" t="n">
        <v>-75952.8498997061</v>
      </c>
      <c r="K28" s="6" t="n">
        <v>-9173.632320441997</v>
      </c>
    </row>
    <row r="29">
      <c r="A29" s="4" t="inlineStr">
        <is>
          <t>Hathaway, Taylor A</t>
        </is>
      </c>
      <c r="B29" s="4" t="inlineStr">
        <is>
          <t>Ritz, Danilya</t>
        </is>
      </c>
      <c r="C29" s="5" t="n">
        <v>15668000</v>
      </c>
      <c r="D29" s="4" t="inlineStr">
        <is>
          <t>LENOX_15668000 - OP Svc-Hematology Oncology</t>
        </is>
      </c>
      <c r="E29" s="6" t="n">
        <v>1628.91</v>
      </c>
      <c r="F29" s="6" t="n">
        <v>-145.3899999996</v>
      </c>
      <c r="G29" s="6" t="n">
        <v>4801.78</v>
      </c>
      <c r="H29" s="6" t="n">
        <v>3151.79</v>
      </c>
      <c r="I29" s="6" t="n">
        <v>1522.88</v>
      </c>
      <c r="J29" s="6" t="n">
        <v>3297.1799999996</v>
      </c>
      <c r="K29" s="6" t="n">
        <v>-1649.99</v>
      </c>
    </row>
    <row r="30">
      <c r="A30" s="4" t="inlineStr">
        <is>
          <t>Hathaway, Taylor A</t>
        </is>
      </c>
      <c r="B30" s="4" t="inlineStr">
        <is>
          <t>Ross, Tena</t>
        </is>
      </c>
      <c r="C30" s="5" t="n">
        <v>15621000</v>
      </c>
      <c r="D30" s="4" t="inlineStr">
        <is>
          <t>LENOX_15621000 - Psych - Dept Director</t>
        </is>
      </c>
      <c r="E30" s="6" t="n">
        <v>273992.58</v>
      </c>
      <c r="F30" s="6" t="n">
        <v>104269.6258823923</v>
      </c>
      <c r="G30" s="6" t="n">
        <v>62471.3457246069</v>
      </c>
      <c r="H30" s="6" t="n">
        <v>71634</v>
      </c>
      <c r="I30" s="6" t="n">
        <v>-202358.58</v>
      </c>
      <c r="J30" s="6" t="n">
        <v>-32635.6258823923</v>
      </c>
      <c r="K30" s="6" t="n">
        <v>9162.654275393099</v>
      </c>
    </row>
    <row r="31">
      <c r="A31" s="4" t="inlineStr">
        <is>
          <t>Hathaway, Taylor A</t>
        </is>
      </c>
      <c r="B31" s="4" t="inlineStr">
        <is>
          <t>Ross, Tena</t>
        </is>
      </c>
      <c r="C31" s="5" t="n">
        <v>15621030</v>
      </c>
      <c r="D31" s="4" t="inlineStr">
        <is>
          <t>LENOX_15621030 - Psych - IP Psych</t>
        </is>
      </c>
      <c r="E31" s="6" t="n">
        <v>31350.46</v>
      </c>
      <c r="F31" s="6" t="n">
        <v>16580.7591068124</v>
      </c>
      <c r="G31" s="6" t="n">
        <v>17696.3859899216</v>
      </c>
      <c r="H31" s="6" t="n">
        <v>30252</v>
      </c>
      <c r="I31" s="6" t="n">
        <v>-1098.459999999999</v>
      </c>
      <c r="J31" s="6" t="n">
        <v>13671.2408931876</v>
      </c>
      <c r="K31" s="6" t="n">
        <v>12555.6140100784</v>
      </c>
    </row>
    <row r="32">
      <c r="A32" s="4" t="inlineStr">
        <is>
          <t>Hathaway, Taylor A</t>
        </is>
      </c>
      <c r="B32" s="4" t="inlineStr">
        <is>
          <t>Wu, Lucy L</t>
        </is>
      </c>
      <c r="C32" s="5" t="n">
        <v>15632000</v>
      </c>
      <c r="D32" s="4" t="inlineStr">
        <is>
          <t>LENOX_15632000 - Surgery - Dept Director</t>
        </is>
      </c>
      <c r="E32" s="6" t="n">
        <v>61224.68</v>
      </c>
      <c r="F32" s="6" t="n">
        <v>53684.8397443098</v>
      </c>
      <c r="G32" s="6" t="n">
        <v>46764.3542541436</v>
      </c>
      <c r="H32" s="6" t="n">
        <v>51386</v>
      </c>
      <c r="I32" s="6" t="n">
        <v>-9838.68</v>
      </c>
      <c r="J32" s="6" t="n">
        <v>-2298.8397443098</v>
      </c>
      <c r="K32" s="6" t="n">
        <v>4621.645745856396</v>
      </c>
    </row>
    <row r="33">
      <c r="A33" s="4" t="inlineStr">
        <is>
          <t>Hathaway, Taylor A</t>
        </is>
      </c>
      <c r="B33" s="4" t="inlineStr">
        <is>
          <t>Wu, Lucy L</t>
        </is>
      </c>
      <c r="C33" s="5" t="n">
        <v>15632030</v>
      </c>
      <c r="D33" s="4" t="inlineStr">
        <is>
          <t>LENOX_15632030 - Surgery - General</t>
        </is>
      </c>
      <c r="E33" s="6" t="n">
        <v>11138.05</v>
      </c>
      <c r="F33" s="6" t="n">
        <v>9920.0000000004</v>
      </c>
      <c r="G33" s="6" t="n">
        <v>10281.7267032967</v>
      </c>
      <c r="H33" s="6" t="n">
        <v>10262</v>
      </c>
      <c r="I33" s="6" t="n">
        <v>-876.0499999999993</v>
      </c>
      <c r="J33" s="6" t="n">
        <v>341.9999999995998</v>
      </c>
      <c r="K33" s="6" t="n">
        <v>-19.72670329670109</v>
      </c>
    </row>
    <row r="34">
      <c r="A34" s="4" t="inlineStr">
        <is>
          <t>Hathaway, Taylor A</t>
        </is>
      </c>
      <c r="B34" s="4" t="inlineStr">
        <is>
          <t>Wu, Lucy L</t>
        </is>
      </c>
      <c r="C34" s="5" t="n">
        <v>15632060</v>
      </c>
      <c r="D34" s="4" t="inlineStr">
        <is>
          <t>LENOX_15632060 - Surgery - Vascular</t>
        </is>
      </c>
      <c r="E34" s="6" t="n">
        <v>6707.96</v>
      </c>
      <c r="F34" s="6" t="n">
        <v>13853.0229883112</v>
      </c>
      <c r="G34" s="6" t="n">
        <v>1776.04</v>
      </c>
      <c r="H34" s="6" t="n">
        <v>1726</v>
      </c>
      <c r="I34" s="6" t="n">
        <v>-4981.96</v>
      </c>
      <c r="J34" s="6" t="n">
        <v>-12127.0229883112</v>
      </c>
      <c r="K34" s="6" t="n">
        <v>-50.03999999999996</v>
      </c>
    </row>
    <row r="35">
      <c r="A35" s="4" t="inlineStr">
        <is>
          <t>Hathaway, Taylor A</t>
        </is>
      </c>
      <c r="B35" s="4" t="inlineStr">
        <is>
          <t>Wu, Lucy L</t>
        </is>
      </c>
      <c r="C35" s="5" t="n">
        <v>15632070</v>
      </c>
      <c r="D35" s="4" t="inlineStr">
        <is>
          <t>LENOX_15632070 - Surgery - Plastic</t>
        </is>
      </c>
      <c r="E35" s="6" t="n">
        <v>495</v>
      </c>
      <c r="F35" s="6" t="n">
        <v>604.9723756905</v>
      </c>
      <c r="G35" s="6" t="n">
        <v>306.34</v>
      </c>
      <c r="H35" s="6" t="n">
        <v>306</v>
      </c>
      <c r="I35" s="6" t="n">
        <v>-189</v>
      </c>
      <c r="J35" s="6" t="n">
        <v>-298.9723756905</v>
      </c>
      <c r="K35" s="6" t="n">
        <v>-0.3400000000000318</v>
      </c>
    </row>
    <row r="36">
      <c r="A36" s="7" t="inlineStr">
        <is>
          <t>Total</t>
        </is>
      </c>
      <c r="B36" s="7" t="n"/>
      <c r="C36" s="7">
        <f>SUM(C6:C35)</f>
        <v/>
      </c>
      <c r="D36" s="7" t="n"/>
      <c r="E36" s="8">
        <f>SUM(E6:E35)</f>
        <v/>
      </c>
      <c r="F36" s="8">
        <f>SUM(F6:F35)</f>
        <v/>
      </c>
      <c r="G36" s="8">
        <f>SUM(G6:G35)</f>
        <v/>
      </c>
      <c r="H36" s="8">
        <f>SUM(H6:H35)</f>
        <v/>
      </c>
      <c r="I36" s="8">
        <f>SUM(I6:I35)</f>
        <v/>
      </c>
      <c r="J36" s="8">
        <f>SUM(J6:J35)</f>
        <v/>
      </c>
      <c r="K36" s="8">
        <f>SUM(K6:K35)</f>
        <v/>
      </c>
    </row>
  </sheetData>
  <autoFilter ref="A5:K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22" customWidth="1" min="4" max="4"/>
    <col width="22" customWidth="1" min="5" max="5"/>
    <col width="23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LENOX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Hathaway, Taylor A</t>
        </is>
      </c>
      <c r="B6" s="4" t="inlineStr">
        <is>
          <t>A_55009</t>
        </is>
      </c>
      <c r="C6" s="4" t="inlineStr">
        <is>
          <t>A_55009 - Supply Chain Channel Rebates</t>
        </is>
      </c>
      <c r="D6" s="6" t="n">
        <v>-11242.58</v>
      </c>
      <c r="E6" s="6" t="n">
        <v>-12799.9300000001</v>
      </c>
      <c r="F6" s="6" t="n">
        <v>-15921.3820879122</v>
      </c>
      <c r="G6" s="6" t="n">
        <v>-15921.3820879122</v>
      </c>
      <c r="H6" s="6" t="n">
        <v>-4678.802087912201</v>
      </c>
      <c r="I6" s="6" t="n">
        <v>-3121.452087912101</v>
      </c>
      <c r="J6" s="6" t="n">
        <v>0</v>
      </c>
    </row>
    <row r="7">
      <c r="A7" s="4" t="inlineStr">
        <is>
          <t>Hathaway, Taylor A</t>
        </is>
      </c>
      <c r="B7" s="4" t="inlineStr">
        <is>
          <t>A_55010</t>
        </is>
      </c>
      <c r="C7" s="4" t="inlineStr">
        <is>
          <t>A_55010 - Rebates From Vendors</t>
        </is>
      </c>
      <c r="D7" s="6" t="n">
        <v>-41883.65</v>
      </c>
      <c r="E7" s="6" t="n">
        <v>-96090.0000000009</v>
      </c>
      <c r="F7" s="6" t="n">
        <v>-86954.9235164834</v>
      </c>
      <c r="G7" s="6" t="n">
        <v>-86027.6672527472</v>
      </c>
      <c r="H7" s="6" t="n">
        <v>-44144.0172527472</v>
      </c>
      <c r="I7" s="6" t="n">
        <v>10062.33274725371</v>
      </c>
      <c r="J7" s="6" t="n">
        <v>927.2562637361989</v>
      </c>
    </row>
    <row r="8">
      <c r="A8" s="4" t="inlineStr">
        <is>
          <t>Hathaway, Taylor A</t>
        </is>
      </c>
      <c r="B8" s="4" t="inlineStr">
        <is>
          <t>A_61000</t>
        </is>
      </c>
      <c r="C8" s="4" t="inlineStr">
        <is>
          <t>A_61000 - Consulting Fees</t>
        </is>
      </c>
      <c r="D8" s="6" t="n">
        <v>36976.08</v>
      </c>
      <c r="E8" s="6" t="n">
        <v>36976.0000000008</v>
      </c>
      <c r="F8" s="6" t="n">
        <v>48134.96</v>
      </c>
      <c r="G8" s="6" t="n">
        <v>50134.96</v>
      </c>
      <c r="H8" s="6" t="n">
        <v>13158.88</v>
      </c>
      <c r="I8" s="6" t="n">
        <v>13158.9599999992</v>
      </c>
      <c r="J8" s="6" t="n">
        <v>2000</v>
      </c>
    </row>
    <row r="9">
      <c r="A9" s="4" t="inlineStr">
        <is>
          <t>Hathaway, Taylor A</t>
        </is>
      </c>
      <c r="B9" s="4" t="inlineStr">
        <is>
          <t>A_61040</t>
        </is>
      </c>
      <c r="C9" s="4" t="inlineStr">
        <is>
          <t>A_61040 - Physician Fees</t>
        </is>
      </c>
      <c r="D9" s="6" t="n">
        <v>2353632.12</v>
      </c>
      <c r="E9" s="6" t="n">
        <v>3144925</v>
      </c>
      <c r="F9" s="6" t="n">
        <v>2763720.12</v>
      </c>
      <c r="G9" s="6" t="n">
        <v>2797724</v>
      </c>
      <c r="H9" s="6" t="n">
        <v>444091.8799999999</v>
      </c>
      <c r="I9" s="6" t="n">
        <v>-347201</v>
      </c>
      <c r="J9" s="6" t="n">
        <v>34003.87999999989</v>
      </c>
    </row>
    <row r="10">
      <c r="A10" s="4" t="inlineStr">
        <is>
          <t>Hathaway, Taylor A</t>
        </is>
      </c>
      <c r="B10" s="4" t="inlineStr">
        <is>
          <t>A_61400</t>
        </is>
      </c>
      <c r="C10" s="4" t="inlineStr">
        <is>
          <t>A_61400 - Other Fees</t>
        </is>
      </c>
      <c r="D10" s="6" t="n">
        <v>21333.11</v>
      </c>
      <c r="E10" s="6" t="n">
        <v>26400</v>
      </c>
      <c r="F10" s="6" t="n">
        <v>21591.76</v>
      </c>
      <c r="G10" s="6" t="n">
        <v>16700</v>
      </c>
      <c r="H10" s="6" t="n">
        <v>-4633.110000000001</v>
      </c>
      <c r="I10" s="6" t="n">
        <v>-9700</v>
      </c>
      <c r="J10" s="6" t="n">
        <v>-4891.759999999998</v>
      </c>
    </row>
    <row r="11">
      <c r="A11" s="4" t="inlineStr">
        <is>
          <t>Hathaway, Taylor A</t>
        </is>
      </c>
      <c r="B11" s="4" t="inlineStr">
        <is>
          <t>A_61450</t>
        </is>
      </c>
      <c r="C11" s="4" t="inlineStr">
        <is>
          <t>A_61450 - Resident Rotation - non-affil</t>
        </is>
      </c>
      <c r="D11" s="6" t="n">
        <v>189497.5</v>
      </c>
      <c r="E11" s="6" t="n">
        <v>338460</v>
      </c>
      <c r="F11" s="6" t="n">
        <v>338400</v>
      </c>
      <c r="G11" s="6" t="n">
        <v>338460</v>
      </c>
      <c r="H11" s="6" t="n">
        <v>148962.5</v>
      </c>
      <c r="I11" s="6" t="n">
        <v>0</v>
      </c>
      <c r="J11" s="6" t="n">
        <v>60</v>
      </c>
    </row>
    <row r="12">
      <c r="A12" s="4" t="inlineStr">
        <is>
          <t>Hathaway, Taylor A</t>
        </is>
      </c>
      <c r="B12" s="4" t="inlineStr">
        <is>
          <t>A_63000</t>
        </is>
      </c>
      <c r="C12" s="4" t="inlineStr">
        <is>
          <t>A_63000 - Supplies - Laboratory</t>
        </is>
      </c>
      <c r="D12" s="6" t="n">
        <v>161672.74</v>
      </c>
      <c r="E12" s="6" t="n">
        <v>176196.0746358025</v>
      </c>
      <c r="F12" s="6" t="n">
        <v>161271.1028571428</v>
      </c>
      <c r="G12" s="6" t="n">
        <v>159593.422967033</v>
      </c>
      <c r="H12" s="6" t="n">
        <v>-2079.317032966967</v>
      </c>
      <c r="I12" s="6" t="n">
        <v>-16602.65166876948</v>
      </c>
      <c r="J12" s="6" t="n">
        <v>-1677.679890109779</v>
      </c>
    </row>
    <row r="13">
      <c r="A13" s="4" t="inlineStr">
        <is>
          <t>Hathaway, Taylor A</t>
        </is>
      </c>
      <c r="B13" s="4" t="inlineStr">
        <is>
          <t>A_63005</t>
        </is>
      </c>
      <c r="C13" s="4" t="inlineStr">
        <is>
          <t>A_63005 - Supplies - Reagents</t>
        </is>
      </c>
      <c r="D13" s="6" t="n">
        <v>1980</v>
      </c>
      <c r="E13" s="6" t="n">
        <v>3040.9907407407</v>
      </c>
      <c r="F13" s="6" t="n">
        <v>2485.2807692308</v>
      </c>
      <c r="G13" s="6" t="n">
        <v>43.3569230769</v>
      </c>
      <c r="H13" s="6" t="n">
        <v>-1936.6430769231</v>
      </c>
      <c r="I13" s="6" t="n">
        <v>-2997.6338176638</v>
      </c>
      <c r="J13" s="6" t="n">
        <v>-2441.9238461539</v>
      </c>
    </row>
    <row r="14">
      <c r="A14" s="4" t="inlineStr">
        <is>
          <t>Hathaway, Taylor A</t>
        </is>
      </c>
      <c r="B14" s="4" t="inlineStr">
        <is>
          <t>A_63008</t>
        </is>
      </c>
      <c r="C14" s="4" t="inlineStr">
        <is>
          <t>A_63008 - Supplies - Implants - Spinal</t>
        </is>
      </c>
      <c r="D14" s="6" t="n">
        <v>36955</v>
      </c>
      <c r="E14" s="6" t="n">
        <v>22671.9148581751</v>
      </c>
      <c r="F14" s="6" t="n">
        <v>91468.2263736264</v>
      </c>
      <c r="G14" s="6" t="n">
        <v>91468.2263736264</v>
      </c>
      <c r="H14" s="6" t="n">
        <v>54513.2263736264</v>
      </c>
      <c r="I14" s="6" t="n">
        <v>68796.31151545129</v>
      </c>
      <c r="J14" s="6" t="n">
        <v>0</v>
      </c>
    </row>
    <row r="15">
      <c r="A15" s="4" t="inlineStr">
        <is>
          <t>Hathaway, Taylor A</t>
        </is>
      </c>
      <c r="B15" s="4" t="inlineStr">
        <is>
          <t>A_63009</t>
        </is>
      </c>
      <c r="C15" s="4" t="inlineStr">
        <is>
          <t>A_63009 - Supplies - Implants - Joint</t>
        </is>
      </c>
      <c r="D15" s="6" t="n">
        <v>-2550</v>
      </c>
      <c r="E15" s="6" t="n">
        <v>0.0031327161</v>
      </c>
      <c r="F15" s="6" t="n">
        <v>0</v>
      </c>
      <c r="G15" s="6" t="n">
        <v>0</v>
      </c>
      <c r="H15" s="6" t="n">
        <v>2550</v>
      </c>
      <c r="I15" s="6" t="n">
        <v>-0.0031327161</v>
      </c>
      <c r="J15" s="6" t="n">
        <v>0</v>
      </c>
    </row>
    <row r="16">
      <c r="A16" s="4" t="inlineStr">
        <is>
          <t>Hathaway, Taylor A</t>
        </is>
      </c>
      <c r="B16" s="4" t="inlineStr">
        <is>
          <t>A_63010</t>
        </is>
      </c>
      <c r="C16" s="4" t="inlineStr">
        <is>
          <t>A_63010 - Supplies - Implnts - Oth Ortho</t>
        </is>
      </c>
      <c r="D16" s="6" t="n">
        <v>25365.83</v>
      </c>
      <c r="E16" s="6" t="n">
        <v>19399.0740740742</v>
      </c>
      <c r="F16" s="6" t="n">
        <v>26106.6593406593</v>
      </c>
      <c r="G16" s="6" t="n">
        <v>26106.6593406593</v>
      </c>
      <c r="H16" s="6" t="n">
        <v>740.8293406592966</v>
      </c>
      <c r="I16" s="6" t="n">
        <v>6707.585266585098</v>
      </c>
      <c r="J16" s="6" t="n">
        <v>0</v>
      </c>
    </row>
    <row r="17">
      <c r="A17" s="4" t="inlineStr">
        <is>
          <t>Hathaway, Taylor A</t>
        </is>
      </c>
      <c r="B17" s="4" t="inlineStr">
        <is>
          <t>A_63015</t>
        </is>
      </c>
      <c r="C17" s="4" t="inlineStr">
        <is>
          <t>A_63015 - Supplies - Implants - Neuro</t>
        </is>
      </c>
      <c r="D17" s="6" t="n">
        <v>2683026</v>
      </c>
      <c r="E17" s="6" t="n">
        <v>2881778.74429758</v>
      </c>
      <c r="F17" s="6" t="n">
        <v>3036155.0310989</v>
      </c>
      <c r="G17" s="6" t="n">
        <v>3036155.0310989</v>
      </c>
      <c r="H17" s="6" t="n">
        <v>353129.0310988999</v>
      </c>
      <c r="I17" s="6" t="n">
        <v>154376.28680132</v>
      </c>
      <c r="J17" s="6" t="n">
        <v>0</v>
      </c>
    </row>
    <row r="18">
      <c r="A18" s="4" t="inlineStr">
        <is>
          <t>Hathaway, Taylor A</t>
        </is>
      </c>
      <c r="B18" s="4" t="inlineStr">
        <is>
          <t>A_63030</t>
        </is>
      </c>
      <c r="C18" s="4" t="inlineStr">
        <is>
          <t>A_63030 - Supplies - Medical</t>
        </is>
      </c>
      <c r="D18" s="6" t="n">
        <v>1955099.79</v>
      </c>
      <c r="E18" s="6" t="n">
        <v>2079509.780952113</v>
      </c>
      <c r="F18" s="6" t="n">
        <v>1857486.35868132</v>
      </c>
      <c r="G18" s="6" t="n">
        <v>2117645.537038118</v>
      </c>
      <c r="H18" s="6" t="n">
        <v>162545.7470381176</v>
      </c>
      <c r="I18" s="6" t="n">
        <v>38135.75608600443</v>
      </c>
      <c r="J18" s="6" t="n">
        <v>260159.1783567974</v>
      </c>
    </row>
    <row r="19">
      <c r="A19" s="4" t="inlineStr">
        <is>
          <t>Hathaway, Taylor A</t>
        </is>
      </c>
      <c r="B19" s="4" t="inlineStr">
        <is>
          <t>A_63032</t>
        </is>
      </c>
      <c r="C19" s="4" t="inlineStr">
        <is>
          <t>A_63032 - Supplies - Medical - PPE</t>
        </is>
      </c>
      <c r="D19" s="6" t="n">
        <v>519.01</v>
      </c>
      <c r="E19" s="6" t="n">
        <v>0</v>
      </c>
      <c r="F19" s="6" t="n">
        <v>1377.5274725275</v>
      </c>
      <c r="G19" s="6" t="n">
        <v>685</v>
      </c>
      <c r="H19" s="6" t="n">
        <v>165.99</v>
      </c>
      <c r="I19" s="6" t="n">
        <v>685</v>
      </c>
      <c r="J19" s="6" t="n">
        <v>-692.5274725275001</v>
      </c>
    </row>
    <row r="20">
      <c r="A20" s="4" t="inlineStr">
        <is>
          <t>Hathaway, Taylor A</t>
        </is>
      </c>
      <c r="B20" s="4" t="inlineStr">
        <is>
          <t>A_63035</t>
        </is>
      </c>
      <c r="C20" s="4" t="inlineStr">
        <is>
          <t>A_63035 - Supplies - Gases</t>
        </is>
      </c>
      <c r="D20" s="6" t="n">
        <v>276041.89</v>
      </c>
      <c r="E20" s="6" t="n">
        <v>283074.1864047803</v>
      </c>
      <c r="F20" s="6" t="n">
        <v>243287.3390109886</v>
      </c>
      <c r="G20" s="6" t="n">
        <v>244287.3390109886</v>
      </c>
      <c r="H20" s="6" t="n">
        <v>-31754.55098901142</v>
      </c>
      <c r="I20" s="6" t="n">
        <v>-38786.84739379166</v>
      </c>
      <c r="J20" s="6" t="n">
        <v>1000</v>
      </c>
    </row>
    <row r="21">
      <c r="A21" s="4" t="inlineStr">
        <is>
          <t>Hathaway, Taylor A</t>
        </is>
      </c>
      <c r="B21" s="4" t="inlineStr">
        <is>
          <t>A_63040</t>
        </is>
      </c>
      <c r="C21" s="4" t="inlineStr">
        <is>
          <t>A_63040 - Supplies - Radiology</t>
        </is>
      </c>
      <c r="D21" s="6" t="n">
        <v>45554.64</v>
      </c>
      <c r="E21" s="6" t="n">
        <v>40469.0613703706</v>
      </c>
      <c r="F21" s="6" t="n">
        <v>103727.6578021978</v>
      </c>
      <c r="G21" s="6" t="n">
        <v>103727.6578021978</v>
      </c>
      <c r="H21" s="6" t="n">
        <v>58173.01780219781</v>
      </c>
      <c r="I21" s="6" t="n">
        <v>63258.59643182721</v>
      </c>
      <c r="J21" s="6" t="n">
        <v>0</v>
      </c>
    </row>
    <row r="22">
      <c r="A22" s="4" t="inlineStr">
        <is>
          <t>Hathaway, Taylor A</t>
        </is>
      </c>
      <c r="B22" s="4" t="inlineStr">
        <is>
          <t>A_63045</t>
        </is>
      </c>
      <c r="C22" s="4" t="inlineStr">
        <is>
          <t>A_63045 - Supplies - Med Equip Repair</t>
        </is>
      </c>
      <c r="D22" s="6" t="n">
        <v>3261.04</v>
      </c>
      <c r="E22" s="6" t="n">
        <v>2073.3586172839</v>
      </c>
      <c r="F22" s="6" t="n">
        <v>21137.1837362637</v>
      </c>
      <c r="G22" s="6" t="n">
        <v>8378.289999999999</v>
      </c>
      <c r="H22" s="6" t="n">
        <v>5117.249999999999</v>
      </c>
      <c r="I22" s="6" t="n">
        <v>6304.931382716099</v>
      </c>
      <c r="J22" s="6" t="n">
        <v>-12758.8937362637</v>
      </c>
    </row>
    <row r="23">
      <c r="A23" s="4" t="inlineStr">
        <is>
          <t>Hathaway, Taylor A</t>
        </is>
      </c>
      <c r="B23" s="4" t="inlineStr">
        <is>
          <t>A_63050</t>
        </is>
      </c>
      <c r="C23" s="4" t="inlineStr">
        <is>
          <t>A_63050 - Supplies - Iv Solutions &amp; Sets</t>
        </is>
      </c>
      <c r="D23" s="6" t="n">
        <v>583153.01</v>
      </c>
      <c r="E23" s="6" t="n">
        <v>574876.7178108378</v>
      </c>
      <c r="F23" s="6" t="n">
        <v>647974.262967033</v>
      </c>
      <c r="G23" s="6" t="n">
        <v>577026.6679299871</v>
      </c>
      <c r="H23" s="6" t="n">
        <v>-6126.342070012935</v>
      </c>
      <c r="I23" s="6" t="n">
        <v>2149.950119149289</v>
      </c>
      <c r="J23" s="6" t="n">
        <v>-70947.59503704589</v>
      </c>
    </row>
    <row r="24">
      <c r="A24" s="4" t="inlineStr">
        <is>
          <t>Hathaway, Taylor A</t>
        </is>
      </c>
      <c r="B24" s="4" t="inlineStr">
        <is>
          <t>A_63058</t>
        </is>
      </c>
      <c r="C24" s="4" t="inlineStr">
        <is>
          <t>A_63058 - Supplies Impl Coronary Stents</t>
        </is>
      </c>
      <c r="D24" s="6" t="n">
        <v>5000</v>
      </c>
      <c r="E24" s="6" t="n">
        <v>7660.4938271607</v>
      </c>
      <c r="F24" s="6" t="n">
        <v>0</v>
      </c>
      <c r="G24" s="6" t="n">
        <v>0</v>
      </c>
      <c r="H24" s="6" t="n">
        <v>-5000</v>
      </c>
      <c r="I24" s="6" t="n">
        <v>-7660.4938271607</v>
      </c>
      <c r="J24" s="6" t="n">
        <v>0</v>
      </c>
    </row>
    <row r="25">
      <c r="A25" s="4" t="inlineStr">
        <is>
          <t>Hathaway, Taylor A</t>
        </is>
      </c>
      <c r="B25" s="4" t="inlineStr">
        <is>
          <t>A_63059</t>
        </is>
      </c>
      <c r="C25" s="4" t="inlineStr">
        <is>
          <t>A_63059 - Supplies Impl Vascular Stents</t>
        </is>
      </c>
      <c r="D25" s="6" t="n">
        <v>52014.75</v>
      </c>
      <c r="E25" s="6" t="n">
        <v>63304.5590740742</v>
      </c>
      <c r="F25" s="6" t="n">
        <v>74594.1181318681</v>
      </c>
      <c r="G25" s="6" t="n">
        <v>74594.1181318681</v>
      </c>
      <c r="H25" s="6" t="n">
        <v>22579.3681318681</v>
      </c>
      <c r="I25" s="6" t="n">
        <v>11289.55905779391</v>
      </c>
      <c r="J25" s="6" t="n">
        <v>0</v>
      </c>
    </row>
    <row r="26">
      <c r="A26" s="4" t="inlineStr">
        <is>
          <t>Hathaway, Taylor A</t>
        </is>
      </c>
      <c r="B26" s="4" t="inlineStr">
        <is>
          <t>A_63060</t>
        </is>
      </c>
      <c r="C26" s="4" t="inlineStr">
        <is>
          <t>A_63060 - Supplies - Surgery Packs-Sheet</t>
        </is>
      </c>
      <c r="D26" s="6" t="n">
        <v>11726.55</v>
      </c>
      <c r="E26" s="6" t="n">
        <v>10743.9958024692</v>
      </c>
      <c r="F26" s="6" t="n">
        <v>28879.772967033</v>
      </c>
      <c r="G26" s="6" t="n">
        <v>28879.772967033</v>
      </c>
      <c r="H26" s="6" t="n">
        <v>17153.222967033</v>
      </c>
      <c r="I26" s="6" t="n">
        <v>18135.7771645638</v>
      </c>
      <c r="J26" s="6" t="n">
        <v>0</v>
      </c>
    </row>
    <row r="27">
      <c r="A27" s="4" t="inlineStr">
        <is>
          <t>Hathaway, Taylor A</t>
        </is>
      </c>
      <c r="B27" s="4" t="inlineStr">
        <is>
          <t>A_63062</t>
        </is>
      </c>
      <c r="C27" s="4" t="inlineStr">
        <is>
          <t>A_63062 - Supplies - Impl - Oth Vascular</t>
        </is>
      </c>
      <c r="D27" s="6" t="n">
        <v>468010.15</v>
      </c>
      <c r="E27" s="6" t="n">
        <v>523620.571428946</v>
      </c>
      <c r="F27" s="6" t="n">
        <v>638846.4039560435</v>
      </c>
      <c r="G27" s="6" t="n">
        <v>638846.4039560435</v>
      </c>
      <c r="H27" s="6" t="n">
        <v>170836.2539560435</v>
      </c>
      <c r="I27" s="6" t="n">
        <v>115225.8325270975</v>
      </c>
      <c r="J27" s="6" t="n">
        <v>0</v>
      </c>
    </row>
    <row r="28">
      <c r="A28" s="4" t="inlineStr">
        <is>
          <t>Hathaway, Taylor A</t>
        </is>
      </c>
      <c r="B28" s="4" t="inlineStr">
        <is>
          <t>A_63065</t>
        </is>
      </c>
      <c r="C28" s="4" t="inlineStr">
        <is>
          <t>A_63065 - Supplies - mpl - Oth Coronary</t>
        </is>
      </c>
      <c r="D28" s="6" t="n">
        <v>53411.56</v>
      </c>
      <c r="E28" s="6" t="n">
        <v>65219.3362859686</v>
      </c>
      <c r="F28" s="6" t="n">
        <v>91596.2660439561</v>
      </c>
      <c r="G28" s="6" t="n">
        <v>91596.2660439561</v>
      </c>
      <c r="H28" s="6" t="n">
        <v>38184.7060439561</v>
      </c>
      <c r="I28" s="6" t="n">
        <v>26376.9297579875</v>
      </c>
      <c r="J28" s="6" t="n">
        <v>0</v>
      </c>
    </row>
    <row r="29">
      <c r="A29" s="4" t="inlineStr">
        <is>
          <t>Hathaway, Taylor A</t>
        </is>
      </c>
      <c r="B29" s="4" t="inlineStr">
        <is>
          <t>A_63070</t>
        </is>
      </c>
      <c r="C29" s="4" t="inlineStr">
        <is>
          <t>A_63070 - Supplies - Implants - All Oth</t>
        </is>
      </c>
      <c r="D29" s="6" t="n">
        <v>569716.9500000001</v>
      </c>
      <c r="E29" s="6" t="n">
        <v>521789.8329252981</v>
      </c>
      <c r="F29" s="6" t="n">
        <v>901191.3026373619</v>
      </c>
      <c r="G29" s="6" t="n">
        <v>901191.3026373619</v>
      </c>
      <c r="H29" s="6" t="n">
        <v>331474.3526373619</v>
      </c>
      <c r="I29" s="6" t="n">
        <v>379401.4697120638</v>
      </c>
      <c r="J29" s="6" t="n">
        <v>0</v>
      </c>
    </row>
    <row r="30">
      <c r="A30" s="4" t="inlineStr">
        <is>
          <t>Hathaway, Taylor A</t>
        </is>
      </c>
      <c r="B30" s="4" t="inlineStr">
        <is>
          <t>A_63072</t>
        </is>
      </c>
      <c r="C30" s="4" t="inlineStr">
        <is>
          <t>A_63072 - Supplies - Implants - LVAD</t>
        </is>
      </c>
      <c r="D30" s="6" t="n">
        <v>0</v>
      </c>
      <c r="E30" s="6" t="n">
        <v>0</v>
      </c>
      <c r="F30" s="6" t="n">
        <v>21115.3846153846</v>
      </c>
      <c r="G30" s="6" t="n">
        <v>10500</v>
      </c>
      <c r="H30" s="6" t="n">
        <v>10500</v>
      </c>
      <c r="I30" s="6" t="n">
        <v>10500</v>
      </c>
      <c r="J30" s="6" t="n">
        <v>-10615.3846153846</v>
      </c>
    </row>
    <row r="31">
      <c r="A31" s="4" t="inlineStr">
        <is>
          <t>Hathaway, Taylor A</t>
        </is>
      </c>
      <c r="B31" s="4" t="inlineStr">
        <is>
          <t>A_63080</t>
        </is>
      </c>
      <c r="C31" s="4" t="inlineStr">
        <is>
          <t>A_63080 - Supplies - Surgical</t>
        </is>
      </c>
      <c r="D31" s="6" t="n">
        <v>1332790.5</v>
      </c>
      <c r="E31" s="6" t="n">
        <v>1386399.088206718</v>
      </c>
      <c r="F31" s="6" t="n">
        <v>1447078.633516482</v>
      </c>
      <c r="G31" s="6" t="n">
        <v>1447236.908681317</v>
      </c>
      <c r="H31" s="6" t="n">
        <v>114446.4086813172</v>
      </c>
      <c r="I31" s="6" t="n">
        <v>60837.82047459949</v>
      </c>
      <c r="J31" s="6" t="n">
        <v>158.275164835155</v>
      </c>
    </row>
    <row r="32">
      <c r="A32" s="4" t="inlineStr">
        <is>
          <t>Hathaway, Taylor A</t>
        </is>
      </c>
      <c r="B32" s="4" t="inlineStr">
        <is>
          <t>A_63300</t>
        </is>
      </c>
      <c r="C32" s="4" t="inlineStr">
        <is>
          <t>A_63300 - Rx - All Other</t>
        </is>
      </c>
      <c r="D32" s="6" t="n">
        <v>22.06</v>
      </c>
      <c r="E32" s="6" t="n">
        <v>0</v>
      </c>
      <c r="F32" s="6" t="n">
        <v>0</v>
      </c>
      <c r="G32" s="6" t="n">
        <v>0</v>
      </c>
      <c r="H32" s="6" t="n">
        <v>-22.06</v>
      </c>
      <c r="I32" s="6" t="n">
        <v>0</v>
      </c>
      <c r="J32" s="6" t="n">
        <v>0</v>
      </c>
    </row>
    <row r="33">
      <c r="A33" s="4" t="inlineStr">
        <is>
          <t>Hathaway, Taylor A</t>
        </is>
      </c>
      <c r="B33" s="4" t="inlineStr">
        <is>
          <t>A_63360</t>
        </is>
      </c>
      <c r="C33" s="4" t="inlineStr">
        <is>
          <t>A_63360 - Rx - Radio Pharmaceuticals</t>
        </is>
      </c>
      <c r="D33" s="6" t="n">
        <v>150046</v>
      </c>
      <c r="E33" s="6" t="n">
        <v>154413.216203703</v>
      </c>
      <c r="F33" s="6" t="n">
        <v>28191.7127071823</v>
      </c>
      <c r="G33" s="6" t="n">
        <v>90000</v>
      </c>
      <c r="H33" s="6" t="n">
        <v>-60046</v>
      </c>
      <c r="I33" s="6" t="n">
        <v>-64413.21620370299</v>
      </c>
      <c r="J33" s="6" t="n">
        <v>61808.28729281769</v>
      </c>
    </row>
    <row r="34">
      <c r="A34" s="4" t="inlineStr">
        <is>
          <t>Hathaway, Taylor A</t>
        </is>
      </c>
      <c r="B34" s="4" t="inlineStr">
        <is>
          <t>A_64000</t>
        </is>
      </c>
      <c r="C34" s="4" t="inlineStr">
        <is>
          <t>A_64000 - Supplies - Hotel Services</t>
        </is>
      </c>
      <c r="D34" s="6" t="n">
        <v>39028.35</v>
      </c>
      <c r="E34" s="6" t="n">
        <v>33855.98000000069</v>
      </c>
      <c r="F34" s="6" t="n">
        <v>36293.2002762431</v>
      </c>
      <c r="G34" s="6" t="n">
        <v>40190.4936464089</v>
      </c>
      <c r="H34" s="6" t="n">
        <v>1162.143646408898</v>
      </c>
      <c r="I34" s="6" t="n">
        <v>6334.513646408202</v>
      </c>
      <c r="J34" s="6" t="n">
        <v>3897.293370165797</v>
      </c>
    </row>
    <row r="35">
      <c r="A35" s="4" t="inlineStr">
        <is>
          <t>Hathaway, Taylor A</t>
        </is>
      </c>
      <c r="B35" s="4" t="inlineStr">
        <is>
          <t>A_64010</t>
        </is>
      </c>
      <c r="C35" s="4" t="inlineStr">
        <is>
          <t>A_64010 - Supplies - Linen And Bedding</t>
        </is>
      </c>
      <c r="D35" s="6" t="n">
        <v>2854.01</v>
      </c>
      <c r="E35" s="6" t="n">
        <v>462.6450000003</v>
      </c>
      <c r="F35" s="6" t="n">
        <v>185.8475138122</v>
      </c>
      <c r="G35" s="6" t="n">
        <v>2841.8475138122</v>
      </c>
      <c r="H35" s="6" t="n">
        <v>-12.16248618780037</v>
      </c>
      <c r="I35" s="6" t="n">
        <v>2379.2025138119</v>
      </c>
      <c r="J35" s="6" t="n">
        <v>2656</v>
      </c>
    </row>
    <row r="36">
      <c r="A36" s="4" t="inlineStr">
        <is>
          <t>Hathaway, Taylor A</t>
        </is>
      </c>
      <c r="B36" s="4" t="inlineStr">
        <is>
          <t>A_64020</t>
        </is>
      </c>
      <c r="C36" s="4" t="inlineStr">
        <is>
          <t>A_64020 - Supplies - Office</t>
        </is>
      </c>
      <c r="D36" s="6" t="n">
        <v>31728.47</v>
      </c>
      <c r="E36" s="6" t="n">
        <v>37343.8350000005</v>
      </c>
      <c r="F36" s="6" t="n">
        <v>41374.4842541437</v>
      </c>
      <c r="G36" s="6" t="n">
        <v>38105.5784530387</v>
      </c>
      <c r="H36" s="6" t="n">
        <v>6377.108453038702</v>
      </c>
      <c r="I36" s="6" t="n">
        <v>761.7434530382016</v>
      </c>
      <c r="J36" s="6" t="n">
        <v>-3268.905801105</v>
      </c>
    </row>
    <row r="37">
      <c r="A37" s="4" t="inlineStr">
        <is>
          <t>Hathaway, Taylor A</t>
        </is>
      </c>
      <c r="B37" s="4" t="inlineStr">
        <is>
          <t>A_64030</t>
        </is>
      </c>
      <c r="C37" s="4" t="inlineStr">
        <is>
          <t>A_64030 - Supplies - Other Non Medical</t>
        </is>
      </c>
      <c r="D37" s="6" t="n">
        <v>35969.61</v>
      </c>
      <c r="E37" s="6" t="n">
        <v>79965.1350000001</v>
      </c>
      <c r="F37" s="6" t="n">
        <v>45698.8066298343</v>
      </c>
      <c r="G37" s="6" t="n">
        <v>47947.9218232044</v>
      </c>
      <c r="H37" s="6" t="n">
        <v>11978.3118232044</v>
      </c>
      <c r="I37" s="6" t="n">
        <v>-32017.2131767957</v>
      </c>
      <c r="J37" s="6" t="n">
        <v>2249.115193370104</v>
      </c>
    </row>
    <row r="38">
      <c r="A38" s="4" t="inlineStr">
        <is>
          <t>Hathaway, Taylor A</t>
        </is>
      </c>
      <c r="B38" s="4" t="inlineStr">
        <is>
          <t>A_64510</t>
        </is>
      </c>
      <c r="C38" s="4" t="inlineStr">
        <is>
          <t>A_64510 - Dietary-Groceries &amp; Beverages</t>
        </is>
      </c>
      <c r="D38" s="6" t="n">
        <v>247.5</v>
      </c>
      <c r="E38" s="6" t="n">
        <v>0</v>
      </c>
      <c r="F38" s="6" t="n">
        <v>332.7348066298</v>
      </c>
      <c r="G38" s="6" t="n">
        <v>333</v>
      </c>
      <c r="H38" s="6" t="n">
        <v>85.5</v>
      </c>
      <c r="I38" s="6" t="n">
        <v>333</v>
      </c>
      <c r="J38" s="6" t="n">
        <v>0.2651933701999951</v>
      </c>
    </row>
    <row r="39">
      <c r="A39" s="4" t="inlineStr">
        <is>
          <t>Hathaway, Taylor A</t>
        </is>
      </c>
      <c r="B39" s="4" t="inlineStr">
        <is>
          <t>A_64550</t>
        </is>
      </c>
      <c r="C39" s="4" t="inlineStr">
        <is>
          <t>A_64550 - Dietary - Supplement</t>
        </is>
      </c>
      <c r="D39" s="6" t="n">
        <v>0.9400000000000001</v>
      </c>
      <c r="E39" s="6" t="n">
        <v>0</v>
      </c>
      <c r="F39" s="6" t="n">
        <v>0.0403314917</v>
      </c>
      <c r="G39" s="6" t="n">
        <v>0</v>
      </c>
      <c r="H39" s="6" t="n">
        <v>-0.9400000000000001</v>
      </c>
      <c r="I39" s="6" t="n">
        <v>0</v>
      </c>
      <c r="J39" s="6" t="n">
        <v>-0.0403314917</v>
      </c>
    </row>
    <row r="40">
      <c r="A40" s="4" t="inlineStr">
        <is>
          <t>Hathaway, Taylor A</t>
        </is>
      </c>
      <c r="B40" s="4" t="inlineStr">
        <is>
          <t>A_64570</t>
        </is>
      </c>
      <c r="C40" s="4" t="inlineStr">
        <is>
          <t>A_64570 - Dietary Charge Out</t>
        </is>
      </c>
      <c r="D40" s="6" t="n">
        <v>62923.29</v>
      </c>
      <c r="E40" s="6" t="n">
        <v>65763.4011049723</v>
      </c>
      <c r="F40" s="6" t="n">
        <v>38966.7345303867</v>
      </c>
      <c r="G40" s="6" t="n">
        <v>26253.8138121548</v>
      </c>
      <c r="H40" s="6" t="n">
        <v>-36669.4761878452</v>
      </c>
      <c r="I40" s="6" t="n">
        <v>-39509.5872928175</v>
      </c>
      <c r="J40" s="6" t="n">
        <v>-12712.9207182319</v>
      </c>
    </row>
    <row r="41">
      <c r="A41" s="4" t="inlineStr">
        <is>
          <t>Hathaway, Taylor A</t>
        </is>
      </c>
      <c r="B41" s="4" t="inlineStr">
        <is>
          <t>A_65000</t>
        </is>
      </c>
      <c r="C41" s="4" t="inlineStr">
        <is>
          <t>A_65000 - Electricity</t>
        </is>
      </c>
      <c r="D41" s="6" t="n">
        <v>1009.61</v>
      </c>
      <c r="E41" s="6" t="n">
        <v>0</v>
      </c>
      <c r="F41" s="6" t="n">
        <v>668.2121546961</v>
      </c>
      <c r="G41" s="6" t="n">
        <v>668.2121546961</v>
      </c>
      <c r="H41" s="6" t="n">
        <v>-341.3978453039</v>
      </c>
      <c r="I41" s="6" t="n">
        <v>668.2121546961</v>
      </c>
      <c r="J41" s="6" t="n">
        <v>0</v>
      </c>
    </row>
    <row r="42">
      <c r="A42" s="4" t="inlineStr">
        <is>
          <t>Hathaway, Taylor A</t>
        </is>
      </c>
      <c r="B42" s="4" t="inlineStr">
        <is>
          <t>A_65002</t>
        </is>
      </c>
      <c r="C42" s="4" t="inlineStr">
        <is>
          <t>A_65002 - Electric-LeasePty Var Pd to LL</t>
        </is>
      </c>
      <c r="D42" s="6" t="n">
        <v>60.88</v>
      </c>
      <c r="E42" s="6" t="n">
        <v>0</v>
      </c>
      <c r="F42" s="6" t="n">
        <v>0</v>
      </c>
      <c r="G42" s="6" t="n">
        <v>0</v>
      </c>
      <c r="H42" s="6" t="n">
        <v>-60.88</v>
      </c>
      <c r="I42" s="6" t="n">
        <v>0</v>
      </c>
      <c r="J42" s="6" t="n">
        <v>0</v>
      </c>
    </row>
    <row r="43">
      <c r="A43" s="4" t="inlineStr">
        <is>
          <t>Hathaway, Taylor A</t>
        </is>
      </c>
      <c r="B43" s="4" t="inlineStr">
        <is>
          <t>A_65020</t>
        </is>
      </c>
      <c r="C43" s="4" t="inlineStr">
        <is>
          <t>A_65020 - Water &amp; Sewer</t>
        </is>
      </c>
      <c r="D43" s="6" t="n">
        <v>505.28</v>
      </c>
      <c r="E43" s="6" t="n">
        <v>0</v>
      </c>
      <c r="F43" s="6" t="n">
        <v>946.7212707182</v>
      </c>
      <c r="G43" s="6" t="n">
        <v>946.7212707182</v>
      </c>
      <c r="H43" s="6" t="n">
        <v>441.4412707182</v>
      </c>
      <c r="I43" s="6" t="n">
        <v>946.7212707182</v>
      </c>
      <c r="J43" s="6" t="n">
        <v>0</v>
      </c>
    </row>
    <row r="44">
      <c r="A44" s="4" t="inlineStr">
        <is>
          <t>Hathaway, Taylor A</t>
        </is>
      </c>
      <c r="B44" s="4" t="inlineStr">
        <is>
          <t>A_65030</t>
        </is>
      </c>
      <c r="C44" s="4" t="inlineStr">
        <is>
          <t>A_65030 - Disposable Services</t>
        </is>
      </c>
      <c r="D44" s="6" t="n">
        <v>1781.18</v>
      </c>
      <c r="E44" s="6" t="n">
        <v>1960.0000000004</v>
      </c>
      <c r="F44" s="6" t="n">
        <v>526.7696132597</v>
      </c>
      <c r="G44" s="6" t="n">
        <v>2234.72</v>
      </c>
      <c r="H44" s="6" t="n">
        <v>453.5400000000002</v>
      </c>
      <c r="I44" s="6" t="n">
        <v>274.7199999996003</v>
      </c>
      <c r="J44" s="6" t="n">
        <v>1707.9503867403</v>
      </c>
    </row>
    <row r="45">
      <c r="A45" s="4" t="inlineStr">
        <is>
          <t>Hathaway, Taylor A</t>
        </is>
      </c>
      <c r="B45" s="4" t="inlineStr">
        <is>
          <t>A_65050</t>
        </is>
      </c>
      <c r="C45" s="4" t="inlineStr">
        <is>
          <t>A_65050 - Telephone</t>
        </is>
      </c>
      <c r="D45" s="6" t="n">
        <v>36295.22</v>
      </c>
      <c r="E45" s="6" t="n">
        <v>40079.9999999997</v>
      </c>
      <c r="F45" s="6" t="n">
        <v>35267.9334254143</v>
      </c>
      <c r="G45" s="6" t="n">
        <v>32320.5790055252</v>
      </c>
      <c r="H45" s="6" t="n">
        <v>-3974.640994474801</v>
      </c>
      <c r="I45" s="6" t="n">
        <v>-7759.420994474502</v>
      </c>
      <c r="J45" s="6" t="n">
        <v>-2947.354419889096</v>
      </c>
    </row>
    <row r="46">
      <c r="A46" s="4" t="inlineStr">
        <is>
          <t>Hathaway, Taylor A</t>
        </is>
      </c>
      <c r="B46" s="4" t="inlineStr">
        <is>
          <t>A_65054</t>
        </is>
      </c>
      <c r="C46" s="4" t="inlineStr">
        <is>
          <t>A_65054 - Other telephone service</t>
        </is>
      </c>
      <c r="D46" s="6" t="n">
        <v>1750.4</v>
      </c>
      <c r="E46" s="6" t="n">
        <v>0</v>
      </c>
      <c r="F46" s="6" t="n">
        <v>-1764.9060773481</v>
      </c>
      <c r="G46" s="6" t="n">
        <v>0</v>
      </c>
      <c r="H46" s="6" t="n">
        <v>-1750.4</v>
      </c>
      <c r="I46" s="6" t="n">
        <v>0</v>
      </c>
      <c r="J46" s="6" t="n">
        <v>1764.9060773481</v>
      </c>
    </row>
    <row r="47">
      <c r="A47" s="4" t="inlineStr">
        <is>
          <t>Hathaway, Taylor A</t>
        </is>
      </c>
      <c r="B47" s="4" t="inlineStr">
        <is>
          <t>A_65060</t>
        </is>
      </c>
      <c r="C47" s="4" t="inlineStr">
        <is>
          <t>A_65060 - Natural Gas</t>
        </is>
      </c>
      <c r="D47" s="6" t="n">
        <v>485.84</v>
      </c>
      <c r="E47" s="6" t="n">
        <v>350.0000000004</v>
      </c>
      <c r="F47" s="6" t="n">
        <v>742.8254143646</v>
      </c>
      <c r="G47" s="6" t="n">
        <v>742.8254143646</v>
      </c>
      <c r="H47" s="6" t="n">
        <v>256.9854143646</v>
      </c>
      <c r="I47" s="6" t="n">
        <v>392.8254143642</v>
      </c>
      <c r="J47" s="6" t="n">
        <v>0</v>
      </c>
    </row>
    <row r="48">
      <c r="A48" s="4" t="inlineStr">
        <is>
          <t>Hathaway, Taylor A</t>
        </is>
      </c>
      <c r="B48" s="4" t="inlineStr">
        <is>
          <t>A_65063</t>
        </is>
      </c>
      <c r="C48" s="4" t="inlineStr">
        <is>
          <t>A_65063 - Gas-LeaseProperty Var Pd to LL</t>
        </is>
      </c>
      <c r="D48" s="6" t="n">
        <v>381.57</v>
      </c>
      <c r="E48" s="6" t="n">
        <v>0</v>
      </c>
      <c r="F48" s="6" t="n">
        <v>401.4596685083</v>
      </c>
      <c r="G48" s="6" t="n">
        <v>401.4596685083</v>
      </c>
      <c r="H48" s="6" t="n">
        <v>19.88966850830002</v>
      </c>
      <c r="I48" s="6" t="n">
        <v>401.4596685083</v>
      </c>
      <c r="J48" s="6" t="n">
        <v>0</v>
      </c>
    </row>
    <row r="49">
      <c r="A49" s="4" t="inlineStr">
        <is>
          <t>Hathaway, Taylor A</t>
        </is>
      </c>
      <c r="B49" s="4" t="inlineStr">
        <is>
          <t>A_65505</t>
        </is>
      </c>
      <c r="C49" s="4" t="inlineStr">
        <is>
          <t>A_65505 - Equipment Service Contracts</t>
        </is>
      </c>
      <c r="D49" s="6" t="n">
        <v>43061.85</v>
      </c>
      <c r="E49" s="6" t="n">
        <v>167699.9999999992</v>
      </c>
      <c r="F49" s="6" t="n">
        <v>144255.22</v>
      </c>
      <c r="G49" s="6" t="n">
        <v>144254.56</v>
      </c>
      <c r="H49" s="6" t="n">
        <v>101192.71</v>
      </c>
      <c r="I49" s="6" t="n">
        <v>-23445.43999999922</v>
      </c>
      <c r="J49" s="6" t="n">
        <v>-0.6599999999743886</v>
      </c>
    </row>
    <row r="50">
      <c r="A50" s="4" t="inlineStr">
        <is>
          <t>Hathaway, Taylor A</t>
        </is>
      </c>
      <c r="B50" s="4" t="inlineStr">
        <is>
          <t>A_65507</t>
        </is>
      </c>
      <c r="C50" s="4" t="inlineStr">
        <is>
          <t>A_65507 - Medical Equip Srvcs Contracts</t>
        </is>
      </c>
      <c r="D50" s="6" t="n">
        <v>631282.0600000001</v>
      </c>
      <c r="E50" s="6" t="n">
        <v>700291.0000000005</v>
      </c>
      <c r="F50" s="6" t="n">
        <v>589980.8200000001</v>
      </c>
      <c r="G50" s="6" t="n">
        <v>568134.84</v>
      </c>
      <c r="H50" s="6" t="n">
        <v>-63147.22000000009</v>
      </c>
      <c r="I50" s="6" t="n">
        <v>-132156.1600000005</v>
      </c>
      <c r="J50" s="6" t="n">
        <v>-21845.9800000001</v>
      </c>
    </row>
    <row r="51">
      <c r="A51" s="4" t="inlineStr">
        <is>
          <t>Hathaway, Taylor A</t>
        </is>
      </c>
      <c r="B51" s="4" t="inlineStr">
        <is>
          <t>A_65510</t>
        </is>
      </c>
      <c r="C51" s="4" t="inlineStr">
        <is>
          <t>A_65510 - Freight</t>
        </is>
      </c>
      <c r="D51" s="6" t="n">
        <v>101673.33</v>
      </c>
      <c r="E51" s="6" t="n">
        <v>96857.0924056668</v>
      </c>
      <c r="F51" s="6" t="n">
        <v>109094.32</v>
      </c>
      <c r="G51" s="6" t="n">
        <v>101181.907148618</v>
      </c>
      <c r="H51" s="6" t="n">
        <v>-491.422851381998</v>
      </c>
      <c r="I51" s="6" t="n">
        <v>4324.814742951203</v>
      </c>
      <c r="J51" s="6" t="n">
        <v>-7912.412851382003</v>
      </c>
    </row>
    <row r="52">
      <c r="A52" s="4" t="inlineStr">
        <is>
          <t>Hathaway, Taylor A</t>
        </is>
      </c>
      <c r="B52" s="4" t="inlineStr">
        <is>
          <t>A_65515</t>
        </is>
      </c>
      <c r="C52" s="4" t="inlineStr">
        <is>
          <t>A_65515 - Ge Central Equip Svc Contract</t>
        </is>
      </c>
      <c r="D52" s="6" t="n">
        <v>28246.12</v>
      </c>
      <c r="E52" s="6" t="n">
        <v>25781.0000000004</v>
      </c>
      <c r="F52" s="6" t="n">
        <v>27328.72</v>
      </c>
      <c r="G52" s="6" t="n">
        <v>27328.72</v>
      </c>
      <c r="H52" s="6" t="n">
        <v>-917.3999999999978</v>
      </c>
      <c r="I52" s="6" t="n">
        <v>1547.719999999601</v>
      </c>
      <c r="J52" s="6" t="n">
        <v>0</v>
      </c>
    </row>
    <row r="53">
      <c r="A53" s="4" t="inlineStr">
        <is>
          <t>Hathaway, Taylor A</t>
        </is>
      </c>
      <c r="B53" s="4" t="inlineStr">
        <is>
          <t>A_65517</t>
        </is>
      </c>
      <c r="C53" s="4" t="inlineStr">
        <is>
          <t>A_65517 - Software Maint and Support</t>
        </is>
      </c>
      <c r="D53" s="6" t="n">
        <v>318370.93</v>
      </c>
      <c r="E53" s="6" t="n">
        <v>462554.2502731838</v>
      </c>
      <c r="F53" s="6" t="n">
        <v>456660.54</v>
      </c>
      <c r="G53" s="6" t="n">
        <v>479109.009873183</v>
      </c>
      <c r="H53" s="6" t="n">
        <v>160738.079873183</v>
      </c>
      <c r="I53" s="6" t="n">
        <v>16554.75959999918</v>
      </c>
      <c r="J53" s="6" t="n">
        <v>22448.46987318294</v>
      </c>
    </row>
    <row r="54">
      <c r="A54" s="4" t="inlineStr">
        <is>
          <t>Hathaway, Taylor A</t>
        </is>
      </c>
      <c r="B54" s="4" t="inlineStr">
        <is>
          <t>A_65524</t>
        </is>
      </c>
      <c r="C54" s="4" t="inlineStr">
        <is>
          <t>A_65524 - Fire Sup-Reprs-Prchsd-Contr Sv</t>
        </is>
      </c>
      <c r="D54" s="6" t="n">
        <v>106.2</v>
      </c>
      <c r="E54" s="6" t="n">
        <v>0</v>
      </c>
      <c r="F54" s="6" t="n">
        <v>60.12</v>
      </c>
      <c r="G54" s="6" t="n">
        <v>0</v>
      </c>
      <c r="H54" s="6" t="n">
        <v>-106.2</v>
      </c>
      <c r="I54" s="6" t="n">
        <v>0</v>
      </c>
      <c r="J54" s="6" t="n">
        <v>-60.12</v>
      </c>
    </row>
    <row r="55">
      <c r="A55" s="4" t="inlineStr">
        <is>
          <t>Hathaway, Taylor A</t>
        </is>
      </c>
      <c r="B55" s="4" t="inlineStr">
        <is>
          <t>A_65525</t>
        </is>
      </c>
      <c r="C55" s="4" t="inlineStr">
        <is>
          <t>A_65525 - Maintenance And Repairs</t>
        </is>
      </c>
      <c r="D55" s="6" t="n">
        <v>-812.6900000000001</v>
      </c>
      <c r="E55" s="6" t="n">
        <v>0</v>
      </c>
      <c r="F55" s="6" t="n">
        <v>-2308</v>
      </c>
      <c r="G55" s="6" t="n">
        <v>2639.62</v>
      </c>
      <c r="H55" s="6" t="n">
        <v>3452.31</v>
      </c>
      <c r="I55" s="6" t="n">
        <v>2639.62</v>
      </c>
      <c r="J55" s="6" t="n">
        <v>4947.62</v>
      </c>
    </row>
    <row r="56">
      <c r="A56" s="4" t="inlineStr">
        <is>
          <t>Hathaway, Taylor A</t>
        </is>
      </c>
      <c r="B56" s="4" t="inlineStr">
        <is>
          <t>A_65527</t>
        </is>
      </c>
      <c r="C56" s="4" t="inlineStr">
        <is>
          <t>A_65527 - Med Equipment Maint &amp; Repairs</t>
        </is>
      </c>
      <c r="D56" s="6" t="n">
        <v>36482.29</v>
      </c>
      <c r="E56" s="6" t="n">
        <v>7299</v>
      </c>
      <c r="F56" s="6" t="n">
        <v>20016.98</v>
      </c>
      <c r="G56" s="6" t="n">
        <v>18816.98</v>
      </c>
      <c r="H56" s="6" t="n">
        <v>-17665.31</v>
      </c>
      <c r="I56" s="6" t="n">
        <v>11517.98</v>
      </c>
      <c r="J56" s="6" t="n">
        <v>-1200</v>
      </c>
    </row>
    <row r="57">
      <c r="A57" s="4" t="inlineStr">
        <is>
          <t>Hathaway, Taylor A</t>
        </is>
      </c>
      <c r="B57" s="4" t="inlineStr">
        <is>
          <t>A_65530</t>
        </is>
      </c>
      <c r="C57" s="4" t="inlineStr">
        <is>
          <t>A_65530 - Medical Purchased Services</t>
        </is>
      </c>
      <c r="D57" s="6" t="n">
        <v>252685.24</v>
      </c>
      <c r="E57" s="6" t="n">
        <v>303272</v>
      </c>
      <c r="F57" s="6" t="n">
        <v>303126.3</v>
      </c>
      <c r="G57" s="6" t="n">
        <v>303272</v>
      </c>
      <c r="H57" s="6" t="n">
        <v>50586.76000000001</v>
      </c>
      <c r="I57" s="6" t="n">
        <v>0</v>
      </c>
      <c r="J57" s="6" t="n">
        <v>145.7000000000116</v>
      </c>
    </row>
    <row r="58">
      <c r="A58" s="4" t="inlineStr">
        <is>
          <t>Hathaway, Taylor A</t>
        </is>
      </c>
      <c r="B58" s="4" t="inlineStr">
        <is>
          <t>A_65535</t>
        </is>
      </c>
      <c r="C58" s="4" t="inlineStr">
        <is>
          <t>A_65535 - Other Purchased Services</t>
        </is>
      </c>
      <c r="D58" s="6" t="n">
        <v>68331.06999999999</v>
      </c>
      <c r="E58" s="6" t="n">
        <v>49700.5792000008</v>
      </c>
      <c r="F58" s="6" t="n">
        <v>89103.84</v>
      </c>
      <c r="G58" s="6" t="n">
        <v>59537.5400000004</v>
      </c>
      <c r="H58" s="6" t="n">
        <v>-8793.529999999591</v>
      </c>
      <c r="I58" s="6" t="n">
        <v>9836.960799999601</v>
      </c>
      <c r="J58" s="6" t="n">
        <v>-29566.2999999996</v>
      </c>
    </row>
    <row r="59">
      <c r="A59" s="4" t="inlineStr">
        <is>
          <t>Hathaway, Taylor A</t>
        </is>
      </c>
      <c r="B59" s="4" t="inlineStr">
        <is>
          <t>A_65536</t>
        </is>
      </c>
      <c r="C59" s="4" t="inlineStr">
        <is>
          <t>A_65536 - Oth Purch Serv- Credentialling</t>
        </is>
      </c>
      <c r="D59" s="6" t="n">
        <v>18161.8</v>
      </c>
      <c r="E59" s="6" t="n">
        <v>17965.0004000004</v>
      </c>
      <c r="F59" s="6" t="n">
        <v>32125.94</v>
      </c>
      <c r="G59" s="6" t="n">
        <v>24464.28</v>
      </c>
      <c r="H59" s="6" t="n">
        <v>6302.48</v>
      </c>
      <c r="I59" s="6" t="n">
        <v>6499.279599999598</v>
      </c>
      <c r="J59" s="6" t="n">
        <v>-7661.660000000003</v>
      </c>
    </row>
    <row r="60">
      <c r="A60" s="4" t="inlineStr">
        <is>
          <t>Hathaway, Taylor A</t>
        </is>
      </c>
      <c r="B60" s="4" t="inlineStr">
        <is>
          <t>A_65540</t>
        </is>
      </c>
      <c r="C60" s="4" t="inlineStr">
        <is>
          <t>A_65540 - Outside Messenger Service</t>
        </is>
      </c>
      <c r="D60" s="6" t="n">
        <v>38191.8</v>
      </c>
      <c r="E60" s="6" t="n">
        <v>34887.9999999996</v>
      </c>
      <c r="F60" s="6" t="n">
        <v>42916.88</v>
      </c>
      <c r="G60" s="6" t="n">
        <v>36614.94</v>
      </c>
      <c r="H60" s="6" t="n">
        <v>-1576.860000000001</v>
      </c>
      <c r="I60" s="6" t="n">
        <v>1726.940000000403</v>
      </c>
      <c r="J60" s="6" t="n">
        <v>-6301.939999999995</v>
      </c>
    </row>
    <row r="61">
      <c r="A61" s="4" t="inlineStr">
        <is>
          <t>Hathaway, Taylor A</t>
        </is>
      </c>
      <c r="B61" s="4" t="inlineStr">
        <is>
          <t>A_65542</t>
        </is>
      </c>
      <c r="C61" s="4" t="inlineStr">
        <is>
          <t>A_65542 - Translation Services</t>
        </is>
      </c>
      <c r="D61" s="6" t="n">
        <v>633.16</v>
      </c>
      <c r="E61" s="6" t="n">
        <v>0</v>
      </c>
      <c r="F61" s="6" t="n">
        <v>0</v>
      </c>
      <c r="G61" s="6" t="n">
        <v>0</v>
      </c>
      <c r="H61" s="6" t="n">
        <v>-633.16</v>
      </c>
      <c r="I61" s="6" t="n">
        <v>0</v>
      </c>
      <c r="J61" s="6" t="n">
        <v>0</v>
      </c>
    </row>
    <row r="62">
      <c r="A62" s="4" t="inlineStr">
        <is>
          <t>Hathaway, Taylor A</t>
        </is>
      </c>
      <c r="B62" s="4" t="inlineStr">
        <is>
          <t>A_65543</t>
        </is>
      </c>
      <c r="C62" s="4" t="inlineStr">
        <is>
          <t>A_65543 - Purchased Services - Cleaning</t>
        </is>
      </c>
      <c r="D62" s="6" t="n">
        <v>7944</v>
      </c>
      <c r="E62" s="6" t="n">
        <v>6456</v>
      </c>
      <c r="F62" s="6" t="n">
        <v>7608</v>
      </c>
      <c r="G62" s="6" t="n">
        <v>6684</v>
      </c>
      <c r="H62" s="6" t="n">
        <v>-1260</v>
      </c>
      <c r="I62" s="6" t="n">
        <v>228</v>
      </c>
      <c r="J62" s="6" t="n">
        <v>-924</v>
      </c>
    </row>
    <row r="63">
      <c r="A63" s="4" t="inlineStr">
        <is>
          <t>Hathaway, Taylor A</t>
        </is>
      </c>
      <c r="B63" s="4" t="inlineStr">
        <is>
          <t>A_65565</t>
        </is>
      </c>
      <c r="C63" s="4" t="inlineStr">
        <is>
          <t>A_65565 - Purchases Services - Linen</t>
        </is>
      </c>
      <c r="D63" s="6" t="n">
        <v>12640.32</v>
      </c>
      <c r="E63" s="6" t="n">
        <v>25306.0000000008</v>
      </c>
      <c r="F63" s="6" t="n">
        <v>19790.7</v>
      </c>
      <c r="G63" s="6" t="n">
        <v>19671</v>
      </c>
      <c r="H63" s="6" t="n">
        <v>7030.68</v>
      </c>
      <c r="I63" s="6" t="n">
        <v>-5635.0000000008</v>
      </c>
      <c r="J63" s="6" t="n">
        <v>-119.7000000000007</v>
      </c>
    </row>
    <row r="64">
      <c r="A64" s="4" t="inlineStr">
        <is>
          <t>Hathaway, Taylor A</t>
        </is>
      </c>
      <c r="B64" s="4" t="inlineStr">
        <is>
          <t>A_66000</t>
        </is>
      </c>
      <c r="C64" s="4" t="inlineStr">
        <is>
          <t>A_66000 - Dues</t>
        </is>
      </c>
      <c r="D64" s="6" t="n">
        <v>34513.73</v>
      </c>
      <c r="E64" s="6" t="n">
        <v>34227.9999999984</v>
      </c>
      <c r="F64" s="6" t="n">
        <v>38201.22</v>
      </c>
      <c r="G64" s="6" t="n">
        <v>67468.9999999992</v>
      </c>
      <c r="H64" s="6" t="n">
        <v>32955.2699999992</v>
      </c>
      <c r="I64" s="6" t="n">
        <v>33241.0000000008</v>
      </c>
      <c r="J64" s="6" t="n">
        <v>29267.7799999992</v>
      </c>
    </row>
    <row r="65">
      <c r="A65" s="4" t="inlineStr">
        <is>
          <t>Hathaway, Taylor A</t>
        </is>
      </c>
      <c r="B65" s="4" t="inlineStr">
        <is>
          <t>A_66010</t>
        </is>
      </c>
      <c r="C65" s="4" t="inlineStr">
        <is>
          <t>A_66010 - Periodicals-Publ-Subscriptions</t>
        </is>
      </c>
      <c r="D65" s="6" t="n">
        <v>24608.05</v>
      </c>
      <c r="E65" s="6" t="n">
        <v>9876</v>
      </c>
      <c r="F65" s="6" t="n">
        <v>4935.72</v>
      </c>
      <c r="G65" s="6" t="n">
        <v>3864</v>
      </c>
      <c r="H65" s="6" t="n">
        <v>-20744.05</v>
      </c>
      <c r="I65" s="6" t="n">
        <v>-6012</v>
      </c>
      <c r="J65" s="6" t="n">
        <v>-1071.72</v>
      </c>
    </row>
    <row r="66">
      <c r="A66" s="4" t="inlineStr">
        <is>
          <t>Hathaway, Taylor A</t>
        </is>
      </c>
      <c r="B66" s="4" t="inlineStr">
        <is>
          <t>A_66020</t>
        </is>
      </c>
      <c r="C66" s="4" t="inlineStr">
        <is>
          <t>A_66020 - Outside Training</t>
        </is>
      </c>
      <c r="D66" s="6" t="n">
        <v>31074.1</v>
      </c>
      <c r="E66" s="6" t="n">
        <v>34576.877621964</v>
      </c>
      <c r="F66" s="6" t="n">
        <v>15303.92</v>
      </c>
      <c r="G66" s="6" t="n">
        <v>31625.548463378</v>
      </c>
      <c r="H66" s="6" t="n">
        <v>551.4484633780012</v>
      </c>
      <c r="I66" s="6" t="n">
        <v>-2951.329158585999</v>
      </c>
      <c r="J66" s="6" t="n">
        <v>16321.628463378</v>
      </c>
    </row>
    <row r="67">
      <c r="A67" s="4" t="inlineStr">
        <is>
          <t>Hathaway, Taylor A</t>
        </is>
      </c>
      <c r="B67" s="4" t="inlineStr">
        <is>
          <t>A_66030</t>
        </is>
      </c>
      <c r="C67" s="4" t="inlineStr">
        <is>
          <t>A_66030 - Microfilming &amp; Archiving</t>
        </is>
      </c>
      <c r="D67" s="6" t="n">
        <v>19626.03</v>
      </c>
      <c r="E67" s="6" t="n">
        <v>22383.0000000012</v>
      </c>
      <c r="F67" s="6" t="n">
        <v>9221.360000000001</v>
      </c>
      <c r="G67" s="6" t="n">
        <v>10587</v>
      </c>
      <c r="H67" s="6" t="n">
        <v>-9039.029999999999</v>
      </c>
      <c r="I67" s="6" t="n">
        <v>-11796.0000000012</v>
      </c>
      <c r="J67" s="6" t="n">
        <v>1365.639999999999</v>
      </c>
    </row>
    <row r="68">
      <c r="A68" s="4" t="inlineStr">
        <is>
          <t>Hathaway, Taylor A</t>
        </is>
      </c>
      <c r="B68" s="4" t="inlineStr">
        <is>
          <t>A_66040</t>
        </is>
      </c>
      <c r="C68" s="4" t="inlineStr">
        <is>
          <t>A_66040 - Postage</t>
        </is>
      </c>
      <c r="D68" s="6" t="n">
        <v>300</v>
      </c>
      <c r="E68" s="6" t="n">
        <v>30</v>
      </c>
      <c r="F68" s="6" t="n">
        <v>0</v>
      </c>
      <c r="G68" s="6" t="n">
        <v>0</v>
      </c>
      <c r="H68" s="6" t="n">
        <v>-300</v>
      </c>
      <c r="I68" s="6" t="n">
        <v>-30</v>
      </c>
      <c r="J68" s="6" t="n">
        <v>0</v>
      </c>
    </row>
    <row r="69">
      <c r="A69" s="4" t="inlineStr">
        <is>
          <t>Hathaway, Taylor A</t>
        </is>
      </c>
      <c r="B69" s="4" t="inlineStr">
        <is>
          <t>A_66050</t>
        </is>
      </c>
      <c r="C69" s="4" t="inlineStr">
        <is>
          <t>A_66050 - Printing And Duplication</t>
        </is>
      </c>
      <c r="D69" s="6" t="n">
        <v>31700.61</v>
      </c>
      <c r="E69" s="6" t="n">
        <v>31570.9596000012</v>
      </c>
      <c r="F69" s="6" t="n">
        <v>22626.92</v>
      </c>
      <c r="G69" s="6" t="n">
        <v>14040.34</v>
      </c>
      <c r="H69" s="6" t="n">
        <v>-17660.27</v>
      </c>
      <c r="I69" s="6" t="n">
        <v>-17530.6196000012</v>
      </c>
      <c r="J69" s="6" t="n">
        <v>-8586.579999999998</v>
      </c>
    </row>
    <row r="70">
      <c r="A70" s="4" t="inlineStr">
        <is>
          <t>Hathaway, Taylor A</t>
        </is>
      </c>
      <c r="B70" s="4" t="inlineStr">
        <is>
          <t>A_66060</t>
        </is>
      </c>
      <c r="C70" s="4" t="inlineStr">
        <is>
          <t>A_66060 - Other Expenses</t>
        </is>
      </c>
      <c r="D70" s="6" t="n">
        <v>8895.43</v>
      </c>
      <c r="E70" s="6" t="n">
        <v>6708.0003999996</v>
      </c>
      <c r="F70" s="6" t="n">
        <v>3035.94</v>
      </c>
      <c r="G70" s="6" t="n">
        <v>2650.54</v>
      </c>
      <c r="H70" s="6" t="n">
        <v>-6244.89</v>
      </c>
      <c r="I70" s="6" t="n">
        <v>-4057.4603999996</v>
      </c>
      <c r="J70" s="6" t="n">
        <v>-385.4000000000001</v>
      </c>
    </row>
    <row r="71">
      <c r="A71" s="4" t="inlineStr">
        <is>
          <t>Hathaway, Taylor A</t>
        </is>
      </c>
      <c r="B71" s="4" t="inlineStr">
        <is>
          <t>A_66070</t>
        </is>
      </c>
      <c r="C71" s="4" t="inlineStr">
        <is>
          <t>A_66070 - Advertising</t>
        </is>
      </c>
      <c r="D71" s="6" t="n">
        <v>15227.5</v>
      </c>
      <c r="E71" s="6" t="n">
        <v>0</v>
      </c>
      <c r="F71" s="6" t="n">
        <v>0</v>
      </c>
      <c r="G71" s="6" t="n">
        <v>25000</v>
      </c>
      <c r="H71" s="6" t="n">
        <v>9772.5</v>
      </c>
      <c r="I71" s="6" t="n">
        <v>25000</v>
      </c>
      <c r="J71" s="6" t="n">
        <v>25000</v>
      </c>
    </row>
    <row r="72">
      <c r="A72" s="4" t="inlineStr">
        <is>
          <t>Hathaway, Taylor A</t>
        </is>
      </c>
      <c r="B72" s="4" t="inlineStr">
        <is>
          <t>A_66073</t>
        </is>
      </c>
      <c r="C72" s="4" t="inlineStr">
        <is>
          <t>A_66073 - Promotional Services</t>
        </is>
      </c>
      <c r="D72" s="6" t="n">
        <v>3500</v>
      </c>
      <c r="E72" s="6" t="n">
        <v>0</v>
      </c>
      <c r="F72" s="6" t="n">
        <v>0</v>
      </c>
      <c r="G72" s="6" t="n">
        <v>0</v>
      </c>
      <c r="H72" s="6" t="n">
        <v>-3500</v>
      </c>
      <c r="I72" s="6" t="n">
        <v>0</v>
      </c>
      <c r="J72" s="6" t="n">
        <v>0</v>
      </c>
    </row>
    <row r="73">
      <c r="A73" s="4" t="inlineStr">
        <is>
          <t>Hathaway, Taylor A</t>
        </is>
      </c>
      <c r="B73" s="4" t="inlineStr">
        <is>
          <t>A_66075</t>
        </is>
      </c>
      <c r="C73" s="4" t="inlineStr">
        <is>
          <t>A_66075 - Promotional items</t>
        </is>
      </c>
      <c r="D73" s="6" t="n">
        <v>42573.11</v>
      </c>
      <c r="E73" s="6" t="n">
        <v>17899.9999999992</v>
      </c>
      <c r="F73" s="6" t="n">
        <v>86454.7</v>
      </c>
      <c r="G73" s="6" t="n">
        <v>93058.5</v>
      </c>
      <c r="H73" s="6" t="n">
        <v>50485.39</v>
      </c>
      <c r="I73" s="6" t="n">
        <v>75158.5000000008</v>
      </c>
      <c r="J73" s="6" t="n">
        <v>6603.800000000003</v>
      </c>
    </row>
    <row r="74">
      <c r="A74" s="4" t="inlineStr">
        <is>
          <t>Hathaway, Taylor A</t>
        </is>
      </c>
      <c r="B74" s="4" t="inlineStr">
        <is>
          <t>A_66076</t>
        </is>
      </c>
      <c r="C74" s="4" t="inlineStr">
        <is>
          <t>A_66076 - Corporate Sponsorships</t>
        </is>
      </c>
      <c r="D74" s="6" t="n">
        <v>15000</v>
      </c>
      <c r="E74" s="6" t="n">
        <v>22500</v>
      </c>
      <c r="F74" s="6" t="n">
        <v>30000</v>
      </c>
      <c r="G74" s="6" t="n">
        <v>15000</v>
      </c>
      <c r="H74" s="6" t="n">
        <v>0</v>
      </c>
      <c r="I74" s="6" t="n">
        <v>-7500</v>
      </c>
      <c r="J74" s="6" t="n">
        <v>-15000</v>
      </c>
    </row>
    <row r="75">
      <c r="A75" s="4" t="inlineStr">
        <is>
          <t>Hathaway, Taylor A</t>
        </is>
      </c>
      <c r="B75" s="4" t="inlineStr">
        <is>
          <t>A_66090</t>
        </is>
      </c>
      <c r="C75" s="4" t="inlineStr">
        <is>
          <t>A_66090 - House Functions &amp; Corp Events</t>
        </is>
      </c>
      <c r="D75" s="6" t="n">
        <v>99976.99000000001</v>
      </c>
      <c r="E75" s="6" t="n">
        <v>103641.3929883132</v>
      </c>
      <c r="F75" s="6" t="n">
        <v>59953.6</v>
      </c>
      <c r="G75" s="6" t="n">
        <v>26653.47</v>
      </c>
      <c r="H75" s="6" t="n">
        <v>-73323.52</v>
      </c>
      <c r="I75" s="6" t="n">
        <v>-76987.92298831319</v>
      </c>
      <c r="J75" s="6" t="n">
        <v>-33300.13</v>
      </c>
    </row>
    <row r="76">
      <c r="A76" s="4" t="inlineStr">
        <is>
          <t>Hathaway, Taylor A</t>
        </is>
      </c>
      <c r="B76" s="4" t="inlineStr">
        <is>
          <t>A_66095</t>
        </is>
      </c>
      <c r="C76" s="4" t="inlineStr">
        <is>
          <t>A_66095 - Meals &amp; Entertainment</t>
        </is>
      </c>
      <c r="D76" s="6" t="n">
        <v>22610.32</v>
      </c>
      <c r="E76" s="6" t="n">
        <v>37478.3994770136</v>
      </c>
      <c r="F76" s="6" t="n">
        <v>16821.54</v>
      </c>
      <c r="G76" s="6" t="n">
        <v>27262.3023402964</v>
      </c>
      <c r="H76" s="6" t="n">
        <v>4651.982340296399</v>
      </c>
      <c r="I76" s="6" t="n">
        <v>-10216.0971367172</v>
      </c>
      <c r="J76" s="6" t="n">
        <v>10440.7623402964</v>
      </c>
    </row>
    <row r="77">
      <c r="A77" s="4" t="inlineStr">
        <is>
          <t>Hathaway, Taylor A</t>
        </is>
      </c>
      <c r="B77" s="4" t="inlineStr">
        <is>
          <t>A_66110</t>
        </is>
      </c>
      <c r="C77" s="4" t="inlineStr">
        <is>
          <t>A_66110 - Mileage</t>
        </is>
      </c>
      <c r="D77" s="6" t="n">
        <v>1349.29</v>
      </c>
      <c r="E77" s="6" t="n">
        <v>1110</v>
      </c>
      <c r="F77" s="6" t="n">
        <v>1533.08</v>
      </c>
      <c r="G77" s="6" t="n">
        <v>1533.08</v>
      </c>
      <c r="H77" s="6" t="n">
        <v>183.79</v>
      </c>
      <c r="I77" s="6" t="n">
        <v>423.0799999999999</v>
      </c>
      <c r="J77" s="6" t="n">
        <v>0</v>
      </c>
    </row>
    <row r="78">
      <c r="A78" s="4" t="inlineStr">
        <is>
          <t>Hathaway, Taylor A</t>
        </is>
      </c>
      <c r="B78" s="4" t="inlineStr">
        <is>
          <t>A_66150</t>
        </is>
      </c>
      <c r="C78" s="4" t="inlineStr">
        <is>
          <t>A_66150 - Travel</t>
        </is>
      </c>
      <c r="D78" s="6" t="n">
        <v>40653.37</v>
      </c>
      <c r="E78" s="6" t="n">
        <v>42424.8220765752</v>
      </c>
      <c r="F78" s="6" t="n">
        <v>39695.4</v>
      </c>
      <c r="G78" s="6" t="n">
        <v>25240.8991841476</v>
      </c>
      <c r="H78" s="6" t="n">
        <v>-15412.4708158524</v>
      </c>
      <c r="I78" s="6" t="n">
        <v>-17183.9228924276</v>
      </c>
      <c r="J78" s="6" t="n">
        <v>-14454.5008158524</v>
      </c>
    </row>
    <row r="79">
      <c r="A79" s="4" t="inlineStr">
        <is>
          <t>Hathaway, Taylor A</t>
        </is>
      </c>
      <c r="B79" s="4" t="inlineStr">
        <is>
          <t>A_66152</t>
        </is>
      </c>
      <c r="C79" s="4" t="inlineStr">
        <is>
          <t>A_66152 - Patient Transportation</t>
        </is>
      </c>
      <c r="D79" s="6" t="n">
        <v>34141.46</v>
      </c>
      <c r="E79" s="6" t="n">
        <v>32400</v>
      </c>
      <c r="F79" s="6" t="n">
        <v>0</v>
      </c>
      <c r="G79" s="6" t="n">
        <v>32400</v>
      </c>
      <c r="H79" s="6" t="n">
        <v>-1741.459999999999</v>
      </c>
      <c r="I79" s="6" t="n">
        <v>0</v>
      </c>
      <c r="J79" s="6" t="n">
        <v>32400</v>
      </c>
    </row>
    <row r="80">
      <c r="A80" s="4" t="inlineStr">
        <is>
          <t>Hathaway, Taylor A</t>
        </is>
      </c>
      <c r="B80" s="4" t="inlineStr">
        <is>
          <t>A_66170</t>
        </is>
      </c>
      <c r="C80" s="4" t="inlineStr">
        <is>
          <t>A_66170 - FLEX-Traveler Allowance</t>
        </is>
      </c>
      <c r="D80" s="6" t="n">
        <v>90497</v>
      </c>
      <c r="E80" s="6" t="n">
        <v>33055.5308353872</v>
      </c>
      <c r="F80" s="6" t="n">
        <v>0</v>
      </c>
      <c r="G80" s="6" t="n">
        <v>0</v>
      </c>
      <c r="H80" s="6" t="n">
        <v>-90497</v>
      </c>
      <c r="I80" s="6" t="n">
        <v>-33055.5308353872</v>
      </c>
      <c r="J80" s="6" t="n">
        <v>0</v>
      </c>
    </row>
    <row r="81">
      <c r="A81" s="4" t="inlineStr">
        <is>
          <t>Hathaway, Taylor A</t>
        </is>
      </c>
      <c r="B81" s="4" t="inlineStr">
        <is>
          <t>A_66500</t>
        </is>
      </c>
      <c r="C81" s="4" t="inlineStr">
        <is>
          <t>A_66500 - Property Rentals</t>
        </is>
      </c>
      <c r="D81" s="6" t="n">
        <v>308183.8</v>
      </c>
      <c r="E81" s="6" t="n">
        <v>255224</v>
      </c>
      <c r="F81" s="6" t="n">
        <v>315992.12</v>
      </c>
      <c r="G81" s="6" t="n">
        <v>315992.12</v>
      </c>
      <c r="H81" s="6" t="n">
        <v>7808.320000000007</v>
      </c>
      <c r="I81" s="6" t="n">
        <v>60768.12</v>
      </c>
      <c r="J81" s="6" t="n">
        <v>0</v>
      </c>
    </row>
    <row r="82">
      <c r="A82" s="4" t="inlineStr">
        <is>
          <t>Hathaway, Taylor A</t>
        </is>
      </c>
      <c r="B82" s="4" t="inlineStr">
        <is>
          <t>A_66510</t>
        </is>
      </c>
      <c r="C82" s="4" t="inlineStr">
        <is>
          <t>A_66510 - Lease-Rentals - Other</t>
        </is>
      </c>
      <c r="D82" s="6" t="n">
        <v>192139.27</v>
      </c>
      <c r="E82" s="6" t="n">
        <v>211081.9999999988</v>
      </c>
      <c r="F82" s="6" t="n">
        <v>278811.06</v>
      </c>
      <c r="G82" s="6" t="n">
        <v>302396</v>
      </c>
      <c r="H82" s="6" t="n">
        <v>110256.73</v>
      </c>
      <c r="I82" s="6" t="n">
        <v>91314.00000000122</v>
      </c>
      <c r="J82" s="6" t="n">
        <v>23584.94</v>
      </c>
    </row>
    <row r="83">
      <c r="A83" s="4" t="inlineStr">
        <is>
          <t>Hathaway, Taylor A</t>
        </is>
      </c>
      <c r="B83" s="4" t="inlineStr">
        <is>
          <t>A_66515</t>
        </is>
      </c>
      <c r="C83" s="4" t="inlineStr">
        <is>
          <t>A_66515 - Lease Rentals - Copiers</t>
        </is>
      </c>
      <c r="D83" s="6" t="n">
        <v>110173.15</v>
      </c>
      <c r="E83" s="6" t="n">
        <v>99414.8604000012</v>
      </c>
      <c r="F83" s="6" t="n">
        <v>93400.52</v>
      </c>
      <c r="G83" s="6" t="n">
        <v>90727.3000000004</v>
      </c>
      <c r="H83" s="6" t="n">
        <v>-19445.8499999996</v>
      </c>
      <c r="I83" s="6" t="n">
        <v>-8687.560400000802</v>
      </c>
      <c r="J83" s="6" t="n">
        <v>-2673.219999999608</v>
      </c>
    </row>
    <row r="84">
      <c r="A84" s="4" t="inlineStr">
        <is>
          <t>Hathaway, Taylor A</t>
        </is>
      </c>
      <c r="B84" s="4" t="inlineStr">
        <is>
          <t>A_66524</t>
        </is>
      </c>
      <c r="C84" s="4" t="inlineStr">
        <is>
          <t>A_66524 - Software Licensing Fees</t>
        </is>
      </c>
      <c r="D84" s="6" t="n">
        <v>99407.19</v>
      </c>
      <c r="E84" s="6" t="n">
        <v>104301.9999999996</v>
      </c>
      <c r="F84" s="6" t="n">
        <v>87101.67999999999</v>
      </c>
      <c r="G84" s="6" t="n">
        <v>132584.56</v>
      </c>
      <c r="H84" s="6" t="n">
        <v>33177.37</v>
      </c>
      <c r="I84" s="6" t="n">
        <v>28282.56000000039</v>
      </c>
      <c r="J84" s="6" t="n">
        <v>45482.88</v>
      </c>
    </row>
    <row r="85">
      <c r="A85" s="4" t="inlineStr">
        <is>
          <t>Hathaway, Taylor A</t>
        </is>
      </c>
      <c r="B85" s="4" t="inlineStr">
        <is>
          <t>A_66528</t>
        </is>
      </c>
      <c r="C85" s="4" t="inlineStr">
        <is>
          <t>A_66528 - Cloud Software Licensing Fees</t>
        </is>
      </c>
      <c r="D85" s="6" t="n">
        <v>1748.6</v>
      </c>
      <c r="E85" s="6" t="n">
        <v>0</v>
      </c>
      <c r="F85" s="6" t="n">
        <v>5773.26</v>
      </c>
      <c r="G85" s="6" t="n">
        <v>5514.91</v>
      </c>
      <c r="H85" s="6" t="n">
        <v>3766.31</v>
      </c>
      <c r="I85" s="6" t="n">
        <v>5514.91</v>
      </c>
      <c r="J85" s="6" t="n">
        <v>-258.3500000000004</v>
      </c>
    </row>
    <row r="86">
      <c r="A86" s="4" t="inlineStr">
        <is>
          <t>Hathaway, Taylor A</t>
        </is>
      </c>
      <c r="B86" s="4" t="inlineStr">
        <is>
          <t>A_66602</t>
        </is>
      </c>
      <c r="C86" s="4" t="inlineStr">
        <is>
          <t>A_66602 - RE Tax Var Leased Properties</t>
        </is>
      </c>
      <c r="D86" s="6" t="n">
        <v>6813.65</v>
      </c>
      <c r="E86" s="6" t="n">
        <v>0</v>
      </c>
      <c r="F86" s="6" t="n">
        <v>0</v>
      </c>
      <c r="G86" s="6" t="n">
        <v>0</v>
      </c>
      <c r="H86" s="6" t="n">
        <v>-6813.65</v>
      </c>
      <c r="I86" s="6" t="n">
        <v>0</v>
      </c>
      <c r="J86" s="6" t="n">
        <v>0</v>
      </c>
    </row>
    <row r="87">
      <c r="A87" s="7" t="inlineStr">
        <is>
          <t>Total</t>
        </is>
      </c>
      <c r="B87" s="7" t="n"/>
      <c r="C87" s="7" t="n"/>
      <c r="D87" s="8">
        <f>SUM(D6:D86)</f>
        <v/>
      </c>
      <c r="E87" s="8">
        <f>SUM(E6:E86)</f>
        <v/>
      </c>
      <c r="F87" s="8">
        <f>SUM(F6:F86)</f>
        <v/>
      </c>
      <c r="G87" s="8">
        <f>SUM(G6:G86)</f>
        <v/>
      </c>
      <c r="H87" s="8">
        <f>SUM(H6:H86)</f>
        <v/>
      </c>
      <c r="I87" s="8">
        <f>SUM(I6:I86)</f>
        <v/>
      </c>
      <c r="J87" s="8">
        <f>SUM(J6:J86)</f>
        <v/>
      </c>
    </row>
  </sheetData>
  <autoFilter ref="A5:J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2026-08-26T21:50:11Z</dcterms:created>
  <dcterms:modified xsi:type="dcterms:W3CDTF">2026-08-26T21:50:11Z</dcterms:modified>
</cp:coreProperties>
</file>