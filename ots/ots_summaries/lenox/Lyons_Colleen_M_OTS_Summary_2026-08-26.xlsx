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Summary'!$A$5:$K$7</definedName>
    <definedName name="_xlnm._FilterDatabase" localSheetId="1" hidden="1">'Acct Summary'!$A$5:$J$20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7" customWidth="1" min="4" max="4"/>
    <col width="22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Lyons, Colleen M</t>
        </is>
      </c>
      <c r="B6" s="4" t="inlineStr">
        <is>
          <t>Lyons, Colleen M</t>
        </is>
      </c>
      <c r="C6" s="5" t="n">
        <v>15601060</v>
      </c>
      <c r="D6" s="4" t="inlineStr">
        <is>
          <t>LENOX_15601060 - IS network services</t>
        </is>
      </c>
      <c r="E6" s="6" t="n">
        <v>359588.45</v>
      </c>
      <c r="F6" s="6" t="n">
        <v>369230.1384459202</v>
      </c>
      <c r="G6" s="6" t="n">
        <v>343673.7333149172</v>
      </c>
      <c r="H6" s="6" t="n">
        <v>149237.4707734807</v>
      </c>
      <c r="I6" s="6" t="n">
        <v>-210350.9792265192</v>
      </c>
      <c r="J6" s="6" t="n">
        <v>-219992.6676724395</v>
      </c>
      <c r="K6" s="6" t="n">
        <v>-194436.2625414365</v>
      </c>
    </row>
    <row r="7">
      <c r="A7" s="4" t="inlineStr">
        <is>
          <t>Lyons, Colleen M</t>
        </is>
      </c>
      <c r="B7" s="4" t="inlineStr">
        <is>
          <t>Lyons, Colleen M</t>
        </is>
      </c>
      <c r="C7" s="5" t="n">
        <v>15693050</v>
      </c>
      <c r="D7" s="4" t="inlineStr">
        <is>
          <t>LENOX_15693050 - Sup Svc-Telecommunications</t>
        </is>
      </c>
      <c r="E7" s="6" t="n">
        <v>906976.3400000001</v>
      </c>
      <c r="F7" s="6" t="n">
        <v>928293.8406662199</v>
      </c>
      <c r="G7" s="6" t="n">
        <v>913787.0228729281</v>
      </c>
      <c r="H7" s="6" t="n">
        <v>847488.9199999999</v>
      </c>
      <c r="I7" s="6" t="n">
        <v>-59487.42000000016</v>
      </c>
      <c r="J7" s="6" t="n">
        <v>-80804.92066622002</v>
      </c>
      <c r="K7" s="6" t="n">
        <v>-66298.10287292814</v>
      </c>
    </row>
    <row r="8">
      <c r="A8" s="7" t="inlineStr">
        <is>
          <t>Total</t>
        </is>
      </c>
      <c r="B8" s="7" t="n"/>
      <c r="C8" s="7">
        <f>SUM(C6:C7)</f>
        <v/>
      </c>
      <c r="D8" s="7" t="n"/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  <c r="K8" s="8">
        <f>SUM(K6:K7)</f>
        <v/>
      </c>
    </row>
  </sheetData>
  <autoFilter ref="A5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2" customWidth="1" min="3" max="3"/>
    <col width="22" customWidth="1" min="4" max="4"/>
    <col width="21" customWidth="1" min="5" max="5"/>
    <col width="21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Lyons, Colleen M</t>
        </is>
      </c>
      <c r="B6" s="4" t="inlineStr">
        <is>
          <t>A_64000</t>
        </is>
      </c>
      <c r="C6" s="4" t="inlineStr">
        <is>
          <t>A_64000 - Supplies - Hotel Services</t>
        </is>
      </c>
      <c r="D6" s="6" t="n">
        <v>291.88</v>
      </c>
      <c r="E6" s="6" t="n">
        <v>278.1000000001</v>
      </c>
      <c r="F6" s="6" t="n">
        <v>543.2248618785</v>
      </c>
      <c r="G6" s="6" t="n">
        <v>250</v>
      </c>
      <c r="H6" s="6" t="n">
        <v>-41.88</v>
      </c>
      <c r="I6" s="6" t="n">
        <v>-28.10000000010001</v>
      </c>
      <c r="J6" s="6" t="n">
        <v>-293.2248618785</v>
      </c>
    </row>
    <row r="7">
      <c r="A7" s="4" t="inlineStr">
        <is>
          <t>Lyons, Colleen M</t>
        </is>
      </c>
      <c r="B7" s="4" t="inlineStr">
        <is>
          <t>A_64020</t>
        </is>
      </c>
      <c r="C7" s="4" t="inlineStr">
        <is>
          <t>A_64020 - Supplies - Office</t>
        </is>
      </c>
      <c r="D7" s="6" t="n">
        <v>1218.75</v>
      </c>
      <c r="E7" s="6" t="n">
        <v>1904.4000000001</v>
      </c>
      <c r="F7" s="6" t="n">
        <v>-1481.2748618785</v>
      </c>
      <c r="G7" s="6" t="n">
        <v>2324.4</v>
      </c>
      <c r="H7" s="6" t="n">
        <v>1105.65</v>
      </c>
      <c r="I7" s="6" t="n">
        <v>419.9999999999002</v>
      </c>
      <c r="J7" s="6" t="n">
        <v>3805.6748618785</v>
      </c>
    </row>
    <row r="8">
      <c r="A8" s="4" t="inlineStr">
        <is>
          <t>Lyons, Colleen M</t>
        </is>
      </c>
      <c r="B8" s="4" t="inlineStr">
        <is>
          <t>A_64030</t>
        </is>
      </c>
      <c r="C8" s="4" t="inlineStr">
        <is>
          <t>A_64030 - Supplies - Other Non Medical</t>
        </is>
      </c>
      <c r="D8" s="6" t="n">
        <v>11316.82</v>
      </c>
      <c r="E8" s="6" t="n">
        <v>9045.9</v>
      </c>
      <c r="F8" s="6" t="n">
        <v>5425.2107734807</v>
      </c>
      <c r="G8" s="6" t="n">
        <v>5425.2107734807</v>
      </c>
      <c r="H8" s="6" t="n">
        <v>-5891.6092265193</v>
      </c>
      <c r="I8" s="6" t="n">
        <v>-3620.6892265193</v>
      </c>
      <c r="J8" s="6" t="n">
        <v>0</v>
      </c>
    </row>
    <row r="9">
      <c r="A9" s="4" t="inlineStr">
        <is>
          <t>Lyons, Colleen M</t>
        </is>
      </c>
      <c r="B9" s="4" t="inlineStr">
        <is>
          <t>A_65050</t>
        </is>
      </c>
      <c r="C9" s="4" t="inlineStr">
        <is>
          <t>A_65050 - Telephone</t>
        </is>
      </c>
      <c r="D9" s="6" t="n">
        <v>406233.26</v>
      </c>
      <c r="E9" s="6" t="n">
        <v>433830.0000000004</v>
      </c>
      <c r="F9" s="6" t="n">
        <v>410437.0754143645</v>
      </c>
      <c r="G9" s="6" t="n">
        <v>351539.6</v>
      </c>
      <c r="H9" s="6" t="n">
        <v>-54693.66000000003</v>
      </c>
      <c r="I9" s="6" t="n">
        <v>-82290.40000000043</v>
      </c>
      <c r="J9" s="6" t="n">
        <v>-58897.47541436454</v>
      </c>
    </row>
    <row r="10">
      <c r="A10" s="4" t="inlineStr">
        <is>
          <t>Lyons, Colleen M</t>
        </is>
      </c>
      <c r="B10" s="4" t="inlineStr">
        <is>
          <t>A_65505</t>
        </is>
      </c>
      <c r="C10" s="4" t="inlineStr">
        <is>
          <t>A_65505 - Equipment Service Contracts</t>
        </is>
      </c>
      <c r="D10" s="6" t="n">
        <v>498075.27</v>
      </c>
      <c r="E10" s="6" t="n">
        <v>496131.9996</v>
      </c>
      <c r="F10" s="6" t="n">
        <v>506848.98</v>
      </c>
      <c r="G10" s="6" t="n">
        <v>499609.76</v>
      </c>
      <c r="H10" s="6" t="n">
        <v>1534.489999999991</v>
      </c>
      <c r="I10" s="6" t="n">
        <v>3477.760400000028</v>
      </c>
      <c r="J10" s="6" t="n">
        <v>-7239.219999999972</v>
      </c>
    </row>
    <row r="11">
      <c r="A11" s="4" t="inlineStr">
        <is>
          <t>Lyons, Colleen M</t>
        </is>
      </c>
      <c r="B11" s="4" t="inlineStr">
        <is>
          <t>A_65510</t>
        </is>
      </c>
      <c r="C11" s="4" t="inlineStr">
        <is>
          <t>A_65510 - Freight</t>
        </is>
      </c>
      <c r="D11" s="6" t="n">
        <v>416.19</v>
      </c>
      <c r="E11" s="6" t="n">
        <v>621.1095121392</v>
      </c>
      <c r="F11" s="6" t="n">
        <v>292.98</v>
      </c>
      <c r="G11" s="6" t="n">
        <v>92.98</v>
      </c>
      <c r="H11" s="6" t="n">
        <v>-323.21</v>
      </c>
      <c r="I11" s="6" t="n">
        <v>-528.1295121392</v>
      </c>
      <c r="J11" s="6" t="n">
        <v>-200</v>
      </c>
    </row>
    <row r="12">
      <c r="A12" s="4" t="inlineStr">
        <is>
          <t>Lyons, Colleen M</t>
        </is>
      </c>
      <c r="B12" s="4" t="inlineStr">
        <is>
          <t>A_65517</t>
        </is>
      </c>
      <c r="C12" s="4" t="inlineStr">
        <is>
          <t>A_65517 - Software Maint and Support</t>
        </is>
      </c>
      <c r="D12" s="6" t="n">
        <v>289172.36</v>
      </c>
      <c r="E12" s="6" t="n">
        <v>300590</v>
      </c>
      <c r="F12" s="6" t="n">
        <v>319831.08</v>
      </c>
      <c r="G12" s="6" t="n">
        <v>113608</v>
      </c>
      <c r="H12" s="6" t="n">
        <v>-175564.36</v>
      </c>
      <c r="I12" s="6" t="n">
        <v>-186982</v>
      </c>
      <c r="J12" s="6" t="n">
        <v>-206223.08</v>
      </c>
    </row>
    <row r="13">
      <c r="A13" s="4" t="inlineStr">
        <is>
          <t>Lyons, Colleen M</t>
        </is>
      </c>
      <c r="B13" s="4" t="inlineStr">
        <is>
          <t>A_65525</t>
        </is>
      </c>
      <c r="C13" s="4" t="inlineStr">
        <is>
          <t>A_65525 - Maintenance And Repairs</t>
        </is>
      </c>
      <c r="D13" s="6" t="n">
        <v>34310.16</v>
      </c>
      <c r="E13" s="6" t="n">
        <v>49667.0000000004</v>
      </c>
      <c r="F13" s="6" t="n">
        <v>460</v>
      </c>
      <c r="G13" s="6" t="n">
        <v>10460</v>
      </c>
      <c r="H13" s="6" t="n">
        <v>-23850.16</v>
      </c>
      <c r="I13" s="6" t="n">
        <v>-39207.0000000004</v>
      </c>
      <c r="J13" s="6" t="n">
        <v>10000</v>
      </c>
    </row>
    <row r="14">
      <c r="A14" s="4" t="inlineStr">
        <is>
          <t>Lyons, Colleen M</t>
        </is>
      </c>
      <c r="B14" s="4" t="inlineStr">
        <is>
          <t>A_65535</t>
        </is>
      </c>
      <c r="C14" s="4" t="inlineStr">
        <is>
          <t>A_65535 - Other Purchased Services</t>
        </is>
      </c>
      <c r="D14" s="6" t="n">
        <v>6916.42</v>
      </c>
      <c r="E14" s="6" t="n">
        <v>0</v>
      </c>
      <c r="F14" s="6" t="n">
        <v>5700.92</v>
      </c>
      <c r="G14" s="6" t="n">
        <v>5700.92</v>
      </c>
      <c r="H14" s="6" t="n">
        <v>-1215.5</v>
      </c>
      <c r="I14" s="6" t="n">
        <v>5700.92</v>
      </c>
      <c r="J14" s="6" t="n">
        <v>0</v>
      </c>
    </row>
    <row r="15">
      <c r="A15" s="4" t="inlineStr">
        <is>
          <t>Lyons, Colleen M</t>
        </is>
      </c>
      <c r="B15" s="4" t="inlineStr">
        <is>
          <t>A_66020</t>
        </is>
      </c>
      <c r="C15" s="4" t="inlineStr">
        <is>
          <t>A_66020 - Outside Training</t>
        </is>
      </c>
      <c r="D15" s="6" t="n">
        <v>2948.69</v>
      </c>
      <c r="E15" s="6" t="n">
        <v>0</v>
      </c>
      <c r="F15" s="6" t="n">
        <v>0</v>
      </c>
      <c r="G15" s="6" t="n">
        <v>0</v>
      </c>
      <c r="H15" s="6" t="n">
        <v>-2948.69</v>
      </c>
      <c r="I15" s="6" t="n">
        <v>0</v>
      </c>
      <c r="J15" s="6" t="n">
        <v>0</v>
      </c>
    </row>
    <row r="16">
      <c r="A16" s="4" t="inlineStr">
        <is>
          <t>Lyons, Colleen M</t>
        </is>
      </c>
      <c r="B16" s="4" t="inlineStr">
        <is>
          <t>A_66050</t>
        </is>
      </c>
      <c r="C16" s="4" t="inlineStr">
        <is>
          <t>A_66050 - Printing And Duplication</t>
        </is>
      </c>
      <c r="D16" s="6" t="n">
        <v>63.9</v>
      </c>
      <c r="E16" s="6" t="n">
        <v>39.9999999996</v>
      </c>
      <c r="F16" s="6" t="n">
        <v>578.04</v>
      </c>
      <c r="G16" s="6" t="n">
        <v>289</v>
      </c>
      <c r="H16" s="6" t="n">
        <v>225.1</v>
      </c>
      <c r="I16" s="6" t="n">
        <v>249.0000000004</v>
      </c>
      <c r="J16" s="6" t="n">
        <v>-289.04</v>
      </c>
    </row>
    <row r="17">
      <c r="A17" s="4" t="inlineStr">
        <is>
          <t>Lyons, Colleen M</t>
        </is>
      </c>
      <c r="B17" s="4" t="inlineStr">
        <is>
          <t>A_66060</t>
        </is>
      </c>
      <c r="C17" s="4" t="inlineStr">
        <is>
          <t>A_66060 - Other Expenses</t>
        </is>
      </c>
      <c r="D17" s="6" t="n">
        <v>408.5</v>
      </c>
      <c r="E17" s="6" t="n">
        <v>219.9999999996</v>
      </c>
      <c r="F17" s="6" t="n">
        <v>3598</v>
      </c>
      <c r="G17" s="6" t="n">
        <v>1500</v>
      </c>
      <c r="H17" s="6" t="n">
        <v>1091.5</v>
      </c>
      <c r="I17" s="6" t="n">
        <v>1280.0000000004</v>
      </c>
      <c r="J17" s="6" t="n">
        <v>-2098</v>
      </c>
    </row>
    <row r="18">
      <c r="A18" s="4" t="inlineStr">
        <is>
          <t>Lyons, Colleen M</t>
        </is>
      </c>
      <c r="B18" s="4" t="inlineStr">
        <is>
          <t>A_66075</t>
        </is>
      </c>
      <c r="C18" s="4" t="inlineStr">
        <is>
          <t>A_66075 - Promotional items</t>
        </is>
      </c>
      <c r="D18" s="6" t="n">
        <v>0</v>
      </c>
      <c r="E18" s="6" t="n">
        <v>744</v>
      </c>
      <c r="F18" s="6" t="n">
        <v>0</v>
      </c>
      <c r="G18" s="6" t="n">
        <v>700</v>
      </c>
      <c r="H18" s="6" t="n">
        <v>700</v>
      </c>
      <c r="I18" s="6" t="n">
        <v>-44</v>
      </c>
      <c r="J18" s="6" t="n">
        <v>700</v>
      </c>
    </row>
    <row r="19">
      <c r="A19" s="4" t="inlineStr">
        <is>
          <t>Lyons, Colleen M</t>
        </is>
      </c>
      <c r="B19" s="4" t="inlineStr">
        <is>
          <t>A_66515</t>
        </is>
      </c>
      <c r="C19" s="4" t="inlineStr">
        <is>
          <t>A_66515 - Lease Rentals - Copiers</t>
        </is>
      </c>
      <c r="D19" s="6" t="n">
        <v>4692.559999999999</v>
      </c>
      <c r="E19" s="6" t="n">
        <v>4451.4700000008</v>
      </c>
      <c r="F19" s="6" t="n">
        <v>4282.52</v>
      </c>
      <c r="G19" s="6" t="n">
        <v>4282.52</v>
      </c>
      <c r="H19" s="6" t="n">
        <v>-410.0399999999991</v>
      </c>
      <c r="I19" s="6" t="n">
        <v>-168.9500000007993</v>
      </c>
      <c r="J19" s="6" t="n">
        <v>0</v>
      </c>
    </row>
    <row r="20">
      <c r="A20" s="4" t="inlineStr">
        <is>
          <t>Lyons, Colleen M</t>
        </is>
      </c>
      <c r="B20" s="4" t="inlineStr">
        <is>
          <t>A_66524</t>
        </is>
      </c>
      <c r="C20" s="4" t="inlineStr">
        <is>
          <t>A_66524 - Software Licensing Fees</t>
        </is>
      </c>
      <c r="D20" s="6" t="n">
        <v>10500.03</v>
      </c>
      <c r="E20" s="6" t="n">
        <v>0</v>
      </c>
      <c r="F20" s="6" t="n">
        <v>944</v>
      </c>
      <c r="G20" s="6" t="n">
        <v>944</v>
      </c>
      <c r="H20" s="6" t="n">
        <v>-9556.030000000001</v>
      </c>
      <c r="I20" s="6" t="n">
        <v>944</v>
      </c>
      <c r="J20" s="6" t="n">
        <v>0</v>
      </c>
    </row>
    <row r="21">
      <c r="A21" s="7" t="inlineStr">
        <is>
          <t>Total</t>
        </is>
      </c>
      <c r="B21" s="7" t="n"/>
      <c r="C21" s="7" t="n"/>
      <c r="D21" s="8">
        <f>SUM(D6:D20)</f>
        <v/>
      </c>
      <c r="E21" s="8">
        <f>SUM(E6:E20)</f>
        <v/>
      </c>
      <c r="F21" s="8">
        <f>SUM(F6:F20)</f>
        <v/>
      </c>
      <c r="G21" s="8">
        <f>SUM(G6:G20)</f>
        <v/>
      </c>
      <c r="H21" s="8">
        <f>SUM(H6:H20)</f>
        <v/>
      </c>
      <c r="I21" s="8">
        <f>SUM(I6:I20)</f>
        <v/>
      </c>
      <c r="J21" s="8">
        <f>SUM(J6:J20)</f>
        <v/>
      </c>
    </row>
  </sheetData>
  <autoFilter ref="A5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2026-08-26T21:50:11Z</dcterms:created>
  <dcterms:modified xsi:type="dcterms:W3CDTF">2026-08-26T21:50:11Z</dcterms:modified>
</cp:coreProperties>
</file>