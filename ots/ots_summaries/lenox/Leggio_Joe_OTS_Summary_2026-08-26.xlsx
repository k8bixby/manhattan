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Summary'!$A$5:$K$8</definedName>
    <definedName name="_xlnm._FilterDatabase" localSheetId="1" hidden="1">'Acct Summary'!$A$5:$J$51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7" customWidth="1" min="3" max="3"/>
    <col width="40" customWidth="1" min="4" max="4"/>
    <col width="22" customWidth="1" min="5" max="5"/>
    <col width="21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Leggio, Joe</t>
        </is>
      </c>
      <c r="B6" s="4" t="inlineStr">
        <is>
          <t>Kubba, Hala</t>
        </is>
      </c>
      <c r="C6" s="5" t="n">
        <v>15600055</v>
      </c>
      <c r="D6" s="4" t="inlineStr">
        <is>
          <t>LENOX_15600055 - Consulting Services</t>
        </is>
      </c>
      <c r="E6" s="6" t="n">
        <v>21828.29</v>
      </c>
      <c r="F6" s="6" t="n">
        <v>33052.4991999996</v>
      </c>
      <c r="G6" s="6" t="n">
        <v>4713.96</v>
      </c>
      <c r="H6" s="6" t="n">
        <v>0</v>
      </c>
      <c r="I6" s="6" t="n">
        <v>-21828.29</v>
      </c>
      <c r="J6" s="6" t="n">
        <v>-33052.4991999996</v>
      </c>
      <c r="K6" s="6" t="n">
        <v>-4713.96</v>
      </c>
    </row>
    <row r="7">
      <c r="A7" s="4" t="inlineStr">
        <is>
          <t>Leggio, Joe</t>
        </is>
      </c>
      <c r="B7" s="4" t="inlineStr">
        <is>
          <t>Kubba, Hala</t>
        </is>
      </c>
      <c r="C7" s="5" t="n">
        <v>15600126</v>
      </c>
      <c r="D7" s="4" t="inlineStr">
        <is>
          <t>LENOX_15600126 - Executive Health</t>
        </is>
      </c>
      <c r="E7" s="6" t="n">
        <v>57077.2</v>
      </c>
      <c r="F7" s="6" t="n">
        <v>34484.4982999981</v>
      </c>
      <c r="G7" s="6" t="n">
        <v>109693.6529269626</v>
      </c>
      <c r="H7" s="6" t="n">
        <v>2582.72</v>
      </c>
      <c r="I7" s="6" t="n">
        <v>-54494.48</v>
      </c>
      <c r="J7" s="6" t="n">
        <v>-31901.7782999981</v>
      </c>
      <c r="K7" s="6" t="n">
        <v>-107110.9329269626</v>
      </c>
    </row>
    <row r="8">
      <c r="A8" s="4" t="inlineStr">
        <is>
          <t>Leggio, Joe</t>
        </is>
      </c>
      <c r="B8" s="4" t="inlineStr">
        <is>
          <t>Kubba, Hala</t>
        </is>
      </c>
      <c r="C8" s="5" t="n">
        <v>15601325</v>
      </c>
      <c r="D8" s="4" t="inlineStr">
        <is>
          <t>LENOX_15601325 - Medical Tourism</t>
        </is>
      </c>
      <c r="E8" s="6" t="n">
        <v>680816.71</v>
      </c>
      <c r="F8" s="6" t="n">
        <v>811076.9606999998</v>
      </c>
      <c r="G8" s="6" t="n">
        <v>661774.9625456864</v>
      </c>
      <c r="H8" s="6" t="n">
        <v>888230.298839779</v>
      </c>
      <c r="I8" s="6" t="n">
        <v>207413.588839779</v>
      </c>
      <c r="J8" s="6" t="n">
        <v>77153.33813977917</v>
      </c>
      <c r="K8" s="6" t="n">
        <v>226455.3362940926</v>
      </c>
    </row>
    <row r="9">
      <c r="A9" s="7" t="inlineStr">
        <is>
          <t>Total</t>
        </is>
      </c>
      <c r="B9" s="7" t="n"/>
      <c r="C9" s="7">
        <f>SUM(C6:C8)</f>
        <v/>
      </c>
      <c r="D9" s="7" t="n"/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8">
        <f>SUM(I6:I8)</f>
        <v/>
      </c>
      <c r="J9" s="8">
        <f>SUM(J6:J8)</f>
        <v/>
      </c>
      <c r="K9" s="8">
        <f>SUM(K6:K8)</f>
        <v/>
      </c>
    </row>
  </sheetData>
  <autoFilter ref="A5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2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Leggio, Joe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0</v>
      </c>
      <c r="E6" s="6" t="n">
        <v>-10</v>
      </c>
      <c r="F6" s="6" t="n">
        <v>-7.4607692308</v>
      </c>
      <c r="G6" s="6" t="n">
        <v>0</v>
      </c>
      <c r="H6" s="6" t="n">
        <v>0</v>
      </c>
      <c r="I6" s="6" t="n">
        <v>10</v>
      </c>
      <c r="J6" s="6" t="n">
        <v>7.4607692308</v>
      </c>
    </row>
    <row r="7">
      <c r="A7" s="4" t="inlineStr">
        <is>
          <t>Leggio, Joe</t>
        </is>
      </c>
      <c r="B7" s="4" t="inlineStr">
        <is>
          <t>A_61000</t>
        </is>
      </c>
      <c r="C7" s="4" t="inlineStr">
        <is>
          <t>A_61000 - Consulting Fees</t>
        </is>
      </c>
      <c r="D7" s="6" t="n">
        <v>184486.28</v>
      </c>
      <c r="E7" s="6" t="n">
        <v>240000</v>
      </c>
      <c r="F7" s="6" t="n">
        <v>236000</v>
      </c>
      <c r="G7" s="6" t="n">
        <v>256000</v>
      </c>
      <c r="H7" s="6" t="n">
        <v>71513.72</v>
      </c>
      <c r="I7" s="6" t="n">
        <v>16000</v>
      </c>
      <c r="J7" s="6" t="n">
        <v>20000</v>
      </c>
    </row>
    <row r="8">
      <c r="A8" s="4" t="inlineStr">
        <is>
          <t>Leggio, Joe</t>
        </is>
      </c>
      <c r="B8" s="4" t="inlineStr">
        <is>
          <t>A_61400</t>
        </is>
      </c>
      <c r="C8" s="4" t="inlineStr">
        <is>
          <t>A_61400 - Other Fees</t>
        </is>
      </c>
      <c r="D8" s="6" t="n">
        <v>596.08</v>
      </c>
      <c r="E8" s="6" t="n">
        <v>1128</v>
      </c>
      <c r="F8" s="6" t="n">
        <v>0</v>
      </c>
      <c r="G8" s="6" t="n">
        <v>0</v>
      </c>
      <c r="H8" s="6" t="n">
        <v>-596.08</v>
      </c>
      <c r="I8" s="6" t="n">
        <v>-1128</v>
      </c>
      <c r="J8" s="6" t="n">
        <v>0</v>
      </c>
    </row>
    <row r="9">
      <c r="A9" s="4" t="inlineStr">
        <is>
          <t>Leggio, Joe</t>
        </is>
      </c>
      <c r="B9" s="4" t="inlineStr">
        <is>
          <t>A_63005</t>
        </is>
      </c>
      <c r="C9" s="4" t="inlineStr">
        <is>
          <t>A_63005 - Supplies - Reagents</t>
        </is>
      </c>
      <c r="D9" s="6" t="n">
        <v>0</v>
      </c>
      <c r="E9" s="6" t="n">
        <v>0</v>
      </c>
      <c r="F9" s="6" t="n">
        <v>884.0508791209</v>
      </c>
      <c r="G9" s="6" t="n">
        <v>0</v>
      </c>
      <c r="H9" s="6" t="n">
        <v>0</v>
      </c>
      <c r="I9" s="6" t="n">
        <v>0</v>
      </c>
      <c r="J9" s="6" t="n">
        <v>-884.0508791209</v>
      </c>
    </row>
    <row r="10">
      <c r="A10" s="4" t="inlineStr">
        <is>
          <t>Leggio, Joe</t>
        </is>
      </c>
      <c r="B10" s="4" t="inlineStr">
        <is>
          <t>A_63030</t>
        </is>
      </c>
      <c r="C10" s="4" t="inlineStr">
        <is>
          <t>A_63030 - Supplies - Medical</t>
        </is>
      </c>
      <c r="D10" s="6" t="n">
        <v>0</v>
      </c>
      <c r="E10" s="6" t="n">
        <v>0</v>
      </c>
      <c r="F10" s="6" t="n">
        <v>5052.6501098901</v>
      </c>
      <c r="G10" s="6" t="n">
        <v>0</v>
      </c>
      <c r="H10" s="6" t="n">
        <v>0</v>
      </c>
      <c r="I10" s="6" t="n">
        <v>0</v>
      </c>
      <c r="J10" s="6" t="n">
        <v>-5052.6501098901</v>
      </c>
    </row>
    <row r="11">
      <c r="A11" s="4" t="inlineStr">
        <is>
          <t>Leggio, Joe</t>
        </is>
      </c>
      <c r="B11" s="4" t="inlineStr">
        <is>
          <t>A_63040</t>
        </is>
      </c>
      <c r="C11" s="4" t="inlineStr">
        <is>
          <t>A_63040 - Supplies - Radiology</t>
        </is>
      </c>
      <c r="D11" s="6" t="n">
        <v>0</v>
      </c>
      <c r="E11" s="6" t="n">
        <v>0</v>
      </c>
      <c r="F11" s="6" t="n">
        <v>2734.9450549451</v>
      </c>
      <c r="G11" s="6" t="n">
        <v>0</v>
      </c>
      <c r="H11" s="6" t="n">
        <v>0</v>
      </c>
      <c r="I11" s="6" t="n">
        <v>0</v>
      </c>
      <c r="J11" s="6" t="n">
        <v>-2734.9450549451</v>
      </c>
    </row>
    <row r="12">
      <c r="A12" s="4" t="inlineStr">
        <is>
          <t>Leggio, Joe</t>
        </is>
      </c>
      <c r="B12" s="4" t="inlineStr">
        <is>
          <t>A_63050</t>
        </is>
      </c>
      <c r="C12" s="4" t="inlineStr">
        <is>
          <t>A_63050 - Supplies - Iv Solutions &amp; Sets</t>
        </is>
      </c>
      <c r="D12" s="6" t="n">
        <v>0</v>
      </c>
      <c r="E12" s="6" t="n">
        <v>0</v>
      </c>
      <c r="F12" s="6" t="n">
        <v>168.2996703297</v>
      </c>
      <c r="G12" s="6" t="n">
        <v>0</v>
      </c>
      <c r="H12" s="6" t="n">
        <v>0</v>
      </c>
      <c r="I12" s="6" t="n">
        <v>0</v>
      </c>
      <c r="J12" s="6" t="n">
        <v>-168.2996703297</v>
      </c>
    </row>
    <row r="13">
      <c r="A13" s="4" t="inlineStr">
        <is>
          <t>Leggio, Joe</t>
        </is>
      </c>
      <c r="B13" s="4" t="inlineStr">
        <is>
          <t>A_63080</t>
        </is>
      </c>
      <c r="C13" s="4" t="inlineStr">
        <is>
          <t>A_63080 - Supplies - Surgical</t>
        </is>
      </c>
      <c r="D13" s="6" t="n">
        <v>0</v>
      </c>
      <c r="E13" s="6" t="n">
        <v>0</v>
      </c>
      <c r="F13" s="6" t="n">
        <v>7015.2145054945</v>
      </c>
      <c r="G13" s="6" t="n">
        <v>0</v>
      </c>
      <c r="H13" s="6" t="n">
        <v>0</v>
      </c>
      <c r="I13" s="6" t="n">
        <v>0</v>
      </c>
      <c r="J13" s="6" t="n">
        <v>-7015.2145054945</v>
      </c>
    </row>
    <row r="14">
      <c r="A14" s="4" t="inlineStr">
        <is>
          <t>Leggio, Joe</t>
        </is>
      </c>
      <c r="B14" s="4" t="inlineStr">
        <is>
          <t>A_63300</t>
        </is>
      </c>
      <c r="C14" s="4" t="inlineStr">
        <is>
          <t>A_63300 - Rx - All Other</t>
        </is>
      </c>
      <c r="D14" s="6" t="n">
        <v>0</v>
      </c>
      <c r="E14" s="6" t="n">
        <v>0</v>
      </c>
      <c r="F14" s="6" t="n">
        <v>73.6251381215</v>
      </c>
      <c r="G14" s="6" t="n">
        <v>0</v>
      </c>
      <c r="H14" s="6" t="n">
        <v>0</v>
      </c>
      <c r="I14" s="6" t="n">
        <v>0</v>
      </c>
      <c r="J14" s="6" t="n">
        <v>-73.6251381215</v>
      </c>
    </row>
    <row r="15">
      <c r="A15" s="4" t="inlineStr">
        <is>
          <t>Leggio, Joe</t>
        </is>
      </c>
      <c r="B15" s="4" t="inlineStr">
        <is>
          <t>A_64000</t>
        </is>
      </c>
      <c r="C15" s="4" t="inlineStr">
        <is>
          <t>A_64000 - Supplies - Hotel Services</t>
        </is>
      </c>
      <c r="D15" s="6" t="n">
        <v>4034.43</v>
      </c>
      <c r="E15" s="6" t="n">
        <v>3650.1100000001</v>
      </c>
      <c r="F15" s="6" t="n">
        <v>5961.3574585636</v>
      </c>
      <c r="G15" s="6" t="n">
        <v>2831.9563535912</v>
      </c>
      <c r="H15" s="6" t="n">
        <v>-1202.4736464088</v>
      </c>
      <c r="I15" s="6" t="n">
        <v>-818.1536464089004</v>
      </c>
      <c r="J15" s="6" t="n">
        <v>-3129.4011049724</v>
      </c>
    </row>
    <row r="16">
      <c r="A16" s="4" t="inlineStr">
        <is>
          <t>Leggio, Joe</t>
        </is>
      </c>
      <c r="B16" s="4" t="inlineStr">
        <is>
          <t>A_64020</t>
        </is>
      </c>
      <c r="C16" s="4" t="inlineStr">
        <is>
          <t>A_64020 - Supplies - Office</t>
        </is>
      </c>
      <c r="D16" s="6" t="n">
        <v>5523.59</v>
      </c>
      <c r="E16" s="6" t="n">
        <v>6369.2000000002</v>
      </c>
      <c r="F16" s="6" t="n">
        <v>7593.8552486188</v>
      </c>
      <c r="G16" s="6" t="n">
        <v>1739.0132596685</v>
      </c>
      <c r="H16" s="6" t="n">
        <v>-3784.5767403315</v>
      </c>
      <c r="I16" s="6" t="n">
        <v>-4630.1867403317</v>
      </c>
      <c r="J16" s="6" t="n">
        <v>-5854.8419889503</v>
      </c>
    </row>
    <row r="17">
      <c r="A17" s="4" t="inlineStr">
        <is>
          <t>Leggio, Joe</t>
        </is>
      </c>
      <c r="B17" s="4" t="inlineStr">
        <is>
          <t>A_64030</t>
        </is>
      </c>
      <c r="C17" s="4" t="inlineStr">
        <is>
          <t>A_64030 - Supplies - Other Non Medical</t>
        </is>
      </c>
      <c r="D17" s="6" t="n">
        <v>4597.87</v>
      </c>
      <c r="E17" s="6" t="n">
        <v>8068.67</v>
      </c>
      <c r="F17" s="6" t="n">
        <v>19189.6834254143</v>
      </c>
      <c r="G17" s="6" t="n">
        <v>12934.2892265193</v>
      </c>
      <c r="H17" s="6" t="n">
        <v>8336.419226519301</v>
      </c>
      <c r="I17" s="6" t="n">
        <v>4865.6192265193</v>
      </c>
      <c r="J17" s="6" t="n">
        <v>-6255.394198894999</v>
      </c>
    </row>
    <row r="18">
      <c r="A18" s="4" t="inlineStr">
        <is>
          <t>Leggio, Joe</t>
        </is>
      </c>
      <c r="B18" s="4" t="inlineStr">
        <is>
          <t>A_64570</t>
        </is>
      </c>
      <c r="C18" s="4" t="inlineStr">
        <is>
          <t>A_64570 - Dietary Charge Out</t>
        </is>
      </c>
      <c r="D18" s="6" t="n">
        <v>123.5</v>
      </c>
      <c r="E18" s="6" t="n">
        <v>0</v>
      </c>
      <c r="F18" s="6" t="n">
        <v>183.7099447514</v>
      </c>
      <c r="G18" s="6" t="n">
        <v>0</v>
      </c>
      <c r="H18" s="6" t="n">
        <v>-123.5</v>
      </c>
      <c r="I18" s="6" t="n">
        <v>0</v>
      </c>
      <c r="J18" s="6" t="n">
        <v>-183.7099447514</v>
      </c>
    </row>
    <row r="19">
      <c r="A19" s="4" t="inlineStr">
        <is>
          <t>Leggio, Joe</t>
        </is>
      </c>
      <c r="B19" s="4" t="inlineStr">
        <is>
          <t>A_65002</t>
        </is>
      </c>
      <c r="C19" s="4" t="inlineStr">
        <is>
          <t>A_65002 - Electric-LeasePty Var Pd to LL</t>
        </is>
      </c>
      <c r="D19" s="6" t="n">
        <v>1758.28</v>
      </c>
      <c r="E19" s="6" t="n">
        <v>3546</v>
      </c>
      <c r="F19" s="6" t="n">
        <v>0</v>
      </c>
      <c r="G19" s="6" t="n">
        <v>0</v>
      </c>
      <c r="H19" s="6" t="n">
        <v>-1758.28</v>
      </c>
      <c r="I19" s="6" t="n">
        <v>-3546</v>
      </c>
      <c r="J19" s="6" t="n">
        <v>0</v>
      </c>
    </row>
    <row r="20">
      <c r="A20" s="4" t="inlineStr">
        <is>
          <t>Leggio, Joe</t>
        </is>
      </c>
      <c r="B20" s="4" t="inlineStr">
        <is>
          <t>A_65030</t>
        </is>
      </c>
      <c r="C20" s="4" t="inlineStr">
        <is>
          <t>A_65030 - Disposable Services</t>
        </is>
      </c>
      <c r="D20" s="6" t="n">
        <v>1498.3</v>
      </c>
      <c r="E20" s="6" t="n">
        <v>2303.0002999992</v>
      </c>
      <c r="F20" s="6" t="n">
        <v>1783.5593922652</v>
      </c>
      <c r="G20" s="6" t="n">
        <v>802</v>
      </c>
      <c r="H20" s="6" t="n">
        <v>-696.3</v>
      </c>
      <c r="I20" s="6" t="n">
        <v>-1501.0002999992</v>
      </c>
      <c r="J20" s="6" t="n">
        <v>-981.5593922651999</v>
      </c>
    </row>
    <row r="21">
      <c r="A21" s="4" t="inlineStr">
        <is>
          <t>Leggio, Joe</t>
        </is>
      </c>
      <c r="B21" s="4" t="inlineStr">
        <is>
          <t>A_65050</t>
        </is>
      </c>
      <c r="C21" s="4" t="inlineStr">
        <is>
          <t>A_65050 - Telephone</t>
        </is>
      </c>
      <c r="D21" s="6" t="n">
        <v>9948.879999999999</v>
      </c>
      <c r="E21" s="6" t="n">
        <v>8086.0002999996</v>
      </c>
      <c r="F21" s="6" t="n">
        <v>6867.525414364701</v>
      </c>
      <c r="G21" s="6" t="n">
        <v>6526</v>
      </c>
      <c r="H21" s="6" t="n">
        <v>-3422.879999999999</v>
      </c>
      <c r="I21" s="6" t="n">
        <v>-1560.0002999996</v>
      </c>
      <c r="J21" s="6" t="n">
        <v>-341.5254143647007</v>
      </c>
    </row>
    <row r="22">
      <c r="A22" s="4" t="inlineStr">
        <is>
          <t>Leggio, Joe</t>
        </is>
      </c>
      <c r="B22" s="4" t="inlineStr">
        <is>
          <t>A_65507</t>
        </is>
      </c>
      <c r="C22" s="4" t="inlineStr">
        <is>
          <t>A_65507 - Medical Equip Srvcs Contracts</t>
        </is>
      </c>
      <c r="D22" s="6" t="n">
        <v>4416.3</v>
      </c>
      <c r="E22" s="6" t="n">
        <v>4999.9995999996</v>
      </c>
      <c r="F22" s="6" t="n">
        <v>0</v>
      </c>
      <c r="G22" s="6" t="n">
        <v>0</v>
      </c>
      <c r="H22" s="6" t="n">
        <v>-4416.3</v>
      </c>
      <c r="I22" s="6" t="n">
        <v>-4999.9995999996</v>
      </c>
      <c r="J22" s="6" t="n">
        <v>0</v>
      </c>
    </row>
    <row r="23">
      <c r="A23" s="4" t="inlineStr">
        <is>
          <t>Leggio, Joe</t>
        </is>
      </c>
      <c r="B23" s="4" t="inlineStr">
        <is>
          <t>A_65510</t>
        </is>
      </c>
      <c r="C23" s="4" t="inlineStr">
        <is>
          <t>A_65510 - Freight</t>
        </is>
      </c>
      <c r="D23" s="6" t="n">
        <v>997.0699999999999</v>
      </c>
      <c r="E23" s="6" t="n">
        <v>1097.0004</v>
      </c>
      <c r="F23" s="6" t="n">
        <v>4496.440000000001</v>
      </c>
      <c r="G23" s="6" t="n">
        <v>2421</v>
      </c>
      <c r="H23" s="6" t="n">
        <v>1423.93</v>
      </c>
      <c r="I23" s="6" t="n">
        <v>1323.9996</v>
      </c>
      <c r="J23" s="6" t="n">
        <v>-2075.440000000001</v>
      </c>
    </row>
    <row r="24">
      <c r="A24" s="4" t="inlineStr">
        <is>
          <t>Leggio, Joe</t>
        </is>
      </c>
      <c r="B24" s="4" t="inlineStr">
        <is>
          <t>A_65517</t>
        </is>
      </c>
      <c r="C24" s="4" t="inlineStr">
        <is>
          <t>A_65517 - Software Maint and Support</t>
        </is>
      </c>
      <c r="D24" s="6" t="n">
        <v>3061.55</v>
      </c>
      <c r="E24" s="6" t="n">
        <v>6057</v>
      </c>
      <c r="F24" s="6" t="n">
        <v>6458.32</v>
      </c>
      <c r="G24" s="6" t="n">
        <v>15000</v>
      </c>
      <c r="H24" s="6" t="n">
        <v>11938.45</v>
      </c>
      <c r="I24" s="6" t="n">
        <v>8943</v>
      </c>
      <c r="J24" s="6" t="n">
        <v>8541.68</v>
      </c>
    </row>
    <row r="25">
      <c r="A25" s="4" t="inlineStr">
        <is>
          <t>Leggio, Joe</t>
        </is>
      </c>
      <c r="B25" s="4" t="inlineStr">
        <is>
          <t>A_65518</t>
        </is>
      </c>
      <c r="C25" s="4" t="inlineStr">
        <is>
          <t>A_65518 - Cloud Maintenance and Support</t>
        </is>
      </c>
      <c r="D25" s="6" t="n">
        <v>346.32</v>
      </c>
      <c r="E25" s="6" t="n">
        <v>0</v>
      </c>
      <c r="F25" s="6" t="n">
        <v>0</v>
      </c>
      <c r="G25" s="6" t="n">
        <v>0</v>
      </c>
      <c r="H25" s="6" t="n">
        <v>-346.32</v>
      </c>
      <c r="I25" s="6" t="n">
        <v>0</v>
      </c>
      <c r="J25" s="6" t="n">
        <v>0</v>
      </c>
    </row>
    <row r="26">
      <c r="A26" s="4" t="inlineStr">
        <is>
          <t>Leggio, Joe</t>
        </is>
      </c>
      <c r="B26" s="4" t="inlineStr">
        <is>
          <t>A_65520</t>
        </is>
      </c>
      <c r="C26" s="4" t="inlineStr">
        <is>
          <t>A_65520 - Purchased Laboratory Svs</t>
        </is>
      </c>
      <c r="D26" s="6" t="n">
        <v>0</v>
      </c>
      <c r="E26" s="6" t="n">
        <v>0</v>
      </c>
      <c r="F26" s="6" t="n">
        <v>-764</v>
      </c>
      <c r="G26" s="6" t="n">
        <v>0</v>
      </c>
      <c r="H26" s="6" t="n">
        <v>0</v>
      </c>
      <c r="I26" s="6" t="n">
        <v>0</v>
      </c>
      <c r="J26" s="6" t="n">
        <v>764</v>
      </c>
    </row>
    <row r="27">
      <c r="A27" s="4" t="inlineStr">
        <is>
          <t>Leggio, Joe</t>
        </is>
      </c>
      <c r="B27" s="4" t="inlineStr">
        <is>
          <t>A_65526</t>
        </is>
      </c>
      <c r="C27" s="4" t="inlineStr">
        <is>
          <t>A_65526 - Door Lock-Reprs-Prchsd-Cont Sv</t>
        </is>
      </c>
      <c r="D27" s="6" t="n">
        <v>1800</v>
      </c>
      <c r="E27" s="6" t="n">
        <v>0</v>
      </c>
      <c r="F27" s="6" t="n">
        <v>0</v>
      </c>
      <c r="G27" s="6" t="n">
        <v>0</v>
      </c>
      <c r="H27" s="6" t="n">
        <v>-1800</v>
      </c>
      <c r="I27" s="6" t="n">
        <v>0</v>
      </c>
      <c r="J27" s="6" t="n">
        <v>0</v>
      </c>
    </row>
    <row r="28">
      <c r="A28" s="4" t="inlineStr">
        <is>
          <t>Leggio, Joe</t>
        </is>
      </c>
      <c r="B28" s="4" t="inlineStr">
        <is>
          <t>A_65535</t>
        </is>
      </c>
      <c r="C28" s="4" t="inlineStr">
        <is>
          <t>A_65535 - Other Purchased Services</t>
        </is>
      </c>
      <c r="D28" s="6" t="n">
        <v>21183.66</v>
      </c>
      <c r="E28" s="6" t="n">
        <v>21000</v>
      </c>
      <c r="F28" s="6" t="n">
        <v>32548.52</v>
      </c>
      <c r="G28" s="6" t="n">
        <v>23027</v>
      </c>
      <c r="H28" s="6" t="n">
        <v>1843.34</v>
      </c>
      <c r="I28" s="6" t="n">
        <v>2027</v>
      </c>
      <c r="J28" s="6" t="n">
        <v>-9521.519999999997</v>
      </c>
    </row>
    <row r="29">
      <c r="A29" s="4" t="inlineStr">
        <is>
          <t>Leggio, Joe</t>
        </is>
      </c>
      <c r="B29" s="4" t="inlineStr">
        <is>
          <t>A_65536</t>
        </is>
      </c>
      <c r="C29" s="4" t="inlineStr">
        <is>
          <t>A_65536 - Oth Purch Serv- Credentialling</t>
        </is>
      </c>
      <c r="D29" s="6" t="n">
        <v>888</v>
      </c>
      <c r="E29" s="6" t="n">
        <v>1776</v>
      </c>
      <c r="F29" s="6" t="n">
        <v>0</v>
      </c>
      <c r="G29" s="6" t="n">
        <v>0</v>
      </c>
      <c r="H29" s="6" t="n">
        <v>-888</v>
      </c>
      <c r="I29" s="6" t="n">
        <v>-1776</v>
      </c>
      <c r="J29" s="6" t="n">
        <v>0</v>
      </c>
    </row>
    <row r="30">
      <c r="A30" s="4" t="inlineStr">
        <is>
          <t>Leggio, Joe</t>
        </is>
      </c>
      <c r="B30" s="4" t="inlineStr">
        <is>
          <t>A_65538</t>
        </is>
      </c>
      <c r="C30" s="4" t="inlineStr">
        <is>
          <t>A_65538 - CAM-LeaseProperty Var Pd to LL</t>
        </is>
      </c>
      <c r="D30" s="6" t="n">
        <v>6888.14</v>
      </c>
      <c r="E30" s="6" t="n">
        <v>13776</v>
      </c>
      <c r="F30" s="6" t="n">
        <v>16172.52</v>
      </c>
      <c r="G30" s="6" t="n">
        <v>16173</v>
      </c>
      <c r="H30" s="6" t="n">
        <v>9284.860000000001</v>
      </c>
      <c r="I30" s="6" t="n">
        <v>2397</v>
      </c>
      <c r="J30" s="6" t="n">
        <v>0.4799999999995634</v>
      </c>
    </row>
    <row r="31">
      <c r="A31" s="4" t="inlineStr">
        <is>
          <t>Leggio, Joe</t>
        </is>
      </c>
      <c r="B31" s="4" t="inlineStr">
        <is>
          <t>A_65540</t>
        </is>
      </c>
      <c r="C31" s="4" t="inlineStr">
        <is>
          <t>A_65540 - Outside Messenger Service</t>
        </is>
      </c>
      <c r="D31" s="6" t="n">
        <v>5243.940000000001</v>
      </c>
      <c r="E31" s="6" t="n">
        <v>5598</v>
      </c>
      <c r="F31" s="6" t="n">
        <v>2883.76</v>
      </c>
      <c r="G31" s="6" t="n">
        <v>2884</v>
      </c>
      <c r="H31" s="6" t="n">
        <v>-2359.940000000001</v>
      </c>
      <c r="I31" s="6" t="n">
        <v>-2714</v>
      </c>
      <c r="J31" s="6" t="n">
        <v>0.2399999999997817</v>
      </c>
    </row>
    <row r="32">
      <c r="A32" s="4" t="inlineStr">
        <is>
          <t>Leggio, Joe</t>
        </is>
      </c>
      <c r="B32" s="4" t="inlineStr">
        <is>
          <t>A_65542</t>
        </is>
      </c>
      <c r="C32" s="4" t="inlineStr">
        <is>
          <t>A_65542 - Translation Services</t>
        </is>
      </c>
      <c r="D32" s="6" t="n">
        <v>298.55</v>
      </c>
      <c r="E32" s="6" t="n">
        <v>597</v>
      </c>
      <c r="F32" s="6" t="n">
        <v>321.7</v>
      </c>
      <c r="G32" s="6" t="n">
        <v>322</v>
      </c>
      <c r="H32" s="6" t="n">
        <v>23.44999999999999</v>
      </c>
      <c r="I32" s="6" t="n">
        <v>-275</v>
      </c>
      <c r="J32" s="6" t="n">
        <v>0.3000000000000114</v>
      </c>
    </row>
    <row r="33">
      <c r="A33" s="4" t="inlineStr">
        <is>
          <t>Leggio, Joe</t>
        </is>
      </c>
      <c r="B33" s="4" t="inlineStr">
        <is>
          <t>A_66000</t>
        </is>
      </c>
      <c r="C33" s="4" t="inlineStr">
        <is>
          <t>A_66000 - Dues</t>
        </is>
      </c>
      <c r="D33" s="6" t="n">
        <v>25478.77</v>
      </c>
      <c r="E33" s="6" t="n">
        <v>10040.0004</v>
      </c>
      <c r="F33" s="6" t="n">
        <v>3940</v>
      </c>
      <c r="G33" s="6" t="n">
        <v>9200</v>
      </c>
      <c r="H33" s="6" t="n">
        <v>-16278.77</v>
      </c>
      <c r="I33" s="6" t="n">
        <v>-840.0004000000008</v>
      </c>
      <c r="J33" s="6" t="n">
        <v>5260</v>
      </c>
    </row>
    <row r="34">
      <c r="A34" s="4" t="inlineStr">
        <is>
          <t>Leggio, Joe</t>
        </is>
      </c>
      <c r="B34" s="4" t="inlineStr">
        <is>
          <t>A_66010</t>
        </is>
      </c>
      <c r="C34" s="4" t="inlineStr">
        <is>
          <t>A_66010 - Periodicals-Publ-Subscriptions</t>
        </is>
      </c>
      <c r="D34" s="6" t="n">
        <v>3765.81</v>
      </c>
      <c r="E34" s="6" t="n">
        <v>4881</v>
      </c>
      <c r="F34" s="6" t="n">
        <v>1032.98</v>
      </c>
      <c r="G34" s="6" t="n">
        <v>1000</v>
      </c>
      <c r="H34" s="6" t="n">
        <v>-2765.81</v>
      </c>
      <c r="I34" s="6" t="n">
        <v>-3881</v>
      </c>
      <c r="J34" s="6" t="n">
        <v>-32.98000000000002</v>
      </c>
    </row>
    <row r="35">
      <c r="A35" s="4" t="inlineStr">
        <is>
          <t>Leggio, Joe</t>
        </is>
      </c>
      <c r="B35" s="4" t="inlineStr">
        <is>
          <t>A_66020</t>
        </is>
      </c>
      <c r="C35" s="4" t="inlineStr">
        <is>
          <t>A_66020 - Outside Training</t>
        </is>
      </c>
      <c r="D35" s="6" t="n">
        <v>9928</v>
      </c>
      <c r="E35" s="6" t="n">
        <v>0</v>
      </c>
      <c r="F35" s="6" t="n">
        <v>480.4</v>
      </c>
      <c r="G35" s="6" t="n">
        <v>5000</v>
      </c>
      <c r="H35" s="6" t="n">
        <v>-4928</v>
      </c>
      <c r="I35" s="6" t="n">
        <v>5000</v>
      </c>
      <c r="J35" s="6" t="n">
        <v>4519.6</v>
      </c>
    </row>
    <row r="36">
      <c r="A36" s="4" t="inlineStr">
        <is>
          <t>Leggio, Joe</t>
        </is>
      </c>
      <c r="B36" s="4" t="inlineStr">
        <is>
          <t>A_66030</t>
        </is>
      </c>
      <c r="C36" s="4" t="inlineStr">
        <is>
          <t>A_66030 - Microfilming &amp; Archiving</t>
        </is>
      </c>
      <c r="D36" s="6" t="n">
        <v>42.88</v>
      </c>
      <c r="E36" s="6" t="n">
        <v>144</v>
      </c>
      <c r="F36" s="6" t="n">
        <v>17.94</v>
      </c>
      <c r="G36" s="6" t="n">
        <v>17.94</v>
      </c>
      <c r="H36" s="6" t="n">
        <v>-24.94</v>
      </c>
      <c r="I36" s="6" t="n">
        <v>-126.06</v>
      </c>
      <c r="J36" s="6" t="n">
        <v>0</v>
      </c>
    </row>
    <row r="37">
      <c r="A37" s="4" t="inlineStr">
        <is>
          <t>Leggio, Joe</t>
        </is>
      </c>
      <c r="B37" s="4" t="inlineStr">
        <is>
          <t>A_66050</t>
        </is>
      </c>
      <c r="C37" s="4" t="inlineStr">
        <is>
          <t>A_66050 - Printing And Duplication</t>
        </is>
      </c>
      <c r="D37" s="6" t="n">
        <v>33236.75</v>
      </c>
      <c r="E37" s="6" t="n">
        <v>33978.9787999992</v>
      </c>
      <c r="F37" s="6" t="n">
        <v>2764.54</v>
      </c>
      <c r="G37" s="6" t="n">
        <v>24000</v>
      </c>
      <c r="H37" s="6" t="n">
        <v>-9236.75</v>
      </c>
      <c r="I37" s="6" t="n">
        <v>-9978.978799999197</v>
      </c>
      <c r="J37" s="6" t="n">
        <v>21235.46</v>
      </c>
    </row>
    <row r="38">
      <c r="A38" s="4" t="inlineStr">
        <is>
          <t>Leggio, Joe</t>
        </is>
      </c>
      <c r="B38" s="4" t="inlineStr">
        <is>
          <t>A_66060</t>
        </is>
      </c>
      <c r="C38" s="4" t="inlineStr">
        <is>
          <t>A_66060 - Other Expenses</t>
        </is>
      </c>
      <c r="D38" s="6" t="n">
        <v>16305.48</v>
      </c>
      <c r="E38" s="6" t="n">
        <v>10500</v>
      </c>
      <c r="F38" s="6" t="n">
        <v>58761.22</v>
      </c>
      <c r="G38" s="6" t="n">
        <v>10000</v>
      </c>
      <c r="H38" s="6" t="n">
        <v>-6305.48</v>
      </c>
      <c r="I38" s="6" t="n">
        <v>-500</v>
      </c>
      <c r="J38" s="6" t="n">
        <v>-48761.22</v>
      </c>
    </row>
    <row r="39">
      <c r="A39" s="4" t="inlineStr">
        <is>
          <t>Leggio, Joe</t>
        </is>
      </c>
      <c r="B39" s="4" t="inlineStr">
        <is>
          <t>A_66070</t>
        </is>
      </c>
      <c r="C39" s="4" t="inlineStr">
        <is>
          <t>A_66070 - Advertising</t>
        </is>
      </c>
      <c r="D39" s="6" t="n">
        <v>4064.34</v>
      </c>
      <c r="E39" s="6" t="n">
        <v>17000.0000000004</v>
      </c>
      <c r="F39" s="6" t="n">
        <v>30000</v>
      </c>
      <c r="G39" s="6" t="n">
        <v>15000</v>
      </c>
      <c r="H39" s="6" t="n">
        <v>10935.66</v>
      </c>
      <c r="I39" s="6" t="n">
        <v>-2000.0000000004</v>
      </c>
      <c r="J39" s="6" t="n">
        <v>-15000</v>
      </c>
    </row>
    <row r="40">
      <c r="A40" s="4" t="inlineStr">
        <is>
          <t>Leggio, Joe</t>
        </is>
      </c>
      <c r="B40" s="4" t="inlineStr">
        <is>
          <t>A_66075</t>
        </is>
      </c>
      <c r="C40" s="4" t="inlineStr">
        <is>
          <t>A_66075 - Promotional items</t>
        </is>
      </c>
      <c r="D40" s="6" t="n">
        <v>18089.98</v>
      </c>
      <c r="E40" s="6" t="n">
        <v>11999.9991999996</v>
      </c>
      <c r="F40" s="6" t="n">
        <v>40367.3</v>
      </c>
      <c r="G40" s="6" t="n">
        <v>19636.4</v>
      </c>
      <c r="H40" s="6" t="n">
        <v>1546.420000000002</v>
      </c>
      <c r="I40" s="6" t="n">
        <v>7636.400800000403</v>
      </c>
      <c r="J40" s="6" t="n">
        <v>-20730.9</v>
      </c>
    </row>
    <row r="41">
      <c r="A41" s="4" t="inlineStr">
        <is>
          <t>Leggio, Joe</t>
        </is>
      </c>
      <c r="B41" s="4" t="inlineStr">
        <is>
          <t>A_66080</t>
        </is>
      </c>
      <c r="C41" s="4" t="inlineStr">
        <is>
          <t>A_66080 - Audio-Visual</t>
        </is>
      </c>
      <c r="D41" s="6" t="n">
        <v>0</v>
      </c>
      <c r="E41" s="6" t="n">
        <v>0</v>
      </c>
      <c r="F41" s="6" t="n">
        <v>8640</v>
      </c>
      <c r="G41" s="6" t="n">
        <v>8640</v>
      </c>
      <c r="H41" s="6" t="n">
        <v>8640</v>
      </c>
      <c r="I41" s="6" t="n">
        <v>8640</v>
      </c>
      <c r="J41" s="6" t="n">
        <v>0</v>
      </c>
    </row>
    <row r="42">
      <c r="A42" s="4" t="inlineStr">
        <is>
          <t>Leggio, Joe</t>
        </is>
      </c>
      <c r="B42" s="4" t="inlineStr">
        <is>
          <t>A_66090</t>
        </is>
      </c>
      <c r="C42" s="4" t="inlineStr">
        <is>
          <t>A_66090 - House Functions &amp; Corp Events</t>
        </is>
      </c>
      <c r="D42" s="6" t="n">
        <v>85121.10000000001</v>
      </c>
      <c r="E42" s="6" t="n">
        <v>137499.9996</v>
      </c>
      <c r="F42" s="6" t="n">
        <v>71097.22</v>
      </c>
      <c r="G42" s="6" t="n">
        <v>130000</v>
      </c>
      <c r="H42" s="6" t="n">
        <v>44878.89999999999</v>
      </c>
      <c r="I42" s="6" t="n">
        <v>-7499.999599999981</v>
      </c>
      <c r="J42" s="6" t="n">
        <v>58902.78</v>
      </c>
    </row>
    <row r="43">
      <c r="A43" s="4" t="inlineStr">
        <is>
          <t>Leggio, Joe</t>
        </is>
      </c>
      <c r="B43" s="4" t="inlineStr">
        <is>
          <t>A_66095</t>
        </is>
      </c>
      <c r="C43" s="4" t="inlineStr">
        <is>
          <t>A_66095 - Meals &amp; Entertainment</t>
        </is>
      </c>
      <c r="D43" s="6" t="n">
        <v>36595.5</v>
      </c>
      <c r="E43" s="6" t="n">
        <v>42499.9999999992</v>
      </c>
      <c r="F43" s="6" t="n">
        <v>37222.68</v>
      </c>
      <c r="G43" s="6" t="n">
        <v>28000</v>
      </c>
      <c r="H43" s="6" t="n">
        <v>-8595.5</v>
      </c>
      <c r="I43" s="6" t="n">
        <v>-14499.9999999992</v>
      </c>
      <c r="J43" s="6" t="n">
        <v>-9222.68</v>
      </c>
    </row>
    <row r="44">
      <c r="A44" s="4" t="inlineStr">
        <is>
          <t>Leggio, Joe</t>
        </is>
      </c>
      <c r="B44" s="4" t="inlineStr">
        <is>
          <t>A_66110</t>
        </is>
      </c>
      <c r="C44" s="4" t="inlineStr">
        <is>
          <t>A_66110 - Mileage</t>
        </is>
      </c>
      <c r="D44" s="6" t="n">
        <v>23.93</v>
      </c>
      <c r="E44" s="6" t="n">
        <v>0</v>
      </c>
      <c r="F44" s="6" t="n">
        <v>85.88</v>
      </c>
      <c r="G44" s="6" t="n">
        <v>86</v>
      </c>
      <c r="H44" s="6" t="n">
        <v>62.07</v>
      </c>
      <c r="I44" s="6" t="n">
        <v>86</v>
      </c>
      <c r="J44" s="6" t="n">
        <v>0.1200000000000045</v>
      </c>
    </row>
    <row r="45">
      <c r="A45" s="4" t="inlineStr">
        <is>
          <t>Leggio, Joe</t>
        </is>
      </c>
      <c r="B45" s="4" t="inlineStr">
        <is>
          <t>A_66150</t>
        </is>
      </c>
      <c r="C45" s="4" t="inlineStr">
        <is>
          <t>A_66150 - Travel</t>
        </is>
      </c>
      <c r="D45" s="6" t="n">
        <v>170040.62</v>
      </c>
      <c r="E45" s="6" t="n">
        <v>180499.9992000004</v>
      </c>
      <c r="F45" s="6" t="n">
        <v>61325.72</v>
      </c>
      <c r="G45" s="6" t="n">
        <v>170000</v>
      </c>
      <c r="H45" s="6" t="n">
        <v>-40.61999999999534</v>
      </c>
      <c r="I45" s="6" t="n">
        <v>-10499.9992000004</v>
      </c>
      <c r="J45" s="6" t="n">
        <v>108674.28</v>
      </c>
    </row>
    <row r="46">
      <c r="A46" s="4" t="inlineStr">
        <is>
          <t>Leggio, Joe</t>
        </is>
      </c>
      <c r="B46" s="4" t="inlineStr">
        <is>
          <t>A_66152</t>
        </is>
      </c>
      <c r="C46" s="4" t="inlineStr">
        <is>
          <t>A_66152 - Patient Transportation</t>
        </is>
      </c>
      <c r="D46" s="6" t="n">
        <v>813.0700000000001</v>
      </c>
      <c r="E46" s="6" t="n">
        <v>1626</v>
      </c>
      <c r="F46" s="6" t="n">
        <v>0</v>
      </c>
      <c r="G46" s="6" t="n">
        <v>0</v>
      </c>
      <c r="H46" s="6" t="n">
        <v>-813.0700000000001</v>
      </c>
      <c r="I46" s="6" t="n">
        <v>-1626</v>
      </c>
      <c r="J46" s="6" t="n">
        <v>0</v>
      </c>
    </row>
    <row r="47">
      <c r="A47" s="4" t="inlineStr">
        <is>
          <t>Leggio, Joe</t>
        </is>
      </c>
      <c r="B47" s="4" t="inlineStr">
        <is>
          <t>A_66500</t>
        </is>
      </c>
      <c r="C47" s="4" t="inlineStr">
        <is>
          <t>A_66500 - Property Rentals</t>
        </is>
      </c>
      <c r="D47" s="6" t="n">
        <v>91104</v>
      </c>
      <c r="E47" s="6" t="n">
        <v>91104</v>
      </c>
      <c r="F47" s="6" t="n">
        <v>91104</v>
      </c>
      <c r="G47" s="6" t="n">
        <v>91104</v>
      </c>
      <c r="H47" s="6" t="n">
        <v>0</v>
      </c>
      <c r="I47" s="6" t="n">
        <v>0</v>
      </c>
      <c r="J47" s="6" t="n">
        <v>0</v>
      </c>
    </row>
    <row r="48">
      <c r="A48" s="4" t="inlineStr">
        <is>
          <t>Leggio, Joe</t>
        </is>
      </c>
      <c r="B48" s="4" t="inlineStr">
        <is>
          <t>A_66515</t>
        </is>
      </c>
      <c r="C48" s="4" t="inlineStr">
        <is>
          <t>A_66515 - Lease Rentals - Copiers</t>
        </is>
      </c>
      <c r="D48" s="6" t="n">
        <v>5685.68</v>
      </c>
      <c r="E48" s="6" t="n">
        <v>5655</v>
      </c>
      <c r="F48" s="6" t="n">
        <v>6760.68</v>
      </c>
      <c r="G48" s="6" t="n">
        <v>6760.68</v>
      </c>
      <c r="H48" s="6" t="n">
        <v>1075</v>
      </c>
      <c r="I48" s="6" t="n">
        <v>1105.68</v>
      </c>
      <c r="J48" s="6" t="n">
        <v>0</v>
      </c>
    </row>
    <row r="49">
      <c r="A49" s="4" t="inlineStr">
        <is>
          <t>Leggio, Joe</t>
        </is>
      </c>
      <c r="B49" s="4" t="inlineStr">
        <is>
          <t>A_66524</t>
        </is>
      </c>
      <c r="C49" s="4" t="inlineStr">
        <is>
          <t>A_66524 - Software Licensing Fees</t>
        </is>
      </c>
      <c r="D49" s="6" t="n">
        <v>0</v>
      </c>
      <c r="E49" s="6" t="n">
        <v>0</v>
      </c>
      <c r="F49" s="6" t="n">
        <v>6753.559999999999</v>
      </c>
      <c r="G49" s="6" t="n">
        <v>31497.56</v>
      </c>
      <c r="H49" s="6" t="n">
        <v>31497.56</v>
      </c>
      <c r="I49" s="6" t="n">
        <v>31497.56</v>
      </c>
      <c r="J49" s="6" t="n">
        <v>24744</v>
      </c>
    </row>
    <row r="50">
      <c r="A50" s="4" t="inlineStr">
        <is>
          <t>Leggio, Joe</t>
        </is>
      </c>
      <c r="B50" s="4" t="inlineStr">
        <is>
          <t>A_66528</t>
        </is>
      </c>
      <c r="C50" s="4" t="inlineStr">
        <is>
          <t>A_66528 - Cloud Software Licensing Fees</t>
        </is>
      </c>
      <c r="D50" s="6" t="n">
        <v>163.93</v>
      </c>
      <c r="E50" s="6" t="n">
        <v>0</v>
      </c>
      <c r="F50" s="6" t="n">
        <v>210.18</v>
      </c>
      <c r="G50" s="6" t="n">
        <v>210.18</v>
      </c>
      <c r="H50" s="6" t="n">
        <v>46.25</v>
      </c>
      <c r="I50" s="6" t="n">
        <v>210.18</v>
      </c>
      <c r="J50" s="6" t="n">
        <v>0</v>
      </c>
    </row>
    <row r="51">
      <c r="A51" s="4" t="inlineStr">
        <is>
          <t>Leggio, Joe</t>
        </is>
      </c>
      <c r="B51" s="4" t="inlineStr">
        <is>
          <t>A_66602</t>
        </is>
      </c>
      <c r="C51" s="4" t="inlineStr">
        <is>
          <t>A_66602 - RE Tax Var Leased Properties</t>
        </is>
      </c>
      <c r="D51" s="6" t="n">
        <v>1571.62</v>
      </c>
      <c r="E51" s="6" t="n">
        <v>3143.0004</v>
      </c>
      <c r="F51" s="6" t="n">
        <v>0</v>
      </c>
      <c r="G51" s="6" t="n">
        <v>0</v>
      </c>
      <c r="H51" s="6" t="n">
        <v>-1571.62</v>
      </c>
      <c r="I51" s="6" t="n">
        <v>-3143.0004</v>
      </c>
      <c r="J51" s="6" t="n">
        <v>0</v>
      </c>
    </row>
    <row r="52">
      <c r="A52" s="7" t="inlineStr">
        <is>
          <t>Total</t>
        </is>
      </c>
      <c r="B52" s="7" t="n"/>
      <c r="C52" s="7" t="n"/>
      <c r="D52" s="8">
        <f>SUM(D6:D51)</f>
        <v/>
      </c>
      <c r="E52" s="8">
        <f>SUM(E6:E51)</f>
        <v/>
      </c>
      <c r="F52" s="8">
        <f>SUM(F6:F51)</f>
        <v/>
      </c>
      <c r="G52" s="8">
        <f>SUM(G6:G51)</f>
        <v/>
      </c>
      <c r="H52" s="8">
        <f>SUM(H6:H51)</f>
        <v/>
      </c>
      <c r="I52" s="8">
        <f>SUM(I6:I51)</f>
        <v/>
      </c>
      <c r="J52" s="8">
        <f>SUM(J6:J51)</f>
        <v/>
      </c>
    </row>
  </sheetData>
  <autoFilter ref="A5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2026-08-26T21:50:11Z</dcterms:created>
  <dcterms:modified xsi:type="dcterms:W3CDTF">2026-08-26T21:50:11Z</dcterms:modified>
</cp:coreProperties>
</file>