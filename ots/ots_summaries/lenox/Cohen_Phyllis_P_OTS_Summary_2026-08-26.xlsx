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Summary'!$A$5:$K$8</definedName>
    <definedName name="_xlnm._FilterDatabase" localSheetId="1" hidden="1">'Acct Summary'!$A$5:$J$34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7" customWidth="1" min="3" max="3"/>
    <col width="44" customWidth="1" min="4" max="4"/>
    <col width="15" customWidth="1" min="5" max="5"/>
    <col width="21" customWidth="1" min="6" max="6"/>
    <col width="21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Cohen, Phyllis P</t>
        </is>
      </c>
      <c r="B6" s="4" t="inlineStr">
        <is>
          <t>Lace, Allison</t>
        </is>
      </c>
      <c r="C6" s="5" t="n">
        <v>15600130</v>
      </c>
      <c r="D6" s="4" t="inlineStr">
        <is>
          <t>LENOX_15600130 - Quality Management</t>
        </is>
      </c>
      <c r="E6" s="6" t="n">
        <v>134230.33</v>
      </c>
      <c r="F6" s="6" t="n">
        <v>138890.5451366622</v>
      </c>
      <c r="G6" s="6" t="n">
        <v>122284.8377348066</v>
      </c>
      <c r="H6" s="6" t="n">
        <v>125208</v>
      </c>
      <c r="I6" s="6" t="n">
        <v>-9022.329999999987</v>
      </c>
      <c r="J6" s="6" t="n">
        <v>-13682.5451366622</v>
      </c>
      <c r="K6" s="6" t="n">
        <v>2923.162265193401</v>
      </c>
    </row>
    <row r="7">
      <c r="A7" s="4" t="inlineStr">
        <is>
          <t>Cohen, Phyllis P</t>
        </is>
      </c>
      <c r="B7" s="4" t="inlineStr">
        <is>
          <t>Newman, Hannah S</t>
        </is>
      </c>
      <c r="C7" s="5" t="n">
        <v>15628025</v>
      </c>
      <c r="D7" s="4" t="inlineStr">
        <is>
          <t>LENOX_15628025 - Medicine - Epidemiology</t>
        </is>
      </c>
      <c r="E7" s="6" t="n">
        <v>8853.17</v>
      </c>
      <c r="F7" s="6" t="n">
        <v>9799.4462548888</v>
      </c>
      <c r="G7" s="6" t="n">
        <v>15955.4355248619</v>
      </c>
      <c r="H7" s="6" t="n">
        <v>13996.0155248619</v>
      </c>
      <c r="I7" s="6" t="n">
        <v>5142.845524861899</v>
      </c>
      <c r="J7" s="6" t="n">
        <v>4196.569269973099</v>
      </c>
      <c r="K7" s="6" t="n">
        <v>-1959.42</v>
      </c>
    </row>
    <row r="8">
      <c r="A8" s="4" t="inlineStr">
        <is>
          <t>Cohen, Phyllis P</t>
        </is>
      </c>
      <c r="B8" s="4" t="inlineStr">
        <is>
          <t>Soel, Katherine</t>
        </is>
      </c>
      <c r="C8" s="5" t="n">
        <v>15600140</v>
      </c>
      <c r="D8" s="4" t="inlineStr">
        <is>
          <t>LENOX_15600140 - Patient Care Management</t>
        </is>
      </c>
      <c r="E8" s="6" t="n">
        <v>83579.59</v>
      </c>
      <c r="F8" s="6" t="n">
        <v>83592.1594195416</v>
      </c>
      <c r="G8" s="6" t="n">
        <v>66562.36950276251</v>
      </c>
      <c r="H8" s="6" t="n">
        <v>65750.90241273469</v>
      </c>
      <c r="I8" s="6" t="n">
        <v>-17828.6875872653</v>
      </c>
      <c r="J8" s="6" t="n">
        <v>-17841.2570068069</v>
      </c>
      <c r="K8" s="6" t="n">
        <v>-811.4670900278143</v>
      </c>
    </row>
    <row r="9">
      <c r="A9" s="7" t="inlineStr">
        <is>
          <t>Total</t>
        </is>
      </c>
      <c r="B9" s="7" t="n"/>
      <c r="C9" s="7">
        <f>SUM(C6:C8)</f>
        <v/>
      </c>
      <c r="D9" s="7" t="n"/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8">
        <f>SUM(I6:I8)</f>
        <v/>
      </c>
      <c r="J9" s="8">
        <f>SUM(J6:J8)</f>
        <v/>
      </c>
      <c r="K9" s="8">
        <f>SUM(K6:K8)</f>
        <v/>
      </c>
    </row>
  </sheetData>
  <autoFilter ref="A5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15" customWidth="1" min="4" max="4"/>
    <col width="20" customWidth="1" min="5" max="5"/>
    <col width="20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Cohen, Phyllis P</t>
        </is>
      </c>
      <c r="B6" s="4" t="inlineStr">
        <is>
          <t>A_55010</t>
        </is>
      </c>
      <c r="C6" s="4" t="inlineStr">
        <is>
          <t>A_55010 - Rebates From Vendors</t>
        </is>
      </c>
      <c r="D6" s="6" t="n">
        <v>-14.29</v>
      </c>
      <c r="E6" s="6" t="n">
        <v>0</v>
      </c>
      <c r="F6" s="6" t="n">
        <v>0</v>
      </c>
      <c r="G6" s="6" t="n">
        <v>0</v>
      </c>
      <c r="H6" s="6" t="n">
        <v>14.29</v>
      </c>
      <c r="I6" s="6" t="n">
        <v>0</v>
      </c>
      <c r="J6" s="6" t="n">
        <v>0</v>
      </c>
    </row>
    <row r="7">
      <c r="A7" s="4" t="inlineStr">
        <is>
          <t>Cohen, Phyllis P</t>
        </is>
      </c>
      <c r="B7" s="4" t="inlineStr">
        <is>
          <t>A_63030</t>
        </is>
      </c>
      <c r="C7" s="4" t="inlineStr">
        <is>
          <t>A_63030 - Supplies - Medical</t>
        </is>
      </c>
      <c r="D7" s="6" t="n">
        <v>1365.73</v>
      </c>
      <c r="E7" s="6" t="n">
        <v>2042.4700849263</v>
      </c>
      <c r="F7" s="6" t="n">
        <v>0</v>
      </c>
      <c r="G7" s="6" t="n">
        <v>5500</v>
      </c>
      <c r="H7" s="6" t="n">
        <v>4134.27</v>
      </c>
      <c r="I7" s="6" t="n">
        <v>3457.5299150737</v>
      </c>
      <c r="J7" s="6" t="n">
        <v>5500</v>
      </c>
    </row>
    <row r="8">
      <c r="A8" s="4" t="inlineStr">
        <is>
          <t>Cohen, Phyllis P</t>
        </is>
      </c>
      <c r="B8" s="4" t="inlineStr">
        <is>
          <t>A_63032</t>
        </is>
      </c>
      <c r="C8" s="4" t="inlineStr">
        <is>
          <t>A_63032 - Supplies - Medical - PPE</t>
        </is>
      </c>
      <c r="D8" s="6" t="n">
        <v>22.33</v>
      </c>
      <c r="E8" s="6" t="n">
        <v>0</v>
      </c>
      <c r="F8" s="6" t="n">
        <v>0</v>
      </c>
      <c r="G8" s="6" t="n">
        <v>0</v>
      </c>
      <c r="H8" s="6" t="n">
        <v>-22.33</v>
      </c>
      <c r="I8" s="6" t="n">
        <v>0</v>
      </c>
      <c r="J8" s="6" t="n">
        <v>0</v>
      </c>
    </row>
    <row r="9">
      <c r="A9" s="4" t="inlineStr">
        <is>
          <t>Cohen, Phyllis P</t>
        </is>
      </c>
      <c r="B9" s="4" t="inlineStr">
        <is>
          <t>A_63050</t>
        </is>
      </c>
      <c r="C9" s="4" t="inlineStr">
        <is>
          <t>A_63050 - Supplies - Iv Solutions &amp; Sets</t>
        </is>
      </c>
      <c r="D9" s="6" t="n">
        <v>77</v>
      </c>
      <c r="E9" s="6" t="n">
        <v>0</v>
      </c>
      <c r="F9" s="6" t="n">
        <v>0</v>
      </c>
      <c r="G9" s="6" t="n">
        <v>0</v>
      </c>
      <c r="H9" s="6" t="n">
        <v>-77</v>
      </c>
      <c r="I9" s="6" t="n">
        <v>0</v>
      </c>
      <c r="J9" s="6" t="n">
        <v>0</v>
      </c>
    </row>
    <row r="10">
      <c r="A10" s="4" t="inlineStr">
        <is>
          <t>Cohen, Phyllis P</t>
        </is>
      </c>
      <c r="B10" s="4" t="inlineStr">
        <is>
          <t>A_63080</t>
        </is>
      </c>
      <c r="C10" s="4" t="inlineStr">
        <is>
          <t>A_63080 - Supplies - Surgical</t>
        </is>
      </c>
      <c r="D10" s="6" t="n">
        <v>17.4</v>
      </c>
      <c r="E10" s="6" t="n">
        <v>0</v>
      </c>
      <c r="F10" s="6" t="n">
        <v>0</v>
      </c>
      <c r="G10" s="6" t="n">
        <v>0</v>
      </c>
      <c r="H10" s="6" t="n">
        <v>-17.4</v>
      </c>
      <c r="I10" s="6" t="n">
        <v>0</v>
      </c>
      <c r="J10" s="6" t="n">
        <v>0</v>
      </c>
    </row>
    <row r="11">
      <c r="A11" s="4" t="inlineStr">
        <is>
          <t>Cohen, Phyllis P</t>
        </is>
      </c>
      <c r="B11" s="4" t="inlineStr">
        <is>
          <t>A_64000</t>
        </is>
      </c>
      <c r="C11" s="4" t="inlineStr">
        <is>
          <t>A_64000 - Supplies - Hotel Services</t>
        </is>
      </c>
      <c r="D11" s="6" t="n">
        <v>2440.83</v>
      </c>
      <c r="E11" s="6" t="n">
        <v>1428.1000000001</v>
      </c>
      <c r="F11" s="6" t="n">
        <v>1319.6867403315</v>
      </c>
      <c r="G11" s="6" t="n">
        <v>1592.2831491713</v>
      </c>
      <c r="H11" s="6" t="n">
        <v>-848.5468508286999</v>
      </c>
      <c r="I11" s="6" t="n">
        <v>164.1831491712001</v>
      </c>
      <c r="J11" s="6" t="n">
        <v>272.5964088398</v>
      </c>
    </row>
    <row r="12">
      <c r="A12" s="4" t="inlineStr">
        <is>
          <t>Cohen, Phyllis P</t>
        </is>
      </c>
      <c r="B12" s="4" t="inlineStr">
        <is>
          <t>A_64010</t>
        </is>
      </c>
      <c r="C12" s="4" t="inlineStr">
        <is>
          <t>A_64010 - Supplies - Linen And Bedding</t>
        </is>
      </c>
      <c r="D12" s="6" t="n">
        <v>130.31</v>
      </c>
      <c r="E12" s="6" t="n">
        <v>269.0999999998</v>
      </c>
      <c r="F12" s="6" t="n">
        <v>0</v>
      </c>
      <c r="G12" s="6" t="n">
        <v>0</v>
      </c>
      <c r="H12" s="6" t="n">
        <v>-130.31</v>
      </c>
      <c r="I12" s="6" t="n">
        <v>-269.0999999998</v>
      </c>
      <c r="J12" s="6" t="n">
        <v>0</v>
      </c>
    </row>
    <row r="13">
      <c r="A13" s="4" t="inlineStr">
        <is>
          <t>Cohen, Phyllis P</t>
        </is>
      </c>
      <c r="B13" s="4" t="inlineStr">
        <is>
          <t>A_64020</t>
        </is>
      </c>
      <c r="C13" s="4" t="inlineStr">
        <is>
          <t>A_64020 - Supplies - Office</t>
        </is>
      </c>
      <c r="D13" s="6" t="n">
        <v>6561.98</v>
      </c>
      <c r="E13" s="6" t="n">
        <v>3870.9</v>
      </c>
      <c r="F13" s="6" t="n">
        <v>4715.9613259669</v>
      </c>
      <c r="G13" s="6" t="n">
        <v>4756.423480663</v>
      </c>
      <c r="H13" s="6" t="n">
        <v>-1805.556519336999</v>
      </c>
      <c r="I13" s="6" t="n">
        <v>885.5234806630001</v>
      </c>
      <c r="J13" s="6" t="n">
        <v>40.46215469609979</v>
      </c>
    </row>
    <row r="14">
      <c r="A14" s="4" t="inlineStr">
        <is>
          <t>Cohen, Phyllis P</t>
        </is>
      </c>
      <c r="B14" s="4" t="inlineStr">
        <is>
          <t>A_64030</t>
        </is>
      </c>
      <c r="C14" s="4" t="inlineStr">
        <is>
          <t>A_64030 - Supplies - Other Non Medical</t>
        </is>
      </c>
      <c r="D14" s="6" t="n">
        <v>1131.72</v>
      </c>
      <c r="E14" s="6" t="n">
        <v>2339.0999999999</v>
      </c>
      <c r="F14" s="6" t="n">
        <v>323.7610497238</v>
      </c>
      <c r="G14" s="6" t="n">
        <v>924</v>
      </c>
      <c r="H14" s="6" t="n">
        <v>-207.72</v>
      </c>
      <c r="I14" s="6" t="n">
        <v>-1415.0999999999</v>
      </c>
      <c r="J14" s="6" t="n">
        <v>600.2389502762001</v>
      </c>
    </row>
    <row r="15">
      <c r="A15" s="4" t="inlineStr">
        <is>
          <t>Cohen, Phyllis P</t>
        </is>
      </c>
      <c r="B15" s="4" t="inlineStr">
        <is>
          <t>A_64570</t>
        </is>
      </c>
      <c r="C15" s="4" t="inlineStr">
        <is>
          <t>A_64570 - Dietary Charge Out</t>
        </is>
      </c>
      <c r="D15" s="6" t="n">
        <v>2240.34</v>
      </c>
      <c r="E15" s="6" t="n">
        <v>4183.0613259668</v>
      </c>
      <c r="F15" s="6" t="n">
        <v>0</v>
      </c>
      <c r="G15" s="6" t="n">
        <v>0</v>
      </c>
      <c r="H15" s="6" t="n">
        <v>-2240.34</v>
      </c>
      <c r="I15" s="6" t="n">
        <v>-4183.0613259668</v>
      </c>
      <c r="J15" s="6" t="n">
        <v>0</v>
      </c>
    </row>
    <row r="16">
      <c r="A16" s="4" t="inlineStr">
        <is>
          <t>Cohen, Phyllis P</t>
        </is>
      </c>
      <c r="B16" s="4" t="inlineStr">
        <is>
          <t>A_65050</t>
        </is>
      </c>
      <c r="C16" s="4" t="inlineStr">
        <is>
          <t>A_65050 - Telephone</t>
        </is>
      </c>
      <c r="D16" s="6" t="n">
        <v>34426.24</v>
      </c>
      <c r="E16" s="6" t="n">
        <v>35420.0000000001</v>
      </c>
      <c r="F16" s="6" t="n">
        <v>10545.2936464088</v>
      </c>
      <c r="G16" s="6" t="n">
        <v>10945.0179558011</v>
      </c>
      <c r="H16" s="6" t="n">
        <v>-23481.2220441989</v>
      </c>
      <c r="I16" s="6" t="n">
        <v>-24474.982044199</v>
      </c>
      <c r="J16" s="6" t="n">
        <v>399.7243093923007</v>
      </c>
    </row>
    <row r="17">
      <c r="A17" s="4" t="inlineStr">
        <is>
          <t>Cohen, Phyllis P</t>
        </is>
      </c>
      <c r="B17" s="4" t="inlineStr">
        <is>
          <t>A_65510</t>
        </is>
      </c>
      <c r="C17" s="4" t="inlineStr">
        <is>
          <t>A_65510 - Freight</t>
        </is>
      </c>
      <c r="D17" s="6" t="n">
        <v>23.15</v>
      </c>
      <c r="E17" s="6" t="n">
        <v>45.4748259156</v>
      </c>
      <c r="F17" s="6" t="n">
        <v>0</v>
      </c>
      <c r="G17" s="6" t="n">
        <v>0</v>
      </c>
      <c r="H17" s="6" t="n">
        <v>-23.15</v>
      </c>
      <c r="I17" s="6" t="n">
        <v>-45.4748259156</v>
      </c>
      <c r="J17" s="6" t="n">
        <v>0</v>
      </c>
    </row>
    <row r="18">
      <c r="A18" s="4" t="inlineStr">
        <is>
          <t>Cohen, Phyllis P</t>
        </is>
      </c>
      <c r="B18" s="4" t="inlineStr">
        <is>
          <t>A_65517</t>
        </is>
      </c>
      <c r="C18" s="4" t="inlineStr">
        <is>
          <t>A_65517 - Software Maint and Support</t>
        </is>
      </c>
      <c r="D18" s="6" t="n">
        <v>1426.06</v>
      </c>
      <c r="E18" s="6" t="n">
        <v>1425.9999999996</v>
      </c>
      <c r="F18" s="6" t="n">
        <v>2589.54</v>
      </c>
      <c r="G18" s="6" t="n">
        <v>2611</v>
      </c>
      <c r="H18" s="6" t="n">
        <v>1184.94</v>
      </c>
      <c r="I18" s="6" t="n">
        <v>1185.0000000004</v>
      </c>
      <c r="J18" s="6" t="n">
        <v>21.46000000000004</v>
      </c>
    </row>
    <row r="19">
      <c r="A19" s="4" t="inlineStr">
        <is>
          <t>Cohen, Phyllis P</t>
        </is>
      </c>
      <c r="B19" s="4" t="inlineStr">
        <is>
          <t>A_65535</t>
        </is>
      </c>
      <c r="C19" s="4" t="inlineStr">
        <is>
          <t>A_65535 - Other Purchased Services</t>
        </is>
      </c>
      <c r="D19" s="6" t="n">
        <v>350</v>
      </c>
      <c r="E19" s="6" t="n">
        <v>0</v>
      </c>
      <c r="F19" s="6" t="n">
        <v>12818.66</v>
      </c>
      <c r="G19" s="6" t="n">
        <v>11822.33</v>
      </c>
      <c r="H19" s="6" t="n">
        <v>11472.33</v>
      </c>
      <c r="I19" s="6" t="n">
        <v>11822.33</v>
      </c>
      <c r="J19" s="6" t="n">
        <v>-996.3299999999999</v>
      </c>
    </row>
    <row r="20">
      <c r="A20" s="4" t="inlineStr">
        <is>
          <t>Cohen, Phyllis P</t>
        </is>
      </c>
      <c r="B20" s="4" t="inlineStr">
        <is>
          <t>A_65536</t>
        </is>
      </c>
      <c r="C20" s="4" t="inlineStr">
        <is>
          <t>A_65536 - Oth Purch Serv- Credentialling</t>
        </is>
      </c>
      <c r="D20" s="6" t="n">
        <v>82189.13</v>
      </c>
      <c r="E20" s="6" t="n">
        <v>50165.0000000004</v>
      </c>
      <c r="F20" s="6" t="n">
        <v>63680</v>
      </c>
      <c r="G20" s="6" t="n">
        <v>69205</v>
      </c>
      <c r="H20" s="6" t="n">
        <v>-12984.13</v>
      </c>
      <c r="I20" s="6" t="n">
        <v>19039.9999999996</v>
      </c>
      <c r="J20" s="6" t="n">
        <v>5525</v>
      </c>
    </row>
    <row r="21">
      <c r="A21" s="4" t="inlineStr">
        <is>
          <t>Cohen, Phyllis P</t>
        </is>
      </c>
      <c r="B21" s="4" t="inlineStr">
        <is>
          <t>A_65540</t>
        </is>
      </c>
      <c r="C21" s="4" t="inlineStr">
        <is>
          <t>A_65540 - Outside Messenger Service</t>
        </is>
      </c>
      <c r="D21" s="6" t="n">
        <v>311.37</v>
      </c>
      <c r="E21" s="6" t="n">
        <v>137.0000000004</v>
      </c>
      <c r="F21" s="6" t="n">
        <v>157.72</v>
      </c>
      <c r="G21" s="6" t="n">
        <v>432</v>
      </c>
      <c r="H21" s="6" t="n">
        <v>120.63</v>
      </c>
      <c r="I21" s="6" t="n">
        <v>294.9999999996</v>
      </c>
      <c r="J21" s="6" t="n">
        <v>274.28</v>
      </c>
    </row>
    <row r="22">
      <c r="A22" s="4" t="inlineStr">
        <is>
          <t>Cohen, Phyllis P</t>
        </is>
      </c>
      <c r="B22" s="4" t="inlineStr">
        <is>
          <t>A_65550</t>
        </is>
      </c>
      <c r="C22" s="4" t="inlineStr">
        <is>
          <t>A_65550 - Purchased Services-Subcontract</t>
        </is>
      </c>
      <c r="D22" s="6" t="n">
        <v>11710.33</v>
      </c>
      <c r="E22" s="6" t="n">
        <v>12999.9999999996</v>
      </c>
      <c r="F22" s="6" t="n">
        <v>9811.48</v>
      </c>
      <c r="G22" s="6" t="n">
        <v>12000</v>
      </c>
      <c r="H22" s="6" t="n">
        <v>289.6700000000001</v>
      </c>
      <c r="I22" s="6" t="n">
        <v>-999.9999999995998</v>
      </c>
      <c r="J22" s="6" t="n">
        <v>2188.52</v>
      </c>
    </row>
    <row r="23">
      <c r="A23" s="4" t="inlineStr">
        <is>
          <t>Cohen, Phyllis P</t>
        </is>
      </c>
      <c r="B23" s="4" t="inlineStr">
        <is>
          <t>A_66000</t>
        </is>
      </c>
      <c r="C23" s="4" t="inlineStr">
        <is>
          <t>A_66000 - Dues</t>
        </is>
      </c>
      <c r="D23" s="6" t="n">
        <v>245</v>
      </c>
      <c r="E23" s="6" t="n">
        <v>15197.0000000004</v>
      </c>
      <c r="F23" s="6" t="n">
        <v>25660.84</v>
      </c>
      <c r="G23" s="6" t="n">
        <v>14470</v>
      </c>
      <c r="H23" s="6" t="n">
        <v>14225</v>
      </c>
      <c r="I23" s="6" t="n">
        <v>-727.0000000004002</v>
      </c>
      <c r="J23" s="6" t="n">
        <v>-11190.84</v>
      </c>
    </row>
    <row r="24">
      <c r="A24" s="4" t="inlineStr">
        <is>
          <t>Cohen, Phyllis P</t>
        </is>
      </c>
      <c r="B24" s="4" t="inlineStr">
        <is>
          <t>A_66020</t>
        </is>
      </c>
      <c r="C24" s="4" t="inlineStr">
        <is>
          <t>A_66020 - Outside Training</t>
        </is>
      </c>
      <c r="D24" s="6" t="n">
        <v>673.66</v>
      </c>
      <c r="E24" s="6" t="n">
        <v>5632.3082340108</v>
      </c>
      <c r="F24" s="6" t="n">
        <v>1876</v>
      </c>
      <c r="G24" s="6" t="n">
        <v>11404.9720839068</v>
      </c>
      <c r="H24" s="6" t="n">
        <v>10731.3120839068</v>
      </c>
      <c r="I24" s="6" t="n">
        <v>5772.663849895999</v>
      </c>
      <c r="J24" s="6" t="n">
        <v>9528.9720839068</v>
      </c>
    </row>
    <row r="25">
      <c r="A25" s="4" t="inlineStr">
        <is>
          <t>Cohen, Phyllis P</t>
        </is>
      </c>
      <c r="B25" s="4" t="inlineStr">
        <is>
          <t>A_66030</t>
        </is>
      </c>
      <c r="C25" s="4" t="inlineStr">
        <is>
          <t>A_66030 - Microfilming &amp; Archiving</t>
        </is>
      </c>
      <c r="D25" s="6" t="n">
        <v>2173.87</v>
      </c>
      <c r="E25" s="6" t="n">
        <v>1820.0000000004</v>
      </c>
      <c r="F25" s="6" t="n">
        <v>2020.44</v>
      </c>
      <c r="G25" s="6" t="n">
        <v>2020.44</v>
      </c>
      <c r="H25" s="6" t="n">
        <v>-153.4299999999998</v>
      </c>
      <c r="I25" s="6" t="n">
        <v>200.4399999996001</v>
      </c>
      <c r="J25" s="6" t="n">
        <v>0</v>
      </c>
    </row>
    <row r="26">
      <c r="A26" s="4" t="inlineStr">
        <is>
          <t>Cohen, Phyllis P</t>
        </is>
      </c>
      <c r="B26" s="4" t="inlineStr">
        <is>
          <t>A_66050</t>
        </is>
      </c>
      <c r="C26" s="4" t="inlineStr">
        <is>
          <t>A_66050 - Printing And Duplication</t>
        </is>
      </c>
      <c r="D26" s="6" t="n">
        <v>25221.09</v>
      </c>
      <c r="E26" s="6" t="n">
        <v>45499.0000000008</v>
      </c>
      <c r="F26" s="6" t="n">
        <v>21774.5</v>
      </c>
      <c r="G26" s="6" t="n">
        <v>12762.56</v>
      </c>
      <c r="H26" s="6" t="n">
        <v>-12458.53</v>
      </c>
      <c r="I26" s="6" t="n">
        <v>-32736.4400000008</v>
      </c>
      <c r="J26" s="6" t="n">
        <v>-9011.939999999999</v>
      </c>
    </row>
    <row r="27">
      <c r="A27" s="4" t="inlineStr">
        <is>
          <t>Cohen, Phyllis P</t>
        </is>
      </c>
      <c r="B27" s="4" t="inlineStr">
        <is>
          <t>A_66060</t>
        </is>
      </c>
      <c r="C27" s="4" t="inlineStr">
        <is>
          <t>A_66060 - Other Expenses</t>
        </is>
      </c>
      <c r="D27" s="6" t="n">
        <v>7107.35</v>
      </c>
      <c r="E27" s="6" t="n">
        <v>1120.0000000008</v>
      </c>
      <c r="F27" s="6" t="n">
        <v>2879.72</v>
      </c>
      <c r="G27" s="6" t="n">
        <v>3579.72</v>
      </c>
      <c r="H27" s="6" t="n">
        <v>-3527.630000000001</v>
      </c>
      <c r="I27" s="6" t="n">
        <v>2459.7199999992</v>
      </c>
      <c r="J27" s="6" t="n">
        <v>700</v>
      </c>
    </row>
    <row r="28">
      <c r="A28" s="4" t="inlineStr">
        <is>
          <t>Cohen, Phyllis P</t>
        </is>
      </c>
      <c r="B28" s="4" t="inlineStr">
        <is>
          <t>A_66075</t>
        </is>
      </c>
      <c r="C28" s="4" t="inlineStr">
        <is>
          <t>A_66075 - Promotional items</t>
        </is>
      </c>
      <c r="D28" s="6" t="n">
        <v>0</v>
      </c>
      <c r="E28" s="6" t="n">
        <v>1275</v>
      </c>
      <c r="F28" s="6" t="n">
        <v>7327.24</v>
      </c>
      <c r="G28" s="6" t="n">
        <v>4663.62</v>
      </c>
      <c r="H28" s="6" t="n">
        <v>4663.62</v>
      </c>
      <c r="I28" s="6" t="n">
        <v>3388.62</v>
      </c>
      <c r="J28" s="6" t="n">
        <v>-2663.62</v>
      </c>
    </row>
    <row r="29">
      <c r="A29" s="4" t="inlineStr">
        <is>
          <t>Cohen, Phyllis P</t>
        </is>
      </c>
      <c r="B29" s="4" t="inlineStr">
        <is>
          <t>A_66090</t>
        </is>
      </c>
      <c r="C29" s="4" t="inlineStr">
        <is>
          <t>A_66090 - House Functions &amp; Corp Events</t>
        </is>
      </c>
      <c r="D29" s="6" t="n">
        <v>10170.7</v>
      </c>
      <c r="E29" s="6" t="n">
        <v>3924.9534731784</v>
      </c>
      <c r="F29" s="6" t="n">
        <v>6224.96</v>
      </c>
      <c r="G29" s="6" t="n">
        <v>4360</v>
      </c>
      <c r="H29" s="6" t="n">
        <v>-5810.700000000001</v>
      </c>
      <c r="I29" s="6" t="n">
        <v>435.0465268215999</v>
      </c>
      <c r="J29" s="6" t="n">
        <v>-1864.96</v>
      </c>
    </row>
    <row r="30">
      <c r="A30" s="4" t="inlineStr">
        <is>
          <t>Cohen, Phyllis P</t>
        </is>
      </c>
      <c r="B30" s="4" t="inlineStr">
        <is>
          <t>A_66095</t>
        </is>
      </c>
      <c r="C30" s="4" t="inlineStr">
        <is>
          <t>A_66095 - Meals &amp; Entertainment</t>
        </is>
      </c>
      <c r="D30" s="6" t="n">
        <v>1162.49</v>
      </c>
      <c r="E30" s="6" t="n">
        <v>4709.9441678136</v>
      </c>
      <c r="F30" s="6" t="n">
        <v>196.78</v>
      </c>
      <c r="G30" s="6" t="n">
        <v>2020</v>
      </c>
      <c r="H30" s="6" t="n">
        <v>857.51</v>
      </c>
      <c r="I30" s="6" t="n">
        <v>-2689.9441678136</v>
      </c>
      <c r="J30" s="6" t="n">
        <v>1823.22</v>
      </c>
    </row>
    <row r="31">
      <c r="A31" s="4" t="inlineStr">
        <is>
          <t>Cohen, Phyllis P</t>
        </is>
      </c>
      <c r="B31" s="4" t="inlineStr">
        <is>
          <t>A_66150</t>
        </is>
      </c>
      <c r="C31" s="4" t="inlineStr">
        <is>
          <t>A_66150 - Travel</t>
        </is>
      </c>
      <c r="D31" s="6" t="n">
        <v>460.58</v>
      </c>
      <c r="E31" s="6" t="n">
        <v>5593.0586992788</v>
      </c>
      <c r="F31" s="6" t="n">
        <v>83.98</v>
      </c>
      <c r="G31" s="6" t="n">
        <v>6095.591268054401</v>
      </c>
      <c r="H31" s="6" t="n">
        <v>5635.011268054401</v>
      </c>
      <c r="I31" s="6" t="n">
        <v>502.5325687756003</v>
      </c>
      <c r="J31" s="6" t="n">
        <v>6011.611268054401</v>
      </c>
    </row>
    <row r="32">
      <c r="A32" s="4" t="inlineStr">
        <is>
          <t>Cohen, Phyllis P</t>
        </is>
      </c>
      <c r="B32" s="4" t="inlineStr">
        <is>
          <t>A_66152</t>
        </is>
      </c>
      <c r="C32" s="4" t="inlineStr">
        <is>
          <t>A_66152 - Patient Transportation</t>
        </is>
      </c>
      <c r="D32" s="6" t="n">
        <v>2320</v>
      </c>
      <c r="E32" s="6" t="n">
        <v>3500.0000000004</v>
      </c>
      <c r="F32" s="6" t="n">
        <v>0</v>
      </c>
      <c r="G32" s="6" t="n">
        <v>3600</v>
      </c>
      <c r="H32" s="6" t="n">
        <v>1280</v>
      </c>
      <c r="I32" s="6" t="n">
        <v>99.99999999959982</v>
      </c>
      <c r="J32" s="6" t="n">
        <v>3600</v>
      </c>
    </row>
    <row r="33">
      <c r="A33" s="4" t="inlineStr">
        <is>
          <t>Cohen, Phyllis P</t>
        </is>
      </c>
      <c r="B33" s="4" t="inlineStr">
        <is>
          <t>A_66515</t>
        </is>
      </c>
      <c r="C33" s="4" t="inlineStr">
        <is>
          <t>A_66515 - Lease Rentals - Copiers</t>
        </is>
      </c>
      <c r="D33" s="6" t="n">
        <v>32718.72</v>
      </c>
      <c r="E33" s="6" t="n">
        <v>29684.6799999996</v>
      </c>
      <c r="F33" s="6" t="n">
        <v>29740.64</v>
      </c>
      <c r="G33" s="6" t="n">
        <v>19689.96</v>
      </c>
      <c r="H33" s="6" t="n">
        <v>-13028.76</v>
      </c>
      <c r="I33" s="6" t="n">
        <v>-9994.719999999601</v>
      </c>
      <c r="J33" s="6" t="n">
        <v>-10050.68</v>
      </c>
    </row>
    <row r="34">
      <c r="A34" s="4" t="inlineStr">
        <is>
          <t>Cohen, Phyllis P</t>
        </is>
      </c>
      <c r="B34" s="4" t="inlineStr">
        <is>
          <t>A_66524</t>
        </is>
      </c>
      <c r="C34" s="4" t="inlineStr">
        <is>
          <t>A_66524 - Software Licensing Fees</t>
        </is>
      </c>
      <c r="D34" s="6" t="n">
        <v>0</v>
      </c>
      <c r="E34" s="6" t="n">
        <v>0</v>
      </c>
      <c r="F34" s="6" t="n">
        <v>1055.44</v>
      </c>
      <c r="G34" s="6" t="n">
        <v>500</v>
      </c>
      <c r="H34" s="6" t="n">
        <v>500</v>
      </c>
      <c r="I34" s="6" t="n">
        <v>500</v>
      </c>
      <c r="J34" s="6" t="n">
        <v>-555.4400000000001</v>
      </c>
    </row>
    <row r="35">
      <c r="A35" s="7" t="inlineStr">
        <is>
          <t>Total</t>
        </is>
      </c>
      <c r="B35" s="7" t="n"/>
      <c r="C35" s="7" t="n"/>
      <c r="D35" s="8">
        <f>SUM(D6:D34)</f>
        <v/>
      </c>
      <c r="E35" s="8">
        <f>SUM(E6:E34)</f>
        <v/>
      </c>
      <c r="F35" s="8">
        <f>SUM(F6:F34)</f>
        <v/>
      </c>
      <c r="G35" s="8">
        <f>SUM(G6:G34)</f>
        <v/>
      </c>
      <c r="H35" s="8">
        <f>SUM(H6:H34)</f>
        <v/>
      </c>
      <c r="I35" s="8">
        <f>SUM(I6:I34)</f>
        <v/>
      </c>
      <c r="J35" s="8">
        <f>SUM(J6:J34)</f>
        <v/>
      </c>
    </row>
  </sheetData>
  <autoFilter ref="A5:J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2026-08-26T21:50:10Z</dcterms:created>
  <dcterms:modified xsi:type="dcterms:W3CDTF">2026-08-26T21:50:10Z</dcterms:modified>
</cp:coreProperties>
</file>