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Summary'!$A$5:$K$16</definedName>
    <definedName name="_xlnm._FilterDatabase" localSheetId="1" hidden="1">'Acct Summary'!$A$5:$J$76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17" customWidth="1" min="3" max="3"/>
    <col width="48" customWidth="1" min="4" max="4"/>
    <col width="22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LENOX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Cohen, Jill</t>
        </is>
      </c>
      <c r="B6" s="4" t="inlineStr">
        <is>
          <t>Cohen, Jill</t>
        </is>
      </c>
      <c r="C6" s="5" t="n">
        <v>15620050</v>
      </c>
      <c r="D6" s="4" t="inlineStr">
        <is>
          <t>LENOX_15620050 - Float Recovery</t>
        </is>
      </c>
      <c r="E6" s="6" t="n">
        <v>-1347.19</v>
      </c>
      <c r="F6" s="6" t="n">
        <v>-19.9968757204</v>
      </c>
      <c r="G6" s="6" t="n">
        <v>0</v>
      </c>
      <c r="H6" s="6" t="n">
        <v>0</v>
      </c>
      <c r="I6" s="6" t="n">
        <v>1347.19</v>
      </c>
      <c r="J6" s="6" t="n">
        <v>19.9968757204</v>
      </c>
      <c r="K6" s="6" t="n">
        <v>0</v>
      </c>
    </row>
    <row r="7">
      <c r="A7" s="4" t="inlineStr">
        <is>
          <t>Cohen, Jill</t>
        </is>
      </c>
      <c r="B7" s="4" t="inlineStr">
        <is>
          <t>Espinal, Nery</t>
        </is>
      </c>
      <c r="C7" s="5" t="n">
        <v>15600160</v>
      </c>
      <c r="D7" s="4" t="inlineStr">
        <is>
          <t>LENOX_15600160 - Materials Operations</t>
        </is>
      </c>
      <c r="E7" s="6" t="n">
        <v>111534.02</v>
      </c>
      <c r="F7" s="6" t="n">
        <v>127295.0687955349</v>
      </c>
      <c r="G7" s="6" t="n">
        <v>198942.1069285412</v>
      </c>
      <c r="H7" s="6" t="n">
        <v>199014.9669285412</v>
      </c>
      <c r="I7" s="6" t="n">
        <v>87480.94692854119</v>
      </c>
      <c r="J7" s="6" t="n">
        <v>71719.8981330063</v>
      </c>
      <c r="K7" s="6" t="n">
        <v>72.86000000001513</v>
      </c>
    </row>
    <row r="8">
      <c r="A8" s="4" t="inlineStr">
        <is>
          <t>Cohen, Jill</t>
        </is>
      </c>
      <c r="B8" s="4" t="inlineStr">
        <is>
          <t>Lopez, Edwin</t>
        </is>
      </c>
      <c r="C8" s="5" t="n">
        <v>15651050</v>
      </c>
      <c r="D8" s="4" t="inlineStr">
        <is>
          <t>LENOX_15651050 - POS - Central Services</t>
        </is>
      </c>
      <c r="E8" s="6" t="n">
        <v>1271092.1</v>
      </c>
      <c r="F8" s="6" t="n">
        <v>1309132.138073685</v>
      </c>
      <c r="G8" s="6" t="n">
        <v>1548532.100155423</v>
      </c>
      <c r="H8" s="6" t="n">
        <v>174565.7027071823</v>
      </c>
      <c r="I8" s="6" t="n">
        <v>-1096526.397292818</v>
      </c>
      <c r="J8" s="6" t="n">
        <v>-1134566.435366502</v>
      </c>
      <c r="K8" s="6" t="n">
        <v>-1373966.397448241</v>
      </c>
    </row>
    <row r="9">
      <c r="A9" s="4" t="inlineStr">
        <is>
          <t>Cohen, Jill</t>
        </is>
      </c>
      <c r="B9" s="4" t="inlineStr">
        <is>
          <t>Murawski, Kaitlyn L</t>
        </is>
      </c>
      <c r="C9" s="5" t="n">
        <v>15651010</v>
      </c>
      <c r="D9" s="4" t="inlineStr">
        <is>
          <t>LENOX_15651010 - POS - Operating Room</t>
        </is>
      </c>
      <c r="E9" s="6" t="n">
        <v>92475130.64</v>
      </c>
      <c r="F9" s="6" t="n">
        <v>94896106.23864555</v>
      </c>
      <c r="G9" s="6" t="n">
        <v>99800438.74179703</v>
      </c>
      <c r="H9" s="6" t="n">
        <v>4380702.982553583</v>
      </c>
      <c r="I9" s="6" t="n">
        <v>-88094427.65744641</v>
      </c>
      <c r="J9" s="6" t="n">
        <v>-90515403.25609197</v>
      </c>
      <c r="K9" s="6" t="n">
        <v>-95419735.75924344</v>
      </c>
    </row>
    <row r="10">
      <c r="A10" s="4" t="inlineStr">
        <is>
          <t>Cohen, Jill</t>
        </is>
      </c>
      <c r="B10" s="4" t="inlineStr">
        <is>
          <t>O'Connor, Jessica M</t>
        </is>
      </c>
      <c r="C10" s="5" t="n">
        <v>15640000</v>
      </c>
      <c r="D10" s="4" t="inlineStr">
        <is>
          <t>LENOX_15640000 - Endocrinology</t>
        </is>
      </c>
      <c r="E10" s="6" t="n">
        <v>419.87</v>
      </c>
      <c r="F10" s="6" t="n">
        <v>0</v>
      </c>
      <c r="G10" s="6" t="n">
        <v>0</v>
      </c>
      <c r="H10" s="6" t="n">
        <v>0</v>
      </c>
      <c r="I10" s="6" t="n">
        <v>-419.87</v>
      </c>
      <c r="J10" s="6" t="n">
        <v>0</v>
      </c>
      <c r="K10" s="6" t="n">
        <v>0</v>
      </c>
    </row>
    <row r="11">
      <c r="A11" s="4" t="inlineStr">
        <is>
          <t>Cohen, Jill</t>
        </is>
      </c>
      <c r="B11" s="4" t="inlineStr">
        <is>
          <t>O'Connor, Jessica M</t>
        </is>
      </c>
      <c r="C11" s="5" t="n">
        <v>15651020</v>
      </c>
      <c r="D11" s="4" t="inlineStr">
        <is>
          <t>LENOX_15651020 - POS - Recovery Room</t>
        </is>
      </c>
      <c r="E11" s="6" t="n">
        <v>345416.41</v>
      </c>
      <c r="F11" s="6" t="n">
        <v>328390.7254127228</v>
      </c>
      <c r="G11" s="6" t="n">
        <v>391639.5581342968</v>
      </c>
      <c r="H11" s="6" t="n">
        <v>314835.0996506844</v>
      </c>
      <c r="I11" s="6" t="n">
        <v>-30581.31034931558</v>
      </c>
      <c r="J11" s="6" t="n">
        <v>-13555.6257620384</v>
      </c>
      <c r="K11" s="6" t="n">
        <v>-76804.4584836124</v>
      </c>
    </row>
    <row r="12">
      <c r="A12" s="4" t="inlineStr">
        <is>
          <t>Cohen, Jill</t>
        </is>
      </c>
      <c r="B12" s="4" t="inlineStr">
        <is>
          <t>O'Connor, Jessica M</t>
        </is>
      </c>
      <c r="C12" s="5" t="n">
        <v>15651030</v>
      </c>
      <c r="D12" s="4" t="inlineStr">
        <is>
          <t>LENOX_15651030 - POS - Pre Admission Testing</t>
        </is>
      </c>
      <c r="E12" s="6" t="n">
        <v>2352.85</v>
      </c>
      <c r="F12" s="6" t="n">
        <v>2122.1300000004</v>
      </c>
      <c r="G12" s="6" t="n">
        <v>4513.0268508287</v>
      </c>
      <c r="H12" s="6" t="n">
        <v>1700.16</v>
      </c>
      <c r="I12" s="6" t="n">
        <v>-652.6899999999998</v>
      </c>
      <c r="J12" s="6" t="n">
        <v>-421.9700000003998</v>
      </c>
      <c r="K12" s="6" t="n">
        <v>-2812.8668508287</v>
      </c>
    </row>
    <row r="13">
      <c r="A13" s="4" t="inlineStr">
        <is>
          <t>Cohen, Jill</t>
        </is>
      </c>
      <c r="B13" s="4" t="inlineStr">
        <is>
          <t>O'Connor, Jessica M</t>
        </is>
      </c>
      <c r="C13" s="5" t="n">
        <v>15651060</v>
      </c>
      <c r="D13" s="4" t="inlineStr">
        <is>
          <t>LENOX_15651060 - POS - Endoscopy</t>
        </is>
      </c>
      <c r="E13" s="6" t="n">
        <v>3786232.8</v>
      </c>
      <c r="F13" s="6" t="n">
        <v>3685014.469705791</v>
      </c>
      <c r="G13" s="6" t="n">
        <v>4263508.492548115</v>
      </c>
      <c r="H13" s="6" t="n">
        <v>4247549.200503916</v>
      </c>
      <c r="I13" s="6" t="n">
        <v>461316.4005039157</v>
      </c>
      <c r="J13" s="6" t="n">
        <v>562534.7307981248</v>
      </c>
      <c r="K13" s="6" t="n">
        <v>-15959.29204419907</v>
      </c>
    </row>
    <row r="14">
      <c r="A14" s="4" t="inlineStr">
        <is>
          <t>Cohen, Jill</t>
        </is>
      </c>
      <c r="B14" s="4" t="inlineStr">
        <is>
          <t>O'Connor, Jessica M</t>
        </is>
      </c>
      <c r="C14" s="5" t="n">
        <v>15651070</v>
      </c>
      <c r="D14" s="4" t="inlineStr">
        <is>
          <t>LENOX_15651070 - POS - Same Day admission</t>
        </is>
      </c>
      <c r="E14" s="6" t="n">
        <v>439179.91</v>
      </c>
      <c r="F14" s="6" t="n">
        <v>331472.4908611359</v>
      </c>
      <c r="G14" s="6" t="n">
        <v>347914.8590965938</v>
      </c>
      <c r="H14" s="6" t="n">
        <v>0</v>
      </c>
      <c r="I14" s="6" t="n">
        <v>-439179.91</v>
      </c>
      <c r="J14" s="6" t="n">
        <v>-331472.4908611359</v>
      </c>
      <c r="K14" s="6" t="n">
        <v>-347914.8590965938</v>
      </c>
    </row>
    <row r="15">
      <c r="A15" s="4" t="inlineStr">
        <is>
          <t>Cohen, Jill</t>
        </is>
      </c>
      <c r="B15" s="4" t="inlineStr">
        <is>
          <t>O'Connor, Jessica M</t>
        </is>
      </c>
      <c r="C15" s="5" t="n">
        <v>15666000</v>
      </c>
      <c r="D15" s="4" t="inlineStr">
        <is>
          <t>LENOX_15666000 - OP Svc - Ambulatory Surgery</t>
        </is>
      </c>
      <c r="E15" s="6" t="n">
        <v>14094111.29</v>
      </c>
      <c r="F15" s="6" t="n">
        <v>14494000.4969906</v>
      </c>
      <c r="G15" s="6" t="n">
        <v>14939091.88641613</v>
      </c>
      <c r="H15" s="6" t="n">
        <v>-432416.6991208789</v>
      </c>
      <c r="I15" s="6" t="n">
        <v>-14526527.98912088</v>
      </c>
      <c r="J15" s="6" t="n">
        <v>-14926417.19611148</v>
      </c>
      <c r="K15" s="6" t="n">
        <v>-15371508.58553701</v>
      </c>
    </row>
    <row r="16">
      <c r="A16" s="4" t="inlineStr">
        <is>
          <t>Cohen, Jill</t>
        </is>
      </c>
      <c r="B16" s="4" t="inlineStr">
        <is>
          <t>Whiffin, Jennifer</t>
        </is>
      </c>
      <c r="C16" s="5" t="n">
        <v>15651005</v>
      </c>
      <c r="D16" s="4" t="inlineStr">
        <is>
          <t>LENOX_15651005 - OR Booking</t>
        </is>
      </c>
      <c r="E16" s="6" t="n">
        <v>1192</v>
      </c>
      <c r="F16" s="6" t="n">
        <v>690</v>
      </c>
      <c r="G16" s="6" t="n">
        <v>1793.926519337</v>
      </c>
      <c r="H16" s="6" t="n">
        <v>0</v>
      </c>
      <c r="I16" s="6" t="n">
        <v>-1192</v>
      </c>
      <c r="J16" s="6" t="n">
        <v>-690</v>
      </c>
      <c r="K16" s="6" t="n">
        <v>-1793.926519337</v>
      </c>
    </row>
    <row r="17">
      <c r="A17" s="7" t="inlineStr">
        <is>
          <t>Total</t>
        </is>
      </c>
      <c r="B17" s="7" t="n"/>
      <c r="C17" s="7">
        <f>SUM(C6:C16)</f>
        <v/>
      </c>
      <c r="D17" s="7" t="n"/>
      <c r="E17" s="8">
        <f>SUM(E6:E16)</f>
        <v/>
      </c>
      <c r="F17" s="8">
        <f>SUM(F6:F16)</f>
        <v/>
      </c>
      <c r="G17" s="8">
        <f>SUM(G6:G16)</f>
        <v/>
      </c>
      <c r="H17" s="8">
        <f>SUM(H6:H16)</f>
        <v/>
      </c>
      <c r="I17" s="8">
        <f>SUM(I6:I16)</f>
        <v/>
      </c>
      <c r="J17" s="8">
        <f>SUM(J6:J16)</f>
        <v/>
      </c>
      <c r="K17" s="8">
        <f>SUM(K6:K16)</f>
        <v/>
      </c>
    </row>
  </sheetData>
  <autoFilter ref="A5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3" customWidth="1" min="5" max="5"/>
    <col width="22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LENOX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Cohen, Jill</t>
        </is>
      </c>
      <c r="B6" s="4" t="inlineStr">
        <is>
          <t>A_55009</t>
        </is>
      </c>
      <c r="C6" s="4" t="inlineStr">
        <is>
          <t>A_55009 - Supply Chain Channel Rebates</t>
        </is>
      </c>
      <c r="D6" s="6" t="n">
        <v>-23070.33</v>
      </c>
      <c r="E6" s="6" t="n">
        <v>-24087.0600000001</v>
      </c>
      <c r="F6" s="6" t="n">
        <v>-25575.2957142858</v>
      </c>
      <c r="G6" s="6" t="n">
        <v>-21347.8750549451</v>
      </c>
      <c r="H6" s="6" t="n">
        <v>1722.454945054902</v>
      </c>
      <c r="I6" s="6" t="n">
        <v>2739.184945055</v>
      </c>
      <c r="J6" s="6" t="n">
        <v>4227.4206593407</v>
      </c>
    </row>
    <row r="7">
      <c r="A7" s="4" t="inlineStr">
        <is>
          <t>Cohen, Jill</t>
        </is>
      </c>
      <c r="B7" s="4" t="inlineStr">
        <is>
          <t>A_55010</t>
        </is>
      </c>
      <c r="C7" s="4" t="inlineStr">
        <is>
          <t>A_55010 - Rebates From Vendors</t>
        </is>
      </c>
      <c r="D7" s="6" t="n">
        <v>-2453338.69</v>
      </c>
      <c r="E7" s="6" t="n">
        <v>-3840755</v>
      </c>
      <c r="F7" s="6" t="n">
        <v>-3718968.77373626</v>
      </c>
      <c r="G7" s="6" t="n">
        <v>-3709319.606043952</v>
      </c>
      <c r="H7" s="6" t="n">
        <v>-1255980.916043952</v>
      </c>
      <c r="I7" s="6" t="n">
        <v>131435.3939560484</v>
      </c>
      <c r="J7" s="6" t="n">
        <v>9649.167692307848</v>
      </c>
    </row>
    <row r="8">
      <c r="A8" s="4" t="inlineStr">
        <is>
          <t>Cohen, Jill</t>
        </is>
      </c>
      <c r="B8" s="4" t="inlineStr">
        <is>
          <t>A_61000</t>
        </is>
      </c>
      <c r="C8" s="4" t="inlineStr">
        <is>
          <t>A_61000 - Consulting Fees</t>
        </is>
      </c>
      <c r="D8" s="6" t="n">
        <v>0</v>
      </c>
      <c r="E8" s="6" t="n">
        <v>0</v>
      </c>
      <c r="F8" s="6" t="n">
        <v>4326</v>
      </c>
      <c r="G8" s="6" t="n">
        <v>0</v>
      </c>
      <c r="H8" s="6" t="n">
        <v>0</v>
      </c>
      <c r="I8" s="6" t="n">
        <v>0</v>
      </c>
      <c r="J8" s="6" t="n">
        <v>-4326</v>
      </c>
    </row>
    <row r="9">
      <c r="A9" s="4" t="inlineStr">
        <is>
          <t>Cohen, Jill</t>
        </is>
      </c>
      <c r="B9" s="4" t="inlineStr">
        <is>
          <t>A_61300</t>
        </is>
      </c>
      <c r="C9" s="4" t="inlineStr">
        <is>
          <t>A_61300 - Nursing Fees</t>
        </is>
      </c>
      <c r="D9" s="6" t="n">
        <v>35307.5</v>
      </c>
      <c r="E9" s="6" t="n">
        <v>0</v>
      </c>
      <c r="F9" s="6" t="n">
        <v>239044.54</v>
      </c>
      <c r="G9" s="6" t="n">
        <v>0</v>
      </c>
      <c r="H9" s="6" t="n">
        <v>-35307.5</v>
      </c>
      <c r="I9" s="6" t="n">
        <v>0</v>
      </c>
      <c r="J9" s="6" t="n">
        <v>-239044.54</v>
      </c>
    </row>
    <row r="10">
      <c r="A10" s="4" t="inlineStr">
        <is>
          <t>Cohen, Jill</t>
        </is>
      </c>
      <c r="B10" s="4" t="inlineStr">
        <is>
          <t>A_63000</t>
        </is>
      </c>
      <c r="C10" s="4" t="inlineStr">
        <is>
          <t>A_63000 - Supplies - Laboratory</t>
        </is>
      </c>
      <c r="D10" s="6" t="n">
        <v>52799.22</v>
      </c>
      <c r="E10" s="6" t="n">
        <v>50617.2848240738</v>
      </c>
      <c r="F10" s="6" t="n">
        <v>61493.0073626374</v>
      </c>
      <c r="G10" s="6" t="n">
        <v>15374.4735164836</v>
      </c>
      <c r="H10" s="6" t="n">
        <v>-37424.7464835164</v>
      </c>
      <c r="I10" s="6" t="n">
        <v>-35242.8113075902</v>
      </c>
      <c r="J10" s="6" t="n">
        <v>-46118.5338461538</v>
      </c>
    </row>
    <row r="11">
      <c r="A11" s="4" t="inlineStr">
        <is>
          <t>Cohen, Jill</t>
        </is>
      </c>
      <c r="B11" s="4" t="inlineStr">
        <is>
          <t>A_63005</t>
        </is>
      </c>
      <c r="C11" s="4" t="inlineStr">
        <is>
          <t>A_63005 - Supplies - Reagents</t>
        </is>
      </c>
      <c r="D11" s="6" t="n">
        <v>79868.64</v>
      </c>
      <c r="E11" s="6" t="n">
        <v>86566.3823776825</v>
      </c>
      <c r="F11" s="6" t="n">
        <v>94010.82032967049</v>
      </c>
      <c r="G11" s="6" t="n">
        <v>8712.3886813188</v>
      </c>
      <c r="H11" s="6" t="n">
        <v>-71156.2513186812</v>
      </c>
      <c r="I11" s="6" t="n">
        <v>-77853.9936963637</v>
      </c>
      <c r="J11" s="6" t="n">
        <v>-85298.43164835169</v>
      </c>
    </row>
    <row r="12">
      <c r="A12" s="4" t="inlineStr">
        <is>
          <t>Cohen, Jill</t>
        </is>
      </c>
      <c r="B12" s="4" t="inlineStr">
        <is>
          <t>A_63008</t>
        </is>
      </c>
      <c r="C12" s="4" t="inlineStr">
        <is>
          <t>A_63008 - Supplies - Implants - Spinal</t>
        </is>
      </c>
      <c r="D12" s="6" t="n">
        <v>14533726.33</v>
      </c>
      <c r="E12" s="6" t="n">
        <v>14715536.07023906</v>
      </c>
      <c r="F12" s="6" t="n">
        <v>14608987.83461534</v>
      </c>
      <c r="G12" s="6" t="n">
        <v>0</v>
      </c>
      <c r="H12" s="6" t="n">
        <v>-14533726.33</v>
      </c>
      <c r="I12" s="6" t="n">
        <v>-14715536.07023906</v>
      </c>
      <c r="J12" s="6" t="n">
        <v>-14608987.83461534</v>
      </c>
    </row>
    <row r="13">
      <c r="A13" s="4" t="inlineStr">
        <is>
          <t>Cohen, Jill</t>
        </is>
      </c>
      <c r="B13" s="4" t="inlineStr">
        <is>
          <t>A_63009</t>
        </is>
      </c>
      <c r="C13" s="4" t="inlineStr">
        <is>
          <t>A_63009 - Supplies - Implants - Joint</t>
        </is>
      </c>
      <c r="D13" s="6" t="n">
        <v>6650026.4</v>
      </c>
      <c r="E13" s="6" t="n">
        <v>7380203.52136925</v>
      </c>
      <c r="F13" s="6" t="n">
        <v>7069201.194725272</v>
      </c>
      <c r="G13" s="6" t="n">
        <v>6980.1428571429</v>
      </c>
      <c r="H13" s="6" t="n">
        <v>-6643046.257142858</v>
      </c>
      <c r="I13" s="6" t="n">
        <v>-7373223.378512108</v>
      </c>
      <c r="J13" s="6" t="n">
        <v>-7062221.05186813</v>
      </c>
    </row>
    <row r="14">
      <c r="A14" s="4" t="inlineStr">
        <is>
          <t>Cohen, Jill</t>
        </is>
      </c>
      <c r="B14" s="4" t="inlineStr">
        <is>
          <t>A_63010</t>
        </is>
      </c>
      <c r="C14" s="4" t="inlineStr">
        <is>
          <t>A_63010 - Supplies - Implnts - Oth Ortho</t>
        </is>
      </c>
      <c r="D14" s="6" t="n">
        <v>5412441.92</v>
      </c>
      <c r="E14" s="6" t="n">
        <v>6182852.615529735</v>
      </c>
      <c r="F14" s="6" t="n">
        <v>5778920.399999999</v>
      </c>
      <c r="G14" s="6" t="n">
        <v>12866.2674725275</v>
      </c>
      <c r="H14" s="6" t="n">
        <v>-5399575.652527472</v>
      </c>
      <c r="I14" s="6" t="n">
        <v>-6169986.348057207</v>
      </c>
      <c r="J14" s="6" t="n">
        <v>-5766054.132527472</v>
      </c>
    </row>
    <row r="15">
      <c r="A15" s="4" t="inlineStr">
        <is>
          <t>Cohen, Jill</t>
        </is>
      </c>
      <c r="B15" s="4" t="inlineStr">
        <is>
          <t>A_63015</t>
        </is>
      </c>
      <c r="C15" s="4" t="inlineStr">
        <is>
          <t>A_63015 - Supplies - Implants - Neuro</t>
        </is>
      </c>
      <c r="D15" s="6" t="n">
        <v>3991800.53</v>
      </c>
      <c r="E15" s="6" t="n">
        <v>4015836.16662608</v>
      </c>
      <c r="F15" s="6" t="n">
        <v>4039241.055494506</v>
      </c>
      <c r="G15" s="6" t="n">
        <v>0</v>
      </c>
      <c r="H15" s="6" t="n">
        <v>-3991800.53</v>
      </c>
      <c r="I15" s="6" t="n">
        <v>-4015836.16662608</v>
      </c>
      <c r="J15" s="6" t="n">
        <v>-4039241.055494506</v>
      </c>
    </row>
    <row r="16">
      <c r="A16" s="4" t="inlineStr">
        <is>
          <t>Cohen, Jill</t>
        </is>
      </c>
      <c r="B16" s="4" t="inlineStr">
        <is>
          <t>A_63020</t>
        </is>
      </c>
      <c r="C16" s="4" t="inlineStr">
        <is>
          <t>A_63020 - Supplies Wound Closure</t>
        </is>
      </c>
      <c r="D16" s="6" t="n">
        <v>5170171.74</v>
      </c>
      <c r="E16" s="6" t="n">
        <v>5613695.654340166</v>
      </c>
      <c r="F16" s="6" t="n">
        <v>5723501.162637364</v>
      </c>
      <c r="G16" s="6" t="n">
        <v>143038.913406593</v>
      </c>
      <c r="H16" s="6" t="n">
        <v>-5027132.826593407</v>
      </c>
      <c r="I16" s="6" t="n">
        <v>-5470656.740933573</v>
      </c>
      <c r="J16" s="6" t="n">
        <v>-5580462.249230771</v>
      </c>
    </row>
    <row r="17">
      <c r="A17" s="4" t="inlineStr">
        <is>
          <t>Cohen, Jill</t>
        </is>
      </c>
      <c r="B17" s="4" t="inlineStr">
        <is>
          <t>A_63030</t>
        </is>
      </c>
      <c r="C17" s="4" t="inlineStr">
        <is>
          <t>A_63030 - Supplies - Medical</t>
        </is>
      </c>
      <c r="D17" s="6" t="n">
        <v>5246528.81</v>
      </c>
      <c r="E17" s="6" t="n">
        <v>5375889.779642634</v>
      </c>
      <c r="F17" s="6" t="n">
        <v>5395079.709890111</v>
      </c>
      <c r="G17" s="6" t="n">
        <v>569124.6909890109</v>
      </c>
      <c r="H17" s="6" t="n">
        <v>-4677404.119010989</v>
      </c>
      <c r="I17" s="6" t="n">
        <v>-4806765.088653623</v>
      </c>
      <c r="J17" s="6" t="n">
        <v>-4825955.0189011</v>
      </c>
    </row>
    <row r="18">
      <c r="A18" s="4" t="inlineStr">
        <is>
          <t>Cohen, Jill</t>
        </is>
      </c>
      <c r="B18" s="4" t="inlineStr">
        <is>
          <t>A_63032</t>
        </is>
      </c>
      <c r="C18" s="4" t="inlineStr">
        <is>
          <t>A_63032 - Supplies - Medical - PPE</t>
        </is>
      </c>
      <c r="D18" s="6" t="n">
        <v>12648.29</v>
      </c>
      <c r="E18" s="6" t="n">
        <v>11638.707835391</v>
      </c>
      <c r="F18" s="6" t="n">
        <v>9218.514395604299</v>
      </c>
      <c r="G18" s="6" t="n">
        <v>1818.3362637362</v>
      </c>
      <c r="H18" s="6" t="n">
        <v>-10829.9537362638</v>
      </c>
      <c r="I18" s="6" t="n">
        <v>-9820.371571654799</v>
      </c>
      <c r="J18" s="6" t="n">
        <v>-7400.1781318681</v>
      </c>
    </row>
    <row r="19">
      <c r="A19" s="4" t="inlineStr">
        <is>
          <t>Cohen, Jill</t>
        </is>
      </c>
      <c r="B19" s="4" t="inlineStr">
        <is>
          <t>A_63035</t>
        </is>
      </c>
      <c r="C19" s="4" t="inlineStr">
        <is>
          <t>A_63035 - Supplies - Gases</t>
        </is>
      </c>
      <c r="D19" s="6" t="n">
        <v>57.92</v>
      </c>
      <c r="E19" s="6" t="n">
        <v>0</v>
      </c>
      <c r="F19" s="6" t="n">
        <v>0</v>
      </c>
      <c r="G19" s="6" t="n">
        <v>0</v>
      </c>
      <c r="H19" s="6" t="n">
        <v>-57.92</v>
      </c>
      <c r="I19" s="6" t="n">
        <v>0</v>
      </c>
      <c r="J19" s="6" t="n">
        <v>0</v>
      </c>
    </row>
    <row r="20">
      <c r="A20" s="4" t="inlineStr">
        <is>
          <t>Cohen, Jill</t>
        </is>
      </c>
      <c r="B20" s="4" t="inlineStr">
        <is>
          <t>A_63040</t>
        </is>
      </c>
      <c r="C20" s="4" t="inlineStr">
        <is>
          <t>A_63040 - Supplies - Radiology</t>
        </is>
      </c>
      <c r="D20" s="6" t="n">
        <v>253609.39</v>
      </c>
      <c r="E20" s="6" t="n">
        <v>286011.771003845</v>
      </c>
      <c r="F20" s="6" t="n">
        <v>157032.8027472532</v>
      </c>
      <c r="G20" s="6" t="n">
        <v>413.4995604396</v>
      </c>
      <c r="H20" s="6" t="n">
        <v>-253195.8904395604</v>
      </c>
      <c r="I20" s="6" t="n">
        <v>-285598.2714434054</v>
      </c>
      <c r="J20" s="6" t="n">
        <v>-156619.3031868136</v>
      </c>
    </row>
    <row r="21">
      <c r="A21" s="4" t="inlineStr">
        <is>
          <t>Cohen, Jill</t>
        </is>
      </c>
      <c r="B21" s="4" t="inlineStr">
        <is>
          <t>A_63045</t>
        </is>
      </c>
      <c r="C21" s="4" t="inlineStr">
        <is>
          <t>A_63045 - Supplies - Med Equip Repair</t>
        </is>
      </c>
      <c r="D21" s="6" t="n">
        <v>141750.52</v>
      </c>
      <c r="E21" s="6" t="n">
        <v>117759.1488024692</v>
      </c>
      <c r="F21" s="6" t="n">
        <v>124764.493186813</v>
      </c>
      <c r="G21" s="6" t="n">
        <v>14022.6062637363</v>
      </c>
      <c r="H21" s="6" t="n">
        <v>-127727.9137362637</v>
      </c>
      <c r="I21" s="6" t="n">
        <v>-103736.5425387329</v>
      </c>
      <c r="J21" s="6" t="n">
        <v>-110741.8869230767</v>
      </c>
    </row>
    <row r="22">
      <c r="A22" s="4" t="inlineStr">
        <is>
          <t>Cohen, Jill</t>
        </is>
      </c>
      <c r="B22" s="4" t="inlineStr">
        <is>
          <t>A_63050</t>
        </is>
      </c>
      <c r="C22" s="4" t="inlineStr">
        <is>
          <t>A_63050 - Supplies - Iv Solutions &amp; Sets</t>
        </is>
      </c>
      <c r="D22" s="6" t="n">
        <v>367895.88</v>
      </c>
      <c r="E22" s="6" t="n">
        <v>364347.5933880025</v>
      </c>
      <c r="F22" s="6" t="n">
        <v>412790.043296703</v>
      </c>
      <c r="G22" s="6" t="n">
        <v>81014.1804395604</v>
      </c>
      <c r="H22" s="6" t="n">
        <v>-286881.6995604396</v>
      </c>
      <c r="I22" s="6" t="n">
        <v>-283333.4129484421</v>
      </c>
      <c r="J22" s="6" t="n">
        <v>-331775.8628571426</v>
      </c>
    </row>
    <row r="23">
      <c r="A23" s="4" t="inlineStr">
        <is>
          <t>Cohen, Jill</t>
        </is>
      </c>
      <c r="B23" s="4" t="inlineStr">
        <is>
          <t>A_63058</t>
        </is>
      </c>
      <c r="C23" s="4" t="inlineStr">
        <is>
          <t>A_63058 - Supplies Impl Coronary Stents</t>
        </is>
      </c>
      <c r="D23" s="6" t="n">
        <v>34600</v>
      </c>
      <c r="E23" s="6" t="n">
        <v>29260.3059847007</v>
      </c>
      <c r="F23" s="6" t="n">
        <v>12317.3076923077</v>
      </c>
      <c r="G23" s="6" t="n">
        <v>0</v>
      </c>
      <c r="H23" s="6" t="n">
        <v>-34600</v>
      </c>
      <c r="I23" s="6" t="n">
        <v>-29260.3059847007</v>
      </c>
      <c r="J23" s="6" t="n">
        <v>-12317.3076923077</v>
      </c>
    </row>
    <row r="24">
      <c r="A24" s="4" t="inlineStr">
        <is>
          <t>Cohen, Jill</t>
        </is>
      </c>
      <c r="B24" s="4" t="inlineStr">
        <is>
          <t>A_63059</t>
        </is>
      </c>
      <c r="C24" s="4" t="inlineStr">
        <is>
          <t>A_63059 - Supplies Impl Vascular Stents</t>
        </is>
      </c>
      <c r="D24" s="6" t="n">
        <v>2267247.14</v>
      </c>
      <c r="E24" s="6" t="n">
        <v>2017601.22020411</v>
      </c>
      <c r="F24" s="6" t="n">
        <v>2694867.894065932</v>
      </c>
      <c r="G24" s="6" t="n">
        <v>0</v>
      </c>
      <c r="H24" s="6" t="n">
        <v>-2267247.14</v>
      </c>
      <c r="I24" s="6" t="n">
        <v>-2017601.22020411</v>
      </c>
      <c r="J24" s="6" t="n">
        <v>-2694867.894065932</v>
      </c>
    </row>
    <row r="25">
      <c r="A25" s="4" t="inlineStr">
        <is>
          <t>Cohen, Jill</t>
        </is>
      </c>
      <c r="B25" s="4" t="inlineStr">
        <is>
          <t>A_63060</t>
        </is>
      </c>
      <c r="C25" s="4" t="inlineStr">
        <is>
          <t>A_63060 - Supplies - Surgery Packs-Sheet</t>
        </is>
      </c>
      <c r="D25" s="6" t="n">
        <v>3492822.05</v>
      </c>
      <c r="E25" s="6" t="n">
        <v>3669132.208350366</v>
      </c>
      <c r="F25" s="6" t="n">
        <v>3862648.810549445</v>
      </c>
      <c r="G25" s="6" t="n">
        <v>89297.967032967</v>
      </c>
      <c r="H25" s="6" t="n">
        <v>-3403524.082967033</v>
      </c>
      <c r="I25" s="6" t="n">
        <v>-3579834.241317399</v>
      </c>
      <c r="J25" s="6" t="n">
        <v>-3773350.843516478</v>
      </c>
    </row>
    <row r="26">
      <c r="A26" s="4" t="inlineStr">
        <is>
          <t>Cohen, Jill</t>
        </is>
      </c>
      <c r="B26" s="4" t="inlineStr">
        <is>
          <t>A_63062</t>
        </is>
      </c>
      <c r="C26" s="4" t="inlineStr">
        <is>
          <t>A_63062 - Supplies - Impl - Oth Vascular</t>
        </is>
      </c>
      <c r="D26" s="6" t="n">
        <v>3527045.74</v>
      </c>
      <c r="E26" s="6" t="n">
        <v>4095761.845360786</v>
      </c>
      <c r="F26" s="6" t="n">
        <v>3207917.121758237</v>
      </c>
      <c r="G26" s="6" t="n">
        <v>1087.381978022</v>
      </c>
      <c r="H26" s="6" t="n">
        <v>-3525958.358021978</v>
      </c>
      <c r="I26" s="6" t="n">
        <v>-4094674.463382764</v>
      </c>
      <c r="J26" s="6" t="n">
        <v>-3206829.739780215</v>
      </c>
    </row>
    <row r="27">
      <c r="A27" s="4" t="inlineStr">
        <is>
          <t>Cohen, Jill</t>
        </is>
      </c>
      <c r="B27" s="4" t="inlineStr">
        <is>
          <t>A_63063</t>
        </is>
      </c>
      <c r="C27" s="4" t="inlineStr">
        <is>
          <t>A_63063 - Supplies - Implants - Pacemkrs</t>
        </is>
      </c>
      <c r="D27" s="6" t="n">
        <v>92601.7</v>
      </c>
      <c r="E27" s="6" t="n">
        <v>47241.5548855381</v>
      </c>
      <c r="F27" s="6" t="n">
        <v>96444.7203296704</v>
      </c>
      <c r="G27" s="6" t="n">
        <v>0</v>
      </c>
      <c r="H27" s="6" t="n">
        <v>-92601.7</v>
      </c>
      <c r="I27" s="6" t="n">
        <v>-47241.5548855381</v>
      </c>
      <c r="J27" s="6" t="n">
        <v>-96444.7203296704</v>
      </c>
    </row>
    <row r="28">
      <c r="A28" s="4" t="inlineStr">
        <is>
          <t>Cohen, Jill</t>
        </is>
      </c>
      <c r="B28" s="4" t="inlineStr">
        <is>
          <t>A_63064</t>
        </is>
      </c>
      <c r="C28" s="4" t="inlineStr">
        <is>
          <t>A_63064 - Supplies - Implants - ICDs</t>
        </is>
      </c>
      <c r="D28" s="6" t="n">
        <v>68860</v>
      </c>
      <c r="E28" s="6" t="n">
        <v>62268.8753086422</v>
      </c>
      <c r="F28" s="6" t="n">
        <v>0</v>
      </c>
      <c r="G28" s="6" t="n">
        <v>0</v>
      </c>
      <c r="H28" s="6" t="n">
        <v>-68860</v>
      </c>
      <c r="I28" s="6" t="n">
        <v>-62268.8753086422</v>
      </c>
      <c r="J28" s="6" t="n">
        <v>0</v>
      </c>
    </row>
    <row r="29">
      <c r="A29" s="4" t="inlineStr">
        <is>
          <t>Cohen, Jill</t>
        </is>
      </c>
      <c r="B29" s="4" t="inlineStr">
        <is>
          <t>A_63065</t>
        </is>
      </c>
      <c r="C29" s="4" t="inlineStr">
        <is>
          <t>A_63065 - Supplies - mpl - Oth Coronary</t>
        </is>
      </c>
      <c r="D29" s="6" t="n">
        <v>3255869.16</v>
      </c>
      <c r="E29" s="6" t="n">
        <v>3961957.21826302</v>
      </c>
      <c r="F29" s="6" t="n">
        <v>4274297.617582416</v>
      </c>
      <c r="G29" s="6" t="n">
        <v>11276.821978022</v>
      </c>
      <c r="H29" s="6" t="n">
        <v>-3244592.338021978</v>
      </c>
      <c r="I29" s="6" t="n">
        <v>-3950680.396284998</v>
      </c>
      <c r="J29" s="6" t="n">
        <v>-4263020.795604394</v>
      </c>
    </row>
    <row r="30">
      <c r="A30" s="4" t="inlineStr">
        <is>
          <t>Cohen, Jill</t>
        </is>
      </c>
      <c r="B30" s="4" t="inlineStr">
        <is>
          <t>A_63066</t>
        </is>
      </c>
      <c r="C30" s="4" t="inlineStr">
        <is>
          <t>A_63066 - Supplies - Implant - Breast</t>
        </is>
      </c>
      <c r="D30" s="6" t="n">
        <v>77823.75</v>
      </c>
      <c r="E30" s="6" t="n">
        <v>-0.0011074071</v>
      </c>
      <c r="F30" s="6" t="n">
        <v>299668.5329670331</v>
      </c>
      <c r="G30" s="6" t="n">
        <v>10054.9450549451</v>
      </c>
      <c r="H30" s="6" t="n">
        <v>-67768.8049450549</v>
      </c>
      <c r="I30" s="6" t="n">
        <v>10054.9461623522</v>
      </c>
      <c r="J30" s="6" t="n">
        <v>-289613.587912088</v>
      </c>
    </row>
    <row r="31">
      <c r="A31" s="4" t="inlineStr">
        <is>
          <t>Cohen, Jill</t>
        </is>
      </c>
      <c r="B31" s="4" t="inlineStr">
        <is>
          <t>A_63067</t>
        </is>
      </c>
      <c r="C31" s="4" t="inlineStr">
        <is>
          <t>A_63067 - Supplies - Implants - Urologic</t>
        </is>
      </c>
      <c r="D31" s="6" t="n">
        <v>1325238.13</v>
      </c>
      <c r="E31" s="6" t="n">
        <v>1261380.745646814</v>
      </c>
      <c r="F31" s="6" t="n">
        <v>1124068.329890114</v>
      </c>
      <c r="G31" s="6" t="n">
        <v>10720.7835164835</v>
      </c>
      <c r="H31" s="6" t="n">
        <v>-1314517.346483516</v>
      </c>
      <c r="I31" s="6" t="n">
        <v>-1250659.962130331</v>
      </c>
      <c r="J31" s="6" t="n">
        <v>-1113347.54637363</v>
      </c>
    </row>
    <row r="32">
      <c r="A32" s="4" t="inlineStr">
        <is>
          <t>Cohen, Jill</t>
        </is>
      </c>
      <c r="B32" s="4" t="inlineStr">
        <is>
          <t>A_63068</t>
        </is>
      </c>
      <c r="C32" s="4" t="inlineStr">
        <is>
          <t>A_63068 - Supplies - Imp - Corneal Tissu</t>
        </is>
      </c>
      <c r="D32" s="6" t="n">
        <v>7900</v>
      </c>
      <c r="E32" s="6" t="n">
        <v>7532.1805555554</v>
      </c>
      <c r="F32" s="6" t="n">
        <v>2956.1538461539</v>
      </c>
      <c r="G32" s="6" t="n">
        <v>0</v>
      </c>
      <c r="H32" s="6" t="n">
        <v>-7900</v>
      </c>
      <c r="I32" s="6" t="n">
        <v>-7532.1805555554</v>
      </c>
      <c r="J32" s="6" t="n">
        <v>-2956.1538461539</v>
      </c>
    </row>
    <row r="33">
      <c r="A33" s="4" t="inlineStr">
        <is>
          <t>Cohen, Jill</t>
        </is>
      </c>
      <c r="B33" s="4" t="inlineStr">
        <is>
          <t>A_63070</t>
        </is>
      </c>
      <c r="C33" s="4" t="inlineStr">
        <is>
          <t>A_63070 - Supplies - Implants - All Oth</t>
        </is>
      </c>
      <c r="D33" s="6" t="n">
        <v>15510152.97</v>
      </c>
      <c r="E33" s="6" t="n">
        <v>16055062.93490718</v>
      </c>
      <c r="F33" s="6" t="n">
        <v>18518527.05692303</v>
      </c>
      <c r="G33" s="6" t="n">
        <v>2004556.44032967</v>
      </c>
      <c r="H33" s="6" t="n">
        <v>-13505596.52967033</v>
      </c>
      <c r="I33" s="6" t="n">
        <v>-14050506.49457751</v>
      </c>
      <c r="J33" s="6" t="n">
        <v>-16513970.61659336</v>
      </c>
    </row>
    <row r="34">
      <c r="A34" s="4" t="inlineStr">
        <is>
          <t>Cohen, Jill</t>
        </is>
      </c>
      <c r="B34" s="4" t="inlineStr">
        <is>
          <t>A_63071</t>
        </is>
      </c>
      <c r="C34" s="4" t="inlineStr">
        <is>
          <t>A_63071 - Supplies - Implants - TAVR</t>
        </is>
      </c>
      <c r="D34" s="6" t="n">
        <v>9271116.25</v>
      </c>
      <c r="E34" s="6" t="n">
        <v>9834238.935185179</v>
      </c>
      <c r="F34" s="6" t="n">
        <v>8975166.62637363</v>
      </c>
      <c r="G34" s="6" t="n">
        <v>0</v>
      </c>
      <c r="H34" s="6" t="n">
        <v>-9271116.25</v>
      </c>
      <c r="I34" s="6" t="n">
        <v>-9834238.935185179</v>
      </c>
      <c r="J34" s="6" t="n">
        <v>-8975166.62637363</v>
      </c>
    </row>
    <row r="35">
      <c r="A35" s="4" t="inlineStr">
        <is>
          <t>Cohen, Jill</t>
        </is>
      </c>
      <c r="B35" s="4" t="inlineStr">
        <is>
          <t>A_63073</t>
        </is>
      </c>
      <c r="C35" s="4" t="inlineStr">
        <is>
          <t>A_63073 - Supplies - Implants - Impella</t>
        </is>
      </c>
      <c r="D35" s="6" t="n">
        <v>343000</v>
      </c>
      <c r="E35" s="6" t="n">
        <v>383024.691358025</v>
      </c>
      <c r="F35" s="6" t="n">
        <v>54296.7032967033</v>
      </c>
      <c r="G35" s="6" t="n">
        <v>0</v>
      </c>
      <c r="H35" s="6" t="n">
        <v>-343000</v>
      </c>
      <c r="I35" s="6" t="n">
        <v>-383024.691358025</v>
      </c>
      <c r="J35" s="6" t="n">
        <v>-54296.7032967033</v>
      </c>
    </row>
    <row r="36">
      <c r="A36" s="4" t="inlineStr">
        <is>
          <t>Cohen, Jill</t>
        </is>
      </c>
      <c r="B36" s="4" t="inlineStr">
        <is>
          <t>A_63074</t>
        </is>
      </c>
      <c r="C36" s="4" t="inlineStr">
        <is>
          <t>A_63074 - Supplies - Implants -Mitraclip</t>
        </is>
      </c>
      <c r="D36" s="6" t="n">
        <v>2273431.01</v>
      </c>
      <c r="E36" s="6" t="n">
        <v>2186742.05205761</v>
      </c>
      <c r="F36" s="6" t="n">
        <v>1913254.94505495</v>
      </c>
      <c r="G36" s="6" t="n">
        <v>0</v>
      </c>
      <c r="H36" s="6" t="n">
        <v>-2273431.01</v>
      </c>
      <c r="I36" s="6" t="n">
        <v>-2186742.05205761</v>
      </c>
      <c r="J36" s="6" t="n">
        <v>-1913254.94505495</v>
      </c>
    </row>
    <row r="37">
      <c r="A37" s="4" t="inlineStr">
        <is>
          <t>Cohen, Jill</t>
        </is>
      </c>
      <c r="B37" s="4" t="inlineStr">
        <is>
          <t>A_63076</t>
        </is>
      </c>
      <c r="C37" s="4" t="inlineStr">
        <is>
          <t>A_63076 - Supplies - Implants - Watchman</t>
        </is>
      </c>
      <c r="D37" s="6" t="n">
        <v>535300</v>
      </c>
      <c r="E37" s="6" t="n">
        <v>619598.765432099</v>
      </c>
      <c r="F37" s="6" t="n">
        <v>501540.659340659</v>
      </c>
      <c r="G37" s="6" t="n">
        <v>0</v>
      </c>
      <c r="H37" s="6" t="n">
        <v>-535300</v>
      </c>
      <c r="I37" s="6" t="n">
        <v>-619598.765432099</v>
      </c>
      <c r="J37" s="6" t="n">
        <v>-501540.659340659</v>
      </c>
    </row>
    <row r="38">
      <c r="A38" s="4" t="inlineStr">
        <is>
          <t>Cohen, Jill</t>
        </is>
      </c>
      <c r="B38" s="4" t="inlineStr">
        <is>
          <t>A_63078</t>
        </is>
      </c>
      <c r="C38" s="4" t="inlineStr">
        <is>
          <t>A_63078 - Supplies - Implants - Cochlear</t>
        </is>
      </c>
      <c r="D38" s="6" t="n">
        <v>86758.56</v>
      </c>
      <c r="E38" s="6" t="n">
        <v>88573.3333333335</v>
      </c>
      <c r="F38" s="6" t="n">
        <v>0</v>
      </c>
      <c r="G38" s="6" t="n">
        <v>0</v>
      </c>
      <c r="H38" s="6" t="n">
        <v>-86758.56</v>
      </c>
      <c r="I38" s="6" t="n">
        <v>-88573.3333333335</v>
      </c>
      <c r="J38" s="6" t="n">
        <v>0</v>
      </c>
    </row>
    <row r="39">
      <c r="A39" s="4" t="inlineStr">
        <is>
          <t>Cohen, Jill</t>
        </is>
      </c>
      <c r="B39" s="4" t="inlineStr">
        <is>
          <t>A_63079</t>
        </is>
      </c>
      <c r="C39" s="4" t="inlineStr">
        <is>
          <t>A_63079 - Supplies - Imp - Loop Recorder</t>
        </is>
      </c>
      <c r="D39" s="6" t="n">
        <v>0</v>
      </c>
      <c r="E39" s="6" t="n">
        <v>0</v>
      </c>
      <c r="F39" s="6" t="n">
        <v>9049.450549450599</v>
      </c>
      <c r="G39" s="6" t="n">
        <v>0</v>
      </c>
      <c r="H39" s="6" t="n">
        <v>0</v>
      </c>
      <c r="I39" s="6" t="n">
        <v>0</v>
      </c>
      <c r="J39" s="6" t="n">
        <v>-9049.450549450599</v>
      </c>
    </row>
    <row r="40">
      <c r="A40" s="4" t="inlineStr">
        <is>
          <t>Cohen, Jill</t>
        </is>
      </c>
      <c r="B40" s="4" t="inlineStr">
        <is>
          <t>A_63080</t>
        </is>
      </c>
      <c r="C40" s="4" t="inlineStr">
        <is>
          <t>A_63080 - Supplies - Surgical</t>
        </is>
      </c>
      <c r="D40" s="6" t="n">
        <v>21722450.58</v>
      </c>
      <c r="E40" s="6" t="n">
        <v>21939236.32404775</v>
      </c>
      <c r="F40" s="6" t="n">
        <v>26705671.61175827</v>
      </c>
      <c r="G40" s="6" t="n">
        <v>940798.0328571431</v>
      </c>
      <c r="H40" s="6" t="n">
        <v>-20781652.54714286</v>
      </c>
      <c r="I40" s="6" t="n">
        <v>-20998438.29119061</v>
      </c>
      <c r="J40" s="6" t="n">
        <v>-25764873.57890113</v>
      </c>
    </row>
    <row r="41">
      <c r="A41" s="4" t="inlineStr">
        <is>
          <t>Cohen, Jill</t>
        </is>
      </c>
      <c r="B41" s="4" t="inlineStr">
        <is>
          <t>A_64000</t>
        </is>
      </c>
      <c r="C41" s="4" t="inlineStr">
        <is>
          <t>A_64000 - Supplies - Hotel Services</t>
        </is>
      </c>
      <c r="D41" s="6" t="n">
        <v>62249.35999999999</v>
      </c>
      <c r="E41" s="6" t="n">
        <v>56949.7999999999</v>
      </c>
      <c r="F41" s="6" t="n">
        <v>69664.46464088409</v>
      </c>
      <c r="G41" s="6" t="n">
        <v>33975.0235911606</v>
      </c>
      <c r="H41" s="6" t="n">
        <v>-28274.33640883939</v>
      </c>
      <c r="I41" s="6" t="n">
        <v>-22974.7764088393</v>
      </c>
      <c r="J41" s="6" t="n">
        <v>-35689.44104972349</v>
      </c>
    </row>
    <row r="42">
      <c r="A42" s="4" t="inlineStr">
        <is>
          <t>Cohen, Jill</t>
        </is>
      </c>
      <c r="B42" s="4" t="inlineStr">
        <is>
          <t>A_64010</t>
        </is>
      </c>
      <c r="C42" s="4" t="inlineStr">
        <is>
          <t>A_64010 - Supplies - Linen And Bedding</t>
        </is>
      </c>
      <c r="D42" s="6" t="n">
        <v>1269</v>
      </c>
      <c r="E42" s="6" t="n">
        <v>2628.9</v>
      </c>
      <c r="F42" s="6" t="n">
        <v>2048.0331491713</v>
      </c>
      <c r="G42" s="6" t="n">
        <v>0</v>
      </c>
      <c r="H42" s="6" t="n">
        <v>-1269</v>
      </c>
      <c r="I42" s="6" t="n">
        <v>-2628.9</v>
      </c>
      <c r="J42" s="6" t="n">
        <v>-2048.0331491713</v>
      </c>
    </row>
    <row r="43">
      <c r="A43" s="4" t="inlineStr">
        <is>
          <t>Cohen, Jill</t>
        </is>
      </c>
      <c r="B43" s="4" t="inlineStr">
        <is>
          <t>A_64020</t>
        </is>
      </c>
      <c r="C43" s="4" t="inlineStr">
        <is>
          <t>A_64020 - Supplies - Office</t>
        </is>
      </c>
      <c r="D43" s="6" t="n">
        <v>115451.27</v>
      </c>
      <c r="E43" s="6" t="n">
        <v>105280.1999999999</v>
      </c>
      <c r="F43" s="6" t="n">
        <v>121826.5541436464</v>
      </c>
      <c r="G43" s="6" t="n">
        <v>25076.770441989</v>
      </c>
      <c r="H43" s="6" t="n">
        <v>-90374.49955801101</v>
      </c>
      <c r="I43" s="6" t="n">
        <v>-80203.42955801089</v>
      </c>
      <c r="J43" s="6" t="n">
        <v>-96749.7837016574</v>
      </c>
    </row>
    <row r="44">
      <c r="A44" s="4" t="inlineStr">
        <is>
          <t>Cohen, Jill</t>
        </is>
      </c>
      <c r="B44" s="4" t="inlineStr">
        <is>
          <t>A_64030</t>
        </is>
      </c>
      <c r="C44" s="4" t="inlineStr">
        <is>
          <t>A_64030 - Supplies - Other Non Medical</t>
        </is>
      </c>
      <c r="D44" s="6" t="n">
        <v>148015.86</v>
      </c>
      <c r="E44" s="6" t="n">
        <v>212961.5999999999</v>
      </c>
      <c r="F44" s="6" t="n">
        <v>157125.9662983426</v>
      </c>
      <c r="G44" s="6" t="n">
        <v>35444.3174033149</v>
      </c>
      <c r="H44" s="6" t="n">
        <v>-112571.5425966851</v>
      </c>
      <c r="I44" s="6" t="n">
        <v>-177517.282596685</v>
      </c>
      <c r="J44" s="6" t="n">
        <v>-121681.6488950277</v>
      </c>
    </row>
    <row r="45">
      <c r="A45" s="4" t="inlineStr">
        <is>
          <t>Cohen, Jill</t>
        </is>
      </c>
      <c r="B45" s="4" t="inlineStr">
        <is>
          <t>A_64560</t>
        </is>
      </c>
      <c r="C45" s="4" t="inlineStr">
        <is>
          <t>A_64560 - Dietary - Tableware</t>
        </is>
      </c>
      <c r="D45" s="6" t="n">
        <v>0</v>
      </c>
      <c r="E45" s="6" t="n">
        <v>0</v>
      </c>
      <c r="F45" s="6" t="n">
        <v>284.3370165746</v>
      </c>
      <c r="G45" s="6" t="n">
        <v>0</v>
      </c>
      <c r="H45" s="6" t="n">
        <v>0</v>
      </c>
      <c r="I45" s="6" t="n">
        <v>0</v>
      </c>
      <c r="J45" s="6" t="n">
        <v>-284.3370165746</v>
      </c>
    </row>
    <row r="46">
      <c r="A46" s="4" t="inlineStr">
        <is>
          <t>Cohen, Jill</t>
        </is>
      </c>
      <c r="B46" s="4" t="inlineStr">
        <is>
          <t>A_64570</t>
        </is>
      </c>
      <c r="C46" s="4" t="inlineStr">
        <is>
          <t>A_64570 - Dietary Charge Out</t>
        </is>
      </c>
      <c r="D46" s="6" t="n">
        <v>221250.95</v>
      </c>
      <c r="E46" s="6" t="n">
        <v>295433.379558011</v>
      </c>
      <c r="F46" s="6" t="n">
        <v>135020.3160220991</v>
      </c>
      <c r="G46" s="6" t="n">
        <v>133416.0301104969</v>
      </c>
      <c r="H46" s="6" t="n">
        <v>-87834.9198895031</v>
      </c>
      <c r="I46" s="6" t="n">
        <v>-162017.3494475141</v>
      </c>
      <c r="J46" s="6" t="n">
        <v>-1604.285911602172</v>
      </c>
    </row>
    <row r="47">
      <c r="A47" s="4" t="inlineStr">
        <is>
          <t>Cohen, Jill</t>
        </is>
      </c>
      <c r="B47" s="4" t="inlineStr">
        <is>
          <t>A_65050</t>
        </is>
      </c>
      <c r="C47" s="4" t="inlineStr">
        <is>
          <t>A_65050 - Telephone</t>
        </is>
      </c>
      <c r="D47" s="6" t="n">
        <v>14694.19</v>
      </c>
      <c r="E47" s="6" t="n">
        <v>13339.9999999992</v>
      </c>
      <c r="F47" s="6" t="n">
        <v>15692.0759668508</v>
      </c>
      <c r="G47" s="6" t="n">
        <v>15289.3067403315</v>
      </c>
      <c r="H47" s="6" t="n">
        <v>595.1167403315012</v>
      </c>
      <c r="I47" s="6" t="n">
        <v>1949.3067403323</v>
      </c>
      <c r="J47" s="6" t="n">
        <v>-402.7692265193</v>
      </c>
    </row>
    <row r="48">
      <c r="A48" s="4" t="inlineStr">
        <is>
          <t>Cohen, Jill</t>
        </is>
      </c>
      <c r="B48" s="4" t="inlineStr">
        <is>
          <t>A_65505</t>
        </is>
      </c>
      <c r="C48" s="4" t="inlineStr">
        <is>
          <t>A_65505 - Equipment Service Contracts</t>
        </is>
      </c>
      <c r="D48" s="6" t="n">
        <v>507373.32</v>
      </c>
      <c r="E48" s="6" t="n">
        <v>494303.1457939606</v>
      </c>
      <c r="F48" s="6" t="n">
        <v>426399.7</v>
      </c>
      <c r="G48" s="6" t="n">
        <v>451933.16</v>
      </c>
      <c r="H48" s="6" t="n">
        <v>-55440.16000000003</v>
      </c>
      <c r="I48" s="6" t="n">
        <v>-42369.98579396063</v>
      </c>
      <c r="J48" s="6" t="n">
        <v>25533.46000000002</v>
      </c>
    </row>
    <row r="49">
      <c r="A49" s="4" t="inlineStr">
        <is>
          <t>Cohen, Jill</t>
        </is>
      </c>
      <c r="B49" s="4" t="inlineStr">
        <is>
          <t>A_65507</t>
        </is>
      </c>
      <c r="C49" s="4" t="inlineStr">
        <is>
          <t>A_65507 - Medical Equip Srvcs Contracts</t>
        </is>
      </c>
      <c r="D49" s="6" t="n">
        <v>1863568.14</v>
      </c>
      <c r="E49" s="6" t="n">
        <v>1865827.87508583</v>
      </c>
      <c r="F49" s="6" t="n">
        <v>1974985.74</v>
      </c>
      <c r="G49" s="6" t="n">
        <v>2041731.54</v>
      </c>
      <c r="H49" s="6" t="n">
        <v>178163.4000000001</v>
      </c>
      <c r="I49" s="6" t="n">
        <v>175903.6649141696</v>
      </c>
      <c r="J49" s="6" t="n">
        <v>66745.80000000005</v>
      </c>
    </row>
    <row r="50">
      <c r="A50" s="4" t="inlineStr">
        <is>
          <t>Cohen, Jill</t>
        </is>
      </c>
      <c r="B50" s="4" t="inlineStr">
        <is>
          <t>A_65510</t>
        </is>
      </c>
      <c r="C50" s="4" t="inlineStr">
        <is>
          <t>A_65510 - Freight</t>
        </is>
      </c>
      <c r="D50" s="6" t="n">
        <v>582205.73</v>
      </c>
      <c r="E50" s="6" t="n">
        <v>485669.0110677676</v>
      </c>
      <c r="F50" s="6" t="n">
        <v>706401.72</v>
      </c>
      <c r="G50" s="6" t="n">
        <v>629327.5</v>
      </c>
      <c r="H50" s="6" t="n">
        <v>47121.77000000002</v>
      </c>
      <c r="I50" s="6" t="n">
        <v>143658.4889322324</v>
      </c>
      <c r="J50" s="6" t="n">
        <v>-77074.21999999997</v>
      </c>
    </row>
    <row r="51">
      <c r="A51" s="4" t="inlineStr">
        <is>
          <t>Cohen, Jill</t>
        </is>
      </c>
      <c r="B51" s="4" t="inlineStr">
        <is>
          <t>A_65515</t>
        </is>
      </c>
      <c r="C51" s="4" t="inlineStr">
        <is>
          <t>A_65515 - Ge Central Equip Svc Contract</t>
        </is>
      </c>
      <c r="D51" s="6" t="n">
        <v>15183.96</v>
      </c>
      <c r="E51" s="6" t="n">
        <v>15264</v>
      </c>
      <c r="F51" s="6" t="n">
        <v>14356.16</v>
      </c>
      <c r="G51" s="6" t="n">
        <v>14795.08</v>
      </c>
      <c r="H51" s="6" t="n">
        <v>-388.8799999999992</v>
      </c>
      <c r="I51" s="6" t="n">
        <v>-468.9200000000001</v>
      </c>
      <c r="J51" s="6" t="n">
        <v>438.9200000000001</v>
      </c>
    </row>
    <row r="52">
      <c r="A52" s="4" t="inlineStr">
        <is>
          <t>Cohen, Jill</t>
        </is>
      </c>
      <c r="B52" s="4" t="inlineStr">
        <is>
          <t>A_65517</t>
        </is>
      </c>
      <c r="C52" s="4" t="inlineStr">
        <is>
          <t>A_65517 - Software Maint and Support</t>
        </is>
      </c>
      <c r="D52" s="6" t="n">
        <v>46248.02</v>
      </c>
      <c r="E52" s="6" t="n">
        <v>3771</v>
      </c>
      <c r="F52" s="6" t="n">
        <v>29532.88</v>
      </c>
      <c r="G52" s="6" t="n">
        <v>29532.88</v>
      </c>
      <c r="H52" s="6" t="n">
        <v>-16715.14</v>
      </c>
      <c r="I52" s="6" t="n">
        <v>25761.88</v>
      </c>
      <c r="J52" s="6" t="n">
        <v>0</v>
      </c>
    </row>
    <row r="53">
      <c r="A53" s="4" t="inlineStr">
        <is>
          <t>Cohen, Jill</t>
        </is>
      </c>
      <c r="B53" s="4" t="inlineStr">
        <is>
          <t>A_65525</t>
        </is>
      </c>
      <c r="C53" s="4" t="inlineStr">
        <is>
          <t>A_65525 - Maintenance And Repairs</t>
        </is>
      </c>
      <c r="D53" s="6" t="n">
        <v>-315.6200000000001</v>
      </c>
      <c r="E53" s="6" t="n">
        <v>31169.0004</v>
      </c>
      <c r="F53" s="6" t="n">
        <v>182810.2</v>
      </c>
      <c r="G53" s="6" t="n">
        <v>182810.2</v>
      </c>
      <c r="H53" s="6" t="n">
        <v>183125.82</v>
      </c>
      <c r="I53" s="6" t="n">
        <v>151641.1996</v>
      </c>
      <c r="J53" s="6" t="n">
        <v>0</v>
      </c>
    </row>
    <row r="54">
      <c r="A54" s="4" t="inlineStr">
        <is>
          <t>Cohen, Jill</t>
        </is>
      </c>
      <c r="B54" s="4" t="inlineStr">
        <is>
          <t>A_65527</t>
        </is>
      </c>
      <c r="C54" s="4" t="inlineStr">
        <is>
          <t>A_65527 - Med Equipment Maint &amp; Repairs</t>
        </is>
      </c>
      <c r="D54" s="6" t="n">
        <v>1322583.88</v>
      </c>
      <c r="E54" s="6" t="n">
        <v>1163344.29065431</v>
      </c>
      <c r="F54" s="6" t="n">
        <v>987577.52</v>
      </c>
      <c r="G54" s="6" t="n">
        <v>991967.52</v>
      </c>
      <c r="H54" s="6" t="n">
        <v>-330616.3599999999</v>
      </c>
      <c r="I54" s="6" t="n">
        <v>-171376.7706543105</v>
      </c>
      <c r="J54" s="6" t="n">
        <v>4390</v>
      </c>
    </row>
    <row r="55">
      <c r="A55" s="4" t="inlineStr">
        <is>
          <t>Cohen, Jill</t>
        </is>
      </c>
      <c r="B55" s="4" t="inlineStr">
        <is>
          <t>A_65530</t>
        </is>
      </c>
      <c r="C55" s="4" t="inlineStr">
        <is>
          <t>A_65530 - Medical Purchased Services</t>
        </is>
      </c>
      <c r="D55" s="6" t="n">
        <v>245182</v>
      </c>
      <c r="E55" s="6" t="n">
        <v>304968</v>
      </c>
      <c r="F55" s="6" t="n">
        <v>211076</v>
      </c>
      <c r="G55" s="6" t="n">
        <v>211076</v>
      </c>
      <c r="H55" s="6" t="n">
        <v>-34106</v>
      </c>
      <c r="I55" s="6" t="n">
        <v>-93892</v>
      </c>
      <c r="J55" s="6" t="n">
        <v>0</v>
      </c>
    </row>
    <row r="56">
      <c r="A56" s="4" t="inlineStr">
        <is>
          <t>Cohen, Jill</t>
        </is>
      </c>
      <c r="B56" s="4" t="inlineStr">
        <is>
          <t>A_65533</t>
        </is>
      </c>
      <c r="C56" s="4" t="inlineStr">
        <is>
          <t>A_65533 - Other Purchased Svcs-Security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</row>
    <row r="57">
      <c r="A57" s="4" t="inlineStr">
        <is>
          <t>Cohen, Jill</t>
        </is>
      </c>
      <c r="B57" s="4" t="inlineStr">
        <is>
          <t>A_65535</t>
        </is>
      </c>
      <c r="C57" s="4" t="inlineStr">
        <is>
          <t>A_65535 - Other Purchased Services</t>
        </is>
      </c>
      <c r="D57" s="6" t="n">
        <v>326930.95</v>
      </c>
      <c r="E57" s="6" t="n">
        <v>377082.9999999996</v>
      </c>
      <c r="F57" s="6" t="n">
        <v>475941.9</v>
      </c>
      <c r="G57" s="6" t="n">
        <v>475559.9</v>
      </c>
      <c r="H57" s="6" t="n">
        <v>148628.95</v>
      </c>
      <c r="I57" s="6" t="n">
        <v>98476.90000000043</v>
      </c>
      <c r="J57" s="6" t="n">
        <v>-382</v>
      </c>
    </row>
    <row r="58">
      <c r="A58" s="4" t="inlineStr">
        <is>
          <t>Cohen, Jill</t>
        </is>
      </c>
      <c r="B58" s="4" t="inlineStr">
        <is>
          <t>A_65536</t>
        </is>
      </c>
      <c r="C58" s="4" t="inlineStr">
        <is>
          <t>A_65536 - Oth Purch Serv- Credentialling</t>
        </is>
      </c>
      <c r="D58" s="6" t="n">
        <v>1831</v>
      </c>
      <c r="E58" s="6" t="n">
        <v>2316</v>
      </c>
      <c r="F58" s="6" t="n">
        <v>5229.1</v>
      </c>
      <c r="G58" s="6" t="n">
        <v>3375.12</v>
      </c>
      <c r="H58" s="6" t="n">
        <v>1544.12</v>
      </c>
      <c r="I58" s="6" t="n">
        <v>1059.12</v>
      </c>
      <c r="J58" s="6" t="n">
        <v>-1853.98</v>
      </c>
    </row>
    <row r="59">
      <c r="A59" s="4" t="inlineStr">
        <is>
          <t>Cohen, Jill</t>
        </is>
      </c>
      <c r="B59" s="4" t="inlineStr">
        <is>
          <t>A_65540</t>
        </is>
      </c>
      <c r="C59" s="4" t="inlineStr">
        <is>
          <t>A_65540 - Outside Messenger Service</t>
        </is>
      </c>
      <c r="D59" s="6" t="n">
        <v>16731</v>
      </c>
      <c r="E59" s="6" t="n">
        <v>21120</v>
      </c>
      <c r="F59" s="6" t="n">
        <v>21028.72</v>
      </c>
      <c r="G59" s="6" t="n">
        <v>21028.72</v>
      </c>
      <c r="H59" s="6" t="n">
        <v>4297.720000000001</v>
      </c>
      <c r="I59" s="6" t="n">
        <v>-91.27999999999884</v>
      </c>
      <c r="J59" s="6" t="n">
        <v>0</v>
      </c>
    </row>
    <row r="60">
      <c r="A60" s="4" t="inlineStr">
        <is>
          <t>Cohen, Jill</t>
        </is>
      </c>
      <c r="B60" s="4" t="inlineStr">
        <is>
          <t>A_65543</t>
        </is>
      </c>
      <c r="C60" s="4" t="inlineStr">
        <is>
          <t>A_65543 - Purchased Services - Cleaning</t>
        </is>
      </c>
      <c r="D60" s="6" t="n">
        <v>57425</v>
      </c>
      <c r="E60" s="6" t="n">
        <v>0</v>
      </c>
      <c r="F60" s="6" t="n">
        <v>0</v>
      </c>
      <c r="G60" s="6" t="n">
        <v>0</v>
      </c>
      <c r="H60" s="6" t="n">
        <v>-57425</v>
      </c>
      <c r="I60" s="6" t="n">
        <v>0</v>
      </c>
      <c r="J60" s="6" t="n">
        <v>0</v>
      </c>
    </row>
    <row r="61">
      <c r="A61" s="4" t="inlineStr">
        <is>
          <t>Cohen, Jill</t>
        </is>
      </c>
      <c r="B61" s="4" t="inlineStr">
        <is>
          <t>A_66020</t>
        </is>
      </c>
      <c r="C61" s="4" t="inlineStr">
        <is>
          <t>A_66020 - Outside Training</t>
        </is>
      </c>
      <c r="D61" s="6" t="n">
        <v>249</v>
      </c>
      <c r="E61" s="6" t="n">
        <v>1098.98697249</v>
      </c>
      <c r="F61" s="6" t="n">
        <v>0</v>
      </c>
      <c r="G61" s="6" t="n">
        <v>0</v>
      </c>
      <c r="H61" s="6" t="n">
        <v>-249</v>
      </c>
      <c r="I61" s="6" t="n">
        <v>-1098.98697249</v>
      </c>
      <c r="J61" s="6" t="n">
        <v>0</v>
      </c>
    </row>
    <row r="62">
      <c r="A62" s="4" t="inlineStr">
        <is>
          <t>Cohen, Jill</t>
        </is>
      </c>
      <c r="B62" s="4" t="inlineStr">
        <is>
          <t>A_66030</t>
        </is>
      </c>
      <c r="C62" s="4" t="inlineStr">
        <is>
          <t>A_66030 - Microfilming &amp; Archiving</t>
        </is>
      </c>
      <c r="D62" s="6" t="n">
        <v>12213.18</v>
      </c>
      <c r="E62" s="6" t="n">
        <v>13819.9999999992</v>
      </c>
      <c r="F62" s="6" t="n">
        <v>6283.74</v>
      </c>
      <c r="G62" s="6" t="n">
        <v>6478.940000000001</v>
      </c>
      <c r="H62" s="6" t="n">
        <v>-5734.239999999998</v>
      </c>
      <c r="I62" s="6" t="n">
        <v>-7341.059999999199</v>
      </c>
      <c r="J62" s="6" t="n">
        <v>195.2000000000007</v>
      </c>
    </row>
    <row r="63">
      <c r="A63" s="4" t="inlineStr">
        <is>
          <t>Cohen, Jill</t>
        </is>
      </c>
      <c r="B63" s="4" t="inlineStr">
        <is>
          <t>A_66050</t>
        </is>
      </c>
      <c r="C63" s="4" t="inlineStr">
        <is>
          <t>A_66050 - Printing And Duplication</t>
        </is>
      </c>
      <c r="D63" s="6" t="n">
        <v>128619.61</v>
      </c>
      <c r="E63" s="6" t="n">
        <v>125549.9999999988</v>
      </c>
      <c r="F63" s="6" t="n">
        <v>30124.32</v>
      </c>
      <c r="G63" s="6" t="n">
        <v>20379.88</v>
      </c>
      <c r="H63" s="6" t="n">
        <v>-108239.73</v>
      </c>
      <c r="I63" s="6" t="n">
        <v>-105170.1199999988</v>
      </c>
      <c r="J63" s="6" t="n">
        <v>-9744.439999999999</v>
      </c>
    </row>
    <row r="64">
      <c r="A64" s="4" t="inlineStr">
        <is>
          <t>Cohen, Jill</t>
        </is>
      </c>
      <c r="B64" s="4" t="inlineStr">
        <is>
          <t>A_66060</t>
        </is>
      </c>
      <c r="C64" s="4" t="inlineStr">
        <is>
          <t>A_66060 - Other Expenses</t>
        </is>
      </c>
      <c r="D64" s="6" t="n">
        <v>370</v>
      </c>
      <c r="E64" s="6" t="n">
        <v>309.9999999996</v>
      </c>
      <c r="F64" s="6" t="n">
        <v>3604.02</v>
      </c>
      <c r="G64" s="6" t="n">
        <v>309.9999999996</v>
      </c>
      <c r="H64" s="6" t="n">
        <v>-60.00000000040001</v>
      </c>
      <c r="I64" s="6" t="n">
        <v>0</v>
      </c>
      <c r="J64" s="6" t="n">
        <v>-3294.0200000004</v>
      </c>
    </row>
    <row r="65">
      <c r="A65" s="4" t="inlineStr">
        <is>
          <t>Cohen, Jill</t>
        </is>
      </c>
      <c r="B65" s="4" t="inlineStr">
        <is>
          <t>A_66075</t>
        </is>
      </c>
      <c r="C65" s="4" t="inlineStr">
        <is>
          <t>A_66075 - Promotional items</t>
        </is>
      </c>
      <c r="D65" s="6" t="n">
        <v>3325.54</v>
      </c>
      <c r="E65" s="6" t="n">
        <v>10656.0000000012</v>
      </c>
      <c r="F65" s="6" t="n">
        <v>0</v>
      </c>
      <c r="G65" s="6" t="n">
        <v>0</v>
      </c>
      <c r="H65" s="6" t="n">
        <v>-3325.54</v>
      </c>
      <c r="I65" s="6" t="n">
        <v>-10656.0000000012</v>
      </c>
      <c r="J65" s="6" t="n">
        <v>0</v>
      </c>
    </row>
    <row r="66">
      <c r="A66" s="4" t="inlineStr">
        <is>
          <t>Cohen, Jill</t>
        </is>
      </c>
      <c r="B66" s="4" t="inlineStr">
        <is>
          <t>A_66090</t>
        </is>
      </c>
      <c r="C66" s="4" t="inlineStr">
        <is>
          <t>A_66090 - House Functions &amp; Corp Events</t>
        </is>
      </c>
      <c r="D66" s="6" t="n">
        <v>5876.43</v>
      </c>
      <c r="E66" s="6" t="n">
        <v>8536.7738041632</v>
      </c>
      <c r="F66" s="6" t="n">
        <v>6875.179999999999</v>
      </c>
      <c r="G66" s="6" t="n">
        <v>4354.24383683</v>
      </c>
      <c r="H66" s="6" t="n">
        <v>-1522.18616317</v>
      </c>
      <c r="I66" s="6" t="n">
        <v>-4182.5299673332</v>
      </c>
      <c r="J66" s="6" t="n">
        <v>-2520.936163169999</v>
      </c>
    </row>
    <row r="67">
      <c r="A67" s="4" t="inlineStr">
        <is>
          <t>Cohen, Jill</t>
        </is>
      </c>
      <c r="B67" s="4" t="inlineStr">
        <is>
          <t>A_66095</t>
        </is>
      </c>
      <c r="C67" s="4" t="inlineStr">
        <is>
          <t>A_66095 - Meals &amp; Entertainment</t>
        </is>
      </c>
      <c r="D67" s="6" t="n">
        <v>260.07</v>
      </c>
      <c r="E67" s="6" t="n">
        <v>294.3715104888</v>
      </c>
      <c r="F67" s="6" t="n">
        <v>1357.62</v>
      </c>
      <c r="G67" s="6" t="n">
        <v>536.4200000000001</v>
      </c>
      <c r="H67" s="6" t="n">
        <v>276.3500000000001</v>
      </c>
      <c r="I67" s="6" t="n">
        <v>242.0484895112</v>
      </c>
      <c r="J67" s="6" t="n">
        <v>-821.2</v>
      </c>
    </row>
    <row r="68">
      <c r="A68" s="4" t="inlineStr">
        <is>
          <t>Cohen, Jill</t>
        </is>
      </c>
      <c r="B68" s="4" t="inlineStr">
        <is>
          <t>A_66110</t>
        </is>
      </c>
      <c r="C68" s="4" t="inlineStr">
        <is>
          <t>A_66110 - Mileage</t>
        </is>
      </c>
      <c r="D68" s="6" t="n">
        <v>3017.38</v>
      </c>
      <c r="E68" s="6" t="n">
        <v>4140.000000001201</v>
      </c>
      <c r="F68" s="6" t="n">
        <v>2693.44</v>
      </c>
      <c r="G68" s="6" t="n">
        <v>2693.44</v>
      </c>
      <c r="H68" s="6" t="n">
        <v>-323.9400000000001</v>
      </c>
      <c r="I68" s="6" t="n">
        <v>-1446.5600000012</v>
      </c>
      <c r="J68" s="6" t="n">
        <v>0</v>
      </c>
    </row>
    <row r="69">
      <c r="A69" s="4" t="inlineStr">
        <is>
          <t>Cohen, Jill</t>
        </is>
      </c>
      <c r="B69" s="4" t="inlineStr">
        <is>
          <t>A_66150</t>
        </is>
      </c>
      <c r="C69" s="4" t="inlineStr">
        <is>
          <t>A_66150 - Travel</t>
        </is>
      </c>
      <c r="D69" s="6" t="n">
        <v>10353</v>
      </c>
      <c r="E69" s="6" t="n">
        <v>588.7430209764</v>
      </c>
      <c r="F69" s="6" t="n">
        <v>5539.22</v>
      </c>
      <c r="G69" s="6" t="n">
        <v>2531.09</v>
      </c>
      <c r="H69" s="6" t="n">
        <v>-7821.91</v>
      </c>
      <c r="I69" s="6" t="n">
        <v>1942.3469790236</v>
      </c>
      <c r="J69" s="6" t="n">
        <v>-3008.13</v>
      </c>
    </row>
    <row r="70">
      <c r="A70" s="4" t="inlineStr">
        <is>
          <t>Cohen, Jill</t>
        </is>
      </c>
      <c r="B70" s="4" t="inlineStr">
        <is>
          <t>A_66170</t>
        </is>
      </c>
      <c r="C70" s="4" t="inlineStr">
        <is>
          <t>A_66170 - FLEX-Traveler Allowance</t>
        </is>
      </c>
      <c r="D70" s="6" t="n">
        <v>733133</v>
      </c>
      <c r="E70" s="6" t="n">
        <v>488486.367989615</v>
      </c>
      <c r="F70" s="6" t="n">
        <v>737393.24</v>
      </c>
      <c r="G70" s="6" t="n">
        <v>0</v>
      </c>
      <c r="H70" s="6" t="n">
        <v>-733133</v>
      </c>
      <c r="I70" s="6" t="n">
        <v>-488486.367989615</v>
      </c>
      <c r="J70" s="6" t="n">
        <v>-737393.24</v>
      </c>
    </row>
    <row r="71">
      <c r="A71" s="4" t="inlineStr">
        <is>
          <t>Cohen, Jill</t>
        </is>
      </c>
      <c r="B71" s="4" t="inlineStr">
        <is>
          <t>A_66510</t>
        </is>
      </c>
      <c r="C71" s="4" t="inlineStr">
        <is>
          <t>A_66510 - Lease-Rentals - Other</t>
        </is>
      </c>
      <c r="D71" s="6" t="n">
        <v>745430.72</v>
      </c>
      <c r="E71" s="6" t="n">
        <v>787566.9999999995</v>
      </c>
      <c r="F71" s="6" t="n">
        <v>999403.2599999999</v>
      </c>
      <c r="G71" s="6" t="n">
        <v>1424800.8</v>
      </c>
      <c r="H71" s="6" t="n">
        <v>679370.0800000001</v>
      </c>
      <c r="I71" s="6" t="n">
        <v>637233.8000000005</v>
      </c>
      <c r="J71" s="6" t="n">
        <v>425397.5400000002</v>
      </c>
    </row>
    <row r="72">
      <c r="A72" s="4" t="inlineStr">
        <is>
          <t>Cohen, Jill</t>
        </is>
      </c>
      <c r="B72" s="4" t="inlineStr">
        <is>
          <t>A_66515</t>
        </is>
      </c>
      <c r="C72" s="4" t="inlineStr">
        <is>
          <t>A_66515 - Lease Rentals - Copiers</t>
        </is>
      </c>
      <c r="D72" s="6" t="n">
        <v>32488.5</v>
      </c>
      <c r="E72" s="6" t="n">
        <v>31818.4899999996</v>
      </c>
      <c r="F72" s="6" t="n">
        <v>29138.68</v>
      </c>
      <c r="G72" s="6" t="n">
        <v>26341.94</v>
      </c>
      <c r="H72" s="6" t="n">
        <v>-6146.560000000001</v>
      </c>
      <c r="I72" s="6" t="n">
        <v>-5476.549999999599</v>
      </c>
      <c r="J72" s="6" t="n">
        <v>-2796.740000000002</v>
      </c>
    </row>
    <row r="73">
      <c r="A73" s="4" t="inlineStr">
        <is>
          <t>Cohen, Jill</t>
        </is>
      </c>
      <c r="B73" s="4" t="inlineStr">
        <is>
          <t>A_66523</t>
        </is>
      </c>
      <c r="C73" s="4" t="inlineStr">
        <is>
          <t>A_66523 - Equipment Rental per click fee</t>
        </is>
      </c>
      <c r="D73" s="6" t="n">
        <v>1788745</v>
      </c>
      <c r="E73" s="6" t="n">
        <v>1517743</v>
      </c>
      <c r="F73" s="6" t="n">
        <v>1788332</v>
      </c>
      <c r="G73" s="6" t="n">
        <v>1788332</v>
      </c>
      <c r="H73" s="6" t="n">
        <v>-413</v>
      </c>
      <c r="I73" s="6" t="n">
        <v>270589</v>
      </c>
      <c r="J73" s="6" t="n">
        <v>0</v>
      </c>
    </row>
    <row r="74">
      <c r="A74" s="4" t="inlineStr">
        <is>
          <t>Cohen, Jill</t>
        </is>
      </c>
      <c r="B74" s="4" t="inlineStr">
        <is>
          <t>A_66524</t>
        </is>
      </c>
      <c r="C74" s="4" t="inlineStr">
        <is>
          <t>A_66524 - Software Licensing Fees</t>
        </is>
      </c>
      <c r="D74" s="6" t="n">
        <v>540.22</v>
      </c>
      <c r="E74" s="6" t="n">
        <v>0</v>
      </c>
      <c r="F74" s="6" t="n">
        <v>1154.4</v>
      </c>
      <c r="G74" s="6" t="n">
        <v>577.2</v>
      </c>
      <c r="H74" s="6" t="n">
        <v>36.98000000000002</v>
      </c>
      <c r="I74" s="6" t="n">
        <v>577.2</v>
      </c>
      <c r="J74" s="6" t="n">
        <v>-577.2</v>
      </c>
    </row>
    <row r="75">
      <c r="A75" s="4" t="inlineStr">
        <is>
          <t>Cohen, Jill</t>
        </is>
      </c>
      <c r="B75" s="4" t="inlineStr">
        <is>
          <t>A_66526</t>
        </is>
      </c>
      <c r="C75" s="4" t="inlineStr">
        <is>
          <t>A_66526 - Rentals - Medical Equipment</t>
        </is>
      </c>
      <c r="D75" s="6" t="n">
        <v>148210</v>
      </c>
      <c r="E75" s="6" t="n">
        <v>137439</v>
      </c>
      <c r="F75" s="6" t="n">
        <v>121786</v>
      </c>
      <c r="G75" s="6" t="n">
        <v>121786</v>
      </c>
      <c r="H75" s="6" t="n">
        <v>-26424</v>
      </c>
      <c r="I75" s="6" t="n">
        <v>-15653</v>
      </c>
      <c r="J75" s="6" t="n">
        <v>0</v>
      </c>
    </row>
    <row r="76">
      <c r="A76" s="4" t="inlineStr">
        <is>
          <t>Cohen, Jill</t>
        </is>
      </c>
      <c r="B76" s="4" t="inlineStr">
        <is>
          <t>A_66528</t>
        </is>
      </c>
      <c r="C76" s="4" t="inlineStr">
        <is>
          <t>A_66528 - Cloud Software Licensing Fees</t>
        </is>
      </c>
      <c r="D76" s="6" t="n">
        <v>163.93</v>
      </c>
      <c r="E76" s="6" t="n">
        <v>0</v>
      </c>
      <c r="F76" s="6" t="n">
        <v>-72.86</v>
      </c>
      <c r="G76" s="6" t="n">
        <v>0</v>
      </c>
      <c r="H76" s="6" t="n">
        <v>-163.93</v>
      </c>
      <c r="I76" s="6" t="n">
        <v>0</v>
      </c>
      <c r="J76" s="6" t="n">
        <v>72.86</v>
      </c>
    </row>
    <row r="77">
      <c r="A77" s="7" t="inlineStr">
        <is>
          <t>Total</t>
        </is>
      </c>
      <c r="B77" s="7" t="n"/>
      <c r="C77" s="7" t="n"/>
      <c r="D77" s="8">
        <f>SUM(D6:D76)</f>
        <v/>
      </c>
      <c r="E77" s="8">
        <f>SUM(E6:E76)</f>
        <v/>
      </c>
      <c r="F77" s="8">
        <f>SUM(F6:F76)</f>
        <v/>
      </c>
      <c r="G77" s="8">
        <f>SUM(G6:G76)</f>
        <v/>
      </c>
      <c r="H77" s="8">
        <f>SUM(H6:H76)</f>
        <v/>
      </c>
      <c r="I77" s="8">
        <f>SUM(I6:I76)</f>
        <v/>
      </c>
      <c r="J77" s="8">
        <f>SUM(J6:J76)</f>
        <v/>
      </c>
    </row>
  </sheetData>
  <autoFilter ref="A5:J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2026-08-26T21:50:09Z</dcterms:created>
  <dcterms:modified xsi:type="dcterms:W3CDTF">2026-08-26T21:50:10Z</dcterms:modified>
</cp:coreProperties>
</file>