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Summary'!$A$5:$K$46</definedName>
    <definedName name="_xlnm._FilterDatabase" localSheetId="1" hidden="1">'Acct Summary'!$A$5:$J$55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1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Levy, Elan</t>
        </is>
      </c>
      <c r="B6" s="4" t="inlineStr">
        <is>
          <t>Bedi, Anupama</t>
        </is>
      </c>
      <c r="C6" s="5" t="n">
        <v>15612095</v>
      </c>
      <c r="D6" s="4" t="inlineStr">
        <is>
          <t>LENOX_15612095 - NRSG - Neotat Nurse Practition</t>
        </is>
      </c>
      <c r="E6" s="6" t="n">
        <v>5994.23</v>
      </c>
      <c r="F6" s="6" t="n">
        <v>5882.8507519777</v>
      </c>
      <c r="G6" s="6" t="n">
        <v>10890.6812154696</v>
      </c>
      <c r="H6" s="6" t="n">
        <v>0</v>
      </c>
      <c r="I6" s="6" t="n">
        <v>-5994.23</v>
      </c>
      <c r="J6" s="6" t="n">
        <v>-5882.8507519777</v>
      </c>
      <c r="K6" s="6" t="n">
        <v>-10890.6812154696</v>
      </c>
    </row>
    <row r="7">
      <c r="A7" s="4" t="inlineStr">
        <is>
          <t>Levy, Elan</t>
        </is>
      </c>
      <c r="B7" s="4" t="inlineStr">
        <is>
          <t>Bedi, Anupama</t>
        </is>
      </c>
      <c r="C7" s="5" t="n">
        <v>15624050</v>
      </c>
      <c r="D7" s="4" t="inlineStr">
        <is>
          <t>LENOX_15624050 - ACP Services – Neurology</t>
        </is>
      </c>
      <c r="E7" s="6" t="n">
        <v>14610.26</v>
      </c>
      <c r="F7" s="6" t="n">
        <v>9673.4403195084</v>
      </c>
      <c r="G7" s="6" t="n">
        <v>9294.398397790101</v>
      </c>
      <c r="H7" s="6" t="n">
        <v>0</v>
      </c>
      <c r="I7" s="6" t="n">
        <v>-14610.26</v>
      </c>
      <c r="J7" s="6" t="n">
        <v>-9673.4403195084</v>
      </c>
      <c r="K7" s="6" t="n">
        <v>-9294.398397790101</v>
      </c>
    </row>
    <row r="8">
      <c r="A8" s="4" t="inlineStr">
        <is>
          <t>Levy, Elan</t>
        </is>
      </c>
      <c r="B8" s="4" t="inlineStr">
        <is>
          <t>Bedi, Anupama</t>
        </is>
      </c>
      <c r="C8" s="5" t="n">
        <v>15625045</v>
      </c>
      <c r="D8" s="4" t="inlineStr">
        <is>
          <t>LENOX_15625045 - ACP Services - Neuro Surgery</t>
        </is>
      </c>
      <c r="E8" s="6" t="n">
        <v>32096.55</v>
      </c>
      <c r="F8" s="6" t="n">
        <v>16744.9169909784</v>
      </c>
      <c r="G8" s="6" t="n">
        <v>10740.9139226519</v>
      </c>
      <c r="H8" s="6" t="n">
        <v>0</v>
      </c>
      <c r="I8" s="6" t="n">
        <v>-32096.55</v>
      </c>
      <c r="J8" s="6" t="n">
        <v>-16744.9169909784</v>
      </c>
      <c r="K8" s="6" t="n">
        <v>-10740.9139226519</v>
      </c>
    </row>
    <row r="9">
      <c r="A9" s="4" t="inlineStr">
        <is>
          <t>Levy, Elan</t>
        </is>
      </c>
      <c r="B9" s="4" t="inlineStr">
        <is>
          <t>Bedi, Anupama</t>
        </is>
      </c>
      <c r="C9" s="5" t="n">
        <v>15628030</v>
      </c>
      <c r="D9" s="4" t="inlineStr">
        <is>
          <t>LENOX_15628030 - ACP Administration</t>
        </is>
      </c>
      <c r="E9" s="6" t="n">
        <v>74649.5</v>
      </c>
      <c r="F9" s="6" t="n">
        <v>68833.3803837025</v>
      </c>
      <c r="G9" s="6" t="n">
        <v>148324.9658314614</v>
      </c>
      <c r="H9" s="6" t="n">
        <v>0</v>
      </c>
      <c r="I9" s="6" t="n">
        <v>-74649.5</v>
      </c>
      <c r="J9" s="6" t="n">
        <v>-68833.3803837025</v>
      </c>
      <c r="K9" s="6" t="n">
        <v>-148324.9658314614</v>
      </c>
    </row>
    <row r="10">
      <c r="A10" s="4" t="inlineStr">
        <is>
          <t>Levy, Elan</t>
        </is>
      </c>
      <c r="B10" s="4" t="inlineStr">
        <is>
          <t>Bedi, Anupama</t>
        </is>
      </c>
      <c r="C10" s="5" t="n">
        <v>15632045</v>
      </c>
      <c r="D10" s="4" t="inlineStr">
        <is>
          <t>LENOX_15632045 - ACP Services  - Surgery</t>
        </is>
      </c>
      <c r="E10" s="6" t="n">
        <v>18645.35</v>
      </c>
      <c r="F10" s="6" t="n">
        <v>18224.8290132696</v>
      </c>
      <c r="G10" s="6" t="n">
        <v>28313.76</v>
      </c>
      <c r="H10" s="6" t="n">
        <v>0</v>
      </c>
      <c r="I10" s="6" t="n">
        <v>-18645.35</v>
      </c>
      <c r="J10" s="6" t="n">
        <v>-18224.8290132696</v>
      </c>
      <c r="K10" s="6" t="n">
        <v>-28313.76</v>
      </c>
    </row>
    <row r="11">
      <c r="A11" s="4" t="inlineStr">
        <is>
          <t>Levy, Elan</t>
        </is>
      </c>
      <c r="B11" s="4" t="inlineStr">
        <is>
          <t>Bedi, Anupama</t>
        </is>
      </c>
      <c r="C11" s="5" t="n">
        <v>15633025</v>
      </c>
      <c r="D11" s="4" t="inlineStr">
        <is>
          <t>LENOX_15633025 - ACP Services – OBGYN</t>
        </is>
      </c>
      <c r="E11" s="6" t="n">
        <v>4290.54</v>
      </c>
      <c r="F11" s="6" t="n">
        <v>5111.0734316208</v>
      </c>
      <c r="G11" s="6" t="n">
        <v>2656.46</v>
      </c>
      <c r="H11" s="6" t="n">
        <v>0</v>
      </c>
      <c r="I11" s="6" t="n">
        <v>-4290.54</v>
      </c>
      <c r="J11" s="6" t="n">
        <v>-5111.0734316208</v>
      </c>
      <c r="K11" s="6" t="n">
        <v>-2656.46</v>
      </c>
    </row>
    <row r="12">
      <c r="A12" s="4" t="inlineStr">
        <is>
          <t>Levy, Elan</t>
        </is>
      </c>
      <c r="B12" s="4" t="inlineStr">
        <is>
          <t>Bedi, Anupama</t>
        </is>
      </c>
      <c r="C12" s="5" t="n">
        <v>15635545</v>
      </c>
      <c r="D12" s="4" t="inlineStr">
        <is>
          <t>LENOX_15635545 - ACP Services  - Cardio Surgery</t>
        </is>
      </c>
      <c r="E12" s="6" t="n">
        <v>20734.35</v>
      </c>
      <c r="F12" s="6" t="n">
        <v>20278.5438788652</v>
      </c>
      <c r="G12" s="6" t="n">
        <v>36555.9663535912</v>
      </c>
      <c r="H12" s="6" t="n">
        <v>0</v>
      </c>
      <c r="I12" s="6" t="n">
        <v>-20734.35</v>
      </c>
      <c r="J12" s="6" t="n">
        <v>-20278.5438788652</v>
      </c>
      <c r="K12" s="6" t="n">
        <v>-36555.9663535912</v>
      </c>
    </row>
    <row r="13">
      <c r="A13" s="4" t="inlineStr">
        <is>
          <t>Levy, Elan</t>
        </is>
      </c>
      <c r="B13" s="4" t="inlineStr">
        <is>
          <t>Bedi, Anupama</t>
        </is>
      </c>
      <c r="C13" s="5" t="n">
        <v>15635550</v>
      </c>
      <c r="D13" s="4" t="inlineStr">
        <is>
          <t>LENOX_15635550 - ACP Services - Critical Care</t>
        </is>
      </c>
      <c r="E13" s="6" t="n">
        <v>4245.41</v>
      </c>
      <c r="F13" s="6" t="n">
        <v>7651.3498741428</v>
      </c>
      <c r="G13" s="6" t="n">
        <v>7211.4</v>
      </c>
      <c r="H13" s="6" t="n">
        <v>0</v>
      </c>
      <c r="I13" s="6" t="n">
        <v>-4245.41</v>
      </c>
      <c r="J13" s="6" t="n">
        <v>-7651.3498741428</v>
      </c>
      <c r="K13" s="6" t="n">
        <v>-7211.4</v>
      </c>
    </row>
    <row r="14">
      <c r="A14" s="4" t="inlineStr">
        <is>
          <t>Levy, Elan</t>
        </is>
      </c>
      <c r="B14" s="4" t="inlineStr">
        <is>
          <t>Bedi, Anupama</t>
        </is>
      </c>
      <c r="C14" s="5" t="n">
        <v>15638045</v>
      </c>
      <c r="D14" s="4" t="inlineStr">
        <is>
          <t>LENOX_15638045 - ACP Services  - Orthopedics</t>
        </is>
      </c>
      <c r="E14" s="6" t="n">
        <v>18632.17</v>
      </c>
      <c r="F14" s="6" t="n">
        <v>8677.1926458504</v>
      </c>
      <c r="G14" s="6" t="n">
        <v>8252.016795580101</v>
      </c>
      <c r="H14" s="6" t="n">
        <v>0</v>
      </c>
      <c r="I14" s="6" t="n">
        <v>-18632.17</v>
      </c>
      <c r="J14" s="6" t="n">
        <v>-8677.1926458504</v>
      </c>
      <c r="K14" s="6" t="n">
        <v>-8252.016795580101</v>
      </c>
    </row>
    <row r="15">
      <c r="A15" s="4" t="inlineStr">
        <is>
          <t>Levy, Elan</t>
        </is>
      </c>
      <c r="B15" s="4" t="inlineStr">
        <is>
          <t>Bedi, Anupama</t>
        </is>
      </c>
      <c r="C15" s="5" t="n">
        <v>15652045</v>
      </c>
      <c r="D15" s="4" t="inlineStr">
        <is>
          <t>LENOX_15652045 - PA Service-Interventional Card</t>
        </is>
      </c>
      <c r="E15" s="6" t="n">
        <v>12290.24</v>
      </c>
      <c r="F15" s="6" t="n">
        <v>99811.68451442401</v>
      </c>
      <c r="G15" s="6" t="n">
        <v>24586.7169230769</v>
      </c>
      <c r="H15" s="6" t="n">
        <v>0</v>
      </c>
      <c r="I15" s="6" t="n">
        <v>-12290.24</v>
      </c>
      <c r="J15" s="6" t="n">
        <v>-99811.68451442401</v>
      </c>
      <c r="K15" s="6" t="n">
        <v>-24586.7169230769</v>
      </c>
    </row>
    <row r="16">
      <c r="A16" s="4" t="inlineStr">
        <is>
          <t>Levy, Elan</t>
        </is>
      </c>
      <c r="B16" s="4" t="inlineStr">
        <is>
          <t>Bedi, Anupama</t>
        </is>
      </c>
      <c r="C16" s="5" t="n">
        <v>15652065</v>
      </c>
      <c r="D16" s="4" t="inlineStr">
        <is>
          <t>LENOX_15652065 - ACP Services  - Cardio EPS</t>
        </is>
      </c>
      <c r="E16" s="6" t="n">
        <v>2530.24</v>
      </c>
      <c r="F16" s="6" t="n">
        <v>1889.8091762052</v>
      </c>
      <c r="G16" s="6" t="n">
        <v>1586.98</v>
      </c>
      <c r="H16" s="6" t="n">
        <v>0</v>
      </c>
      <c r="I16" s="6" t="n">
        <v>-2530.24</v>
      </c>
      <c r="J16" s="6" t="n">
        <v>-1889.8091762052</v>
      </c>
      <c r="K16" s="6" t="n">
        <v>-1586.98</v>
      </c>
    </row>
    <row r="17">
      <c r="A17" s="4" t="inlineStr">
        <is>
          <t>Levy, Elan</t>
        </is>
      </c>
      <c r="B17" s="4" t="inlineStr">
        <is>
          <t>Joseph, Yanick</t>
        </is>
      </c>
      <c r="C17" s="5" t="n">
        <v>15620000</v>
      </c>
      <c r="D17" s="4" t="inlineStr">
        <is>
          <t>LENOX_15620000 - Office of Academic Affairs</t>
        </is>
      </c>
      <c r="E17" s="6" t="n">
        <v>204353.35</v>
      </c>
      <c r="F17" s="6" t="n">
        <v>214537.4365930745</v>
      </c>
      <c r="G17" s="6" t="n">
        <v>207416.4049911967</v>
      </c>
      <c r="H17" s="6" t="n">
        <v>0</v>
      </c>
      <c r="I17" s="6" t="n">
        <v>-204353.35</v>
      </c>
      <c r="J17" s="6" t="n">
        <v>-214537.4365930745</v>
      </c>
      <c r="K17" s="6" t="n">
        <v>-207416.4049911967</v>
      </c>
    </row>
    <row r="18">
      <c r="A18" s="4" t="inlineStr">
        <is>
          <t>Levy, Elan</t>
        </is>
      </c>
      <c r="B18" s="4" t="inlineStr">
        <is>
          <t>Joseph, Yanick</t>
        </is>
      </c>
      <c r="C18" s="5" t="n">
        <v>15642020</v>
      </c>
      <c r="D18" s="4" t="inlineStr">
        <is>
          <t>LENOX_15642020 - Residency - Medicine</t>
        </is>
      </c>
      <c r="E18" s="6" t="n">
        <v>247878.53</v>
      </c>
      <c r="F18" s="6" t="n">
        <v>215591.9026884306</v>
      </c>
      <c r="G18" s="6" t="n">
        <v>277822.5350828729</v>
      </c>
      <c r="H18" s="6" t="n">
        <v>0</v>
      </c>
      <c r="I18" s="6" t="n">
        <v>-247878.53</v>
      </c>
      <c r="J18" s="6" t="n">
        <v>-215591.9026884306</v>
      </c>
      <c r="K18" s="6" t="n">
        <v>-277822.5350828729</v>
      </c>
    </row>
    <row r="19">
      <c r="A19" s="4" t="inlineStr">
        <is>
          <t>Levy, Elan</t>
        </is>
      </c>
      <c r="B19" s="4" t="inlineStr">
        <is>
          <t>Joseph, Yanick</t>
        </is>
      </c>
      <c r="C19" s="5" t="n">
        <v>15642030</v>
      </c>
      <c r="D19" s="4" t="inlineStr">
        <is>
          <t>LENOX_15642030 - Residency - Surgery</t>
        </is>
      </c>
      <c r="E19" s="6" t="n">
        <v>166138.38</v>
      </c>
      <c r="F19" s="6" t="n">
        <v>47758.7483653788</v>
      </c>
      <c r="G19" s="6" t="n">
        <v>173732.7154113289</v>
      </c>
      <c r="H19" s="6" t="n">
        <v>0</v>
      </c>
      <c r="I19" s="6" t="n">
        <v>-166138.38</v>
      </c>
      <c r="J19" s="6" t="n">
        <v>-47758.7483653788</v>
      </c>
      <c r="K19" s="6" t="n">
        <v>-173732.7154113289</v>
      </c>
    </row>
    <row r="20">
      <c r="A20" s="4" t="inlineStr">
        <is>
          <t>Levy, Elan</t>
        </is>
      </c>
      <c r="B20" s="4" t="inlineStr">
        <is>
          <t>Joseph, Yanick</t>
        </is>
      </c>
      <c r="C20" s="5" t="n">
        <v>15642060</v>
      </c>
      <c r="D20" s="4" t="inlineStr">
        <is>
          <t>LENOX_15642060 - Residency - Obstetric-GYN</t>
        </is>
      </c>
      <c r="E20" s="6" t="n">
        <v>55741.37</v>
      </c>
      <c r="F20" s="6" t="n">
        <v>89904.4524187247</v>
      </c>
      <c r="G20" s="6" t="n">
        <v>74758.1919337017</v>
      </c>
      <c r="H20" s="6" t="n">
        <v>64667.94</v>
      </c>
      <c r="I20" s="6" t="n">
        <v>8926.57</v>
      </c>
      <c r="J20" s="6" t="n">
        <v>-25236.5124187247</v>
      </c>
      <c r="K20" s="6" t="n">
        <v>-10090.2519337017</v>
      </c>
    </row>
    <row r="21">
      <c r="A21" s="4" t="inlineStr">
        <is>
          <t>Levy, Elan</t>
        </is>
      </c>
      <c r="B21" s="4" t="inlineStr">
        <is>
          <t>Joseph, Yanick</t>
        </is>
      </c>
      <c r="C21" s="5" t="n">
        <v>15642080</v>
      </c>
      <c r="D21" s="4" t="inlineStr">
        <is>
          <t>LENOX_15642080 - Residency - Pathology</t>
        </is>
      </c>
      <c r="E21" s="6" t="n">
        <v>58226.85</v>
      </c>
      <c r="F21" s="6" t="n">
        <v>37191.71289177</v>
      </c>
      <c r="G21" s="6" t="n">
        <v>55680.7169060773</v>
      </c>
      <c r="H21" s="6" t="n">
        <v>0</v>
      </c>
      <c r="I21" s="6" t="n">
        <v>-58226.85</v>
      </c>
      <c r="J21" s="6" t="n">
        <v>-37191.71289177</v>
      </c>
      <c r="K21" s="6" t="n">
        <v>-55680.7169060773</v>
      </c>
    </row>
    <row r="22">
      <c r="A22" s="4" t="inlineStr">
        <is>
          <t>Levy, Elan</t>
        </is>
      </c>
      <c r="B22" s="4" t="inlineStr">
        <is>
          <t>Joseph, Yanick</t>
        </is>
      </c>
      <c r="C22" s="5" t="n">
        <v>15642090</v>
      </c>
      <c r="D22" s="4" t="inlineStr">
        <is>
          <t>LENOX_15642090 - Residency Radiology</t>
        </is>
      </c>
      <c r="E22" s="6" t="n">
        <v>78117.81</v>
      </c>
      <c r="F22" s="6" t="n">
        <v>87409.05234738119</v>
      </c>
      <c r="G22" s="6" t="n">
        <v>98413.19558011051</v>
      </c>
      <c r="H22" s="6" t="n">
        <v>99389.0529767241</v>
      </c>
      <c r="I22" s="6" t="n">
        <v>21271.2429767241</v>
      </c>
      <c r="J22" s="6" t="n">
        <v>11980.0006293429</v>
      </c>
      <c r="K22" s="6" t="n">
        <v>975.8573966135882</v>
      </c>
    </row>
    <row r="23">
      <c r="A23" s="4" t="inlineStr">
        <is>
          <t>Levy, Elan</t>
        </is>
      </c>
      <c r="B23" s="4" t="inlineStr">
        <is>
          <t>Joseph, Yanick</t>
        </is>
      </c>
      <c r="C23" s="5" t="n">
        <v>15642150</v>
      </c>
      <c r="D23" s="4" t="inlineStr">
        <is>
          <t>LENOX_15642150 - Residency - Otolaryngology</t>
        </is>
      </c>
      <c r="E23" s="6" t="n">
        <v>66813.47</v>
      </c>
      <c r="F23" s="6" t="n">
        <v>119264.968531156</v>
      </c>
      <c r="G23" s="6" t="n">
        <v>61215.4</v>
      </c>
      <c r="H23" s="6" t="n">
        <v>0</v>
      </c>
      <c r="I23" s="6" t="n">
        <v>-66813.47</v>
      </c>
      <c r="J23" s="6" t="n">
        <v>-119264.968531156</v>
      </c>
      <c r="K23" s="6" t="n">
        <v>-61215.4</v>
      </c>
    </row>
    <row r="24">
      <c r="A24" s="4" t="inlineStr">
        <is>
          <t>Levy, Elan</t>
        </is>
      </c>
      <c r="B24" s="4" t="inlineStr">
        <is>
          <t>Joseph, Yanick</t>
        </is>
      </c>
      <c r="C24" s="5" t="n">
        <v>15642151</v>
      </c>
      <c r="D24" s="4" t="inlineStr">
        <is>
          <t>LENOX_15642151 - Otolaryngology LHH</t>
        </is>
      </c>
      <c r="E24" s="6" t="n">
        <v>2280.19</v>
      </c>
      <c r="F24" s="6" t="n">
        <v>0</v>
      </c>
      <c r="G24" s="6" t="n">
        <v>1000</v>
      </c>
      <c r="H24" s="6" t="n">
        <v>0</v>
      </c>
      <c r="I24" s="6" t="n">
        <v>-2280.19</v>
      </c>
      <c r="J24" s="6" t="n">
        <v>0</v>
      </c>
      <c r="K24" s="6" t="n">
        <v>-1000</v>
      </c>
    </row>
    <row r="25">
      <c r="A25" s="4" t="inlineStr">
        <is>
          <t>Levy, Elan</t>
        </is>
      </c>
      <c r="B25" s="4" t="inlineStr">
        <is>
          <t>Joseph, Yanick</t>
        </is>
      </c>
      <c r="C25" s="5" t="n">
        <v>15642152</v>
      </c>
      <c r="D25" s="4" t="inlineStr">
        <is>
          <t>LENOX_15642152 - Psychiatry - LHH</t>
        </is>
      </c>
      <c r="E25" s="6" t="n">
        <v>6748.049999999999</v>
      </c>
      <c r="F25" s="6" t="n">
        <v>41044.9756400088</v>
      </c>
      <c r="G25" s="6" t="n">
        <v>9986.860000000001</v>
      </c>
      <c r="H25" s="6" t="n">
        <v>0</v>
      </c>
      <c r="I25" s="6" t="n">
        <v>-6748.049999999999</v>
      </c>
      <c r="J25" s="6" t="n">
        <v>-41044.9756400088</v>
      </c>
      <c r="K25" s="6" t="n">
        <v>-9986.860000000001</v>
      </c>
    </row>
    <row r="26">
      <c r="A26" s="4" t="inlineStr">
        <is>
          <t>Levy, Elan</t>
        </is>
      </c>
      <c r="B26" s="4" t="inlineStr">
        <is>
          <t>Joseph, Yanick</t>
        </is>
      </c>
      <c r="C26" s="5" t="n">
        <v>15642160</v>
      </c>
      <c r="D26" s="4" t="inlineStr">
        <is>
          <t>LENOX_15642160 - Residency - Cardiology</t>
        </is>
      </c>
      <c r="E26" s="6" t="n">
        <v>54180.2</v>
      </c>
      <c r="F26" s="6" t="n">
        <v>57296.5743457896</v>
      </c>
      <c r="G26" s="6" t="n">
        <v>85879.18160220989</v>
      </c>
      <c r="H26" s="6" t="n">
        <v>0</v>
      </c>
      <c r="I26" s="6" t="n">
        <v>-54180.2</v>
      </c>
      <c r="J26" s="6" t="n">
        <v>-57296.5743457896</v>
      </c>
      <c r="K26" s="6" t="n">
        <v>-85879.18160220989</v>
      </c>
    </row>
    <row r="27">
      <c r="A27" s="4" t="inlineStr">
        <is>
          <t>Levy, Elan</t>
        </is>
      </c>
      <c r="B27" s="4" t="inlineStr">
        <is>
          <t>Joseph, Yanick</t>
        </is>
      </c>
      <c r="C27" s="5" t="n">
        <v>15642180</v>
      </c>
      <c r="D27" s="4" t="inlineStr">
        <is>
          <t>LENOX_15642180 - Residency - Urology</t>
        </is>
      </c>
      <c r="E27" s="6" t="n">
        <v>95962.39999999999</v>
      </c>
      <c r="F27" s="6" t="n">
        <v>141202.1667980828</v>
      </c>
      <c r="G27" s="6" t="n">
        <v>99502.952320442</v>
      </c>
      <c r="H27" s="6" t="n">
        <v>0</v>
      </c>
      <c r="I27" s="6" t="n">
        <v>-95962.39999999999</v>
      </c>
      <c r="J27" s="6" t="n">
        <v>-141202.1667980828</v>
      </c>
      <c r="K27" s="6" t="n">
        <v>-99502.952320442</v>
      </c>
    </row>
    <row r="28">
      <c r="A28" s="4" t="inlineStr">
        <is>
          <t>Levy, Elan</t>
        </is>
      </c>
      <c r="B28" s="4" t="inlineStr">
        <is>
          <t>Joseph, Yanick</t>
        </is>
      </c>
      <c r="C28" s="5" t="n">
        <v>15642210</v>
      </c>
      <c r="D28" s="4" t="inlineStr">
        <is>
          <t>LENOX_15642210 - Residency - Orthopedics</t>
        </is>
      </c>
      <c r="E28" s="6" t="n">
        <v>339963.87</v>
      </c>
      <c r="F28" s="6" t="n">
        <v>305978.3347693485</v>
      </c>
      <c r="G28" s="6" t="n">
        <v>351942.6106077348</v>
      </c>
      <c r="H28" s="6" t="n">
        <v>329077.9602967482</v>
      </c>
      <c r="I28" s="6" t="n">
        <v>-10885.90970325179</v>
      </c>
      <c r="J28" s="6" t="n">
        <v>23099.62552739971</v>
      </c>
      <c r="K28" s="6" t="n">
        <v>-22864.65031098662</v>
      </c>
    </row>
    <row r="29">
      <c r="A29" s="4" t="inlineStr">
        <is>
          <t>Levy, Elan</t>
        </is>
      </c>
      <c r="B29" s="4" t="inlineStr">
        <is>
          <t>Joseph, Yanick</t>
        </is>
      </c>
      <c r="C29" s="5" t="n">
        <v>15642213</v>
      </c>
      <c r="D29" s="4" t="inlineStr">
        <is>
          <t>LENOX_15642213 - Cardiology LHH</t>
        </is>
      </c>
      <c r="E29" s="6" t="n">
        <v>841</v>
      </c>
      <c r="F29" s="6" t="n">
        <v>0</v>
      </c>
      <c r="G29" s="6" t="n">
        <v>0</v>
      </c>
      <c r="H29" s="6" t="n">
        <v>0</v>
      </c>
      <c r="I29" s="6" t="n">
        <v>-841</v>
      </c>
      <c r="J29" s="6" t="n">
        <v>0</v>
      </c>
      <c r="K29" s="6" t="n">
        <v>0</v>
      </c>
    </row>
    <row r="30">
      <c r="A30" s="4" t="inlineStr">
        <is>
          <t>Levy, Elan</t>
        </is>
      </c>
      <c r="B30" s="4" t="inlineStr">
        <is>
          <t>Joseph, Yanick</t>
        </is>
      </c>
      <c r="C30" s="5" t="n">
        <v>15642216</v>
      </c>
      <c r="D30" s="4" t="inlineStr">
        <is>
          <t>LENOX_15642216 - Gastroenterology LHH</t>
        </is>
      </c>
      <c r="E30" s="6" t="n">
        <v>0</v>
      </c>
      <c r="F30" s="6" t="n">
        <v>196.2476736588</v>
      </c>
      <c r="G30" s="6" t="n">
        <v>0</v>
      </c>
      <c r="H30" s="6" t="n">
        <v>0</v>
      </c>
      <c r="I30" s="6" t="n">
        <v>0</v>
      </c>
      <c r="J30" s="6" t="n">
        <v>-196.2476736588</v>
      </c>
      <c r="K30" s="6" t="n">
        <v>0</v>
      </c>
    </row>
    <row r="31">
      <c r="A31" s="4" t="inlineStr">
        <is>
          <t>Levy, Elan</t>
        </is>
      </c>
      <c r="B31" s="4" t="inlineStr">
        <is>
          <t>Joseph, Yanick</t>
        </is>
      </c>
      <c r="C31" s="5" t="n">
        <v>15642217</v>
      </c>
      <c r="D31" s="4" t="inlineStr">
        <is>
          <t>LENOX_15642217 - Hematology &amp; Onc LHH</t>
        </is>
      </c>
      <c r="E31" s="6" t="n">
        <v>0</v>
      </c>
      <c r="F31" s="6" t="n">
        <v>0</v>
      </c>
      <c r="G31" s="6" t="n">
        <v>7685.7988950276</v>
      </c>
      <c r="H31" s="6" t="n">
        <v>0</v>
      </c>
      <c r="I31" s="6" t="n">
        <v>0</v>
      </c>
      <c r="J31" s="6" t="n">
        <v>0</v>
      </c>
      <c r="K31" s="6" t="n">
        <v>-7685.7988950276</v>
      </c>
    </row>
    <row r="32">
      <c r="A32" s="4" t="inlineStr">
        <is>
          <t>Levy, Elan</t>
        </is>
      </c>
      <c r="B32" s="4" t="inlineStr">
        <is>
          <t>Joseph, Yanick</t>
        </is>
      </c>
      <c r="C32" s="5" t="n">
        <v>15642218</v>
      </c>
      <c r="D32" s="4" t="inlineStr">
        <is>
          <t>LENOX_15642218 - Internal Medicine - Chief LHH</t>
        </is>
      </c>
      <c r="E32" s="6" t="n">
        <v>616.85</v>
      </c>
      <c r="F32" s="6" t="n">
        <v>459.9999999996</v>
      </c>
      <c r="G32" s="6" t="n">
        <v>919.4975138122001</v>
      </c>
      <c r="H32" s="6" t="n">
        <v>0</v>
      </c>
      <c r="I32" s="6" t="n">
        <v>-616.85</v>
      </c>
      <c r="J32" s="6" t="n">
        <v>-459.9999999996</v>
      </c>
      <c r="K32" s="6" t="n">
        <v>-919.4975138122001</v>
      </c>
    </row>
    <row r="33">
      <c r="A33" s="4" t="inlineStr">
        <is>
          <t>Levy, Elan</t>
        </is>
      </c>
      <c r="B33" s="4" t="inlineStr">
        <is>
          <t>Joseph, Yanick</t>
        </is>
      </c>
      <c r="C33" s="5" t="n">
        <v>15642219</v>
      </c>
      <c r="D33" s="4" t="inlineStr">
        <is>
          <t>LENOX_15642219 - Internal Medicine LHH</t>
        </is>
      </c>
      <c r="E33" s="6" t="n">
        <v>691.5599999999999</v>
      </c>
      <c r="F33" s="6" t="n">
        <v>3239.6603440512</v>
      </c>
      <c r="G33" s="6" t="n">
        <v>0</v>
      </c>
      <c r="H33" s="6" t="n">
        <v>0</v>
      </c>
      <c r="I33" s="6" t="n">
        <v>-691.5599999999999</v>
      </c>
      <c r="J33" s="6" t="n">
        <v>-3239.6603440512</v>
      </c>
      <c r="K33" s="6" t="n">
        <v>0</v>
      </c>
    </row>
    <row r="34">
      <c r="A34" s="4" t="inlineStr">
        <is>
          <t>Levy, Elan</t>
        </is>
      </c>
      <c r="B34" s="4" t="inlineStr">
        <is>
          <t>Joseph, Yanick</t>
        </is>
      </c>
      <c r="C34" s="5" t="n">
        <v>15642221</v>
      </c>
      <c r="D34" s="4" t="inlineStr">
        <is>
          <t>LENOX_15642221 - Interventional Urology ICF LHH</t>
        </is>
      </c>
      <c r="E34" s="6" t="n">
        <v>0</v>
      </c>
      <c r="F34" s="6" t="n">
        <v>98.12383683</v>
      </c>
      <c r="G34" s="6" t="n">
        <v>0</v>
      </c>
      <c r="H34" s="6" t="n">
        <v>0</v>
      </c>
      <c r="I34" s="6" t="n">
        <v>0</v>
      </c>
      <c r="J34" s="6" t="n">
        <v>-98.12383683</v>
      </c>
      <c r="K34" s="6" t="n">
        <v>0</v>
      </c>
    </row>
    <row r="35">
      <c r="A35" s="4" t="inlineStr">
        <is>
          <t>Levy, Elan</t>
        </is>
      </c>
      <c r="B35" s="4" t="inlineStr">
        <is>
          <t>Joseph, Yanick</t>
        </is>
      </c>
      <c r="C35" s="5" t="n">
        <v>15642225</v>
      </c>
      <c r="D35" s="4" t="inlineStr">
        <is>
          <t>LENOX_15642225 - Orthopedics LHH</t>
        </is>
      </c>
      <c r="E35" s="6" t="n">
        <v>1132.16</v>
      </c>
      <c r="F35" s="6" t="n">
        <v>0</v>
      </c>
      <c r="G35" s="6" t="n">
        <v>233.48</v>
      </c>
      <c r="H35" s="6" t="n">
        <v>0</v>
      </c>
      <c r="I35" s="6" t="n">
        <v>-1132.16</v>
      </c>
      <c r="J35" s="6" t="n">
        <v>0</v>
      </c>
      <c r="K35" s="6" t="n">
        <v>-233.48</v>
      </c>
    </row>
    <row r="36">
      <c r="A36" s="4" t="inlineStr">
        <is>
          <t>Levy, Elan</t>
        </is>
      </c>
      <c r="B36" s="4" t="inlineStr">
        <is>
          <t>Joseph, Yanick</t>
        </is>
      </c>
      <c r="C36" s="5" t="n">
        <v>15642227</v>
      </c>
      <c r="D36" s="4" t="inlineStr">
        <is>
          <t>LENOX_15642227 - Pathology LHH</t>
        </is>
      </c>
      <c r="E36" s="6" t="n">
        <v>5901</v>
      </c>
      <c r="F36" s="6" t="n">
        <v>0</v>
      </c>
      <c r="G36" s="6" t="n">
        <v>8100.5801104972</v>
      </c>
      <c r="H36" s="6" t="n">
        <v>0</v>
      </c>
      <c r="I36" s="6" t="n">
        <v>-5901</v>
      </c>
      <c r="J36" s="6" t="n">
        <v>0</v>
      </c>
      <c r="K36" s="6" t="n">
        <v>-8100.5801104972</v>
      </c>
    </row>
    <row r="37">
      <c r="A37" s="4" t="inlineStr">
        <is>
          <t>Levy, Elan</t>
        </is>
      </c>
      <c r="B37" s="4" t="inlineStr">
        <is>
          <t>Joseph, Yanick</t>
        </is>
      </c>
      <c r="C37" s="5" t="n">
        <v>15642230</v>
      </c>
      <c r="D37" s="4" t="inlineStr">
        <is>
          <t>LENOX_15642230 - Pulmonary Critical Care LHH</t>
        </is>
      </c>
      <c r="E37" s="6" t="n">
        <v>20.5</v>
      </c>
      <c r="F37" s="6" t="n">
        <v>20.0000000004</v>
      </c>
      <c r="G37" s="6" t="n">
        <v>0</v>
      </c>
      <c r="H37" s="6" t="n">
        <v>0</v>
      </c>
      <c r="I37" s="6" t="n">
        <v>-20.5</v>
      </c>
      <c r="J37" s="6" t="n">
        <v>-20.0000000004</v>
      </c>
      <c r="K37" s="6" t="n">
        <v>0</v>
      </c>
    </row>
    <row r="38">
      <c r="A38" s="4" t="inlineStr">
        <is>
          <t>Levy, Elan</t>
        </is>
      </c>
      <c r="B38" s="4" t="inlineStr">
        <is>
          <t>Joseph, Yanick</t>
        </is>
      </c>
      <c r="C38" s="5" t="n">
        <v>15642231</v>
      </c>
      <c r="D38" s="4" t="inlineStr">
        <is>
          <t>LENOX_15642231 - Radiology LHH</t>
        </is>
      </c>
      <c r="E38" s="6" t="n">
        <v>0</v>
      </c>
      <c r="F38" s="6" t="n">
        <v>3609.9999999996</v>
      </c>
      <c r="G38" s="6" t="n">
        <v>0</v>
      </c>
      <c r="H38" s="6" t="n">
        <v>0</v>
      </c>
      <c r="I38" s="6" t="n">
        <v>0</v>
      </c>
      <c r="J38" s="6" t="n">
        <v>-3609.9999999996</v>
      </c>
      <c r="K38" s="6" t="n">
        <v>0</v>
      </c>
    </row>
    <row r="39">
      <c r="A39" s="4" t="inlineStr">
        <is>
          <t>Levy, Elan</t>
        </is>
      </c>
      <c r="B39" s="4" t="inlineStr">
        <is>
          <t>Joseph, Yanick</t>
        </is>
      </c>
      <c r="C39" s="5" t="n">
        <v>15642232</v>
      </c>
      <c r="D39" s="4" t="inlineStr">
        <is>
          <t>LENOX_15642232 - Selective Pathology LHH</t>
        </is>
      </c>
      <c r="E39" s="6" t="n">
        <v>0</v>
      </c>
      <c r="F39" s="6" t="n">
        <v>1500</v>
      </c>
      <c r="G39" s="6" t="n">
        <v>0</v>
      </c>
      <c r="H39" s="6" t="n">
        <v>0</v>
      </c>
      <c r="I39" s="6" t="n">
        <v>0</v>
      </c>
      <c r="J39" s="6" t="n">
        <v>-1500</v>
      </c>
      <c r="K39" s="6" t="n">
        <v>0</v>
      </c>
    </row>
    <row r="40">
      <c r="A40" s="4" t="inlineStr">
        <is>
          <t>Levy, Elan</t>
        </is>
      </c>
      <c r="B40" s="4" t="inlineStr">
        <is>
          <t>Joseph, Yanick</t>
        </is>
      </c>
      <c r="C40" s="5" t="n">
        <v>15642233</v>
      </c>
      <c r="D40" s="4" t="inlineStr">
        <is>
          <t>LENOX_15642233 - Surgery LHH</t>
        </is>
      </c>
      <c r="E40" s="6" t="n">
        <v>4947.75</v>
      </c>
      <c r="F40" s="6" t="n">
        <v>735.928776222</v>
      </c>
      <c r="G40" s="6" t="n">
        <v>3718.12</v>
      </c>
      <c r="H40" s="6" t="n">
        <v>0</v>
      </c>
      <c r="I40" s="6" t="n">
        <v>-4947.75</v>
      </c>
      <c r="J40" s="6" t="n">
        <v>-735.928776222</v>
      </c>
      <c r="K40" s="6" t="n">
        <v>-3718.12</v>
      </c>
    </row>
    <row r="41">
      <c r="A41" s="4" t="inlineStr">
        <is>
          <t>Levy, Elan</t>
        </is>
      </c>
      <c r="B41" s="4" t="inlineStr">
        <is>
          <t>Joseph, Yanick</t>
        </is>
      </c>
      <c r="C41" s="5" t="n">
        <v>15642235</v>
      </c>
      <c r="D41" s="4" t="inlineStr">
        <is>
          <t>LENOX_15642235 - Vascular Surgery Integ LHH</t>
        </is>
      </c>
      <c r="E41" s="6" t="n">
        <v>3734.11</v>
      </c>
      <c r="F41" s="6" t="n">
        <v>196.6499999999</v>
      </c>
      <c r="G41" s="6" t="n">
        <v>0</v>
      </c>
      <c r="H41" s="6" t="n">
        <v>0</v>
      </c>
      <c r="I41" s="6" t="n">
        <v>-3734.11</v>
      </c>
      <c r="J41" s="6" t="n">
        <v>-196.6499999999</v>
      </c>
      <c r="K41" s="6" t="n">
        <v>0</v>
      </c>
    </row>
    <row r="42">
      <c r="A42" s="4" t="inlineStr">
        <is>
          <t>Levy, Elan</t>
        </is>
      </c>
      <c r="B42" s="4" t="inlineStr">
        <is>
          <t>Joseph, Yanick</t>
        </is>
      </c>
      <c r="C42" s="5" t="n">
        <v>15642237</v>
      </c>
      <c r="D42" s="4" t="inlineStr">
        <is>
          <t>LENOX_15642237 - Surgery - Prelim LHH</t>
        </is>
      </c>
      <c r="E42" s="6" t="n">
        <v>0</v>
      </c>
      <c r="F42" s="6" t="n">
        <v>0</v>
      </c>
      <c r="G42" s="6" t="n">
        <v>719.64</v>
      </c>
      <c r="H42" s="6" t="n">
        <v>0</v>
      </c>
      <c r="I42" s="6" t="n">
        <v>0</v>
      </c>
      <c r="J42" s="6" t="n">
        <v>0</v>
      </c>
      <c r="K42" s="6" t="n">
        <v>-719.64</v>
      </c>
    </row>
    <row r="43">
      <c r="A43" s="4" t="inlineStr">
        <is>
          <t>Levy, Elan</t>
        </is>
      </c>
      <c r="B43" s="4" t="inlineStr">
        <is>
          <t>Joseph, Yanick</t>
        </is>
      </c>
      <c r="C43" s="5" t="n">
        <v>15642250</v>
      </c>
      <c r="D43" s="4" t="inlineStr">
        <is>
          <t>LENOX_15642250 - Residency - Podiatry</t>
        </is>
      </c>
      <c r="E43" s="6" t="n">
        <v>488.6</v>
      </c>
      <c r="F43" s="6" t="n">
        <v>0</v>
      </c>
      <c r="G43" s="6" t="n">
        <v>554.74</v>
      </c>
      <c r="H43" s="6" t="n">
        <v>0</v>
      </c>
      <c r="I43" s="6" t="n">
        <v>-488.6</v>
      </c>
      <c r="J43" s="6" t="n">
        <v>0</v>
      </c>
      <c r="K43" s="6" t="n">
        <v>-554.74</v>
      </c>
    </row>
    <row r="44">
      <c r="A44" s="4" t="inlineStr">
        <is>
          <t>Levy, Elan</t>
        </is>
      </c>
      <c r="B44" s="4" t="inlineStr">
        <is>
          <t>Joseph, Yanick</t>
        </is>
      </c>
      <c r="C44" s="5" t="n">
        <v>15693160</v>
      </c>
      <c r="D44" s="4" t="inlineStr">
        <is>
          <t>LENOX_15693160 - Sup Svc-Resident Housing</t>
        </is>
      </c>
      <c r="E44" s="6" t="n">
        <v>6780</v>
      </c>
      <c r="F44" s="6" t="n">
        <v>0</v>
      </c>
      <c r="G44" s="6" t="n">
        <v>0</v>
      </c>
      <c r="H44" s="6" t="n">
        <v>0</v>
      </c>
      <c r="I44" s="6" t="n">
        <v>-6780</v>
      </c>
      <c r="J44" s="6" t="n">
        <v>0</v>
      </c>
      <c r="K44" s="6" t="n">
        <v>0</v>
      </c>
    </row>
    <row r="45">
      <c r="A45" s="4" t="inlineStr">
        <is>
          <t>Levy, Elan</t>
        </is>
      </c>
      <c r="B45" s="4" t="inlineStr">
        <is>
          <t>Salomon, Marjorie</t>
        </is>
      </c>
      <c r="C45" s="5" t="n">
        <v>15600150</v>
      </c>
      <c r="D45" s="4" t="inlineStr">
        <is>
          <t>LENOX_15600150 - Medical affairs</t>
        </is>
      </c>
      <c r="E45" s="6" t="n">
        <v>59758.21</v>
      </c>
      <c r="F45" s="6" t="n">
        <v>45371.9994009363</v>
      </c>
      <c r="G45" s="6" t="n">
        <v>31209.2569613259</v>
      </c>
      <c r="H45" s="6" t="n">
        <v>78107.5788517473</v>
      </c>
      <c r="I45" s="6" t="n">
        <v>18349.3688517473</v>
      </c>
      <c r="J45" s="6" t="n">
        <v>32735.579450811</v>
      </c>
      <c r="K45" s="6" t="n">
        <v>46898.3218904214</v>
      </c>
    </row>
    <row r="46">
      <c r="A46" s="4" t="inlineStr">
        <is>
          <t>Levy, Elan</t>
        </is>
      </c>
      <c r="B46" s="4" t="inlineStr">
        <is>
          <t>Self, William</t>
        </is>
      </c>
      <c r="C46" s="5" t="n">
        <v>15620010</v>
      </c>
      <c r="D46" s="4" t="inlineStr">
        <is>
          <t>LENOX_15620010 - Clinical Medical Library</t>
        </is>
      </c>
      <c r="E46" s="6" t="n">
        <v>488604.8700000001</v>
      </c>
      <c r="F46" s="6" t="n">
        <v>506968.5037598872</v>
      </c>
      <c r="G46" s="6" t="n">
        <v>479955.9198895028</v>
      </c>
      <c r="H46" s="6" t="n">
        <v>464012.7598895028</v>
      </c>
      <c r="I46" s="6" t="n">
        <v>-24592.11011049728</v>
      </c>
      <c r="J46" s="6" t="n">
        <v>-42955.74387038441</v>
      </c>
      <c r="K46" s="6" t="n">
        <v>-15943.16000000003</v>
      </c>
    </row>
    <row r="47">
      <c r="A47" s="7" t="inlineStr">
        <is>
          <t>Total</t>
        </is>
      </c>
      <c r="B47" s="7" t="n"/>
      <c r="C47" s="7">
        <f>SUM(C6:C46)</f>
        <v/>
      </c>
      <c r="D47" s="7" t="n"/>
      <c r="E47" s="8">
        <f>SUM(E6:E46)</f>
        <v/>
      </c>
      <c r="F47" s="8">
        <f>SUM(F6:F46)</f>
        <v/>
      </c>
      <c r="G47" s="8">
        <f>SUM(G6:G46)</f>
        <v/>
      </c>
      <c r="H47" s="8">
        <f>SUM(H6:H46)</f>
        <v/>
      </c>
      <c r="I47" s="8">
        <f>SUM(I6:I46)</f>
        <v/>
      </c>
      <c r="J47" s="8">
        <f>SUM(J6:J46)</f>
        <v/>
      </c>
      <c r="K47" s="8">
        <f>SUM(K6:K46)</f>
        <v/>
      </c>
    </row>
  </sheetData>
  <autoFilter ref="A5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Levy, Elan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-2126</v>
      </c>
      <c r="E6" s="6" t="n">
        <v>-2350</v>
      </c>
      <c r="F6" s="6" t="n">
        <v>-819.3573626374</v>
      </c>
      <c r="G6" s="6" t="n">
        <v>0</v>
      </c>
      <c r="H6" s="6" t="n">
        <v>2126</v>
      </c>
      <c r="I6" s="6" t="n">
        <v>2350</v>
      </c>
      <c r="J6" s="6" t="n">
        <v>819.3573626374</v>
      </c>
    </row>
    <row r="7">
      <c r="A7" s="4" t="inlineStr">
        <is>
          <t>Levy, Elan</t>
        </is>
      </c>
      <c r="B7" s="4" t="inlineStr">
        <is>
          <t>A_61000</t>
        </is>
      </c>
      <c r="C7" s="4" t="inlineStr">
        <is>
          <t>A_61000 - Consulting Fees</t>
        </is>
      </c>
      <c r="D7" s="6" t="n">
        <v>1900</v>
      </c>
      <c r="E7" s="6" t="n">
        <v>0</v>
      </c>
      <c r="F7" s="6" t="n">
        <v>0</v>
      </c>
      <c r="G7" s="6" t="n">
        <v>0</v>
      </c>
      <c r="H7" s="6" t="n">
        <v>-1900</v>
      </c>
      <c r="I7" s="6" t="n">
        <v>0</v>
      </c>
      <c r="J7" s="6" t="n">
        <v>0</v>
      </c>
    </row>
    <row r="8">
      <c r="A8" s="4" t="inlineStr">
        <is>
          <t>Levy, Elan</t>
        </is>
      </c>
      <c r="B8" s="4" t="inlineStr">
        <is>
          <t>A_61010</t>
        </is>
      </c>
      <c r="C8" s="4" t="inlineStr">
        <is>
          <t>A_61010 - Legal Fees</t>
        </is>
      </c>
      <c r="D8" s="6" t="n">
        <v>6115</v>
      </c>
      <c r="E8" s="6" t="n">
        <v>0</v>
      </c>
      <c r="F8" s="6" t="n">
        <v>0</v>
      </c>
      <c r="G8" s="6" t="n">
        <v>0</v>
      </c>
      <c r="H8" s="6" t="n">
        <v>-6115</v>
      </c>
      <c r="I8" s="6" t="n">
        <v>0</v>
      </c>
      <c r="J8" s="6" t="n">
        <v>0</v>
      </c>
    </row>
    <row r="9">
      <c r="A9" s="4" t="inlineStr">
        <is>
          <t>Levy, Elan</t>
        </is>
      </c>
      <c r="B9" s="4" t="inlineStr">
        <is>
          <t>A_61400</t>
        </is>
      </c>
      <c r="C9" s="4" t="inlineStr">
        <is>
          <t>A_61400 - Other Fees</t>
        </is>
      </c>
      <c r="D9" s="6" t="n">
        <v>2887.99</v>
      </c>
      <c r="E9" s="6" t="n">
        <v>0</v>
      </c>
      <c r="F9" s="6" t="n">
        <v>1122.4</v>
      </c>
      <c r="G9" s="6" t="n">
        <v>250</v>
      </c>
      <c r="H9" s="6" t="n">
        <v>-2637.99</v>
      </c>
      <c r="I9" s="6" t="n">
        <v>250</v>
      </c>
      <c r="J9" s="6" t="n">
        <v>-872.4000000000001</v>
      </c>
    </row>
    <row r="10">
      <c r="A10" s="4" t="inlineStr">
        <is>
          <t>Levy, Elan</t>
        </is>
      </c>
      <c r="B10" s="4" t="inlineStr">
        <is>
          <t>A_63000</t>
        </is>
      </c>
      <c r="C10" s="4" t="inlineStr">
        <is>
          <t>A_63000 - Supplies - Laboratory</t>
        </is>
      </c>
      <c r="D10" s="6" t="n">
        <v>5998</v>
      </c>
      <c r="E10" s="6" t="n">
        <v>5170.2700617284</v>
      </c>
      <c r="F10" s="6" t="n">
        <v>0</v>
      </c>
      <c r="G10" s="6" t="n">
        <v>5170.2700617284</v>
      </c>
      <c r="H10" s="6" t="n">
        <v>-827.7299382716001</v>
      </c>
      <c r="I10" s="6" t="n">
        <v>0</v>
      </c>
      <c r="J10" s="6" t="n">
        <v>5170.2700617284</v>
      </c>
    </row>
    <row r="11">
      <c r="A11" s="4" t="inlineStr">
        <is>
          <t>Levy, Elan</t>
        </is>
      </c>
      <c r="B11" s="4" t="inlineStr">
        <is>
          <t>A_63030</t>
        </is>
      </c>
      <c r="C11" s="4" t="inlineStr">
        <is>
          <t>A_63030 - Supplies - Medical</t>
        </is>
      </c>
      <c r="D11" s="6" t="n">
        <v>41748.39</v>
      </c>
      <c r="E11" s="6" t="n">
        <v>57203.53360695099</v>
      </c>
      <c r="F11" s="6" t="n">
        <v>7357.9272527472</v>
      </c>
      <c r="G11" s="6" t="n">
        <v>3000</v>
      </c>
      <c r="H11" s="6" t="n">
        <v>-38748.39</v>
      </c>
      <c r="I11" s="6" t="n">
        <v>-54203.53360695099</v>
      </c>
      <c r="J11" s="6" t="n">
        <v>-4357.9272527472</v>
      </c>
    </row>
    <row r="12">
      <c r="A12" s="4" t="inlineStr">
        <is>
          <t>Levy, Elan</t>
        </is>
      </c>
      <c r="B12" s="4" t="inlineStr">
        <is>
          <t>A_63040</t>
        </is>
      </c>
      <c r="C12" s="4" t="inlineStr">
        <is>
          <t>A_63040 - Supplies - Radiology</t>
        </is>
      </c>
      <c r="D12" s="6" t="n">
        <v>0</v>
      </c>
      <c r="E12" s="6" t="n">
        <v>2794.4999999999</v>
      </c>
      <c r="F12" s="6" t="n">
        <v>0</v>
      </c>
      <c r="G12" s="6" t="n">
        <v>0</v>
      </c>
      <c r="H12" s="6" t="n">
        <v>0</v>
      </c>
      <c r="I12" s="6" t="n">
        <v>-2794.4999999999</v>
      </c>
      <c r="J12" s="6" t="n">
        <v>0</v>
      </c>
    </row>
    <row r="13">
      <c r="A13" s="4" t="inlineStr">
        <is>
          <t>Levy, Elan</t>
        </is>
      </c>
      <c r="B13" s="4" t="inlineStr">
        <is>
          <t>A_63050</t>
        </is>
      </c>
      <c r="C13" s="4" t="inlineStr">
        <is>
          <t>A_63050 - Supplies - Iv Solutions &amp; Sets</t>
        </is>
      </c>
      <c r="D13" s="6" t="n">
        <v>385</v>
      </c>
      <c r="E13" s="6" t="n">
        <v>0</v>
      </c>
      <c r="F13" s="6" t="n">
        <v>464.5384615385</v>
      </c>
      <c r="G13" s="6" t="n">
        <v>0</v>
      </c>
      <c r="H13" s="6" t="n">
        <v>-385</v>
      </c>
      <c r="I13" s="6" t="n">
        <v>0</v>
      </c>
      <c r="J13" s="6" t="n">
        <v>-464.5384615385</v>
      </c>
    </row>
    <row r="14">
      <c r="A14" s="4" t="inlineStr">
        <is>
          <t>Levy, Elan</t>
        </is>
      </c>
      <c r="B14" s="4" t="inlineStr">
        <is>
          <t>A_63060</t>
        </is>
      </c>
      <c r="C14" s="4" t="inlineStr">
        <is>
          <t>A_63060 - Supplies - Surgery Packs-Sheet</t>
        </is>
      </c>
      <c r="D14" s="6" t="n">
        <v>2308</v>
      </c>
      <c r="E14" s="6" t="n">
        <v>-10.4700000001</v>
      </c>
      <c r="F14" s="6" t="n">
        <v>6010.5646153846</v>
      </c>
      <c r="G14" s="6" t="n">
        <v>0</v>
      </c>
      <c r="H14" s="6" t="n">
        <v>-2308</v>
      </c>
      <c r="I14" s="6" t="n">
        <v>10.4700000001</v>
      </c>
      <c r="J14" s="6" t="n">
        <v>-6010.5646153846</v>
      </c>
    </row>
    <row r="15">
      <c r="A15" s="4" t="inlineStr">
        <is>
          <t>Levy, Elan</t>
        </is>
      </c>
      <c r="B15" s="4" t="inlineStr">
        <is>
          <t>A_63062</t>
        </is>
      </c>
      <c r="C15" s="4" t="inlineStr">
        <is>
          <t>A_63062 - Supplies - Impl - Oth Vascular</t>
        </is>
      </c>
      <c r="D15" s="6" t="n">
        <v>25734.72</v>
      </c>
      <c r="E15" s="6" t="n">
        <v>5299.3203777594</v>
      </c>
      <c r="F15" s="6" t="n">
        <v>111508.315054945</v>
      </c>
      <c r="G15" s="6" t="n">
        <v>0</v>
      </c>
      <c r="H15" s="6" t="n">
        <v>-25734.72</v>
      </c>
      <c r="I15" s="6" t="n">
        <v>-5299.3203777594</v>
      </c>
      <c r="J15" s="6" t="n">
        <v>-111508.315054945</v>
      </c>
    </row>
    <row r="16">
      <c r="A16" s="4" t="inlineStr">
        <is>
          <t>Levy, Elan</t>
        </is>
      </c>
      <c r="B16" s="4" t="inlineStr">
        <is>
          <t>A_63070</t>
        </is>
      </c>
      <c r="C16" s="4" t="inlineStr">
        <is>
          <t>A_63070 - Supplies - Implants - All Oth</t>
        </is>
      </c>
      <c r="D16" s="6" t="n">
        <v>125.29</v>
      </c>
      <c r="E16" s="6" t="n">
        <v>0</v>
      </c>
      <c r="F16" s="6" t="n">
        <v>5389.4505494506</v>
      </c>
      <c r="G16" s="6" t="n">
        <v>0</v>
      </c>
      <c r="H16" s="6" t="n">
        <v>-125.29</v>
      </c>
      <c r="I16" s="6" t="n">
        <v>0</v>
      </c>
      <c r="J16" s="6" t="n">
        <v>-5389.4505494506</v>
      </c>
    </row>
    <row r="17">
      <c r="A17" s="4" t="inlineStr">
        <is>
          <t>Levy, Elan</t>
        </is>
      </c>
      <c r="B17" s="4" t="inlineStr">
        <is>
          <t>A_63080</t>
        </is>
      </c>
      <c r="C17" s="4" t="inlineStr">
        <is>
          <t>A_63080 - Supplies - Surgical</t>
        </is>
      </c>
      <c r="D17" s="6" t="n">
        <v>6975</v>
      </c>
      <c r="E17" s="6" t="n">
        <v>3428.8971193417</v>
      </c>
      <c r="F17" s="6" t="n">
        <v>0</v>
      </c>
      <c r="G17" s="6" t="n">
        <v>0</v>
      </c>
      <c r="H17" s="6" t="n">
        <v>-6975</v>
      </c>
      <c r="I17" s="6" t="n">
        <v>-3428.8971193417</v>
      </c>
      <c r="J17" s="6" t="n">
        <v>0</v>
      </c>
    </row>
    <row r="18">
      <c r="A18" s="4" t="inlineStr">
        <is>
          <t>Levy, Elan</t>
        </is>
      </c>
      <c r="B18" s="4" t="inlineStr">
        <is>
          <t>A_63360</t>
        </is>
      </c>
      <c r="C18" s="4" t="inlineStr">
        <is>
          <t>A_63360 - Rx - Radio Pharmaceuticals</t>
        </is>
      </c>
      <c r="D18" s="6" t="n">
        <v>5901</v>
      </c>
      <c r="E18" s="6" t="n">
        <v>0</v>
      </c>
      <c r="F18" s="6" t="n">
        <v>8100.5801104972</v>
      </c>
      <c r="G18" s="6" t="n">
        <v>0</v>
      </c>
      <c r="H18" s="6" t="n">
        <v>-5901</v>
      </c>
      <c r="I18" s="6" t="n">
        <v>0</v>
      </c>
      <c r="J18" s="6" t="n">
        <v>-8100.5801104972</v>
      </c>
    </row>
    <row r="19">
      <c r="A19" s="4" t="inlineStr">
        <is>
          <t>Levy, Elan</t>
        </is>
      </c>
      <c r="B19" s="4" t="inlineStr">
        <is>
          <t>A_64000</t>
        </is>
      </c>
      <c r="C19" s="4" t="inlineStr">
        <is>
          <t>A_64000 - Supplies - Hotel Services</t>
        </is>
      </c>
      <c r="D19" s="6" t="n">
        <v>1634.3</v>
      </c>
      <c r="E19" s="6" t="n">
        <v>1610.7199999998</v>
      </c>
      <c r="F19" s="6" t="n">
        <v>823.2665745857</v>
      </c>
      <c r="G19" s="6" t="n">
        <v>481.0337016575</v>
      </c>
      <c r="H19" s="6" t="n">
        <v>-1153.2662983425</v>
      </c>
      <c r="I19" s="6" t="n">
        <v>-1129.6862983423</v>
      </c>
      <c r="J19" s="6" t="n">
        <v>-342.2328729282</v>
      </c>
    </row>
    <row r="20">
      <c r="A20" s="4" t="inlineStr">
        <is>
          <t>Levy, Elan</t>
        </is>
      </c>
      <c r="B20" s="4" t="inlineStr">
        <is>
          <t>A_64020</t>
        </is>
      </c>
      <c r="C20" s="4" t="inlineStr">
        <is>
          <t>A_64020 - Supplies - Office</t>
        </is>
      </c>
      <c r="D20" s="6" t="n">
        <v>8817.389999999999</v>
      </c>
      <c r="E20" s="6" t="n">
        <v>10032.2549999998</v>
      </c>
      <c r="F20" s="6" t="n">
        <v>8864.9627071823</v>
      </c>
      <c r="G20" s="6" t="n">
        <v>1159.2</v>
      </c>
      <c r="H20" s="6" t="n">
        <v>-7658.19</v>
      </c>
      <c r="I20" s="6" t="n">
        <v>-8873.0549999998</v>
      </c>
      <c r="J20" s="6" t="n">
        <v>-7705.7627071823</v>
      </c>
    </row>
    <row r="21">
      <c r="A21" s="4" t="inlineStr">
        <is>
          <t>Levy, Elan</t>
        </is>
      </c>
      <c r="B21" s="4" t="inlineStr">
        <is>
          <t>A_64030</t>
        </is>
      </c>
      <c r="C21" s="4" t="inlineStr">
        <is>
          <t>A_64030 - Supplies - Other Non Medical</t>
        </is>
      </c>
      <c r="D21" s="6" t="n">
        <v>7997.24</v>
      </c>
      <c r="E21" s="6" t="n">
        <v>8933.084999999399</v>
      </c>
      <c r="F21" s="6" t="n">
        <v>3994.3099447514</v>
      </c>
      <c r="G21" s="6" t="n">
        <v>6650.5699999999</v>
      </c>
      <c r="H21" s="6" t="n">
        <v>-1346.6700000001</v>
      </c>
      <c r="I21" s="6" t="n">
        <v>-2282.514999999499</v>
      </c>
      <c r="J21" s="6" t="n">
        <v>2656.2600552485</v>
      </c>
    </row>
    <row r="22">
      <c r="A22" s="4" t="inlineStr">
        <is>
          <t>Levy, Elan</t>
        </is>
      </c>
      <c r="B22" s="4" t="inlineStr">
        <is>
          <t>A_64505</t>
        </is>
      </c>
      <c r="C22" s="4" t="inlineStr">
        <is>
          <t>A_64505 - Food SI</t>
        </is>
      </c>
      <c r="D22" s="6" t="n">
        <v>13117</v>
      </c>
      <c r="E22" s="6" t="n">
        <v>0</v>
      </c>
      <c r="F22" s="6" t="n">
        <v>0</v>
      </c>
      <c r="G22" s="6" t="n">
        <v>0</v>
      </c>
      <c r="H22" s="6" t="n">
        <v>-13117</v>
      </c>
      <c r="I22" s="6" t="n">
        <v>0</v>
      </c>
      <c r="J22" s="6" t="n">
        <v>0</v>
      </c>
    </row>
    <row r="23">
      <c r="A23" s="4" t="inlineStr">
        <is>
          <t>Levy, Elan</t>
        </is>
      </c>
      <c r="B23" s="4" t="inlineStr">
        <is>
          <t>A_64530</t>
        </is>
      </c>
      <c r="C23" s="4" t="inlineStr">
        <is>
          <t>A_64530 - Dietary-Bread-Bakery Products</t>
        </is>
      </c>
      <c r="D23" s="6" t="n">
        <v>248.25</v>
      </c>
      <c r="E23" s="6" t="n">
        <v>0</v>
      </c>
      <c r="F23" s="6" t="n">
        <v>0</v>
      </c>
      <c r="G23" s="6" t="n">
        <v>0</v>
      </c>
      <c r="H23" s="6" t="n">
        <v>-248.25</v>
      </c>
      <c r="I23" s="6" t="n">
        <v>0</v>
      </c>
      <c r="J23" s="6" t="n">
        <v>0</v>
      </c>
    </row>
    <row r="24">
      <c r="A24" s="4" t="inlineStr">
        <is>
          <t>Levy, Elan</t>
        </is>
      </c>
      <c r="B24" s="4" t="inlineStr">
        <is>
          <t>A_64570</t>
        </is>
      </c>
      <c r="C24" s="4" t="inlineStr">
        <is>
          <t>A_64570 - Dietary Charge Out</t>
        </is>
      </c>
      <c r="D24" s="6" t="n">
        <v>39987.28</v>
      </c>
      <c r="E24" s="6" t="n">
        <v>33801.7627071822</v>
      </c>
      <c r="F24" s="6" t="n">
        <v>5183.3024861878</v>
      </c>
      <c r="G24" s="6" t="n">
        <v>23705.2</v>
      </c>
      <c r="H24" s="6" t="n">
        <v>-16282.08</v>
      </c>
      <c r="I24" s="6" t="n">
        <v>-10096.5627071822</v>
      </c>
      <c r="J24" s="6" t="n">
        <v>18521.8975138122</v>
      </c>
    </row>
    <row r="25">
      <c r="A25" s="4" t="inlineStr">
        <is>
          <t>Levy, Elan</t>
        </is>
      </c>
      <c r="B25" s="4" t="inlineStr">
        <is>
          <t>A_65050</t>
        </is>
      </c>
      <c r="C25" s="4" t="inlineStr">
        <is>
          <t>A_65050 - Telephone</t>
        </is>
      </c>
      <c r="D25" s="6" t="n">
        <v>14804.95</v>
      </c>
      <c r="E25" s="6" t="n">
        <v>15760.000000002</v>
      </c>
      <c r="F25" s="6" t="n">
        <v>13300.2168508287</v>
      </c>
      <c r="G25" s="6" t="n">
        <v>3112.179558011</v>
      </c>
      <c r="H25" s="6" t="n">
        <v>-11692.770441989</v>
      </c>
      <c r="I25" s="6" t="n">
        <v>-12647.820441991</v>
      </c>
      <c r="J25" s="6" t="n">
        <v>-10188.0372928177</v>
      </c>
    </row>
    <row r="26">
      <c r="A26" s="4" t="inlineStr">
        <is>
          <t>Levy, Elan</t>
        </is>
      </c>
      <c r="B26" s="4" t="inlineStr">
        <is>
          <t>A_65505</t>
        </is>
      </c>
      <c r="C26" s="4" t="inlineStr">
        <is>
          <t>A_65505 - Equipment Service Contracts</t>
        </is>
      </c>
      <c r="D26" s="6" t="n">
        <v>445</v>
      </c>
      <c r="E26" s="6" t="n">
        <v>0</v>
      </c>
      <c r="F26" s="6" t="n">
        <v>524.4</v>
      </c>
      <c r="G26" s="6" t="n">
        <v>0</v>
      </c>
      <c r="H26" s="6" t="n">
        <v>-445</v>
      </c>
      <c r="I26" s="6" t="n">
        <v>0</v>
      </c>
      <c r="J26" s="6" t="n">
        <v>-524.4</v>
      </c>
    </row>
    <row r="27">
      <c r="A27" s="4" t="inlineStr">
        <is>
          <t>Levy, Elan</t>
        </is>
      </c>
      <c r="B27" s="4" t="inlineStr">
        <is>
          <t>A_65510</t>
        </is>
      </c>
      <c r="C27" s="4" t="inlineStr">
        <is>
          <t>A_65510 - Freight</t>
        </is>
      </c>
      <c r="D27" s="6" t="n">
        <v>1702.81</v>
      </c>
      <c r="E27" s="6" t="n">
        <v>1163.047839852</v>
      </c>
      <c r="F27" s="6" t="n">
        <v>1861.02</v>
      </c>
      <c r="G27" s="6" t="n">
        <v>568.1705092068</v>
      </c>
      <c r="H27" s="6" t="n">
        <v>-1134.6394907932</v>
      </c>
      <c r="I27" s="6" t="n">
        <v>-594.8773306451999</v>
      </c>
      <c r="J27" s="6" t="n">
        <v>-1292.8494907932</v>
      </c>
    </row>
    <row r="28">
      <c r="A28" s="4" t="inlineStr">
        <is>
          <t>Levy, Elan</t>
        </is>
      </c>
      <c r="B28" s="4" t="inlineStr">
        <is>
          <t>A_65517</t>
        </is>
      </c>
      <c r="C28" s="4" t="inlineStr">
        <is>
          <t>A_65517 - Software Maint and Support</t>
        </is>
      </c>
      <c r="D28" s="6" t="n">
        <v>65511.52</v>
      </c>
      <c r="E28" s="6" t="n">
        <v>65100</v>
      </c>
      <c r="F28" s="6" t="n">
        <v>55525.2</v>
      </c>
      <c r="G28" s="6" t="n">
        <v>13089.86</v>
      </c>
      <c r="H28" s="6" t="n">
        <v>-52421.66</v>
      </c>
      <c r="I28" s="6" t="n">
        <v>-52010.14</v>
      </c>
      <c r="J28" s="6" t="n">
        <v>-42435.34</v>
      </c>
    </row>
    <row r="29">
      <c r="A29" s="4" t="inlineStr">
        <is>
          <t>Levy, Elan</t>
        </is>
      </c>
      <c r="B29" s="4" t="inlineStr">
        <is>
          <t>A_65528</t>
        </is>
      </c>
      <c r="C29" s="4" t="inlineStr">
        <is>
          <t>A_65528 - Elevator-Reprs-Prchsd-Contr Sv</t>
        </is>
      </c>
      <c r="D29" s="6" t="n">
        <v>0</v>
      </c>
      <c r="E29" s="6" t="n">
        <v>0</v>
      </c>
      <c r="F29" s="6" t="n">
        <v>636.84</v>
      </c>
      <c r="G29" s="6" t="n">
        <v>0</v>
      </c>
      <c r="H29" s="6" t="n">
        <v>0</v>
      </c>
      <c r="I29" s="6" t="n">
        <v>0</v>
      </c>
      <c r="J29" s="6" t="n">
        <v>-636.84</v>
      </c>
    </row>
    <row r="30">
      <c r="A30" s="4" t="inlineStr">
        <is>
          <t>Levy, Elan</t>
        </is>
      </c>
      <c r="B30" s="4" t="inlineStr">
        <is>
          <t>A_65535</t>
        </is>
      </c>
      <c r="C30" s="4" t="inlineStr">
        <is>
          <t>A_65535 - Other Purchased Services</t>
        </is>
      </c>
      <c r="D30" s="6" t="n">
        <v>100006.94</v>
      </c>
      <c r="E30" s="6" t="n">
        <v>63405</v>
      </c>
      <c r="F30" s="6" t="n">
        <v>128089.82</v>
      </c>
      <c r="G30" s="6" t="n">
        <v>6867.2</v>
      </c>
      <c r="H30" s="6" t="n">
        <v>-93139.74000000001</v>
      </c>
      <c r="I30" s="6" t="n">
        <v>-56537.8</v>
      </c>
      <c r="J30" s="6" t="n">
        <v>-121222.62</v>
      </c>
    </row>
    <row r="31">
      <c r="A31" s="4" t="inlineStr">
        <is>
          <t>Levy, Elan</t>
        </is>
      </c>
      <c r="B31" s="4" t="inlineStr">
        <is>
          <t>A_65536</t>
        </is>
      </c>
      <c r="C31" s="4" t="inlineStr">
        <is>
          <t>A_65536 - Oth Purch Serv- Credentialling</t>
        </is>
      </c>
      <c r="D31" s="6" t="n">
        <v>134366.21</v>
      </c>
      <c r="E31" s="6" t="n">
        <v>109538.0000000004</v>
      </c>
      <c r="F31" s="6" t="n">
        <v>103336.88</v>
      </c>
      <c r="G31" s="6" t="n">
        <v>5545.42</v>
      </c>
      <c r="H31" s="6" t="n">
        <v>-128820.79</v>
      </c>
      <c r="I31" s="6" t="n">
        <v>-103992.5800000004</v>
      </c>
      <c r="J31" s="6" t="n">
        <v>-97791.46000000001</v>
      </c>
    </row>
    <row r="32">
      <c r="A32" s="4" t="inlineStr">
        <is>
          <t>Levy, Elan</t>
        </is>
      </c>
      <c r="B32" s="4" t="inlineStr">
        <is>
          <t>A_65540</t>
        </is>
      </c>
      <c r="C32" s="4" t="inlineStr">
        <is>
          <t>A_65540 - Outside Messenger Service</t>
        </is>
      </c>
      <c r="D32" s="6" t="n">
        <v>819.46</v>
      </c>
      <c r="E32" s="6" t="n">
        <v>708.9996</v>
      </c>
      <c r="F32" s="6" t="n">
        <v>956.12</v>
      </c>
      <c r="G32" s="6" t="n">
        <v>44.75</v>
      </c>
      <c r="H32" s="6" t="n">
        <v>-774.71</v>
      </c>
      <c r="I32" s="6" t="n">
        <v>-664.2496</v>
      </c>
      <c r="J32" s="6" t="n">
        <v>-911.37</v>
      </c>
    </row>
    <row r="33">
      <c r="A33" s="4" t="inlineStr">
        <is>
          <t>Levy, Elan</t>
        </is>
      </c>
      <c r="B33" s="4" t="inlineStr">
        <is>
          <t>A_65543</t>
        </is>
      </c>
      <c r="C33" s="4" t="inlineStr">
        <is>
          <t>A_65543 - Purchased Services - Cleaning</t>
        </is>
      </c>
      <c r="D33" s="6" t="n">
        <v>5120</v>
      </c>
      <c r="E33" s="6" t="n">
        <v>0</v>
      </c>
      <c r="F33" s="6" t="n">
        <v>0</v>
      </c>
      <c r="G33" s="6" t="n">
        <v>0</v>
      </c>
      <c r="H33" s="6" t="n">
        <v>-5120</v>
      </c>
      <c r="I33" s="6" t="n">
        <v>0</v>
      </c>
      <c r="J33" s="6" t="n">
        <v>0</v>
      </c>
    </row>
    <row r="34">
      <c r="A34" s="4" t="inlineStr">
        <is>
          <t>Levy, Elan</t>
        </is>
      </c>
      <c r="B34" s="4" t="inlineStr">
        <is>
          <t>A_65550</t>
        </is>
      </c>
      <c r="C34" s="4" t="inlineStr">
        <is>
          <t>A_65550 - Purchased Services-Subcontract</t>
        </is>
      </c>
      <c r="D34" s="6" t="n">
        <v>18748.34</v>
      </c>
      <c r="E34" s="6" t="n">
        <v>0</v>
      </c>
      <c r="F34" s="6" t="n">
        <v>0</v>
      </c>
      <c r="G34" s="6" t="n">
        <v>0</v>
      </c>
      <c r="H34" s="6" t="n">
        <v>-18748.34</v>
      </c>
      <c r="I34" s="6" t="n">
        <v>0</v>
      </c>
      <c r="J34" s="6" t="n">
        <v>0</v>
      </c>
    </row>
    <row r="35">
      <c r="A35" s="4" t="inlineStr">
        <is>
          <t>Levy, Elan</t>
        </is>
      </c>
      <c r="B35" s="4" t="inlineStr">
        <is>
          <t>A_65555</t>
        </is>
      </c>
      <c r="C35" s="4" t="inlineStr">
        <is>
          <t>A_65555 - Purchased Services-Transp Svcs</t>
        </is>
      </c>
      <c r="D35" s="6" t="n">
        <v>2520</v>
      </c>
      <c r="E35" s="6" t="n">
        <v>0</v>
      </c>
      <c r="F35" s="6" t="n">
        <v>1400</v>
      </c>
      <c r="G35" s="6" t="n">
        <v>0</v>
      </c>
      <c r="H35" s="6" t="n">
        <v>-2520</v>
      </c>
      <c r="I35" s="6" t="n">
        <v>0</v>
      </c>
      <c r="J35" s="6" t="n">
        <v>-1400</v>
      </c>
    </row>
    <row r="36">
      <c r="A36" s="4" t="inlineStr">
        <is>
          <t>Levy, Elan</t>
        </is>
      </c>
      <c r="B36" s="4" t="inlineStr">
        <is>
          <t>A_66000</t>
        </is>
      </c>
      <c r="C36" s="4" t="inlineStr">
        <is>
          <t>A_66000 - Dues</t>
        </is>
      </c>
      <c r="D36" s="6" t="n">
        <v>69122.67</v>
      </c>
      <c r="E36" s="6" t="n">
        <v>39281.9995999992</v>
      </c>
      <c r="F36" s="6" t="n">
        <v>48140.04</v>
      </c>
      <c r="G36" s="6" t="n">
        <v>28008.5</v>
      </c>
      <c r="H36" s="6" t="n">
        <v>-41114.17</v>
      </c>
      <c r="I36" s="6" t="n">
        <v>-11273.4995999992</v>
      </c>
      <c r="J36" s="6" t="n">
        <v>-20131.54</v>
      </c>
    </row>
    <row r="37">
      <c r="A37" s="4" t="inlineStr">
        <is>
          <t>Levy, Elan</t>
        </is>
      </c>
      <c r="B37" s="4" t="inlineStr">
        <is>
          <t>A_66010</t>
        </is>
      </c>
      <c r="C37" s="4" t="inlineStr">
        <is>
          <t>A_66010 - Periodicals-Publ-Subscriptions</t>
        </is>
      </c>
      <c r="D37" s="6" t="n">
        <v>480107.88</v>
      </c>
      <c r="E37" s="6" t="n">
        <v>523675.8803999992</v>
      </c>
      <c r="F37" s="6" t="n">
        <v>483094.62</v>
      </c>
      <c r="G37" s="6" t="n">
        <v>460355.24</v>
      </c>
      <c r="H37" s="6" t="n">
        <v>-19752.64000000001</v>
      </c>
      <c r="I37" s="6" t="n">
        <v>-63320.64039999922</v>
      </c>
      <c r="J37" s="6" t="n">
        <v>-22739.38</v>
      </c>
    </row>
    <row r="38">
      <c r="A38" s="4" t="inlineStr">
        <is>
          <t>Levy, Elan</t>
        </is>
      </c>
      <c r="B38" s="4" t="inlineStr">
        <is>
          <t>A_66020</t>
        </is>
      </c>
      <c r="C38" s="4" t="inlineStr">
        <is>
          <t>A_66020 - Outside Training</t>
        </is>
      </c>
      <c r="D38" s="6" t="n">
        <v>252862.5</v>
      </c>
      <c r="E38" s="6" t="n">
        <v>335738.4250299816</v>
      </c>
      <c r="F38" s="6" t="n">
        <v>297171.4</v>
      </c>
      <c r="G38" s="6" t="n">
        <v>116266.66</v>
      </c>
      <c r="H38" s="6" t="n">
        <v>-136595.84</v>
      </c>
      <c r="I38" s="6" t="n">
        <v>-219471.7650299816</v>
      </c>
      <c r="J38" s="6" t="n">
        <v>-180904.74</v>
      </c>
    </row>
    <row r="39">
      <c r="A39" s="4" t="inlineStr">
        <is>
          <t>Levy, Elan</t>
        </is>
      </c>
      <c r="B39" s="4" t="inlineStr">
        <is>
          <t>A_66030</t>
        </is>
      </c>
      <c r="C39" s="4" t="inlineStr">
        <is>
          <t>A_66030 - Microfilming &amp; Archiving</t>
        </is>
      </c>
      <c r="D39" s="6" t="n">
        <v>1860.13</v>
      </c>
      <c r="E39" s="6" t="n">
        <v>1669.9999999992</v>
      </c>
      <c r="F39" s="6" t="n">
        <v>21815.6</v>
      </c>
      <c r="G39" s="6" t="n">
        <v>820.48</v>
      </c>
      <c r="H39" s="6" t="n">
        <v>-1039.65</v>
      </c>
      <c r="I39" s="6" t="n">
        <v>-849.5199999992001</v>
      </c>
      <c r="J39" s="6" t="n">
        <v>-20995.12</v>
      </c>
    </row>
    <row r="40">
      <c r="A40" s="4" t="inlineStr">
        <is>
          <t>Levy, Elan</t>
        </is>
      </c>
      <c r="B40" s="4" t="inlineStr">
        <is>
          <t>A_66040</t>
        </is>
      </c>
      <c r="C40" s="4" t="inlineStr">
        <is>
          <t>A_66040 - Postage</t>
        </is>
      </c>
      <c r="D40" s="6" t="n">
        <v>9.99</v>
      </c>
      <c r="E40" s="6" t="n">
        <v>9.9999999996</v>
      </c>
      <c r="F40" s="6" t="n">
        <v>0</v>
      </c>
      <c r="G40" s="6" t="n">
        <v>0</v>
      </c>
      <c r="H40" s="6" t="n">
        <v>-9.99</v>
      </c>
      <c r="I40" s="6" t="n">
        <v>-9.9999999996</v>
      </c>
      <c r="J40" s="6" t="n">
        <v>0</v>
      </c>
    </row>
    <row r="41">
      <c r="A41" s="4" t="inlineStr">
        <is>
          <t>Levy, Elan</t>
        </is>
      </c>
      <c r="B41" s="4" t="inlineStr">
        <is>
          <t>A_66050</t>
        </is>
      </c>
      <c r="C41" s="4" t="inlineStr">
        <is>
          <t>A_66050 - Printing And Duplication</t>
        </is>
      </c>
      <c r="D41" s="6" t="n">
        <v>26189.06</v>
      </c>
      <c r="E41" s="6" t="n">
        <v>31407.9900000012</v>
      </c>
      <c r="F41" s="6" t="n">
        <v>21532.62</v>
      </c>
      <c r="G41" s="6" t="n">
        <v>0</v>
      </c>
      <c r="H41" s="6" t="n">
        <v>-26189.06</v>
      </c>
      <c r="I41" s="6" t="n">
        <v>-31407.9900000012</v>
      </c>
      <c r="J41" s="6" t="n">
        <v>-21532.62</v>
      </c>
    </row>
    <row r="42">
      <c r="A42" s="4" t="inlineStr">
        <is>
          <t>Levy, Elan</t>
        </is>
      </c>
      <c r="B42" s="4" t="inlineStr">
        <is>
          <t>A_66060</t>
        </is>
      </c>
      <c r="C42" s="4" t="inlineStr">
        <is>
          <t>A_66060 - Other Expenses</t>
        </is>
      </c>
      <c r="D42" s="6" t="n">
        <v>24156.22</v>
      </c>
      <c r="E42" s="6" t="n">
        <v>38724.9996</v>
      </c>
      <c r="F42" s="6" t="n">
        <v>13855.24</v>
      </c>
      <c r="G42" s="6" t="n">
        <v>1876.4199999996</v>
      </c>
      <c r="H42" s="6" t="n">
        <v>-22279.8000000004</v>
      </c>
      <c r="I42" s="6" t="n">
        <v>-36848.5796000004</v>
      </c>
      <c r="J42" s="6" t="n">
        <v>-11978.8200000004</v>
      </c>
    </row>
    <row r="43">
      <c r="A43" s="4" t="inlineStr">
        <is>
          <t>Levy, Elan</t>
        </is>
      </c>
      <c r="B43" s="4" t="inlineStr">
        <is>
          <t>A_66070</t>
        </is>
      </c>
      <c r="C43" s="4" t="inlineStr">
        <is>
          <t>A_66070 - Advertising</t>
        </is>
      </c>
      <c r="D43" s="6" t="n">
        <v>4543.75</v>
      </c>
      <c r="E43" s="6" t="n">
        <v>0</v>
      </c>
      <c r="F43" s="6" t="n">
        <v>0</v>
      </c>
      <c r="G43" s="6" t="n">
        <v>0</v>
      </c>
      <c r="H43" s="6" t="n">
        <v>-4543.75</v>
      </c>
      <c r="I43" s="6" t="n">
        <v>0</v>
      </c>
      <c r="J43" s="6" t="n">
        <v>0</v>
      </c>
    </row>
    <row r="44">
      <c r="A44" s="4" t="inlineStr">
        <is>
          <t>Levy, Elan</t>
        </is>
      </c>
      <c r="B44" s="4" t="inlineStr">
        <is>
          <t>A_66075</t>
        </is>
      </c>
      <c r="C44" s="4" t="inlineStr">
        <is>
          <t>A_66075 - Promotional items</t>
        </is>
      </c>
      <c r="D44" s="6" t="n">
        <v>17494.82</v>
      </c>
      <c r="E44" s="6" t="n">
        <v>30127.9999999992</v>
      </c>
      <c r="F44" s="6" t="n">
        <v>8207.200000000001</v>
      </c>
      <c r="G44" s="6" t="n">
        <v>7404</v>
      </c>
      <c r="H44" s="6" t="n">
        <v>-10090.82</v>
      </c>
      <c r="I44" s="6" t="n">
        <v>-22723.9999999992</v>
      </c>
      <c r="J44" s="6" t="n">
        <v>-803.2000000000007</v>
      </c>
    </row>
    <row r="45">
      <c r="A45" s="4" t="inlineStr">
        <is>
          <t>Levy, Elan</t>
        </is>
      </c>
      <c r="B45" s="4" t="inlineStr">
        <is>
          <t>A_66090</t>
        </is>
      </c>
      <c r="C45" s="4" t="inlineStr">
        <is>
          <t>A_66090 - House Functions &amp; Corp Events</t>
        </is>
      </c>
      <c r="D45" s="6" t="n">
        <v>328543.89</v>
      </c>
      <c r="E45" s="6" t="n">
        <v>255872.6573861808</v>
      </c>
      <c r="F45" s="6" t="n">
        <v>400066.48</v>
      </c>
      <c r="G45" s="6" t="n">
        <v>128044.1481817444</v>
      </c>
      <c r="H45" s="6" t="n">
        <v>-200499.7418182556</v>
      </c>
      <c r="I45" s="6" t="n">
        <v>-127828.5092044364</v>
      </c>
      <c r="J45" s="6" t="n">
        <v>-272022.3318182556</v>
      </c>
    </row>
    <row r="46">
      <c r="A46" s="4" t="inlineStr">
        <is>
          <t>Levy, Elan</t>
        </is>
      </c>
      <c r="B46" s="4" t="inlineStr">
        <is>
          <t>A_66095</t>
        </is>
      </c>
      <c r="C46" s="4" t="inlineStr">
        <is>
          <t>A_66095 - Meals &amp; Entertainment</t>
        </is>
      </c>
      <c r="D46" s="6" t="n">
        <v>45090.22</v>
      </c>
      <c r="E46" s="6" t="n">
        <v>62311.5800943096</v>
      </c>
      <c r="F46" s="6" t="n">
        <v>93998.14</v>
      </c>
      <c r="G46" s="6" t="n">
        <v>5480.96</v>
      </c>
      <c r="H46" s="6" t="n">
        <v>-39609.26</v>
      </c>
      <c r="I46" s="6" t="n">
        <v>-56830.6200943096</v>
      </c>
      <c r="J46" s="6" t="n">
        <v>-88517.17999999999</v>
      </c>
    </row>
    <row r="47">
      <c r="A47" s="4" t="inlineStr">
        <is>
          <t>Levy, Elan</t>
        </is>
      </c>
      <c r="B47" s="4" t="inlineStr">
        <is>
          <t>A_66110</t>
        </is>
      </c>
      <c r="C47" s="4" t="inlineStr">
        <is>
          <t>A_66110 - Mileage</t>
        </is>
      </c>
      <c r="D47" s="6" t="n">
        <v>40572.22</v>
      </c>
      <c r="E47" s="6" t="n">
        <v>38499.9999999996</v>
      </c>
      <c r="F47" s="6" t="n">
        <v>38318.86</v>
      </c>
      <c r="G47" s="6" t="n">
        <v>35507.1399999996</v>
      </c>
      <c r="H47" s="6" t="n">
        <v>-5065.080000000402</v>
      </c>
      <c r="I47" s="6" t="n">
        <v>-2992.860000000001</v>
      </c>
      <c r="J47" s="6" t="n">
        <v>-2811.720000000401</v>
      </c>
    </row>
    <row r="48">
      <c r="A48" s="4" t="inlineStr">
        <is>
          <t>Levy, Elan</t>
        </is>
      </c>
      <c r="B48" s="4" t="inlineStr">
        <is>
          <t>A_66150</t>
        </is>
      </c>
      <c r="C48" s="4" t="inlineStr">
        <is>
          <t>A_66150 - Travel</t>
        </is>
      </c>
      <c r="D48" s="6" t="n">
        <v>297293.37</v>
      </c>
      <c r="E48" s="6" t="n">
        <v>347847.1966790112</v>
      </c>
      <c r="F48" s="6" t="n">
        <v>317559.94</v>
      </c>
      <c r="G48" s="6" t="n">
        <v>130362.2100023752</v>
      </c>
      <c r="H48" s="6" t="n">
        <v>-166931.1599976248</v>
      </c>
      <c r="I48" s="6" t="n">
        <v>-217484.986676636</v>
      </c>
      <c r="J48" s="6" t="n">
        <v>-187197.7299976248</v>
      </c>
    </row>
    <row r="49">
      <c r="A49" s="4" t="inlineStr">
        <is>
          <t>Levy, Elan</t>
        </is>
      </c>
      <c r="B49" s="4" t="inlineStr">
        <is>
          <t>A_66151</t>
        </is>
      </c>
      <c r="C49" s="4" t="inlineStr">
        <is>
          <t>A_66151 - Patient Studies</t>
        </is>
      </c>
      <c r="D49" s="6" t="n">
        <v>263.92</v>
      </c>
      <c r="E49" s="6" t="n">
        <v>0</v>
      </c>
      <c r="F49" s="6" t="n">
        <v>0</v>
      </c>
      <c r="G49" s="6" t="n">
        <v>0</v>
      </c>
      <c r="H49" s="6" t="n">
        <v>-263.92</v>
      </c>
      <c r="I49" s="6" t="n">
        <v>0</v>
      </c>
      <c r="J49" s="6" t="n">
        <v>0</v>
      </c>
    </row>
    <row r="50">
      <c r="A50" s="4" t="inlineStr">
        <is>
          <t>Levy, Elan</t>
        </is>
      </c>
      <c r="B50" s="4" t="inlineStr">
        <is>
          <t>A_66170</t>
        </is>
      </c>
      <c r="C50" s="4" t="inlineStr">
        <is>
          <t>A_66170 - FLEX-Traveler Allowance</t>
        </is>
      </c>
      <c r="D50" s="6" t="n">
        <v>0</v>
      </c>
      <c r="E50" s="6" t="n">
        <v>55092.5500589796</v>
      </c>
      <c r="F50" s="6" t="n">
        <v>0</v>
      </c>
      <c r="G50" s="6" t="n">
        <v>0</v>
      </c>
      <c r="H50" s="6" t="n">
        <v>0</v>
      </c>
      <c r="I50" s="6" t="n">
        <v>-55092.5500589796</v>
      </c>
      <c r="J50" s="6" t="n">
        <v>0</v>
      </c>
    </row>
    <row r="51">
      <c r="A51" s="4" t="inlineStr">
        <is>
          <t>Levy, Elan</t>
        </is>
      </c>
      <c r="B51" s="4" t="inlineStr">
        <is>
          <t>A_66500</t>
        </is>
      </c>
      <c r="C51" s="4" t="inlineStr">
        <is>
          <t>A_66500 - Property Rentals</t>
        </is>
      </c>
      <c r="D51" s="6" t="n">
        <v>34173.89</v>
      </c>
      <c r="E51" s="6" t="n">
        <v>29499.9999999996</v>
      </c>
      <c r="F51" s="6" t="n">
        <v>42400.72</v>
      </c>
      <c r="G51" s="6" t="n">
        <v>45272</v>
      </c>
      <c r="H51" s="6" t="n">
        <v>11098.11</v>
      </c>
      <c r="I51" s="6" t="n">
        <v>15772.0000000004</v>
      </c>
      <c r="J51" s="6" t="n">
        <v>2871.279999999999</v>
      </c>
    </row>
    <row r="52">
      <c r="A52" s="4" t="inlineStr">
        <is>
          <t>Levy, Elan</t>
        </is>
      </c>
      <c r="B52" s="4" t="inlineStr">
        <is>
          <t>A_66510</t>
        </is>
      </c>
      <c r="C52" s="4" t="inlineStr">
        <is>
          <t>A_66510 - Lease-Rentals - Other</t>
        </is>
      </c>
      <c r="D52" s="6" t="n">
        <v>400.5</v>
      </c>
      <c r="E52" s="6" t="n">
        <v>957.9999999996</v>
      </c>
      <c r="F52" s="6" t="n">
        <v>636</v>
      </c>
      <c r="G52" s="6" t="n">
        <v>0</v>
      </c>
      <c r="H52" s="6" t="n">
        <v>-400.5</v>
      </c>
      <c r="I52" s="6" t="n">
        <v>-957.9999999996</v>
      </c>
      <c r="J52" s="6" t="n">
        <v>-636</v>
      </c>
    </row>
    <row r="53">
      <c r="A53" s="4" t="inlineStr">
        <is>
          <t>Levy, Elan</t>
        </is>
      </c>
      <c r="B53" s="4" t="inlineStr">
        <is>
          <t>A_66515</t>
        </is>
      </c>
      <c r="C53" s="4" t="inlineStr">
        <is>
          <t>A_66515 - Lease Rentals - Copiers</t>
        </is>
      </c>
      <c r="D53" s="6" t="n">
        <v>8877.200000000001</v>
      </c>
      <c r="E53" s="6" t="n">
        <v>10048.3100000004</v>
      </c>
      <c r="F53" s="6" t="n">
        <v>7701.42</v>
      </c>
      <c r="G53" s="6" t="n">
        <v>0</v>
      </c>
      <c r="H53" s="6" t="n">
        <v>-8877.200000000001</v>
      </c>
      <c r="I53" s="6" t="n">
        <v>-10048.3100000004</v>
      </c>
      <c r="J53" s="6" t="n">
        <v>-7701.42</v>
      </c>
    </row>
    <row r="54">
      <c r="A54" s="4" t="inlineStr">
        <is>
          <t>Levy, Elan</t>
        </is>
      </c>
      <c r="B54" s="4" t="inlineStr">
        <is>
          <t>A_66524</t>
        </is>
      </c>
      <c r="C54" s="4" t="inlineStr">
        <is>
          <t>A_66524 - Software Licensing Fees</t>
        </is>
      </c>
      <c r="D54" s="6" t="n">
        <v>0</v>
      </c>
      <c r="E54" s="6" t="n">
        <v>0</v>
      </c>
      <c r="F54" s="6" t="n">
        <v>4153.6</v>
      </c>
      <c r="G54" s="6" t="n">
        <v>916.8</v>
      </c>
      <c r="H54" s="6" t="n">
        <v>916.8</v>
      </c>
      <c r="I54" s="6" t="n">
        <v>916.8</v>
      </c>
      <c r="J54" s="6" t="n">
        <v>-3236.8</v>
      </c>
    </row>
    <row r="55">
      <c r="A55" s="4" t="inlineStr">
        <is>
          <t>Levy, Elan</t>
        </is>
      </c>
      <c r="B55" s="4" t="inlineStr">
        <is>
          <t>A_66528</t>
        </is>
      </c>
      <c r="C55" s="4" t="inlineStr">
        <is>
          <t>A_66528 - Cloud Software Licensing Fees</t>
        </is>
      </c>
      <c r="D55" s="6" t="n">
        <v>13278.61</v>
      </c>
      <c r="E55" s="6" t="n">
        <v>0</v>
      </c>
      <c r="F55" s="6" t="n">
        <v>56579.42</v>
      </c>
      <c r="G55" s="6" t="n">
        <v>5296.879999999999</v>
      </c>
      <c r="H55" s="6" t="n">
        <v>-7981.730000000001</v>
      </c>
      <c r="I55" s="6" t="n">
        <v>5296.879999999999</v>
      </c>
      <c r="J55" s="6" t="n">
        <v>-51282.54</v>
      </c>
    </row>
    <row r="56">
      <c r="A56" s="7" t="inlineStr">
        <is>
          <t>Total</t>
        </is>
      </c>
      <c r="B56" s="7" t="n"/>
      <c r="C56" s="7" t="n"/>
      <c r="D56" s="8">
        <f>SUM(D6:D55)</f>
        <v/>
      </c>
      <c r="E56" s="8">
        <f>SUM(E6:E55)</f>
        <v/>
      </c>
      <c r="F56" s="8">
        <f>SUM(F6:F55)</f>
        <v/>
      </c>
      <c r="G56" s="8">
        <f>SUM(G6:G55)</f>
        <v/>
      </c>
      <c r="H56" s="8">
        <f>SUM(H6:H55)</f>
        <v/>
      </c>
      <c r="I56" s="8">
        <f>SUM(I6:I55)</f>
        <v/>
      </c>
      <c r="J56" s="8">
        <f>SUM(J6:J55)</f>
        <v/>
      </c>
    </row>
  </sheetData>
  <autoFilter ref="A5: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2026-08-26T21:50:09Z</dcterms:created>
  <dcterms:modified xsi:type="dcterms:W3CDTF">2026-08-26T21:50:09Z</dcterms:modified>
</cp:coreProperties>
</file>