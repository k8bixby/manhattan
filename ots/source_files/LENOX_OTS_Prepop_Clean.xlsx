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orthwell-my.sharepoint.com/personal/kbixby_northwell_edu/Documents/Scripts/ots/source_files/"/>
    </mc:Choice>
  </mc:AlternateContent>
  <xr:revisionPtr revIDLastSave="12" documentId="8_{EA398B88-A87C-4751-931F-665FDC5157A7}" xr6:coauthVersionLast="47" xr6:coauthVersionMax="47" xr10:uidLastSave="{786873B7-2923-4449-BFCA-4E5CC6EDE079}"/>
  <bookViews>
    <workbookView xWindow="28680" yWindow="-120" windowWidth="29040" windowHeight="17520" xr2:uid="{E331A613-6730-42A1-8FC2-319BD4226AE1}"/>
  </bookViews>
  <sheets>
    <sheet name="OTS Prepop" sheetId="1" r:id="rId1"/>
  </sheets>
  <externalReferences>
    <externalReference r:id="rId2"/>
    <externalReference r:id="rId3"/>
    <externalReference r:id="rId4"/>
  </externalReferences>
  <definedNames>
    <definedName name="__123Graph_A" localSheetId="0" hidden="1">'[1]Amort Schedule'!#REF!</definedName>
    <definedName name="__123Graph_A" hidden="1">'[1]Amort Schedule'!#REF!</definedName>
    <definedName name="__123Graph_LBL_A" localSheetId="0" hidden="1">'[1]Amort Schedule'!#REF!</definedName>
    <definedName name="__123Graph_LBL_A" hidden="1">'[1]Amort Schedule'!#REF!</definedName>
    <definedName name="__FPMExcelClient_CellBasedFunctionStatus" localSheetId="0" hidden="1">"2_1_1_2_2"</definedName>
    <definedName name="__FPMExcelClient_Connection" localSheetId="0">"_FPM_BPCMS10_[HTTPS://SYKPBPCAP32V/sap/BPC/]_[NSLIJHS]_[Finance]_[false]_[false]\1"</definedName>
    <definedName name="_2__123Graph_AP_I" localSheetId="0" hidden="1">'[1]Amort Schedule'!#REF!</definedName>
    <definedName name="_2__123Graph_AP_I" hidden="1">'[1]Amort Schedule'!#REF!</definedName>
    <definedName name="_4__123Graph_LBL_AP_I" localSheetId="0" hidden="1">'[1]Amort Schedule'!#REF!</definedName>
    <definedName name="_4__123Graph_LBL_AP_I" hidden="1">'[1]Amort Schedule'!#REF!</definedName>
    <definedName name="_6__123Graph_LBL_BP_I" localSheetId="0" hidden="1">'[1]Amort Schedule'!#REF!</definedName>
    <definedName name="_6__123Graph_LBL_BP_I" hidden="1">'[1]Amort Schedule'!#REF!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[2]ACUTE!#REF!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a" localSheetId="0" hidden="1">[3]ACUTE!#REF!</definedName>
    <definedName name="a" hidden="1">[3]ACUTE!#REF!</definedName>
    <definedName name="aa">"V2004-05-31"</definedName>
    <definedName name="Action_Plan">#REF!</definedName>
    <definedName name="anscount" hidden="1">1</definedName>
    <definedName name="AS2DocOpenMode" hidden="1">"AS2DocumentEdit"</definedName>
    <definedName name="august">"[Drill4]JRNLLAYOUT!$A$4:$A$1061"</definedName>
    <definedName name="BUList">#REF!</definedName>
    <definedName name="CHK_CHOOSEALL">#REF!</definedName>
    <definedName name="EPMWorkbookOptions_1" hidden="1">"dgEAAB+LCAAAAAAABACF0MEOgjAMBuC7ie+w7C4DTTwYwINeTCQYTdRrhQKL0JFtOh9fokGjHrz+/dqmDee3pmZX1EYqinjg+ZwhZSqXVEb8YotRMOXzeDgID0qfT0qd09Z21LCuj8zsZvKIV9a2MyGcc56beEqXYuz7gTgm611WYQP8heV/PJJkLFCGvNvKWLjFQqOpUkpbpLiA2mAoPsOHW9QIegkWUtrBFXv5HT9sf8tGK4uZxbzXv4VP"</definedName>
    <definedName name="EPMWorkbookOptions_2" hidden="1">"73ImntHK7EFLONWYoC7fE37y7nXi63fxHS3iv392AQAA"</definedName>
    <definedName name="EPMWorkbookOptions_3">"pimnl0vDWOBkYIxftYh34UYNJBQAjXo|UtvqIvv8gXk7z|aln8onXOUL93fHLy5Vcv3rw6/f74e9/epX|Onz///fXD1zT43hs9mN8u8jqrp/Nr1yglznq0LMrPPmrrNTHO3f5bTwsaG/j29m89vvtNDvvN2ZcvXj4/fhGO2376/9uRnxy/Of38y1e/jxn3k6|efn765v/H4/328avPT0||fGo5/M2Xb46f//7u8/8fs/nT4zfHr1|d|DxuPvr/7"</definedName>
    <definedName name="EPMWorkbookOptions_4" hidden="1">"5i/PHnz5atgyPLJ/29H/O0vX788I55|ffrqJ89OTt/8Pi8Dbf7t1/8/Fu|zF6|/enX84uTU1|XBh78/0eD/v|P/4vXTV5/7sy0f/P92vC9|n|6A9ZP/3474zdkXVpz3dnbvjdl|/f93vF|cHpP0klUef4/|9/L01dmXT8/|P2OvNnzjffHtYjbLl7bjZgPJbKOfLJpiUpRFe32rIRwdT6fVetm|On18N/Z1hHjA6QgDfnxX/9gw6pvx|oZGgRjp"</definedName>
    <definedName name="EPMWorkbookOptions_5" hidden="1">"ZZkt/z89jJOszS|q|vr/24OYZ/VFflLN8v9PDwO5htf19P/bY6imbVX/f3oIp8uW2v5/egjfrppV0Wbl67y|LKb5m|vV/7cl42zZrGvk|v4/r2/ZC/7/9AjErf3/9BDe0Gf/nx6AcUV/bgYRNN7oMfqDdUnnnlf5el65Tk|qsqoV18gXm17l0UfejFCFX6Q0f5u/a59ll1VdtIQXZ9bl5d53t3j/WVE3rYdA/PsOIIvlMIFu22qAW97T4fahCM1"</definedName>
    <definedName name="EPMWorkbookOptions_6" hidden="1">"pueY|BXgHux6A2Gzwu1/Ws7w|2nl8V36JQm9WZXb9sq5WeU28tXv/0/vn|eR8|/6ns/3t/b3zh9sH9/N8eyfL9/Znkwf7Dyb30HP4VgTw86xpX|clrdzkMwnKYjQK2TLaIP1ZWZFQyF8rGNR3I/N3u3c3BcLy/W2I583/zyK3vl9gFWPXnZ39g52d23Pr7v8fufXDF5IU|I8Ytt/Ojz7fK4SOsOu9e/fv7|/v355d9/5fzq5fg12//uqfgvx/JZ"</definedName>
    <definedName name="EPMWorkbookOptions_7" hidden="1">"N|XeHtUoPE9qvbpVYV5P8rqfH/IpF9z4RRRGg/fbC7c3Dw4PZCe|//h0L7zSxhK/wf8Wy/nUe198oORhiWnKJPP7137z28ov3//3Hs0|M3x69fnQSL8PrRjxjVa3arVkOM|h4p4Bifvnesef//h3z65cmbL18FbCqf/IhLvWa3ajXApe|T5f9GuPTT//9x6emLN2dvrJNKUeXZi9//7P/zkeU3Q40vjl98|/hH1FBqvP59vnz9|kfUUGo8|5Jy9"</definedName>
    <definedName name="EPMWorkbookOptions_8" hidden="1">"z|ihlJD/vr9n3z1/3Vy/L/HuH3t9V8f3te2dA/|/2fpvv3l65dnFNq|Pn31k2cnp29|n5fBKsC3X/9/PlX1/x7m/RqL/d8I2x78/49tz17QMvHxi5NTfx0g|PD3J/b9Eev6zW7VaoB1v3j99NXnP0SWffj/P5ZlEvq6VT74EYt6zW7VaoBFX/w|P2Qe3d35/x|TChF9LtVPfsSmXrNbtRpg0zf02Q|TSXf//8ekb86|sE7qHtFjzIsz/19n0W|I"</definedName>
    <definedName name="EPMWorkbookOptions_9" hidden="1">"Grv//6DG/3sE9ovTY3IrT1|jrx|W0O79/09oDRmJS5FSPX119uXTsx8tTr1XowCbeKPHd49Xq7KYZi3BsZ8Hn5rmBK1aLglx|gxrsPyx/|Gbqjv4x6/y8zpv5l8uv1zly6PzrGzImIUfcruTMs9qAP1y|Tq7zE3L7sfc9rtV/XZSVW|JN1smo2nd/yJsfzXjWXMNv1zJ|P4fTVOGDqdDAAA="</definedName>
    <definedName name="EV__CVPARAMS__" hidden="1">"Trend!$B$17:$C$38;"</definedName>
    <definedName name="EV__DECIMALSYMBOL__" hidden="1">"."</definedName>
    <definedName name="EV__EVCOM_OPTIONS__" localSheetId="0" hidden="1">8</definedName>
    <definedName name="EV__EVCOM_OPTIONS__" hidden="1">4</definedName>
    <definedName name="EV__EXPOPTIONS__" localSheetId="0" hidden="1">0</definedName>
    <definedName name="EV__EXPOPTIONS__" hidden="1">1</definedName>
    <definedName name="EV__LASTREFTIME__" localSheetId="0" hidden="1">41312.6676041667</definedName>
    <definedName name="EV__LASTREFTIME__" hidden="1">41002.5208564815</definedName>
    <definedName name="EV__LOCKEDCVW__CAPITAL" hidden="1">"TotAcctCA,ALL_ActionPlan,Tot_AssetClass,ACTUAL,ALL_DataSrc,All_Doctor,All_Entity,ALL_Projects,2007.TOTAL,PERIODIC,"</definedName>
    <definedName name="EV__LOCKEDCVW__FINANCE" hidden="1">"Net_Income,ALL_ActionPlan,Total_Affiliates,ACTUAL,All_ChargeCodes,ALL_DATASRCFIN,All_Entity,ALL_Projects,2007.TOTAL,PERIODIC,"</definedName>
    <definedName name="EV__LOCKEDCVW__FPP" hidden="1">"TOT_AccDescFP,TotAcctFP,ALL_ActionPlan,Total_Affiliates,ACTUAL,ALL_DataSrc,All_EntityFP,All_Procat,2007.TOTAL,PERIODIC,"</definedName>
    <definedName name="EV__LOCKEDCVW__HRB" hidden="1">"TotAcctHH,ACTUAL,ALL_DataSrc,All_Entity,All_Payor,All_ServiceType,2007.TOTAL,PERIODIC,"</definedName>
    <definedName name="EV__LOCKEDCVW__REIMBURSEMENT" hidden="1">"Cases,Base,Budget,No_ChargeCode,RevenueActualDB,No_Doctor,MANHA_IN,All_HST,No_InsurancePlan,All_MSDRG,All_NYSDRG,2008.Total,PERIODIC,"</definedName>
    <definedName name="EV__LOCKEDCVW__STAFF_BUDGET" hidden="1">"DOLLARS_Total,ALL_ActionPlan,ACTUAL,All_DataSrc_Staff,TOT_ENTITIES,All_JobCode,2007.TOTAL,No_Week,PERIODIC,"</definedName>
    <definedName name="EV__LOCKSTATUS__" hidden="1">1</definedName>
    <definedName name="EV__MAXEXPCOLS__" localSheetId="0" hidden="1">100</definedName>
    <definedName name="EV__MAXEXPCOLS__" hidden="1">255</definedName>
    <definedName name="EV__MAXEXPROWS__" localSheetId="0" hidden="1">500000</definedName>
    <definedName name="EV__MAXEXPROWS__" hidden="1">65000</definedName>
    <definedName name="EV__MEMORYCVW__" hidden="1">0</definedName>
    <definedName name="EV__USERCHANGEOPTIONS__" hidden="1">1</definedName>
    <definedName name="EV__WBEVMODE__" localSheetId="0" hidden="1">1</definedName>
    <definedName name="EV__WBEVMODE__" hidden="1">0</definedName>
    <definedName name="EV__WBREFOPTIONS__" hidden="1">134217728</definedName>
    <definedName name="EV__WBVERSION__" hidden="1">0</definedName>
    <definedName name="EV__WSINFO__" hidden="1">12345</definedName>
    <definedName name="EV_LASTREFTIME__2" hidden="1">39819.6636805556</definedName>
    <definedName name="Excel_BuiltIn_Print_Titles_0">#N/A</definedName>
    <definedName name="K2_WBEVMODE" hidden="1">0</definedName>
    <definedName name="ListOffset" hidden="1">1</definedName>
    <definedName name="m">38148.6898263889</definedName>
    <definedName name="METHOD_USED">#REF!</definedName>
    <definedName name="MEWarning" localSheetId="0" hidden="1">0</definedName>
    <definedName name="MEWarning" hidden="1">1</definedName>
    <definedName name="MNU_OVERRIDE">#REF!</definedName>
    <definedName name="MODEL">#REF!</definedName>
    <definedName name="NvsAnswerCol">"[Drill2]JRNLLAYOUT!$A$4:$A$84"</definedName>
    <definedName name="NvsAnswerCol___0">"[Drill2]JRNLLAYOUT!$A$4:$A$84"</definedName>
    <definedName name="NvsASD">"V2006-12-31"</definedName>
    <definedName name="NvsASD___0">"V2004-07-31"</definedName>
    <definedName name="NvsASD___2">"V2004-12-31"</definedName>
    <definedName name="NvsASD___4">"V2004-12-31"</definedName>
    <definedName name="NvsAutoDrillOk">"VN"</definedName>
    <definedName name="NvsAutoDrillOk___0">"VY"</definedName>
    <definedName name="NvsAutoDrillOk___2">"VN"</definedName>
    <definedName name="NvsAutoDrillOk___4">"VN"</definedName>
    <definedName name="NvsDateToNumber">"Y"</definedName>
    <definedName name="NvsElapsedTime">0.000347222223354038</definedName>
    <definedName name="NvsElapsedTime___0">0.00077546296233777</definedName>
    <definedName name="NvsElapsedTime___2">0.0000231481462833472</definedName>
    <definedName name="NvsElapsedTime___4">0.0000231481462833472</definedName>
    <definedName name="NvsEndTime">38736.6081828704</definedName>
    <definedName name="NvsEndTime___0">38215.6885763889</definedName>
    <definedName name="NvsEndTime___2">38367.7220486111</definedName>
    <definedName name="NvsEndTime___4">38367.7220486111</definedName>
    <definedName name="NvsInstanceHook">"Module2.hide_ckup"</definedName>
    <definedName name="NvsInstLang">"VENG"</definedName>
    <definedName name="NvsInstSpec">"%"</definedName>
    <definedName name="NvsInstSpec___0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"V2099-01-01"</definedName>
    <definedName name="NvsPanelEffdt___0">"V1900-01-01"</definedName>
    <definedName name="NvsPanelEffdt___4">"V1990-01-01"</definedName>
    <definedName name="NvsPanelSetid">"VNSLIJ"</definedName>
    <definedName name="NvsParentRef">"'[LIJMC Detailed Balance Sheets - 2004-11-30.xls]Sheet1'!$F$50"</definedName>
    <definedName name="NvsParentRef___0">"'[MANHA Operating Expenses - 2005-01-31.xls]Operating Expenses'!$B$36"</definedName>
    <definedName name="NvsReqBU">"VMANHA"</definedName>
    <definedName name="NvsReqBU___0">"VLIJMC"</definedName>
    <definedName name="NvsReqBU___2">"VGLENC"</definedName>
    <definedName name="NvsReqBU___4">"VGLENC"</definedName>
    <definedName name="NvsReqBUOnly">"VY"</definedName>
    <definedName name="NvsReqBUOnly___0">"VN"</definedName>
    <definedName name="NvsReqBUOnly___2">"VY"</definedName>
    <definedName name="NvsReqBUOnly___4">"VY"</definedName>
    <definedName name="NvsTransLed">"VN"</definedName>
    <definedName name="NvsTreeASD">"V2006-12-31"</definedName>
    <definedName name="NvsTreeASD___0">"V2004-07-31"</definedName>
    <definedName name="NvsTreeASD___2">"V2004-12-31"</definedName>
    <definedName name="NvsTreeASD___4">"V2004-12-31"</definedName>
    <definedName name="NvsValTbl.ACCOUNT">"GL_ACCOUNT_TBL"</definedName>
    <definedName name="NvsValTbl.ALTACCT">"BUS_UNIT_TBL_GL"</definedName>
    <definedName name="NvsValTbl.BUSINESS_UNIT">"BUS_UNIT_TBL_GL"</definedName>
    <definedName name="NvsValTbl.CURRENCY_CD">"CURRENCY_CD_TBL"</definedName>
    <definedName name="NvsValTbl.DEPTID">"DEPT_TBL"</definedName>
    <definedName name="NvsValTbl.LEDGER">"LED_DETL_VW"</definedName>
    <definedName name="PARENT_MEMBER">#REF!</definedName>
    <definedName name="PATHNAME">#REF!</definedName>
    <definedName name="pl">0.0000578703693463467</definedName>
    <definedName name="wrn.ambulances." hidden="1">{#N/A,#N/A,FALSE,"Sheet1"}</definedName>
    <definedName name="wrn.Financial._.Statements." hidden="1">{#N/A,#N/A,FALSE,"COVER";#N/A,#N/A,FALSE,"INDEX";#N/A,#N/A,FALSE,"Stat. High.";#N/A,#N/A,FALSE,"BS";#N/A,#N/A,FALSE,"PL";#N/A,#N/A,FALSE,"NA";#N/A,#N/A,FALSE,"CashflowYTD";#N/A,#N/A,FALSE,"Patient Stats";#N/A,#N/A,FALSE,"Payor Info";#N/A,#N/A,FALSE,"Payor1";#N/A,#N/A,FALSE,"Census"}</definedName>
    <definedName name="wrn.MR111._.REPORT." hidden="1">{#N/A,#N/A,FALSE,"Metrics_Sheet";#N/A,#N/A,FALSE,"MR111-Totals";#N/A,#N/A,FALSE,"Billing";#N/A,#N/A,FALSE,"Microsoft VendorSheet";#N/A,#N/A,FALSE,"AAC VendorSheet"}</definedName>
    <definedName name="wrn.MR111._.RPT" hidden="1">{#N/A,#N/A,FALSE,"Metrics_Sheet";#N/A,#N/A,FALSE,"MR111-Totals";#N/A,#N/A,FALSE,"Billing";#N/A,#N/A,FALSE,"Microsoft VendorSheet";#N/A,#N/A,FALSE,"AAC VendorSheet"}</definedName>
    <definedName name="wrn.mr111._.rpt2" hidden="1">{#N/A,#N/A,FALSE,"Metrics_Sheet";#N/A,#N/A,FALSE,"MR111-Totals";#N/A,#N/A,FALSE,"Billing";#N/A,#N/A,FALSE,"Microsoft VendorSheet";#N/A,#N/A,FALSE,"AAC VendorSheet"}</definedName>
    <definedName name="wrn.mr111._rpt3" hidden="1">{#N/A,#N/A,FALSE,"Metrics_Sheet";#N/A,#N/A,FALSE,"MR111-Totals";#N/A,#N/A,FALSE,"Billing";#N/A,#N/A,FALSE,"Microsoft VendorSheet";#N/A,#N/A,FALSE,"AAC VendorSheet"}</definedName>
    <definedName name="Yea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009" i="1" l="1"/>
  <c r="R3905" i="1"/>
  <c r="P3905" i="1"/>
  <c r="V3904" i="1"/>
  <c r="Q3904" i="1"/>
  <c r="S3904" i="1" s="1"/>
  <c r="V3903" i="1"/>
  <c r="Q3903" i="1"/>
  <c r="V3902" i="1"/>
  <c r="Q3902" i="1"/>
  <c r="S3902" i="1" s="1"/>
  <c r="V3901" i="1"/>
  <c r="Q3901" i="1"/>
  <c r="S3901" i="1" s="1"/>
  <c r="V3893" i="1"/>
  <c r="Q3893" i="1"/>
  <c r="S3893" i="1" s="1"/>
  <c r="V3892" i="1"/>
  <c r="Q3892" i="1"/>
  <c r="X3886" i="1"/>
  <c r="R3886" i="1"/>
  <c r="P3886" i="1"/>
  <c r="Q3885" i="1"/>
  <c r="Q3884" i="1"/>
  <c r="Q3883" i="1"/>
  <c r="Q3882" i="1"/>
  <c r="Q3881" i="1"/>
  <c r="Q3880" i="1"/>
  <c r="X3878" i="1"/>
  <c r="R3878" i="1"/>
  <c r="P3878" i="1"/>
  <c r="Q3877" i="1"/>
  <c r="Q3878" i="1" s="1"/>
  <c r="X3875" i="1"/>
  <c r="R3875" i="1"/>
  <c r="P3875" i="1"/>
  <c r="Q3874" i="1"/>
  <c r="S3874" i="1" s="1"/>
  <c r="S3875" i="1" s="1"/>
  <c r="X3872" i="1"/>
  <c r="R3872" i="1"/>
  <c r="P3872" i="1"/>
  <c r="Q3871" i="1"/>
  <c r="X3857" i="1"/>
  <c r="R3857" i="1"/>
  <c r="P3857" i="1"/>
  <c r="Q3856" i="1"/>
  <c r="W3893" i="1" l="1"/>
  <c r="W3902" i="1"/>
  <c r="Q2092" i="1"/>
  <c r="Q3599" i="1"/>
  <c r="S3599" i="1" s="1"/>
  <c r="Q3523" i="1"/>
  <c r="Q3447" i="1"/>
  <c r="Q3379" i="1"/>
  <c r="Q3305" i="1"/>
  <c r="S3305" i="1" s="1"/>
  <c r="Q3239" i="1"/>
  <c r="Q3167" i="1"/>
  <c r="Q3095" i="1"/>
  <c r="Q3025" i="1"/>
  <c r="Q2955" i="1"/>
  <c r="Q2885" i="1"/>
  <c r="Q2815" i="1"/>
  <c r="Q2747" i="1"/>
  <c r="S2747" i="1" s="1"/>
  <c r="Q2675" i="1"/>
  <c r="Q2609" i="1"/>
  <c r="Q2539" i="1"/>
  <c r="S2539" i="1" s="1"/>
  <c r="Q2469" i="1"/>
  <c r="S2469" i="1" s="1"/>
  <c r="Q2401" i="1"/>
  <c r="Q2333" i="1"/>
  <c r="Q2210" i="1"/>
  <c r="S2210" i="1" s="1"/>
  <c r="Q2168" i="1"/>
  <c r="Q3675" i="1"/>
  <c r="Q2040" i="1"/>
  <c r="Q2110" i="1"/>
  <c r="Q2128" i="1"/>
  <c r="S2128" i="1" s="1"/>
  <c r="Q2074" i="1"/>
  <c r="Q2148" i="1"/>
  <c r="X3844" i="1"/>
  <c r="X3508" i="1"/>
  <c r="X3854" i="1"/>
  <c r="X3841" i="1"/>
  <c r="X3850" i="1"/>
  <c r="X3860" i="1"/>
  <c r="X3512" i="1"/>
  <c r="X2261" i="1"/>
  <c r="X3847" i="1"/>
  <c r="X2282" i="1"/>
  <c r="X2264" i="1"/>
  <c r="X2250" i="1"/>
  <c r="X2241" i="1"/>
  <c r="X1208" i="1"/>
  <c r="X498" i="1"/>
  <c r="X368" i="1"/>
  <c r="X354" i="1"/>
  <c r="R3844" i="1"/>
  <c r="U3823" i="1"/>
  <c r="V3823" i="1" s="1"/>
  <c r="U3819" i="1"/>
  <c r="V3819" i="1" s="1"/>
  <c r="U3807" i="1"/>
  <c r="V3807" i="1" s="1"/>
  <c r="U3803" i="1"/>
  <c r="V3803" i="1" s="1"/>
  <c r="X3070" i="1"/>
  <c r="X2317" i="1"/>
  <c r="X1754" i="1"/>
  <c r="X357" i="1"/>
  <c r="R3854" i="1"/>
  <c r="U3837" i="1"/>
  <c r="V3837" i="1" s="1"/>
  <c r="U3817" i="1"/>
  <c r="V3817" i="1" s="1"/>
  <c r="U3795" i="1"/>
  <c r="V3795" i="1" s="1"/>
  <c r="U3791" i="1"/>
  <c r="V3791" i="1" s="1"/>
  <c r="U3769" i="1"/>
  <c r="V3769" i="1" s="1"/>
  <c r="U3711" i="1"/>
  <c r="V3711" i="1" s="1"/>
  <c r="U3669" i="1"/>
  <c r="V3669" i="1" s="1"/>
  <c r="U3663" i="1"/>
  <c r="V3663" i="1" s="1"/>
  <c r="U3651" i="1"/>
  <c r="V3651" i="1" s="1"/>
  <c r="U3635" i="1"/>
  <c r="V3635" i="1" s="1"/>
  <c r="U3631" i="1"/>
  <c r="V3631" i="1" s="1"/>
  <c r="U3607" i="1"/>
  <c r="V3607" i="1" s="1"/>
  <c r="U3575" i="1"/>
  <c r="V3575" i="1" s="1"/>
  <c r="U3553" i="1"/>
  <c r="V3553" i="1" s="1"/>
  <c r="U3511" i="1"/>
  <c r="V3511" i="1" s="1"/>
  <c r="U3491" i="1"/>
  <c r="V3491" i="1" s="1"/>
  <c r="U3475" i="1"/>
  <c r="V3475" i="1" s="1"/>
  <c r="U3457" i="1"/>
  <c r="V3457" i="1" s="1"/>
  <c r="U3435" i="1"/>
  <c r="V3435" i="1" s="1"/>
  <c r="U3421" i="1"/>
  <c r="V3421" i="1" s="1"/>
  <c r="U3405" i="1"/>
  <c r="V3405" i="1" s="1"/>
  <c r="U3399" i="1"/>
  <c r="V3399" i="1" s="1"/>
  <c r="U3383" i="1"/>
  <c r="V3383" i="1" s="1"/>
  <c r="U3369" i="1"/>
  <c r="V3369" i="1" s="1"/>
  <c r="U3333" i="1"/>
  <c r="V3333" i="1" s="1"/>
  <c r="U3313" i="1"/>
  <c r="V3313" i="1" s="1"/>
  <c r="U3309" i="1"/>
  <c r="V3309" i="1" s="1"/>
  <c r="U3293" i="1"/>
  <c r="V3293" i="1" s="1"/>
  <c r="U3281" i="1"/>
  <c r="V3281" i="1" s="1"/>
  <c r="U3265" i="1"/>
  <c r="V3265" i="1" s="1"/>
  <c r="U3247" i="1"/>
  <c r="V3247" i="1" s="1"/>
  <c r="U3229" i="1"/>
  <c r="V3229" i="1" s="1"/>
  <c r="U3213" i="1"/>
  <c r="V3213" i="1" s="1"/>
  <c r="U3195" i="1"/>
  <c r="V3195" i="1" s="1"/>
  <c r="U3177" i="1"/>
  <c r="V3177" i="1" s="1"/>
  <c r="U3159" i="1"/>
  <c r="V3159" i="1" s="1"/>
  <c r="U3141" i="1"/>
  <c r="V3141" i="1" s="1"/>
  <c r="U3137" i="1"/>
  <c r="V3137" i="1" s="1"/>
  <c r="U3123" i="1"/>
  <c r="V3123" i="1" s="1"/>
  <c r="U3119" i="1"/>
  <c r="V3119" i="1" s="1"/>
  <c r="U3107" i="1"/>
  <c r="V3107" i="1" s="1"/>
  <c r="U3099" i="1"/>
  <c r="V3099" i="1" s="1"/>
  <c r="U3087" i="1"/>
  <c r="V3087" i="1" s="1"/>
  <c r="U3083" i="1"/>
  <c r="V3083" i="1" s="1"/>
  <c r="U3063" i="1"/>
  <c r="V3063" i="1" s="1"/>
  <c r="U3051" i="1"/>
  <c r="V3051" i="1" s="1"/>
  <c r="U3035" i="1"/>
  <c r="U3029" i="1"/>
  <c r="V3029" i="1" s="1"/>
  <c r="U3017" i="1"/>
  <c r="V3017" i="1" s="1"/>
  <c r="U3001" i="1"/>
  <c r="V3001" i="1" s="1"/>
  <c r="U2985" i="1"/>
  <c r="U2965" i="1"/>
  <c r="V2965" i="1" s="1"/>
  <c r="U2959" i="1"/>
  <c r="V2959" i="1" s="1"/>
  <c r="U2947" i="1"/>
  <c r="V2947" i="1" s="1"/>
  <c r="U2931" i="1"/>
  <c r="V2931" i="1" s="1"/>
  <c r="U2925" i="1"/>
  <c r="V2925" i="1" s="1"/>
  <c r="U2911" i="1"/>
  <c r="U2893" i="1"/>
  <c r="V2893" i="1" s="1"/>
  <c r="U2875" i="1"/>
  <c r="V2875" i="1" s="1"/>
  <c r="U2871" i="1"/>
  <c r="V2871" i="1" s="1"/>
  <c r="U2859" i="1"/>
  <c r="V2859" i="1" s="1"/>
  <c r="U2855" i="1"/>
  <c r="V2855" i="1" s="1"/>
  <c r="U2821" i="1"/>
  <c r="V2821" i="1" s="1"/>
  <c r="U2807" i="1"/>
  <c r="V2807" i="1" s="1"/>
  <c r="U2787" i="1"/>
  <c r="V2787" i="1" s="1"/>
  <c r="U2783" i="1"/>
  <c r="V2783" i="1" s="1"/>
  <c r="U2771" i="1"/>
  <c r="V2771" i="1" s="1"/>
  <c r="U2767" i="1"/>
  <c r="V2767" i="1" s="1"/>
  <c r="U2755" i="1"/>
  <c r="V2755" i="1" s="1"/>
  <c r="U2737" i="1"/>
  <c r="V2737" i="1" s="1"/>
  <c r="U2733" i="1"/>
  <c r="V2733" i="1" s="1"/>
  <c r="U2717" i="1"/>
  <c r="V2717" i="1" s="1"/>
  <c r="U2701" i="1"/>
  <c r="V2701" i="1" s="1"/>
  <c r="U2697" i="1"/>
  <c r="V2697" i="1" s="1"/>
  <c r="U2663" i="1"/>
  <c r="V2663" i="1" s="1"/>
  <c r="U2659" i="1"/>
  <c r="V2659" i="1" s="1"/>
  <c r="U2647" i="1"/>
  <c r="V2647" i="1" s="1"/>
  <c r="U2643" i="1"/>
  <c r="V2643" i="1" s="1"/>
  <c r="U2625" i="1"/>
  <c r="V2625" i="1" s="1"/>
  <c r="U2617" i="1"/>
  <c r="V2617" i="1" s="1"/>
  <c r="U2603" i="1"/>
  <c r="U2597" i="1"/>
  <c r="V2597" i="1" s="1"/>
  <c r="U2585" i="1"/>
  <c r="V2585" i="1" s="1"/>
  <c r="U2581" i="1"/>
  <c r="V2581" i="1" s="1"/>
  <c r="U2551" i="1"/>
  <c r="V2551" i="1" s="1"/>
  <c r="U2547" i="1"/>
  <c r="V2547" i="1" s="1"/>
  <c r="U2535" i="1"/>
  <c r="V2535" i="1" s="1"/>
  <c r="U2531" i="1"/>
  <c r="V2531" i="1" s="1"/>
  <c r="U2519" i="1"/>
  <c r="V2519" i="1" s="1"/>
  <c r="U2495" i="1"/>
  <c r="V2495" i="1" s="1"/>
  <c r="U2491" i="1"/>
  <c r="V2491" i="1" s="1"/>
  <c r="U2479" i="1"/>
  <c r="U2473" i="1"/>
  <c r="V2473" i="1" s="1"/>
  <c r="U2461" i="1"/>
  <c r="V2461" i="1" s="1"/>
  <c r="U2457" i="1"/>
  <c r="V2457" i="1" s="1"/>
  <c r="U2443" i="1"/>
  <c r="V2443" i="1" s="1"/>
  <c r="U2439" i="1"/>
  <c r="V2439" i="1" s="1"/>
  <c r="U2427" i="1"/>
  <c r="V2427" i="1" s="1"/>
  <c r="U2423" i="1"/>
  <c r="V2423" i="1" s="1"/>
  <c r="U2405" i="1"/>
  <c r="V2405" i="1" s="1"/>
  <c r="U2393" i="1"/>
  <c r="V2393" i="1" s="1"/>
  <c r="U2389" i="1"/>
  <c r="V2389" i="1" s="1"/>
  <c r="U2375" i="1"/>
  <c r="V2375" i="1" s="1"/>
  <c r="U2371" i="1"/>
  <c r="V2371" i="1" s="1"/>
  <c r="U2359" i="1"/>
  <c r="V2359" i="1" s="1"/>
  <c r="U2355" i="1"/>
  <c r="V2355" i="1" s="1"/>
  <c r="U2337" i="1"/>
  <c r="V2337" i="1" s="1"/>
  <c r="U2323" i="1"/>
  <c r="V2323" i="1" s="1"/>
  <c r="U2319" i="1"/>
  <c r="U2297" i="1"/>
  <c r="V2297" i="1" s="1"/>
  <c r="R2282" i="1"/>
  <c r="U2273" i="1"/>
  <c r="V2273" i="1" s="1"/>
  <c r="R2258" i="1"/>
  <c r="R2250" i="1"/>
  <c r="R2234" i="1"/>
  <c r="U2203" i="1"/>
  <c r="V2203" i="1" s="1"/>
  <c r="U2187" i="1"/>
  <c r="V2187" i="1" s="1"/>
  <c r="U2181" i="1"/>
  <c r="V2181" i="1" s="1"/>
  <c r="U2169" i="1"/>
  <c r="V2169" i="1" s="1"/>
  <c r="U2143" i="1"/>
  <c r="V2143" i="1" s="1"/>
  <c r="U2125" i="1"/>
  <c r="V2125" i="1" s="1"/>
  <c r="U2121" i="1"/>
  <c r="V2121" i="1" s="1"/>
  <c r="U2103" i="1"/>
  <c r="V2103" i="1" s="1"/>
  <c r="U2099" i="1"/>
  <c r="U2081" i="1"/>
  <c r="V2081" i="1" s="1"/>
  <c r="U2075" i="1"/>
  <c r="V2075" i="1" s="1"/>
  <c r="U2063" i="1"/>
  <c r="V2063" i="1" s="1"/>
  <c r="U2059" i="1"/>
  <c r="V2059" i="1" s="1"/>
  <c r="U2045" i="1"/>
  <c r="V2045" i="1" s="1"/>
  <c r="U2041" i="1"/>
  <c r="V2041" i="1" s="1"/>
  <c r="U2029" i="1"/>
  <c r="V2029" i="1" s="1"/>
  <c r="U2021" i="1"/>
  <c r="V2021" i="1" s="1"/>
  <c r="U1999" i="1"/>
  <c r="V1999" i="1" s="1"/>
  <c r="U1981" i="1"/>
  <c r="U1965" i="1"/>
  <c r="V1965" i="1" s="1"/>
  <c r="U1961" i="1"/>
  <c r="V1961" i="1" s="1"/>
  <c r="U1945" i="1"/>
  <c r="V1945" i="1" s="1"/>
  <c r="U1941" i="1"/>
  <c r="V1941" i="1" s="1"/>
  <c r="U1923" i="1"/>
  <c r="U1917" i="1"/>
  <c r="V1917" i="1" s="1"/>
  <c r="U1903" i="1"/>
  <c r="V1903" i="1" s="1"/>
  <c r="U1899" i="1"/>
  <c r="U1879" i="1"/>
  <c r="V1879" i="1" s="1"/>
  <c r="U1875" i="1"/>
  <c r="V1875" i="1" s="1"/>
  <c r="U1857" i="1"/>
  <c r="V1857" i="1" s="1"/>
  <c r="U1853" i="1"/>
  <c r="U1839" i="1"/>
  <c r="V1839" i="1" s="1"/>
  <c r="U1835" i="1"/>
  <c r="V1835" i="1" s="1"/>
  <c r="U1821" i="1"/>
  <c r="V1821" i="1" s="1"/>
  <c r="U1817" i="1"/>
  <c r="V1817" i="1" s="1"/>
  <c r="U1805" i="1"/>
  <c r="V1805" i="1" s="1"/>
  <c r="U1801" i="1"/>
  <c r="V1801" i="1" s="1"/>
  <c r="U1769" i="1"/>
  <c r="V1769" i="1" s="1"/>
  <c r="U1765" i="1"/>
  <c r="V1765" i="1" s="1"/>
  <c r="U1749" i="1"/>
  <c r="U1743" i="1"/>
  <c r="V1743" i="1" s="1"/>
  <c r="U1725" i="1"/>
  <c r="U1719" i="1"/>
  <c r="V1719" i="1" s="1"/>
  <c r="U1707" i="1"/>
  <c r="V1707" i="1" s="1"/>
  <c r="U1703" i="1"/>
  <c r="V1703" i="1" s="1"/>
  <c r="U1691" i="1"/>
  <c r="V1691" i="1" s="1"/>
  <c r="U1687" i="1"/>
  <c r="V1687" i="1" s="1"/>
  <c r="U1673" i="1"/>
  <c r="V1673" i="1" s="1"/>
  <c r="U1669" i="1"/>
  <c r="V1669" i="1" s="1"/>
  <c r="U1641" i="1"/>
  <c r="U1633" i="1"/>
  <c r="V1633" i="1" s="1"/>
  <c r="U1619" i="1"/>
  <c r="V1619" i="1" s="1"/>
  <c r="U1615" i="1"/>
  <c r="V1615" i="1" s="1"/>
  <c r="U1601" i="1"/>
  <c r="V1601" i="1" s="1"/>
  <c r="U1597" i="1"/>
  <c r="V1597" i="1" s="1"/>
  <c r="U1583" i="1"/>
  <c r="V1583" i="1" s="1"/>
  <c r="U1579" i="1"/>
  <c r="V1579" i="1" s="1"/>
  <c r="U1567" i="1"/>
  <c r="V1567" i="1" s="1"/>
  <c r="U1563" i="1"/>
  <c r="V1563" i="1" s="1"/>
  <c r="U1545" i="1"/>
  <c r="V1545" i="1" s="1"/>
  <c r="X2289" i="1"/>
  <c r="X2231" i="1"/>
  <c r="X2026" i="1"/>
  <c r="X3103" i="1"/>
  <c r="X2267" i="1"/>
  <c r="X1534" i="1"/>
  <c r="X595" i="1"/>
  <c r="X2234" i="1"/>
  <c r="X1205" i="1"/>
  <c r="X510" i="1"/>
  <c r="X2258" i="1"/>
  <c r="R3860" i="1"/>
  <c r="U3804" i="1"/>
  <c r="V3804" i="1" s="1"/>
  <c r="U3785" i="1"/>
  <c r="V3785" i="1" s="1"/>
  <c r="U3767" i="1"/>
  <c r="V3767" i="1" s="1"/>
  <c r="U3734" i="1"/>
  <c r="V3734" i="1" s="1"/>
  <c r="U3698" i="1"/>
  <c r="V3698" i="1" s="1"/>
  <c r="U3670" i="1"/>
  <c r="V3670" i="1" s="1"/>
  <c r="U3646" i="1"/>
  <c r="V3646" i="1" s="1"/>
  <c r="U3630" i="1"/>
  <c r="V3630" i="1" s="1"/>
  <c r="U3623" i="1"/>
  <c r="V3623" i="1" s="1"/>
  <c r="U3596" i="1"/>
  <c r="V3596" i="1" s="1"/>
  <c r="U3576" i="1"/>
  <c r="V3576" i="1" s="1"/>
  <c r="U3570" i="1"/>
  <c r="V3570" i="1" s="1"/>
  <c r="U3520" i="1"/>
  <c r="V3520" i="1" s="1"/>
  <c r="U3510" i="1"/>
  <c r="U3485" i="1"/>
  <c r="V3485" i="1" s="1"/>
  <c r="U3469" i="1"/>
  <c r="V3469" i="1" s="1"/>
  <c r="U3438" i="1"/>
  <c r="V3438" i="1" s="1"/>
  <c r="U3420" i="1"/>
  <c r="V3420" i="1" s="1"/>
  <c r="U3415" i="1"/>
  <c r="V3415" i="1" s="1"/>
  <c r="U3397" i="1"/>
  <c r="V3397" i="1" s="1"/>
  <c r="U3392" i="1"/>
  <c r="V3392" i="1" s="1"/>
  <c r="U3376" i="1"/>
  <c r="V3376" i="1" s="1"/>
  <c r="U3368" i="1"/>
  <c r="V3368" i="1" s="1"/>
  <c r="U3348" i="1"/>
  <c r="V3348" i="1" s="1"/>
  <c r="U3343" i="1"/>
  <c r="V3343" i="1" s="1"/>
  <c r="U3325" i="1"/>
  <c r="V3325" i="1" s="1"/>
  <c r="U3296" i="1"/>
  <c r="V3296" i="1" s="1"/>
  <c r="U3280" i="1"/>
  <c r="V3280" i="1" s="1"/>
  <c r="U3275" i="1"/>
  <c r="V3275" i="1" s="1"/>
  <c r="U3259" i="1"/>
  <c r="V3259" i="1" s="1"/>
  <c r="U3228" i="1"/>
  <c r="V3228" i="1" s="1"/>
  <c r="U3212" i="1"/>
  <c r="V3212" i="1" s="1"/>
  <c r="U3207" i="1"/>
  <c r="V3207" i="1" s="1"/>
  <c r="U3158" i="1"/>
  <c r="V3158" i="1" s="1"/>
  <c r="U3140" i="1"/>
  <c r="V3140" i="1" s="1"/>
  <c r="U3135" i="1"/>
  <c r="V3135" i="1" s="1"/>
  <c r="U3117" i="1"/>
  <c r="V3117" i="1" s="1"/>
  <c r="U3086" i="1"/>
  <c r="V3086" i="1" s="1"/>
  <c r="U3066" i="1"/>
  <c r="V3066" i="1" s="1"/>
  <c r="U3061" i="1"/>
  <c r="V3061" i="1" s="1"/>
  <c r="U3045" i="1"/>
  <c r="V3045" i="1" s="1"/>
  <c r="U3040" i="1"/>
  <c r="V3040" i="1" s="1"/>
  <c r="U3022" i="1"/>
  <c r="V3022" i="1" s="1"/>
  <c r="U3016" i="1"/>
  <c r="V3016" i="1" s="1"/>
  <c r="U3000" i="1"/>
  <c r="V3000" i="1" s="1"/>
  <c r="U2995" i="1"/>
  <c r="V2995" i="1" s="1"/>
  <c r="U2977" i="1"/>
  <c r="V2977" i="1" s="1"/>
  <c r="U2946" i="1"/>
  <c r="V2946" i="1" s="1"/>
  <c r="U2930" i="1"/>
  <c r="V2930" i="1" s="1"/>
  <c r="U2923" i="1"/>
  <c r="V2923" i="1" s="1"/>
  <c r="U2903" i="1"/>
  <c r="V2903" i="1" s="1"/>
  <c r="U2898" i="1"/>
  <c r="V2898" i="1" s="1"/>
  <c r="U2882" i="1"/>
  <c r="V2882" i="1" s="1"/>
  <c r="U2874" i="1"/>
  <c r="V2874" i="1" s="1"/>
  <c r="U2858" i="1"/>
  <c r="V2858" i="1" s="1"/>
  <c r="U2853" i="1"/>
  <c r="V2853" i="1" s="1"/>
  <c r="U2837" i="1"/>
  <c r="V2837" i="1" s="1"/>
  <c r="U2830" i="1"/>
  <c r="V2830" i="1" s="1"/>
  <c r="U2812" i="1"/>
  <c r="V2812" i="1" s="1"/>
  <c r="U2806" i="1"/>
  <c r="V2806" i="1" s="1"/>
  <c r="U2786" i="1"/>
  <c r="V2786" i="1" s="1"/>
  <c r="U2781" i="1"/>
  <c r="V2781" i="1" s="1"/>
  <c r="U2765" i="1"/>
  <c r="V2765" i="1" s="1"/>
  <c r="U2760" i="1"/>
  <c r="V2760" i="1" s="1"/>
  <c r="U2736" i="1"/>
  <c r="V2736" i="1" s="1"/>
  <c r="U2720" i="1"/>
  <c r="V2720" i="1" s="1"/>
  <c r="U2715" i="1"/>
  <c r="V2715" i="1" s="1"/>
  <c r="U2695" i="1"/>
  <c r="V2695" i="1" s="1"/>
  <c r="U2666" i="1"/>
  <c r="V2666" i="1" s="1"/>
  <c r="U2650" i="1"/>
  <c r="V2650" i="1" s="1"/>
  <c r="U2645" i="1"/>
  <c r="V2645" i="1" s="1"/>
  <c r="U2616" i="1"/>
  <c r="V2616" i="1" s="1"/>
  <c r="U2611" i="1"/>
  <c r="V2611" i="1" s="1"/>
  <c r="U2591" i="1"/>
  <c r="V2591" i="1" s="1"/>
  <c r="U2586" i="1"/>
  <c r="V2586" i="1" s="1"/>
  <c r="U2557" i="1"/>
  <c r="V2557" i="1" s="1"/>
  <c r="U2552" i="1"/>
  <c r="V2552" i="1" s="1"/>
  <c r="U2536" i="1"/>
  <c r="V2536" i="1" s="1"/>
  <c r="U2530" i="1"/>
  <c r="V2530" i="1" s="1"/>
  <c r="X371" i="1"/>
  <c r="R3850" i="1"/>
  <c r="U3824" i="1"/>
  <c r="V3824" i="1" s="1"/>
  <c r="U3802" i="1"/>
  <c r="V3802" i="1" s="1"/>
  <c r="U3794" i="1"/>
  <c r="V3794" i="1" s="1"/>
  <c r="U3755" i="1"/>
  <c r="V3755" i="1" s="1"/>
  <c r="U3720" i="1"/>
  <c r="V3720" i="1" s="1"/>
  <c r="U3692" i="1"/>
  <c r="V3692" i="1" s="1"/>
  <c r="U3686" i="1"/>
  <c r="V3686" i="1" s="1"/>
  <c r="U3661" i="1"/>
  <c r="V3661" i="1" s="1"/>
  <c r="U3640" i="1"/>
  <c r="V3640" i="1" s="1"/>
  <c r="U3612" i="1"/>
  <c r="V3612" i="1" s="1"/>
  <c r="U3594" i="1"/>
  <c r="V3594" i="1" s="1"/>
  <c r="U3589" i="1"/>
  <c r="V3589" i="1" s="1"/>
  <c r="U3562" i="1"/>
  <c r="U3536" i="1"/>
  <c r="V3536" i="1" s="1"/>
  <c r="U3531" i="1"/>
  <c r="V3531" i="1" s="1"/>
  <c r="R3508" i="1"/>
  <c r="U3500" i="1"/>
  <c r="V3500" i="1" s="1"/>
  <c r="U3484" i="1"/>
  <c r="V3484" i="1" s="1"/>
  <c r="U3478" i="1"/>
  <c r="V3478" i="1" s="1"/>
  <c r="U3455" i="1"/>
  <c r="V3455" i="1" s="1"/>
  <c r="U3430" i="1"/>
  <c r="V3430" i="1" s="1"/>
  <c r="U3414" i="1"/>
  <c r="V3414" i="1" s="1"/>
  <c r="U3408" i="1"/>
  <c r="V3408" i="1" s="1"/>
  <c r="U3385" i="1"/>
  <c r="V3385" i="1" s="1"/>
  <c r="U3360" i="1"/>
  <c r="V3360" i="1" s="1"/>
  <c r="U3342" i="1"/>
  <c r="V3342" i="1" s="1"/>
  <c r="U3318" i="1"/>
  <c r="V3318" i="1" s="1"/>
  <c r="U3311" i="1"/>
  <c r="V3311" i="1" s="1"/>
  <c r="U3306" i="1"/>
  <c r="V3306" i="1" s="1"/>
  <c r="U3290" i="1"/>
  <c r="V3290" i="1" s="1"/>
  <c r="U3274" i="1"/>
  <c r="V3274" i="1" s="1"/>
  <c r="U3268" i="1"/>
  <c r="V3268" i="1" s="1"/>
  <c r="U3250" i="1"/>
  <c r="V3250" i="1" s="1"/>
  <c r="U3245" i="1"/>
  <c r="V3245" i="1" s="1"/>
  <c r="U3222" i="1"/>
  <c r="V3222" i="1" s="1"/>
  <c r="U3206" i="1"/>
  <c r="V3206" i="1" s="1"/>
  <c r="U3193" i="1"/>
  <c r="V3193" i="1" s="1"/>
  <c r="U3180" i="1"/>
  <c r="V3180" i="1" s="1"/>
  <c r="U3175" i="1"/>
  <c r="V3175" i="1" s="1"/>
  <c r="U3150" i="1"/>
  <c r="V3150" i="1" s="1"/>
  <c r="U3144" i="1"/>
  <c r="V3144" i="1" s="1"/>
  <c r="U3134" i="1"/>
  <c r="V3134" i="1" s="1"/>
  <c r="U3105" i="1"/>
  <c r="U3085" i="1"/>
  <c r="V3085" i="1" s="1"/>
  <c r="U3080" i="1"/>
  <c r="V3080" i="1" s="1"/>
  <c r="U3060" i="1"/>
  <c r="V3060" i="1" s="1"/>
  <c r="U3054" i="1"/>
  <c r="V3054" i="1" s="1"/>
  <c r="U3049" i="1"/>
  <c r="V3049" i="1" s="1"/>
  <c r="U3038" i="1"/>
  <c r="V3038" i="1" s="1"/>
  <c r="U3031" i="1"/>
  <c r="V3031" i="1" s="1"/>
  <c r="U3015" i="1"/>
  <c r="V3015" i="1" s="1"/>
  <c r="U3010" i="1"/>
  <c r="V3010" i="1" s="1"/>
  <c r="U3004" i="1"/>
  <c r="V3004" i="1" s="1"/>
  <c r="U2994" i="1"/>
  <c r="V2994" i="1" s="1"/>
  <c r="U2988" i="1"/>
  <c r="V2988" i="1" s="1"/>
  <c r="U2981" i="1"/>
  <c r="V2981" i="1" s="1"/>
  <c r="U2940" i="1"/>
  <c r="V2940" i="1" s="1"/>
  <c r="U2934" i="1"/>
  <c r="V2934" i="1" s="1"/>
  <c r="U2914" i="1"/>
  <c r="V2914" i="1" s="1"/>
  <c r="U2896" i="1"/>
  <c r="V2896" i="1" s="1"/>
  <c r="U2886" i="1"/>
  <c r="V2886" i="1" s="1"/>
  <c r="U2868" i="1"/>
  <c r="V2868" i="1" s="1"/>
  <c r="U2852" i="1"/>
  <c r="V2852" i="1" s="1"/>
  <c r="U2846" i="1"/>
  <c r="V2846" i="1" s="1"/>
  <c r="U2828" i="1"/>
  <c r="V2828" i="1" s="1"/>
  <c r="U2816" i="1"/>
  <c r="V2816" i="1" s="1"/>
  <c r="U2800" i="1"/>
  <c r="U2780" i="1"/>
  <c r="V2780" i="1" s="1"/>
  <c r="U2753" i="1"/>
  <c r="V2753" i="1" s="1"/>
  <c r="U2735" i="1"/>
  <c r="V2735" i="1" s="1"/>
  <c r="U2730" i="1"/>
  <c r="V2730" i="1" s="1"/>
  <c r="U2724" i="1"/>
  <c r="V2724" i="1" s="1"/>
  <c r="U2714" i="1"/>
  <c r="V2714" i="1" s="1"/>
  <c r="U2706" i="1"/>
  <c r="V2706" i="1" s="1"/>
  <c r="U2654" i="1"/>
  <c r="V2654" i="1" s="1"/>
  <c r="U2626" i="1"/>
  <c r="V2626" i="1" s="1"/>
  <c r="U2590" i="1"/>
  <c r="V2590" i="1" s="1"/>
  <c r="U2574" i="1"/>
  <c r="U2540" i="1"/>
  <c r="V2540" i="1" s="1"/>
  <c r="U2534" i="1"/>
  <c r="V2534" i="1" s="1"/>
  <c r="X1666" i="1"/>
  <c r="U3863" i="1"/>
  <c r="V3863" i="1" s="1"/>
  <c r="R3847" i="1"/>
  <c r="U3808" i="1"/>
  <c r="V3808" i="1" s="1"/>
  <c r="U3788" i="1"/>
  <c r="V3788" i="1" s="1"/>
  <c r="U3782" i="1"/>
  <c r="U3775" i="1"/>
  <c r="V3775" i="1" s="1"/>
  <c r="U3754" i="1"/>
  <c r="U3744" i="1"/>
  <c r="V3744" i="1" s="1"/>
  <c r="U3712" i="1"/>
  <c r="V3712" i="1" s="1"/>
  <c r="U3680" i="1"/>
  <c r="V3680" i="1" s="1"/>
  <c r="U3672" i="1"/>
  <c r="V3672" i="1" s="1"/>
  <c r="U3660" i="1"/>
  <c r="V3660" i="1" s="1"/>
  <c r="U3654" i="1"/>
  <c r="V3654" i="1" s="1"/>
  <c r="U3649" i="1"/>
  <c r="V3649" i="1" s="1"/>
  <c r="U3628" i="1"/>
  <c r="V3628" i="1" s="1"/>
  <c r="R3620" i="1"/>
  <c r="U3611" i="1"/>
  <c r="V3611" i="1" s="1"/>
  <c r="U3604" i="1"/>
  <c r="V3604" i="1" s="1"/>
  <c r="U3580" i="1"/>
  <c r="V3580" i="1" s="1"/>
  <c r="U3558" i="1"/>
  <c r="V3558" i="1" s="1"/>
  <c r="U3546" i="1"/>
  <c r="V3546" i="1" s="1"/>
  <c r="U3530" i="1"/>
  <c r="V3530" i="1" s="1"/>
  <c r="U3522" i="1"/>
  <c r="V3522" i="1" s="1"/>
  <c r="U3493" i="1"/>
  <c r="V3493" i="1" s="1"/>
  <c r="U3472" i="1"/>
  <c r="V3472" i="1" s="1"/>
  <c r="U3454" i="1"/>
  <c r="V3454" i="1" s="1"/>
  <c r="U3446" i="1"/>
  <c r="V3446" i="1" s="1"/>
  <c r="U3441" i="1"/>
  <c r="V3441" i="1" s="1"/>
  <c r="U3418" i="1"/>
  <c r="V3418" i="1" s="1"/>
  <c r="U3400" i="1"/>
  <c r="V3400" i="1" s="1"/>
  <c r="U3384" i="1"/>
  <c r="V3384" i="1" s="1"/>
  <c r="U3378" i="1"/>
  <c r="V3378" i="1" s="1"/>
  <c r="U3353" i="1"/>
  <c r="U3330" i="1"/>
  <c r="V3330" i="1" s="1"/>
  <c r="U3322" i="1"/>
  <c r="V3322" i="1" s="1"/>
  <c r="U3310" i="1"/>
  <c r="V3310" i="1" s="1"/>
  <c r="U3299" i="1"/>
  <c r="V3299" i="1" s="1"/>
  <c r="U3283" i="1"/>
  <c r="V3283" i="1" s="1"/>
  <c r="U3267" i="1"/>
  <c r="V3267" i="1" s="1"/>
  <c r="U3262" i="1"/>
  <c r="V3262" i="1" s="1"/>
  <c r="U3254" i="1"/>
  <c r="V3254" i="1" s="1"/>
  <c r="U3244" i="1"/>
  <c r="V3244" i="1" s="1"/>
  <c r="U3238" i="1"/>
  <c r="V3238" i="1" s="1"/>
  <c r="U3233" i="1"/>
  <c r="V3233" i="1" s="1"/>
  <c r="U3192" i="1"/>
  <c r="V3192" i="1" s="1"/>
  <c r="U3186" i="1"/>
  <c r="U3174" i="1"/>
  <c r="U3143" i="1"/>
  <c r="V3143" i="1" s="1"/>
  <c r="U3138" i="1"/>
  <c r="V3138" i="1" s="1"/>
  <c r="U3120" i="1"/>
  <c r="V3120" i="1" s="1"/>
  <c r="U3048" i="1"/>
  <c r="V3048" i="1" s="1"/>
  <c r="U3042" i="1"/>
  <c r="V3042" i="1" s="1"/>
  <c r="U3030" i="1"/>
  <c r="V3030" i="1" s="1"/>
  <c r="U3019" i="1"/>
  <c r="V3019" i="1" s="1"/>
  <c r="U3003" i="1"/>
  <c r="V3003" i="1" s="1"/>
  <c r="U2998" i="1"/>
  <c r="V2998" i="1" s="1"/>
  <c r="U2987" i="1"/>
  <c r="V2987" i="1" s="1"/>
  <c r="U2980" i="1"/>
  <c r="V2980" i="1" s="1"/>
  <c r="U2974" i="1"/>
  <c r="V2974" i="1" s="1"/>
  <c r="U2960" i="1"/>
  <c r="V2960" i="1" s="1"/>
  <c r="U2954" i="1"/>
  <c r="V2954" i="1" s="1"/>
  <c r="U2926" i="1"/>
  <c r="V2926" i="1" s="1"/>
  <c r="U2906" i="1"/>
  <c r="V2906" i="1" s="1"/>
  <c r="U2890" i="1"/>
  <c r="V2890" i="1" s="1"/>
  <c r="U2884" i="1"/>
  <c r="V2884" i="1" s="1"/>
  <c r="U2879" i="1"/>
  <c r="V2879" i="1" s="1"/>
  <c r="U2840" i="1"/>
  <c r="V2840" i="1" s="1"/>
  <c r="U2822" i="1"/>
  <c r="V2822" i="1" s="1"/>
  <c r="U2814" i="1"/>
  <c r="V2814" i="1" s="1"/>
  <c r="U2791" i="1"/>
  <c r="U2784" i="1"/>
  <c r="V2784" i="1" s="1"/>
  <c r="U2768" i="1"/>
  <c r="V2768" i="1" s="1"/>
  <c r="U2752" i="1"/>
  <c r="V2752" i="1" s="1"/>
  <c r="U2746" i="1"/>
  <c r="V2746" i="1" s="1"/>
  <c r="U2723" i="1"/>
  <c r="V2723" i="1" s="1"/>
  <c r="U2718" i="1"/>
  <c r="V2718" i="1" s="1"/>
  <c r="U2698" i="1"/>
  <c r="V2698" i="1" s="1"/>
  <c r="U2682" i="1"/>
  <c r="V2682" i="1" s="1"/>
  <c r="U2648" i="1"/>
  <c r="V2648" i="1" s="1"/>
  <c r="U2619" i="1"/>
  <c r="V2619" i="1" s="1"/>
  <c r="U2594" i="1"/>
  <c r="V2594" i="1" s="1"/>
  <c r="U2554" i="1"/>
  <c r="V2554" i="1" s="1"/>
  <c r="U2533" i="1"/>
  <c r="V2533" i="1" s="1"/>
  <c r="U2528" i="1"/>
  <c r="V2528" i="1" s="1"/>
  <c r="U2522" i="1"/>
  <c r="V2522" i="1" s="1"/>
  <c r="U3826" i="1"/>
  <c r="V3826" i="1" s="1"/>
  <c r="U3799" i="1"/>
  <c r="U3774" i="1"/>
  <c r="V3774" i="1" s="1"/>
  <c r="U3678" i="1"/>
  <c r="V3678" i="1" s="1"/>
  <c r="U3653" i="1"/>
  <c r="V3653" i="1" s="1"/>
  <c r="U3579" i="1"/>
  <c r="U3550" i="1"/>
  <c r="V3550" i="1" s="1"/>
  <c r="U3476" i="1"/>
  <c r="V3476" i="1" s="1"/>
  <c r="U3452" i="1"/>
  <c r="V3452" i="1" s="1"/>
  <c r="U3382" i="1"/>
  <c r="V3382" i="1" s="1"/>
  <c r="U3357" i="1"/>
  <c r="V3357" i="1" s="1"/>
  <c r="U3287" i="1"/>
  <c r="V3287" i="1" s="1"/>
  <c r="U3266" i="1"/>
  <c r="V3266" i="1" s="1"/>
  <c r="U3170" i="1"/>
  <c r="V3170" i="1" s="1"/>
  <c r="U3098" i="1"/>
  <c r="V3098" i="1" s="1"/>
  <c r="U3077" i="1"/>
  <c r="V3077" i="1" s="1"/>
  <c r="U3052" i="1"/>
  <c r="V3052" i="1" s="1"/>
  <c r="U3007" i="1"/>
  <c r="V3007" i="1" s="1"/>
  <c r="U2986" i="1"/>
  <c r="V2986" i="1" s="1"/>
  <c r="U2912" i="1"/>
  <c r="V2912" i="1" s="1"/>
  <c r="U2888" i="1"/>
  <c r="V2888" i="1" s="1"/>
  <c r="U2820" i="1"/>
  <c r="U2795" i="1"/>
  <c r="V2795" i="1" s="1"/>
  <c r="U2727" i="1"/>
  <c r="V2727" i="1" s="1"/>
  <c r="U2704" i="1"/>
  <c r="U2612" i="1"/>
  <c r="V2612" i="1" s="1"/>
  <c r="U2587" i="1"/>
  <c r="V2587" i="1" s="1"/>
  <c r="U2514" i="1"/>
  <c r="V2514" i="1" s="1"/>
  <c r="U2504" i="1"/>
  <c r="U2476" i="1"/>
  <c r="V2476" i="1" s="1"/>
  <c r="U2460" i="1"/>
  <c r="V2460" i="1" s="1"/>
  <c r="U2455" i="1"/>
  <c r="V2455" i="1" s="1"/>
  <c r="U2448" i="1"/>
  <c r="V2448" i="1" s="1"/>
  <c r="U2437" i="1"/>
  <c r="V2437" i="1" s="1"/>
  <c r="U2432" i="1"/>
  <c r="V2432" i="1" s="1"/>
  <c r="U2426" i="1"/>
  <c r="V2426" i="1" s="1"/>
  <c r="U2414" i="1"/>
  <c r="V2414" i="1" s="1"/>
  <c r="U2408" i="1"/>
  <c r="V2408" i="1" s="1"/>
  <c r="U2392" i="1"/>
  <c r="V2392" i="1" s="1"/>
  <c r="U2387" i="1"/>
  <c r="U2369" i="1"/>
  <c r="V2369" i="1" s="1"/>
  <c r="U2364" i="1"/>
  <c r="V2364" i="1" s="1"/>
  <c r="U2348" i="1"/>
  <c r="V2348" i="1" s="1"/>
  <c r="U2340" i="1"/>
  <c r="V2340" i="1" s="1"/>
  <c r="U2322" i="1"/>
  <c r="V2322" i="1" s="1"/>
  <c r="U2313" i="1"/>
  <c r="V2313" i="1" s="1"/>
  <c r="U2295" i="1"/>
  <c r="U2284" i="1"/>
  <c r="U2272" i="1"/>
  <c r="V2272" i="1" s="1"/>
  <c r="R2264" i="1"/>
  <c r="U2222" i="1"/>
  <c r="V2222" i="1" s="1"/>
  <c r="U2211" i="1"/>
  <c r="V2211" i="1" s="1"/>
  <c r="U2198" i="1"/>
  <c r="V2198" i="1" s="1"/>
  <c r="U2193" i="1"/>
  <c r="V2193" i="1" s="1"/>
  <c r="U2180" i="1"/>
  <c r="V2180" i="1" s="1"/>
  <c r="U2175" i="1"/>
  <c r="V2175" i="1" s="1"/>
  <c r="U2157" i="1"/>
  <c r="V2157" i="1" s="1"/>
  <c r="U2130" i="1"/>
  <c r="V2130" i="1" s="1"/>
  <c r="U2119" i="1"/>
  <c r="V2119" i="1" s="1"/>
  <c r="U2101" i="1"/>
  <c r="V2101" i="1" s="1"/>
  <c r="U2094" i="1"/>
  <c r="V2094" i="1" s="1"/>
  <c r="U2088" i="1"/>
  <c r="V2088" i="1" s="1"/>
  <c r="U2070" i="1"/>
  <c r="V2070" i="1" s="1"/>
  <c r="U2065" i="1"/>
  <c r="V2065" i="1" s="1"/>
  <c r="U2052" i="1"/>
  <c r="V2052" i="1" s="1"/>
  <c r="U2047" i="1"/>
  <c r="V2047" i="1" s="1"/>
  <c r="U2031" i="1"/>
  <c r="V2031" i="1" s="1"/>
  <c r="U2022" i="1"/>
  <c r="V2022" i="1" s="1"/>
  <c r="U1998" i="1"/>
  <c r="V1998" i="1" s="1"/>
  <c r="U1978" i="1"/>
  <c r="V1978" i="1" s="1"/>
  <c r="U1953" i="1"/>
  <c r="V1953" i="1" s="1"/>
  <c r="U1940" i="1"/>
  <c r="V1940" i="1" s="1"/>
  <c r="U1915" i="1"/>
  <c r="V1915" i="1" s="1"/>
  <c r="U1908" i="1"/>
  <c r="V1908" i="1" s="1"/>
  <c r="U1895" i="1"/>
  <c r="V1895" i="1" s="1"/>
  <c r="U1882" i="1"/>
  <c r="V1882" i="1" s="1"/>
  <c r="U1854" i="1"/>
  <c r="V1854" i="1" s="1"/>
  <c r="U1846" i="1"/>
  <c r="V1846" i="1" s="1"/>
  <c r="U1830" i="1"/>
  <c r="V1830" i="1" s="1"/>
  <c r="U1823" i="1"/>
  <c r="V1823" i="1" s="1"/>
  <c r="U1818" i="1"/>
  <c r="V1818" i="1" s="1"/>
  <c r="U1807" i="1"/>
  <c r="V1807" i="1" s="1"/>
  <c r="U1802" i="1"/>
  <c r="V1802" i="1" s="1"/>
  <c r="U1782" i="1"/>
  <c r="V1782" i="1" s="1"/>
  <c r="U1776" i="1"/>
  <c r="V1776" i="1" s="1"/>
  <c r="U1771" i="1"/>
  <c r="V1771" i="1" s="1"/>
  <c r="U1760" i="1"/>
  <c r="V1760" i="1" s="1"/>
  <c r="R1754" i="1"/>
  <c r="U1744" i="1"/>
  <c r="V1744" i="1" s="1"/>
  <c r="U1726" i="1"/>
  <c r="V1726" i="1" s="1"/>
  <c r="U1718" i="1"/>
  <c r="V1718" i="1" s="1"/>
  <c r="U1702" i="1"/>
  <c r="V1702" i="1" s="1"/>
  <c r="U1674" i="1"/>
  <c r="V1674" i="1" s="1"/>
  <c r="U1654" i="1"/>
  <c r="V1654" i="1" s="1"/>
  <c r="U1634" i="1"/>
  <c r="V1634" i="1" s="1"/>
  <c r="U1616" i="1"/>
  <c r="V1616" i="1" s="1"/>
  <c r="U1608" i="1"/>
  <c r="V1608" i="1" s="1"/>
  <c r="U1592" i="1"/>
  <c r="V1592" i="1" s="1"/>
  <c r="U1585" i="1"/>
  <c r="V1585" i="1" s="1"/>
  <c r="U1569" i="1"/>
  <c r="V1569" i="1" s="1"/>
  <c r="U1564" i="1"/>
  <c r="V1564" i="1" s="1"/>
  <c r="U1546" i="1"/>
  <c r="V1546" i="1" s="1"/>
  <c r="U1541" i="1"/>
  <c r="V1541" i="1" s="1"/>
  <c r="U1515" i="1"/>
  <c r="V1515" i="1" s="1"/>
  <c r="U1511" i="1"/>
  <c r="V1511" i="1" s="1"/>
  <c r="U1499" i="1"/>
  <c r="V1499" i="1" s="1"/>
  <c r="U1489" i="1"/>
  <c r="V1489" i="1" s="1"/>
  <c r="U1479" i="1"/>
  <c r="V1479" i="1" s="1"/>
  <c r="U1475" i="1"/>
  <c r="V1475" i="1" s="1"/>
  <c r="U1463" i="1"/>
  <c r="V1463" i="1" s="1"/>
  <c r="U1459" i="1"/>
  <c r="V1459" i="1" s="1"/>
  <c r="U1445" i="1"/>
  <c r="V1445" i="1" s="1"/>
  <c r="U1441" i="1"/>
  <c r="V1441" i="1" s="1"/>
  <c r="U1429" i="1"/>
  <c r="V1429" i="1" s="1"/>
  <c r="U1425" i="1"/>
  <c r="V1425" i="1" s="1"/>
  <c r="U1409" i="1"/>
  <c r="V1409" i="1" s="1"/>
  <c r="U1405" i="1"/>
  <c r="V1405" i="1" s="1"/>
  <c r="U1393" i="1"/>
  <c r="V1393" i="1" s="1"/>
  <c r="U1375" i="1"/>
  <c r="V1375" i="1" s="1"/>
  <c r="U1371" i="1"/>
  <c r="V1371" i="1" s="1"/>
  <c r="U1357" i="1"/>
  <c r="V1357" i="1" s="1"/>
  <c r="U1335" i="1"/>
  <c r="V1335" i="1" s="1"/>
  <c r="U1331" i="1"/>
  <c r="V1331" i="1" s="1"/>
  <c r="U1321" i="1"/>
  <c r="V1321" i="1" s="1"/>
  <c r="U1317" i="1"/>
  <c r="V1317" i="1" s="1"/>
  <c r="U1313" i="1"/>
  <c r="V1313" i="1" s="1"/>
  <c r="U1301" i="1"/>
  <c r="V1301" i="1" s="1"/>
  <c r="U1287" i="1"/>
  <c r="V1287" i="1" s="1"/>
  <c r="U1283" i="1"/>
  <c r="V1283" i="1" s="1"/>
  <c r="U1269" i="1"/>
  <c r="V1269" i="1" s="1"/>
  <c r="U1253" i="1"/>
  <c r="V1253" i="1" s="1"/>
  <c r="U1249" i="1"/>
  <c r="V1249" i="1" s="1"/>
  <c r="U1231" i="1"/>
  <c r="V1231" i="1" s="1"/>
  <c r="U1219" i="1"/>
  <c r="V1219" i="1" s="1"/>
  <c r="U1215" i="1"/>
  <c r="U1195" i="1"/>
  <c r="V1195" i="1" s="1"/>
  <c r="U1191" i="1"/>
  <c r="V1191" i="1" s="1"/>
  <c r="U1187" i="1"/>
  <c r="V1187" i="1" s="1"/>
  <c r="U1173" i="1"/>
  <c r="V1173" i="1" s="1"/>
  <c r="U1161" i="1"/>
  <c r="V1161" i="1" s="1"/>
  <c r="U1157" i="1"/>
  <c r="V1157" i="1" s="1"/>
  <c r="U1145" i="1"/>
  <c r="U1139" i="1"/>
  <c r="V1139" i="1" s="1"/>
  <c r="U1127" i="1"/>
  <c r="V1127" i="1" s="1"/>
  <c r="U1123" i="1"/>
  <c r="V1123" i="1" s="1"/>
  <c r="U1109" i="1"/>
  <c r="V1109" i="1" s="1"/>
  <c r="U1105" i="1"/>
  <c r="V1105" i="1" s="1"/>
  <c r="U3820" i="1"/>
  <c r="V3820" i="1" s="1"/>
  <c r="U3743" i="1"/>
  <c r="V3743" i="1" s="1"/>
  <c r="U3694" i="1"/>
  <c r="V3694" i="1" s="1"/>
  <c r="U3648" i="1"/>
  <c r="V3648" i="1" s="1"/>
  <c r="U3624" i="1"/>
  <c r="V3624" i="1" s="1"/>
  <c r="U3544" i="1"/>
  <c r="V3544" i="1" s="1"/>
  <c r="U3521" i="1"/>
  <c r="V3521" i="1" s="1"/>
  <c r="U3445" i="1"/>
  <c r="V3445" i="1" s="1"/>
  <c r="U3422" i="1"/>
  <c r="V3422" i="1" s="1"/>
  <c r="U3326" i="1"/>
  <c r="V3326" i="1" s="1"/>
  <c r="U3303" i="1"/>
  <c r="V3303" i="1" s="1"/>
  <c r="U3260" i="1"/>
  <c r="V3260" i="1" s="1"/>
  <c r="U3237" i="1"/>
  <c r="V3237" i="1" s="1"/>
  <c r="U3214" i="1"/>
  <c r="V3214" i="1" s="1"/>
  <c r="U3165" i="1"/>
  <c r="V3165" i="1" s="1"/>
  <c r="U3142" i="1"/>
  <c r="V3142" i="1" s="1"/>
  <c r="U3118" i="1"/>
  <c r="V3118" i="1" s="1"/>
  <c r="U3046" i="1"/>
  <c r="V3046" i="1" s="1"/>
  <c r="U3023" i="1"/>
  <c r="V3023" i="1" s="1"/>
  <c r="U2978" i="1"/>
  <c r="V2978" i="1" s="1"/>
  <c r="U2953" i="1"/>
  <c r="V2953" i="1" s="1"/>
  <c r="U2932" i="1"/>
  <c r="V2932" i="1" s="1"/>
  <c r="U2883" i="1"/>
  <c r="V2883" i="1" s="1"/>
  <c r="U2860" i="1"/>
  <c r="V2860" i="1" s="1"/>
  <c r="U2838" i="1"/>
  <c r="V2838" i="1" s="1"/>
  <c r="U2766" i="1"/>
  <c r="V2766" i="1" s="1"/>
  <c r="U2696" i="1"/>
  <c r="V2696" i="1" s="1"/>
  <c r="U2652" i="1"/>
  <c r="V2652" i="1" s="1"/>
  <c r="U2628" i="1"/>
  <c r="V2628" i="1" s="1"/>
  <c r="U2558" i="1"/>
  <c r="V2558" i="1" s="1"/>
  <c r="U2500" i="1"/>
  <c r="U2493" i="1"/>
  <c r="V2493" i="1" s="1"/>
  <c r="U2470" i="1"/>
  <c r="V2470" i="1" s="1"/>
  <c r="U2464" i="1"/>
  <c r="V2464" i="1" s="1"/>
  <c r="U2454" i="1"/>
  <c r="V2454" i="1" s="1"/>
  <c r="U2430" i="1"/>
  <c r="V2430" i="1" s="1"/>
  <c r="U2425" i="1"/>
  <c r="V2425" i="1" s="1"/>
  <c r="U2420" i="1"/>
  <c r="V2420" i="1" s="1"/>
  <c r="U2402" i="1"/>
  <c r="V2402" i="1" s="1"/>
  <c r="U2396" i="1"/>
  <c r="V2396" i="1" s="1"/>
  <c r="U2384" i="1"/>
  <c r="V2384" i="1" s="1"/>
  <c r="U2378" i="1"/>
  <c r="V2378" i="1" s="1"/>
  <c r="U2357" i="1"/>
  <c r="V2357" i="1" s="1"/>
  <c r="U2334" i="1"/>
  <c r="V2334" i="1" s="1"/>
  <c r="U2326" i="1"/>
  <c r="V2326" i="1" s="1"/>
  <c r="U2312" i="1"/>
  <c r="V2312" i="1" s="1"/>
  <c r="U2306" i="1"/>
  <c r="V2306" i="1" s="1"/>
  <c r="U2271" i="1"/>
  <c r="V2271" i="1" s="1"/>
  <c r="U2197" i="1"/>
  <c r="V2197" i="1" s="1"/>
  <c r="U2192" i="1"/>
  <c r="V2192" i="1" s="1"/>
  <c r="U2179" i="1"/>
  <c r="V2179" i="1" s="1"/>
  <c r="U2174" i="1"/>
  <c r="V2174" i="1" s="1"/>
  <c r="U2168" i="1"/>
  <c r="V2168" i="1" s="1"/>
  <c r="U2123" i="1"/>
  <c r="V2123" i="1" s="1"/>
  <c r="U2100" i="1"/>
  <c r="V2100" i="1" s="1"/>
  <c r="U2087" i="1"/>
  <c r="V2087" i="1" s="1"/>
  <c r="U2069" i="1"/>
  <c r="V2069" i="1" s="1"/>
  <c r="U2064" i="1"/>
  <c r="V2064" i="1" s="1"/>
  <c r="U2058" i="1"/>
  <c r="V2058" i="1" s="1"/>
  <c r="U2046" i="1"/>
  <c r="V2046" i="1" s="1"/>
  <c r="U2035" i="1"/>
  <c r="V2035" i="1" s="1"/>
  <c r="U2020" i="1"/>
  <c r="V2020" i="1" s="1"/>
  <c r="U2015" i="1"/>
  <c r="U1992" i="1"/>
  <c r="V1992" i="1" s="1"/>
  <c r="U1986" i="1"/>
  <c r="V1986" i="1" s="1"/>
  <c r="U1964" i="1"/>
  <c r="V1964" i="1" s="1"/>
  <c r="U1959" i="1"/>
  <c r="V1959" i="1" s="1"/>
  <c r="U1952" i="1"/>
  <c r="V1952" i="1" s="1"/>
  <c r="U1934" i="1"/>
  <c r="V1934" i="1" s="1"/>
  <c r="U1928" i="1"/>
  <c r="U1919" i="1"/>
  <c r="V1919" i="1" s="1"/>
  <c r="U1906" i="1"/>
  <c r="V1906" i="1" s="1"/>
  <c r="U1901" i="1"/>
  <c r="V1901" i="1" s="1"/>
  <c r="U1863" i="1"/>
  <c r="V1863" i="1" s="1"/>
  <c r="U1850" i="1"/>
  <c r="V1850" i="1" s="1"/>
  <c r="U1840" i="1"/>
  <c r="V1840" i="1" s="1"/>
  <c r="U1829" i="1"/>
  <c r="V1829" i="1" s="1"/>
  <c r="U1822" i="1"/>
  <c r="V1822" i="1" s="1"/>
  <c r="U1806" i="1"/>
  <c r="V1806" i="1" s="1"/>
  <c r="U1800" i="1"/>
  <c r="V1800" i="1" s="1"/>
  <c r="U1793" i="1"/>
  <c r="V1793" i="1" s="1"/>
  <c r="U1780" i="1"/>
  <c r="V1780" i="1" s="1"/>
  <c r="U1775" i="1"/>
  <c r="V1775" i="1" s="1"/>
  <c r="U1770" i="1"/>
  <c r="V1770" i="1" s="1"/>
  <c r="U1759" i="1"/>
  <c r="V1759" i="1" s="1"/>
  <c r="U1750" i="1"/>
  <c r="V1750" i="1" s="1"/>
  <c r="U1742" i="1"/>
  <c r="V1742" i="1" s="1"/>
  <c r="U1722" i="1"/>
  <c r="V1722" i="1" s="1"/>
  <c r="U1717" i="1"/>
  <c r="V1717" i="1" s="1"/>
  <c r="U1712" i="1"/>
  <c r="V1712" i="1" s="1"/>
  <c r="U1701" i="1"/>
  <c r="V1701" i="1" s="1"/>
  <c r="U1696" i="1"/>
  <c r="V1696" i="1" s="1"/>
  <c r="U1680" i="1"/>
  <c r="U1672" i="1"/>
  <c r="V1672" i="1" s="1"/>
  <c r="R1666" i="1"/>
  <c r="U1632" i="1"/>
  <c r="V1632" i="1" s="1"/>
  <c r="U1627" i="1"/>
  <c r="V1627" i="1" s="1"/>
  <c r="U1602" i="1"/>
  <c r="V1602" i="1" s="1"/>
  <c r="U1584" i="1"/>
  <c r="V1584" i="1" s="1"/>
  <c r="U1578" i="1"/>
  <c r="V1578" i="1" s="1"/>
  <c r="U1562" i="1"/>
  <c r="V1562" i="1" s="1"/>
  <c r="U1557" i="1"/>
  <c r="V1557" i="1" s="1"/>
  <c r="U1540" i="1"/>
  <c r="V1540" i="1" s="1"/>
  <c r="U1536" i="1"/>
  <c r="U1514" i="1"/>
  <c r="V1514" i="1" s="1"/>
  <c r="U1510" i="1"/>
  <c r="V1510" i="1" s="1"/>
  <c r="U1498" i="1"/>
  <c r="V1498" i="1" s="1"/>
  <c r="U1494" i="1"/>
  <c r="U1478" i="1"/>
  <c r="V1478" i="1" s="1"/>
  <c r="U1474" i="1"/>
  <c r="V1474" i="1" s="1"/>
  <c r="U1462" i="1"/>
  <c r="V1462" i="1" s="1"/>
  <c r="U1458" i="1"/>
  <c r="V1458" i="1" s="1"/>
  <c r="U1444" i="1"/>
  <c r="V1444" i="1" s="1"/>
  <c r="U1436" i="1"/>
  <c r="V1436" i="1" s="1"/>
  <c r="U1428" i="1"/>
  <c r="V1428" i="1" s="1"/>
  <c r="U1424" i="1"/>
  <c r="V1424" i="1" s="1"/>
  <c r="U1408" i="1"/>
  <c r="V1408" i="1" s="1"/>
  <c r="U1404" i="1"/>
  <c r="V1404" i="1" s="1"/>
  <c r="U1392" i="1"/>
  <c r="V1392" i="1" s="1"/>
  <c r="U1386" i="1"/>
  <c r="V1386" i="1" s="1"/>
  <c r="U1374" i="1"/>
  <c r="V1374" i="1" s="1"/>
  <c r="U1370" i="1"/>
  <c r="V1370" i="1" s="1"/>
  <c r="U1356" i="1"/>
  <c r="V1356" i="1" s="1"/>
  <c r="U1352" i="1"/>
  <c r="V1352" i="1" s="1"/>
  <c r="U1340" i="1"/>
  <c r="V1340" i="1" s="1"/>
  <c r="U1334" i="1"/>
  <c r="V1334" i="1" s="1"/>
  <c r="U1320" i="1"/>
  <c r="V1320" i="1" s="1"/>
  <c r="U1316" i="1"/>
  <c r="V1316" i="1" s="1"/>
  <c r="U1304" i="1"/>
  <c r="V1304" i="1" s="1"/>
  <c r="U1300" i="1"/>
  <c r="V1300" i="1" s="1"/>
  <c r="U1286" i="1"/>
  <c r="V1286" i="1" s="1"/>
  <c r="U1282" i="1"/>
  <c r="V1282" i="1" s="1"/>
  <c r="U1278" i="1"/>
  <c r="V1278" i="1" s="1"/>
  <c r="U1268" i="1"/>
  <c r="V1268" i="1" s="1"/>
  <c r="U1264" i="1"/>
  <c r="V1264" i="1" s="1"/>
  <c r="U1252" i="1"/>
  <c r="V1252" i="1" s="1"/>
  <c r="U1248" i="1"/>
  <c r="V1248" i="1" s="1"/>
  <c r="U1242" i="1"/>
  <c r="V1242" i="1" s="1"/>
  <c r="U1234" i="1"/>
  <c r="V1234" i="1" s="1"/>
  <c r="U1230" i="1"/>
  <c r="V1230" i="1" s="1"/>
  <c r="U1212" i="1"/>
  <c r="V1212" i="1" s="1"/>
  <c r="U1194" i="1"/>
  <c r="V1194" i="1" s="1"/>
  <c r="U1190" i="1"/>
  <c r="V1190" i="1" s="1"/>
  <c r="U1176" i="1"/>
  <c r="V1176" i="1" s="1"/>
  <c r="U1172" i="1"/>
  <c r="V1172" i="1" s="1"/>
  <c r="U1160" i="1"/>
  <c r="V1160" i="1" s="1"/>
  <c r="U1156" i="1"/>
  <c r="V1156" i="1" s="1"/>
  <c r="U1142" i="1"/>
  <c r="V1142" i="1" s="1"/>
  <c r="U1138" i="1"/>
  <c r="V1138" i="1" s="1"/>
  <c r="U1126" i="1"/>
  <c r="V1126" i="1" s="1"/>
  <c r="U1122" i="1"/>
  <c r="V1122" i="1" s="1"/>
  <c r="U1108" i="1"/>
  <c r="V1108" i="1" s="1"/>
  <c r="U1104" i="1"/>
  <c r="V1104" i="1" s="1"/>
  <c r="X2293" i="1"/>
  <c r="X513" i="1"/>
  <c r="U3813" i="1"/>
  <c r="V3813" i="1" s="1"/>
  <c r="U3786" i="1"/>
  <c r="V3786" i="1" s="1"/>
  <c r="U3689" i="1"/>
  <c r="V3689" i="1" s="1"/>
  <c r="U3664" i="1"/>
  <c r="V3664" i="1" s="1"/>
  <c r="U3642" i="1"/>
  <c r="V3642" i="1" s="1"/>
  <c r="U3564" i="1"/>
  <c r="V3564" i="1" s="1"/>
  <c r="U3465" i="1"/>
  <c r="V3465" i="1" s="1"/>
  <c r="U3393" i="1"/>
  <c r="V3393" i="1" s="1"/>
  <c r="U3344" i="1"/>
  <c r="V3344" i="1" s="1"/>
  <c r="U3298" i="1"/>
  <c r="V3298" i="1" s="1"/>
  <c r="U3276" i="1"/>
  <c r="V3276" i="1" s="1"/>
  <c r="U3208" i="1"/>
  <c r="V3208" i="1" s="1"/>
  <c r="U3183" i="1"/>
  <c r="V3183" i="1" s="1"/>
  <c r="U3160" i="1"/>
  <c r="V3160" i="1" s="1"/>
  <c r="U3088" i="1"/>
  <c r="V3088" i="1" s="1"/>
  <c r="U3062" i="1"/>
  <c r="V3062" i="1" s="1"/>
  <c r="U3018" i="1"/>
  <c r="V3018" i="1" s="1"/>
  <c r="U2996" i="1"/>
  <c r="V2996" i="1" s="1"/>
  <c r="U2973" i="1"/>
  <c r="U2924" i="1"/>
  <c r="V2924" i="1" s="1"/>
  <c r="U2899" i="1"/>
  <c r="V2899" i="1" s="1"/>
  <c r="U2833" i="1"/>
  <c r="U2808" i="1"/>
  <c r="V2808" i="1" s="1"/>
  <c r="U2740" i="1"/>
  <c r="U2716" i="1"/>
  <c r="V2716" i="1" s="1"/>
  <c r="U2646" i="1"/>
  <c r="V2646" i="1" s="1"/>
  <c r="U2623" i="1"/>
  <c r="V2623" i="1" s="1"/>
  <c r="U2517" i="1"/>
  <c r="V2517" i="1" s="1"/>
  <c r="U2497" i="1"/>
  <c r="V2497" i="1" s="1"/>
  <c r="U2481" i="1"/>
  <c r="V2481" i="1" s="1"/>
  <c r="U2463" i="1"/>
  <c r="V2463" i="1" s="1"/>
  <c r="U2458" i="1"/>
  <c r="V2458" i="1" s="1"/>
  <c r="U2452" i="1"/>
  <c r="U2440" i="1"/>
  <c r="V2440" i="1" s="1"/>
  <c r="U2434" i="1"/>
  <c r="V2434" i="1" s="1"/>
  <c r="U2429" i="1"/>
  <c r="V2429" i="1" s="1"/>
  <c r="U2411" i="1"/>
  <c r="V2411" i="1" s="1"/>
  <c r="U2390" i="1"/>
  <c r="V2390" i="1" s="1"/>
  <c r="U2372" i="1"/>
  <c r="V2372" i="1" s="1"/>
  <c r="U2366" i="1"/>
  <c r="V2366" i="1" s="1"/>
  <c r="U2361" i="1"/>
  <c r="V2361" i="1" s="1"/>
  <c r="U2320" i="1"/>
  <c r="V2320" i="1" s="1"/>
  <c r="U2298" i="1"/>
  <c r="V2298" i="1" s="1"/>
  <c r="U2254" i="1"/>
  <c r="V2254" i="1" s="1"/>
  <c r="U2245" i="1"/>
  <c r="V2245" i="1" s="1"/>
  <c r="U2236" i="1"/>
  <c r="U2201" i="1"/>
  <c r="V2201" i="1" s="1"/>
  <c r="U2196" i="1"/>
  <c r="V2196" i="1" s="1"/>
  <c r="U2178" i="1"/>
  <c r="V2178" i="1" s="1"/>
  <c r="U2172" i="1"/>
  <c r="V2172" i="1" s="1"/>
  <c r="U2145" i="1"/>
  <c r="V2145" i="1" s="1"/>
  <c r="U2114" i="1"/>
  <c r="V2114" i="1" s="1"/>
  <c r="U2104" i="1"/>
  <c r="V2104" i="1" s="1"/>
  <c r="U2091" i="1"/>
  <c r="V2091" i="1" s="1"/>
  <c r="U2086" i="1"/>
  <c r="V2086" i="1" s="1"/>
  <c r="U2073" i="1"/>
  <c r="V2073" i="1" s="1"/>
  <c r="U2062" i="1"/>
  <c r="V2062" i="1" s="1"/>
  <c r="U2057" i="1"/>
  <c r="U2034" i="1"/>
  <c r="V2034" i="1" s="1"/>
  <c r="U2028" i="1"/>
  <c r="U1996" i="1"/>
  <c r="V1996" i="1" s="1"/>
  <c r="U1990" i="1"/>
  <c r="V1990" i="1" s="1"/>
  <c r="U1963" i="1"/>
  <c r="V1963" i="1" s="1"/>
  <c r="U1958" i="1"/>
  <c r="V1958" i="1" s="1"/>
  <c r="U1925" i="1"/>
  <c r="V1925" i="1" s="1"/>
  <c r="U1918" i="1"/>
  <c r="V1918" i="1" s="1"/>
  <c r="U1910" i="1"/>
  <c r="V1910" i="1" s="1"/>
  <c r="U1900" i="1"/>
  <c r="V1900" i="1" s="1"/>
  <c r="U1892" i="1"/>
  <c r="U1862" i="1"/>
  <c r="V1862" i="1" s="1"/>
  <c r="U1856" i="1"/>
  <c r="V1856" i="1" s="1"/>
  <c r="U1838" i="1"/>
  <c r="V1838" i="1" s="1"/>
  <c r="U1833" i="1"/>
  <c r="V1833" i="1" s="1"/>
  <c r="U1810" i="1"/>
  <c r="V1810" i="1" s="1"/>
  <c r="U1792" i="1"/>
  <c r="V1792" i="1" s="1"/>
  <c r="U1786" i="1"/>
  <c r="V1786" i="1" s="1"/>
  <c r="U1768" i="1"/>
  <c r="V1768" i="1" s="1"/>
  <c r="U1763" i="1"/>
  <c r="V1763" i="1" s="1"/>
  <c r="U1741" i="1"/>
  <c r="V1741" i="1" s="1"/>
  <c r="U1736" i="1"/>
  <c r="U1710" i="1"/>
  <c r="V1710" i="1" s="1"/>
  <c r="U1705" i="1"/>
  <c r="V1705" i="1" s="1"/>
  <c r="U1694" i="1"/>
  <c r="V1694" i="1" s="1"/>
  <c r="U1689" i="1"/>
  <c r="V1689" i="1" s="1"/>
  <c r="U1671" i="1"/>
  <c r="V1671" i="1" s="1"/>
  <c r="U1638" i="1"/>
  <c r="V1638" i="1" s="1"/>
  <c r="U1618" i="1"/>
  <c r="V1618" i="1" s="1"/>
  <c r="U1595" i="1"/>
  <c r="V1595" i="1" s="1"/>
  <c r="U1590" i="1"/>
  <c r="V1590" i="1" s="1"/>
  <c r="U1566" i="1"/>
  <c r="V1566" i="1" s="1"/>
  <c r="U1561" i="1"/>
  <c r="V1561" i="1" s="1"/>
  <c r="U1548" i="1"/>
  <c r="V1548" i="1" s="1"/>
  <c r="U1543" i="1"/>
  <c r="V1543" i="1" s="1"/>
  <c r="U1539" i="1"/>
  <c r="V1539" i="1" s="1"/>
  <c r="U1527" i="1"/>
  <c r="V1527" i="1" s="1"/>
  <c r="U1523" i="1"/>
  <c r="V1523" i="1" s="1"/>
  <c r="U1509" i="1"/>
  <c r="V1509" i="1" s="1"/>
  <c r="U1505" i="1"/>
  <c r="V1505" i="1" s="1"/>
  <c r="U1491" i="1"/>
  <c r="V1491" i="1" s="1"/>
  <c r="U1487" i="1"/>
  <c r="U1481" i="1"/>
  <c r="V1481" i="1" s="1"/>
  <c r="U1473" i="1"/>
  <c r="V1473" i="1" s="1"/>
  <c r="U1469" i="1"/>
  <c r="V1469" i="1" s="1"/>
  <c r="U1465" i="1"/>
  <c r="V1465" i="1" s="1"/>
  <c r="U1457" i="1"/>
  <c r="V1457" i="1" s="1"/>
  <c r="U1453" i="1"/>
  <c r="V1453" i="1" s="1"/>
  <c r="U1439" i="1"/>
  <c r="V1439" i="1" s="1"/>
  <c r="U1435" i="1"/>
  <c r="V1435" i="1" s="1"/>
  <c r="U1423" i="1"/>
  <c r="V1423" i="1" s="1"/>
  <c r="U1415" i="1"/>
  <c r="V1415" i="1" s="1"/>
  <c r="U1403" i="1"/>
  <c r="V1403" i="1" s="1"/>
  <c r="U1399" i="1"/>
  <c r="V1399" i="1" s="1"/>
  <c r="U1395" i="1"/>
  <c r="V1395" i="1" s="1"/>
  <c r="U1385" i="1"/>
  <c r="V1385" i="1" s="1"/>
  <c r="U1381" i="1"/>
  <c r="V1381" i="1" s="1"/>
  <c r="U1369" i="1"/>
  <c r="V1369" i="1" s="1"/>
  <c r="U1365" i="1"/>
  <c r="V1365" i="1" s="1"/>
  <c r="U1351" i="1"/>
  <c r="V1351" i="1" s="1"/>
  <c r="U1347" i="1"/>
  <c r="V1347" i="1" s="1"/>
  <c r="U1343" i="1"/>
  <c r="V1343" i="1" s="1"/>
  <c r="U1333" i="1"/>
  <c r="V1333" i="1" s="1"/>
  <c r="U1329" i="1"/>
  <c r="V1329" i="1" s="1"/>
  <c r="U1323" i="1"/>
  <c r="V1323" i="1" s="1"/>
  <c r="U1311" i="1"/>
  <c r="V1311" i="1" s="1"/>
  <c r="U1289" i="1"/>
  <c r="V1289" i="1" s="1"/>
  <c r="U1281" i="1"/>
  <c r="V1281" i="1" s="1"/>
  <c r="U1277" i="1"/>
  <c r="U1271" i="1"/>
  <c r="V1271" i="1" s="1"/>
  <c r="U1255" i="1"/>
  <c r="V1255" i="1" s="1"/>
  <c r="U1247" i="1"/>
  <c r="V1247" i="1" s="1"/>
  <c r="U1229" i="1"/>
  <c r="V1229" i="1" s="1"/>
  <c r="U1225" i="1"/>
  <c r="V1225" i="1" s="1"/>
  <c r="U1221" i="1"/>
  <c r="V1221" i="1" s="1"/>
  <c r="U1211" i="1"/>
  <c r="V1211" i="1" s="1"/>
  <c r="U1201" i="1"/>
  <c r="V1201" i="1" s="1"/>
  <c r="U1189" i="1"/>
  <c r="V1189" i="1" s="1"/>
  <c r="U1185" i="1"/>
  <c r="V1185" i="1" s="1"/>
  <c r="U1171" i="1"/>
  <c r="V1171" i="1" s="1"/>
  <c r="U1167" i="1"/>
  <c r="V1167" i="1" s="1"/>
  <c r="U1155" i="1"/>
  <c r="V1155" i="1" s="1"/>
  <c r="U1151" i="1"/>
  <c r="V1151" i="1" s="1"/>
  <c r="U1137" i="1"/>
  <c r="V1137" i="1" s="1"/>
  <c r="U1133" i="1"/>
  <c r="V1133" i="1" s="1"/>
  <c r="U1121" i="1"/>
  <c r="V1121" i="1" s="1"/>
  <c r="U1115" i="1"/>
  <c r="V1115" i="1" s="1"/>
  <c r="U1103" i="1"/>
  <c r="V1103" i="1" s="1"/>
  <c r="U3658" i="1"/>
  <c r="V3658" i="1" s="1"/>
  <c r="U3364" i="1"/>
  <c r="U3271" i="1"/>
  <c r="V3271" i="1" s="1"/>
  <c r="U2991" i="1"/>
  <c r="V2991" i="1" s="1"/>
  <c r="U2894" i="1"/>
  <c r="V2894" i="1" s="1"/>
  <c r="U2802" i="1"/>
  <c r="V2802" i="1" s="1"/>
  <c r="U2618" i="1"/>
  <c r="V2618" i="1" s="1"/>
  <c r="U2526" i="1"/>
  <c r="V2526" i="1" s="1"/>
  <c r="U2449" i="1"/>
  <c r="V2449" i="1" s="1"/>
  <c r="U2428" i="1"/>
  <c r="V2428" i="1" s="1"/>
  <c r="U2360" i="1"/>
  <c r="V2360" i="1" s="1"/>
  <c r="U2336" i="1"/>
  <c r="V2336" i="1" s="1"/>
  <c r="R2231" i="1"/>
  <c r="U2207" i="1"/>
  <c r="V2207" i="1" s="1"/>
  <c r="U2182" i="1"/>
  <c r="V2182" i="1" s="1"/>
  <c r="U2108" i="1"/>
  <c r="V2108" i="1" s="1"/>
  <c r="U2084" i="1"/>
  <c r="V2084" i="1" s="1"/>
  <c r="U1962" i="1"/>
  <c r="V1962" i="1" s="1"/>
  <c r="U1936" i="1"/>
  <c r="V1936" i="1" s="1"/>
  <c r="U1909" i="1"/>
  <c r="V1909" i="1" s="1"/>
  <c r="U1837" i="1"/>
  <c r="V1837" i="1" s="1"/>
  <c r="U1814" i="1"/>
  <c r="V1814" i="1" s="1"/>
  <c r="U1790" i="1"/>
  <c r="V1790" i="1" s="1"/>
  <c r="U1714" i="1"/>
  <c r="V1714" i="1" s="1"/>
  <c r="U1693" i="1"/>
  <c r="V1693" i="1" s="1"/>
  <c r="U1670" i="1"/>
  <c r="V1670" i="1" s="1"/>
  <c r="U1617" i="1"/>
  <c r="V1617" i="1" s="1"/>
  <c r="U1594" i="1"/>
  <c r="V1594" i="1" s="1"/>
  <c r="U1508" i="1"/>
  <c r="V1508" i="1" s="1"/>
  <c r="U1490" i="1"/>
  <c r="V1490" i="1" s="1"/>
  <c r="U1456" i="1"/>
  <c r="V1456" i="1" s="1"/>
  <c r="U1438" i="1"/>
  <c r="V1438" i="1" s="1"/>
  <c r="U1422" i="1"/>
  <c r="U1384" i="1"/>
  <c r="V1384" i="1" s="1"/>
  <c r="U1368" i="1"/>
  <c r="V1368" i="1" s="1"/>
  <c r="U1314" i="1"/>
  <c r="V1314" i="1" s="1"/>
  <c r="U1298" i="1"/>
  <c r="U1280" i="1"/>
  <c r="V1280" i="1" s="1"/>
  <c r="U1246" i="1"/>
  <c r="U1228" i="1"/>
  <c r="V1228" i="1" s="1"/>
  <c r="U1170" i="1"/>
  <c r="V1170" i="1" s="1"/>
  <c r="U1154" i="1"/>
  <c r="V1154" i="1" s="1"/>
  <c r="U1102" i="1"/>
  <c r="V1102" i="1" s="1"/>
  <c r="U1093" i="1"/>
  <c r="V1093" i="1" s="1"/>
  <c r="U1083" i="1"/>
  <c r="V1083" i="1" s="1"/>
  <c r="U1077" i="1"/>
  <c r="V1077" i="1" s="1"/>
  <c r="U1065" i="1"/>
  <c r="V1065" i="1" s="1"/>
  <c r="U1061" i="1"/>
  <c r="V1061" i="1" s="1"/>
  <c r="U1047" i="1"/>
  <c r="V1047" i="1" s="1"/>
  <c r="U1043" i="1"/>
  <c r="V1043" i="1" s="1"/>
  <c r="U1031" i="1"/>
  <c r="V1031" i="1" s="1"/>
  <c r="U1027" i="1"/>
  <c r="U1013" i="1"/>
  <c r="V1013" i="1" s="1"/>
  <c r="U1009" i="1"/>
  <c r="V1009" i="1" s="1"/>
  <c r="U997" i="1"/>
  <c r="V997" i="1" s="1"/>
  <c r="U991" i="1"/>
  <c r="V991" i="1" s="1"/>
  <c r="U987" i="1"/>
  <c r="V987" i="1" s="1"/>
  <c r="U979" i="1"/>
  <c r="V979" i="1" s="1"/>
  <c r="U975" i="1"/>
  <c r="V975" i="1" s="1"/>
  <c r="U963" i="1"/>
  <c r="V963" i="1" s="1"/>
  <c r="U955" i="1"/>
  <c r="V955" i="1" s="1"/>
  <c r="U941" i="1"/>
  <c r="V941" i="1" s="1"/>
  <c r="U937" i="1"/>
  <c r="V937" i="1" s="1"/>
  <c r="U923" i="1"/>
  <c r="V923" i="1" s="1"/>
  <c r="U919" i="1"/>
  <c r="V919" i="1" s="1"/>
  <c r="U915" i="1"/>
  <c r="V915" i="1" s="1"/>
  <c r="U907" i="1"/>
  <c r="V907" i="1" s="1"/>
  <c r="U903" i="1"/>
  <c r="V903" i="1" s="1"/>
  <c r="U899" i="1"/>
  <c r="V899" i="1" s="1"/>
  <c r="U889" i="1"/>
  <c r="V889" i="1" s="1"/>
  <c r="U885" i="1"/>
  <c r="V885" i="1" s="1"/>
  <c r="U879" i="1"/>
  <c r="V879" i="1" s="1"/>
  <c r="U869" i="1"/>
  <c r="V869" i="1" s="1"/>
  <c r="U865" i="1"/>
  <c r="V865" i="1" s="1"/>
  <c r="U853" i="1"/>
  <c r="V853" i="1" s="1"/>
  <c r="U849" i="1"/>
  <c r="V849" i="1" s="1"/>
  <c r="U835" i="1"/>
  <c r="V835" i="1" s="1"/>
  <c r="U831" i="1"/>
  <c r="V831" i="1" s="1"/>
  <c r="U817" i="1"/>
  <c r="V817" i="1" s="1"/>
  <c r="U813" i="1"/>
  <c r="V813" i="1" s="1"/>
  <c r="U799" i="1"/>
  <c r="V799" i="1" s="1"/>
  <c r="U795" i="1"/>
  <c r="V795" i="1" s="1"/>
  <c r="U791" i="1"/>
  <c r="V791" i="1" s="1"/>
  <c r="U783" i="1"/>
  <c r="V783" i="1" s="1"/>
  <c r="U779" i="1"/>
  <c r="V779" i="1" s="1"/>
  <c r="U767" i="1"/>
  <c r="V767" i="1" s="1"/>
  <c r="U763" i="1"/>
  <c r="V763" i="1" s="1"/>
  <c r="U747" i="1"/>
  <c r="V747" i="1" s="1"/>
  <c r="U743" i="1"/>
  <c r="V743" i="1" s="1"/>
  <c r="U731" i="1"/>
  <c r="V731" i="1" s="1"/>
  <c r="U727" i="1"/>
  <c r="V727" i="1" s="1"/>
  <c r="U713" i="1"/>
  <c r="V713" i="1" s="1"/>
  <c r="U697" i="1"/>
  <c r="V697" i="1" s="1"/>
  <c r="U693" i="1"/>
  <c r="V693" i="1" s="1"/>
  <c r="U679" i="1"/>
  <c r="V679" i="1" s="1"/>
  <c r="U675" i="1"/>
  <c r="V675" i="1" s="1"/>
  <c r="U663" i="1"/>
  <c r="V663" i="1" s="1"/>
  <c r="U659" i="1"/>
  <c r="V659" i="1" s="1"/>
  <c r="U645" i="1"/>
  <c r="V645" i="1" s="1"/>
  <c r="U627" i="1"/>
  <c r="V627" i="1" s="1"/>
  <c r="U623" i="1"/>
  <c r="V623" i="1" s="1"/>
  <c r="U609" i="1"/>
  <c r="U603" i="1"/>
  <c r="V603" i="1" s="1"/>
  <c r="U583" i="1"/>
  <c r="V583" i="1" s="1"/>
  <c r="U579" i="1"/>
  <c r="V579" i="1" s="1"/>
  <c r="U567" i="1"/>
  <c r="V567" i="1" s="1"/>
  <c r="U563" i="1"/>
  <c r="V563" i="1" s="1"/>
  <c r="U547" i="1"/>
  <c r="V547" i="1" s="1"/>
  <c r="U543" i="1"/>
  <c r="V543" i="1" s="1"/>
  <c r="U531" i="1"/>
  <c r="V531" i="1" s="1"/>
  <c r="U527" i="1"/>
  <c r="V527" i="1" s="1"/>
  <c r="U515" i="1"/>
  <c r="U505" i="1"/>
  <c r="U487" i="1"/>
  <c r="V487" i="1" s="1"/>
  <c r="U483" i="1"/>
  <c r="V483" i="1" s="1"/>
  <c r="U453" i="1"/>
  <c r="V453" i="1" s="1"/>
  <c r="U445" i="1"/>
  <c r="V445" i="1" s="1"/>
  <c r="U427" i="1"/>
  <c r="V427" i="1" s="1"/>
  <c r="U407" i="1"/>
  <c r="V407" i="1" s="1"/>
  <c r="U403" i="1"/>
  <c r="V403" i="1" s="1"/>
  <c r="U381" i="1"/>
  <c r="V381" i="1" s="1"/>
  <c r="U375" i="1"/>
  <c r="V375" i="1" s="1"/>
  <c r="U331" i="1"/>
  <c r="V331" i="1" s="1"/>
  <c r="U323" i="1"/>
  <c r="V323" i="1" s="1"/>
  <c r="U277" i="1"/>
  <c r="V277" i="1" s="1"/>
  <c r="U269" i="1"/>
  <c r="V269" i="1" s="1"/>
  <c r="U251" i="1"/>
  <c r="V251" i="1" s="1"/>
  <c r="U247" i="1"/>
  <c r="V247" i="1" s="1"/>
  <c r="U233" i="1"/>
  <c r="V233" i="1" s="1"/>
  <c r="U229" i="1"/>
  <c r="V229" i="1" s="1"/>
  <c r="U217" i="1"/>
  <c r="V217" i="1" s="1"/>
  <c r="U211" i="1"/>
  <c r="V211" i="1" s="1"/>
  <c r="U199" i="1"/>
  <c r="V199" i="1" s="1"/>
  <c r="U195" i="1"/>
  <c r="V195" i="1" s="1"/>
  <c r="U191" i="1"/>
  <c r="V191" i="1" s="1"/>
  <c r="U177" i="1"/>
  <c r="V177" i="1" s="1"/>
  <c r="U173" i="1"/>
  <c r="V173" i="1" s="1"/>
  <c r="U163" i="1"/>
  <c r="V163" i="1" s="1"/>
  <c r="U149" i="1"/>
  <c r="V149" i="1" s="1"/>
  <c r="U135" i="1"/>
  <c r="V135" i="1" s="1"/>
  <c r="U131" i="1"/>
  <c r="V131" i="1" s="1"/>
  <c r="U119" i="1"/>
  <c r="V119" i="1" s="1"/>
  <c r="U115" i="1"/>
  <c r="U99" i="1"/>
  <c r="V99" i="1" s="1"/>
  <c r="U95" i="1"/>
  <c r="V95" i="1" s="1"/>
  <c r="U81" i="1"/>
  <c r="V81" i="1" s="1"/>
  <c r="U77" i="1"/>
  <c r="V77" i="1" s="1"/>
  <c r="U73" i="1"/>
  <c r="V73" i="1" s="1"/>
  <c r="U63" i="1"/>
  <c r="V63" i="1" s="1"/>
  <c r="U59" i="1"/>
  <c r="V59" i="1" s="1"/>
  <c r="Q3865" i="1"/>
  <c r="Q3836" i="1"/>
  <c r="Q3830" i="1"/>
  <c r="S3830" i="1" s="1"/>
  <c r="Q3824" i="1"/>
  <c r="S3824" i="1" s="1"/>
  <c r="Q3820" i="1"/>
  <c r="S3820" i="1" s="1"/>
  <c r="Q3816" i="1"/>
  <c r="Q3812" i="1"/>
  <c r="S3812" i="1" s="1"/>
  <c r="Q3808" i="1"/>
  <c r="Q3804" i="1"/>
  <c r="Q3800" i="1"/>
  <c r="Q3794" i="1"/>
  <c r="Q3790" i="1"/>
  <c r="Q3786" i="1"/>
  <c r="Q3776" i="1"/>
  <c r="Q3772" i="1"/>
  <c r="Q3768" i="1"/>
  <c r="Q3764" i="1"/>
  <c r="Q3760" i="1"/>
  <c r="Q3756" i="1"/>
  <c r="Q3744" i="1"/>
  <c r="Q3738" i="1"/>
  <c r="S3738" i="1" s="1"/>
  <c r="Q3734" i="1"/>
  <c r="Q3730" i="1"/>
  <c r="Q3714" i="1"/>
  <c r="Q3710" i="1"/>
  <c r="Q3706" i="1"/>
  <c r="S3706" i="1" s="1"/>
  <c r="Q3702" i="1"/>
  <c r="S3702" i="1" s="1"/>
  <c r="Q3698" i="1"/>
  <c r="S3698" i="1" s="1"/>
  <c r="Q3694" i="1"/>
  <c r="S3694" i="1" s="1"/>
  <c r="Q3690" i="1"/>
  <c r="S3690" i="1" s="1"/>
  <c r="Q3686" i="1"/>
  <c r="Q3682" i="1"/>
  <c r="S3682" i="1" s="1"/>
  <c r="Q3678" i="1"/>
  <c r="Q3672" i="1"/>
  <c r="Q3662" i="1"/>
  <c r="Q3658" i="1"/>
  <c r="Q3654" i="1"/>
  <c r="Q3650" i="1"/>
  <c r="Q3646" i="1"/>
  <c r="Q3642" i="1"/>
  <c r="Q3638" i="1"/>
  <c r="Q3634" i="1"/>
  <c r="Q3630" i="1"/>
  <c r="Q3624" i="1"/>
  <c r="Q3606" i="1"/>
  <c r="Q3602" i="1"/>
  <c r="Q3598" i="1"/>
  <c r="Q3594" i="1"/>
  <c r="Q3590" i="1"/>
  <c r="S3590" i="1" s="1"/>
  <c r="Q3574" i="1"/>
  <c r="Q3570" i="1"/>
  <c r="S3570" i="1" s="1"/>
  <c r="Q3564" i="1"/>
  <c r="Q3552" i="1"/>
  <c r="Q3548" i="1"/>
  <c r="Q3544" i="1"/>
  <c r="Q3540" i="1"/>
  <c r="Q3536" i="1"/>
  <c r="Q3532" i="1"/>
  <c r="Q3528" i="1"/>
  <c r="S3528" i="1" s="1"/>
  <c r="Q3522" i="1"/>
  <c r="Q3516" i="1"/>
  <c r="S3516" i="1" s="1"/>
  <c r="Q3502" i="1"/>
  <c r="Q3498" i="1"/>
  <c r="Q3494" i="1"/>
  <c r="Q3490" i="1"/>
  <c r="S3490" i="1" s="1"/>
  <c r="Q3486" i="1"/>
  <c r="Q3482" i="1"/>
  <c r="S3482" i="1" s="1"/>
  <c r="Q3478" i="1"/>
  <c r="Q3474" i="1"/>
  <c r="S3474" i="1" s="1"/>
  <c r="Q3470" i="1"/>
  <c r="Q3466" i="1"/>
  <c r="Q3460" i="1"/>
  <c r="Q3456" i="1"/>
  <c r="Q3452" i="1"/>
  <c r="Q3446" i="1"/>
  <c r="Q3442" i="1"/>
  <c r="Q3438" i="1"/>
  <c r="S3438" i="1" s="1"/>
  <c r="Q3434" i="1"/>
  <c r="Q3428" i="1"/>
  <c r="Q3424" i="1"/>
  <c r="S3424" i="1" s="1"/>
  <c r="Q3420" i="1"/>
  <c r="S3420" i="1" s="1"/>
  <c r="Q3416" i="1"/>
  <c r="Q3412" i="1"/>
  <c r="Q3408" i="1"/>
  <c r="Q3404" i="1"/>
  <c r="Q3398" i="1"/>
  <c r="Q3394" i="1"/>
  <c r="Q3390" i="1"/>
  <c r="Q3386" i="1"/>
  <c r="Q3382" i="1"/>
  <c r="Q3378" i="1"/>
  <c r="Q3374" i="1"/>
  <c r="Q3368" i="1"/>
  <c r="S3368" i="1" s="1"/>
  <c r="Q3358" i="1"/>
  <c r="S3358" i="1" s="1"/>
  <c r="Q3348" i="1"/>
  <c r="Q3344" i="1"/>
  <c r="S3344" i="1" s="1"/>
  <c r="Q3340" i="1"/>
  <c r="Q3336" i="1"/>
  <c r="Q3332" i="1"/>
  <c r="Q3326" i="1"/>
  <c r="Q3322" i="1"/>
  <c r="S3322" i="1" s="1"/>
  <c r="Q3312" i="1"/>
  <c r="Q3308" i="1"/>
  <c r="Q3304" i="1"/>
  <c r="Q3300" i="1"/>
  <c r="S3300" i="1" s="1"/>
  <c r="Q3296" i="1"/>
  <c r="S3296" i="1" s="1"/>
  <c r="Q3292" i="1"/>
  <c r="Q3288" i="1"/>
  <c r="Q3284" i="1"/>
  <c r="Q3280" i="1"/>
  <c r="Q3276" i="1"/>
  <c r="Q3272" i="1"/>
  <c r="S3272" i="1" s="1"/>
  <c r="Q3268" i="1"/>
  <c r="Q3264" i="1"/>
  <c r="Q3260" i="1"/>
  <c r="Q3254" i="1"/>
  <c r="Q3250" i="1"/>
  <c r="Q3246" i="1"/>
  <c r="S3246" i="1" s="1"/>
  <c r="Q3242" i="1"/>
  <c r="Q3238" i="1"/>
  <c r="Q3228" i="1"/>
  <c r="S3228" i="1" s="1"/>
  <c r="Q3224" i="1"/>
  <c r="Q3220" i="1"/>
  <c r="S3220" i="1" s="1"/>
  <c r="Q3216" i="1"/>
  <c r="S3216" i="1" s="1"/>
  <c r="Q3212" i="1"/>
  <c r="Q3208" i="1"/>
  <c r="Q3204" i="1"/>
  <c r="S3204" i="1" s="1"/>
  <c r="Q3198" i="1"/>
  <c r="Q3194" i="1"/>
  <c r="S3194" i="1" s="1"/>
  <c r="Q3190" i="1"/>
  <c r="Q3180" i="1"/>
  <c r="Q3176" i="1"/>
  <c r="Q3170" i="1"/>
  <c r="Q3166" i="1"/>
  <c r="Q3162" i="1"/>
  <c r="Q3158" i="1"/>
  <c r="S3158" i="1" s="1"/>
  <c r="Q3148" i="1"/>
  <c r="Q3144" i="1"/>
  <c r="Q3140" i="1"/>
  <c r="Q3136" i="1"/>
  <c r="Q3126" i="1"/>
  <c r="Q3122" i="1"/>
  <c r="S3122" i="1" s="1"/>
  <c r="Q3118" i="1"/>
  <c r="Q3114" i="1"/>
  <c r="Q3110" i="1"/>
  <c r="Q3106" i="1"/>
  <c r="Q3098" i="1"/>
  <c r="Q3094" i="1"/>
  <c r="Q3090" i="1"/>
  <c r="S3090" i="1" s="1"/>
  <c r="Q3086" i="1"/>
  <c r="Q3082" i="1"/>
  <c r="Q3078" i="1"/>
  <c r="Q3066" i="1"/>
  <c r="S3066" i="1" s="1"/>
  <c r="Q3062" i="1"/>
  <c r="Q3058" i="1"/>
  <c r="Q3054" i="1"/>
  <c r="Q3050" i="1"/>
  <c r="Q3046" i="1"/>
  <c r="Q3042" i="1"/>
  <c r="S3042" i="1" s="1"/>
  <c r="Q3038" i="1"/>
  <c r="S3038" i="1" s="1"/>
  <c r="Q3032" i="1"/>
  <c r="S3032" i="1" s="1"/>
  <c r="Q3028" i="1"/>
  <c r="Q3024" i="1"/>
  <c r="Q3020" i="1"/>
  <c r="Q3016" i="1"/>
  <c r="Q3012" i="1"/>
  <c r="Q3008" i="1"/>
  <c r="S3008" i="1" s="1"/>
  <c r="Q3004" i="1"/>
  <c r="S3004" i="1" s="1"/>
  <c r="Q3000" i="1"/>
  <c r="S3000" i="1" s="1"/>
  <c r="Q2996" i="1"/>
  <c r="Q2992" i="1"/>
  <c r="S2992" i="1" s="1"/>
  <c r="Q2988" i="1"/>
  <c r="Q2982" i="1"/>
  <c r="S2982" i="1" s="1"/>
  <c r="Q2978" i="1"/>
  <c r="Q2968" i="1"/>
  <c r="Q2958" i="1"/>
  <c r="Q2954" i="1"/>
  <c r="Q2950" i="1"/>
  <c r="S2950" i="1" s="1"/>
  <c r="Q2946" i="1"/>
  <c r="Q2942" i="1"/>
  <c r="Q2938" i="1"/>
  <c r="Q2934" i="1"/>
  <c r="S2934" i="1" s="1"/>
  <c r="Q2930" i="1"/>
  <c r="Q2924" i="1"/>
  <c r="Q2918" i="1"/>
  <c r="S2918" i="1" s="1"/>
  <c r="Q2908" i="1"/>
  <c r="Q2904" i="1"/>
  <c r="Q2900" i="1"/>
  <c r="Q2896" i="1"/>
  <c r="Q2892" i="1"/>
  <c r="Q2888" i="1"/>
  <c r="Q2884" i="1"/>
  <c r="Q2880" i="1"/>
  <c r="Q2874" i="1"/>
  <c r="S2874" i="1" s="1"/>
  <c r="Q2870" i="1"/>
  <c r="Q2866" i="1"/>
  <c r="Q2862" i="1"/>
  <c r="Q2858" i="1"/>
  <c r="Q2854" i="1"/>
  <c r="Q2850" i="1"/>
  <c r="Q2846" i="1"/>
  <c r="Q2842" i="1"/>
  <c r="S2842" i="1" s="1"/>
  <c r="Q2838" i="1"/>
  <c r="Q2828" i="1"/>
  <c r="Q2824" i="1"/>
  <c r="Q2820" i="1"/>
  <c r="Q2814" i="1"/>
  <c r="Q2810" i="1"/>
  <c r="S2810" i="1" s="1"/>
  <c r="Q2806" i="1"/>
  <c r="Q2796" i="1"/>
  <c r="Q2792" i="1"/>
  <c r="Q2786" i="1"/>
  <c r="Q2782" i="1"/>
  <c r="Q2778" i="1"/>
  <c r="S2778" i="1" s="1"/>
  <c r="Q2774" i="1"/>
  <c r="Q2770" i="1"/>
  <c r="Q2766" i="1"/>
  <c r="Q2762" i="1"/>
  <c r="Q2758" i="1"/>
  <c r="Q2754" i="1"/>
  <c r="Q2750" i="1"/>
  <c r="Q2746" i="1"/>
  <c r="Q2742" i="1"/>
  <c r="Q2736" i="1"/>
  <c r="Q2732" i="1"/>
  <c r="Q2728" i="1"/>
  <c r="Q2724" i="1"/>
  <c r="Q2720" i="1"/>
  <c r="Q2716" i="1"/>
  <c r="Q2706" i="1"/>
  <c r="Q2700" i="1"/>
  <c r="Q2696" i="1"/>
  <c r="Q2692" i="1"/>
  <c r="Q2688" i="1"/>
  <c r="S2688" i="1" s="1"/>
  <c r="Q2684" i="1"/>
  <c r="Q2680" i="1"/>
  <c r="S2680" i="1" s="1"/>
  <c r="Q2674" i="1"/>
  <c r="Q2670" i="1"/>
  <c r="Q2666" i="1"/>
  <c r="Q2662" i="1"/>
  <c r="Q2658" i="1"/>
  <c r="Q2654" i="1"/>
  <c r="Q2650" i="1"/>
  <c r="Q2646" i="1"/>
  <c r="Q2642" i="1"/>
  <c r="Q2632" i="1"/>
  <c r="S2632" i="1" s="1"/>
  <c r="Q2628" i="1"/>
  <c r="S2628" i="1" s="1"/>
  <c r="Q2624" i="1"/>
  <c r="Q2620" i="1"/>
  <c r="Q2616" i="1"/>
  <c r="Q2612" i="1"/>
  <c r="Q2600" i="1"/>
  <c r="Q2596" i="1"/>
  <c r="S2596" i="1" s="1"/>
  <c r="Q2592" i="1"/>
  <c r="Q2588" i="1"/>
  <c r="Q2584" i="1"/>
  <c r="Q2580" i="1"/>
  <c r="Q2576" i="1"/>
  <c r="Q2570" i="1"/>
  <c r="Q2566" i="1"/>
  <c r="Q2562" i="1"/>
  <c r="Q2558" i="1"/>
  <c r="Q2554" i="1"/>
  <c r="Q2550" i="1"/>
  <c r="Q2546" i="1"/>
  <c r="Q2542" i="1"/>
  <c r="Q2538" i="1"/>
  <c r="S2538" i="1" s="1"/>
  <c r="Q2534" i="1"/>
  <c r="Q2530" i="1"/>
  <c r="S2530" i="1" s="1"/>
  <c r="Q2526" i="1"/>
  <c r="Q2522" i="1"/>
  <c r="S2522" i="1" s="1"/>
  <c r="Q2518" i="1"/>
  <c r="Q2514" i="1"/>
  <c r="Q2510" i="1"/>
  <c r="Q2494" i="1"/>
  <c r="Q2490" i="1"/>
  <c r="Q2486" i="1"/>
  <c r="Q2482" i="1"/>
  <c r="S2482" i="1" s="1"/>
  <c r="Q2476" i="1"/>
  <c r="S2476" i="1" s="1"/>
  <c r="Q2472" i="1"/>
  <c r="Q2468" i="1"/>
  <c r="S2468" i="1" s="1"/>
  <c r="Q2464" i="1"/>
  <c r="Q2460" i="1"/>
  <c r="Q2456" i="1"/>
  <c r="Q2446" i="1"/>
  <c r="Q2442" i="1"/>
  <c r="Q2438" i="1"/>
  <c r="Q2434" i="1"/>
  <c r="Q2430" i="1"/>
  <c r="Q2426" i="1"/>
  <c r="Q2416" i="1"/>
  <c r="Q2412" i="1"/>
  <c r="S2412" i="1" s="1"/>
  <c r="Q2408" i="1"/>
  <c r="Q2404" i="1"/>
  <c r="Q2400" i="1"/>
  <c r="S2400" i="1" s="1"/>
  <c r="Q2396" i="1"/>
  <c r="Q2392" i="1"/>
  <c r="S2392" i="1" s="1"/>
  <c r="Q2382" i="1"/>
  <c r="Q2378" i="1"/>
  <c r="Q2374" i="1"/>
  <c r="Q2370" i="1"/>
  <c r="Q2366" i="1"/>
  <c r="Q2362" i="1"/>
  <c r="Q2358" i="1"/>
  <c r="Q2354" i="1"/>
  <c r="Q2350" i="1"/>
  <c r="Q2340" i="1"/>
  <c r="S2340" i="1" s="1"/>
  <c r="Q2336" i="1"/>
  <c r="Q2330" i="1"/>
  <c r="S2330" i="1" s="1"/>
  <c r="Q2326" i="1"/>
  <c r="Q2322" i="1"/>
  <c r="Q2310" i="1"/>
  <c r="Q2306" i="1"/>
  <c r="Q2300" i="1"/>
  <c r="P2289" i="1"/>
  <c r="Q2278" i="1"/>
  <c r="Q2272" i="1"/>
  <c r="P2231" i="1"/>
  <c r="Q2224" i="1"/>
  <c r="S2224" i="1" s="1"/>
  <c r="Q2220" i="1"/>
  <c r="Q2216" i="1"/>
  <c r="Q2212" i="1"/>
  <c r="Q2202" i="1"/>
  <c r="Q2198" i="1"/>
  <c r="S2198" i="1" s="1"/>
  <c r="Q2194" i="1"/>
  <c r="R3841" i="1"/>
  <c r="U3534" i="1"/>
  <c r="V3534" i="1" s="1"/>
  <c r="U3154" i="1"/>
  <c r="U3057" i="1"/>
  <c r="V3057" i="1" s="1"/>
  <c r="U2777" i="1"/>
  <c r="V2777" i="1" s="1"/>
  <c r="U2686" i="1"/>
  <c r="V2686" i="1" s="1"/>
  <c r="U2490" i="1"/>
  <c r="V2490" i="1" s="1"/>
  <c r="U2467" i="1"/>
  <c r="V2467" i="1" s="1"/>
  <c r="U2399" i="1"/>
  <c r="V2399" i="1" s="1"/>
  <c r="U2304" i="1"/>
  <c r="V2304" i="1" s="1"/>
  <c r="R2267" i="1"/>
  <c r="U1982" i="1"/>
  <c r="V1982" i="1" s="1"/>
  <c r="U1855" i="1"/>
  <c r="V1855" i="1" s="1"/>
  <c r="U1785" i="1"/>
  <c r="U1660" i="1"/>
  <c r="V1660" i="1" s="1"/>
  <c r="U1484" i="1"/>
  <c r="V1484" i="1" s="1"/>
  <c r="U1434" i="1"/>
  <c r="V1434" i="1" s="1"/>
  <c r="U1364" i="1"/>
  <c r="V1364" i="1" s="1"/>
  <c r="U1292" i="1"/>
  <c r="V1292" i="1" s="1"/>
  <c r="U1224" i="1"/>
  <c r="V1224" i="1" s="1"/>
  <c r="U1150" i="1"/>
  <c r="V1150" i="1" s="1"/>
  <c r="U1096" i="1"/>
  <c r="V1096" i="1" s="1"/>
  <c r="U1072" i="1"/>
  <c r="V1072" i="1" s="1"/>
  <c r="U1060" i="1"/>
  <c r="V1060" i="1" s="1"/>
  <c r="U1024" i="1"/>
  <c r="V1024" i="1" s="1"/>
  <c r="U1008" i="1"/>
  <c r="V1008" i="1" s="1"/>
  <c r="U990" i="1"/>
  <c r="V990" i="1" s="1"/>
  <c r="U974" i="1"/>
  <c r="V974" i="1" s="1"/>
  <c r="R956" i="1"/>
  <c r="U936" i="1"/>
  <c r="V936" i="1" s="1"/>
  <c r="U932" i="1"/>
  <c r="U918" i="1"/>
  <c r="V918" i="1" s="1"/>
  <c r="U902" i="1"/>
  <c r="V902" i="1" s="1"/>
  <c r="U884" i="1"/>
  <c r="V884" i="1" s="1"/>
  <c r="U864" i="1"/>
  <c r="V864" i="1" s="1"/>
  <c r="U848" i="1"/>
  <c r="V848" i="1" s="1"/>
  <c r="U844" i="1"/>
  <c r="U830" i="1"/>
  <c r="V830" i="1" s="1"/>
  <c r="U812" i="1"/>
  <c r="V812" i="1" s="1"/>
  <c r="U808" i="1"/>
  <c r="V808" i="1" s="1"/>
  <c r="U794" i="1"/>
  <c r="V794" i="1" s="1"/>
  <c r="U790" i="1"/>
  <c r="V790" i="1" s="1"/>
  <c r="U778" i="1"/>
  <c r="V778" i="1" s="1"/>
  <c r="U762" i="1"/>
  <c r="U742" i="1"/>
  <c r="V742" i="1" s="1"/>
  <c r="U726" i="1"/>
  <c r="V726" i="1" s="1"/>
  <c r="U708" i="1"/>
  <c r="V708" i="1" s="1"/>
  <c r="U686" i="1"/>
  <c r="V686" i="1" s="1"/>
  <c r="U674" i="1"/>
  <c r="V674" i="1" s="1"/>
  <c r="U658" i="1"/>
  <c r="V658" i="1" s="1"/>
  <c r="U622" i="1"/>
  <c r="V622" i="1" s="1"/>
  <c r="U618" i="1"/>
  <c r="V618" i="1" s="1"/>
  <c r="U602" i="1"/>
  <c r="U578" i="1"/>
  <c r="V578" i="1" s="1"/>
  <c r="U562" i="1"/>
  <c r="U542" i="1"/>
  <c r="V542" i="1" s="1"/>
  <c r="U526" i="1"/>
  <c r="V526" i="1" s="1"/>
  <c r="R513" i="1"/>
  <c r="U502" i="1"/>
  <c r="V502" i="1" s="1"/>
  <c r="U482" i="1"/>
  <c r="V482" i="1" s="1"/>
  <c r="U458" i="1"/>
  <c r="V458" i="1" s="1"/>
  <c r="U426" i="1"/>
  <c r="V426" i="1" s="1"/>
  <c r="U406" i="1"/>
  <c r="V406" i="1" s="1"/>
  <c r="U398" i="1"/>
  <c r="V398" i="1" s="1"/>
  <c r="U380" i="1"/>
  <c r="V380" i="1" s="1"/>
  <c r="U350" i="1"/>
  <c r="V350" i="1" s="1"/>
  <c r="U318" i="1"/>
  <c r="U254" i="1"/>
  <c r="V254" i="1" s="1"/>
  <c r="U238" i="1"/>
  <c r="V238" i="1" s="1"/>
  <c r="U220" i="1"/>
  <c r="V220" i="1" s="1"/>
  <c r="U202" i="1"/>
  <c r="V202" i="1" s="1"/>
  <c r="U176" i="1"/>
  <c r="V176" i="1" s="1"/>
  <c r="U162" i="1"/>
  <c r="V162" i="1" s="1"/>
  <c r="U144" i="1"/>
  <c r="V144" i="1" s="1"/>
  <c r="U126" i="1"/>
  <c r="V126" i="1" s="1"/>
  <c r="U108" i="1"/>
  <c r="V108" i="1" s="1"/>
  <c r="U90" i="1"/>
  <c r="V90" i="1" s="1"/>
  <c r="U86" i="1"/>
  <c r="U72" i="1"/>
  <c r="V72" i="1" s="1"/>
  <c r="U54" i="1"/>
  <c r="V54" i="1" s="1"/>
  <c r="Q3868" i="1"/>
  <c r="Q3864" i="1"/>
  <c r="Q3853" i="1"/>
  <c r="Q3835" i="1"/>
  <c r="Q3823" i="1"/>
  <c r="S3823" i="1" s="1"/>
  <c r="Q3819" i="1"/>
  <c r="Q3815" i="1"/>
  <c r="Q3811" i="1"/>
  <c r="Q3807" i="1"/>
  <c r="Q3803" i="1"/>
  <c r="Q3793" i="1"/>
  <c r="Q3789" i="1"/>
  <c r="S3789" i="1" s="1"/>
  <c r="Q3785" i="1"/>
  <c r="Q3779" i="1"/>
  <c r="Q3775" i="1"/>
  <c r="Q3771" i="1"/>
  <c r="Q3767" i="1"/>
  <c r="Q3763" i="1"/>
  <c r="Q3759" i="1"/>
  <c r="Q3755" i="1"/>
  <c r="Q3749" i="1"/>
  <c r="Q3743" i="1"/>
  <c r="Q3737" i="1"/>
  <c r="Q3733" i="1"/>
  <c r="S3733" i="1" s="1"/>
  <c r="Q3729" i="1"/>
  <c r="Q3725" i="1"/>
  <c r="Q3719" i="1"/>
  <c r="Q3713" i="1"/>
  <c r="Q3709" i="1"/>
  <c r="S3709" i="1" s="1"/>
  <c r="Q3705" i="1"/>
  <c r="Q3701" i="1"/>
  <c r="Q3697" i="1"/>
  <c r="Q3693" i="1"/>
  <c r="Q3689" i="1"/>
  <c r="Q3685" i="1"/>
  <c r="Q3681" i="1"/>
  <c r="Q3677" i="1"/>
  <c r="Q3667" i="1"/>
  <c r="S3667" i="1" s="1"/>
  <c r="Q3661" i="1"/>
  <c r="Q3657" i="1"/>
  <c r="Q3653" i="1"/>
  <c r="Q3649" i="1"/>
  <c r="S3649" i="1" s="1"/>
  <c r="Q3645" i="1"/>
  <c r="Q3641" i="1"/>
  <c r="Q3637" i="1"/>
  <c r="Q3633" i="1"/>
  <c r="Q3629" i="1"/>
  <c r="S3629" i="1" s="1"/>
  <c r="Q3623" i="1"/>
  <c r="Q3615" i="1"/>
  <c r="Q3611" i="1"/>
  <c r="S3611" i="1" s="1"/>
  <c r="Q3605" i="1"/>
  <c r="Q3601" i="1"/>
  <c r="Q3597" i="1"/>
  <c r="Q3593" i="1"/>
  <c r="S3593" i="1" s="1"/>
  <c r="Q3589" i="1"/>
  <c r="Q3583" i="1"/>
  <c r="Q3579" i="1"/>
  <c r="Q3573" i="1"/>
  <c r="Q3569" i="1"/>
  <c r="S3569" i="1" s="1"/>
  <c r="Q3563" i="1"/>
  <c r="Q3557" i="1"/>
  <c r="Q3551" i="1"/>
  <c r="Q3547" i="1"/>
  <c r="Q3543" i="1"/>
  <c r="Q3539" i="1"/>
  <c r="Q3535" i="1"/>
  <c r="S3535" i="1" s="1"/>
  <c r="Q3531" i="1"/>
  <c r="Q3515" i="1"/>
  <c r="Q3501" i="1"/>
  <c r="Q3497" i="1"/>
  <c r="Q3493" i="1"/>
  <c r="Q3489" i="1"/>
  <c r="Q3485" i="1"/>
  <c r="Q3481" i="1"/>
  <c r="Q3477" i="1"/>
  <c r="Q3473" i="1"/>
  <c r="Q3469" i="1"/>
  <c r="S3469" i="1" s="1"/>
  <c r="Q3459" i="1"/>
  <c r="S3459" i="1" s="1"/>
  <c r="Q3455" i="1"/>
  <c r="Q3451" i="1"/>
  <c r="S3451" i="1" s="1"/>
  <c r="Q3445" i="1"/>
  <c r="Q3441" i="1"/>
  <c r="Q3437" i="1"/>
  <c r="Q3431" i="1"/>
  <c r="Q3427" i="1"/>
  <c r="Q3423" i="1"/>
  <c r="Q3419" i="1"/>
  <c r="Q3415" i="1"/>
  <c r="Q3411" i="1"/>
  <c r="Q3407" i="1"/>
  <c r="Q3403" i="1"/>
  <c r="Q3397" i="1"/>
  <c r="Q3393" i="1"/>
  <c r="Q3389" i="1"/>
  <c r="S3389" i="1" s="1"/>
  <c r="Q3385" i="1"/>
  <c r="Q3381" i="1"/>
  <c r="Q3377" i="1"/>
  <c r="Q3373" i="1"/>
  <c r="Q3367" i="1"/>
  <c r="S3367" i="1" s="1"/>
  <c r="Q3361" i="1"/>
  <c r="Q3357" i="1"/>
  <c r="Q3353" i="1"/>
  <c r="Q3347" i="1"/>
  <c r="Q3343" i="1"/>
  <c r="S3343" i="1" s="1"/>
  <c r="Q3339" i="1"/>
  <c r="Q3335" i="1"/>
  <c r="Q3331" i="1"/>
  <c r="Q3325" i="1"/>
  <c r="Q3321" i="1"/>
  <c r="Q3317" i="1"/>
  <c r="Q3311" i="1"/>
  <c r="Q3307" i="1"/>
  <c r="Q3303" i="1"/>
  <c r="Q3299" i="1"/>
  <c r="Q3295" i="1"/>
  <c r="Q3291" i="1"/>
  <c r="Q3287" i="1"/>
  <c r="Q3283" i="1"/>
  <c r="Q3279" i="1"/>
  <c r="Q3275" i="1"/>
  <c r="S3275" i="1" s="1"/>
  <c r="Q3271" i="1"/>
  <c r="Q3267" i="1"/>
  <c r="Q3263" i="1"/>
  <c r="Q3259" i="1"/>
  <c r="Q3253" i="1"/>
  <c r="Q3249" i="1"/>
  <c r="S3249" i="1" s="1"/>
  <c r="Q3245" i="1"/>
  <c r="Q3241" i="1"/>
  <c r="S3241" i="1" s="1"/>
  <c r="Q3237" i="1"/>
  <c r="Q3233" i="1"/>
  <c r="Q3227" i="1"/>
  <c r="Q3223" i="1"/>
  <c r="Q3219" i="1"/>
  <c r="Q3215" i="1"/>
  <c r="Q3211" i="1"/>
  <c r="Q3207" i="1"/>
  <c r="Q3197" i="1"/>
  <c r="Q3193" i="1"/>
  <c r="S3193" i="1" s="1"/>
  <c r="Q3189" i="1"/>
  <c r="Q3183" i="1"/>
  <c r="Q3179" i="1"/>
  <c r="Q3175" i="1"/>
  <c r="Q3169" i="1"/>
  <c r="Q3165" i="1"/>
  <c r="Q3161" i="1"/>
  <c r="Q3157" i="1"/>
  <c r="Q3151" i="1"/>
  <c r="S3151" i="1" s="1"/>
  <c r="Q3147" i="1"/>
  <c r="Q3143" i="1"/>
  <c r="Q3139" i="1"/>
  <c r="S3139" i="1" s="1"/>
  <c r="Q3135" i="1"/>
  <c r="Q3131" i="1"/>
  <c r="Q3125" i="1"/>
  <c r="Q3121" i="1"/>
  <c r="Q3117" i="1"/>
  <c r="Q3113" i="1"/>
  <c r="Q3109" i="1"/>
  <c r="S3109" i="1" s="1"/>
  <c r="Q3105" i="1"/>
  <c r="Q3097" i="1"/>
  <c r="S3097" i="1" s="1"/>
  <c r="Q3093" i="1"/>
  <c r="Q3089" i="1"/>
  <c r="Q3085" i="1"/>
  <c r="Q3081" i="1"/>
  <c r="Q3077" i="1"/>
  <c r="Q3073" i="1"/>
  <c r="Q3065" i="1"/>
  <c r="Q3061" i="1"/>
  <c r="Q3057" i="1"/>
  <c r="Q3053" i="1"/>
  <c r="Q3049" i="1"/>
  <c r="S3049" i="1" s="1"/>
  <c r="Q3045" i="1"/>
  <c r="Q3041" i="1"/>
  <c r="Q3037" i="1"/>
  <c r="S3037" i="1" s="1"/>
  <c r="Q3031" i="1"/>
  <c r="Q3027" i="1"/>
  <c r="S3027" i="1" s="1"/>
  <c r="Q3023" i="1"/>
  <c r="Q3019" i="1"/>
  <c r="S3019" i="1" s="1"/>
  <c r="Q3015" i="1"/>
  <c r="S3015" i="1" s="1"/>
  <c r="Q3011" i="1"/>
  <c r="S3011" i="1" s="1"/>
  <c r="Q3007" i="1"/>
  <c r="Q3003" i="1"/>
  <c r="Q2999" i="1"/>
  <c r="Q2995" i="1"/>
  <c r="S2995" i="1" s="1"/>
  <c r="Q2991" i="1"/>
  <c r="Q2987" i="1"/>
  <c r="Q2981" i="1"/>
  <c r="S2981" i="1" s="1"/>
  <c r="Q2977" i="1"/>
  <c r="Q2973" i="1"/>
  <c r="Q2967" i="1"/>
  <c r="Q2963" i="1"/>
  <c r="Q2957" i="1"/>
  <c r="Q2953" i="1"/>
  <c r="Q2949" i="1"/>
  <c r="Q2945" i="1"/>
  <c r="Q2941" i="1"/>
  <c r="S2941" i="1" s="1"/>
  <c r="Q2937" i="1"/>
  <c r="Q2933" i="1"/>
  <c r="Q2929" i="1"/>
  <c r="S2929" i="1" s="1"/>
  <c r="Q2923" i="1"/>
  <c r="Q2917" i="1"/>
  <c r="Q2913" i="1"/>
  <c r="Q2907" i="1"/>
  <c r="Q2903" i="1"/>
  <c r="Q2899" i="1"/>
  <c r="Q2895" i="1"/>
  <c r="S2895" i="1" s="1"/>
  <c r="Q2891" i="1"/>
  <c r="Q2887" i="1"/>
  <c r="S2887" i="1" s="1"/>
  <c r="Q2883" i="1"/>
  <c r="Q2879" i="1"/>
  <c r="Q2873" i="1"/>
  <c r="S2873" i="1" s="1"/>
  <c r="Q2869" i="1"/>
  <c r="Q2865" i="1"/>
  <c r="Q2861" i="1"/>
  <c r="Q2857" i="1"/>
  <c r="S2857" i="1" s="1"/>
  <c r="Q2853" i="1"/>
  <c r="Q2849" i="1"/>
  <c r="Q2845" i="1"/>
  <c r="Q2841" i="1"/>
  <c r="Q2837" i="1"/>
  <c r="Q2833" i="1"/>
  <c r="Q2827" i="1"/>
  <c r="Q2823" i="1"/>
  <c r="Q2817" i="1"/>
  <c r="Q2813" i="1"/>
  <c r="Q2809" i="1"/>
  <c r="Q2805" i="1"/>
  <c r="Q2801" i="1"/>
  <c r="Q2795" i="1"/>
  <c r="Q2791" i="1"/>
  <c r="Q2785" i="1"/>
  <c r="S2785" i="1" s="1"/>
  <c r="Q2781" i="1"/>
  <c r="S2781" i="1" s="1"/>
  <c r="Q2777" i="1"/>
  <c r="Q2773" i="1"/>
  <c r="Q2769" i="1"/>
  <c r="Q2765" i="1"/>
  <c r="Q2761" i="1"/>
  <c r="Q2757" i="1"/>
  <c r="S2757" i="1" s="1"/>
  <c r="Q2753" i="1"/>
  <c r="Q2749" i="1"/>
  <c r="Q2741" i="1"/>
  <c r="Q2735" i="1"/>
  <c r="Q2731" i="1"/>
  <c r="Q2727" i="1"/>
  <c r="Q2723" i="1"/>
  <c r="Q2719" i="1"/>
  <c r="Q2715" i="1"/>
  <c r="S2715" i="1" s="1"/>
  <c r="Q2711" i="1"/>
  <c r="Q2705" i="1"/>
  <c r="Q2699" i="1"/>
  <c r="Q2695" i="1"/>
  <c r="Q2691" i="1"/>
  <c r="Q2687" i="1"/>
  <c r="Q2683" i="1"/>
  <c r="Q2677" i="1"/>
  <c r="Q2673" i="1"/>
  <c r="Q2669" i="1"/>
  <c r="Q2665" i="1"/>
  <c r="S2665" i="1" s="1"/>
  <c r="Q2661" i="1"/>
  <c r="Q2657" i="1"/>
  <c r="Q2653" i="1"/>
  <c r="Q2649" i="1"/>
  <c r="Q2645" i="1"/>
  <c r="Q2641" i="1"/>
  <c r="Q2635" i="1"/>
  <c r="Q2631" i="1"/>
  <c r="Q2627" i="1"/>
  <c r="Q2623" i="1"/>
  <c r="Q2619" i="1"/>
  <c r="Q2615" i="1"/>
  <c r="S2615" i="1" s="1"/>
  <c r="Q2611" i="1"/>
  <c r="Q2605" i="1"/>
  <c r="Q2599" i="1"/>
  <c r="Q2595" i="1"/>
  <c r="Q2591" i="1"/>
  <c r="Q2587" i="1"/>
  <c r="Q2583" i="1"/>
  <c r="Q2579" i="1"/>
  <c r="Q2575" i="1"/>
  <c r="Q2569" i="1"/>
  <c r="Q2565" i="1"/>
  <c r="Q2561" i="1"/>
  <c r="Q2557" i="1"/>
  <c r="Q2553" i="1"/>
  <c r="Q2549" i="1"/>
  <c r="Q2545" i="1"/>
  <c r="Q2541" i="1"/>
  <c r="Q2537" i="1"/>
  <c r="Q2533" i="1"/>
  <c r="Q2529" i="1"/>
  <c r="Q2525" i="1"/>
  <c r="Q2521" i="1"/>
  <c r="Q2517" i="1"/>
  <c r="Q2513" i="1"/>
  <c r="Q2509" i="1"/>
  <c r="Q2505" i="1"/>
  <c r="Q2497" i="1"/>
  <c r="Q2493" i="1"/>
  <c r="Q2489" i="1"/>
  <c r="S2489" i="1" s="1"/>
  <c r="Q2485" i="1"/>
  <c r="Q2481" i="1"/>
  <c r="Q2475" i="1"/>
  <c r="Q2471" i="1"/>
  <c r="Q2467" i="1"/>
  <c r="Q2463" i="1"/>
  <c r="Q2459" i="1"/>
  <c r="Q2455" i="1"/>
  <c r="Q2449" i="1"/>
  <c r="Q2445" i="1"/>
  <c r="Q2441" i="1"/>
  <c r="Q2437" i="1"/>
  <c r="Q2433" i="1"/>
  <c r="Q2429" i="1"/>
  <c r="Q2425" i="1"/>
  <c r="Q2421" i="1"/>
  <c r="Q2415" i="1"/>
  <c r="Q2411" i="1"/>
  <c r="Q2407" i="1"/>
  <c r="Q2403" i="1"/>
  <c r="Q2399" i="1"/>
  <c r="Q2395" i="1"/>
  <c r="Q2391" i="1"/>
  <c r="S2391" i="1" s="1"/>
  <c r="Q2387" i="1"/>
  <c r="Q2381" i="1"/>
  <c r="Q2377" i="1"/>
  <c r="S2377" i="1" s="1"/>
  <c r="Q2373" i="1"/>
  <c r="Q2369" i="1"/>
  <c r="Q2365" i="1"/>
  <c r="Q2361" i="1"/>
  <c r="Q2357" i="1"/>
  <c r="Q2353" i="1"/>
  <c r="S2353" i="1" s="1"/>
  <c r="Q2349" i="1"/>
  <c r="Q2343" i="1"/>
  <c r="Q2339" i="1"/>
  <c r="S2339" i="1" s="1"/>
  <c r="Q2335" i="1"/>
  <c r="Q2329" i="1"/>
  <c r="Q2325" i="1"/>
  <c r="Q2321" i="1"/>
  <c r="Q2313" i="1"/>
  <c r="S2313" i="1" s="1"/>
  <c r="Q2309" i="1"/>
  <c r="Q2305" i="1"/>
  <c r="Q2299" i="1"/>
  <c r="Q2295" i="1"/>
  <c r="Q2285" i="1"/>
  <c r="Q2277" i="1"/>
  <c r="Q2271" i="1"/>
  <c r="Q2253" i="1"/>
  <c r="Q2245" i="1"/>
  <c r="Q2237" i="1"/>
  <c r="Q2227" i="1"/>
  <c r="Q2223" i="1"/>
  <c r="Q2219" i="1"/>
  <c r="Q2215" i="1"/>
  <c r="Q2211" i="1"/>
  <c r="S2211" i="1" s="1"/>
  <c r="Q2207" i="1"/>
  <c r="Q2201" i="1"/>
  <c r="U3610" i="1"/>
  <c r="U3224" i="1"/>
  <c r="V3224" i="1" s="1"/>
  <c r="U3131" i="1"/>
  <c r="V3131" i="1" s="1"/>
  <c r="U2849" i="1"/>
  <c r="V2849" i="1" s="1"/>
  <c r="U2756" i="1"/>
  <c r="V2756" i="1" s="1"/>
  <c r="U2462" i="1"/>
  <c r="V2462" i="1" s="1"/>
  <c r="U2438" i="1"/>
  <c r="V2438" i="1" s="1"/>
  <c r="U2370" i="1"/>
  <c r="V2370" i="1" s="1"/>
  <c r="U2253" i="1"/>
  <c r="V2253" i="1" s="1"/>
  <c r="U2218" i="1"/>
  <c r="V2218" i="1" s="1"/>
  <c r="U2144" i="1"/>
  <c r="V2144" i="1" s="1"/>
  <c r="R2026" i="1"/>
  <c r="U1924" i="1"/>
  <c r="V1924" i="1" s="1"/>
  <c r="U1803" i="1"/>
  <c r="V1803" i="1" s="1"/>
  <c r="U1704" i="1"/>
  <c r="V1704" i="1" s="1"/>
  <c r="U1516" i="1"/>
  <c r="V1516" i="1" s="1"/>
  <c r="U1500" i="1"/>
  <c r="V1500" i="1" s="1"/>
  <c r="U1446" i="1"/>
  <c r="V1446" i="1" s="1"/>
  <c r="U1376" i="1"/>
  <c r="V1376" i="1" s="1"/>
  <c r="U1358" i="1"/>
  <c r="V1358" i="1" s="1"/>
  <c r="U1306" i="1"/>
  <c r="V1306" i="1" s="1"/>
  <c r="U1236" i="1"/>
  <c r="V1236" i="1" s="1"/>
  <c r="U1162" i="1"/>
  <c r="V1162" i="1" s="1"/>
  <c r="U1146" i="1"/>
  <c r="V1146" i="1" s="1"/>
  <c r="U1099" i="1"/>
  <c r="V1099" i="1" s="1"/>
  <c r="U1095" i="1"/>
  <c r="V1095" i="1" s="1"/>
  <c r="U1063" i="1"/>
  <c r="V1063" i="1" s="1"/>
  <c r="U1045" i="1"/>
  <c r="V1045" i="1" s="1"/>
  <c r="U1029" i="1"/>
  <c r="V1029" i="1" s="1"/>
  <c r="U977" i="1"/>
  <c r="V977" i="1" s="1"/>
  <c r="U959" i="1"/>
  <c r="V959" i="1" s="1"/>
  <c r="U951" i="1"/>
  <c r="V951" i="1" s="1"/>
  <c r="U939" i="1"/>
  <c r="V939" i="1" s="1"/>
  <c r="U921" i="1"/>
  <c r="V921" i="1" s="1"/>
  <c r="U905" i="1"/>
  <c r="V905" i="1" s="1"/>
  <c r="U887" i="1"/>
  <c r="V887" i="1" s="1"/>
  <c r="U883" i="1"/>
  <c r="U867" i="1"/>
  <c r="V867" i="1" s="1"/>
  <c r="U851" i="1"/>
  <c r="V851" i="1" s="1"/>
  <c r="U847" i="1"/>
  <c r="V847" i="1" s="1"/>
  <c r="U833" i="1"/>
  <c r="V833" i="1" s="1"/>
  <c r="U815" i="1"/>
  <c r="V815" i="1" s="1"/>
  <c r="U797" i="1"/>
  <c r="V797" i="1" s="1"/>
  <c r="U781" i="1"/>
  <c r="V781" i="1" s="1"/>
  <c r="U765" i="1"/>
  <c r="V765" i="1" s="1"/>
  <c r="U745" i="1"/>
  <c r="V745" i="1" s="1"/>
  <c r="U729" i="1"/>
  <c r="V729" i="1" s="1"/>
  <c r="U711" i="1"/>
  <c r="V711" i="1" s="1"/>
  <c r="U695" i="1"/>
  <c r="V695" i="1" s="1"/>
  <c r="U677" i="1"/>
  <c r="V677" i="1" s="1"/>
  <c r="U661" i="1"/>
  <c r="V661" i="1" s="1"/>
  <c r="U643" i="1"/>
  <c r="V643" i="1" s="1"/>
  <c r="U639" i="1"/>
  <c r="V639" i="1" s="1"/>
  <c r="U625" i="1"/>
  <c r="V625" i="1" s="1"/>
  <c r="U605" i="1"/>
  <c r="V605" i="1" s="1"/>
  <c r="U599" i="1"/>
  <c r="V599" i="1" s="1"/>
  <c r="U565" i="1"/>
  <c r="V565" i="1" s="1"/>
  <c r="U545" i="1"/>
  <c r="V545" i="1" s="1"/>
  <c r="U529" i="1"/>
  <c r="V529" i="1" s="1"/>
  <c r="R510" i="1"/>
  <c r="U485" i="1"/>
  <c r="V485" i="1" s="1"/>
  <c r="U481" i="1"/>
  <c r="V481" i="1" s="1"/>
  <c r="U469" i="1"/>
  <c r="V469" i="1" s="1"/>
  <c r="U447" i="1"/>
  <c r="V447" i="1" s="1"/>
  <c r="U429" i="1"/>
  <c r="V429" i="1" s="1"/>
  <c r="U401" i="1"/>
  <c r="V401" i="1" s="1"/>
  <c r="R382" i="1"/>
  <c r="U349" i="1"/>
  <c r="U329" i="1"/>
  <c r="V329" i="1" s="1"/>
  <c r="U271" i="1"/>
  <c r="V271" i="1" s="1"/>
  <c r="U257" i="1"/>
  <c r="V257" i="1" s="1"/>
  <c r="U253" i="1"/>
  <c r="V253" i="1" s="1"/>
  <c r="U241" i="1"/>
  <c r="V241" i="1" s="1"/>
  <c r="U223" i="1"/>
  <c r="V223" i="1" s="1"/>
  <c r="U205" i="1"/>
  <c r="V205" i="1" s="1"/>
  <c r="U189" i="1"/>
  <c r="V189" i="1" s="1"/>
  <c r="U167" i="1"/>
  <c r="U147" i="1"/>
  <c r="V147" i="1" s="1"/>
  <c r="U129" i="1"/>
  <c r="V129" i="1" s="1"/>
  <c r="U117" i="1"/>
  <c r="V117" i="1" s="1"/>
  <c r="U111" i="1"/>
  <c r="V111" i="1" s="1"/>
  <c r="U97" i="1"/>
  <c r="V97" i="1" s="1"/>
  <c r="U75" i="1"/>
  <c r="V75" i="1" s="1"/>
  <c r="U53" i="1"/>
  <c r="V53" i="1" s="1"/>
  <c r="Q3867" i="1"/>
  <c r="Q3863" i="1"/>
  <c r="Q3834" i="1"/>
  <c r="S3834" i="1" s="1"/>
  <c r="Q3826" i="1"/>
  <c r="Q3822" i="1"/>
  <c r="S3822" i="1" s="1"/>
  <c r="Q3818" i="1"/>
  <c r="Q3814" i="1"/>
  <c r="Q3810" i="1"/>
  <c r="Q3806" i="1"/>
  <c r="Q3802" i="1"/>
  <c r="Q3796" i="1"/>
  <c r="Q3792" i="1"/>
  <c r="Q3788" i="1"/>
  <c r="Q3784" i="1"/>
  <c r="Q3778" i="1"/>
  <c r="Q3774" i="1"/>
  <c r="Q3770" i="1"/>
  <c r="Q3766" i="1"/>
  <c r="Q3762" i="1"/>
  <c r="Q3758" i="1"/>
  <c r="Q3754" i="1"/>
  <c r="Q3748" i="1"/>
  <c r="Q3736" i="1"/>
  <c r="Q3732" i="1"/>
  <c r="Q3728" i="1"/>
  <c r="Q3724" i="1"/>
  <c r="Q3716" i="1"/>
  <c r="Q3712" i="1"/>
  <c r="S3712" i="1" s="1"/>
  <c r="Q3708" i="1"/>
  <c r="Q3704" i="1"/>
  <c r="Q3700" i="1"/>
  <c r="Q3696" i="1"/>
  <c r="Q3692" i="1"/>
  <c r="Q3688" i="1"/>
  <c r="Q3684" i="1"/>
  <c r="S3684" i="1" s="1"/>
  <c r="Q3680" i="1"/>
  <c r="S3680" i="1" s="1"/>
  <c r="Q3670" i="1"/>
  <c r="Q3664" i="1"/>
  <c r="Q3660" i="1"/>
  <c r="S3660" i="1" s="1"/>
  <c r="Q3656" i="1"/>
  <c r="Q3652" i="1"/>
  <c r="Q3648" i="1"/>
  <c r="Q3644" i="1"/>
  <c r="S3644" i="1" s="1"/>
  <c r="Q3640" i="1"/>
  <c r="Q3636" i="1"/>
  <c r="S3636" i="1" s="1"/>
  <c r="Q3632" i="1"/>
  <c r="Q3614" i="1"/>
  <c r="Q3610" i="1"/>
  <c r="Q3604" i="1"/>
  <c r="S3604" i="1" s="1"/>
  <c r="Q3600" i="1"/>
  <c r="Q3596" i="1"/>
  <c r="Q3592" i="1"/>
  <c r="Q3588" i="1"/>
  <c r="Q3582" i="1"/>
  <c r="S3582" i="1" s="1"/>
  <c r="Q3576" i="1"/>
  <c r="Q3572" i="1"/>
  <c r="Q3568" i="1"/>
  <c r="Q3556" i="1"/>
  <c r="Q3550" i="1"/>
  <c r="Q3546" i="1"/>
  <c r="S3546" i="1" s="1"/>
  <c r="Q3542" i="1"/>
  <c r="Q3538" i="1"/>
  <c r="Q3534" i="1"/>
  <c r="Q3530" i="1"/>
  <c r="Q3524" i="1"/>
  <c r="Q3520" i="1"/>
  <c r="Q3514" i="1"/>
  <c r="Q3504" i="1"/>
  <c r="S3504" i="1" s="1"/>
  <c r="Q3500" i="1"/>
  <c r="Q3496" i="1"/>
  <c r="S3496" i="1" s="1"/>
  <c r="Q3492" i="1"/>
  <c r="Q3488" i="1"/>
  <c r="Q3484" i="1"/>
  <c r="Q3480" i="1"/>
  <c r="Q3476" i="1"/>
  <c r="S3476" i="1" s="1"/>
  <c r="Q3472" i="1"/>
  <c r="Q3468" i="1"/>
  <c r="Q3464" i="1"/>
  <c r="Q3458" i="1"/>
  <c r="S3458" i="1" s="1"/>
  <c r="Q3454" i="1"/>
  <c r="Q3448" i="1"/>
  <c r="Q3444" i="1"/>
  <c r="Q3440" i="1"/>
  <c r="Q3436" i="1"/>
  <c r="S3436" i="1" s="1"/>
  <c r="Q3430" i="1"/>
  <c r="Q3426" i="1"/>
  <c r="S3426" i="1" s="1"/>
  <c r="Q3422" i="1"/>
  <c r="Q3418" i="1"/>
  <c r="Q3414" i="1"/>
  <c r="Q3410" i="1"/>
  <c r="Q3406" i="1"/>
  <c r="S3406" i="1" s="1"/>
  <c r="Q3400" i="1"/>
  <c r="Q3396" i="1"/>
  <c r="Q3392" i="1"/>
  <c r="Q3388" i="1"/>
  <c r="Q3384" i="1"/>
  <c r="Q3380" i="1"/>
  <c r="Q3376" i="1"/>
  <c r="Q3372" i="1"/>
  <c r="Q3366" i="1"/>
  <c r="Q3360" i="1"/>
  <c r="Q3356" i="1"/>
  <c r="Q3350" i="1"/>
  <c r="S3350" i="1" s="1"/>
  <c r="Q3346" i="1"/>
  <c r="Q3342" i="1"/>
  <c r="Q3338" i="1"/>
  <c r="S3338" i="1" s="1"/>
  <c r="Q3334" i="1"/>
  <c r="Q3330" i="1"/>
  <c r="S3330" i="1" s="1"/>
  <c r="Q3324" i="1"/>
  <c r="Q3320" i="1"/>
  <c r="Q3316" i="1"/>
  <c r="S3316" i="1" s="1"/>
  <c r="Q3310" i="1"/>
  <c r="Q3306" i="1"/>
  <c r="Q3302" i="1"/>
  <c r="Q3298" i="1"/>
  <c r="Q3294" i="1"/>
  <c r="Q3290" i="1"/>
  <c r="Q3286" i="1"/>
  <c r="S3286" i="1" s="1"/>
  <c r="Q3282" i="1"/>
  <c r="S3282" i="1" s="1"/>
  <c r="Q3278" i="1"/>
  <c r="Q3274" i="1"/>
  <c r="Q3270" i="1"/>
  <c r="S3270" i="1" s="1"/>
  <c r="Q3266" i="1"/>
  <c r="Q3262" i="1"/>
  <c r="Q3258" i="1"/>
  <c r="Q3252" i="1"/>
  <c r="Q3248" i="1"/>
  <c r="S3248" i="1" s="1"/>
  <c r="Q3244" i="1"/>
  <c r="Q3240" i="1"/>
  <c r="Q3236" i="1"/>
  <c r="Q3232" i="1"/>
  <c r="Q3226" i="1"/>
  <c r="Q3222" i="1"/>
  <c r="Q3218" i="1"/>
  <c r="S3218" i="1" s="1"/>
  <c r="Q3214" i="1"/>
  <c r="Q3210" i="1"/>
  <c r="Q3206" i="1"/>
  <c r="Q3200" i="1"/>
  <c r="Q3196" i="1"/>
  <c r="Q3192" i="1"/>
  <c r="Q3188" i="1"/>
  <c r="Q3182" i="1"/>
  <c r="Q3178" i="1"/>
  <c r="Q3174" i="1"/>
  <c r="Q3168" i="1"/>
  <c r="Q3164" i="1"/>
  <c r="S3164" i="1" s="1"/>
  <c r="Q3160" i="1"/>
  <c r="Q3156" i="1"/>
  <c r="S3156" i="1" s="1"/>
  <c r="Q3150" i="1"/>
  <c r="Q3146" i="1"/>
  <c r="Q3142" i="1"/>
  <c r="Q3138" i="1"/>
  <c r="Q3134" i="1"/>
  <c r="Q3130" i="1"/>
  <c r="Q3124" i="1"/>
  <c r="S3124" i="1" s="1"/>
  <c r="Q3120" i="1"/>
  <c r="S3120" i="1" s="1"/>
  <c r="Q3116" i="1"/>
  <c r="Q3112" i="1"/>
  <c r="Q3108" i="1"/>
  <c r="Q3096" i="1"/>
  <c r="Q3092" i="1"/>
  <c r="Q3088" i="1"/>
  <c r="Q3084" i="1"/>
  <c r="S3084" i="1" s="1"/>
  <c r="Q3080" i="1"/>
  <c r="Q3076" i="1"/>
  <c r="Q3072" i="1"/>
  <c r="S3072" i="1" s="1"/>
  <c r="Q3064" i="1"/>
  <c r="Q3060" i="1"/>
  <c r="Q3056" i="1"/>
  <c r="Q3052" i="1"/>
  <c r="Q3048" i="1"/>
  <c r="S3048" i="1" s="1"/>
  <c r="Q3044" i="1"/>
  <c r="Q3040" i="1"/>
  <c r="Q3036" i="1"/>
  <c r="S3036" i="1" s="1"/>
  <c r="Q3030" i="1"/>
  <c r="S3030" i="1" s="1"/>
  <c r="Q3026" i="1"/>
  <c r="Q3022" i="1"/>
  <c r="Q3018" i="1"/>
  <c r="Q3014" i="1"/>
  <c r="Q3010" i="1"/>
  <c r="Q3006" i="1"/>
  <c r="S3006" i="1" s="1"/>
  <c r="Q3002" i="1"/>
  <c r="S3002" i="1" s="1"/>
  <c r="Q2998" i="1"/>
  <c r="S2998" i="1" s="1"/>
  <c r="Q2994" i="1"/>
  <c r="Q2990" i="1"/>
  <c r="S2990" i="1" s="1"/>
  <c r="Q2986" i="1"/>
  <c r="Q2980" i="1"/>
  <c r="Q2976" i="1"/>
  <c r="Q2970" i="1"/>
  <c r="Q2966" i="1"/>
  <c r="Q2960" i="1"/>
  <c r="Q2956" i="1"/>
  <c r="Q2952" i="1"/>
  <c r="S2952" i="1" s="1"/>
  <c r="Q2948" i="1"/>
  <c r="S2948" i="1" s="1"/>
  <c r="Q2944" i="1"/>
  <c r="S2944" i="1" s="1"/>
  <c r="Q2940" i="1"/>
  <c r="Q2936" i="1"/>
  <c r="Q2932" i="1"/>
  <c r="Q2926" i="1"/>
  <c r="Q2922" i="1"/>
  <c r="Q2916" i="1"/>
  <c r="S2916" i="1" s="1"/>
  <c r="Q2912" i="1"/>
  <c r="Q2906" i="1"/>
  <c r="Q2902" i="1"/>
  <c r="Q2898" i="1"/>
  <c r="Q2894" i="1"/>
  <c r="Q2890" i="1"/>
  <c r="Q2886" i="1"/>
  <c r="Q2882" i="1"/>
  <c r="Q2878" i="1"/>
  <c r="Q2872" i="1"/>
  <c r="Q2868" i="1"/>
  <c r="Q2864" i="1"/>
  <c r="Q2860" i="1"/>
  <c r="Q2856" i="1"/>
  <c r="Q2852" i="1"/>
  <c r="Q2848" i="1"/>
  <c r="S2848" i="1" s="1"/>
  <c r="Q2844" i="1"/>
  <c r="Q2840" i="1"/>
  <c r="Q2836" i="1"/>
  <c r="Q2830" i="1"/>
  <c r="Q2826" i="1"/>
  <c r="Q2822" i="1"/>
  <c r="S2822" i="1" s="1"/>
  <c r="Q2816" i="1"/>
  <c r="Q2812" i="1"/>
  <c r="Q2808" i="1"/>
  <c r="Q2804" i="1"/>
  <c r="S2804" i="1" s="1"/>
  <c r="Q2800" i="1"/>
  <c r="Q2794" i="1"/>
  <c r="S2794" i="1" s="1"/>
  <c r="Q2788" i="1"/>
  <c r="Q2784" i="1"/>
  <c r="Q2780" i="1"/>
  <c r="Q2776" i="1"/>
  <c r="Q2772" i="1"/>
  <c r="Q2768" i="1"/>
  <c r="Q2764" i="1"/>
  <c r="Q2760" i="1"/>
  <c r="Q2756" i="1"/>
  <c r="Q2752" i="1"/>
  <c r="Q2748" i="1"/>
  <c r="Q2744" i="1"/>
  <c r="Q2740" i="1"/>
  <c r="Q2734" i="1"/>
  <c r="S2734" i="1" s="1"/>
  <c r="Q2730" i="1"/>
  <c r="Q2726" i="1"/>
  <c r="S2726" i="1" s="1"/>
  <c r="Q2722" i="1"/>
  <c r="S2722" i="1" s="1"/>
  <c r="Q2718" i="1"/>
  <c r="S2718" i="1" s="1"/>
  <c r="Q2714" i="1"/>
  <c r="Q2708" i="1"/>
  <c r="Q2704" i="1"/>
  <c r="Q2698" i="1"/>
  <c r="Q2694" i="1"/>
  <c r="Q2690" i="1"/>
  <c r="Q2686" i="1"/>
  <c r="Q2682" i="1"/>
  <c r="Q2676" i="1"/>
  <c r="Q2672" i="1"/>
  <c r="Q2668" i="1"/>
  <c r="S2668" i="1" s="1"/>
  <c r="Q2664" i="1"/>
  <c r="S2664" i="1" s="1"/>
  <c r="Q2660" i="1"/>
  <c r="Q2656" i="1"/>
  <c r="Q2652" i="1"/>
  <c r="Q2648" i="1"/>
  <c r="Q2644" i="1"/>
  <c r="Q2640" i="1"/>
  <c r="S2640" i="1" s="1"/>
  <c r="Q2634" i="1"/>
  <c r="Q2630" i="1"/>
  <c r="Q2626" i="1"/>
  <c r="Q2622" i="1"/>
  <c r="Q2618" i="1"/>
  <c r="Q2614" i="1"/>
  <c r="Q2610" i="1"/>
  <c r="Q2604" i="1"/>
  <c r="Q2598" i="1"/>
  <c r="Q2594" i="1"/>
  <c r="S2594" i="1" s="1"/>
  <c r="Q2590" i="1"/>
  <c r="Q2586" i="1"/>
  <c r="Q2582" i="1"/>
  <c r="Q2578" i="1"/>
  <c r="Q2574" i="1"/>
  <c r="Q2568" i="1"/>
  <c r="Q2564" i="1"/>
  <c r="Q2560" i="1"/>
  <c r="Q2556" i="1"/>
  <c r="Q2552" i="1"/>
  <c r="Q2548" i="1"/>
  <c r="S2548" i="1" s="1"/>
  <c r="Q2544" i="1"/>
  <c r="Q2540" i="1"/>
  <c r="Q2536" i="1"/>
  <c r="Q2532" i="1"/>
  <c r="Q2528" i="1"/>
  <c r="Q2524" i="1"/>
  <c r="Q2520" i="1"/>
  <c r="Q2516" i="1"/>
  <c r="S2516" i="1" s="1"/>
  <c r="Q2512" i="1"/>
  <c r="Q2508" i="1"/>
  <c r="Q2504" i="1"/>
  <c r="Q2496" i="1"/>
  <c r="Q2492" i="1"/>
  <c r="Q2488" i="1"/>
  <c r="Q2484" i="1"/>
  <c r="Q2480" i="1"/>
  <c r="Q2474" i="1"/>
  <c r="Q2470" i="1"/>
  <c r="Q2466" i="1"/>
  <c r="Q2462" i="1"/>
  <c r="Q2458" i="1"/>
  <c r="Q2454" i="1"/>
  <c r="Q2448" i="1"/>
  <c r="S2448" i="1" s="1"/>
  <c r="Q2444" i="1"/>
  <c r="Q2440" i="1"/>
  <c r="Q2436" i="1"/>
  <c r="Q2432" i="1"/>
  <c r="Q2428" i="1"/>
  <c r="Q2424" i="1"/>
  <c r="Q2420" i="1"/>
  <c r="S2420" i="1" s="1"/>
  <c r="Q2414" i="1"/>
  <c r="Q2410" i="1"/>
  <c r="Q2406" i="1"/>
  <c r="Q2402" i="1"/>
  <c r="Q2398" i="1"/>
  <c r="Q2394" i="1"/>
  <c r="Q2390" i="1"/>
  <c r="Q2384" i="1"/>
  <c r="Q2380" i="1"/>
  <c r="Q2376" i="1"/>
  <c r="Q2372" i="1"/>
  <c r="S2372" i="1" s="1"/>
  <c r="Q2368" i="1"/>
  <c r="Q2364" i="1"/>
  <c r="Q2360" i="1"/>
  <c r="Q2356" i="1"/>
  <c r="Q2352" i="1"/>
  <c r="Q2348" i="1"/>
  <c r="Q2342" i="1"/>
  <c r="Q2338" i="1"/>
  <c r="Q2334" i="1"/>
  <c r="Q2328" i="1"/>
  <c r="S2328" i="1" s="1"/>
  <c r="Q2324" i="1"/>
  <c r="Q2320" i="1"/>
  <c r="Q2312" i="1"/>
  <c r="Q2308" i="1"/>
  <c r="Q2304" i="1"/>
  <c r="Q2298" i="1"/>
  <c r="U3292" i="1"/>
  <c r="V3292" i="1" s="1"/>
  <c r="U2433" i="1"/>
  <c r="V2433" i="1" s="1"/>
  <c r="U2342" i="1"/>
  <c r="V2342" i="1" s="1"/>
  <c r="U2018" i="1"/>
  <c r="V2018" i="1" s="1"/>
  <c r="U1819" i="1"/>
  <c r="V1819" i="1" s="1"/>
  <c r="U1460" i="1"/>
  <c r="V1460" i="1" s="1"/>
  <c r="U1174" i="1"/>
  <c r="V1174" i="1" s="1"/>
  <c r="U1048" i="1"/>
  <c r="V1048" i="1" s="1"/>
  <c r="U1032" i="1"/>
  <c r="V1032" i="1" s="1"/>
  <c r="U980" i="1"/>
  <c r="V980" i="1" s="1"/>
  <c r="U836" i="1"/>
  <c r="V836" i="1" s="1"/>
  <c r="U628" i="1"/>
  <c r="V628" i="1" s="1"/>
  <c r="U586" i="1"/>
  <c r="U548" i="1"/>
  <c r="V548" i="1" s="1"/>
  <c r="U516" i="1"/>
  <c r="V516" i="1" s="1"/>
  <c r="U472" i="1"/>
  <c r="V472" i="1" s="1"/>
  <c r="U436" i="1"/>
  <c r="V436" i="1" s="1"/>
  <c r="U384" i="1"/>
  <c r="R357" i="1"/>
  <c r="U332" i="1"/>
  <c r="V332" i="1" s="1"/>
  <c r="U314" i="1"/>
  <c r="U226" i="1"/>
  <c r="V226" i="1" s="1"/>
  <c r="U154" i="1"/>
  <c r="V154" i="1" s="1"/>
  <c r="U120" i="1"/>
  <c r="V120" i="1" s="1"/>
  <c r="Q3866" i="1"/>
  <c r="Q3813" i="1"/>
  <c r="Q3795" i="1"/>
  <c r="Q3777" i="1"/>
  <c r="Q3761" i="1"/>
  <c r="Q3739" i="1"/>
  <c r="Q3723" i="1"/>
  <c r="Q3703" i="1"/>
  <c r="Q3687" i="1"/>
  <c r="Q3669" i="1"/>
  <c r="Q3651" i="1"/>
  <c r="Q3635" i="1"/>
  <c r="Q3613" i="1"/>
  <c r="Q3595" i="1"/>
  <c r="Q3575" i="1"/>
  <c r="Q3553" i="1"/>
  <c r="S3553" i="1" s="1"/>
  <c r="Q3537" i="1"/>
  <c r="S3537" i="1" s="1"/>
  <c r="Q3519" i="1"/>
  <c r="S3519" i="1" s="1"/>
  <c r="Q3495" i="1"/>
  <c r="Q3479" i="1"/>
  <c r="Q3461" i="1"/>
  <c r="S3461" i="1" s="1"/>
  <c r="Q3443" i="1"/>
  <c r="S3443" i="1" s="1"/>
  <c r="Q3425" i="1"/>
  <c r="S3425" i="1" s="1"/>
  <c r="Q3409" i="1"/>
  <c r="Q3391" i="1"/>
  <c r="S3391" i="1" s="1"/>
  <c r="Q3375" i="1"/>
  <c r="Q3355" i="1"/>
  <c r="S3355" i="1" s="1"/>
  <c r="Q3337" i="1"/>
  <c r="Q3319" i="1"/>
  <c r="Q3301" i="1"/>
  <c r="Q3285" i="1"/>
  <c r="S3285" i="1" s="1"/>
  <c r="Q3269" i="1"/>
  <c r="Q3251" i="1"/>
  <c r="S3251" i="1" s="1"/>
  <c r="Q3235" i="1"/>
  <c r="S3235" i="1" s="1"/>
  <c r="Q3217" i="1"/>
  <c r="S3217" i="1" s="1"/>
  <c r="Q3199" i="1"/>
  <c r="S3199" i="1" s="1"/>
  <c r="Q3181" i="1"/>
  <c r="S3181" i="1" s="1"/>
  <c r="Q3163" i="1"/>
  <c r="S3163" i="1" s="1"/>
  <c r="Q3145" i="1"/>
  <c r="Q3129" i="1"/>
  <c r="S3129" i="1" s="1"/>
  <c r="Q3111" i="1"/>
  <c r="S3111" i="1" s="1"/>
  <c r="Q3091" i="1"/>
  <c r="Q3075" i="1"/>
  <c r="S3075" i="1" s="1"/>
  <c r="Q3055" i="1"/>
  <c r="Q3039" i="1"/>
  <c r="Q3021" i="1"/>
  <c r="Q3005" i="1"/>
  <c r="S3005" i="1" s="1"/>
  <c r="Q2989" i="1"/>
  <c r="Q2969" i="1"/>
  <c r="S2969" i="1" s="1"/>
  <c r="Q2951" i="1"/>
  <c r="Q2935" i="1"/>
  <c r="Q2915" i="1"/>
  <c r="Q2897" i="1"/>
  <c r="S2897" i="1" s="1"/>
  <c r="Q2881" i="1"/>
  <c r="S2881" i="1" s="1"/>
  <c r="Q2863" i="1"/>
  <c r="Q2847" i="1"/>
  <c r="Q2829" i="1"/>
  <c r="S2829" i="1" s="1"/>
  <c r="Q2811" i="1"/>
  <c r="Q2793" i="1"/>
  <c r="Q2775" i="1"/>
  <c r="Q2759" i="1"/>
  <c r="S2759" i="1" s="1"/>
  <c r="Q2743" i="1"/>
  <c r="S2743" i="1" s="1"/>
  <c r="Q2725" i="1"/>
  <c r="Q2707" i="1"/>
  <c r="Q2689" i="1"/>
  <c r="S2689" i="1" s="1"/>
  <c r="Q2671" i="1"/>
  <c r="Q2655" i="1"/>
  <c r="Q2639" i="1"/>
  <c r="Q2621" i="1"/>
  <c r="Q2585" i="1"/>
  <c r="Q2567" i="1"/>
  <c r="Q2551" i="1"/>
  <c r="Q2535" i="1"/>
  <c r="Q2519" i="1"/>
  <c r="Q2501" i="1"/>
  <c r="S2501" i="1" s="1"/>
  <c r="Q2483" i="1"/>
  <c r="S2483" i="1" s="1"/>
  <c r="Q2465" i="1"/>
  <c r="Q2447" i="1"/>
  <c r="Q2431" i="1"/>
  <c r="Q2413" i="1"/>
  <c r="Q2397" i="1"/>
  <c r="S2397" i="1" s="1"/>
  <c r="Q2379" i="1"/>
  <c r="S2379" i="1" s="1"/>
  <c r="Q2363" i="1"/>
  <c r="Q2347" i="1"/>
  <c r="S2347" i="1" s="1"/>
  <c r="Q2327" i="1"/>
  <c r="S2327" i="1" s="1"/>
  <c r="Q2307" i="1"/>
  <c r="S2307" i="1" s="1"/>
  <c r="Q2291" i="1"/>
  <c r="S2291" i="1" s="1"/>
  <c r="Q2273" i="1"/>
  <c r="S2273" i="1" s="1"/>
  <c r="Q2243" i="1"/>
  <c r="Q2225" i="1"/>
  <c r="Q2217" i="1"/>
  <c r="Q2209" i="1"/>
  <c r="Q2199" i="1"/>
  <c r="Q2193" i="1"/>
  <c r="S2193" i="1" s="1"/>
  <c r="Q2189" i="1"/>
  <c r="Q2185" i="1"/>
  <c r="S2185" i="1" s="1"/>
  <c r="Q2179" i="1"/>
  <c r="Q2175" i="1"/>
  <c r="Q2171" i="1"/>
  <c r="S2171" i="1" s="1"/>
  <c r="Q2167" i="1"/>
  <c r="Q2161" i="1"/>
  <c r="Q2157" i="1"/>
  <c r="Q2153" i="1"/>
  <c r="U2153" i="1" s="1"/>
  <c r="V2153" i="1" s="1"/>
  <c r="Q2145" i="1"/>
  <c r="Q2141" i="1"/>
  <c r="Q2137" i="1"/>
  <c r="Q2131" i="1"/>
  <c r="Q2127" i="1"/>
  <c r="S2127" i="1" s="1"/>
  <c r="Q2123" i="1"/>
  <c r="S2123" i="1" s="1"/>
  <c r="Q2119" i="1"/>
  <c r="Q2113" i="1"/>
  <c r="Q2109" i="1"/>
  <c r="Q2105" i="1"/>
  <c r="Q2101" i="1"/>
  <c r="Q2095" i="1"/>
  <c r="Q2091" i="1"/>
  <c r="S2091" i="1" s="1"/>
  <c r="Q2087" i="1"/>
  <c r="Q2083" i="1"/>
  <c r="Q2079" i="1"/>
  <c r="Q2073" i="1"/>
  <c r="Q2069" i="1"/>
  <c r="Q2065" i="1"/>
  <c r="Q2061" i="1"/>
  <c r="Q2057" i="1"/>
  <c r="Q2051" i="1"/>
  <c r="Q2047" i="1"/>
  <c r="Q2043" i="1"/>
  <c r="Q2039" i="1"/>
  <c r="Q2035" i="1"/>
  <c r="S2035" i="1" s="1"/>
  <c r="Q2031" i="1"/>
  <c r="U3586" i="1"/>
  <c r="U2505" i="1"/>
  <c r="V2505" i="1" s="1"/>
  <c r="U2410" i="1"/>
  <c r="V2410" i="1" s="1"/>
  <c r="R2317" i="1"/>
  <c r="U2090" i="1"/>
  <c r="V2090" i="1" s="1"/>
  <c r="U1698" i="1"/>
  <c r="V1698" i="1" s="1"/>
  <c r="U1599" i="1"/>
  <c r="V1599" i="1" s="1"/>
  <c r="U1372" i="1"/>
  <c r="V1372" i="1" s="1"/>
  <c r="U1302" i="1"/>
  <c r="V1302" i="1" s="1"/>
  <c r="U1098" i="1"/>
  <c r="V1098" i="1" s="1"/>
  <c r="U1078" i="1"/>
  <c r="V1078" i="1" s="1"/>
  <c r="U1062" i="1"/>
  <c r="V1062" i="1" s="1"/>
  <c r="U1010" i="1"/>
  <c r="V1010" i="1" s="1"/>
  <c r="U958" i="1"/>
  <c r="U938" i="1"/>
  <c r="V938" i="1" s="1"/>
  <c r="U920" i="1"/>
  <c r="V920" i="1" s="1"/>
  <c r="U866" i="1"/>
  <c r="V866" i="1" s="1"/>
  <c r="U850" i="1"/>
  <c r="V850" i="1" s="1"/>
  <c r="U814" i="1"/>
  <c r="V814" i="1" s="1"/>
  <c r="U744" i="1"/>
  <c r="V744" i="1" s="1"/>
  <c r="U710" i="1"/>
  <c r="V710" i="1" s="1"/>
  <c r="U660" i="1"/>
  <c r="V660" i="1" s="1"/>
  <c r="U580" i="1"/>
  <c r="V580" i="1" s="1"/>
  <c r="U506" i="1"/>
  <c r="V506" i="1" s="1"/>
  <c r="U468" i="1"/>
  <c r="V468" i="1" s="1"/>
  <c r="U432" i="1"/>
  <c r="V432" i="1" s="1"/>
  <c r="U274" i="1"/>
  <c r="V274" i="1" s="1"/>
  <c r="U204" i="1"/>
  <c r="V204" i="1" s="1"/>
  <c r="U170" i="1"/>
  <c r="V170" i="1" s="1"/>
  <c r="U116" i="1"/>
  <c r="V116" i="1" s="1"/>
  <c r="U96" i="1"/>
  <c r="V96" i="1" s="1"/>
  <c r="U78" i="1"/>
  <c r="V78" i="1" s="1"/>
  <c r="U60" i="1"/>
  <c r="V60" i="1" s="1"/>
  <c r="Q3825" i="1"/>
  <c r="Q3809" i="1"/>
  <c r="S3809" i="1" s="1"/>
  <c r="Q3791" i="1"/>
  <c r="Q3773" i="1"/>
  <c r="Q3757" i="1"/>
  <c r="Q3735" i="1"/>
  <c r="Q3715" i="1"/>
  <c r="Q3699" i="1"/>
  <c r="Q3683" i="1"/>
  <c r="Q3663" i="1"/>
  <c r="Q3647" i="1"/>
  <c r="Q3631" i="1"/>
  <c r="Q3607" i="1"/>
  <c r="Q3591" i="1"/>
  <c r="Q3571" i="1"/>
  <c r="S3571" i="1" s="1"/>
  <c r="Q3549" i="1"/>
  <c r="Q3533" i="1"/>
  <c r="Q3511" i="1"/>
  <c r="Q3491" i="1"/>
  <c r="Q3475" i="1"/>
  <c r="Q3457" i="1"/>
  <c r="Q3439" i="1"/>
  <c r="Q3421" i="1"/>
  <c r="Q3405" i="1"/>
  <c r="Q3387" i="1"/>
  <c r="Q3369" i="1"/>
  <c r="S3369" i="1" s="1"/>
  <c r="Q3349" i="1"/>
  <c r="Q3333" i="1"/>
  <c r="Q3313" i="1"/>
  <c r="Q3297" i="1"/>
  <c r="Q3281" i="1"/>
  <c r="Q3265" i="1"/>
  <c r="Q3247" i="1"/>
  <c r="Q3229" i="1"/>
  <c r="Q3213" i="1"/>
  <c r="Q3195" i="1"/>
  <c r="Q3177" i="1"/>
  <c r="Q3159" i="1"/>
  <c r="S3159" i="1" s="1"/>
  <c r="Q3141" i="1"/>
  <c r="Q3123" i="1"/>
  <c r="S3123" i="1" s="1"/>
  <c r="Q3107" i="1"/>
  <c r="Q3087" i="1"/>
  <c r="Q3051" i="1"/>
  <c r="Q3017" i="1"/>
  <c r="Q3001" i="1"/>
  <c r="Q2985" i="1"/>
  <c r="Q2965" i="1"/>
  <c r="Q2947" i="1"/>
  <c r="Q2931" i="1"/>
  <c r="Q2911" i="1"/>
  <c r="Q2893" i="1"/>
  <c r="Q2875" i="1"/>
  <c r="Q2859" i="1"/>
  <c r="Q2843" i="1"/>
  <c r="Q2825" i="1"/>
  <c r="Q2807" i="1"/>
  <c r="S2807" i="1" s="1"/>
  <c r="Q2787" i="1"/>
  <c r="Q2771" i="1"/>
  <c r="Q2755" i="1"/>
  <c r="Q2737" i="1"/>
  <c r="Q2721" i="1"/>
  <c r="Q2701" i="1"/>
  <c r="Q2685" i="1"/>
  <c r="Q2667" i="1"/>
  <c r="Q2651" i="1"/>
  <c r="Q2633" i="1"/>
  <c r="Q2617" i="1"/>
  <c r="Q2597" i="1"/>
  <c r="Q2581" i="1"/>
  <c r="Q2563" i="1"/>
  <c r="Q2547" i="1"/>
  <c r="S2547" i="1" s="1"/>
  <c r="Q2531" i="1"/>
  <c r="Q2515" i="1"/>
  <c r="S2515" i="1" s="1"/>
  <c r="Q2495" i="1"/>
  <c r="Q2461" i="1"/>
  <c r="Q2443" i="1"/>
  <c r="Q2427" i="1"/>
  <c r="Q2409" i="1"/>
  <c r="Q2393" i="1"/>
  <c r="Q2375" i="1"/>
  <c r="Q2359" i="1"/>
  <c r="Q2341" i="1"/>
  <c r="Q2323" i="1"/>
  <c r="Q2270" i="1"/>
  <c r="Q2252" i="1"/>
  <c r="Q2222" i="1"/>
  <c r="Q2214" i="1"/>
  <c r="Q2206" i="1"/>
  <c r="Q2197" i="1"/>
  <c r="Q2192" i="1"/>
  <c r="Q2188" i="1"/>
  <c r="Q2182" i="1"/>
  <c r="Q2178" i="1"/>
  <c r="Q2174" i="1"/>
  <c r="Q2170" i="1"/>
  <c r="Q2166" i="1"/>
  <c r="S2166" i="1" s="1"/>
  <c r="Q2160" i="1"/>
  <c r="U2160" i="1" s="1"/>
  <c r="V2160" i="1" s="1"/>
  <c r="Q2156" i="1"/>
  <c r="U2156" i="1" s="1"/>
  <c r="V2156" i="1" s="1"/>
  <c r="Q2152" i="1"/>
  <c r="U2152" i="1" s="1"/>
  <c r="Q2144" i="1"/>
  <c r="Q2140" i="1"/>
  <c r="Q2136" i="1"/>
  <c r="Q2130" i="1"/>
  <c r="Q2126" i="1"/>
  <c r="Q2122" i="1"/>
  <c r="Q2118" i="1"/>
  <c r="Q2112" i="1"/>
  <c r="Q2108" i="1"/>
  <c r="Q2104" i="1"/>
  <c r="Q2100" i="1"/>
  <c r="Q2094" i="1"/>
  <c r="Q2090" i="1"/>
  <c r="Q2086" i="1"/>
  <c r="Q2082" i="1"/>
  <c r="Q2076" i="1"/>
  <c r="Q2072" i="1"/>
  <c r="S2072" i="1" s="1"/>
  <c r="Q2068" i="1"/>
  <c r="S2068" i="1" s="1"/>
  <c r="Q2064" i="1"/>
  <c r="Q2060" i="1"/>
  <c r="S2060" i="1" s="1"/>
  <c r="Q2054" i="1"/>
  <c r="Q2050" i="1"/>
  <c r="Q2046" i="1"/>
  <c r="Q2042" i="1"/>
  <c r="Q2038" i="1"/>
  <c r="Q2034" i="1"/>
  <c r="S2034" i="1" s="1"/>
  <c r="Q2030" i="1"/>
  <c r="U3481" i="1"/>
  <c r="V3481" i="1" s="1"/>
  <c r="U2480" i="1"/>
  <c r="V2480" i="1" s="1"/>
  <c r="U2388" i="1"/>
  <c r="V2388" i="1" s="1"/>
  <c r="U2166" i="1"/>
  <c r="U1675" i="1"/>
  <c r="V1675" i="1" s="1"/>
  <c r="U1576" i="1"/>
  <c r="V1576" i="1" s="1"/>
  <c r="U1426" i="1"/>
  <c r="V1426" i="1" s="1"/>
  <c r="U1354" i="1"/>
  <c r="V1354" i="1" s="1"/>
  <c r="U1094" i="1"/>
  <c r="V1094" i="1" s="1"/>
  <c r="U1040" i="1"/>
  <c r="V1040" i="1" s="1"/>
  <c r="U1022" i="1"/>
  <c r="V1022" i="1" s="1"/>
  <c r="U1006" i="1"/>
  <c r="V1006" i="1" s="1"/>
  <c r="U950" i="1"/>
  <c r="V950" i="1" s="1"/>
  <c r="U934" i="1"/>
  <c r="V934" i="1" s="1"/>
  <c r="U900" i="1"/>
  <c r="V900" i="1" s="1"/>
  <c r="U880" i="1"/>
  <c r="V880" i="1" s="1"/>
  <c r="U862" i="1"/>
  <c r="V862" i="1" s="1"/>
  <c r="U828" i="1"/>
  <c r="V828" i="1" s="1"/>
  <c r="U810" i="1"/>
  <c r="V810" i="1" s="1"/>
  <c r="U792" i="1"/>
  <c r="V792" i="1" s="1"/>
  <c r="U740" i="1"/>
  <c r="V740" i="1" s="1"/>
  <c r="U724" i="1"/>
  <c r="V724" i="1" s="1"/>
  <c r="U690" i="1"/>
  <c r="U672" i="1"/>
  <c r="V672" i="1" s="1"/>
  <c r="U656" i="1"/>
  <c r="U620" i="1"/>
  <c r="V620" i="1" s="1"/>
  <c r="U540" i="1"/>
  <c r="V540" i="1" s="1"/>
  <c r="U524" i="1"/>
  <c r="V524" i="1" s="1"/>
  <c r="U500" i="1"/>
  <c r="U446" i="1"/>
  <c r="V446" i="1" s="1"/>
  <c r="U428" i="1"/>
  <c r="V428" i="1" s="1"/>
  <c r="R371" i="1"/>
  <c r="U342" i="1"/>
  <c r="V342" i="1" s="1"/>
  <c r="U270" i="1"/>
  <c r="V270" i="1" s="1"/>
  <c r="U234" i="1"/>
  <c r="V234" i="1" s="1"/>
  <c r="U218" i="1"/>
  <c r="V218" i="1" s="1"/>
  <c r="U200" i="1"/>
  <c r="V200" i="1" s="1"/>
  <c r="U164" i="1"/>
  <c r="V164" i="1" s="1"/>
  <c r="U128" i="1"/>
  <c r="V128" i="1" s="1"/>
  <c r="U92" i="1"/>
  <c r="V92" i="1" s="1"/>
  <c r="U56" i="1"/>
  <c r="V56" i="1" s="1"/>
  <c r="Q3821" i="1"/>
  <c r="S3821" i="1" s="1"/>
  <c r="Q3805" i="1"/>
  <c r="Q3787" i="1"/>
  <c r="Q3769" i="1"/>
  <c r="Q3751" i="1"/>
  <c r="Q3731" i="1"/>
  <c r="S3731" i="1" s="1"/>
  <c r="Q3711" i="1"/>
  <c r="Q3695" i="1"/>
  <c r="Q3679" i="1"/>
  <c r="Q3659" i="1"/>
  <c r="S3659" i="1" s="1"/>
  <c r="Q3643" i="1"/>
  <c r="S3643" i="1" s="1"/>
  <c r="Q3627" i="1"/>
  <c r="Q3603" i="1"/>
  <c r="S3603" i="1" s="1"/>
  <c r="Q3587" i="1"/>
  <c r="S3587" i="1" s="1"/>
  <c r="Q3565" i="1"/>
  <c r="S3565" i="1" s="1"/>
  <c r="Q3545" i="1"/>
  <c r="Q3529" i="1"/>
  <c r="Q3503" i="1"/>
  <c r="Q3487" i="1"/>
  <c r="Q3471" i="1"/>
  <c r="Q3453" i="1"/>
  <c r="Q3435" i="1"/>
  <c r="Q3417" i="1"/>
  <c r="Q3399" i="1"/>
  <c r="Q3383" i="1"/>
  <c r="Q3365" i="1"/>
  <c r="Q3345" i="1"/>
  <c r="S3345" i="1" s="1"/>
  <c r="Q3329" i="1"/>
  <c r="Q3309" i="1"/>
  <c r="Q3293" i="1"/>
  <c r="S3293" i="1" s="1"/>
  <c r="Q3277" i="1"/>
  <c r="Q3261" i="1"/>
  <c r="Q3243" i="1"/>
  <c r="Q3225" i="1"/>
  <c r="Q3209" i="1"/>
  <c r="Q3191" i="1"/>
  <c r="Q3171" i="1"/>
  <c r="S3171" i="1" s="1"/>
  <c r="Q3155" i="1"/>
  <c r="Q3137" i="1"/>
  <c r="S3137" i="1" s="1"/>
  <c r="Q3119" i="1"/>
  <c r="Q3099" i="1"/>
  <c r="Q3083" i="1"/>
  <c r="Q3063" i="1"/>
  <c r="S3063" i="1" s="1"/>
  <c r="Q3047" i="1"/>
  <c r="Q3029" i="1"/>
  <c r="Q3013" i="1"/>
  <c r="Q2997" i="1"/>
  <c r="Q2979" i="1"/>
  <c r="Q2959" i="1"/>
  <c r="Q2943" i="1"/>
  <c r="Q2925" i="1"/>
  <c r="Q2905" i="1"/>
  <c r="Q2889" i="1"/>
  <c r="Q2871" i="1"/>
  <c r="S2871" i="1" s="1"/>
  <c r="Q2855" i="1"/>
  <c r="Q2839" i="1"/>
  <c r="Q2821" i="1"/>
  <c r="Q2803" i="1"/>
  <c r="Q2783" i="1"/>
  <c r="Q2767" i="1"/>
  <c r="Q2751" i="1"/>
  <c r="Q2733" i="1"/>
  <c r="Q2717" i="1"/>
  <c r="S2717" i="1" s="1"/>
  <c r="Q2697" i="1"/>
  <c r="Q2681" i="1"/>
  <c r="Q2663" i="1"/>
  <c r="Q2647" i="1"/>
  <c r="Q2629" i="1"/>
  <c r="Q2613" i="1"/>
  <c r="Q2593" i="1"/>
  <c r="Q2577" i="1"/>
  <c r="Q2559" i="1"/>
  <c r="Q2543" i="1"/>
  <c r="S2543" i="1" s="1"/>
  <c r="Q2527" i="1"/>
  <c r="S2527" i="1" s="1"/>
  <c r="Q2511" i="1"/>
  <c r="Q2491" i="1"/>
  <c r="Q2473" i="1"/>
  <c r="Q2457" i="1"/>
  <c r="Q2439" i="1"/>
  <c r="Q2423" i="1"/>
  <c r="Q2405" i="1"/>
  <c r="S2405" i="1" s="1"/>
  <c r="Q2389" i="1"/>
  <c r="Q2371" i="1"/>
  <c r="Q2355" i="1"/>
  <c r="Q2337" i="1"/>
  <c r="Q2297" i="1"/>
  <c r="Q2269" i="1"/>
  <c r="Q2221" i="1"/>
  <c r="Q2213" i="1"/>
  <c r="Q2203" i="1"/>
  <c r="Q2196" i="1"/>
  <c r="Q2191" i="1"/>
  <c r="Q2187" i="1"/>
  <c r="Q2181" i="1"/>
  <c r="Q2177" i="1"/>
  <c r="S2177" i="1" s="1"/>
  <c r="Q2169" i="1"/>
  <c r="Q2163" i="1"/>
  <c r="Q2159" i="1"/>
  <c r="Q2155" i="1"/>
  <c r="Q2149" i="1"/>
  <c r="S2149" i="1" s="1"/>
  <c r="Q2143" i="1"/>
  <c r="Q2139" i="1"/>
  <c r="Q2135" i="1"/>
  <c r="Q2129" i="1"/>
  <c r="Q2125" i="1"/>
  <c r="Q2121" i="1"/>
  <c r="Q2117" i="1"/>
  <c r="Q2111" i="1"/>
  <c r="Q2107" i="1"/>
  <c r="S2107" i="1" s="1"/>
  <c r="Q2103" i="1"/>
  <c r="Q2099" i="1"/>
  <c r="Q2093" i="1"/>
  <c r="Q2089" i="1"/>
  <c r="Q2085" i="1"/>
  <c r="S2085" i="1" s="1"/>
  <c r="Q2081" i="1"/>
  <c r="Q2075" i="1"/>
  <c r="Q2071" i="1"/>
  <c r="S2071" i="1" s="1"/>
  <c r="Q2067" i="1"/>
  <c r="Q2063" i="1"/>
  <c r="Q2059" i="1"/>
  <c r="Q2053" i="1"/>
  <c r="S2053" i="1" s="1"/>
  <c r="Q2049" i="1"/>
  <c r="Q2045" i="1"/>
  <c r="Q2041" i="1"/>
  <c r="S2041" i="1" s="1"/>
  <c r="Q2037" i="1"/>
  <c r="S2037" i="1" s="1"/>
  <c r="Q2033" i="1"/>
  <c r="U3012" i="1"/>
  <c r="V3012" i="1" s="1"/>
  <c r="U2365" i="1"/>
  <c r="V2365" i="1" s="1"/>
  <c r="U2244" i="1"/>
  <c r="V2244" i="1" s="1"/>
  <c r="U2138" i="1"/>
  <c r="V2138" i="1" s="1"/>
  <c r="U1942" i="1"/>
  <c r="V1942" i="1" s="1"/>
  <c r="U1842" i="1"/>
  <c r="V1842" i="1" s="1"/>
  <c r="U1650" i="1"/>
  <c r="V1650" i="1" s="1"/>
  <c r="U1406" i="1"/>
  <c r="V1406" i="1" s="1"/>
  <c r="U1338" i="1"/>
  <c r="U1266" i="1"/>
  <c r="V1266" i="1" s="1"/>
  <c r="U1192" i="1"/>
  <c r="V1192" i="1" s="1"/>
  <c r="U1090" i="1"/>
  <c r="V1090" i="1" s="1"/>
  <c r="U1054" i="1"/>
  <c r="U1018" i="1"/>
  <c r="V1018" i="1" s="1"/>
  <c r="U984" i="1"/>
  <c r="V984" i="1" s="1"/>
  <c r="U946" i="1"/>
  <c r="V946" i="1" s="1"/>
  <c r="U858" i="1"/>
  <c r="V858" i="1" s="1"/>
  <c r="U840" i="1"/>
  <c r="V840" i="1" s="1"/>
  <c r="U824" i="1"/>
  <c r="U804" i="1"/>
  <c r="V804" i="1" s="1"/>
  <c r="U788" i="1"/>
  <c r="V788" i="1" s="1"/>
  <c r="U772" i="1"/>
  <c r="V772" i="1" s="1"/>
  <c r="U736" i="1"/>
  <c r="V736" i="1" s="1"/>
  <c r="U720" i="1"/>
  <c r="V720" i="1" s="1"/>
  <c r="U702" i="1"/>
  <c r="V702" i="1" s="1"/>
  <c r="U668" i="1"/>
  <c r="V668" i="1" s="1"/>
  <c r="U650" i="1"/>
  <c r="V650" i="1" s="1"/>
  <c r="U590" i="1"/>
  <c r="V590" i="1" s="1"/>
  <c r="U572" i="1"/>
  <c r="V572" i="1" s="1"/>
  <c r="U520" i="1"/>
  <c r="V520" i="1" s="1"/>
  <c r="U492" i="1"/>
  <c r="V492" i="1" s="1"/>
  <c r="U442" i="1"/>
  <c r="V442" i="1" s="1"/>
  <c r="U404" i="1"/>
  <c r="V404" i="1" s="1"/>
  <c r="U362" i="1"/>
  <c r="V362" i="1" s="1"/>
  <c r="U338" i="1"/>
  <c r="V338" i="1" s="1"/>
  <c r="U266" i="1"/>
  <c r="V266" i="1" s="1"/>
  <c r="U248" i="1"/>
  <c r="V248" i="1" s="1"/>
  <c r="U230" i="1"/>
  <c r="V230" i="1" s="1"/>
  <c r="U196" i="1"/>
  <c r="V196" i="1" s="1"/>
  <c r="U178" i="1"/>
  <c r="V178" i="1" s="1"/>
  <c r="U160" i="1"/>
  <c r="V160" i="1" s="1"/>
  <c r="U142" i="1"/>
  <c r="V142" i="1" s="1"/>
  <c r="U124" i="1"/>
  <c r="V124" i="1" s="1"/>
  <c r="U106" i="1"/>
  <c r="V106" i="1" s="1"/>
  <c r="U88" i="1"/>
  <c r="V88" i="1" s="1"/>
  <c r="Q3837" i="1"/>
  <c r="Q3817" i="1"/>
  <c r="Q3801" i="1"/>
  <c r="Q3783" i="1"/>
  <c r="Q3765" i="1"/>
  <c r="Q3745" i="1"/>
  <c r="Q2028" i="1"/>
  <c r="Q2044" i="1"/>
  <c r="Q2062" i="1"/>
  <c r="Q2080" i="1"/>
  <c r="Q2096" i="1"/>
  <c r="Q2114" i="1"/>
  <c r="Q2132" i="1"/>
  <c r="Q2154" i="1"/>
  <c r="U2154" i="1" s="1"/>
  <c r="V2154" i="1" s="1"/>
  <c r="Q2172" i="1"/>
  <c r="S2172" i="1" s="1"/>
  <c r="Q2190" i="1"/>
  <c r="Q2218" i="1"/>
  <c r="Q2351" i="1"/>
  <c r="Q2419" i="1"/>
  <c r="Q2487" i="1"/>
  <c r="S2487" i="1" s="1"/>
  <c r="Q2555" i="1"/>
  <c r="Q2625" i="1"/>
  <c r="Q2693" i="1"/>
  <c r="Q2763" i="1"/>
  <c r="S2763" i="1" s="1"/>
  <c r="Q2835" i="1"/>
  <c r="Q2901" i="1"/>
  <c r="S2901" i="1" s="1"/>
  <c r="Q2975" i="1"/>
  <c r="Q3043" i="1"/>
  <c r="Q3115" i="1"/>
  <c r="Q3187" i="1"/>
  <c r="S3187" i="1" s="1"/>
  <c r="Q3255" i="1"/>
  <c r="Q3323" i="1"/>
  <c r="S3323" i="1" s="1"/>
  <c r="Q3395" i="1"/>
  <c r="S3395" i="1" s="1"/>
  <c r="Q3467" i="1"/>
  <c r="S3467" i="1" s="1"/>
  <c r="Q3541" i="1"/>
  <c r="S3541" i="1" s="1"/>
  <c r="Q3619" i="1"/>
  <c r="Q3691" i="1"/>
  <c r="Q2021" i="1"/>
  <c r="Q2009" i="1"/>
  <c r="Q2005" i="1"/>
  <c r="Q2001" i="1"/>
  <c r="Q1997" i="1"/>
  <c r="Q1993" i="1"/>
  <c r="Q1989" i="1"/>
  <c r="Q1985" i="1"/>
  <c r="Q1977" i="1"/>
  <c r="Q1973" i="1"/>
  <c r="Q1965" i="1"/>
  <c r="Q1961" i="1"/>
  <c r="Q1957" i="1"/>
  <c r="Q1953" i="1"/>
  <c r="Q1949" i="1"/>
  <c r="Q1945" i="1"/>
  <c r="Q1941" i="1"/>
  <c r="Q1937" i="1"/>
  <c r="Q1933" i="1"/>
  <c r="Q1929" i="1"/>
  <c r="Q1925" i="1"/>
  <c r="Q1917" i="1"/>
  <c r="Q1909" i="1"/>
  <c r="Q1905" i="1"/>
  <c r="Q1901" i="1"/>
  <c r="Q1889" i="1"/>
  <c r="Q1885" i="1"/>
  <c r="Q1881" i="1"/>
  <c r="Q1877" i="1"/>
  <c r="Q1873" i="1"/>
  <c r="Q1865" i="1"/>
  <c r="Q1861" i="1"/>
  <c r="S1861" i="1" s="1"/>
  <c r="Q1857" i="1"/>
  <c r="Q1849" i="1"/>
  <c r="Q1845" i="1"/>
  <c r="Q1841" i="1"/>
  <c r="Q1837" i="1"/>
  <c r="Q1833" i="1"/>
  <c r="Q1829" i="1"/>
  <c r="Q1825" i="1"/>
  <c r="Q1821" i="1"/>
  <c r="Q1817" i="1"/>
  <c r="Q1813" i="1"/>
  <c r="Q1809" i="1"/>
  <c r="S1809" i="1" s="1"/>
  <c r="Q1805" i="1"/>
  <c r="Q1801" i="1"/>
  <c r="Q1793" i="1"/>
  <c r="S1793" i="1" s="1"/>
  <c r="Q1789" i="1"/>
  <c r="Q1785" i="1"/>
  <c r="Q1781" i="1"/>
  <c r="Q1777" i="1"/>
  <c r="Q1773" i="1"/>
  <c r="Q1769" i="1"/>
  <c r="Q1765" i="1"/>
  <c r="Q1761" i="1"/>
  <c r="Q1757" i="1"/>
  <c r="S1757" i="1" s="1"/>
  <c r="P1754" i="1"/>
  <c r="Q1745" i="1"/>
  <c r="Q1741" i="1"/>
  <c r="Q1737" i="1"/>
  <c r="Q1733" i="1"/>
  <c r="Q1729" i="1"/>
  <c r="S1729" i="1" s="1"/>
  <c r="Q1725" i="1"/>
  <c r="Q1721" i="1"/>
  <c r="S1721" i="1" s="1"/>
  <c r="Q1717" i="1"/>
  <c r="Q1713" i="1"/>
  <c r="Q1709" i="1"/>
  <c r="S1709" i="1" s="1"/>
  <c r="Q1705" i="1"/>
  <c r="Q1701" i="1"/>
  <c r="Q1697" i="1"/>
  <c r="Q1693" i="1"/>
  <c r="Q1689" i="1"/>
  <c r="Q1685" i="1"/>
  <c r="Q1681" i="1"/>
  <c r="Q1677" i="1"/>
  <c r="Q1673" i="1"/>
  <c r="Q1669" i="1"/>
  <c r="Q1661" i="1"/>
  <c r="Q1657" i="1"/>
  <c r="Q1653" i="1"/>
  <c r="Q1649" i="1"/>
  <c r="S1649" i="1" s="1"/>
  <c r="Q1645" i="1"/>
  <c r="Q1641" i="1"/>
  <c r="Q1633" i="1"/>
  <c r="Q1629" i="1"/>
  <c r="Q1625" i="1"/>
  <c r="S1625" i="1" s="1"/>
  <c r="Q1621" i="1"/>
  <c r="Q1617" i="1"/>
  <c r="S1617" i="1" s="1"/>
  <c r="Q1613" i="1"/>
  <c r="Q1609" i="1"/>
  <c r="Q1605" i="1"/>
  <c r="Q1601" i="1"/>
  <c r="S1601" i="1" s="1"/>
  <c r="Q1597" i="1"/>
  <c r="Q1593" i="1"/>
  <c r="Q1585" i="1"/>
  <c r="Q1581" i="1"/>
  <c r="Q1577" i="1"/>
  <c r="Q1573" i="1"/>
  <c r="Q1569" i="1"/>
  <c r="Q1565" i="1"/>
  <c r="Q1561" i="1"/>
  <c r="Q1557" i="1"/>
  <c r="Q1553" i="1"/>
  <c r="Q1549" i="1"/>
  <c r="Q1545" i="1"/>
  <c r="Q1541" i="1"/>
  <c r="Q1537" i="1"/>
  <c r="Q1533" i="1"/>
  <c r="Q1529" i="1"/>
  <c r="Q1525" i="1"/>
  <c r="Q1521" i="1"/>
  <c r="Q1513" i="1"/>
  <c r="Q1509" i="1"/>
  <c r="Q1505" i="1"/>
  <c r="Q1501" i="1"/>
  <c r="Q1497" i="1"/>
  <c r="S1497" i="1" s="1"/>
  <c r="Q1489" i="1"/>
  <c r="Q1481" i="1"/>
  <c r="Q1477" i="1"/>
  <c r="Q1473" i="1"/>
  <c r="S1473" i="1" s="1"/>
  <c r="Q1469" i="1"/>
  <c r="S1469" i="1" s="1"/>
  <c r="Q1465" i="1"/>
  <c r="Q1461" i="1"/>
  <c r="S1461" i="1" s="1"/>
  <c r="Q1457" i="1"/>
  <c r="S1457" i="1" s="1"/>
  <c r="Q1453" i="1"/>
  <c r="Q1449" i="1"/>
  <c r="Q1445" i="1"/>
  <c r="Q1441" i="1"/>
  <c r="Q1437" i="1"/>
  <c r="Q1433" i="1"/>
  <c r="Q1429" i="1"/>
  <c r="Q1425" i="1"/>
  <c r="Q1413" i="1"/>
  <c r="Q1409" i="1"/>
  <c r="Q1405" i="1"/>
  <c r="Q1401" i="1"/>
  <c r="Q1397" i="1"/>
  <c r="Q1393" i="1"/>
  <c r="Q1389" i="1"/>
  <c r="Q1385" i="1"/>
  <c r="S1385" i="1" s="1"/>
  <c r="Q1381" i="1"/>
  <c r="Q1377" i="1"/>
  <c r="Q1373" i="1"/>
  <c r="Q1369" i="1"/>
  <c r="Q1365" i="1"/>
  <c r="S1365" i="1" s="1"/>
  <c r="Q1357" i="1"/>
  <c r="Q1353" i="1"/>
  <c r="Q1349" i="1"/>
  <c r="Q1345" i="1"/>
  <c r="Q1341" i="1"/>
  <c r="Q1333" i="1"/>
  <c r="Q1329" i="1"/>
  <c r="Q1325" i="1"/>
  <c r="Q1321" i="1"/>
  <c r="Q1317" i="1"/>
  <c r="Q1313" i="1"/>
  <c r="Q1309" i="1"/>
  <c r="Q1305" i="1"/>
  <c r="Q1301" i="1"/>
  <c r="Q1293" i="1"/>
  <c r="Q1289" i="1"/>
  <c r="Q1285" i="1"/>
  <c r="Q1281" i="1"/>
  <c r="Q1277" i="1"/>
  <c r="Q1273" i="1"/>
  <c r="Q1269" i="1"/>
  <c r="Q1265" i="1"/>
  <c r="Q1261" i="1"/>
  <c r="Q1257" i="1"/>
  <c r="S1257" i="1" s="1"/>
  <c r="Q1253" i="1"/>
  <c r="Q1249" i="1"/>
  <c r="Q1241" i="1"/>
  <c r="Q1237" i="1"/>
  <c r="Q1233" i="1"/>
  <c r="S1233" i="1" s="1"/>
  <c r="Q1229" i="1"/>
  <c r="Q1225" i="1"/>
  <c r="Q1221" i="1"/>
  <c r="Q1217" i="1"/>
  <c r="Q1201" i="1"/>
  <c r="Q1197" i="1"/>
  <c r="Q1193" i="1"/>
  <c r="Q1189" i="1"/>
  <c r="Q1185" i="1"/>
  <c r="Q1181" i="1"/>
  <c r="Q1173" i="1"/>
  <c r="Q1169" i="1"/>
  <c r="Q1165" i="1"/>
  <c r="S1165" i="1" s="1"/>
  <c r="Q1161" i="1"/>
  <c r="S1161" i="1" s="1"/>
  <c r="Q1157" i="1"/>
  <c r="S1157" i="1" s="1"/>
  <c r="Q1153" i="1"/>
  <c r="Q1149" i="1"/>
  <c r="Q1145" i="1"/>
  <c r="S1145" i="1" s="1"/>
  <c r="Q1141" i="1"/>
  <c r="Q1137" i="1"/>
  <c r="Q1133" i="1"/>
  <c r="Q1129" i="1"/>
  <c r="Q1125" i="1"/>
  <c r="S1125" i="1" s="1"/>
  <c r="Q1121" i="1"/>
  <c r="Q1117" i="1"/>
  <c r="Q1113" i="1"/>
  <c r="Q1109" i="1"/>
  <c r="Q1105" i="1"/>
  <c r="Q1101" i="1"/>
  <c r="S1101" i="1" s="1"/>
  <c r="Q1097" i="1"/>
  <c r="Q1093" i="1"/>
  <c r="Q1089" i="1"/>
  <c r="S1089" i="1" s="1"/>
  <c r="Q1085" i="1"/>
  <c r="Q1077" i="1"/>
  <c r="Q1073" i="1"/>
  <c r="Q1069" i="1"/>
  <c r="Q1065" i="1"/>
  <c r="Q1061" i="1"/>
  <c r="Q1057" i="1"/>
  <c r="Q1049" i="1"/>
  <c r="Q1045" i="1"/>
  <c r="Q1041" i="1"/>
  <c r="Q1037" i="1"/>
  <c r="Q1033" i="1"/>
  <c r="Q1029" i="1"/>
  <c r="Q1021" i="1"/>
  <c r="Q1017" i="1"/>
  <c r="Q1013" i="1"/>
  <c r="Q1009" i="1"/>
  <c r="Q1005" i="1"/>
  <c r="Q1001" i="1"/>
  <c r="Q997" i="1"/>
  <c r="Q989" i="1"/>
  <c r="Q985" i="1"/>
  <c r="Q981" i="1"/>
  <c r="Q977" i="1"/>
  <c r="Q973" i="1"/>
  <c r="Q969" i="1"/>
  <c r="Q965" i="1"/>
  <c r="S965" i="1" s="1"/>
  <c r="Q949" i="1"/>
  <c r="Q945" i="1"/>
  <c r="Q941" i="1"/>
  <c r="S941" i="1" s="1"/>
  <c r="Q937" i="1"/>
  <c r="Q929" i="1"/>
  <c r="Q925" i="1"/>
  <c r="S925" i="1" s="1"/>
  <c r="Q921" i="1"/>
  <c r="S921" i="1" s="1"/>
  <c r="Q917" i="1"/>
  <c r="S917" i="1" s="1"/>
  <c r="Q913" i="1"/>
  <c r="S913" i="1" s="1"/>
  <c r="Q909" i="1"/>
  <c r="S909" i="1" s="1"/>
  <c r="Q905" i="1"/>
  <c r="S905" i="1" s="1"/>
  <c r="Q901" i="1"/>
  <c r="S901" i="1" s="1"/>
  <c r="Q897" i="1"/>
  <c r="Q893" i="1"/>
  <c r="S893" i="1" s="1"/>
  <c r="Q889" i="1"/>
  <c r="Q885" i="1"/>
  <c r="Q877" i="1"/>
  <c r="Q873" i="1"/>
  <c r="Q869" i="1"/>
  <c r="Q865" i="1"/>
  <c r="Q861" i="1"/>
  <c r="Q857" i="1"/>
  <c r="Q853" i="1"/>
  <c r="S853" i="1" s="1"/>
  <c r="Q845" i="1"/>
  <c r="Q841" i="1"/>
  <c r="Q837" i="1"/>
  <c r="Q833" i="1"/>
  <c r="Q829" i="1"/>
  <c r="Q825" i="1"/>
  <c r="Q821" i="1"/>
  <c r="S821" i="1" s="1"/>
  <c r="Q817" i="1"/>
  <c r="Q813" i="1"/>
  <c r="Q809" i="1"/>
  <c r="Q801" i="1"/>
  <c r="Q797" i="1"/>
  <c r="Q793" i="1"/>
  <c r="Q789" i="1"/>
  <c r="Q785" i="1"/>
  <c r="Q781" i="1"/>
  <c r="Q777" i="1"/>
  <c r="Q773" i="1"/>
  <c r="Q769" i="1"/>
  <c r="Q765" i="1"/>
  <c r="Q757" i="1"/>
  <c r="Q753" i="1"/>
  <c r="S753" i="1" s="1"/>
  <c r="Q749" i="1"/>
  <c r="S749" i="1" s="1"/>
  <c r="Q745" i="1"/>
  <c r="Q741" i="1"/>
  <c r="Q737" i="1"/>
  <c r="Q733" i="1"/>
  <c r="Q729" i="1"/>
  <c r="Q725" i="1"/>
  <c r="Q721" i="1"/>
  <c r="Q717" i="1"/>
  <c r="Q713" i="1"/>
  <c r="Q709" i="1"/>
  <c r="Q705" i="1"/>
  <c r="Q701" i="1"/>
  <c r="Q697" i="1"/>
  <c r="Q693" i="1"/>
  <c r="Q685" i="1"/>
  <c r="Q681" i="1"/>
  <c r="Q677" i="1"/>
  <c r="Q673" i="1"/>
  <c r="Q669" i="1"/>
  <c r="S669" i="1" s="1"/>
  <c r="Q665" i="1"/>
  <c r="Q661" i="1"/>
  <c r="Q657" i="1"/>
  <c r="Q653" i="1"/>
  <c r="Q649" i="1"/>
  <c r="Q645" i="1"/>
  <c r="Q641" i="1"/>
  <c r="Q637" i="1"/>
  <c r="Q633" i="1"/>
  <c r="Q629" i="1"/>
  <c r="Q625" i="1"/>
  <c r="Q621" i="1"/>
  <c r="Q617" i="1"/>
  <c r="Q613" i="1"/>
  <c r="Q609" i="1"/>
  <c r="Q605" i="1"/>
  <c r="Q597" i="1"/>
  <c r="Q589" i="1"/>
  <c r="Q581" i="1"/>
  <c r="Q577" i="1"/>
  <c r="Q573" i="1"/>
  <c r="Q569" i="1"/>
  <c r="Q565" i="1"/>
  <c r="Q557" i="1"/>
  <c r="Q549" i="1"/>
  <c r="S549" i="1" s="1"/>
  <c r="Q545" i="1"/>
  <c r="Q541" i="1"/>
  <c r="Q537" i="1"/>
  <c r="S537" i="1" s="1"/>
  <c r="Q533" i="1"/>
  <c r="S533" i="1" s="1"/>
  <c r="Q529" i="1"/>
  <c r="Q525" i="1"/>
  <c r="Q521" i="1"/>
  <c r="Q517" i="1"/>
  <c r="Q501" i="1"/>
  <c r="Q493" i="1"/>
  <c r="Q489" i="1"/>
  <c r="Q485" i="1"/>
  <c r="Q481" i="1"/>
  <c r="Q477" i="1"/>
  <c r="Q473" i="1"/>
  <c r="Q469" i="1"/>
  <c r="Q465" i="1"/>
  <c r="Q461" i="1"/>
  <c r="Q457" i="1"/>
  <c r="Q453" i="1"/>
  <c r="Q449" i="1"/>
  <c r="Q445" i="1"/>
  <c r="Q441" i="1"/>
  <c r="Q437" i="1"/>
  <c r="Q433" i="1"/>
  <c r="S433" i="1" s="1"/>
  <c r="Q429" i="1"/>
  <c r="Q425" i="1"/>
  <c r="Q421" i="1"/>
  <c r="Q417" i="1"/>
  <c r="Q413" i="1"/>
  <c r="Q409" i="1"/>
  <c r="Q405" i="1"/>
  <c r="Q401" i="1"/>
  <c r="Q397" i="1"/>
  <c r="Q393" i="1"/>
  <c r="S393" i="1" s="1"/>
  <c r="Q389" i="1"/>
  <c r="Q385" i="1"/>
  <c r="Q381" i="1"/>
  <c r="Q373" i="1"/>
  <c r="Q361" i="1"/>
  <c r="Q345" i="1"/>
  <c r="Q341" i="1"/>
  <c r="Q337" i="1"/>
  <c r="Q329" i="1"/>
  <c r="Q325" i="1"/>
  <c r="Q321" i="1"/>
  <c r="Q309" i="1"/>
  <c r="Q305" i="1"/>
  <c r="Q301" i="1"/>
  <c r="Q297" i="1"/>
  <c r="Q293" i="1"/>
  <c r="Q289" i="1"/>
  <c r="Q285" i="1"/>
  <c r="Q281" i="1"/>
  <c r="Q277" i="1"/>
  <c r="Q273" i="1"/>
  <c r="Q269" i="1"/>
  <c r="Q265" i="1"/>
  <c r="Q261" i="1"/>
  <c r="Q257" i="1"/>
  <c r="Q253" i="1"/>
  <c r="Q249" i="1"/>
  <c r="S249" i="1" s="1"/>
  <c r="Q245" i="1"/>
  <c r="Q241" i="1"/>
  <c r="Q237" i="1"/>
  <c r="Q233" i="1"/>
  <c r="Q229" i="1"/>
  <c r="S229" i="1" s="1"/>
  <c r="Q225" i="1"/>
  <c r="Q221" i="1"/>
  <c r="Q217" i="1"/>
  <c r="Q209" i="1"/>
  <c r="S209" i="1" s="1"/>
  <c r="Q205" i="1"/>
  <c r="Q201" i="1"/>
  <c r="Q197" i="1"/>
  <c r="Q193" i="1"/>
  <c r="Q189" i="1"/>
  <c r="Q181" i="1"/>
  <c r="Q177" i="1"/>
  <c r="Q173" i="1"/>
  <c r="S173" i="1" s="1"/>
  <c r="Q169" i="1"/>
  <c r="Q161" i="1"/>
  <c r="Q153" i="1"/>
  <c r="S153" i="1" s="1"/>
  <c r="Q149" i="1"/>
  <c r="Q145" i="1"/>
  <c r="Q141" i="1"/>
  <c r="Q137" i="1"/>
  <c r="Q133" i="1"/>
  <c r="S133" i="1" s="1"/>
  <c r="Q129" i="1"/>
  <c r="Q125" i="1"/>
  <c r="Q121" i="1"/>
  <c r="Q117" i="1"/>
  <c r="Q109" i="1"/>
  <c r="Q105" i="1"/>
  <c r="Q97" i="1"/>
  <c r="S97" i="1" s="1"/>
  <c r="Q93" i="1"/>
  <c r="Q89" i="1"/>
  <c r="Q81" i="1"/>
  <c r="S81" i="1" s="1"/>
  <c r="Q77" i="1"/>
  <c r="Q73" i="1"/>
  <c r="Q69" i="1"/>
  <c r="Q61" i="1"/>
  <c r="Q57" i="1"/>
  <c r="Q53" i="1"/>
  <c r="Q2032" i="1"/>
  <c r="Q2048" i="1"/>
  <c r="Q2066" i="1"/>
  <c r="Q2084" i="1"/>
  <c r="Q2102" i="1"/>
  <c r="Q2120" i="1"/>
  <c r="Q2158" i="1"/>
  <c r="Q2176" i="1"/>
  <c r="Q2195" i="1"/>
  <c r="Q2226" i="1"/>
  <c r="Q2367" i="1"/>
  <c r="Q2435" i="1"/>
  <c r="S2435" i="1" s="1"/>
  <c r="Q2507" i="1"/>
  <c r="Q2571" i="1"/>
  <c r="Q2643" i="1"/>
  <c r="Q2713" i="1"/>
  <c r="Q2779" i="1"/>
  <c r="S2779" i="1" s="1"/>
  <c r="Q2851" i="1"/>
  <c r="Q2993" i="1"/>
  <c r="S2993" i="1" s="1"/>
  <c r="Q3059" i="1"/>
  <c r="S3059" i="1" s="1"/>
  <c r="Q3133" i="1"/>
  <c r="Q3205" i="1"/>
  <c r="Q3273" i="1"/>
  <c r="Q3341" i="1"/>
  <c r="S3341" i="1" s="1"/>
  <c r="Q3413" i="1"/>
  <c r="Q3483" i="1"/>
  <c r="Q3559" i="1"/>
  <c r="S3559" i="1" s="1"/>
  <c r="Q3639" i="1"/>
  <c r="S3639" i="1" s="1"/>
  <c r="Q3707" i="1"/>
  <c r="Q2036" i="1"/>
  <c r="Q2052" i="1"/>
  <c r="Q2070" i="1"/>
  <c r="Q2088" i="1"/>
  <c r="Q2106" i="1"/>
  <c r="Q2124" i="1"/>
  <c r="Q2142" i="1"/>
  <c r="Q2162" i="1"/>
  <c r="Q2180" i="1"/>
  <c r="Q2200" i="1"/>
  <c r="S2200" i="1" s="1"/>
  <c r="Q2244" i="1"/>
  <c r="Q2311" i="1"/>
  <c r="Q2383" i="1"/>
  <c r="S2383" i="1" s="1"/>
  <c r="Q2453" i="1"/>
  <c r="S2453" i="1" s="1"/>
  <c r="Q2523" i="1"/>
  <c r="S2523" i="1" s="1"/>
  <c r="Q2589" i="1"/>
  <c r="S2589" i="1" s="1"/>
  <c r="Q2659" i="1"/>
  <c r="Q2729" i="1"/>
  <c r="Q2797" i="1"/>
  <c r="S2797" i="1" s="1"/>
  <c r="Q2867" i="1"/>
  <c r="Q2939" i="1"/>
  <c r="Q3009" i="1"/>
  <c r="S3009" i="1" s="1"/>
  <c r="Q3079" i="1"/>
  <c r="Q3149" i="1"/>
  <c r="Q3221" i="1"/>
  <c r="Q3289" i="1"/>
  <c r="S3289" i="1" s="1"/>
  <c r="Q3359" i="1"/>
  <c r="S3359" i="1" s="1"/>
  <c r="Q3429" i="1"/>
  <c r="Q3499" i="1"/>
  <c r="Q3581" i="1"/>
  <c r="Q3655" i="1"/>
  <c r="S3655" i="1" s="1"/>
  <c r="Q3727" i="1"/>
  <c r="Q2020" i="1"/>
  <c r="Q2016" i="1"/>
  <c r="Q2012" i="1"/>
  <c r="Q2008" i="1"/>
  <c r="Q2004" i="1"/>
  <c r="Q2000" i="1"/>
  <c r="Q1996" i="1"/>
  <c r="Q1992" i="1"/>
  <c r="Q1988" i="1"/>
  <c r="Q1976" i="1"/>
  <c r="Q1972" i="1"/>
  <c r="Q1968" i="1"/>
  <c r="S1968" i="1" s="1"/>
  <c r="Q1964" i="1"/>
  <c r="Q1960" i="1"/>
  <c r="S1960" i="1" s="1"/>
  <c r="Q1952" i="1"/>
  <c r="Q1944" i="1"/>
  <c r="S1944" i="1" s="1"/>
  <c r="Q1940" i="1"/>
  <c r="Q1936" i="1"/>
  <c r="Q1932" i="1"/>
  <c r="Q1928" i="1"/>
  <c r="Q1924" i="1"/>
  <c r="Q1920" i="1"/>
  <c r="Q1916" i="1"/>
  <c r="S1916" i="1" s="1"/>
  <c r="Q1908" i="1"/>
  <c r="Q1904" i="1"/>
  <c r="Q1900" i="1"/>
  <c r="Q1896" i="1"/>
  <c r="Q1892" i="1"/>
  <c r="Q1888" i="1"/>
  <c r="Q1884" i="1"/>
  <c r="Q1880" i="1"/>
  <c r="Q1876" i="1"/>
  <c r="Q1872" i="1"/>
  <c r="Q1868" i="1"/>
  <c r="Q1864" i="1"/>
  <c r="Q1860" i="1"/>
  <c r="Q1856" i="1"/>
  <c r="Q1848" i="1"/>
  <c r="S1848" i="1" s="1"/>
  <c r="Q1844" i="1"/>
  <c r="S1844" i="1" s="1"/>
  <c r="Q1840" i="1"/>
  <c r="Q1836" i="1"/>
  <c r="Q1832" i="1"/>
  <c r="Q1828" i="1"/>
  <c r="Q1824" i="1"/>
  <c r="Q1820" i="1"/>
  <c r="S1820" i="1" s="1"/>
  <c r="Q1816" i="1"/>
  <c r="Q1812" i="1"/>
  <c r="Q1808" i="1"/>
  <c r="Q1804" i="1"/>
  <c r="S1804" i="1" s="1"/>
  <c r="Q1800" i="1"/>
  <c r="Q1796" i="1"/>
  <c r="Q1792" i="1"/>
  <c r="Q1788" i="1"/>
  <c r="Q1780" i="1"/>
  <c r="Q1776" i="1"/>
  <c r="Q1772" i="1"/>
  <c r="Q1768" i="1"/>
  <c r="Q1764" i="1"/>
  <c r="S1764" i="1" s="1"/>
  <c r="Q1760" i="1"/>
  <c r="Q1756" i="1"/>
  <c r="S1756" i="1" s="1"/>
  <c r="Q1744" i="1"/>
  <c r="S1744" i="1" s="1"/>
  <c r="Q1740" i="1"/>
  <c r="Q1736" i="1"/>
  <c r="Q1732" i="1"/>
  <c r="Q1728" i="1"/>
  <c r="Q1720" i="1"/>
  <c r="Q1716" i="1"/>
  <c r="Q1712" i="1"/>
  <c r="Q1708" i="1"/>
  <c r="Q1704" i="1"/>
  <c r="Q1700" i="1"/>
  <c r="Q1696" i="1"/>
  <c r="S1696" i="1" s="1"/>
  <c r="Q1692" i="1"/>
  <c r="Q1688" i="1"/>
  <c r="Q1684" i="1"/>
  <c r="Q1680" i="1"/>
  <c r="Q1676" i="1"/>
  <c r="Q1672" i="1"/>
  <c r="Q1668" i="1"/>
  <c r="Q1660" i="1"/>
  <c r="Q1656" i="1"/>
  <c r="Q1652" i="1"/>
  <c r="Q1648" i="1"/>
  <c r="Q1644" i="1"/>
  <c r="Q1632" i="1"/>
  <c r="Q1628" i="1"/>
  <c r="Q1620" i="1"/>
  <c r="Q1616" i="1"/>
  <c r="Q1612" i="1"/>
  <c r="Q1608" i="1"/>
  <c r="Q1604" i="1"/>
  <c r="Q1600" i="1"/>
  <c r="S1600" i="1" s="1"/>
  <c r="Q1596" i="1"/>
  <c r="Q1592" i="1"/>
  <c r="Q1588" i="1"/>
  <c r="Q1584" i="1"/>
  <c r="Q1580" i="1"/>
  <c r="Q1576" i="1"/>
  <c r="Q1572" i="1"/>
  <c r="Q1568" i="1"/>
  <c r="Q1564" i="1"/>
  <c r="Q1560" i="1"/>
  <c r="S1560" i="1" s="1"/>
  <c r="Q1556" i="1"/>
  <c r="S1556" i="1" s="1"/>
  <c r="Q1552" i="1"/>
  <c r="Q1548" i="1"/>
  <c r="Q1544" i="1"/>
  <c r="Q1540" i="1"/>
  <c r="Q1536" i="1"/>
  <c r="Q1528" i="1"/>
  <c r="Q1524" i="1"/>
  <c r="S1524" i="1" s="1"/>
  <c r="Q1520" i="1"/>
  <c r="Q1516" i="1"/>
  <c r="Q1512" i="1"/>
  <c r="Q1508" i="1"/>
  <c r="Q1504" i="1"/>
  <c r="Q1500" i="1"/>
  <c r="Q1496" i="1"/>
  <c r="Q1488" i="1"/>
  <c r="Q1484" i="1"/>
  <c r="Q1480" i="1"/>
  <c r="Q1476" i="1"/>
  <c r="Q1472" i="1"/>
  <c r="S1472" i="1" s="1"/>
  <c r="Q1468" i="1"/>
  <c r="Q1464" i="1"/>
  <c r="Q1460" i="1"/>
  <c r="Q1456" i="1"/>
  <c r="Q1452" i="1"/>
  <c r="Q1448" i="1"/>
  <c r="Q1444" i="1"/>
  <c r="Q1440" i="1"/>
  <c r="Q1436" i="1"/>
  <c r="Q1432" i="1"/>
  <c r="Q1428" i="1"/>
  <c r="S1428" i="1" s="1"/>
  <c r="Q1424" i="1"/>
  <c r="Q1412" i="1"/>
  <c r="Q1408" i="1"/>
  <c r="Q1404" i="1"/>
  <c r="Q1400" i="1"/>
  <c r="Q1396" i="1"/>
  <c r="Q1392" i="1"/>
  <c r="Q1384" i="1"/>
  <c r="Q1380" i="1"/>
  <c r="S1380" i="1" s="1"/>
  <c r="Q1376" i="1"/>
  <c r="Q1372" i="1"/>
  <c r="Q1368" i="1"/>
  <c r="Q1364" i="1"/>
  <c r="Q1356" i="1"/>
  <c r="Q1352" i="1"/>
  <c r="Q1348" i="1"/>
  <c r="Q1344" i="1"/>
  <c r="Q1340" i="1"/>
  <c r="Q1332" i="1"/>
  <c r="Q1328" i="1"/>
  <c r="S1328" i="1" s="1"/>
  <c r="Q1324" i="1"/>
  <c r="Q1320" i="1"/>
  <c r="Q1316" i="1"/>
  <c r="Q1312" i="1"/>
  <c r="Q1308" i="1"/>
  <c r="Q1304" i="1"/>
  <c r="Q1300" i="1"/>
  <c r="Q1292" i="1"/>
  <c r="Q1288" i="1"/>
  <c r="Q1284" i="1"/>
  <c r="Q1272" i="1"/>
  <c r="Q1268" i="1"/>
  <c r="Q1264" i="1"/>
  <c r="Q1260" i="1"/>
  <c r="Q1256" i="1"/>
  <c r="Q1252" i="1"/>
  <c r="S1252" i="1" s="1"/>
  <c r="Q1248" i="1"/>
  <c r="Q1240" i="1"/>
  <c r="Q1236" i="1"/>
  <c r="Q1232" i="1"/>
  <c r="Q1228" i="1"/>
  <c r="S1228" i="1" s="1"/>
  <c r="Q1224" i="1"/>
  <c r="Q1220" i="1"/>
  <c r="Q1216" i="1"/>
  <c r="Q1212" i="1"/>
  <c r="Q1200" i="1"/>
  <c r="Q1196" i="1"/>
  <c r="Q1192" i="1"/>
  <c r="S1192" i="1" s="1"/>
  <c r="Q1188" i="1"/>
  <c r="Q1184" i="1"/>
  <c r="Q1180" i="1"/>
  <c r="Q1176" i="1"/>
  <c r="Q1172" i="1"/>
  <c r="Q1168" i="1"/>
  <c r="Q1164" i="1"/>
  <c r="Q1160" i="1"/>
  <c r="S1160" i="1" s="1"/>
  <c r="Q1156" i="1"/>
  <c r="Q1152" i="1"/>
  <c r="Q1148" i="1"/>
  <c r="Q1140" i="1"/>
  <c r="Q1136" i="1"/>
  <c r="Q1132" i="1"/>
  <c r="Q1128" i="1"/>
  <c r="S1128" i="1" s="1"/>
  <c r="Q1124" i="1"/>
  <c r="Q1116" i="1"/>
  <c r="Q1112" i="1"/>
  <c r="S1112" i="1" s="1"/>
  <c r="Q1108" i="1"/>
  <c r="Q1104" i="1"/>
  <c r="Q1100" i="1"/>
  <c r="Q1096" i="1"/>
  <c r="Q1092" i="1"/>
  <c r="Q1084" i="1"/>
  <c r="Q1076" i="1"/>
  <c r="Q1072" i="1"/>
  <c r="Q1068" i="1"/>
  <c r="Q1064" i="1"/>
  <c r="Q1060" i="1"/>
  <c r="Q1056" i="1"/>
  <c r="Q1048" i="1"/>
  <c r="Q1044" i="1"/>
  <c r="Q1040" i="1"/>
  <c r="Q1036" i="1"/>
  <c r="Q1032" i="1"/>
  <c r="Q1028" i="1"/>
  <c r="Q1024" i="1"/>
  <c r="Q1020" i="1"/>
  <c r="Q1016" i="1"/>
  <c r="S1016" i="1" s="1"/>
  <c r="Q1012" i="1"/>
  <c r="Q1008" i="1"/>
  <c r="Q1004" i="1"/>
  <c r="Q1000" i="1"/>
  <c r="Q996" i="1"/>
  <c r="Q992" i="1"/>
  <c r="Q988" i="1"/>
  <c r="Q984" i="1"/>
  <c r="Q980" i="1"/>
  <c r="Q976" i="1"/>
  <c r="Q972" i="1"/>
  <c r="Q968" i="1"/>
  <c r="Q964" i="1"/>
  <c r="S964" i="1" s="1"/>
  <c r="Q948" i="1"/>
  <c r="Q944" i="1"/>
  <c r="S944" i="1" s="1"/>
  <c r="Q940" i="1"/>
  <c r="Q936" i="1"/>
  <c r="Q932" i="1"/>
  <c r="Q928" i="1"/>
  <c r="S928" i="1" s="1"/>
  <c r="Q924" i="1"/>
  <c r="S924" i="1" s="1"/>
  <c r="Q920" i="1"/>
  <c r="Q916" i="1"/>
  <c r="Q912" i="1"/>
  <c r="Q908" i="1"/>
  <c r="Q904" i="1"/>
  <c r="Q900" i="1"/>
  <c r="Q896" i="1"/>
  <c r="Q888" i="1"/>
  <c r="Q884" i="1"/>
  <c r="Q880" i="1"/>
  <c r="Q876" i="1"/>
  <c r="Q872" i="1"/>
  <c r="Q868" i="1"/>
  <c r="Q864" i="1"/>
  <c r="Q860" i="1"/>
  <c r="Q856" i="1"/>
  <c r="S856" i="1" s="1"/>
  <c r="Q852" i="1"/>
  <c r="Q848" i="1"/>
  <c r="Q844" i="1"/>
  <c r="Q840" i="1"/>
  <c r="Q836" i="1"/>
  <c r="Q832" i="1"/>
  <c r="Q828" i="1"/>
  <c r="S828" i="1" s="1"/>
  <c r="Q824" i="1"/>
  <c r="Q820" i="1"/>
  <c r="Q816" i="1"/>
  <c r="S816" i="1" s="1"/>
  <c r="Q812" i="1"/>
  <c r="Q808" i="1"/>
  <c r="Q804" i="1"/>
  <c r="Q800" i="1"/>
  <c r="Q796" i="1"/>
  <c r="Q792" i="1"/>
  <c r="S792" i="1" s="1"/>
  <c r="Q788" i="1"/>
  <c r="Q784" i="1"/>
  <c r="Q780" i="1"/>
  <c r="Q776" i="1"/>
  <c r="Q772" i="1"/>
  <c r="Q768" i="1"/>
  <c r="Q764" i="1"/>
  <c r="Q756" i="1"/>
  <c r="Q752" i="1"/>
  <c r="Q748" i="1"/>
  <c r="Q744" i="1"/>
  <c r="Q740" i="1"/>
  <c r="Q736" i="1"/>
  <c r="Q732" i="1"/>
  <c r="Q728" i="1"/>
  <c r="Q724" i="1"/>
  <c r="Q720" i="1"/>
  <c r="Q712" i="1"/>
  <c r="S712" i="1" s="1"/>
  <c r="Q708" i="1"/>
  <c r="Q704" i="1"/>
  <c r="Q700" i="1"/>
  <c r="Q696" i="1"/>
  <c r="S696" i="1" s="1"/>
  <c r="Q692" i="1"/>
  <c r="Q684" i="1"/>
  <c r="Q680" i="1"/>
  <c r="Q676" i="1"/>
  <c r="Q672" i="1"/>
  <c r="Q668" i="1"/>
  <c r="Q664" i="1"/>
  <c r="Q660" i="1"/>
  <c r="Q656" i="1"/>
  <c r="Q652" i="1"/>
  <c r="Q648" i="1"/>
  <c r="Q644" i="1"/>
  <c r="S644" i="1" s="1"/>
  <c r="Q640" i="1"/>
  <c r="Q636" i="1"/>
  <c r="Q628" i="1"/>
  <c r="Q624" i="1"/>
  <c r="Q620" i="1"/>
  <c r="S620" i="1" s="1"/>
  <c r="Q612" i="1"/>
  <c r="S612" i="1" s="1"/>
  <c r="Q604" i="1"/>
  <c r="Q588" i="1"/>
  <c r="S588" i="1" s="1"/>
  <c r="Q580" i="1"/>
  <c r="Q576" i="1"/>
  <c r="S576" i="1" s="1"/>
  <c r="Q572" i="1"/>
  <c r="Q568" i="1"/>
  <c r="Q564" i="1"/>
  <c r="Q556" i="1"/>
  <c r="Q548" i="1"/>
  <c r="Q544" i="1"/>
  <c r="Q540" i="1"/>
  <c r="Q536" i="1"/>
  <c r="Q532" i="1"/>
  <c r="Q528" i="1"/>
  <c r="Q524" i="1"/>
  <c r="Q520" i="1"/>
  <c r="Q516" i="1"/>
  <c r="Q492" i="1"/>
  <c r="Q488" i="1"/>
  <c r="Q484" i="1"/>
  <c r="Q480" i="1"/>
  <c r="Q476" i="1"/>
  <c r="Q472" i="1"/>
  <c r="Q468" i="1"/>
  <c r="Q464" i="1"/>
  <c r="Q460" i="1"/>
  <c r="Q452" i="1"/>
  <c r="Q448" i="1"/>
  <c r="Q444" i="1"/>
  <c r="Q440" i="1"/>
  <c r="Q436" i="1"/>
  <c r="S436" i="1" s="1"/>
  <c r="Q432" i="1"/>
  <c r="Q428" i="1"/>
  <c r="S428" i="1" s="1"/>
  <c r="Q424" i="1"/>
  <c r="Q412" i="1"/>
  <c r="Q408" i="1"/>
  <c r="Q404" i="1"/>
  <c r="Q400" i="1"/>
  <c r="Q396" i="1"/>
  <c r="Q392" i="1"/>
  <c r="Q388" i="1"/>
  <c r="Q380" i="1"/>
  <c r="Q376" i="1"/>
  <c r="Q364" i="1"/>
  <c r="Q360" i="1"/>
  <c r="Q344" i="1"/>
  <c r="Q340" i="1"/>
  <c r="Q336" i="1"/>
  <c r="S336" i="1" s="1"/>
  <c r="Q332" i="1"/>
  <c r="Q328" i="1"/>
  <c r="Q324" i="1"/>
  <c r="Q320" i="1"/>
  <c r="Q308" i="1"/>
  <c r="Q304" i="1"/>
  <c r="Q300" i="1"/>
  <c r="Q296" i="1"/>
  <c r="Q292" i="1"/>
  <c r="Q288" i="1"/>
  <c r="Q284" i="1"/>
  <c r="Q276" i="1"/>
  <c r="Q272" i="1"/>
  <c r="Q268" i="1"/>
  <c r="Q264" i="1"/>
  <c r="Q256" i="1"/>
  <c r="Q252" i="1"/>
  <c r="Q248" i="1"/>
  <c r="Q244" i="1"/>
  <c r="Q240" i="1"/>
  <c r="S240" i="1" s="1"/>
  <c r="Q232" i="1"/>
  <c r="Q228" i="1"/>
  <c r="Q224" i="1"/>
  <c r="Q220" i="1"/>
  <c r="Q216" i="1"/>
  <c r="Q212" i="1"/>
  <c r="Q208" i="1"/>
  <c r="Q204" i="1"/>
  <c r="Q200" i="1"/>
  <c r="Q196" i="1"/>
  <c r="Q192" i="1"/>
  <c r="Q188" i="1"/>
  <c r="Q180" i="1"/>
  <c r="Q176" i="1"/>
  <c r="Q172" i="1"/>
  <c r="Q168" i="1"/>
  <c r="Q164" i="1"/>
  <c r="Q160" i="1"/>
  <c r="Q156" i="1"/>
  <c r="Q152" i="1"/>
  <c r="Q148" i="1"/>
  <c r="S148" i="1" s="1"/>
  <c r="Q144" i="1"/>
  <c r="S144" i="1" s="1"/>
  <c r="Q140" i="1"/>
  <c r="Q136" i="1"/>
  <c r="Q132" i="1"/>
  <c r="Q128" i="1"/>
  <c r="Q124" i="1"/>
  <c r="Q120" i="1"/>
  <c r="S120" i="1" s="1"/>
  <c r="Q116" i="1"/>
  <c r="Q112" i="1"/>
  <c r="S112" i="1" s="1"/>
  <c r="Q108" i="1"/>
  <c r="Q104" i="1"/>
  <c r="Q100" i="1"/>
  <c r="S100" i="1" s="1"/>
  <c r="Q96" i="1"/>
  <c r="Q92" i="1"/>
  <c r="Q88" i="1"/>
  <c r="Q80" i="1"/>
  <c r="S80" i="1" s="1"/>
  <c r="Q76" i="1"/>
  <c r="Q72" i="1"/>
  <c r="Q68" i="1"/>
  <c r="Q64" i="1"/>
  <c r="Q60" i="1"/>
  <c r="Q56" i="1"/>
  <c r="Q52" i="1"/>
  <c r="Q44" i="1"/>
  <c r="U40" i="1"/>
  <c r="V40" i="1" s="1"/>
  <c r="U36" i="1"/>
  <c r="V36" i="1" s="1"/>
  <c r="Q32" i="1"/>
  <c r="Q28" i="1"/>
  <c r="U20" i="1"/>
  <c r="V20" i="1" s="1"/>
  <c r="Q16" i="1"/>
  <c r="Q12" i="1"/>
  <c r="Q8" i="1"/>
  <c r="Q4" i="1"/>
  <c r="Q2019" i="1"/>
  <c r="Q2015" i="1"/>
  <c r="Q2011" i="1"/>
  <c r="Q2007" i="1"/>
  <c r="Q2003" i="1"/>
  <c r="Q1999" i="1"/>
  <c r="Q1995" i="1"/>
  <c r="Q1991" i="1"/>
  <c r="Q1987" i="1"/>
  <c r="Q1975" i="1"/>
  <c r="S1975" i="1" s="1"/>
  <c r="Q1971" i="1"/>
  <c r="S1971" i="1" s="1"/>
  <c r="Q1967" i="1"/>
  <c r="S1967" i="1" s="1"/>
  <c r="Q1963" i="1"/>
  <c r="Q1959" i="1"/>
  <c r="Q1951" i="1"/>
  <c r="S1951" i="1" s="1"/>
  <c r="Q1943" i="1"/>
  <c r="Q1939" i="1"/>
  <c r="Q1935" i="1"/>
  <c r="Q1931" i="1"/>
  <c r="Q1923" i="1"/>
  <c r="Q1915" i="1"/>
  <c r="Q1911" i="1"/>
  <c r="S1911" i="1" s="1"/>
  <c r="Q1907" i="1"/>
  <c r="Q1903" i="1"/>
  <c r="Q1899" i="1"/>
  <c r="Q1895" i="1"/>
  <c r="Q1887" i="1"/>
  <c r="Q1883" i="1"/>
  <c r="Q1879" i="1"/>
  <c r="Q1875" i="1"/>
  <c r="Q1871" i="1"/>
  <c r="Q1867" i="1"/>
  <c r="S1867" i="1" s="1"/>
  <c r="Q1863" i="1"/>
  <c r="Q1859" i="1"/>
  <c r="S1859" i="1" s="1"/>
  <c r="Q1855" i="1"/>
  <c r="Q1847" i="1"/>
  <c r="Q1843" i="1"/>
  <c r="Q1839" i="1"/>
  <c r="Q1835" i="1"/>
  <c r="Q1831" i="1"/>
  <c r="S1831" i="1" s="1"/>
  <c r="Q1823" i="1"/>
  <c r="Q1819" i="1"/>
  <c r="Q1815" i="1"/>
  <c r="Q1811" i="1"/>
  <c r="Q1807" i="1"/>
  <c r="Q1803" i="1"/>
  <c r="Q1799" i="1"/>
  <c r="Q1795" i="1"/>
  <c r="S1795" i="1" s="1"/>
  <c r="Q1791" i="1"/>
  <c r="Q1787" i="1"/>
  <c r="Q1779" i="1"/>
  <c r="Q1775" i="1"/>
  <c r="Q1771" i="1"/>
  <c r="Q1767" i="1"/>
  <c r="Q1763" i="1"/>
  <c r="S1763" i="1" s="1"/>
  <c r="Q1759" i="1"/>
  <c r="Q1743" i="1"/>
  <c r="Q1739" i="1"/>
  <c r="Q1731" i="1"/>
  <c r="Q1727" i="1"/>
  <c r="Q1719" i="1"/>
  <c r="Q1715" i="1"/>
  <c r="Q1711" i="1"/>
  <c r="Q1707" i="1"/>
  <c r="Q1703" i="1"/>
  <c r="Q1699" i="1"/>
  <c r="Q1695" i="1"/>
  <c r="S1695" i="1" s="1"/>
  <c r="Q1691" i="1"/>
  <c r="Q1687" i="1"/>
  <c r="Q1683" i="1"/>
  <c r="Q1675" i="1"/>
  <c r="Q1671" i="1"/>
  <c r="Q1659" i="1"/>
  <c r="Q1655" i="1"/>
  <c r="Q1651" i="1"/>
  <c r="Q1647" i="1"/>
  <c r="Q1643" i="1"/>
  <c r="Q1631" i="1"/>
  <c r="Q1627" i="1"/>
  <c r="Q1619" i="1"/>
  <c r="Q1615" i="1"/>
  <c r="Q1607" i="1"/>
  <c r="Q1603" i="1"/>
  <c r="Q1599" i="1"/>
  <c r="Q1595" i="1"/>
  <c r="Q1591" i="1"/>
  <c r="S1591" i="1" s="1"/>
  <c r="Q1583" i="1"/>
  <c r="Q1579" i="1"/>
  <c r="Q1575" i="1"/>
  <c r="S1575" i="1" s="1"/>
  <c r="Q1571" i="1"/>
  <c r="S1571" i="1" s="1"/>
  <c r="Q1567" i="1"/>
  <c r="S1567" i="1" s="1"/>
  <c r="Q1563" i="1"/>
  <c r="Q1559" i="1"/>
  <c r="Q1551" i="1"/>
  <c r="Q1547" i="1"/>
  <c r="Q1543" i="1"/>
  <c r="Q1539" i="1"/>
  <c r="Q1527" i="1"/>
  <c r="Q1523" i="1"/>
  <c r="Q1519" i="1"/>
  <c r="Q1515" i="1"/>
  <c r="Q1511" i="1"/>
  <c r="Q1507" i="1"/>
  <c r="Q1503" i="1"/>
  <c r="Q1499" i="1"/>
  <c r="Q1495" i="1"/>
  <c r="Q1491" i="1"/>
  <c r="S1491" i="1" s="1"/>
  <c r="Q1487" i="1"/>
  <c r="Q1483" i="1"/>
  <c r="Q1479" i="1"/>
  <c r="Q1475" i="1"/>
  <c r="Q1471" i="1"/>
  <c r="Q1467" i="1"/>
  <c r="S1467" i="1" s="1"/>
  <c r="Q1463" i="1"/>
  <c r="Q1459" i="1"/>
  <c r="S1459" i="1" s="1"/>
  <c r="Q1455" i="1"/>
  <c r="S1455" i="1" s="1"/>
  <c r="Q1447" i="1"/>
  <c r="Q1443" i="1"/>
  <c r="Q1439" i="1"/>
  <c r="Q1435" i="1"/>
  <c r="Q1431" i="1"/>
  <c r="Q1427" i="1"/>
  <c r="Q1423" i="1"/>
  <c r="Q1419" i="1"/>
  <c r="S1419" i="1" s="1"/>
  <c r="Q1415" i="1"/>
  <c r="Q1411" i="1"/>
  <c r="Q1407" i="1"/>
  <c r="Q1403" i="1"/>
  <c r="Q1399" i="1"/>
  <c r="Q1395" i="1"/>
  <c r="Q1391" i="1"/>
  <c r="S1391" i="1" s="1"/>
  <c r="Q1383" i="1"/>
  <c r="Q1379" i="1"/>
  <c r="Q1375" i="1"/>
  <c r="Q1371" i="1"/>
  <c r="Q1367" i="1"/>
  <c r="Q1363" i="1"/>
  <c r="S1363" i="1" s="1"/>
  <c r="Q1359" i="1"/>
  <c r="Q1355" i="1"/>
  <c r="Q1351" i="1"/>
  <c r="Q1347" i="1"/>
  <c r="Q1343" i="1"/>
  <c r="Q1339" i="1"/>
  <c r="S1339" i="1" s="1"/>
  <c r="Q1335" i="1"/>
  <c r="Q1331" i="1"/>
  <c r="Q1323" i="1"/>
  <c r="Q1319" i="1"/>
  <c r="Q1315" i="1"/>
  <c r="Q1311" i="1"/>
  <c r="Q1307" i="1"/>
  <c r="Q1303" i="1"/>
  <c r="S1303" i="1" s="1"/>
  <c r="Q1299" i="1"/>
  <c r="Q1295" i="1"/>
  <c r="Q1291" i="1"/>
  <c r="S1291" i="1" s="1"/>
  <c r="Q1287" i="1"/>
  <c r="S1287" i="1" s="1"/>
  <c r="Q1283" i="1"/>
  <c r="Q1279" i="1"/>
  <c r="Q1271" i="1"/>
  <c r="Q1267" i="1"/>
  <c r="Q1263" i="1"/>
  <c r="Q1259" i="1"/>
  <c r="Q1255" i="1"/>
  <c r="Q1251" i="1"/>
  <c r="Q1247" i="1"/>
  <c r="Q1243" i="1"/>
  <c r="Q1239" i="1"/>
  <c r="Q1235" i="1"/>
  <c r="Q1231" i="1"/>
  <c r="Q1227" i="1"/>
  <c r="Q1223" i="1"/>
  <c r="S1223" i="1" s="1"/>
  <c r="Q1219" i="1"/>
  <c r="Q1215" i="1"/>
  <c r="Q1211" i="1"/>
  <c r="Q1199" i="1"/>
  <c r="Q1195" i="1"/>
  <c r="Q1191" i="1"/>
  <c r="Q1187" i="1"/>
  <c r="Q1183" i="1"/>
  <c r="Q1179" i="1"/>
  <c r="Q1175" i="1"/>
  <c r="S1175" i="1" s="1"/>
  <c r="Q1171" i="1"/>
  <c r="Q1167" i="1"/>
  <c r="Q1163" i="1"/>
  <c r="Q1159" i="1"/>
  <c r="Q1155" i="1"/>
  <c r="Q1151" i="1"/>
  <c r="Q1147" i="1"/>
  <c r="Q1139" i="1"/>
  <c r="Q1135" i="1"/>
  <c r="Q1131" i="1"/>
  <c r="S1131" i="1" s="1"/>
  <c r="Q1127" i="1"/>
  <c r="Q1123" i="1"/>
  <c r="Q1115" i="1"/>
  <c r="Q1111" i="1"/>
  <c r="Q1107" i="1"/>
  <c r="S1107" i="1" s="1"/>
  <c r="Q1103" i="1"/>
  <c r="Q1099" i="1"/>
  <c r="Q1095" i="1"/>
  <c r="Q1091" i="1"/>
  <c r="Q1083" i="1"/>
  <c r="Q1079" i="1"/>
  <c r="Q1075" i="1"/>
  <c r="Q1071" i="1"/>
  <c r="Q1067" i="1"/>
  <c r="Q1063" i="1"/>
  <c r="Q1059" i="1"/>
  <c r="Q1055" i="1"/>
  <c r="Q1051" i="1"/>
  <c r="S1051" i="1" s="1"/>
  <c r="Q1047" i="1"/>
  <c r="Q1043" i="1"/>
  <c r="Q1039" i="1"/>
  <c r="Q1035" i="1"/>
  <c r="S1035" i="1" s="1"/>
  <c r="Q1031" i="1"/>
  <c r="Q1023" i="1"/>
  <c r="Q1019" i="1"/>
  <c r="S1019" i="1" s="1"/>
  <c r="Q1015" i="1"/>
  <c r="Q1011" i="1"/>
  <c r="Q1007" i="1"/>
  <c r="S1007" i="1" s="1"/>
  <c r="Q1003" i="1"/>
  <c r="S1003" i="1" s="1"/>
  <c r="Q999" i="1"/>
  <c r="Q995" i="1"/>
  <c r="Q991" i="1"/>
  <c r="Q987" i="1"/>
  <c r="Q983" i="1"/>
  <c r="S983" i="1" s="1"/>
  <c r="Q979" i="1"/>
  <c r="Q975" i="1"/>
  <c r="Q971" i="1"/>
  <c r="Q967" i="1"/>
  <c r="S967" i="1" s="1"/>
  <c r="Q963" i="1"/>
  <c r="Q959" i="1"/>
  <c r="Q955" i="1"/>
  <c r="Q951" i="1"/>
  <c r="Q947" i="1"/>
  <c r="Q943" i="1"/>
  <c r="Q939" i="1"/>
  <c r="Q935" i="1"/>
  <c r="Q927" i="1"/>
  <c r="S927" i="1" s="1"/>
  <c r="Q923" i="1"/>
  <c r="Q919" i="1"/>
  <c r="Q915" i="1"/>
  <c r="Q911" i="1"/>
  <c r="Q907" i="1"/>
  <c r="Q903" i="1"/>
  <c r="Q899" i="1"/>
  <c r="Q895" i="1"/>
  <c r="Q887" i="1"/>
  <c r="Q883" i="1"/>
  <c r="Q879" i="1"/>
  <c r="Q871" i="1"/>
  <c r="Q867" i="1"/>
  <c r="Q863" i="1"/>
  <c r="Q859" i="1"/>
  <c r="Q855" i="1"/>
  <c r="S855" i="1" s="1"/>
  <c r="Q851" i="1"/>
  <c r="Q847" i="1"/>
  <c r="Q839" i="1"/>
  <c r="S839" i="1" s="1"/>
  <c r="Q835" i="1"/>
  <c r="Q831" i="1"/>
  <c r="Q827" i="1"/>
  <c r="Q819" i="1"/>
  <c r="S819" i="1" s="1"/>
  <c r="Q815" i="1"/>
  <c r="Q811" i="1"/>
  <c r="Q807" i="1"/>
  <c r="Q803" i="1"/>
  <c r="Q799" i="1"/>
  <c r="Q795" i="1"/>
  <c r="Q791" i="1"/>
  <c r="Q787" i="1"/>
  <c r="Q783" i="1"/>
  <c r="Q779" i="1"/>
  <c r="Q775" i="1"/>
  <c r="Q771" i="1"/>
  <c r="Q767" i="1"/>
  <c r="Q763" i="1"/>
  <c r="Q759" i="1"/>
  <c r="Q755" i="1"/>
  <c r="Q747" i="1"/>
  <c r="Q743" i="1"/>
  <c r="Q739" i="1"/>
  <c r="Q735" i="1"/>
  <c r="Q731" i="1"/>
  <c r="Q727" i="1"/>
  <c r="Q723" i="1"/>
  <c r="Q719" i="1"/>
  <c r="S719" i="1" s="1"/>
  <c r="Q711" i="1"/>
  <c r="Q707" i="1"/>
  <c r="Q703" i="1"/>
  <c r="Q699" i="1"/>
  <c r="Q695" i="1"/>
  <c r="Q691" i="1"/>
  <c r="Q687" i="1"/>
  <c r="Q683" i="1"/>
  <c r="Q679" i="1"/>
  <c r="Q675" i="1"/>
  <c r="Q671" i="1"/>
  <c r="Q667" i="1"/>
  <c r="S667" i="1" s="1"/>
  <c r="Q663" i="1"/>
  <c r="Q659" i="1"/>
  <c r="Q651" i="1"/>
  <c r="S651" i="1" s="1"/>
  <c r="Q647" i="1"/>
  <c r="Q643" i="1"/>
  <c r="Q639" i="1"/>
  <c r="S639" i="1" s="1"/>
  <c r="Q635" i="1"/>
  <c r="Q627" i="1"/>
  <c r="Q623" i="1"/>
  <c r="Q611" i="1"/>
  <c r="Q603" i="1"/>
  <c r="Q591" i="1"/>
  <c r="Q587" i="1"/>
  <c r="S587" i="1" s="1"/>
  <c r="Q583" i="1"/>
  <c r="Q579" i="1"/>
  <c r="Q575" i="1"/>
  <c r="Q571" i="1"/>
  <c r="S571" i="1" s="1"/>
  <c r="Q567" i="1"/>
  <c r="Q563" i="1"/>
  <c r="Q559" i="1"/>
  <c r="Q555" i="1"/>
  <c r="S555" i="1" s="1"/>
  <c r="Q551" i="1"/>
  <c r="S551" i="1" s="1"/>
  <c r="Q547" i="1"/>
  <c r="S547" i="1" s="1"/>
  <c r="Q543" i="1"/>
  <c r="Q539" i="1"/>
  <c r="Q535" i="1"/>
  <c r="Q531" i="1"/>
  <c r="Q527" i="1"/>
  <c r="Q523" i="1"/>
  <c r="Q519" i="1"/>
  <c r="S519" i="1" s="1"/>
  <c r="Q515" i="1"/>
  <c r="Q491" i="1"/>
  <c r="Q487" i="1"/>
  <c r="Q483" i="1"/>
  <c r="Q479" i="1"/>
  <c r="Q475" i="1"/>
  <c r="Q471" i="1"/>
  <c r="Q467" i="1"/>
  <c r="Q463" i="1"/>
  <c r="Q459" i="1"/>
  <c r="Q451" i="1"/>
  <c r="S451" i="1" s="1"/>
  <c r="Q447" i="1"/>
  <c r="Q443" i="1"/>
  <c r="Q435" i="1"/>
  <c r="Q431" i="1"/>
  <c r="Q427" i="1"/>
  <c r="Q423" i="1"/>
  <c r="S423" i="1" s="1"/>
  <c r="Q411" i="1"/>
  <c r="Q407" i="1"/>
  <c r="Q403" i="1"/>
  <c r="Q399" i="1"/>
  <c r="Q395" i="1"/>
  <c r="Q391" i="1"/>
  <c r="Q387" i="1"/>
  <c r="Q367" i="1"/>
  <c r="Q368" i="1" s="1"/>
  <c r="Q363" i="1"/>
  <c r="Q359" i="1"/>
  <c r="Q343" i="1"/>
  <c r="Q339" i="1"/>
  <c r="S339" i="1" s="1"/>
  <c r="Q335" i="1"/>
  <c r="S335" i="1" s="1"/>
  <c r="Q331" i="1"/>
  <c r="Q327" i="1"/>
  <c r="Q323" i="1"/>
  <c r="Q319" i="1"/>
  <c r="Q315" i="1"/>
  <c r="Q311" i="1"/>
  <c r="Q307" i="1"/>
  <c r="Q303" i="1"/>
  <c r="Q299" i="1"/>
  <c r="Q295" i="1"/>
  <c r="Q291" i="1"/>
  <c r="Q287" i="1"/>
  <c r="Q283" i="1"/>
  <c r="Q275" i="1"/>
  <c r="Q271" i="1"/>
  <c r="Q267" i="1"/>
  <c r="Q263" i="1"/>
  <c r="S263" i="1" s="1"/>
  <c r="Q255" i="1"/>
  <c r="Q251" i="1"/>
  <c r="S251" i="1" s="1"/>
  <c r="Q247" i="1"/>
  <c r="Q243" i="1"/>
  <c r="Q239" i="1"/>
  <c r="Q231" i="1"/>
  <c r="S231" i="1" s="1"/>
  <c r="Q227" i="1"/>
  <c r="Q223" i="1"/>
  <c r="Q219" i="1"/>
  <c r="Q215" i="1"/>
  <c r="Q211" i="1"/>
  <c r="Q207" i="1"/>
  <c r="Q203" i="1"/>
  <c r="Q199" i="1"/>
  <c r="Q195" i="1"/>
  <c r="Q191" i="1"/>
  <c r="Q187" i="1"/>
  <c r="Q183" i="1"/>
  <c r="Q179" i="1"/>
  <c r="Q175" i="1"/>
  <c r="S175" i="1" s="1"/>
  <c r="Q171" i="1"/>
  <c r="Q167" i="1"/>
  <c r="Q163" i="1"/>
  <c r="Q159" i="1"/>
  <c r="S159" i="1" s="1"/>
  <c r="Q155" i="1"/>
  <c r="Q151" i="1"/>
  <c r="Q147" i="1"/>
  <c r="Q143" i="1"/>
  <c r="Q135" i="1"/>
  <c r="Q131" i="1"/>
  <c r="Q127" i="1"/>
  <c r="Q123" i="1"/>
  <c r="S123" i="1" s="1"/>
  <c r="Q119" i="1"/>
  <c r="Q115" i="1"/>
  <c r="Q111" i="1"/>
  <c r="Q107" i="1"/>
  <c r="Q103" i="1"/>
  <c r="Q99" i="1"/>
  <c r="S99" i="1" s="1"/>
  <c r="Q95" i="1"/>
  <c r="Q91" i="1"/>
  <c r="Q87" i="1"/>
  <c r="Q83" i="1"/>
  <c r="S83" i="1" s="1"/>
  <c r="Q79" i="1"/>
  <c r="Q75" i="1"/>
  <c r="Q71" i="1"/>
  <c r="S71" i="1" s="1"/>
  <c r="Q67" i="1"/>
  <c r="Q63" i="1"/>
  <c r="Q59" i="1"/>
  <c r="Q55" i="1"/>
  <c r="Q51" i="1"/>
  <c r="Q43" i="1"/>
  <c r="Q39" i="1"/>
  <c r="Q27" i="1"/>
  <c r="Q23" i="1"/>
  <c r="U19" i="1"/>
  <c r="V19" i="1" s="1"/>
  <c r="U15" i="1"/>
  <c r="V15" i="1" s="1"/>
  <c r="Q11" i="1"/>
  <c r="Q2022" i="1"/>
  <c r="Q2018" i="1"/>
  <c r="Q2010" i="1"/>
  <c r="Q2006" i="1"/>
  <c r="Q2002" i="1"/>
  <c r="Q1998" i="1"/>
  <c r="Q1994" i="1"/>
  <c r="Q1990" i="1"/>
  <c r="Q1986" i="1"/>
  <c r="Q1982" i="1"/>
  <c r="Q1978" i="1"/>
  <c r="Q1974" i="1"/>
  <c r="Q1966" i="1"/>
  <c r="Q1962" i="1"/>
  <c r="Q1958" i="1"/>
  <c r="Q1954" i="1"/>
  <c r="Q1950" i="1"/>
  <c r="Q1946" i="1"/>
  <c r="Q1942" i="1"/>
  <c r="Q1938" i="1"/>
  <c r="S1938" i="1" s="1"/>
  <c r="Q1934" i="1"/>
  <c r="Q1930" i="1"/>
  <c r="Q1918" i="1"/>
  <c r="Q1914" i="1"/>
  <c r="S1914" i="1" s="1"/>
  <c r="Q1910" i="1"/>
  <c r="Q1906" i="1"/>
  <c r="Q1902" i="1"/>
  <c r="S1902" i="1" s="1"/>
  <c r="Q1894" i="1"/>
  <c r="Q1886" i="1"/>
  <c r="Q1882" i="1"/>
  <c r="Q1878" i="1"/>
  <c r="Q1874" i="1"/>
  <c r="Q1866" i="1"/>
  <c r="Q1862" i="1"/>
  <c r="Q1858" i="1"/>
  <c r="S1858" i="1" s="1"/>
  <c r="Q1854" i="1"/>
  <c r="Q1850" i="1"/>
  <c r="Q1846" i="1"/>
  <c r="Q1842" i="1"/>
  <c r="Q1838" i="1"/>
  <c r="Q1834" i="1"/>
  <c r="Q1830" i="1"/>
  <c r="Q1822" i="1"/>
  <c r="Q1818" i="1"/>
  <c r="Q1814" i="1"/>
  <c r="Q1810" i="1"/>
  <c r="Q1806" i="1"/>
  <c r="Q1802" i="1"/>
  <c r="Q1794" i="1"/>
  <c r="Q1790" i="1"/>
  <c r="Q1786" i="1"/>
  <c r="Q1782" i="1"/>
  <c r="Q1778" i="1"/>
  <c r="Q1774" i="1"/>
  <c r="Q1770" i="1"/>
  <c r="Q1766" i="1"/>
  <c r="S1766" i="1" s="1"/>
  <c r="Q1762" i="1"/>
  <c r="Q1758" i="1"/>
  <c r="Q1750" i="1"/>
  <c r="Q1746" i="1"/>
  <c r="Q1742" i="1"/>
  <c r="Q1738" i="1"/>
  <c r="Q1730" i="1"/>
  <c r="Q1726" i="1"/>
  <c r="Q1722" i="1"/>
  <c r="Q1718" i="1"/>
  <c r="Q1714" i="1"/>
  <c r="S1714" i="1" s="1"/>
  <c r="Q1710" i="1"/>
  <c r="Q1706" i="1"/>
  <c r="Q1702" i="1"/>
  <c r="Q1698" i="1"/>
  <c r="Q1694" i="1"/>
  <c r="Q1690" i="1"/>
  <c r="Q1686" i="1"/>
  <c r="Q1682" i="1"/>
  <c r="Q1674" i="1"/>
  <c r="Q1670" i="1"/>
  <c r="Q1662" i="1"/>
  <c r="Q1658" i="1"/>
  <c r="S1658" i="1" s="1"/>
  <c r="Q1654" i="1"/>
  <c r="Q1650" i="1"/>
  <c r="Q1642" i="1"/>
  <c r="Q1638" i="1"/>
  <c r="Q1634" i="1"/>
  <c r="S1634" i="1" s="1"/>
  <c r="Q1630" i="1"/>
  <c r="Q1626" i="1"/>
  <c r="S1626" i="1" s="1"/>
  <c r="Q1622" i="1"/>
  <c r="Q1618" i="1"/>
  <c r="Q1614" i="1"/>
  <c r="Q1606" i="1"/>
  <c r="Q1602" i="1"/>
  <c r="Q1598" i="1"/>
  <c r="Q1594" i="1"/>
  <c r="Q1590" i="1"/>
  <c r="Q1582" i="1"/>
  <c r="Q1578" i="1"/>
  <c r="S1578" i="1" s="1"/>
  <c r="Q1574" i="1"/>
  <c r="Q1570" i="1"/>
  <c r="Q1566" i="1"/>
  <c r="Q1562" i="1"/>
  <c r="Q1558" i="1"/>
  <c r="Q1550" i="1"/>
  <c r="Q1546" i="1"/>
  <c r="Q1542" i="1"/>
  <c r="Q1538" i="1"/>
  <c r="Q1526" i="1"/>
  <c r="Q1522" i="1"/>
  <c r="S1522" i="1" s="1"/>
  <c r="Q1514" i="1"/>
  <c r="Q1510" i="1"/>
  <c r="Q1506" i="1"/>
  <c r="Q1502" i="1"/>
  <c r="Q1498" i="1"/>
  <c r="Q1494" i="1"/>
  <c r="Q1490" i="1"/>
  <c r="Q1482" i="1"/>
  <c r="Q1478" i="1"/>
  <c r="Q1474" i="1"/>
  <c r="Q1470" i="1"/>
  <c r="Q1466" i="1"/>
  <c r="S1466" i="1" s="1"/>
  <c r="Q1462" i="1"/>
  <c r="Q1458" i="1"/>
  <c r="Q1454" i="1"/>
  <c r="Q1446" i="1"/>
  <c r="Q1442" i="1"/>
  <c r="Q1438" i="1"/>
  <c r="Q1434" i="1"/>
  <c r="Q1430" i="1"/>
  <c r="Q1426" i="1"/>
  <c r="Q1422" i="1"/>
  <c r="Q1414" i="1"/>
  <c r="Q1410" i="1"/>
  <c r="Q1406" i="1"/>
  <c r="Q1402" i="1"/>
  <c r="S1402" i="1" s="1"/>
  <c r="Q1398" i="1"/>
  <c r="S1398" i="1" s="1"/>
  <c r="Q1394" i="1"/>
  <c r="Q1390" i="1"/>
  <c r="S1390" i="1" s="1"/>
  <c r="Q1386" i="1"/>
  <c r="Q1382" i="1"/>
  <c r="Q1378" i="1"/>
  <c r="S1378" i="1" s="1"/>
  <c r="Q1374" i="1"/>
  <c r="Q1370" i="1"/>
  <c r="Q1366" i="1"/>
  <c r="Q1362" i="1"/>
  <c r="Q1358" i="1"/>
  <c r="S1358" i="1" s="1"/>
  <c r="Q1354" i="1"/>
  <c r="Q1350" i="1"/>
  <c r="Q1346" i="1"/>
  <c r="Q1342" i="1"/>
  <c r="Q1338" i="1"/>
  <c r="Q1334" i="1"/>
  <c r="Q1322" i="1"/>
  <c r="Q1318" i="1"/>
  <c r="Q1314" i="1"/>
  <c r="Q1310" i="1"/>
  <c r="S1310" i="1" s="1"/>
  <c r="Q1306" i="1"/>
  <c r="Q1302" i="1"/>
  <c r="Q1298" i="1"/>
  <c r="Q1294" i="1"/>
  <c r="Q1290" i="1"/>
  <c r="S1290" i="1" s="1"/>
  <c r="Q1286" i="1"/>
  <c r="Q1282" i="1"/>
  <c r="Q1278" i="1"/>
  <c r="Q1274" i="1"/>
  <c r="S1274" i="1" s="1"/>
  <c r="Q1270" i="1"/>
  <c r="Q1266" i="1"/>
  <c r="S1266" i="1" s="1"/>
  <c r="Q1262" i="1"/>
  <c r="Q1258" i="1"/>
  <c r="S1258" i="1" s="1"/>
  <c r="Q1254" i="1"/>
  <c r="Q1250" i="1"/>
  <c r="Q1246" i="1"/>
  <c r="Q1242" i="1"/>
  <c r="Q1238" i="1"/>
  <c r="S1238" i="1" s="1"/>
  <c r="Q1234" i="1"/>
  <c r="Q1230" i="1"/>
  <c r="S1230" i="1" s="1"/>
  <c r="Q1226" i="1"/>
  <c r="Q1222" i="1"/>
  <c r="Q1218" i="1"/>
  <c r="Q1198" i="1"/>
  <c r="Q1194" i="1"/>
  <c r="S1194" i="1" s="1"/>
  <c r="Q1190" i="1"/>
  <c r="Q1186" i="1"/>
  <c r="Q1182" i="1"/>
  <c r="Q1174" i="1"/>
  <c r="Q1170" i="1"/>
  <c r="Q1166" i="1"/>
  <c r="Q1162" i="1"/>
  <c r="Q1158" i="1"/>
  <c r="S1158" i="1" s="1"/>
  <c r="Q1154" i="1"/>
  <c r="Q1150" i="1"/>
  <c r="Q1142" i="1"/>
  <c r="Q1138" i="1"/>
  <c r="Q1134" i="1"/>
  <c r="Q1130" i="1"/>
  <c r="Q1126" i="1"/>
  <c r="Q1122" i="1"/>
  <c r="Q1114" i="1"/>
  <c r="S1114" i="1" s="1"/>
  <c r="Q1110" i="1"/>
  <c r="Q1106" i="1"/>
  <c r="Q1102" i="1"/>
  <c r="Q1098" i="1"/>
  <c r="Q1094" i="1"/>
  <c r="Q1090" i="1"/>
  <c r="Q1086" i="1"/>
  <c r="S1086" i="1" s="1"/>
  <c r="Q1078" i="1"/>
  <c r="Q1074" i="1"/>
  <c r="Q1070" i="1"/>
  <c r="S1070" i="1" s="1"/>
  <c r="Q1066" i="1"/>
  <c r="Q1062" i="1"/>
  <c r="S1062" i="1" s="1"/>
  <c r="Q1058" i="1"/>
  <c r="Q1054" i="1"/>
  <c r="Q1050" i="1"/>
  <c r="S1050" i="1" s="1"/>
  <c r="Q1046" i="1"/>
  <c r="Q1042" i="1"/>
  <c r="Q1038" i="1"/>
  <c r="Q1034" i="1"/>
  <c r="Q1030" i="1"/>
  <c r="Q1022" i="1"/>
  <c r="Q1018" i="1"/>
  <c r="Q1014" i="1"/>
  <c r="Q1010" i="1"/>
  <c r="Q1006" i="1"/>
  <c r="Q1002" i="1"/>
  <c r="Q998" i="1"/>
  <c r="S998" i="1" s="1"/>
  <c r="Q990" i="1"/>
  <c r="Q986" i="1"/>
  <c r="Q982" i="1"/>
  <c r="S982" i="1" s="1"/>
  <c r="Q978" i="1"/>
  <c r="Q974" i="1"/>
  <c r="Q970" i="1"/>
  <c r="Q966" i="1"/>
  <c r="S966" i="1" s="1"/>
  <c r="Q962" i="1"/>
  <c r="Q958" i="1"/>
  <c r="Q954" i="1"/>
  <c r="Q950" i="1"/>
  <c r="Q946" i="1"/>
  <c r="Q942" i="1"/>
  <c r="Q938" i="1"/>
  <c r="Q934" i="1"/>
  <c r="Q926" i="1"/>
  <c r="Q922" i="1"/>
  <c r="Q918" i="1"/>
  <c r="Q914" i="1"/>
  <c r="Q910" i="1"/>
  <c r="Q906" i="1"/>
  <c r="S906" i="1" s="1"/>
  <c r="Q902" i="1"/>
  <c r="Q898" i="1"/>
  <c r="Q894" i="1"/>
  <c r="Q890" i="1"/>
  <c r="Q886" i="1"/>
  <c r="Q878" i="1"/>
  <c r="Q870" i="1"/>
  <c r="Q866" i="1"/>
  <c r="Q862" i="1"/>
  <c r="Q858" i="1"/>
  <c r="S858" i="1" s="1"/>
  <c r="Q854" i="1"/>
  <c r="Q850" i="1"/>
  <c r="Q846" i="1"/>
  <c r="Q838" i="1"/>
  <c r="Q834" i="1"/>
  <c r="Q830" i="1"/>
  <c r="Q826" i="1"/>
  <c r="Q818" i="1"/>
  <c r="Q814" i="1"/>
  <c r="Q802" i="1"/>
  <c r="S802" i="1" s="1"/>
  <c r="Q798" i="1"/>
  <c r="S798" i="1" s="1"/>
  <c r="Q794" i="1"/>
  <c r="S794" i="1" s="1"/>
  <c r="Q790" i="1"/>
  <c r="S790" i="1" s="1"/>
  <c r="Q786" i="1"/>
  <c r="Q782" i="1"/>
  <c r="S782" i="1" s="1"/>
  <c r="Q778" i="1"/>
  <c r="Q774" i="1"/>
  <c r="Q770" i="1"/>
  <c r="S770" i="1" s="1"/>
  <c r="Q766" i="1"/>
  <c r="Q762" i="1"/>
  <c r="Q758" i="1"/>
  <c r="Q754" i="1"/>
  <c r="Q746" i="1"/>
  <c r="S746" i="1" s="1"/>
  <c r="Q742" i="1"/>
  <c r="S742" i="1" s="1"/>
  <c r="Q738" i="1"/>
  <c r="Q734" i="1"/>
  <c r="S734" i="1" s="1"/>
  <c r="Q730" i="1"/>
  <c r="Q726" i="1"/>
  <c r="Q722" i="1"/>
  <c r="Q718" i="1"/>
  <c r="S718" i="1" s="1"/>
  <c r="Q714" i="1"/>
  <c r="S714" i="1" s="1"/>
  <c r="Q710" i="1"/>
  <c r="Q706" i="1"/>
  <c r="S706" i="1" s="1"/>
  <c r="Q702" i="1"/>
  <c r="Q698" i="1"/>
  <c r="Q694" i="1"/>
  <c r="Q690" i="1"/>
  <c r="Q686" i="1"/>
  <c r="Q682" i="1"/>
  <c r="S682" i="1" s="1"/>
  <c r="Q678" i="1"/>
  <c r="Q674" i="1"/>
  <c r="Q670" i="1"/>
  <c r="Q666" i="1"/>
  <c r="S666" i="1" s="1"/>
  <c r="Q662" i="1"/>
  <c r="S662" i="1" s="1"/>
  <c r="Q650" i="1"/>
  <c r="Q646" i="1"/>
  <c r="Q642" i="1"/>
  <c r="Q638" i="1"/>
  <c r="S638" i="1" s="1"/>
  <c r="Q634" i="1"/>
  <c r="Q630" i="1"/>
  <c r="S630" i="1" s="1"/>
  <c r="Q626" i="1"/>
  <c r="Q622" i="1"/>
  <c r="Q618" i="1"/>
  <c r="Q614" i="1"/>
  <c r="Q606" i="1"/>
  <c r="Q602" i="1"/>
  <c r="Q598" i="1"/>
  <c r="S598" i="1" s="1"/>
  <c r="Q590" i="1"/>
  <c r="Q582" i="1"/>
  <c r="S582" i="1" s="1"/>
  <c r="Q578" i="1"/>
  <c r="Q574" i="1"/>
  <c r="S574" i="1" s="1"/>
  <c r="Q570" i="1"/>
  <c r="Q566" i="1"/>
  <c r="Q562" i="1"/>
  <c r="S562" i="1" s="1"/>
  <c r="Q554" i="1"/>
  <c r="Q550" i="1"/>
  <c r="Q546" i="1"/>
  <c r="S546" i="1" s="1"/>
  <c r="Q542" i="1"/>
  <c r="Q538" i="1"/>
  <c r="Q534" i="1"/>
  <c r="Q530" i="1"/>
  <c r="Q526" i="1"/>
  <c r="Q522" i="1"/>
  <c r="Q518" i="1"/>
  <c r="Q506" i="1"/>
  <c r="Q502" i="1"/>
  <c r="Q494" i="1"/>
  <c r="Q490" i="1"/>
  <c r="Q486" i="1"/>
  <c r="Q482" i="1"/>
  <c r="Q478" i="1"/>
  <c r="Q474" i="1"/>
  <c r="S474" i="1" s="1"/>
  <c r="Q470" i="1"/>
  <c r="Q466" i="1"/>
  <c r="Q462" i="1"/>
  <c r="Q458" i="1"/>
  <c r="Q450" i="1"/>
  <c r="S450" i="1" s="1"/>
  <c r="Q446" i="1"/>
  <c r="Q442" i="1"/>
  <c r="Q434" i="1"/>
  <c r="Q430" i="1"/>
  <c r="S430" i="1" s="1"/>
  <c r="Q426" i="1"/>
  <c r="Q422" i="1"/>
  <c r="Q418" i="1"/>
  <c r="Q410" i="1"/>
  <c r="S410" i="1" s="1"/>
  <c r="Q406" i="1"/>
  <c r="Q402" i="1"/>
  <c r="Q398" i="1"/>
  <c r="Q394" i="1"/>
  <c r="Q390" i="1"/>
  <c r="Q386" i="1"/>
  <c r="Q374" i="1"/>
  <c r="Q362" i="1"/>
  <c r="Q350" i="1"/>
  <c r="Q346" i="1"/>
  <c r="Q342" i="1"/>
  <c r="Q338" i="1"/>
  <c r="Q330" i="1"/>
  <c r="Q326" i="1"/>
  <c r="Q322" i="1"/>
  <c r="Q310" i="1"/>
  <c r="Q306" i="1"/>
  <c r="Q302" i="1"/>
  <c r="Q298" i="1"/>
  <c r="Q294" i="1"/>
  <c r="Q290" i="1"/>
  <c r="Q286" i="1"/>
  <c r="Q282" i="1"/>
  <c r="Q278" i="1"/>
  <c r="Q274" i="1"/>
  <c r="Q270" i="1"/>
  <c r="Q266" i="1"/>
  <c r="Q262" i="1"/>
  <c r="S262" i="1" s="1"/>
  <c r="Q258" i="1"/>
  <c r="Q254" i="1"/>
  <c r="Q250" i="1"/>
  <c r="Q246" i="1"/>
  <c r="S246" i="1" s="1"/>
  <c r="Q242" i="1"/>
  <c r="Q238" i="1"/>
  <c r="Q234" i="1"/>
  <c r="Q230" i="1"/>
  <c r="Q226" i="1"/>
  <c r="Q222" i="1"/>
  <c r="Q218" i="1"/>
  <c r="Q210" i="1"/>
  <c r="S210" i="1" s="1"/>
  <c r="Q206" i="1"/>
  <c r="Q202" i="1"/>
  <c r="Q198" i="1"/>
  <c r="Q194" i="1"/>
  <c r="S194" i="1" s="1"/>
  <c r="Q190" i="1"/>
  <c r="Q186" i="1"/>
  <c r="Q182" i="1"/>
  <c r="Q178" i="1"/>
  <c r="S178" i="1" s="1"/>
  <c r="Q174" i="1"/>
  <c r="Q170" i="1"/>
  <c r="Q162" i="1"/>
  <c r="Q154" i="1"/>
  <c r="Q150" i="1"/>
  <c r="S150" i="1" s="1"/>
  <c r="Q146" i="1"/>
  <c r="Q142" i="1"/>
  <c r="Q134" i="1"/>
  <c r="Q130" i="1"/>
  <c r="Q126" i="1"/>
  <c r="Q122" i="1"/>
  <c r="Q118" i="1"/>
  <c r="S118" i="1" s="1"/>
  <c r="Q110" i="1"/>
  <c r="Q106" i="1"/>
  <c r="Q98" i="1"/>
  <c r="S98" i="1" s="1"/>
  <c r="Q94" i="1"/>
  <c r="Q90" i="1"/>
  <c r="Q82" i="1"/>
  <c r="Q78" i="1"/>
  <c r="Q74" i="1"/>
  <c r="Q70" i="1"/>
  <c r="Q62" i="1"/>
  <c r="Q58" i="1"/>
  <c r="S58" i="1" s="1"/>
  <c r="Q54" i="1"/>
  <c r="U42" i="1"/>
  <c r="V42" i="1" s="1"/>
  <c r="U34" i="1"/>
  <c r="V34" i="1" s="1"/>
  <c r="U26" i="1"/>
  <c r="V26" i="1" s="1"/>
  <c r="U18" i="1"/>
  <c r="V18" i="1" s="1"/>
  <c r="U14" i="1"/>
  <c r="V14" i="1" s="1"/>
  <c r="U10" i="1"/>
  <c r="V10" i="1" s="1"/>
  <c r="U6" i="1"/>
  <c r="V6" i="1" s="1"/>
  <c r="Q3132" i="1"/>
  <c r="S3132" i="1" s="1"/>
  <c r="Q3580" i="1"/>
  <c r="Q3612" i="1"/>
  <c r="Q3668" i="1"/>
  <c r="Q2186" i="1"/>
  <c r="S2186" i="1" s="1"/>
  <c r="Q2288" i="1"/>
  <c r="Q2289" i="1" s="1"/>
  <c r="Q2608" i="1"/>
  <c r="Q2834" i="1"/>
  <c r="Q3318" i="1"/>
  <c r="Q3354" i="1"/>
  <c r="S3354" i="1" s="1"/>
  <c r="Q2208" i="1"/>
  <c r="Q2346" i="1"/>
  <c r="Q2452" i="1"/>
  <c r="Q2638" i="1"/>
  <c r="Q3074" i="1"/>
  <c r="Q3720" i="1"/>
  <c r="Q30" i="1"/>
  <c r="U23" i="1"/>
  <c r="V23" i="1" s="1"/>
  <c r="Q19" i="1"/>
  <c r="Q7" i="1"/>
  <c r="Q15" i="1"/>
  <c r="U43" i="1"/>
  <c r="V43" i="1" s="1"/>
  <c r="Q47" i="1"/>
  <c r="Q10" i="1"/>
  <c r="S3279" i="1"/>
  <c r="Q36" i="1"/>
  <c r="U27" i="1"/>
  <c r="V27" i="1" s="1"/>
  <c r="U7" i="1"/>
  <c r="V7" i="1" s="1"/>
  <c r="Q46" i="1"/>
  <c r="Q35" i="1"/>
  <c r="Q26" i="1"/>
  <c r="Q18" i="1"/>
  <c r="Q50" i="1"/>
  <c r="Q42" i="1"/>
  <c r="Q34" i="1"/>
  <c r="Q22" i="1"/>
  <c r="U12" i="1"/>
  <c r="V12" i="1" s="1"/>
  <c r="Q6" i="1"/>
  <c r="Q38" i="1"/>
  <c r="Q31" i="1"/>
  <c r="Q20" i="1"/>
  <c r="Q14" i="1"/>
  <c r="S3675" i="1"/>
  <c r="U3" i="1"/>
  <c r="Q45" i="1"/>
  <c r="U45" i="1"/>
  <c r="V45" i="1" s="1"/>
  <c r="Q41" i="1"/>
  <c r="U41" i="1"/>
  <c r="V41" i="1" s="1"/>
  <c r="Q37" i="1"/>
  <c r="Q33" i="1"/>
  <c r="Q29" i="1"/>
  <c r="U29" i="1"/>
  <c r="V29" i="1" s="1"/>
  <c r="Q25" i="1"/>
  <c r="U25" i="1"/>
  <c r="V25" i="1" s="1"/>
  <c r="Q21" i="1"/>
  <c r="Q17" i="1"/>
  <c r="Q13" i="1"/>
  <c r="Q9" i="1"/>
  <c r="Q5" i="1"/>
  <c r="U33" i="1"/>
  <c r="V33" i="1" s="1"/>
  <c r="Q40" i="1"/>
  <c r="Q24" i="1"/>
  <c r="Q1893" i="1"/>
  <c r="S3239" i="1"/>
  <c r="W3904" i="1"/>
  <c r="S3211" i="1"/>
  <c r="S3523" i="1"/>
  <c r="S3885" i="1"/>
  <c r="S3884" i="1"/>
  <c r="Q3857" i="1"/>
  <c r="S3856" i="1"/>
  <c r="S3857" i="1" s="1"/>
  <c r="Q3872" i="1"/>
  <c r="S3871" i="1"/>
  <c r="S3872" i="1" s="1"/>
  <c r="S3881" i="1"/>
  <c r="S3167" i="1"/>
  <c r="Q3875" i="1"/>
  <c r="S2864" i="1"/>
  <c r="S3379" i="1"/>
  <c r="S3882" i="1"/>
  <c r="S3877" i="1"/>
  <c r="S3878" i="1" s="1"/>
  <c r="U80" i="1"/>
  <c r="V80" i="1" s="1"/>
  <c r="U159" i="1"/>
  <c r="U228" i="1"/>
  <c r="V228" i="1" s="1"/>
  <c r="U58" i="1"/>
  <c r="V58" i="1" s="1"/>
  <c r="U103" i="1"/>
  <c r="U137" i="1"/>
  <c r="V137" i="1" s="1"/>
  <c r="U263" i="1"/>
  <c r="V263" i="1" s="1"/>
  <c r="U360" i="1"/>
  <c r="V360" i="1" s="1"/>
  <c r="U174" i="1"/>
  <c r="V174" i="1" s="1"/>
  <c r="U203" i="1"/>
  <c r="V203" i="1" s="1"/>
  <c r="U105" i="1"/>
  <c r="V105" i="1" s="1"/>
  <c r="U168" i="1"/>
  <c r="V168" i="1" s="1"/>
  <c r="U418" i="1"/>
  <c r="V418" i="1" s="1"/>
  <c r="U151" i="1"/>
  <c r="V151" i="1" s="1"/>
  <c r="U258" i="1"/>
  <c r="V258" i="1" s="1"/>
  <c r="U339" i="1"/>
  <c r="V339" i="1" s="1"/>
  <c r="U537" i="1"/>
  <c r="V537" i="1" s="1"/>
  <c r="U155" i="1"/>
  <c r="V155" i="1" s="1"/>
  <c r="U215" i="1"/>
  <c r="U273" i="1"/>
  <c r="V273" i="1" s="1"/>
  <c r="U67" i="1"/>
  <c r="U134" i="1"/>
  <c r="V134" i="1" s="1"/>
  <c r="U79" i="1"/>
  <c r="V79" i="1" s="1"/>
  <c r="U94" i="1"/>
  <c r="V94" i="1" s="1"/>
  <c r="U285" i="1"/>
  <c r="V285" i="1" s="1"/>
  <c r="U328" i="1"/>
  <c r="V328" i="1" s="1"/>
  <c r="U87" i="1"/>
  <c r="V87" i="1" s="1"/>
  <c r="U121" i="1"/>
  <c r="V121" i="1" s="1"/>
  <c r="U181" i="1"/>
  <c r="V181" i="1" s="1"/>
  <c r="U123" i="1"/>
  <c r="V123" i="1" s="1"/>
  <c r="U193" i="1"/>
  <c r="V193" i="1" s="1"/>
  <c r="U227" i="1"/>
  <c r="V227" i="1" s="1"/>
  <c r="U51" i="1"/>
  <c r="V51" i="1" s="1"/>
  <c r="U62" i="1"/>
  <c r="V62" i="1" s="1"/>
  <c r="U148" i="1"/>
  <c r="V148" i="1" s="1"/>
  <c r="U175" i="1"/>
  <c r="V175" i="1" s="1"/>
  <c r="U206" i="1"/>
  <c r="V206" i="1" s="1"/>
  <c r="U239" i="1"/>
  <c r="V239" i="1" s="1"/>
  <c r="U83" i="1"/>
  <c r="V83" i="1" s="1"/>
  <c r="U281" i="1"/>
  <c r="U245" i="1"/>
  <c r="V245" i="1" s="1"/>
  <c r="U69" i="1"/>
  <c r="V69" i="1" s="1"/>
  <c r="U150" i="1"/>
  <c r="V150" i="1" s="1"/>
  <c r="U246" i="1"/>
  <c r="V246" i="1" s="1"/>
  <c r="U76" i="1"/>
  <c r="V76" i="1" s="1"/>
  <c r="U209" i="1"/>
  <c r="V209" i="1" s="1"/>
  <c r="U255" i="1"/>
  <c r="V255" i="1" s="1"/>
  <c r="U450" i="1"/>
  <c r="V450" i="1" s="1"/>
  <c r="U118" i="1"/>
  <c r="V118" i="1" s="1"/>
  <c r="U141" i="1"/>
  <c r="V141" i="1" s="1"/>
  <c r="U221" i="1"/>
  <c r="V221" i="1" s="1"/>
  <c r="U267" i="1"/>
  <c r="V267" i="1" s="1"/>
  <c r="U133" i="1"/>
  <c r="V133" i="1" s="1"/>
  <c r="U356" i="1"/>
  <c r="U363" i="1"/>
  <c r="V363" i="1" s="1"/>
  <c r="U61" i="1"/>
  <c r="V61" i="1" s="1"/>
  <c r="U194" i="1"/>
  <c r="V194" i="1" s="1"/>
  <c r="U430" i="1"/>
  <c r="V430" i="1" s="1"/>
  <c r="U463" i="1"/>
  <c r="V463" i="1" s="1"/>
  <c r="U588" i="1"/>
  <c r="V588" i="1" s="1"/>
  <c r="U633" i="1"/>
  <c r="U734" i="1"/>
  <c r="V734" i="1" s="1"/>
  <c r="U337" i="1"/>
  <c r="V337" i="1" s="1"/>
  <c r="U681" i="1"/>
  <c r="V681" i="1" s="1"/>
  <c r="U416" i="1"/>
  <c r="U437" i="1"/>
  <c r="V437" i="1" s="1"/>
  <c r="U550" i="1"/>
  <c r="V550" i="1" s="1"/>
  <c r="U617" i="1"/>
  <c r="U517" i="1"/>
  <c r="V517" i="1" s="1"/>
  <c r="U573" i="1"/>
  <c r="V573" i="1" s="1"/>
  <c r="U387" i="1"/>
  <c r="V387" i="1" s="1"/>
  <c r="U409" i="1"/>
  <c r="V409" i="1" s="1"/>
  <c r="U611" i="1"/>
  <c r="V611" i="1" s="1"/>
  <c r="U651" i="1"/>
  <c r="V651" i="1" s="1"/>
  <c r="U152" i="1"/>
  <c r="V152" i="1" s="1"/>
  <c r="U264" i="1"/>
  <c r="V264" i="1" s="1"/>
  <c r="U346" i="1"/>
  <c r="V346" i="1" s="1"/>
  <c r="U434" i="1"/>
  <c r="V434" i="1" s="1"/>
  <c r="U589" i="1"/>
  <c r="V589" i="1" s="1"/>
  <c r="U682" i="1"/>
  <c r="V682" i="1" s="1"/>
  <c r="U764" i="1"/>
  <c r="V764" i="1" s="1"/>
  <c r="U477" i="1"/>
  <c r="V477" i="1" s="1"/>
  <c r="U112" i="1"/>
  <c r="V112" i="1" s="1"/>
  <c r="U172" i="1"/>
  <c r="V172" i="1" s="1"/>
  <c r="U224" i="1"/>
  <c r="V224" i="1" s="1"/>
  <c r="U276" i="1"/>
  <c r="V276" i="1" s="1"/>
  <c r="U336" i="1"/>
  <c r="V336" i="1" s="1"/>
  <c r="U394" i="1"/>
  <c r="V394" i="1" s="1"/>
  <c r="U389" i="1"/>
  <c r="V389" i="1" s="1"/>
  <c r="U411" i="1"/>
  <c r="V411" i="1" s="1"/>
  <c r="U530" i="1"/>
  <c r="V530" i="1" s="1"/>
  <c r="U551" i="1"/>
  <c r="V551" i="1" s="1"/>
  <c r="U98" i="1"/>
  <c r="V98" i="1" s="1"/>
  <c r="U210" i="1"/>
  <c r="V210" i="1" s="1"/>
  <c r="U240" i="1"/>
  <c r="V240" i="1" s="1"/>
  <c r="U364" i="1"/>
  <c r="V364" i="1" s="1"/>
  <c r="U646" i="1"/>
  <c r="V646" i="1" s="1"/>
  <c r="U782" i="1"/>
  <c r="V782" i="1" s="1"/>
  <c r="U179" i="1"/>
  <c r="V179" i="1" s="1"/>
  <c r="U231" i="1"/>
  <c r="V231" i="1" s="1"/>
  <c r="U359" i="1"/>
  <c r="U431" i="1"/>
  <c r="V431" i="1" s="1"/>
  <c r="U533" i="1"/>
  <c r="V533" i="1" s="1"/>
  <c r="U421" i="1"/>
  <c r="U555" i="1"/>
  <c r="V555" i="1" s="1"/>
  <c r="U100" i="1"/>
  <c r="V100" i="1" s="1"/>
  <c r="U130" i="1"/>
  <c r="V130" i="1" s="1"/>
  <c r="U190" i="1"/>
  <c r="V190" i="1" s="1"/>
  <c r="U242" i="1"/>
  <c r="V242" i="1" s="1"/>
  <c r="U451" i="1"/>
  <c r="V451" i="1" s="1"/>
  <c r="U457" i="1"/>
  <c r="V457" i="1" s="1"/>
  <c r="U474" i="1"/>
  <c r="V474" i="1" s="1"/>
  <c r="U528" i="1"/>
  <c r="V528" i="1" s="1"/>
  <c r="U361" i="1"/>
  <c r="V361" i="1" s="1"/>
  <c r="U433" i="1"/>
  <c r="V433" i="1" s="1"/>
  <c r="U470" i="1"/>
  <c r="V470" i="1" s="1"/>
  <c r="U521" i="1"/>
  <c r="V521" i="1" s="1"/>
  <c r="U549" i="1"/>
  <c r="V549" i="1" s="1"/>
  <c r="U644" i="1"/>
  <c r="V644" i="1" s="1"/>
  <c r="U340" i="1"/>
  <c r="V340" i="1" s="1"/>
  <c r="U197" i="1"/>
  <c r="V197" i="1" s="1"/>
  <c r="U249" i="1"/>
  <c r="V249" i="1" s="1"/>
  <c r="U335" i="1"/>
  <c r="U393" i="1"/>
  <c r="V393" i="1" s="1"/>
  <c r="U192" i="1"/>
  <c r="V192" i="1" s="1"/>
  <c r="U244" i="1"/>
  <c r="V244" i="1" s="1"/>
  <c r="U410" i="1"/>
  <c r="V410" i="1" s="1"/>
  <c r="U582" i="1"/>
  <c r="V582" i="1" s="1"/>
  <c r="U629" i="1"/>
  <c r="V629" i="1" s="1"/>
  <c r="U733" i="1"/>
  <c r="V733" i="1" s="1"/>
  <c r="U730" i="1"/>
  <c r="V730" i="1" s="1"/>
  <c r="U940" i="1"/>
  <c r="V940" i="1" s="1"/>
  <c r="U493" i="1"/>
  <c r="V493" i="1" s="1"/>
  <c r="U568" i="1"/>
  <c r="V568" i="1" s="1"/>
  <c r="U570" i="1"/>
  <c r="V570" i="1" s="1"/>
  <c r="U635" i="1"/>
  <c r="V635" i="1" s="1"/>
  <c r="U665" i="1"/>
  <c r="V665" i="1" s="1"/>
  <c r="U683" i="1"/>
  <c r="V683" i="1" s="1"/>
  <c r="U486" i="1"/>
  <c r="V486" i="1" s="1"/>
  <c r="U606" i="1"/>
  <c r="V606" i="1" s="1"/>
  <c r="U770" i="1"/>
  <c r="V770" i="1" s="1"/>
  <c r="U820" i="1"/>
  <c r="V820" i="1" s="1"/>
  <c r="U718" i="1"/>
  <c r="V718" i="1" s="1"/>
  <c r="U490" i="1"/>
  <c r="V490" i="1" s="1"/>
  <c r="U519" i="1"/>
  <c r="V519" i="1" s="1"/>
  <c r="U785" i="1"/>
  <c r="V785" i="1" s="1"/>
  <c r="U807" i="1"/>
  <c r="U897" i="1"/>
  <c r="V897" i="1" s="1"/>
  <c r="U544" i="1"/>
  <c r="V544" i="1" s="1"/>
  <c r="U613" i="1"/>
  <c r="V613" i="1" s="1"/>
  <c r="U703" i="1"/>
  <c r="V703" i="1" s="1"/>
  <c r="U909" i="1"/>
  <c r="V909" i="1" s="1"/>
  <c r="U837" i="1"/>
  <c r="V837" i="1" s="1"/>
  <c r="U571" i="1"/>
  <c r="V571" i="1" s="1"/>
  <c r="U587" i="1"/>
  <c r="V587" i="1" s="1"/>
  <c r="U666" i="1"/>
  <c r="V666" i="1" s="1"/>
  <c r="U694" i="1"/>
  <c r="V694" i="1" s="1"/>
  <c r="U872" i="1"/>
  <c r="V872" i="1" s="1"/>
  <c r="U569" i="1"/>
  <c r="V569" i="1" s="1"/>
  <c r="U821" i="1"/>
  <c r="V821" i="1" s="1"/>
  <c r="U669" i="1"/>
  <c r="V669" i="1" s="1"/>
  <c r="U489" i="1"/>
  <c r="V489" i="1" s="1"/>
  <c r="U512" i="1"/>
  <c r="U518" i="1"/>
  <c r="V518" i="1" s="1"/>
  <c r="U624" i="1"/>
  <c r="V624" i="1" s="1"/>
  <c r="U786" i="1"/>
  <c r="V786" i="1" s="1"/>
  <c r="U855" i="1"/>
  <c r="V855" i="1" s="1"/>
  <c r="U630" i="1"/>
  <c r="V630" i="1" s="1"/>
  <c r="U714" i="1"/>
  <c r="V714" i="1" s="1"/>
  <c r="U735" i="1"/>
  <c r="V735" i="1" s="1"/>
  <c r="U473" i="1"/>
  <c r="V473" i="1" s="1"/>
  <c r="U626" i="1"/>
  <c r="V626" i="1" s="1"/>
  <c r="U647" i="1"/>
  <c r="V647" i="1" s="1"/>
  <c r="U649" i="1"/>
  <c r="V649" i="1" s="1"/>
  <c r="U717" i="1"/>
  <c r="U746" i="1"/>
  <c r="V746" i="1" s="1"/>
  <c r="U769" i="1"/>
  <c r="V769" i="1" s="1"/>
  <c r="U802" i="1"/>
  <c r="V802" i="1" s="1"/>
  <c r="U491" i="1"/>
  <c r="V491" i="1" s="1"/>
  <c r="U612" i="1"/>
  <c r="V612" i="1" s="1"/>
  <c r="U676" i="1"/>
  <c r="V676" i="1" s="1"/>
  <c r="U678" i="1"/>
  <c r="V678" i="1" s="1"/>
  <c r="U888" i="1"/>
  <c r="V888" i="1" s="1"/>
  <c r="U911" i="1"/>
  <c r="V911" i="1" s="1"/>
  <c r="U967" i="1"/>
  <c r="V967" i="1" s="1"/>
  <c r="U1003" i="1"/>
  <c r="V1003" i="1" s="1"/>
  <c r="U1055" i="1"/>
  <c r="V1055" i="1" s="1"/>
  <c r="U893" i="1"/>
  <c r="U924" i="1"/>
  <c r="V924" i="1" s="1"/>
  <c r="U926" i="1"/>
  <c r="V926" i="1" s="1"/>
  <c r="U787" i="1"/>
  <c r="V787" i="1" s="1"/>
  <c r="U868" i="1"/>
  <c r="V868" i="1" s="1"/>
  <c r="U922" i="1"/>
  <c r="V922" i="1" s="1"/>
  <c r="U1066" i="1"/>
  <c r="V1066" i="1" s="1"/>
  <c r="U699" i="1"/>
  <c r="V699" i="1" s="1"/>
  <c r="U870" i="1"/>
  <c r="V870" i="1" s="1"/>
  <c r="U945" i="1"/>
  <c r="V945" i="1" s="1"/>
  <c r="U535" i="1"/>
  <c r="V535" i="1" s="1"/>
  <c r="U591" i="1"/>
  <c r="V591" i="1" s="1"/>
  <c r="U685" i="1"/>
  <c r="V685" i="1" s="1"/>
  <c r="U737" i="1"/>
  <c r="V737" i="1" s="1"/>
  <c r="U789" i="1"/>
  <c r="V789" i="1" s="1"/>
  <c r="U929" i="1"/>
  <c r="V929" i="1" s="1"/>
  <c r="U758" i="1"/>
  <c r="V758" i="1" s="1"/>
  <c r="U784" i="1"/>
  <c r="V784" i="1" s="1"/>
  <c r="U701" i="1"/>
  <c r="V701" i="1" s="1"/>
  <c r="U749" i="1"/>
  <c r="V749" i="1" s="1"/>
  <c r="U753" i="1"/>
  <c r="V753" i="1" s="1"/>
  <c r="U801" i="1"/>
  <c r="V801" i="1" s="1"/>
  <c r="U819" i="1"/>
  <c r="V819" i="1" s="1"/>
  <c r="U825" i="1"/>
  <c r="V825" i="1" s="1"/>
  <c r="U832" i="1"/>
  <c r="V832" i="1" s="1"/>
  <c r="U839" i="1"/>
  <c r="V839" i="1" s="1"/>
  <c r="U859" i="1"/>
  <c r="V859" i="1" s="1"/>
  <c r="U696" i="1"/>
  <c r="V696" i="1" s="1"/>
  <c r="U996" i="1"/>
  <c r="V996" i="1" s="1"/>
  <c r="U803" i="1"/>
  <c r="V803" i="1" s="1"/>
  <c r="U834" i="1"/>
  <c r="V834" i="1" s="1"/>
  <c r="U841" i="1"/>
  <c r="V841" i="1" s="1"/>
  <c r="U852" i="1"/>
  <c r="V852" i="1" s="1"/>
  <c r="U894" i="1"/>
  <c r="V894" i="1" s="1"/>
  <c r="U999" i="1"/>
  <c r="V999" i="1" s="1"/>
  <c r="U755" i="1"/>
  <c r="V755" i="1" s="1"/>
  <c r="U877" i="1"/>
  <c r="V877" i="1" s="1"/>
  <c r="U798" i="1"/>
  <c r="V798" i="1" s="1"/>
  <c r="U816" i="1"/>
  <c r="V816" i="1" s="1"/>
  <c r="U904" i="1"/>
  <c r="V904" i="1" s="1"/>
  <c r="U1159" i="1"/>
  <c r="V1159" i="1" s="1"/>
  <c r="U667" i="1"/>
  <c r="V667" i="1" s="1"/>
  <c r="U719" i="1"/>
  <c r="V719" i="1" s="1"/>
  <c r="U771" i="1"/>
  <c r="V771" i="1" s="1"/>
  <c r="U983" i="1"/>
  <c r="V983" i="1" s="1"/>
  <c r="U488" i="1"/>
  <c r="V488" i="1" s="1"/>
  <c r="U534" i="1"/>
  <c r="V534" i="1" s="1"/>
  <c r="U662" i="1"/>
  <c r="V662" i="1" s="1"/>
  <c r="U766" i="1"/>
  <c r="V766" i="1" s="1"/>
  <c r="U854" i="1"/>
  <c r="V854" i="1" s="1"/>
  <c r="U871" i="1"/>
  <c r="V871" i="1" s="1"/>
  <c r="U873" i="1"/>
  <c r="V873" i="1" s="1"/>
  <c r="U976" i="1"/>
  <c r="V976" i="1" s="1"/>
  <c r="U546" i="1"/>
  <c r="V546" i="1" s="1"/>
  <c r="U648" i="1"/>
  <c r="V648" i="1" s="1"/>
  <c r="U700" i="1"/>
  <c r="V700" i="1" s="1"/>
  <c r="U752" i="1"/>
  <c r="U800" i="1"/>
  <c r="V800" i="1" s="1"/>
  <c r="U942" i="1"/>
  <c r="V942" i="1" s="1"/>
  <c r="U944" i="1"/>
  <c r="V944" i="1" s="1"/>
  <c r="U962" i="1"/>
  <c r="U969" i="1"/>
  <c r="V969" i="1" s="1"/>
  <c r="U1068" i="1"/>
  <c r="V1068" i="1" s="1"/>
  <c r="U721" i="1"/>
  <c r="V721" i="1" s="1"/>
  <c r="U773" i="1"/>
  <c r="V773" i="1" s="1"/>
  <c r="U838" i="1"/>
  <c r="V838" i="1" s="1"/>
  <c r="U566" i="1"/>
  <c r="V566" i="1" s="1"/>
  <c r="U604" i="1"/>
  <c r="V604" i="1" s="1"/>
  <c r="U664" i="1"/>
  <c r="V664" i="1" s="1"/>
  <c r="U712" i="1"/>
  <c r="V712" i="1" s="1"/>
  <c r="U1199" i="1"/>
  <c r="V1199" i="1" s="1"/>
  <c r="U1000" i="1"/>
  <c r="V1000" i="1" s="1"/>
  <c r="U1034" i="1"/>
  <c r="V1034" i="1" s="1"/>
  <c r="U1363" i="1"/>
  <c r="V1363" i="1" s="1"/>
  <c r="U1085" i="1"/>
  <c r="V1085" i="1" s="1"/>
  <c r="U1101" i="1"/>
  <c r="V1101" i="1" s="1"/>
  <c r="U1175" i="1"/>
  <c r="V1175" i="1" s="1"/>
  <c r="U1180" i="1"/>
  <c r="V1180" i="1" s="1"/>
  <c r="U1016" i="1"/>
  <c r="V1016" i="1" s="1"/>
  <c r="U1290" i="1"/>
  <c r="V1290" i="1" s="1"/>
  <c r="U1233" i="1"/>
  <c r="V1233" i="1" s="1"/>
  <c r="U947" i="1"/>
  <c r="V947" i="1" s="1"/>
  <c r="U981" i="1"/>
  <c r="V981" i="1" s="1"/>
  <c r="U1107" i="1"/>
  <c r="V1107" i="1" s="1"/>
  <c r="U1164" i="1"/>
  <c r="V1164" i="1" s="1"/>
  <c r="U1183" i="1"/>
  <c r="V1183" i="1" s="1"/>
  <c r="U1113" i="1"/>
  <c r="V1113" i="1" s="1"/>
  <c r="U1149" i="1"/>
  <c r="V1149" i="1" s="1"/>
  <c r="U906" i="1"/>
  <c r="V906" i="1" s="1"/>
  <c r="U928" i="1"/>
  <c r="V928" i="1" s="1"/>
  <c r="U966" i="1"/>
  <c r="V966" i="1" s="1"/>
  <c r="U1049" i="1"/>
  <c r="V1049" i="1" s="1"/>
  <c r="U1070" i="1"/>
  <c r="V1070" i="1" s="1"/>
  <c r="U978" i="1"/>
  <c r="V978" i="1" s="1"/>
  <c r="U1033" i="1"/>
  <c r="V1033" i="1" s="1"/>
  <c r="U1188" i="1"/>
  <c r="V1188" i="1" s="1"/>
  <c r="U857" i="1"/>
  <c r="V857" i="1" s="1"/>
  <c r="U913" i="1"/>
  <c r="V913" i="1" s="1"/>
  <c r="U1051" i="1"/>
  <c r="V1051" i="1" s="1"/>
  <c r="U1082" i="1"/>
  <c r="U1130" i="1"/>
  <c r="V1130" i="1" s="1"/>
  <c r="U1158" i="1"/>
  <c r="V1158" i="1" s="1"/>
  <c r="U1001" i="1"/>
  <c r="V1001" i="1" s="1"/>
  <c r="U1015" i="1"/>
  <c r="V1015" i="1" s="1"/>
  <c r="U925" i="1"/>
  <c r="V925" i="1" s="1"/>
  <c r="U985" i="1"/>
  <c r="V985" i="1" s="1"/>
  <c r="U1035" i="1"/>
  <c r="V1035" i="1" s="1"/>
  <c r="U1044" i="1"/>
  <c r="V1044" i="1" s="1"/>
  <c r="U1086" i="1"/>
  <c r="V1086" i="1" s="1"/>
  <c r="U1128" i="1"/>
  <c r="V1128" i="1" s="1"/>
  <c r="U1193" i="1"/>
  <c r="V1193" i="1" s="1"/>
  <c r="U1325" i="1"/>
  <c r="V1325" i="1" s="1"/>
  <c r="U1398" i="1"/>
  <c r="V1398" i="1" s="1"/>
  <c r="U1110" i="1"/>
  <c r="V1110" i="1" s="1"/>
  <c r="U910" i="1"/>
  <c r="V910" i="1" s="1"/>
  <c r="U1017" i="1"/>
  <c r="V1017" i="1" s="1"/>
  <c r="U1030" i="1"/>
  <c r="V1030" i="1" s="1"/>
  <c r="U1037" i="1"/>
  <c r="V1037" i="1" s="1"/>
  <c r="U1046" i="1"/>
  <c r="V1046" i="1" s="1"/>
  <c r="U1112" i="1"/>
  <c r="V1112" i="1" s="1"/>
  <c r="U1141" i="1"/>
  <c r="V1141" i="1" s="1"/>
  <c r="U1270" i="1"/>
  <c r="V1270" i="1" s="1"/>
  <c r="U927" i="1"/>
  <c r="V927" i="1" s="1"/>
  <c r="U965" i="1"/>
  <c r="V965" i="1" s="1"/>
  <c r="U1067" i="1"/>
  <c r="V1067" i="1" s="1"/>
  <c r="U1148" i="1"/>
  <c r="V1148" i="1" s="1"/>
  <c r="U1299" i="1"/>
  <c r="V1299" i="1" s="1"/>
  <c r="U1391" i="1"/>
  <c r="V1391" i="1" s="1"/>
  <c r="U982" i="1"/>
  <c r="V982" i="1" s="1"/>
  <c r="U998" i="1"/>
  <c r="V998" i="1" s="1"/>
  <c r="U1012" i="1"/>
  <c r="V1012" i="1" s="1"/>
  <c r="U1019" i="1"/>
  <c r="V1019" i="1" s="1"/>
  <c r="U1089" i="1"/>
  <c r="U1254" i="1"/>
  <c r="V1254" i="1" s="1"/>
  <c r="U895" i="1"/>
  <c r="V895" i="1" s="1"/>
  <c r="U943" i="1"/>
  <c r="V943" i="1" s="1"/>
  <c r="U1069" i="1"/>
  <c r="V1069" i="1" s="1"/>
  <c r="U1114" i="1"/>
  <c r="V1114" i="1" s="1"/>
  <c r="U1235" i="1"/>
  <c r="V1235" i="1" s="1"/>
  <c r="U1251" i="1"/>
  <c r="V1251" i="1" s="1"/>
  <c r="U856" i="1"/>
  <c r="V856" i="1" s="1"/>
  <c r="U886" i="1"/>
  <c r="V886" i="1" s="1"/>
  <c r="U972" i="1"/>
  <c r="V972" i="1" s="1"/>
  <c r="U1071" i="1"/>
  <c r="V1071" i="1" s="1"/>
  <c r="U1091" i="1"/>
  <c r="V1091" i="1" s="1"/>
  <c r="U1131" i="1"/>
  <c r="V1131" i="1" s="1"/>
  <c r="U1341" i="1"/>
  <c r="V1341" i="1" s="1"/>
  <c r="U1513" i="1"/>
  <c r="V1513" i="1" s="1"/>
  <c r="U1238" i="1"/>
  <c r="V1238" i="1" s="1"/>
  <c r="U1240" i="1"/>
  <c r="V1240" i="1" s="1"/>
  <c r="U1256" i="1"/>
  <c r="V1256" i="1" s="1"/>
  <c r="U1318" i="1"/>
  <c r="V1318" i="1" s="1"/>
  <c r="U1258" i="1"/>
  <c r="V1258" i="1" s="1"/>
  <c r="U1223" i="1"/>
  <c r="V1223" i="1" s="1"/>
  <c r="U1308" i="1"/>
  <c r="V1308" i="1" s="1"/>
  <c r="U1166" i="1"/>
  <c r="V1166" i="1" s="1"/>
  <c r="U1198" i="1"/>
  <c r="V1198" i="1" s="1"/>
  <c r="U1310" i="1"/>
  <c r="V1310" i="1" s="1"/>
  <c r="U1379" i="1"/>
  <c r="V1379" i="1" s="1"/>
  <c r="U1355" i="1"/>
  <c r="V1355" i="1" s="1"/>
  <c r="U1362" i="1"/>
  <c r="U1433" i="1"/>
  <c r="V1433" i="1" s="1"/>
  <c r="U1427" i="1"/>
  <c r="V1427" i="1" s="1"/>
  <c r="U1140" i="1"/>
  <c r="V1140" i="1" s="1"/>
  <c r="U1319" i="1"/>
  <c r="V1319" i="1" s="1"/>
  <c r="U1443" i="1"/>
  <c r="V1443" i="1" s="1"/>
  <c r="U1257" i="1"/>
  <c r="V1257" i="1" s="1"/>
  <c r="U1332" i="1"/>
  <c r="V1332" i="1" s="1"/>
  <c r="U1449" i="1"/>
  <c r="V1449" i="1" s="1"/>
  <c r="U1466" i="1"/>
  <c r="V1466" i="1" s="1"/>
  <c r="U1125" i="1"/>
  <c r="V1125" i="1" s="1"/>
  <c r="U1218" i="1"/>
  <c r="V1218" i="1" s="1"/>
  <c r="U1267" i="1"/>
  <c r="V1267" i="1" s="1"/>
  <c r="U1309" i="1"/>
  <c r="V1309" i="1" s="1"/>
  <c r="U1315" i="1"/>
  <c r="V1315" i="1" s="1"/>
  <c r="U1339" i="1"/>
  <c r="V1339" i="1" s="1"/>
  <c r="U1345" i="1"/>
  <c r="V1345" i="1" s="1"/>
  <c r="U1410" i="1"/>
  <c r="V1410" i="1" s="1"/>
  <c r="U1064" i="1"/>
  <c r="V1064" i="1" s="1"/>
  <c r="U1120" i="1"/>
  <c r="U1165" i="1"/>
  <c r="V1165" i="1" s="1"/>
  <c r="U1182" i="1"/>
  <c r="V1182" i="1" s="1"/>
  <c r="U1263" i="1"/>
  <c r="V1263" i="1" s="1"/>
  <c r="U1303" i="1"/>
  <c r="V1303" i="1" s="1"/>
  <c r="U1413" i="1"/>
  <c r="V1413" i="1" s="1"/>
  <c r="U1285" i="1"/>
  <c r="V1285" i="1" s="1"/>
  <c r="U1305" i="1"/>
  <c r="V1305" i="1" s="1"/>
  <c r="U1397" i="1"/>
  <c r="V1397" i="1" s="1"/>
  <c r="U1002" i="1"/>
  <c r="V1002" i="1" s="1"/>
  <c r="U1028" i="1"/>
  <c r="V1028" i="1" s="1"/>
  <c r="U1050" i="1"/>
  <c r="V1050" i="1" s="1"/>
  <c r="U1184" i="1"/>
  <c r="V1184" i="1" s="1"/>
  <c r="U1222" i="1"/>
  <c r="V1222" i="1" s="1"/>
  <c r="U1273" i="1"/>
  <c r="V1273" i="1" s="1"/>
  <c r="U1552" i="1"/>
  <c r="V1552" i="1" s="1"/>
  <c r="U1572" i="1"/>
  <c r="V1572" i="1" s="1"/>
  <c r="U1825" i="1"/>
  <c r="V1825" i="1" s="1"/>
  <c r="U1464" i="1"/>
  <c r="V1464" i="1" s="1"/>
  <c r="U1503" i="1"/>
  <c r="V1503" i="1" s="1"/>
  <c r="U1598" i="1"/>
  <c r="V1598" i="1" s="1"/>
  <c r="U1715" i="1"/>
  <c r="V1715" i="1" s="1"/>
  <c r="U1542" i="1"/>
  <c r="V1542" i="1" s="1"/>
  <c r="U1577" i="1"/>
  <c r="V1577" i="1" s="1"/>
  <c r="U1686" i="1"/>
  <c r="V1686" i="1" s="1"/>
  <c r="U1533" i="1"/>
  <c r="V1533" i="1" s="1"/>
  <c r="U1621" i="1"/>
  <c r="V1621" i="1" s="1"/>
  <c r="U1629" i="1"/>
  <c r="V1629" i="1" s="1"/>
  <c r="U1461" i="1"/>
  <c r="V1461" i="1" s="1"/>
  <c r="U1483" i="1"/>
  <c r="V1483" i="1" s="1"/>
  <c r="U1677" i="1"/>
  <c r="V1677" i="1" s="1"/>
  <c r="U1761" i="1"/>
  <c r="V1761" i="1" s="1"/>
  <c r="U1789" i="1"/>
  <c r="V1789" i="1" s="1"/>
  <c r="U1575" i="1"/>
  <c r="V1575" i="1" s="1"/>
  <c r="U1412" i="1"/>
  <c r="V1412" i="1" s="1"/>
  <c r="U1442" i="1"/>
  <c r="V1442" i="1" s="1"/>
  <c r="U1468" i="1"/>
  <c r="V1468" i="1" s="1"/>
  <c r="U1407" i="1"/>
  <c r="V1407" i="1" s="1"/>
  <c r="U1713" i="1"/>
  <c r="V1713" i="1" s="1"/>
  <c r="U1402" i="1"/>
  <c r="V1402" i="1" s="1"/>
  <c r="U1432" i="1"/>
  <c r="V1432" i="1" s="1"/>
  <c r="U1480" i="1"/>
  <c r="V1480" i="1" s="1"/>
  <c r="U1547" i="1"/>
  <c r="V1547" i="1" s="1"/>
  <c r="U1551" i="1"/>
  <c r="V1551" i="1" s="1"/>
  <c r="U1553" i="1"/>
  <c r="V1553" i="1" s="1"/>
  <c r="U1614" i="1"/>
  <c r="V1614" i="1" s="1"/>
  <c r="U1560" i="1"/>
  <c r="V1560" i="1" s="1"/>
  <c r="U1497" i="1"/>
  <c r="V1497" i="1" s="1"/>
  <c r="U1556" i="1"/>
  <c r="U1824" i="1"/>
  <c r="V1824" i="1" s="1"/>
  <c r="U1832" i="1"/>
  <c r="V1832" i="1" s="1"/>
  <c r="U1322" i="1"/>
  <c r="V1322" i="1" s="1"/>
  <c r="U1378" i="1"/>
  <c r="V1378" i="1" s="1"/>
  <c r="U1482" i="1"/>
  <c r="V1482" i="1" s="1"/>
  <c r="U1622" i="1"/>
  <c r="V1622" i="1" s="1"/>
  <c r="U1630" i="1"/>
  <c r="V1630" i="1" s="1"/>
  <c r="U1655" i="1"/>
  <c r="V1655" i="1" s="1"/>
  <c r="U1179" i="1"/>
  <c r="U1217" i="1"/>
  <c r="V1217" i="1" s="1"/>
  <c r="U1239" i="1"/>
  <c r="V1239" i="1" s="1"/>
  <c r="U1291" i="1"/>
  <c r="V1291" i="1" s="1"/>
  <c r="U1373" i="1"/>
  <c r="V1373" i="1" s="1"/>
  <c r="U1477" i="1"/>
  <c r="V1477" i="1" s="1"/>
  <c r="U1612" i="1"/>
  <c r="U1658" i="1"/>
  <c r="V1658" i="1" s="1"/>
  <c r="U1196" i="1"/>
  <c r="V1196" i="1" s="1"/>
  <c r="U1342" i="1"/>
  <c r="V1342" i="1" s="1"/>
  <c r="U1394" i="1"/>
  <c r="V1394" i="1" s="1"/>
  <c r="U1472" i="1"/>
  <c r="V1472" i="1" s="1"/>
  <c r="U1467" i="1"/>
  <c r="V1467" i="1" s="1"/>
  <c r="U1711" i="1"/>
  <c r="V1711" i="1" s="1"/>
  <c r="U1250" i="1"/>
  <c r="V1250" i="1" s="1"/>
  <c r="U1272" i="1"/>
  <c r="V1272" i="1" s="1"/>
  <c r="U1324" i="1"/>
  <c r="V1324" i="1" s="1"/>
  <c r="U1328" i="1"/>
  <c r="U1380" i="1"/>
  <c r="V1380" i="1" s="1"/>
  <c r="U1522" i="1"/>
  <c r="V1522" i="1" s="1"/>
  <c r="U1524" i="1"/>
  <c r="V1524" i="1" s="1"/>
  <c r="U1574" i="1"/>
  <c r="V1574" i="1" s="1"/>
  <c r="U1593" i="1"/>
  <c r="V1593" i="1" s="1"/>
  <c r="U1607" i="1"/>
  <c r="V1607" i="1" s="1"/>
  <c r="U1767" i="1"/>
  <c r="V1767" i="1" s="1"/>
  <c r="U1774" i="1"/>
  <c r="V1774" i="1" s="1"/>
  <c r="U1262" i="1"/>
  <c r="V1262" i="1" s="1"/>
  <c r="U1344" i="1"/>
  <c r="V1344" i="1" s="1"/>
  <c r="U1396" i="1"/>
  <c r="V1396" i="1" s="1"/>
  <c r="U1448" i="1"/>
  <c r="V1448" i="1" s="1"/>
  <c r="U1452" i="1"/>
  <c r="U1526" i="1"/>
  <c r="V1526" i="1" s="1"/>
  <c r="U1626" i="1"/>
  <c r="V1626" i="1" s="1"/>
  <c r="U1730" i="1"/>
  <c r="V1730" i="1" s="1"/>
  <c r="U1787" i="1"/>
  <c r="V1787" i="1" s="1"/>
  <c r="U1859" i="1"/>
  <c r="V1859" i="1" s="1"/>
  <c r="U1708" i="1"/>
  <c r="V1708" i="1" s="1"/>
  <c r="U1809" i="1"/>
  <c r="V1809" i="1" s="1"/>
  <c r="U1847" i="1"/>
  <c r="V1847" i="1" s="1"/>
  <c r="U1544" i="1"/>
  <c r="V1544" i="1" s="1"/>
  <c r="U1935" i="1"/>
  <c r="V1935" i="1" s="1"/>
  <c r="U1820" i="1"/>
  <c r="V1820" i="1" s="1"/>
  <c r="U1733" i="1"/>
  <c r="V1733" i="1" s="1"/>
  <c r="U1799" i="1"/>
  <c r="U1685" i="1"/>
  <c r="V1685" i="1" s="1"/>
  <c r="U1502" i="1"/>
  <c r="V1502" i="1" s="1"/>
  <c r="U1532" i="1"/>
  <c r="U1605" i="1"/>
  <c r="V1605" i="1" s="1"/>
  <c r="U1683" i="1"/>
  <c r="V1683" i="1" s="1"/>
  <c r="U1731" i="1"/>
  <c r="V1731" i="1" s="1"/>
  <c r="U1757" i="1"/>
  <c r="V1757" i="1" s="1"/>
  <c r="U1589" i="1"/>
  <c r="V1589" i="1" s="1"/>
  <c r="U1649" i="1"/>
  <c r="V1649" i="1" s="1"/>
  <c r="U1653" i="1"/>
  <c r="V1653" i="1" s="1"/>
  <c r="U1773" i="1"/>
  <c r="V1773" i="1" s="1"/>
  <c r="U1920" i="1"/>
  <c r="V1920" i="1" s="1"/>
  <c r="U1538" i="1"/>
  <c r="V1538" i="1" s="1"/>
  <c r="U1600" i="1"/>
  <c r="V1600" i="1" s="1"/>
  <c r="U1625" i="1"/>
  <c r="U1709" i="1"/>
  <c r="V1709" i="1" s="1"/>
  <c r="U1729" i="1"/>
  <c r="V1729" i="1" s="1"/>
  <c r="U1764" i="1"/>
  <c r="V1764" i="1" s="1"/>
  <c r="U1766" i="1"/>
  <c r="V1766" i="1" s="1"/>
  <c r="U1815" i="1"/>
  <c r="V1815" i="1" s="1"/>
  <c r="U1525" i="1"/>
  <c r="V1525" i="1" s="1"/>
  <c r="U1559" i="1"/>
  <c r="V1559" i="1" s="1"/>
  <c r="U1571" i="1"/>
  <c r="V1571" i="1" s="1"/>
  <c r="U1659" i="1"/>
  <c r="V1659" i="1" s="1"/>
  <c r="U1727" i="1"/>
  <c r="V1727" i="1" s="1"/>
  <c r="U1591" i="1"/>
  <c r="V1591" i="1" s="1"/>
  <c r="U1609" i="1"/>
  <c r="V1609" i="1" s="1"/>
  <c r="U1858" i="1"/>
  <c r="V1858" i="1" s="1"/>
  <c r="U1637" i="1"/>
  <c r="U1813" i="1"/>
  <c r="V1813" i="1" s="1"/>
  <c r="U1949" i="1"/>
  <c r="U2111" i="1"/>
  <c r="V2111" i="1" s="1"/>
  <c r="U1676" i="1"/>
  <c r="V1676" i="1" s="1"/>
  <c r="U1844" i="1"/>
  <c r="V1844" i="1" s="1"/>
  <c r="U2019" i="1"/>
  <c r="V2019" i="1" s="1"/>
  <c r="U1772" i="1"/>
  <c r="V1772" i="1" s="1"/>
  <c r="U2044" i="1"/>
  <c r="V2044" i="1" s="1"/>
  <c r="U1905" i="1"/>
  <c r="V1905" i="1" s="1"/>
  <c r="U1907" i="1"/>
  <c r="V1907" i="1" s="1"/>
  <c r="U1831" i="1"/>
  <c r="V1831" i="1" s="1"/>
  <c r="U1860" i="1"/>
  <c r="V1860" i="1" s="1"/>
  <c r="U2216" i="1"/>
  <c r="V2216" i="1" s="1"/>
  <c r="U1699" i="1"/>
  <c r="V1699" i="1" s="1"/>
  <c r="U1721" i="1"/>
  <c r="V1721" i="1" s="1"/>
  <c r="U1746" i="1"/>
  <c r="V1746" i="1" s="1"/>
  <c r="U1781" i="1"/>
  <c r="V1781" i="1" s="1"/>
  <c r="U1911" i="1"/>
  <c r="V1911" i="1" s="1"/>
  <c r="U1886" i="1"/>
  <c r="V1886" i="1" s="1"/>
  <c r="U2177" i="1"/>
  <c r="V2177" i="1" s="1"/>
  <c r="U1706" i="1"/>
  <c r="V1706" i="1" s="1"/>
  <c r="U1732" i="1"/>
  <c r="V1732" i="1" s="1"/>
  <c r="U1796" i="1"/>
  <c r="V1796" i="1" s="1"/>
  <c r="U1811" i="1"/>
  <c r="V1811" i="1" s="1"/>
  <c r="U1893" i="1"/>
  <c r="V1893" i="1" s="1"/>
  <c r="U1972" i="1"/>
  <c r="V1972" i="1" s="1"/>
  <c r="U2189" i="1"/>
  <c r="V2189" i="1" s="1"/>
  <c r="U1933" i="1"/>
  <c r="V1933" i="1" s="1"/>
  <c r="U1916" i="1"/>
  <c r="V1916" i="1" s="1"/>
  <c r="U1931" i="1"/>
  <c r="V1931" i="1" s="1"/>
  <c r="U1974" i="1"/>
  <c r="V1974" i="1" s="1"/>
  <c r="U2033" i="1"/>
  <c r="V2033" i="1" s="1"/>
  <c r="U2209" i="1"/>
  <c r="V2209" i="1" s="1"/>
  <c r="U1997" i="1"/>
  <c r="V1997" i="1" s="1"/>
  <c r="U2096" i="1"/>
  <c r="V2096" i="1" s="1"/>
  <c r="U2163" i="1"/>
  <c r="V2163" i="1" s="1"/>
  <c r="U2036" i="1"/>
  <c r="V2036" i="1" s="1"/>
  <c r="U2038" i="1"/>
  <c r="V2038" i="1" s="1"/>
  <c r="U1861" i="1"/>
  <c r="V1861" i="1" s="1"/>
  <c r="U1883" i="1"/>
  <c r="V1883" i="1" s="1"/>
  <c r="U1902" i="1"/>
  <c r="V1902" i="1" s="1"/>
  <c r="U1904" i="1"/>
  <c r="V1904" i="1" s="1"/>
  <c r="U2053" i="1"/>
  <c r="V2053" i="1" s="1"/>
  <c r="U1808" i="1"/>
  <c r="V1808" i="1" s="1"/>
  <c r="U1865" i="1"/>
  <c r="V1865" i="1" s="1"/>
  <c r="U1568" i="1"/>
  <c r="V1568" i="1" s="1"/>
  <c r="U1968" i="1"/>
  <c r="V1968" i="1" s="1"/>
  <c r="U1795" i="1"/>
  <c r="V1795" i="1" s="1"/>
  <c r="U1867" i="1"/>
  <c r="V1867" i="1" s="1"/>
  <c r="U1966" i="1"/>
  <c r="V1966" i="1" s="1"/>
  <c r="U2051" i="1"/>
  <c r="V2051" i="1" s="1"/>
  <c r="U1644" i="1"/>
  <c r="V1644" i="1" s="1"/>
  <c r="U1700" i="1"/>
  <c r="V1700" i="1" s="1"/>
  <c r="U1834" i="1"/>
  <c r="V1834" i="1" s="1"/>
  <c r="U1938" i="1"/>
  <c r="V1938" i="1" s="1"/>
  <c r="U2083" i="1"/>
  <c r="V2083" i="1" s="1"/>
  <c r="U1695" i="1"/>
  <c r="V1695" i="1" s="1"/>
  <c r="U1788" i="1"/>
  <c r="V1788" i="1" s="1"/>
  <c r="U1975" i="1"/>
  <c r="V1975" i="1" s="1"/>
  <c r="U1756" i="1"/>
  <c r="U1777" i="1"/>
  <c r="V1777" i="1" s="1"/>
  <c r="U1951" i="1"/>
  <c r="V1951" i="1" s="1"/>
  <c r="U2004" i="1"/>
  <c r="V2004" i="1" s="1"/>
  <c r="U2032" i="1"/>
  <c r="V2032" i="1" s="1"/>
  <c r="U2089" i="1"/>
  <c r="V2089" i="1" s="1"/>
  <c r="U2195" i="1"/>
  <c r="V2195" i="1" s="1"/>
  <c r="U2351" i="1"/>
  <c r="V2351" i="1" s="1"/>
  <c r="U2200" i="1"/>
  <c r="V2200" i="1" s="1"/>
  <c r="U2048" i="1"/>
  <c r="V2048" i="1" s="1"/>
  <c r="U2106" i="1"/>
  <c r="V2106" i="1" s="1"/>
  <c r="U2068" i="1"/>
  <c r="V2068" i="1" s="1"/>
  <c r="U2469" i="1"/>
  <c r="V2469" i="1" s="1"/>
  <c r="U2210" i="1"/>
  <c r="V2210" i="1" s="1"/>
  <c r="U2330" i="1"/>
  <c r="V2330" i="1" s="1"/>
  <c r="U2194" i="1"/>
  <c r="V2194" i="1" s="1"/>
  <c r="U2415" i="1"/>
  <c r="V2415" i="1" s="1"/>
  <c r="U2224" i="1"/>
  <c r="V2224" i="1" s="1"/>
  <c r="U2300" i="1"/>
  <c r="V2300" i="1" s="1"/>
  <c r="U1836" i="1"/>
  <c r="V1836" i="1" s="1"/>
  <c r="U2324" i="1"/>
  <c r="V2324" i="1" s="1"/>
  <c r="U2072" i="1"/>
  <c r="V2072" i="1" s="1"/>
  <c r="U1848" i="1"/>
  <c r="V1848" i="1" s="1"/>
  <c r="U2054" i="1"/>
  <c r="V2054" i="1" s="1"/>
  <c r="U2085" i="1"/>
  <c r="V2085" i="1" s="1"/>
  <c r="U2213" i="1"/>
  <c r="V2213" i="1" s="1"/>
  <c r="U1791" i="1"/>
  <c r="V1791" i="1" s="1"/>
  <c r="U1843" i="1"/>
  <c r="V1843" i="1" s="1"/>
  <c r="U1937" i="1"/>
  <c r="V1937" i="1" s="1"/>
  <c r="U1971" i="1"/>
  <c r="U2060" i="1"/>
  <c r="V2060" i="1" s="1"/>
  <c r="U2105" i="1"/>
  <c r="V2105" i="1" s="1"/>
  <c r="U2112" i="1"/>
  <c r="V2112" i="1" s="1"/>
  <c r="U2176" i="1"/>
  <c r="V2176" i="1" s="1"/>
  <c r="U2199" i="1"/>
  <c r="V2199" i="1" s="1"/>
  <c r="U2321" i="1"/>
  <c r="V2321" i="1" s="1"/>
  <c r="U1812" i="1"/>
  <c r="V1812" i="1" s="1"/>
  <c r="U2030" i="1"/>
  <c r="V2030" i="1" s="1"/>
  <c r="U2067" i="1"/>
  <c r="V2067" i="1" s="1"/>
  <c r="U2074" i="1"/>
  <c r="V2074" i="1" s="1"/>
  <c r="W2074" i="1" s="1"/>
  <c r="U1957" i="1"/>
  <c r="U2017" i="1"/>
  <c r="V2017" i="1" s="1"/>
  <c r="U2049" i="1"/>
  <c r="V2049" i="1" s="1"/>
  <c r="U2137" i="1"/>
  <c r="V2137" i="1" s="1"/>
  <c r="U1914" i="1"/>
  <c r="U1944" i="1"/>
  <c r="V1944" i="1" s="1"/>
  <c r="U2107" i="1"/>
  <c r="V2107" i="1" s="1"/>
  <c r="U2139" i="1"/>
  <c r="V2139" i="1" s="1"/>
  <c r="U2186" i="1"/>
  <c r="V2186" i="1" s="1"/>
  <c r="U2353" i="1"/>
  <c r="V2353" i="1" s="1"/>
  <c r="U2003" i="1"/>
  <c r="V2003" i="1" s="1"/>
  <c r="U2037" i="1"/>
  <c r="V2037" i="1" s="1"/>
  <c r="U2311" i="1"/>
  <c r="V2311" i="1" s="1"/>
  <c r="U2367" i="1"/>
  <c r="V2367" i="1" s="1"/>
  <c r="U2465" i="1"/>
  <c r="V2465" i="1" s="1"/>
  <c r="U2292" i="1"/>
  <c r="V2292" i="1" s="1"/>
  <c r="U2346" i="1"/>
  <c r="U2501" i="1"/>
  <c r="V2501" i="1" s="1"/>
  <c r="U2135" i="1"/>
  <c r="U2257" i="1"/>
  <c r="U2391" i="1"/>
  <c r="V2391" i="1" s="1"/>
  <c r="U2589" i="1"/>
  <c r="V2589" i="1" s="1"/>
  <c r="U2521" i="1"/>
  <c r="V2521" i="1" s="1"/>
  <c r="U2541" i="1"/>
  <c r="V2541" i="1" s="1"/>
  <c r="U2354" i="1"/>
  <c r="V2354" i="1" s="1"/>
  <c r="U2368" i="1"/>
  <c r="V2368" i="1" s="1"/>
  <c r="U2191" i="1"/>
  <c r="V2191" i="1" s="1"/>
  <c r="U2444" i="1"/>
  <c r="V2444" i="1" s="1"/>
  <c r="U2492" i="1"/>
  <c r="V2492" i="1" s="1"/>
  <c r="U2394" i="1"/>
  <c r="V2394" i="1" s="1"/>
  <c r="U2629" i="1"/>
  <c r="V2629" i="1" s="1"/>
  <c r="U2202" i="1"/>
  <c r="V2202" i="1" s="1"/>
  <c r="U2424" i="1"/>
  <c r="V2424" i="1" s="1"/>
  <c r="U2482" i="1"/>
  <c r="V2482" i="1" s="1"/>
  <c r="U2539" i="1"/>
  <c r="V2539" i="1" s="1"/>
  <c r="U2303" i="1"/>
  <c r="U2347" i="1"/>
  <c r="V2347" i="1" s="1"/>
  <c r="U2421" i="1"/>
  <c r="V2421" i="1" s="1"/>
  <c r="U2374" i="1"/>
  <c r="V2374" i="1" s="1"/>
  <c r="U2246" i="1"/>
  <c r="V2246" i="1" s="1"/>
  <c r="U2296" i="1"/>
  <c r="V2296" i="1" s="1"/>
  <c r="U2136" i="1"/>
  <c r="V2136" i="1" s="1"/>
  <c r="U2442" i="1"/>
  <c r="V2442" i="1" s="1"/>
  <c r="U2071" i="1"/>
  <c r="V2071" i="1" s="1"/>
  <c r="U2127" i="1"/>
  <c r="V2127" i="1" s="1"/>
  <c r="U2188" i="1"/>
  <c r="V2188" i="1" s="1"/>
  <c r="U2276" i="1"/>
  <c r="U2173" i="1"/>
  <c r="V2173" i="1" s="1"/>
  <c r="U2249" i="1"/>
  <c r="U2281" i="1"/>
  <c r="U2401" i="1"/>
  <c r="V2401" i="1" s="1"/>
  <c r="W2401" i="1" s="1"/>
  <c r="U2270" i="1"/>
  <c r="V2270" i="1" s="1"/>
  <c r="U2328" i="1"/>
  <c r="V2328" i="1" s="1"/>
  <c r="U2413" i="1"/>
  <c r="V2413" i="1" s="1"/>
  <c r="U2593" i="1"/>
  <c r="V2593" i="1" s="1"/>
  <c r="U2638" i="1"/>
  <c r="U2694" i="1"/>
  <c r="V2694" i="1" s="1"/>
  <c r="U2435" i="1"/>
  <c r="V2435" i="1" s="1"/>
  <c r="U2525" i="1"/>
  <c r="V2525" i="1" s="1"/>
  <c r="U2305" i="1"/>
  <c r="V2305" i="1" s="1"/>
  <c r="U2687" i="1"/>
  <c r="V2687" i="1" s="1"/>
  <c r="U2316" i="1"/>
  <c r="U2307" i="1"/>
  <c r="V2307" i="1" s="1"/>
  <c r="U2377" i="1"/>
  <c r="V2377" i="1" s="1"/>
  <c r="U2400" i="1"/>
  <c r="V2400" i="1" s="1"/>
  <c r="U2523" i="1"/>
  <c r="V2523" i="1" s="1"/>
  <c r="U2707" i="1"/>
  <c r="V2707" i="1" s="1"/>
  <c r="U2327" i="1"/>
  <c r="V2327" i="1" s="1"/>
  <c r="U2529" i="1"/>
  <c r="V2529" i="1" s="1"/>
  <c r="U2379" i="1"/>
  <c r="V2379" i="1" s="1"/>
  <c r="U2155" i="1"/>
  <c r="V2155" i="1" s="1"/>
  <c r="U2185" i="1"/>
  <c r="U2356" i="1"/>
  <c r="V2356" i="1" s="1"/>
  <c r="U2419" i="1"/>
  <c r="U2471" i="1"/>
  <c r="V2471" i="1" s="1"/>
  <c r="U2615" i="1"/>
  <c r="V2615" i="1" s="1"/>
  <c r="U2363" i="1"/>
  <c r="V2363" i="1" s="1"/>
  <c r="U2436" i="1"/>
  <c r="V2436" i="1" s="1"/>
  <c r="U2507" i="1"/>
  <c r="V2507" i="1" s="1"/>
  <c r="U2609" i="1"/>
  <c r="V2609" i="1" s="1"/>
  <c r="W2609" i="1" s="1"/>
  <c r="U2171" i="1"/>
  <c r="V2171" i="1" s="1"/>
  <c r="U2243" i="1"/>
  <c r="U2263" i="1"/>
  <c r="U2291" i="1"/>
  <c r="U2329" i="1"/>
  <c r="V2329" i="1" s="1"/>
  <c r="U2333" i="1"/>
  <c r="U2381" i="1"/>
  <c r="V2381" i="1" s="1"/>
  <c r="U2383" i="1"/>
  <c r="V2383" i="1" s="1"/>
  <c r="U2412" i="1"/>
  <c r="V2412" i="1" s="1"/>
  <c r="U2456" i="1"/>
  <c r="V2456" i="1" s="1"/>
  <c r="U2770" i="1"/>
  <c r="V2770" i="1" s="1"/>
  <c r="U2580" i="1"/>
  <c r="V2580" i="1" s="1"/>
  <c r="U2608" i="1"/>
  <c r="U2613" i="1"/>
  <c r="V2613" i="1" s="1"/>
  <c r="U2764" i="1"/>
  <c r="V2764" i="1" s="1"/>
  <c r="U2664" i="1"/>
  <c r="V2664" i="1" s="1"/>
  <c r="U2398" i="1"/>
  <c r="V2398" i="1" s="1"/>
  <c r="U2515" i="1"/>
  <c r="V2515" i="1" s="1"/>
  <c r="U2651" i="1"/>
  <c r="V2651" i="1" s="1"/>
  <c r="U2583" i="1"/>
  <c r="V2583" i="1" s="1"/>
  <c r="U2810" i="1"/>
  <c r="V2810" i="1" s="1"/>
  <c r="U2734" i="1"/>
  <c r="V2734" i="1" s="1"/>
  <c r="U2445" i="1"/>
  <c r="V2445" i="1" s="1"/>
  <c r="U2548" i="1"/>
  <c r="V2548" i="1" s="1"/>
  <c r="U2483" i="1"/>
  <c r="V2483" i="1" s="1"/>
  <c r="U2546" i="1"/>
  <c r="V2546" i="1" s="1"/>
  <c r="U2644" i="1"/>
  <c r="V2644" i="1" s="1"/>
  <c r="U2453" i="1"/>
  <c r="V2453" i="1" s="1"/>
  <c r="U2520" i="1"/>
  <c r="V2520" i="1" s="1"/>
  <c r="U2553" i="1"/>
  <c r="V2553" i="1" s="1"/>
  <c r="U2759" i="1"/>
  <c r="V2759" i="1" s="1"/>
  <c r="U2397" i="1"/>
  <c r="V2397" i="1" s="1"/>
  <c r="U2447" i="1"/>
  <c r="V2447" i="1" s="1"/>
  <c r="U2466" i="1"/>
  <c r="V2466" i="1" s="1"/>
  <c r="U2485" i="1"/>
  <c r="V2485" i="1" s="1"/>
  <c r="U2518" i="1"/>
  <c r="V2518" i="1" s="1"/>
  <c r="U2660" i="1"/>
  <c r="V2660" i="1" s="1"/>
  <c r="U2422" i="1"/>
  <c r="V2422" i="1" s="1"/>
  <c r="U2668" i="1"/>
  <c r="V2668" i="1" s="1"/>
  <c r="U2516" i="1"/>
  <c r="V2516" i="1" s="1"/>
  <c r="U2596" i="1"/>
  <c r="V2596" i="1" s="1"/>
  <c r="U2431" i="1"/>
  <c r="V2431" i="1" s="1"/>
  <c r="U2472" i="1"/>
  <c r="V2472" i="1" s="1"/>
  <c r="U2487" i="1"/>
  <c r="V2487" i="1" s="1"/>
  <c r="U2722" i="1"/>
  <c r="V2722" i="1" s="1"/>
  <c r="U2878" i="1"/>
  <c r="U2642" i="1"/>
  <c r="V2642" i="1" s="1"/>
  <c r="U2689" i="1"/>
  <c r="V2689" i="1" s="1"/>
  <c r="U2459" i="1"/>
  <c r="V2459" i="1" s="1"/>
  <c r="U2726" i="1"/>
  <c r="V2726" i="1" s="1"/>
  <c r="U2721" i="1"/>
  <c r="V2721" i="1" s="1"/>
  <c r="U2731" i="1"/>
  <c r="V2731" i="1" s="1"/>
  <c r="U2743" i="1"/>
  <c r="V2743" i="1" s="1"/>
  <c r="U2712" i="1"/>
  <c r="V2712" i="1" s="1"/>
  <c r="U2578" i="1"/>
  <c r="V2578" i="1" s="1"/>
  <c r="U2592" i="1"/>
  <c r="V2592" i="1" s="1"/>
  <c r="U2605" i="1"/>
  <c r="V2605" i="1" s="1"/>
  <c r="U2656" i="1"/>
  <c r="V2656" i="1" s="1"/>
  <c r="U2929" i="1"/>
  <c r="U2942" i="1"/>
  <c r="V2942" i="1" s="1"/>
  <c r="U2708" i="1"/>
  <c r="V2708" i="1" s="1"/>
  <c r="U2732" i="1"/>
  <c r="V2732" i="1" s="1"/>
  <c r="U2763" i="1"/>
  <c r="V2763" i="1" s="1"/>
  <c r="U2964" i="1"/>
  <c r="V2964" i="1" s="1"/>
  <c r="U2681" i="1"/>
  <c r="V2681" i="1" s="1"/>
  <c r="U2543" i="1"/>
  <c r="V2543" i="1" s="1"/>
  <c r="U2639" i="1"/>
  <c r="V2639" i="1" s="1"/>
  <c r="U2671" i="1"/>
  <c r="V2671" i="1" s="1"/>
  <c r="U2699" i="1"/>
  <c r="V2699" i="1" s="1"/>
  <c r="U2749" i="1"/>
  <c r="V2749" i="1" s="1"/>
  <c r="U2851" i="1"/>
  <c r="V2851" i="1" s="1"/>
  <c r="U2577" i="1"/>
  <c r="V2577" i="1" s="1"/>
  <c r="U2584" i="1"/>
  <c r="V2584" i="1" s="1"/>
  <c r="U2661" i="1"/>
  <c r="V2661" i="1" s="1"/>
  <c r="U2711" i="1"/>
  <c r="U2742" i="1"/>
  <c r="V2742" i="1" s="1"/>
  <c r="U2754" i="1"/>
  <c r="V2754" i="1" s="1"/>
  <c r="U2468" i="1"/>
  <c r="V2468" i="1" s="1"/>
  <c r="U2524" i="1"/>
  <c r="V2524" i="1" s="1"/>
  <c r="U2538" i="1"/>
  <c r="V2538" i="1" s="1"/>
  <c r="U2667" i="1"/>
  <c r="V2667" i="1" s="1"/>
  <c r="U2844" i="1"/>
  <c r="V2844" i="1" s="1"/>
  <c r="U2489" i="1"/>
  <c r="V2489" i="1" s="1"/>
  <c r="U2545" i="1"/>
  <c r="V2545" i="1" s="1"/>
  <c r="U2559" i="1"/>
  <c r="V2559" i="1" s="1"/>
  <c r="U2604" i="1"/>
  <c r="V2604" i="1" s="1"/>
  <c r="U2665" i="1"/>
  <c r="V2665" i="1" s="1"/>
  <c r="U2776" i="1"/>
  <c r="V2776" i="1" s="1"/>
  <c r="U2839" i="1"/>
  <c r="V2839" i="1" s="1"/>
  <c r="U2677" i="1"/>
  <c r="V2677" i="1" s="1"/>
  <c r="U2684" i="1"/>
  <c r="V2684" i="1" s="1"/>
  <c r="U2747" i="1"/>
  <c r="V2747" i="1" s="1"/>
  <c r="U2719" i="1"/>
  <c r="V2719" i="1" s="1"/>
  <c r="U2813" i="1"/>
  <c r="V2813" i="1" s="1"/>
  <c r="U2842" i="1"/>
  <c r="V2842" i="1" s="1"/>
  <c r="U2982" i="1"/>
  <c r="V2982" i="1" s="1"/>
  <c r="U3130" i="1"/>
  <c r="V3130" i="1" s="1"/>
  <c r="U2811" i="1"/>
  <c r="V2811" i="1" s="1"/>
  <c r="U3055" i="1"/>
  <c r="V3055" i="1" s="1"/>
  <c r="U3058" i="1"/>
  <c r="V3058" i="1" s="1"/>
  <c r="U3079" i="1"/>
  <c r="V3079" i="1" s="1"/>
  <c r="U3146" i="1"/>
  <c r="V3146" i="1" s="1"/>
  <c r="U2905" i="1"/>
  <c r="V2905" i="1" s="1"/>
  <c r="U2941" i="1"/>
  <c r="V2941" i="1" s="1"/>
  <c r="U2992" i="1"/>
  <c r="V2992" i="1" s="1"/>
  <c r="U3187" i="1"/>
  <c r="V3187" i="1" s="1"/>
  <c r="U3203" i="1"/>
  <c r="U2895" i="1"/>
  <c r="V2895" i="1" s="1"/>
  <c r="U2989" i="1"/>
  <c r="V2989" i="1" s="1"/>
  <c r="U3461" i="1"/>
  <c r="V3461" i="1" s="1"/>
  <c r="U2729" i="1"/>
  <c r="V2729" i="1" s="1"/>
  <c r="U2944" i="1"/>
  <c r="V2944" i="1" s="1"/>
  <c r="U3232" i="1"/>
  <c r="U2801" i="1"/>
  <c r="V2801" i="1" s="1"/>
  <c r="U2843" i="1"/>
  <c r="V2843" i="1" s="1"/>
  <c r="U2870" i="1"/>
  <c r="V2870" i="1" s="1"/>
  <c r="U2880" i="1"/>
  <c r="V2880" i="1" s="1"/>
  <c r="U2908" i="1"/>
  <c r="V2908" i="1" s="1"/>
  <c r="U2936" i="1"/>
  <c r="V2936" i="1" s="1"/>
  <c r="U3324" i="1"/>
  <c r="V3324" i="1" s="1"/>
  <c r="U3097" i="1"/>
  <c r="V3097" i="1" s="1"/>
  <c r="U3181" i="1"/>
  <c r="V3181" i="1" s="1"/>
  <c r="U2757" i="1"/>
  <c r="V2757" i="1" s="1"/>
  <c r="U2793" i="1"/>
  <c r="V2793" i="1" s="1"/>
  <c r="U2797" i="1"/>
  <c r="V2797" i="1" s="1"/>
  <c r="U2975" i="1"/>
  <c r="V2975" i="1" s="1"/>
  <c r="U3047" i="1"/>
  <c r="V3047" i="1" s="1"/>
  <c r="U3081" i="1"/>
  <c r="V3081" i="1" s="1"/>
  <c r="U2804" i="1"/>
  <c r="V2804" i="1" s="1"/>
  <c r="U2904" i="1"/>
  <c r="V2904" i="1" s="1"/>
  <c r="U3014" i="1"/>
  <c r="V3014" i="1" s="1"/>
  <c r="U2527" i="1"/>
  <c r="V2527" i="1" s="1"/>
  <c r="U2575" i="1"/>
  <c r="V2575" i="1" s="1"/>
  <c r="U2632" i="1"/>
  <c r="V2632" i="1" s="1"/>
  <c r="U2915" i="1"/>
  <c r="V2915" i="1" s="1"/>
  <c r="U3115" i="1"/>
  <c r="V3115" i="1" s="1"/>
  <c r="U2943" i="1"/>
  <c r="V2943" i="1" s="1"/>
  <c r="U3008" i="1"/>
  <c r="V3008" i="1" s="1"/>
  <c r="U3095" i="1"/>
  <c r="V3095" i="1" s="1"/>
  <c r="W3095" i="1" s="1"/>
  <c r="U2775" i="1"/>
  <c r="V2775" i="1" s="1"/>
  <c r="U2785" i="1"/>
  <c r="V2785" i="1" s="1"/>
  <c r="U2869" i="1"/>
  <c r="V2869" i="1" s="1"/>
  <c r="U2956" i="1"/>
  <c r="V2956" i="1" s="1"/>
  <c r="U2976" i="1"/>
  <c r="V2976" i="1" s="1"/>
  <c r="U3197" i="1"/>
  <c r="V3197" i="1" s="1"/>
  <c r="U2655" i="1"/>
  <c r="V2655" i="1" s="1"/>
  <c r="U2750" i="1"/>
  <c r="V2750" i="1" s="1"/>
  <c r="U2815" i="1"/>
  <c r="V2815" i="1" s="1"/>
  <c r="U2825" i="1"/>
  <c r="V2825" i="1" s="1"/>
  <c r="U2867" i="1"/>
  <c r="V2867" i="1" s="1"/>
  <c r="U2897" i="1"/>
  <c r="V2897" i="1" s="1"/>
  <c r="U2997" i="1"/>
  <c r="V2997" i="1" s="1"/>
  <c r="U3149" i="1"/>
  <c r="V3149" i="1" s="1"/>
  <c r="U2693" i="1"/>
  <c r="V2693" i="1" s="1"/>
  <c r="U2779" i="1"/>
  <c r="V2779" i="1" s="1"/>
  <c r="U2817" i="1"/>
  <c r="V2817" i="1" s="1"/>
  <c r="U2847" i="1"/>
  <c r="V2847" i="1" s="1"/>
  <c r="U2857" i="1"/>
  <c r="V2857" i="1" s="1"/>
  <c r="U2902" i="1"/>
  <c r="V2902" i="1" s="1"/>
  <c r="U2913" i="1"/>
  <c r="V2913" i="1" s="1"/>
  <c r="U2921" i="1"/>
  <c r="U2951" i="1"/>
  <c r="V2951" i="1" s="1"/>
  <c r="U3021" i="1"/>
  <c r="V3021" i="1" s="1"/>
  <c r="U3136" i="1"/>
  <c r="V3136" i="1" s="1"/>
  <c r="U2803" i="1"/>
  <c r="V2803" i="1" s="1"/>
  <c r="U2836" i="1"/>
  <c r="V2836" i="1" s="1"/>
  <c r="U2952" i="1"/>
  <c r="V2952" i="1" s="1"/>
  <c r="U2848" i="1"/>
  <c r="V2848" i="1" s="1"/>
  <c r="U2864" i="1"/>
  <c r="V2864" i="1" s="1"/>
  <c r="U2887" i="1"/>
  <c r="V2887" i="1" s="1"/>
  <c r="U2889" i="1"/>
  <c r="V2889" i="1" s="1"/>
  <c r="U2939" i="1"/>
  <c r="V2939" i="1" s="1"/>
  <c r="U2950" i="1"/>
  <c r="V2950" i="1" s="1"/>
  <c r="U2979" i="1"/>
  <c r="V2979" i="1" s="1"/>
  <c r="U2640" i="1"/>
  <c r="V2640" i="1" s="1"/>
  <c r="U2662" i="1"/>
  <c r="V2662" i="1" s="1"/>
  <c r="U2854" i="1"/>
  <c r="V2854" i="1" s="1"/>
  <c r="U3041" i="1"/>
  <c r="V3041" i="1" s="1"/>
  <c r="U2657" i="1"/>
  <c r="V2657" i="1" s="1"/>
  <c r="U2713" i="1"/>
  <c r="V2713" i="1" s="1"/>
  <c r="U2761" i="1"/>
  <c r="V2761" i="1" s="1"/>
  <c r="U2826" i="1"/>
  <c r="V2826" i="1" s="1"/>
  <c r="U2856" i="1"/>
  <c r="V2856" i="1" s="1"/>
  <c r="U2955" i="1"/>
  <c r="V2955" i="1" s="1"/>
  <c r="W2955" i="1" s="1"/>
  <c r="U3090" i="1"/>
  <c r="V3090" i="1" s="1"/>
  <c r="U2700" i="1"/>
  <c r="V2700" i="1" s="1"/>
  <c r="U2778" i="1"/>
  <c r="V2778" i="1" s="1"/>
  <c r="U2885" i="1"/>
  <c r="V2885" i="1" s="1"/>
  <c r="W2885" i="1" s="1"/>
  <c r="U2990" i="1"/>
  <c r="V2990" i="1" s="1"/>
  <c r="U3151" i="1"/>
  <c r="V3151" i="1" s="1"/>
  <c r="U3168" i="1"/>
  <c r="V3168" i="1" s="1"/>
  <c r="U2725" i="1"/>
  <c r="V2725" i="1" s="1"/>
  <c r="U2751" i="1"/>
  <c r="V2751" i="1" s="1"/>
  <c r="U3093" i="1"/>
  <c r="V3093" i="1" s="1"/>
  <c r="U3211" i="1"/>
  <c r="V3211" i="1" s="1"/>
  <c r="W3211" i="1" s="1"/>
  <c r="U3002" i="1"/>
  <c r="V3002" i="1" s="1"/>
  <c r="U3006" i="1"/>
  <c r="V3006" i="1" s="1"/>
  <c r="U3050" i="1"/>
  <c r="V3050" i="1" s="1"/>
  <c r="U3289" i="1"/>
  <c r="V3289" i="1" s="1"/>
  <c r="U3129" i="1"/>
  <c r="U3190" i="1"/>
  <c r="V3190" i="1" s="1"/>
  <c r="U3234" i="1"/>
  <c r="V3234" i="1" s="1"/>
  <c r="U3216" i="1"/>
  <c r="V3216" i="1" s="1"/>
  <c r="U3223" i="1"/>
  <c r="V3223" i="1" s="1"/>
  <c r="U3111" i="1"/>
  <c r="V3111" i="1" s="1"/>
  <c r="W3111" i="1" s="1"/>
  <c r="U3116" i="1"/>
  <c r="V3116" i="1" s="1"/>
  <c r="U3179" i="1"/>
  <c r="V3179" i="1" s="1"/>
  <c r="U3009" i="1"/>
  <c r="V3009" i="1" s="1"/>
  <c r="U3032" i="1"/>
  <c r="V3032" i="1" s="1"/>
  <c r="U3037" i="1"/>
  <c r="V3037" i="1" s="1"/>
  <c r="U3124" i="1"/>
  <c r="V3124" i="1" s="1"/>
  <c r="U2835" i="1"/>
  <c r="V2835" i="1" s="1"/>
  <c r="U3005" i="1"/>
  <c r="V3005" i="1" s="1"/>
  <c r="U3011" i="1"/>
  <c r="V3011" i="1" s="1"/>
  <c r="U2863" i="1"/>
  <c r="V2863" i="1" s="1"/>
  <c r="U2916" i="1"/>
  <c r="V2916" i="1" s="1"/>
  <c r="U2969" i="1"/>
  <c r="V2969" i="1" s="1"/>
  <c r="W2969" i="1" s="1"/>
  <c r="U3028" i="1"/>
  <c r="V3028" i="1" s="1"/>
  <c r="U3109" i="1"/>
  <c r="V3109" i="1" s="1"/>
  <c r="U2967" i="1"/>
  <c r="V2967" i="1" s="1"/>
  <c r="U2999" i="1"/>
  <c r="V2999" i="1" s="1"/>
  <c r="U3132" i="1"/>
  <c r="V3132" i="1" s="1"/>
  <c r="U3308" i="1"/>
  <c r="V3308" i="1" s="1"/>
  <c r="U3176" i="1"/>
  <c r="V3176" i="1" s="1"/>
  <c r="U3199" i="1"/>
  <c r="V3199" i="1" s="1"/>
  <c r="U3323" i="1"/>
  <c r="V3323" i="1" s="1"/>
  <c r="U3339" i="1"/>
  <c r="V3339" i="1" s="1"/>
  <c r="U3425" i="1"/>
  <c r="V3425" i="1" s="1"/>
  <c r="U3264" i="1"/>
  <c r="V3264" i="1" s="1"/>
  <c r="U3453" i="1"/>
  <c r="V3453" i="1" s="1"/>
  <c r="U3355" i="1"/>
  <c r="V3355" i="1" s="1"/>
  <c r="U3082" i="1"/>
  <c r="V3082" i="1" s="1"/>
  <c r="U3255" i="1"/>
  <c r="V3255" i="1" s="1"/>
  <c r="U3273" i="1"/>
  <c r="V3273" i="1" s="1"/>
  <c r="U3301" i="1"/>
  <c r="V3301" i="1" s="1"/>
  <c r="U3321" i="1"/>
  <c r="V3321" i="1" s="1"/>
  <c r="U3588" i="1"/>
  <c r="V3588" i="1" s="1"/>
  <c r="U3365" i="1"/>
  <c r="V3365" i="1" s="1"/>
  <c r="U2892" i="1"/>
  <c r="V2892" i="1" s="1"/>
  <c r="U2918" i="1"/>
  <c r="V2918" i="1" s="1"/>
  <c r="U2922" i="1"/>
  <c r="V2922" i="1" s="1"/>
  <c r="U2948" i="1"/>
  <c r="V2948" i="1" s="1"/>
  <c r="U3043" i="1"/>
  <c r="V3043" i="1" s="1"/>
  <c r="U3075" i="1"/>
  <c r="V3075" i="1" s="1"/>
  <c r="U3162" i="1"/>
  <c r="V3162" i="1" s="1"/>
  <c r="U3200" i="1"/>
  <c r="V3200" i="1" s="1"/>
  <c r="U3340" i="1"/>
  <c r="V3340" i="1" s="1"/>
  <c r="U3483" i="1"/>
  <c r="V3483" i="1" s="1"/>
  <c r="U3221" i="1"/>
  <c r="V3221" i="1" s="1"/>
  <c r="U3337" i="1"/>
  <c r="V3337" i="1" s="1"/>
  <c r="U3226" i="1"/>
  <c r="V3226" i="1" s="1"/>
  <c r="U3693" i="1"/>
  <c r="V3693" i="1" s="1"/>
  <c r="U3282" i="1"/>
  <c r="V3282" i="1" s="1"/>
  <c r="U3219" i="1"/>
  <c r="V3219" i="1" s="1"/>
  <c r="U3251" i="1"/>
  <c r="V3251" i="1" s="1"/>
  <c r="U3319" i="1"/>
  <c r="V3319" i="1" s="1"/>
  <c r="U2966" i="1"/>
  <c r="V2966" i="1" s="1"/>
  <c r="U3167" i="1"/>
  <c r="V3167" i="1" s="1"/>
  <c r="U3468" i="1"/>
  <c r="V3468" i="1" s="1"/>
  <c r="U2827" i="1"/>
  <c r="V2827" i="1" s="1"/>
  <c r="U2901" i="1"/>
  <c r="V2901" i="1" s="1"/>
  <c r="U2935" i="1"/>
  <c r="V2935" i="1" s="1"/>
  <c r="U2957" i="1"/>
  <c r="V2957" i="1" s="1"/>
  <c r="U3013" i="1"/>
  <c r="V3013" i="1" s="1"/>
  <c r="U3025" i="1"/>
  <c r="V3025" i="1" s="1"/>
  <c r="U3036" i="1"/>
  <c r="V3036" i="1" s="1"/>
  <c r="U3285" i="1"/>
  <c r="V3285" i="1" s="1"/>
  <c r="U3332" i="1"/>
  <c r="V3332" i="1" s="1"/>
  <c r="U3338" i="1"/>
  <c r="V3338" i="1" s="1"/>
  <c r="U3347" i="1"/>
  <c r="V3347" i="1" s="1"/>
  <c r="U3341" i="1"/>
  <c r="V3341" i="1" s="1"/>
  <c r="U3317" i="1"/>
  <c r="V3317" i="1" s="1"/>
  <c r="U3424" i="1"/>
  <c r="V3424" i="1" s="1"/>
  <c r="U3020" i="1"/>
  <c r="V3020" i="1" s="1"/>
  <c r="U3209" i="1"/>
  <c r="V3209" i="1" s="1"/>
  <c r="U2829" i="1"/>
  <c r="V2829" i="1" s="1"/>
  <c r="U2881" i="1"/>
  <c r="V2881" i="1" s="1"/>
  <c r="U2937" i="1"/>
  <c r="V2937" i="1" s="1"/>
  <c r="U2993" i="1"/>
  <c r="V2993" i="1" s="1"/>
  <c r="U3027" i="1"/>
  <c r="V3027" i="1" s="1"/>
  <c r="U3065" i="1"/>
  <c r="V3065" i="1" s="1"/>
  <c r="U3163" i="1"/>
  <c r="V3163" i="1" s="1"/>
  <c r="U3380" i="1"/>
  <c r="V3380" i="1" s="1"/>
  <c r="U3403" i="1"/>
  <c r="U2794" i="1"/>
  <c r="V2794" i="1" s="1"/>
  <c r="U2824" i="1"/>
  <c r="V2824" i="1" s="1"/>
  <c r="U2850" i="1"/>
  <c r="V2850" i="1" s="1"/>
  <c r="U2872" i="1"/>
  <c r="V2872" i="1" s="1"/>
  <c r="U3059" i="1"/>
  <c r="V3059" i="1" s="1"/>
  <c r="U3072" i="1"/>
  <c r="U3076" i="1"/>
  <c r="V3076" i="1" s="1"/>
  <c r="U3139" i="1"/>
  <c r="V3139" i="1" s="1"/>
  <c r="U3189" i="1"/>
  <c r="V3189" i="1" s="1"/>
  <c r="U3269" i="1"/>
  <c r="V3269" i="1" s="1"/>
  <c r="U3374" i="1"/>
  <c r="V3374" i="1" s="1"/>
  <c r="U3396" i="1"/>
  <c r="V3396" i="1" s="1"/>
  <c r="U3155" i="1"/>
  <c r="V3155" i="1" s="1"/>
  <c r="U3204" i="1"/>
  <c r="V3204" i="1" s="1"/>
  <c r="U3246" i="1"/>
  <c r="V3246" i="1" s="1"/>
  <c r="U3248" i="1"/>
  <c r="V3248" i="1" s="1"/>
  <c r="U3294" i="1"/>
  <c r="V3294" i="1" s="1"/>
  <c r="U3329" i="1"/>
  <c r="U3349" i="1"/>
  <c r="V3349" i="1" s="1"/>
  <c r="U3431" i="1"/>
  <c r="V3431" i="1" s="1"/>
  <c r="U3169" i="1"/>
  <c r="V3169" i="1" s="1"/>
  <c r="U3218" i="1"/>
  <c r="V3218" i="1" s="1"/>
  <c r="U3263" i="1"/>
  <c r="V3263" i="1" s="1"/>
  <c r="W3263" i="1" s="1"/>
  <c r="U3272" i="1"/>
  <c r="V3272" i="1" s="1"/>
  <c r="U3084" i="1"/>
  <c r="V3084" i="1" s="1"/>
  <c r="U3133" i="1"/>
  <c r="V3133" i="1" s="1"/>
  <c r="U3156" i="1"/>
  <c r="V3156" i="1" s="1"/>
  <c r="U3241" i="1"/>
  <c r="V3241" i="1" s="1"/>
  <c r="U3243" i="1"/>
  <c r="V3243" i="1" s="1"/>
  <c r="U3297" i="1"/>
  <c r="V3297" i="1" s="1"/>
  <c r="U3395" i="1"/>
  <c r="V3395" i="1" s="1"/>
  <c r="U3568" i="1"/>
  <c r="U3044" i="1"/>
  <c r="V3044" i="1" s="1"/>
  <c r="U3074" i="1"/>
  <c r="V3074" i="1" s="1"/>
  <c r="U3239" i="1"/>
  <c r="V3239" i="1" s="1"/>
  <c r="W3239" i="1" s="1"/>
  <c r="U3356" i="1"/>
  <c r="V3356" i="1" s="1"/>
  <c r="U3387" i="1"/>
  <c r="V3387" i="1" s="1"/>
  <c r="U3039" i="1"/>
  <c r="V3039" i="1" s="1"/>
  <c r="U3091" i="1"/>
  <c r="V3091" i="1" s="1"/>
  <c r="U3106" i="1"/>
  <c r="V3106" i="1" s="1"/>
  <c r="U3122" i="1"/>
  <c r="V3122" i="1" s="1"/>
  <c r="U3194" i="1"/>
  <c r="V3194" i="1" s="1"/>
  <c r="U3056" i="1"/>
  <c r="V3056" i="1" s="1"/>
  <c r="U3113" i="1"/>
  <c r="V3113" i="1" s="1"/>
  <c r="U3188" i="1"/>
  <c r="V3188" i="1" s="1"/>
  <c r="U3459" i="1"/>
  <c r="V3459" i="1" s="1"/>
  <c r="U3501" i="1"/>
  <c r="V3501" i="1" s="1"/>
  <c r="U3537" i="1"/>
  <c r="V3537" i="1" s="1"/>
  <c r="U3225" i="1"/>
  <c r="V3225" i="1" s="1"/>
  <c r="U3411" i="1"/>
  <c r="V3411" i="1" s="1"/>
  <c r="U3429" i="1"/>
  <c r="V3429" i="1" s="1"/>
  <c r="U3270" i="1"/>
  <c r="V3270" i="1" s="1"/>
  <c r="U3277" i="1"/>
  <c r="V3277" i="1" s="1"/>
  <c r="U3284" i="1"/>
  <c r="V3284" i="1" s="1"/>
  <c r="U3291" i="1"/>
  <c r="V3291" i="1" s="1"/>
  <c r="U3312" i="1"/>
  <c r="V3312" i="1" s="1"/>
  <c r="U3316" i="1"/>
  <c r="U3361" i="1"/>
  <c r="V3361" i="1" s="1"/>
  <c r="U3381" i="1"/>
  <c r="V3381" i="1" s="1"/>
  <c r="U3404" i="1"/>
  <c r="V3404" i="1" s="1"/>
  <c r="U3482" i="1"/>
  <c r="V3482" i="1" s="1"/>
  <c r="U3388" i="1"/>
  <c r="V3388" i="1" s="1"/>
  <c r="U3240" i="1"/>
  <c r="V3240" i="1" s="1"/>
  <c r="U3258" i="1"/>
  <c r="U3279" i="1"/>
  <c r="V3279" i="1" s="1"/>
  <c r="W3279" i="1" s="1"/>
  <c r="U3286" i="1"/>
  <c r="V3286" i="1" s="1"/>
  <c r="U3300" i="1"/>
  <c r="V3300" i="1" s="1"/>
  <c r="U3307" i="1"/>
  <c r="V3307" i="1" s="1"/>
  <c r="U3386" i="1"/>
  <c r="V3386" i="1" s="1"/>
  <c r="U3409" i="1"/>
  <c r="V3409" i="1" s="1"/>
  <c r="U3331" i="1"/>
  <c r="V3331" i="1" s="1"/>
  <c r="W3331" i="1" s="1"/>
  <c r="U3417" i="1"/>
  <c r="V3417" i="1" s="1"/>
  <c r="U3470" i="1"/>
  <c r="V3470" i="1" s="1"/>
  <c r="U3479" i="1"/>
  <c r="V3479" i="1" s="1"/>
  <c r="U3145" i="1"/>
  <c r="V3145" i="1" s="1"/>
  <c r="U3171" i="1"/>
  <c r="V3171" i="1" s="1"/>
  <c r="U3205" i="1"/>
  <c r="V3205" i="1" s="1"/>
  <c r="U3574" i="1"/>
  <c r="V3574" i="1" s="1"/>
  <c r="U3366" i="1"/>
  <c r="V3366" i="1" s="1"/>
  <c r="U3375" i="1"/>
  <c r="V3375" i="1" s="1"/>
  <c r="U3467" i="1"/>
  <c r="V3467" i="1" s="1"/>
  <c r="U3191" i="1"/>
  <c r="V3191" i="1" s="1"/>
  <c r="U3217" i="1"/>
  <c r="V3217" i="1" s="1"/>
  <c r="U3249" i="1"/>
  <c r="V3249" i="1" s="1"/>
  <c r="U3731" i="1"/>
  <c r="V3731" i="1" s="1"/>
  <c r="U3849" i="1"/>
  <c r="U3582" i="1"/>
  <c r="V3582" i="1" s="1"/>
  <c r="U3657" i="1"/>
  <c r="V3657" i="1" s="1"/>
  <c r="U3677" i="1"/>
  <c r="V3677" i="1" s="1"/>
  <c r="U3793" i="1"/>
  <c r="V3793" i="1" s="1"/>
  <c r="W3793" i="1" s="1"/>
  <c r="U3426" i="1"/>
  <c r="V3426" i="1" s="1"/>
  <c r="U3499" i="1"/>
  <c r="V3499" i="1" s="1"/>
  <c r="U3548" i="1"/>
  <c r="V3548" i="1" s="1"/>
  <c r="U3865" i="1"/>
  <c r="V3865" i="1" s="1"/>
  <c r="U3354" i="1"/>
  <c r="V3354" i="1" s="1"/>
  <c r="U3377" i="1"/>
  <c r="V3377" i="1" s="1"/>
  <c r="U3413" i="1"/>
  <c r="V3413" i="1" s="1"/>
  <c r="U3516" i="1"/>
  <c r="V3516" i="1" s="1"/>
  <c r="U3563" i="1"/>
  <c r="V3563" i="1" s="1"/>
  <c r="U3627" i="1"/>
  <c r="U3707" i="1"/>
  <c r="V3707" i="1" s="1"/>
  <c r="U3862" i="1"/>
  <c r="U3881" i="1"/>
  <c r="V3881" i="1" s="1"/>
  <c r="W3881" i="1" s="1"/>
  <c r="U3603" i="1"/>
  <c r="V3603" i="1" s="1"/>
  <c r="U3474" i="1"/>
  <c r="V3474" i="1" s="1"/>
  <c r="U3535" i="1"/>
  <c r="V3535" i="1" s="1"/>
  <c r="U3606" i="1"/>
  <c r="V3606" i="1" s="1"/>
  <c r="U3683" i="1"/>
  <c r="V3683" i="1" s="1"/>
  <c r="U3787" i="1"/>
  <c r="V3787" i="1" s="1"/>
  <c r="U3419" i="1"/>
  <c r="V3419" i="1" s="1"/>
  <c r="W3419" i="1" s="1"/>
  <c r="U3442" i="1"/>
  <c r="V3442" i="1" s="1"/>
  <c r="U3456" i="1"/>
  <c r="V3456" i="1" s="1"/>
  <c r="U3542" i="1"/>
  <c r="V3542" i="1" s="1"/>
  <c r="U3615" i="1"/>
  <c r="V3615" i="1" s="1"/>
  <c r="U3885" i="1"/>
  <c r="V3885" i="1" s="1"/>
  <c r="W3885" i="1" s="1"/>
  <c r="U3540" i="1"/>
  <c r="V3540" i="1" s="1"/>
  <c r="U3583" i="1"/>
  <c r="V3583" i="1" s="1"/>
  <c r="U3655" i="1"/>
  <c r="V3655" i="1" s="1"/>
  <c r="U3675" i="1"/>
  <c r="U3358" i="1"/>
  <c r="V3358" i="1" s="1"/>
  <c r="W3358" i="1" s="1"/>
  <c r="U3398" i="1"/>
  <c r="V3398" i="1" s="1"/>
  <c r="U3406" i="1"/>
  <c r="V3406" i="1" s="1"/>
  <c r="U3448" i="1"/>
  <c r="V3448" i="1" s="1"/>
  <c r="U3504" i="1"/>
  <c r="V3504" i="1" s="1"/>
  <c r="U3458" i="1"/>
  <c r="V3458" i="1" s="1"/>
  <c r="U3647" i="1"/>
  <c r="V3647" i="1" s="1"/>
  <c r="U3601" i="1"/>
  <c r="V3601" i="1" s="1"/>
  <c r="U3681" i="1"/>
  <c r="V3681" i="1" s="1"/>
  <c r="U3732" i="1"/>
  <c r="V3732" i="1" s="1"/>
  <c r="U3815" i="1"/>
  <c r="V3815" i="1" s="1"/>
  <c r="U3571" i="1"/>
  <c r="V3571" i="1" s="1"/>
  <c r="U3391" i="1"/>
  <c r="V3391" i="1" s="1"/>
  <c r="U3412" i="1"/>
  <c r="V3412" i="1" s="1"/>
  <c r="U3498" i="1"/>
  <c r="V3498" i="1" s="1"/>
  <c r="U3581" i="1"/>
  <c r="V3581" i="1" s="1"/>
  <c r="U3639" i="1"/>
  <c r="V3639" i="1" s="1"/>
  <c r="U3489" i="1"/>
  <c r="V3489" i="1" s="1"/>
  <c r="W3489" i="1" s="1"/>
  <c r="U3547" i="1"/>
  <c r="V3547" i="1" s="1"/>
  <c r="W3547" i="1" s="1"/>
  <c r="U3599" i="1"/>
  <c r="V3599" i="1" s="1"/>
  <c r="U3619" i="1"/>
  <c r="V3619" i="1" s="1"/>
  <c r="U3656" i="1"/>
  <c r="V3656" i="1" s="1"/>
  <c r="U3416" i="1"/>
  <c r="V3416" i="1" s="1"/>
  <c r="U3451" i="1"/>
  <c r="U3473" i="1"/>
  <c r="V3473" i="1" s="1"/>
  <c r="U3559" i="1"/>
  <c r="V3559" i="1" s="1"/>
  <c r="U3676" i="1"/>
  <c r="V3676" i="1" s="1"/>
  <c r="U3714" i="1"/>
  <c r="V3714" i="1" s="1"/>
  <c r="U3637" i="1"/>
  <c r="V3637" i="1" s="1"/>
  <c r="U3825" i="1"/>
  <c r="V3825" i="1" s="1"/>
  <c r="U3443" i="1"/>
  <c r="V3443" i="1" s="1"/>
  <c r="U3572" i="1"/>
  <c r="V3572" i="1" s="1"/>
  <c r="W3572" i="1" s="1"/>
  <c r="U3590" i="1"/>
  <c r="V3590" i="1" s="1"/>
  <c r="U3690" i="1"/>
  <c r="V3690" i="1" s="1"/>
  <c r="U3829" i="1"/>
  <c r="U3494" i="1"/>
  <c r="V3494" i="1" s="1"/>
  <c r="U3532" i="1"/>
  <c r="V3532" i="1" s="1"/>
  <c r="U3543" i="1"/>
  <c r="V3543" i="1" s="1"/>
  <c r="U3629" i="1"/>
  <c r="V3629" i="1" s="1"/>
  <c r="W3629" i="1" s="1"/>
  <c r="U3679" i="1"/>
  <c r="V3679" i="1" s="1"/>
  <c r="U3235" i="1"/>
  <c r="V3235" i="1" s="1"/>
  <c r="U3261" i="1"/>
  <c r="V3261" i="1" s="1"/>
  <c r="U3305" i="1"/>
  <c r="V3305" i="1" s="1"/>
  <c r="U3447" i="1"/>
  <c r="V3447" i="1" s="1"/>
  <c r="W3447" i="1" s="1"/>
  <c r="U3541" i="1"/>
  <c r="V3541" i="1" s="1"/>
  <c r="U3593" i="1"/>
  <c r="V3593" i="1" s="1"/>
  <c r="U3659" i="1"/>
  <c r="V3659" i="1" s="1"/>
  <c r="U3868" i="1"/>
  <c r="V3868" i="1" s="1"/>
  <c r="U3490" i="1"/>
  <c r="V3490" i="1" s="1"/>
  <c r="U3487" i="1"/>
  <c r="V3487" i="1" s="1"/>
  <c r="U3514" i="1"/>
  <c r="U3569" i="1"/>
  <c r="V3569" i="1" s="1"/>
  <c r="W3569" i="1" s="1"/>
  <c r="U3702" i="1"/>
  <c r="V3702" i="1" s="1"/>
  <c r="U3587" i="1"/>
  <c r="V3587" i="1" s="1"/>
  <c r="U3602" i="1"/>
  <c r="V3602" i="1" s="1"/>
  <c r="U3745" i="1"/>
  <c r="V3745" i="1" s="1"/>
  <c r="U3783" i="1"/>
  <c r="V3783" i="1" s="1"/>
  <c r="U3359" i="1"/>
  <c r="V3359" i="1" s="1"/>
  <c r="U3389" i="1"/>
  <c r="V3389" i="1" s="1"/>
  <c r="U3471" i="1"/>
  <c r="V3471" i="1" s="1"/>
  <c r="U3495" i="1"/>
  <c r="V3495" i="1" s="1"/>
  <c r="U3565" i="1"/>
  <c r="V3565" i="1" s="1"/>
  <c r="U3600" i="1"/>
  <c r="V3600" i="1" s="1"/>
  <c r="U3643" i="1"/>
  <c r="V3643" i="1" s="1"/>
  <c r="U3751" i="1"/>
  <c r="V3751" i="1" s="1"/>
  <c r="U3410" i="1"/>
  <c r="V3410" i="1" s="1"/>
  <c r="U3436" i="1"/>
  <c r="V3436" i="1" s="1"/>
  <c r="U3466" i="1"/>
  <c r="V3466" i="1" s="1"/>
  <c r="U3497" i="1"/>
  <c r="V3497" i="1" s="1"/>
  <c r="U3662" i="1"/>
  <c r="V3662" i="1" s="1"/>
  <c r="U3709" i="1"/>
  <c r="V3709" i="1" s="1"/>
  <c r="U3345" i="1"/>
  <c r="V3345" i="1" s="1"/>
  <c r="U3379" i="1"/>
  <c r="V3379" i="1" s="1"/>
  <c r="W3379" i="1" s="1"/>
  <c r="U3480" i="1"/>
  <c r="V3480" i="1" s="1"/>
  <c r="U3523" i="1"/>
  <c r="V3523" i="1" s="1"/>
  <c r="W3523" i="1" s="1"/>
  <c r="U3805" i="1"/>
  <c r="V3805" i="1" s="1"/>
  <c r="U3877" i="1"/>
  <c r="U3789" i="1"/>
  <c r="V3789" i="1" s="1"/>
  <c r="W3789" i="1" s="1"/>
  <c r="U3605" i="1"/>
  <c r="V3605" i="1" s="1"/>
  <c r="U3496" i="1"/>
  <c r="V3496" i="1" s="1"/>
  <c r="U3538" i="1"/>
  <c r="V3538" i="1" s="1"/>
  <c r="U3784" i="1"/>
  <c r="V3784" i="1" s="1"/>
  <c r="U3811" i="1"/>
  <c r="V3811" i="1" s="1"/>
  <c r="U3533" i="1"/>
  <c r="V3533" i="1" s="1"/>
  <c r="U3556" i="1"/>
  <c r="U3671" i="1"/>
  <c r="V3671" i="1" s="1"/>
  <c r="U3486" i="1"/>
  <c r="V3486" i="1" s="1"/>
  <c r="U3524" i="1"/>
  <c r="V3524" i="1" s="1"/>
  <c r="U3528" i="1"/>
  <c r="V3528" i="1" s="1"/>
  <c r="U3545" i="1"/>
  <c r="V3545" i="1" s="1"/>
  <c r="U3691" i="1"/>
  <c r="V3691" i="1" s="1"/>
  <c r="U3703" i="1"/>
  <c r="V3703" i="1" s="1"/>
  <c r="U3806" i="1"/>
  <c r="V3806" i="1" s="1"/>
  <c r="U3503" i="1"/>
  <c r="V3503" i="1" s="1"/>
  <c r="U3507" i="1"/>
  <c r="U3519" i="1"/>
  <c r="U3713" i="1"/>
  <c r="V3713" i="1" s="1"/>
  <c r="U3733" i="1"/>
  <c r="V3733" i="1" s="1"/>
  <c r="W3733" i="1" s="1"/>
  <c r="U3738" i="1"/>
  <c r="V3738" i="1" s="1"/>
  <c r="U3843" i="1"/>
  <c r="U3809" i="1"/>
  <c r="V3809" i="1" s="1"/>
  <c r="U3883" i="1"/>
  <c r="V3883" i="1" s="1"/>
  <c r="W3883" i="1" s="1"/>
  <c r="U3801" i="1"/>
  <c r="V3801" i="1" s="1"/>
  <c r="U3634" i="1"/>
  <c r="V3634" i="1" s="1"/>
  <c r="U3636" i="1"/>
  <c r="V3636" i="1" s="1"/>
  <c r="U3835" i="1"/>
  <c r="V3835" i="1" s="1"/>
  <c r="U3644" i="1"/>
  <c r="V3644" i="1" s="1"/>
  <c r="U3650" i="1"/>
  <c r="V3650" i="1" s="1"/>
  <c r="U3668" i="1"/>
  <c r="V3668" i="1" s="1"/>
  <c r="U3549" i="1"/>
  <c r="V3549" i="1" s="1"/>
  <c r="U3591" i="1"/>
  <c r="V3591" i="1" s="1"/>
  <c r="U3750" i="1"/>
  <c r="V3750" i="1" s="1"/>
  <c r="U3759" i="1"/>
  <c r="V3759" i="1" s="1"/>
  <c r="W3759" i="1" s="1"/>
  <c r="U3884" i="1"/>
  <c r="V3884" i="1" s="1"/>
  <c r="W3884" i="1" s="1"/>
  <c r="U3706" i="1"/>
  <c r="V3706" i="1" s="1"/>
  <c r="U3742" i="1"/>
  <c r="U3812" i="1"/>
  <c r="V3812" i="1" s="1"/>
  <c r="U3871" i="1"/>
  <c r="U3641" i="1"/>
  <c r="V3641" i="1" s="1"/>
  <c r="U3667" i="1"/>
  <c r="U3796" i="1"/>
  <c r="V3796" i="1" s="1"/>
  <c r="U3792" i="1"/>
  <c r="V3792" i="1" s="1"/>
  <c r="U3814" i="1"/>
  <c r="V3814" i="1" s="1"/>
  <c r="U3822" i="1"/>
  <c r="V3822" i="1" s="1"/>
  <c r="U3614" i="1"/>
  <c r="V3614" i="1" s="1"/>
  <c r="U3618" i="1"/>
  <c r="U3622" i="1"/>
  <c r="U3684" i="1"/>
  <c r="V3684" i="1" s="1"/>
  <c r="U3699" i="1"/>
  <c r="V3699" i="1" s="1"/>
  <c r="U3749" i="1"/>
  <c r="V3749" i="1" s="1"/>
  <c r="U3818" i="1"/>
  <c r="V3818" i="1" s="1"/>
  <c r="U3867" i="1"/>
  <c r="V3867" i="1" s="1"/>
  <c r="U3682" i="1"/>
  <c r="V3682" i="1" s="1"/>
  <c r="U3768" i="1"/>
  <c r="V3768" i="1" s="1"/>
  <c r="U3856" i="1"/>
  <c r="U3864" i="1"/>
  <c r="V3864" i="1" s="1"/>
  <c r="U3880" i="1"/>
  <c r="U3710" i="1"/>
  <c r="V3710" i="1" s="1"/>
  <c r="U3748" i="1"/>
  <c r="U3830" i="1"/>
  <c r="V3830" i="1" s="1"/>
  <c r="U3834" i="1"/>
  <c r="V3834" i="1" s="1"/>
  <c r="U3866" i="1"/>
  <c r="V3866" i="1" s="1"/>
  <c r="U3874" i="1"/>
  <c r="U3882" i="1"/>
  <c r="V3882" i="1" s="1"/>
  <c r="W3882" i="1" s="1"/>
  <c r="U3705" i="1"/>
  <c r="V3705" i="1" s="1"/>
  <c r="U3821" i="1"/>
  <c r="V3821" i="1" s="1"/>
  <c r="U3730" i="1"/>
  <c r="V3730" i="1" s="1"/>
  <c r="U3790" i="1"/>
  <c r="V3790" i="1" s="1"/>
  <c r="U3816" i="1"/>
  <c r="V3816" i="1" s="1"/>
  <c r="W3816" i="1" s="1"/>
  <c r="S1553" i="1"/>
  <c r="S1477" i="1"/>
  <c r="S2269" i="1"/>
  <c r="S2430" i="1"/>
  <c r="S2401" i="1"/>
  <c r="S2955" i="1"/>
  <c r="S3297" i="1"/>
  <c r="S3347" i="1"/>
  <c r="S3095" i="1"/>
  <c r="S3263" i="1"/>
  <c r="W3901" i="1"/>
  <c r="S3489" i="1"/>
  <c r="S3775" i="1"/>
  <c r="S3883" i="1"/>
  <c r="Q3886" i="1"/>
  <c r="S3880" i="1"/>
  <c r="S3774" i="1"/>
  <c r="W3903" i="1"/>
  <c r="S3903" i="1"/>
  <c r="V3905" i="1"/>
  <c r="W3892" i="1"/>
  <c r="Q3905" i="1"/>
  <c r="S3892" i="1"/>
  <c r="S2529" i="1" l="1"/>
  <c r="W3305" i="1"/>
  <c r="W2482" i="1"/>
  <c r="S3679" i="1"/>
  <c r="W3690" i="1"/>
  <c r="W3398" i="1"/>
  <c r="W3025" i="1"/>
  <c r="W3599" i="1"/>
  <c r="W3480" i="1"/>
  <c r="W3410" i="1"/>
  <c r="W3338" i="1"/>
  <c r="W2966" i="1"/>
  <c r="W3197" i="1"/>
  <c r="S281" i="1"/>
  <c r="W3412" i="1"/>
  <c r="W2224" i="1"/>
  <c r="W2992" i="1"/>
  <c r="W2400" i="1"/>
  <c r="W3482" i="1"/>
  <c r="W3162" i="1"/>
  <c r="U2158" i="1"/>
  <c r="V2158" i="1" s="1"/>
  <c r="S2159" i="1"/>
  <c r="U2159" i="1"/>
  <c r="V2159" i="1" s="1"/>
  <c r="U2162" i="1"/>
  <c r="V2162" i="1" s="1"/>
  <c r="W2162" i="1" s="1"/>
  <c r="S2161" i="1"/>
  <c r="U2161" i="1"/>
  <c r="V2161" i="1" s="1"/>
  <c r="S2796" i="1"/>
  <c r="W3792" i="1"/>
  <c r="S3634" i="1"/>
  <c r="S2305" i="1"/>
  <c r="W2687" i="1"/>
  <c r="W2950" i="1"/>
  <c r="S2687" i="1"/>
  <c r="W2342" i="1"/>
  <c r="W3605" i="1"/>
  <c r="W2480" i="1"/>
  <c r="W3167" i="1"/>
  <c r="W3706" i="1"/>
  <c r="W3811" i="1"/>
  <c r="W3574" i="1"/>
  <c r="S3410" i="1"/>
  <c r="S2966" i="1"/>
  <c r="S3383" i="1"/>
  <c r="W3691" i="1"/>
  <c r="W3443" i="1"/>
  <c r="W3498" i="1"/>
  <c r="W3286" i="1"/>
  <c r="W3218" i="1"/>
  <c r="W3204" i="1"/>
  <c r="W3163" i="1"/>
  <c r="W3036" i="1"/>
  <c r="W3200" i="1"/>
  <c r="W2948" i="1"/>
  <c r="W3453" i="1"/>
  <c r="S3025" i="1"/>
  <c r="S2742" i="1"/>
  <c r="W3812" i="1"/>
  <c r="W3538" i="1"/>
  <c r="W3702" i="1"/>
  <c r="W3270" i="1"/>
  <c r="W3356" i="1"/>
  <c r="W3002" i="1"/>
  <c r="W2913" i="1"/>
  <c r="W2815" i="1"/>
  <c r="W3058" i="1"/>
  <c r="W2538" i="1"/>
  <c r="W2742" i="1"/>
  <c r="W2469" i="1"/>
  <c r="W3821" i="1"/>
  <c r="W3243" i="1"/>
  <c r="W2751" i="1"/>
  <c r="W3130" i="1"/>
  <c r="W2722" i="1"/>
  <c r="W2171" i="1"/>
  <c r="W2394" i="1"/>
  <c r="S3058" i="1"/>
  <c r="W3751" i="1"/>
  <c r="W3603" i="1"/>
  <c r="W3171" i="1"/>
  <c r="W2516" i="1"/>
  <c r="W2548" i="1"/>
  <c r="W2270" i="1"/>
  <c r="W2324" i="1"/>
  <c r="W2189" i="1"/>
  <c r="S2999" i="1"/>
  <c r="W2681" i="1"/>
  <c r="W2213" i="1"/>
  <c r="W2163" i="1"/>
  <c r="W3593" i="1"/>
  <c r="W3825" i="1"/>
  <c r="W3731" i="1"/>
  <c r="W3387" i="1"/>
  <c r="W3065" i="1"/>
  <c r="W3424" i="1"/>
  <c r="W2999" i="1"/>
  <c r="W2785" i="1"/>
  <c r="W2943" i="1"/>
  <c r="W2584" i="1"/>
  <c r="W2810" i="1"/>
  <c r="W2412" i="1"/>
  <c r="W2747" i="1"/>
  <c r="S2584" i="1"/>
  <c r="S3825" i="1"/>
  <c r="S3020" i="1"/>
  <c r="S2850" i="1"/>
  <c r="W2881" i="1"/>
  <c r="W2990" i="1"/>
  <c r="Q2150" i="1"/>
  <c r="W2794" i="1"/>
  <c r="W2864" i="1"/>
  <c r="W2825" i="1"/>
  <c r="W2708" i="1"/>
  <c r="W2398" i="1"/>
  <c r="S2398" i="1"/>
  <c r="W3713" i="1"/>
  <c r="W3681" i="1"/>
  <c r="W2916" i="1"/>
  <c r="W2848" i="1"/>
  <c r="W2776" i="1"/>
  <c r="W2583" i="1"/>
  <c r="W2377" i="1"/>
  <c r="W3006" i="1"/>
  <c r="W2743" i="1"/>
  <c r="W2520" i="1"/>
  <c r="W2328" i="1"/>
  <c r="W3636" i="1"/>
  <c r="W3235" i="1"/>
  <c r="W3473" i="1"/>
  <c r="W3375" i="1"/>
  <c r="W2671" i="1"/>
  <c r="W2305" i="1"/>
  <c r="S3301" i="1"/>
  <c r="S2445" i="1"/>
  <c r="S2936" i="1"/>
  <c r="W2463" i="1"/>
  <c r="W3809" i="1"/>
  <c r="W3619" i="1"/>
  <c r="W3391" i="1"/>
  <c r="W3537" i="1"/>
  <c r="W2829" i="1"/>
  <c r="W3319" i="1"/>
  <c r="W2689" i="1"/>
  <c r="W2397" i="1"/>
  <c r="W2327" i="1"/>
  <c r="S3319" i="1"/>
  <c r="W3251" i="1"/>
  <c r="W3043" i="1"/>
  <c r="W2897" i="1"/>
  <c r="W2759" i="1"/>
  <c r="W2507" i="1"/>
  <c r="W1777" i="1"/>
  <c r="S3759" i="1"/>
  <c r="S3039" i="1"/>
  <c r="S1239" i="1"/>
  <c r="W3591" i="1"/>
  <c r="W3039" i="1"/>
  <c r="W3347" i="1"/>
  <c r="W3181" i="1"/>
  <c r="W3461" i="1"/>
  <c r="W2465" i="1"/>
  <c r="S3793" i="1"/>
  <c r="W3611" i="1"/>
  <c r="S3864" i="1"/>
  <c r="W2828" i="1"/>
  <c r="W3313" i="1"/>
  <c r="W3457" i="1"/>
  <c r="W3823" i="1"/>
  <c r="W3639" i="1"/>
  <c r="W3540" i="1"/>
  <c r="W3683" i="1"/>
  <c r="W3139" i="1"/>
  <c r="W3317" i="1"/>
  <c r="S3607" i="1"/>
  <c r="W3494" i="1"/>
  <c r="W3442" i="1"/>
  <c r="W3374" i="1"/>
  <c r="W2850" i="1"/>
  <c r="W3216" i="1"/>
  <c r="W2593" i="1"/>
  <c r="W1972" i="1"/>
  <c r="W721" i="1"/>
  <c r="W3267" i="1"/>
  <c r="W3038" i="1"/>
  <c r="W2535" i="1"/>
  <c r="W2663" i="1"/>
  <c r="S2815" i="1"/>
  <c r="W3107" i="1"/>
  <c r="W3834" i="1"/>
  <c r="W3249" i="1"/>
  <c r="W3272" i="1"/>
  <c r="W2527" i="1"/>
  <c r="W2518" i="1"/>
  <c r="S3494" i="1"/>
  <c r="W3864" i="1"/>
  <c r="W3533" i="1"/>
  <c r="W3814" i="1"/>
  <c r="W3389" i="1"/>
  <c r="W3659" i="1"/>
  <c r="W3535" i="1"/>
  <c r="W3459" i="1"/>
  <c r="W3020" i="1"/>
  <c r="W3365" i="1"/>
  <c r="W2857" i="1"/>
  <c r="W3826" i="1"/>
  <c r="W2461" i="1"/>
  <c r="W3159" i="1"/>
  <c r="W3229" i="1"/>
  <c r="S1308" i="1"/>
  <c r="S3745" i="1"/>
  <c r="S3556" i="1"/>
  <c r="S3807" i="1"/>
  <c r="S3162" i="1"/>
  <c r="W3648" i="1"/>
  <c r="W2414" i="1"/>
  <c r="W2812" i="1"/>
  <c r="W3376" i="1"/>
  <c r="W3669" i="1"/>
  <c r="S2188" i="1"/>
  <c r="S2811" i="1"/>
  <c r="S3021" i="1"/>
  <c r="S3091" i="1"/>
  <c r="S3375" i="1"/>
  <c r="S3867" i="1"/>
  <c r="S3811" i="1"/>
  <c r="S3574" i="1"/>
  <c r="W2912" i="1"/>
  <c r="W3180" i="1"/>
  <c r="W2169" i="1"/>
  <c r="W2965" i="1"/>
  <c r="W3830" i="1"/>
  <c r="W3867" i="1"/>
  <c r="W3650" i="1"/>
  <c r="W3634" i="1"/>
  <c r="W3496" i="1"/>
  <c r="W3466" i="1"/>
  <c r="W3745" i="1"/>
  <c r="W3679" i="1"/>
  <c r="W3426" i="1"/>
  <c r="W3056" i="1"/>
  <c r="W3091" i="1"/>
  <c r="W3076" i="1"/>
  <c r="W3301" i="1"/>
  <c r="W2778" i="1"/>
  <c r="W2640" i="1"/>
  <c r="W2889" i="1"/>
  <c r="W2952" i="1"/>
  <c r="W3021" i="1"/>
  <c r="W2936" i="1"/>
  <c r="W2668" i="1"/>
  <c r="W2445" i="1"/>
  <c r="W2202" i="1"/>
  <c r="W2444" i="1"/>
  <c r="W2210" i="1"/>
  <c r="W2111" i="1"/>
  <c r="W2201" i="1"/>
  <c r="W3018" i="1"/>
  <c r="W1829" i="1"/>
  <c r="W2130" i="1"/>
  <c r="W2348" i="1"/>
  <c r="W3085" i="1"/>
  <c r="W3536" i="1"/>
  <c r="W3594" i="1"/>
  <c r="W2536" i="1"/>
  <c r="W3022" i="1"/>
  <c r="W3520" i="1"/>
  <c r="W2187" i="1"/>
  <c r="W2393" i="1"/>
  <c r="W2755" i="1"/>
  <c r="W2893" i="1"/>
  <c r="W2947" i="1"/>
  <c r="W3087" i="1"/>
  <c r="W3177" i="1"/>
  <c r="W3247" i="1"/>
  <c r="W3817" i="1"/>
  <c r="W3807" i="1"/>
  <c r="W2826" i="1"/>
  <c r="W2951" i="1"/>
  <c r="W3008" i="1"/>
  <c r="W3146" i="1"/>
  <c r="W2811" i="1"/>
  <c r="W2604" i="1"/>
  <c r="W2844" i="1"/>
  <c r="W2543" i="1"/>
  <c r="W2656" i="1"/>
  <c r="W2726" i="1"/>
  <c r="W2466" i="1"/>
  <c r="W2613" i="1"/>
  <c r="W2539" i="1"/>
  <c r="W2060" i="1"/>
  <c r="W2438" i="1"/>
  <c r="W2360" i="1"/>
  <c r="W2618" i="1"/>
  <c r="W3813" i="1"/>
  <c r="W2533" i="1"/>
  <c r="W3015" i="1"/>
  <c r="W2882" i="1"/>
  <c r="W2203" i="1"/>
  <c r="W3511" i="1"/>
  <c r="U2043" i="1"/>
  <c r="V2043" i="1" s="1"/>
  <c r="W2043" i="1" s="1"/>
  <c r="U2066" i="1"/>
  <c r="V2066" i="1" s="1"/>
  <c r="W2066" i="1" s="1"/>
  <c r="S2066" i="1"/>
  <c r="S2459" i="1"/>
  <c r="S2827" i="1"/>
  <c r="S2967" i="1"/>
  <c r="S2642" i="1"/>
  <c r="S2880" i="1"/>
  <c r="S3340" i="1"/>
  <c r="R354" i="1"/>
  <c r="U353" i="1"/>
  <c r="S1881" i="1"/>
  <c r="U1881" i="1"/>
  <c r="V1881" i="1" s="1"/>
  <c r="W1881" i="1" s="1"/>
  <c r="S2278" i="1"/>
  <c r="U2278" i="1"/>
  <c r="V2278" i="1" s="1"/>
  <c r="W2278" i="1" s="1"/>
  <c r="U2407" i="1"/>
  <c r="V2407" i="1" s="1"/>
  <c r="W2407" i="1" s="1"/>
  <c r="S2407" i="1"/>
  <c r="U2788" i="1"/>
  <c r="V2788" i="1" s="1"/>
  <c r="W2788" i="1" s="1"/>
  <c r="U1681" i="1"/>
  <c r="V1681" i="1" s="1"/>
  <c r="W1681" i="1" s="1"/>
  <c r="U2252" i="1"/>
  <c r="S2252" i="1"/>
  <c r="U2484" i="1"/>
  <c r="V2484" i="1" s="1"/>
  <c r="W2484" i="1" s="1"/>
  <c r="S3196" i="1"/>
  <c r="U3196" i="1"/>
  <c r="V3196" i="1" s="1"/>
  <c r="W3196" i="1" s="1"/>
  <c r="W3476" i="1"/>
  <c r="S2658" i="1"/>
  <c r="U2658" i="1"/>
  <c r="V2658" i="1" s="1"/>
  <c r="W2658" i="1" s="1"/>
  <c r="U2705" i="1"/>
  <c r="V2705" i="1" s="1"/>
  <c r="W2705" i="1" s="1"/>
  <c r="S2705" i="1"/>
  <c r="U2728" i="1"/>
  <c r="V2728" i="1" s="1"/>
  <c r="W2728" i="1" s="1"/>
  <c r="S2728" i="1"/>
  <c r="S2773" i="1"/>
  <c r="U2773" i="1"/>
  <c r="V2773" i="1" s="1"/>
  <c r="W2773" i="1" s="1"/>
  <c r="U2845" i="1"/>
  <c r="V2845" i="1" s="1"/>
  <c r="W2845" i="1" s="1"/>
  <c r="S2845" i="1"/>
  <c r="U3053" i="1"/>
  <c r="V3053" i="1" s="1"/>
  <c r="W3053" i="1" s="1"/>
  <c r="S3053" i="1"/>
  <c r="S3125" i="1"/>
  <c r="U3125" i="1"/>
  <c r="V3125" i="1" s="1"/>
  <c r="W3125" i="1" s="1"/>
  <c r="U3428" i="1"/>
  <c r="V3428" i="1" s="1"/>
  <c r="W3428" i="1" s="1"/>
  <c r="U2968" i="1"/>
  <c r="V2968" i="1" s="1"/>
  <c r="W2968" i="1" s="1"/>
  <c r="S3087" i="1"/>
  <c r="S2987" i="1"/>
  <c r="S2812" i="1"/>
  <c r="S2360" i="1"/>
  <c r="S2201" i="1"/>
  <c r="S2536" i="1"/>
  <c r="S1681" i="1"/>
  <c r="S1113" i="1"/>
  <c r="U3595" i="1"/>
  <c r="V3595" i="1" s="1"/>
  <c r="W3595" i="1" s="1"/>
  <c r="U3288" i="1"/>
  <c r="V3288" i="1" s="1"/>
  <c r="W3288" i="1" s="1"/>
  <c r="W3300" i="1"/>
  <c r="U3350" i="1"/>
  <c r="V3350" i="1" s="1"/>
  <c r="W3350" i="1" s="1"/>
  <c r="W3284" i="1"/>
  <c r="U2688" i="1"/>
  <c r="V2688" i="1" s="1"/>
  <c r="W2688" i="1" s="1"/>
  <c r="U3148" i="1"/>
  <c r="V3148" i="1" s="1"/>
  <c r="W3148" i="1" s="1"/>
  <c r="W2642" i="1"/>
  <c r="W2127" i="1"/>
  <c r="U2230" i="1"/>
  <c r="V2230" i="1" s="1"/>
  <c r="U2149" i="1"/>
  <c r="V2149" i="1" s="1"/>
  <c r="W2149" i="1" s="1"/>
  <c r="U153" i="1"/>
  <c r="V153" i="1" s="1"/>
  <c r="W153" i="1" s="1"/>
  <c r="S3536" i="1"/>
  <c r="S2533" i="1"/>
  <c r="S3179" i="1"/>
  <c r="S3865" i="1"/>
  <c r="U1716" i="1"/>
  <c r="V1716" i="1" s="1"/>
  <c r="W1716" i="1" s="1"/>
  <c r="S1716" i="1"/>
  <c r="U2416" i="1"/>
  <c r="V2416" i="1" s="1"/>
  <c r="W2416" i="1" s="1"/>
  <c r="S2416" i="1"/>
  <c r="U2532" i="1"/>
  <c r="V2532" i="1" s="1"/>
  <c r="W2532" i="1" s="1"/>
  <c r="W2987" i="1"/>
  <c r="R3103" i="1"/>
  <c r="U3102" i="1"/>
  <c r="U3103" i="1" s="1"/>
  <c r="S3197" i="1"/>
  <c r="S3335" i="1"/>
  <c r="U3335" i="1"/>
  <c r="V3335" i="1" s="1"/>
  <c r="W3335" i="1" s="1"/>
  <c r="S3407" i="1"/>
  <c r="U3407" i="1"/>
  <c r="V3407" i="1" s="1"/>
  <c r="W3407" i="1" s="1"/>
  <c r="U3477" i="1"/>
  <c r="V3477" i="1" s="1"/>
  <c r="W3477" i="1" s="1"/>
  <c r="U3685" i="1"/>
  <c r="V3685" i="1" s="1"/>
  <c r="W3685" i="1" s="1"/>
  <c r="S3719" i="1"/>
  <c r="S3814" i="1"/>
  <c r="S2579" i="1"/>
  <c r="U2579" i="1"/>
  <c r="V2579" i="1" s="1"/>
  <c r="W2579" i="1" s="1"/>
  <c r="W2735" i="1"/>
  <c r="W2896" i="1"/>
  <c r="U2945" i="1"/>
  <c r="V2945" i="1" s="1"/>
  <c r="W2945" i="1" s="1"/>
  <c r="U3110" i="1"/>
  <c r="V3110" i="1" s="1"/>
  <c r="W3110" i="1" s="1"/>
  <c r="S3110" i="1"/>
  <c r="U3157" i="1"/>
  <c r="V3157" i="1" s="1"/>
  <c r="W3157" i="1" s="1"/>
  <c r="S3157" i="1"/>
  <c r="S3180" i="1"/>
  <c r="U3227" i="1"/>
  <c r="V3227" i="1" s="1"/>
  <c r="W3227" i="1" s="1"/>
  <c r="S3227" i="1"/>
  <c r="S3645" i="1"/>
  <c r="U3645" i="1"/>
  <c r="V3645" i="1" s="1"/>
  <c r="W3645" i="1" s="1"/>
  <c r="U2672" i="1"/>
  <c r="V2672" i="1" s="1"/>
  <c r="W2672" i="1" s="1"/>
  <c r="S2672" i="1"/>
  <c r="U3444" i="1"/>
  <c r="V3444" i="1" s="1"/>
  <c r="W3444" i="1" s="1"/>
  <c r="W3576" i="1"/>
  <c r="U3652" i="1"/>
  <c r="V3652" i="1" s="1"/>
  <c r="W3652" i="1" s="1"/>
  <c r="S3652" i="1"/>
  <c r="S3704" i="1"/>
  <c r="U3704" i="1"/>
  <c r="V3704" i="1" s="1"/>
  <c r="W3704" i="1" s="1"/>
  <c r="S3576" i="1"/>
  <c r="S3460" i="1"/>
  <c r="S3229" i="1"/>
  <c r="S3298" i="1"/>
  <c r="S3428" i="1"/>
  <c r="S3232" i="1"/>
  <c r="S2667" i="1"/>
  <c r="S2945" i="1"/>
  <c r="S2532" i="1"/>
  <c r="S2169" i="1"/>
  <c r="S1760" i="1"/>
  <c r="U3592" i="1"/>
  <c r="V3592" i="1" s="1"/>
  <c r="W3592" i="1" s="1"/>
  <c r="U3638" i="1"/>
  <c r="V3638" i="1" s="1"/>
  <c r="W3638" i="1" s="1"/>
  <c r="U3719" i="1"/>
  <c r="U3721" i="1" s="1"/>
  <c r="U3859" i="1"/>
  <c r="V3859" i="1" s="1"/>
  <c r="W3406" i="1"/>
  <c r="W3516" i="1"/>
  <c r="U3302" i="1"/>
  <c r="V3302" i="1" s="1"/>
  <c r="W3302" i="1" s="1"/>
  <c r="U3460" i="1"/>
  <c r="V3460" i="1" s="1"/>
  <c r="W3460" i="1" s="1"/>
  <c r="U3164" i="1"/>
  <c r="V3164" i="1" s="1"/>
  <c r="W3164" i="1" s="1"/>
  <c r="U3367" i="1"/>
  <c r="V3367" i="1" s="1"/>
  <c r="W3367" i="1" s="1"/>
  <c r="W2967" i="1"/>
  <c r="U2796" i="1"/>
  <c r="V2796" i="1" s="1"/>
  <c r="W2796" i="1" s="1"/>
  <c r="W2880" i="1"/>
  <c r="W2615" i="1"/>
  <c r="U2339" i="1"/>
  <c r="V2339" i="1" s="1"/>
  <c r="W2339" i="1" s="1"/>
  <c r="U2350" i="1"/>
  <c r="V2350" i="1" s="1"/>
  <c r="W2350" i="1" s="1"/>
  <c r="U2395" i="1"/>
  <c r="V2395" i="1" s="1"/>
  <c r="W2395" i="1" s="1"/>
  <c r="U1960" i="1"/>
  <c r="V1960" i="1" s="1"/>
  <c r="W1960" i="1" s="1"/>
  <c r="S2535" i="1"/>
  <c r="S3594" i="1"/>
  <c r="S3813" i="1"/>
  <c r="S3853" i="1"/>
  <c r="S3758" i="1"/>
  <c r="U3758" i="1"/>
  <c r="V3758" i="1" s="1"/>
  <c r="W3758" i="1" s="1"/>
  <c r="S2039" i="1"/>
  <c r="U2039" i="1"/>
  <c r="V2039" i="1" s="1"/>
  <c r="W2039" i="1" s="1"/>
  <c r="W2091" i="1"/>
  <c r="U2325" i="1"/>
  <c r="V2325" i="1" s="1"/>
  <c r="W2325" i="1" s="1"/>
  <c r="U2486" i="1"/>
  <c r="V2486" i="1" s="1"/>
  <c r="W2486" i="1" s="1"/>
  <c r="W3298" i="1"/>
  <c r="U2128" i="1"/>
  <c r="V2128" i="1" s="1"/>
  <c r="W2128" i="1" s="1"/>
  <c r="S2237" i="1"/>
  <c r="U2237" i="1"/>
  <c r="V2237" i="1" s="1"/>
  <c r="W2237" i="1" s="1"/>
  <c r="S2362" i="1"/>
  <c r="U2362" i="1"/>
  <c r="V2362" i="1" s="1"/>
  <c r="W2362" i="1" s="1"/>
  <c r="W2430" i="1"/>
  <c r="S2475" i="1"/>
  <c r="U2475" i="1"/>
  <c r="V2475" i="1" s="1"/>
  <c r="W2475" i="1" s="1"/>
  <c r="S2582" i="1"/>
  <c r="U2582" i="1"/>
  <c r="V2582" i="1" s="1"/>
  <c r="W2582" i="1" s="1"/>
  <c r="S2076" i="1"/>
  <c r="U2076" i="1"/>
  <c r="V2076" i="1" s="1"/>
  <c r="W2076" i="1" s="1"/>
  <c r="U2570" i="1"/>
  <c r="V2570" i="1" s="1"/>
  <c r="W2570" i="1" s="1"/>
  <c r="U2624" i="1"/>
  <c r="V2624" i="1" s="1"/>
  <c r="W2624" i="1" s="1"/>
  <c r="S2624" i="1"/>
  <c r="S2866" i="1"/>
  <c r="U2866" i="1"/>
  <c r="V2866" i="1" s="1"/>
  <c r="W2866" i="1" s="1"/>
  <c r="S2913" i="1"/>
  <c r="S2938" i="1"/>
  <c r="U2938" i="1"/>
  <c r="V2938" i="1" s="1"/>
  <c r="W2938" i="1" s="1"/>
  <c r="U3078" i="1"/>
  <c r="V3078" i="1" s="1"/>
  <c r="W3078" i="1" s="1"/>
  <c r="S3078" i="1"/>
  <c r="S3498" i="1"/>
  <c r="U2600" i="1"/>
  <c r="V2600" i="1" s="1"/>
  <c r="W2600" i="1" s="1"/>
  <c r="S2600" i="1"/>
  <c r="U2758" i="1"/>
  <c r="V2758" i="1" s="1"/>
  <c r="W2758" i="1" s="1"/>
  <c r="S2758" i="1"/>
  <c r="U2805" i="1"/>
  <c r="V2805" i="1" s="1"/>
  <c r="W2805" i="1" s="1"/>
  <c r="S2805" i="1"/>
  <c r="W3250" i="1"/>
  <c r="U3295" i="1"/>
  <c r="V3295" i="1" s="1"/>
  <c r="W3295" i="1" s="1"/>
  <c r="U3390" i="1"/>
  <c r="V3390" i="1" s="1"/>
  <c r="W3390" i="1" s="1"/>
  <c r="U3437" i="1"/>
  <c r="V3437" i="1" s="1"/>
  <c r="W3437" i="1" s="1"/>
  <c r="S3437" i="1"/>
  <c r="U2744" i="1"/>
  <c r="V2744" i="1" s="1"/>
  <c r="W2744" i="1" s="1"/>
  <c r="S2744" i="1"/>
  <c r="U3092" i="1"/>
  <c r="V3092" i="1" s="1"/>
  <c r="W3092" i="1" s="1"/>
  <c r="S3092" i="1"/>
  <c r="S3236" i="1"/>
  <c r="U3236" i="1"/>
  <c r="V3236" i="1" s="1"/>
  <c r="W3236" i="1" s="1"/>
  <c r="U3810" i="1"/>
  <c r="V3810" i="1" s="1"/>
  <c r="W3810" i="1" s="1"/>
  <c r="U1549" i="1"/>
  <c r="V1549" i="1" s="1"/>
  <c r="W1549" i="1" s="1"/>
  <c r="S1549" i="1"/>
  <c r="W2273" i="1"/>
  <c r="U2341" i="1"/>
  <c r="V2341" i="1" s="1"/>
  <c r="W2341" i="1" s="1"/>
  <c r="S2341" i="1"/>
  <c r="U2409" i="1"/>
  <c r="V2409" i="1" s="1"/>
  <c r="W2409" i="1" s="1"/>
  <c r="S2409" i="1"/>
  <c r="W2551" i="1"/>
  <c r="U2685" i="1"/>
  <c r="V2685" i="1" s="1"/>
  <c r="W2685" i="1" s="1"/>
  <c r="S2685" i="1"/>
  <c r="W2737" i="1"/>
  <c r="R3070" i="1"/>
  <c r="U3069" i="1"/>
  <c r="S3439" i="1"/>
  <c r="U3439" i="1"/>
  <c r="V3439" i="1" s="1"/>
  <c r="W3439" i="1" s="1"/>
  <c r="U3613" i="1"/>
  <c r="V3613" i="1" s="1"/>
  <c r="W3613" i="1" s="1"/>
  <c r="S3613" i="1"/>
  <c r="S3595" i="1"/>
  <c r="S2896" i="1"/>
  <c r="S3085" i="1"/>
  <c r="S2486" i="1"/>
  <c r="S2270" i="1"/>
  <c r="S1773" i="1"/>
  <c r="S1268" i="1"/>
  <c r="U3852" i="1"/>
  <c r="U3853" i="1"/>
  <c r="V3853" i="1" s="1"/>
  <c r="W3853" i="1" s="1"/>
  <c r="W3684" i="1"/>
  <c r="U3776" i="1"/>
  <c r="V3776" i="1" s="1"/>
  <c r="W3776" i="1" s="1"/>
  <c r="W3458" i="1"/>
  <c r="U3220" i="1"/>
  <c r="V3220" i="1" s="1"/>
  <c r="W3220" i="1" s="1"/>
  <c r="W3395" i="1"/>
  <c r="W3109" i="1"/>
  <c r="W3124" i="1"/>
  <c r="U2873" i="1"/>
  <c r="V2873" i="1" s="1"/>
  <c r="W2873" i="1" s="1"/>
  <c r="W2072" i="1"/>
  <c r="S2325" i="1"/>
  <c r="Q3517" i="1"/>
  <c r="S2395" i="1"/>
  <c r="S3250" i="1"/>
  <c r="W3282" i="1"/>
  <c r="W3037" i="1"/>
  <c r="W2757" i="1"/>
  <c r="W2468" i="1"/>
  <c r="W2321" i="1"/>
  <c r="W2209" i="1"/>
  <c r="S3668" i="1"/>
  <c r="S226" i="1"/>
  <c r="W3388" i="1"/>
  <c r="W3248" i="1"/>
  <c r="W3340" i="1"/>
  <c r="W2719" i="1"/>
  <c r="W2054" i="1"/>
  <c r="S1090" i="1"/>
  <c r="S1126" i="1"/>
  <c r="S1142" i="1"/>
  <c r="S1526" i="1"/>
  <c r="S1906" i="1"/>
  <c r="S583" i="1"/>
  <c r="S1375" i="1"/>
  <c r="S1479" i="1"/>
  <c r="S1607" i="1"/>
  <c r="S1787" i="1"/>
  <c r="S1895" i="1"/>
  <c r="S1999" i="1"/>
  <c r="S1584" i="1"/>
  <c r="S1616" i="1"/>
  <c r="S1680" i="1"/>
  <c r="S453" i="1"/>
  <c r="S1229" i="1"/>
  <c r="S1333" i="1"/>
  <c r="S1429" i="1"/>
  <c r="S1569" i="1"/>
  <c r="S1641" i="1"/>
  <c r="S1725" i="1"/>
  <c r="S1741" i="1"/>
  <c r="S1965" i="1"/>
  <c r="S1218" i="1"/>
  <c r="S1234" i="1"/>
  <c r="S1314" i="1"/>
  <c r="S1722" i="1"/>
  <c r="S1934" i="1"/>
  <c r="S75" i="1"/>
  <c r="S223" i="1"/>
  <c r="S487" i="1"/>
  <c r="S711" i="1"/>
  <c r="S783" i="1"/>
  <c r="S1031" i="1"/>
  <c r="S1211" i="1"/>
  <c r="S1515" i="1"/>
  <c r="S1807" i="1"/>
  <c r="S876" i="1"/>
  <c r="S1304" i="1"/>
  <c r="S1572" i="1"/>
  <c r="S93" i="1"/>
  <c r="W3614" i="1"/>
  <c r="W3796" i="1"/>
  <c r="W3738" i="1"/>
  <c r="W3865" i="1"/>
  <c r="W2918" i="1"/>
  <c r="W3090" i="1"/>
  <c r="W2545" i="1"/>
  <c r="W2699" i="1"/>
  <c r="W2347" i="1"/>
  <c r="W2391" i="1"/>
  <c r="W2330" i="1"/>
  <c r="S2130" i="1"/>
  <c r="S2323" i="1"/>
  <c r="S2393" i="1"/>
  <c r="S2965" i="1"/>
  <c r="S3141" i="1"/>
  <c r="S3213" i="1"/>
  <c r="S3281" i="1"/>
  <c r="S3491" i="1"/>
  <c r="S2187" i="1"/>
  <c r="S3511" i="1"/>
  <c r="S2519" i="1"/>
  <c r="S2585" i="1"/>
  <c r="S3669" i="1"/>
  <c r="S2348" i="1"/>
  <c r="S2414" i="1"/>
  <c r="S3022" i="1"/>
  <c r="S3588" i="1"/>
  <c r="S3788" i="1"/>
  <c r="W2827" i="1"/>
  <c r="W3323" i="1"/>
  <c r="W2835" i="1"/>
  <c r="W3179" i="1"/>
  <c r="W2803" i="1"/>
  <c r="W3115" i="1"/>
  <c r="W2895" i="1"/>
  <c r="W2665" i="1"/>
  <c r="W2763" i="1"/>
  <c r="W2459" i="1"/>
  <c r="W2483" i="1"/>
  <c r="W2529" i="1"/>
  <c r="W2523" i="1"/>
  <c r="W2413" i="1"/>
  <c r="W2188" i="1"/>
  <c r="W2112" i="1"/>
  <c r="W1937" i="1"/>
  <c r="S2951" i="1"/>
  <c r="S78" i="1"/>
  <c r="S266" i="1"/>
  <c r="S342" i="1"/>
  <c r="S1098" i="1"/>
  <c r="S1406" i="1"/>
  <c r="S1462" i="1"/>
  <c r="S1478" i="1"/>
  <c r="S1498" i="1"/>
  <c r="S1514" i="1"/>
  <c r="S1654" i="1"/>
  <c r="S1694" i="1"/>
  <c r="S1782" i="1"/>
  <c r="S1838" i="1"/>
  <c r="S1854" i="1"/>
  <c r="S3795" i="1"/>
  <c r="S2618" i="1"/>
  <c r="S2788" i="1"/>
  <c r="S3018" i="1"/>
  <c r="S3302" i="1"/>
  <c r="S3376" i="1"/>
  <c r="S3444" i="1"/>
  <c r="S3648" i="1"/>
  <c r="S3325" i="1"/>
  <c r="S3397" i="1"/>
  <c r="S3601" i="1"/>
  <c r="S2786" i="1"/>
  <c r="S2837" i="1"/>
  <c r="S2903" i="1"/>
  <c r="S2977" i="1"/>
  <c r="S3117" i="1"/>
  <c r="S3189" i="1"/>
  <c r="S2460" i="1"/>
  <c r="S2930" i="1"/>
  <c r="S3630" i="1"/>
  <c r="S63" i="1"/>
  <c r="S627" i="1"/>
  <c r="S1103" i="1"/>
  <c r="S1903" i="1"/>
  <c r="S1923" i="1"/>
  <c r="S1926" i="1" s="1"/>
  <c r="S624" i="1"/>
  <c r="S1456" i="1"/>
  <c r="S1780" i="1"/>
  <c r="S1920" i="1"/>
  <c r="S197" i="1"/>
  <c r="S1109" i="1"/>
  <c r="S2625" i="1"/>
  <c r="S3388" i="1"/>
  <c r="S2178" i="1"/>
  <c r="S2721" i="1"/>
  <c r="S2787" i="1"/>
  <c r="S3247" i="1"/>
  <c r="S3387" i="1"/>
  <c r="S2179" i="1"/>
  <c r="S3174" i="1"/>
  <c r="S3244" i="1"/>
  <c r="S3384" i="1"/>
  <c r="S3592" i="1"/>
  <c r="S3810" i="1"/>
  <c r="W3131" i="1"/>
  <c r="S2591" i="1"/>
  <c r="S2616" i="1"/>
  <c r="S2858" i="1"/>
  <c r="S3062" i="1"/>
  <c r="S3280" i="1"/>
  <c r="S3548" i="1"/>
  <c r="W2746" i="1"/>
  <c r="X2150" i="1"/>
  <c r="X503" i="1"/>
  <c r="W3863" i="1"/>
  <c r="W3794" i="1"/>
  <c r="W3755" i="1"/>
  <c r="W3744" i="1"/>
  <c r="W3670" i="1"/>
  <c r="W3661" i="1"/>
  <c r="W3654" i="1"/>
  <c r="W3607" i="1"/>
  <c r="W3596" i="1"/>
  <c r="W3531" i="1"/>
  <c r="W3522" i="1"/>
  <c r="W3392" i="1"/>
  <c r="W3383" i="1"/>
  <c r="W3378" i="1"/>
  <c r="W3309" i="1"/>
  <c r="W3283" i="1"/>
  <c r="W3268" i="1"/>
  <c r="W3245" i="1"/>
  <c r="S3243" i="1"/>
  <c r="S3198" i="1"/>
  <c r="W3099" i="1"/>
  <c r="W3054" i="1"/>
  <c r="W3040" i="1"/>
  <c r="W3029" i="1"/>
  <c r="W2959" i="1"/>
  <c r="W2846" i="1"/>
  <c r="W2830" i="1"/>
  <c r="W2821" i="1"/>
  <c r="W2753" i="1"/>
  <c r="S2681" i="1"/>
  <c r="W2617" i="1"/>
  <c r="W2586" i="1"/>
  <c r="W2552" i="1"/>
  <c r="W2547" i="1"/>
  <c r="W2534" i="1"/>
  <c r="W2473" i="1"/>
  <c r="W2405" i="1"/>
  <c r="W2337" i="1"/>
  <c r="W2059" i="1"/>
  <c r="W1941" i="1"/>
  <c r="S3013" i="1"/>
  <c r="S3083" i="1"/>
  <c r="U3836" i="1"/>
  <c r="V3836" i="1" s="1"/>
  <c r="W3836" i="1" s="1"/>
  <c r="W1917" i="1"/>
  <c r="W2143" i="1"/>
  <c r="W2181" i="1"/>
  <c r="W2389" i="1"/>
  <c r="W2457" i="1"/>
  <c r="W2531" i="1"/>
  <c r="W2597" i="1"/>
  <c r="W2733" i="1"/>
  <c r="W2871" i="1"/>
  <c r="W3083" i="1"/>
  <c r="W3293" i="1"/>
  <c r="W3435" i="1"/>
  <c r="W3663" i="1"/>
  <c r="W3837" i="1"/>
  <c r="S1767" i="1"/>
  <c r="S2986" i="1"/>
  <c r="W3503" i="1"/>
  <c r="W3297" i="1"/>
  <c r="W3155" i="1"/>
  <c r="W3013" i="1"/>
  <c r="W3079" i="1"/>
  <c r="W2323" i="1"/>
  <c r="W2071" i="1"/>
  <c r="W2108" i="1"/>
  <c r="W1629" i="1"/>
  <c r="W857" i="1"/>
  <c r="W1385" i="1"/>
  <c r="W773" i="1"/>
  <c r="S2465" i="1"/>
  <c r="S997" i="1"/>
  <c r="S1137" i="1"/>
  <c r="S1409" i="1"/>
  <c r="S3060" i="1"/>
  <c r="U3252" i="1"/>
  <c r="V3252" i="1" s="1"/>
  <c r="W3252" i="1" s="1"/>
  <c r="S3252" i="1"/>
  <c r="U2269" i="1"/>
  <c r="V2269" i="1" s="1"/>
  <c r="U1259" i="1"/>
  <c r="V1259" i="1" s="1"/>
  <c r="W1259" i="1" s="1"/>
  <c r="S1259" i="1"/>
  <c r="U3094" i="1"/>
  <c r="V3094" i="1" s="1"/>
  <c r="W3094" i="1" s="1"/>
  <c r="U2595" i="1"/>
  <c r="V2595" i="1" s="1"/>
  <c r="W2595" i="1" s="1"/>
  <c r="U2683" i="1"/>
  <c r="V2683" i="1" s="1"/>
  <c r="W2683" i="1" s="1"/>
  <c r="U2774" i="1"/>
  <c r="V2774" i="1" s="1"/>
  <c r="W2774" i="1" s="1"/>
  <c r="S2774" i="1"/>
  <c r="U3320" i="1"/>
  <c r="V3320" i="1" s="1"/>
  <c r="W3320" i="1" s="1"/>
  <c r="S3320" i="1"/>
  <c r="U3464" i="1"/>
  <c r="V3464" i="1" s="1"/>
  <c r="S3464" i="1"/>
  <c r="S1597" i="1"/>
  <c r="U2891" i="1"/>
  <c r="V2891" i="1" s="1"/>
  <c r="W2891" i="1" s="1"/>
  <c r="U2233" i="1"/>
  <c r="V2233" i="1" s="1"/>
  <c r="S3720" i="1"/>
  <c r="U1293" i="1"/>
  <c r="V1293" i="1" s="1"/>
  <c r="W1293" i="1" s="1"/>
  <c r="U2588" i="1"/>
  <c r="V2588" i="1" s="1"/>
  <c r="W2588" i="1" s="1"/>
  <c r="S2588" i="1"/>
  <c r="S3353" i="1"/>
  <c r="S2619" i="1"/>
  <c r="S3446" i="1"/>
  <c r="U3198" i="1"/>
  <c r="V3198" i="1" s="1"/>
  <c r="W3198" i="1" s="1"/>
  <c r="U2861" i="1"/>
  <c r="V2861" i="1" s="1"/>
  <c r="W2861" i="1" s="1"/>
  <c r="U3304" i="1"/>
  <c r="V3304" i="1" s="1"/>
  <c r="W3304" i="1" s="1"/>
  <c r="S3304" i="1"/>
  <c r="S3589" i="1"/>
  <c r="S3661" i="1"/>
  <c r="S3408" i="1"/>
  <c r="S3175" i="1"/>
  <c r="S3105" i="1"/>
  <c r="S2954" i="1"/>
  <c r="S2683" i="1"/>
  <c r="S1405" i="1"/>
  <c r="W2168" i="1"/>
  <c r="W2366" i="1"/>
  <c r="W2411" i="1"/>
  <c r="W2434" i="1"/>
  <c r="W2481" i="1"/>
  <c r="W2517" i="1"/>
  <c r="W2808" i="1"/>
  <c r="W3088" i="1"/>
  <c r="W3664" i="1"/>
  <c r="W1901" i="1"/>
  <c r="W2271" i="1"/>
  <c r="W2357" i="1"/>
  <c r="W2378" i="1"/>
  <c r="W2425" i="1"/>
  <c r="W2493" i="1"/>
  <c r="W2652" i="1"/>
  <c r="W2860" i="1"/>
  <c r="W3142" i="1"/>
  <c r="W3422" i="1"/>
  <c r="W1425" i="1"/>
  <c r="W1441" i="1"/>
  <c r="W1953" i="1"/>
  <c r="W2070" i="1"/>
  <c r="W2094" i="1"/>
  <c r="W2364" i="1"/>
  <c r="W2432" i="1"/>
  <c r="W2986" i="1"/>
  <c r="W3266" i="1"/>
  <c r="W3550" i="1"/>
  <c r="W2554" i="1"/>
  <c r="W2619" i="1"/>
  <c r="S2674" i="1"/>
  <c r="W2723" i="1"/>
  <c r="W2814" i="1"/>
  <c r="W2884" i="1"/>
  <c r="W2954" i="1"/>
  <c r="W3003" i="1"/>
  <c r="S3073" i="1"/>
  <c r="W3143" i="1"/>
  <c r="W3238" i="1"/>
  <c r="S3378" i="1"/>
  <c r="S3423" i="1"/>
  <c r="W3446" i="1"/>
  <c r="W3493" i="1"/>
  <c r="S3522" i="1"/>
  <c r="S3744" i="1"/>
  <c r="S3863" i="1"/>
  <c r="W2654" i="1"/>
  <c r="W2706" i="1"/>
  <c r="S2753" i="1"/>
  <c r="S2891" i="1"/>
  <c r="W2988" i="1"/>
  <c r="W3031" i="1"/>
  <c r="S3054" i="1"/>
  <c r="W3175" i="1"/>
  <c r="S3268" i="1"/>
  <c r="W3311" i="1"/>
  <c r="W3385" i="1"/>
  <c r="W3408" i="1"/>
  <c r="W3455" i="1"/>
  <c r="W3478" i="1"/>
  <c r="S3531" i="1"/>
  <c r="W3589" i="1"/>
  <c r="W3686" i="1"/>
  <c r="W2760" i="1"/>
  <c r="S2830" i="1"/>
  <c r="W2898" i="1"/>
  <c r="S3596" i="1"/>
  <c r="S3724" i="1"/>
  <c r="S2824" i="1"/>
  <c r="S3332" i="1"/>
  <c r="U2109" i="1"/>
  <c r="V2109" i="1" s="1"/>
  <c r="W2109" i="1" s="1"/>
  <c r="S2109" i="1"/>
  <c r="U1440" i="1"/>
  <c r="V1440" i="1" s="1"/>
  <c r="W1440" i="1" s="1"/>
  <c r="S1440" i="1"/>
  <c r="S1845" i="1"/>
  <c r="U1845" i="1"/>
  <c r="V1845" i="1" s="1"/>
  <c r="W1845" i="1" s="1"/>
  <c r="U1868" i="1"/>
  <c r="V1868" i="1" s="1"/>
  <c r="W1868" i="1" s="1"/>
  <c r="S1868" i="1"/>
  <c r="S2040" i="1"/>
  <c r="R2150" i="1"/>
  <c r="U2148" i="1"/>
  <c r="V2148" i="1" s="1"/>
  <c r="S2226" i="1"/>
  <c r="S2446" i="1"/>
  <c r="U2446" i="1"/>
  <c r="V2446" i="1" s="1"/>
  <c r="W2446" i="1" s="1"/>
  <c r="S1265" i="1"/>
  <c r="U1265" i="1"/>
  <c r="V1265" i="1" s="1"/>
  <c r="W1265" i="1" s="1"/>
  <c r="U1389" i="1"/>
  <c r="V1389" i="1" s="1"/>
  <c r="S1389" i="1"/>
  <c r="U1495" i="1"/>
  <c r="V1495" i="1" s="1"/>
  <c r="W1495" i="1" s="1"/>
  <c r="U1697" i="1"/>
  <c r="V1697" i="1" s="1"/>
  <c r="W1697" i="1" s="1"/>
  <c r="S3088" i="1"/>
  <c r="U2226" i="1"/>
  <c r="V2226" i="1" s="1"/>
  <c r="W2226" i="1" s="1"/>
  <c r="S2322" i="1"/>
  <c r="S2770" i="1"/>
  <c r="U1097" i="1"/>
  <c r="V1097" i="1" s="1"/>
  <c r="W1097" i="1" s="1"/>
  <c r="U1241" i="1"/>
  <c r="V1241" i="1" s="1"/>
  <c r="W1241" i="1" s="1"/>
  <c r="S1241" i="1"/>
  <c r="U1613" i="1"/>
  <c r="V1613" i="1" s="1"/>
  <c r="W1613" i="1" s="1"/>
  <c r="S1613" i="1"/>
  <c r="S3372" i="1"/>
  <c r="S1061" i="1"/>
  <c r="S1077" i="1"/>
  <c r="W3824" i="1"/>
  <c r="S2457" i="1"/>
  <c r="S2803" i="1"/>
  <c r="S3591" i="1"/>
  <c r="S2814" i="1"/>
  <c r="S2070" i="1"/>
  <c r="S3245" i="1"/>
  <c r="S2884" i="1"/>
  <c r="S1615" i="1"/>
  <c r="S2723" i="1"/>
  <c r="S2861" i="1"/>
  <c r="S3550" i="1"/>
  <c r="S3478" i="1"/>
  <c r="S3143" i="1"/>
  <c r="S3385" i="1"/>
  <c r="S3094" i="1"/>
  <c r="S2791" i="1"/>
  <c r="S2595" i="1"/>
  <c r="S2152" i="1"/>
  <c r="U3633" i="1"/>
  <c r="V3633" i="1" s="1"/>
  <c r="W3633" i="1" s="1"/>
  <c r="U3724" i="1"/>
  <c r="V3724" i="1" s="1"/>
  <c r="W3724" i="1" s="1"/>
  <c r="W3312" i="1"/>
  <c r="U3423" i="1"/>
  <c r="V3423" i="1" s="1"/>
  <c r="W3423" i="1" s="1"/>
  <c r="S2846" i="1"/>
  <c r="S3686" i="1"/>
  <c r="S3755" i="1"/>
  <c r="R2289" i="1"/>
  <c r="U2288" i="1"/>
  <c r="V2288" i="1" s="1"/>
  <c r="U2343" i="1"/>
  <c r="V2343" i="1" s="1"/>
  <c r="W2343" i="1" s="1"/>
  <c r="S2343" i="1"/>
  <c r="S1353" i="1"/>
  <c r="U1353" i="1"/>
  <c r="V1353" i="1" s="1"/>
  <c r="W1353" i="1" s="1"/>
  <c r="R2241" i="1"/>
  <c r="U2240" i="1"/>
  <c r="V2240" i="1" s="1"/>
  <c r="S2653" i="1"/>
  <c r="U2653" i="1"/>
  <c r="V2653" i="1" s="1"/>
  <c r="W2653" i="1" s="1"/>
  <c r="S2933" i="1"/>
  <c r="U2933" i="1"/>
  <c r="V2933" i="1" s="1"/>
  <c r="W2933" i="1" s="1"/>
  <c r="S3024" i="1"/>
  <c r="U3024" i="1"/>
  <c r="V3024" i="1" s="1"/>
  <c r="W3024" i="1" s="1"/>
  <c r="S3166" i="1"/>
  <c r="U3166" i="1"/>
  <c r="V3166" i="1" s="1"/>
  <c r="W3166" i="1" s="1"/>
  <c r="S3215" i="1"/>
  <c r="U3215" i="1"/>
  <c r="V3215" i="1" s="1"/>
  <c r="W3215" i="1" s="1"/>
  <c r="S3493" i="1"/>
  <c r="S3654" i="1"/>
  <c r="S2534" i="1"/>
  <c r="S2706" i="1"/>
  <c r="U2823" i="1"/>
  <c r="V2823" i="1" s="1"/>
  <c r="W2823" i="1" s="1"/>
  <c r="U2963" i="1"/>
  <c r="V2963" i="1" s="1"/>
  <c r="S2963" i="1"/>
  <c r="S2988" i="1"/>
  <c r="S3031" i="1"/>
  <c r="S3126" i="1"/>
  <c r="U3126" i="1"/>
  <c r="V3126" i="1" s="1"/>
  <c r="W3126" i="1" s="1"/>
  <c r="S3311" i="1"/>
  <c r="S3336" i="1"/>
  <c r="U3336" i="1"/>
  <c r="V3336" i="1" s="1"/>
  <c r="W3336" i="1" s="1"/>
  <c r="S3455" i="1"/>
  <c r="S3794" i="1"/>
  <c r="S2690" i="1"/>
  <c r="U2690" i="1"/>
  <c r="V2690" i="1" s="1"/>
  <c r="W2690" i="1" s="1"/>
  <c r="U2970" i="1"/>
  <c r="V2970" i="1" s="1"/>
  <c r="W2970" i="1" s="1"/>
  <c r="S2057" i="1"/>
  <c r="W3532" i="1"/>
  <c r="U3372" i="1"/>
  <c r="V3372" i="1" s="1"/>
  <c r="S3664" i="1"/>
  <c r="S2908" i="1"/>
  <c r="W3158" i="1"/>
  <c r="S2957" i="1"/>
  <c r="S2860" i="1"/>
  <c r="S1697" i="1"/>
  <c r="S1508" i="1"/>
  <c r="S1311" i="1"/>
  <c r="S1201" i="1"/>
  <c r="S1018" i="1"/>
  <c r="S387" i="1"/>
  <c r="W3386" i="1"/>
  <c r="U2674" i="1"/>
  <c r="V2674" i="1" s="1"/>
  <c r="W2674" i="1" s="1"/>
  <c r="S3238" i="1"/>
  <c r="S1693" i="1"/>
  <c r="S1329" i="1"/>
  <c r="S77" i="1"/>
  <c r="W3280" i="1"/>
  <c r="W2874" i="1"/>
  <c r="S3646" i="1"/>
  <c r="S3348" i="1"/>
  <c r="S2481" i="1"/>
  <c r="S2425" i="1"/>
  <c r="S2580" i="1"/>
  <c r="S2148" i="1"/>
  <c r="S2150" i="1" s="1"/>
  <c r="S1301" i="1"/>
  <c r="S1097" i="1"/>
  <c r="W3790" i="1"/>
  <c r="W3646" i="1"/>
  <c r="W3808" i="1"/>
  <c r="W3420" i="1"/>
  <c r="W3630" i="1"/>
  <c r="W3176" i="1"/>
  <c r="W3032" i="1"/>
  <c r="U3073" i="1"/>
  <c r="V3073" i="1" s="1"/>
  <c r="W3073" i="1" s="1"/>
  <c r="S389" i="1"/>
  <c r="S857" i="1"/>
  <c r="S1369" i="1"/>
  <c r="S1825" i="1"/>
  <c r="S1857" i="1"/>
  <c r="S3115" i="1"/>
  <c r="S3817" i="1"/>
  <c r="W3655" i="1"/>
  <c r="W3606" i="1"/>
  <c r="W3212" i="1"/>
  <c r="W3122" i="1"/>
  <c r="W3066" i="1"/>
  <c r="W3246" i="1"/>
  <c r="W2824" i="1"/>
  <c r="W2892" i="1"/>
  <c r="W2779" i="1"/>
  <c r="W1741" i="1"/>
  <c r="W1757" i="1"/>
  <c r="W1497" i="1"/>
  <c r="W1268" i="1"/>
  <c r="W3059" i="1"/>
  <c r="U3182" i="1"/>
  <c r="V3182" i="1" s="1"/>
  <c r="W3182" i="1" s="1"/>
  <c r="W3050" i="1"/>
  <c r="U3112" i="1"/>
  <c r="V3112" i="1" s="1"/>
  <c r="W3112" i="1" s="1"/>
  <c r="W1760" i="1"/>
  <c r="W1457" i="1"/>
  <c r="W1196" i="1"/>
  <c r="W1180" i="1"/>
  <c r="W969" i="1"/>
  <c r="W941" i="1"/>
  <c r="W825" i="1"/>
  <c r="S2480" i="1"/>
  <c r="S1698" i="1"/>
  <c r="S1750" i="1"/>
  <c r="S568" i="1"/>
  <c r="S880" i="1"/>
  <c r="S409" i="1"/>
  <c r="S2751" i="1"/>
  <c r="S2959" i="1"/>
  <c r="S3029" i="1"/>
  <c r="S3309" i="1"/>
  <c r="S3751" i="1"/>
  <c r="S2617" i="1"/>
  <c r="S3533" i="1"/>
  <c r="S3683" i="1"/>
  <c r="W2107" i="1"/>
  <c r="W1996" i="1"/>
  <c r="W1951" i="1"/>
  <c r="W2038" i="1"/>
  <c r="W2125" i="1"/>
  <c r="W1773" i="1"/>
  <c r="W1857" i="1"/>
  <c r="W1825" i="1"/>
  <c r="W925" i="1"/>
  <c r="W1161" i="1"/>
  <c r="W873" i="1"/>
  <c r="W753" i="1"/>
  <c r="S2209" i="1"/>
  <c r="S2394" i="1"/>
  <c r="S2659" i="1"/>
  <c r="W3581" i="1"/>
  <c r="S168" i="1"/>
  <c r="S2054" i="1"/>
  <c r="S2052" i="1"/>
  <c r="S1832" i="1"/>
  <c r="S1544" i="1"/>
  <c r="W2993" i="1"/>
  <c r="W3273" i="1"/>
  <c r="W2487" i="1"/>
  <c r="W2062" i="1"/>
  <c r="W2075" i="1"/>
  <c r="W2041" i="1"/>
  <c r="W1601" i="1"/>
  <c r="W2245" i="1"/>
  <c r="W393" i="1"/>
  <c r="W2894" i="1"/>
  <c r="W2145" i="1"/>
  <c r="W2306" i="1"/>
  <c r="S2493" i="1"/>
  <c r="S3422" i="1"/>
  <c r="S2364" i="1"/>
  <c r="S3003" i="1"/>
  <c r="S3415" i="1"/>
  <c r="S2817" i="1"/>
  <c r="W3734" i="1"/>
  <c r="U2040" i="1"/>
  <c r="V2040" i="1" s="1"/>
  <c r="W2040" i="1" s="1"/>
  <c r="U1753" i="1"/>
  <c r="U1754" i="1" s="1"/>
  <c r="S3543" i="1"/>
  <c r="S2677" i="1"/>
  <c r="S2575" i="1"/>
  <c r="S2666" i="1"/>
  <c r="S2153" i="1"/>
  <c r="W3698" i="1"/>
  <c r="W3485" i="1"/>
  <c r="W3583" i="1"/>
  <c r="W3456" i="1"/>
  <c r="W3140" i="1"/>
  <c r="W3368" i="1"/>
  <c r="W3570" i="1"/>
  <c r="W3307" i="1"/>
  <c r="W3381" i="1"/>
  <c r="W3086" i="1"/>
  <c r="W3194" i="1"/>
  <c r="W3106" i="1"/>
  <c r="W3332" i="1"/>
  <c r="W3264" i="1"/>
  <c r="W3000" i="1"/>
  <c r="W2408" i="1"/>
  <c r="W2530" i="1"/>
  <c r="S3623" i="1"/>
  <c r="W3169" i="1"/>
  <c r="S3819" i="1"/>
  <c r="S3767" i="1"/>
  <c r="S864" i="1"/>
  <c r="W3785" i="1"/>
  <c r="W3714" i="1"/>
  <c r="W3027" i="1"/>
  <c r="W2700" i="1"/>
  <c r="S3677" i="1"/>
  <c r="S812" i="1"/>
  <c r="W3682" i="1"/>
  <c r="W3662" i="1"/>
  <c r="W3490" i="1"/>
  <c r="W3590" i="1"/>
  <c r="W3474" i="1"/>
  <c r="W3548" i="1"/>
  <c r="W3438" i="1"/>
  <c r="S540" i="1"/>
  <c r="S1796" i="1"/>
  <c r="S458" i="1"/>
  <c r="W3806" i="1"/>
  <c r="W3384" i="1"/>
  <c r="S3140" i="1"/>
  <c r="S2946" i="1"/>
  <c r="W3534" i="1"/>
  <c r="W1314" i="1"/>
  <c r="W1002" i="1"/>
  <c r="W1218" i="1"/>
  <c r="W1282" i="1"/>
  <c r="W94" i="1"/>
  <c r="S1180" i="1"/>
  <c r="S1002" i="1"/>
  <c r="W3359" i="1"/>
  <c r="W3341" i="1"/>
  <c r="W2089" i="1"/>
  <c r="W1844" i="1"/>
  <c r="W1809" i="1"/>
  <c r="W1533" i="1"/>
  <c r="W1369" i="1"/>
  <c r="W1113" i="1"/>
  <c r="W1225" i="1"/>
  <c r="W983" i="1"/>
  <c r="W841" i="1"/>
  <c r="W789" i="1"/>
  <c r="W389" i="1"/>
  <c r="W332" i="1"/>
  <c r="S1789" i="1"/>
  <c r="S2312" i="1"/>
  <c r="W1291" i="1"/>
  <c r="W1466" i="1"/>
  <c r="W1334" i="1"/>
  <c r="W1096" i="1"/>
  <c r="W928" i="1"/>
  <c r="W524" i="1"/>
  <c r="S180" i="1"/>
  <c r="W77" i="1"/>
  <c r="W1693" i="1"/>
  <c r="S1746" i="1"/>
  <c r="S999" i="1"/>
  <c r="S434" i="1"/>
  <c r="W944" i="1"/>
  <c r="W737" i="1"/>
  <c r="W177" i="1"/>
  <c r="W537" i="1"/>
  <c r="W137" i="1"/>
  <c r="S1996" i="1"/>
  <c r="S1972" i="1"/>
  <c r="S2608" i="1"/>
  <c r="S535" i="1"/>
  <c r="W3074" i="1"/>
  <c r="W2797" i="1"/>
  <c r="W1812" i="1"/>
  <c r="W1700" i="1"/>
  <c r="W1782" i="1"/>
  <c r="W1654" i="1"/>
  <c r="W1916" i="1"/>
  <c r="W1602" i="1"/>
  <c r="W1776" i="1"/>
  <c r="W1709" i="1"/>
  <c r="W1597" i="1"/>
  <c r="W1324" i="1"/>
  <c r="W1789" i="1"/>
  <c r="W1677" i="1"/>
  <c r="W1473" i="1"/>
  <c r="W1513" i="1"/>
  <c r="W1456" i="1"/>
  <c r="W1086" i="1"/>
  <c r="W985" i="1"/>
  <c r="W1070" i="1"/>
  <c r="W966" i="1"/>
  <c r="S1677" i="1"/>
  <c r="S1148" i="1"/>
  <c r="S2203" i="1"/>
  <c r="W1133" i="1"/>
  <c r="S3501" i="1"/>
  <c r="S3693" i="1"/>
  <c r="S3307" i="1"/>
  <c r="S2890" i="1"/>
  <c r="W3543" i="1"/>
  <c r="W3677" i="1"/>
  <c r="W3135" i="1"/>
  <c r="W3325" i="1"/>
  <c r="W3291" i="1"/>
  <c r="W3228" i="1"/>
  <c r="W2806" i="1"/>
  <c r="W2650" i="1"/>
  <c r="W2340" i="1"/>
  <c r="W2580" i="1"/>
  <c r="S2557" i="1"/>
  <c r="S2369" i="1"/>
  <c r="S2387" i="1"/>
  <c r="W3641" i="1"/>
  <c r="W3501" i="1"/>
  <c r="W3431" i="1"/>
  <c r="W2903" i="1"/>
  <c r="W3275" i="1"/>
  <c r="W3223" i="1"/>
  <c r="W2995" i="1"/>
  <c r="S602" i="1"/>
  <c r="S1786" i="1"/>
  <c r="S1123" i="1"/>
  <c r="S1415" i="1"/>
  <c r="S2015" i="1"/>
  <c r="S3610" i="1"/>
  <c r="S3045" i="1"/>
  <c r="S1879" i="1"/>
  <c r="S1719" i="1"/>
  <c r="W3749" i="1"/>
  <c r="W3767" i="1"/>
  <c r="W3709" i="1"/>
  <c r="W3803" i="1"/>
  <c r="W2858" i="1"/>
  <c r="W2869" i="1"/>
  <c r="W2908" i="1"/>
  <c r="W2729" i="1"/>
  <c r="W2941" i="1"/>
  <c r="W2781" i="1"/>
  <c r="W2754" i="1"/>
  <c r="W2557" i="1"/>
  <c r="W2616" i="1"/>
  <c r="W2455" i="1"/>
  <c r="W2765" i="1"/>
  <c r="W2770" i="1"/>
  <c r="W1791" i="1"/>
  <c r="W1848" i="1"/>
  <c r="W2216" i="1"/>
  <c r="W1813" i="1"/>
  <c r="W1373" i="1"/>
  <c r="W1444" i="1"/>
  <c r="W1553" i="1"/>
  <c r="W1713" i="1"/>
  <c r="W1065" i="1"/>
  <c r="W712" i="1"/>
  <c r="S1138" i="1"/>
  <c r="S1282" i="1"/>
  <c r="S1935" i="1"/>
  <c r="S1791" i="1"/>
  <c r="S469" i="1"/>
  <c r="W2632" i="1"/>
  <c r="W3097" i="1"/>
  <c r="W2946" i="1"/>
  <c r="W2842" i="1"/>
  <c r="W2677" i="1"/>
  <c r="W2591" i="1"/>
  <c r="W2786" i="1"/>
  <c r="W2731" i="1"/>
  <c r="W2546" i="1"/>
  <c r="W2736" i="1"/>
  <c r="W2476" i="1"/>
  <c r="W2322" i="1"/>
  <c r="W1843" i="1"/>
  <c r="W2300" i="1"/>
  <c r="W2052" i="1"/>
  <c r="W1617" i="1"/>
  <c r="W1467" i="1"/>
  <c r="W1569" i="1"/>
  <c r="W1429" i="1"/>
  <c r="W1317" i="1"/>
  <c r="W1703" i="1"/>
  <c r="W1256" i="1"/>
  <c r="W1710" i="1"/>
  <c r="W1622" i="1"/>
  <c r="W100" i="1"/>
  <c r="W240" i="1"/>
  <c r="W152" i="1"/>
  <c r="S1344" i="1"/>
  <c r="S1164" i="1"/>
  <c r="S234" i="1"/>
  <c r="W880" i="1"/>
  <c r="W913" i="1"/>
  <c r="W473" i="1"/>
  <c r="W457" i="1"/>
  <c r="W269" i="1"/>
  <c r="S137" i="1"/>
  <c r="S421" i="1"/>
  <c r="S437" i="1"/>
  <c r="S521" i="1"/>
  <c r="S685" i="1"/>
  <c r="S773" i="1"/>
  <c r="S1338" i="1"/>
  <c r="S468" i="1"/>
  <c r="W3436" i="1"/>
  <c r="W3472" i="1"/>
  <c r="W3156" i="1"/>
  <c r="W2872" i="1"/>
  <c r="S3016" i="1"/>
  <c r="S2736" i="1"/>
  <c r="S708" i="1"/>
  <c r="W3145" i="1"/>
  <c r="W3285" i="1"/>
  <c r="S838" i="1"/>
  <c r="S766" i="1"/>
  <c r="S227" i="1"/>
  <c r="S418" i="1"/>
  <c r="W1796" i="1"/>
  <c r="W1380" i="1"/>
  <c r="W1472" i="1"/>
  <c r="W1540" i="1"/>
  <c r="W1171" i="1"/>
  <c r="W1112" i="1"/>
  <c r="W1128" i="1"/>
  <c r="W1164" i="1"/>
  <c r="W672" i="1"/>
  <c r="W249" i="1"/>
  <c r="W121" i="1"/>
  <c r="S3079" i="1"/>
  <c r="S1324" i="1"/>
  <c r="S646" i="1"/>
  <c r="W3720" i="1"/>
  <c r="Q1979" i="1"/>
  <c r="S1254" i="1"/>
  <c r="S1067" i="1"/>
  <c r="S544" i="1"/>
  <c r="S51" i="1"/>
  <c r="S360" i="1"/>
  <c r="W1649" i="1"/>
  <c r="W1743" i="1"/>
  <c r="W1935" i="1"/>
  <c r="W1546" i="1"/>
  <c r="W1398" i="1"/>
  <c r="W1405" i="1"/>
  <c r="W755" i="1"/>
  <c r="W490" i="1"/>
  <c r="W730" i="1"/>
  <c r="W409" i="1"/>
  <c r="W246" i="1"/>
  <c r="S2821" i="1"/>
  <c r="S1839" i="1"/>
  <c r="S2062" i="1"/>
  <c r="W2462" i="1"/>
  <c r="W1234" i="1"/>
  <c r="W566" i="1"/>
  <c r="W838" i="1"/>
  <c r="W666" i="1"/>
  <c r="S94" i="1"/>
  <c r="S490" i="1"/>
  <c r="W950" i="1"/>
  <c r="W582" i="1"/>
  <c r="W418" i="1"/>
  <c r="W178" i="1"/>
  <c r="S1502" i="1"/>
  <c r="S1102" i="1"/>
  <c r="S566" i="1"/>
  <c r="W2144" i="1"/>
  <c r="W469" i="1"/>
  <c r="W1029" i="1"/>
  <c r="W1045" i="1"/>
  <c r="W1236" i="1"/>
  <c r="W1704" i="1"/>
  <c r="W1061" i="1"/>
  <c r="W2428" i="1"/>
  <c r="W1329" i="1"/>
  <c r="S2517" i="1"/>
  <c r="S3633" i="1"/>
  <c r="S2872" i="1"/>
  <c r="S3400" i="1"/>
  <c r="S3472" i="1"/>
  <c r="U581" i="1"/>
  <c r="V581" i="1" s="1"/>
  <c r="W581" i="1" s="1"/>
  <c r="S2645" i="1"/>
  <c r="S3485" i="1"/>
  <c r="S2528" i="1"/>
  <c r="W2471" i="1"/>
  <c r="W2211" i="1"/>
  <c r="W2525" i="1"/>
  <c r="W2421" i="1"/>
  <c r="U2025" i="1"/>
  <c r="V2025" i="1" s="1"/>
  <c r="W3330" i="1"/>
  <c r="W3504" i="1"/>
  <c r="W3192" i="1"/>
  <c r="W3294" i="1"/>
  <c r="S2090" i="1"/>
  <c r="W2313" i="1"/>
  <c r="W3680" i="1"/>
  <c r="W3819" i="1"/>
  <c r="W3623" i="1"/>
  <c r="W3296" i="1"/>
  <c r="W2715" i="1"/>
  <c r="W2655" i="1"/>
  <c r="W3348" i="1"/>
  <c r="W3016" i="1"/>
  <c r="W2982" i="1"/>
  <c r="W2684" i="1"/>
  <c r="W2514" i="1"/>
  <c r="W2720" i="1"/>
  <c r="W2666" i="1"/>
  <c r="W2596" i="1"/>
  <c r="W2392" i="1"/>
  <c r="W2369" i="1"/>
  <c r="W2541" i="1"/>
  <c r="S1190" i="1"/>
  <c r="S1602" i="1"/>
  <c r="S1638" i="1"/>
  <c r="S1710" i="1"/>
  <c r="S1424" i="1"/>
  <c r="S1425" i="1"/>
  <c r="S3050" i="1"/>
  <c r="S350" i="1"/>
  <c r="S902" i="1"/>
  <c r="S954" i="1"/>
  <c r="S1042" i="1"/>
  <c r="S1590" i="1"/>
  <c r="S1822" i="1"/>
  <c r="S115" i="1"/>
  <c r="S903" i="1"/>
  <c r="S1139" i="1"/>
  <c r="S1191" i="1"/>
  <c r="S1399" i="1"/>
  <c r="S1823" i="1"/>
  <c r="S1404" i="1"/>
  <c r="S1800" i="1"/>
  <c r="X165" i="1"/>
  <c r="U954" i="1"/>
  <c r="V954" i="1" s="1"/>
  <c r="S2408" i="1"/>
  <c r="S380" i="1"/>
  <c r="W147" i="1"/>
  <c r="S1546" i="1"/>
  <c r="S787" i="1"/>
  <c r="S1443" i="1"/>
  <c r="S1527" i="1"/>
  <c r="S1540" i="1"/>
  <c r="S1812" i="1"/>
  <c r="S3691" i="1"/>
  <c r="S1154" i="1"/>
  <c r="S346" i="1"/>
  <c r="W1674" i="1"/>
  <c r="W1895" i="1"/>
  <c r="W2177" i="1"/>
  <c r="W1990" i="1"/>
  <c r="W1766" i="1"/>
  <c r="W1502" i="1"/>
  <c r="W1638" i="1"/>
  <c r="W1524" i="1"/>
  <c r="W1250" i="1"/>
  <c r="W1446" i="1"/>
  <c r="W1170" i="1"/>
  <c r="W1508" i="1"/>
  <c r="W1482" i="1"/>
  <c r="W1551" i="1"/>
  <c r="W1364" i="1"/>
  <c r="W1566" i="1"/>
  <c r="W1572" i="1"/>
  <c r="W1266" i="1"/>
  <c r="W1252" i="1"/>
  <c r="W972" i="1"/>
  <c r="W1148" i="1"/>
  <c r="W858" i="1"/>
  <c r="W819" i="1"/>
  <c r="W1102" i="1"/>
  <c r="W746" i="1"/>
  <c r="W647" i="1"/>
  <c r="W627" i="1"/>
  <c r="W197" i="1"/>
  <c r="W474" i="1"/>
  <c r="W646" i="1"/>
  <c r="W210" i="1"/>
  <c r="W764" i="1"/>
  <c r="W217" i="1"/>
  <c r="W194" i="1"/>
  <c r="W118" i="1"/>
  <c r="W233" i="1"/>
  <c r="S771" i="1"/>
  <c r="S427" i="1"/>
  <c r="S1974" i="1"/>
  <c r="S735" i="1"/>
  <c r="S332" i="1"/>
  <c r="S730" i="1"/>
  <c r="S134" i="1"/>
  <c r="S1482" i="1"/>
  <c r="W1838" i="1"/>
  <c r="W1854" i="1"/>
  <c r="W1938" i="1"/>
  <c r="W1974" i="1"/>
  <c r="W1911" i="1"/>
  <c r="W1746" i="1"/>
  <c r="W1511" i="1"/>
  <c r="W1694" i="1"/>
  <c r="W1344" i="1"/>
  <c r="W1522" i="1"/>
  <c r="W1424" i="1"/>
  <c r="W1527" i="1"/>
  <c r="W1308" i="1"/>
  <c r="W982" i="1"/>
  <c r="W1154" i="1"/>
  <c r="W1122" i="1"/>
  <c r="W1190" i="1"/>
  <c r="W1138" i="1"/>
  <c r="W766" i="1"/>
  <c r="W534" i="1"/>
  <c r="W798" i="1"/>
  <c r="W744" i="1"/>
  <c r="W714" i="1"/>
  <c r="W828" i="1"/>
  <c r="W453" i="1"/>
  <c r="W521" i="1"/>
  <c r="W361" i="1"/>
  <c r="W682" i="1"/>
  <c r="W346" i="1"/>
  <c r="W550" i="1"/>
  <c r="S361" i="1"/>
  <c r="S1170" i="1"/>
  <c r="S1250" i="1"/>
  <c r="S177" i="1"/>
  <c r="W43" i="1"/>
  <c r="S650" i="1"/>
  <c r="S220" i="1"/>
  <c r="S848" i="1"/>
  <c r="S1008" i="1"/>
  <c r="S1060" i="1"/>
  <c r="S1292" i="1"/>
  <c r="S1688" i="1"/>
  <c r="S61" i="1"/>
  <c r="S345" i="1"/>
  <c r="S473" i="1"/>
  <c r="S489" i="1"/>
  <c r="S641" i="1"/>
  <c r="S1009" i="1"/>
  <c r="S1185" i="1"/>
  <c r="S1585" i="1"/>
  <c r="S2432" i="1"/>
  <c r="S2552" i="1"/>
  <c r="S2760" i="1"/>
  <c r="S2898" i="1"/>
  <c r="S2970" i="1"/>
  <c r="S3040" i="1"/>
  <c r="S3112" i="1"/>
  <c r="S3182" i="1"/>
  <c r="S3392" i="1"/>
  <c r="S3670" i="1"/>
  <c r="S3267" i="1"/>
  <c r="S3477" i="1"/>
  <c r="W1077" i="1"/>
  <c r="W685" i="1"/>
  <c r="W535" i="1"/>
  <c r="W630" i="1"/>
  <c r="W518" i="1"/>
  <c r="W669" i="1"/>
  <c r="W909" i="1"/>
  <c r="W782" i="1"/>
  <c r="W434" i="1"/>
  <c r="W437" i="1"/>
  <c r="W148" i="1"/>
  <c r="W134" i="1"/>
  <c r="W58" i="1"/>
  <c r="W80" i="1"/>
  <c r="S2437" i="1"/>
  <c r="S28" i="1"/>
  <c r="W23" i="1"/>
  <c r="X65" i="1"/>
  <c r="S362" i="1"/>
  <c r="S958" i="1"/>
  <c r="S1094" i="1"/>
  <c r="S244" i="1"/>
  <c r="W2410" i="1"/>
  <c r="S2727" i="1"/>
  <c r="S3287" i="1"/>
  <c r="S3689" i="1"/>
  <c r="S2646" i="1"/>
  <c r="S2696" i="1"/>
  <c r="S3382" i="1"/>
  <c r="S3145" i="1"/>
  <c r="S2121" i="1"/>
  <c r="S837" i="1"/>
  <c r="W3495" i="1"/>
  <c r="W3571" i="1"/>
  <c r="W3575" i="1"/>
  <c r="W3217" i="1"/>
  <c r="W3417" i="1"/>
  <c r="W3277" i="1"/>
  <c r="W3120" i="1"/>
  <c r="W3141" i="1"/>
  <c r="W2297" i="1"/>
  <c r="W2139" i="1"/>
  <c r="U379" i="1"/>
  <c r="U382" i="1" s="1"/>
  <c r="S2160" i="1"/>
  <c r="S2492" i="1"/>
  <c r="S2541" i="1"/>
  <c r="W2822" i="1"/>
  <c r="S634" i="1"/>
  <c r="S2189" i="1"/>
  <c r="S2581" i="1"/>
  <c r="W3345" i="1"/>
  <c r="W3711" i="1"/>
  <c r="W3487" i="1"/>
  <c r="W3791" i="1"/>
  <c r="W3281" i="1"/>
  <c r="W3421" i="1"/>
  <c r="W2855" i="1"/>
  <c r="W2935" i="1"/>
  <c r="W2087" i="1"/>
  <c r="W1807" i="1"/>
  <c r="W1879" i="1"/>
  <c r="W1499" i="1"/>
  <c r="W1483" i="1"/>
  <c r="W1067" i="1"/>
  <c r="W816" i="1"/>
  <c r="W784" i="1"/>
  <c r="W624" i="1"/>
  <c r="S1650" i="1"/>
  <c r="S573" i="1"/>
  <c r="S617" i="1"/>
  <c r="S1037" i="1"/>
  <c r="W2244" i="1"/>
  <c r="W200" i="1"/>
  <c r="S132" i="1"/>
  <c r="W432" i="1"/>
  <c r="W580" i="1"/>
  <c r="W154" i="1"/>
  <c r="S1806" i="1"/>
  <c r="S1434" i="1"/>
  <c r="W1780" i="1"/>
  <c r="W1659" i="1"/>
  <c r="W1559" i="1"/>
  <c r="W1800" i="1"/>
  <c r="W1008" i="1"/>
  <c r="W813" i="1"/>
  <c r="S1444" i="1"/>
  <c r="S285" i="1"/>
  <c r="S2346" i="1"/>
  <c r="S1286" i="1"/>
  <c r="S807" i="1"/>
  <c r="S431" i="1"/>
  <c r="S199" i="1"/>
  <c r="W1975" i="1"/>
  <c r="W1900" i="1"/>
  <c r="W1764" i="1"/>
  <c r="W1560" i="1"/>
  <c r="W1083" i="1"/>
  <c r="W1379" i="1"/>
  <c r="W1185" i="1"/>
  <c r="W1229" i="1"/>
  <c r="W1040" i="1"/>
  <c r="W565" i="1"/>
  <c r="W945" i="1"/>
  <c r="W489" i="1"/>
  <c r="W588" i="1"/>
  <c r="S1959" i="1"/>
  <c r="P2150" i="1"/>
  <c r="S1017" i="1"/>
  <c r="S554" i="1"/>
  <c r="W1842" i="1"/>
  <c r="W934" i="1"/>
  <c r="W1576" i="1"/>
  <c r="S1284" i="1"/>
  <c r="S2021" i="1"/>
  <c r="S1815" i="1"/>
  <c r="S934" i="1"/>
  <c r="S665" i="1"/>
  <c r="W2787" i="1"/>
  <c r="W2859" i="1"/>
  <c r="W1942" i="1"/>
  <c r="W1687" i="1"/>
  <c r="W676" i="1"/>
  <c r="U698" i="1"/>
  <c r="V698" i="1" s="1"/>
  <c r="W698" i="1" s="1"/>
  <c r="U509" i="1"/>
  <c r="U510" i="1" s="1"/>
  <c r="S2698" i="1"/>
  <c r="S3169" i="1"/>
  <c r="S3568" i="1"/>
  <c r="S2086" i="1"/>
  <c r="S1523" i="1"/>
  <c r="S1325" i="1"/>
  <c r="S432" i="1"/>
  <c r="S248" i="1"/>
  <c r="W2863" i="1"/>
  <c r="W2856" i="1"/>
  <c r="W2804" i="1"/>
  <c r="W3001" i="1"/>
  <c r="W2980" i="1"/>
  <c r="W2682" i="1"/>
  <c r="W3048" i="1"/>
  <c r="W2768" i="1"/>
  <c r="W2698" i="1"/>
  <c r="W2906" i="1"/>
  <c r="W2625" i="1"/>
  <c r="W2447" i="1"/>
  <c r="W2371" i="1"/>
  <c r="W2298" i="1"/>
  <c r="W2085" i="1"/>
  <c r="W2086" i="1"/>
  <c r="W2161" i="1"/>
  <c r="W1965" i="1"/>
  <c r="W1222" i="1"/>
  <c r="W1397" i="1"/>
  <c r="U1284" i="1"/>
  <c r="V1284" i="1" s="1"/>
  <c r="W1284" i="1" s="1"/>
  <c r="W902" i="1"/>
  <c r="W1003" i="1"/>
  <c r="W520" i="1"/>
  <c r="W855" i="1"/>
  <c r="W734" i="1"/>
  <c r="S3294" i="1"/>
  <c r="S3349" i="1"/>
  <c r="S3262" i="1"/>
  <c r="S1928" i="1"/>
  <c r="S1407" i="1"/>
  <c r="W2196" i="1"/>
  <c r="S82" i="1"/>
  <c r="S938" i="1"/>
  <c r="S1174" i="1"/>
  <c r="S2638" i="1"/>
  <c r="S1320" i="1"/>
  <c r="S633" i="1"/>
  <c r="W2121" i="1"/>
  <c r="S2105" i="1"/>
  <c r="S2103" i="1"/>
  <c r="S1453" i="1"/>
  <c r="S1199" i="1"/>
  <c r="S1193" i="1"/>
  <c r="S1536" i="1"/>
  <c r="S979" i="1"/>
  <c r="S762" i="1"/>
  <c r="W3310" i="1"/>
  <c r="W3030" i="1"/>
  <c r="W2960" i="1"/>
  <c r="W2783" i="1"/>
  <c r="W3262" i="1"/>
  <c r="W2931" i="1"/>
  <c r="W2944" i="1"/>
  <c r="W2519" i="1"/>
  <c r="W2647" i="1"/>
  <c r="W2577" i="1"/>
  <c r="W2585" i="1"/>
  <c r="W2581" i="1"/>
  <c r="W2734" i="1"/>
  <c r="W2651" i="1"/>
  <c r="W2379" i="1"/>
  <c r="W2443" i="1"/>
  <c r="W2320" i="1"/>
  <c r="W2492" i="1"/>
  <c r="W2179" i="1"/>
  <c r="W2034" i="1"/>
  <c r="W2051" i="1"/>
  <c r="W1918" i="1"/>
  <c r="W1806" i="1"/>
  <c r="W1142" i="1"/>
  <c r="W1318" i="1"/>
  <c r="W1238" i="1"/>
  <c r="W1114" i="1"/>
  <c r="W895" i="1"/>
  <c r="W910" i="1"/>
  <c r="W1183" i="1"/>
  <c r="W1043" i="1"/>
  <c r="W546" i="1"/>
  <c r="W681" i="1"/>
  <c r="W131" i="1"/>
  <c r="Q3721" i="1"/>
  <c r="S2375" i="1"/>
  <c r="S3711" i="1"/>
  <c r="S2906" i="1"/>
  <c r="S2297" i="1"/>
  <c r="S580" i="1"/>
  <c r="S728" i="1"/>
  <c r="W605" i="1"/>
  <c r="W2304" i="1"/>
  <c r="S2374" i="1"/>
  <c r="S2366" i="1"/>
  <c r="S2306" i="1"/>
  <c r="X1983" i="1"/>
  <c r="S4" i="1"/>
  <c r="W230" i="1"/>
  <c r="S442" i="1"/>
  <c r="S1006" i="1"/>
  <c r="S1074" i="1"/>
  <c r="W204" i="1"/>
  <c r="W660" i="1"/>
  <c r="S154" i="1"/>
  <c r="S698" i="1"/>
  <c r="W1460" i="1"/>
  <c r="W1819" i="1"/>
  <c r="W111" i="1"/>
  <c r="W447" i="1"/>
  <c r="W625" i="1"/>
  <c r="W939" i="1"/>
  <c r="S1029" i="1"/>
  <c r="W1063" i="1"/>
  <c r="W1099" i="1"/>
  <c r="S1446" i="1"/>
  <c r="W380" i="1"/>
  <c r="W458" i="1"/>
  <c r="S692" i="1"/>
  <c r="W708" i="1"/>
  <c r="W812" i="1"/>
  <c r="W848" i="1"/>
  <c r="W864" i="1"/>
  <c r="W918" i="1"/>
  <c r="W1024" i="1"/>
  <c r="W1060" i="1"/>
  <c r="S1076" i="1"/>
  <c r="S1096" i="1"/>
  <c r="W1292" i="1"/>
  <c r="S1364" i="1"/>
  <c r="W2153" i="1"/>
  <c r="Q2274" i="1"/>
  <c r="W95" i="1"/>
  <c r="W323" i="1"/>
  <c r="W483" i="1"/>
  <c r="S919" i="1"/>
  <c r="S1298" i="1"/>
  <c r="S1936" i="1"/>
  <c r="S1736" i="1"/>
  <c r="S1990" i="1"/>
  <c r="S2245" i="1"/>
  <c r="S2411" i="1"/>
  <c r="S1122" i="1"/>
  <c r="S2271" i="1"/>
  <c r="S2357" i="1"/>
  <c r="S1674" i="1"/>
  <c r="S2554" i="1"/>
  <c r="W1706" i="1"/>
  <c r="W1434" i="1"/>
  <c r="W1547" i="1"/>
  <c r="W1310" i="1"/>
  <c r="W1022" i="1"/>
  <c r="W623" i="1"/>
  <c r="W486" i="1"/>
  <c r="W410" i="1"/>
  <c r="W223" i="1"/>
  <c r="W242" i="1"/>
  <c r="S1595" i="1"/>
  <c r="W164" i="1"/>
  <c r="S464" i="1"/>
  <c r="W540" i="1"/>
  <c r="W620" i="1"/>
  <c r="W900" i="1"/>
  <c r="S1622" i="1"/>
  <c r="S121" i="1"/>
  <c r="S363" i="1"/>
  <c r="S841" i="1"/>
  <c r="W1139" i="1"/>
  <c r="W815" i="1"/>
  <c r="W702" i="1"/>
  <c r="W442" i="1"/>
  <c r="W151" i="1"/>
  <c r="S34" i="1"/>
  <c r="S3705" i="1"/>
  <c r="S470" i="1"/>
  <c r="S1442" i="1"/>
  <c r="S1850" i="1"/>
  <c r="S679" i="1"/>
  <c r="S1235" i="1"/>
  <c r="S1319" i="1"/>
  <c r="S1371" i="1"/>
  <c r="S1835" i="1"/>
  <c r="S228" i="1"/>
  <c r="S872" i="1"/>
  <c r="S888" i="1"/>
  <c r="S1108" i="1"/>
  <c r="S1212" i="1"/>
  <c r="S1264" i="1"/>
  <c r="S1356" i="1"/>
  <c r="S1412" i="1"/>
  <c r="S1452" i="1"/>
  <c r="S1468" i="1"/>
  <c r="S1552" i="1"/>
  <c r="S1792" i="1"/>
  <c r="S1992" i="1"/>
  <c r="S3707" i="1"/>
  <c r="S2084" i="1"/>
  <c r="S193" i="1"/>
  <c r="S245" i="1"/>
  <c r="S337" i="1"/>
  <c r="S649" i="1"/>
  <c r="S681" i="1"/>
  <c r="S733" i="1"/>
  <c r="S769" i="1"/>
  <c r="S801" i="1"/>
  <c r="S1173" i="1"/>
  <c r="S1309" i="1"/>
  <c r="S1345" i="1"/>
  <c r="S1381" i="1"/>
  <c r="S1413" i="1"/>
  <c r="S1545" i="1"/>
  <c r="S1673" i="1"/>
  <c r="S1837" i="1"/>
  <c r="S1933" i="1"/>
  <c r="S1949" i="1"/>
  <c r="U554" i="1"/>
  <c r="V554" i="1" s="1"/>
  <c r="U634" i="1"/>
  <c r="V634" i="1" s="1"/>
  <c r="W634" i="1" s="1"/>
  <c r="S1054" i="1"/>
  <c r="S1476" i="1"/>
  <c r="U1476" i="1"/>
  <c r="V1476" i="1" s="1"/>
  <c r="W1476" i="1" s="1"/>
  <c r="S2033" i="1"/>
  <c r="S2049" i="1"/>
  <c r="S2067" i="1"/>
  <c r="S3209" i="1"/>
  <c r="S908" i="1"/>
  <c r="W643" i="1"/>
  <c r="W711" i="1"/>
  <c r="S995" i="1"/>
  <c r="W90" i="1"/>
  <c r="W794" i="1"/>
  <c r="S1504" i="1"/>
  <c r="W59" i="1"/>
  <c r="W149" i="1"/>
  <c r="W563" i="1"/>
  <c r="W579" i="1"/>
  <c r="S130" i="1"/>
  <c r="S190" i="1"/>
  <c r="S910" i="1"/>
  <c r="S1562" i="1"/>
  <c r="S1251" i="1"/>
  <c r="S1475" i="1"/>
  <c r="S1547" i="1"/>
  <c r="S940" i="1"/>
  <c r="S1267" i="1"/>
  <c r="S1150" i="1"/>
  <c r="W1772" i="1"/>
  <c r="W1578" i="1"/>
  <c r="W1394" i="1"/>
  <c r="W1523" i="1"/>
  <c r="W1675" i="1"/>
  <c r="W1412" i="1"/>
  <c r="W1542" i="1"/>
  <c r="W1423" i="1"/>
  <c r="W1598" i="1"/>
  <c r="W1319" i="1"/>
  <c r="W1219" i="1"/>
  <c r="W978" i="1"/>
  <c r="W1034" i="1"/>
  <c r="W778" i="1"/>
  <c r="W799" i="1"/>
  <c r="W835" i="1"/>
  <c r="W979" i="1"/>
  <c r="W911" i="1"/>
  <c r="W814" i="1"/>
  <c r="S785" i="1"/>
  <c r="S60" i="1"/>
  <c r="S242" i="1"/>
  <c r="S854" i="1"/>
  <c r="S1246" i="1"/>
  <c r="S1542" i="1"/>
  <c r="S1598" i="1"/>
  <c r="S59" i="1"/>
  <c r="S331" i="1"/>
  <c r="S579" i="1"/>
  <c r="S663" i="1"/>
  <c r="S747" i="1"/>
  <c r="S871" i="1"/>
  <c r="S1183" i="1"/>
  <c r="S1731" i="1"/>
  <c r="S1799" i="1"/>
  <c r="S1167" i="1"/>
  <c r="S1886" i="1"/>
  <c r="S1772" i="1"/>
  <c r="S911" i="1"/>
  <c r="S1068" i="1"/>
  <c r="S486" i="1"/>
  <c r="W3668" i="1"/>
  <c r="W1616" i="1"/>
  <c r="W1792" i="1"/>
  <c r="W1567" i="1"/>
  <c r="W1378" i="1"/>
  <c r="W1475" i="1"/>
  <c r="W1251" i="1"/>
  <c r="W1048" i="1"/>
  <c r="W1230" i="1"/>
  <c r="W783" i="1"/>
  <c r="W626" i="1"/>
  <c r="W742" i="1"/>
  <c r="W940" i="1"/>
  <c r="W331" i="1"/>
  <c r="W430" i="1"/>
  <c r="S1426" i="1"/>
  <c r="S678" i="1"/>
  <c r="S1362" i="1"/>
  <c r="S359" i="1"/>
  <c r="S463" i="1"/>
  <c r="S835" i="1"/>
  <c r="S1219" i="1"/>
  <c r="S1583" i="1"/>
  <c r="S1907" i="1"/>
  <c r="S1355" i="1"/>
  <c r="S1423" i="1"/>
  <c r="S1439" i="1"/>
  <c r="S926" i="1"/>
  <c r="S694" i="1"/>
  <c r="S668" i="1"/>
  <c r="S563" i="1"/>
  <c r="S274" i="1"/>
  <c r="S206" i="1"/>
  <c r="S20" i="1"/>
  <c r="W1834" i="1"/>
  <c r="W1850" i="1"/>
  <c r="W1814" i="1"/>
  <c r="W1600" i="1"/>
  <c r="W1583" i="1"/>
  <c r="W1731" i="1"/>
  <c r="W1514" i="1"/>
  <c r="W1426" i="1"/>
  <c r="W1711" i="1"/>
  <c r="W1498" i="1"/>
  <c r="W1459" i="1"/>
  <c r="W1413" i="1"/>
  <c r="W1410" i="1"/>
  <c r="W1339" i="1"/>
  <c r="W1267" i="1"/>
  <c r="W1264" i="1"/>
  <c r="U912" i="1"/>
  <c r="V912" i="1" s="1"/>
  <c r="W912" i="1" s="1"/>
  <c r="W927" i="1"/>
  <c r="W1150" i="1"/>
  <c r="W963" i="1"/>
  <c r="W1167" i="1"/>
  <c r="W1098" i="1"/>
  <c r="W1199" i="1"/>
  <c r="W1068" i="1"/>
  <c r="W726" i="1"/>
  <c r="W894" i="1"/>
  <c r="W834" i="1"/>
  <c r="W889" i="1"/>
  <c r="W870" i="1"/>
  <c r="W695" i="1"/>
  <c r="W470" i="1"/>
  <c r="W578" i="1"/>
  <c r="S2371" i="1"/>
  <c r="S2439" i="1"/>
  <c r="S2783" i="1"/>
  <c r="S2855" i="1"/>
  <c r="S2997" i="1"/>
  <c r="S2443" i="1"/>
  <c r="S3001" i="1"/>
  <c r="S3421" i="1"/>
  <c r="S2863" i="1"/>
  <c r="S400" i="1"/>
  <c r="U400" i="1"/>
  <c r="V400" i="1" s="1"/>
  <c r="W400" i="1" s="1"/>
  <c r="S2424" i="1"/>
  <c r="S2980" i="1"/>
  <c r="S3192" i="1"/>
  <c r="S3530" i="1"/>
  <c r="S3754" i="1"/>
  <c r="S3806" i="1"/>
  <c r="U57" i="1"/>
  <c r="V57" i="1" s="1"/>
  <c r="W57" i="1" s="1"/>
  <c r="S57" i="1"/>
  <c r="W75" i="1"/>
  <c r="S2295" i="1"/>
  <c r="S2611" i="1"/>
  <c r="S2695" i="1"/>
  <c r="S2923" i="1"/>
  <c r="S3061" i="1"/>
  <c r="S3259" i="1"/>
  <c r="S3583" i="1"/>
  <c r="S3785" i="1"/>
  <c r="S3803" i="1"/>
  <c r="S272" i="1"/>
  <c r="U272" i="1"/>
  <c r="V272" i="1" s="1"/>
  <c r="W272" i="1" s="1"/>
  <c r="S326" i="1"/>
  <c r="U326" i="1"/>
  <c r="V326" i="1" s="1"/>
  <c r="W326" i="1" s="1"/>
  <c r="S640" i="1"/>
  <c r="S1878" i="1"/>
  <c r="P2241" i="1"/>
  <c r="Q2240" i="1"/>
  <c r="Q2241" i="1" s="1"/>
  <c r="S2514" i="1"/>
  <c r="S2650" i="1"/>
  <c r="S2700" i="1"/>
  <c r="S2720" i="1"/>
  <c r="S2806" i="1"/>
  <c r="Q2964" i="1"/>
  <c r="Q2971" i="1" s="1"/>
  <c r="P2971" i="1"/>
  <c r="S3086" i="1"/>
  <c r="S3212" i="1"/>
  <c r="S3532" i="1"/>
  <c r="S3734" i="1"/>
  <c r="S3790" i="1"/>
  <c r="S265" i="1"/>
  <c r="U265" i="1"/>
  <c r="V265" i="1" s="1"/>
  <c r="W265" i="1" s="1"/>
  <c r="U423" i="1"/>
  <c r="V423" i="1" s="1"/>
  <c r="W423" i="1" s="1"/>
  <c r="U641" i="1"/>
  <c r="V641" i="1" s="1"/>
  <c r="W641" i="1" s="1"/>
  <c r="S693" i="1"/>
  <c r="S709" i="1"/>
  <c r="S813" i="1"/>
  <c r="S1043" i="1"/>
  <c r="S1133" i="1"/>
  <c r="S1277" i="1"/>
  <c r="S1892" i="1"/>
  <c r="S2196" i="1"/>
  <c r="S2320" i="1"/>
  <c r="S2390" i="1"/>
  <c r="S1370" i="1"/>
  <c r="S1672" i="1"/>
  <c r="S1901" i="1"/>
  <c r="S1986" i="1"/>
  <c r="S1249" i="1"/>
  <c r="S3277" i="1"/>
  <c r="S3417" i="1"/>
  <c r="W428" i="1"/>
  <c r="S2651" i="1"/>
  <c r="S3647" i="1"/>
  <c r="U132" i="1"/>
  <c r="V132" i="1" s="1"/>
  <c r="W132" i="1" s="1"/>
  <c r="S2199" i="1"/>
  <c r="S2725" i="1"/>
  <c r="S2935" i="1"/>
  <c r="S2298" i="1"/>
  <c r="S2440" i="1"/>
  <c r="S2578" i="1"/>
  <c r="S2682" i="1"/>
  <c r="S2752" i="1"/>
  <c r="S2960" i="1"/>
  <c r="S3487" i="1"/>
  <c r="Q3577" i="1"/>
  <c r="S2793" i="1"/>
  <c r="S2421" i="1"/>
  <c r="S2342" i="1"/>
  <c r="S1460" i="1"/>
  <c r="S1270" i="1"/>
  <c r="S939" i="1"/>
  <c r="S401" i="1"/>
  <c r="S323" i="1"/>
  <c r="S152" i="1"/>
  <c r="S167" i="1"/>
  <c r="S42" i="1"/>
  <c r="W3712" i="1"/>
  <c r="W3822" i="1"/>
  <c r="W3788" i="1"/>
  <c r="W3643" i="1"/>
  <c r="W3530" i="1"/>
  <c r="W3732" i="1"/>
  <c r="W3491" i="1"/>
  <c r="W3343" i="1"/>
  <c r="W3707" i="1"/>
  <c r="W3546" i="1"/>
  <c r="W3361" i="1"/>
  <c r="W3241" i="1"/>
  <c r="W3084" i="1"/>
  <c r="W3349" i="1"/>
  <c r="W3244" i="1"/>
  <c r="W3063" i="1"/>
  <c r="W2957" i="1"/>
  <c r="W2853" i="1"/>
  <c r="W3693" i="1"/>
  <c r="W3400" i="1"/>
  <c r="W3355" i="1"/>
  <c r="W3425" i="1"/>
  <c r="W3207" i="1"/>
  <c r="W2837" i="1"/>
  <c r="W3005" i="1"/>
  <c r="W3289" i="1"/>
  <c r="W2725" i="1"/>
  <c r="W2713" i="1"/>
  <c r="W2887" i="1"/>
  <c r="W2867" i="1"/>
  <c r="W3045" i="1"/>
  <c r="W2575" i="1"/>
  <c r="W2793" i="1"/>
  <c r="W3117" i="1"/>
  <c r="W2801" i="1"/>
  <c r="W2458" i="1"/>
  <c r="W2489" i="1"/>
  <c r="W2645" i="1"/>
  <c r="W2661" i="1"/>
  <c r="W2925" i="1"/>
  <c r="W2717" i="1"/>
  <c r="W2611" i="1"/>
  <c r="W2578" i="1"/>
  <c r="W2528" i="1"/>
  <c r="W2721" i="1"/>
  <c r="W2453" i="1"/>
  <c r="W2372" i="1"/>
  <c r="W2435" i="1"/>
  <c r="W2442" i="1"/>
  <c r="W2424" i="1"/>
  <c r="W2375" i="1"/>
  <c r="W2186" i="1"/>
  <c r="W1986" i="1"/>
  <c r="W2049" i="1"/>
  <c r="W2067" i="1"/>
  <c r="W2199" i="1"/>
  <c r="W2178" i="1"/>
  <c r="U1878" i="1"/>
  <c r="V1878" i="1" s="1"/>
  <c r="W1878" i="1" s="1"/>
  <c r="W2103" i="1"/>
  <c r="W2198" i="1"/>
  <c r="W1934" i="1"/>
  <c r="W1695" i="1"/>
  <c r="W1821" i="1"/>
  <c r="W1966" i="1"/>
  <c r="W2069" i="1"/>
  <c r="U1688" i="1"/>
  <c r="V1688" i="1" s="1"/>
  <c r="W1688" i="1" s="1"/>
  <c r="W1786" i="1"/>
  <c r="W2096" i="1"/>
  <c r="W1959" i="1"/>
  <c r="W1650" i="1"/>
  <c r="W2159" i="1"/>
  <c r="W1673" i="1"/>
  <c r="W1907" i="1"/>
  <c r="W1915" i="1"/>
  <c r="W1545" i="1"/>
  <c r="W1585" i="1"/>
  <c r="W1672" i="1"/>
  <c r="W1544" i="1"/>
  <c r="W1262" i="1"/>
  <c r="W1462" i="1"/>
  <c r="W1595" i="1"/>
  <c r="W1368" i="1"/>
  <c r="W1399" i="1"/>
  <c r="W1201" i="1"/>
  <c r="W1404" i="1"/>
  <c r="W1832" i="1"/>
  <c r="W1439" i="1"/>
  <c r="U1504" i="1"/>
  <c r="V1504" i="1" s="1"/>
  <c r="W1504" i="1" s="1"/>
  <c r="U1604" i="1"/>
  <c r="V1604" i="1" s="1"/>
  <c r="W1604" i="1" s="1"/>
  <c r="W1634" i="1"/>
  <c r="W1515" i="1"/>
  <c r="W1575" i="1"/>
  <c r="W1761" i="1"/>
  <c r="W1608" i="1"/>
  <c r="W1461" i="1"/>
  <c r="W1633" i="1"/>
  <c r="W1356" i="1"/>
  <c r="W1184" i="1"/>
  <c r="W1050" i="1"/>
  <c r="W1428" i="1"/>
  <c r="W1287" i="1"/>
  <c r="W1303" i="1"/>
  <c r="W1371" i="1"/>
  <c r="W1257" i="1"/>
  <c r="U1079" i="1"/>
  <c r="V1079" i="1" s="1"/>
  <c r="W1079" i="1" s="1"/>
  <c r="W1384" i="1"/>
  <c r="W1248" i="1"/>
  <c r="W1131" i="1"/>
  <c r="W998" i="1"/>
  <c r="W1035" i="1"/>
  <c r="W955" i="1"/>
  <c r="U1074" i="1"/>
  <c r="V1074" i="1" s="1"/>
  <c r="W1074" i="1" s="1"/>
  <c r="U1042" i="1"/>
  <c r="V1042" i="1" s="1"/>
  <c r="W1042" i="1" s="1"/>
  <c r="W1301" i="1"/>
  <c r="W1311" i="1"/>
  <c r="W1103" i="1"/>
  <c r="W1085" i="1"/>
  <c r="U768" i="1"/>
  <c r="V768" i="1" s="1"/>
  <c r="W768" i="1" s="1"/>
  <c r="W800" i="1"/>
  <c r="U576" i="1"/>
  <c r="V576" i="1" s="1"/>
  <c r="W576" i="1" s="1"/>
  <c r="W976" i="1"/>
  <c r="W731" i="1"/>
  <c r="W854" i="1"/>
  <c r="W662" i="1"/>
  <c r="W1159" i="1"/>
  <c r="U908" i="1"/>
  <c r="V908" i="1" s="1"/>
  <c r="W908" i="1" s="1"/>
  <c r="W696" i="1"/>
  <c r="W832" i="1"/>
  <c r="W929" i="1"/>
  <c r="W1066" i="1"/>
  <c r="W1009" i="1"/>
  <c r="U709" i="1"/>
  <c r="V709" i="1" s="1"/>
  <c r="W709" i="1" s="1"/>
  <c r="W547" i="1"/>
  <c r="W694" i="1"/>
  <c r="W897" i="1"/>
  <c r="W635" i="1"/>
  <c r="W431" i="1"/>
  <c r="W276" i="1"/>
  <c r="U640" i="1"/>
  <c r="V640" i="1" s="1"/>
  <c r="W640" i="1" s="1"/>
  <c r="U93" i="1"/>
  <c r="V93" i="1" s="1"/>
  <c r="W93" i="1" s="1"/>
  <c r="W221" i="1"/>
  <c r="W150" i="1"/>
  <c r="W175" i="1"/>
  <c r="W81" i="1"/>
  <c r="U82" i="1"/>
  <c r="V82" i="1" s="1"/>
  <c r="W82" i="1" s="1"/>
  <c r="W263" i="1"/>
  <c r="W228" i="1"/>
  <c r="S3381" i="1"/>
  <c r="S3732" i="1"/>
  <c r="S3135" i="1"/>
  <c r="S945" i="1"/>
  <c r="S3014" i="1"/>
  <c r="S2765" i="1"/>
  <c r="S635" i="1"/>
  <c r="S2243" i="1"/>
  <c r="S2931" i="1"/>
  <c r="S2925" i="1"/>
  <c r="S2853" i="1"/>
  <c r="S3454" i="1"/>
  <c r="S605" i="1"/>
  <c r="S3457" i="1"/>
  <c r="S2356" i="1"/>
  <c r="S149" i="1"/>
  <c r="S2197" i="1"/>
  <c r="S2840" i="1"/>
  <c r="S1222" i="1"/>
  <c r="S1842" i="1"/>
  <c r="S1083" i="1"/>
  <c r="S1843" i="1"/>
  <c r="S204" i="1"/>
  <c r="S276" i="1"/>
  <c r="Q512" i="1"/>
  <c r="P513" i="1"/>
  <c r="S768" i="1"/>
  <c r="S1184" i="1"/>
  <c r="S1272" i="1"/>
  <c r="S1384" i="1"/>
  <c r="S1592" i="1"/>
  <c r="S1900" i="1"/>
  <c r="S221" i="1"/>
  <c r="S609" i="1"/>
  <c r="S897" i="1"/>
  <c r="S929" i="1"/>
  <c r="S1065" i="1"/>
  <c r="S1149" i="1"/>
  <c r="S1281" i="1"/>
  <c r="S1317" i="1"/>
  <c r="S1633" i="1"/>
  <c r="P1666" i="1"/>
  <c r="Q1665" i="1"/>
  <c r="S1665" i="1" s="1"/>
  <c r="S1666" i="1" s="1"/>
  <c r="S1829" i="1"/>
  <c r="S1941" i="1"/>
  <c r="S3043" i="1"/>
  <c r="S3837" i="1"/>
  <c r="S2075" i="1"/>
  <c r="S2337" i="1"/>
  <c r="S2473" i="1"/>
  <c r="S2889" i="1"/>
  <c r="S3099" i="1"/>
  <c r="S3453" i="1"/>
  <c r="S972" i="1"/>
  <c r="S3107" i="1"/>
  <c r="S3177" i="1"/>
  <c r="S3313" i="1"/>
  <c r="W468" i="1"/>
  <c r="S764" i="1"/>
  <c r="S2413" i="1"/>
  <c r="S2551" i="1"/>
  <c r="U262" i="1"/>
  <c r="V262" i="1" s="1"/>
  <c r="W262" i="1" s="1"/>
  <c r="W436" i="1"/>
  <c r="W226" i="1"/>
  <c r="S2647" i="1"/>
  <c r="S862" i="1"/>
  <c r="S1942" i="1"/>
  <c r="S2859" i="1"/>
  <c r="S1915" i="1"/>
  <c r="S1921" i="1" s="1"/>
  <c r="S1659" i="1"/>
  <c r="S1819" i="1"/>
  <c r="S1604" i="1"/>
  <c r="S724" i="1"/>
  <c r="S485" i="1"/>
  <c r="S62" i="1"/>
  <c r="W3795" i="1"/>
  <c r="W3644" i="1"/>
  <c r="W3801" i="1"/>
  <c r="W3651" i="1"/>
  <c r="W3565" i="1"/>
  <c r="W3415" i="1"/>
  <c r="W3604" i="1"/>
  <c r="W3469" i="1"/>
  <c r="W3397" i="1"/>
  <c r="W3559" i="1"/>
  <c r="W3601" i="1"/>
  <c r="W3647" i="1"/>
  <c r="W3660" i="1"/>
  <c r="W3787" i="1"/>
  <c r="W3454" i="1"/>
  <c r="W3563" i="1"/>
  <c r="W3413" i="1"/>
  <c r="W3657" i="1"/>
  <c r="W3467" i="1"/>
  <c r="W3366" i="1"/>
  <c r="W3137" i="1"/>
  <c r="W3061" i="1"/>
  <c r="W3259" i="1"/>
  <c r="W3133" i="1"/>
  <c r="W3189" i="1"/>
  <c r="W3209" i="1"/>
  <c r="W2901" i="1"/>
  <c r="W3226" i="1"/>
  <c r="W3213" i="1"/>
  <c r="W3075" i="1"/>
  <c r="W3588" i="1"/>
  <c r="W3011" i="1"/>
  <c r="W3009" i="1"/>
  <c r="W2890" i="1"/>
  <c r="W3151" i="1"/>
  <c r="W2923" i="1"/>
  <c r="W2840" i="1"/>
  <c r="W2817" i="1"/>
  <c r="W2695" i="1"/>
  <c r="W2997" i="1"/>
  <c r="W3014" i="1"/>
  <c r="W3081" i="1"/>
  <c r="W2977" i="1"/>
  <c r="W2752" i="1"/>
  <c r="W2437" i="1"/>
  <c r="W2749" i="1"/>
  <c r="W2440" i="1"/>
  <c r="W2515" i="1"/>
  <c r="W2664" i="1"/>
  <c r="W2439" i="1"/>
  <c r="W2197" i="1"/>
  <c r="W2356" i="1"/>
  <c r="W2594" i="1"/>
  <c r="W2460" i="1"/>
  <c r="W2390" i="1"/>
  <c r="W2158" i="1"/>
  <c r="W2374" i="1"/>
  <c r="W2589" i="1"/>
  <c r="W2353" i="1"/>
  <c r="W1978" i="1"/>
  <c r="W2123" i="1"/>
  <c r="W2022" i="1"/>
  <c r="U1967" i="1"/>
  <c r="V1967" i="1" s="1"/>
  <c r="W1967" i="1" s="1"/>
  <c r="W2160" i="1"/>
  <c r="W2068" i="1"/>
  <c r="W2048" i="1"/>
  <c r="W2200" i="1"/>
  <c r="W2351" i="1"/>
  <c r="W2195" i="1"/>
  <c r="W1823" i="1"/>
  <c r="W1936" i="1"/>
  <c r="W1722" i="1"/>
  <c r="W1861" i="1"/>
  <c r="W1999" i="1"/>
  <c r="W2033" i="1"/>
  <c r="W1835" i="1"/>
  <c r="W1732" i="1"/>
  <c r="W1590" i="1"/>
  <c r="W1886" i="1"/>
  <c r="W1858" i="1"/>
  <c r="W1609" i="1"/>
  <c r="W1815" i="1"/>
  <c r="W1729" i="1"/>
  <c r="W1920" i="1"/>
  <c r="W1562" i="1"/>
  <c r="W1763" i="1"/>
  <c r="U1588" i="1"/>
  <c r="V1588" i="1" s="1"/>
  <c r="W1272" i="1"/>
  <c r="W1477" i="1"/>
  <c r="W1347" i="1"/>
  <c r="W1750" i="1"/>
  <c r="W1491" i="1"/>
  <c r="W1592" i="1"/>
  <c r="W1719" i="1"/>
  <c r="W1407" i="1"/>
  <c r="W1442" i="1"/>
  <c r="W1584" i="1"/>
  <c r="W1478" i="1"/>
  <c r="W1445" i="1"/>
  <c r="W1618" i="1"/>
  <c r="W1822" i="1"/>
  <c r="U1076" i="1"/>
  <c r="V1076" i="1" s="1"/>
  <c r="W1076" i="1" s="1"/>
  <c r="W1165" i="1"/>
  <c r="W1281" i="1"/>
  <c r="W1151" i="1"/>
  <c r="W1415" i="1"/>
  <c r="W1355" i="1"/>
  <c r="W1249" i="1"/>
  <c r="W1166" i="1"/>
  <c r="W1194" i="1"/>
  <c r="W1333" i="1"/>
  <c r="W886" i="1"/>
  <c r="W1235" i="1"/>
  <c r="W1191" i="1"/>
  <c r="W1019" i="1"/>
  <c r="W1391" i="1"/>
  <c r="W965" i="1"/>
  <c r="W1141" i="1"/>
  <c r="W1149" i="1"/>
  <c r="W947" i="1"/>
  <c r="W1211" i="1"/>
  <c r="W1123" i="1"/>
  <c r="W1101" i="1"/>
  <c r="W871" i="1"/>
  <c r="W919" i="1"/>
  <c r="W693" i="1"/>
  <c r="U796" i="1"/>
  <c r="V796" i="1" s="1"/>
  <c r="W796" i="1" s="1"/>
  <c r="W749" i="1"/>
  <c r="W767" i="1"/>
  <c r="W663" i="1"/>
  <c r="W747" i="1"/>
  <c r="W903" i="1"/>
  <c r="W926" i="1"/>
  <c r="W678" i="1"/>
  <c r="W786" i="1"/>
  <c r="U692" i="1"/>
  <c r="V692" i="1" s="1"/>
  <c r="W692" i="1" s="1"/>
  <c r="W544" i="1"/>
  <c r="W568" i="1"/>
  <c r="W531" i="1"/>
  <c r="U345" i="1"/>
  <c r="V345" i="1" s="1"/>
  <c r="W345" i="1" s="1"/>
  <c r="W231" i="1"/>
  <c r="U464" i="1"/>
  <c r="V464" i="1" s="1"/>
  <c r="W464" i="1" s="1"/>
  <c r="U728" i="1"/>
  <c r="V728" i="1" s="1"/>
  <c r="W728" i="1" s="1"/>
  <c r="W336" i="1"/>
  <c r="W181" i="1"/>
  <c r="W199" i="1"/>
  <c r="S3310" i="1"/>
  <c r="S3207" i="1"/>
  <c r="S2755" i="1"/>
  <c r="S1918" i="1"/>
  <c r="S3581" i="1"/>
  <c r="S1368" i="1"/>
  <c r="S3619" i="1"/>
  <c r="S2577" i="1"/>
  <c r="S3791" i="1"/>
  <c r="S2893" i="1"/>
  <c r="S1576" i="1"/>
  <c r="S3606" i="1"/>
  <c r="S2825" i="1"/>
  <c r="S2059" i="1"/>
  <c r="S3366" i="1"/>
  <c r="S2043" i="1"/>
  <c r="S1776" i="1"/>
  <c r="S2455" i="1"/>
  <c r="S2504" i="1"/>
  <c r="S2768" i="1"/>
  <c r="W644" i="1"/>
  <c r="W528" i="1"/>
  <c r="W451" i="1"/>
  <c r="W130" i="1"/>
  <c r="W463" i="1"/>
  <c r="W133" i="1"/>
  <c r="W450" i="1"/>
  <c r="W76" i="1"/>
  <c r="W83" i="1"/>
  <c r="W51" i="1"/>
  <c r="W123" i="1"/>
  <c r="W285" i="1"/>
  <c r="S2882" i="1"/>
  <c r="S2520" i="1"/>
  <c r="S2586" i="1"/>
  <c r="S2656" i="1"/>
  <c r="S3076" i="1"/>
  <c r="S3146" i="1"/>
  <c r="S3520" i="1"/>
  <c r="S457" i="1"/>
  <c r="W433" i="1"/>
  <c r="W679" i="1"/>
  <c r="W61" i="1"/>
  <c r="W339" i="1"/>
  <c r="W99" i="1"/>
  <c r="W168" i="1"/>
  <c r="W174" i="1"/>
  <c r="W360" i="1"/>
  <c r="S32" i="1"/>
  <c r="S2466" i="1"/>
  <c r="W27" i="1"/>
  <c r="S230" i="1"/>
  <c r="S518" i="1"/>
  <c r="S534" i="1"/>
  <c r="S550" i="1"/>
  <c r="S1566" i="1"/>
  <c r="S95" i="1"/>
  <c r="S179" i="1"/>
  <c r="S247" i="1"/>
  <c r="S403" i="1"/>
  <c r="S483" i="1"/>
  <c r="S859" i="1"/>
  <c r="S1063" i="1"/>
  <c r="S1079" i="1"/>
  <c r="S1495" i="1"/>
  <c r="S1511" i="1"/>
  <c r="S1655" i="1"/>
  <c r="S1803" i="1"/>
  <c r="S3283" i="1"/>
  <c r="S19" i="1"/>
  <c r="Q84" i="1"/>
  <c r="Q213" i="1"/>
  <c r="S254" i="1"/>
  <c r="S270" i="1"/>
  <c r="S426" i="1"/>
  <c r="S542" i="1"/>
  <c r="S590" i="1"/>
  <c r="S758" i="1"/>
  <c r="S942" i="1"/>
  <c r="S974" i="1"/>
  <c r="S1474" i="1"/>
  <c r="S1494" i="1"/>
  <c r="S1510" i="1"/>
  <c r="Q1586" i="1"/>
  <c r="S1594" i="1"/>
  <c r="S1810" i="1"/>
  <c r="S1882" i="1"/>
  <c r="S1982" i="1"/>
  <c r="S275" i="1"/>
  <c r="S867" i="1"/>
  <c r="S887" i="1"/>
  <c r="S959" i="1"/>
  <c r="Q1530" i="1"/>
  <c r="S192" i="1"/>
  <c r="S340" i="1"/>
  <c r="S1084" i="1"/>
  <c r="S1516" i="1"/>
  <c r="S1931" i="1"/>
  <c r="S200" i="1"/>
  <c r="S796" i="1"/>
  <c r="S1196" i="1"/>
  <c r="S1588" i="1"/>
  <c r="S873" i="1"/>
  <c r="S1225" i="1"/>
  <c r="S1293" i="1"/>
  <c r="S1441" i="1"/>
  <c r="S1917" i="1"/>
  <c r="S1953" i="1"/>
  <c r="S2143" i="1"/>
  <c r="S2733" i="1"/>
  <c r="S2943" i="1"/>
  <c r="S3155" i="1"/>
  <c r="S3225" i="1"/>
  <c r="S3435" i="1"/>
  <c r="S3503" i="1"/>
  <c r="S2531" i="1"/>
  <c r="S2597" i="1"/>
  <c r="S3663" i="1"/>
  <c r="S2145" i="1"/>
  <c r="S2304" i="1"/>
  <c r="S2428" i="1"/>
  <c r="S2704" i="1"/>
  <c r="S2894" i="1"/>
  <c r="S3266" i="1"/>
  <c r="S3514" i="1"/>
  <c r="S3572" i="1"/>
  <c r="X365" i="1"/>
  <c r="S2545" i="1"/>
  <c r="S2719" i="1"/>
  <c r="S2823" i="1"/>
  <c r="S3065" i="1"/>
  <c r="S3419" i="1"/>
  <c r="S2654" i="1"/>
  <c r="S3836" i="1"/>
  <c r="S189" i="1"/>
  <c r="S241" i="1"/>
  <c r="S745" i="1"/>
  <c r="S781" i="1"/>
  <c r="S797" i="1"/>
  <c r="S1717" i="1"/>
  <c r="Q2204" i="1"/>
  <c r="S2044" i="1"/>
  <c r="W142" i="1"/>
  <c r="S968" i="1"/>
  <c r="Q2133" i="1"/>
  <c r="S2423" i="1"/>
  <c r="S2064" i="1"/>
  <c r="W116" i="1"/>
  <c r="W710" i="1"/>
  <c r="S2119" i="1"/>
  <c r="Q2601" i="1"/>
  <c r="S3150" i="1"/>
  <c r="S3468" i="1"/>
  <c r="W53" i="1"/>
  <c r="W253" i="1"/>
  <c r="W271" i="1"/>
  <c r="S501" i="1"/>
  <c r="S577" i="1"/>
  <c r="S621" i="1"/>
  <c r="S793" i="1"/>
  <c r="S829" i="1"/>
  <c r="W847" i="1"/>
  <c r="W951" i="1"/>
  <c r="W1095" i="1"/>
  <c r="S2000" i="1"/>
  <c r="W2218" i="1"/>
  <c r="W2756" i="1"/>
  <c r="X822" i="1"/>
  <c r="S2365" i="1"/>
  <c r="S2381" i="1"/>
  <c r="S2399" i="1"/>
  <c r="S2415" i="1"/>
  <c r="S2505" i="1"/>
  <c r="S2761" i="1"/>
  <c r="S2795" i="1"/>
  <c r="S2937" i="1"/>
  <c r="S3041" i="1"/>
  <c r="S3093" i="1"/>
  <c r="S3183" i="1"/>
  <c r="S3271" i="1"/>
  <c r="S3743" i="1"/>
  <c r="S104" i="1"/>
  <c r="W686" i="1"/>
  <c r="S756" i="1"/>
  <c r="W1072" i="1"/>
  <c r="W1484" i="1"/>
  <c r="W2686" i="1"/>
  <c r="S2194" i="1"/>
  <c r="S2490" i="1"/>
  <c r="S2854" i="1"/>
  <c r="S3170" i="1"/>
  <c r="S3224" i="1"/>
  <c r="S3326" i="1"/>
  <c r="Q3462" i="1"/>
  <c r="W277" i="1"/>
  <c r="W987" i="1"/>
  <c r="S1570" i="1"/>
  <c r="W1909" i="1"/>
  <c r="W2182" i="1"/>
  <c r="W1705" i="1"/>
  <c r="W2073" i="1"/>
  <c r="W2104" i="1"/>
  <c r="W2361" i="1"/>
  <c r="W2429" i="1"/>
  <c r="W2497" i="1"/>
  <c r="S2878" i="1"/>
  <c r="R2502" i="1"/>
  <c r="W3160" i="1"/>
  <c r="S3440" i="1"/>
  <c r="W1793" i="1"/>
  <c r="W2035" i="1"/>
  <c r="W2326" i="1"/>
  <c r="W2396" i="1"/>
  <c r="W2464" i="1"/>
  <c r="W2932" i="1"/>
  <c r="W3214" i="1"/>
  <c r="X750" i="1"/>
  <c r="W1313" i="1"/>
  <c r="W1331" i="1"/>
  <c r="S1713" i="1"/>
  <c r="W1771" i="1"/>
  <c r="W2088" i="1"/>
  <c r="S2112" i="1"/>
  <c r="W2426" i="1"/>
  <c r="W2448" i="1"/>
  <c r="S2494" i="1"/>
  <c r="W3052" i="1"/>
  <c r="W3774" i="1"/>
  <c r="W2522" i="1"/>
  <c r="S2583" i="1"/>
  <c r="W2648" i="1"/>
  <c r="S2692" i="1"/>
  <c r="W2718" i="1"/>
  <c r="S2741" i="1"/>
  <c r="W2784" i="1"/>
  <c r="W2879" i="1"/>
  <c r="W2926" i="1"/>
  <c r="W2998" i="1"/>
  <c r="W3019" i="1"/>
  <c r="W3042" i="1"/>
  <c r="W3138" i="1"/>
  <c r="W3233" i="1"/>
  <c r="W3254" i="1"/>
  <c r="W3299" i="1"/>
  <c r="W3322" i="1"/>
  <c r="S3346" i="1"/>
  <c r="W3418" i="1"/>
  <c r="W3441" i="1"/>
  <c r="W3649" i="1"/>
  <c r="W3672" i="1"/>
  <c r="W3775" i="1"/>
  <c r="S3800" i="1"/>
  <c r="X279" i="1"/>
  <c r="X2331" i="1"/>
  <c r="S2670" i="1"/>
  <c r="W2724" i="1"/>
  <c r="S2769" i="1"/>
  <c r="S2792" i="1"/>
  <c r="S2907" i="1"/>
  <c r="W2934" i="1"/>
  <c r="W2981" i="1"/>
  <c r="W3004" i="1"/>
  <c r="W3049" i="1"/>
  <c r="W3144" i="1"/>
  <c r="W3193" i="1"/>
  <c r="S3605" i="1"/>
  <c r="S3816" i="1"/>
  <c r="X993" i="1"/>
  <c r="X3462" i="1"/>
  <c r="X419" i="1"/>
  <c r="X1979" i="1"/>
  <c r="X1926" i="1"/>
  <c r="X956" i="1"/>
  <c r="X3721" i="1"/>
  <c r="S3233" i="1"/>
  <c r="S2073" i="1"/>
  <c r="S105" i="1"/>
  <c r="U2741" i="1"/>
  <c r="V2741" i="1" s="1"/>
  <c r="W2741" i="1" s="1"/>
  <c r="U2949" i="1"/>
  <c r="V2949" i="1" s="1"/>
  <c r="W2949" i="1" s="1"/>
  <c r="U2494" i="1"/>
  <c r="V2494" i="1" s="1"/>
  <c r="W2494" i="1" s="1"/>
  <c r="W1902" i="1"/>
  <c r="U2050" i="1"/>
  <c r="V2050" i="1" s="1"/>
  <c r="W2050" i="1" s="1"/>
  <c r="W1958" i="1"/>
  <c r="W1386" i="1"/>
  <c r="W1051" i="1"/>
  <c r="W1175" i="1"/>
  <c r="S900" i="1"/>
  <c r="S1347" i="1"/>
  <c r="S131" i="1"/>
  <c r="S1024" i="1"/>
  <c r="S1256" i="1"/>
  <c r="S96" i="1"/>
  <c r="S520" i="1"/>
  <c r="S2300" i="1"/>
  <c r="S2442" i="1"/>
  <c r="S3672" i="1"/>
  <c r="S3441" i="1"/>
  <c r="S3299" i="1"/>
  <c r="S2926" i="1"/>
  <c r="S3138" i="1"/>
  <c r="S2784" i="1"/>
  <c r="S2648" i="1"/>
  <c r="S2326" i="1"/>
  <c r="S2272" i="1"/>
  <c r="S1818" i="1"/>
  <c r="U2762" i="1"/>
  <c r="V2762" i="1" s="1"/>
  <c r="W2762" i="1" s="1"/>
  <c r="U2692" i="1"/>
  <c r="V2692" i="1" s="1"/>
  <c r="W2692" i="1" s="1"/>
  <c r="U2358" i="1"/>
  <c r="V2358" i="1" s="1"/>
  <c r="W2358" i="1" s="1"/>
  <c r="W1730" i="1"/>
  <c r="W1626" i="1"/>
  <c r="W1370" i="1"/>
  <c r="W1302" i="1"/>
  <c r="W1254" i="1"/>
  <c r="W1270" i="1"/>
  <c r="W802" i="1"/>
  <c r="W571" i="1"/>
  <c r="W703" i="1"/>
  <c r="W770" i="1"/>
  <c r="W555" i="1"/>
  <c r="W98" i="1"/>
  <c r="W407" i="1"/>
  <c r="W88" i="1"/>
  <c r="S660" i="1"/>
  <c r="S1379" i="1"/>
  <c r="S1978" i="1"/>
  <c r="S1730" i="1"/>
  <c r="S67" i="1"/>
  <c r="S2048" i="1"/>
  <c r="W2472" i="1"/>
  <c r="W141" i="1"/>
  <c r="S2996" i="1"/>
  <c r="S2464" i="1"/>
  <c r="S1742" i="1"/>
  <c r="U315" i="1"/>
  <c r="V315" i="1" s="1"/>
  <c r="W315" i="1" s="1"/>
  <c r="S2485" i="1"/>
  <c r="P956" i="1"/>
  <c r="S2277" i="1"/>
  <c r="S2168" i="1"/>
  <c r="S1952" i="1"/>
  <c r="S3470" i="1"/>
  <c r="S2396" i="1"/>
  <c r="S2088" i="1"/>
  <c r="S1863" i="1"/>
  <c r="W1714" i="1"/>
  <c r="W1526" i="1"/>
  <c r="W1354" i="1"/>
  <c r="W1286" i="1"/>
  <c r="W1658" i="1"/>
  <c r="W1402" i="1"/>
  <c r="W1174" i="1"/>
  <c r="W938" i="1"/>
  <c r="W1126" i="1"/>
  <c r="W1158" i="1"/>
  <c r="W1006" i="1"/>
  <c r="W862" i="1"/>
  <c r="W587" i="1"/>
  <c r="W570" i="1"/>
  <c r="W190" i="1"/>
  <c r="W266" i="1"/>
  <c r="W530" i="1"/>
  <c r="W651" i="1"/>
  <c r="W251" i="1"/>
  <c r="W120" i="1"/>
  <c r="W274" i="1"/>
  <c r="S1703" i="1"/>
  <c r="S786" i="1"/>
  <c r="S1899" i="1"/>
  <c r="S162" i="1"/>
  <c r="S1687" i="1"/>
  <c r="S1483" i="1"/>
  <c r="S1608" i="1"/>
  <c r="S7" i="1"/>
  <c r="W3318" i="1"/>
  <c r="W2930" i="1"/>
  <c r="S2686" i="1"/>
  <c r="S2574" i="1"/>
  <c r="S2065" i="1"/>
  <c r="S1708" i="1"/>
  <c r="S791" i="1"/>
  <c r="W3382" i="1"/>
  <c r="W3308" i="1"/>
  <c r="U501" i="1"/>
  <c r="V501" i="1" s="1"/>
  <c r="W501" i="1" s="1"/>
  <c r="S1302" i="1"/>
  <c r="S2154" i="1"/>
  <c r="S1262" i="1"/>
  <c r="S1394" i="1"/>
  <c r="S1410" i="1"/>
  <c r="S3544" i="1"/>
  <c r="S3786" i="1"/>
  <c r="S3481" i="1"/>
  <c r="S3484" i="1"/>
  <c r="S2359" i="1"/>
  <c r="S2253" i="1"/>
  <c r="S2004" i="1"/>
  <c r="W3342" i="1"/>
  <c r="W3188" i="1"/>
  <c r="W3044" i="1"/>
  <c r="W3219" i="1"/>
  <c r="W3290" i="1"/>
  <c r="W2456" i="1"/>
  <c r="W2329" i="1"/>
  <c r="W2354" i="1"/>
  <c r="W1726" i="1"/>
  <c r="U829" i="1"/>
  <c r="V829" i="1" s="1"/>
  <c r="W829" i="1" s="1"/>
  <c r="W650" i="1"/>
  <c r="W62" i="1"/>
  <c r="W162" i="1"/>
  <c r="W7" i="1"/>
  <c r="S702" i="1"/>
  <c r="S27" i="1"/>
  <c r="S2973" i="1"/>
  <c r="S2991" i="1"/>
  <c r="S3131" i="1"/>
  <c r="S2922" i="1"/>
  <c r="S2438" i="1"/>
  <c r="S2063" i="1"/>
  <c r="U642" i="1"/>
  <c r="V642" i="1" s="1"/>
  <c r="W642" i="1" s="1"/>
  <c r="W42" i="1"/>
  <c r="S3653" i="1"/>
  <c r="S570" i="1"/>
  <c r="S918" i="1"/>
  <c r="S1386" i="1"/>
  <c r="S703" i="1"/>
  <c r="S1159" i="1"/>
  <c r="S1499" i="1"/>
  <c r="S1743" i="1"/>
  <c r="W394" i="1"/>
  <c r="W506" i="1"/>
  <c r="W350" i="1"/>
  <c r="W234" i="1"/>
  <c r="W487" i="1"/>
  <c r="W342" i="1"/>
  <c r="W220" i="1"/>
  <c r="W258" i="1"/>
  <c r="W105" i="1"/>
  <c r="S1711" i="1"/>
  <c r="W12" i="1"/>
  <c r="S721" i="1"/>
  <c r="S737" i="1"/>
  <c r="S789" i="1"/>
  <c r="S825" i="1"/>
  <c r="S969" i="1"/>
  <c r="S985" i="1"/>
  <c r="S3805" i="1"/>
  <c r="S2321" i="1"/>
  <c r="S3650" i="1"/>
  <c r="Q3584" i="1"/>
  <c r="W398" i="1"/>
  <c r="W618" i="1"/>
  <c r="W1855" i="1"/>
  <c r="W191" i="1"/>
  <c r="W791" i="1"/>
  <c r="S827" i="1"/>
  <c r="W899" i="1"/>
  <c r="W1490" i="1"/>
  <c r="W1255" i="1"/>
  <c r="W1271" i="1"/>
  <c r="W1343" i="1"/>
  <c r="W1539" i="1"/>
  <c r="W1910" i="1"/>
  <c r="W3062" i="1"/>
  <c r="W3642" i="1"/>
  <c r="W1278" i="1"/>
  <c r="S1620" i="1"/>
  <c r="W1742" i="1"/>
  <c r="W1770" i="1"/>
  <c r="W1840" i="1"/>
  <c r="W1863" i="1"/>
  <c r="W1952" i="1"/>
  <c r="S1243" i="1"/>
  <c r="W1489" i="1"/>
  <c r="W1818" i="1"/>
  <c r="W2272" i="1"/>
  <c r="S2834" i="1"/>
  <c r="W877" i="1"/>
  <c r="W920" i="1"/>
  <c r="S2288" i="1"/>
  <c r="S2289" i="1" s="1"/>
  <c r="W2090" i="1"/>
  <c r="S3580" i="1"/>
  <c r="S1691" i="1"/>
  <c r="S23" i="1"/>
  <c r="S141" i="1"/>
  <c r="S3318" i="1"/>
  <c r="Q365" i="1"/>
  <c r="Q3327" i="1"/>
  <c r="W3580" i="1"/>
  <c r="W3132" i="1"/>
  <c r="W1548" i="1"/>
  <c r="W1285" i="1"/>
  <c r="S174" i="1"/>
  <c r="S12" i="1"/>
  <c r="S1034" i="1"/>
  <c r="S2350" i="1"/>
  <c r="S2525" i="1"/>
  <c r="S2546" i="1"/>
  <c r="S2661" i="1"/>
  <c r="S2684" i="1"/>
  <c r="S2731" i="1"/>
  <c r="S2754" i="1"/>
  <c r="S3200" i="1"/>
  <c r="S3361" i="1"/>
  <c r="S3480" i="1"/>
  <c r="S3538" i="1"/>
  <c r="S3641" i="1"/>
  <c r="S3714" i="1"/>
  <c r="S3749" i="1"/>
  <c r="X454" i="1"/>
  <c r="X891" i="1"/>
  <c r="X615" i="1"/>
  <c r="X2115" i="1"/>
  <c r="X2314" i="1"/>
  <c r="X3327" i="1"/>
  <c r="S1813" i="1"/>
  <c r="S2507" i="1"/>
  <c r="S2671" i="1"/>
  <c r="S2835" i="1"/>
  <c r="S2867" i="1"/>
  <c r="S3273" i="1"/>
  <c r="X2286" i="1"/>
  <c r="S3148" i="1"/>
  <c r="S3288" i="1"/>
  <c r="S22" i="1"/>
  <c r="U22" i="1"/>
  <c r="V22" i="1" s="1"/>
  <c r="W22" i="1" s="1"/>
  <c r="Q259" i="1"/>
  <c r="S238" i="1"/>
  <c r="Q658" i="1"/>
  <c r="W658" i="1" s="1"/>
  <c r="P688" i="1"/>
  <c r="Q715" i="1"/>
  <c r="S1010" i="1"/>
  <c r="Q1146" i="1"/>
  <c r="S1146" i="1" s="1"/>
  <c r="P1177" i="1"/>
  <c r="S1198" i="1"/>
  <c r="S1686" i="1"/>
  <c r="Q1783" i="1"/>
  <c r="S1862" i="1"/>
  <c r="U35" i="1"/>
  <c r="V35" i="1" s="1"/>
  <c r="W35" i="1" s="1"/>
  <c r="S35" i="1"/>
  <c r="S87" i="1"/>
  <c r="S155" i="1"/>
  <c r="S411" i="1"/>
  <c r="S491" i="1"/>
  <c r="Q619" i="1"/>
  <c r="Q631" i="1" s="1"/>
  <c r="P631" i="1"/>
  <c r="S659" i="1"/>
  <c r="S743" i="1"/>
  <c r="S907" i="1"/>
  <c r="S923" i="1"/>
  <c r="S991" i="1"/>
  <c r="S1055" i="1"/>
  <c r="Q1275" i="1"/>
  <c r="S1299" i="1"/>
  <c r="S1351" i="1"/>
  <c r="S1503" i="1"/>
  <c r="S1563" i="1"/>
  <c r="S1599" i="1"/>
  <c r="S1707" i="1"/>
  <c r="S1775" i="1"/>
  <c r="S1811" i="1"/>
  <c r="S1883" i="1"/>
  <c r="Q2013" i="1"/>
  <c r="S92" i="1"/>
  <c r="S124" i="1"/>
  <c r="Q312" i="1"/>
  <c r="Q438" i="1"/>
  <c r="Q456" i="1"/>
  <c r="S456" i="1" s="1"/>
  <c r="P495" i="1"/>
  <c r="S488" i="1"/>
  <c r="S548" i="1"/>
  <c r="S628" i="1"/>
  <c r="S700" i="1"/>
  <c r="S772" i="1"/>
  <c r="S836" i="1"/>
  <c r="S996" i="1"/>
  <c r="S1156" i="1"/>
  <c r="S1224" i="1"/>
  <c r="S1300" i="1"/>
  <c r="S1432" i="1"/>
  <c r="S1464" i="1"/>
  <c r="Q1532" i="1"/>
  <c r="P1534" i="1"/>
  <c r="S1564" i="1"/>
  <c r="Q1890" i="1"/>
  <c r="S2106" i="1"/>
  <c r="S2032" i="1"/>
  <c r="S129" i="1"/>
  <c r="S273" i="1"/>
  <c r="S613" i="1"/>
  <c r="S697" i="1"/>
  <c r="S817" i="1"/>
  <c r="S977" i="1"/>
  <c r="S1049" i="1"/>
  <c r="S1189" i="1"/>
  <c r="S1285" i="1"/>
  <c r="S1541" i="1"/>
  <c r="S1605" i="1"/>
  <c r="S1653" i="1"/>
  <c r="S1685" i="1"/>
  <c r="Q1723" i="1"/>
  <c r="S1765" i="1"/>
  <c r="S1801" i="1"/>
  <c r="S1997" i="1"/>
  <c r="S2419" i="1"/>
  <c r="S3783" i="1"/>
  <c r="S284" i="1"/>
  <c r="U284" i="1"/>
  <c r="V284" i="1" s="1"/>
  <c r="W284" i="1" s="1"/>
  <c r="U684" i="1"/>
  <c r="V684" i="1" s="1"/>
  <c r="W684" i="1" s="1"/>
  <c r="S684" i="1"/>
  <c r="U1745" i="1"/>
  <c r="V1745" i="1" s="1"/>
  <c r="W1745" i="1" s="1"/>
  <c r="S1745" i="1"/>
  <c r="S2491" i="1"/>
  <c r="S2767" i="1"/>
  <c r="S3047" i="1"/>
  <c r="Q3351" i="1"/>
  <c r="S3545" i="1"/>
  <c r="U408" i="1"/>
  <c r="V408" i="1" s="1"/>
  <c r="W408" i="1" s="1"/>
  <c r="U776" i="1"/>
  <c r="V776" i="1" s="1"/>
  <c r="W776" i="1" s="1"/>
  <c r="S776" i="1"/>
  <c r="U1058" i="1"/>
  <c r="V1058" i="1" s="1"/>
  <c r="W1058" i="1" s="1"/>
  <c r="U3108" i="1"/>
  <c r="V3108" i="1" s="1"/>
  <c r="W3108" i="1" s="1"/>
  <c r="S3108" i="1"/>
  <c r="S2156" i="1"/>
  <c r="S2701" i="1"/>
  <c r="S2911" i="1"/>
  <c r="S3195" i="1"/>
  <c r="S3475" i="1"/>
  <c r="S376" i="1"/>
  <c r="U376" i="1"/>
  <c r="V376" i="1" s="1"/>
  <c r="W376" i="1" s="1"/>
  <c r="W850" i="1"/>
  <c r="S1232" i="1"/>
  <c r="U1232" i="1"/>
  <c r="V1232" i="1" s="1"/>
  <c r="W1232" i="1" s="1"/>
  <c r="S2083" i="1"/>
  <c r="S2137" i="1"/>
  <c r="S2639" i="1"/>
  <c r="Q2678" i="1"/>
  <c r="S2707" i="1"/>
  <c r="Q2709" i="1"/>
  <c r="S2775" i="1"/>
  <c r="S2847" i="1"/>
  <c r="S2915" i="1"/>
  <c r="S2989" i="1"/>
  <c r="S3055" i="1"/>
  <c r="Q3152" i="1"/>
  <c r="S3269" i="1"/>
  <c r="S3337" i="1"/>
  <c r="S3409" i="1"/>
  <c r="S3479" i="1"/>
  <c r="S3635" i="1"/>
  <c r="S3703" i="1"/>
  <c r="S3866" i="1"/>
  <c r="U136" i="1"/>
  <c r="V136" i="1" s="1"/>
  <c r="W136" i="1" s="1"/>
  <c r="S136" i="1"/>
  <c r="U208" i="1"/>
  <c r="V208" i="1" s="1"/>
  <c r="W208" i="1" s="1"/>
  <c r="S208" i="1"/>
  <c r="U278" i="1"/>
  <c r="V278" i="1" s="1"/>
  <c r="W278" i="1" s="1"/>
  <c r="U456" i="1"/>
  <c r="V456" i="1" s="1"/>
  <c r="U532" i="1"/>
  <c r="V532" i="1" s="1"/>
  <c r="W532" i="1" s="1"/>
  <c r="S532" i="1"/>
  <c r="U610" i="1"/>
  <c r="V610" i="1" s="1"/>
  <c r="S680" i="1"/>
  <c r="U680" i="1"/>
  <c r="V680" i="1" s="1"/>
  <c r="W680" i="1" s="1"/>
  <c r="S748" i="1"/>
  <c r="U748" i="1"/>
  <c r="V748" i="1" s="1"/>
  <c r="W748" i="1" s="1"/>
  <c r="S818" i="1"/>
  <c r="U818" i="1"/>
  <c r="V818" i="1" s="1"/>
  <c r="W818" i="1" s="1"/>
  <c r="S890" i="1"/>
  <c r="U890" i="1"/>
  <c r="V890" i="1" s="1"/>
  <c r="W890" i="1" s="1"/>
  <c r="U1720" i="1"/>
  <c r="V1720" i="1" s="1"/>
  <c r="W1720" i="1" s="1"/>
  <c r="S1720" i="1"/>
  <c r="U2113" i="1"/>
  <c r="V2113" i="1" s="1"/>
  <c r="W2113" i="1" s="1"/>
  <c r="S2917" i="1"/>
  <c r="U2917" i="1"/>
  <c r="V2917" i="1" s="1"/>
  <c r="W2917" i="1" s="1"/>
  <c r="S2334" i="1"/>
  <c r="Q2344" i="1"/>
  <c r="S2368" i="1"/>
  <c r="S2402" i="1"/>
  <c r="S2436" i="1"/>
  <c r="S2454" i="1"/>
  <c r="Q2477" i="1"/>
  <c r="S2470" i="1"/>
  <c r="S2524" i="1"/>
  <c r="S2540" i="1"/>
  <c r="S2590" i="1"/>
  <c r="Q2636" i="1"/>
  <c r="S2626" i="1"/>
  <c r="S2660" i="1"/>
  <c r="S2694" i="1"/>
  <c r="S2714" i="1"/>
  <c r="S2730" i="1"/>
  <c r="S2764" i="1"/>
  <c r="S2780" i="1"/>
  <c r="S2800" i="1"/>
  <c r="S2816" i="1"/>
  <c r="S2836" i="1"/>
  <c r="S2852" i="1"/>
  <c r="S2868" i="1"/>
  <c r="S2886" i="1"/>
  <c r="S2902" i="1"/>
  <c r="S2940" i="1"/>
  <c r="S2976" i="1"/>
  <c r="S2994" i="1"/>
  <c r="S3010" i="1"/>
  <c r="S3044" i="1"/>
  <c r="S3080" i="1"/>
  <c r="S3116" i="1"/>
  <c r="S3134" i="1"/>
  <c r="S3188" i="1"/>
  <c r="S3206" i="1"/>
  <c r="S3222" i="1"/>
  <c r="S3240" i="1"/>
  <c r="S3258" i="1"/>
  <c r="Q3314" i="1"/>
  <c r="S3290" i="1"/>
  <c r="S3306" i="1"/>
  <c r="W1500" i="1"/>
  <c r="Q2385" i="1"/>
  <c r="Q2876" i="1"/>
  <c r="Q2961" i="1"/>
  <c r="Q3100" i="1"/>
  <c r="Q3780" i="1"/>
  <c r="S2102" i="1"/>
  <c r="W1481" i="1"/>
  <c r="W2420" i="1"/>
  <c r="S622" i="1"/>
  <c r="S1130" i="1"/>
  <c r="S1182" i="1"/>
  <c r="S1574" i="1"/>
  <c r="Q1646" i="1"/>
  <c r="Q1663" i="1" s="1"/>
  <c r="P1663" i="1"/>
  <c r="S1718" i="1"/>
  <c r="S1774" i="1"/>
  <c r="S103" i="1"/>
  <c r="S239" i="1"/>
  <c r="S527" i="1"/>
  <c r="S763" i="1"/>
  <c r="S975" i="1"/>
  <c r="S1091" i="1"/>
  <c r="S1195" i="1"/>
  <c r="S1231" i="1"/>
  <c r="S1263" i="1"/>
  <c r="S1315" i="1"/>
  <c r="S1403" i="1"/>
  <c r="S1435" i="1"/>
  <c r="S1487" i="1"/>
  <c r="Q1492" i="1"/>
  <c r="S1543" i="1"/>
  <c r="S1671" i="1"/>
  <c r="S1727" i="1"/>
  <c r="S1759" i="1"/>
  <c r="Q1919" i="1"/>
  <c r="W1919" i="1" s="1"/>
  <c r="P1921" i="1"/>
  <c r="S1963" i="1"/>
  <c r="S56" i="1"/>
  <c r="S364" i="1"/>
  <c r="S472" i="1"/>
  <c r="S820" i="1"/>
  <c r="S884" i="1"/>
  <c r="S1028" i="1"/>
  <c r="Q1204" i="1"/>
  <c r="S1204" i="1" s="1"/>
  <c r="S1205" i="1" s="1"/>
  <c r="P1205" i="1"/>
  <c r="S1316" i="1"/>
  <c r="S1408" i="1"/>
  <c r="S1548" i="1"/>
  <c r="S1612" i="1"/>
  <c r="S1768" i="1"/>
  <c r="S1964" i="1"/>
  <c r="S2020" i="1"/>
  <c r="S2036" i="1"/>
  <c r="S2176" i="1"/>
  <c r="S477" i="1"/>
  <c r="S645" i="1"/>
  <c r="S713" i="1"/>
  <c r="Q849" i="1"/>
  <c r="W849" i="1" s="1"/>
  <c r="P874" i="1"/>
  <c r="S1121" i="1"/>
  <c r="S1269" i="1"/>
  <c r="S1341" i="1"/>
  <c r="S1393" i="1"/>
  <c r="S1433" i="1"/>
  <c r="S1525" i="1"/>
  <c r="Q1589" i="1"/>
  <c r="P1610" i="1"/>
  <c r="Q1637" i="1"/>
  <c r="P1639" i="1"/>
  <c r="S1701" i="1"/>
  <c r="Q1749" i="1"/>
  <c r="P1751" i="1"/>
  <c r="S1833" i="1"/>
  <c r="S1865" i="1"/>
  <c r="S1945" i="1"/>
  <c r="Q2017" i="1"/>
  <c r="Q2023" i="1" s="1"/>
  <c r="P2023" i="1"/>
  <c r="S2975" i="1"/>
  <c r="U212" i="1"/>
  <c r="V212" i="1" s="1"/>
  <c r="W212" i="1" s="1"/>
  <c r="S212" i="1"/>
  <c r="U536" i="1"/>
  <c r="V536" i="1" s="1"/>
  <c r="W536" i="1" s="1"/>
  <c r="U1124" i="1"/>
  <c r="V1124" i="1" s="1"/>
  <c r="W1124" i="1" s="1"/>
  <c r="S2641" i="1"/>
  <c r="U2641" i="1"/>
  <c r="V2641" i="1" s="1"/>
  <c r="W2641" i="1" s="1"/>
  <c r="S2045" i="1"/>
  <c r="S2099" i="1"/>
  <c r="Q2173" i="1"/>
  <c r="W2173" i="1" s="1"/>
  <c r="P2183" i="1"/>
  <c r="S2697" i="1"/>
  <c r="S2979" i="1"/>
  <c r="S3261" i="1"/>
  <c r="U182" i="1"/>
  <c r="V182" i="1" s="1"/>
  <c r="W182" i="1" s="1"/>
  <c r="S182" i="1"/>
  <c r="U558" i="1"/>
  <c r="V558" i="1" s="1"/>
  <c r="U846" i="1"/>
  <c r="V846" i="1" s="1"/>
  <c r="W846" i="1" s="1"/>
  <c r="S1496" i="1"/>
  <c r="U1496" i="1"/>
  <c r="V1496" i="1" s="1"/>
  <c r="W1496" i="1" s="1"/>
  <c r="S2030" i="1"/>
  <c r="S2100" i="1"/>
  <c r="S2427" i="1"/>
  <c r="S2771" i="1"/>
  <c r="S3051" i="1"/>
  <c r="S3333" i="1"/>
  <c r="S3699" i="1"/>
  <c r="S256" i="1"/>
  <c r="U256" i="1"/>
  <c r="V256" i="1" s="1"/>
  <c r="W256" i="1" s="1"/>
  <c r="U564" i="1"/>
  <c r="V564" i="1" s="1"/>
  <c r="W564" i="1" s="1"/>
  <c r="S564" i="1"/>
  <c r="S780" i="1"/>
  <c r="S992" i="1"/>
  <c r="U992" i="1"/>
  <c r="V992" i="1" s="1"/>
  <c r="W992" i="1" s="1"/>
  <c r="U1889" i="1"/>
  <c r="V1889" i="1" s="1"/>
  <c r="W1889" i="1" s="1"/>
  <c r="S1889" i="1"/>
  <c r="S2157" i="1"/>
  <c r="S1106" i="1"/>
  <c r="U1106" i="1"/>
  <c r="V1106" i="1" s="1"/>
  <c r="W1106" i="1" s="1"/>
  <c r="S3329" i="1"/>
  <c r="S1465" i="1"/>
  <c r="S116" i="1"/>
  <c r="W2044" i="1"/>
  <c r="W1744" i="1"/>
  <c r="W1557" i="1"/>
  <c r="U780" i="1"/>
  <c r="V780" i="1" s="1"/>
  <c r="W780" i="1" s="1"/>
  <c r="S126" i="1"/>
  <c r="S202" i="1"/>
  <c r="Q318" i="1"/>
  <c r="S318" i="1" s="1"/>
  <c r="P333" i="1"/>
  <c r="S482" i="1"/>
  <c r="S830" i="1"/>
  <c r="S1110" i="1"/>
  <c r="S1306" i="1"/>
  <c r="S1630" i="1"/>
  <c r="S1702" i="1"/>
  <c r="S1962" i="1"/>
  <c r="S2018" i="1"/>
  <c r="S119" i="1"/>
  <c r="Q375" i="1"/>
  <c r="W375" i="1" s="1"/>
  <c r="P377" i="1"/>
  <c r="S543" i="1"/>
  <c r="S779" i="1"/>
  <c r="S648" i="1"/>
  <c r="S720" i="1"/>
  <c r="S788" i="1"/>
  <c r="S852" i="1"/>
  <c r="S904" i="1"/>
  <c r="S980" i="1"/>
  <c r="S1044" i="1"/>
  <c r="Q1120" i="1"/>
  <c r="Q1143" i="1" s="1"/>
  <c r="P1143" i="1"/>
  <c r="S1172" i="1"/>
  <c r="S1240" i="1"/>
  <c r="S1332" i="1"/>
  <c r="S1448" i="1"/>
  <c r="S1788" i="1"/>
  <c r="S1856" i="1"/>
  <c r="S1924" i="1"/>
  <c r="S3221" i="1"/>
  <c r="S2180" i="1"/>
  <c r="S381" i="1"/>
  <c r="S429" i="1"/>
  <c r="S493" i="1"/>
  <c r="S569" i="1"/>
  <c r="S629" i="1"/>
  <c r="S885" i="1"/>
  <c r="S1033" i="1"/>
  <c r="S1105" i="1"/>
  <c r="S1305" i="1"/>
  <c r="S1357" i="1"/>
  <c r="S1557" i="1"/>
  <c r="S1669" i="1"/>
  <c r="Q1678" i="1"/>
  <c r="S1905" i="1"/>
  <c r="Q1981" i="1"/>
  <c r="Q1983" i="1" s="1"/>
  <c r="P1983" i="1"/>
  <c r="S70" i="1"/>
  <c r="S424" i="1"/>
  <c r="U424" i="1"/>
  <c r="V424" i="1" s="1"/>
  <c r="W424" i="1" s="1"/>
  <c r="S754" i="1"/>
  <c r="U754" i="1"/>
  <c r="V754" i="1" s="1"/>
  <c r="W754" i="1" s="1"/>
  <c r="U1036" i="1"/>
  <c r="V1036" i="1" s="1"/>
  <c r="W1036" i="1" s="1"/>
  <c r="S1036" i="1"/>
  <c r="S2155" i="1"/>
  <c r="S2559" i="1"/>
  <c r="S2839" i="1"/>
  <c r="S3119" i="1"/>
  <c r="S3399" i="1"/>
  <c r="U252" i="1"/>
  <c r="V252" i="1" s="1"/>
  <c r="W252" i="1" s="1"/>
  <c r="U638" i="1"/>
  <c r="V638" i="1" s="1"/>
  <c r="W638" i="1" s="1"/>
  <c r="S916" i="1"/>
  <c r="U916" i="1"/>
  <c r="V916" i="1" s="1"/>
  <c r="W916" i="1" s="1"/>
  <c r="U1866" i="1"/>
  <c r="V1866" i="1" s="1"/>
  <c r="W1866" i="1" s="1"/>
  <c r="S1866" i="1"/>
  <c r="S2495" i="1"/>
  <c r="S2843" i="1"/>
  <c r="S3405" i="1"/>
  <c r="S3631" i="1"/>
  <c r="S188" i="1"/>
  <c r="U188" i="1"/>
  <c r="V188" i="1" s="1"/>
  <c r="W188" i="1" s="1"/>
  <c r="S2047" i="1"/>
  <c r="S2101" i="1"/>
  <c r="S2175" i="1"/>
  <c r="S2363" i="1"/>
  <c r="U1390" i="1"/>
  <c r="V1390" i="1" s="1"/>
  <c r="W1390" i="1" s="1"/>
  <c r="S2192" i="1"/>
  <c r="Q2115" i="1"/>
  <c r="Q1912" i="1"/>
  <c r="S1781" i="1"/>
  <c r="S1104" i="1"/>
  <c r="W2905" i="1"/>
  <c r="W2222" i="1"/>
  <c r="W2193" i="1"/>
  <c r="W1961" i="1"/>
  <c r="S106" i="1"/>
  <c r="Q235" i="1"/>
  <c r="S222" i="1"/>
  <c r="S338" i="1"/>
  <c r="S502" i="1"/>
  <c r="Q558" i="1"/>
  <c r="Q560" i="1" s="1"/>
  <c r="P560" i="1"/>
  <c r="S606" i="1"/>
  <c r="Q810" i="1"/>
  <c r="P822" i="1"/>
  <c r="S866" i="1"/>
  <c r="S1078" i="1"/>
  <c r="S1322" i="1"/>
  <c r="S1374" i="1"/>
  <c r="S1538" i="1"/>
  <c r="S135" i="1"/>
  <c r="S203" i="1"/>
  <c r="S255" i="1"/>
  <c r="S591" i="1"/>
  <c r="S675" i="1"/>
  <c r="S727" i="1"/>
  <c r="S795" i="1"/>
  <c r="S831" i="1"/>
  <c r="S943" i="1"/>
  <c r="S1071" i="1"/>
  <c r="S1127" i="1"/>
  <c r="S1179" i="1"/>
  <c r="Q1244" i="1"/>
  <c r="S1215" i="1"/>
  <c r="S1283" i="1"/>
  <c r="S1335" i="1"/>
  <c r="S1579" i="1"/>
  <c r="S1619" i="1"/>
  <c r="S1847" i="1"/>
  <c r="S2003" i="1"/>
  <c r="S172" i="1"/>
  <c r="S224" i="1"/>
  <c r="S264" i="1"/>
  <c r="S404" i="1"/>
  <c r="Q552" i="1"/>
  <c r="S572" i="1"/>
  <c r="S868" i="1"/>
  <c r="S936" i="1"/>
  <c r="S1012" i="1"/>
  <c r="S1064" i="1"/>
  <c r="S1188" i="1"/>
  <c r="Q1280" i="1"/>
  <c r="Q1296" i="1" s="1"/>
  <c r="P1296" i="1"/>
  <c r="S1352" i="1"/>
  <c r="S1392" i="1"/>
  <c r="S1632" i="1"/>
  <c r="S1836" i="1"/>
  <c r="S2643" i="1"/>
  <c r="S69" i="1"/>
  <c r="S205" i="1"/>
  <c r="S445" i="1"/>
  <c r="S589" i="1"/>
  <c r="S661" i="1"/>
  <c r="S865" i="1"/>
  <c r="Q933" i="1"/>
  <c r="P952" i="1"/>
  <c r="S1013" i="1"/>
  <c r="S1069" i="1"/>
  <c r="S1253" i="1"/>
  <c r="S1321" i="1"/>
  <c r="S1449" i="1"/>
  <c r="S1505" i="1"/>
  <c r="S1621" i="1"/>
  <c r="S1961" i="1"/>
  <c r="S2693" i="1"/>
  <c r="U614" i="1"/>
  <c r="V614" i="1" s="1"/>
  <c r="W614" i="1" s="1"/>
  <c r="S896" i="1"/>
  <c r="U896" i="1"/>
  <c r="V896" i="1" s="1"/>
  <c r="W896" i="1" s="1"/>
  <c r="Q2029" i="1"/>
  <c r="W2029" i="1" s="1"/>
  <c r="P2055" i="1"/>
  <c r="S2081" i="1"/>
  <c r="Q2097" i="1"/>
  <c r="S2135" i="1"/>
  <c r="S2191" i="1"/>
  <c r="S2355" i="1"/>
  <c r="S2629" i="1"/>
  <c r="S2905" i="1"/>
  <c r="S3191" i="1"/>
  <c r="S3471" i="1"/>
  <c r="S3769" i="1"/>
  <c r="S110" i="1"/>
  <c r="U110" i="1"/>
  <c r="V110" i="1" s="1"/>
  <c r="W110" i="1" s="1"/>
  <c r="S480" i="1"/>
  <c r="U480" i="1"/>
  <c r="V480" i="1" s="1"/>
  <c r="W480" i="1" s="1"/>
  <c r="U706" i="1"/>
  <c r="V706" i="1" s="1"/>
  <c r="W706" i="1" s="1"/>
  <c r="U988" i="1"/>
  <c r="V988" i="1" s="1"/>
  <c r="W988" i="1" s="1"/>
  <c r="S988" i="1"/>
  <c r="S1216" i="1"/>
  <c r="U1216" i="1"/>
  <c r="V1216" i="1" s="1"/>
  <c r="W1216" i="1" s="1"/>
  <c r="U2285" i="1"/>
  <c r="V2285" i="1" s="1"/>
  <c r="W2285" i="1" s="1"/>
  <c r="S2285" i="1"/>
  <c r="S2046" i="1"/>
  <c r="S2174" i="1"/>
  <c r="S2985" i="1"/>
  <c r="S3265" i="1"/>
  <c r="S3549" i="1"/>
  <c r="U484" i="1"/>
  <c r="V484" i="1" s="1"/>
  <c r="W484" i="1" s="1"/>
  <c r="S484" i="1"/>
  <c r="S710" i="1"/>
  <c r="S920" i="1"/>
  <c r="U1512" i="1"/>
  <c r="V1512" i="1" s="1"/>
  <c r="W1512" i="1" s="1"/>
  <c r="S2031" i="1"/>
  <c r="S2431" i="1"/>
  <c r="U964" i="1"/>
  <c r="V964" i="1" s="1"/>
  <c r="W964" i="1" s="1"/>
  <c r="Q3127" i="1"/>
  <c r="Q2909" i="1"/>
  <c r="S1940" i="1"/>
  <c r="S1817" i="1"/>
  <c r="S1904" i="1"/>
  <c r="W3541" i="1"/>
  <c r="W3123" i="1"/>
  <c r="W2771" i="1"/>
  <c r="W1315" i="1"/>
  <c r="W867" i="1"/>
  <c r="U968" i="1"/>
  <c r="V968" i="1" s="1"/>
  <c r="W968" i="1" s="1"/>
  <c r="S3360" i="1"/>
  <c r="S3500" i="1"/>
  <c r="S3784" i="1"/>
  <c r="S219" i="1"/>
  <c r="U219" i="1"/>
  <c r="V219" i="1" s="1"/>
  <c r="W219" i="1" s="1"/>
  <c r="U425" i="1"/>
  <c r="V425" i="1" s="1"/>
  <c r="W425" i="1" s="1"/>
  <c r="S673" i="1"/>
  <c r="U673" i="1"/>
  <c r="V673" i="1" s="1"/>
  <c r="W673" i="1" s="1"/>
  <c r="U741" i="1"/>
  <c r="V741" i="1" s="1"/>
  <c r="W741" i="1" s="1"/>
  <c r="S741" i="1"/>
  <c r="S811" i="1"/>
  <c r="U811" i="1"/>
  <c r="V811" i="1" s="1"/>
  <c r="W811" i="1" s="1"/>
  <c r="U901" i="1"/>
  <c r="V901" i="1" s="1"/>
  <c r="W901" i="1" s="1"/>
  <c r="S973" i="1"/>
  <c r="U973" i="1"/>
  <c r="V973" i="1" s="1"/>
  <c r="W973" i="1" s="1"/>
  <c r="U1041" i="1"/>
  <c r="V1041" i="1" s="1"/>
  <c r="W1041" i="1" s="1"/>
  <c r="U1430" i="1"/>
  <c r="V1430" i="1" s="1"/>
  <c r="W1430" i="1" s="1"/>
  <c r="S2605" i="1"/>
  <c r="S2711" i="1"/>
  <c r="S2777" i="1"/>
  <c r="S3219" i="1"/>
  <c r="S3377" i="1"/>
  <c r="S3445" i="1"/>
  <c r="S3815" i="1"/>
  <c r="U250" i="1"/>
  <c r="V250" i="1" s="1"/>
  <c r="W250" i="1" s="1"/>
  <c r="S344" i="1"/>
  <c r="U344" i="1"/>
  <c r="V344" i="1" s="1"/>
  <c r="W344" i="1" s="1"/>
  <c r="U448" i="1"/>
  <c r="V448" i="1" s="1"/>
  <c r="W448" i="1" s="1"/>
  <c r="U538" i="1"/>
  <c r="V538" i="1" s="1"/>
  <c r="W538" i="1" s="1"/>
  <c r="S686" i="1"/>
  <c r="S738" i="1"/>
  <c r="U738" i="1"/>
  <c r="V738" i="1" s="1"/>
  <c r="W738" i="1" s="1"/>
  <c r="U878" i="1"/>
  <c r="V878" i="1" s="1"/>
  <c r="W878" i="1" s="1"/>
  <c r="S878" i="1"/>
  <c r="U948" i="1"/>
  <c r="V948" i="1" s="1"/>
  <c r="W948" i="1" s="1"/>
  <c r="U1020" i="1"/>
  <c r="V1020" i="1" s="1"/>
  <c r="W1020" i="1" s="1"/>
  <c r="S1020" i="1"/>
  <c r="S1056" i="1"/>
  <c r="U1056" i="1"/>
  <c r="V1056" i="1" s="1"/>
  <c r="W1056" i="1" s="1"/>
  <c r="S1200" i="1"/>
  <c r="U1200" i="1"/>
  <c r="V1200" i="1" s="1"/>
  <c r="W1200" i="1" s="1"/>
  <c r="S1414" i="1"/>
  <c r="U1414" i="1"/>
  <c r="V1414" i="1" s="1"/>
  <c r="W1414" i="1" s="1"/>
  <c r="U1762" i="1"/>
  <c r="V1762" i="1" s="1"/>
  <c r="W1762" i="1" s="1"/>
  <c r="R3449" i="1"/>
  <c r="S3434" i="1"/>
  <c r="S2526" i="1"/>
  <c r="S2820" i="1"/>
  <c r="S2924" i="1"/>
  <c r="S3136" i="1"/>
  <c r="S3208" i="1"/>
  <c r="Q3449" i="1"/>
  <c r="S3624" i="1"/>
  <c r="S109" i="1"/>
  <c r="U225" i="1"/>
  <c r="V225" i="1" s="1"/>
  <c r="W225" i="1" s="1"/>
  <c r="S225" i="1"/>
  <c r="U341" i="1"/>
  <c r="V341" i="1" s="1"/>
  <c r="W341" i="1" s="1"/>
  <c r="S435" i="1"/>
  <c r="U435" i="1"/>
  <c r="V435" i="1" s="1"/>
  <c r="W435" i="1" s="1"/>
  <c r="U539" i="1"/>
  <c r="V539" i="1" s="1"/>
  <c r="W539" i="1" s="1"/>
  <c r="U597" i="1"/>
  <c r="V597" i="1" s="1"/>
  <c r="U653" i="1"/>
  <c r="V653" i="1" s="1"/>
  <c r="W653" i="1" s="1"/>
  <c r="U723" i="1"/>
  <c r="V723" i="1" s="1"/>
  <c r="W723" i="1" s="1"/>
  <c r="S723" i="1"/>
  <c r="S775" i="1"/>
  <c r="U845" i="1"/>
  <c r="V845" i="1" s="1"/>
  <c r="W845" i="1" s="1"/>
  <c r="S845" i="1"/>
  <c r="U949" i="1"/>
  <c r="V949" i="1" s="1"/>
  <c r="W949" i="1" s="1"/>
  <c r="S949" i="1"/>
  <c r="S1021" i="1"/>
  <c r="U1021" i="1"/>
  <c r="V1021" i="1" s="1"/>
  <c r="W1021" i="1" s="1"/>
  <c r="R1213" i="1"/>
  <c r="U1210" i="1"/>
  <c r="U1213" i="1" s="1"/>
  <c r="U1570" i="1"/>
  <c r="V1570" i="1" s="1"/>
  <c r="W1570" i="1" s="1"/>
  <c r="U2061" i="1"/>
  <c r="V2061" i="1" s="1"/>
  <c r="W2061" i="1" s="1"/>
  <c r="S2309" i="1"/>
  <c r="U2309" i="1"/>
  <c r="V2309" i="1" s="1"/>
  <c r="W2309" i="1" s="1"/>
  <c r="S2404" i="1"/>
  <c r="U2404" i="1"/>
  <c r="V2404" i="1" s="1"/>
  <c r="W2404" i="1" s="1"/>
  <c r="U2496" i="1"/>
  <c r="V2496" i="1" s="1"/>
  <c r="W2496" i="1" s="1"/>
  <c r="S3178" i="1"/>
  <c r="U3178" i="1"/>
  <c r="V3178" i="1" s="1"/>
  <c r="W3178" i="1" s="1"/>
  <c r="S3557" i="1"/>
  <c r="U3557" i="1"/>
  <c r="V3557" i="1" s="1"/>
  <c r="W3557" i="1" s="1"/>
  <c r="S1111" i="1"/>
  <c r="U1111" i="1"/>
  <c r="V1111" i="1" s="1"/>
  <c r="W1111" i="1" s="1"/>
  <c r="U1129" i="1"/>
  <c r="V1129" i="1" s="1"/>
  <c r="W1129" i="1" s="1"/>
  <c r="S1147" i="1"/>
  <c r="U1147" i="1"/>
  <c r="V1147" i="1" s="1"/>
  <c r="W1147" i="1" s="1"/>
  <c r="S1163" i="1"/>
  <c r="S1181" i="1"/>
  <c r="U1181" i="1"/>
  <c r="V1181" i="1" s="1"/>
  <c r="W1181" i="1" s="1"/>
  <c r="S1197" i="1"/>
  <c r="U1197" i="1"/>
  <c r="V1197" i="1" s="1"/>
  <c r="W1197" i="1" s="1"/>
  <c r="S1237" i="1"/>
  <c r="U1237" i="1"/>
  <c r="V1237" i="1" s="1"/>
  <c r="W1237" i="1" s="1"/>
  <c r="S1377" i="1"/>
  <c r="U1411" i="1"/>
  <c r="V1411" i="1" s="1"/>
  <c r="W1411" i="1" s="1"/>
  <c r="W1465" i="1"/>
  <c r="S1501" i="1"/>
  <c r="U1519" i="1"/>
  <c r="V1519" i="1" s="1"/>
  <c r="S1519" i="1"/>
  <c r="U1582" i="1"/>
  <c r="V1582" i="1" s="1"/>
  <c r="W1582" i="1" s="1"/>
  <c r="S1606" i="1"/>
  <c r="U1606" i="1"/>
  <c r="V1606" i="1" s="1"/>
  <c r="W1606" i="1" s="1"/>
  <c r="U1631" i="1"/>
  <c r="V1631" i="1" s="1"/>
  <c r="W1631" i="1" s="1"/>
  <c r="U1684" i="1"/>
  <c r="V1684" i="1" s="1"/>
  <c r="W1684" i="1" s="1"/>
  <c r="S1728" i="1"/>
  <c r="U1728" i="1"/>
  <c r="V1728" i="1" s="1"/>
  <c r="W1728" i="1" s="1"/>
  <c r="S1758" i="1"/>
  <c r="S1779" i="1"/>
  <c r="U1779" i="1"/>
  <c r="V1779" i="1" s="1"/>
  <c r="W1779" i="1" s="1"/>
  <c r="U1804" i="1"/>
  <c r="V1804" i="1" s="1"/>
  <c r="W1804" i="1" s="1"/>
  <c r="S1828" i="1"/>
  <c r="S1849" i="1"/>
  <c r="U1849" i="1"/>
  <c r="V1849" i="1" s="1"/>
  <c r="W1849" i="1" s="1"/>
  <c r="S1885" i="1"/>
  <c r="U1885" i="1"/>
  <c r="V1885" i="1" s="1"/>
  <c r="W1885" i="1" s="1"/>
  <c r="U1950" i="1"/>
  <c r="V1950" i="1" s="1"/>
  <c r="W1950" i="1" s="1"/>
  <c r="S2140" i="1"/>
  <c r="U2140" i="1"/>
  <c r="V2140" i="1" s="1"/>
  <c r="W2140" i="1" s="1"/>
  <c r="U2167" i="1"/>
  <c r="V2167" i="1" s="1"/>
  <c r="W2167" i="1" s="1"/>
  <c r="S2190" i="1"/>
  <c r="U2190" i="1"/>
  <c r="V2190" i="1" s="1"/>
  <c r="W2190" i="1" s="1"/>
  <c r="S2338" i="1"/>
  <c r="U2338" i="1"/>
  <c r="V2338" i="1" s="1"/>
  <c r="W2338" i="1" s="1"/>
  <c r="U2382" i="1"/>
  <c r="V2382" i="1" s="1"/>
  <c r="W2382" i="1" s="1"/>
  <c r="U2406" i="1"/>
  <c r="V2406" i="1" s="1"/>
  <c r="W2406" i="1" s="1"/>
  <c r="S2406" i="1"/>
  <c r="S2474" i="1"/>
  <c r="U2474" i="1"/>
  <c r="V2474" i="1" s="1"/>
  <c r="W2474" i="1" s="1"/>
  <c r="S2576" i="1"/>
  <c r="U2576" i="1"/>
  <c r="V2576" i="1" s="1"/>
  <c r="W2576" i="1" s="1"/>
  <c r="S2691" i="1"/>
  <c r="S2782" i="1"/>
  <c r="U2782" i="1"/>
  <c r="V2782" i="1" s="1"/>
  <c r="W2782" i="1" s="1"/>
  <c r="S3253" i="1"/>
  <c r="U3253" i="1"/>
  <c r="V3253" i="1" s="1"/>
  <c r="W3253" i="1" s="1"/>
  <c r="W3344" i="1"/>
  <c r="S3539" i="1"/>
  <c r="U3539" i="1"/>
  <c r="V3539" i="1" s="1"/>
  <c r="W3539" i="1" s="1"/>
  <c r="U3736" i="1"/>
  <c r="V3736" i="1" s="1"/>
  <c r="W3736" i="1" s="1"/>
  <c r="S1100" i="1"/>
  <c r="U1116" i="1"/>
  <c r="V1116" i="1" s="1"/>
  <c r="W1116" i="1" s="1"/>
  <c r="S1134" i="1"/>
  <c r="U1134" i="1"/>
  <c r="V1134" i="1" s="1"/>
  <c r="W1134" i="1" s="1"/>
  <c r="U1152" i="1"/>
  <c r="V1152" i="1" s="1"/>
  <c r="W1152" i="1" s="1"/>
  <c r="S1152" i="1"/>
  <c r="U1168" i="1"/>
  <c r="V1168" i="1" s="1"/>
  <c r="W1168" i="1" s="1"/>
  <c r="S1168" i="1"/>
  <c r="U1186" i="1"/>
  <c r="V1186" i="1" s="1"/>
  <c r="W1186" i="1" s="1"/>
  <c r="R1205" i="1"/>
  <c r="U1204" i="1"/>
  <c r="V1204" i="1" s="1"/>
  <c r="S1226" i="1"/>
  <c r="U1226" i="1"/>
  <c r="V1226" i="1" s="1"/>
  <c r="W1226" i="1" s="1"/>
  <c r="S1260" i="1"/>
  <c r="U1260" i="1"/>
  <c r="V1260" i="1" s="1"/>
  <c r="W1260" i="1" s="1"/>
  <c r="S1294" i="1"/>
  <c r="U1294" i="1"/>
  <c r="V1294" i="1" s="1"/>
  <c r="W1294" i="1" s="1"/>
  <c r="S1312" i="1"/>
  <c r="U1330" i="1"/>
  <c r="V1330" i="1" s="1"/>
  <c r="S1348" i="1"/>
  <c r="U1348" i="1"/>
  <c r="V1348" i="1" s="1"/>
  <c r="W1348" i="1" s="1"/>
  <c r="S1366" i="1"/>
  <c r="U1366" i="1"/>
  <c r="V1366" i="1" s="1"/>
  <c r="W1366" i="1" s="1"/>
  <c r="S1382" i="1"/>
  <c r="U1382" i="1"/>
  <c r="V1382" i="1" s="1"/>
  <c r="W1382" i="1" s="1"/>
  <c r="S1400" i="1"/>
  <c r="U1400" i="1"/>
  <c r="V1400" i="1" s="1"/>
  <c r="W1400" i="1" s="1"/>
  <c r="R1420" i="1"/>
  <c r="U1418" i="1"/>
  <c r="V1418" i="1" s="1"/>
  <c r="S1454" i="1"/>
  <c r="U1454" i="1"/>
  <c r="V1454" i="1" s="1"/>
  <c r="W1454" i="1" s="1"/>
  <c r="S1470" i="1"/>
  <c r="U1470" i="1"/>
  <c r="V1470" i="1" s="1"/>
  <c r="W1470" i="1" s="1"/>
  <c r="S1488" i="1"/>
  <c r="U1488" i="1"/>
  <c r="V1488" i="1" s="1"/>
  <c r="W1488" i="1" s="1"/>
  <c r="U1506" i="1"/>
  <c r="V1506" i="1" s="1"/>
  <c r="W1506" i="1" s="1"/>
  <c r="S1528" i="1"/>
  <c r="U1573" i="1"/>
  <c r="V1573" i="1" s="1"/>
  <c r="W1573" i="1" s="1"/>
  <c r="U1596" i="1"/>
  <c r="V1596" i="1" s="1"/>
  <c r="W1596" i="1" s="1"/>
  <c r="S1690" i="1"/>
  <c r="U1690" i="1"/>
  <c r="V1690" i="1" s="1"/>
  <c r="W1690" i="1" s="1"/>
  <c r="S1816" i="1"/>
  <c r="U1816" i="1"/>
  <c r="V1816" i="1" s="1"/>
  <c r="W1816" i="1" s="1"/>
  <c r="S1894" i="1"/>
  <c r="S1977" i="1"/>
  <c r="U1977" i="1"/>
  <c r="V1977" i="1" s="1"/>
  <c r="W1977" i="1" s="1"/>
  <c r="S2002" i="1"/>
  <c r="U2002" i="1"/>
  <c r="V2002" i="1" s="1"/>
  <c r="W2002" i="1" s="1"/>
  <c r="S2082" i="1"/>
  <c r="U2082" i="1"/>
  <c r="V2082" i="1" s="1"/>
  <c r="W2082" i="1" s="1"/>
  <c r="S2110" i="1"/>
  <c r="U2110" i="1"/>
  <c r="V2110" i="1" s="1"/>
  <c r="W2110" i="1" s="1"/>
  <c r="U2141" i="1"/>
  <c r="V2141" i="1" s="1"/>
  <c r="W2141" i="1" s="1"/>
  <c r="W2192" i="1"/>
  <c r="S2215" i="1"/>
  <c r="U2215" i="1"/>
  <c r="V2215" i="1" s="1"/>
  <c r="W2215" i="1" s="1"/>
  <c r="R2261" i="1"/>
  <c r="U2260" i="1"/>
  <c r="V2260" i="1" s="1"/>
  <c r="S2299" i="1"/>
  <c r="U2299" i="1"/>
  <c r="V2299" i="1" s="1"/>
  <c r="W2299" i="1" s="1"/>
  <c r="U2352" i="1"/>
  <c r="V2352" i="1" s="1"/>
  <c r="W2352" i="1" s="1"/>
  <c r="S2352" i="1"/>
  <c r="S2373" i="1"/>
  <c r="U2373" i="1"/>
  <c r="V2373" i="1" s="1"/>
  <c r="W2373" i="1" s="1"/>
  <c r="S2441" i="1"/>
  <c r="U2441" i="1"/>
  <c r="V2441" i="1" s="1"/>
  <c r="W2441" i="1" s="1"/>
  <c r="S2488" i="1"/>
  <c r="U2488" i="1"/>
  <c r="V2488" i="1" s="1"/>
  <c r="W2488" i="1" s="1"/>
  <c r="S2537" i="1"/>
  <c r="U2537" i="1"/>
  <c r="V2537" i="1" s="1"/>
  <c r="W2537" i="1" s="1"/>
  <c r="W2628" i="1"/>
  <c r="U2745" i="1"/>
  <c r="V2745" i="1" s="1"/>
  <c r="W2838" i="1"/>
  <c r="W3023" i="1"/>
  <c r="W3118" i="1"/>
  <c r="W3303" i="1"/>
  <c r="S3398" i="1"/>
  <c r="S3492" i="1"/>
  <c r="U3492" i="1"/>
  <c r="V3492" i="1" s="1"/>
  <c r="W3492" i="1" s="1"/>
  <c r="S3597" i="1"/>
  <c r="U3597" i="1"/>
  <c r="V3597" i="1" s="1"/>
  <c r="W3597" i="1" s="1"/>
  <c r="U1117" i="1"/>
  <c r="V1117" i="1" s="1"/>
  <c r="W1117" i="1" s="1"/>
  <c r="S1117" i="1"/>
  <c r="S1135" i="1"/>
  <c r="U1135" i="1"/>
  <c r="V1135" i="1" s="1"/>
  <c r="W1135" i="1" s="1"/>
  <c r="U1153" i="1"/>
  <c r="V1153" i="1" s="1"/>
  <c r="W1153" i="1" s="1"/>
  <c r="S1153" i="1"/>
  <c r="S1169" i="1"/>
  <c r="R1208" i="1"/>
  <c r="U1207" i="1"/>
  <c r="U1208" i="1" s="1"/>
  <c r="S1227" i="1"/>
  <c r="U1227" i="1"/>
  <c r="V1227" i="1" s="1"/>
  <c r="W1227" i="1" s="1"/>
  <c r="U1261" i="1"/>
  <c r="V1261" i="1" s="1"/>
  <c r="W1261" i="1" s="1"/>
  <c r="S1261" i="1"/>
  <c r="U1279" i="1"/>
  <c r="V1279" i="1" s="1"/>
  <c r="W1279" i="1" s="1"/>
  <c r="U1295" i="1"/>
  <c r="V1295" i="1" s="1"/>
  <c r="W1295" i="1" s="1"/>
  <c r="S1313" i="1"/>
  <c r="S1331" i="1"/>
  <c r="U1349" i="1"/>
  <c r="V1349" i="1" s="1"/>
  <c r="W1349" i="1" s="1"/>
  <c r="S1367" i="1"/>
  <c r="U1367" i="1"/>
  <c r="V1367" i="1" s="1"/>
  <c r="W1367" i="1" s="1"/>
  <c r="S1383" i="1"/>
  <c r="U1383" i="1"/>
  <c r="V1383" i="1" s="1"/>
  <c r="W1383" i="1" s="1"/>
  <c r="U1401" i="1"/>
  <c r="V1401" i="1" s="1"/>
  <c r="W1401" i="1" s="1"/>
  <c r="U1419" i="1"/>
  <c r="V1419" i="1" s="1"/>
  <c r="W1419" i="1" s="1"/>
  <c r="S1437" i="1"/>
  <c r="S1471" i="1"/>
  <c r="U1507" i="1"/>
  <c r="V1507" i="1" s="1"/>
  <c r="W1507" i="1" s="1"/>
  <c r="U1537" i="1"/>
  <c r="V1537" i="1" s="1"/>
  <c r="W1537" i="1" s="1"/>
  <c r="U1558" i="1"/>
  <c r="V1558" i="1" s="1"/>
  <c r="W1558" i="1" s="1"/>
  <c r="S1580" i="1"/>
  <c r="U1580" i="1"/>
  <c r="V1580" i="1" s="1"/>
  <c r="W1580" i="1" s="1"/>
  <c r="U1603" i="1"/>
  <c r="V1603" i="1" s="1"/>
  <c r="W1603" i="1" s="1"/>
  <c r="S1603" i="1"/>
  <c r="S1628" i="1"/>
  <c r="U1628" i="1"/>
  <c r="V1628" i="1" s="1"/>
  <c r="W1628" i="1" s="1"/>
  <c r="S1668" i="1"/>
  <c r="U1668" i="1"/>
  <c r="U1678" i="1" s="1"/>
  <c r="S1692" i="1"/>
  <c r="U1692" i="1"/>
  <c r="V1692" i="1" s="1"/>
  <c r="W1692" i="1" s="1"/>
  <c r="S1794" i="1"/>
  <c r="U1794" i="1"/>
  <c r="V1794" i="1" s="1"/>
  <c r="W1794" i="1" s="1"/>
  <c r="S1841" i="1"/>
  <c r="U1841" i="1"/>
  <c r="V1841" i="1" s="1"/>
  <c r="W1841" i="1" s="1"/>
  <c r="U1864" i="1"/>
  <c r="V1864" i="1" s="1"/>
  <c r="W1864" i="1" s="1"/>
  <c r="W1940" i="1"/>
  <c r="S1973" i="1"/>
  <c r="U1973" i="1"/>
  <c r="V1973" i="1" s="1"/>
  <c r="W1973" i="1" s="1"/>
  <c r="S2016" i="1"/>
  <c r="U2016" i="1"/>
  <c r="V2016" i="1" s="1"/>
  <c r="W2016" i="1" s="1"/>
  <c r="U2042" i="1"/>
  <c r="V2042" i="1" s="1"/>
  <c r="W2042" i="1" s="1"/>
  <c r="S2142" i="1"/>
  <c r="U2142" i="1"/>
  <c r="V2142" i="1" s="1"/>
  <c r="W2142" i="1" s="1"/>
  <c r="S2170" i="1"/>
  <c r="U2170" i="1"/>
  <c r="V2170" i="1" s="1"/>
  <c r="W2170" i="1" s="1"/>
  <c r="S2222" i="1"/>
  <c r="S2308" i="1"/>
  <c r="U2308" i="1"/>
  <c r="V2308" i="1" s="1"/>
  <c r="W2308" i="1" s="1"/>
  <c r="U2335" i="1"/>
  <c r="V2335" i="1" s="1"/>
  <c r="W2335" i="1" s="1"/>
  <c r="S2380" i="1"/>
  <c r="U2380" i="1"/>
  <c r="V2380" i="1" s="1"/>
  <c r="W2380" i="1" s="1"/>
  <c r="S2403" i="1"/>
  <c r="U2403" i="1"/>
  <c r="V2403" i="1" s="1"/>
  <c r="W2403" i="1" s="1"/>
  <c r="S2542" i="1"/>
  <c r="U2542" i="1"/>
  <c r="V2542" i="1" s="1"/>
  <c r="W2542" i="1" s="1"/>
  <c r="U2680" i="1"/>
  <c r="U2772" i="1"/>
  <c r="V2772" i="1" s="1"/>
  <c r="W2772" i="1" s="1"/>
  <c r="S2865" i="1"/>
  <c r="U2865" i="1"/>
  <c r="V2865" i="1" s="1"/>
  <c r="W2865" i="1" s="1"/>
  <c r="S2958" i="1"/>
  <c r="U2958" i="1"/>
  <c r="V2958" i="1" s="1"/>
  <c r="W2958" i="1" s="1"/>
  <c r="S3147" i="1"/>
  <c r="U3147" i="1"/>
  <c r="V3147" i="1" s="1"/>
  <c r="W3147" i="1" s="1"/>
  <c r="S3242" i="1"/>
  <c r="U3242" i="1"/>
  <c r="V3242" i="1" s="1"/>
  <c r="W3242" i="1" s="1"/>
  <c r="S3334" i="1"/>
  <c r="U3334" i="1"/>
  <c r="V3334" i="1" s="1"/>
  <c r="W3334" i="1" s="1"/>
  <c r="S3427" i="1"/>
  <c r="U3427" i="1"/>
  <c r="V3427" i="1" s="1"/>
  <c r="W3427" i="1" s="1"/>
  <c r="S3632" i="1"/>
  <c r="U3632" i="1"/>
  <c r="V3632" i="1" s="1"/>
  <c r="W3632" i="1" s="1"/>
  <c r="W2590" i="1"/>
  <c r="W2816" i="1"/>
  <c r="W2886" i="1"/>
  <c r="W3306" i="1"/>
  <c r="S3324" i="1"/>
  <c r="S3396" i="1"/>
  <c r="S3692" i="1"/>
  <c r="S3818" i="1"/>
  <c r="S89" i="1"/>
  <c r="U89" i="1"/>
  <c r="V89" i="1" s="1"/>
  <c r="W89" i="1" s="1"/>
  <c r="U161" i="1"/>
  <c r="V161" i="1" s="1"/>
  <c r="W161" i="1" s="1"/>
  <c r="U373" i="1"/>
  <c r="V373" i="1" s="1"/>
  <c r="U559" i="1"/>
  <c r="V559" i="1" s="1"/>
  <c r="W559" i="1" s="1"/>
  <c r="U621" i="1"/>
  <c r="V621" i="1" s="1"/>
  <c r="W621" i="1" s="1"/>
  <c r="U691" i="1"/>
  <c r="V691" i="1" s="1"/>
  <c r="W691" i="1" s="1"/>
  <c r="S691" i="1"/>
  <c r="U759" i="1"/>
  <c r="V759" i="1" s="1"/>
  <c r="W759" i="1" s="1"/>
  <c r="U1023" i="1"/>
  <c r="V1023" i="1" s="1"/>
  <c r="W1023" i="1" s="1"/>
  <c r="S1023" i="1"/>
  <c r="S1075" i="1"/>
  <c r="U1075" i="1"/>
  <c r="V1075" i="1" s="1"/>
  <c r="W1075" i="1" s="1"/>
  <c r="U1778" i="1"/>
  <c r="V1778" i="1" s="1"/>
  <c r="W1778" i="1" s="1"/>
  <c r="S2207" i="1"/>
  <c r="S2449" i="1"/>
  <c r="S2521" i="1"/>
  <c r="S2587" i="1"/>
  <c r="Q2745" i="1"/>
  <c r="P2789" i="1"/>
  <c r="S2813" i="1"/>
  <c r="S2883" i="1"/>
  <c r="S3113" i="1"/>
  <c r="Q3465" i="1"/>
  <c r="W3465" i="1" s="1"/>
  <c r="P3505" i="1"/>
  <c r="Q3521" i="1"/>
  <c r="W3521" i="1" s="1"/>
  <c r="P3525" i="1"/>
  <c r="S3835" i="1"/>
  <c r="U104" i="1"/>
  <c r="V104" i="1" s="1"/>
  <c r="W104" i="1" s="1"/>
  <c r="U156" i="1"/>
  <c r="V156" i="1" s="1"/>
  <c r="W156" i="1" s="1"/>
  <c r="S156" i="1"/>
  <c r="S232" i="1"/>
  <c r="U232" i="1"/>
  <c r="V232" i="1" s="1"/>
  <c r="W232" i="1" s="1"/>
  <c r="U374" i="1"/>
  <c r="V374" i="1" s="1"/>
  <c r="W374" i="1" s="1"/>
  <c r="S478" i="1"/>
  <c r="R560" i="1"/>
  <c r="U556" i="1"/>
  <c r="V556" i="1" s="1"/>
  <c r="W556" i="1" s="1"/>
  <c r="S652" i="1"/>
  <c r="U652" i="1"/>
  <c r="V652" i="1" s="1"/>
  <c r="W652" i="1" s="1"/>
  <c r="S722" i="1"/>
  <c r="U722" i="1"/>
  <c r="V722" i="1" s="1"/>
  <c r="W722" i="1" s="1"/>
  <c r="S914" i="1"/>
  <c r="U914" i="1"/>
  <c r="V914" i="1" s="1"/>
  <c r="W914" i="1" s="1"/>
  <c r="S1004" i="1"/>
  <c r="U1004" i="1"/>
  <c r="V1004" i="1" s="1"/>
  <c r="W1004" i="1" s="1"/>
  <c r="U1092" i="1"/>
  <c r="V1092" i="1" s="1"/>
  <c r="W1092" i="1" s="1"/>
  <c r="S1092" i="1"/>
  <c r="U1346" i="1"/>
  <c r="V1346" i="1" s="1"/>
  <c r="W1346" i="1" s="1"/>
  <c r="S1346" i="1"/>
  <c r="W2467" i="1"/>
  <c r="S2354" i="1"/>
  <c r="S2592" i="1"/>
  <c r="S2732" i="1"/>
  <c r="S2888" i="1"/>
  <c r="S2942" i="1"/>
  <c r="S3028" i="1"/>
  <c r="S3260" i="1"/>
  <c r="S3502" i="1"/>
  <c r="S3602" i="1"/>
  <c r="S3678" i="1"/>
  <c r="S3730" i="1"/>
  <c r="S3804" i="1"/>
  <c r="U55" i="1"/>
  <c r="V55" i="1" s="1"/>
  <c r="W55" i="1" s="1"/>
  <c r="S55" i="1"/>
  <c r="U127" i="1"/>
  <c r="V127" i="1" s="1"/>
  <c r="W127" i="1" s="1"/>
  <c r="S127" i="1"/>
  <c r="U207" i="1"/>
  <c r="V207" i="1" s="1"/>
  <c r="W207" i="1" s="1"/>
  <c r="U261" i="1"/>
  <c r="V261" i="1" s="1"/>
  <c r="R368" i="1"/>
  <c r="S367" i="1"/>
  <c r="S368" i="1" s="1"/>
  <c r="U367" i="1"/>
  <c r="U368" i="1" s="1"/>
  <c r="U523" i="1"/>
  <c r="V523" i="1" s="1"/>
  <c r="W523" i="1" s="1"/>
  <c r="S523" i="1"/>
  <c r="U575" i="1"/>
  <c r="V575" i="1" s="1"/>
  <c r="W575" i="1" s="1"/>
  <c r="S575" i="1"/>
  <c r="U687" i="1"/>
  <c r="V687" i="1" s="1"/>
  <c r="W687" i="1" s="1"/>
  <c r="S971" i="1"/>
  <c r="U971" i="1"/>
  <c r="V971" i="1" s="1"/>
  <c r="W971" i="1" s="1"/>
  <c r="S1039" i="1"/>
  <c r="U1039" i="1"/>
  <c r="V1039" i="1" s="1"/>
  <c r="W1039" i="1" s="1"/>
  <c r="S3642" i="1"/>
  <c r="S3542" i="1"/>
  <c r="S3190" i="1"/>
  <c r="S3118" i="1"/>
  <c r="S3308" i="1"/>
  <c r="Q3401" i="1"/>
  <c r="Q2831" i="1"/>
  <c r="S2750" i="1"/>
  <c r="S2838" i="1"/>
  <c r="S2370" i="1"/>
  <c r="S2467" i="1"/>
  <c r="S2497" i="1"/>
  <c r="S2104" i="1"/>
  <c r="S1778" i="1"/>
  <c r="S1500" i="1"/>
  <c r="S1596" i="1"/>
  <c r="S1481" i="1"/>
  <c r="S1289" i="1"/>
  <c r="S1430" i="1"/>
  <c r="S374" i="1"/>
  <c r="W3868" i="1"/>
  <c r="W3656" i="1"/>
  <c r="W3222" i="1"/>
  <c r="W3380" i="1"/>
  <c r="W2991" i="1"/>
  <c r="W3484" i="1"/>
  <c r="W3168" i="1"/>
  <c r="W2975" i="1"/>
  <c r="W2659" i="1"/>
  <c r="W2716" i="1"/>
  <c r="W2696" i="1"/>
  <c r="W2423" i="1"/>
  <c r="U2266" i="1"/>
  <c r="V2266" i="1" s="1"/>
  <c r="W2427" i="1"/>
  <c r="W2355" i="1"/>
  <c r="W2191" i="1"/>
  <c r="W2100" i="1"/>
  <c r="W2003" i="1"/>
  <c r="W2004" i="1"/>
  <c r="U1620" i="1"/>
  <c r="V1620" i="1" s="1"/>
  <c r="W1620" i="1" s="1"/>
  <c r="U1758" i="1"/>
  <c r="V1758" i="1" s="1"/>
  <c r="W1758" i="1" s="1"/>
  <c r="U1682" i="1"/>
  <c r="V1682" i="1" s="1"/>
  <c r="W1682" i="1" s="1"/>
  <c r="U1550" i="1"/>
  <c r="V1550" i="1" s="1"/>
  <c r="W1550" i="1" s="1"/>
  <c r="W1541" i="1"/>
  <c r="U1312" i="1"/>
  <c r="V1312" i="1" s="1"/>
  <c r="W1312" i="1" s="1"/>
  <c r="U1437" i="1"/>
  <c r="V1437" i="1" s="1"/>
  <c r="W1437" i="1" s="1"/>
  <c r="W1563" i="1"/>
  <c r="U1359" i="1"/>
  <c r="V1359" i="1" s="1"/>
  <c r="W1359" i="1" s="1"/>
  <c r="W1372" i="1"/>
  <c r="W1012" i="1"/>
  <c r="W1030" i="1"/>
  <c r="W1110" i="1"/>
  <c r="W622" i="1"/>
  <c r="U478" i="1"/>
  <c r="V478" i="1" s="1"/>
  <c r="W478" i="1" s="1"/>
  <c r="U793" i="1"/>
  <c r="V793" i="1" s="1"/>
  <c r="W793" i="1" s="1"/>
  <c r="W364" i="1"/>
  <c r="S2426" i="1"/>
  <c r="S3600" i="1"/>
  <c r="U107" i="1"/>
  <c r="V107" i="1" s="1"/>
  <c r="W107" i="1" s="1"/>
  <c r="S107" i="1"/>
  <c r="S183" i="1"/>
  <c r="U183" i="1"/>
  <c r="V183" i="1" s="1"/>
  <c r="W183" i="1" s="1"/>
  <c r="S397" i="1"/>
  <c r="U397" i="1"/>
  <c r="V397" i="1" s="1"/>
  <c r="W397" i="1" s="1"/>
  <c r="S461" i="1"/>
  <c r="U461" i="1"/>
  <c r="V461" i="1" s="1"/>
  <c r="W461" i="1" s="1"/>
  <c r="U541" i="1"/>
  <c r="V541" i="1" s="1"/>
  <c r="W541" i="1" s="1"/>
  <c r="S541" i="1"/>
  <c r="S707" i="1"/>
  <c r="U935" i="1"/>
  <c r="V935" i="1" s="1"/>
  <c r="W935" i="1" s="1"/>
  <c r="U1007" i="1"/>
  <c r="V1007" i="1" s="1"/>
  <c r="W1007" i="1" s="1"/>
  <c r="U1059" i="1"/>
  <c r="V1059" i="1" s="1"/>
  <c r="W1059" i="1" s="1"/>
  <c r="S1059" i="1"/>
  <c r="S1220" i="1"/>
  <c r="U1220" i="1"/>
  <c r="V1220" i="1" s="1"/>
  <c r="W1220" i="1" s="1"/>
  <c r="S2095" i="1"/>
  <c r="U2095" i="1"/>
  <c r="V2095" i="1" s="1"/>
  <c r="W2095" i="1" s="1"/>
  <c r="U3502" i="1"/>
  <c r="V3502" i="1" s="1"/>
  <c r="W3502" i="1" s="1"/>
  <c r="S2329" i="1"/>
  <c r="S2553" i="1"/>
  <c r="S2623" i="1"/>
  <c r="S2833" i="1"/>
  <c r="S2899" i="1"/>
  <c r="S2953" i="1"/>
  <c r="S3321" i="1"/>
  <c r="S3393" i="1"/>
  <c r="S3579" i="1"/>
  <c r="S3868" i="1"/>
  <c r="U122" i="1"/>
  <c r="V122" i="1" s="1"/>
  <c r="W122" i="1" s="1"/>
  <c r="S122" i="1"/>
  <c r="U198" i="1"/>
  <c r="V198" i="1" s="1"/>
  <c r="W198" i="1" s="1"/>
  <c r="S198" i="1"/>
  <c r="U422" i="1"/>
  <c r="V422" i="1" s="1"/>
  <c r="W422" i="1" s="1"/>
  <c r="S422" i="1"/>
  <c r="S522" i="1"/>
  <c r="U522" i="1"/>
  <c r="V522" i="1" s="1"/>
  <c r="W522" i="1" s="1"/>
  <c r="R595" i="1"/>
  <c r="U594" i="1"/>
  <c r="U595" i="1" s="1"/>
  <c r="U670" i="1"/>
  <c r="V670" i="1" s="1"/>
  <c r="W670" i="1" s="1"/>
  <c r="S826" i="1"/>
  <c r="U826" i="1"/>
  <c r="V826" i="1" s="1"/>
  <c r="W826" i="1" s="1"/>
  <c r="S898" i="1"/>
  <c r="U898" i="1"/>
  <c r="V898" i="1" s="1"/>
  <c r="W898" i="1" s="1"/>
  <c r="S970" i="1"/>
  <c r="U970" i="1"/>
  <c r="V970" i="1" s="1"/>
  <c r="W970" i="1" s="1"/>
  <c r="S1954" i="1"/>
  <c r="U1954" i="1"/>
  <c r="V1954" i="1" s="1"/>
  <c r="W1954" i="1" s="1"/>
  <c r="S2376" i="1"/>
  <c r="U2376" i="1"/>
  <c r="V2376" i="1" s="1"/>
  <c r="W2376" i="1" s="1"/>
  <c r="P2317" i="1"/>
  <c r="Q2316" i="1"/>
  <c r="S2472" i="1"/>
  <c r="S2558" i="1"/>
  <c r="S2766" i="1"/>
  <c r="S3082" i="1"/>
  <c r="S3416" i="1"/>
  <c r="S3486" i="1"/>
  <c r="S3658" i="1"/>
  <c r="U91" i="1"/>
  <c r="V91" i="1" s="1"/>
  <c r="W91" i="1" s="1"/>
  <c r="S91" i="1"/>
  <c r="S145" i="1"/>
  <c r="U145" i="1"/>
  <c r="V145" i="1" s="1"/>
  <c r="W145" i="1" s="1"/>
  <c r="U243" i="1"/>
  <c r="V243" i="1" s="1"/>
  <c r="W243" i="1" s="1"/>
  <c r="U399" i="1"/>
  <c r="V399" i="1" s="1"/>
  <c r="W399" i="1" s="1"/>
  <c r="R498" i="1"/>
  <c r="U497" i="1"/>
  <c r="U498" i="1" s="1"/>
  <c r="U619" i="1"/>
  <c r="V619" i="1" s="1"/>
  <c r="S671" i="1"/>
  <c r="U671" i="1"/>
  <c r="V671" i="1" s="1"/>
  <c r="W671" i="1" s="1"/>
  <c r="U739" i="1"/>
  <c r="V739" i="1" s="1"/>
  <c r="W739" i="1" s="1"/>
  <c r="U809" i="1"/>
  <c r="V809" i="1" s="1"/>
  <c r="W809" i="1" s="1"/>
  <c r="S809" i="1"/>
  <c r="U861" i="1"/>
  <c r="V861" i="1" s="1"/>
  <c r="W861" i="1" s="1"/>
  <c r="U933" i="1"/>
  <c r="V933" i="1" s="1"/>
  <c r="S1005" i="1"/>
  <c r="U1005" i="1"/>
  <c r="V1005" i="1" s="1"/>
  <c r="W1005" i="1" s="1"/>
  <c r="U1073" i="1"/>
  <c r="V1073" i="1" s="1"/>
  <c r="W1073" i="1" s="1"/>
  <c r="S1976" i="1"/>
  <c r="U1976" i="1"/>
  <c r="V1976" i="1" s="1"/>
  <c r="W1976" i="1" s="1"/>
  <c r="S3768" i="1"/>
  <c r="S3802" i="1"/>
  <c r="S3292" i="1"/>
  <c r="S3303" i="1"/>
  <c r="S2870" i="1"/>
  <c r="S3057" i="1"/>
  <c r="S2978" i="1"/>
  <c r="S3012" i="1"/>
  <c r="Q2798" i="1"/>
  <c r="S2429" i="1"/>
  <c r="S1682" i="1"/>
  <c r="S1343" i="1"/>
  <c r="S687" i="1"/>
  <c r="S808" i="1"/>
  <c r="S559" i="1"/>
  <c r="S191" i="1"/>
  <c r="W3170" i="1"/>
  <c r="W3393" i="1"/>
  <c r="W3360" i="1"/>
  <c r="W3183" i="1"/>
  <c r="W2883" i="1"/>
  <c r="W3080" i="1"/>
  <c r="W3136" i="1"/>
  <c r="W2956" i="1"/>
  <c r="W2775" i="1"/>
  <c r="W2612" i="1"/>
  <c r="W2714" i="1"/>
  <c r="W2587" i="1"/>
  <c r="U2310" i="1"/>
  <c r="V2310" i="1" s="1"/>
  <c r="W2310" i="1" s="1"/>
  <c r="W2505" i="1"/>
  <c r="U2277" i="1"/>
  <c r="V2277" i="1" s="1"/>
  <c r="W2277" i="1" s="1"/>
  <c r="W2030" i="1"/>
  <c r="U1894" i="1"/>
  <c r="V1894" i="1" s="1"/>
  <c r="W1894" i="1" s="1"/>
  <c r="W2156" i="1"/>
  <c r="W1964" i="1"/>
  <c r="U2102" i="1"/>
  <c r="V2102" i="1" s="1"/>
  <c r="W2102" i="1" s="1"/>
  <c r="W2036" i="1"/>
  <c r="W2065" i="1"/>
  <c r="U2000" i="1"/>
  <c r="V2000" i="1" s="1"/>
  <c r="W2000" i="1" s="1"/>
  <c r="U1565" i="1"/>
  <c r="V1565" i="1" s="1"/>
  <c r="W1565" i="1" s="1"/>
  <c r="W1458" i="1"/>
  <c r="W1701" i="1"/>
  <c r="W1435" i="1"/>
  <c r="W1691" i="1"/>
  <c r="W1269" i="1"/>
  <c r="W1064" i="1"/>
  <c r="U1163" i="1"/>
  <c r="V1163" i="1" s="1"/>
  <c r="W1163" i="1" s="1"/>
  <c r="U1243" i="1"/>
  <c r="V1243" i="1" s="1"/>
  <c r="W1243" i="1" s="1"/>
  <c r="W1253" i="1"/>
  <c r="W1091" i="1"/>
  <c r="W1137" i="1"/>
  <c r="U1447" i="1"/>
  <c r="V1447" i="1" s="1"/>
  <c r="W1447" i="1" s="1"/>
  <c r="U775" i="1"/>
  <c r="V775" i="1" s="1"/>
  <c r="W775" i="1" s="1"/>
  <c r="U707" i="1"/>
  <c r="V707" i="1" s="1"/>
  <c r="W707" i="1" s="1"/>
  <c r="W645" i="1"/>
  <c r="U756" i="1"/>
  <c r="V756" i="1" s="1"/>
  <c r="W756" i="1" s="1"/>
  <c r="W659" i="1"/>
  <c r="U577" i="1"/>
  <c r="V577" i="1" s="1"/>
  <c r="W577" i="1" s="1"/>
  <c r="S253" i="1"/>
  <c r="S3342" i="1"/>
  <c r="S3640" i="1"/>
  <c r="U71" i="1"/>
  <c r="V71" i="1" s="1"/>
  <c r="W71" i="1" s="1"/>
  <c r="S143" i="1"/>
  <c r="U143" i="1"/>
  <c r="V143" i="1" s="1"/>
  <c r="W143" i="1" s="1"/>
  <c r="U201" i="1"/>
  <c r="V201" i="1" s="1"/>
  <c r="W201" i="1" s="1"/>
  <c r="U237" i="1"/>
  <c r="V237" i="1" s="1"/>
  <c r="S343" i="1"/>
  <c r="U343" i="1"/>
  <c r="V343" i="1" s="1"/>
  <c r="W343" i="1" s="1"/>
  <c r="U443" i="1"/>
  <c r="V443" i="1" s="1"/>
  <c r="W443" i="1" s="1"/>
  <c r="S443" i="1"/>
  <c r="S525" i="1"/>
  <c r="U525" i="1"/>
  <c r="V525" i="1" s="1"/>
  <c r="W525" i="1" s="1"/>
  <c r="U657" i="1"/>
  <c r="V657" i="1" s="1"/>
  <c r="W657" i="1" s="1"/>
  <c r="S725" i="1"/>
  <c r="U725" i="1"/>
  <c r="V725" i="1" s="1"/>
  <c r="W725" i="1" s="1"/>
  <c r="S777" i="1"/>
  <c r="U777" i="1"/>
  <c r="V777" i="1" s="1"/>
  <c r="W777" i="1" s="1"/>
  <c r="U863" i="1"/>
  <c r="V863" i="1" s="1"/>
  <c r="W863" i="1" s="1"/>
  <c r="S863" i="1"/>
  <c r="U917" i="1"/>
  <c r="V917" i="1" s="1"/>
  <c r="W917" i="1" s="1"/>
  <c r="S989" i="1"/>
  <c r="U989" i="1"/>
  <c r="V989" i="1" s="1"/>
  <c r="W989" i="1" s="1"/>
  <c r="U1288" i="1"/>
  <c r="V1288" i="1" s="1"/>
  <c r="W1288" i="1" s="1"/>
  <c r="S1288" i="1"/>
  <c r="S1581" i="1"/>
  <c r="U1581" i="1"/>
  <c r="V1581" i="1" s="1"/>
  <c r="W1581" i="1" s="1"/>
  <c r="S1896" i="1"/>
  <c r="S2349" i="1"/>
  <c r="S3007" i="1"/>
  <c r="S3077" i="1"/>
  <c r="S3165" i="1"/>
  <c r="S3237" i="1"/>
  <c r="S3357" i="1"/>
  <c r="S3411" i="1"/>
  <c r="S3615" i="1"/>
  <c r="Q3671" i="1"/>
  <c r="W3671" i="1" s="1"/>
  <c r="P3673" i="1"/>
  <c r="S68" i="1"/>
  <c r="U68" i="1"/>
  <c r="V68" i="1" s="1"/>
  <c r="W68" i="1" s="1"/>
  <c r="S140" i="1"/>
  <c r="U140" i="1"/>
  <c r="V140" i="1" s="1"/>
  <c r="U216" i="1"/>
  <c r="V216" i="1" s="1"/>
  <c r="W216" i="1" s="1"/>
  <c r="S216" i="1"/>
  <c r="S268" i="1"/>
  <c r="U268" i="1"/>
  <c r="V268" i="1" s="1"/>
  <c r="W268" i="1" s="1"/>
  <c r="S398" i="1"/>
  <c r="S494" i="1"/>
  <c r="U494" i="1"/>
  <c r="V494" i="1" s="1"/>
  <c r="W494" i="1" s="1"/>
  <c r="U574" i="1"/>
  <c r="V574" i="1" s="1"/>
  <c r="W574" i="1" s="1"/>
  <c r="U636" i="1"/>
  <c r="V636" i="1" s="1"/>
  <c r="W636" i="1" s="1"/>
  <c r="S636" i="1"/>
  <c r="U704" i="1"/>
  <c r="V704" i="1" s="1"/>
  <c r="W704" i="1" s="1"/>
  <c r="S774" i="1"/>
  <c r="U774" i="1"/>
  <c r="V774" i="1" s="1"/>
  <c r="W774" i="1" s="1"/>
  <c r="U860" i="1"/>
  <c r="V860" i="1" s="1"/>
  <c r="W860" i="1" s="1"/>
  <c r="S986" i="1"/>
  <c r="U986" i="1"/>
  <c r="V986" i="1" s="1"/>
  <c r="W986" i="1" s="1"/>
  <c r="U1038" i="1"/>
  <c r="V1038" i="1" s="1"/>
  <c r="W1038" i="1" s="1"/>
  <c r="U1132" i="1"/>
  <c r="V1132" i="1" s="1"/>
  <c r="W1132" i="1" s="1"/>
  <c r="U1274" i="1"/>
  <c r="V1274" i="1" s="1"/>
  <c r="W1274" i="1" s="1"/>
  <c r="W3057" i="1"/>
  <c r="S2336" i="1"/>
  <c r="S2612" i="1"/>
  <c r="S2904" i="1"/>
  <c r="S3046" i="1"/>
  <c r="S3098" i="1"/>
  <c r="S3276" i="1"/>
  <c r="S3452" i="1"/>
  <c r="S3564" i="1"/>
  <c r="S3710" i="1"/>
  <c r="U417" i="1"/>
  <c r="V417" i="1" s="1"/>
  <c r="W417" i="1" s="1"/>
  <c r="S479" i="1"/>
  <c r="U479" i="1"/>
  <c r="V479" i="1" s="1"/>
  <c r="W479" i="1" s="1"/>
  <c r="U557" i="1"/>
  <c r="V557" i="1" s="1"/>
  <c r="W557" i="1" s="1"/>
  <c r="S557" i="1"/>
  <c r="S637" i="1"/>
  <c r="U637" i="1"/>
  <c r="V637" i="1" s="1"/>
  <c r="W637" i="1" s="1"/>
  <c r="U705" i="1"/>
  <c r="V705" i="1" s="1"/>
  <c r="W705" i="1" s="1"/>
  <c r="S757" i="1"/>
  <c r="U757" i="1"/>
  <c r="V757" i="1" s="1"/>
  <c r="W757" i="1" s="1"/>
  <c r="U827" i="1"/>
  <c r="V827" i="1" s="1"/>
  <c r="W827" i="1" s="1"/>
  <c r="U1057" i="1"/>
  <c r="V1057" i="1" s="1"/>
  <c r="W1057" i="1" s="1"/>
  <c r="S1057" i="1"/>
  <c r="S1136" i="1"/>
  <c r="U1136" i="1"/>
  <c r="V1136" i="1" s="1"/>
  <c r="W1136" i="1" s="1"/>
  <c r="S1350" i="1"/>
  <c r="U1350" i="1"/>
  <c r="V1350" i="1" s="1"/>
  <c r="W1350" i="1" s="1"/>
  <c r="S3637" i="1"/>
  <c r="S3430" i="1"/>
  <c r="S3748" i="1"/>
  <c r="S3380" i="1"/>
  <c r="S3023" i="1"/>
  <c r="S2716" i="1"/>
  <c r="S2218" i="1"/>
  <c r="S1855" i="1"/>
  <c r="S1762" i="1"/>
  <c r="S1582" i="1"/>
  <c r="W3820" i="1"/>
  <c r="W3818" i="1"/>
  <c r="W3653" i="1"/>
  <c r="U3840" i="1"/>
  <c r="V3840" i="1" s="1"/>
  <c r="W3528" i="1"/>
  <c r="U3440" i="1"/>
  <c r="V3440" i="1" s="1"/>
  <c r="W3440" i="1" s="1"/>
  <c r="U3434" i="1"/>
  <c r="V3434" i="1" s="1"/>
  <c r="W3694" i="1"/>
  <c r="W3191" i="1"/>
  <c r="W3479" i="1"/>
  <c r="W3414" i="1"/>
  <c r="W3208" i="1"/>
  <c r="W3337" i="1"/>
  <c r="W3206" i="1"/>
  <c r="W2836" i="1"/>
  <c r="W2994" i="1"/>
  <c r="W2953" i="1"/>
  <c r="W2843" i="1"/>
  <c r="W3165" i="1"/>
  <c r="W2559" i="1"/>
  <c r="W2780" i="1"/>
  <c r="U2691" i="1"/>
  <c r="V2691" i="1" s="1"/>
  <c r="W2691" i="1" s="1"/>
  <c r="U2349" i="1"/>
  <c r="V2349" i="1" s="1"/>
  <c r="W2349" i="1" s="1"/>
  <c r="W2047" i="1"/>
  <c r="W2081" i="1"/>
  <c r="U1896" i="1"/>
  <c r="V1896" i="1" s="1"/>
  <c r="W1896" i="1" s="1"/>
  <c r="U1665" i="1"/>
  <c r="V1665" i="1" s="1"/>
  <c r="W1801" i="1"/>
  <c r="W1605" i="1"/>
  <c r="U1528" i="1"/>
  <c r="V1528" i="1" s="1"/>
  <c r="W1528" i="1" s="1"/>
  <c r="W1768" i="1"/>
  <c r="U1828" i="1"/>
  <c r="U1501" i="1"/>
  <c r="V1501" i="1" s="1"/>
  <c r="W1501" i="1" s="1"/>
  <c r="U1431" i="1"/>
  <c r="V1431" i="1" s="1"/>
  <c r="W1431" i="1" s="1"/>
  <c r="U1455" i="1"/>
  <c r="V1455" i="1" s="1"/>
  <c r="W1455" i="1" s="1"/>
  <c r="W1352" i="1"/>
  <c r="U1471" i="1"/>
  <c r="V1471" i="1" s="1"/>
  <c r="W1471" i="1" s="1"/>
  <c r="W1438" i="1"/>
  <c r="U1307" i="1"/>
  <c r="V1307" i="1" s="1"/>
  <c r="W1307" i="1" s="1"/>
  <c r="U1377" i="1"/>
  <c r="V1377" i="1" s="1"/>
  <c r="W1377" i="1" s="1"/>
  <c r="W943" i="1"/>
  <c r="W936" i="1"/>
  <c r="W1351" i="1"/>
  <c r="U1100" i="1"/>
  <c r="V1100" i="1" s="1"/>
  <c r="W1100" i="1" s="1"/>
  <c r="U1169" i="1"/>
  <c r="V1169" i="1" s="1"/>
  <c r="W1169" i="1" s="1"/>
  <c r="W1013" i="1"/>
  <c r="W1233" i="1"/>
  <c r="W729" i="1"/>
  <c r="W852" i="1"/>
  <c r="W885" i="1"/>
  <c r="W820" i="1"/>
  <c r="W172" i="1"/>
  <c r="W677" i="1"/>
  <c r="W239" i="1"/>
  <c r="U125" i="1"/>
  <c r="V125" i="1" s="1"/>
  <c r="W125" i="1" s="1"/>
  <c r="U109" i="1"/>
  <c r="V109" i="1" s="1"/>
  <c r="W109" i="1" s="1"/>
  <c r="S3339" i="1"/>
  <c r="S847" i="1"/>
  <c r="S2614" i="1"/>
  <c r="S2669" i="1"/>
  <c r="S2856" i="1"/>
  <c r="S2879" i="1"/>
  <c r="S3064" i="1"/>
  <c r="S3089" i="1"/>
  <c r="S3210" i="1"/>
  <c r="S3278" i="1"/>
  <c r="S3466" i="1"/>
  <c r="S3488" i="1"/>
  <c r="S3515" i="1"/>
  <c r="S3540" i="1"/>
  <c r="X495" i="1"/>
  <c r="X552" i="1"/>
  <c r="S2649" i="1"/>
  <c r="S2699" i="1"/>
  <c r="S2748" i="1"/>
  <c r="S2841" i="1"/>
  <c r="S2862" i="1"/>
  <c r="S2956" i="1"/>
  <c r="S3026" i="1"/>
  <c r="S3096" i="1"/>
  <c r="S3168" i="1"/>
  <c r="S3448" i="1"/>
  <c r="S3473" i="1"/>
  <c r="S3524" i="1"/>
  <c r="S3547" i="1"/>
  <c r="S3656" i="1"/>
  <c r="S3681" i="1"/>
  <c r="S3713" i="1"/>
  <c r="S2604" i="1"/>
  <c r="S2708" i="1"/>
  <c r="S2776" i="1"/>
  <c r="S2801" i="1"/>
  <c r="S2869" i="1"/>
  <c r="S3056" i="1"/>
  <c r="S3130" i="1"/>
  <c r="S3291" i="1"/>
  <c r="S3431" i="1"/>
  <c r="S3662" i="1"/>
  <c r="X952" i="1"/>
  <c r="X1118" i="1"/>
  <c r="W3631" i="1"/>
  <c r="W3549" i="1"/>
  <c r="U3573" i="1"/>
  <c r="V3573" i="1" s="1"/>
  <c r="W3573" i="1" s="1"/>
  <c r="W3524" i="1"/>
  <c r="W3784" i="1"/>
  <c r="W3802" i="1"/>
  <c r="W3600" i="1"/>
  <c r="W3471" i="1"/>
  <c r="W3635" i="1"/>
  <c r="U3373" i="1"/>
  <c r="V3373" i="1" s="1"/>
  <c r="W3373" i="1" s="1"/>
  <c r="U3800" i="1"/>
  <c r="V3800" i="1" s="1"/>
  <c r="W3800" i="1" s="1"/>
  <c r="W3500" i="1"/>
  <c r="W3658" i="1"/>
  <c r="W3448" i="1"/>
  <c r="W3542" i="1"/>
  <c r="W3624" i="1"/>
  <c r="W3544" i="1"/>
  <c r="W3499" i="1"/>
  <c r="U3161" i="1"/>
  <c r="V3161" i="1" s="1"/>
  <c r="W3161" i="1" s="1"/>
  <c r="W3274" i="1"/>
  <c r="W3470" i="1"/>
  <c r="U3210" i="1"/>
  <c r="V3210" i="1" s="1"/>
  <c r="W3210" i="1" s="1"/>
  <c r="W3240" i="1"/>
  <c r="U3488" i="1"/>
  <c r="V3488" i="1" s="1"/>
  <c r="W3488" i="1" s="1"/>
  <c r="W3475" i="1"/>
  <c r="W3237" i="1"/>
  <c r="U3096" i="1"/>
  <c r="V3096" i="1" s="1"/>
  <c r="W3096" i="1" s="1"/>
  <c r="U3346" i="1"/>
  <c r="V3346" i="1" s="1"/>
  <c r="W3346" i="1" s="1"/>
  <c r="W3276" i="1"/>
  <c r="W3010" i="1"/>
  <c r="W3468" i="1"/>
  <c r="W2996" i="1"/>
  <c r="W2922" i="1"/>
  <c r="W3255" i="1"/>
  <c r="W3028" i="1"/>
  <c r="W3007" i="1"/>
  <c r="W3116" i="1"/>
  <c r="U3278" i="1"/>
  <c r="V3278" i="1" s="1"/>
  <c r="W3278" i="1" s="1"/>
  <c r="W3093" i="1"/>
  <c r="W2868" i="1"/>
  <c r="W2766" i="1"/>
  <c r="W2662" i="1"/>
  <c r="W2939" i="1"/>
  <c r="U2834" i="1"/>
  <c r="V2834" i="1" s="1"/>
  <c r="W2834" i="1" s="1"/>
  <c r="U2907" i="1"/>
  <c r="V2907" i="1" s="1"/>
  <c r="W2907" i="1" s="1"/>
  <c r="W2847" i="1"/>
  <c r="W2750" i="1"/>
  <c r="W3098" i="1"/>
  <c r="W2915" i="1"/>
  <c r="W2849" i="1"/>
  <c r="W3047" i="1"/>
  <c r="W2888" i="1"/>
  <c r="W3324" i="1"/>
  <c r="U3089" i="1"/>
  <c r="V3089" i="1" s="1"/>
  <c r="W3089" i="1" s="1"/>
  <c r="W3265" i="1"/>
  <c r="W2839" i="1"/>
  <c r="W2697" i="1"/>
  <c r="U2841" i="1"/>
  <c r="V2841" i="1" s="1"/>
  <c r="W2841" i="1" s="1"/>
  <c r="W2942" i="1"/>
  <c r="W2660" i="1"/>
  <c r="W2485" i="1"/>
  <c r="W2526" i="1"/>
  <c r="W2383" i="1"/>
  <c r="W2363" i="1"/>
  <c r="W2155" i="1"/>
  <c r="W2707" i="1"/>
  <c r="W2491" i="1"/>
  <c r="W2384" i="1"/>
  <c r="W2694" i="1"/>
  <c r="W2701" i="1"/>
  <c r="W2101" i="1"/>
  <c r="W2490" i="1"/>
  <c r="W2136" i="1"/>
  <c r="W2629" i="1"/>
  <c r="W2174" i="1"/>
  <c r="W2521" i="1"/>
  <c r="W2399" i="1"/>
  <c r="W2540" i="1"/>
  <c r="W2137" i="1"/>
  <c r="W1817" i="1"/>
  <c r="W2415" i="1"/>
  <c r="W2175" i="1"/>
  <c r="W2336" i="1"/>
  <c r="W2046" i="1"/>
  <c r="W1717" i="1"/>
  <c r="W2083" i="1"/>
  <c r="W1867" i="1"/>
  <c r="W1997" i="1"/>
  <c r="W1963" i="1"/>
  <c r="W1833" i="1"/>
  <c r="W2019" i="1"/>
  <c r="W1676" i="1"/>
  <c r="W1525" i="1"/>
  <c r="W1564" i="1"/>
  <c r="W1820" i="1"/>
  <c r="W1856" i="1"/>
  <c r="W1448" i="1"/>
  <c r="W1217" i="1"/>
  <c r="W1409" i="1"/>
  <c r="W1432" i="1"/>
  <c r="W1599" i="1"/>
  <c r="W1505" i="1"/>
  <c r="W1503" i="1"/>
  <c r="W1408" i="1"/>
  <c r="W1263" i="1"/>
  <c r="W1449" i="1"/>
  <c r="W1332" i="1"/>
  <c r="W1433" i="1"/>
  <c r="W1316" i="1"/>
  <c r="W1071" i="1"/>
  <c r="W1069" i="1"/>
  <c r="W1299" i="1"/>
  <c r="W1044" i="1"/>
  <c r="W1231" i="1"/>
  <c r="W1162" i="1"/>
  <c r="W1121" i="1"/>
  <c r="W1127" i="1"/>
  <c r="W1189" i="1"/>
  <c r="W991" i="1"/>
  <c r="W996" i="1"/>
  <c r="W866" i="1"/>
  <c r="W1055" i="1"/>
  <c r="W804" i="1"/>
  <c r="W629" i="1"/>
  <c r="W270" i="1"/>
  <c r="W572" i="1"/>
  <c r="S3114" i="1"/>
  <c r="S3106" i="1"/>
  <c r="W3730" i="1"/>
  <c r="W3769" i="1"/>
  <c r="W3866" i="1"/>
  <c r="W3768" i="1"/>
  <c r="W3743" i="1"/>
  <c r="W3703" i="1"/>
  <c r="W3486" i="1"/>
  <c r="W3786" i="1"/>
  <c r="W3602" i="1"/>
  <c r="W3689" i="1"/>
  <c r="W3357" i="1"/>
  <c r="W3261" i="1"/>
  <c r="W3815" i="1"/>
  <c r="W3430" i="1"/>
  <c r="W3260" i="1"/>
  <c r="W3399" i="1"/>
  <c r="W3205" i="1"/>
  <c r="W3119" i="1"/>
  <c r="W3409" i="1"/>
  <c r="W3411" i="1"/>
  <c r="W3269" i="1"/>
  <c r="W3221" i="1"/>
  <c r="W3287" i="1"/>
  <c r="W3292" i="1"/>
  <c r="W3082" i="1"/>
  <c r="W3339" i="1"/>
  <c r="W3199" i="1"/>
  <c r="U3026" i="1"/>
  <c r="V3026" i="1" s="1"/>
  <c r="W3026" i="1" s="1"/>
  <c r="W3271" i="1"/>
  <c r="W3190" i="1"/>
  <c r="W2730" i="1"/>
  <c r="W3041" i="1"/>
  <c r="W2854" i="1"/>
  <c r="W3012" i="1"/>
  <c r="W2902" i="1"/>
  <c r="U3064" i="1"/>
  <c r="V3064" i="1" s="1"/>
  <c r="W3064" i="1" s="1"/>
  <c r="U2748" i="1"/>
  <c r="V2748" i="1" s="1"/>
  <c r="W2748" i="1" s="1"/>
  <c r="W2904" i="1"/>
  <c r="W3134" i="1"/>
  <c r="W2727" i="1"/>
  <c r="W2989" i="1"/>
  <c r="W3055" i="1"/>
  <c r="W2643" i="1"/>
  <c r="W2732" i="1"/>
  <c r="W2605" i="1"/>
  <c r="W2899" i="1"/>
  <c r="W2558" i="1"/>
  <c r="W2431" i="1"/>
  <c r="U2769" i="1"/>
  <c r="V2769" i="1" s="1"/>
  <c r="W2769" i="1" s="1"/>
  <c r="W2470" i="1"/>
  <c r="U2544" i="1"/>
  <c r="V2544" i="1" s="1"/>
  <c r="W2544" i="1" s="1"/>
  <c r="W2553" i="1"/>
  <c r="W2795" i="1"/>
  <c r="U2670" i="1"/>
  <c r="V2670" i="1" s="1"/>
  <c r="W2670" i="1" s="1"/>
  <c r="W2646" i="1"/>
  <c r="W2767" i="1"/>
  <c r="W2381" i="1"/>
  <c r="W2436" i="1"/>
  <c r="W2370" i="1"/>
  <c r="W2359" i="1"/>
  <c r="W2312" i="1"/>
  <c r="W2253" i="1"/>
  <c r="U2669" i="1"/>
  <c r="V2669" i="1" s="1"/>
  <c r="W2669" i="1" s="1"/>
  <c r="U2649" i="1"/>
  <c r="V2649" i="1" s="1"/>
  <c r="W2649" i="1" s="1"/>
  <c r="W2495" i="1"/>
  <c r="W2367" i="1"/>
  <c r="W2365" i="1"/>
  <c r="W2020" i="1"/>
  <c r="W1836" i="1"/>
  <c r="W2194" i="1"/>
  <c r="W2031" i="1"/>
  <c r="W2402" i="1"/>
  <c r="W2207" i="1"/>
  <c r="W2064" i="1"/>
  <c r="W1795" i="1"/>
  <c r="W1865" i="1"/>
  <c r="W1883" i="1"/>
  <c r="W2119" i="1"/>
  <c r="W2063" i="1"/>
  <c r="W1924" i="1"/>
  <c r="W1781" i="1"/>
  <c r="W1998" i="1"/>
  <c r="W1619" i="1"/>
  <c r="W1727" i="1"/>
  <c r="W1653" i="1"/>
  <c r="W1543" i="1"/>
  <c r="W1685" i="1"/>
  <c r="W1775" i="1"/>
  <c r="W1847" i="1"/>
  <c r="W1224" i="1"/>
  <c r="W1621" i="1"/>
  <c r="W1579" i="1"/>
  <c r="W1305" i="1"/>
  <c r="W1283" i="1"/>
  <c r="W1172" i="1"/>
  <c r="W1300" i="1"/>
  <c r="W1403" i="1"/>
  <c r="W1393" i="1"/>
  <c r="W1341" i="1"/>
  <c r="W884" i="1"/>
  <c r="W1049" i="1"/>
  <c r="W1107" i="1"/>
  <c r="W1105" i="1"/>
  <c r="W604" i="1"/>
  <c r="W795" i="1"/>
  <c r="W942" i="1"/>
  <c r="W975" i="1"/>
  <c r="W727" i="1"/>
  <c r="W907" i="1"/>
  <c r="W697" i="1"/>
  <c r="W569" i="1"/>
  <c r="W745" i="1"/>
  <c r="W606" i="1"/>
  <c r="W720" i="1"/>
  <c r="W244" i="1"/>
  <c r="W516" i="1"/>
  <c r="W589" i="1"/>
  <c r="W548" i="1"/>
  <c r="W108" i="1"/>
  <c r="S3573" i="1"/>
  <c r="W3705" i="1"/>
  <c r="U3846" i="1"/>
  <c r="U3847" i="1" s="1"/>
  <c r="W3804" i="1"/>
  <c r="W3710" i="1"/>
  <c r="W3699" i="1"/>
  <c r="U3598" i="1"/>
  <c r="V3598" i="1" s="1"/>
  <c r="W3598" i="1" s="1"/>
  <c r="U3737" i="1"/>
  <c r="V3737" i="1" s="1"/>
  <c r="W3737" i="1" s="1"/>
  <c r="W3835" i="1"/>
  <c r="W3678" i="1"/>
  <c r="U3515" i="1"/>
  <c r="V3515" i="1" s="1"/>
  <c r="W3515" i="1" s="1"/>
  <c r="W3481" i="1"/>
  <c r="W3545" i="1"/>
  <c r="W3640" i="1"/>
  <c r="W3405" i="1"/>
  <c r="W3497" i="1"/>
  <c r="W3692" i="1"/>
  <c r="W3783" i="1"/>
  <c r="W3445" i="1"/>
  <c r="W3637" i="1"/>
  <c r="W3416" i="1"/>
  <c r="W3564" i="1"/>
  <c r="W3615" i="1"/>
  <c r="W3553" i="1"/>
  <c r="W3452" i="1"/>
  <c r="W3377" i="1"/>
  <c r="W3582" i="1"/>
  <c r="W3333" i="1"/>
  <c r="U3114" i="1"/>
  <c r="V3114" i="1" s="1"/>
  <c r="W3114" i="1" s="1"/>
  <c r="U3394" i="1"/>
  <c r="V3394" i="1" s="1"/>
  <c r="W3394" i="1" s="1"/>
  <c r="W3113" i="1"/>
  <c r="W3150" i="1"/>
  <c r="W3396" i="1"/>
  <c r="W2937" i="1"/>
  <c r="W3224" i="1"/>
  <c r="W3051" i="1"/>
  <c r="W2940" i="1"/>
  <c r="W3483" i="1"/>
  <c r="W2978" i="1"/>
  <c r="W3321" i="1"/>
  <c r="W3326" i="1"/>
  <c r="W2924" i="1"/>
  <c r="W3195" i="1"/>
  <c r="U2809" i="1"/>
  <c r="V2809" i="1" s="1"/>
  <c r="W2809" i="1" s="1"/>
  <c r="W2626" i="1"/>
  <c r="W2761" i="1"/>
  <c r="W2657" i="1"/>
  <c r="W2852" i="1"/>
  <c r="U2614" i="1"/>
  <c r="V2614" i="1" s="1"/>
  <c r="W2614" i="1" s="1"/>
  <c r="W2979" i="1"/>
  <c r="U2900" i="1"/>
  <c r="V2900" i="1" s="1"/>
  <c r="W2900" i="1" s="1"/>
  <c r="U2862" i="1"/>
  <c r="V2862" i="1" s="1"/>
  <c r="W2862" i="1" s="1"/>
  <c r="W2693" i="1"/>
  <c r="W2976" i="1"/>
  <c r="W2777" i="1"/>
  <c r="W3060" i="1"/>
  <c r="W3077" i="1"/>
  <c r="U3121" i="1"/>
  <c r="V3121" i="1" s="1"/>
  <c r="W3121" i="1" s="1"/>
  <c r="W2870" i="1"/>
  <c r="W3046" i="1"/>
  <c r="U2792" i="1"/>
  <c r="V2792" i="1" s="1"/>
  <c r="W2792" i="1" s="1"/>
  <c r="W2813" i="1"/>
  <c r="U2566" i="1"/>
  <c r="V2566" i="1" s="1"/>
  <c r="W2566" i="1" s="1"/>
  <c r="W2524" i="1"/>
  <c r="W2639" i="1"/>
  <c r="W2592" i="1"/>
  <c r="U2620" i="1"/>
  <c r="V2620" i="1" s="1"/>
  <c r="W2620" i="1" s="1"/>
  <c r="W2449" i="1"/>
  <c r="W2644" i="1"/>
  <c r="W2764" i="1"/>
  <c r="W2045" i="1"/>
  <c r="W2454" i="1"/>
  <c r="W2368" i="1"/>
  <c r="W2501" i="1"/>
  <c r="W2623" i="1"/>
  <c r="W2114" i="1"/>
  <c r="W2176" i="1"/>
  <c r="W1903" i="1"/>
  <c r="W1765" i="1"/>
  <c r="W2334" i="1"/>
  <c r="W2180" i="1"/>
  <c r="W2106" i="1"/>
  <c r="W2032" i="1"/>
  <c r="W1788" i="1"/>
  <c r="W1669" i="1"/>
  <c r="W2157" i="1"/>
  <c r="W1904" i="1"/>
  <c r="W1811" i="1"/>
  <c r="W1945" i="1"/>
  <c r="W1905" i="1"/>
  <c r="W1707" i="1"/>
  <c r="W1759" i="1"/>
  <c r="W1632" i="1"/>
  <c r="W1733" i="1"/>
  <c r="W1708" i="1"/>
  <c r="W1357" i="1"/>
  <c r="W1480" i="1"/>
  <c r="W1671" i="1"/>
  <c r="W1464" i="1"/>
  <c r="W1028" i="1"/>
  <c r="W1094" i="1"/>
  <c r="W1195" i="1"/>
  <c r="W1392" i="1"/>
  <c r="W1321" i="1"/>
  <c r="W1198" i="1"/>
  <c r="W1306" i="1"/>
  <c r="W1335" i="1"/>
  <c r="W1240" i="1"/>
  <c r="W1188" i="1"/>
  <c r="W1033" i="1"/>
  <c r="W648" i="1"/>
  <c r="W736" i="1"/>
  <c r="W836" i="1"/>
  <c r="W904" i="1"/>
  <c r="W865" i="1"/>
  <c r="W779" i="1"/>
  <c r="W868" i="1"/>
  <c r="W772" i="1"/>
  <c r="W851" i="1"/>
  <c r="W833" i="1"/>
  <c r="S3331" i="1"/>
  <c r="S2544" i="1"/>
  <c r="X1087" i="1"/>
  <c r="X1177" i="1"/>
  <c r="W329" i="1"/>
  <c r="W257" i="1"/>
  <c r="W477" i="1"/>
  <c r="W404" i="1"/>
  <c r="W445" i="1"/>
  <c r="W675" i="1"/>
  <c r="W381" i="1"/>
  <c r="W529" i="1"/>
  <c r="W255" i="1"/>
  <c r="W56" i="1"/>
  <c r="W69" i="1"/>
  <c r="W135" i="1"/>
  <c r="S16" i="1"/>
  <c r="S54" i="1"/>
  <c r="S90" i="1"/>
  <c r="S258" i="1"/>
  <c r="S394" i="1"/>
  <c r="S506" i="1"/>
  <c r="S530" i="1"/>
  <c r="S578" i="1"/>
  <c r="Q594" i="1"/>
  <c r="Q595" i="1" s="1"/>
  <c r="P595" i="1"/>
  <c r="Q610" i="1"/>
  <c r="S610" i="1" s="1"/>
  <c r="P615" i="1"/>
  <c r="S626" i="1"/>
  <c r="S642" i="1"/>
  <c r="S726" i="1"/>
  <c r="S778" i="1"/>
  <c r="S834" i="1"/>
  <c r="S894" i="1"/>
  <c r="S962" i="1"/>
  <c r="S978" i="1"/>
  <c r="S1066" i="1"/>
  <c r="Q1082" i="1"/>
  <c r="P1087" i="1"/>
  <c r="W664" i="1"/>
  <c r="W700" i="1"/>
  <c r="W788" i="1"/>
  <c r="W488" i="1"/>
  <c r="W781" i="1"/>
  <c r="W980" i="1"/>
  <c r="W817" i="1"/>
  <c r="W491" i="1"/>
  <c r="W192" i="1"/>
  <c r="W340" i="1"/>
  <c r="W411" i="1"/>
  <c r="W224" i="1"/>
  <c r="W429" i="1"/>
  <c r="W264" i="1"/>
  <c r="W543" i="1"/>
  <c r="W527" i="1"/>
  <c r="W763" i="1"/>
  <c r="W241" i="1"/>
  <c r="W87" i="1"/>
  <c r="W273" i="1"/>
  <c r="W119" i="1"/>
  <c r="W155" i="1"/>
  <c r="W1104" i="1"/>
  <c r="W831" i="1"/>
  <c r="W743" i="1"/>
  <c r="W590" i="1"/>
  <c r="W923" i="1"/>
  <c r="W628" i="1"/>
  <c r="W591" i="1"/>
  <c r="W797" i="1"/>
  <c r="W1156" i="1"/>
  <c r="W661" i="1"/>
  <c r="W613" i="1"/>
  <c r="W493" i="1"/>
  <c r="W472" i="1"/>
  <c r="W713" i="1"/>
  <c r="W362" i="1"/>
  <c r="W189" i="1"/>
  <c r="W129" i="1"/>
  <c r="W202" i="1"/>
  <c r="W72" i="1"/>
  <c r="W92" i="1"/>
  <c r="W203" i="1"/>
  <c r="W124" i="1"/>
  <c r="S2111" i="1"/>
  <c r="S2139" i="1"/>
  <c r="S2195" i="1"/>
  <c r="S2333" i="1"/>
  <c r="S2367" i="1"/>
  <c r="S2713" i="1"/>
  <c r="S2885" i="1"/>
  <c r="S3205" i="1"/>
  <c r="S3255" i="1"/>
  <c r="S3499" i="1"/>
  <c r="S3627" i="1"/>
  <c r="S3787" i="1"/>
  <c r="S1166" i="1"/>
  <c r="S1186" i="1"/>
  <c r="Q1210" i="1"/>
  <c r="Q1213" i="1" s="1"/>
  <c r="P1213" i="1"/>
  <c r="Q1330" i="1"/>
  <c r="P1336" i="1"/>
  <c r="S1706" i="1"/>
  <c r="S1834" i="1"/>
  <c r="S1910" i="1"/>
  <c r="S1950" i="1"/>
  <c r="S1966" i="1"/>
  <c r="S2022" i="1"/>
  <c r="S207" i="1"/>
  <c r="S243" i="1"/>
  <c r="S315" i="1"/>
  <c r="S399" i="1"/>
  <c r="S515" i="1"/>
  <c r="S531" i="1"/>
  <c r="Q599" i="1"/>
  <c r="W599" i="1" s="1"/>
  <c r="P600" i="1"/>
  <c r="S623" i="1"/>
  <c r="S731" i="1"/>
  <c r="S767" i="1"/>
  <c r="S947" i="1"/>
  <c r="Q1027" i="1"/>
  <c r="Q1052" i="1" s="1"/>
  <c r="P1052" i="1"/>
  <c r="S1733" i="1"/>
  <c r="S1761" i="1"/>
  <c r="S955" i="1"/>
  <c r="X1244" i="1"/>
  <c r="S1095" i="1"/>
  <c r="S1507" i="1"/>
  <c r="Q1635" i="1"/>
  <c r="S176" i="1"/>
  <c r="S328" i="1"/>
  <c r="S408" i="1"/>
  <c r="Q454" i="1"/>
  <c r="S1893" i="1"/>
  <c r="S17" i="1"/>
  <c r="S1151" i="1"/>
  <c r="P1926" i="1"/>
  <c r="S10" i="1"/>
  <c r="S1537" i="1"/>
  <c r="S536" i="1"/>
  <c r="S556" i="1"/>
  <c r="S704" i="1"/>
  <c r="S824" i="1"/>
  <c r="S1032" i="1"/>
  <c r="S1124" i="1"/>
  <c r="S1436" i="1"/>
  <c r="Q1554" i="1"/>
  <c r="S1660" i="1"/>
  <c r="Q1734" i="1"/>
  <c r="S3074" i="1"/>
  <c r="Q3432" i="1"/>
  <c r="S3133" i="1"/>
  <c r="S73" i="1"/>
  <c r="S261" i="1"/>
  <c r="S277" i="1"/>
  <c r="S417" i="1"/>
  <c r="S597" i="1"/>
  <c r="S1073" i="1"/>
  <c r="S1093" i="1"/>
  <c r="S1221" i="1"/>
  <c r="S1489" i="1"/>
  <c r="S1593" i="1"/>
  <c r="S1609" i="1"/>
  <c r="S1705" i="1"/>
  <c r="Q1797" i="1"/>
  <c r="P1869" i="1"/>
  <c r="S2351" i="1"/>
  <c r="S2028" i="1"/>
  <c r="R503" i="1"/>
  <c r="S2050" i="1"/>
  <c r="S2141" i="1"/>
  <c r="S3418" i="1"/>
  <c r="W205" i="1"/>
  <c r="S329" i="1"/>
  <c r="W485" i="1"/>
  <c r="W545" i="1"/>
  <c r="S625" i="1"/>
  <c r="S677" i="1"/>
  <c r="S695" i="1"/>
  <c r="S815" i="1"/>
  <c r="W887" i="1"/>
  <c r="W905" i="1"/>
  <c r="W959" i="1"/>
  <c r="W977" i="1"/>
  <c r="S163" i="1"/>
  <c r="P347" i="1"/>
  <c r="Q584" i="1"/>
  <c r="S935" i="1"/>
  <c r="S951" i="1"/>
  <c r="S1255" i="1"/>
  <c r="S1271" i="1"/>
  <c r="S1307" i="1"/>
  <c r="S1359" i="1"/>
  <c r="S1411" i="1"/>
  <c r="S1631" i="1"/>
  <c r="S252" i="1"/>
  <c r="S448" i="1"/>
  <c r="S656" i="1"/>
  <c r="S912" i="1"/>
  <c r="S1684" i="1"/>
  <c r="S1864" i="1"/>
  <c r="S1041" i="1"/>
  <c r="S1129" i="1"/>
  <c r="S1349" i="1"/>
  <c r="S1401" i="1"/>
  <c r="S1629" i="1"/>
  <c r="S1937" i="1"/>
  <c r="S2593" i="1"/>
  <c r="Q3033" i="1"/>
  <c r="W218" i="1"/>
  <c r="W446" i="1"/>
  <c r="S524" i="1"/>
  <c r="W740" i="1"/>
  <c r="S846" i="1"/>
  <c r="S1058" i="1"/>
  <c r="P1118" i="1"/>
  <c r="P1420" i="1"/>
  <c r="S1490" i="1"/>
  <c r="S1506" i="1"/>
  <c r="S1550" i="1"/>
  <c r="S1770" i="1"/>
  <c r="S271" i="1"/>
  <c r="S539" i="1"/>
  <c r="S739" i="1"/>
  <c r="S759" i="1"/>
  <c r="S987" i="1"/>
  <c r="S1279" i="1"/>
  <c r="S1295" i="1"/>
  <c r="S1431" i="1"/>
  <c r="S1447" i="1"/>
  <c r="S1539" i="1"/>
  <c r="S1559" i="1"/>
  <c r="S1771" i="1"/>
  <c r="S1116" i="1"/>
  <c r="S1512" i="1"/>
  <c r="S2729" i="1"/>
  <c r="S125" i="1"/>
  <c r="S161" i="1"/>
  <c r="S425" i="1"/>
  <c r="S1777" i="1"/>
  <c r="W668" i="1"/>
  <c r="S736" i="1"/>
  <c r="R881" i="1"/>
  <c r="W946" i="1"/>
  <c r="W1018" i="1"/>
  <c r="R1360" i="1"/>
  <c r="S2213" i="1"/>
  <c r="S2613" i="1"/>
  <c r="S1236" i="1"/>
  <c r="S1376" i="1"/>
  <c r="W1516" i="1"/>
  <c r="S2849" i="1"/>
  <c r="R3616" i="1"/>
  <c r="S2335" i="1"/>
  <c r="S2471" i="1"/>
  <c r="S3081" i="1"/>
  <c r="S3223" i="1"/>
  <c r="W54" i="1"/>
  <c r="S72" i="1"/>
  <c r="S108" i="1"/>
  <c r="W144" i="1"/>
  <c r="S406" i="1"/>
  <c r="S2358" i="1"/>
  <c r="S2892" i="1"/>
  <c r="S3312" i="1"/>
  <c r="S3386" i="1"/>
  <c r="S3456" i="1"/>
  <c r="S2458" i="1"/>
  <c r="X113" i="1"/>
  <c r="R3827" i="1"/>
  <c r="R3566" i="1"/>
  <c r="X1751" i="1"/>
  <c r="X2983" i="1"/>
  <c r="X3625" i="1"/>
  <c r="X3797" i="1"/>
  <c r="X2971" i="1"/>
  <c r="X3370" i="1"/>
  <c r="X3584" i="1"/>
  <c r="S1354" i="1"/>
  <c r="S1675" i="1"/>
  <c r="S2144" i="1"/>
  <c r="S2182" i="1"/>
  <c r="Q2228" i="1"/>
  <c r="W78" i="1"/>
  <c r="S604" i="1"/>
  <c r="S886" i="1"/>
  <c r="R960" i="1"/>
  <c r="W1698" i="1"/>
  <c r="W2433" i="1"/>
  <c r="S2410" i="1"/>
  <c r="S2496" i="1"/>
  <c r="S2756" i="1"/>
  <c r="S2772" i="1"/>
  <c r="S2826" i="1"/>
  <c r="S2932" i="1"/>
  <c r="S3160" i="1"/>
  <c r="S3736" i="1"/>
  <c r="W97" i="1"/>
  <c r="W117" i="1"/>
  <c r="S3121" i="1"/>
  <c r="S3403" i="1"/>
  <c r="S390" i="1"/>
  <c r="S2566" i="1"/>
  <c r="S2724" i="1"/>
  <c r="S3144" i="1"/>
  <c r="S3284" i="1"/>
  <c r="S269" i="1"/>
  <c r="S407" i="1"/>
  <c r="R2789" i="1"/>
  <c r="R2255" i="1"/>
  <c r="R2301" i="1"/>
  <c r="R3584" i="1"/>
  <c r="R3721" i="1"/>
  <c r="R3625" i="1"/>
  <c r="X351" i="1"/>
  <c r="X3620" i="1"/>
  <c r="X1420" i="1"/>
  <c r="S2042" i="1"/>
  <c r="S516" i="1"/>
  <c r="S732" i="1"/>
  <c r="S1014" i="1"/>
  <c r="S1318" i="1"/>
  <c r="W2018" i="1"/>
  <c r="S3614" i="1"/>
  <c r="S2324" i="1"/>
  <c r="S2809" i="1"/>
  <c r="S2949" i="1"/>
  <c r="S3161" i="1"/>
  <c r="S3373" i="1"/>
  <c r="S3737" i="1"/>
  <c r="S286" i="1"/>
  <c r="R1639" i="1"/>
  <c r="S2310" i="1"/>
  <c r="S2382" i="1"/>
  <c r="S2746" i="1"/>
  <c r="S2762" i="1"/>
  <c r="S2900" i="1"/>
  <c r="S3254" i="1"/>
  <c r="S3394" i="1"/>
  <c r="S3598" i="1"/>
  <c r="R2279" i="1"/>
  <c r="R2738" i="1"/>
  <c r="S1217" i="1"/>
  <c r="S2019" i="1"/>
  <c r="R3517" i="1"/>
  <c r="X1639" i="1"/>
  <c r="X2502" i="1"/>
  <c r="S53" i="1"/>
  <c r="S1683" i="1"/>
  <c r="S611" i="1"/>
  <c r="Q891" i="1"/>
  <c r="S883" i="1"/>
  <c r="Q1207" i="1"/>
  <c r="P1208" i="1"/>
  <c r="P2293" i="1"/>
  <c r="Q2292" i="1"/>
  <c r="W2292" i="1" s="1"/>
  <c r="Q353" i="1"/>
  <c r="P354" i="1"/>
  <c r="Q497" i="1"/>
  <c r="P498" i="1"/>
  <c r="Q2249" i="1"/>
  <c r="P2250" i="1"/>
  <c r="Q2319" i="1"/>
  <c r="P2331" i="1"/>
  <c r="R1025" i="1"/>
  <c r="Q2263" i="1"/>
  <c r="P2264" i="1"/>
  <c r="P3554" i="1"/>
  <c r="Q3527" i="1"/>
  <c r="Q3554" i="1" s="1"/>
  <c r="P3844" i="1"/>
  <c r="Q3843" i="1"/>
  <c r="R235" i="1"/>
  <c r="R874" i="1"/>
  <c r="R952" i="1"/>
  <c r="Q2266" i="1"/>
  <c r="P2267" i="1"/>
  <c r="P2301" i="1"/>
  <c r="P2344" i="1"/>
  <c r="P2417" i="1"/>
  <c r="Q2388" i="1"/>
  <c r="W2388" i="1" s="1"/>
  <c r="P2450" i="1"/>
  <c r="P2702" i="1"/>
  <c r="P2818" i="1"/>
  <c r="P3172" i="1"/>
  <c r="Q3154" i="1"/>
  <c r="Q3364" i="1"/>
  <c r="P3370" i="1"/>
  <c r="P3449" i="1"/>
  <c r="P3608" i="1"/>
  <c r="Q3586" i="1"/>
  <c r="P3752" i="1"/>
  <c r="Q3750" i="1"/>
  <c r="Q3846" i="1"/>
  <c r="P3847" i="1"/>
  <c r="R600" i="1"/>
  <c r="R1450" i="1"/>
  <c r="R1586" i="1"/>
  <c r="R1826" i="1"/>
  <c r="R1897" i="1"/>
  <c r="R2876" i="1"/>
  <c r="R1517" i="1"/>
  <c r="R1921" i="1"/>
  <c r="R2023" i="1"/>
  <c r="R1177" i="1"/>
  <c r="R1202" i="1"/>
  <c r="R3797" i="1"/>
  <c r="X382" i="1"/>
  <c r="X84" i="1"/>
  <c r="X1080" i="1"/>
  <c r="R3462" i="1"/>
  <c r="X101" i="1"/>
  <c r="X1052" i="1"/>
  <c r="X1623" i="1"/>
  <c r="X1723" i="1"/>
  <c r="X1783" i="1"/>
  <c r="X2077" i="1"/>
  <c r="X2876" i="1"/>
  <c r="R1926" i="1"/>
  <c r="R1983" i="1"/>
  <c r="R2247" i="1"/>
  <c r="R2314" i="1"/>
  <c r="R2498" i="1"/>
  <c r="R2919" i="1"/>
  <c r="R3033" i="1"/>
  <c r="R3067" i="1"/>
  <c r="X414" i="1"/>
  <c r="X1275" i="1"/>
  <c r="X1387" i="1"/>
  <c r="X2055" i="1"/>
  <c r="X3351" i="1"/>
  <c r="X1416" i="1"/>
  <c r="X1663" i="1"/>
  <c r="X2301" i="1"/>
  <c r="X2909" i="1"/>
  <c r="X3067" i="1"/>
  <c r="X1921" i="1"/>
  <c r="X2601" i="1"/>
  <c r="X2818" i="1"/>
  <c r="X3127" i="1"/>
  <c r="X3152" i="1"/>
  <c r="X3172" i="1"/>
  <c r="X3449" i="1"/>
  <c r="X3665" i="1"/>
  <c r="X3752" i="1"/>
  <c r="X3827" i="1"/>
  <c r="P2261" i="1"/>
  <c r="Q2260" i="1"/>
  <c r="P101" i="1"/>
  <c r="Q86" i="1"/>
  <c r="Q3184" i="1"/>
  <c r="Q2702" i="1"/>
  <c r="S2452" i="1"/>
  <c r="Q1450" i="1"/>
  <c r="S1463" i="1"/>
  <c r="S1162" i="1"/>
  <c r="S1047" i="1"/>
  <c r="Q842" i="1"/>
  <c r="W1982" i="1"/>
  <c r="W1908" i="1"/>
  <c r="W1712" i="1"/>
  <c r="W1810" i="1"/>
  <c r="W1968" i="1"/>
  <c r="W1808" i="1"/>
  <c r="W1846" i="1"/>
  <c r="W1702" i="1"/>
  <c r="W1591" i="1"/>
  <c r="W1683" i="1"/>
  <c r="W1830" i="1"/>
  <c r="W1787" i="1"/>
  <c r="W1774" i="1"/>
  <c r="W1607" i="1"/>
  <c r="W1479" i="1"/>
  <c r="W1342" i="1"/>
  <c r="W1824" i="1"/>
  <c r="W1614" i="1"/>
  <c r="W1686" i="1"/>
  <c r="W1715" i="1"/>
  <c r="W1718" i="1"/>
  <c r="W1552" i="1"/>
  <c r="W1365" i="1"/>
  <c r="W1182" i="1"/>
  <c r="W1109" i="1"/>
  <c r="W1443" i="1"/>
  <c r="W1427" i="1"/>
  <c r="W1247" i="1"/>
  <c r="W1223" i="1"/>
  <c r="W1304" i="1"/>
  <c r="W1258" i="1"/>
  <c r="W1320" i="1"/>
  <c r="W1155" i="1"/>
  <c r="W1376" i="1"/>
  <c r="W1093" i="1"/>
  <c r="W856" i="1"/>
  <c r="W1032" i="1"/>
  <c r="W1017" i="1"/>
  <c r="W1108" i="1"/>
  <c r="W1015" i="1"/>
  <c r="W906" i="1"/>
  <c r="W981" i="1"/>
  <c r="W1016" i="1"/>
  <c r="W1242" i="1"/>
  <c r="W1000" i="1"/>
  <c r="W719" i="1"/>
  <c r="W1047" i="1"/>
  <c r="W803" i="1"/>
  <c r="W1031" i="1"/>
  <c r="W839" i="1"/>
  <c r="W801" i="1"/>
  <c r="W758" i="1"/>
  <c r="W922" i="1"/>
  <c r="W853" i="1"/>
  <c r="W924" i="1"/>
  <c r="W967" i="1"/>
  <c r="W735" i="1"/>
  <c r="W872" i="1"/>
  <c r="W785" i="1"/>
  <c r="W403" i="1"/>
  <c r="W160" i="1"/>
  <c r="W406" i="1"/>
  <c r="W128" i="1"/>
  <c r="W112" i="1"/>
  <c r="W481" i="1"/>
  <c r="W337" i="1"/>
  <c r="W163" i="1"/>
  <c r="W338" i="1"/>
  <c r="W211" i="1"/>
  <c r="W245" i="1"/>
  <c r="U74" i="1"/>
  <c r="V74" i="1" s="1"/>
  <c r="W74" i="1" s="1"/>
  <c r="W227" i="1"/>
  <c r="W79" i="1"/>
  <c r="U70" i="1"/>
  <c r="V70" i="1" s="1"/>
  <c r="W70" i="1" s="1"/>
  <c r="W426" i="1"/>
  <c r="W126" i="1"/>
  <c r="S1614" i="1"/>
  <c r="S2089" i="1"/>
  <c r="S1785" i="1"/>
  <c r="S1397" i="1"/>
  <c r="S2096" i="1"/>
  <c r="S1273" i="1"/>
  <c r="S2447" i="1"/>
  <c r="S1790" i="1"/>
  <c r="S2456" i="1"/>
  <c r="Q1955" i="1"/>
  <c r="S79" i="1"/>
  <c r="S879" i="1"/>
  <c r="S2947" i="1"/>
  <c r="S2433" i="1"/>
  <c r="S869" i="1"/>
  <c r="S740" i="1"/>
  <c r="S481" i="1"/>
  <c r="S160" i="1"/>
  <c r="S1644" i="1"/>
  <c r="S567" i="1"/>
  <c r="S2875" i="1"/>
  <c r="S3404" i="1"/>
  <c r="S3365" i="1"/>
  <c r="S3214" i="1"/>
  <c r="S1840" i="1"/>
  <c r="S937" i="1"/>
  <c r="S803" i="1"/>
  <c r="S1998" i="1"/>
  <c r="S699" i="1"/>
  <c r="S196" i="1"/>
  <c r="P84" i="1"/>
  <c r="P213" i="1"/>
  <c r="S870" i="1"/>
  <c r="P1450" i="1"/>
  <c r="Q1853" i="1"/>
  <c r="S1909" i="1"/>
  <c r="P1326" i="1"/>
  <c r="P259" i="1"/>
  <c r="P1275" i="1"/>
  <c r="P312" i="1"/>
  <c r="P1492" i="1"/>
  <c r="P1747" i="1"/>
  <c r="P1955" i="1"/>
  <c r="S3792" i="1"/>
  <c r="S1458" i="1"/>
  <c r="P760" i="1"/>
  <c r="P1360" i="1"/>
  <c r="P715" i="1"/>
  <c r="P113" i="1"/>
  <c r="P805" i="1"/>
  <c r="P1485" i="1"/>
  <c r="P750" i="1"/>
  <c r="P993" i="1"/>
  <c r="S3052" i="1"/>
  <c r="S2912" i="1"/>
  <c r="S2663" i="1"/>
  <c r="S2461" i="1"/>
  <c r="P1897" i="1"/>
  <c r="S1484" i="1"/>
  <c r="S1171" i="1"/>
  <c r="S1155" i="1"/>
  <c r="S2749" i="1"/>
  <c r="S701" i="1"/>
  <c r="P3577" i="1"/>
  <c r="P3401" i="1"/>
  <c r="P2709" i="1"/>
  <c r="P3351" i="1"/>
  <c r="S74" i="1"/>
  <c r="Q370" i="1"/>
  <c r="P371" i="1"/>
  <c r="S814" i="1"/>
  <c r="S946" i="1"/>
  <c r="S151" i="1"/>
  <c r="Q356" i="1"/>
  <c r="P357" i="1"/>
  <c r="P503" i="1"/>
  <c r="Q500" i="1"/>
  <c r="S844" i="1"/>
  <c r="S860" i="1"/>
  <c r="S1072" i="1"/>
  <c r="S1700" i="1"/>
  <c r="P2146" i="1"/>
  <c r="S217" i="1"/>
  <c r="S233" i="1"/>
  <c r="S341" i="1"/>
  <c r="S653" i="1"/>
  <c r="S705" i="1"/>
  <c r="S1513" i="1"/>
  <c r="S1533" i="1"/>
  <c r="S1565" i="1"/>
  <c r="P2279" i="1"/>
  <c r="Q2276" i="1"/>
  <c r="P2164" i="1"/>
  <c r="P2097" i="1"/>
  <c r="R165" i="1"/>
  <c r="R842" i="1"/>
  <c r="R715" i="1"/>
  <c r="R2183" i="1"/>
  <c r="S2094" i="1"/>
  <c r="Q2479" i="1"/>
  <c r="P2498" i="1"/>
  <c r="Q3035" i="1"/>
  <c r="P3067" i="1"/>
  <c r="S2167" i="1"/>
  <c r="P2258" i="1"/>
  <c r="Q2257" i="1"/>
  <c r="Q2603" i="1"/>
  <c r="P2606" i="1"/>
  <c r="X333" i="1"/>
  <c r="S2484" i="1"/>
  <c r="S3356" i="1"/>
  <c r="P3746" i="1"/>
  <c r="Q3742" i="1"/>
  <c r="S3796" i="1"/>
  <c r="R84" i="1"/>
  <c r="R365" i="1"/>
  <c r="R438" i="1"/>
  <c r="R750" i="1"/>
  <c r="R930" i="1"/>
  <c r="R3327" i="1"/>
  <c r="S2735" i="1"/>
  <c r="S3295" i="1"/>
  <c r="Q3507" i="1"/>
  <c r="P3508" i="1"/>
  <c r="R259" i="1"/>
  <c r="R584" i="1"/>
  <c r="R607" i="1"/>
  <c r="R805" i="1"/>
  <c r="R1610" i="1"/>
  <c r="R1797" i="1"/>
  <c r="R3172" i="1"/>
  <c r="S2216" i="1"/>
  <c r="P2274" i="1"/>
  <c r="P2961" i="1"/>
  <c r="P3127" i="1"/>
  <c r="S3264" i="1"/>
  <c r="P3512" i="1"/>
  <c r="Q3510" i="1"/>
  <c r="P3780" i="1"/>
  <c r="S3808" i="1"/>
  <c r="P3860" i="1"/>
  <c r="Q3859" i="1"/>
  <c r="R138" i="1"/>
  <c r="R507" i="1"/>
  <c r="R1052" i="1"/>
  <c r="R1326" i="1"/>
  <c r="R1851" i="1"/>
  <c r="R2055" i="1"/>
  <c r="R3256" i="1"/>
  <c r="X438" i="1"/>
  <c r="R1554" i="1"/>
  <c r="R1723" i="1"/>
  <c r="R2385" i="1"/>
  <c r="R2164" i="1"/>
  <c r="R2702" i="1"/>
  <c r="X1530" i="1"/>
  <c r="R3201" i="1"/>
  <c r="R3577" i="1"/>
  <c r="R3673" i="1"/>
  <c r="X138" i="1"/>
  <c r="X347" i="1"/>
  <c r="R2961" i="1"/>
  <c r="R3314" i="1"/>
  <c r="X157" i="1"/>
  <c r="X1360" i="1"/>
  <c r="R3560" i="1"/>
  <c r="X1851" i="1"/>
  <c r="X930" i="1"/>
  <c r="X1826" i="1"/>
  <c r="X760" i="1"/>
  <c r="X874" i="1"/>
  <c r="X881" i="1"/>
  <c r="X2477" i="1"/>
  <c r="X688" i="1"/>
  <c r="X2702" i="1"/>
  <c r="X1610" i="1"/>
  <c r="X1797" i="1"/>
  <c r="X2204" i="1"/>
  <c r="X2385" i="1"/>
  <c r="X1554" i="1"/>
  <c r="X3033" i="1"/>
  <c r="X2919" i="1"/>
  <c r="R1734" i="1"/>
  <c r="R1869" i="1"/>
  <c r="R2606" i="1"/>
  <c r="R3152" i="1"/>
  <c r="R3525" i="1"/>
  <c r="X213" i="1"/>
  <c r="X584" i="1"/>
  <c r="X592" i="1"/>
  <c r="X1326" i="1"/>
  <c r="X1912" i="1"/>
  <c r="X2498" i="1"/>
  <c r="X3184" i="1"/>
  <c r="X1202" i="1"/>
  <c r="X1635" i="1"/>
  <c r="X2606" i="1"/>
  <c r="X3256" i="1"/>
  <c r="X3362" i="1"/>
  <c r="X2238" i="1"/>
  <c r="X3505" i="1"/>
  <c r="X3566" i="1"/>
  <c r="X3869" i="1"/>
  <c r="X3780" i="1"/>
  <c r="X3554" i="1"/>
  <c r="P2077" i="1"/>
  <c r="Q2058" i="1"/>
  <c r="W2058" i="1" s="1"/>
  <c r="S2609" i="1"/>
  <c r="S3447" i="1"/>
  <c r="Q2164" i="1"/>
  <c r="Q1826" i="1"/>
  <c r="S1699" i="1"/>
  <c r="S1558" i="1"/>
  <c r="Q1485" i="1"/>
  <c r="S1830" i="1"/>
  <c r="S1323" i="1"/>
  <c r="S1015" i="1"/>
  <c r="S1187" i="1"/>
  <c r="S1115" i="1"/>
  <c r="Q1080" i="1"/>
  <c r="Q760" i="1"/>
  <c r="S147" i="1"/>
  <c r="S3176" i="1"/>
  <c r="S3149" i="1"/>
  <c r="S1860" i="1"/>
  <c r="S1715" i="1"/>
  <c r="S1342" i="1"/>
  <c r="S1509" i="1"/>
  <c r="Q1851" i="1"/>
  <c r="Q1517" i="1"/>
  <c r="S1048" i="1"/>
  <c r="S1001" i="1"/>
  <c r="S1242" i="1"/>
  <c r="S717" i="1"/>
  <c r="S1046" i="1"/>
  <c r="Q881" i="1"/>
  <c r="S755" i="1"/>
  <c r="S683" i="1"/>
  <c r="Q165" i="1"/>
  <c r="S211" i="1"/>
  <c r="S76" i="1"/>
  <c r="Q184" i="1"/>
  <c r="Q113" i="1"/>
  <c r="Q138" i="1"/>
  <c r="Q279" i="1"/>
  <c r="W3805" i="1"/>
  <c r="W3587" i="1"/>
  <c r="W3404" i="1"/>
  <c r="W3429" i="1"/>
  <c r="W3225" i="1"/>
  <c r="W2875" i="1"/>
  <c r="W3369" i="1"/>
  <c r="W2807" i="1"/>
  <c r="W3149" i="1"/>
  <c r="W3017" i="1"/>
  <c r="W3187" i="1"/>
  <c r="W2667" i="1"/>
  <c r="W2851" i="1"/>
  <c r="W2307" i="1"/>
  <c r="W2311" i="1"/>
  <c r="W2172" i="1"/>
  <c r="W2037" i="1"/>
  <c r="W1962" i="1"/>
  <c r="W2105" i="1"/>
  <c r="W2021" i="1"/>
  <c r="W1803" i="1"/>
  <c r="W1644" i="1"/>
  <c r="W1594" i="1"/>
  <c r="W1906" i="1"/>
  <c r="W2053" i="1"/>
  <c r="W1875" i="1"/>
  <c r="W1933" i="1"/>
  <c r="W1992" i="1"/>
  <c r="W1721" i="1"/>
  <c r="W1860" i="1"/>
  <c r="W2084" i="1"/>
  <c r="W1805" i="1"/>
  <c r="W1769" i="1"/>
  <c r="W1837" i="1"/>
  <c r="W1538" i="1"/>
  <c r="W1802" i="1"/>
  <c r="W1859" i="1"/>
  <c r="W1474" i="1"/>
  <c r="W1396" i="1"/>
  <c r="W1767" i="1"/>
  <c r="W1593" i="1"/>
  <c r="W1436" i="1"/>
  <c r="W1239" i="1"/>
  <c r="W1655" i="1"/>
  <c r="W1468" i="1"/>
  <c r="W1689" i="1"/>
  <c r="W1273" i="1"/>
  <c r="W1176" i="1"/>
  <c r="W1358" i="1"/>
  <c r="W1309" i="1"/>
  <c r="W1323" i="1"/>
  <c r="W1221" i="1"/>
  <c r="W1374" i="1"/>
  <c r="W830" i="1"/>
  <c r="W1046" i="1"/>
  <c r="W1078" i="1"/>
  <c r="W1325" i="1"/>
  <c r="W1212" i="1"/>
  <c r="U1084" i="1"/>
  <c r="V1084" i="1" s="1"/>
  <c r="W1084" i="1" s="1"/>
  <c r="W1001" i="1"/>
  <c r="W1228" i="1"/>
  <c r="U1011" i="1"/>
  <c r="V1011" i="1" s="1"/>
  <c r="W1011" i="1" s="1"/>
  <c r="W1290" i="1"/>
  <c r="W1062" i="1"/>
  <c r="U995" i="1"/>
  <c r="V995" i="1" s="1"/>
  <c r="W1187" i="1"/>
  <c r="W1157" i="1"/>
  <c r="U1014" i="1"/>
  <c r="V1014" i="1" s="1"/>
  <c r="W1014" i="1" s="1"/>
  <c r="W915" i="1"/>
  <c r="W674" i="1"/>
  <c r="W937" i="1"/>
  <c r="U598" i="1"/>
  <c r="V598" i="1" s="1"/>
  <c r="W598" i="1" s="1"/>
  <c r="W999" i="1"/>
  <c r="W701" i="1"/>
  <c r="U732" i="1"/>
  <c r="V732" i="1" s="1"/>
  <c r="W732" i="1" s="1"/>
  <c r="W699" i="1"/>
  <c r="W984" i="1"/>
  <c r="W808" i="1"/>
  <c r="W792" i="1"/>
  <c r="W840" i="1"/>
  <c r="W974" i="1"/>
  <c r="W683" i="1"/>
  <c r="W526" i="1"/>
  <c r="W733" i="1"/>
  <c r="U275" i="1"/>
  <c r="V275" i="1" s="1"/>
  <c r="W275" i="1" s="1"/>
  <c r="W533" i="1"/>
  <c r="W401" i="1"/>
  <c r="W551" i="1"/>
  <c r="W724" i="1"/>
  <c r="W238" i="1"/>
  <c r="W583" i="1"/>
  <c r="W573" i="1"/>
  <c r="W517" i="1"/>
  <c r="U286" i="1"/>
  <c r="V286" i="1" s="1"/>
  <c r="W286" i="1" s="1"/>
  <c r="U32" i="1"/>
  <c r="V32" i="1" s="1"/>
  <c r="W32" i="1" s="1"/>
  <c r="W248" i="1"/>
  <c r="W106" i="1"/>
  <c r="W206" i="1"/>
  <c r="W96" i="1"/>
  <c r="W19" i="1"/>
  <c r="W193" i="1"/>
  <c r="W427" i="1"/>
  <c r="U146" i="1"/>
  <c r="V146" i="1" s="1"/>
  <c r="W146" i="1" s="1"/>
  <c r="W229" i="1"/>
  <c r="U222" i="1"/>
  <c r="V222" i="1" s="1"/>
  <c r="W222" i="1" s="1"/>
  <c r="W60" i="1"/>
  <c r="W63" i="1"/>
  <c r="W247" i="1"/>
  <c r="U180" i="1"/>
  <c r="V180" i="1" s="1"/>
  <c r="W180" i="1" s="1"/>
  <c r="W176" i="1"/>
  <c r="U390" i="1"/>
  <c r="V390" i="1" s="1"/>
  <c r="W390" i="1" s="1"/>
  <c r="S2163" i="1"/>
  <c r="S1908" i="1"/>
  <c r="S2125" i="1"/>
  <c r="Q3362" i="1"/>
  <c r="S889" i="1"/>
  <c r="S146" i="1"/>
  <c r="S1176" i="1"/>
  <c r="S2655" i="1"/>
  <c r="S1732" i="1"/>
  <c r="S850" i="1"/>
  <c r="S128" i="1"/>
  <c r="S2038" i="1"/>
  <c r="Q956" i="1"/>
  <c r="S1427" i="1"/>
  <c r="S690" i="1"/>
  <c r="S1000" i="1"/>
  <c r="S1618" i="1"/>
  <c r="S1814" i="1"/>
  <c r="S963" i="1"/>
  <c r="S674" i="1"/>
  <c r="S1422" i="1"/>
  <c r="S446" i="1"/>
  <c r="S1140" i="1"/>
  <c r="S1022" i="1"/>
  <c r="S1805" i="1"/>
  <c r="S3801" i="1"/>
  <c r="S3575" i="1"/>
  <c r="S1561" i="1"/>
  <c r="S2737" i="1"/>
  <c r="S2087" i="1"/>
  <c r="S1808" i="1"/>
  <c r="S1568" i="1"/>
  <c r="S1030" i="1"/>
  <c r="S3017" i="1"/>
  <c r="S799" i="1"/>
  <c r="S164" i="1"/>
  <c r="S3142" i="1"/>
  <c r="S1925" i="1"/>
  <c r="S1395" i="1"/>
  <c r="S1248" i="1"/>
  <c r="S948" i="1"/>
  <c r="S895" i="1"/>
  <c r="S517" i="1"/>
  <c r="S142" i="1"/>
  <c r="S1769" i="1"/>
  <c r="P368" i="1"/>
  <c r="S447" i="1"/>
  <c r="S526" i="1"/>
  <c r="P842" i="1"/>
  <c r="S981" i="1"/>
  <c r="Q1418" i="1"/>
  <c r="S1418" i="1" s="1"/>
  <c r="S1420" i="1" s="1"/>
  <c r="S1438" i="1"/>
  <c r="P1517" i="1"/>
  <c r="P1797" i="1"/>
  <c r="S1824" i="1"/>
  <c r="S1958" i="1"/>
  <c r="P2013" i="1"/>
  <c r="P607" i="1"/>
  <c r="P1387" i="1"/>
  <c r="S40" i="1"/>
  <c r="P279" i="1"/>
  <c r="P1623" i="1"/>
  <c r="P1783" i="1"/>
  <c r="P1979" i="1"/>
  <c r="S1278" i="1"/>
  <c r="P184" i="1"/>
  <c r="P1080" i="1"/>
  <c r="P1416" i="1"/>
  <c r="P157" i="1"/>
  <c r="P930" i="1"/>
  <c r="S3534" i="1"/>
  <c r="S3429" i="1"/>
  <c r="S744" i="1"/>
  <c r="P1678" i="1"/>
  <c r="P1826" i="1"/>
  <c r="S111" i="1"/>
  <c r="S3563" i="1"/>
  <c r="S3495" i="1"/>
  <c r="S3413" i="1"/>
  <c r="S2389" i="1"/>
  <c r="S2311" i="1"/>
  <c r="S2740" i="1"/>
  <c r="S14" i="1"/>
  <c r="S6" i="1"/>
  <c r="P365" i="1"/>
  <c r="Q65" i="1"/>
  <c r="P454" i="1"/>
  <c r="S2662" i="1"/>
  <c r="S2462" i="1"/>
  <c r="S1480" i="1"/>
  <c r="S2244" i="1"/>
  <c r="S3651" i="1"/>
  <c r="S15" i="1"/>
  <c r="S11" i="1"/>
  <c r="P1554" i="1"/>
  <c r="S2939" i="1"/>
  <c r="S2108" i="1"/>
  <c r="S3657" i="1"/>
  <c r="S3483" i="1"/>
  <c r="S2444" i="1"/>
  <c r="P654" i="1"/>
  <c r="S2069" i="1"/>
  <c r="P1890" i="1"/>
  <c r="S1704" i="1"/>
  <c r="P960" i="1"/>
  <c r="S3826" i="1"/>
  <c r="Q2296" i="1"/>
  <c r="P3033" i="1"/>
  <c r="P2601" i="1"/>
  <c r="P2831" i="1"/>
  <c r="Q2802" i="1"/>
  <c r="Q2422" i="1"/>
  <c r="Q2230" i="1"/>
  <c r="Q2138" i="1"/>
  <c r="W2138" i="1" s="1"/>
  <c r="P3584" i="1"/>
  <c r="P3152" i="1"/>
  <c r="S278" i="1"/>
  <c r="S614" i="1"/>
  <c r="S950" i="1"/>
  <c r="S1038" i="1"/>
  <c r="S1334" i="1"/>
  <c r="S851" i="1"/>
  <c r="S88" i="1"/>
  <c r="Q384" i="1"/>
  <c r="P414" i="1"/>
  <c r="Q416" i="1"/>
  <c r="P419" i="1"/>
  <c r="S528" i="1"/>
  <c r="S676" i="1"/>
  <c r="S784" i="1"/>
  <c r="S800" i="1"/>
  <c r="S832" i="1"/>
  <c r="S976" i="1"/>
  <c r="S1040" i="1"/>
  <c r="S1132" i="1"/>
  <c r="S181" i="1"/>
  <c r="S201" i="1"/>
  <c r="S237" i="1"/>
  <c r="S373" i="1"/>
  <c r="Q505" i="1"/>
  <c r="P507" i="1"/>
  <c r="S565" i="1"/>
  <c r="S581" i="1"/>
  <c r="S657" i="1"/>
  <c r="S861" i="1"/>
  <c r="S1045" i="1"/>
  <c r="S1085" i="1"/>
  <c r="S1373" i="1"/>
  <c r="S1445" i="1"/>
  <c r="R1080" i="1"/>
  <c r="P2282" i="1"/>
  <c r="Q2281" i="1"/>
  <c r="P3850" i="1"/>
  <c r="Q3849" i="1"/>
  <c r="S2136" i="1"/>
  <c r="P2286" i="1"/>
  <c r="Q2284" i="1"/>
  <c r="Q3862" i="1"/>
  <c r="P3869" i="1"/>
  <c r="R3230" i="1"/>
  <c r="Q2025" i="1"/>
  <c r="P2026" i="1"/>
  <c r="S2061" i="1"/>
  <c r="S2113" i="1"/>
  <c r="P3838" i="1"/>
  <c r="Q3833" i="1"/>
  <c r="R316" i="1"/>
  <c r="S2384" i="1"/>
  <c r="S2644" i="1"/>
  <c r="S3274" i="1"/>
  <c r="S3414" i="1"/>
  <c r="Q3562" i="1"/>
  <c r="P3566" i="1"/>
  <c r="P3625" i="1"/>
  <c r="Q3622" i="1"/>
  <c r="P3717" i="1"/>
  <c r="Q3676" i="1"/>
  <c r="W3676" i="1" s="1"/>
  <c r="P3841" i="1"/>
  <c r="Q3840" i="1"/>
  <c r="R631" i="1"/>
  <c r="R822" i="1"/>
  <c r="R1783" i="1"/>
  <c r="R1955" i="1"/>
  <c r="X560" i="1"/>
  <c r="S2361" i="1"/>
  <c r="S2463" i="1"/>
  <c r="S3317" i="1"/>
  <c r="S3685" i="1"/>
  <c r="Q3829" i="1"/>
  <c r="P3831" i="1"/>
  <c r="R351" i="1"/>
  <c r="R419" i="1"/>
  <c r="R993" i="1"/>
  <c r="R1087" i="1"/>
  <c r="R1485" i="1"/>
  <c r="R1623" i="1"/>
  <c r="S2202" i="1"/>
  <c r="P2247" i="1"/>
  <c r="Q2246" i="1"/>
  <c r="P2385" i="1"/>
  <c r="S2378" i="1"/>
  <c r="Q2500" i="1"/>
  <c r="P2502" i="1"/>
  <c r="S2518" i="1"/>
  <c r="S2620" i="1"/>
  <c r="P2678" i="1"/>
  <c r="S2828" i="1"/>
  <c r="P2919" i="1"/>
  <c r="Q2914" i="1"/>
  <c r="W2914" i="1" s="1"/>
  <c r="S2968" i="1"/>
  <c r="P3100" i="1"/>
  <c r="P3256" i="1"/>
  <c r="Q3234" i="1"/>
  <c r="P3327" i="1"/>
  <c r="P3362" i="1"/>
  <c r="S3374" i="1"/>
  <c r="S3390" i="1"/>
  <c r="S3442" i="1"/>
  <c r="P3721" i="1"/>
  <c r="S3776" i="1"/>
  <c r="R552" i="1"/>
  <c r="R1275" i="1"/>
  <c r="R1296" i="1"/>
  <c r="R1492" i="1"/>
  <c r="R2077" i="1"/>
  <c r="R2909" i="1"/>
  <c r="R2983" i="1"/>
  <c r="R3869" i="1"/>
  <c r="R1387" i="1"/>
  <c r="R1678" i="1"/>
  <c r="R2709" i="1"/>
  <c r="R2798" i="1"/>
  <c r="R3362" i="1"/>
  <c r="X312" i="1"/>
  <c r="R3432" i="1"/>
  <c r="R3752" i="1"/>
  <c r="X600" i="1"/>
  <c r="X1517" i="1"/>
  <c r="R3505" i="1"/>
  <c r="R3512" i="1"/>
  <c r="X654" i="1"/>
  <c r="X1897" i="1"/>
  <c r="X3100" i="1"/>
  <c r="X1025" i="1"/>
  <c r="X1296" i="1"/>
  <c r="X1586" i="1"/>
  <c r="X2146" i="1"/>
  <c r="X3230" i="1"/>
  <c r="X1485" i="1"/>
  <c r="X1947" i="1"/>
  <c r="X2023" i="1"/>
  <c r="X2831" i="1"/>
  <c r="X1747" i="1"/>
  <c r="X2097" i="1"/>
  <c r="X2274" i="1"/>
  <c r="X2927" i="1"/>
  <c r="X3560" i="1"/>
  <c r="R1751" i="1"/>
  <c r="R1979" i="1"/>
  <c r="R2115" i="1"/>
  <c r="R2146" i="1"/>
  <c r="R2293" i="1"/>
  <c r="R2344" i="1"/>
  <c r="R2450" i="1"/>
  <c r="R2927" i="1"/>
  <c r="X184" i="1"/>
  <c r="X259" i="1"/>
  <c r="X805" i="1"/>
  <c r="X1213" i="1"/>
  <c r="X1450" i="1"/>
  <c r="X1869" i="1"/>
  <c r="X2247" i="1"/>
  <c r="X2344" i="1"/>
  <c r="R3831" i="1"/>
  <c r="X507" i="1"/>
  <c r="X2183" i="1"/>
  <c r="X2279" i="1"/>
  <c r="X2709" i="1"/>
  <c r="X2789" i="1"/>
  <c r="X2961" i="1"/>
  <c r="X3314" i="1"/>
  <c r="X3525" i="1"/>
  <c r="X3740" i="1"/>
  <c r="X3838" i="1"/>
  <c r="S2074" i="1"/>
  <c r="P2204" i="1"/>
  <c r="S3612" i="1"/>
  <c r="Q3616" i="1"/>
  <c r="Q1926" i="1"/>
  <c r="Q1416" i="1"/>
  <c r="S990" i="1"/>
  <c r="Q1326" i="1"/>
  <c r="Q1202" i="1"/>
  <c r="Q993" i="1"/>
  <c r="S267" i="1"/>
  <c r="W3612" i="1"/>
  <c r="W3354" i="1"/>
  <c r="W1944" i="1"/>
  <c r="W2154" i="1"/>
  <c r="W1862" i="1"/>
  <c r="W1925" i="1"/>
  <c r="W1568" i="1"/>
  <c r="W1931" i="1"/>
  <c r="W1839" i="1"/>
  <c r="W1699" i="1"/>
  <c r="W1882" i="1"/>
  <c r="W1790" i="1"/>
  <c r="W1571" i="1"/>
  <c r="W1696" i="1"/>
  <c r="W1574" i="1"/>
  <c r="W1406" i="1"/>
  <c r="W1510" i="1"/>
  <c r="W1630" i="1"/>
  <c r="W1322" i="1"/>
  <c r="W1660" i="1"/>
  <c r="W1463" i="1"/>
  <c r="W1509" i="1"/>
  <c r="W1577" i="1"/>
  <c r="W1561" i="1"/>
  <c r="W1345" i="1"/>
  <c r="W1125" i="1"/>
  <c r="W1140" i="1"/>
  <c r="W1375" i="1"/>
  <c r="W1469" i="1"/>
  <c r="W1381" i="1"/>
  <c r="W1192" i="1"/>
  <c r="W1453" i="1"/>
  <c r="W1289" i="1"/>
  <c r="W1395" i="1"/>
  <c r="W1037" i="1"/>
  <c r="W1193" i="1"/>
  <c r="W990" i="1"/>
  <c r="W1130" i="1"/>
  <c r="W1160" i="1"/>
  <c r="W1115" i="1"/>
  <c r="W921" i="1"/>
  <c r="W1173" i="1"/>
  <c r="W790" i="1"/>
  <c r="W869" i="1"/>
  <c r="W879" i="1"/>
  <c r="W771" i="1"/>
  <c r="W667" i="1"/>
  <c r="W1010" i="1"/>
  <c r="W859" i="1"/>
  <c r="W787" i="1"/>
  <c r="U876" i="1"/>
  <c r="V876" i="1" s="1"/>
  <c r="W888" i="1"/>
  <c r="W612" i="1"/>
  <c r="W482" i="1"/>
  <c r="W769" i="1"/>
  <c r="W649" i="1"/>
  <c r="W821" i="1"/>
  <c r="W567" i="1"/>
  <c r="W837" i="1"/>
  <c r="W519" i="1"/>
  <c r="W665" i="1"/>
  <c r="W542" i="1"/>
  <c r="W502" i="1"/>
  <c r="W549" i="1"/>
  <c r="W179" i="1"/>
  <c r="U370" i="1"/>
  <c r="V370" i="1" s="1"/>
  <c r="W387" i="1"/>
  <c r="W492" i="1"/>
  <c r="W196" i="1"/>
  <c r="W363" i="1"/>
  <c r="W267" i="1"/>
  <c r="W209" i="1"/>
  <c r="W173" i="1"/>
  <c r="W328" i="1"/>
  <c r="W195" i="1"/>
  <c r="W254" i="1"/>
  <c r="U28" i="1"/>
  <c r="V28" i="1" s="1"/>
  <c r="W28" i="1" s="1"/>
  <c r="W170" i="1"/>
  <c r="W73" i="1"/>
  <c r="S1396" i="1"/>
  <c r="S922" i="1"/>
  <c r="S899" i="1"/>
  <c r="S1846" i="1"/>
  <c r="S492" i="1"/>
  <c r="S1712" i="1"/>
  <c r="S195" i="1"/>
  <c r="S2851" i="1"/>
  <c r="S2652" i="1"/>
  <c r="S915" i="1"/>
  <c r="S2181" i="1"/>
  <c r="S1577" i="1"/>
  <c r="S1141" i="1"/>
  <c r="S672" i="1"/>
  <c r="S117" i="1"/>
  <c r="S2051" i="1"/>
  <c r="S647" i="1"/>
  <c r="S840" i="1"/>
  <c r="S984" i="1"/>
  <c r="S1551" i="1"/>
  <c r="P1586" i="1"/>
  <c r="S1689" i="1"/>
  <c r="S1821" i="1"/>
  <c r="S1875" i="1"/>
  <c r="P438" i="1"/>
  <c r="P1202" i="1"/>
  <c r="P891" i="1"/>
  <c r="P235" i="1"/>
  <c r="P1635" i="1"/>
  <c r="P1851" i="1"/>
  <c r="S2844" i="1"/>
  <c r="S2808" i="1"/>
  <c r="S1099" i="1"/>
  <c r="P138" i="1"/>
  <c r="P552" i="1"/>
  <c r="P1244" i="1"/>
  <c r="P1530" i="1"/>
  <c r="P165" i="1"/>
  <c r="P1025" i="1"/>
  <c r="P1912" i="1"/>
  <c r="P1947" i="1"/>
  <c r="P1969" i="1"/>
  <c r="P1734" i="1"/>
  <c r="P1723" i="1"/>
  <c r="P881" i="1"/>
  <c r="S170" i="1"/>
  <c r="P584" i="1"/>
  <c r="Q1753" i="1"/>
  <c r="P3462" i="1"/>
  <c r="P3517" i="1"/>
  <c r="P2909" i="1"/>
  <c r="P2133" i="1"/>
  <c r="P3314" i="1"/>
  <c r="P2798" i="1"/>
  <c r="P3616" i="1"/>
  <c r="P3432" i="1"/>
  <c r="P3184" i="1"/>
  <c r="S218" i="1"/>
  <c r="S250" i="1"/>
  <c r="P316" i="1"/>
  <c r="Q314" i="1"/>
  <c r="S538" i="1"/>
  <c r="Q586" i="1"/>
  <c r="P592" i="1"/>
  <c r="S670" i="1"/>
  <c r="Q379" i="1"/>
  <c r="P382" i="1"/>
  <c r="S643" i="1"/>
  <c r="S1011" i="1"/>
  <c r="S664" i="1"/>
  <c r="S804" i="1"/>
  <c r="S1372" i="1"/>
  <c r="S1676" i="1"/>
  <c r="P2927" i="1"/>
  <c r="Q2921" i="1"/>
  <c r="P2115" i="1"/>
  <c r="S257" i="1"/>
  <c r="P351" i="1"/>
  <c r="Q349" i="1"/>
  <c r="Q509" i="1"/>
  <c r="P510" i="1"/>
  <c r="S529" i="1"/>
  <c r="S545" i="1"/>
  <c r="S729" i="1"/>
  <c r="S833" i="1"/>
  <c r="S1573" i="1"/>
  <c r="S2114" i="1"/>
  <c r="P2234" i="1"/>
  <c r="Q2233" i="1"/>
  <c r="R688" i="1"/>
  <c r="P2238" i="1"/>
  <c r="Q2236" i="1"/>
  <c r="Q2303" i="1"/>
  <c r="P2314" i="1"/>
  <c r="P3070" i="1"/>
  <c r="Q3069" i="1"/>
  <c r="R3608" i="1"/>
  <c r="R1534" i="1"/>
  <c r="Q3102" i="1"/>
  <c r="P3103" i="1"/>
  <c r="S3226" i="1"/>
  <c r="P3665" i="1"/>
  <c r="Q3628" i="1"/>
  <c r="P3854" i="1"/>
  <c r="Q3852" i="1"/>
  <c r="R377" i="1"/>
  <c r="R891" i="1"/>
  <c r="S2657" i="1"/>
  <c r="P3230" i="1"/>
  <c r="Q3203" i="1"/>
  <c r="S3497" i="1"/>
  <c r="P3827" i="1"/>
  <c r="Q3799" i="1"/>
  <c r="R101" i="1"/>
  <c r="R113" i="1"/>
  <c r="R157" i="1"/>
  <c r="R279" i="1"/>
  <c r="R347" i="1"/>
  <c r="R592" i="1"/>
  <c r="R615" i="1"/>
  <c r="R760" i="1"/>
  <c r="R1336" i="1"/>
  <c r="P2228" i="1"/>
  <c r="P2255" i="1"/>
  <c r="Q2254" i="1"/>
  <c r="S2434" i="1"/>
  <c r="P2477" i="1"/>
  <c r="P2572" i="1"/>
  <c r="Q2506" i="1"/>
  <c r="S2570" i="1"/>
  <c r="P2636" i="1"/>
  <c r="P2738" i="1"/>
  <c r="Q2712" i="1"/>
  <c r="W2712" i="1" s="1"/>
  <c r="P2876" i="1"/>
  <c r="P2983" i="1"/>
  <c r="Q2974" i="1"/>
  <c r="W2974" i="1" s="1"/>
  <c r="P3201" i="1"/>
  <c r="Q3186" i="1"/>
  <c r="S3412" i="1"/>
  <c r="P3560" i="1"/>
  <c r="Q3558" i="1"/>
  <c r="W3558" i="1" s="1"/>
  <c r="P3620" i="1"/>
  <c r="Q3618" i="1"/>
  <c r="S3638" i="1"/>
  <c r="P3740" i="1"/>
  <c r="Q3726" i="1"/>
  <c r="Q3740" i="1" s="1"/>
  <c r="P3797" i="1"/>
  <c r="Q3782" i="1"/>
  <c r="R654" i="1"/>
  <c r="R1118" i="1"/>
  <c r="R1143" i="1"/>
  <c r="R3370" i="1"/>
  <c r="R2204" i="1"/>
  <c r="R2238" i="1"/>
  <c r="R2477" i="1"/>
  <c r="R3401" i="1"/>
  <c r="R3100" i="1"/>
  <c r="R1244" i="1"/>
  <c r="R1416" i="1"/>
  <c r="R2286" i="1"/>
  <c r="R2417" i="1"/>
  <c r="R2831" i="1"/>
  <c r="X235" i="1"/>
  <c r="R3184" i="1"/>
  <c r="X715" i="1"/>
  <c r="R2818" i="1"/>
  <c r="R2971" i="1"/>
  <c r="R3127" i="1"/>
  <c r="X631" i="1"/>
  <c r="X3616" i="1"/>
  <c r="R3746" i="1"/>
  <c r="X2013" i="1"/>
  <c r="X2636" i="1"/>
  <c r="X960" i="1"/>
  <c r="X1492" i="1"/>
  <c r="X1955" i="1"/>
  <c r="X3577" i="1"/>
  <c r="X842" i="1"/>
  <c r="X1336" i="1"/>
  <c r="X2678" i="1"/>
  <c r="X2133" i="1"/>
  <c r="X1969" i="1"/>
  <c r="X2450" i="1"/>
  <c r="X2798" i="1"/>
  <c r="R1635" i="1"/>
  <c r="R1912" i="1"/>
  <c r="R1969" i="1"/>
  <c r="R2274" i="1"/>
  <c r="R2331" i="1"/>
  <c r="R3351" i="1"/>
  <c r="R3665" i="1"/>
  <c r="X316" i="1"/>
  <c r="X377" i="1"/>
  <c r="X607" i="1"/>
  <c r="X1143" i="1"/>
  <c r="X1678" i="1"/>
  <c r="X2738" i="1"/>
  <c r="X3517" i="1"/>
  <c r="X1734" i="1"/>
  <c r="X1890" i="1"/>
  <c r="X2417" i="1"/>
  <c r="X3401" i="1"/>
  <c r="X2164" i="1"/>
  <c r="X2228" i="1"/>
  <c r="X2255" i="1"/>
  <c r="X2572" i="1"/>
  <c r="X3432" i="1"/>
  <c r="X3201" i="1"/>
  <c r="X3608" i="1"/>
  <c r="X3717" i="1"/>
  <c r="X3746" i="1"/>
  <c r="X3673" i="1"/>
  <c r="X3831" i="1"/>
  <c r="Q1947" i="1"/>
  <c r="Q654" i="1"/>
  <c r="W1627" i="1"/>
  <c r="W1340" i="1"/>
  <c r="W6" i="1"/>
  <c r="W25" i="1"/>
  <c r="W1090" i="1"/>
  <c r="W14" i="1"/>
  <c r="Q960" i="1"/>
  <c r="Q1118" i="1"/>
  <c r="Q930" i="1"/>
  <c r="Q750" i="1"/>
  <c r="S45" i="1"/>
  <c r="U50" i="1"/>
  <c r="S50" i="1"/>
  <c r="W29" i="1"/>
  <c r="S43" i="1"/>
  <c r="S752" i="1"/>
  <c r="S25" i="1"/>
  <c r="P65" i="1"/>
  <c r="Q157" i="1"/>
  <c r="W611" i="1"/>
  <c r="W10" i="1"/>
  <c r="W18" i="1"/>
  <c r="W20" i="1"/>
  <c r="W45" i="1"/>
  <c r="W15" i="1"/>
  <c r="S18" i="1"/>
  <c r="Q1747" i="1"/>
  <c r="Q1387" i="1"/>
  <c r="Q1025" i="1"/>
  <c r="U11" i="1"/>
  <c r="V11" i="1" s="1"/>
  <c r="W11" i="1" s="1"/>
  <c r="S33" i="1"/>
  <c r="S41" i="1"/>
  <c r="W1615" i="1"/>
  <c r="U16" i="1"/>
  <c r="V16" i="1" s="1"/>
  <c r="W16" i="1" s="1"/>
  <c r="Q1969" i="1"/>
  <c r="S26" i="1"/>
  <c r="Q347" i="1"/>
  <c r="W1670" i="1"/>
  <c r="W639" i="1"/>
  <c r="W33" i="1"/>
  <c r="W36" i="1"/>
  <c r="S1957" i="1"/>
  <c r="S36" i="1"/>
  <c r="P48" i="1"/>
  <c r="U8" i="1"/>
  <c r="V8" i="1" s="1"/>
  <c r="W8" i="1" s="1"/>
  <c r="W34" i="1"/>
  <c r="W26" i="1"/>
  <c r="W1831" i="1"/>
  <c r="U4" i="1"/>
  <c r="V4" i="1" s="1"/>
  <c r="W4" i="1" s="1"/>
  <c r="U17" i="1"/>
  <c r="V17" i="1" s="1"/>
  <c r="W17" i="1" s="1"/>
  <c r="Q1897" i="1"/>
  <c r="S618" i="1"/>
  <c r="Q805" i="1"/>
  <c r="S765" i="1"/>
  <c r="Q607" i="1"/>
  <c r="W997" i="1"/>
  <c r="W603" i="1"/>
  <c r="W765" i="1"/>
  <c r="W41" i="1"/>
  <c r="S932" i="1"/>
  <c r="S603" i="1"/>
  <c r="S215" i="1"/>
  <c r="Q3" i="1"/>
  <c r="Q48" i="1" s="1"/>
  <c r="X48" i="1"/>
  <c r="W1893" i="1"/>
  <c r="W1363" i="1"/>
  <c r="W718" i="1"/>
  <c r="W40" i="1"/>
  <c r="Q1623" i="1"/>
  <c r="S29" i="1"/>
  <c r="S1670" i="1"/>
  <c r="S8" i="1"/>
  <c r="S1802" i="1"/>
  <c r="S1726" i="1"/>
  <c r="S1627" i="1"/>
  <c r="Q1360" i="1"/>
  <c r="S1340" i="1"/>
  <c r="S1247" i="1"/>
  <c r="S877" i="1"/>
  <c r="S3905" i="1"/>
  <c r="V2985" i="1"/>
  <c r="V2973" i="1"/>
  <c r="U2983" i="1"/>
  <c r="V1612" i="1"/>
  <c r="V1054" i="1"/>
  <c r="V1082" i="1"/>
  <c r="V1145" i="1"/>
  <c r="U960" i="1"/>
  <c r="V958" i="1"/>
  <c r="U592" i="1"/>
  <c r="V586" i="1"/>
  <c r="R3891" i="1"/>
  <c r="V3891" i="1"/>
  <c r="Q3891" i="1"/>
  <c r="P3891" i="1"/>
  <c r="V103" i="1"/>
  <c r="U3857" i="1"/>
  <c r="V3856" i="1"/>
  <c r="U3625" i="1"/>
  <c r="V3622" i="1"/>
  <c r="U2255" i="1"/>
  <c r="V2252" i="1"/>
  <c r="V1536" i="1"/>
  <c r="V824" i="1"/>
  <c r="V883" i="1"/>
  <c r="V3871" i="1"/>
  <c r="U3872" i="1"/>
  <c r="V3754" i="1"/>
  <c r="V2704" i="1"/>
  <c r="U2709" i="1"/>
  <c r="V2574" i="1"/>
  <c r="U2502" i="1"/>
  <c r="V2500" i="1"/>
  <c r="V2236" i="1"/>
  <c r="U1897" i="1"/>
  <c r="V1892" i="1"/>
  <c r="V1928" i="1"/>
  <c r="U1534" i="1"/>
  <c r="V1532" i="1"/>
  <c r="V1422" i="1"/>
  <c r="V384" i="1"/>
  <c r="S3886" i="1"/>
  <c r="V3852" i="1"/>
  <c r="U3620" i="1"/>
  <c r="V3618" i="1"/>
  <c r="V3610" i="1"/>
  <c r="V2921" i="1"/>
  <c r="U2927" i="1"/>
  <c r="U2258" i="1"/>
  <c r="V2257" i="1"/>
  <c r="V617" i="1"/>
  <c r="U357" i="1"/>
  <c r="V356" i="1"/>
  <c r="U3869" i="1"/>
  <c r="V3862" i="1"/>
  <c r="V3258" i="1"/>
  <c r="V2878" i="1"/>
  <c r="U2282" i="1"/>
  <c r="V2281" i="1"/>
  <c r="V1756" i="1"/>
  <c r="V335" i="1"/>
  <c r="V167" i="1"/>
  <c r="V3880" i="1"/>
  <c r="U3886" i="1"/>
  <c r="V2711" i="1"/>
  <c r="V3874" i="1"/>
  <c r="U3875" i="1"/>
  <c r="V3829" i="1"/>
  <c r="U3831" i="1"/>
  <c r="V3129" i="1"/>
  <c r="V2791" i="1"/>
  <c r="V2319" i="1"/>
  <c r="V1981" i="1"/>
  <c r="U1983" i="1"/>
  <c r="V1736" i="1"/>
  <c r="V1680" i="1"/>
  <c r="U2250" i="1"/>
  <c r="V2249" i="1"/>
  <c r="V1957" i="1"/>
  <c r="V359" i="1"/>
  <c r="U365" i="1"/>
  <c r="V3799" i="1"/>
  <c r="V3069" i="1"/>
  <c r="U3070" i="1"/>
  <c r="V1725" i="1"/>
  <c r="V1641" i="1"/>
  <c r="V1362" i="1"/>
  <c r="V515" i="1"/>
  <c r="V2152" i="1"/>
  <c r="U1912" i="1"/>
  <c r="V1899" i="1"/>
  <c r="V1625" i="1"/>
  <c r="V1452" i="1"/>
  <c r="V762" i="1"/>
  <c r="U507" i="1"/>
  <c r="V505" i="1"/>
  <c r="W3905" i="1"/>
  <c r="U3746" i="1"/>
  <c r="V3742" i="1"/>
  <c r="V3364" i="1"/>
  <c r="V2833" i="1"/>
  <c r="V2820" i="1"/>
  <c r="V3203" i="1"/>
  <c r="V2284" i="1"/>
  <c r="V2099" i="1"/>
  <c r="V2166" i="1"/>
  <c r="V1494" i="1"/>
  <c r="V1120" i="1"/>
  <c r="V1027" i="1"/>
  <c r="V962" i="1"/>
  <c r="V3451" i="1"/>
  <c r="U3850" i="1"/>
  <c r="V3849" i="1"/>
  <c r="V3105" i="1"/>
  <c r="V2295" i="1"/>
  <c r="V2387" i="1"/>
  <c r="V2303" i="1"/>
  <c r="V1949" i="1"/>
  <c r="V1556" i="1"/>
  <c r="V690" i="1"/>
  <c r="V602" i="1"/>
  <c r="U607" i="1"/>
  <c r="V656" i="1"/>
  <c r="V353" i="1"/>
  <c r="U354" i="1"/>
  <c r="V115" i="1"/>
  <c r="V500" i="1"/>
  <c r="V2333" i="1"/>
  <c r="U3878" i="1"/>
  <c r="V3877" i="1"/>
  <c r="V3186" i="1"/>
  <c r="V2419" i="1"/>
  <c r="V1089" i="1"/>
  <c r="V717" i="1"/>
  <c r="V159" i="1"/>
  <c r="V3519" i="1"/>
  <c r="U3525" i="1"/>
  <c r="U3508" i="1"/>
  <c r="V3507" i="1"/>
  <c r="V215" i="1"/>
  <c r="V2452" i="1"/>
  <c r="V3586" i="1"/>
  <c r="V3403" i="1"/>
  <c r="V2608" i="1"/>
  <c r="U2317" i="1"/>
  <c r="V2316" i="1"/>
  <c r="V2346" i="1"/>
  <c r="V2057" i="1"/>
  <c r="V1785" i="1"/>
  <c r="V1298" i="1"/>
  <c r="V932" i="1"/>
  <c r="V1246" i="1"/>
  <c r="V512" i="1"/>
  <c r="U513" i="1"/>
  <c r="V67" i="1"/>
  <c r="V3562" i="1"/>
  <c r="U3566" i="1"/>
  <c r="V1338" i="1"/>
  <c r="V633" i="1"/>
  <c r="V3035" i="1"/>
  <c r="V3232" i="1"/>
  <c r="V2929" i="1"/>
  <c r="V2638" i="1"/>
  <c r="V1971" i="1"/>
  <c r="V2015" i="1"/>
  <c r="V1799" i="1"/>
  <c r="V844" i="1"/>
  <c r="V421" i="1"/>
  <c r="V416" i="1"/>
  <c r="V2135" i="1"/>
  <c r="V3719" i="1"/>
  <c r="V3782" i="1"/>
  <c r="U3797" i="1"/>
  <c r="V3675" i="1"/>
  <c r="U1921" i="1"/>
  <c r="V1914" i="1"/>
  <c r="V562" i="1"/>
  <c r="V281" i="1"/>
  <c r="V3748" i="1"/>
  <c r="U3752" i="1"/>
  <c r="U3512" i="1"/>
  <c r="V3510" i="1"/>
  <c r="V3568" i="1"/>
  <c r="V2263" i="1"/>
  <c r="U2264" i="1"/>
  <c r="V1215" i="1"/>
  <c r="V807" i="1"/>
  <c r="V86" i="1"/>
  <c r="V3154" i="1"/>
  <c r="U1869" i="1"/>
  <c r="V1853" i="1"/>
  <c r="V2740" i="1"/>
  <c r="U2606" i="1"/>
  <c r="V2603" i="1"/>
  <c r="V2276" i="1"/>
  <c r="U1639" i="1"/>
  <c r="V1637" i="1"/>
  <c r="V1277" i="1"/>
  <c r="V893" i="1"/>
  <c r="V318" i="1"/>
  <c r="V2911" i="1"/>
  <c r="V3514" i="1"/>
  <c r="V3627" i="1"/>
  <c r="V1328" i="1"/>
  <c r="U2293" i="1"/>
  <c r="V2291" i="1"/>
  <c r="U1926" i="1"/>
  <c r="V1923" i="1"/>
  <c r="V3329" i="1"/>
  <c r="U2247" i="1"/>
  <c r="V2243" i="1"/>
  <c r="V2185" i="1"/>
  <c r="V1179" i="1"/>
  <c r="V609" i="1"/>
  <c r="V314" i="1"/>
  <c r="U3673" i="1"/>
  <c r="V3667" i="1"/>
  <c r="V3316" i="1"/>
  <c r="V3556" i="1"/>
  <c r="U1751" i="1"/>
  <c r="V1749" i="1"/>
  <c r="V3174" i="1"/>
  <c r="V2028" i="1"/>
  <c r="V752" i="1"/>
  <c r="V3" i="1"/>
  <c r="V349" i="1"/>
  <c r="U351" i="1"/>
  <c r="U3844" i="1"/>
  <c r="V3843" i="1"/>
  <c r="U3584" i="1"/>
  <c r="V3579" i="1"/>
  <c r="V3353" i="1"/>
  <c r="U3362" i="1"/>
  <c r="V3072" i="1"/>
  <c r="V2800" i="1"/>
  <c r="V2479" i="1"/>
  <c r="V2504" i="1"/>
  <c r="V1487" i="1"/>
  <c r="U3616" i="1" l="1"/>
  <c r="U2164" i="1"/>
  <c r="S2162" i="1"/>
  <c r="S2158" i="1"/>
  <c r="U3327" i="1"/>
  <c r="Q822" i="1"/>
  <c r="U2238" i="1"/>
  <c r="U2231" i="1"/>
  <c r="U2738" i="1"/>
  <c r="V3102" i="1"/>
  <c r="W3102" i="1" s="1"/>
  <c r="W3103" i="1" s="1"/>
  <c r="V1753" i="1"/>
  <c r="S619" i="1"/>
  <c r="S631" i="1" s="1"/>
  <c r="U956" i="1"/>
  <c r="U3370" i="1"/>
  <c r="U842" i="1"/>
  <c r="V379" i="1"/>
  <c r="W379" i="1" s="1"/>
  <c r="W382" i="1" s="1"/>
  <c r="U503" i="1"/>
  <c r="W1280" i="1"/>
  <c r="W810" i="1"/>
  <c r="Q1177" i="1"/>
  <c r="S1280" i="1"/>
  <c r="S1296" i="1" s="1"/>
  <c r="Q952" i="1"/>
  <c r="U2026" i="1"/>
  <c r="U3172" i="1"/>
  <c r="U2274" i="1"/>
  <c r="U2331" i="1"/>
  <c r="U2150" i="1"/>
  <c r="S2964" i="1"/>
  <c r="S2971" i="1" s="1"/>
  <c r="U2241" i="1"/>
  <c r="U3462" i="1"/>
  <c r="U3201" i="1"/>
  <c r="U3860" i="1"/>
  <c r="V367" i="1"/>
  <c r="W367" i="1" s="1"/>
  <c r="W368" i="1" s="1"/>
  <c r="U2234" i="1"/>
  <c r="U2971" i="1"/>
  <c r="U1623" i="1"/>
  <c r="U3854" i="1"/>
  <c r="U2261" i="1"/>
  <c r="U3577" i="1"/>
  <c r="U3432" i="1"/>
  <c r="S3721" i="1"/>
  <c r="U2023" i="1"/>
  <c r="U3152" i="1"/>
  <c r="U316" i="1"/>
  <c r="V1668" i="1"/>
  <c r="V1678" i="1" s="1"/>
  <c r="U2301" i="1"/>
  <c r="U2798" i="1"/>
  <c r="U1492" i="1"/>
  <c r="W558" i="1"/>
  <c r="S810" i="1"/>
  <c r="S822" i="1" s="1"/>
  <c r="S365" i="1"/>
  <c r="V1210" i="1"/>
  <c r="V1213" i="1" s="1"/>
  <c r="U2077" i="1"/>
  <c r="V1207" i="1"/>
  <c r="V1208" i="1" s="1"/>
  <c r="S933" i="1"/>
  <c r="S952" i="1" s="1"/>
  <c r="U1969" i="1"/>
  <c r="S956" i="1"/>
  <c r="U2286" i="1"/>
  <c r="U2204" i="1"/>
  <c r="U1205" i="1"/>
  <c r="V3846" i="1"/>
  <c r="V3847" i="1" s="1"/>
  <c r="S2204" i="1"/>
  <c r="U3351" i="1"/>
  <c r="U3449" i="1"/>
  <c r="U3517" i="1"/>
  <c r="U138" i="1"/>
  <c r="U805" i="1"/>
  <c r="U1666" i="1"/>
  <c r="S881" i="1"/>
  <c r="U1326" i="1"/>
  <c r="U3608" i="1"/>
  <c r="U1955" i="1"/>
  <c r="S3577" i="1"/>
  <c r="S2017" i="1"/>
  <c r="S2023" i="1" s="1"/>
  <c r="S2798" i="1"/>
  <c r="U631" i="1"/>
  <c r="U1450" i="1"/>
  <c r="U1275" i="1"/>
  <c r="S558" i="1"/>
  <c r="S560" i="1" s="1"/>
  <c r="S2274" i="1"/>
  <c r="S3362" i="1"/>
  <c r="U3560" i="1"/>
  <c r="U688" i="1"/>
  <c r="U715" i="1"/>
  <c r="U347" i="1"/>
  <c r="U279" i="1"/>
  <c r="U750" i="1"/>
  <c r="U1052" i="1"/>
  <c r="U1635" i="1"/>
  <c r="U2498" i="1"/>
  <c r="U1610" i="1"/>
  <c r="U2146" i="1"/>
  <c r="U1826" i="1"/>
  <c r="U2450" i="1"/>
  <c r="U2344" i="1"/>
  <c r="Q1205" i="1"/>
  <c r="S3184" i="1"/>
  <c r="S1897" i="1"/>
  <c r="S3517" i="1"/>
  <c r="W1146" i="1"/>
  <c r="W2017" i="1"/>
  <c r="W619" i="1"/>
  <c r="U2702" i="1"/>
  <c r="S2702" i="1"/>
  <c r="S3127" i="1"/>
  <c r="S1955" i="1"/>
  <c r="S3401" i="1"/>
  <c r="U1416" i="1"/>
  <c r="S3351" i="1"/>
  <c r="V2680" i="1"/>
  <c r="V2702" i="1" s="1"/>
  <c r="U822" i="1"/>
  <c r="U419" i="1"/>
  <c r="U2961" i="1"/>
  <c r="U2314" i="1"/>
  <c r="V497" i="1"/>
  <c r="W497" i="1" s="1"/>
  <c r="W498" i="1" s="1"/>
  <c r="S1554" i="1"/>
  <c r="U2267" i="1"/>
  <c r="U2279" i="1"/>
  <c r="U2789" i="1"/>
  <c r="U2289" i="1"/>
  <c r="V594" i="1"/>
  <c r="V595" i="1" s="1"/>
  <c r="V509" i="1"/>
  <c r="W509" i="1" s="1"/>
  <c r="W510" i="1" s="1"/>
  <c r="U1118" i="1"/>
  <c r="U2831" i="1"/>
  <c r="U3314" i="1"/>
  <c r="U3841" i="1"/>
  <c r="Q1666" i="1"/>
  <c r="U2919" i="1"/>
  <c r="U1979" i="1"/>
  <c r="U377" i="1"/>
  <c r="U3033" i="1"/>
  <c r="U2818" i="1"/>
  <c r="U1296" i="1"/>
  <c r="U3256" i="1"/>
  <c r="U165" i="1"/>
  <c r="U1723" i="1"/>
  <c r="U1420" i="1"/>
  <c r="S3616" i="1"/>
  <c r="S1783" i="1"/>
  <c r="S3462" i="1"/>
  <c r="S1326" i="1"/>
  <c r="S960" i="1"/>
  <c r="S607" i="1"/>
  <c r="U84" i="1"/>
  <c r="S3671" i="1"/>
  <c r="S3673" i="1" s="1"/>
  <c r="S3327" i="1"/>
  <c r="S2240" i="1"/>
  <c r="S2241" i="1" s="1"/>
  <c r="Q495" i="1"/>
  <c r="S599" i="1"/>
  <c r="S600" i="1" s="1"/>
  <c r="S615" i="1"/>
  <c r="S750" i="1"/>
  <c r="S2831" i="1"/>
  <c r="U1851" i="1"/>
  <c r="W933" i="1"/>
  <c r="S1734" i="1"/>
  <c r="S1979" i="1"/>
  <c r="Q513" i="1"/>
  <c r="S512" i="1"/>
  <c r="S513" i="1" s="1"/>
  <c r="W2964" i="1"/>
  <c r="S2909" i="1"/>
  <c r="S84" i="1"/>
  <c r="S1492" i="1"/>
  <c r="S1202" i="1"/>
  <c r="S584" i="1"/>
  <c r="S3033" i="1"/>
  <c r="S1244" i="1"/>
  <c r="S438" i="1"/>
  <c r="S1416" i="1"/>
  <c r="S113" i="1"/>
  <c r="S3314" i="1"/>
  <c r="S2344" i="1"/>
  <c r="S2477" i="1"/>
  <c r="S138" i="1"/>
  <c r="U3100" i="1"/>
  <c r="U560" i="1"/>
  <c r="U1244" i="1"/>
  <c r="S1080" i="1"/>
  <c r="S594" i="1"/>
  <c r="S595" i="1" s="1"/>
  <c r="S1485" i="1"/>
  <c r="S1797" i="1"/>
  <c r="S3100" i="1"/>
  <c r="U1360" i="1"/>
  <c r="U2417" i="1"/>
  <c r="U2115" i="1"/>
  <c r="U1087" i="1"/>
  <c r="U874" i="1"/>
  <c r="U2477" i="1"/>
  <c r="U3230" i="1"/>
  <c r="U2876" i="1"/>
  <c r="U3827" i="1"/>
  <c r="S3449" i="1"/>
  <c r="S2961" i="1"/>
  <c r="S993" i="1"/>
  <c r="U113" i="1"/>
  <c r="S1853" i="1"/>
  <c r="S1869" i="1" s="1"/>
  <c r="Q1869" i="1"/>
  <c r="S930" i="1"/>
  <c r="S3152" i="1"/>
  <c r="S2709" i="1"/>
  <c r="S3584" i="1"/>
  <c r="S842" i="1"/>
  <c r="U2055" i="1"/>
  <c r="U1202" i="1"/>
  <c r="U3665" i="1"/>
  <c r="U3401" i="1"/>
  <c r="U3127" i="1"/>
  <c r="U1143" i="1"/>
  <c r="U552" i="1"/>
  <c r="U1783" i="1"/>
  <c r="U2909" i="1"/>
  <c r="U1080" i="1"/>
  <c r="S1623" i="1"/>
  <c r="S347" i="1"/>
  <c r="U615" i="1"/>
  <c r="V1828" i="1"/>
  <c r="V1851" i="1" s="1"/>
  <c r="U1336" i="1"/>
  <c r="U930" i="1"/>
  <c r="U3067" i="1"/>
  <c r="U1797" i="1"/>
  <c r="U993" i="1"/>
  <c r="U2183" i="1"/>
  <c r="U1485" i="1"/>
  <c r="U1554" i="1"/>
  <c r="U1177" i="1"/>
  <c r="U3505" i="1"/>
  <c r="S1360" i="1"/>
  <c r="S1635" i="1"/>
  <c r="S1678" i="1"/>
  <c r="S235" i="1"/>
  <c r="S1969" i="1"/>
  <c r="U760" i="1"/>
  <c r="U3184" i="1"/>
  <c r="U881" i="1"/>
  <c r="U101" i="1"/>
  <c r="U584" i="1"/>
  <c r="U438" i="1"/>
  <c r="U654" i="1"/>
  <c r="U952" i="1"/>
  <c r="U2385" i="1"/>
  <c r="U1586" i="1"/>
  <c r="U1517" i="1"/>
  <c r="U1387" i="1"/>
  <c r="U1734" i="1"/>
  <c r="U259" i="1"/>
  <c r="U891" i="1"/>
  <c r="S1586" i="1"/>
  <c r="S259" i="1"/>
  <c r="S1851" i="1"/>
  <c r="S165" i="1"/>
  <c r="S891" i="1"/>
  <c r="S1517" i="1"/>
  <c r="Q615" i="1"/>
  <c r="S1387" i="1"/>
  <c r="S279" i="1"/>
  <c r="S2115" i="1"/>
  <c r="S552" i="1"/>
  <c r="S1025" i="1"/>
  <c r="U600" i="1"/>
  <c r="S1118" i="1"/>
  <c r="S2385" i="1"/>
  <c r="S715" i="1"/>
  <c r="S1177" i="1"/>
  <c r="S1082" i="1"/>
  <c r="S1087" i="1" s="1"/>
  <c r="Q1087" i="1"/>
  <c r="Q3673" i="1"/>
  <c r="S3521" i="1"/>
  <c r="S3525" i="1" s="1"/>
  <c r="Q3525" i="1"/>
  <c r="W2745" i="1"/>
  <c r="W1330" i="1"/>
  <c r="S1210" i="1"/>
  <c r="S1213" i="1" s="1"/>
  <c r="S2029" i="1"/>
  <c r="S2055" i="1" s="1"/>
  <c r="Q2055" i="1"/>
  <c r="S1981" i="1"/>
  <c r="S1983" i="1" s="1"/>
  <c r="S1749" i="1"/>
  <c r="S1751" i="1" s="1"/>
  <c r="Q1751" i="1"/>
  <c r="S1637" i="1"/>
  <c r="S1639" i="1" s="1"/>
  <c r="Q1639" i="1"/>
  <c r="S849" i="1"/>
  <c r="S874" i="1" s="1"/>
  <c r="U157" i="1"/>
  <c r="S654" i="1"/>
  <c r="S1450" i="1"/>
  <c r="S1027" i="1"/>
  <c r="S1052" i="1" s="1"/>
  <c r="S1532" i="1"/>
  <c r="S1534" i="1" s="1"/>
  <c r="Q1534" i="1"/>
  <c r="U371" i="1"/>
  <c r="S760" i="1"/>
  <c r="S157" i="1"/>
  <c r="S2876" i="1"/>
  <c r="S1723" i="1"/>
  <c r="S1330" i="1"/>
  <c r="S1336" i="1" s="1"/>
  <c r="Q1336" i="1"/>
  <c r="Q3505" i="1"/>
  <c r="S3465" i="1"/>
  <c r="S3505" i="1" s="1"/>
  <c r="S2745" i="1"/>
  <c r="S2789" i="1" s="1"/>
  <c r="Q2789" i="1"/>
  <c r="Q1610" i="1"/>
  <c r="S1589" i="1"/>
  <c r="S1610" i="1" s="1"/>
  <c r="S1919" i="1"/>
  <c r="Q1921" i="1"/>
  <c r="S658" i="1"/>
  <c r="S688" i="1" s="1"/>
  <c r="Q688" i="1"/>
  <c r="S3432" i="1"/>
  <c r="S1912" i="1"/>
  <c r="Q600" i="1"/>
  <c r="Q2317" i="1"/>
  <c r="S2316" i="1"/>
  <c r="S2317" i="1" s="1"/>
  <c r="S1120" i="1"/>
  <c r="S1143" i="1" s="1"/>
  <c r="S375" i="1"/>
  <c r="S377" i="1" s="1"/>
  <c r="Q377" i="1"/>
  <c r="Q333" i="1"/>
  <c r="S2173" i="1"/>
  <c r="S2183" i="1" s="1"/>
  <c r="Q2183" i="1"/>
  <c r="Q874" i="1"/>
  <c r="W610" i="1"/>
  <c r="W1589" i="1"/>
  <c r="S349" i="1"/>
  <c r="S351" i="1" s="1"/>
  <c r="Q351" i="1"/>
  <c r="S3510" i="1"/>
  <c r="S3512" i="1" s="1"/>
  <c r="Q3512" i="1"/>
  <c r="Q3201" i="1"/>
  <c r="S3186" i="1"/>
  <c r="S3201" i="1" s="1"/>
  <c r="Q3230" i="1"/>
  <c r="S3203" i="1"/>
  <c r="S3230" i="1" s="1"/>
  <c r="S314" i="1"/>
  <c r="S316" i="1" s="1"/>
  <c r="Q316" i="1"/>
  <c r="S2230" i="1"/>
  <c r="S2231" i="1" s="1"/>
  <c r="Q2231" i="1"/>
  <c r="Q3847" i="1"/>
  <c r="S3846" i="1"/>
  <c r="S3847" i="1" s="1"/>
  <c r="S3154" i="1"/>
  <c r="S3172" i="1" s="1"/>
  <c r="Q3172" i="1"/>
  <c r="S3843" i="1"/>
  <c r="S3844" i="1" s="1"/>
  <c r="Q3844" i="1"/>
  <c r="S2249" i="1"/>
  <c r="S2250" i="1" s="1"/>
  <c r="Q2250" i="1"/>
  <c r="S497" i="1"/>
  <c r="S498" i="1" s="1"/>
  <c r="Q498" i="1"/>
  <c r="S353" i="1"/>
  <c r="S354" i="1" s="1"/>
  <c r="Q354" i="1"/>
  <c r="U1025" i="1"/>
  <c r="S1826" i="1"/>
  <c r="Q3620" i="1"/>
  <c r="S3618" i="1"/>
  <c r="S3620" i="1" s="1"/>
  <c r="S2303" i="1"/>
  <c r="S2314" i="1" s="1"/>
  <c r="Q2314" i="1"/>
  <c r="Q3625" i="1"/>
  <c r="S3622" i="1"/>
  <c r="S3625" i="1" s="1"/>
  <c r="S2025" i="1"/>
  <c r="S2026" i="1" s="1"/>
  <c r="Q2026" i="1"/>
  <c r="S2281" i="1"/>
  <c r="S2282" i="1" s="1"/>
  <c r="Q2282" i="1"/>
  <c r="Q507" i="1"/>
  <c r="S505" i="1"/>
  <c r="S507" i="1" s="1"/>
  <c r="S384" i="1"/>
  <c r="Q414" i="1"/>
  <c r="S2422" i="1"/>
  <c r="S2450" i="1" s="1"/>
  <c r="Q2450" i="1"/>
  <c r="Q2077" i="1"/>
  <c r="S2058" i="1"/>
  <c r="S2077" i="1" s="1"/>
  <c r="Q2258" i="1"/>
  <c r="S2257" i="1"/>
  <c r="S2258" i="1" s="1"/>
  <c r="Q3067" i="1"/>
  <c r="S3035" i="1"/>
  <c r="S3067" i="1" s="1"/>
  <c r="Q371" i="1"/>
  <c r="S370" i="1"/>
  <c r="S371" i="1" s="1"/>
  <c r="S3750" i="1"/>
  <c r="S3752" i="1" s="1"/>
  <c r="Q3752" i="1"/>
  <c r="S1207" i="1"/>
  <c r="S1208" i="1" s="1"/>
  <c r="Q1208" i="1"/>
  <c r="Q2247" i="1"/>
  <c r="S2246" i="1"/>
  <c r="S2247" i="1" s="1"/>
  <c r="Q3566" i="1"/>
  <c r="S3562" i="1"/>
  <c r="S3566" i="1" s="1"/>
  <c r="S3862" i="1"/>
  <c r="S3869" i="1" s="1"/>
  <c r="Q3869" i="1"/>
  <c r="U235" i="1"/>
  <c r="S1275" i="1"/>
  <c r="Q1420" i="1"/>
  <c r="S3782" i="1"/>
  <c r="S3797" i="1" s="1"/>
  <c r="Q3797" i="1"/>
  <c r="S2974" i="1"/>
  <c r="S2983" i="1" s="1"/>
  <c r="Q2983" i="1"/>
  <c r="S2712" i="1"/>
  <c r="S2738" i="1" s="1"/>
  <c r="Q2738" i="1"/>
  <c r="Q3827" i="1"/>
  <c r="S3799" i="1"/>
  <c r="S3827" i="1" s="1"/>
  <c r="Q3665" i="1"/>
  <c r="S3628" i="1"/>
  <c r="S3665" i="1" s="1"/>
  <c r="Q3070" i="1"/>
  <c r="S3069" i="1"/>
  <c r="S3070" i="1" s="1"/>
  <c r="S2236" i="1"/>
  <c r="S2238" i="1" s="1"/>
  <c r="Q2238" i="1"/>
  <c r="Q2234" i="1"/>
  <c r="S2233" i="1"/>
  <c r="S2234" i="1" s="1"/>
  <c r="Q510" i="1"/>
  <c r="S509" i="1"/>
  <c r="S510" i="1" s="1"/>
  <c r="S379" i="1"/>
  <c r="S382" i="1" s="1"/>
  <c r="Q382" i="1"/>
  <c r="S1753" i="1"/>
  <c r="S1754" i="1" s="1"/>
  <c r="Q1754" i="1"/>
  <c r="Q3256" i="1"/>
  <c r="S3234" i="1"/>
  <c r="S3256" i="1" s="1"/>
  <c r="S2284" i="1"/>
  <c r="S2286" i="1" s="1"/>
  <c r="Q2286" i="1"/>
  <c r="Q3850" i="1"/>
  <c r="S3849" i="1"/>
  <c r="S3850" i="1" s="1"/>
  <c r="S2802" i="1"/>
  <c r="S2818" i="1" s="1"/>
  <c r="Q2818" i="1"/>
  <c r="Q2301" i="1"/>
  <c r="S2296" i="1"/>
  <c r="S2301" i="1" s="1"/>
  <c r="W3234" i="1"/>
  <c r="Q3746" i="1"/>
  <c r="S3742" i="1"/>
  <c r="S3746" i="1" s="1"/>
  <c r="S500" i="1"/>
  <c r="S503" i="1" s="1"/>
  <c r="Q503" i="1"/>
  <c r="S356" i="1"/>
  <c r="S357" i="1" s="1"/>
  <c r="Q357" i="1"/>
  <c r="S86" i="1"/>
  <c r="S101" i="1" s="1"/>
  <c r="Q101" i="1"/>
  <c r="S2388" i="1"/>
  <c r="S2417" i="1" s="1"/>
  <c r="Q2417" i="1"/>
  <c r="S2263" i="1"/>
  <c r="S2264" i="1" s="1"/>
  <c r="Q2264" i="1"/>
  <c r="S2319" i="1"/>
  <c r="S2331" i="1" s="1"/>
  <c r="Q2331" i="1"/>
  <c r="W3750" i="1"/>
  <c r="W2296" i="1"/>
  <c r="S2254" i="1"/>
  <c r="S2255" i="1" s="1"/>
  <c r="Q2255" i="1"/>
  <c r="S2921" i="1"/>
  <c r="S2927" i="1" s="1"/>
  <c r="Q2927" i="1"/>
  <c r="S586" i="1"/>
  <c r="S592" i="1" s="1"/>
  <c r="Q592" i="1"/>
  <c r="S2603" i="1"/>
  <c r="S2606" i="1" s="1"/>
  <c r="Q2606" i="1"/>
  <c r="S805" i="1"/>
  <c r="P3887" i="1"/>
  <c r="P3907" i="1" s="1"/>
  <c r="S3558" i="1"/>
  <c r="S3560" i="1" s="1"/>
  <c r="Q3560" i="1"/>
  <c r="Q2572" i="1"/>
  <c r="Q3854" i="1"/>
  <c r="S3852" i="1"/>
  <c r="S3854" i="1" s="1"/>
  <c r="S3102" i="1"/>
  <c r="S3103" i="1" s="1"/>
  <c r="Q3103" i="1"/>
  <c r="W3628" i="1"/>
  <c r="S2914" i="1"/>
  <c r="S2919" i="1" s="1"/>
  <c r="Q2919" i="1"/>
  <c r="Q2502" i="1"/>
  <c r="S2500" i="1"/>
  <c r="S2502" i="1" s="1"/>
  <c r="S3829" i="1"/>
  <c r="S3831" i="1" s="1"/>
  <c r="Q3831" i="1"/>
  <c r="Q3841" i="1"/>
  <c r="S3840" i="1"/>
  <c r="S3841" i="1" s="1"/>
  <c r="S3676" i="1"/>
  <c r="Q3717" i="1"/>
  <c r="Q3838" i="1"/>
  <c r="Q419" i="1"/>
  <c r="S416" i="1"/>
  <c r="S419" i="1" s="1"/>
  <c r="S2138" i="1"/>
  <c r="S2146" i="1" s="1"/>
  <c r="Q2146" i="1"/>
  <c r="W2422" i="1"/>
  <c r="W2246" i="1"/>
  <c r="S3859" i="1"/>
  <c r="S3860" i="1" s="1"/>
  <c r="Q3860" i="1"/>
  <c r="S3507" i="1"/>
  <c r="S3508" i="1" s="1"/>
  <c r="Q3508" i="1"/>
  <c r="S2479" i="1"/>
  <c r="S2498" i="1" s="1"/>
  <c r="Q2498" i="1"/>
  <c r="S2276" i="1"/>
  <c r="S2279" i="1" s="1"/>
  <c r="Q2279" i="1"/>
  <c r="W2802" i="1"/>
  <c r="Q2261" i="1"/>
  <c r="S2260" i="1"/>
  <c r="S2261" i="1" s="1"/>
  <c r="Q3608" i="1"/>
  <c r="S3586" i="1"/>
  <c r="S3608" i="1" s="1"/>
  <c r="Q3370" i="1"/>
  <c r="S3364" i="1"/>
  <c r="S3370" i="1" s="1"/>
  <c r="S2266" i="1"/>
  <c r="S2267" i="1" s="1"/>
  <c r="Q2267" i="1"/>
  <c r="Q2293" i="1"/>
  <c r="S2292" i="1"/>
  <c r="S2293" i="1" s="1"/>
  <c r="W2254" i="1"/>
  <c r="V50" i="1"/>
  <c r="W50" i="1" s="1"/>
  <c r="S3" i="1"/>
  <c r="V2077" i="1"/>
  <c r="W2057" i="1"/>
  <c r="W2077" i="1" s="1"/>
  <c r="V2115" i="1"/>
  <c r="W2099" i="1"/>
  <c r="W2115" i="1" s="1"/>
  <c r="V3869" i="1"/>
  <c r="W3862" i="1"/>
  <c r="W3869" i="1" s="1"/>
  <c r="W3754" i="1"/>
  <c r="V2498" i="1"/>
  <c r="W2479" i="1"/>
  <c r="W2498" i="1" s="1"/>
  <c r="W2260" i="1"/>
  <c r="W2261" i="1" s="1"/>
  <c r="V2261" i="1"/>
  <c r="W281" i="1"/>
  <c r="W3719" i="1"/>
  <c r="W3721" i="1" s="1"/>
  <c r="V3721" i="1"/>
  <c r="W2015" i="1"/>
  <c r="V2023" i="1"/>
  <c r="V2477" i="1"/>
  <c r="W2452" i="1"/>
  <c r="W2477" i="1" s="1"/>
  <c r="V3201" i="1"/>
  <c r="W3186" i="1"/>
  <c r="W3201" i="1" s="1"/>
  <c r="V1723" i="1"/>
  <c r="W1680" i="1"/>
  <c r="W1723" i="1" s="1"/>
  <c r="V3875" i="1"/>
  <c r="W3874" i="1"/>
  <c r="W3875" i="1" s="1"/>
  <c r="W2230" i="1"/>
  <c r="W2231" i="1" s="1"/>
  <c r="V2231" i="1"/>
  <c r="V3625" i="1"/>
  <c r="W3622" i="1"/>
  <c r="W3625" i="1" s="1"/>
  <c r="V1517" i="1"/>
  <c r="W1494" i="1"/>
  <c r="W1517" i="1" s="1"/>
  <c r="V960" i="1"/>
  <c r="W958" i="1"/>
  <c r="W960" i="1" s="1"/>
  <c r="V2250" i="1"/>
  <c r="W2249" i="1"/>
  <c r="W2250" i="1" s="1"/>
  <c r="W3451" i="1"/>
  <c r="W3462" i="1" s="1"/>
  <c r="V3462" i="1"/>
  <c r="W384" i="1"/>
  <c r="W3514" i="1"/>
  <c r="W3517" i="1" s="1"/>
  <c r="V3517" i="1"/>
  <c r="W2135" i="1"/>
  <c r="W2146" i="1" s="1"/>
  <c r="V2146" i="1"/>
  <c r="V2026" i="1"/>
  <c r="W2025" i="1"/>
  <c r="W2026" i="1" s="1"/>
  <c r="W2346" i="1"/>
  <c r="W2385" i="1" s="1"/>
  <c r="V2385" i="1"/>
  <c r="V3878" i="1"/>
  <c r="W3877" i="1"/>
  <c r="W3878" i="1" s="1"/>
  <c r="V607" i="1"/>
  <c r="W602" i="1"/>
  <c r="W607" i="1" s="1"/>
  <c r="W2680" i="1"/>
  <c r="W2702" i="1" s="1"/>
  <c r="V2258" i="1"/>
  <c r="W2257" i="1"/>
  <c r="W2258" i="1" s="1"/>
  <c r="W3871" i="1"/>
  <c r="W3872" i="1" s="1"/>
  <c r="V3872" i="1"/>
  <c r="W1082" i="1"/>
  <c r="W1087" i="1" s="1"/>
  <c r="V1087" i="1"/>
  <c r="W353" i="1"/>
  <c r="W354" i="1" s="1"/>
  <c r="V354" i="1"/>
  <c r="W2504" i="1"/>
  <c r="W1179" i="1"/>
  <c r="W1202" i="1" s="1"/>
  <c r="V1202" i="1"/>
  <c r="W2800" i="1"/>
  <c r="V2818" i="1"/>
  <c r="W1749" i="1"/>
  <c r="W1751" i="1" s="1"/>
  <c r="V1751" i="1"/>
  <c r="V584" i="1"/>
  <c r="W562" i="1"/>
  <c r="W584" i="1" s="1"/>
  <c r="W1971" i="1"/>
  <c r="W1979" i="1" s="1"/>
  <c r="V1979" i="1"/>
  <c r="V715" i="1"/>
  <c r="W690" i="1"/>
  <c r="W715" i="1" s="1"/>
  <c r="V2234" i="1"/>
  <c r="W2233" i="1"/>
  <c r="W2234" i="1" s="1"/>
  <c r="W515" i="1"/>
  <c r="W552" i="1" s="1"/>
  <c r="V552" i="1"/>
  <c r="V3841" i="1"/>
  <c r="W3840" i="1"/>
  <c r="W3841" i="1" s="1"/>
  <c r="V382" i="1"/>
  <c r="V3857" i="1"/>
  <c r="W3856" i="1"/>
  <c r="W3857" i="1" s="1"/>
  <c r="W3372" i="1"/>
  <c r="W3401" i="1" s="1"/>
  <c r="V3401" i="1"/>
  <c r="W2166" i="1"/>
  <c r="W2183" i="1" s="1"/>
  <c r="V2183" i="1"/>
  <c r="W3" i="1"/>
  <c r="V2204" i="1"/>
  <c r="W2185" i="1"/>
  <c r="W2204" i="1" s="1"/>
  <c r="W2911" i="1"/>
  <c r="W2919" i="1" s="1"/>
  <c r="V2919" i="1"/>
  <c r="W2603" i="1"/>
  <c r="W2606" i="1" s="1"/>
  <c r="V2606" i="1"/>
  <c r="W2638" i="1"/>
  <c r="V1360" i="1"/>
  <c r="W1338" i="1"/>
  <c r="W1360" i="1" s="1"/>
  <c r="W995" i="1"/>
  <c r="W1025" i="1" s="1"/>
  <c r="V1025" i="1"/>
  <c r="V2286" i="1"/>
  <c r="W2284" i="1"/>
  <c r="W2286" i="1" s="1"/>
  <c r="W1362" i="1"/>
  <c r="W1387" i="1" s="1"/>
  <c r="V1387" i="1"/>
  <c r="W2921" i="1"/>
  <c r="W2927" i="1" s="1"/>
  <c r="V2927" i="1"/>
  <c r="V600" i="1"/>
  <c r="W597" i="1"/>
  <c r="W600" i="1" s="1"/>
  <c r="V1080" i="1"/>
  <c r="W1054" i="1"/>
  <c r="W1080" i="1" s="1"/>
  <c r="V3100" i="1"/>
  <c r="W3072" i="1"/>
  <c r="W3100" i="1" s="1"/>
  <c r="W3556" i="1"/>
  <c r="W3560" i="1" s="1"/>
  <c r="V3560" i="1"/>
  <c r="V2247" i="1"/>
  <c r="W2243" i="1"/>
  <c r="V2264" i="1"/>
  <c r="W2263" i="1"/>
  <c r="W2264" i="1" s="1"/>
  <c r="V419" i="1"/>
  <c r="W416" i="1"/>
  <c r="W419" i="1" s="1"/>
  <c r="V2961" i="1"/>
  <c r="W2929" i="1"/>
  <c r="W2961" i="1" s="1"/>
  <c r="W215" i="1"/>
  <c r="W235" i="1" s="1"/>
  <c r="V235" i="1"/>
  <c r="V2738" i="1"/>
  <c r="W2711" i="1"/>
  <c r="W2738" i="1" s="1"/>
  <c r="V3616" i="1"/>
  <c r="W3610" i="1"/>
  <c r="W3616" i="1" s="1"/>
  <c r="W1422" i="1"/>
  <c r="W1450" i="1" s="1"/>
  <c r="V1450" i="1"/>
  <c r="V1623" i="1"/>
  <c r="W1612" i="1"/>
  <c r="W1623" i="1" s="1"/>
  <c r="W2704" i="1"/>
  <c r="W2709" i="1" s="1"/>
  <c r="V2709" i="1"/>
  <c r="W1298" i="1"/>
  <c r="W1326" i="1" s="1"/>
  <c r="V1326" i="1"/>
  <c r="W3849" i="1"/>
  <c r="W3850" i="1" s="1"/>
  <c r="V3850" i="1"/>
  <c r="V2909" i="1"/>
  <c r="W2878" i="1"/>
  <c r="W2909" i="1" s="1"/>
  <c r="W876" i="1"/>
  <c r="W881" i="1" s="1"/>
  <c r="V881" i="1"/>
  <c r="V654" i="1"/>
  <c r="W633" i="1"/>
  <c r="W654" i="1" s="1"/>
  <c r="W3258" i="1"/>
  <c r="W3314" i="1" s="1"/>
  <c r="V3314" i="1"/>
  <c r="W1204" i="1"/>
  <c r="W1205" i="1" s="1"/>
  <c r="V1205" i="1"/>
  <c r="W318" i="1"/>
  <c r="V2274" i="1"/>
  <c r="W2269" i="1"/>
  <c r="W2274" i="1" s="1"/>
  <c r="W1556" i="1"/>
  <c r="W1586" i="1" s="1"/>
  <c r="V1586" i="1"/>
  <c r="W3203" i="1"/>
  <c r="W3230" i="1" s="1"/>
  <c r="V3230" i="1"/>
  <c r="W1641" i="1"/>
  <c r="V1534" i="1"/>
  <c r="W1532" i="1"/>
  <c r="W1534" i="1" s="1"/>
  <c r="V891" i="1"/>
  <c r="W883" i="1"/>
  <c r="W891" i="1" s="1"/>
  <c r="V3362" i="1"/>
  <c r="W3353" i="1"/>
  <c r="W3362" i="1" s="1"/>
  <c r="V760" i="1"/>
  <c r="W752" i="1"/>
  <c r="W760" i="1" s="1"/>
  <c r="W554" i="1"/>
  <c r="V560" i="1"/>
  <c r="V2789" i="1"/>
  <c r="W2740" i="1"/>
  <c r="V157" i="1"/>
  <c r="W140" i="1"/>
  <c r="W157" i="1" s="1"/>
  <c r="V3256" i="1"/>
  <c r="W3232" i="1"/>
  <c r="W505" i="1"/>
  <c r="W507" i="1" s="1"/>
  <c r="V507" i="1"/>
  <c r="W1725" i="1"/>
  <c r="W1734" i="1" s="1"/>
  <c r="V1734" i="1"/>
  <c r="V3620" i="1"/>
  <c r="W3618" i="1"/>
  <c r="W3620" i="1" s="1"/>
  <c r="V2983" i="1"/>
  <c r="W2973" i="1"/>
  <c r="W2983" i="1" s="1"/>
  <c r="V1244" i="1"/>
  <c r="W1215" i="1"/>
  <c r="W1244" i="1" s="1"/>
  <c r="V3665" i="1"/>
  <c r="W3627" i="1"/>
  <c r="W261" i="1"/>
  <c r="W279" i="1" s="1"/>
  <c r="V279" i="1"/>
  <c r="V2289" i="1"/>
  <c r="W2288" i="1"/>
  <c r="W2289" i="1" s="1"/>
  <c r="W2316" i="1"/>
  <c r="W2317" i="1" s="1"/>
  <c r="V2317" i="1"/>
  <c r="W1914" i="1"/>
  <c r="W1921" i="1" s="1"/>
  <c r="V1921" i="1"/>
  <c r="V3566" i="1"/>
  <c r="W3562" i="1"/>
  <c r="W3566" i="1" s="1"/>
  <c r="W3507" i="1"/>
  <c r="W3508" i="1" s="1"/>
  <c r="V3508" i="1"/>
  <c r="W1519" i="1"/>
  <c r="V3584" i="1"/>
  <c r="W3579" i="1"/>
  <c r="W3584" i="1" s="1"/>
  <c r="W1753" i="1"/>
  <c r="W1754" i="1" s="1"/>
  <c r="V1754" i="1"/>
  <c r="W3329" i="1"/>
  <c r="W3351" i="1" s="1"/>
  <c r="V3351" i="1"/>
  <c r="V3577" i="1"/>
  <c r="W3568" i="1"/>
  <c r="W3577" i="1" s="1"/>
  <c r="W3675" i="1"/>
  <c r="W67" i="1"/>
  <c r="W84" i="1" s="1"/>
  <c r="V84" i="1"/>
  <c r="W2608" i="1"/>
  <c r="W1949" i="1"/>
  <c r="W1955" i="1" s="1"/>
  <c r="V1955" i="1"/>
  <c r="W2820" i="1"/>
  <c r="W2831" i="1" s="1"/>
  <c r="V2831" i="1"/>
  <c r="W1736" i="1"/>
  <c r="W3880" i="1"/>
  <c r="W3886" i="1" s="1"/>
  <c r="V3886" i="1"/>
  <c r="W1928" i="1"/>
  <c r="V842" i="1"/>
  <c r="W824" i="1"/>
  <c r="W842" i="1" s="1"/>
  <c r="W2240" i="1"/>
  <c r="W2241" i="1" s="1"/>
  <c r="V2241" i="1"/>
  <c r="W2985" i="1"/>
  <c r="W3033" i="1" s="1"/>
  <c r="V3033" i="1"/>
  <c r="V3831" i="1"/>
  <c r="W3829" i="1"/>
  <c r="W3831" i="1" s="1"/>
  <c r="V930" i="1"/>
  <c r="W893" i="1"/>
  <c r="W930" i="1" s="1"/>
  <c r="V2344" i="1"/>
  <c r="W2333" i="1"/>
  <c r="W2344" i="1" s="1"/>
  <c r="V956" i="1"/>
  <c r="W954" i="1"/>
  <c r="W956" i="1" s="1"/>
  <c r="W167" i="1"/>
  <c r="V1826" i="1"/>
  <c r="W1799" i="1"/>
  <c r="W1826" i="1" s="1"/>
  <c r="V805" i="1"/>
  <c r="W762" i="1"/>
  <c r="W805" i="1" s="1"/>
  <c r="V1610" i="1"/>
  <c r="W1588" i="1"/>
  <c r="V3512" i="1"/>
  <c r="W3510" i="1"/>
  <c r="W3512" i="1" s="1"/>
  <c r="W2833" i="1"/>
  <c r="W2876" i="1" s="1"/>
  <c r="V2876" i="1"/>
  <c r="V1983" i="1"/>
  <c r="W1981" i="1"/>
  <c r="W1983" i="1" s="1"/>
  <c r="W349" i="1"/>
  <c r="W351" i="1" s="1"/>
  <c r="V351" i="1"/>
  <c r="W1785" i="1"/>
  <c r="W1797" i="1" s="1"/>
  <c r="V1797" i="1"/>
  <c r="V2450" i="1"/>
  <c r="W2419" i="1"/>
  <c r="W2152" i="1"/>
  <c r="W2164" i="1" s="1"/>
  <c r="V2164" i="1"/>
  <c r="W1665" i="1"/>
  <c r="W1666" i="1" s="1"/>
  <c r="V1666" i="1"/>
  <c r="V1177" i="1"/>
  <c r="W1145" i="1"/>
  <c r="W2266" i="1"/>
  <c r="W2267" i="1" s="1"/>
  <c r="V2267" i="1"/>
  <c r="V3067" i="1"/>
  <c r="W3035" i="1"/>
  <c r="W3067" i="1" s="1"/>
  <c r="V3860" i="1"/>
  <c r="W3859" i="1"/>
  <c r="W3860" i="1" s="1"/>
  <c r="V1869" i="1"/>
  <c r="W1853" i="1"/>
  <c r="W1869" i="1" s="1"/>
  <c r="W3403" i="1"/>
  <c r="W3432" i="1" s="1"/>
  <c r="V3432" i="1"/>
  <c r="V3525" i="1"/>
  <c r="W3519" i="1"/>
  <c r="W3525" i="1" s="1"/>
  <c r="V2314" i="1"/>
  <c r="W2303" i="1"/>
  <c r="W2314" i="1" s="1"/>
  <c r="V3070" i="1"/>
  <c r="W3069" i="1"/>
  <c r="W3070" i="1" s="1"/>
  <c r="W3852" i="1"/>
  <c r="W3854" i="1" s="1"/>
  <c r="V3854" i="1"/>
  <c r="V1897" i="1"/>
  <c r="W1892" i="1"/>
  <c r="W1897" i="1" s="1"/>
  <c r="V113" i="1"/>
  <c r="W103" i="1"/>
  <c r="W113" i="1" s="1"/>
  <c r="W3464" i="1"/>
  <c r="W3505" i="1" s="1"/>
  <c r="V3505" i="1"/>
  <c r="W3316" i="1"/>
  <c r="W3327" i="1" s="1"/>
  <c r="V3327" i="1"/>
  <c r="W1277" i="1"/>
  <c r="V1296" i="1"/>
  <c r="V3797" i="1"/>
  <c r="W3782" i="1"/>
  <c r="W3797" i="1" s="1"/>
  <c r="W421" i="1"/>
  <c r="W438" i="1" s="1"/>
  <c r="V438" i="1"/>
  <c r="V165" i="1"/>
  <c r="W159" i="1"/>
  <c r="W165" i="1" s="1"/>
  <c r="V993" i="1"/>
  <c r="W962" i="1"/>
  <c r="W993" i="1" s="1"/>
  <c r="W3364" i="1"/>
  <c r="W3370" i="1" s="1"/>
  <c r="V3370" i="1"/>
  <c r="V1485" i="1"/>
  <c r="W1452" i="1"/>
  <c r="W1485" i="1" s="1"/>
  <c r="V3827" i="1"/>
  <c r="W3799" i="1"/>
  <c r="W3827" i="1" s="1"/>
  <c r="V2331" i="1"/>
  <c r="W2319" i="1"/>
  <c r="W2331" i="1" s="1"/>
  <c r="W335" i="1"/>
  <c r="W347" i="1" s="1"/>
  <c r="V347" i="1"/>
  <c r="W356" i="1"/>
  <c r="W357" i="1" s="1"/>
  <c r="V357" i="1"/>
  <c r="W1536" i="1"/>
  <c r="W1554" i="1" s="1"/>
  <c r="V1554" i="1"/>
  <c r="V2279" i="1"/>
  <c r="W2276" i="1"/>
  <c r="W2279" i="1" s="1"/>
  <c r="V3844" i="1"/>
  <c r="W3843" i="1"/>
  <c r="W3844" i="1" s="1"/>
  <c r="W512" i="1"/>
  <c r="W513" i="1" s="1"/>
  <c r="V513" i="1"/>
  <c r="W3434" i="1"/>
  <c r="W3449" i="1" s="1"/>
  <c r="V3449" i="1"/>
  <c r="V2238" i="1"/>
  <c r="W2236" i="1"/>
  <c r="W2238" i="1" s="1"/>
  <c r="V2255" i="1"/>
  <c r="W2252" i="1"/>
  <c r="W1637" i="1"/>
  <c r="W1639" i="1" s="1"/>
  <c r="V1639" i="1"/>
  <c r="W3154" i="1"/>
  <c r="W3172" i="1" s="1"/>
  <c r="V3172" i="1"/>
  <c r="V3752" i="1"/>
  <c r="W3748" i="1"/>
  <c r="W3586" i="1"/>
  <c r="W3608" i="1" s="1"/>
  <c r="V3608" i="1"/>
  <c r="W2387" i="1"/>
  <c r="W2417" i="1" s="1"/>
  <c r="V2417" i="1"/>
  <c r="V1052" i="1"/>
  <c r="W1027" i="1"/>
  <c r="W1052" i="1" s="1"/>
  <c r="V3746" i="1"/>
  <c r="W3742" i="1"/>
  <c r="W3746" i="1" s="1"/>
  <c r="V631" i="1"/>
  <c r="W617" i="1"/>
  <c r="W631" i="1" s="1"/>
  <c r="V688" i="1"/>
  <c r="W656" i="1"/>
  <c r="W688" i="1" s="1"/>
  <c r="V874" i="1"/>
  <c r="W844" i="1"/>
  <c r="W874" i="1" s="1"/>
  <c r="V1275" i="1"/>
  <c r="W1246" i="1"/>
  <c r="W1275" i="1" s="1"/>
  <c r="V750" i="1"/>
  <c r="W717" i="1"/>
  <c r="W750" i="1" s="1"/>
  <c r="W500" i="1"/>
  <c r="W503" i="1" s="1"/>
  <c r="V503" i="1"/>
  <c r="V2301" i="1"/>
  <c r="W2295" i="1"/>
  <c r="W1625" i="1"/>
  <c r="W1635" i="1" s="1"/>
  <c r="V1635" i="1"/>
  <c r="W359" i="1"/>
  <c r="W365" i="1" s="1"/>
  <c r="V365" i="1"/>
  <c r="W2791" i="1"/>
  <c r="W2798" i="1" s="1"/>
  <c r="V2798" i="1"/>
  <c r="W1756" i="1"/>
  <c r="W1783" i="1" s="1"/>
  <c r="V1783" i="1"/>
  <c r="W456" i="1"/>
  <c r="W2500" i="1"/>
  <c r="W2502" i="1" s="1"/>
  <c r="V2502" i="1"/>
  <c r="W3667" i="1"/>
  <c r="W3673" i="1" s="1"/>
  <c r="V3673" i="1"/>
  <c r="W3174" i="1"/>
  <c r="W3184" i="1" s="1"/>
  <c r="V3184" i="1"/>
  <c r="V316" i="1"/>
  <c r="W314" i="1"/>
  <c r="W316" i="1" s="1"/>
  <c r="V101" i="1"/>
  <c r="W86" i="1"/>
  <c r="W101" i="1" s="1"/>
  <c r="W1389" i="1"/>
  <c r="W1416" i="1" s="1"/>
  <c r="V1416" i="1"/>
  <c r="W1487" i="1"/>
  <c r="W1492" i="1" s="1"/>
  <c r="V1492" i="1"/>
  <c r="W2028" i="1"/>
  <c r="W2055" i="1" s="1"/>
  <c r="V2055" i="1"/>
  <c r="W1923" i="1"/>
  <c r="W1926" i="1" s="1"/>
  <c r="V1926" i="1"/>
  <c r="V2293" i="1"/>
  <c r="W2291" i="1"/>
  <c r="W2293" i="1" s="1"/>
  <c r="W1089" i="1"/>
  <c r="W1118" i="1" s="1"/>
  <c r="V1118" i="1"/>
  <c r="V138" i="1"/>
  <c r="W115" i="1"/>
  <c r="W138" i="1" s="1"/>
  <c r="V3127" i="1"/>
  <c r="W3105" i="1"/>
  <c r="W3127" i="1" s="1"/>
  <c r="V1143" i="1"/>
  <c r="W1120" i="1"/>
  <c r="W1143" i="1" s="1"/>
  <c r="W3846" i="1"/>
  <c r="W3847" i="1" s="1"/>
  <c r="W373" i="1"/>
  <c r="W377" i="1" s="1"/>
  <c r="V377" i="1"/>
  <c r="W2574" i="1"/>
  <c r="V592" i="1"/>
  <c r="W586" i="1"/>
  <c r="W592" i="1" s="1"/>
  <c r="W1328" i="1"/>
  <c r="V1336" i="1"/>
  <c r="W932" i="1"/>
  <c r="V952" i="1"/>
  <c r="W3129" i="1"/>
  <c r="W3152" i="1" s="1"/>
  <c r="V3152" i="1"/>
  <c r="V2282" i="1"/>
  <c r="W2281" i="1"/>
  <c r="W2282" i="1" s="1"/>
  <c r="V2971" i="1"/>
  <c r="W2963" i="1"/>
  <c r="W370" i="1"/>
  <c r="W371" i="1" s="1"/>
  <c r="V371" i="1"/>
  <c r="W609" i="1"/>
  <c r="V615" i="1"/>
  <c r="W807" i="1"/>
  <c r="V822" i="1"/>
  <c r="W2148" i="1"/>
  <c r="W2150" i="1" s="1"/>
  <c r="V2150" i="1"/>
  <c r="W1899" i="1"/>
  <c r="W1912" i="1" s="1"/>
  <c r="V1912" i="1"/>
  <c r="V1969" i="1"/>
  <c r="W1957" i="1"/>
  <c r="W1969" i="1" s="1"/>
  <c r="W1418" i="1"/>
  <c r="W1420" i="1" s="1"/>
  <c r="V1420" i="1"/>
  <c r="W237" i="1"/>
  <c r="W259" i="1" s="1"/>
  <c r="V259" i="1"/>
  <c r="S2164" i="1" l="1"/>
  <c r="W1668" i="1"/>
  <c r="W1678" i="1" s="1"/>
  <c r="W1207" i="1"/>
  <c r="W1208" i="1" s="1"/>
  <c r="V3103" i="1"/>
  <c r="W594" i="1"/>
  <c r="W595" i="1" s="1"/>
  <c r="W822" i="1"/>
  <c r="V368" i="1"/>
  <c r="W1177" i="1"/>
  <c r="W560" i="1"/>
  <c r="W1828" i="1"/>
  <c r="W1851" i="1" s="1"/>
  <c r="W3256" i="1"/>
  <c r="W2023" i="1"/>
  <c r="W3665" i="1"/>
  <c r="W1210" i="1"/>
  <c r="W1213" i="1" s="1"/>
  <c r="W1336" i="1"/>
  <c r="V498" i="1"/>
  <c r="W2789" i="1"/>
  <c r="W1296" i="1"/>
  <c r="V510" i="1"/>
  <c r="W615" i="1"/>
  <c r="W2301" i="1"/>
  <c r="W952" i="1"/>
  <c r="W2971" i="1"/>
  <c r="W2450" i="1"/>
  <c r="W3752" i="1"/>
  <c r="Q3887" i="1"/>
  <c r="Q3907" i="1" s="1"/>
  <c r="W2247" i="1"/>
  <c r="W2255" i="1"/>
  <c r="W2818" i="1"/>
  <c r="W1610" i="1"/>
  <c r="U2122" i="1" l="1"/>
  <c r="V2122" i="1" s="1"/>
  <c r="W2122" i="1" s="1"/>
  <c r="S2122" i="1"/>
  <c r="U2132" i="1"/>
  <c r="V2132" i="1" s="1"/>
  <c r="W2132" i="1" s="1"/>
  <c r="S2132" i="1"/>
  <c r="R2133" i="1"/>
  <c r="S2117" i="1"/>
  <c r="U2117" i="1"/>
  <c r="V2117" i="1" s="1"/>
  <c r="S2124" i="1"/>
  <c r="U2124" i="1"/>
  <c r="V2124" i="1" s="1"/>
  <c r="W2124" i="1" s="1"/>
  <c r="S2131" i="1"/>
  <c r="U2131" i="1"/>
  <c r="V2131" i="1" s="1"/>
  <c r="W2131" i="1" s="1"/>
  <c r="S2118" i="1"/>
  <c r="U2118" i="1"/>
  <c r="V2118" i="1" s="1"/>
  <c r="W2118" i="1" s="1"/>
  <c r="U2126" i="1"/>
  <c r="V2126" i="1" s="1"/>
  <c r="W2126" i="1" s="1"/>
  <c r="S2126" i="1"/>
  <c r="U2129" i="1"/>
  <c r="V2129" i="1" s="1"/>
  <c r="W2129" i="1" s="1"/>
  <c r="S2129" i="1"/>
  <c r="U2120" i="1"/>
  <c r="V2120" i="1" s="1"/>
  <c r="W2120" i="1" s="1"/>
  <c r="S2120" i="1"/>
  <c r="S3761" i="1" l="1"/>
  <c r="U3761" i="1"/>
  <c r="V3761" i="1" s="1"/>
  <c r="W3761" i="1" s="1"/>
  <c r="U3766" i="1"/>
  <c r="V3766" i="1" s="1"/>
  <c r="W3766" i="1" s="1"/>
  <c r="S3766" i="1"/>
  <c r="S3777" i="1"/>
  <c r="U3777" i="1"/>
  <c r="V3777" i="1" s="1"/>
  <c r="W3777" i="1" s="1"/>
  <c r="S2133" i="1"/>
  <c r="S3762" i="1"/>
  <c r="U3762" i="1"/>
  <c r="V3762" i="1" s="1"/>
  <c r="W3762" i="1" s="1"/>
  <c r="S3756" i="1"/>
  <c r="U3756" i="1"/>
  <c r="R3780" i="1"/>
  <c r="U3763" i="1"/>
  <c r="V3763" i="1" s="1"/>
  <c r="W3763" i="1" s="1"/>
  <c r="S3763" i="1"/>
  <c r="S3770" i="1"/>
  <c r="U3770" i="1"/>
  <c r="V3770" i="1" s="1"/>
  <c r="W3770" i="1" s="1"/>
  <c r="S3778" i="1"/>
  <c r="U3778" i="1"/>
  <c r="V3778" i="1" s="1"/>
  <c r="W3778" i="1" s="1"/>
  <c r="V2133" i="1"/>
  <c r="W2117" i="1"/>
  <c r="W2133" i="1" s="1"/>
  <c r="S3764" i="1"/>
  <c r="U3764" i="1"/>
  <c r="V3764" i="1" s="1"/>
  <c r="W3764" i="1" s="1"/>
  <c r="S3771" i="1"/>
  <c r="U3771" i="1"/>
  <c r="V3771" i="1" s="1"/>
  <c r="W3771" i="1" s="1"/>
  <c r="U3779" i="1"/>
  <c r="V3779" i="1" s="1"/>
  <c r="W3779" i="1" s="1"/>
  <c r="S3779" i="1"/>
  <c r="S3757" i="1"/>
  <c r="U3757" i="1"/>
  <c r="V3757" i="1" s="1"/>
  <c r="W3757" i="1" s="1"/>
  <c r="S3773" i="1"/>
  <c r="U3773" i="1"/>
  <c r="V3773" i="1" s="1"/>
  <c r="W3773" i="1" s="1"/>
  <c r="U3760" i="1"/>
  <c r="V3760" i="1" s="1"/>
  <c r="W3760" i="1" s="1"/>
  <c r="S3760" i="1"/>
  <c r="S3765" i="1"/>
  <c r="U3765" i="1"/>
  <c r="V3765" i="1" s="1"/>
  <c r="W3765" i="1" s="1"/>
  <c r="U3772" i="1"/>
  <c r="V3772" i="1" s="1"/>
  <c r="W3772" i="1" s="1"/>
  <c r="S3772" i="1"/>
  <c r="U2133" i="1"/>
  <c r="S2221" i="1" l="1"/>
  <c r="U2221" i="1"/>
  <c r="V2221" i="1" s="1"/>
  <c r="W2221" i="1" s="1"/>
  <c r="V3756" i="1"/>
  <c r="U3780" i="1"/>
  <c r="S2212" i="1"/>
  <c r="U2212" i="1"/>
  <c r="V2212" i="1" s="1"/>
  <c r="W2212" i="1" s="1"/>
  <c r="U2214" i="1"/>
  <c r="V2214" i="1" s="1"/>
  <c r="W2214" i="1" s="1"/>
  <c r="S2214" i="1"/>
  <c r="R2228" i="1"/>
  <c r="U2206" i="1"/>
  <c r="V2206" i="1" s="1"/>
  <c r="S2206" i="1"/>
  <c r="U2220" i="1"/>
  <c r="V2220" i="1" s="1"/>
  <c r="W2220" i="1" s="1"/>
  <c r="S2220" i="1"/>
  <c r="S2227" i="1"/>
  <c r="U2227" i="1"/>
  <c r="V2227" i="1" s="1"/>
  <c r="W2227" i="1" s="1"/>
  <c r="U2208" i="1"/>
  <c r="V2208" i="1" s="1"/>
  <c r="W2208" i="1" s="1"/>
  <c r="S2208" i="1"/>
  <c r="S2223" i="1"/>
  <c r="U2223" i="1"/>
  <c r="V2223" i="1" s="1"/>
  <c r="W2223" i="1" s="1"/>
  <c r="S3780" i="1"/>
  <c r="U2217" i="1"/>
  <c r="V2217" i="1" s="1"/>
  <c r="W2217" i="1" s="1"/>
  <c r="S2217" i="1"/>
  <c r="S2219" i="1"/>
  <c r="U2219" i="1"/>
  <c r="V2219" i="1" s="1"/>
  <c r="W2219" i="1" s="1"/>
  <c r="S2225" i="1"/>
  <c r="U2225" i="1"/>
  <c r="V2225" i="1" s="1"/>
  <c r="W2225" i="1" s="1"/>
  <c r="V2228" i="1" l="1"/>
  <c r="W2206" i="1"/>
  <c r="W2228" i="1" s="1"/>
  <c r="W3756" i="1"/>
  <c r="W3780" i="1" s="1"/>
  <c r="V3780" i="1"/>
  <c r="S2228" i="1"/>
  <c r="U2228" i="1"/>
  <c r="U187" i="1" l="1"/>
  <c r="V187" i="1" s="1"/>
  <c r="W187" i="1" s="1"/>
  <c r="S187" i="1"/>
  <c r="R213" i="1"/>
  <c r="U186" i="1"/>
  <c r="U213" i="1" s="1"/>
  <c r="S186" i="1"/>
  <c r="S213" i="1" l="1"/>
  <c r="U1737" i="1"/>
  <c r="S1737" i="1"/>
  <c r="R1747" i="1"/>
  <c r="U1739" i="1"/>
  <c r="V1739" i="1" s="1"/>
  <c r="W1739" i="1" s="1"/>
  <c r="S1739" i="1"/>
  <c r="V186" i="1"/>
  <c r="S1740" i="1"/>
  <c r="U1740" i="1"/>
  <c r="V1740" i="1" s="1"/>
  <c r="W1740" i="1" s="1"/>
  <c r="S1738" i="1"/>
  <c r="U1738" i="1"/>
  <c r="V1738" i="1" s="1"/>
  <c r="W1738" i="1" s="1"/>
  <c r="S1747" i="1" l="1"/>
  <c r="U2556" i="1"/>
  <c r="V2556" i="1" s="1"/>
  <c r="W2556" i="1" s="1"/>
  <c r="S2556" i="1"/>
  <c r="S2675" i="1"/>
  <c r="U2675" i="1"/>
  <c r="V2675" i="1" s="1"/>
  <c r="W2675" i="1" s="1"/>
  <c r="U2506" i="1"/>
  <c r="S2506" i="1"/>
  <c r="R2572" i="1"/>
  <c r="S2509" i="1"/>
  <c r="U2509" i="1"/>
  <c r="V2509" i="1" s="1"/>
  <c r="W2509" i="1" s="1"/>
  <c r="S2555" i="1"/>
  <c r="U2555" i="1"/>
  <c r="V2555" i="1" s="1"/>
  <c r="W2555" i="1" s="1"/>
  <c r="U2560" i="1"/>
  <c r="V2560" i="1" s="1"/>
  <c r="W2560" i="1" s="1"/>
  <c r="S2560" i="1"/>
  <c r="S2564" i="1"/>
  <c r="U2564" i="1"/>
  <c r="V2564" i="1" s="1"/>
  <c r="W2564" i="1" s="1"/>
  <c r="U2569" i="1"/>
  <c r="V2569" i="1" s="1"/>
  <c r="W2569" i="1" s="1"/>
  <c r="S2569" i="1"/>
  <c r="U2673" i="1"/>
  <c r="S2673" i="1"/>
  <c r="R2678" i="1"/>
  <c r="S2599" i="1"/>
  <c r="U2599" i="1"/>
  <c r="V2599" i="1" s="1"/>
  <c r="W2599" i="1" s="1"/>
  <c r="S3552" i="1"/>
  <c r="U3552" i="1"/>
  <c r="V3552" i="1" s="1"/>
  <c r="W3552" i="1" s="1"/>
  <c r="U2622" i="1"/>
  <c r="V2622" i="1" s="1"/>
  <c r="W2622" i="1" s="1"/>
  <c r="S2622" i="1"/>
  <c r="U2633" i="1"/>
  <c r="V2633" i="1" s="1"/>
  <c r="W2633" i="1" s="1"/>
  <c r="S2633" i="1"/>
  <c r="S283" i="1"/>
  <c r="U283" i="1"/>
  <c r="V283" i="1" s="1"/>
  <c r="W283" i="1" s="1"/>
  <c r="U290" i="1"/>
  <c r="V290" i="1" s="1"/>
  <c r="W290" i="1" s="1"/>
  <c r="S290" i="1"/>
  <c r="U294" i="1"/>
  <c r="V294" i="1" s="1"/>
  <c r="W294" i="1" s="1"/>
  <c r="S294" i="1"/>
  <c r="S298" i="1"/>
  <c r="U298" i="1"/>
  <c r="V298" i="1" s="1"/>
  <c r="W298" i="1" s="1"/>
  <c r="S302" i="1"/>
  <c r="U302" i="1"/>
  <c r="V302" i="1" s="1"/>
  <c r="W302" i="1" s="1"/>
  <c r="U306" i="1"/>
  <c r="V306" i="1" s="1"/>
  <c r="W306" i="1" s="1"/>
  <c r="S306" i="1"/>
  <c r="U310" i="1"/>
  <c r="V310" i="1" s="1"/>
  <c r="W310" i="1" s="1"/>
  <c r="S310" i="1"/>
  <c r="V213" i="1"/>
  <c r="W186" i="1"/>
  <c r="W213" i="1" s="1"/>
  <c r="U2567" i="1"/>
  <c r="V2567" i="1" s="1"/>
  <c r="W2567" i="1" s="1"/>
  <c r="S2567" i="1"/>
  <c r="S2634" i="1"/>
  <c r="U2634" i="1"/>
  <c r="V2634" i="1" s="1"/>
  <c r="W2634" i="1" s="1"/>
  <c r="U291" i="1"/>
  <c r="V291" i="1" s="1"/>
  <c r="W291" i="1" s="1"/>
  <c r="S291" i="1"/>
  <c r="U303" i="1"/>
  <c r="V303" i="1" s="1"/>
  <c r="W303" i="1" s="1"/>
  <c r="S303" i="1"/>
  <c r="U307" i="1"/>
  <c r="V307" i="1" s="1"/>
  <c r="W307" i="1" s="1"/>
  <c r="S307" i="1"/>
  <c r="U311" i="1"/>
  <c r="V311" i="1" s="1"/>
  <c r="W311" i="1" s="1"/>
  <c r="S311" i="1"/>
  <c r="S2511" i="1"/>
  <c r="U2511" i="1"/>
  <c r="V2511" i="1" s="1"/>
  <c r="W2511" i="1" s="1"/>
  <c r="U2571" i="1"/>
  <c r="V2571" i="1" s="1"/>
  <c r="W2571" i="1" s="1"/>
  <c r="S2571" i="1"/>
  <c r="U2627" i="1"/>
  <c r="V2627" i="1" s="1"/>
  <c r="W2627" i="1" s="1"/>
  <c r="S2627" i="1"/>
  <c r="S295" i="1"/>
  <c r="U295" i="1"/>
  <c r="V295" i="1" s="1"/>
  <c r="W295" i="1" s="1"/>
  <c r="S2508" i="1"/>
  <c r="U2508" i="1"/>
  <c r="V2508" i="1" s="1"/>
  <c r="W2508" i="1" s="1"/>
  <c r="U2549" i="1"/>
  <c r="V2549" i="1" s="1"/>
  <c r="W2549" i="1" s="1"/>
  <c r="S2549" i="1"/>
  <c r="S2562" i="1"/>
  <c r="U2562" i="1"/>
  <c r="V2562" i="1" s="1"/>
  <c r="W2562" i="1" s="1"/>
  <c r="U2565" i="1"/>
  <c r="V2565" i="1" s="1"/>
  <c r="W2565" i="1" s="1"/>
  <c r="S2565" i="1"/>
  <c r="U2512" i="1"/>
  <c r="V2512" i="1" s="1"/>
  <c r="W2512" i="1" s="1"/>
  <c r="S2512" i="1"/>
  <c r="U2676" i="1"/>
  <c r="V2676" i="1" s="1"/>
  <c r="W2676" i="1" s="1"/>
  <c r="S2676" i="1"/>
  <c r="U3529" i="1"/>
  <c r="V3529" i="1" s="1"/>
  <c r="W3529" i="1" s="1"/>
  <c r="S3529" i="1"/>
  <c r="U2610" i="1"/>
  <c r="R2636" i="1"/>
  <c r="S2610" i="1"/>
  <c r="S2630" i="1"/>
  <c r="U2630" i="1"/>
  <c r="V2630" i="1" s="1"/>
  <c r="W2630" i="1" s="1"/>
  <c r="S2635" i="1"/>
  <c r="U2635" i="1"/>
  <c r="V2635" i="1" s="1"/>
  <c r="W2635" i="1" s="1"/>
  <c r="U288" i="1"/>
  <c r="V288" i="1" s="1"/>
  <c r="W288" i="1" s="1"/>
  <c r="S288" i="1"/>
  <c r="S292" i="1"/>
  <c r="U292" i="1"/>
  <c r="V292" i="1" s="1"/>
  <c r="W292" i="1" s="1"/>
  <c r="U296" i="1"/>
  <c r="V296" i="1" s="1"/>
  <c r="W296" i="1" s="1"/>
  <c r="S296" i="1"/>
  <c r="S300" i="1"/>
  <c r="U300" i="1"/>
  <c r="V300" i="1" s="1"/>
  <c r="W300" i="1" s="1"/>
  <c r="U304" i="1"/>
  <c r="V304" i="1" s="1"/>
  <c r="W304" i="1" s="1"/>
  <c r="S304" i="1"/>
  <c r="U308" i="1"/>
  <c r="V308" i="1" s="1"/>
  <c r="W308" i="1" s="1"/>
  <c r="S308" i="1"/>
  <c r="S2561" i="1"/>
  <c r="U2561" i="1"/>
  <c r="V2561" i="1" s="1"/>
  <c r="W2561" i="1" s="1"/>
  <c r="R3554" i="1"/>
  <c r="U3527" i="1"/>
  <c r="V3527" i="1" s="1"/>
  <c r="S3527" i="1"/>
  <c r="U287" i="1"/>
  <c r="V287" i="1" s="1"/>
  <c r="W287" i="1" s="1"/>
  <c r="S287" i="1"/>
  <c r="S299" i="1"/>
  <c r="U299" i="1"/>
  <c r="V299" i="1" s="1"/>
  <c r="W299" i="1" s="1"/>
  <c r="S2510" i="1"/>
  <c r="U2510" i="1"/>
  <c r="V2510" i="1" s="1"/>
  <c r="W2510" i="1" s="1"/>
  <c r="S2550" i="1"/>
  <c r="U2550" i="1"/>
  <c r="V2550" i="1" s="1"/>
  <c r="W2550" i="1" s="1"/>
  <c r="U2563" i="1"/>
  <c r="V2563" i="1" s="1"/>
  <c r="W2563" i="1" s="1"/>
  <c r="S2563" i="1"/>
  <c r="S2568" i="1"/>
  <c r="U2568" i="1"/>
  <c r="V2568" i="1" s="1"/>
  <c r="W2568" i="1" s="1"/>
  <c r="U2513" i="1"/>
  <c r="V2513" i="1" s="1"/>
  <c r="W2513" i="1" s="1"/>
  <c r="S2513" i="1"/>
  <c r="S2598" i="1"/>
  <c r="U2598" i="1"/>
  <c r="R2601" i="1"/>
  <c r="U3551" i="1"/>
  <c r="V3551" i="1" s="1"/>
  <c r="W3551" i="1" s="1"/>
  <c r="S3551" i="1"/>
  <c r="U2621" i="1"/>
  <c r="V2621" i="1" s="1"/>
  <c r="W2621" i="1" s="1"/>
  <c r="S2621" i="1"/>
  <c r="S2631" i="1"/>
  <c r="U2631" i="1"/>
  <c r="V2631" i="1" s="1"/>
  <c r="W2631" i="1" s="1"/>
  <c r="R312" i="1"/>
  <c r="U282" i="1"/>
  <c r="S282" i="1"/>
  <c r="U289" i="1"/>
  <c r="V289" i="1" s="1"/>
  <c r="W289" i="1" s="1"/>
  <c r="S289" i="1"/>
  <c r="S293" i="1"/>
  <c r="U293" i="1"/>
  <c r="V293" i="1" s="1"/>
  <c r="W293" i="1" s="1"/>
  <c r="U297" i="1"/>
  <c r="V297" i="1" s="1"/>
  <c r="W297" i="1" s="1"/>
  <c r="S297" i="1"/>
  <c r="U301" i="1"/>
  <c r="V301" i="1" s="1"/>
  <c r="W301" i="1" s="1"/>
  <c r="S301" i="1"/>
  <c r="U305" i="1"/>
  <c r="V305" i="1" s="1"/>
  <c r="W305" i="1" s="1"/>
  <c r="S305" i="1"/>
  <c r="U309" i="1"/>
  <c r="V309" i="1" s="1"/>
  <c r="W309" i="1" s="1"/>
  <c r="S309" i="1"/>
  <c r="V1737" i="1"/>
  <c r="U1747" i="1"/>
  <c r="S2601" i="1" l="1"/>
  <c r="S3554" i="1"/>
  <c r="V282" i="1"/>
  <c r="U312" i="1"/>
  <c r="V2598" i="1"/>
  <c r="U2601" i="1"/>
  <c r="W3527" i="1"/>
  <c r="W3554" i="1" s="1"/>
  <c r="V3554" i="1"/>
  <c r="S2678" i="1"/>
  <c r="S2572" i="1"/>
  <c r="S30" i="1"/>
  <c r="U30" i="1"/>
  <c r="V30" i="1" s="1"/>
  <c r="W30" i="1" s="1"/>
  <c r="S2636" i="1"/>
  <c r="V2506" i="1"/>
  <c r="U2572" i="1"/>
  <c r="V2673" i="1"/>
  <c r="U2678" i="1"/>
  <c r="W1737" i="1"/>
  <c r="W1747" i="1" s="1"/>
  <c r="V1747" i="1"/>
  <c r="S312" i="1"/>
  <c r="U3554" i="1"/>
  <c r="V2610" i="1"/>
  <c r="U2636" i="1"/>
  <c r="U38" i="1" l="1"/>
  <c r="V38" i="1" s="1"/>
  <c r="W38" i="1" s="1"/>
  <c r="S38" i="1"/>
  <c r="U46" i="1"/>
  <c r="V46" i="1" s="1"/>
  <c r="W46" i="1" s="1"/>
  <c r="S46" i="1"/>
  <c r="W2506" i="1"/>
  <c r="W2572" i="1" s="1"/>
  <c r="V2572" i="1"/>
  <c r="S47" i="1"/>
  <c r="U47" i="1"/>
  <c r="V47" i="1" s="1"/>
  <c r="W47" i="1" s="1"/>
  <c r="W2598" i="1"/>
  <c r="W2601" i="1" s="1"/>
  <c r="V2601" i="1"/>
  <c r="S39" i="1"/>
  <c r="U39" i="1"/>
  <c r="V39" i="1" s="1"/>
  <c r="W39" i="1" s="1"/>
  <c r="U31" i="1"/>
  <c r="V31" i="1" s="1"/>
  <c r="W31" i="1" s="1"/>
  <c r="S31" i="1"/>
  <c r="W2673" i="1"/>
  <c r="W2678" i="1" s="1"/>
  <c r="V2678" i="1"/>
  <c r="U37" i="1"/>
  <c r="V37" i="1" s="1"/>
  <c r="W37" i="1" s="1"/>
  <c r="S37" i="1"/>
  <c r="S44" i="1"/>
  <c r="U44" i="1"/>
  <c r="V44" i="1" s="1"/>
  <c r="W44" i="1" s="1"/>
  <c r="W2610" i="1"/>
  <c r="W2636" i="1" s="1"/>
  <c r="V2636" i="1"/>
  <c r="W282" i="1"/>
  <c r="W312" i="1" s="1"/>
  <c r="V312" i="1"/>
  <c r="U5" i="1" l="1"/>
  <c r="R48" i="1"/>
  <c r="S5" i="1"/>
  <c r="U13" i="1"/>
  <c r="V13" i="1" s="1"/>
  <c r="W13" i="1" s="1"/>
  <c r="S13" i="1"/>
  <c r="U9" i="1"/>
  <c r="V9" i="1" s="1"/>
  <c r="W9" i="1" s="1"/>
  <c r="S9" i="1"/>
  <c r="S21" i="1"/>
  <c r="U21" i="1"/>
  <c r="V21" i="1" s="1"/>
  <c r="W21" i="1" s="1"/>
  <c r="S24" i="1"/>
  <c r="U24" i="1"/>
  <c r="V24" i="1" s="1"/>
  <c r="W24" i="1" s="1"/>
  <c r="S48" i="1" l="1"/>
  <c r="V5" i="1"/>
  <c r="U48" i="1"/>
  <c r="W5" i="1" l="1"/>
  <c r="W48" i="1" s="1"/>
  <c r="V48" i="1"/>
  <c r="S1943" i="1"/>
  <c r="U1943" i="1"/>
  <c r="V1943" i="1" s="1"/>
  <c r="W1943" i="1" s="1"/>
  <c r="U1946" i="1"/>
  <c r="V1946" i="1" s="1"/>
  <c r="W1946" i="1" s="1"/>
  <c r="S1946" i="1"/>
  <c r="U1932" i="1" l="1"/>
  <c r="V1932" i="1" s="1"/>
  <c r="W1932" i="1" s="1"/>
  <c r="S1932" i="1"/>
  <c r="U1929" i="1"/>
  <c r="R1947" i="1"/>
  <c r="S1929" i="1"/>
  <c r="U1939" i="1"/>
  <c r="V1939" i="1" s="1"/>
  <c r="W1939" i="1" s="1"/>
  <c r="S1939" i="1"/>
  <c r="S1930" i="1"/>
  <c r="U1930" i="1"/>
  <c r="V1930" i="1" s="1"/>
  <c r="W1930" i="1" s="1"/>
  <c r="S1947" i="1" l="1"/>
  <c r="S1648" i="1"/>
  <c r="U1648" i="1"/>
  <c r="V1648" i="1" s="1"/>
  <c r="W1648" i="1" s="1"/>
  <c r="U1661" i="1"/>
  <c r="V1661" i="1" s="1"/>
  <c r="W1661" i="1" s="1"/>
  <c r="S1661" i="1"/>
  <c r="U1645" i="1"/>
  <c r="V1645" i="1" s="1"/>
  <c r="W1645" i="1" s="1"/>
  <c r="S1645" i="1"/>
  <c r="U1651" i="1"/>
  <c r="V1651" i="1" s="1"/>
  <c r="W1651" i="1" s="1"/>
  <c r="S1651" i="1"/>
  <c r="S1647" i="1"/>
  <c r="U1647" i="1"/>
  <c r="V1647" i="1" s="1"/>
  <c r="W1647" i="1" s="1"/>
  <c r="S1656" i="1"/>
  <c r="U1656" i="1"/>
  <c r="V1656" i="1" s="1"/>
  <c r="W1656" i="1" s="1"/>
  <c r="S1643" i="1"/>
  <c r="U1643" i="1"/>
  <c r="V1643" i="1" s="1"/>
  <c r="W1643" i="1" s="1"/>
  <c r="U1642" i="1"/>
  <c r="S1642" i="1"/>
  <c r="R1663" i="1"/>
  <c r="U1657" i="1"/>
  <c r="V1657" i="1" s="1"/>
  <c r="W1657" i="1" s="1"/>
  <c r="S1657" i="1"/>
  <c r="U1646" i="1"/>
  <c r="V1646" i="1" s="1"/>
  <c r="W1646" i="1" s="1"/>
  <c r="S1646" i="1"/>
  <c r="S1652" i="1"/>
  <c r="U1652" i="1"/>
  <c r="V1652" i="1" s="1"/>
  <c r="W1652" i="1" s="1"/>
  <c r="V1929" i="1"/>
  <c r="U1947" i="1"/>
  <c r="S1662" i="1"/>
  <c r="U1662" i="1"/>
  <c r="V1662" i="1" s="1"/>
  <c r="W1662" i="1" s="1"/>
  <c r="W1929" i="1" l="1"/>
  <c r="W1947" i="1" s="1"/>
  <c r="V1947" i="1"/>
  <c r="U1888" i="1"/>
  <c r="V1888" i="1" s="1"/>
  <c r="W1888" i="1" s="1"/>
  <c r="S1888" i="1"/>
  <c r="S1663" i="1"/>
  <c r="U1884" i="1"/>
  <c r="V1884" i="1" s="1"/>
  <c r="W1884" i="1" s="1"/>
  <c r="S1884" i="1"/>
  <c r="V1642" i="1"/>
  <c r="U1663" i="1"/>
  <c r="U1887" i="1"/>
  <c r="V1887" i="1" s="1"/>
  <c r="W1887" i="1" s="1"/>
  <c r="S1887" i="1"/>
  <c r="S1872" i="1" l="1"/>
  <c r="U1872" i="1"/>
  <c r="V1872" i="1" s="1"/>
  <c r="W1872" i="1" s="1"/>
  <c r="U1873" i="1"/>
  <c r="V1873" i="1" s="1"/>
  <c r="W1873" i="1" s="1"/>
  <c r="S1873" i="1"/>
  <c r="U1880" i="1"/>
  <c r="V1880" i="1" s="1"/>
  <c r="W1880" i="1" s="1"/>
  <c r="S1880" i="1"/>
  <c r="S1874" i="1"/>
  <c r="U1874" i="1"/>
  <c r="V1874" i="1" s="1"/>
  <c r="W1874" i="1" s="1"/>
  <c r="R1890" i="1"/>
  <c r="S1871" i="1"/>
  <c r="U1871" i="1"/>
  <c r="V1871" i="1" s="1"/>
  <c r="U1876" i="1"/>
  <c r="V1876" i="1" s="1"/>
  <c r="W1876" i="1" s="1"/>
  <c r="S1876" i="1"/>
  <c r="W1642" i="1"/>
  <c r="W1663" i="1" s="1"/>
  <c r="V1663" i="1"/>
  <c r="S1877" i="1"/>
  <c r="U1877" i="1"/>
  <c r="V1877" i="1" s="1"/>
  <c r="W1877" i="1" s="1"/>
  <c r="S1890" i="1" l="1"/>
  <c r="S1987" i="1"/>
  <c r="U1987" i="1"/>
  <c r="V1987" i="1" s="1"/>
  <c r="W1987" i="1" s="1"/>
  <c r="U1890" i="1"/>
  <c r="U2011" i="1"/>
  <c r="V2011" i="1" s="1"/>
  <c r="W2011" i="1" s="1"/>
  <c r="S2011" i="1"/>
  <c r="W1871" i="1"/>
  <c r="W1890" i="1" s="1"/>
  <c r="V1890" i="1"/>
  <c r="U3688" i="1" l="1"/>
  <c r="V3688" i="1" s="1"/>
  <c r="W3688" i="1" s="1"/>
  <c r="S3688" i="1"/>
  <c r="U395" i="1" l="1"/>
  <c r="V395" i="1" s="1"/>
  <c r="W395" i="1" s="1"/>
  <c r="S395" i="1"/>
  <c r="U396" i="1"/>
  <c r="V396" i="1" s="1"/>
  <c r="W396" i="1" s="1"/>
  <c r="S396" i="1"/>
  <c r="U402" i="1"/>
  <c r="V402" i="1" s="1"/>
  <c r="W402" i="1" s="1"/>
  <c r="S402" i="1"/>
  <c r="U413" i="1"/>
  <c r="V413" i="1" s="1"/>
  <c r="W413" i="1" s="1"/>
  <c r="S413" i="1"/>
  <c r="S405" i="1"/>
  <c r="U405" i="1"/>
  <c r="V405" i="1" s="1"/>
  <c r="W405" i="1" s="1"/>
  <c r="S1520" i="1"/>
  <c r="U1520" i="1"/>
  <c r="R1530" i="1"/>
  <c r="U1521" i="1"/>
  <c r="V1521" i="1" s="1"/>
  <c r="W1521" i="1" s="1"/>
  <c r="S1521" i="1"/>
  <c r="S412" i="1"/>
  <c r="U412" i="1"/>
  <c r="V412" i="1" s="1"/>
  <c r="W412" i="1" s="1"/>
  <c r="S1529" i="1"/>
  <c r="U1529" i="1"/>
  <c r="V1529" i="1" s="1"/>
  <c r="W1529" i="1" s="1"/>
  <c r="U64" i="1" l="1"/>
  <c r="V64" i="1" s="1"/>
  <c r="W64" i="1" s="1"/>
  <c r="S64" i="1"/>
  <c r="S169" i="1"/>
  <c r="U169" i="1"/>
  <c r="R184" i="1"/>
  <c r="S392" i="1"/>
  <c r="U392" i="1"/>
  <c r="V392" i="1" s="1"/>
  <c r="W392" i="1" s="1"/>
  <c r="S171" i="1"/>
  <c r="U171" i="1"/>
  <c r="V171" i="1" s="1"/>
  <c r="W171" i="1" s="1"/>
  <c r="R414" i="1"/>
  <c r="S386" i="1"/>
  <c r="U386" i="1"/>
  <c r="V386" i="1" s="1"/>
  <c r="W386" i="1" s="1"/>
  <c r="V1520" i="1"/>
  <c r="U1530" i="1"/>
  <c r="S385" i="1"/>
  <c r="U385" i="1"/>
  <c r="S1530" i="1"/>
  <c r="U52" i="1"/>
  <c r="S52" i="1"/>
  <c r="R65" i="1"/>
  <c r="U388" i="1"/>
  <c r="V388" i="1" s="1"/>
  <c r="W388" i="1" s="1"/>
  <c r="S388" i="1"/>
  <c r="S391" i="1"/>
  <c r="U391" i="1"/>
  <c r="V391" i="1" s="1"/>
  <c r="W391" i="1" s="1"/>
  <c r="S184" i="1" l="1"/>
  <c r="S65" i="1"/>
  <c r="W1520" i="1"/>
  <c r="W1530" i="1" s="1"/>
  <c r="V1530" i="1"/>
  <c r="V52" i="1"/>
  <c r="U65" i="1"/>
  <c r="V385" i="1"/>
  <c r="U414" i="1"/>
  <c r="S414" i="1"/>
  <c r="V169" i="1"/>
  <c r="U184" i="1"/>
  <c r="U319" i="1" l="1"/>
  <c r="S319" i="1"/>
  <c r="R333" i="1"/>
  <c r="U320" i="1"/>
  <c r="V320" i="1" s="1"/>
  <c r="W320" i="1" s="1"/>
  <c r="S320" i="1"/>
  <c r="U321" i="1"/>
  <c r="V321" i="1" s="1"/>
  <c r="W321" i="1" s="1"/>
  <c r="S321" i="1"/>
  <c r="U327" i="1"/>
  <c r="V327" i="1" s="1"/>
  <c r="W327" i="1" s="1"/>
  <c r="S327" i="1"/>
  <c r="W169" i="1"/>
  <c r="W184" i="1" s="1"/>
  <c r="V184" i="1"/>
  <c r="U322" i="1"/>
  <c r="V322" i="1" s="1"/>
  <c r="W322" i="1" s="1"/>
  <c r="S322" i="1"/>
  <c r="U330" i="1"/>
  <c r="V330" i="1" s="1"/>
  <c r="W330" i="1" s="1"/>
  <c r="S330" i="1"/>
  <c r="W52" i="1"/>
  <c r="W65" i="1" s="1"/>
  <c r="V65" i="1"/>
  <c r="U324" i="1"/>
  <c r="V324" i="1" s="1"/>
  <c r="W324" i="1" s="1"/>
  <c r="S324" i="1"/>
  <c r="S325" i="1"/>
  <c r="U325" i="1"/>
  <c r="V325" i="1" s="1"/>
  <c r="W325" i="1" s="1"/>
  <c r="W385" i="1"/>
  <c r="W414" i="1" s="1"/>
  <c r="V414" i="1"/>
  <c r="U459" i="1" l="1"/>
  <c r="S459" i="1"/>
  <c r="U467" i="1"/>
  <c r="V467" i="1" s="1"/>
  <c r="W467" i="1" s="1"/>
  <c r="S467" i="1"/>
  <c r="S471" i="1"/>
  <c r="U471" i="1"/>
  <c r="V471" i="1" s="1"/>
  <c r="W471" i="1" s="1"/>
  <c r="U475" i="1"/>
  <c r="V475" i="1" s="1"/>
  <c r="W475" i="1" s="1"/>
  <c r="S475" i="1"/>
  <c r="U1988" i="1"/>
  <c r="V1988" i="1" s="1"/>
  <c r="W1988" i="1" s="1"/>
  <c r="S1988" i="1"/>
  <c r="S2012" i="1"/>
  <c r="U2012" i="1"/>
  <c r="V2012" i="1" s="1"/>
  <c r="W2012" i="1" s="1"/>
  <c r="U2080" i="1"/>
  <c r="V2080" i="1" s="1"/>
  <c r="W2080" i="1" s="1"/>
  <c r="S2080" i="1"/>
  <c r="U3696" i="1"/>
  <c r="V3696" i="1" s="1"/>
  <c r="W3696" i="1" s="1"/>
  <c r="S3696" i="1"/>
  <c r="U3700" i="1"/>
  <c r="V3700" i="1" s="1"/>
  <c r="W3700" i="1" s="1"/>
  <c r="S3700" i="1"/>
  <c r="S3708" i="1"/>
  <c r="U3708" i="1"/>
  <c r="V3708" i="1" s="1"/>
  <c r="W3708" i="1" s="1"/>
  <c r="R3740" i="1"/>
  <c r="S3723" i="1"/>
  <c r="U3723" i="1"/>
  <c r="V3723" i="1" s="1"/>
  <c r="U3727" i="1"/>
  <c r="V3727" i="1" s="1"/>
  <c r="W3727" i="1" s="1"/>
  <c r="S3727" i="1"/>
  <c r="S3735" i="1"/>
  <c r="U3735" i="1"/>
  <c r="V3735" i="1" s="1"/>
  <c r="W3735" i="1" s="1"/>
  <c r="S3739" i="1"/>
  <c r="U3739" i="1"/>
  <c r="V3739" i="1" s="1"/>
  <c r="W3739" i="1" s="1"/>
  <c r="U440" i="1"/>
  <c r="V440" i="1" s="1"/>
  <c r="S440" i="1"/>
  <c r="U452" i="1"/>
  <c r="V452" i="1" s="1"/>
  <c r="W452" i="1" s="1"/>
  <c r="S452" i="1"/>
  <c r="S460" i="1"/>
  <c r="U460" i="1"/>
  <c r="V460" i="1" s="1"/>
  <c r="W460" i="1" s="1"/>
  <c r="S1985" i="1"/>
  <c r="U1985" i="1"/>
  <c r="V1985" i="1" s="1"/>
  <c r="U1989" i="1"/>
  <c r="V1989" i="1" s="1"/>
  <c r="W1989" i="1" s="1"/>
  <c r="S1989" i="1"/>
  <c r="S1993" i="1"/>
  <c r="U1993" i="1"/>
  <c r="V1993" i="1" s="1"/>
  <c r="W1993" i="1" s="1"/>
  <c r="U2001" i="1"/>
  <c r="V2001" i="1" s="1"/>
  <c r="W2001" i="1" s="1"/>
  <c r="S2001" i="1"/>
  <c r="U2005" i="1"/>
  <c r="V2005" i="1" s="1"/>
  <c r="W2005" i="1" s="1"/>
  <c r="S2005" i="1"/>
  <c r="U2009" i="1"/>
  <c r="V2009" i="1" s="1"/>
  <c r="W2009" i="1" s="1"/>
  <c r="S2009" i="1"/>
  <c r="U3701" i="1"/>
  <c r="V3701" i="1" s="1"/>
  <c r="W3701" i="1" s="1"/>
  <c r="S3701" i="1"/>
  <c r="U3728" i="1"/>
  <c r="V3728" i="1" s="1"/>
  <c r="W3728" i="1" s="1"/>
  <c r="S3728" i="1"/>
  <c r="S333" i="1"/>
  <c r="S441" i="1"/>
  <c r="U441" i="1"/>
  <c r="V441" i="1" s="1"/>
  <c r="W441" i="1" s="1"/>
  <c r="U449" i="1"/>
  <c r="V449" i="1" s="1"/>
  <c r="W449" i="1" s="1"/>
  <c r="S449" i="1"/>
  <c r="S465" i="1"/>
  <c r="U465" i="1"/>
  <c r="V465" i="1" s="1"/>
  <c r="W465" i="1" s="1"/>
  <c r="U1994" i="1"/>
  <c r="V1994" i="1" s="1"/>
  <c r="W1994" i="1" s="1"/>
  <c r="S1994" i="1"/>
  <c r="U2006" i="1"/>
  <c r="V2006" i="1" s="1"/>
  <c r="W2006" i="1" s="1"/>
  <c r="S2006" i="1"/>
  <c r="S2010" i="1"/>
  <c r="U2010" i="1"/>
  <c r="V2010" i="1" s="1"/>
  <c r="W2010" i="1" s="1"/>
  <c r="U3725" i="1"/>
  <c r="V3725" i="1" s="1"/>
  <c r="W3725" i="1" s="1"/>
  <c r="S3725" i="1"/>
  <c r="S3729" i="1"/>
  <c r="U3729" i="1"/>
  <c r="V3729" i="1" s="1"/>
  <c r="W3729" i="1" s="1"/>
  <c r="U466" i="1"/>
  <c r="V466" i="1" s="1"/>
  <c r="W466" i="1" s="1"/>
  <c r="S466" i="1"/>
  <c r="U1991" i="1"/>
  <c r="V1991" i="1" s="1"/>
  <c r="W1991" i="1" s="1"/>
  <c r="S1991" i="1"/>
  <c r="S1995" i="1"/>
  <c r="U1995" i="1"/>
  <c r="V1995" i="1" s="1"/>
  <c r="W1995" i="1" s="1"/>
  <c r="S2007" i="1"/>
  <c r="U2007" i="1"/>
  <c r="V2007" i="1" s="1"/>
  <c r="W2007" i="1" s="1"/>
  <c r="S3687" i="1"/>
  <c r="U3687" i="1"/>
  <c r="S3695" i="1"/>
  <c r="U3695" i="1"/>
  <c r="V3695" i="1" s="1"/>
  <c r="W3695" i="1" s="1"/>
  <c r="U3715" i="1"/>
  <c r="V3715" i="1" s="1"/>
  <c r="W3715" i="1" s="1"/>
  <c r="S3715" i="1"/>
  <c r="S3726" i="1"/>
  <c r="U3726" i="1"/>
  <c r="V3726" i="1" s="1"/>
  <c r="W3726" i="1" s="1"/>
  <c r="V319" i="1"/>
  <c r="U333" i="1"/>
  <c r="W3723" i="1" l="1"/>
  <c r="W3740" i="1" s="1"/>
  <c r="V3740" i="1"/>
  <c r="W1985" i="1"/>
  <c r="S2079" i="1"/>
  <c r="U2079" i="1"/>
  <c r="V2079" i="1" s="1"/>
  <c r="W319" i="1"/>
  <c r="W333" i="1" s="1"/>
  <c r="V333" i="1"/>
  <c r="V3687" i="1"/>
  <c r="R3838" i="1"/>
  <c r="U3833" i="1"/>
  <c r="U3838" i="1" s="1"/>
  <c r="S3833" i="1"/>
  <c r="S3838" i="1" s="1"/>
  <c r="W440" i="1"/>
  <c r="U3740" i="1"/>
  <c r="U462" i="1"/>
  <c r="V462" i="1" s="1"/>
  <c r="W462" i="1" s="1"/>
  <c r="S462" i="1"/>
  <c r="S3740" i="1"/>
  <c r="V459" i="1"/>
  <c r="R2097" i="1" l="1"/>
  <c r="V3833" i="1"/>
  <c r="W3833" i="1" s="1"/>
  <c r="W3838" i="1" s="1"/>
  <c r="W2079" i="1"/>
  <c r="S2092" i="1"/>
  <c r="U2092" i="1"/>
  <c r="V2092" i="1" s="1"/>
  <c r="W2092" i="1" s="1"/>
  <c r="U444" i="1"/>
  <c r="S444" i="1"/>
  <c r="S454" i="1" s="1"/>
  <c r="R454" i="1"/>
  <c r="W3687" i="1"/>
  <c r="S3716" i="1"/>
  <c r="U3716" i="1"/>
  <c r="V3716" i="1" s="1"/>
  <c r="W3716" i="1" s="1"/>
  <c r="U476" i="1"/>
  <c r="S476" i="1"/>
  <c r="S495" i="1" s="1"/>
  <c r="W459" i="1"/>
  <c r="U2093" i="1"/>
  <c r="V2093" i="1" s="1"/>
  <c r="W2093" i="1" s="1"/>
  <c r="S2093" i="1"/>
  <c r="U2008" i="1"/>
  <c r="S2008" i="1"/>
  <c r="S2013" i="1" s="1"/>
  <c r="R2013" i="1"/>
  <c r="U3697" i="1"/>
  <c r="S3697" i="1"/>
  <c r="R3717" i="1"/>
  <c r="R495" i="1"/>
  <c r="V3838" i="1" l="1"/>
  <c r="S2097" i="1"/>
  <c r="S3717" i="1"/>
  <c r="S3887" i="1" s="1"/>
  <c r="S3907" i="1" s="1"/>
  <c r="R3887" i="1"/>
  <c r="R3907" i="1" s="1"/>
  <c r="U2097" i="1"/>
  <c r="V2008" i="1"/>
  <c r="U2013" i="1"/>
  <c r="V476" i="1"/>
  <c r="U495" i="1"/>
  <c r="V444" i="1"/>
  <c r="U454" i="1"/>
  <c r="V2097" i="1"/>
  <c r="V3697" i="1"/>
  <c r="U3717" i="1"/>
  <c r="W2097" i="1"/>
  <c r="U3887" i="1" l="1"/>
  <c r="U3907" i="1" s="1"/>
  <c r="W3697" i="1"/>
  <c r="W3717" i="1" s="1"/>
  <c r="V3717" i="1"/>
  <c r="W2008" i="1"/>
  <c r="W2013" i="1" s="1"/>
  <c r="V2013" i="1"/>
  <c r="W476" i="1"/>
  <c r="W495" i="1" s="1"/>
  <c r="V495" i="1"/>
  <c r="W444" i="1"/>
  <c r="W454" i="1" s="1"/>
  <c r="V454" i="1"/>
  <c r="V3887" i="1" l="1"/>
  <c r="V3907" i="1" s="1"/>
  <c r="W3887" i="1"/>
  <c r="W3907" i="1" s="1"/>
</calcChain>
</file>

<file path=xl/sharedStrings.xml><?xml version="1.0" encoding="utf-8"?>
<sst xmlns="http://schemas.openxmlformats.org/spreadsheetml/2006/main" count="35072" uniqueCount="2276">
  <si>
    <t>Grand Total</t>
  </si>
  <si>
    <t>NO_AFFILIATE</t>
  </si>
  <si>
    <t>Variance</t>
  </si>
  <si>
    <t>Comments</t>
  </si>
  <si>
    <t>LENOX_15600000</t>
  </si>
  <si>
    <t>EV_BEFORE</t>
  </si>
  <si>
    <t>A_61000</t>
  </si>
  <si>
    <t>A_61400</t>
  </si>
  <si>
    <t>A_64570</t>
  </si>
  <si>
    <t>A_66500</t>
  </si>
  <si>
    <t>A_66510</t>
  </si>
  <si>
    <t>A_66515</t>
  </si>
  <si>
    <t>A_66524</t>
  </si>
  <si>
    <t>A_66528</t>
  </si>
  <si>
    <t>A_66600</t>
  </si>
  <si>
    <t>A_66601</t>
  </si>
  <si>
    <t>A_66602</t>
  </si>
  <si>
    <t>A_55010</t>
  </si>
  <si>
    <t>A_63030</t>
  </si>
  <si>
    <t>A_63045</t>
  </si>
  <si>
    <t>A_63080</t>
  </si>
  <si>
    <t>A_64000</t>
  </si>
  <si>
    <t>A_64020</t>
  </si>
  <si>
    <t>A_64030</t>
  </si>
  <si>
    <t>A_66000</t>
  </si>
  <si>
    <t>A_66010</t>
  </si>
  <si>
    <t>A_66020</t>
  </si>
  <si>
    <t>A_66030</t>
  </si>
  <si>
    <t>A_66050</t>
  </si>
  <si>
    <t>A_66060</t>
  </si>
  <si>
    <t>A_66070</t>
  </si>
  <si>
    <t>A_66075</t>
  </si>
  <si>
    <t>A_66076</t>
  </si>
  <si>
    <t>A_66090</t>
  </si>
  <si>
    <t>A_66095</t>
  </si>
  <si>
    <t>A_66110</t>
  </si>
  <si>
    <t>A_66120</t>
  </si>
  <si>
    <t>A_66150</t>
  </si>
  <si>
    <t>A_66152</t>
  </si>
  <si>
    <t>A_55020</t>
  </si>
  <si>
    <t>A_65505</t>
  </si>
  <si>
    <t>A_65510</t>
  </si>
  <si>
    <t>A_65517</t>
  </si>
  <si>
    <t>A_65525</t>
  </si>
  <si>
    <t>A_65528</t>
  </si>
  <si>
    <t>A_65530</t>
  </si>
  <si>
    <t>A_65535</t>
  </si>
  <si>
    <t>A_65536</t>
  </si>
  <si>
    <t>A_65540</t>
  </si>
  <si>
    <t>A_65030</t>
  </si>
  <si>
    <t>A_65050</t>
  </si>
  <si>
    <t>EV_AFTER</t>
  </si>
  <si>
    <t>LENOX_15600020</t>
  </si>
  <si>
    <t>A_65526</t>
  </si>
  <si>
    <t>LENOX_15600030</t>
  </si>
  <si>
    <t>A_66068</t>
  </si>
  <si>
    <t>LENOX_15600050</t>
  </si>
  <si>
    <t>A_63032</t>
  </si>
  <si>
    <t>A_66040</t>
  </si>
  <si>
    <t>LENOX_15600055</t>
  </si>
  <si>
    <t>LENOX_15600070</t>
  </si>
  <si>
    <t>A_61010</t>
  </si>
  <si>
    <t>A_66100</t>
  </si>
  <si>
    <t>A_65000</t>
  </si>
  <si>
    <t>LENOX_15600090</t>
  </si>
  <si>
    <t>A_55009</t>
  </si>
  <si>
    <t>A_64010</t>
  </si>
  <si>
    <t>A_65520</t>
  </si>
  <si>
    <t>LENOX_15600100</t>
  </si>
  <si>
    <t>LENOX_15600110</t>
  </si>
  <si>
    <t>A_61480</t>
  </si>
  <si>
    <t>LENOX_15600126</t>
  </si>
  <si>
    <t>A_63005</t>
  </si>
  <si>
    <t>A_63040</t>
  </si>
  <si>
    <t>A_63050</t>
  </si>
  <si>
    <t>A_63300</t>
  </si>
  <si>
    <t>A_65507</t>
  </si>
  <si>
    <t>LENOX_15600130</t>
  </si>
  <si>
    <t>LENOX_15600140</t>
  </si>
  <si>
    <t>A_65550</t>
  </si>
  <si>
    <t>LENOX_15600150</t>
  </si>
  <si>
    <t>LENOX_15600160</t>
  </si>
  <si>
    <t>A_63000</t>
  </si>
  <si>
    <t>A_63009</t>
  </si>
  <si>
    <t>A_63010</t>
  </si>
  <si>
    <t>A_63060</t>
  </si>
  <si>
    <t>A_63066</t>
  </si>
  <si>
    <t>LENOX_15600170</t>
  </si>
  <si>
    <t>LENOX_15600180</t>
  </si>
  <si>
    <t>LENOX_15600195</t>
  </si>
  <si>
    <t>LENOX_15600210</t>
  </si>
  <si>
    <t>LENOX_15600220</t>
  </si>
  <si>
    <t>LENOX_15600250</t>
  </si>
  <si>
    <t>LENOX_15600300</t>
  </si>
  <si>
    <t>LENOX_15600301</t>
  </si>
  <si>
    <t>LENOX_15600360</t>
  </si>
  <si>
    <t>LENOX_15601000</t>
  </si>
  <si>
    <t>LENOX_15601020</t>
  </si>
  <si>
    <t>LENOX_15601045</t>
  </si>
  <si>
    <t>A_64510</t>
  </si>
  <si>
    <t>A_65521</t>
  </si>
  <si>
    <t>A_65542</t>
  </si>
  <si>
    <t>LENOX_15601050</t>
  </si>
  <si>
    <t>LENOX_15601055</t>
  </si>
  <si>
    <t>LENOX_15601060</t>
  </si>
  <si>
    <t>LENOX_15601325</t>
  </si>
  <si>
    <t>A_66080</t>
  </si>
  <si>
    <t>A_65518</t>
  </si>
  <si>
    <t>A_65538</t>
  </si>
  <si>
    <t>A_65002</t>
  </si>
  <si>
    <t>LENOX_15601330</t>
  </si>
  <si>
    <t>LENOX_15601350</t>
  </si>
  <si>
    <t>LENOX_15601365</t>
  </si>
  <si>
    <t>LENOX_15601433</t>
  </si>
  <si>
    <t>LENOX_15601508</t>
  </si>
  <si>
    <t>LENOX_15610000</t>
  </si>
  <si>
    <t>A_61040</t>
  </si>
  <si>
    <t>A_66520</t>
  </si>
  <si>
    <t>A_63020</t>
  </si>
  <si>
    <t>A_63062</t>
  </si>
  <si>
    <t>A_63070</t>
  </si>
  <si>
    <t>A_66170</t>
  </si>
  <si>
    <t>LENOX_15610005</t>
  </si>
  <si>
    <t>LENOX_15610010</t>
  </si>
  <si>
    <t>A_61300</t>
  </si>
  <si>
    <t>LENOX_15610015</t>
  </si>
  <si>
    <t>LENOX_15610020</t>
  </si>
  <si>
    <t>LENOX_15610025</t>
  </si>
  <si>
    <t>LENOX_15610030</t>
  </si>
  <si>
    <t>LENOX_15610040</t>
  </si>
  <si>
    <t>LENOX_15610045</t>
  </si>
  <si>
    <t>LENOX_15610060</t>
  </si>
  <si>
    <t>LENOX_15611010</t>
  </si>
  <si>
    <t>A_64550</t>
  </si>
  <si>
    <t>A_65527</t>
  </si>
  <si>
    <t>LENOX_15611020</t>
  </si>
  <si>
    <t>A_63065</t>
  </si>
  <si>
    <t>LENOX_15611030</t>
  </si>
  <si>
    <t>LENOX_15611055</t>
  </si>
  <si>
    <t>LENOX_15612020</t>
  </si>
  <si>
    <t>A_65515</t>
  </si>
  <si>
    <t>LENOX_15612040</t>
  </si>
  <si>
    <t>LENOX_15612060</t>
  </si>
  <si>
    <t>LENOX_15612065</t>
  </si>
  <si>
    <t>LENOX_15612075</t>
  </si>
  <si>
    <t>LENOX_15612095</t>
  </si>
  <si>
    <t>LENOX_15612100</t>
  </si>
  <si>
    <t>A_63067</t>
  </si>
  <si>
    <t>LENOX_15613000</t>
  </si>
  <si>
    <t>A_64560</t>
  </si>
  <si>
    <t>LENOX_15613005</t>
  </si>
  <si>
    <t>LENOX_15613010</t>
  </si>
  <si>
    <t>LENOX_15613015</t>
  </si>
  <si>
    <t>LENOX_15613020</t>
  </si>
  <si>
    <t>LENOX_15613025</t>
  </si>
  <si>
    <t>LENOX_15613035</t>
  </si>
  <si>
    <t>LENOX_15613040</t>
  </si>
  <si>
    <t>LENOX_15613045</t>
  </si>
  <si>
    <t>LENOX_15613046</t>
  </si>
  <si>
    <t>LENOX_15613047</t>
  </si>
  <si>
    <t>LENOX_15613048</t>
  </si>
  <si>
    <t>LENOX_15613050</t>
  </si>
  <si>
    <t>LENOX_15613055</t>
  </si>
  <si>
    <t>LENOX_15613060</t>
  </si>
  <si>
    <t>LENOX_15613065</t>
  </si>
  <si>
    <t>LENOX_15613075</t>
  </si>
  <si>
    <t>LENOX_15613085</t>
  </si>
  <si>
    <t>LENOX_15613095</t>
  </si>
  <si>
    <t>A_63015</t>
  </si>
  <si>
    <t>LENOX_15614010</t>
  </si>
  <si>
    <t>LENOX_15615020</t>
  </si>
  <si>
    <t>LENOX_15616005</t>
  </si>
  <si>
    <t>LENOX_15617040</t>
  </si>
  <si>
    <t>LENOX_15617045</t>
  </si>
  <si>
    <t>LENOX_15619000</t>
  </si>
  <si>
    <t>LENOX_15619030</t>
  </si>
  <si>
    <t>LENOX_15619100</t>
  </si>
  <si>
    <t>LENOX_15620000</t>
  </si>
  <si>
    <t>A_64530</t>
  </si>
  <si>
    <t>A_65555</t>
  </si>
  <si>
    <t>LENOX_15620010</t>
  </si>
  <si>
    <t>LENOX_15620050</t>
  </si>
  <si>
    <t>LENOX_15620070</t>
  </si>
  <si>
    <t>A_65565</t>
  </si>
  <si>
    <t>LENOX_15621000</t>
  </si>
  <si>
    <t>A_61450</t>
  </si>
  <si>
    <t>LENOX_15621030</t>
  </si>
  <si>
    <t>LENOX_15622000</t>
  </si>
  <si>
    <t>LENOX_15623000</t>
  </si>
  <si>
    <t>A_63035</t>
  </si>
  <si>
    <t>LENOX_15623005</t>
  </si>
  <si>
    <t>LENOX_15624000</t>
  </si>
  <si>
    <t>A_65060</t>
  </si>
  <si>
    <t>LENOX_15624020</t>
  </si>
  <si>
    <t>LENOX_15624050</t>
  </si>
  <si>
    <t>LENOX_15625000</t>
  </si>
  <si>
    <t>A_63008</t>
  </si>
  <si>
    <t>A_63058</t>
  </si>
  <si>
    <t>A_63059</t>
  </si>
  <si>
    <t>A_66073</t>
  </si>
  <si>
    <t>LENOX_15625045</t>
  </si>
  <si>
    <t>LENOX_15627000</t>
  </si>
  <si>
    <t>LENOX_15627040</t>
  </si>
  <si>
    <t>LENOX_15628005</t>
  </si>
  <si>
    <t>LENOX_15628020</t>
  </si>
  <si>
    <t>A_63360</t>
  </si>
  <si>
    <t>LENOX_15628025</t>
  </si>
  <si>
    <t>LENOX_15628030</t>
  </si>
  <si>
    <t>LENOX_15628120</t>
  </si>
  <si>
    <t>LENOX_15632000</t>
  </si>
  <si>
    <t>LENOX_15632010</t>
  </si>
  <si>
    <t>A_65054</t>
  </si>
  <si>
    <t>LENOX_15632030</t>
  </si>
  <si>
    <t>LENOX_15632045</t>
  </si>
  <si>
    <t>LENOX_15632060</t>
  </si>
  <si>
    <t>LENOX_15632070</t>
  </si>
  <si>
    <t>LENOX_15633015</t>
  </si>
  <si>
    <t>LENOX_15633025</t>
  </si>
  <si>
    <t>LENOX_15635545</t>
  </si>
  <si>
    <t>LENOX_15635550</t>
  </si>
  <si>
    <t>LENOX_15637000</t>
  </si>
  <si>
    <t>LENOX_15638000</t>
  </si>
  <si>
    <t>LENOX_15638045</t>
  </si>
  <si>
    <t>LENOX_15640000</t>
  </si>
  <si>
    <t>LENOX_15642020</t>
  </si>
  <si>
    <t>A_64505</t>
  </si>
  <si>
    <t>LENOX_15642030</t>
  </si>
  <si>
    <t>LENOX_15642060</t>
  </si>
  <si>
    <t>LENOX_15642080</t>
  </si>
  <si>
    <t>LENOX_15642090</t>
  </si>
  <si>
    <t>A_66151</t>
  </si>
  <si>
    <t>LENOX_15642150</t>
  </si>
  <si>
    <t>LENOX_15642151</t>
  </si>
  <si>
    <t>LENOX_15642152</t>
  </si>
  <si>
    <t>LENOX_15642160</t>
  </si>
  <si>
    <t>LENOX_15642180</t>
  </si>
  <si>
    <t>LENOX_15642210</t>
  </si>
  <si>
    <t>LENOX_15642213</t>
  </si>
  <si>
    <t>LENOX_15642216</t>
  </si>
  <si>
    <t>LENOX_15642217</t>
  </si>
  <si>
    <t>LENOX_15642218</t>
  </si>
  <si>
    <t>LENOX_15642219</t>
  </si>
  <si>
    <t>LENOX_15642221</t>
  </si>
  <si>
    <t>LENOX_15642225</t>
  </si>
  <si>
    <t>LENOX_15642227</t>
  </si>
  <si>
    <t>LENOX_15642230</t>
  </si>
  <si>
    <t>LENOX_15642231</t>
  </si>
  <si>
    <t>LENOX_15642232</t>
  </si>
  <si>
    <t>LENOX_15642233</t>
  </si>
  <si>
    <t>LENOX_15642235</t>
  </si>
  <si>
    <t>LENOX_15642237</t>
  </si>
  <si>
    <t>LENOX_15642250</t>
  </si>
  <si>
    <t>LENOX_15643020</t>
  </si>
  <si>
    <t>LENOX_15643040</t>
  </si>
  <si>
    <t>LENOX_15650020</t>
  </si>
  <si>
    <t>LENOX_15650030</t>
  </si>
  <si>
    <t>LENOX_15650035</t>
  </si>
  <si>
    <t>LENOX_15650040</t>
  </si>
  <si>
    <t>LENOX_15650110</t>
  </si>
  <si>
    <t>A_61200</t>
  </si>
  <si>
    <t>LENOX_15650140</t>
  </si>
  <si>
    <t>A_63400</t>
  </si>
  <si>
    <t>A_63420</t>
  </si>
  <si>
    <t>LENOX_15650160</t>
  </si>
  <si>
    <t>LENOX_15650165</t>
  </si>
  <si>
    <t>A_65534</t>
  </si>
  <si>
    <t>LENOX_15650170</t>
  </si>
  <si>
    <t>LENOX_15650175</t>
  </si>
  <si>
    <t>LENOX_15651005</t>
  </si>
  <si>
    <t>LENOX_15651010</t>
  </si>
  <si>
    <t>A_66523</t>
  </si>
  <si>
    <t>A_66526</t>
  </si>
  <si>
    <t>A_63063</t>
  </si>
  <si>
    <t>A_63064</t>
  </si>
  <si>
    <t>A_63068</t>
  </si>
  <si>
    <t>A_63071</t>
  </si>
  <si>
    <t>A_63073</t>
  </si>
  <si>
    <t>A_63074</t>
  </si>
  <si>
    <t>A_63076</t>
  </si>
  <si>
    <t>A_63078</t>
  </si>
  <si>
    <t>A_63079</t>
  </si>
  <si>
    <t>A_65533</t>
  </si>
  <si>
    <t>A_65543</t>
  </si>
  <si>
    <t>LENOX_15651020</t>
  </si>
  <si>
    <t>LENOX_15651030</t>
  </si>
  <si>
    <t>LENOX_15651050</t>
  </si>
  <si>
    <t>LENOX_15651060</t>
  </si>
  <si>
    <t>LENOX_15651070</t>
  </si>
  <si>
    <t>LENOX_15652000</t>
  </si>
  <si>
    <t>LENOX_15652010</t>
  </si>
  <si>
    <t>LENOX_15652020</t>
  </si>
  <si>
    <t>A_63077</t>
  </si>
  <si>
    <t>A_55002</t>
  </si>
  <si>
    <t>LENOX_15652030</t>
  </si>
  <si>
    <t>LENOX_15652040</t>
  </si>
  <si>
    <t>LENOX_15652045</t>
  </si>
  <si>
    <t>LENOX_15652050</t>
  </si>
  <si>
    <t>A_61045</t>
  </si>
  <si>
    <t>LENOX_15652055</t>
  </si>
  <si>
    <t>A_63072</t>
  </si>
  <si>
    <t>LENOX_15652060</t>
  </si>
  <si>
    <t>LENOX_15652065</t>
  </si>
  <si>
    <t>LENOX_15653000</t>
  </si>
  <si>
    <t>LENOX_15653001</t>
  </si>
  <si>
    <t>LENOX_15653003</t>
  </si>
  <si>
    <t>LENOX_15653005</t>
  </si>
  <si>
    <t>A_65524</t>
  </si>
  <si>
    <t>A_65020</t>
  </si>
  <si>
    <t>A_65063</t>
  </si>
  <si>
    <t>LENOX_15653010</t>
  </si>
  <si>
    <t>LENOX_15653015</t>
  </si>
  <si>
    <t>LENOX_15653020</t>
  </si>
  <si>
    <t>LENOX_15653025</t>
  </si>
  <si>
    <t>LENOX_15653030</t>
  </si>
  <si>
    <t>LENOX_15653040</t>
  </si>
  <si>
    <t>LENOX_15653060</t>
  </si>
  <si>
    <t>LENOX_15653070</t>
  </si>
  <si>
    <t>LENOX_15653090</t>
  </si>
  <si>
    <t>LENOX_15653110</t>
  </si>
  <si>
    <t>LENOX_15655000</t>
  </si>
  <si>
    <t>LENOX_15656000</t>
  </si>
  <si>
    <t>A_63410</t>
  </si>
  <si>
    <t>A_63310</t>
  </si>
  <si>
    <t>A_63320</t>
  </si>
  <si>
    <t>A_63330</t>
  </si>
  <si>
    <t>A_63340</t>
  </si>
  <si>
    <t>A_63350</t>
  </si>
  <si>
    <t>A_63368</t>
  </si>
  <si>
    <t>A_63369</t>
  </si>
  <si>
    <t>A_63372</t>
  </si>
  <si>
    <t>A_63373</t>
  </si>
  <si>
    <t>A_63374</t>
  </si>
  <si>
    <t>A_63376</t>
  </si>
  <si>
    <t>A_63377</t>
  </si>
  <si>
    <t>A_63378</t>
  </si>
  <si>
    <t>A_63383</t>
  </si>
  <si>
    <t>A_63388</t>
  </si>
  <si>
    <t>A_63391</t>
  </si>
  <si>
    <t>LENOX_15656020</t>
  </si>
  <si>
    <t>LENOX_15656050</t>
  </si>
  <si>
    <t>LENOX_15656060</t>
  </si>
  <si>
    <t>LENOX_15656090</t>
  </si>
  <si>
    <t>LENOX_15656110</t>
  </si>
  <si>
    <t>LENOX_15657000</t>
  </si>
  <si>
    <t>LENOX_15660010</t>
  </si>
  <si>
    <t>LENOX_15660030</t>
  </si>
  <si>
    <t>LENOX_15660040</t>
  </si>
  <si>
    <t>A_63069</t>
  </si>
  <si>
    <t>LENOX_15661010</t>
  </si>
  <si>
    <t>LENOX_15661015</t>
  </si>
  <si>
    <t>LENOX_15663400</t>
  </si>
  <si>
    <t>LENOX_15663430</t>
  </si>
  <si>
    <t>LENOX_15666000</t>
  </si>
  <si>
    <t>LENOX_15668000</t>
  </si>
  <si>
    <t>LENOX_15670000</t>
  </si>
  <si>
    <t>LENOX_15690000</t>
  </si>
  <si>
    <t>LENOX_15690010</t>
  </si>
  <si>
    <t>LENOX_15690020</t>
  </si>
  <si>
    <t>LENOX_15690030</t>
  </si>
  <si>
    <t>LENOX_15690040</t>
  </si>
  <si>
    <t>LENOX_15690060</t>
  </si>
  <si>
    <t>LENOX_15690080</t>
  </si>
  <si>
    <t>A_64045</t>
  </si>
  <si>
    <t>A_64090</t>
  </si>
  <si>
    <t>A_65522</t>
  </si>
  <si>
    <t>A_65523</t>
  </si>
  <si>
    <t>A_65529</t>
  </si>
  <si>
    <t>A_65531</t>
  </si>
  <si>
    <t>LENOX_15690100</t>
  </si>
  <si>
    <t>A_65080</t>
  </si>
  <si>
    <t>LENOX_15691000</t>
  </si>
  <si>
    <t>A_64500</t>
  </si>
  <si>
    <t>A_64520</t>
  </si>
  <si>
    <t>A_64540</t>
  </si>
  <si>
    <t>A_64580</t>
  </si>
  <si>
    <t>A_64590</t>
  </si>
  <si>
    <t>LENOX_15691010</t>
  </si>
  <si>
    <t>LENOX_15691020</t>
  </si>
  <si>
    <t>LENOX_15691050</t>
  </si>
  <si>
    <t>LENOX_15692000</t>
  </si>
  <si>
    <t>LENOX_15692010</t>
  </si>
  <si>
    <t>LENOX_15693000</t>
  </si>
  <si>
    <t>LENOX_15693010</t>
  </si>
  <si>
    <t>LENOX_15693020</t>
  </si>
  <si>
    <t>LENOX_15693050</t>
  </si>
  <si>
    <t>LENOX_15693065</t>
  </si>
  <si>
    <t>LENOX_15693075</t>
  </si>
  <si>
    <t>LENOX_15693115</t>
  </si>
  <si>
    <t>LENOX_15693125</t>
  </si>
  <si>
    <t>LENOX_15693160</t>
  </si>
  <si>
    <t>LENOX_15698008</t>
  </si>
  <si>
    <t>LENOX_15698017</t>
  </si>
  <si>
    <t>LENOX_15699000</t>
  </si>
  <si>
    <t>A_68910</t>
  </si>
  <si>
    <t>28799100_530500</t>
  </si>
  <si>
    <t>28799100_595001</t>
  </si>
  <si>
    <t>28799100_595150</t>
  </si>
  <si>
    <t>28799100_595160</t>
  </si>
  <si>
    <t>NEW ADDS:</t>
  </si>
  <si>
    <t>Department (ex. LIJMC_12345678)</t>
  </si>
  <si>
    <t>Account (ex. A_12345)</t>
  </si>
  <si>
    <t>Affiliate</t>
  </si>
  <si>
    <t>Total New Adds</t>
  </si>
  <si>
    <t>Grand Total, Incl New Adds</t>
  </si>
  <si>
    <t>15600000 Hospital Administration</t>
  </si>
  <si>
    <t>LENOX_15600000 - Hospital Administration</t>
  </si>
  <si>
    <t>A_61000 - Consulting Fees</t>
  </si>
  <si>
    <t>A_61400 - Other Fees</t>
  </si>
  <si>
    <t>A_64570 - Dietary Charge Out</t>
  </si>
  <si>
    <t>A_66500 - Property Rentals</t>
  </si>
  <si>
    <t>A_66510 - Lease-Rentals - Other</t>
  </si>
  <si>
    <t>A_66515 - Lease Rentals - Copiers</t>
  </si>
  <si>
    <t>A_66524 - Software Licensing Fees</t>
  </si>
  <si>
    <t>A_66528 - Cloud Software Licensing Fees</t>
  </si>
  <si>
    <t>A_66600 - Real Estate Tax</t>
  </si>
  <si>
    <t>A_66601 - RE Tax Fixed Leased Properties</t>
  </si>
  <si>
    <t>A_66602 - RE Tax Var Leased Properties</t>
  </si>
  <si>
    <t>A_55010 - Rebates From Vendors</t>
  </si>
  <si>
    <t>A_63030 - Supplies - Medical</t>
  </si>
  <si>
    <t>A_63045 - Supplies - Med Equip Repair</t>
  </si>
  <si>
    <t>A_63080 - Supplies - Surgical</t>
  </si>
  <si>
    <t>A_64000 - Supplies - Hotel Services</t>
  </si>
  <si>
    <t>A_64020 - Supplies - Office</t>
  </si>
  <si>
    <t>A_64030 - Supplies - Other Non Medical</t>
  </si>
  <si>
    <t>A_66000 - Dues</t>
  </si>
  <si>
    <t>A_66010 - Periodicals-Publ-Subscriptions</t>
  </si>
  <si>
    <t>A_66020 - Outside Training</t>
  </si>
  <si>
    <t>A_66030 - Microfilming &amp; Archiving</t>
  </si>
  <si>
    <t>A_66050 - Printing And Duplication</t>
  </si>
  <si>
    <t>A_66060 - Other Expenses</t>
  </si>
  <si>
    <t>A_66070 - Advertising</t>
  </si>
  <si>
    <t>A_66075 - Promotional items</t>
  </si>
  <si>
    <t>A_66076 - Corporate Sponsorships</t>
  </si>
  <si>
    <t>A_66090 - House Functions &amp; Corp Events</t>
  </si>
  <si>
    <t>A_66095 - Meals &amp; Entertainment</t>
  </si>
  <si>
    <t>A_66110 - Mileage</t>
  </si>
  <si>
    <t>A_66120 - Time of Service-Cash Draw</t>
  </si>
  <si>
    <t>A_66150 - Travel</t>
  </si>
  <si>
    <t>A_66152 - Patient Transportation</t>
  </si>
  <si>
    <t>A_55020 - Rebates-Pharmaceuticals</t>
  </si>
  <si>
    <t>A_65505 - Equipment Service Contracts</t>
  </si>
  <si>
    <t>A_65510 - Freight</t>
  </si>
  <si>
    <t>A_65517 - Software Maint and Support</t>
  </si>
  <si>
    <t>A_65525 - Maintenance And Repairs</t>
  </si>
  <si>
    <t>A_65528 - Elevator-Reprs-Prchsd-Contr Sv</t>
  </si>
  <si>
    <t>A_65530 - Medical Purchased Services</t>
  </si>
  <si>
    <t>A_65535 - Other Purchased Services</t>
  </si>
  <si>
    <t>A_65536 - Oth Purch Serv- Credentialling</t>
  </si>
  <si>
    <t>A_65540 - Outside Messenger Service</t>
  </si>
  <si>
    <t>A_65030 - Disposable Services</t>
  </si>
  <si>
    <t>A_65050 - Telephone</t>
  </si>
  <si>
    <t>Total LENOX_15600000</t>
  </si>
  <si>
    <t>15600020 Pastoral Care</t>
  </si>
  <si>
    <t>LENOX_15600020 - Pastoral Care</t>
  </si>
  <si>
    <t>A_65526 - Door Lock-Reprs-Prchsd-Cont Sv</t>
  </si>
  <si>
    <t>Total LENOX_15600020</t>
  </si>
  <si>
    <t>15600030 Finance Site</t>
  </si>
  <si>
    <t>LENOX_15600030 - Finance Site</t>
  </si>
  <si>
    <t>A_66068 - Patient Belongings - Reimburse</t>
  </si>
  <si>
    <t>Total LENOX_15600030</t>
  </si>
  <si>
    <t>15600050 Safety</t>
  </si>
  <si>
    <t>LENOX_15600050 - Safety</t>
  </si>
  <si>
    <t>A_63032 - Supplies - Medical - PPE</t>
  </si>
  <si>
    <t>A_66040 - Postage</t>
  </si>
  <si>
    <t>Total LENOX_15600050</t>
  </si>
  <si>
    <t>15600055 Consulting Services</t>
  </si>
  <si>
    <t>LENOX_15600055 - Consulting Services</t>
  </si>
  <si>
    <t>Total LENOX_15600055</t>
  </si>
  <si>
    <t>15600070 Human Resources</t>
  </si>
  <si>
    <t>LENOX_15600070 - Human Resources</t>
  </si>
  <si>
    <t>A_61010 - Legal Fees</t>
  </si>
  <si>
    <t>A_66100 - League Of Vol Hosp Due (1199)</t>
  </si>
  <si>
    <t>A_65000 - Electricity</t>
  </si>
  <si>
    <t>Total LENOX_15600070</t>
  </si>
  <si>
    <t>15600090 Employee Health Svcs</t>
  </si>
  <si>
    <t>LENOX_15600090 - Employee Health Svcs</t>
  </si>
  <si>
    <t>A_55009 - Supply Chain Channel Rebates</t>
  </si>
  <si>
    <t>A_64010 - Supplies - Linen And Bedding</t>
  </si>
  <si>
    <t>A_65520 - Purchased Laboratory Svs</t>
  </si>
  <si>
    <t>Total LENOX_15600090</t>
  </si>
  <si>
    <t>15600100 Mail Room</t>
  </si>
  <si>
    <t>LENOX_15600100 - Mail Room</t>
  </si>
  <si>
    <t>Total LENOX_15600100</t>
  </si>
  <si>
    <t>15600110 Volunteers</t>
  </si>
  <si>
    <t>LENOX_15600110 - Volunteers</t>
  </si>
  <si>
    <t>A_61480 - Recruitment Fees</t>
  </si>
  <si>
    <t>Total LENOX_15600110</t>
  </si>
  <si>
    <t>15600126 Executive Health</t>
  </si>
  <si>
    <t>LENOX_15600126 - Executive Health</t>
  </si>
  <si>
    <t>A_63005 - Supplies - Reagents</t>
  </si>
  <si>
    <t>A_63040 - Supplies - Radiology</t>
  </si>
  <si>
    <t>A_63050 - Supplies - Iv Solutions &amp; Sets</t>
  </si>
  <si>
    <t>A_63300 - Rx - All Other</t>
  </si>
  <si>
    <t>A_65507 - Medical Equip Srvcs Contracts</t>
  </si>
  <si>
    <t>Total LENOX_15600126</t>
  </si>
  <si>
    <t>15600130 Quality Management</t>
  </si>
  <si>
    <t>LENOX_15600130 - Quality Management</t>
  </si>
  <si>
    <t>Total LENOX_15600130</t>
  </si>
  <si>
    <t>15600140 Patient Care Management</t>
  </si>
  <si>
    <t>LENOX_15600140 - Patient Care Management</t>
  </si>
  <si>
    <t>A_65550 - Purchased Services-Subcontract</t>
  </si>
  <si>
    <t>Total LENOX_15600140</t>
  </si>
  <si>
    <t>15600150 Medical affairs</t>
  </si>
  <si>
    <t>LENOX_15600150 - Medical affairs</t>
  </si>
  <si>
    <t>Total LENOX_15600150</t>
  </si>
  <si>
    <t>15600160 Materials Operations</t>
  </si>
  <si>
    <t>LENOX_15600160 - Materials Operations</t>
  </si>
  <si>
    <t>A_63000 - Supplies - Laboratory</t>
  </si>
  <si>
    <t>A_63009 - Supplies - Implants - Joint</t>
  </si>
  <si>
    <t>A_63010 - Supplies - Implnts - Oth Ortho</t>
  </si>
  <si>
    <t>A_63060 - Supplies - Surgery Packs-Sheet</t>
  </si>
  <si>
    <t>A_63066 - Supplies - Implant - Breast</t>
  </si>
  <si>
    <t>Total LENOX_15600160</t>
  </si>
  <si>
    <t>15600170 Medical Records</t>
  </si>
  <si>
    <t>LENOX_15600170 - Medical Records</t>
  </si>
  <si>
    <t>Total LENOX_15600170</t>
  </si>
  <si>
    <t>15600180 Health Info Mgt</t>
  </si>
  <si>
    <t>LENOX_15600180 - Health Info Mgt</t>
  </si>
  <si>
    <t>Total LENOX_15600180</t>
  </si>
  <si>
    <t>15600195 Bed Management</t>
  </si>
  <si>
    <t>LENOX_15600195 - Bed Management</t>
  </si>
  <si>
    <t>Total LENOX_15600195</t>
  </si>
  <si>
    <t>15600210 Reception</t>
  </si>
  <si>
    <t>LENOX_15600210 - Reception</t>
  </si>
  <si>
    <t>Total LENOX_15600210</t>
  </si>
  <si>
    <t>15600220 Audiovisual</t>
  </si>
  <si>
    <t>LENOX_15600220 - Audiovisual</t>
  </si>
  <si>
    <t>Total LENOX_15600220</t>
  </si>
  <si>
    <t>15600250 Humanity Training</t>
  </si>
  <si>
    <t>LENOX_15600250 - Humanity Training</t>
  </si>
  <si>
    <t>Total LENOX_15600250</t>
  </si>
  <si>
    <t>15600300 Emergency Events - Covid19</t>
  </si>
  <si>
    <t>LENOX_15600300 - Emergency Events - Covid19</t>
  </si>
  <si>
    <t>Total LENOX_15600300</t>
  </si>
  <si>
    <t>15600301 Emergency Events 1</t>
  </si>
  <si>
    <t>LENOX_15600301 - Emergency Events 1</t>
  </si>
  <si>
    <t>Total LENOX_15600301</t>
  </si>
  <si>
    <t>15600360 O360 Managed Staff and OTS</t>
  </si>
  <si>
    <t>LENOX_15600360 - O360 Managed Staff and OTS</t>
  </si>
  <si>
    <t>Total LENOX_15600360</t>
  </si>
  <si>
    <t>15601000 Cashier</t>
  </si>
  <si>
    <t>LENOX_15601000 - Cashier</t>
  </si>
  <si>
    <t>Total LENOX_15601000</t>
  </si>
  <si>
    <t>15601020 Corporate Compliance</t>
  </si>
  <si>
    <t>LENOX_15601020 - Corporate Compliance</t>
  </si>
  <si>
    <t>Total LENOX_15601020</t>
  </si>
  <si>
    <t>15601045 Patient Experience</t>
  </si>
  <si>
    <t>LENOX_15601045 - Patient Experience</t>
  </si>
  <si>
    <t>A_64510 - Dietary-Groceries &amp; Beverages</t>
  </si>
  <si>
    <t>A_65521 - Landscapg-Reprs-Prchsd-Cont Sv</t>
  </si>
  <si>
    <t>A_65542 - Translation Services</t>
  </si>
  <si>
    <t>Total LENOX_15601045</t>
  </si>
  <si>
    <t>15601050 Patient Accounting</t>
  </si>
  <si>
    <t>LENOX_15601050 - Patient Accounting</t>
  </si>
  <si>
    <t>Total LENOX_15601050</t>
  </si>
  <si>
    <t>15601055 Access Services</t>
  </si>
  <si>
    <t>LENOX_15601055 - Access Services</t>
  </si>
  <si>
    <t>Total LENOX_15601055</t>
  </si>
  <si>
    <t>15601060 IS network services</t>
  </si>
  <si>
    <t>LENOX_15601060 - IS network services</t>
  </si>
  <si>
    <t>Total LENOX_15601060</t>
  </si>
  <si>
    <t>15601325 Medical Tourism</t>
  </si>
  <si>
    <t>LENOX_15601325 - Medical Tourism</t>
  </si>
  <si>
    <t>A_66080 - Audio-Visual</t>
  </si>
  <si>
    <t>A_65518 - Cloud Maintenance and Support</t>
  </si>
  <si>
    <t>A_65538 - CAM-LeaseProperty Var Pd to LL</t>
  </si>
  <si>
    <t>A_65002 - Electric-LeasePty Var Pd to LL</t>
  </si>
  <si>
    <t>Total LENOX_15601325</t>
  </si>
  <si>
    <t>15601330 Public Relations</t>
  </si>
  <si>
    <t>LENOX_15601330 - Public Relations</t>
  </si>
  <si>
    <t>Total LENOX_15601330</t>
  </si>
  <si>
    <t>15601350 Legal</t>
  </si>
  <si>
    <t>LENOX_15601350 - Legal</t>
  </si>
  <si>
    <t>Total LENOX_15601350</t>
  </si>
  <si>
    <t>15601365 Development</t>
  </si>
  <si>
    <t>LENOX_15601365 - Development</t>
  </si>
  <si>
    <t>Total LENOX_15601365</t>
  </si>
  <si>
    <t>15601433 COVID19 Vaccine Administration</t>
  </si>
  <si>
    <t>LENOX_15601433 - COVID19 Vaccine Administration</t>
  </si>
  <si>
    <t>Total LENOX_15601433</t>
  </si>
  <si>
    <t>15601508 Marketing</t>
  </si>
  <si>
    <t>LENOX_15601508 - Marketing</t>
  </si>
  <si>
    <t>Total LENOX_15601508</t>
  </si>
  <si>
    <t>15610000 NRSG - Administration</t>
  </si>
  <si>
    <t>LENOX_15610000 - NRSG - Administration</t>
  </si>
  <si>
    <t>A_61040 - Physician Fees</t>
  </si>
  <si>
    <t>A_66520 - Lease Rentals - Beds</t>
  </si>
  <si>
    <t>A_63020 - Supplies Wound Closure</t>
  </si>
  <si>
    <t>A_63062 - Supplies - Impl - Oth Vascular</t>
  </si>
  <si>
    <t>A_63070 - Supplies - Implants - All Oth</t>
  </si>
  <si>
    <t>A_66170 - FLEX-Traveler Allowance</t>
  </si>
  <si>
    <t>Total LENOX_15610000</t>
  </si>
  <si>
    <t>15610005 NRSG - Supervisor</t>
  </si>
  <si>
    <t>LENOX_15610005 - NRSG - Supervisor</t>
  </si>
  <si>
    <t>Total LENOX_15610005</t>
  </si>
  <si>
    <t>15610010 NRSG - Education</t>
  </si>
  <si>
    <t>LENOX_15610010 - NRSG - Education</t>
  </si>
  <si>
    <t>A_61300 - Nursing Fees</t>
  </si>
  <si>
    <t>Total LENOX_15610010</t>
  </si>
  <si>
    <t>15610015 NRSG - NYPNU</t>
  </si>
  <si>
    <t>LENOX_15610015 - NRSG - NYPNU</t>
  </si>
  <si>
    <t>Total LENOX_15610015</t>
  </si>
  <si>
    <t>15610020 NSRG - Per Diem</t>
  </si>
  <si>
    <t>LENOX_15610020 - NSRG - Per Diem</t>
  </si>
  <si>
    <t>Total LENOX_15610020</t>
  </si>
  <si>
    <t>15610025 NRSG - Management</t>
  </si>
  <si>
    <t>LENOX_15610025 - NRSG - Management</t>
  </si>
  <si>
    <t>Total LENOX_15610025</t>
  </si>
  <si>
    <t>15610030 NRSG - Float</t>
  </si>
  <si>
    <t>LENOX_15610030 - NRSG - Float</t>
  </si>
  <si>
    <t>Total LENOX_15610030</t>
  </si>
  <si>
    <t>15610040 NRSG - WOCN</t>
  </si>
  <si>
    <t>LENOX_15610040 - NRSG - WOCN</t>
  </si>
  <si>
    <t>Total LENOX_15610040</t>
  </si>
  <si>
    <t>15610045 NRSG-High Risk Ante-Postpartum</t>
  </si>
  <si>
    <t>LENOX_15610045 - NRSG-High Risk Ante-Postpartum</t>
  </si>
  <si>
    <t>Total LENOX_15610045</t>
  </si>
  <si>
    <t>15610060 Magnet Recognition program</t>
  </si>
  <si>
    <t>LENOX_15610060 - Magnet Recognition program</t>
  </si>
  <si>
    <t>Total LENOX_15610060</t>
  </si>
  <si>
    <t>15611010 NRSG - 5 Uris</t>
  </si>
  <si>
    <t>LENOX_15611010 - NRSG - 5 Uris</t>
  </si>
  <si>
    <t>A_64550 - Dietary - Supplement</t>
  </si>
  <si>
    <t>A_65527 - Med Equipment Maint &amp; Repairs</t>
  </si>
  <si>
    <t>Total LENOX_15611010</t>
  </si>
  <si>
    <t>15611020 NRSG - 5 Lachman</t>
  </si>
  <si>
    <t>LENOX_15611020 - NRSG - 5 Lachman</t>
  </si>
  <si>
    <t>A_63065 - Supplies - mpl - Oth Coronary</t>
  </si>
  <si>
    <t>Total LENOX_15611020</t>
  </si>
  <si>
    <t>15611030 NRSG - 5 East CCU</t>
  </si>
  <si>
    <t>LENOX_15611030 - NRSG - 5 East CCU</t>
  </si>
  <si>
    <t>Total LENOX_15611030</t>
  </si>
  <si>
    <t>15611055 NRSG - Cardiac cath</t>
  </si>
  <si>
    <t>LENOX_15611055 - NRSG - Cardiac cath</t>
  </si>
  <si>
    <t>Total LENOX_15611055</t>
  </si>
  <si>
    <t>15612020 NRSG - Labor and Delivery</t>
  </si>
  <si>
    <t>LENOX_15612020 - NRSG - Labor and Delivery</t>
  </si>
  <si>
    <t>A_65515 - Ge Central Equip Svc Contract</t>
  </si>
  <si>
    <t>Total LENOX_15612020</t>
  </si>
  <si>
    <t>15612040 NRSG-WellBaby-Perinatal Admin</t>
  </si>
  <si>
    <t>LENOX_15612040 - NRSG-WellBaby-Perinatal Admin</t>
  </si>
  <si>
    <t>Total LENOX_15612040</t>
  </si>
  <si>
    <t>15612060 NRSG - 6 East</t>
  </si>
  <si>
    <t>LENOX_15612060 - NRSG - 6 East</t>
  </si>
  <si>
    <t>Total LENOX_15612060</t>
  </si>
  <si>
    <t>15612065 NRSG - 6 Uris</t>
  </si>
  <si>
    <t>LENOX_15612065 - NRSG - 6 Uris</t>
  </si>
  <si>
    <t>Total LENOX_15612065</t>
  </si>
  <si>
    <t>15612075 NRSG - OB Resource Team</t>
  </si>
  <si>
    <t>LENOX_15612075 - NRSG - OB Resource Team</t>
  </si>
  <si>
    <t>Total LENOX_15612075</t>
  </si>
  <si>
    <t>15612095 NRSG - Neotat Nurse Practition</t>
  </si>
  <si>
    <t>LENOX_15612095 - NRSG - Neotat Nurse Practition</t>
  </si>
  <si>
    <t>Total LENOX_15612095</t>
  </si>
  <si>
    <t>15612100 NRSG - Neonatal ICU</t>
  </si>
  <si>
    <t>LENOX_15612100 - NRSG - Neonatal ICU</t>
  </si>
  <si>
    <t>A_63067 - Supplies - Implants - Urologic</t>
  </si>
  <si>
    <t>Total LENOX_15612100</t>
  </si>
  <si>
    <t>15613000 NRSG - Radiology</t>
  </si>
  <si>
    <t>LENOX_15613000 - NRSG - Radiology</t>
  </si>
  <si>
    <t>A_64560 - Dietary - Tableware</t>
  </si>
  <si>
    <t>Total LENOX_15613000</t>
  </si>
  <si>
    <t>15613005 NRSG - 2 Wollman</t>
  </si>
  <si>
    <t>LENOX_15613005 - NRSG - 2 Wollman</t>
  </si>
  <si>
    <t>Total LENOX_15613005</t>
  </si>
  <si>
    <t>15613010 NRSG - 3 Wollman</t>
  </si>
  <si>
    <t>LENOX_15613010 - NRSG - 3 Wollman</t>
  </si>
  <si>
    <t>Total LENOX_15613010</t>
  </si>
  <si>
    <t>15613015 NRSG - 4 Uris</t>
  </si>
  <si>
    <t>LENOX_15613015 - NRSG - 4 Uris</t>
  </si>
  <si>
    <t>Total LENOX_15613015</t>
  </si>
  <si>
    <t>15613020 NRSG - 4th Floor Maternity</t>
  </si>
  <si>
    <t>LENOX_15613020 - NRSG - 4th Floor Maternity</t>
  </si>
  <si>
    <t>Total LENOX_15613020</t>
  </si>
  <si>
    <t>15613025 Sleep Center</t>
  </si>
  <si>
    <t>LENOX_15613025 - Sleep Center</t>
  </si>
  <si>
    <t>Total LENOX_15613025</t>
  </si>
  <si>
    <t>15613035 NRSG - 7 Uris</t>
  </si>
  <si>
    <t>LENOX_15613035 - NRSG - 7 Uris</t>
  </si>
  <si>
    <t>Total LENOX_15613035</t>
  </si>
  <si>
    <t>15613040 NRSG - ICU</t>
  </si>
  <si>
    <t>LENOX_15613040 - NRSG - ICU</t>
  </si>
  <si>
    <t>Total LENOX_15613040</t>
  </si>
  <si>
    <t>15613045 NRSG - 9 East</t>
  </si>
  <si>
    <t>LENOX_15613045 - NRSG - 9 East</t>
  </si>
  <si>
    <t>Total LENOX_15613045</t>
  </si>
  <si>
    <t>15613046 NRSG - 7 Lachman</t>
  </si>
  <si>
    <t>LENOX_15613046 - NRSG - 7 Lachman</t>
  </si>
  <si>
    <t>Total LENOX_15613046</t>
  </si>
  <si>
    <t>15613047 NRSG - 7 East MICU</t>
  </si>
  <si>
    <t>LENOX_15613047 - NRSG - 7 East MICU</t>
  </si>
  <si>
    <t>Total LENOX_15613047</t>
  </si>
  <si>
    <t>15613048 NRSG - 9 Lachman</t>
  </si>
  <si>
    <t>LENOX_15613048 - NRSG - 9 Lachman</t>
  </si>
  <si>
    <t>Total LENOX_15613048</t>
  </si>
  <si>
    <t>15613050 NRSG - 10 Lachman</t>
  </si>
  <si>
    <t>LENOX_15613050 - NRSG - 10 Lachman</t>
  </si>
  <si>
    <t>Total LENOX_15613050</t>
  </si>
  <si>
    <t>15613055 NRSG - 10 East</t>
  </si>
  <si>
    <t>LENOX_15613055 - NRSG - 10 East</t>
  </si>
  <si>
    <t>Total LENOX_15613055</t>
  </si>
  <si>
    <t>15613060 NRSG - 11 East</t>
  </si>
  <si>
    <t>LENOX_15613060 - NRSG - 11 East</t>
  </si>
  <si>
    <t>Total LENOX_15613060</t>
  </si>
  <si>
    <t>15613065 NRSG - 9 Wollman</t>
  </si>
  <si>
    <t>LENOX_15613065 - NRSG - 9 Wollman</t>
  </si>
  <si>
    <t>Total LENOX_15613065</t>
  </si>
  <si>
    <t>15613075 NRSG - 9 Uris</t>
  </si>
  <si>
    <t>LENOX_15613075 - NRSG - 9 Uris</t>
  </si>
  <si>
    <t>Total LENOX_15613075</t>
  </si>
  <si>
    <t>15613085 NRSG - 5 Wollman</t>
  </si>
  <si>
    <t>LENOX_15613085 - NRSG - 5 Wollman</t>
  </si>
  <si>
    <t>Total LENOX_15613085</t>
  </si>
  <si>
    <t>15613095 NRSG - 8 Lachman</t>
  </si>
  <si>
    <t>LENOX_15613095 - NRSG - 8 Lachman</t>
  </si>
  <si>
    <t>A_63015 - Supplies - Implants - Neuro</t>
  </si>
  <si>
    <t>Total LENOX_15613095</t>
  </si>
  <si>
    <t>15614010 Renal Pat Care Svc Mgt</t>
  </si>
  <si>
    <t>LENOX_15614010 - Renal Pat Care Svc Mgt</t>
  </si>
  <si>
    <t>Total LENOX_15614010</t>
  </si>
  <si>
    <t>15615020 NRSG - 8 Uris</t>
  </si>
  <si>
    <t>LENOX_15615020 - NRSG - 8 Uris</t>
  </si>
  <si>
    <t>Total LENOX_15615020</t>
  </si>
  <si>
    <t>15616005 NRSG - 7 Wollman</t>
  </si>
  <si>
    <t>LENOX_15616005 - NRSG - 7 Wollman</t>
  </si>
  <si>
    <t>Total LENOX_15616005</t>
  </si>
  <si>
    <t>15617040 NRSG - Pediatrics</t>
  </si>
  <si>
    <t>LENOX_15617040 - NRSG - Pediatrics</t>
  </si>
  <si>
    <t>Total LENOX_15617040</t>
  </si>
  <si>
    <t>15617045 NRSG - Pediatric Resource Team</t>
  </si>
  <si>
    <t>LENOX_15617045 - NRSG - Pediatric Resource Team</t>
  </si>
  <si>
    <t>Total LENOX_15617045</t>
  </si>
  <si>
    <t>15619000 NRSG - 8 Wollman</t>
  </si>
  <si>
    <t>LENOX_15619000 - NRSG - 8 Wollman</t>
  </si>
  <si>
    <t>Total LENOX_15619000</t>
  </si>
  <si>
    <t>15619030 NRSG - 8 East</t>
  </si>
  <si>
    <t>LENOX_15619030 - NRSG - 8 East</t>
  </si>
  <si>
    <t>Total LENOX_15619030</t>
  </si>
  <si>
    <t>15619100 NRSG - Neurosurgical ICU</t>
  </si>
  <si>
    <t>LENOX_15619100 - NRSG - Neurosurgical ICU</t>
  </si>
  <si>
    <t>Total LENOX_15619100</t>
  </si>
  <si>
    <t>15620000 Office of Academic Affairs</t>
  </si>
  <si>
    <t>LENOX_15620000 - Office of Academic Affairs</t>
  </si>
  <si>
    <t>A_64530 - Dietary-Bread-Bakery Products</t>
  </si>
  <si>
    <t>A_65555 - Purchased Services-Transp Svcs</t>
  </si>
  <si>
    <t>Total LENOX_15620000</t>
  </si>
  <si>
    <t>15620010 Clinical Medical Library</t>
  </si>
  <si>
    <t>LENOX_15620010 - Clinical Medical Library</t>
  </si>
  <si>
    <t>Total LENOX_15620010</t>
  </si>
  <si>
    <t>15620050 Float Recovery</t>
  </si>
  <si>
    <t>LENOX_15620050 - Float Recovery</t>
  </si>
  <si>
    <t>Total LENOX_15620050</t>
  </si>
  <si>
    <t>15620070 Patient Transport Services</t>
  </si>
  <si>
    <t>LENOX_15620070 - Patient Transport Services</t>
  </si>
  <si>
    <t>A_65565 - Purchases Services - Linen</t>
  </si>
  <si>
    <t>Total LENOX_15620070</t>
  </si>
  <si>
    <t>15621000 Psych - Dept Director</t>
  </si>
  <si>
    <t>LENOX_15621000 - Psych - Dept Director</t>
  </si>
  <si>
    <t>A_61450 - Resident Rotation - non-affil</t>
  </si>
  <si>
    <t>Total LENOX_15621000</t>
  </si>
  <si>
    <t>15621030 Psych - IP Psych</t>
  </si>
  <si>
    <t>LENOX_15621030 - Psych - IP Psych</t>
  </si>
  <si>
    <t>Total LENOX_15621030</t>
  </si>
  <si>
    <t>15622000 Urology</t>
  </si>
  <si>
    <t>LENOX_15622000 - Urology</t>
  </si>
  <si>
    <t>Total LENOX_15622000</t>
  </si>
  <si>
    <t>15623000 Pulmonary Function Lab</t>
  </si>
  <si>
    <t>LENOX_15623000 - Pulmonary Function Lab</t>
  </si>
  <si>
    <t>A_63035 - Supplies - Gases</t>
  </si>
  <si>
    <t>Total LENOX_15623000</t>
  </si>
  <si>
    <t>15623005 Pulmonary Medicine</t>
  </si>
  <si>
    <t>LENOX_15623005 - Pulmonary Medicine</t>
  </si>
  <si>
    <t>Total LENOX_15623005</t>
  </si>
  <si>
    <t>15624000 Neurology</t>
  </si>
  <si>
    <t>LENOX_15624000 - Neurology</t>
  </si>
  <si>
    <t>A_65060 - Natural Gas</t>
  </si>
  <si>
    <t>Total LENOX_15624000</t>
  </si>
  <si>
    <t>15624020 Neurosurgery - EEG</t>
  </si>
  <si>
    <t>LENOX_15624020 - Neurosurgery - EEG</t>
  </si>
  <si>
    <t>Total LENOX_15624020</t>
  </si>
  <si>
    <t>15624050 ACP Services – Neurology</t>
  </si>
  <si>
    <t>LENOX_15624050 - ACP Services – Neurology</t>
  </si>
  <si>
    <t>Total LENOX_15624050</t>
  </si>
  <si>
    <t>15625000 Neurosurgery</t>
  </si>
  <si>
    <t>LENOX_15625000 - Neurosurgery</t>
  </si>
  <si>
    <t>A_63008 - Supplies - Implants - Spinal</t>
  </si>
  <si>
    <t>A_63058 - Supplies Impl Coronary Stents</t>
  </si>
  <si>
    <t>A_63059 - Supplies Impl Vascular Stents</t>
  </si>
  <si>
    <t>A_66073 - Promotional Services</t>
  </si>
  <si>
    <t>Total LENOX_15625000</t>
  </si>
  <si>
    <t>15625045 ACP Services - Neuro Surgery</t>
  </si>
  <si>
    <t>LENOX_15625045 - ACP Services - Neuro Surgery</t>
  </si>
  <si>
    <t>Total LENOX_15625045</t>
  </si>
  <si>
    <t>15627000 Otolaryngology</t>
  </si>
  <si>
    <t>LENOX_15627000 - Otolaryngology</t>
  </si>
  <si>
    <t>Total LENOX_15627000</t>
  </si>
  <si>
    <t>15627040 Head and Neck</t>
  </si>
  <si>
    <t>LENOX_15627040 - Head and Neck</t>
  </si>
  <si>
    <t>Total LENOX_15627040</t>
  </si>
  <si>
    <t>15628005 Transition of Care</t>
  </si>
  <si>
    <t>LENOX_15628005 - Transition of Care</t>
  </si>
  <si>
    <t>Total LENOX_15628005</t>
  </si>
  <si>
    <t>15628020 Medicine - Nuclear Medicine</t>
  </si>
  <si>
    <t>LENOX_15628020 - Medicine - Nuclear Medicine</t>
  </si>
  <si>
    <t>A_63360 - Rx - Radio Pharmaceuticals</t>
  </si>
  <si>
    <t>Total LENOX_15628020</t>
  </si>
  <si>
    <t>15628025 Medicine - Epidemiology</t>
  </si>
  <si>
    <t>LENOX_15628025 - Medicine - Epidemiology</t>
  </si>
  <si>
    <t>Total LENOX_15628025</t>
  </si>
  <si>
    <t>15628030 ACP Administration</t>
  </si>
  <si>
    <t>LENOX_15628030 - ACP Administration</t>
  </si>
  <si>
    <t>Total LENOX_15628030</t>
  </si>
  <si>
    <t>15628120 Medicine - Internal Med</t>
  </si>
  <si>
    <t>LENOX_15628120 - Medicine - Internal Med</t>
  </si>
  <si>
    <t>Total LENOX_15628120</t>
  </si>
  <si>
    <t>15632000 Surgery - Dept Director</t>
  </si>
  <si>
    <t>LENOX_15632000 - Surgery - Dept Director</t>
  </si>
  <si>
    <t>Total LENOX_15632000</t>
  </si>
  <si>
    <t>15632010 Pediatrics</t>
  </si>
  <si>
    <t>LENOX_15632010 - Pediatrics</t>
  </si>
  <si>
    <t>A_65054 - Other telephone service</t>
  </si>
  <si>
    <t>Total LENOX_15632010</t>
  </si>
  <si>
    <t>15632030 Surgery - General</t>
  </si>
  <si>
    <t>LENOX_15632030 - Surgery - General</t>
  </si>
  <si>
    <t>Total LENOX_15632030</t>
  </si>
  <si>
    <t>15632045 ACP Services  - Surgery</t>
  </si>
  <si>
    <t>LENOX_15632045 - ACP Services  - Surgery</t>
  </si>
  <si>
    <t>Total LENOX_15632045</t>
  </si>
  <si>
    <t>15632060 Surgery - Vascular</t>
  </si>
  <si>
    <t>LENOX_15632060 - Surgery - Vascular</t>
  </si>
  <si>
    <t>Total LENOX_15632060</t>
  </si>
  <si>
    <t>15632070 Surgery - Plastic</t>
  </si>
  <si>
    <t>LENOX_15632070 - Surgery - Plastic</t>
  </si>
  <si>
    <t>Total LENOX_15632070</t>
  </si>
  <si>
    <t>15633015 OBS-GYN Physicians</t>
  </si>
  <si>
    <t>LENOX_15633015 - OBS-GYN Physicians</t>
  </si>
  <si>
    <t>Total LENOX_15633015</t>
  </si>
  <si>
    <t>15633025 ACP Services – OBGYN</t>
  </si>
  <si>
    <t>LENOX_15633025 - ACP Services – OBGYN</t>
  </si>
  <si>
    <t>Total LENOX_15633025</t>
  </si>
  <si>
    <t>15635545 ACP Services  - Cardio Surgery</t>
  </si>
  <si>
    <t>LENOX_15635545 - ACP Services  - Cardio Surgery</t>
  </si>
  <si>
    <t>Total LENOX_15635545</t>
  </si>
  <si>
    <t>15635550 ACP Services - Critical Care</t>
  </si>
  <si>
    <t>LENOX_15635550 - ACP Services - Critical Care</t>
  </si>
  <si>
    <t>Total LENOX_15635550</t>
  </si>
  <si>
    <t>15637000 Gastroenterology</t>
  </si>
  <si>
    <t>LENOX_15637000 - Gastroenterology</t>
  </si>
  <si>
    <t>Total LENOX_15637000</t>
  </si>
  <si>
    <t>15638000 Orthopedics</t>
  </si>
  <si>
    <t>LENOX_15638000 - Orthopedics</t>
  </si>
  <si>
    <t>Total LENOX_15638000</t>
  </si>
  <si>
    <t>15638045 ACP Services  - Orthopedics</t>
  </si>
  <si>
    <t>LENOX_15638045 - ACP Services  - Orthopedics</t>
  </si>
  <si>
    <t>Total LENOX_15638045</t>
  </si>
  <si>
    <t>15640000 Endocrinology</t>
  </si>
  <si>
    <t>LENOX_15640000 - Endocrinology</t>
  </si>
  <si>
    <t>Total LENOX_15640000</t>
  </si>
  <si>
    <t>15642020 Residency - Medicine</t>
  </si>
  <si>
    <t>LENOX_15642020 - Residency - Medicine</t>
  </si>
  <si>
    <t>A_64505 - Food SI</t>
  </si>
  <si>
    <t>Total LENOX_15642020</t>
  </si>
  <si>
    <t>15642030 Residency - Surgery</t>
  </si>
  <si>
    <t>LENOX_15642030 - Residency - Surgery</t>
  </si>
  <si>
    <t>Total LENOX_15642030</t>
  </si>
  <si>
    <t>15642060 Residency - Obstetric-GYN</t>
  </si>
  <si>
    <t>LENOX_15642060 - Residency - Obstetric-GYN</t>
  </si>
  <si>
    <t>Total LENOX_15642060</t>
  </si>
  <si>
    <t>15642080 Residency - Pathology</t>
  </si>
  <si>
    <t>LENOX_15642080 - Residency - Pathology</t>
  </si>
  <si>
    <t>Total LENOX_15642080</t>
  </si>
  <si>
    <t>15642090 Residency Radiology</t>
  </si>
  <si>
    <t>LENOX_15642090 - Residency Radiology</t>
  </si>
  <si>
    <t>A_66151 - Patient Studies</t>
  </si>
  <si>
    <t>Total LENOX_15642090</t>
  </si>
  <si>
    <t>15642150 Residency - Otolaryngology</t>
  </si>
  <si>
    <t>LENOX_15642150 - Residency - Otolaryngology</t>
  </si>
  <si>
    <t>Total LENOX_15642150</t>
  </si>
  <si>
    <t>15642151 Otolaryngology LHH</t>
  </si>
  <si>
    <t>LENOX_15642151 - Otolaryngology LHH</t>
  </si>
  <si>
    <t>Total LENOX_15642151</t>
  </si>
  <si>
    <t>15642152 Psychiatry - LHH</t>
  </si>
  <si>
    <t>LENOX_15642152 - Psychiatry - LHH</t>
  </si>
  <si>
    <t>Total LENOX_15642152</t>
  </si>
  <si>
    <t>15642160 Residency - Cardiology</t>
  </si>
  <si>
    <t>LENOX_15642160 - Residency - Cardiology</t>
  </si>
  <si>
    <t>Total LENOX_15642160</t>
  </si>
  <si>
    <t>15642180 Residency - Urology</t>
  </si>
  <si>
    <t>LENOX_15642180 - Residency - Urology</t>
  </si>
  <si>
    <t>Total LENOX_15642180</t>
  </si>
  <si>
    <t>15642210 Residency - Orthopedics</t>
  </si>
  <si>
    <t>LENOX_15642210 - Residency - Orthopedics</t>
  </si>
  <si>
    <t>Total LENOX_15642210</t>
  </si>
  <si>
    <t>15642213 Cardiology LHH</t>
  </si>
  <si>
    <t>LENOX_15642213 - Cardiology LHH</t>
  </si>
  <si>
    <t>Total LENOX_15642213</t>
  </si>
  <si>
    <t>15642216 Gastroenterology LHH</t>
  </si>
  <si>
    <t>LENOX_15642216 - Gastroenterology LHH</t>
  </si>
  <si>
    <t>Total LENOX_15642216</t>
  </si>
  <si>
    <t>15642217 Hematology &amp; Onc LHH</t>
  </si>
  <si>
    <t>LENOX_15642217 - Hematology &amp; Onc LHH</t>
  </si>
  <si>
    <t>Total LENOX_15642217</t>
  </si>
  <si>
    <t>15642218 Internal Medicine - Chief LHH</t>
  </si>
  <si>
    <t>LENOX_15642218 - Internal Medicine - Chief LHH</t>
  </si>
  <si>
    <t>Total LENOX_15642218</t>
  </si>
  <si>
    <t>15642219 Internal Medicine LHH</t>
  </si>
  <si>
    <t>LENOX_15642219 - Internal Medicine LHH</t>
  </si>
  <si>
    <t>Total LENOX_15642219</t>
  </si>
  <si>
    <t>15642221 Interventional Urology ICF LHH</t>
  </si>
  <si>
    <t>LENOX_15642221 - Interventional Urology ICF LHH</t>
  </si>
  <si>
    <t>Total LENOX_15642221</t>
  </si>
  <si>
    <t>15642225 Orthopedics LHH</t>
  </si>
  <si>
    <t>LENOX_15642225 - Orthopedics LHH</t>
  </si>
  <si>
    <t>Total LENOX_15642225</t>
  </si>
  <si>
    <t>15642227 Pathology LHH</t>
  </si>
  <si>
    <t>LENOX_15642227 - Pathology LHH</t>
  </si>
  <si>
    <t>Total LENOX_15642227</t>
  </si>
  <si>
    <t>15642230 Pulmonary Critical Care LHH</t>
  </si>
  <si>
    <t>LENOX_15642230 - Pulmonary Critical Care LHH</t>
  </si>
  <si>
    <t>Total LENOX_15642230</t>
  </si>
  <si>
    <t>15642231 Radiology LHH</t>
  </si>
  <si>
    <t>LENOX_15642231 - Radiology LHH</t>
  </si>
  <si>
    <t>Total LENOX_15642231</t>
  </si>
  <si>
    <t>15642232 Selective Pathology LHH</t>
  </si>
  <si>
    <t>LENOX_15642232 - Selective Pathology LHH</t>
  </si>
  <si>
    <t>Total LENOX_15642232</t>
  </si>
  <si>
    <t>15642233 Surgery LHH</t>
  </si>
  <si>
    <t>LENOX_15642233 - Surgery LHH</t>
  </si>
  <si>
    <t>Total LENOX_15642233</t>
  </si>
  <si>
    <t>15642235 Vascular Surgery Integ LHH</t>
  </si>
  <si>
    <t>LENOX_15642235 - Vascular Surgery Integ LHH</t>
  </si>
  <si>
    <t>Total LENOX_15642235</t>
  </si>
  <si>
    <t>15642237 Surgery - Prelim LHH</t>
  </si>
  <si>
    <t>LENOX_15642237 - Surgery - Prelim LHH</t>
  </si>
  <si>
    <t>Total LENOX_15642237</t>
  </si>
  <si>
    <t>15642250 Residency - Podiatry</t>
  </si>
  <si>
    <t>LENOX_15642250 - Residency - Podiatry</t>
  </si>
  <si>
    <t>Total LENOX_15642250</t>
  </si>
  <si>
    <t>15643020 Research - Cardio</t>
  </si>
  <si>
    <t>LENOX_15643020 - Research - Cardio</t>
  </si>
  <si>
    <t>Total LENOX_15643020</t>
  </si>
  <si>
    <t>15643040 Research - Clinical</t>
  </si>
  <si>
    <t>LENOX_15643040 - Research - Clinical</t>
  </si>
  <si>
    <t>Total LENOX_15643040</t>
  </si>
  <si>
    <t>15650020 Lab-Chemistry</t>
  </si>
  <si>
    <t>LENOX_15650020 - Lab-Chemistry</t>
  </si>
  <si>
    <t>Total LENOX_15650020</t>
  </si>
  <si>
    <t>15650030 Lab - Hematology</t>
  </si>
  <si>
    <t>LENOX_15650030 - Lab - Hematology</t>
  </si>
  <si>
    <t>Total LENOX_15650030</t>
  </si>
  <si>
    <t>15650035 Special Hematology</t>
  </si>
  <si>
    <t>LENOX_15650035 - Special Hematology</t>
  </si>
  <si>
    <t>Total LENOX_15650035</t>
  </si>
  <si>
    <t>15650040 Lab-Immunohisto-Chemistry</t>
  </si>
  <si>
    <t>LENOX_15650040 - Lab-Immunohisto-Chemistry</t>
  </si>
  <si>
    <t>Total LENOX_15650040</t>
  </si>
  <si>
    <t>15650110 Lab - Microbiology</t>
  </si>
  <si>
    <t>LENOX_15650110 - Lab - Microbiology</t>
  </si>
  <si>
    <t>A_61200 - Temporary Employees</t>
  </si>
  <si>
    <t>Total LENOX_15650110</t>
  </si>
  <si>
    <t>15650140 Lab Blood Bank</t>
  </si>
  <si>
    <t>LENOX_15650140 - Lab Blood Bank</t>
  </si>
  <si>
    <t>A_63400 - Blood Products</t>
  </si>
  <si>
    <t>A_63420 - Hemophilia Blood</t>
  </si>
  <si>
    <t>Total LENOX_15650140</t>
  </si>
  <si>
    <t>15650160 Pathology - Anatomical</t>
  </si>
  <si>
    <t>LENOX_15650160 - Pathology - Anatomical</t>
  </si>
  <si>
    <t>Total LENOX_15650160</t>
  </si>
  <si>
    <t>15650165 Pathology Ops</t>
  </si>
  <si>
    <t>LENOX_15650165 - Pathology Ops</t>
  </si>
  <si>
    <t>A_65534 - Purchased Lab Svcs-Ref Test</t>
  </si>
  <si>
    <t>Total LENOX_15650165</t>
  </si>
  <si>
    <t>15650170 Pathology - Clinical</t>
  </si>
  <si>
    <t>LENOX_15650170 - Pathology - Clinical</t>
  </si>
  <si>
    <t>Total LENOX_15650170</t>
  </si>
  <si>
    <t>15650175 Pathology Cytology</t>
  </si>
  <si>
    <t>LENOX_15650175 - Pathology Cytology</t>
  </si>
  <si>
    <t>Total LENOX_15650175</t>
  </si>
  <si>
    <t>15651005 OR Booking</t>
  </si>
  <si>
    <t>LENOX_15651005 - OR Booking</t>
  </si>
  <si>
    <t>Total LENOX_15651005</t>
  </si>
  <si>
    <t>15651010 POS - Operating Room</t>
  </si>
  <si>
    <t>LENOX_15651010 - POS - Operating Room</t>
  </si>
  <si>
    <t>A_66523 - Equipment Rental per click fee</t>
  </si>
  <si>
    <t>A_66526 - Rentals - Medical Equipment</t>
  </si>
  <si>
    <t>A_63063 - Supplies - Implants - Pacemkrs</t>
  </si>
  <si>
    <t>A_63064 - Supplies - Implants - ICDs</t>
  </si>
  <si>
    <t>A_63068 - Supplies - Imp - Corneal Tissu</t>
  </si>
  <si>
    <t>A_63071 - Supplies - Implants - TAVR</t>
  </si>
  <si>
    <t>A_63073 - Supplies - Implants - Impella</t>
  </si>
  <si>
    <t>A_63074 - Supplies - Implants -Mitraclip</t>
  </si>
  <si>
    <t>A_63076 - Supplies - Implants - Watchman</t>
  </si>
  <si>
    <t>A_63078 - Supplies - Implants - Cochlear</t>
  </si>
  <si>
    <t>A_63079 - Supplies - Imp - Loop Recorder</t>
  </si>
  <si>
    <t>A_65533 - Other Purchased Svcs-Security</t>
  </si>
  <si>
    <t>A_65543 - Purchased Services - Cleaning</t>
  </si>
  <si>
    <t>Total LENOX_15651010</t>
  </si>
  <si>
    <t>15651020 POS - Recovery Room</t>
  </si>
  <si>
    <t>LENOX_15651020 - POS - Recovery Room</t>
  </si>
  <si>
    <t>Total LENOX_15651020</t>
  </si>
  <si>
    <t>15651030 POS - Pre Admission Testing</t>
  </si>
  <si>
    <t>LENOX_15651030 - POS - Pre Admission Testing</t>
  </si>
  <si>
    <t>Total LENOX_15651030</t>
  </si>
  <si>
    <t>15651050 POS - Central Services</t>
  </si>
  <si>
    <t>LENOX_15651050 - POS - Central Services</t>
  </si>
  <si>
    <t>Total LENOX_15651050</t>
  </si>
  <si>
    <t>15651060 POS - Endoscopy</t>
  </si>
  <si>
    <t>LENOX_15651060 - POS - Endoscopy</t>
  </si>
  <si>
    <t>Total LENOX_15651060</t>
  </si>
  <si>
    <t>15651070 POS - Same Day admission</t>
  </si>
  <si>
    <t>LENOX_15651070 - POS - Same Day admission</t>
  </si>
  <si>
    <t>Total LENOX_15651070</t>
  </si>
  <si>
    <t>15652000 Cardio - EKG</t>
  </si>
  <si>
    <t>LENOX_15652000 - Cardio - EKG</t>
  </si>
  <si>
    <t>Total LENOX_15652000</t>
  </si>
  <si>
    <t>15652010 Cardio - Echocardiography</t>
  </si>
  <si>
    <t>LENOX_15652010 - Cardio - Echocardiography</t>
  </si>
  <si>
    <t>Total LENOX_15652010</t>
  </si>
  <si>
    <t>15652020 Cardio - EPS</t>
  </si>
  <si>
    <t>LENOX_15652020 - Cardio - EPS</t>
  </si>
  <si>
    <t>A_63077 - Supplies - Implants- Cardiomem</t>
  </si>
  <si>
    <t>A_55002 - Purchased Svcs - Contra Exp</t>
  </si>
  <si>
    <t>Total LENOX_15652020</t>
  </si>
  <si>
    <t>15652030 Cardio - Cardiology</t>
  </si>
  <si>
    <t>LENOX_15652030 - Cardio - Cardiology</t>
  </si>
  <si>
    <t>Total LENOX_15652030</t>
  </si>
  <si>
    <t>15652040 Cardio Administration</t>
  </si>
  <si>
    <t>LENOX_15652040 - Cardio Administration</t>
  </si>
  <si>
    <t>Total LENOX_15652040</t>
  </si>
  <si>
    <t>15652045 PA Service-Interventional Card</t>
  </si>
  <si>
    <t>LENOX_15652045 - PA Service-Interventional Card</t>
  </si>
  <si>
    <t>Total LENOX_15652045</t>
  </si>
  <si>
    <t>15652050 Cardiac Cath Lab</t>
  </si>
  <si>
    <t>LENOX_15652050 - Cardiac Cath Lab</t>
  </si>
  <si>
    <t>A_61045 - Physician Fees - on call</t>
  </si>
  <si>
    <t>Total LENOX_15652050</t>
  </si>
  <si>
    <t>15652055 Surgery - Cardiac</t>
  </si>
  <si>
    <t>LENOX_15652055 - Surgery - Cardiac</t>
  </si>
  <si>
    <t>A_63072 - Supplies - Implants - LVAD</t>
  </si>
  <si>
    <t>Total LENOX_15652055</t>
  </si>
  <si>
    <t>15652060 Cardio monitor techs</t>
  </si>
  <si>
    <t>LENOX_15652060 - Cardio monitor techs</t>
  </si>
  <si>
    <t>Total LENOX_15652060</t>
  </si>
  <si>
    <t>15652065 ACP Services  - Cardio EPS</t>
  </si>
  <si>
    <t>LENOX_15652065 - ACP Services  - Cardio EPS</t>
  </si>
  <si>
    <t>Total LENOX_15652065</t>
  </si>
  <si>
    <t>15653000 Radiology Administration</t>
  </si>
  <si>
    <t>LENOX_15653000 - Radiology Administration</t>
  </si>
  <si>
    <t>Total LENOX_15653000</t>
  </si>
  <si>
    <t>15653001 Radiology Support</t>
  </si>
  <si>
    <t>LENOX_15653001 - Radiology Support</t>
  </si>
  <si>
    <t>Total LENOX_15653001</t>
  </si>
  <si>
    <t>15653003 Radiology Customer Service</t>
  </si>
  <si>
    <t>LENOX_15653003 - Radiology Customer Service</t>
  </si>
  <si>
    <t>Total LENOX_15653003</t>
  </si>
  <si>
    <t>15653005 Radiation Oncology</t>
  </si>
  <si>
    <t>LENOX_15653005 - Radiation Oncology</t>
  </si>
  <si>
    <t>A_65524 - Fire Sup-Reprs-Prchsd-Contr Sv</t>
  </si>
  <si>
    <t>A_65020 - Water &amp; Sewer</t>
  </si>
  <si>
    <t>A_65063 - Gas-LeaseProperty Var Pd to LL</t>
  </si>
  <si>
    <t>Total LENOX_15653005</t>
  </si>
  <si>
    <t>15653010 Interventional Radiology</t>
  </si>
  <si>
    <t>LENOX_15653010 - Interventional Radiology</t>
  </si>
  <si>
    <t>Total LENOX_15653010</t>
  </si>
  <si>
    <t>15653015 Radiology CTA</t>
  </si>
  <si>
    <t>LENOX_15653015 - Radiology CTA</t>
  </si>
  <si>
    <t>Total LENOX_15653015</t>
  </si>
  <si>
    <t>15653020 Radiology Diagnostic</t>
  </si>
  <si>
    <t>LENOX_15653020 - Radiology Diagnostic</t>
  </si>
  <si>
    <t>Total LENOX_15653020</t>
  </si>
  <si>
    <t>15653025 Radiology PET/CT</t>
  </si>
  <si>
    <t>LENOX_15653025 - Radiology PET/CT</t>
  </si>
  <si>
    <t>Total LENOX_15653025</t>
  </si>
  <si>
    <t>15653030 Radiology Ultrasound</t>
  </si>
  <si>
    <t>LENOX_15653030 - Radiology Ultrasound</t>
  </si>
  <si>
    <t>Total LENOX_15653030</t>
  </si>
  <si>
    <t>15653040 Radiology Cat Scan</t>
  </si>
  <si>
    <t>LENOX_15653040 - Radiology Cat Scan</t>
  </si>
  <si>
    <t>Total LENOX_15653040</t>
  </si>
  <si>
    <t>15653060 Radiology MRI</t>
  </si>
  <si>
    <t>LENOX_15653060 - Radiology MRI</t>
  </si>
  <si>
    <t>Total LENOX_15653060</t>
  </si>
  <si>
    <t>15653070 Radiology Blackhall</t>
  </si>
  <si>
    <t>LENOX_15653070 - Radiology Blackhall</t>
  </si>
  <si>
    <t>Total LENOX_15653070</t>
  </si>
  <si>
    <t>15653090 Radiology Mammography</t>
  </si>
  <si>
    <t>LENOX_15653090 - Radiology Mammography</t>
  </si>
  <si>
    <t>Total LENOX_15653090</t>
  </si>
  <si>
    <t>15653110 Nuclear Medicine</t>
  </si>
  <si>
    <t>LENOX_15653110 - Nuclear Medicine</t>
  </si>
  <si>
    <t>Total LENOX_15653110</t>
  </si>
  <si>
    <t>15655000 Dialysis Acute Dialysis</t>
  </si>
  <si>
    <t>LENOX_15655000 - Dialysis Acute Dialysis</t>
  </si>
  <si>
    <t>Total LENOX_15655000</t>
  </si>
  <si>
    <t>15656000 CT - Pharmacy</t>
  </si>
  <si>
    <t>LENOX_15656000 - CT - Pharmacy</t>
  </si>
  <si>
    <t>A_63410 - Blood Derivatives - Pharmacy</t>
  </si>
  <si>
    <t>A_63310 - Rx - Anticogulants</t>
  </si>
  <si>
    <t>A_63320 - Systemic Antiinfectives</t>
  </si>
  <si>
    <t>A_63330 - Antineoplastics</t>
  </si>
  <si>
    <t>A_63340 - Hematopoietic Agents</t>
  </si>
  <si>
    <t>A_63350 - Anesthesiology</t>
  </si>
  <si>
    <t>A_63368 - Interventional Cardiology</t>
  </si>
  <si>
    <t>A_63369 - Hemostatic Agents</t>
  </si>
  <si>
    <t>A_63372 - Outsourced</t>
  </si>
  <si>
    <t>A_63373 - Transplant Medications</t>
  </si>
  <si>
    <t>A_63374 - Modulation agents</t>
  </si>
  <si>
    <t>A_63376 - HIV Medications</t>
  </si>
  <si>
    <t>A_63377 - Thrombolytics</t>
  </si>
  <si>
    <t>A_63378 - Atypical Antipsychotics</t>
  </si>
  <si>
    <t>A_63383 - Drugs Non-Formulary</t>
  </si>
  <si>
    <t>A_63388 - Spinraza</t>
  </si>
  <si>
    <t>A_63391 - Vaccines</t>
  </si>
  <si>
    <t>Total LENOX_15656000</t>
  </si>
  <si>
    <t>15656020 Pharmacy Residency Expenses</t>
  </si>
  <si>
    <t>LENOX_15656020 - Pharmacy Residency Expenses</t>
  </si>
  <si>
    <t>Total LENOX_15656020</t>
  </si>
  <si>
    <t>15656050 CT - Physical Therapy IP</t>
  </si>
  <si>
    <t>LENOX_15656050 - CT - Physical Therapy IP</t>
  </si>
  <si>
    <t>Total LENOX_15656050</t>
  </si>
  <si>
    <t>15656060 CT - Sports Medicine OP</t>
  </si>
  <si>
    <t>LENOX_15656060 - CT - Sports Medicine OP</t>
  </si>
  <si>
    <t>Total LENOX_15656060</t>
  </si>
  <si>
    <t>15656090 Speech Therapy</t>
  </si>
  <si>
    <t>LENOX_15656090 - Speech Therapy</t>
  </si>
  <si>
    <t>Total LENOX_15656090</t>
  </si>
  <si>
    <t>15656110 CT - Respiratory Therapy</t>
  </si>
  <si>
    <t>LENOX_15656110 - CT - Respiratory Therapy</t>
  </si>
  <si>
    <t>Total LENOX_15656110</t>
  </si>
  <si>
    <t>15657000 Anesthesia</t>
  </si>
  <si>
    <t>LENOX_15657000 - Anesthesia</t>
  </si>
  <si>
    <t>Total LENOX_15657000</t>
  </si>
  <si>
    <t>15660010 OP Svc - Emergency Services</t>
  </si>
  <si>
    <t>LENOX_15660010 - OP Svc - Emergency Services</t>
  </si>
  <si>
    <t>Total LENOX_15660010</t>
  </si>
  <si>
    <t>15660030 ED Patient Care Svc Mgt</t>
  </si>
  <si>
    <t>LENOX_15660030 - ED Patient Care Svc Mgt</t>
  </si>
  <si>
    <t>Total LENOX_15660030</t>
  </si>
  <si>
    <t>15660040 NRSG - Emergency Room</t>
  </si>
  <si>
    <t>LENOX_15660040 - NRSG - Emergency Room</t>
  </si>
  <si>
    <t>A_63069 - Supplies - Imp - Intraculr Len</t>
  </si>
  <si>
    <t>Total LENOX_15660040</t>
  </si>
  <si>
    <t>15661010 OP Center for Mental Health</t>
  </si>
  <si>
    <t>LENOX_15661010 - OP Center for Mental Health</t>
  </si>
  <si>
    <t>Total LENOX_15661010</t>
  </si>
  <si>
    <t>15661015 OP Svc-Psychology</t>
  </si>
  <si>
    <t>LENOX_15661015 - OP Svc-Psychology</t>
  </si>
  <si>
    <t>Total LENOX_15661015</t>
  </si>
  <si>
    <t>15663400 OP Svc - Ambulatory Infusion</t>
  </si>
  <si>
    <t>LENOX_15663400 - OP Svc - Ambulatory Infusion</t>
  </si>
  <si>
    <t>Total LENOX_15663400</t>
  </si>
  <si>
    <t>15663430 OP Svc - Primary Care RDC</t>
  </si>
  <si>
    <t>LENOX_15663430 - OP Svc - Primary Care RDC</t>
  </si>
  <si>
    <t>Total LENOX_15663430</t>
  </si>
  <si>
    <t>15666000 OP Svc - Ambulatory Surgery</t>
  </si>
  <si>
    <t>LENOX_15666000 - OP Svc - Ambulatory Surgery</t>
  </si>
  <si>
    <t>Total LENOX_15666000</t>
  </si>
  <si>
    <t>15668000 OP Svc-Hematology Oncology</t>
  </si>
  <si>
    <t>LENOX_15668000 - OP Svc-Hematology Oncology</t>
  </si>
  <si>
    <t>Total LENOX_15668000</t>
  </si>
  <si>
    <t>15670000 Ambulance</t>
  </si>
  <si>
    <t>LENOX_15670000 - Ambulance</t>
  </si>
  <si>
    <t>Total LENOX_15670000</t>
  </si>
  <si>
    <t>15690000 Sup Svc-Plant Ops</t>
  </si>
  <si>
    <t>LENOX_15690000 - Sup Svc-Plant Ops</t>
  </si>
  <si>
    <t>Total LENOX_15690000</t>
  </si>
  <si>
    <t>15690010 Sup Svc-Facility Svc</t>
  </si>
  <si>
    <t>LENOX_15690010 - Sup Svc-Facility Svc</t>
  </si>
  <si>
    <t>Total LENOX_15690010</t>
  </si>
  <si>
    <t>15690020 Sup Svc-Biomedical</t>
  </si>
  <si>
    <t>LENOX_15690020 - Sup Svc-Biomedical</t>
  </si>
  <si>
    <t>Total LENOX_15690020</t>
  </si>
  <si>
    <t>15690030 General Maintenance</t>
  </si>
  <si>
    <t>LENOX_15690030 - General Maintenance</t>
  </si>
  <si>
    <t>Total LENOX_15690030</t>
  </si>
  <si>
    <t>15690040 Storeroom</t>
  </si>
  <si>
    <t>LENOX_15690040 - Storeroom</t>
  </si>
  <si>
    <t>Total LENOX_15690040</t>
  </si>
  <si>
    <t>15690060 Sup Svc-Construction</t>
  </si>
  <si>
    <t>LENOX_15690060 - Sup Svc-Construction</t>
  </si>
  <si>
    <t>Total LENOX_15690060</t>
  </si>
  <si>
    <t>15690080 Sup Svc - Engineerg And Maint</t>
  </si>
  <si>
    <t>LENOX_15690080 - Sup Svc - Engineerg And Maint</t>
  </si>
  <si>
    <t>A_64045 - Air Condition &amp; Refrig</t>
  </si>
  <si>
    <t>A_64090 - Non Med &amp; Non Surg Rebates</t>
  </si>
  <si>
    <t>A_65522 - Electric-Reprs-Prchsd-Contr Sv</t>
  </si>
  <si>
    <t>A_65523 - WaterTrtmt-Repr-Prchsd-Cont Sv</t>
  </si>
  <si>
    <t>A_65529 - Generator-Reprs-Prchsd-Cont Sv</t>
  </si>
  <si>
    <t>A_65531 - Purchased Service-Snow Remova</t>
  </si>
  <si>
    <t>Total LENOX_15690080</t>
  </si>
  <si>
    <t>15690100 Sup Svc-Utilities</t>
  </si>
  <si>
    <t>LENOX_15690100 - Sup Svc-Utilities</t>
  </si>
  <si>
    <t>A_65080 - Steam</t>
  </si>
  <si>
    <t>Total LENOX_15690100</t>
  </si>
  <si>
    <t>15691000 Sup Svc-Food and Nutrition</t>
  </si>
  <si>
    <t>LENOX_15691000 - Sup Svc-Food and Nutrition</t>
  </si>
  <si>
    <t>A_64500 - Dietary - Meat-Fish-Poultry</t>
  </si>
  <si>
    <t>A_64520 - Dietary - Dairy</t>
  </si>
  <si>
    <t>A_64540 - Dietary-Fruits And Vegetables</t>
  </si>
  <si>
    <t>A_64580 - Dietary - Kosher Foods</t>
  </si>
  <si>
    <t>A_64590 - Dietary - Rebates</t>
  </si>
  <si>
    <t>Total LENOX_15691000</t>
  </si>
  <si>
    <t>15691010 Sup Svc-Dietary</t>
  </si>
  <si>
    <t>LENOX_15691010 - Sup Svc-Dietary</t>
  </si>
  <si>
    <t>Total LENOX_15691010</t>
  </si>
  <si>
    <t>15691020 Sup Svc-Cafeteria</t>
  </si>
  <si>
    <t>LENOX_15691020 - Sup Svc-Cafeteria</t>
  </si>
  <si>
    <t>Total LENOX_15691020</t>
  </si>
  <si>
    <t>15691050 Sup Svc-Catering</t>
  </si>
  <si>
    <t>LENOX_15691050 - Sup Svc-Catering</t>
  </si>
  <si>
    <t>Total LENOX_15691050</t>
  </si>
  <si>
    <t>15692000 Sup Svc-Lobby Svc</t>
  </si>
  <si>
    <t>LENOX_15692000 - Sup Svc-Lobby Svc</t>
  </si>
  <si>
    <t>Total LENOX_15692000</t>
  </si>
  <si>
    <t>15692010 Sup Svc-Security</t>
  </si>
  <si>
    <t>LENOX_15692010 - Sup Svc-Security</t>
  </si>
  <si>
    <t>Total LENOX_15692010</t>
  </si>
  <si>
    <t>15693000 Sup Svc-Laundry and Linen</t>
  </si>
  <si>
    <t>LENOX_15693000 - Sup Svc-Laundry and Linen</t>
  </si>
  <si>
    <t>Total LENOX_15693000</t>
  </si>
  <si>
    <t>15693010 Environmental Services</t>
  </si>
  <si>
    <t>LENOX_15693010 - Environmental Services</t>
  </si>
  <si>
    <t>Total LENOX_15693010</t>
  </si>
  <si>
    <t>15693020 Sup Svc-Parking Garage</t>
  </si>
  <si>
    <t>LENOX_15693020 - Sup Svc-Parking Garage</t>
  </si>
  <si>
    <t>Total LENOX_15693020</t>
  </si>
  <si>
    <t>15693050 Sup Svc-Telecommunications</t>
  </si>
  <si>
    <t>LENOX_15693050 - Sup Svc-Telecommunications</t>
  </si>
  <si>
    <t>Total LENOX_15693050</t>
  </si>
  <si>
    <t>15693065 Sup Svc-NYC 1080 Lex Ave</t>
  </si>
  <si>
    <t>LENOX_15693065 - Sup Svc-NYC 1080 Lex Ave</t>
  </si>
  <si>
    <t>Total LENOX_15693065</t>
  </si>
  <si>
    <t>15693075 Sup Svc-NYC 122 E 76St</t>
  </si>
  <si>
    <t>LENOX_15693075 - Sup Svc-NYC 122 E 76St</t>
  </si>
  <si>
    <t>Total LENOX_15693075</t>
  </si>
  <si>
    <t>15693115 Sup Svc-NYC 186 E 76St</t>
  </si>
  <si>
    <t>LENOX_15693115 - Sup Svc-NYC 186 E 76St</t>
  </si>
  <si>
    <t>Total LENOX_15693115</t>
  </si>
  <si>
    <t>15693125 Sup Svc-NYC 1120 Lex Ave</t>
  </si>
  <si>
    <t>LENOX_15693125 - Sup Svc-NYC 1120 Lex Ave</t>
  </si>
  <si>
    <t>Total LENOX_15693125</t>
  </si>
  <si>
    <t>15693160 Sup Svc-Resident Housing</t>
  </si>
  <si>
    <t>LENOX_15693160 - Sup Svc-Resident Housing</t>
  </si>
  <si>
    <t>Total LENOX_15693160</t>
  </si>
  <si>
    <t>15698008 Lenox Hill Social Service Fund</t>
  </si>
  <si>
    <t>LENOX_15698008 - Lenox Hill Social Service Fund</t>
  </si>
  <si>
    <t>Total LENOX_15698008</t>
  </si>
  <si>
    <t>15698017 Gastroenterological Fund</t>
  </si>
  <si>
    <t>LENOX_15698017 - Gastroenterological Fund</t>
  </si>
  <si>
    <t>Total LENOX_15698017</t>
  </si>
  <si>
    <t>15699000 Corporate Retained Expenses</t>
  </si>
  <si>
    <t>LENOX_15699000 - Corporate Retained Expenses</t>
  </si>
  <si>
    <t>A_68910 - Income Tax- State</t>
  </si>
  <si>
    <t>Total LENOX_15699000</t>
  </si>
  <si>
    <t>0_530500 MHOTRS Clinic Enhancement Gran</t>
  </si>
  <si>
    <t>28799100_530500 - MHOTRS Clinic Enhancement Gran</t>
  </si>
  <si>
    <t>Total 28799100_530500</t>
  </si>
  <si>
    <t>0_595001 Cancer &amp; Prev Detectn Clinic</t>
  </si>
  <si>
    <t>28799100_595001 - Cancer &amp; Prev Detectn Clinic</t>
  </si>
  <si>
    <t>Total 28799100_595001</t>
  </si>
  <si>
    <t>0_595150 Raisler Center Maintenance Fd</t>
  </si>
  <si>
    <t>28799100_595150 - Raisler Center Maintenance Fd</t>
  </si>
  <si>
    <t>Total 28799100_595150</t>
  </si>
  <si>
    <t>0_595160 Center for Parent Education</t>
  </si>
  <si>
    <t>28799100_595160 - Center for Parent Education</t>
  </si>
  <si>
    <t>Total 28799100_595160</t>
  </si>
  <si>
    <t/>
  </si>
  <si>
    <t xml:space="preserve"> VISUAL VAULT LLC $642.50 per month ($7,710 per year); GRM INFORMATION MANAGEMENT SERVICES INC $101.72 per month ($1,220.64 per year);VIZIENT INC $7,528 per month ($90,336 per year) no longer using</t>
  </si>
  <si>
    <t>SPARCS Annual Assessment NYS DEPARTMENT OF HEALTH $16,611.33 per month ($199,335.96 per year)</t>
  </si>
  <si>
    <t>RENT450E63APT10G19 $3,197 per month ($38,364 per year); RENT1161YORKAPT12G $5,605 per month ($67,260 per year); Lease assignment transaction $49,578 per month ($594,930 per year); 115 East 75th $150,409 per month ($1,804,906 per year)</t>
  </si>
  <si>
    <t>READY REFRESH $36 per month ($432 per year)</t>
  </si>
  <si>
    <t>XEROX $2,259 per month ($27,108 per year)</t>
  </si>
  <si>
    <t>ORACLE AMERICA INC $215,713 per month ($2,588,556 per year); MICROSOFT CORP $134.64 per year ; SHI INTERNATIONAL CORP $2,832 per year</t>
  </si>
  <si>
    <t>LAUDIO $15,000 per month ($180,000 per year); MICROSOFT CORP $850 per year</t>
  </si>
  <si>
    <t>NYC DEPARTMENT OF FINANCE $450 per QTR ($1,800 per year); NYC DEPT OF BUILDINGS $180 per year</t>
  </si>
  <si>
    <t>NYC DEPARTMENT OF FINANCE ($1,054 June YTD actuals)</t>
  </si>
  <si>
    <t>NYC DEPARTMENT OF FINANCE $17,958.27 per month ($215,499.24 per year)</t>
  </si>
  <si>
    <t>EWT HOLDINGS III CORP $1,496.08 per month ($17,953 per year); FRESENIUS USA MARKETING INC $823.52 ($9,882.24 per year); MESA LABORATORIES INC $2,116 per year</t>
  </si>
  <si>
    <t>STAPLES ADVANTAGE $94.05 per month ($1,128.58 per year)</t>
  </si>
  <si>
    <t>STAPLES ADVANTAGE $3,734.02 annual</t>
  </si>
  <si>
    <t>COMMERCIAL CARD SOLUTIONS $1,478.14 annual; GREER CATHERINE $774.46 annual; STARCOM COMMUNICATIONS SERVICES INC 754.44 annual</t>
  </si>
  <si>
    <t>ORGANIZATIONAL PERFORMANCE</t>
  </si>
  <si>
    <t>GLENWOOD MANAGEMENT CORP moved to 66060 - Other Expenses</t>
  </si>
  <si>
    <t>GLENWOOD MANAGEMENT CORP $33,000 per month ($396,000 per year); OTHER EXPENSES totaling $1,634.28 per month ($69,611.34 per year)</t>
  </si>
  <si>
    <t>HORIZON MEDIA INC $10,755 per month ($129,062 per year) &amp; NORTH RIVER PROPERTY I LLC $225,000</t>
  </si>
  <si>
    <t>Endometriosis Foundation of America $10,000; American Heart Association $10,000; STEPHEN SILLER TUNNEL TO TOWERS $4,400; Amas Musical Theatre $8,000; National Kidney Foundation $7,500; NATIONAL OVARIAN CANCER COALITION  $10,000; AMERICAN CANCER $5,000; Pace and Harlem Fine Arts $10,000; Greater Harlem Chamber of Commerce $25,000; GARDEN THYME NYC $12,000; Downtown United Soccer Club  $40,000; Endometriosis Foundation of America $10,000; American Heart Association $10,000; GARDEN THYME NYC $12,000; GARDEN THYME NYC $12,000; Auxiliary $35,000</t>
  </si>
  <si>
    <t>Admin lunches and dinners</t>
  </si>
  <si>
    <t>CABLEVISION LIGHTPATH LLC $795 per month ($9,540 per year); READY REFRESH $36 per month ($432 per year)</t>
  </si>
  <si>
    <t>MICROSOFT CORP  / SHI INTERNATIONAL CORP (Using 2026 final projection $2,294)</t>
  </si>
  <si>
    <t>NOUVEAU ELEVATOR INDUSTRIES INC $666 per month ($9,330 per year)</t>
  </si>
  <si>
    <t>LANDAUER INC $1,647 per month ($19,758.96 per year); COMMERCIAL CARD SOLUTIONS $10,559 per year</t>
  </si>
  <si>
    <t xml:space="preserve">                                               -  </t>
  </si>
  <si>
    <t>ARCHCARE COMMUNITY SERVICES INC $23,126 per QTR ($92,504 per year)</t>
  </si>
  <si>
    <t>LENOX HILL BIKUR CHOLIM INC $8,625 per QTR ($34,500 per year)</t>
  </si>
  <si>
    <t>XEROX CORP $71 per month ($852 per year)</t>
  </si>
  <si>
    <t>SPIRITUAL MATERIALS AND FOOD FOR RELIGIOUS SERVICES</t>
  </si>
  <si>
    <t>2 Chaplin</t>
  </si>
  <si>
    <t>Chaplin Training</t>
  </si>
  <si>
    <t>XEROX CORP $86 per month ($1,033 per year)</t>
  </si>
  <si>
    <t>AcrobatProDC</t>
  </si>
  <si>
    <t>Western Region Finance Holiday Party</t>
  </si>
  <si>
    <t>Verizon $66 per month ($786 per year)</t>
  </si>
  <si>
    <t>Closing this department</t>
  </si>
  <si>
    <t xml:space="preserve">STERLING INFOSYSTEMS INC backround checks; 124 volunteers at $125 per </t>
  </si>
  <si>
    <t>Tokens for volunteers; to be charged to dietary</t>
  </si>
  <si>
    <t>$1,000 for Pet therapy</t>
  </si>
  <si>
    <t xml:space="preserve">Software licensing for Executive Health patient management and scheduling systems. </t>
  </si>
  <si>
    <t>Joe to get back; Related to the clinical practice</t>
  </si>
  <si>
    <t>PICG- D/C</t>
  </si>
  <si>
    <t>Minus  one copier Charge</t>
  </si>
  <si>
    <t>Adobe</t>
  </si>
  <si>
    <t>PSW</t>
  </si>
  <si>
    <t>Staples</t>
  </si>
  <si>
    <t>GWTG Stroke LHH ONLY</t>
  </si>
  <si>
    <t>CPHQ Certification</t>
  </si>
  <si>
    <t>PSW Posters</t>
  </si>
  <si>
    <t>PSW  Food</t>
  </si>
  <si>
    <t>Good Catch pins</t>
  </si>
  <si>
    <t>Good Catch Awards</t>
  </si>
  <si>
    <t>Good Catch Program</t>
  </si>
  <si>
    <t>Conference Travel; UBER</t>
  </si>
  <si>
    <t>Adobe, One source 1</t>
  </si>
  <si>
    <t>AMP TRACER</t>
  </si>
  <si>
    <t>JC Annual Fees Credentialing and Certification</t>
  </si>
  <si>
    <t>Fed EX OPMC</t>
  </si>
  <si>
    <t>Office cell phones</t>
  </si>
  <si>
    <t>3 printers given back, confirm department swap</t>
  </si>
  <si>
    <t>oxygen concentrators, emergency situations</t>
  </si>
  <si>
    <t>buffer for supplies</t>
  </si>
  <si>
    <t>e-faxing system</t>
  </si>
  <si>
    <t>starcom</t>
  </si>
  <si>
    <t>conference?</t>
  </si>
  <si>
    <t>Iron mountain records management</t>
  </si>
  <si>
    <t>medicaid chart reviews</t>
  </si>
  <si>
    <t>2025 holiday gift, fell on 2026</t>
  </si>
  <si>
    <t>sw, case management week, holiday</t>
  </si>
  <si>
    <t>pizza for snowstorm</t>
  </si>
  <si>
    <t>omny cards for patient discharge</t>
  </si>
  <si>
    <t>new hires + 600 (case mgmt assc, cert exam)</t>
  </si>
  <si>
    <t>monthly medical board ($260), physician meals ($1700 monthly), orientation ($70 * 3x)</t>
  </si>
  <si>
    <t>marjorie &amp; erin (adobe pro)</t>
  </si>
  <si>
    <t>two conferences 2027</t>
  </si>
  <si>
    <t>items for events</t>
  </si>
  <si>
    <t>doctors day and medical staff reception</t>
  </si>
  <si>
    <t>catering for the above</t>
  </si>
  <si>
    <t>conference meals</t>
  </si>
  <si>
    <t>conference airfare</t>
  </si>
  <si>
    <t>conference hotels</t>
  </si>
  <si>
    <t>PENSKE LOGISTICS LLC</t>
  </si>
  <si>
    <t>TFORCE FINAL MILE LLC $2,500 moved to 15600180 - Health Info Mgt</t>
  </si>
  <si>
    <t>XEROX CORP $629 per month ($7,553 per year)</t>
  </si>
  <si>
    <t>IRON MOUNTAIN RECORDS MGT $206 per year</t>
  </si>
  <si>
    <t>STAPLES ADVANTAGE $174 per year</t>
  </si>
  <si>
    <t>STAPLES ADVANTAGE $349 per month ( $4,118)</t>
  </si>
  <si>
    <t>Tumor Registar</t>
  </si>
  <si>
    <t>IRON MOUNTAIN RECORDS MGT $1,075 per year</t>
  </si>
  <si>
    <t>STAPLES ADVANTAGE</t>
  </si>
  <si>
    <t>HIM Week</t>
  </si>
  <si>
    <t>ELEKTA INC $3,454 per invoice five times per year ($16,409 per year)</t>
  </si>
  <si>
    <t>TFORCE FINAL MILE LLC</t>
  </si>
  <si>
    <t>STERICYCLE  INC $361 per month ($4,334 per year)</t>
  </si>
  <si>
    <t>VERIZON WIRELESS $33 per month ($396 per year)</t>
  </si>
  <si>
    <t>Xerox</t>
  </si>
  <si>
    <t>Move to Food and Nutrition $3,750 per Qt ($15,000 per year)</t>
  </si>
  <si>
    <t>Safe and Sound Armored - Armored car 2x per week $69 per pick up - (52 weeks * 2 Pickups * $69 = $7,176)</t>
  </si>
  <si>
    <t>RCC lunch and learn</t>
  </si>
  <si>
    <t>Water for lobby</t>
  </si>
  <si>
    <t>Uniforms 5 employees * $500 each</t>
  </si>
  <si>
    <t>$219k Amenity Kits, $3,000 Pt Fans, $10,000 Sound Amplifiers, Chargers</t>
  </si>
  <si>
    <t>Confrences</t>
  </si>
  <si>
    <t>IRON MOUNTAIN RECORDS MGT</t>
  </si>
  <si>
    <t>Sterling N. America &amp; Printing Misc Signage / Posters / Patient Cards (Guest Svcs &amp; Caregiver $4k)</t>
  </si>
  <si>
    <t xml:space="preserve">Pt. Experience Week $12k </t>
  </si>
  <si>
    <t>Lost Dentures and extensions of self</t>
  </si>
  <si>
    <t>Holistic and Awards</t>
  </si>
  <si>
    <t>PFPC</t>
  </si>
  <si>
    <t>MOOD MEDIA LLC</t>
  </si>
  <si>
    <t>Amenity Kits</t>
  </si>
  <si>
    <t>CIPHERHEALTH LLC discharge calls $44,000 per year; Rounding $93,000 per year</t>
  </si>
  <si>
    <t>LANGUAGE LINE SERVICES INC $47,385 per month ($568,622 per year)</t>
  </si>
  <si>
    <t>Patient Access Week</t>
  </si>
  <si>
    <t>XEROX CORP</t>
  </si>
  <si>
    <t>SHI INTERNATIONAL CORP (Acrobat software)</t>
  </si>
  <si>
    <t>CDW GOVERNMENT INC</t>
  </si>
  <si>
    <t>Emplyoee Engament</t>
  </si>
  <si>
    <t>CONVERGENT IMAGING SOLUTIONS $14,000 per year;  IMMERSIVETOUCH INC $70,000 per year; SECURITAS TECHNOLOGY CORPORATION $29,608 per year; CIPHERHEALTH LLC moved to patient experience</t>
  </si>
  <si>
    <t>ADVANCE SOUND COMPANY (NYC - Prevailing Wage Onsite Service Contract $10,000)</t>
  </si>
  <si>
    <t>STARCOM COMMUNICATIONS SERVICES INC</t>
  </si>
  <si>
    <t>AT&amp;T $39 per month ($465 per year) / Charter $230 per month ($2,760 per year) / Verizon $169 per month ($2,028 per year)</t>
  </si>
  <si>
    <t>In-country consulting representatives. DR $66K. Bermuda $60K. Cayman $60K (new office launch Oct 2026) .Panama $50K .Mexico/Canada business development consultant $20K(Q3/Q4 2027.</t>
  </si>
  <si>
    <t>Annual lease for the International Patient Services office at 139 East 59th Street, New York, NY</t>
  </si>
  <si>
    <t xml:space="preserve">UiPath process automation platform licensing for international medical record collection, processing, and workflow management. </t>
  </si>
  <si>
    <t xml:space="preserve">Patient experience supplies for Signature Lounge patients and all international patients receiving care at Northwell. </t>
  </si>
  <si>
    <t>Professional organization membership dues.  USCIPP (US Cooperative for International Patient Programs) annual membership</t>
  </si>
  <si>
    <t>Multi-language publications and subscriptions for the Medical Tourism office and Signature Lounge.</t>
  </si>
  <si>
    <t>Certified Medical Interpreter (CMI) training program for all International Patient Services staff.</t>
  </si>
  <si>
    <t>Marketing materials and patient collateral production for all five international markets in multiple languages.</t>
  </si>
  <si>
    <t>Patient experience and service recovery items for Signature Lounge and all international patients</t>
  </si>
  <si>
    <t xml:space="preserve">Advertising and digital content production for international markets. </t>
  </si>
  <si>
    <t>Branded marketing and promotional materials for all international offices and events.</t>
  </si>
  <si>
    <t>Audio-visual equipment and services for international events and office operations.</t>
  </si>
  <si>
    <t>International business development events, CME programs, and partnership launch events across all markets.</t>
  </si>
  <si>
    <t>Business development meals and physician relationship dinners across all international markets.</t>
  </si>
  <si>
    <t xml:space="preserve">Local mileage reimbursement for staff driving to patient-related appointments, hospital site visits, and local meetings within the NYC metropolitan area. </t>
  </si>
  <si>
    <t xml:space="preserve">International and domestic business development travel to all active markets, conferences, and partner locations. </t>
  </si>
  <si>
    <t>Patient transport for urgent use</t>
  </si>
  <si>
    <t>Shipping and freight costs for marketing materials, promotional items, office supplies, and event materials sent to all international offices</t>
  </si>
  <si>
    <t xml:space="preserve">Software maintenance and technical support costs. </t>
  </si>
  <si>
    <t>No cloud maintenance and support costs expected in 2027.</t>
  </si>
  <si>
    <t>Credit for laboratory services purchased internally from Northwell labs for international patients.</t>
  </si>
  <si>
    <t>No door lock repair costs expected in 2027</t>
  </si>
  <si>
    <t>Purchased services for international patient care coordination and Signature Lounge operations.</t>
  </si>
  <si>
    <t>No credentialing costs expected in 2027.</t>
  </si>
  <si>
    <t>Common Area Maintenance</t>
  </si>
  <si>
    <t>Messenger and courier services for medical record delivery, insurance documentation, legal correspondence, and time-sensitive patient materials.</t>
  </si>
  <si>
    <t>External professional translation services for medical documents, legal agreements, and patient communications requiring certified translation.</t>
  </si>
  <si>
    <t>No separate electric utility charges expected in 2027.</t>
  </si>
  <si>
    <t>Disposable service supplies for the Medical Tourism office at 139 E 59th Street</t>
  </si>
  <si>
    <t>Telecommunications costs for the Medical Tourism team.</t>
  </si>
  <si>
    <t>Incorrectly Billed to this cost center. Unsure where these charges were delivered</t>
  </si>
  <si>
    <t>$1K for Leadership conference registration. $8K for NM/ANM/AND re-certfication for both LHH and NGVH.</t>
  </si>
  <si>
    <t>12 months run rate</t>
  </si>
  <si>
    <t>Petty cash</t>
  </si>
  <si>
    <t>Travel and Hotel for nurse leader conference</t>
  </si>
  <si>
    <t>All Flexstaff Travel Allowance should budget in Nursing Admin here.</t>
  </si>
  <si>
    <t xml:space="preserve"> Director conference registration</t>
  </si>
  <si>
    <t>Travel and Hotel for nurse director conference</t>
  </si>
  <si>
    <t>Budget the same as 2026. Expenses will be charging this year in Q3 &amp;Q4</t>
  </si>
  <si>
    <t>Educator conference registration</t>
  </si>
  <si>
    <t>2026 Nurses Week expenses to be paid from here</t>
  </si>
  <si>
    <t>2 educators are scheduled to attend nursing conferences in the Fall</t>
  </si>
  <si>
    <t>Fedex</t>
  </si>
  <si>
    <t>AHA software</t>
  </si>
  <si>
    <t>Maintain instructor certifications</t>
  </si>
  <si>
    <t>Budgeting 2 phone in 2027 for leaders</t>
  </si>
  <si>
    <t>PDD conference fees reimbursement  for all 3 sites. Contractually obligated by NYPNU</t>
  </si>
  <si>
    <t>Travel and Hotel for nurses conferences. Contractually obligated travel expense</t>
  </si>
  <si>
    <t>budget under outside training</t>
  </si>
  <si>
    <t>Budgeted in nursing education cost center</t>
  </si>
  <si>
    <t>WOCN conference registration</t>
  </si>
  <si>
    <t>Budget from 6 East 15612060</t>
  </si>
  <si>
    <t>EFM certifications for  10 RNs includes both High Risk and OBRT units.</t>
  </si>
  <si>
    <t>$98 Budget from 6 East 15612060</t>
  </si>
  <si>
    <t>NM &amp; ANM conference budget in 6U</t>
  </si>
  <si>
    <t>$445 Budget from 6 East 15612060</t>
  </si>
  <si>
    <t>EFM certificaiton budget in Outside Training account</t>
  </si>
  <si>
    <t>Charge for Tipton writing consultation coming later this year</t>
  </si>
  <si>
    <t>PG Nursing Excellence Services - data management/org for Magnet document + Nurse engagement survey ($16K)</t>
  </si>
  <si>
    <t>Office Supplies, certificate holders, card stock for awards</t>
  </si>
  <si>
    <t>Annual Membership to NDNQI/PG/New Magnet Manual</t>
  </si>
  <si>
    <t>Magnet Conference Registration, MPD, PM and 7-8 RNs/Magnet Bootcamp for new MPD</t>
  </si>
  <si>
    <t>Printing for all conference posters/banners/etc. Expected from system CNO</t>
  </si>
  <si>
    <t>Required Magnet Advertising</t>
  </si>
  <si>
    <t>Apparel for conference will be charged late september</t>
  </si>
  <si>
    <t xml:space="preserve"> Group meal for ANCC Magnet conference attendees</t>
  </si>
  <si>
    <t>Travel to system meetings. MPD mock site visits, gap analysis, leadership beginnings presentations, MPD meetings</t>
  </si>
  <si>
    <t>Magnet Conference Travel expenses (flights, hotels for ~10 people)</t>
  </si>
  <si>
    <t>Adobe Pro &amp; Visio fees</t>
  </si>
  <si>
    <t>Annual Fee to maintain Magnet - paid to ANCC</t>
  </si>
  <si>
    <t>cell phone for MPD</t>
  </si>
  <si>
    <t>Leadership conference registration</t>
  </si>
  <si>
    <t>Petty Cash</t>
  </si>
  <si>
    <t>Beacon Awaed Renewal</t>
  </si>
  <si>
    <t>budget under cost center 15652050</t>
  </si>
  <si>
    <t>Anticpated 10% increase of medical supplies due to the deliveries increased. $49K for the Joey band piol program in the c-section.</t>
  </si>
  <si>
    <t>$6,750 for 15 RNs EFM certifications ($450 per RNs), $1000 for NM / ANM conference</t>
  </si>
  <si>
    <t>Lenox: The Stryker L&amp;D Subscri</t>
  </si>
  <si>
    <t>GE HEALTHCARE IIT USA CORP</t>
  </si>
  <si>
    <t>the EFM will be budget in outside training account.</t>
  </si>
  <si>
    <t>Budget move to High Risk cost center 15610045. Please close this unit.</t>
  </si>
  <si>
    <t>both 6U &amp; 4M office supplies still hitting here. $600 for the price increased for the Postpartum folders with the new vendor.</t>
  </si>
  <si>
    <t>Postpartum guide book - $19.8K budget in 4M 15613020.</t>
  </si>
  <si>
    <t>12 month run rate</t>
  </si>
  <si>
    <t>12 months run rate, The machines in this unit are older than 4M which will require repairs more often</t>
  </si>
  <si>
    <t>EFM budget under High Risk cost center 15610045</t>
  </si>
  <si>
    <t>Travel reimbursement for new NYPNU team members to LI for orientation. Expenses will be centralized.</t>
  </si>
  <si>
    <t>DMO USER LICENSE $71 per month ($1,486 per year)</t>
  </si>
  <si>
    <t>STAPLES ADVANTAGE $2,842 per year</t>
  </si>
  <si>
    <t>THE WHITE STONE GROUP INC $93 per year</t>
  </si>
  <si>
    <t>VARIOUS CREDENTIAL REIMBURSEMENTS</t>
  </si>
  <si>
    <t>12 month run rate. Included Special Formula from formula company for certain babies not tolerating feeds.</t>
  </si>
  <si>
    <t>6k for Dr. Brown's bottles and nipples requested by Speech</t>
  </si>
  <si>
    <t>12 months run rate. There usually more deliveries in the Fall &amp; Winter time.</t>
  </si>
  <si>
    <t>12 months run rate. There usually more deliveries in the Fall &amp; Winter time. $19.8K for postpartum guide book "Your Guide to Postpartum and Newborn Care" currently charged in 6 Uris and willing to split the budget of the expenses between 2 units.</t>
  </si>
  <si>
    <t>Funds needed to maintain equipment</t>
  </si>
  <si>
    <t>phone for the unit leaders</t>
  </si>
  <si>
    <t>CATERING DIETARY CHARGE OUT $1,079 per year</t>
  </si>
  <si>
    <t>ITAMAR MEDICAL INC $5,664 per month ($67,968 per year)</t>
  </si>
  <si>
    <t>XEROX CORP $60 per month ($717 per year)</t>
  </si>
  <si>
    <t>ITAMAR MEDICAL INC $11,144 per Month ($133,729 per year) | MVAP MEDICAL SUPPLIES INC $1,189 per Month ($14,271) | SENTEC $582 Semi-Yearly $582 ($1,164 per year)</t>
  </si>
  <si>
    <t>AMBU INC, BANDAGE PLUS, CARDINAL HEALTH MEDICAL PRODUCTS AND SVC, PARTSSOURCE LLC $10,764 per year</t>
  </si>
  <si>
    <t>COMPUMEDICS USA INC - GRAEL V2 HD-PSG Sleep Diagnost annual contract</t>
  </si>
  <si>
    <t>MONTHLY NEXUS 360 SERVICE - PY Actual</t>
  </si>
  <si>
    <t>PHOENIX MEDCOM INC $1,302 per month ($15,624 per year)</t>
  </si>
  <si>
    <t>FEDEX $38,012 per year</t>
  </si>
  <si>
    <t>VERIZON WIRELESS $70 per month ($840 per year)</t>
  </si>
  <si>
    <t>recommending to close this cost center</t>
  </si>
  <si>
    <t>budget under Nursing Admin cost center 15610000</t>
  </si>
  <si>
    <t>Beacon Award Renewal</t>
  </si>
  <si>
    <t>budget the same as 2026</t>
  </si>
  <si>
    <t>XEROX $391 per month ($4,694)</t>
  </si>
  <si>
    <t>ELITE PROMO INC Semi-Year $2,619 ($5,238 per year)</t>
  </si>
  <si>
    <t>budget under Travel account</t>
  </si>
  <si>
    <t>Adjusted based on increase in chemo pts</t>
  </si>
  <si>
    <t>Late invoice from 2025</t>
  </si>
  <si>
    <t xml:space="preserve">Clearpoint IRRAflow (new equipment) </t>
  </si>
  <si>
    <t>Look into expense; might be misclassified</t>
  </si>
  <si>
    <t>Offset by supplies other non medical</t>
  </si>
  <si>
    <t>annual transport conf skipped in 2026 due to EPIC launch. Plan to attend Q2 2027</t>
  </si>
  <si>
    <t>Primary spend is in Nov for transport week and dec for holiday celebration</t>
  </si>
  <si>
    <t>Combined with below: 12K total Honorarium for GME speakers and Health Equity Speakers; 2026 Projection Adjustment: GME Speakers: 2026 Grand Rounds Speakers: Gia Merlo, Victor Schwartz, William Breitbart , 1K each $3000 Total; 2026 Health Equity Speakers: Daniel Gaztambide: $1000 + 2 end of year speakers, team pronoun badges- $3K total</t>
  </si>
  <si>
    <t>See above</t>
  </si>
  <si>
    <t>Remove line; SUNY Downstate contract ended</t>
  </si>
  <si>
    <t>No hospital catering for this cost center</t>
  </si>
  <si>
    <t>Pre-populated: Water Cooler- Water Logic USA/Quench</t>
  </si>
  <si>
    <t>Copier Leasing- pre populated</t>
  </si>
  <si>
    <t>Adobe Annual Fee: T. Ross, N. Tanusakdi, J. Guzman, Admin Coordinator, S. Goshin, A. Darrien: 6-10 team members</t>
  </si>
  <si>
    <t>Pre-populated- DMO user license</t>
  </si>
  <si>
    <t>Remove line</t>
  </si>
  <si>
    <t>CME Budget: $6662</t>
  </si>
  <si>
    <t>Supplies (Staples and Amazon) for 111 E. 77th St.: general office supplies; Changes in the department (several promotions where updated stationery is needed), new hires and more residents</t>
  </si>
  <si>
    <t>Same types of purchase as above</t>
  </si>
  <si>
    <t>CME Budget: $7687</t>
  </si>
  <si>
    <t>CME Budget: $1794</t>
  </si>
  <si>
    <t>CME Budget: $4356</t>
  </si>
  <si>
    <t>Pre-populated Iron Mountain Records Management</t>
  </si>
  <si>
    <t xml:space="preserve">Staples Advantage </t>
  </si>
  <si>
    <t>Outside Catering ($3000) and Holiday Party ($3300)</t>
  </si>
  <si>
    <t>CME Budget: $1794; Graduation $3050; Employee Engagement event/misc meals $1333: $6177 total</t>
  </si>
  <si>
    <t>$4644 Total: CME Budget: $3331; $1313 Travel to L.I. Meetings (25): 25 Rides @ $30/ride $750 + $562.50 LIRR</t>
  </si>
  <si>
    <t>Prep-populated: Quench Line #2</t>
  </si>
  <si>
    <t>Verizon Wireless, E-Fax</t>
  </si>
  <si>
    <t>Pre-populated</t>
  </si>
  <si>
    <t>Fed Ex</t>
  </si>
  <si>
    <t>Pre-populated: Stericycle?</t>
  </si>
  <si>
    <t>Verizon Wireless phones $5100/annually ($424/month)</t>
  </si>
  <si>
    <t>Prepopulated</t>
  </si>
  <si>
    <t>ECT Supplies- expect additional order in 2026</t>
  </si>
  <si>
    <t>CME Budget:4108</t>
  </si>
  <si>
    <t>Laundry Detergent for inpatient unit</t>
  </si>
  <si>
    <t>Urgent supplies that are needed for the unit: printer ink, bendy pens, special needs supplies, stress balls, creative arts supplies</t>
  </si>
  <si>
    <t>Similar supplies as above - creative arts supplies</t>
  </si>
  <si>
    <t>CME Budget: 4740</t>
  </si>
  <si>
    <t>CME Budget: 1106</t>
  </si>
  <si>
    <t>CME Budget: 2686</t>
  </si>
  <si>
    <t>Pre-pop</t>
  </si>
  <si>
    <t>Pre-pop; Creative Arts Supplies</t>
  </si>
  <si>
    <t>Remove the line</t>
  </si>
  <si>
    <t>CME Budget:1106; Nurses/Psychology week/SW:$500; $1606 total</t>
  </si>
  <si>
    <t>CME Budget: 2054</t>
  </si>
  <si>
    <t>pre-populated</t>
  </si>
  <si>
    <t>pre-populated; Dragon DMO</t>
  </si>
  <si>
    <t xml:space="preserve">pre-pop </t>
  </si>
  <si>
    <t>pre-populated; Verizon Wireless; Zoom for court</t>
  </si>
  <si>
    <t>Expense mitigation - moved to meals &amp; entertainment</t>
  </si>
  <si>
    <t>XEROX CORP $224 per month ($2,688 per year)</t>
  </si>
  <si>
    <t>Move to Urology Residency cost center</t>
  </si>
  <si>
    <t>AMBU INC $1,990 per year | BARD MEDICAL $1,588 per year</t>
  </si>
  <si>
    <t>Visiting professor</t>
  </si>
  <si>
    <t>ZOOM VIDEO COMMUNICATIONS INC $15 per month ($180 per year)</t>
  </si>
  <si>
    <t>Catering Dietary Charge Out</t>
  </si>
  <si>
    <t>XEROX rentals</t>
  </si>
  <si>
    <t>Ashma &amp; pulmonary function testings - disposables</t>
  </si>
  <si>
    <t>Pulmonary testings masks - anticipated to use more in 2027. Some masks reached end of life</t>
  </si>
  <si>
    <t>Most of ordering to be charged to 15656110 - CT - Respiratory Therapy</t>
  </si>
  <si>
    <t>VERIZON WIRELESS $75 per month ($900 per year)</t>
  </si>
  <si>
    <t>SUTTON HOUSE ASSOCIATED $8,134 per month ($97,610 per year)</t>
  </si>
  <si>
    <t>DMO user license fee</t>
  </si>
  <si>
    <t>MVAP MEDICAL SUPPLIES INC $11,918; NATUS MEDICAL INC $44,788</t>
  </si>
  <si>
    <t>Adults and Peds Accredidation</t>
  </si>
  <si>
    <t>Stroke APEX INNOVATIONS LLC</t>
  </si>
  <si>
    <t>SUTTON HOUSE ASSOCIATED</t>
  </si>
  <si>
    <t>XEROX CORP $288 per month ($3,454 per year)</t>
  </si>
  <si>
    <t>DMO (DRAGON MEDICAL ONE) User license fee</t>
  </si>
  <si>
    <t>Lab coats</t>
  </si>
  <si>
    <t>REGISTRATION FEES FOR CONFERENCES $1,098 per year</t>
  </si>
  <si>
    <t>VARIOUS CAB/TAXI REIMBURSEMNTS $1,852 per year</t>
  </si>
  <si>
    <t xml:space="preserve">based on 12FTEs and $1500 annual CME/CREDENTIALING budget </t>
  </si>
  <si>
    <t>VERIZON WIRELESS $33 per month (396 per year)</t>
  </si>
  <si>
    <t>XEROX CORP $332 per month ($3,983 per year per year)</t>
  </si>
  <si>
    <t>MEDIVIS INC $3,125 per month ($37,500 per year)</t>
  </si>
  <si>
    <t xml:space="preserve"> $3k pituitary network, $3.5k aneurysm foundation, $2k ABTA </t>
  </si>
  <si>
    <t>Promo items for events</t>
  </si>
  <si>
    <t>Events specific to Neuro</t>
  </si>
  <si>
    <t>Research AVP</t>
  </si>
  <si>
    <t>BrainLab ORs 24 / 25 software at $14K and support at $17,207.08 / IR Lab software at $7K and support at $9,783.94. $17K expensed in 2025; adding 2026 $48K for remaining</t>
  </si>
  <si>
    <t>Quicktome $60,333 per year + $30,000 for overage fees. Surgical planning for surgeons</t>
  </si>
  <si>
    <t>Based on $1500/ACP for CME and credentialing</t>
  </si>
  <si>
    <t>AT&amp;T MOBILITY II LLC $45 per month ($540 per year) | VERIZON WIRELESS $66 per month ($792 per month)</t>
  </si>
  <si>
    <t>SUNY Downstate $28,205 per month ($338,460 per year)</t>
  </si>
  <si>
    <t>Disposable scopes for resident use</t>
  </si>
  <si>
    <t>READY REFRESH $49 per month ($588 per year)</t>
  </si>
  <si>
    <t>OLYMPUS AMERICA INC $400 per month ($4,800 per year)</t>
  </si>
  <si>
    <t>Do we need department - potential to reclass expenses elsewhere</t>
  </si>
  <si>
    <t>Sterile 4 oz Specimen Containers</t>
  </si>
  <si>
    <t>HoverMatt mattress, exam gloves, needles, etc</t>
  </si>
  <si>
    <t>Omnipaque 350 mg/mL Injection</t>
  </si>
  <si>
    <t>IV catheter</t>
  </si>
  <si>
    <t>Towels</t>
  </si>
  <si>
    <t>skin cleaning &amp; preparation items</t>
  </si>
  <si>
    <t>tissues &amp; wipes</t>
  </si>
  <si>
    <t>Amendment Fees - Budget sits in 65536 - Oth Purch Serv- Credentialling</t>
  </si>
  <si>
    <t>NONPF Conference, National Org</t>
  </si>
  <si>
    <t>NONPF Conference Accommodation</t>
  </si>
  <si>
    <t>SIEMENS MEDICAL SOLUTIONS USA INC $33,680.5 per Qt ($134,722 per year)</t>
  </si>
  <si>
    <t>Amendment Fee ($235 twice per year) &amp; $235 once per year. Hitting 66000 - Dues but budget sits here</t>
  </si>
  <si>
    <t>XEROX CORP $224 per month ($2,690 per year)</t>
  </si>
  <si>
    <t>ATP cartridge</t>
  </si>
  <si>
    <t>SHEA Membership ($355) &amp; Membership Dues for APIC ($255) for 2</t>
  </si>
  <si>
    <t>Registration Fee for ICPIC ($715) + 3 nights for hotel + travel ($700) - Move travel expense to travel account</t>
  </si>
  <si>
    <t>New isolation signs - one time expense for 2026; purchasing for all units</t>
  </si>
  <si>
    <t>Infection prevention week</t>
  </si>
  <si>
    <t>1 to be moved to GV</t>
  </si>
  <si>
    <t>QUENCH USA INC $636 per QTR ($636 per year)</t>
  </si>
  <si>
    <t>XEROX CORP $1,771 per year</t>
  </si>
  <si>
    <t>CARDINAL HEALTH MEDICAL PRODUCTS AND SVC $111,508 per year</t>
  </si>
  <si>
    <t>STAPLES ADVANTAGE $1,806 per year</t>
  </si>
  <si>
    <t>REGISTRATION FEES FOR CONFERENCES $3,240</t>
  </si>
  <si>
    <t>CONVERGEONE SYSTEMS INTEGRATION INC $</t>
  </si>
  <si>
    <t>based on $1500/ACP for CME/credentialing</t>
  </si>
  <si>
    <t>FEDEX</t>
  </si>
  <si>
    <t>VERIZON WIRELESS $248 per month ($2,976 per year)</t>
  </si>
  <si>
    <t>Catering Dietary Charge Out $9,914 per year</t>
  </si>
  <si>
    <t>XEROX CORP $7,854 per year</t>
  </si>
  <si>
    <t>DMO (Dragon Medical User) license fee</t>
  </si>
  <si>
    <t>IRON MOUNTAIN RECORDS MGT $505 per year</t>
  </si>
  <si>
    <t>ALLIANCE ACADEMIC INTERNAL MEDICINE $2,985 per year</t>
  </si>
  <si>
    <t>IRON MOUNTAIN RECORDS MGT $226 per month ($2,712 per year)</t>
  </si>
  <si>
    <t>SPOK INC $68 per month ($818 per year)</t>
  </si>
  <si>
    <t>CONVERGEONE SYSTEMS INTEGRATION INC $882 per year</t>
  </si>
  <si>
    <t>GRM INFORMATION MANAGEMENT SERVICES INC $5 per month ($60 per year)</t>
  </si>
  <si>
    <t>AT&amp;T MOBILITY II LLC $45 per month ($540 per year) | VERIZON WIRELESS $98 per month ($1,176 per month)</t>
  </si>
  <si>
    <t>On Call Dr. Kessler &amp; Dr. Velchek</t>
  </si>
  <si>
    <t>Grand rounds $200 bi weekly</t>
  </si>
  <si>
    <t>VERMONT OXFORD NETWORK INC</t>
  </si>
  <si>
    <t>Safety officer coverage $1,900,000; Garden Delivery $400,000 $1,200 per delivery 333 deliveries</t>
  </si>
  <si>
    <t>SRC COE Endometriosis $10,000; MIGS $5,000; $10,000 Marketing for suite brochures, tour videos, and patient facing materials</t>
  </si>
  <si>
    <t>HALO DREAM INC USA Patient Gifts</t>
  </si>
  <si>
    <t>MAP COMMUNICATIONS INC $997.83 per month ($11,974 per year); $1,000 for Mothers Day event</t>
  </si>
  <si>
    <t>REGISTRATION FEES FOR CONFERENCES</t>
  </si>
  <si>
    <t>XEROX CORP $1,835 per year</t>
  </si>
  <si>
    <t>VERIZON WIRELESS $57 per month ($682 per year)</t>
  </si>
  <si>
    <t>XEROX CORP $330 per month ($3,960)</t>
  </si>
  <si>
    <t>On-Call Clinical Services $20,227 per Month ($242,724 per year)</t>
  </si>
  <si>
    <t>AAOS Spine Registry Licenses</t>
  </si>
  <si>
    <t>DMO (Dragon Medical One) User license fee</t>
  </si>
  <si>
    <t>ORNER ASSOCIATES</t>
  </si>
  <si>
    <t>LIJMC Med Society dues</t>
  </si>
  <si>
    <t>ARTHRITIS FOUNDATION $15,000 per year</t>
  </si>
  <si>
    <t>2026 Budget "COUNCIL ON FOREIGN RELATIONS INC $11,150 per year | VARIOUS REIMBUREMENTS $16,000 per year  | PARK AVENUE STYLE AND EVENTS INC $10,000 per year"</t>
  </si>
  <si>
    <t>QUENCH USA INC $83 per QTR ($332 per year)</t>
  </si>
  <si>
    <t>DMO user license</t>
  </si>
  <si>
    <t>Lab Coat cleaning</t>
  </si>
  <si>
    <t>ZOOM VIDEO COMMUNICATIONS INC $66 per month ($792 per year)</t>
  </si>
  <si>
    <t xml:space="preserve">VERIZON WIRELESS $66 per month ($793 per year) </t>
  </si>
  <si>
    <t>Dragon</t>
  </si>
  <si>
    <t xml:space="preserve">ACOG, CREOG, MYTIP, EMIGS, AUGS, AAGL, ASCCP, SASGOG  </t>
  </si>
  <si>
    <t>Resident Graduation $35,910; Resident Wellness $5,000</t>
  </si>
  <si>
    <t>ABR $3,500</t>
  </si>
  <si>
    <t>Awards for residents</t>
  </si>
  <si>
    <t>4 Jackets per resident * $76 per</t>
  </si>
  <si>
    <t>ELSEVIER INC</t>
  </si>
  <si>
    <t>Events in the Fall have not hit</t>
  </si>
  <si>
    <t>Should've been charged to 15642150</t>
  </si>
  <si>
    <t>Manuscript submission fee</t>
  </si>
  <si>
    <t>Boston Apartment $2,856 per month ($34,272 per year); Jersey Shore short term rental $2,000 per month ($8,000 per year)</t>
  </si>
  <si>
    <t>Lead</t>
  </si>
  <si>
    <t>Lab Coats</t>
  </si>
  <si>
    <t xml:space="preserve">BIOSKILLS LAB FEE FOR ORTHOPED $28,000; $3,900 AOBasic; AOS $2,000 ; Tumor Course $1,600; Cadaver $15,000; AOSSM sports medicine $2,600; Shoulder360 $2,000; CCJR conference $1,900; MSK Ultrasound $2,500; AO Course $6,000; </t>
  </si>
  <si>
    <t>Graduation $33,000; Resident and Fellow Socials $7,000</t>
  </si>
  <si>
    <t>Baltimore Housing $2,064 per month ($12,384 per year)</t>
  </si>
  <si>
    <t>VISAs</t>
  </si>
  <si>
    <t>WERFEN USA LLC Extended Warranty $2,570</t>
  </si>
  <si>
    <t>Water repair; filter replacements - potential to increase Engineering OTS due to construction</t>
  </si>
  <si>
    <t>XEROX CORP $131 per month ($1,572 per year)</t>
  </si>
  <si>
    <t>Digitrax Hematrax Software</t>
  </si>
  <si>
    <t>ICCBBA Licensing Fee ($269) / American Society of Hematology ($400) / ISBT 128 Annual License Fee ($259) / NYS Dept of Health Annual Invoice ($5,715) / AABB Individual Member ($322) / Dr. Levine physician dues</t>
  </si>
  <si>
    <t>ASH Annual Meeting &amp; Expo</t>
  </si>
  <si>
    <t>IRON MOUNTAIN RECORDS MGT $430 per month ($5,158 per year)</t>
  </si>
  <si>
    <t>RAD SOURCE TECHNOLOGIES INC $1,583 per month ($19,000 per year)</t>
  </si>
  <si>
    <t>Wellsky Technical Support Agreement - transitioning to Data Migration *tentative*</t>
  </si>
  <si>
    <t>Fridge repairs</t>
  </si>
  <si>
    <t>Temp monitoring instruments</t>
  </si>
  <si>
    <t>TERUMO BCT INC $1,937 per month ($23,248 per year) / New York Blood Center $185,000</t>
  </si>
  <si>
    <t>METRO BLOOD SERVICE - secondary blood supplier</t>
  </si>
  <si>
    <t>XEROX CORP $96 per month ($1,146 per year)</t>
  </si>
  <si>
    <t>USCAP meeting registration</t>
  </si>
  <si>
    <t>VISUAL VAULT LLC $1,655 per month ($19,860 per year) + SPOT $1,500 annually</t>
  </si>
  <si>
    <t>USCAP meeting flight &amp; hotels</t>
  </si>
  <si>
    <t>RICHARD ALLAN SCIENTIFIC | PRECISION MICRO INC Semi Annual Preventive Maintenance | Roche Stainer $122k</t>
  </si>
  <si>
    <t>Epredia $66,000 annually</t>
  </si>
  <si>
    <t>QGENDA INC (scheduling application &amp; physician subscription)</t>
  </si>
  <si>
    <t xml:space="preserve">RICHARD ALLAN SCIENTIFIC preventivie maintenance $2,500 </t>
  </si>
  <si>
    <t>SPOK INC $150 per month ($1,804 per year)</t>
  </si>
  <si>
    <t>XEROX CORP $538 per month ($6,454 per year)</t>
  </si>
  <si>
    <t>AcrobatProDC &amp; IndesignCC</t>
  </si>
  <si>
    <t>ACHE conference &amp; HLNY  Annual Mini Congres</t>
  </si>
  <si>
    <t>GRM INFORMATION MANAGEMENT SERVICES INC</t>
  </si>
  <si>
    <t>ACHE conference</t>
  </si>
  <si>
    <t>EWT HOLDINGS III CORP Water One Contract Base Charge</t>
  </si>
  <si>
    <t>RC TESTING SERVICES - Certifications</t>
  </si>
  <si>
    <t>Charge to 65534 - Purchased Lab Svcs-Ref Test</t>
  </si>
  <si>
    <t>NYS Dept of Health $12,167 per Qt ($48,668 per year) &amp; other application fees</t>
  </si>
  <si>
    <t>Agency employees moving to FTE budget</t>
  </si>
  <si>
    <t>IRON MOUNTAIN RECORDS MGT $114 per month ($1,372 per year)</t>
  </si>
  <si>
    <t>SYMPHONY TALENT LLC - Permanent Residency Sponsorship for international employees</t>
  </si>
  <si>
    <t>WERFEN USA LLC $7,000</t>
  </si>
  <si>
    <t>XEROX CORP $221 per month ($2,652 per year)</t>
  </si>
  <si>
    <t>HOLOGIC INC - Hologic ThinPrep T2000 Agreement</t>
  </si>
  <si>
    <t>Physician Lounge</t>
  </si>
  <si>
    <t>STRYKER FINANCE $78,710 per month ($944,520 per year); OLYMPUS AMERICA INC $11,404 per month ($136,848 per year)</t>
  </si>
  <si>
    <t>SECURITAS TECHNOLOGY CORPORATION</t>
  </si>
  <si>
    <t>FORTEC MEDICAL INC</t>
  </si>
  <si>
    <t>Central Sterile Team Event</t>
  </si>
  <si>
    <t>BOSTON SCIENTIFIC $6,300; GETINGE USA SALES LLC $6,450; INTUITIVE SURGICAL $328,000; LEVIANT INC $4,750; MEDTRONIC INC $45,360; STRYKER INSTRUMENTS $38,750</t>
  </si>
  <si>
    <t>OMNICELL INC $480; BK MEDICAL HOLDING COMPANY INC $21,764; BOSTON SCIENTIFIC $37,713; CONMED CORP $16,490; DEVICOR MEDICAL PRODUCTS INC $17,600; MEDTRONIC NEUROLOGIC TECH $148,263; MIZUHO ORTHOPEDIC SYSTEMS INC $5,816; OLYMPUS AMERICA INC $36,725; PHILIPS MEDICAL SYSTEMS $129,361; PROCEPT BIOROBOTICS CORPORATION $29,000; RETT MEDICAL LLC $7,800; SPECTRANETICS $29,250; STERIS CORP $115,050; STRYKER ENDOSCOPY $365,000; STRYKER INSTRUMENTS $557,572; ZIEHM ORTHOSCAN INC $113,604</t>
  </si>
  <si>
    <t>BK MEDICAL HOLDING COMPANY INC Service for machines</t>
  </si>
  <si>
    <t>ACCURATE MONITORING LLC; PHYSIOLOGIC ASSESSMENT SERVICES LLC</t>
  </si>
  <si>
    <t>SPINE MEDICAL SERVICES PLLC (IOM)</t>
  </si>
  <si>
    <t>Tforce moving supplies between sites</t>
  </si>
  <si>
    <t>XEROX CORP $142 per month ($1,700 per year)</t>
  </si>
  <si>
    <t>EVS Items: Disinfectant Wipes and Tissues</t>
  </si>
  <si>
    <t>Zip lock bags</t>
  </si>
  <si>
    <t>Nurses Week breakfast &amp; lunch</t>
  </si>
  <si>
    <t>Moved to house functions</t>
  </si>
  <si>
    <t>Ubers to/from home due to snow storm</t>
  </si>
  <si>
    <t>AT&amp;T $45 per month ($541 per year) &amp; Verizon $84 per month ($1,011 per year)</t>
  </si>
  <si>
    <t>XEROX CORP ~$142 per month ($1,700 per year)</t>
  </si>
  <si>
    <t>Office desk</t>
  </si>
  <si>
    <t>Shipping for desk?</t>
  </si>
  <si>
    <t>STERIS CORP</t>
  </si>
  <si>
    <t>ADVANCED STERILIZATION $82,148 / GETINGE USA SALES LLC $43,049</t>
  </si>
  <si>
    <t>DATIX USA INC</t>
  </si>
  <si>
    <t>OLYMPUS AMERICA INC $22,295 per month ($267,541 per year) (Endoscopes and Towers)</t>
  </si>
  <si>
    <t>Floor mats, wipes, cloths</t>
  </si>
  <si>
    <t>MEDLINE INDUSTRIES INC - anticipate buying linen next year?</t>
  </si>
  <si>
    <t>Furniture, padlock, wastebasket, refrigerator</t>
  </si>
  <si>
    <t>IRON MOUNTAIN RECORDS MGT $100 per month ($1,200 per year)</t>
  </si>
  <si>
    <t>Nurses week decorations</t>
  </si>
  <si>
    <t>OLYMPUS AMERICA INC $23,014 per month ($276,170 per year) (Endoscopes and Towers)</t>
  </si>
  <si>
    <t>GE PRECISION HEALTHCARE LLC $2,563 per Qt ($10,252 per year)</t>
  </si>
  <si>
    <t>GE Medical Sys (MUSE) contracts</t>
  </si>
  <si>
    <t>Petty cash for Non-invasive/EKG/Echo</t>
  </si>
  <si>
    <t>Leave amount for contracts</t>
  </si>
  <si>
    <t xml:space="preserve">For Siemens and Philips </t>
  </si>
  <si>
    <t>One time equipment maintainence fee for Astra</t>
  </si>
  <si>
    <t>GE service contract for both Cath and EPS</t>
  </si>
  <si>
    <t>Sterling service contract unknown</t>
  </si>
  <si>
    <t>new contract? Ge accrual for jan to june</t>
  </si>
  <si>
    <t>NCDR registries</t>
  </si>
  <si>
    <t>TERARECON INC $7,442 per month ($89,903 per year)</t>
  </si>
  <si>
    <t>needs to be fixed</t>
  </si>
  <si>
    <t>TERARECON INC $7,500 per month ($90,000 per year)</t>
  </si>
  <si>
    <t>XEROX CORP $850 per year</t>
  </si>
  <si>
    <t>TFORCE FINAL MILE LLC $320 per year</t>
  </si>
  <si>
    <t>Incorrectly routed to this cost center. Please place in cardio admin cost center</t>
  </si>
  <si>
    <t>should be hitting lab</t>
  </si>
  <si>
    <t>fewer loupes needed</t>
  </si>
  <si>
    <t>needs to be adjusted for volume ($750,000)</t>
  </si>
  <si>
    <t>sts &amp; mitral valve reference center</t>
  </si>
  <si>
    <t>LIVANOVA USA INC $11,655 per month ($139,858 per year)</t>
  </si>
  <si>
    <t>SIEMENS MEDICAL SOLUTIONS USA INC $13,200 per month ($158,400 per year)</t>
  </si>
  <si>
    <t>LUMEDX $2,202 per month ($26,424 per year)</t>
  </si>
  <si>
    <t>BFW INC $2,250 | SIEMENS MEDICAL SOLUTIONS USA INC $3,015</t>
  </si>
  <si>
    <t>Coffee - charge to office supplies</t>
  </si>
  <si>
    <t>IMPERIAL hot cups</t>
  </si>
  <si>
    <t>Catering Dietary Charge Out - why the increase?</t>
  </si>
  <si>
    <t>QUENCH USA INC</t>
  </si>
  <si>
    <t>Staples expenses</t>
  </si>
  <si>
    <t>MEDLINE INDUSTRIES INC $694 per Qt ($2,775 per year)</t>
  </si>
  <si>
    <t>Inspection</t>
  </si>
  <si>
    <t>?? Indeed, Facebook, LinkedIn advertising</t>
  </si>
  <si>
    <t>Tech week</t>
  </si>
  <si>
    <t>Patient transportation</t>
  </si>
  <si>
    <t>BAYER HEALTHCARE LLC $6,000 per year &amp; FORESIGHT IMAGING $2,995 per year</t>
  </si>
  <si>
    <t>ASTARITA ASSOCIATES $7,679 per month ($92,148 per year) &amp; KUB TECHNOLOGIES INC $1,148 per month ($13,770 per year) + New Physicist Fees</t>
  </si>
  <si>
    <t>AMERICAN COLLEGE OF RADIOLOGY Mammo Accreditation</t>
  </si>
  <si>
    <t>FEDEX $73 per month ($876 per year)</t>
  </si>
  <si>
    <t>VERIZON WIRELESS $393 per month ($4,719 per year) &amp; CABLEVISION LIGHTPATH LLC $217 per month ($2,604 per year)</t>
  </si>
  <si>
    <t>AMERICAN COLLEGE OF RADIOLOGY</t>
  </si>
  <si>
    <t>IRON MOUNTAIN RECORDS MGT $230 per month ($2,760 per year)</t>
  </si>
  <si>
    <t>SIEMENS MEDICAL SOLUTIONS USA INC $66,303 per Qt ($265,213 per year)</t>
  </si>
  <si>
    <t>same as previous year budget</t>
  </si>
  <si>
    <t>LENOX Courier Service ~$1,804 per month ($13,008 per year)</t>
  </si>
  <si>
    <t>R AND R THIRD PROPERTIES LLC $18,199 per month ($218,382 per year)</t>
  </si>
  <si>
    <t>QUENCH USA INC $83 per month ($990 per year)</t>
  </si>
  <si>
    <t>XEROX CORP $295 per month ($3,540 per year)</t>
  </si>
  <si>
    <t>DMO User License Fees $53 per month ($636 per year)</t>
  </si>
  <si>
    <t>Annual license renewal fees</t>
  </si>
  <si>
    <t>ASTRO meeting registration fees</t>
  </si>
  <si>
    <t>Revisit - look into charges</t>
  </si>
  <si>
    <t>VARIAN MEDICAL SYSTEMS INC $28,706 per month ($344,471 per year)</t>
  </si>
  <si>
    <t>VISION RT INC</t>
  </si>
  <si>
    <t>Ultrasound repairs - EOL</t>
  </si>
  <si>
    <t>K&amp;S ASSOCIATES INC</t>
  </si>
  <si>
    <t>IMS PHX LLC $1,525 per month ($18,300 per year)</t>
  </si>
  <si>
    <t>KENCAL MAINTENANCE CORP - Talk to Taylor; Should be charged to Rosetta (Radiology)</t>
  </si>
  <si>
    <t>Started using hospital gowns</t>
  </si>
  <si>
    <t>COGENT WASTE SOLUTIONS LLC $142 per month ($1,708 per year)</t>
  </si>
  <si>
    <t>XEROX CORP $71 per month ($850 per year)</t>
  </si>
  <si>
    <t>$46 per Qt ($184 per year)</t>
  </si>
  <si>
    <t>IRON MOUNTAIN RECORDS MGT $234 per month ($2,811 per year)</t>
  </si>
  <si>
    <t>SIEMENS MEDICAL SOLUTIONS USA INC $22,702 per Qt ($90,806 per year)</t>
  </si>
  <si>
    <t>No longer using PROLUCENT HEALTH INC - please confirm</t>
  </si>
  <si>
    <t>Paid PY invoices</t>
  </si>
  <si>
    <t>Refurbished Detector DRX LUX (35X43) - $5,000</t>
  </si>
  <si>
    <t>CARESTREAM HEALTH INC $157,326 per year | NEW YORK IMAGING SERVICE INC $5,700 per Qt ($22,800 per year) | SIEMENS MEDICAL SOLUTIONS USA INC $25,705 per Qt ($102,821 per year) | STRYKER INSTRUMENTS $9,904 per month ($118,853 per year)</t>
  </si>
  <si>
    <t>GE PRECISION HEALTHCARE LLC $19,775 per Qt ($79,095 per year)</t>
  </si>
  <si>
    <t>NYS Dept of Health Inspection</t>
  </si>
  <si>
    <t>New procedure with more expensive supplies</t>
  </si>
  <si>
    <t>PHILIPS MEDICAL SYSTEMS $5,400 per Qt ($21,600 per year)</t>
  </si>
  <si>
    <t>GE PRECISION HEALTHCARE LLC $847 per Qt ($3,388 per year)</t>
  </si>
  <si>
    <t>BAYER HEALTHCARE LLC $21,477.83 annually / SIEMENS MEDICAL SOLUTIONS USA INC $100,973 per Qt ($403,891 per year) / New portable CT contract $45,000</t>
  </si>
  <si>
    <t>New Bayer Service contract for Solaris $22,861 annually</t>
  </si>
  <si>
    <t>PHILIPS MEDICAL SYSTEMS Service Contract $7,135 per year + new PHILLIPS 3T Service $78,485 per year</t>
  </si>
  <si>
    <t>BAYER HEALTHCARE LLC $2,016 annually / SIEMENS MEDICAL SOLUTIONS USA INC $64,641 per Qt ($258,562 per year)</t>
  </si>
  <si>
    <t>STARCOM COMMUNICATIONS SERVICES INC $2,651 / Annual NOVA Maintenance Fee $15,000</t>
  </si>
  <si>
    <t>XEROX CORP $259 per month ($3,105 per year)</t>
  </si>
  <si>
    <t>HOLOGIC SALES AND SERVICE LLC $34,024 per Qt ($136,097 per year)</t>
  </si>
  <si>
    <t>included in Echo's budget</t>
  </si>
  <si>
    <t>NMIS Service contract increases annually</t>
  </si>
  <si>
    <t>same as 2026 budget. The trend shows total expenses in 2025 was $2,573.</t>
  </si>
  <si>
    <t>AMERICORP FINANCIAL LLC</t>
  </si>
  <si>
    <t>Decreased due to Suggamedex to generic</t>
  </si>
  <si>
    <t>OMNICELL INC $18,901 per month ($226,812 per year); QLEANAIR SCANDINAVIA INC $10,000; TECHNICAL SAFETY SERVICES INC $2,957 per month ($35,482 per year); New 2027 contract Codonic $8,574 per month ($102,888 per year)</t>
  </si>
  <si>
    <t>OMNICELL INC $60,000 / PHARMACY ONESOURCE INC $1,832 per month ($21,978 per year); UPTODATE $38,303; VERITY SOLUTIONS GROUP INC $33,930; Carefusion $2,419 per month ($29,032 per year); HM HOLDINGS INC $2,421 per month ($29,048 per year)</t>
  </si>
  <si>
    <t xml:space="preserve">cont ed per team member 1200 </t>
  </si>
  <si>
    <t>used for PT month OCT</t>
  </si>
  <si>
    <t>PT CONF OCT/NOV</t>
  </si>
  <si>
    <t>license renewal approx 7-10 therapists per year; 3 yr cycle</t>
  </si>
  <si>
    <t>LINDE GAS AND EQUIPMENT INC $10,523 per month ($126,276 per year) / MESSER LLC $3,797 per month ($45,564 per year) / BUNNELL INCORPORATED ~$14,362 per Qt ($57,448 per year)</t>
  </si>
  <si>
    <t>XEROX $193 per month ($2,316 per year)</t>
  </si>
  <si>
    <t>Ventilators are getting old</t>
  </si>
  <si>
    <t>Certifications &amp; credentialing</t>
  </si>
  <si>
    <t>IRON MOUNTAIN RECORDS MGT $177 per month ($2,124 per year)</t>
  </si>
  <si>
    <t>40 employees + small promotional items (shirts, etc)</t>
  </si>
  <si>
    <t>Not planning on hiring flexstaff in 2027</t>
  </si>
  <si>
    <t>MESSER LLC $228 per month ($2,736 per year)</t>
  </si>
  <si>
    <t>INO THERAPEUTICS LLC $25,000 per month ($300,000 per year)</t>
  </si>
  <si>
    <t>VERIZON WIRELESS $52 per month ($624 per year)</t>
  </si>
  <si>
    <t>XEROX CORP $1,404 per year</t>
  </si>
  <si>
    <t xml:space="preserve"> DMO (Dragon Medical One) user license fee</t>
  </si>
  <si>
    <t>STAPLES ADVANTAGE $1,119</t>
  </si>
  <si>
    <t>COVIDIEN SALES LLC - Mcgrath Mac handle 3 years</t>
  </si>
  <si>
    <t>ACLS BLS</t>
  </si>
  <si>
    <t>GE PRECISION HEALTHCARE LLC $2,277 per month ($27,329 per year)</t>
  </si>
  <si>
    <t>SUSQUEHANNA MICRO INC $6,960 annual fee</t>
  </si>
  <si>
    <t>budget as 2026</t>
  </si>
  <si>
    <t>XEROX CORP $335 per month ($4,020 per year)</t>
  </si>
  <si>
    <t>Look NRSG ED cost center</t>
  </si>
  <si>
    <t>Ordering Philips Monitor supplies this year</t>
  </si>
  <si>
    <t>Budgeted on 2026. Expenses will hit in December</t>
  </si>
  <si>
    <t>Based on 12 month run rate</t>
  </si>
  <si>
    <t>For leaders to travel to LI for training</t>
  </si>
  <si>
    <t>For unit to replace/fix patient equipemnt &amp; furniture</t>
  </si>
  <si>
    <t>NM/ANM certification will be centralized in Nursing Admin 15610000</t>
  </si>
  <si>
    <t>XEROX CORP $117 per month ($1,404 per year)</t>
  </si>
  <si>
    <t>Copier Rental ($72/month)</t>
  </si>
  <si>
    <t>Hoses ($95ea for estimate of 20/yr)) and Air Filters ($18ea twice/yr) for 80 Bairhuggers</t>
  </si>
  <si>
    <t>Including PM parts for 2027 including 675 Alaris pump batteries @ $150 each = $101,250, Drager batteries for 5vents@623ea = $15,575</t>
  </si>
  <si>
    <t>IV supply for PM and testing</t>
  </si>
  <si>
    <t>Hotel for Biomed Training</t>
  </si>
  <si>
    <t>Office supplies</t>
  </si>
  <si>
    <t>Shop tools &amp; Supllies</t>
  </si>
  <si>
    <t>AAMI membership</t>
  </si>
  <si>
    <t>Northwell promotional items for Biomed Week</t>
  </si>
  <si>
    <t>Team lunch for Biomed Week &amp; Holidays</t>
  </si>
  <si>
    <t>Mileage for meetings &amp; trainings</t>
  </si>
  <si>
    <t>Philips DI = 54,304/mon, Philips MV = 92,824/mon, Philips Credit = (32,250)/mon, Getinge = 2,968/mon.  2025 &amp; 2026 Philips MV Recon Pending</t>
  </si>
  <si>
    <t>GE = 6,247/qtr + Billables</t>
  </si>
  <si>
    <t xml:space="preserve">OneSource </t>
  </si>
  <si>
    <t>Vendor service not covered under agmt</t>
  </si>
  <si>
    <t>Corporate Transfer of equip to/from warehouse</t>
  </si>
  <si>
    <t>~78 per month</t>
  </si>
  <si>
    <t>Turtle &amp; Hughes Electrical supplies - Older PO hits this Departmnet # actaully spend 98k - Do we relocate?  Remove all 30 department</t>
  </si>
  <si>
    <t>Oath Environmental FDNY /DOB fines, DEP conduit run 35k</t>
  </si>
  <si>
    <t xml:space="preserve">Urban umbrellla 60k Vaccum pump failure -21K </t>
  </si>
  <si>
    <t>arpet ETC, Construction Spec ( handrail /acrovyn) Crest good  plumbing supplies (uptick in plumbing issues) , Curbell (nurse call items) Distincitive ( curtain vendor) Follect (water filters) Gatt (radio vendor) HP Products -Compressor, Intercall(nurse call) Mckinney (welding supplier) United Steel - Corner guards, stainless steel items , Willis paint , Grainger (Various material)</t>
  </si>
  <si>
    <t xml:space="preserve"> HVAC - Supplies - Grainger /follet -ice machine parts/HP  hvac parts/ </t>
  </si>
  <si>
    <t xml:space="preserve">License con education/ NFPA courses </t>
  </si>
  <si>
    <t xml:space="preserve">Engineering week, thank you lunches , </t>
  </si>
  <si>
    <t>team building,department meetings</t>
  </si>
  <si>
    <t>Shipping cost</t>
  </si>
  <si>
    <t>Translogic license fee /onesource  Spend $8653k</t>
  </si>
  <si>
    <t xml:space="preserve">We did spend extra $ on beautififctaion (20k ,25k ,6k netting) </t>
  </si>
  <si>
    <t xml:space="preserve"> Elemco service OR issues T&amp;M</t>
  </si>
  <si>
    <t>Nalco / ST-108 SPD / Cooling tower cleaning/</t>
  </si>
  <si>
    <t xml:space="preserve"> Egis -200K / Encore`125kk+repairs 70k   /Best System 200k fire alarm system - aging smoke heads need to be replaced </t>
  </si>
  <si>
    <t xml:space="preserve"> Crestgood (plumbing)/ Grainger - misc materials/ Micheal James -Hvac ATS Controls- repairs / United Steel - Stainless repairs / CDS -Medical gas repairs/Caroet Etc -flooring repairs /upgrades/ Intercall- nurse call/Powerflo -hvac vendor/ Penn Glass - glass repair/Kundig -millwork repairs/ CTSI &amp;PAR ACM removal/ Elemco -annual infrared reading / Roof repair vendors b&amp;a Structural </t>
  </si>
  <si>
    <t xml:space="preserve">Islandwide locksmith - NABCO -door vendor  Dormakaba - 77th street door replacemnets </t>
  </si>
  <si>
    <t xml:space="preserve">Nouveau 480k contract and NY elevator 18k a year </t>
  </si>
  <si>
    <t xml:space="preserve">Older generators and have been seeing issues ASCO power $20K AC ELECTRICAL 26K ATS CONTROL $18,500 , HOPENN $99k &amp; TM 75K , </t>
  </si>
  <si>
    <t>2026 major storms increased spent $267k due to bad winter</t>
  </si>
  <si>
    <t xml:space="preserve">77th garage corp $97k , Stamp&amp;sign , AEC , Alantic cooling tower, Cardoza Plumbing (project work) ConsiliatedFilter duct cleaning $280k ,GMS structural engineer,Intellitech JBB /Lizardos , Starcom ,Swisslog/translogic 17k (pnematic tube) </t>
  </si>
  <si>
    <t xml:space="preserve">Cintas-Engineering uniforms </t>
  </si>
  <si>
    <t>Crown castle - Fiber IT?</t>
  </si>
  <si>
    <t>Adobe Acrobat</t>
  </si>
  <si>
    <t>CINTAS CORPORATION $18,635; IMPERIAL BAG &amp; PAPER CO LLC $4,345; MEDFARE INC $6,501; TRINITY PARTNERS IN HEALTHCARE $2,199</t>
  </si>
  <si>
    <t>HUBERT CO $499: IMPERIAL BAG &amp; PAPER CO LLC $47,865: PARTY RENTAL LTD $43,132: STAPLES ADVANTAGE $18,082: US FOODSERVICE INC $245,915: WW GRAINGER INC $3,083</t>
  </si>
  <si>
    <t>Nutrition Center of Excellence</t>
  </si>
  <si>
    <t>ANAMAC OF LONG ISLAND LLC $225 per month ($2,700 per year); PRO TEK OF NEW YORK INC $241,150</t>
  </si>
  <si>
    <t>CONSOLIDATED FILTER AND DUCT</t>
  </si>
  <si>
    <t>Car Lease</t>
  </si>
  <si>
    <t>Badge clips</t>
  </si>
  <si>
    <t>Garder 3,430 hrs per week * $32.21 per hour *52 weeks = $5,744,976; ($428,064 for 1 24/7 NYPD coverage); ($923,938 credit from Allied Universal)</t>
  </si>
  <si>
    <t>STAPLES</t>
  </si>
  <si>
    <t>UNITEX TEXTILE RENTAL $838,085 | UNITEX TEXTILE SERVICES LLC $838,602</t>
  </si>
  <si>
    <t>VERIZON WIRELESS $66 per month ($793 per year)</t>
  </si>
  <si>
    <t>NATIONAL DUST CONTROL SERVICES CORP $26,635 per year</t>
  </si>
  <si>
    <t>XEROX CORP $285 per month ($3,423 per year)</t>
  </si>
  <si>
    <t>I JANVEY &amp; SONS INC $3,367 per month ($40,408 per year)</t>
  </si>
  <si>
    <t>I JANVEY &amp; SONS INC $2,795 per month ($33,537 per year)</t>
  </si>
  <si>
    <t>CINTAS CORPORATION $54,265 | AKA PEST CONTROL INC $1,120 | HUDMED LLC $75,027 | STAFFORD UNLIMITED LLC $89,392</t>
  </si>
  <si>
    <t>Post budget add for new window cleaning $2,833 per month ($34,000 per year)</t>
  </si>
  <si>
    <t>CINTAS CORPORATION for lab coats &amp; cleaning / Curtain Care Plus</t>
  </si>
  <si>
    <t>STERICYCLE  INC</t>
  </si>
  <si>
    <t>VERIZON WIRELESS $318 per month ($3,818 per year)</t>
  </si>
  <si>
    <t>XEROX</t>
  </si>
  <si>
    <t>CONVERGEONE SYSTEMS INTEGRATION INC $90,710 per Qt ($362,840 per year) / SPOK INC $8,043 per month ($96,516 per year) / Verizon $3,354 per month ($40,254 per year)</t>
  </si>
  <si>
    <t>CABLEVISION LIGHTPATH LLC $22,425 per month ($269,095 per year) / CALERO SOFTWARE LLC $412 per month ($4,939 per year) / GRANITE TELECOMMUNICATIONS LLC $1,992 per month ($23,904 per year) / LOOPUP LLC $155 per month ($1,857 per year) / VERIZON $3,532 per month ($42,387 per year) / VERIZON WIRELESS $98 per month ($1,180 per year) / ACCENTURE LLP $2,926 per year</t>
  </si>
  <si>
    <t>Staff travel to and from IFN, Contractually obligated travel expense</t>
  </si>
  <si>
    <t>Add account, budget comes from Nursing Admin 15610000</t>
  </si>
  <si>
    <t>Add account budget $500 Petty cash for staffs.</t>
  </si>
  <si>
    <t>Add account. Budget from 6 East 15612060</t>
  </si>
  <si>
    <t>=left(N3918, 14)</t>
  </si>
  <si>
    <t>Leggio, Joe</t>
  </si>
  <si>
    <t>Kubba, Hala</t>
  </si>
  <si>
    <t>600126</t>
  </si>
  <si>
    <t>Browne, Kevin</t>
  </si>
  <si>
    <t>Glennon, Peter</t>
  </si>
  <si>
    <t>610000</t>
  </si>
  <si>
    <t>610030</t>
  </si>
  <si>
    <t>Melendez, Giselle</t>
  </si>
  <si>
    <t>610040</t>
  </si>
  <si>
    <t>Fogarty, Catherine T</t>
  </si>
  <si>
    <t>610045</t>
  </si>
  <si>
    <t>Peters, Lisa</t>
  </si>
  <si>
    <t>613035</t>
  </si>
  <si>
    <t>Gyatotsang, Yangchen D</t>
  </si>
  <si>
    <t>615020</t>
  </si>
  <si>
    <t>Jurik, Christopher</t>
  </si>
  <si>
    <t>Debacker, Johanna M</t>
  </si>
  <si>
    <t>15600000</t>
  </si>
  <si>
    <t>Kang, Eileen</t>
  </si>
  <si>
    <t>Vandervoort, Linda</t>
  </si>
  <si>
    <t>15600020</t>
  </si>
  <si>
    <t>Holuka, Gregory</t>
  </si>
  <si>
    <t>15600030</t>
  </si>
  <si>
    <t>Cole, Brandon L</t>
  </si>
  <si>
    <t>Hohenberger, George</t>
  </si>
  <si>
    <t>15600050</t>
  </si>
  <si>
    <t>15600055</t>
  </si>
  <si>
    <t>Isaacs, Tanya</t>
  </si>
  <si>
    <t>Oommen, Shane</t>
  </si>
  <si>
    <t>15600070</t>
  </si>
  <si>
    <t>15600090</t>
  </si>
  <si>
    <t>Cox, Shawn</t>
  </si>
  <si>
    <t>15600100</t>
  </si>
  <si>
    <t>15600110</t>
  </si>
  <si>
    <t>15600126</t>
  </si>
  <si>
    <t>Cohen, Phyllis P</t>
  </si>
  <si>
    <t>Lace, Allison</t>
  </si>
  <si>
    <t>15600130</t>
  </si>
  <si>
    <t>Soel, Katherine</t>
  </si>
  <si>
    <t>15600140</t>
  </si>
  <si>
    <t>Levy, Elan</t>
  </si>
  <si>
    <t>Salomon, Marjorie</t>
  </si>
  <si>
    <t>15600150</t>
  </si>
  <si>
    <t>Cohen, Jill</t>
  </si>
  <si>
    <t>Espinal, Nery</t>
  </si>
  <si>
    <t>15600160</t>
  </si>
  <si>
    <t>DeSha, Lauren</t>
  </si>
  <si>
    <t>15600170</t>
  </si>
  <si>
    <t>15600180</t>
  </si>
  <si>
    <t>Fitzpatrick, Katherine</t>
  </si>
  <si>
    <t>15600195</t>
  </si>
  <si>
    <t>15600210</t>
  </si>
  <si>
    <t>15600220</t>
  </si>
  <si>
    <t>15600250</t>
  </si>
  <si>
    <t>Emergency Events</t>
  </si>
  <si>
    <t>15600300</t>
  </si>
  <si>
    <t>15600301</t>
  </si>
  <si>
    <t>Desantis, Carl</t>
  </si>
  <si>
    <t>15600360</t>
  </si>
  <si>
    <t>15601000</t>
  </si>
  <si>
    <t>15601020</t>
  </si>
  <si>
    <t>15601045</t>
  </si>
  <si>
    <t>15601050</t>
  </si>
  <si>
    <t>15601055</t>
  </si>
  <si>
    <t>Lyons, Colleen M</t>
  </si>
  <si>
    <t>15601060</t>
  </si>
  <si>
    <t>15601325</t>
  </si>
  <si>
    <t>15601330</t>
  </si>
  <si>
    <t>15601350</t>
  </si>
  <si>
    <t>15601365</t>
  </si>
  <si>
    <t>15601433</t>
  </si>
  <si>
    <t>15601508</t>
  </si>
  <si>
    <t>15610000</t>
  </si>
  <si>
    <t>15610005</t>
  </si>
  <si>
    <t>15610010</t>
  </si>
  <si>
    <t>15610015</t>
  </si>
  <si>
    <t>15610020</t>
  </si>
  <si>
    <t>15610025</t>
  </si>
  <si>
    <t>15610030</t>
  </si>
  <si>
    <t>15610040</t>
  </si>
  <si>
    <t>15610045</t>
  </si>
  <si>
    <t>15610060</t>
  </si>
  <si>
    <t>Mulholland, Grace</t>
  </si>
  <si>
    <t>15611010</t>
  </si>
  <si>
    <t>15611020</t>
  </si>
  <si>
    <t>15611030</t>
  </si>
  <si>
    <t>15611055</t>
  </si>
  <si>
    <t>15612020</t>
  </si>
  <si>
    <t>15612040</t>
  </si>
  <si>
    <t>15612060</t>
  </si>
  <si>
    <t>15612065</t>
  </si>
  <si>
    <t>15612075</t>
  </si>
  <si>
    <t>Bedi, Anupama</t>
  </si>
  <si>
    <t>15612095</t>
  </si>
  <si>
    <t>15612100</t>
  </si>
  <si>
    <t>15613000</t>
  </si>
  <si>
    <t>15613005</t>
  </si>
  <si>
    <t>15613010</t>
  </si>
  <si>
    <t>15613015</t>
  </si>
  <si>
    <t>15613020</t>
  </si>
  <si>
    <t>Hathaway, Taylor A</t>
  </si>
  <si>
    <t>Ritz, Danilya</t>
  </si>
  <si>
    <t>15613025</t>
  </si>
  <si>
    <t>15613035</t>
  </si>
  <si>
    <t>15613040</t>
  </si>
  <si>
    <t>Bates, Eric M</t>
  </si>
  <si>
    <t>15613045</t>
  </si>
  <si>
    <t>15613046</t>
  </si>
  <si>
    <t>15613047</t>
  </si>
  <si>
    <t>15613048</t>
  </si>
  <si>
    <t>15613050</t>
  </si>
  <si>
    <t>15613055</t>
  </si>
  <si>
    <t>15613060</t>
  </si>
  <si>
    <t>15613065</t>
  </si>
  <si>
    <t>15613075</t>
  </si>
  <si>
    <t>15613085</t>
  </si>
  <si>
    <t>15613095</t>
  </si>
  <si>
    <t>15614010</t>
  </si>
  <si>
    <t>15615020</t>
  </si>
  <si>
    <t>15616005</t>
  </si>
  <si>
    <t>15617040</t>
  </si>
  <si>
    <t>15617045</t>
  </si>
  <si>
    <t>15619000</t>
  </si>
  <si>
    <t>15619030</t>
  </si>
  <si>
    <t>15619100</t>
  </si>
  <si>
    <t>Joseph, Yanick</t>
  </si>
  <si>
    <t>15620000</t>
  </si>
  <si>
    <t>Self, William</t>
  </si>
  <si>
    <t>15620010</t>
  </si>
  <si>
    <t>15620050</t>
  </si>
  <si>
    <t>Parziale, Teresa</t>
  </si>
  <si>
    <t>15620070</t>
  </si>
  <si>
    <t>Ross, Tena</t>
  </si>
  <si>
    <t>15621000</t>
  </si>
  <si>
    <t>15621030</t>
  </si>
  <si>
    <t>Kaplan, Maya</t>
  </si>
  <si>
    <t>15622000</t>
  </si>
  <si>
    <t>Gill, Harry S</t>
  </si>
  <si>
    <t>15623000</t>
  </si>
  <si>
    <t>15623005</t>
  </si>
  <si>
    <t>Figueroa, David</t>
  </si>
  <si>
    <t>15624000</t>
  </si>
  <si>
    <t>Buslovich, Yuliya</t>
  </si>
  <si>
    <t>15624020</t>
  </si>
  <si>
    <t>15624050</t>
  </si>
  <si>
    <t>15625000</t>
  </si>
  <si>
    <t>15625045</t>
  </si>
  <si>
    <t>Reyes, Julissa</t>
  </si>
  <si>
    <t>15627000</t>
  </si>
  <si>
    <t>15627040</t>
  </si>
  <si>
    <t>15628005</t>
  </si>
  <si>
    <t>Grippo, Francesco</t>
  </si>
  <si>
    <t>15628020</t>
  </si>
  <si>
    <t>Newman, Hannah S</t>
  </si>
  <si>
    <t>15628025</t>
  </si>
  <si>
    <t>15628030</t>
  </si>
  <si>
    <t>15628120</t>
  </si>
  <si>
    <t>Wu, Lucy L</t>
  </si>
  <si>
    <t>15632000</t>
  </si>
  <si>
    <t>Friedman, Hannah S</t>
  </si>
  <si>
    <t>15632010</t>
  </si>
  <si>
    <t>15632030</t>
  </si>
  <si>
    <t>15632045</t>
  </si>
  <si>
    <t>15632060</t>
  </si>
  <si>
    <t>15632070</t>
  </si>
  <si>
    <t>15633015</t>
  </si>
  <si>
    <t>15633025</t>
  </si>
  <si>
    <t>15635545</t>
  </si>
  <si>
    <t>15635550</t>
  </si>
  <si>
    <t>15637000</t>
  </si>
  <si>
    <t>Alexatos, Jennifer</t>
  </si>
  <si>
    <t>15638000</t>
  </si>
  <si>
    <t>15638045</t>
  </si>
  <si>
    <t>O'Connor, Jessica M</t>
  </si>
  <si>
    <t>15640000</t>
  </si>
  <si>
    <t>15642020</t>
  </si>
  <si>
    <t>15642030</t>
  </si>
  <si>
    <t>15642060</t>
  </si>
  <si>
    <t>15642080</t>
  </si>
  <si>
    <t>15642090</t>
  </si>
  <si>
    <t>15642150</t>
  </si>
  <si>
    <t>15642151</t>
  </si>
  <si>
    <t>15642152</t>
  </si>
  <si>
    <t>15642160</t>
  </si>
  <si>
    <t>15642180</t>
  </si>
  <si>
    <t>15642210</t>
  </si>
  <si>
    <t>15642213</t>
  </si>
  <si>
    <t>15642216</t>
  </si>
  <si>
    <t>15642217</t>
  </si>
  <si>
    <t>15642218</t>
  </si>
  <si>
    <t>15642219</t>
  </si>
  <si>
    <t>15642221</t>
  </si>
  <si>
    <t>15642225</t>
  </si>
  <si>
    <t>15642227</t>
  </si>
  <si>
    <t>15642230</t>
  </si>
  <si>
    <t>15642231</t>
  </si>
  <si>
    <t>15642232</t>
  </si>
  <si>
    <t>15642233</t>
  </si>
  <si>
    <t>15642235</t>
  </si>
  <si>
    <t>15642237</t>
  </si>
  <si>
    <t>15642250</t>
  </si>
  <si>
    <t>Merrick, Sinead</t>
  </si>
  <si>
    <t>15643020</t>
  </si>
  <si>
    <t>15643040</t>
  </si>
  <si>
    <t>Grinberg, Stan</t>
  </si>
  <si>
    <t>15650020</t>
  </si>
  <si>
    <t>15650030</t>
  </si>
  <si>
    <t>15650035</t>
  </si>
  <si>
    <t>15650040</t>
  </si>
  <si>
    <t>15650110</t>
  </si>
  <si>
    <t>15650140</t>
  </si>
  <si>
    <t>15650160</t>
  </si>
  <si>
    <t>15650165</t>
  </si>
  <si>
    <t>15650170</t>
  </si>
  <si>
    <t>15650175</t>
  </si>
  <si>
    <t>Whiffin, Jennifer</t>
  </si>
  <si>
    <t>15651005</t>
  </si>
  <si>
    <t>Murawski, Kaitlyn L</t>
  </si>
  <si>
    <t>15651010</t>
  </si>
  <si>
    <t>15651020</t>
  </si>
  <si>
    <t>15651030</t>
  </si>
  <si>
    <t>Lopez, Edwin</t>
  </si>
  <si>
    <t>15651050</t>
  </si>
  <si>
    <t>15651060</t>
  </si>
  <si>
    <t>15651070</t>
  </si>
  <si>
    <t>15652000</t>
  </si>
  <si>
    <t>15652010</t>
  </si>
  <si>
    <t>15652020</t>
  </si>
  <si>
    <t>15652030</t>
  </si>
  <si>
    <t>15652040</t>
  </si>
  <si>
    <t>15652045</t>
  </si>
  <si>
    <t>15652050</t>
  </si>
  <si>
    <t>15652055</t>
  </si>
  <si>
    <t>15652060</t>
  </si>
  <si>
    <t>15652065</t>
  </si>
  <si>
    <t>15653000</t>
  </si>
  <si>
    <t>15653001</t>
  </si>
  <si>
    <t>15653003</t>
  </si>
  <si>
    <t>Mohabir, Amanda</t>
  </si>
  <si>
    <t>15653005</t>
  </si>
  <si>
    <t>15653010</t>
  </si>
  <si>
    <t>15653015</t>
  </si>
  <si>
    <t>15653020</t>
  </si>
  <si>
    <t>15653025</t>
  </si>
  <si>
    <t>15653030</t>
  </si>
  <si>
    <t>15653040</t>
  </si>
  <si>
    <t>15653060</t>
  </si>
  <si>
    <t>15653070</t>
  </si>
  <si>
    <t>15653090</t>
  </si>
  <si>
    <t>15653110</t>
  </si>
  <si>
    <t>15655000</t>
  </si>
  <si>
    <t>Nowierski, Paul T</t>
  </si>
  <si>
    <t>15656000</t>
  </si>
  <si>
    <t>15656020</t>
  </si>
  <si>
    <t>15656050</t>
  </si>
  <si>
    <t>15656060</t>
  </si>
  <si>
    <t>15656090</t>
  </si>
  <si>
    <t>15656110</t>
  </si>
  <si>
    <t>Fontes, Tanya M</t>
  </si>
  <si>
    <t>15657000</t>
  </si>
  <si>
    <t>Ravishankar, Krithika</t>
  </si>
  <si>
    <t>15660010</t>
  </si>
  <si>
    <t>15660030</t>
  </si>
  <si>
    <t>15660040</t>
  </si>
  <si>
    <t>15661010</t>
  </si>
  <si>
    <t>15661015</t>
  </si>
  <si>
    <t>15663400</t>
  </si>
  <si>
    <t>15663430</t>
  </si>
  <si>
    <t>15666000</t>
  </si>
  <si>
    <t>15668000</t>
  </si>
  <si>
    <t>15670000</t>
  </si>
  <si>
    <t>Lagrua, Edward J</t>
  </si>
  <si>
    <t>15690000</t>
  </si>
  <si>
    <t>15690010</t>
  </si>
  <si>
    <t>Ng, Tammy K</t>
  </si>
  <si>
    <t>15690020</t>
  </si>
  <si>
    <t>15690030</t>
  </si>
  <si>
    <t>15690040</t>
  </si>
  <si>
    <t>15690060</t>
  </si>
  <si>
    <t>15690080</t>
  </si>
  <si>
    <t>15690100</t>
  </si>
  <si>
    <t>Bennett, Andrew</t>
  </si>
  <si>
    <t>15691000</t>
  </si>
  <si>
    <t>15691010</t>
  </si>
  <si>
    <t>15691020</t>
  </si>
  <si>
    <t>15691050</t>
  </si>
  <si>
    <t>15692000</t>
  </si>
  <si>
    <t>15692010</t>
  </si>
  <si>
    <t>Sepulveda, Richard</t>
  </si>
  <si>
    <t>15693000</t>
  </si>
  <si>
    <t>15693010</t>
  </si>
  <si>
    <t>15693020</t>
  </si>
  <si>
    <t>15693050</t>
  </si>
  <si>
    <t>15693065</t>
  </si>
  <si>
    <t>15693075</t>
  </si>
  <si>
    <t>15693115</t>
  </si>
  <si>
    <t>15693125</t>
  </si>
  <si>
    <t>15693160</t>
  </si>
  <si>
    <t>15698008</t>
  </si>
  <si>
    <t>15698017</t>
  </si>
  <si>
    <t>15699000</t>
  </si>
  <si>
    <t>530500</t>
  </si>
  <si>
    <t>595001</t>
  </si>
  <si>
    <t>595150</t>
  </si>
  <si>
    <t>595160</t>
  </si>
  <si>
    <t>Adobe and Canva, PatientIQ $25k</t>
  </si>
  <si>
    <t>Budgeted in 66068 - Patient Belongings - Reimburse, $4500 for Press Ganey</t>
  </si>
  <si>
    <t>ACC Dues</t>
  </si>
  <si>
    <t>PEGASUS MEDICAL CONCEPTS INC</t>
  </si>
  <si>
    <t>Confrences and Registration Fee; 5 1st year Fellows $2,500 each; 2nd year fellow $12,000; 3rd year fellow $16,250; 4 IC fellows $13,200; 4 EP Fellows $13,200</t>
  </si>
  <si>
    <t>On Call Transportation $18,000</t>
  </si>
  <si>
    <t>food for orientation</t>
  </si>
  <si>
    <t>employee barbecue</t>
  </si>
  <si>
    <t>con ed, constellation, investigate</t>
  </si>
  <si>
    <t xml:space="preserve">   </t>
  </si>
  <si>
    <t>Carrier - $130k + Trane $48k , Schneider $488k+ , Net new scientfic $36k   (hood cleaning  vendor) TVR $336k CDS $36k Wings $252k TS Air $280k (additional hvac filters)Pipeliner $16k Scientific | FSI $35k</t>
  </si>
  <si>
    <t>Lead Vests</t>
  </si>
  <si>
    <t>White Coats</t>
  </si>
  <si>
    <t>AUA Registration / Society of Academic Urology</t>
  </si>
  <si>
    <t>SASP Questions</t>
  </si>
  <si>
    <t>Conferences / Honorariums / Debate / In Service</t>
  </si>
  <si>
    <t>Plaques, Gifts, &amp; Awards</t>
  </si>
  <si>
    <t>Graduation / Match Interviews</t>
  </si>
  <si>
    <t>Hotels for AUA Meeting &amp; car rental to LIJ</t>
  </si>
  <si>
    <t>Lunches</t>
  </si>
  <si>
    <t>Computer Maintenance</t>
  </si>
  <si>
    <t>Shift from Dietary Charge Out | Grand Rounds Weekly</t>
  </si>
  <si>
    <t>vp</t>
  </si>
  <si>
    <t>director</t>
  </si>
  <si>
    <t>dept_id</t>
  </si>
  <si>
    <t>bu_dept</t>
  </si>
  <si>
    <t>account</t>
  </si>
  <si>
    <t>account_type</t>
  </si>
  <si>
    <t>dept_name</t>
  </si>
  <si>
    <t>acct_name</t>
  </si>
  <si>
    <t>affl</t>
  </si>
  <si>
    <t>2025_actual</t>
  </si>
  <si>
    <t>2026_budget</t>
  </si>
  <si>
    <t>2026_june_ytd_actual</t>
  </si>
  <si>
    <t>2026_june_ytd_annualized</t>
  </si>
  <si>
    <t>trailing_12_actual</t>
  </si>
  <si>
    <t>2026_proposed_projection</t>
  </si>
  <si>
    <t>2026_projection_adjustment</t>
  </si>
  <si>
    <t>2026_final_projection</t>
  </si>
  <si>
    <t>2027_budget_no_infl</t>
  </si>
  <si>
    <t>variance_no_infl</t>
  </si>
  <si>
    <t>inflation_pct</t>
  </si>
  <si>
    <t>inflation_amt</t>
  </si>
  <si>
    <t>2027_budget_infl</t>
  </si>
  <si>
    <t>variance_infl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</si>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</sst>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</cellStyleXfs>
  <cellXfs count="22">
    <xf numFmtId="0" fontId="0" fillId="0" borderId="0" xfId="0"/>
    <xf numFmtId="0" fontId="2" fillId="2" borderId="0" xfId="3" applyFill="1"/>
    <xf numFmtId="9" fontId="0" fillId="2" borderId="0" xfId="2" applyFont="1" applyFill="1"/>
    <xf numFmtId="0" fontId="5" fillId="7" borderId="2" xfId="3" applyFont="1" applyFill="1" applyBorder="1" applyAlignment="1">
      <alignment horizontal="center"/>
    </xf>
    <xf numFmtId="9" fontId="5" fillId="7" borderId="2" xfId="2" applyFont="1" applyFill="1" applyBorder="1" applyAlignment="1">
      <alignment horizontal="center"/>
    </xf>
    <xf numFmtId="0" fontId="5" fillId="7" borderId="2" xfId="3" applyFont="1" applyFill="1" applyBorder="1" applyAlignment="1">
      <alignment horizontal="center" wrapText="1"/>
    </xf>
    <xf numFmtId="49" fontId="2" fillId="4" borderId="0" xfId="3" applyNumberFormat="1" applyFill="1"/>
    <xf numFmtId="164" fontId="4" fillId="8" borderId="3" xfId="1" applyNumberFormat="1" applyFont="1" applyFill="1" applyBorder="1" applyAlignment="1" applyProtection="1">
      <alignment horizontal="left" vertical="center"/>
      <protection locked="0"/>
    </xf>
    <xf numFmtId="0" fontId="3" fillId="6" borderId="4" xfId="3" applyFont="1" applyFill="1" applyBorder="1"/>
    <xf numFmtId="9" fontId="3" fillId="6" borderId="4" xfId="2" applyFont="1" applyFill="1" applyBorder="1"/>
    <xf numFmtId="43" fontId="2" fillId="2" borderId="0" xfId="3" applyNumberFormat="1" applyFill="1"/>
    <xf numFmtId="0" fontId="6" fillId="2" borderId="0" xfId="3" applyFont="1" applyFill="1"/>
    <xf numFmtId="0" fontId="5" fillId="7" borderId="5" xfId="3" applyFont="1" applyFill="1" applyBorder="1" applyAlignment="1">
      <alignment horizontal="center"/>
    </xf>
    <xf numFmtId="0" fontId="2" fillId="2" borderId="6" xfId="3" applyFill="1" applyBorder="1"/>
    <xf numFmtId="164" fontId="2" fillId="2" borderId="0" xfId="3" applyNumberFormat="1" applyFill="1"/>
    <xf numFmtId="0" fontId="3" fillId="9" borderId="1" xfId="3" applyFont="1" applyFill="1" applyBorder="1"/>
    <xf numFmtId="164" fontId="3" fillId="9" borderId="1" xfId="3" applyNumberFormat="1" applyFont="1" applyFill="1" applyBorder="1"/>
    <xf numFmtId="9" fontId="3" fillId="9" borderId="1" xfId="2" applyFont="1" applyFill="1" applyBorder="1"/>
    <xf numFmtId="43" fontId="3" fillId="6" borderId="4" xfId="3" applyNumberFormat="1" applyFont="1" applyFill="1" applyBorder="1"/>
    <xf numFmtId="0" fontId="4" fillId="5" borderId="0" xfId="3" applyFont="1" applyFill="1" applyAlignment="1" applyProtection="1">
      <alignment horizontal="left" vertical="center"/>
      <protection locked="0"/>
    </xf>
    <xf numFmtId="0" fontId="2" fillId="3" borderId="0" xfId="3" applyFill="1" applyAlignment="1" applyProtection="1">
      <alignment horizontal="left" vertical="center"/>
      <protection locked="0"/>
    </xf>
    <xf numFmtId="164" fontId="4" fillId="8" borderId="3" xfId="1" applyNumberFormat="1" applyFont="1" applyFill="1" applyBorder="1" applyAlignment="1" applyProtection="1">
      <alignment horizontal="left" vertical="center" wrapText="1"/>
      <protection locked="0"/>
    </xf>
  </cellXfs>
  <cellStyles count="5">
    <cellStyle name="Comma" xfId="1" builtinId="3"/>
    <cellStyle name="Normal" xfId="0" builtinId="0"/>
    <cellStyle name="Normal 2" xfId="3" xr:uid="{493606FB-227B-4C86-96E0-89AF918489DD}"/>
    <cellStyle name="Normal 2 2" xfId="4" xr:uid="{8842D559-7ACC-4CF7-B201-ED7C215401DB}"/>
    <cellStyle name="Percent" xfId="2" builtinId="5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1025" name="FPMExcelClientSheetOptionstb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data02\finance01\DATA\Budgt_FP\members\JillD\Financial%20Planning\Glen%20Cove%20ED\CG%20ED%20CON%20calculation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na\NYPH\8-2004\Aug%202004\Inprev%208-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data02\finance01\finance01\Tina\NYPH\8-2004\Aug%202004\Inprev%208-20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4 &amp; Depr"/>
      <sheetName val="Old"/>
      <sheetName val="New (Sched 6 &amp; 7)"/>
      <sheetName val="Fundraising"/>
      <sheetName val="Utilities"/>
      <sheetName val="Depreciation"/>
      <sheetName val="Capital Cost"/>
      <sheetName val="Amort Schedule"/>
      <sheetName val="Rev per visit - payor"/>
      <sheetName val="ED Payments"/>
      <sheetName val="Old CT Depr Sched"/>
      <sheetName val="Notes &amp; Sources"/>
      <sheetName val="ED P &amp; L"/>
      <sheetName val="Ancillary Expenses"/>
      <sheetName val="Indirect Expenses"/>
      <sheetName val="Depreciation Expense"/>
      <sheetName val="Sheet1"/>
      <sheetName val="Sheet2"/>
      <sheetName val="Sheet 3"/>
      <sheetName val="Summary"/>
      <sheetName val="(Buy-Out) Cash Needs"/>
      <sheetName val="MD Income Summary"/>
      <sheetName val="P &amp; L Summary"/>
      <sheetName val="Payer Mix"/>
      <sheetName val="Revenue Projections"/>
      <sheetName val="wRVU Analysis"/>
      <sheetName val="Downstream CM"/>
      <sheetName val="Payroll Summary"/>
      <sheetName val="Benchmarks"/>
      <sheetName val="FTE"/>
      <sheetName val="Adjusted Data"/>
      <sheetName val="Raw Data"/>
      <sheetName val="MD Benefits"/>
      <sheetName val="Malpractice"/>
      <sheetName val="Risk MGT Form"/>
      <sheetName val="Staff Payroll &amp; Benefits"/>
      <sheetName val="Capital"/>
      <sheetName val="IT Cost Estimate"/>
      <sheetName val="Assets"/>
      <sheetName val="P &amp; L Detail"/>
      <sheetName val="General Expenses"/>
      <sheetName val="Baseline Inc St"/>
      <sheetName val="Baseline Bal Sht"/>
      <sheetName val="Changes"/>
      <sheetName val="Table"/>
      <sheetName val="Signatories"/>
      <sheetName val="MGMA"/>
      <sheetName val="sites"/>
      <sheetName val="Data - Market Data"/>
      <sheetName val="Data - Signatories"/>
      <sheetName val="Data - Renewal References"/>
      <sheetName val="Background Lists"/>
      <sheetName val="Indicator"/>
      <sheetName val="Indicator YTD"/>
      <sheetName val="2 Midnight"/>
      <sheetName val="OP Revenue"/>
      <sheetName val="OP Summary_CY vs PY"/>
      <sheetName val="IP Stat"/>
      <sheetName val="OP Stat"/>
      <sheetName val="DO NOT DELETE"/>
      <sheetName val="Detail"/>
      <sheetName val="PayerTrend"/>
      <sheetName val="ProductTrend"/>
      <sheetName val="Summary - MTD"/>
      <sheetName val="Summary - YTD"/>
      <sheetName val="Summary MedSurg"/>
      <sheetName val="PL Detail"/>
      <sheetName val="Physician Monitor"/>
      <sheetName val="Trach"/>
      <sheetName val="Calc"/>
      <sheetName val="Actual"/>
      <sheetName val="Other"/>
      <sheetName val="Outlier"/>
      <sheetName val="PPA Rec"/>
      <sheetName val="Case Rate"/>
      <sheetName val="OP Visits Detail"/>
      <sheetName val="Budget"/>
      <sheetName val="Budget Spread"/>
      <sheetName val="Query"/>
      <sheetName val="Budget Query Data"/>
      <sheetName val="Instructions"/>
    </sheetNames>
    <sheetDataSet>
      <sheetData sheetId="0">
        <row r="49">
          <cell r="H49" t="str">
            <v>Year 3</v>
          </cell>
        </row>
      </sheetData>
      <sheetData sheetId="1"/>
      <sheetData sheetId="2"/>
      <sheetData sheetId="3"/>
      <sheetData sheetId="4"/>
      <sheetData sheetId="5"/>
      <sheetData sheetId="6">
        <row r="49">
          <cell r="H49" t="str">
            <v>Year 3</v>
          </cell>
        </row>
      </sheetData>
      <sheetData sheetId="7" refreshError="1"/>
      <sheetData sheetId="8"/>
      <sheetData sheetId="9"/>
      <sheetData sheetId="10">
        <row r="18">
          <cell r="B18" t="str">
            <v>Corporate</v>
          </cell>
        </row>
      </sheetData>
      <sheetData sheetId="11"/>
      <sheetData sheetId="12"/>
      <sheetData sheetId="13">
        <row r="7">
          <cell r="AB7">
            <v>8</v>
          </cell>
        </row>
      </sheetData>
      <sheetData sheetId="14"/>
      <sheetData sheetId="15"/>
      <sheetData sheetId="16">
        <row r="18">
          <cell r="B18" t="str">
            <v>Corporate</v>
          </cell>
        </row>
      </sheetData>
      <sheetData sheetId="17"/>
      <sheetData sheetId="18"/>
      <sheetData sheetId="19">
        <row r="49">
          <cell r="H49" t="str">
            <v>Year 3</v>
          </cell>
        </row>
      </sheetData>
      <sheetData sheetId="20"/>
      <sheetData sheetId="21"/>
      <sheetData sheetId="22"/>
      <sheetData sheetId="23"/>
      <sheetData sheetId="24"/>
      <sheetData sheetId="25">
        <row r="49">
          <cell r="H49" t="str">
            <v>Year 3</v>
          </cell>
        </row>
      </sheetData>
      <sheetData sheetId="26">
        <row r="7">
          <cell r="AB7">
            <v>8</v>
          </cell>
        </row>
      </sheetData>
      <sheetData sheetId="27"/>
      <sheetData sheetId="28"/>
      <sheetData sheetId="29"/>
      <sheetData sheetId="30"/>
      <sheetData sheetId="31"/>
      <sheetData sheetId="32">
        <row r="7">
          <cell r="AB7">
            <v>8</v>
          </cell>
        </row>
      </sheetData>
      <sheetData sheetId="33"/>
      <sheetData sheetId="34"/>
      <sheetData sheetId="35">
        <row r="18">
          <cell r="B18" t="str">
            <v>Corporate</v>
          </cell>
        </row>
      </sheetData>
      <sheetData sheetId="36"/>
      <sheetData sheetId="37"/>
      <sheetData sheetId="38">
        <row r="49">
          <cell r="H49" t="str">
            <v>Year 3</v>
          </cell>
        </row>
      </sheetData>
      <sheetData sheetId="39"/>
      <sheetData sheetId="40"/>
      <sheetData sheetId="41">
        <row r="18">
          <cell r="B18" t="str">
            <v>Corporate</v>
          </cell>
        </row>
      </sheetData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8">
          <cell r="B18"/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DRG"/>
      <sheetName val="CMI&amp;VOL WORKSHEET"/>
      <sheetName val="CASE MIX"/>
      <sheetName val="ACUTE"/>
      <sheetName val="ACUTE-regroup "/>
      <sheetName val="NOTE"/>
      <sheetName val="Sheet2"/>
      <sheetName val="MONTH"/>
      <sheetName val="year to date"/>
      <sheetName val="summary"/>
      <sheetName val="comparison"/>
      <sheetName val="ACUTE (2)"/>
      <sheetName val="comm"/>
      <sheetName val="EXEMPT"/>
      <sheetName val="Managed Care schedule"/>
      <sheetName val="Comm-2"/>
      <sheetName val="stat-days"/>
      <sheetName val="stat-cases"/>
      <sheetName val="bx,aetna&amp;oxford"/>
      <sheetName val="Sheet3"/>
      <sheetName val="BOARD"/>
      <sheetName val="BUDGET BASE-2"/>
      <sheetName val="GME"/>
      <sheetName val="SHORT"/>
      <sheetName val="2004 Budget Rate"/>
      <sheetName val="BUDGET BASE"/>
      <sheetName val="2004 Budgeted CASES"/>
      <sheetName val="2004 Budgeted DAYS"/>
      <sheetName val="BUDGET 2004"/>
      <sheetName val="BUDGETSUM"/>
      <sheetName val="regroup"/>
      <sheetName val="YTD "/>
      <sheetName val="denial"/>
      <sheetName val="Sheet1"/>
      <sheetName val="pool"/>
      <sheetName val="BX INCREASE"/>
      <sheetName val="care-capital"/>
      <sheetName val="burn2004"/>
      <sheetName val="burn"/>
      <sheetName val="Drop Downs"/>
      <sheetName val="NEW_DRG"/>
      <sheetName val="CMI&amp;VOL_WORKSHEET"/>
      <sheetName val="CASE_MIX"/>
      <sheetName val="ACUTE-regroup_"/>
      <sheetName val="year_to_date"/>
      <sheetName val="ACUTE_(2)"/>
      <sheetName val="Managed_Care_schedule"/>
      <sheetName val="BUDGET_BASE-2"/>
      <sheetName val="2004_Budget_Rate"/>
      <sheetName val="BUDGET_BASE"/>
      <sheetName val="2004_Budgeted_CASES"/>
      <sheetName val="2004_Budgeted_DAYS"/>
      <sheetName val="BUDGET_2004"/>
      <sheetName val="YTD_"/>
      <sheetName val="BX_INCREASE"/>
      <sheetName val="Drop_Downs"/>
      <sheetName val="Data - Market Data"/>
      <sheetName val="Data - Signatories"/>
      <sheetName val="Data - Renewal References"/>
      <sheetName val="Inprev 8-2004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TE"/>
      <sheetName val="NEW DRG"/>
      <sheetName val="CMI&amp;VOL WORKSHEET"/>
      <sheetName val="CASE MIX"/>
      <sheetName val="ACUTE-regroup "/>
      <sheetName val="NOTE"/>
      <sheetName val="Sheet2"/>
      <sheetName val="MONTH"/>
      <sheetName val="year to date"/>
      <sheetName val="summary"/>
      <sheetName val="comparison"/>
      <sheetName val="ACUTE (2)"/>
      <sheetName val="comm"/>
      <sheetName val="EXEMPT"/>
      <sheetName val="Managed Care schedule"/>
      <sheetName val="Comm-2"/>
      <sheetName val="stat-days"/>
      <sheetName val="stat-cases"/>
      <sheetName val="bx,aetna&amp;oxford"/>
      <sheetName val="Sheet3"/>
      <sheetName val="BOARD"/>
      <sheetName val="BUDGET BASE-2"/>
      <sheetName val="GME"/>
      <sheetName val="SHORT"/>
      <sheetName val="2004 Budget Rate"/>
      <sheetName val="BUDGET BASE"/>
      <sheetName val="2004 Budgeted CASES"/>
      <sheetName val="2004 Budgeted DAYS"/>
      <sheetName val="BUDGET 2004"/>
      <sheetName val="BUDGETSUM"/>
      <sheetName val="regroup"/>
      <sheetName val="YTD "/>
      <sheetName val="denial"/>
      <sheetName val="Sheet1"/>
      <sheetName val="pool"/>
      <sheetName val="BX INCREASE"/>
      <sheetName val="care-capital"/>
      <sheetName val="burn2004"/>
      <sheetName val="burn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5" Type="http://schemas.openxmlformats.org/officeDocument/2006/relationships/control" Target="../activeX/activeX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1D12-9A8F-459F-BDC9-2AC8CFD9A10E}">
  <sheetPr codeName="Sheet10">
    <tabColor theme="9" tint="0.39997558519241921"/>
  </sheetPr>
  <dimension ref="A1:BC3907"/>
  <sheetViews>
    <sheetView tabSelected="1" zoomScale="70" zoomScaleNormal="70" workbookViewId="0">
      <selection activeCell="D30" sqref="D30"/>
    </sheetView>
  </sheetViews>
  <sheetFormatPr defaultColWidth="9.140625" defaultRowHeight="15" x14ac:dyDescent="0.25"/>
  <cols>
    <col min="1" max="1" width="13.5703125" style="1" customWidth="1"/>
    <col min="2" max="2" width="4.140625" style="1" customWidth="1"/>
    <col min="3" max="3" width="9.140625" style="1" customWidth="1"/>
    <col min="4" max="4" width="16.5703125" style="1" customWidth="1"/>
    <col min="5" max="5" width="19.42578125" style="1" customWidth="1"/>
    <col min="6" max="6" width="17.85546875" style="1" customWidth="1"/>
    <col min="7" max="7" width="45.42578125" style="1" bestFit="1" customWidth="1"/>
    <col min="8" max="8" width="38.5703125" style="1" bestFit="1" customWidth="1"/>
    <col min="9" max="9" width="15" style="1" bestFit="1" customWidth="1"/>
    <col min="10" max="11" width="22.140625" style="1" bestFit="1" customWidth="1"/>
    <col min="12" max="13" width="21.140625" style="1" bestFit="1" customWidth="1"/>
    <col min="14" max="14" width="20.85546875" style="1" customWidth="1"/>
    <col min="15" max="15" width="25.85546875" style="1" customWidth="1"/>
    <col min="16" max="17" width="22.85546875" style="1" customWidth="1"/>
    <col min="18" max="18" width="29.85546875" style="1" customWidth="1"/>
    <col min="19" max="19" width="16.85546875" style="1" customWidth="1"/>
    <col min="20" max="20" width="20.85546875" style="2" customWidth="1"/>
    <col min="21" max="21" width="11.140625" style="1" customWidth="1"/>
    <col min="22" max="22" width="15.5703125" style="1" customWidth="1"/>
    <col min="23" max="23" width="17.28515625" style="1" customWidth="1"/>
    <col min="24" max="24" width="40.85546875" style="1" customWidth="1"/>
    <col min="25" max="16384" width="9.140625" style="1"/>
  </cols>
  <sheetData>
    <row r="1" spans="1:24" x14ac:dyDescent="0.25">
      <c r="A1" t="s">
        <v>2252</v>
      </c>
      <c r="B1" t="s">
        <v>2253</v>
      </c>
      <c r="C1" t="s">
        <v>2254</v>
      </c>
      <c r="D1" t="s">
        <v>2255</v>
      </c>
      <c r="E1" t="s">
        <v>2256</v>
      </c>
      <c r="F1" t="s">
        <v>2257</v>
      </c>
      <c r="G1" t="s">
        <v>2258</v>
      </c>
      <c r="H1" t="s">
        <v>2259</v>
      </c>
      <c r="I1" t="s">
        <v>2260</v>
      </c>
      <c r="J1" t="s">
        <v>2261</v>
      </c>
      <c r="K1" t="s">
        <v>2262</v>
      </c>
      <c r="L1" t="s">
        <v>2263</v>
      </c>
      <c r="M1" t="s">
        <v>2264</v>
      </c>
      <c r="N1" t="s">
        <v>2265</v>
      </c>
      <c r="O1" t="s">
        <v>2266</v>
      </c>
      <c r="P1" t="s">
        <v>2267</v>
      </c>
      <c r="Q1" t="s">
        <v>2268</v>
      </c>
      <c r="R1" t="s">
        <v>2269</v>
      </c>
      <c r="S1" t="s">
        <v>2270</v>
      </c>
      <c r="T1" t="s">
        <v>2271</v>
      </c>
      <c r="U1" t="s">
        <v>2272</v>
      </c>
      <c r="V1" t="s">
        <v>2273</v>
      </c>
      <c r="W1" t="s">
        <v>2274</v>
      </c>
      <c r="X1" t="s">
        <v>2275</v>
      </c>
    </row>
    <row r="2" spans="1:24" x14ac:dyDescent="0.25">
      <c r="A2" t="s">
        <v>1940</v>
      </c>
      <c r="B2" t="s">
        <v>1941</v>
      </c>
      <c r="C2" t="s">
        <v>1942</v>
      </c>
      <c r="D2" t="s">
        <v>4</v>
      </c>
      <c r="E2" t="s">
        <v>5</v>
      </c>
      <c r="F2" t="s">
        <v>5</v>
      </c>
      <c r="G2" t="s">
        <v>404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4" x14ac:dyDescent="0.25">
      <c r="A3" t="s">
        <v>1940</v>
      </c>
      <c r="B3" t="s">
        <v>1941</v>
      </c>
      <c r="C3" t="s">
        <v>1942</v>
      </c>
      <c r="D3" t="s">
        <v>4</v>
      </c>
      <c r="E3" t="s">
        <v>6</v>
      </c>
      <c r="F3" t="s">
        <v>1</v>
      </c>
      <c r="G3" t="s">
        <v>405</v>
      </c>
      <c r="H3" t="s">
        <v>406</v>
      </c>
      <c r="I3" t="s">
        <v>1</v>
      </c>
      <c r="J3">
        <v>136538.88</v>
      </c>
      <c r="K3">
        <v>95040.999999999607</v>
      </c>
      <c r="L3">
        <v>47868.09</v>
      </c>
      <c r="M3">
        <v>96529.573756906058</v>
      </c>
      <c r="N3">
        <v>152484.78</v>
      </c>
      <c r="O3">
        <v>95736.18</v>
      </c>
      <c r="P3">
        <v>0</v>
      </c>
      <c r="Q3">
        <f t="shared" ref="Q3:Q47" si="0">O3+P3</f>
        <v>95736.18</v>
      </c>
      <c r="R3">
        <v>8930.64</v>
      </c>
      <c r="S3">
        <f t="shared" ref="S3:S47" si="1">IF(OR(LEFT(E3,2)="A_",LEFT(D3,5)="Total"),R3-Q3,"")</f>
        <v>-86805.54</v>
      </c>
      <c r="T3"/>
      <c r="U3">
        <f t="shared" ref="U3:U47" si="2">IFERROR(R3*T3,R3*0)</f>
        <v>0</v>
      </c>
      <c r="V3">
        <f t="shared" ref="V3:V47" si="3">IF(OR(LEFT(E3,2)="A_",LEFT(D3,5)="Total"),R3+U3,"")</f>
        <v>8930.64</v>
      </c>
      <c r="W3">
        <f t="shared" ref="W3:W47" si="4">IF(OR(LEFT(E3,2)="A_",LEFT(D3,5)="Total"),V3-Q3,"")</f>
        <v>-86805.54</v>
      </c>
      <c r="X3" t="s">
        <v>1267</v>
      </c>
    </row>
    <row r="4" spans="1:24" x14ac:dyDescent="0.25">
      <c r="A4" t="s">
        <v>1940</v>
      </c>
      <c r="B4" t="s">
        <v>1941</v>
      </c>
      <c r="C4" t="s">
        <v>1942</v>
      </c>
      <c r="D4" t="s">
        <v>4</v>
      </c>
      <c r="E4" t="s">
        <v>7</v>
      </c>
      <c r="F4" t="s">
        <v>1</v>
      </c>
      <c r="G4" t="s">
        <v>405</v>
      </c>
      <c r="H4" t="s">
        <v>407</v>
      </c>
      <c r="I4" t="s">
        <v>1</v>
      </c>
      <c r="J4">
        <v>105123.3</v>
      </c>
      <c r="K4">
        <v>116000</v>
      </c>
      <c r="L4">
        <v>101022.98</v>
      </c>
      <c r="M4">
        <v>203720.37403314919</v>
      </c>
      <c r="N4">
        <v>150648.38</v>
      </c>
      <c r="O4">
        <v>202045.96</v>
      </c>
      <c r="P4">
        <v>0</v>
      </c>
      <c r="Q4">
        <f t="shared" si="0"/>
        <v>202045.96</v>
      </c>
      <c r="R4">
        <v>199335.96</v>
      </c>
      <c r="S4">
        <f t="shared" si="1"/>
        <v>-2710</v>
      </c>
      <c r="T4"/>
      <c r="U4">
        <f t="shared" si="2"/>
        <v>0</v>
      </c>
      <c r="V4">
        <f t="shared" si="3"/>
        <v>199335.96</v>
      </c>
      <c r="W4">
        <f t="shared" si="4"/>
        <v>-2710</v>
      </c>
      <c r="X4" t="s">
        <v>1268</v>
      </c>
    </row>
    <row r="5" spans="1:24" x14ac:dyDescent="0.25">
      <c r="A5" t="s">
        <v>1940</v>
      </c>
      <c r="B5" t="s">
        <v>1941</v>
      </c>
      <c r="C5" t="s">
        <v>1942</v>
      </c>
      <c r="D5" t="s">
        <v>4</v>
      </c>
      <c r="E5" t="s">
        <v>8</v>
      </c>
      <c r="F5" t="s">
        <v>1</v>
      </c>
      <c r="G5" t="s">
        <v>405</v>
      </c>
      <c r="H5" t="s">
        <v>408</v>
      </c>
      <c r="I5" t="s">
        <v>1</v>
      </c>
      <c r="J5">
        <v>54234.05</v>
      </c>
      <c r="K5">
        <v>78260.053314917095</v>
      </c>
      <c r="L5">
        <v>30609.33</v>
      </c>
      <c r="M5">
        <v>61725.996961325975</v>
      </c>
      <c r="N5">
        <v>46034.97</v>
      </c>
      <c r="O5">
        <v>61725.996961325996</v>
      </c>
      <c r="P5">
        <v>0</v>
      </c>
      <c r="Q5">
        <f t="shared" si="0"/>
        <v>61725.996961325996</v>
      </c>
      <c r="R5">
        <v>61725.996961325996</v>
      </c>
      <c r="S5">
        <f t="shared" si="1"/>
        <v>0</v>
      </c>
      <c r="T5"/>
      <c r="U5">
        <f t="shared" si="2"/>
        <v>0</v>
      </c>
      <c r="V5">
        <f t="shared" si="3"/>
        <v>61725.996961325996</v>
      </c>
      <c r="W5">
        <f t="shared" si="4"/>
        <v>0</v>
      </c>
      <c r="X5">
        <v>0</v>
      </c>
    </row>
    <row r="6" spans="1:24" x14ac:dyDescent="0.25">
      <c r="A6" t="s">
        <v>1940</v>
      </c>
      <c r="B6" t="s">
        <v>1941</v>
      </c>
      <c r="C6" t="s">
        <v>1942</v>
      </c>
      <c r="D6" t="s">
        <v>4</v>
      </c>
      <c r="E6" t="s">
        <v>9</v>
      </c>
      <c r="F6" t="s">
        <v>1</v>
      </c>
      <c r="G6" t="s">
        <v>405</v>
      </c>
      <c r="H6" t="s">
        <v>409</v>
      </c>
      <c r="I6" t="s">
        <v>1</v>
      </c>
      <c r="J6">
        <v>2410808.84</v>
      </c>
      <c r="K6">
        <v>2362757</v>
      </c>
      <c r="L6">
        <v>1235093.44</v>
      </c>
      <c r="M6">
        <v>2490658.0419889502</v>
      </c>
      <c r="N6">
        <v>2464523.88</v>
      </c>
      <c r="O6">
        <v>2470186.88</v>
      </c>
      <c r="P6">
        <v>0</v>
      </c>
      <c r="Q6">
        <f t="shared" si="0"/>
        <v>2470186.88</v>
      </c>
      <c r="R6">
        <v>2505460</v>
      </c>
      <c r="S6">
        <f t="shared" si="1"/>
        <v>35273.120000000112</v>
      </c>
      <c r="T6"/>
      <c r="U6">
        <f t="shared" si="2"/>
        <v>0</v>
      </c>
      <c r="V6">
        <f t="shared" si="3"/>
        <v>2505460</v>
      </c>
      <c r="W6">
        <f t="shared" si="4"/>
        <v>35273.120000000112</v>
      </c>
      <c r="X6" t="s">
        <v>1269</v>
      </c>
    </row>
    <row r="7" spans="1:24" x14ac:dyDescent="0.25">
      <c r="A7" t="s">
        <v>1940</v>
      </c>
      <c r="B7" t="s">
        <v>1941</v>
      </c>
      <c r="C7" t="s">
        <v>1942</v>
      </c>
      <c r="D7" t="s">
        <v>4</v>
      </c>
      <c r="E7" t="s">
        <v>10</v>
      </c>
      <c r="F7" t="s">
        <v>1</v>
      </c>
      <c r="G7" t="s">
        <v>405</v>
      </c>
      <c r="H7" t="s">
        <v>410</v>
      </c>
      <c r="I7" t="s">
        <v>1</v>
      </c>
      <c r="J7">
        <v>395.89</v>
      </c>
      <c r="K7">
        <v>2772</v>
      </c>
      <c r="L7">
        <v>107.97</v>
      </c>
      <c r="M7">
        <v>217.7295580110497</v>
      </c>
      <c r="N7">
        <v>395.89000000000004</v>
      </c>
      <c r="O7">
        <v>215.94</v>
      </c>
      <c r="P7">
        <v>0</v>
      </c>
      <c r="Q7">
        <f t="shared" si="0"/>
        <v>215.94</v>
      </c>
      <c r="R7">
        <v>432</v>
      </c>
      <c r="S7">
        <f t="shared" si="1"/>
        <v>216.06</v>
      </c>
      <c r="T7"/>
      <c r="U7">
        <f t="shared" si="2"/>
        <v>0</v>
      </c>
      <c r="V7">
        <f t="shared" si="3"/>
        <v>432</v>
      </c>
      <c r="W7">
        <f t="shared" si="4"/>
        <v>216.06</v>
      </c>
      <c r="X7" t="s">
        <v>1270</v>
      </c>
    </row>
    <row r="8" spans="1:24" x14ac:dyDescent="0.25">
      <c r="A8" t="s">
        <v>1940</v>
      </c>
      <c r="B8" t="s">
        <v>1941</v>
      </c>
      <c r="C8" t="s">
        <v>1942</v>
      </c>
      <c r="D8" t="s">
        <v>4</v>
      </c>
      <c r="E8" t="s">
        <v>11</v>
      </c>
      <c r="F8" t="s">
        <v>1</v>
      </c>
      <c r="G8" t="s">
        <v>405</v>
      </c>
      <c r="H8" t="s">
        <v>411</v>
      </c>
      <c r="I8" t="s">
        <v>1</v>
      </c>
      <c r="J8">
        <v>17722.71</v>
      </c>
      <c r="K8">
        <v>20072.200000000801</v>
      </c>
      <c r="L8">
        <v>13552.5</v>
      </c>
      <c r="M8">
        <v>27329.627071823204</v>
      </c>
      <c r="N8">
        <v>24606.240000000002</v>
      </c>
      <c r="O8">
        <v>27105</v>
      </c>
      <c r="P8">
        <v>0</v>
      </c>
      <c r="Q8">
        <f t="shared" si="0"/>
        <v>27105</v>
      </c>
      <c r="R8">
        <v>27108</v>
      </c>
      <c r="S8">
        <f t="shared" si="1"/>
        <v>3</v>
      </c>
      <c r="T8"/>
      <c r="U8">
        <f t="shared" si="2"/>
        <v>0</v>
      </c>
      <c r="V8">
        <f t="shared" si="3"/>
        <v>27108</v>
      </c>
      <c r="W8">
        <f t="shared" si="4"/>
        <v>3</v>
      </c>
      <c r="X8" t="s">
        <v>1271</v>
      </c>
    </row>
    <row r="9" spans="1:24" x14ac:dyDescent="0.25">
      <c r="A9" t="s">
        <v>1940</v>
      </c>
      <c r="B9" t="s">
        <v>1941</v>
      </c>
      <c r="C9" t="s">
        <v>1942</v>
      </c>
      <c r="D9" t="s">
        <v>4</v>
      </c>
      <c r="E9" t="s">
        <v>12</v>
      </c>
      <c r="F9" t="s">
        <v>1</v>
      </c>
      <c r="G9" t="s">
        <v>405</v>
      </c>
      <c r="H9" t="s">
        <v>412</v>
      </c>
      <c r="I9" t="s">
        <v>1</v>
      </c>
      <c r="J9">
        <v>2588161.7200000002</v>
      </c>
      <c r="K9">
        <v>2588818</v>
      </c>
      <c r="L9">
        <v>1285082.6599999999</v>
      </c>
      <c r="M9">
        <v>2591465.032596685</v>
      </c>
      <c r="N9">
        <v>2579112.08</v>
      </c>
      <c r="O9">
        <v>2570165.3199999998</v>
      </c>
      <c r="P9">
        <v>0</v>
      </c>
      <c r="Q9">
        <f t="shared" si="0"/>
        <v>2570165.3199999998</v>
      </c>
      <c r="R9">
        <v>2570165.3199999998</v>
      </c>
      <c r="S9">
        <f t="shared" si="1"/>
        <v>0</v>
      </c>
      <c r="T9"/>
      <c r="U9">
        <f t="shared" si="2"/>
        <v>0</v>
      </c>
      <c r="V9">
        <f t="shared" si="3"/>
        <v>2570165.3199999998</v>
      </c>
      <c r="W9">
        <f t="shared" si="4"/>
        <v>0</v>
      </c>
      <c r="X9" t="s">
        <v>1272</v>
      </c>
    </row>
    <row r="10" spans="1:24" x14ac:dyDescent="0.25">
      <c r="A10" t="s">
        <v>1940</v>
      </c>
      <c r="B10" t="s">
        <v>1941</v>
      </c>
      <c r="C10" t="s">
        <v>1942</v>
      </c>
      <c r="D10" t="s">
        <v>4</v>
      </c>
      <c r="E10" t="s">
        <v>13</v>
      </c>
      <c r="F10" t="s">
        <v>1</v>
      </c>
      <c r="G10" t="s">
        <v>405</v>
      </c>
      <c r="H10" t="s">
        <v>413</v>
      </c>
      <c r="I10" t="s">
        <v>1</v>
      </c>
      <c r="J10">
        <v>179942.64</v>
      </c>
      <c r="K10">
        <v>179250</v>
      </c>
      <c r="L10">
        <v>90617.56</v>
      </c>
      <c r="M10">
        <v>182737.06850828728</v>
      </c>
      <c r="N10">
        <v>180935.2</v>
      </c>
      <c r="O10">
        <v>181235.12</v>
      </c>
      <c r="P10">
        <v>0</v>
      </c>
      <c r="Q10">
        <f t="shared" si="0"/>
        <v>181235.12</v>
      </c>
      <c r="R10">
        <v>180850</v>
      </c>
      <c r="S10">
        <f t="shared" si="1"/>
        <v>-385.11999999999534</v>
      </c>
      <c r="T10"/>
      <c r="U10">
        <f t="shared" si="2"/>
        <v>0</v>
      </c>
      <c r="V10">
        <f t="shared" si="3"/>
        <v>180850</v>
      </c>
      <c r="W10">
        <f t="shared" si="4"/>
        <v>-385.11999999999534</v>
      </c>
      <c r="X10" t="s">
        <v>1273</v>
      </c>
    </row>
    <row r="11" spans="1:24" x14ac:dyDescent="0.25">
      <c r="A11" t="s">
        <v>1940</v>
      </c>
      <c r="B11" t="s">
        <v>1941</v>
      </c>
      <c r="C11" t="s">
        <v>1942</v>
      </c>
      <c r="D11" t="s">
        <v>4</v>
      </c>
      <c r="E11" t="s">
        <v>14</v>
      </c>
      <c r="F11" t="s">
        <v>1</v>
      </c>
      <c r="G11" t="s">
        <v>405</v>
      </c>
      <c r="H11" t="s">
        <v>414</v>
      </c>
      <c r="I11" t="s">
        <v>1</v>
      </c>
      <c r="J11"/>
      <c r="K11"/>
      <c r="L11">
        <v>630</v>
      </c>
      <c r="M11">
        <v>1270.4419889502763</v>
      </c>
      <c r="N11">
        <v>630</v>
      </c>
      <c r="O11">
        <v>1260</v>
      </c>
      <c r="P11">
        <v>0</v>
      </c>
      <c r="Q11">
        <f t="shared" si="0"/>
        <v>1260</v>
      </c>
      <c r="R11">
        <v>1800</v>
      </c>
      <c r="S11">
        <f t="shared" si="1"/>
        <v>540</v>
      </c>
      <c r="T11"/>
      <c r="U11">
        <f t="shared" si="2"/>
        <v>0</v>
      </c>
      <c r="V11">
        <f t="shared" si="3"/>
        <v>1800</v>
      </c>
      <c r="W11">
        <f t="shared" si="4"/>
        <v>540</v>
      </c>
      <c r="X11" t="s">
        <v>1274</v>
      </c>
    </row>
    <row r="12" spans="1:24" x14ac:dyDescent="0.25">
      <c r="A12" t="s">
        <v>1940</v>
      </c>
      <c r="B12" t="s">
        <v>1941</v>
      </c>
      <c r="C12" t="s">
        <v>1942</v>
      </c>
      <c r="D12" t="s">
        <v>4</v>
      </c>
      <c r="E12" t="s">
        <v>15</v>
      </c>
      <c r="F12" t="s">
        <v>1</v>
      </c>
      <c r="G12" t="s">
        <v>405</v>
      </c>
      <c r="H12" t="s">
        <v>415</v>
      </c>
      <c r="I12" t="s">
        <v>1</v>
      </c>
      <c r="J12"/>
      <c r="K12"/>
      <c r="L12">
        <v>1054.48</v>
      </c>
      <c r="M12">
        <v>2126.4375690607735</v>
      </c>
      <c r="N12">
        <v>1054.48</v>
      </c>
      <c r="O12">
        <v>2108.96</v>
      </c>
      <c r="P12">
        <v>0</v>
      </c>
      <c r="Q12">
        <f t="shared" si="0"/>
        <v>2108.96</v>
      </c>
      <c r="R12">
        <v>0</v>
      </c>
      <c r="S12">
        <f t="shared" si="1"/>
        <v>-2108.96</v>
      </c>
      <c r="T12"/>
      <c r="U12">
        <f t="shared" si="2"/>
        <v>0</v>
      </c>
      <c r="V12">
        <f t="shared" si="3"/>
        <v>0</v>
      </c>
      <c r="W12">
        <f t="shared" si="4"/>
        <v>-2108.96</v>
      </c>
      <c r="X12" t="s">
        <v>1275</v>
      </c>
    </row>
    <row r="13" spans="1:24" x14ac:dyDescent="0.25">
      <c r="A13" t="s">
        <v>1940</v>
      </c>
      <c r="B13" t="s">
        <v>1941</v>
      </c>
      <c r="C13" t="s">
        <v>1942</v>
      </c>
      <c r="D13" t="s">
        <v>4</v>
      </c>
      <c r="E13" t="s">
        <v>16</v>
      </c>
      <c r="F13" t="s">
        <v>1</v>
      </c>
      <c r="G13" t="s">
        <v>405</v>
      </c>
      <c r="H13" t="s">
        <v>416</v>
      </c>
      <c r="I13" t="s">
        <v>1</v>
      </c>
      <c r="J13">
        <v>216866.7</v>
      </c>
      <c r="K13">
        <v>221184</v>
      </c>
      <c r="L13">
        <v>107749.62</v>
      </c>
      <c r="M13">
        <v>217285.14530386741</v>
      </c>
      <c r="N13">
        <v>214024.31999999995</v>
      </c>
      <c r="O13">
        <v>215499.24</v>
      </c>
      <c r="P13">
        <v>0</v>
      </c>
      <c r="Q13">
        <f t="shared" si="0"/>
        <v>215499.24</v>
      </c>
      <c r="R13">
        <v>215499.24</v>
      </c>
      <c r="S13">
        <f t="shared" si="1"/>
        <v>0</v>
      </c>
      <c r="T13"/>
      <c r="U13">
        <f t="shared" si="2"/>
        <v>0</v>
      </c>
      <c r="V13">
        <f t="shared" si="3"/>
        <v>215499.24</v>
      </c>
      <c r="W13">
        <f t="shared" si="4"/>
        <v>0</v>
      </c>
      <c r="X13" t="s">
        <v>1276</v>
      </c>
    </row>
    <row r="14" spans="1:24" x14ac:dyDescent="0.25">
      <c r="A14" t="s">
        <v>1940</v>
      </c>
      <c r="B14" t="s">
        <v>1941</v>
      </c>
      <c r="C14" t="s">
        <v>1942</v>
      </c>
      <c r="D14" t="s">
        <v>4</v>
      </c>
      <c r="E14" t="s">
        <v>17</v>
      </c>
      <c r="F14" t="s">
        <v>1</v>
      </c>
      <c r="G14" t="s">
        <v>405</v>
      </c>
      <c r="H14" t="s">
        <v>417</v>
      </c>
      <c r="I14" t="s">
        <v>1</v>
      </c>
      <c r="J14"/>
      <c r="K14"/>
      <c r="L14">
        <v>-904.89</v>
      </c>
      <c r="M14">
        <v>-1824.7781767955801</v>
      </c>
      <c r="N14">
        <v>-904.89</v>
      </c>
      <c r="O14">
        <v>-1819.7238461539</v>
      </c>
      <c r="P14">
        <v>0</v>
      </c>
      <c r="Q14">
        <f t="shared" si="0"/>
        <v>-1819.7238461539</v>
      </c>
      <c r="R14">
        <v>-1819.7238461539</v>
      </c>
      <c r="S14">
        <f t="shared" si="1"/>
        <v>0</v>
      </c>
      <c r="T14"/>
      <c r="U14">
        <f t="shared" si="2"/>
        <v>0</v>
      </c>
      <c r="V14">
        <f t="shared" si="3"/>
        <v>-1819.7238461539</v>
      </c>
      <c r="W14">
        <f t="shared" si="4"/>
        <v>0</v>
      </c>
      <c r="X14">
        <v>0</v>
      </c>
    </row>
    <row r="15" spans="1:24" x14ac:dyDescent="0.25">
      <c r="A15" t="s">
        <v>1940</v>
      </c>
      <c r="B15" t="s">
        <v>1941</v>
      </c>
      <c r="C15" t="s">
        <v>1942</v>
      </c>
      <c r="D15" t="s">
        <v>4</v>
      </c>
      <c r="E15" t="s">
        <v>18</v>
      </c>
      <c r="F15" t="s">
        <v>1</v>
      </c>
      <c r="G15" t="s">
        <v>405</v>
      </c>
      <c r="H15" t="s">
        <v>418</v>
      </c>
      <c r="I15" t="s">
        <v>1</v>
      </c>
      <c r="J15">
        <v>80.64</v>
      </c>
      <c r="K15"/>
      <c r="L15">
        <v>277.08999999999997</v>
      </c>
      <c r="M15">
        <v>558.77265193370158</v>
      </c>
      <c r="N15">
        <v>332.59</v>
      </c>
      <c r="O15">
        <v>557.22494505489999</v>
      </c>
      <c r="P15">
        <v>0</v>
      </c>
      <c r="Q15">
        <f t="shared" si="0"/>
        <v>557.22494505489999</v>
      </c>
      <c r="R15">
        <v>0</v>
      </c>
      <c r="S15">
        <f t="shared" si="1"/>
        <v>-557.22494505489999</v>
      </c>
      <c r="T15">
        <v>0.02</v>
      </c>
      <c r="U15">
        <f t="shared" si="2"/>
        <v>0</v>
      </c>
      <c r="V15">
        <f t="shared" si="3"/>
        <v>0</v>
      </c>
      <c r="W15">
        <f t="shared" si="4"/>
        <v>-557.22494505489999</v>
      </c>
      <c r="X15">
        <v>0</v>
      </c>
    </row>
    <row r="16" spans="1:24" x14ac:dyDescent="0.25">
      <c r="A16" t="s">
        <v>1940</v>
      </c>
      <c r="B16" t="s">
        <v>1941</v>
      </c>
      <c r="C16" t="s">
        <v>1942</v>
      </c>
      <c r="D16" t="s">
        <v>4</v>
      </c>
      <c r="E16" t="s">
        <v>19</v>
      </c>
      <c r="F16" t="s">
        <v>1</v>
      </c>
      <c r="G16" t="s">
        <v>405</v>
      </c>
      <c r="H16" t="s">
        <v>419</v>
      </c>
      <c r="I16" t="s">
        <v>1</v>
      </c>
      <c r="J16">
        <v>23947.31</v>
      </c>
      <c r="K16">
        <v>22168.749049383001</v>
      </c>
      <c r="L16">
        <v>15966.99</v>
      </c>
      <c r="M16">
        <v>32198.62624309392</v>
      </c>
      <c r="N16">
        <v>26928.7</v>
      </c>
      <c r="O16">
        <v>32109.441428571401</v>
      </c>
      <c r="P16">
        <v>0</v>
      </c>
      <c r="Q16">
        <f t="shared" si="0"/>
        <v>32109.441428571401</v>
      </c>
      <c r="R16">
        <v>29951.239999999998</v>
      </c>
      <c r="S16">
        <f t="shared" si="1"/>
        <v>-2158.2014285714031</v>
      </c>
      <c r="T16">
        <v>0.02</v>
      </c>
      <c r="U16">
        <f t="shared" si="2"/>
        <v>599.02480000000003</v>
      </c>
      <c r="V16">
        <f t="shared" si="3"/>
        <v>30550.264799999997</v>
      </c>
      <c r="W16">
        <f t="shared" si="4"/>
        <v>-1559.1766285714039</v>
      </c>
      <c r="X16" t="s">
        <v>1277</v>
      </c>
    </row>
    <row r="17" spans="1:24" x14ac:dyDescent="0.25">
      <c r="A17" t="s">
        <v>1940</v>
      </c>
      <c r="B17" t="s">
        <v>1941</v>
      </c>
      <c r="C17" t="s">
        <v>1942</v>
      </c>
      <c r="D17" t="s">
        <v>4</v>
      </c>
      <c r="E17" t="s">
        <v>20</v>
      </c>
      <c r="F17" t="s">
        <v>1</v>
      </c>
      <c r="G17" t="s">
        <v>405</v>
      </c>
      <c r="H17" t="s">
        <v>420</v>
      </c>
      <c r="I17" t="s">
        <v>1</v>
      </c>
      <c r="J17">
        <v>506.2</v>
      </c>
      <c r="K17"/>
      <c r="L17">
        <v>0</v>
      </c>
      <c r="M17">
        <v>0</v>
      </c>
      <c r="N17">
        <v>0</v>
      </c>
      <c r="O17"/>
      <c r="P17">
        <v>0</v>
      </c>
      <c r="Q17">
        <f t="shared" si="0"/>
        <v>0</v>
      </c>
      <c r="R17">
        <v>0</v>
      </c>
      <c r="S17">
        <f t="shared" si="1"/>
        <v>0</v>
      </c>
      <c r="T17">
        <v>0.04</v>
      </c>
      <c r="U17">
        <f t="shared" si="2"/>
        <v>0</v>
      </c>
      <c r="V17">
        <f t="shared" si="3"/>
        <v>0</v>
      </c>
      <c r="W17">
        <f t="shared" si="4"/>
        <v>0</v>
      </c>
      <c r="X17">
        <v>0</v>
      </c>
    </row>
    <row r="18" spans="1:24" x14ac:dyDescent="0.25">
      <c r="A18" t="s">
        <v>1940</v>
      </c>
      <c r="B18" t="s">
        <v>1941</v>
      </c>
      <c r="C18" t="s">
        <v>1942</v>
      </c>
      <c r="D18" t="s">
        <v>4</v>
      </c>
      <c r="E18" t="s">
        <v>21</v>
      </c>
      <c r="F18" t="s">
        <v>1</v>
      </c>
      <c r="G18" t="s">
        <v>405</v>
      </c>
      <c r="H18" t="s">
        <v>421</v>
      </c>
      <c r="I18" t="s">
        <v>1</v>
      </c>
      <c r="J18">
        <v>1480.42</v>
      </c>
      <c r="K18">
        <v>1293.6700000000999</v>
      </c>
      <c r="L18">
        <v>564.29</v>
      </c>
      <c r="M18">
        <v>1137.9328729281767</v>
      </c>
      <c r="N18">
        <v>1398.2400000000002</v>
      </c>
      <c r="O18">
        <v>1137.9328729281999</v>
      </c>
      <c r="P18">
        <v>0</v>
      </c>
      <c r="Q18">
        <f t="shared" si="0"/>
        <v>1137.9328729281999</v>
      </c>
      <c r="R18">
        <v>1128.58</v>
      </c>
      <c r="S18">
        <f t="shared" si="1"/>
        <v>-9.3528729281999858</v>
      </c>
      <c r="T18">
        <v>0.03</v>
      </c>
      <c r="U18">
        <f t="shared" si="2"/>
        <v>33.857399999999998</v>
      </c>
      <c r="V18">
        <f t="shared" si="3"/>
        <v>1162.4374</v>
      </c>
      <c r="W18">
        <f t="shared" si="4"/>
        <v>24.504527071800112</v>
      </c>
      <c r="X18" t="s">
        <v>1278</v>
      </c>
    </row>
    <row r="19" spans="1:24" x14ac:dyDescent="0.25">
      <c r="A19" t="s">
        <v>1940</v>
      </c>
      <c r="B19" t="s">
        <v>1941</v>
      </c>
      <c r="C19" t="s">
        <v>1942</v>
      </c>
      <c r="D19" t="s">
        <v>4</v>
      </c>
      <c r="E19" t="s">
        <v>22</v>
      </c>
      <c r="F19" t="s">
        <v>1</v>
      </c>
      <c r="G19" t="s">
        <v>405</v>
      </c>
      <c r="H19" t="s">
        <v>422</v>
      </c>
      <c r="I19" t="s">
        <v>1</v>
      </c>
      <c r="J19">
        <v>7069.8100000000104</v>
      </c>
      <c r="K19">
        <v>5940.8999999997995</v>
      </c>
      <c r="L19">
        <v>1867.01</v>
      </c>
      <c r="M19">
        <v>3764.9649171270721</v>
      </c>
      <c r="N19">
        <v>45580.73</v>
      </c>
      <c r="O19">
        <v>3764.9649171270999</v>
      </c>
      <c r="P19">
        <v>0</v>
      </c>
      <c r="Q19">
        <f t="shared" si="0"/>
        <v>3764.9649171270999</v>
      </c>
      <c r="R19">
        <v>3734.02</v>
      </c>
      <c r="S19">
        <f t="shared" si="1"/>
        <v>-30.94491712709987</v>
      </c>
      <c r="T19">
        <v>3.5000000000000003E-2</v>
      </c>
      <c r="U19">
        <f t="shared" si="2"/>
        <v>130.69070000000002</v>
      </c>
      <c r="V19">
        <f t="shared" si="3"/>
        <v>3864.7107000000001</v>
      </c>
      <c r="W19">
        <f t="shared" si="4"/>
        <v>99.745782872900236</v>
      </c>
      <c r="X19" t="s">
        <v>1279</v>
      </c>
    </row>
    <row r="20" spans="1:24" x14ac:dyDescent="0.25">
      <c r="A20" t="s">
        <v>1940</v>
      </c>
      <c r="B20" t="s">
        <v>1941</v>
      </c>
      <c r="C20" t="s">
        <v>1942</v>
      </c>
      <c r="D20" t="s">
        <v>4</v>
      </c>
      <c r="E20" t="s">
        <v>23</v>
      </c>
      <c r="F20" t="s">
        <v>1</v>
      </c>
      <c r="G20" t="s">
        <v>405</v>
      </c>
      <c r="H20" t="s">
        <v>423</v>
      </c>
      <c r="I20" t="s">
        <v>1</v>
      </c>
      <c r="J20">
        <v>7687.99</v>
      </c>
      <c r="K20">
        <v>7990.2</v>
      </c>
      <c r="L20">
        <v>1503.52</v>
      </c>
      <c r="M20">
        <v>3031.9602209944746</v>
      </c>
      <c r="N20">
        <v>5330.76</v>
      </c>
      <c r="O20">
        <v>3031.9602209945001</v>
      </c>
      <c r="P20">
        <v>0</v>
      </c>
      <c r="Q20">
        <f t="shared" si="0"/>
        <v>3031.9602209945001</v>
      </c>
      <c r="R20">
        <v>3007.04</v>
      </c>
      <c r="S20">
        <f t="shared" si="1"/>
        <v>-24.920220994500141</v>
      </c>
      <c r="T20">
        <v>3.5000000000000003E-2</v>
      </c>
      <c r="U20">
        <f t="shared" si="2"/>
        <v>105.24640000000001</v>
      </c>
      <c r="V20">
        <f t="shared" si="3"/>
        <v>3112.2864</v>
      </c>
      <c r="W20">
        <f t="shared" si="4"/>
        <v>80.326179005499853</v>
      </c>
      <c r="X20" t="s">
        <v>1280</v>
      </c>
    </row>
    <row r="21" spans="1:24" x14ac:dyDescent="0.25">
      <c r="A21" t="s">
        <v>1940</v>
      </c>
      <c r="B21" t="s">
        <v>1941</v>
      </c>
      <c r="C21" t="s">
        <v>1942</v>
      </c>
      <c r="D21" t="s">
        <v>4</v>
      </c>
      <c r="E21" t="s">
        <v>24</v>
      </c>
      <c r="F21" t="s">
        <v>1</v>
      </c>
      <c r="G21" t="s">
        <v>405</v>
      </c>
      <c r="H21" t="s">
        <v>424</v>
      </c>
      <c r="I21" t="s">
        <v>1</v>
      </c>
      <c r="J21">
        <v>2485</v>
      </c>
      <c r="K21">
        <v>1395</v>
      </c>
      <c r="L21">
        <v>868.26</v>
      </c>
      <c r="M21">
        <v>1750.9110497237568</v>
      </c>
      <c r="N21">
        <v>2573.2600000000002</v>
      </c>
      <c r="O21">
        <v>1736.52</v>
      </c>
      <c r="P21">
        <v>0</v>
      </c>
      <c r="Q21">
        <f t="shared" si="0"/>
        <v>1736.52</v>
      </c>
      <c r="R21">
        <v>1736.52</v>
      </c>
      <c r="S21">
        <f t="shared" si="1"/>
        <v>0</v>
      </c>
      <c r="T21"/>
      <c r="U21">
        <f t="shared" si="2"/>
        <v>0</v>
      </c>
      <c r="V21">
        <f t="shared" si="3"/>
        <v>1736.52</v>
      </c>
      <c r="W21">
        <f t="shared" si="4"/>
        <v>0</v>
      </c>
      <c r="X21">
        <v>0</v>
      </c>
    </row>
    <row r="22" spans="1:24" x14ac:dyDescent="0.25">
      <c r="A22" t="s">
        <v>1940</v>
      </c>
      <c r="B22" t="s">
        <v>1941</v>
      </c>
      <c r="C22" t="s">
        <v>1942</v>
      </c>
      <c r="D22" t="s">
        <v>4</v>
      </c>
      <c r="E22" t="s">
        <v>25</v>
      </c>
      <c r="F22" t="s">
        <v>1</v>
      </c>
      <c r="G22" t="s">
        <v>405</v>
      </c>
      <c r="H22" t="s">
        <v>425</v>
      </c>
      <c r="I22" t="s">
        <v>1</v>
      </c>
      <c r="J22">
        <v>708.57</v>
      </c>
      <c r="K22">
        <v>1200</v>
      </c>
      <c r="L22">
        <v>0</v>
      </c>
      <c r="M22">
        <v>0</v>
      </c>
      <c r="N22">
        <v>289.57</v>
      </c>
      <c r="O22"/>
      <c r="P22">
        <v>0</v>
      </c>
      <c r="Q22">
        <f t="shared" si="0"/>
        <v>0</v>
      </c>
      <c r="R22">
        <v>0</v>
      </c>
      <c r="S22">
        <f t="shared" si="1"/>
        <v>0</v>
      </c>
      <c r="T22"/>
      <c r="U22">
        <f t="shared" si="2"/>
        <v>0</v>
      </c>
      <c r="V22">
        <f t="shared" si="3"/>
        <v>0</v>
      </c>
      <c r="W22">
        <f t="shared" si="4"/>
        <v>0</v>
      </c>
      <c r="X22">
        <v>0</v>
      </c>
    </row>
    <row r="23" spans="1:24" x14ac:dyDescent="0.25">
      <c r="A23" t="s">
        <v>1940</v>
      </c>
      <c r="B23" t="s">
        <v>1941</v>
      </c>
      <c r="C23" t="s">
        <v>1942</v>
      </c>
      <c r="D23" t="s">
        <v>4</v>
      </c>
      <c r="E23" t="s">
        <v>26</v>
      </c>
      <c r="F23" t="s">
        <v>1</v>
      </c>
      <c r="G23" t="s">
        <v>405</v>
      </c>
      <c r="H23" t="s">
        <v>426</v>
      </c>
      <c r="I23" t="s">
        <v>1</v>
      </c>
      <c r="J23">
        <v>10558.37</v>
      </c>
      <c r="K23">
        <v>14296.643026052399</v>
      </c>
      <c r="L23">
        <v>1375.28</v>
      </c>
      <c r="M23">
        <v>2773.3546961325965</v>
      </c>
      <c r="N23">
        <v>10283.65</v>
      </c>
      <c r="O23">
        <v>2750.56</v>
      </c>
      <c r="P23">
        <v>0</v>
      </c>
      <c r="Q23">
        <f t="shared" si="0"/>
        <v>2750.56</v>
      </c>
      <c r="R23">
        <v>10000</v>
      </c>
      <c r="S23">
        <f t="shared" si="1"/>
        <v>7249.4400000000005</v>
      </c>
      <c r="T23"/>
      <c r="U23">
        <f t="shared" si="2"/>
        <v>0</v>
      </c>
      <c r="V23">
        <f t="shared" si="3"/>
        <v>10000</v>
      </c>
      <c r="W23">
        <f t="shared" si="4"/>
        <v>7249.4400000000005</v>
      </c>
      <c r="X23" t="s">
        <v>1281</v>
      </c>
    </row>
    <row r="24" spans="1:24" x14ac:dyDescent="0.25">
      <c r="A24" t="s">
        <v>1940</v>
      </c>
      <c r="B24" t="s">
        <v>1941</v>
      </c>
      <c r="C24" t="s">
        <v>1942</v>
      </c>
      <c r="D24" t="s">
        <v>4</v>
      </c>
      <c r="E24" t="s">
        <v>27</v>
      </c>
      <c r="F24" t="s">
        <v>1</v>
      </c>
      <c r="G24" t="s">
        <v>405</v>
      </c>
      <c r="H24" t="s">
        <v>427</v>
      </c>
      <c r="I24" t="s">
        <v>1</v>
      </c>
      <c r="J24">
        <v>3199.97</v>
      </c>
      <c r="K24">
        <v>29541.9999999996</v>
      </c>
      <c r="L24">
        <v>1579.46</v>
      </c>
      <c r="M24">
        <v>3185.0988950276246</v>
      </c>
      <c r="N24">
        <v>3069.9</v>
      </c>
      <c r="O24">
        <v>3158.92</v>
      </c>
      <c r="P24">
        <v>0</v>
      </c>
      <c r="Q24">
        <f t="shared" si="0"/>
        <v>3158.92</v>
      </c>
      <c r="R24">
        <v>3158.92</v>
      </c>
      <c r="S24">
        <f t="shared" si="1"/>
        <v>0</v>
      </c>
      <c r="T24"/>
      <c r="U24">
        <f t="shared" si="2"/>
        <v>0</v>
      </c>
      <c r="V24">
        <f t="shared" si="3"/>
        <v>3158.92</v>
      </c>
      <c r="W24">
        <f t="shared" si="4"/>
        <v>0</v>
      </c>
      <c r="X24">
        <v>0</v>
      </c>
    </row>
    <row r="25" spans="1:24" x14ac:dyDescent="0.25">
      <c r="A25" t="s">
        <v>1940</v>
      </c>
      <c r="B25" t="s">
        <v>1941</v>
      </c>
      <c r="C25" t="s">
        <v>1942</v>
      </c>
      <c r="D25" t="s">
        <v>4</v>
      </c>
      <c r="E25" t="s">
        <v>28</v>
      </c>
      <c r="F25" t="s">
        <v>1</v>
      </c>
      <c r="G25" t="s">
        <v>405</v>
      </c>
      <c r="H25" t="s">
        <v>428</v>
      </c>
      <c r="I25" t="s">
        <v>1</v>
      </c>
      <c r="J25">
        <v>-3756.8900000000099</v>
      </c>
      <c r="K25">
        <v>100877</v>
      </c>
      <c r="L25">
        <v>100243.98</v>
      </c>
      <c r="M25">
        <v>202149.46243093922</v>
      </c>
      <c r="N25">
        <v>46048.759999999995</v>
      </c>
      <c r="O25">
        <v>200487.96</v>
      </c>
      <c r="P25">
        <v>0</v>
      </c>
      <c r="Q25">
        <f t="shared" si="0"/>
        <v>200487.96</v>
      </c>
      <c r="R25">
        <v>0</v>
      </c>
      <c r="S25">
        <f t="shared" si="1"/>
        <v>-200487.96</v>
      </c>
      <c r="T25"/>
      <c r="U25">
        <f t="shared" si="2"/>
        <v>0</v>
      </c>
      <c r="V25">
        <f t="shared" si="3"/>
        <v>0</v>
      </c>
      <c r="W25">
        <f t="shared" si="4"/>
        <v>-200487.96</v>
      </c>
      <c r="X25" t="s">
        <v>1282</v>
      </c>
    </row>
    <row r="26" spans="1:24" x14ac:dyDescent="0.25">
      <c r="A26" t="s">
        <v>1940</v>
      </c>
      <c r="B26" t="s">
        <v>1941</v>
      </c>
      <c r="C26" t="s">
        <v>1942</v>
      </c>
      <c r="D26" t="s">
        <v>4</v>
      </c>
      <c r="E26" t="s">
        <v>29</v>
      </c>
      <c r="F26" t="s">
        <v>1</v>
      </c>
      <c r="G26" t="s">
        <v>405</v>
      </c>
      <c r="H26" t="s">
        <v>429</v>
      </c>
      <c r="I26" t="s">
        <v>1</v>
      </c>
      <c r="J26">
        <v>43247.74</v>
      </c>
      <c r="K26">
        <v>482480</v>
      </c>
      <c r="L26">
        <v>145574.31</v>
      </c>
      <c r="M26">
        <v>293561.45386740332</v>
      </c>
      <c r="N26">
        <v>87549.489999999991</v>
      </c>
      <c r="O26">
        <v>291148.62</v>
      </c>
      <c r="P26">
        <v>0</v>
      </c>
      <c r="Q26">
        <f t="shared" si="0"/>
        <v>291148.62</v>
      </c>
      <c r="R26">
        <v>465611.33999999997</v>
      </c>
      <c r="S26">
        <f t="shared" si="1"/>
        <v>174462.71999999997</v>
      </c>
      <c r="T26"/>
      <c r="U26">
        <f t="shared" si="2"/>
        <v>0</v>
      </c>
      <c r="V26">
        <f t="shared" si="3"/>
        <v>465611.33999999997</v>
      </c>
      <c r="W26">
        <f t="shared" si="4"/>
        <v>174462.71999999997</v>
      </c>
      <c r="X26" t="s">
        <v>1283</v>
      </c>
    </row>
    <row r="27" spans="1:24" x14ac:dyDescent="0.25">
      <c r="A27" t="s">
        <v>1940</v>
      </c>
      <c r="B27" t="s">
        <v>1941</v>
      </c>
      <c r="C27" t="s">
        <v>1942</v>
      </c>
      <c r="D27" t="s">
        <v>4</v>
      </c>
      <c r="E27" t="s">
        <v>30</v>
      </c>
      <c r="F27" t="s">
        <v>1</v>
      </c>
      <c r="G27" t="s">
        <v>405</v>
      </c>
      <c r="H27" t="s">
        <v>430</v>
      </c>
      <c r="I27" t="s">
        <v>1</v>
      </c>
      <c r="J27">
        <v>14101.75</v>
      </c>
      <c r="K27">
        <v>389180</v>
      </c>
      <c r="L27">
        <v>204709.8</v>
      </c>
      <c r="M27">
        <v>412812.58011049719</v>
      </c>
      <c r="N27">
        <v>29619.439999999995</v>
      </c>
      <c r="O27">
        <v>409419.6</v>
      </c>
      <c r="P27">
        <v>0</v>
      </c>
      <c r="Q27">
        <f t="shared" si="0"/>
        <v>409419.6</v>
      </c>
      <c r="R27">
        <v>354062</v>
      </c>
      <c r="S27">
        <f t="shared" si="1"/>
        <v>-55357.599999999977</v>
      </c>
      <c r="T27"/>
      <c r="U27">
        <f t="shared" si="2"/>
        <v>0</v>
      </c>
      <c r="V27">
        <f t="shared" si="3"/>
        <v>354062</v>
      </c>
      <c r="W27">
        <f t="shared" si="4"/>
        <v>-55357.599999999977</v>
      </c>
      <c r="X27" t="s">
        <v>1284</v>
      </c>
    </row>
    <row r="28" spans="1:24" x14ac:dyDescent="0.25">
      <c r="A28" t="s">
        <v>1940</v>
      </c>
      <c r="B28" t="s">
        <v>1941</v>
      </c>
      <c r="C28" t="s">
        <v>1942</v>
      </c>
      <c r="D28" t="s">
        <v>4</v>
      </c>
      <c r="E28" t="s">
        <v>31</v>
      </c>
      <c r="F28" t="s">
        <v>1</v>
      </c>
      <c r="G28" t="s">
        <v>405</v>
      </c>
      <c r="H28" t="s">
        <v>431</v>
      </c>
      <c r="I28" t="s">
        <v>1</v>
      </c>
      <c r="J28">
        <v>15669</v>
      </c>
      <c r="K28">
        <v>5036.0000000004002</v>
      </c>
      <c r="L28">
        <v>17824.900000000001</v>
      </c>
      <c r="M28">
        <v>35945.240331491717</v>
      </c>
      <c r="N28">
        <v>28965.24</v>
      </c>
      <c r="O28">
        <v>35649.800000000003</v>
      </c>
      <c r="P28">
        <v>0</v>
      </c>
      <c r="Q28">
        <f t="shared" si="0"/>
        <v>35649.800000000003</v>
      </c>
      <c r="R28">
        <v>5036.0000000004002</v>
      </c>
      <c r="S28">
        <f t="shared" si="1"/>
        <v>-30613.799999999603</v>
      </c>
      <c r="T28"/>
      <c r="U28">
        <f t="shared" si="2"/>
        <v>0</v>
      </c>
      <c r="V28">
        <f t="shared" si="3"/>
        <v>5036.0000000004002</v>
      </c>
      <c r="W28">
        <f t="shared" si="4"/>
        <v>-30613.799999999603</v>
      </c>
      <c r="X28">
        <v>0</v>
      </c>
    </row>
    <row r="29" spans="1:24" x14ac:dyDescent="0.25">
      <c r="A29" t="s">
        <v>1940</v>
      </c>
      <c r="B29" t="s">
        <v>1941</v>
      </c>
      <c r="C29" t="s">
        <v>1942</v>
      </c>
      <c r="D29" t="s">
        <v>4</v>
      </c>
      <c r="E29" t="s">
        <v>32</v>
      </c>
      <c r="F29" t="s">
        <v>1</v>
      </c>
      <c r="G29" t="s">
        <v>405</v>
      </c>
      <c r="H29" t="s">
        <v>432</v>
      </c>
      <c r="I29" t="s">
        <v>1</v>
      </c>
      <c r="J29">
        <v>190110</v>
      </c>
      <c r="K29">
        <v>152609.00039999999</v>
      </c>
      <c r="L29">
        <v>74930</v>
      </c>
      <c r="M29">
        <v>151101.93370165746</v>
      </c>
      <c r="N29">
        <v>186360</v>
      </c>
      <c r="O29">
        <v>149860</v>
      </c>
      <c r="P29">
        <v>0</v>
      </c>
      <c r="Q29">
        <f t="shared" si="0"/>
        <v>149860</v>
      </c>
      <c r="R29">
        <v>220900</v>
      </c>
      <c r="S29">
        <f t="shared" si="1"/>
        <v>71040</v>
      </c>
      <c r="T29"/>
      <c r="U29">
        <f t="shared" si="2"/>
        <v>0</v>
      </c>
      <c r="V29">
        <f t="shared" si="3"/>
        <v>220900</v>
      </c>
      <c r="W29">
        <f t="shared" si="4"/>
        <v>71040</v>
      </c>
      <c r="X29" t="s">
        <v>1285</v>
      </c>
    </row>
    <row r="30" spans="1:24" x14ac:dyDescent="0.25">
      <c r="A30" t="s">
        <v>1940</v>
      </c>
      <c r="B30" t="s">
        <v>1941</v>
      </c>
      <c r="C30" t="s">
        <v>1942</v>
      </c>
      <c r="D30" t="s">
        <v>4</v>
      </c>
      <c r="E30" t="s">
        <v>33</v>
      </c>
      <c r="F30" t="s">
        <v>1</v>
      </c>
      <c r="G30" t="s">
        <v>405</v>
      </c>
      <c r="H30" t="s">
        <v>433</v>
      </c>
      <c r="I30" t="s">
        <v>1</v>
      </c>
      <c r="J30">
        <v>87646.080000000002</v>
      </c>
      <c r="K30">
        <v>70581.248428498802</v>
      </c>
      <c r="L30">
        <v>72093.45</v>
      </c>
      <c r="M30">
        <v>145381.81906077347</v>
      </c>
      <c r="N30">
        <v>174622.33000000002</v>
      </c>
      <c r="O30">
        <v>144186.9</v>
      </c>
      <c r="P30">
        <v>0</v>
      </c>
      <c r="Q30">
        <f t="shared" si="0"/>
        <v>144186.9</v>
      </c>
      <c r="R30">
        <v>72093.45</v>
      </c>
      <c r="S30">
        <f t="shared" si="1"/>
        <v>-72093.45</v>
      </c>
      <c r="T30"/>
      <c r="U30">
        <f t="shared" si="2"/>
        <v>0</v>
      </c>
      <c r="V30">
        <f t="shared" si="3"/>
        <v>72093.45</v>
      </c>
      <c r="W30">
        <f t="shared" si="4"/>
        <v>-72093.45</v>
      </c>
      <c r="X30" t="s">
        <v>1286</v>
      </c>
    </row>
    <row r="31" spans="1:24" x14ac:dyDescent="0.25">
      <c r="A31" t="s">
        <v>1940</v>
      </c>
      <c r="B31" t="s">
        <v>1941</v>
      </c>
      <c r="C31" t="s">
        <v>1942</v>
      </c>
      <c r="D31" t="s">
        <v>4</v>
      </c>
      <c r="E31" t="s">
        <v>34</v>
      </c>
      <c r="F31" t="s">
        <v>1</v>
      </c>
      <c r="G31" t="s">
        <v>405</v>
      </c>
      <c r="H31" t="s">
        <v>434</v>
      </c>
      <c r="I31" t="s">
        <v>1</v>
      </c>
      <c r="J31">
        <v>10095.959999999999</v>
      </c>
      <c r="K31">
        <v>6378.0493939152002</v>
      </c>
      <c r="L31">
        <v>19956.759999999998</v>
      </c>
      <c r="M31">
        <v>40244.295027624306</v>
      </c>
      <c r="N31">
        <v>26650.020000000004</v>
      </c>
      <c r="O31">
        <v>39913.519999999997</v>
      </c>
      <c r="P31">
        <v>0</v>
      </c>
      <c r="Q31">
        <f t="shared" si="0"/>
        <v>39913.519999999997</v>
      </c>
      <c r="R31">
        <v>6378.0493939152002</v>
      </c>
      <c r="S31">
        <f t="shared" si="1"/>
        <v>-33535.470606084797</v>
      </c>
      <c r="T31"/>
      <c r="U31">
        <f t="shared" si="2"/>
        <v>0</v>
      </c>
      <c r="V31">
        <f t="shared" si="3"/>
        <v>6378.0493939152002</v>
      </c>
      <c r="W31">
        <f t="shared" si="4"/>
        <v>-33535.470606084797</v>
      </c>
      <c r="X31">
        <v>0</v>
      </c>
    </row>
    <row r="32" spans="1:24" x14ac:dyDescent="0.25">
      <c r="A32" t="s">
        <v>1940</v>
      </c>
      <c r="B32" t="s">
        <v>1941</v>
      </c>
      <c r="C32" t="s">
        <v>1942</v>
      </c>
      <c r="D32" t="s">
        <v>4</v>
      </c>
      <c r="E32" t="s">
        <v>35</v>
      </c>
      <c r="F32" t="s">
        <v>1</v>
      </c>
      <c r="G32" t="s">
        <v>405</v>
      </c>
      <c r="H32" t="s">
        <v>435</v>
      </c>
      <c r="I32" t="s">
        <v>1</v>
      </c>
      <c r="J32">
        <v>190.73</v>
      </c>
      <c r="K32">
        <v>110.00000000039999</v>
      </c>
      <c r="L32">
        <v>0</v>
      </c>
      <c r="M32">
        <v>0</v>
      </c>
      <c r="N32">
        <v>0</v>
      </c>
      <c r="O32"/>
      <c r="P32">
        <v>0</v>
      </c>
      <c r="Q32">
        <f t="shared" si="0"/>
        <v>0</v>
      </c>
      <c r="R32">
        <v>0</v>
      </c>
      <c r="S32">
        <f t="shared" si="1"/>
        <v>0</v>
      </c>
      <c r="T32"/>
      <c r="U32">
        <f t="shared" si="2"/>
        <v>0</v>
      </c>
      <c r="V32">
        <f t="shared" si="3"/>
        <v>0</v>
      </c>
      <c r="W32">
        <f t="shared" si="4"/>
        <v>0</v>
      </c>
      <c r="X32">
        <v>0</v>
      </c>
    </row>
    <row r="33" spans="1:24" x14ac:dyDescent="0.25">
      <c r="A33" t="s">
        <v>1940</v>
      </c>
      <c r="B33" t="s">
        <v>1941</v>
      </c>
      <c r="C33" t="s">
        <v>1942</v>
      </c>
      <c r="D33" t="s">
        <v>4</v>
      </c>
      <c r="E33" t="s">
        <v>36</v>
      </c>
      <c r="F33" t="s">
        <v>1</v>
      </c>
      <c r="G33" t="s">
        <v>405</v>
      </c>
      <c r="H33" t="s">
        <v>436</v>
      </c>
      <c r="I33" t="s">
        <v>1</v>
      </c>
      <c r="J33">
        <v>-10.14</v>
      </c>
      <c r="K33"/>
      <c r="L33">
        <v>0</v>
      </c>
      <c r="M33">
        <v>0</v>
      </c>
      <c r="N33">
        <v>-10</v>
      </c>
      <c r="O33"/>
      <c r="P33">
        <v>0</v>
      </c>
      <c r="Q33">
        <f t="shared" si="0"/>
        <v>0</v>
      </c>
      <c r="R33">
        <v>0</v>
      </c>
      <c r="S33">
        <f t="shared" si="1"/>
        <v>0</v>
      </c>
      <c r="T33"/>
      <c r="U33">
        <f t="shared" si="2"/>
        <v>0</v>
      </c>
      <c r="V33">
        <f t="shared" si="3"/>
        <v>0</v>
      </c>
      <c r="W33">
        <f t="shared" si="4"/>
        <v>0</v>
      </c>
      <c r="X33">
        <v>0</v>
      </c>
    </row>
    <row r="34" spans="1:24" x14ac:dyDescent="0.25">
      <c r="A34" t="s">
        <v>1940</v>
      </c>
      <c r="B34" t="s">
        <v>1941</v>
      </c>
      <c r="C34" t="s">
        <v>1942</v>
      </c>
      <c r="D34" t="s">
        <v>4</v>
      </c>
      <c r="E34" t="s">
        <v>37</v>
      </c>
      <c r="F34" t="s">
        <v>1</v>
      </c>
      <c r="G34" t="s">
        <v>405</v>
      </c>
      <c r="H34" t="s">
        <v>437</v>
      </c>
      <c r="I34" t="s">
        <v>1</v>
      </c>
      <c r="J34">
        <v>42818.97</v>
      </c>
      <c r="K34">
        <v>31036.569589158</v>
      </c>
      <c r="L34">
        <v>45840.11</v>
      </c>
      <c r="M34">
        <v>92440.000828729288</v>
      </c>
      <c r="N34">
        <v>76462.819999999992</v>
      </c>
      <c r="O34">
        <v>91680.22</v>
      </c>
      <c r="P34">
        <v>0</v>
      </c>
      <c r="Q34">
        <f t="shared" si="0"/>
        <v>91680.22</v>
      </c>
      <c r="R34">
        <v>42818.97</v>
      </c>
      <c r="S34">
        <f t="shared" si="1"/>
        <v>-48861.25</v>
      </c>
      <c r="T34"/>
      <c r="U34">
        <f t="shared" si="2"/>
        <v>0</v>
      </c>
      <c r="V34">
        <f t="shared" si="3"/>
        <v>42818.97</v>
      </c>
      <c r="W34">
        <f t="shared" si="4"/>
        <v>-48861.25</v>
      </c>
      <c r="X34">
        <v>0</v>
      </c>
    </row>
    <row r="35" spans="1:24" x14ac:dyDescent="0.25">
      <c r="A35" t="s">
        <v>1940</v>
      </c>
      <c r="B35" t="s">
        <v>1941</v>
      </c>
      <c r="C35" t="s">
        <v>1942</v>
      </c>
      <c r="D35" t="s">
        <v>4</v>
      </c>
      <c r="E35" t="s">
        <v>38</v>
      </c>
      <c r="F35" t="s">
        <v>1</v>
      </c>
      <c r="G35" t="s">
        <v>405</v>
      </c>
      <c r="H35" t="s">
        <v>438</v>
      </c>
      <c r="I35" t="s">
        <v>1</v>
      </c>
      <c r="J35">
        <v>362</v>
      </c>
      <c r="K35"/>
      <c r="L35">
        <v>0</v>
      </c>
      <c r="M35">
        <v>0</v>
      </c>
      <c r="N35">
        <v>0</v>
      </c>
      <c r="O35"/>
      <c r="P35">
        <v>0</v>
      </c>
      <c r="Q35">
        <f t="shared" si="0"/>
        <v>0</v>
      </c>
      <c r="R35">
        <v>0</v>
      </c>
      <c r="S35">
        <f t="shared" si="1"/>
        <v>0</v>
      </c>
      <c r="T35"/>
      <c r="U35">
        <f t="shared" si="2"/>
        <v>0</v>
      </c>
      <c r="V35">
        <f t="shared" si="3"/>
        <v>0</v>
      </c>
      <c r="W35">
        <f t="shared" si="4"/>
        <v>0</v>
      </c>
      <c r="X35">
        <v>0</v>
      </c>
    </row>
    <row r="36" spans="1:24" x14ac:dyDescent="0.25">
      <c r="A36" t="s">
        <v>1940</v>
      </c>
      <c r="B36" t="s">
        <v>1941</v>
      </c>
      <c r="C36" t="s">
        <v>1942</v>
      </c>
      <c r="D36" t="s">
        <v>4</v>
      </c>
      <c r="E36" t="s">
        <v>39</v>
      </c>
      <c r="F36" t="s">
        <v>1</v>
      </c>
      <c r="G36" t="s">
        <v>405</v>
      </c>
      <c r="H36" t="s">
        <v>439</v>
      </c>
      <c r="I36" t="s">
        <v>1</v>
      </c>
      <c r="J36">
        <v>-1500</v>
      </c>
      <c r="K36"/>
      <c r="L36">
        <v>0</v>
      </c>
      <c r="M36">
        <v>0</v>
      </c>
      <c r="N36">
        <v>0</v>
      </c>
      <c r="O36"/>
      <c r="P36">
        <v>0</v>
      </c>
      <c r="Q36">
        <f t="shared" si="0"/>
        <v>0</v>
      </c>
      <c r="R36">
        <v>0</v>
      </c>
      <c r="S36">
        <f t="shared" si="1"/>
        <v>0</v>
      </c>
      <c r="T36"/>
      <c r="U36">
        <f t="shared" si="2"/>
        <v>0</v>
      </c>
      <c r="V36">
        <f t="shared" si="3"/>
        <v>0</v>
      </c>
      <c r="W36">
        <f t="shared" si="4"/>
        <v>0</v>
      </c>
      <c r="X36">
        <v>0</v>
      </c>
    </row>
    <row r="37" spans="1:24" x14ac:dyDescent="0.25">
      <c r="A37" t="s">
        <v>1940</v>
      </c>
      <c r="B37" t="s">
        <v>1941</v>
      </c>
      <c r="C37" t="s">
        <v>1942</v>
      </c>
      <c r="D37" t="s">
        <v>4</v>
      </c>
      <c r="E37" t="s">
        <v>40</v>
      </c>
      <c r="F37" t="s">
        <v>1</v>
      </c>
      <c r="G37" t="s">
        <v>405</v>
      </c>
      <c r="H37" t="s">
        <v>440</v>
      </c>
      <c r="I37" t="s">
        <v>1</v>
      </c>
      <c r="J37">
        <v>4932.6099999999997</v>
      </c>
      <c r="K37">
        <v>5906.0000000004002</v>
      </c>
      <c r="L37">
        <v>4120.3</v>
      </c>
      <c r="M37">
        <v>8308.8922651933717</v>
      </c>
      <c r="N37">
        <v>6104.3899999999994</v>
      </c>
      <c r="O37">
        <v>8240.6</v>
      </c>
      <c r="P37">
        <v>0</v>
      </c>
      <c r="Q37">
        <f t="shared" si="0"/>
        <v>8240.6</v>
      </c>
      <c r="R37">
        <v>8240.6</v>
      </c>
      <c r="S37">
        <f t="shared" si="1"/>
        <v>0</v>
      </c>
      <c r="T37">
        <v>0.03</v>
      </c>
      <c r="U37">
        <f t="shared" si="2"/>
        <v>247.21799999999999</v>
      </c>
      <c r="V37">
        <f t="shared" si="3"/>
        <v>8487.8180000000011</v>
      </c>
      <c r="W37">
        <f t="shared" si="4"/>
        <v>247.21800000000076</v>
      </c>
      <c r="X37" t="s">
        <v>1287</v>
      </c>
    </row>
    <row r="38" spans="1:24" x14ac:dyDescent="0.25">
      <c r="A38" t="s">
        <v>1940</v>
      </c>
      <c r="B38" t="s">
        <v>1941</v>
      </c>
      <c r="C38" t="s">
        <v>1942</v>
      </c>
      <c r="D38" t="s">
        <v>4</v>
      </c>
      <c r="E38" t="s">
        <v>41</v>
      </c>
      <c r="F38" t="s">
        <v>1</v>
      </c>
      <c r="G38" t="s">
        <v>405</v>
      </c>
      <c r="H38" t="s">
        <v>441</v>
      </c>
      <c r="I38" t="s">
        <v>1</v>
      </c>
      <c r="J38">
        <v>8220.9</v>
      </c>
      <c r="K38">
        <v>2299.3564892616</v>
      </c>
      <c r="L38">
        <v>1139.8800000000001</v>
      </c>
      <c r="M38">
        <v>2298.6530386740333</v>
      </c>
      <c r="N38">
        <v>8190.24</v>
      </c>
      <c r="O38">
        <v>2279.7600000000002</v>
      </c>
      <c r="P38">
        <v>0</v>
      </c>
      <c r="Q38">
        <f t="shared" si="0"/>
        <v>2279.7600000000002</v>
      </c>
      <c r="R38">
        <v>2279.7600000000002</v>
      </c>
      <c r="S38">
        <f t="shared" si="1"/>
        <v>0</v>
      </c>
      <c r="T38">
        <v>0.03</v>
      </c>
      <c r="U38">
        <f t="shared" si="2"/>
        <v>68.392800000000008</v>
      </c>
      <c r="V38">
        <f t="shared" si="3"/>
        <v>2348.1528000000003</v>
      </c>
      <c r="W38">
        <f t="shared" si="4"/>
        <v>68.392800000000079</v>
      </c>
      <c r="X38">
        <v>0</v>
      </c>
    </row>
    <row r="39" spans="1:24" x14ac:dyDescent="0.25">
      <c r="A39" t="s">
        <v>1940</v>
      </c>
      <c r="B39" t="s">
        <v>1941</v>
      </c>
      <c r="C39" t="s">
        <v>1942</v>
      </c>
      <c r="D39" t="s">
        <v>4</v>
      </c>
      <c r="E39" t="s">
        <v>42</v>
      </c>
      <c r="F39" t="s">
        <v>1</v>
      </c>
      <c r="G39" t="s">
        <v>405</v>
      </c>
      <c r="H39" t="s">
        <v>442</v>
      </c>
      <c r="I39" t="s">
        <v>1</v>
      </c>
      <c r="J39">
        <v>3096.52</v>
      </c>
      <c r="K39">
        <v>3834</v>
      </c>
      <c r="L39">
        <v>1147.21</v>
      </c>
      <c r="M39">
        <v>2313.4345303867403</v>
      </c>
      <c r="N39">
        <v>1778.01</v>
      </c>
      <c r="O39">
        <v>2294.42</v>
      </c>
      <c r="P39">
        <v>0</v>
      </c>
      <c r="Q39">
        <f t="shared" si="0"/>
        <v>2294.42</v>
      </c>
      <c r="R39">
        <v>2294.42</v>
      </c>
      <c r="S39">
        <f t="shared" si="1"/>
        <v>0</v>
      </c>
      <c r="T39">
        <v>0.03</v>
      </c>
      <c r="U39">
        <f t="shared" si="2"/>
        <v>68.832599999999999</v>
      </c>
      <c r="V39">
        <f t="shared" si="3"/>
        <v>2363.2526000000003</v>
      </c>
      <c r="W39">
        <f t="shared" si="4"/>
        <v>68.832600000000184</v>
      </c>
      <c r="X39" t="s">
        <v>1288</v>
      </c>
    </row>
    <row r="40" spans="1:24" x14ac:dyDescent="0.25">
      <c r="A40" t="s">
        <v>1940</v>
      </c>
      <c r="B40" t="s">
        <v>1941</v>
      </c>
      <c r="C40" t="s">
        <v>1942</v>
      </c>
      <c r="D40" t="s">
        <v>4</v>
      </c>
      <c r="E40" t="s">
        <v>43</v>
      </c>
      <c r="F40" t="s">
        <v>1</v>
      </c>
      <c r="G40" t="s">
        <v>405</v>
      </c>
      <c r="H40" t="s">
        <v>443</v>
      </c>
      <c r="I40" t="s">
        <v>1</v>
      </c>
      <c r="J40">
        <v>13067</v>
      </c>
      <c r="K40"/>
      <c r="L40">
        <v>280</v>
      </c>
      <c r="M40">
        <v>564.64088397790056</v>
      </c>
      <c r="N40">
        <v>5263.5</v>
      </c>
      <c r="O40">
        <v>560</v>
      </c>
      <c r="P40">
        <v>0</v>
      </c>
      <c r="Q40">
        <f t="shared" si="0"/>
        <v>560</v>
      </c>
      <c r="R40">
        <v>0</v>
      </c>
      <c r="S40">
        <f t="shared" si="1"/>
        <v>-560</v>
      </c>
      <c r="T40">
        <v>0.03</v>
      </c>
      <c r="U40">
        <f t="shared" si="2"/>
        <v>0</v>
      </c>
      <c r="V40">
        <f t="shared" si="3"/>
        <v>0</v>
      </c>
      <c r="W40">
        <f t="shared" si="4"/>
        <v>-560</v>
      </c>
      <c r="X40">
        <v>0</v>
      </c>
    </row>
    <row r="41" spans="1:24" x14ac:dyDescent="0.25">
      <c r="A41" t="s">
        <v>1940</v>
      </c>
      <c r="B41" t="s">
        <v>1941</v>
      </c>
      <c r="C41" t="s">
        <v>1942</v>
      </c>
      <c r="D41" t="s">
        <v>4</v>
      </c>
      <c r="E41" t="s">
        <v>44</v>
      </c>
      <c r="F41" t="s">
        <v>1</v>
      </c>
      <c r="G41" t="s">
        <v>405</v>
      </c>
      <c r="H41" t="s">
        <v>444</v>
      </c>
      <c r="I41" t="s">
        <v>1</v>
      </c>
      <c r="J41">
        <v>5489.92</v>
      </c>
      <c r="K41">
        <v>7997.0000000004002</v>
      </c>
      <c r="L41">
        <v>4665.08</v>
      </c>
      <c r="M41">
        <v>9407.4817679558018</v>
      </c>
      <c r="N41">
        <v>6822.8</v>
      </c>
      <c r="O41">
        <v>9330.16</v>
      </c>
      <c r="P41">
        <v>0</v>
      </c>
      <c r="Q41">
        <f t="shared" si="0"/>
        <v>9330.16</v>
      </c>
      <c r="R41">
        <v>9330</v>
      </c>
      <c r="S41">
        <f t="shared" si="1"/>
        <v>-0.15999999999985448</v>
      </c>
      <c r="T41">
        <v>0.03</v>
      </c>
      <c r="U41">
        <f t="shared" si="2"/>
        <v>279.89999999999998</v>
      </c>
      <c r="V41">
        <f t="shared" si="3"/>
        <v>9609.9</v>
      </c>
      <c r="W41">
        <f t="shared" si="4"/>
        <v>279.73999999999978</v>
      </c>
      <c r="X41" t="s">
        <v>1289</v>
      </c>
    </row>
    <row r="42" spans="1:24" x14ac:dyDescent="0.25">
      <c r="A42" t="s">
        <v>1940</v>
      </c>
      <c r="B42" t="s">
        <v>1941</v>
      </c>
      <c r="C42" t="s">
        <v>1942</v>
      </c>
      <c r="D42" t="s">
        <v>4</v>
      </c>
      <c r="E42" t="s">
        <v>45</v>
      </c>
      <c r="F42" t="s">
        <v>1</v>
      </c>
      <c r="G42" t="s">
        <v>405</v>
      </c>
      <c r="H42" t="s">
        <v>445</v>
      </c>
      <c r="I42" t="s">
        <v>1</v>
      </c>
      <c r="J42">
        <v>5379.95</v>
      </c>
      <c r="K42"/>
      <c r="L42">
        <v>0</v>
      </c>
      <c r="M42">
        <v>0</v>
      </c>
      <c r="N42">
        <v>5379.95</v>
      </c>
      <c r="O42"/>
      <c r="P42">
        <v>0</v>
      </c>
      <c r="Q42">
        <f t="shared" si="0"/>
        <v>0</v>
      </c>
      <c r="R42">
        <v>0</v>
      </c>
      <c r="S42">
        <f t="shared" si="1"/>
        <v>0</v>
      </c>
      <c r="T42">
        <v>0.03</v>
      </c>
      <c r="U42">
        <f t="shared" si="2"/>
        <v>0</v>
      </c>
      <c r="V42">
        <f t="shared" si="3"/>
        <v>0</v>
      </c>
      <c r="W42">
        <f t="shared" si="4"/>
        <v>0</v>
      </c>
      <c r="X42">
        <v>0</v>
      </c>
    </row>
    <row r="43" spans="1:24" x14ac:dyDescent="0.25">
      <c r="A43" t="s">
        <v>1940</v>
      </c>
      <c r="B43" t="s">
        <v>1941</v>
      </c>
      <c r="C43" t="s">
        <v>1942</v>
      </c>
      <c r="D43" t="s">
        <v>4</v>
      </c>
      <c r="E43" t="s">
        <v>46</v>
      </c>
      <c r="F43" t="s">
        <v>1</v>
      </c>
      <c r="G43" t="s">
        <v>405</v>
      </c>
      <c r="H43" t="s">
        <v>446</v>
      </c>
      <c r="I43" t="s">
        <v>1</v>
      </c>
      <c r="J43">
        <v>41172.93</v>
      </c>
      <c r="K43">
        <v>19758.9999999996</v>
      </c>
      <c r="L43">
        <v>32169.81</v>
      </c>
      <c r="M43">
        <v>64872.821270718239</v>
      </c>
      <c r="N43">
        <v>-56512.139999999985</v>
      </c>
      <c r="O43">
        <v>64339.62</v>
      </c>
      <c r="P43">
        <v>0</v>
      </c>
      <c r="Q43">
        <f t="shared" si="0"/>
        <v>64339.62</v>
      </c>
      <c r="R43">
        <v>30317.96</v>
      </c>
      <c r="S43">
        <f t="shared" si="1"/>
        <v>-34021.660000000003</v>
      </c>
      <c r="T43">
        <v>0.03</v>
      </c>
      <c r="U43">
        <f t="shared" si="2"/>
        <v>909.53879999999992</v>
      </c>
      <c r="V43">
        <f t="shared" si="3"/>
        <v>31227.498799999998</v>
      </c>
      <c r="W43">
        <f t="shared" si="4"/>
        <v>-33112.121200000009</v>
      </c>
      <c r="X43" t="s">
        <v>1290</v>
      </c>
    </row>
    <row r="44" spans="1:24" x14ac:dyDescent="0.25">
      <c r="A44" t="s">
        <v>1940</v>
      </c>
      <c r="B44" t="s">
        <v>1941</v>
      </c>
      <c r="C44" t="s">
        <v>1942</v>
      </c>
      <c r="D44" t="s">
        <v>4</v>
      </c>
      <c r="E44" t="s">
        <v>47</v>
      </c>
      <c r="F44" t="s">
        <v>1</v>
      </c>
      <c r="G44" t="s">
        <v>405</v>
      </c>
      <c r="H44" t="s">
        <v>447</v>
      </c>
      <c r="I44" t="s">
        <v>1</v>
      </c>
      <c r="J44">
        <v>600</v>
      </c>
      <c r="K44">
        <v>600</v>
      </c>
      <c r="L44">
        <v>1488</v>
      </c>
      <c r="M44">
        <v>3000.6629834254145</v>
      </c>
      <c r="N44">
        <v>1488</v>
      </c>
      <c r="O44">
        <v>2976</v>
      </c>
      <c r="P44">
        <v>0</v>
      </c>
      <c r="Q44">
        <f t="shared" si="0"/>
        <v>2976</v>
      </c>
      <c r="R44">
        <v>2976</v>
      </c>
      <c r="S44">
        <f t="shared" si="1"/>
        <v>0</v>
      </c>
      <c r="T44">
        <v>0.03</v>
      </c>
      <c r="U44">
        <f t="shared" si="2"/>
        <v>89.28</v>
      </c>
      <c r="V44">
        <f t="shared" si="3"/>
        <v>3065.28</v>
      </c>
      <c r="W44">
        <f t="shared" si="4"/>
        <v>89.2800000000002</v>
      </c>
      <c r="X44">
        <v>0</v>
      </c>
    </row>
    <row r="45" spans="1:24" x14ac:dyDescent="0.25">
      <c r="A45" t="s">
        <v>1940</v>
      </c>
      <c r="B45" t="s">
        <v>1941</v>
      </c>
      <c r="C45" t="s">
        <v>1942</v>
      </c>
      <c r="D45" t="s">
        <v>4</v>
      </c>
      <c r="E45" t="s">
        <v>48</v>
      </c>
      <c r="F45" t="s">
        <v>1</v>
      </c>
      <c r="G45" t="s">
        <v>405</v>
      </c>
      <c r="H45" t="s">
        <v>448</v>
      </c>
      <c r="I45" t="s">
        <v>1</v>
      </c>
      <c r="J45">
        <v>12961.69</v>
      </c>
      <c r="K45">
        <v>12233.0000000004</v>
      </c>
      <c r="L45">
        <v>11043.74</v>
      </c>
      <c r="M45">
        <v>22270.525414364642</v>
      </c>
      <c r="N45">
        <v>17268.75</v>
      </c>
      <c r="O45">
        <v>22087.48</v>
      </c>
      <c r="P45">
        <v>0</v>
      </c>
      <c r="Q45">
        <f t="shared" si="0"/>
        <v>22087.48</v>
      </c>
      <c r="R45">
        <v>12233.0000000004</v>
      </c>
      <c r="S45">
        <f t="shared" si="1"/>
        <v>-9854.4799999995994</v>
      </c>
      <c r="T45">
        <v>0.03</v>
      </c>
      <c r="U45">
        <f t="shared" si="2"/>
        <v>366.990000000012</v>
      </c>
      <c r="V45">
        <f t="shared" si="3"/>
        <v>12599.990000000413</v>
      </c>
      <c r="W45">
        <f t="shared" si="4"/>
        <v>-9487.4899999995869</v>
      </c>
      <c r="X45">
        <v>0</v>
      </c>
    </row>
    <row r="46" spans="1:24" x14ac:dyDescent="0.25">
      <c r="A46" t="s">
        <v>1940</v>
      </c>
      <c r="B46" t="s">
        <v>1941</v>
      </c>
      <c r="C46" t="s">
        <v>1942</v>
      </c>
      <c r="D46" t="s">
        <v>4</v>
      </c>
      <c r="E46" t="s">
        <v>49</v>
      </c>
      <c r="F46" t="s">
        <v>1</v>
      </c>
      <c r="G46" t="s">
        <v>405</v>
      </c>
      <c r="H46" t="s">
        <v>449</v>
      </c>
      <c r="I46" t="s">
        <v>1</v>
      </c>
      <c r="J46">
        <v>275.93</v>
      </c>
      <c r="K46">
        <v>339.99999999959999</v>
      </c>
      <c r="L46">
        <v>296.51</v>
      </c>
      <c r="M46">
        <v>597.93453038674033</v>
      </c>
      <c r="N46">
        <v>363.04</v>
      </c>
      <c r="O46">
        <v>597.93453038669998</v>
      </c>
      <c r="P46">
        <v>0</v>
      </c>
      <c r="Q46">
        <f t="shared" si="0"/>
        <v>597.93453038669998</v>
      </c>
      <c r="R46">
        <v>597.93453038669998</v>
      </c>
      <c r="S46">
        <f t="shared" si="1"/>
        <v>0</v>
      </c>
      <c r="T46"/>
      <c r="U46">
        <f t="shared" si="2"/>
        <v>0</v>
      </c>
      <c r="V46">
        <f t="shared" si="3"/>
        <v>597.93453038669998</v>
      </c>
      <c r="W46">
        <f t="shared" si="4"/>
        <v>0</v>
      </c>
      <c r="X46">
        <v>0</v>
      </c>
    </row>
    <row r="47" spans="1:24" x14ac:dyDescent="0.25">
      <c r="A47" t="s">
        <v>1940</v>
      </c>
      <c r="B47" t="s">
        <v>1941</v>
      </c>
      <c r="C47" t="s">
        <v>1942</v>
      </c>
      <c r="D47" t="s">
        <v>4</v>
      </c>
      <c r="E47" t="s">
        <v>50</v>
      </c>
      <c r="F47" t="s">
        <v>1</v>
      </c>
      <c r="G47" t="s">
        <v>405</v>
      </c>
      <c r="H47" t="s">
        <v>450</v>
      </c>
      <c r="I47" t="s">
        <v>1</v>
      </c>
      <c r="J47">
        <v>31317.52</v>
      </c>
      <c r="K47">
        <v>23640</v>
      </c>
      <c r="L47">
        <v>25345.11</v>
      </c>
      <c r="M47">
        <v>51110.304696132596</v>
      </c>
      <c r="N47">
        <v>48474.3</v>
      </c>
      <c r="O47">
        <v>51110.304696132604</v>
      </c>
      <c r="P47">
        <v>0</v>
      </c>
      <c r="Q47">
        <f t="shared" si="0"/>
        <v>51110.304696132604</v>
      </c>
      <c r="R47">
        <v>51110.304696132604</v>
      </c>
      <c r="S47">
        <f t="shared" si="1"/>
        <v>0</v>
      </c>
      <c r="T47"/>
      <c r="U47">
        <f t="shared" si="2"/>
        <v>0</v>
      </c>
      <c r="V47">
        <f t="shared" si="3"/>
        <v>51110.304696132604</v>
      </c>
      <c r="W47">
        <f t="shared" si="4"/>
        <v>0</v>
      </c>
      <c r="X47">
        <v>0</v>
      </c>
    </row>
    <row r="48" spans="1:24" x14ac:dyDescent="0.25">
      <c r="A48" t="s">
        <v>1940</v>
      </c>
      <c r="B48" t="s">
        <v>1941</v>
      </c>
      <c r="C48" t="s">
        <v>1942</v>
      </c>
      <c r="D48" t="s">
        <v>4</v>
      </c>
      <c r="E48" t="s">
        <v>51</v>
      </c>
      <c r="F48" t="s">
        <v>51</v>
      </c>
      <c r="G48" t="s">
        <v>451</v>
      </c>
      <c r="H48"/>
      <c r="I48"/>
      <c r="J48">
        <v>6293009.1800000006</v>
      </c>
      <c r="K48">
        <v>7062877.6396911861</v>
      </c>
      <c r="L48">
        <v>3699354.5899999985</v>
      </c>
      <c r="M48">
        <v>7460024.4494475098</v>
      </c>
      <c r="N48">
        <v>6610221.6700000037</v>
      </c>
      <c r="O48">
        <v>7399875.2967263646</v>
      </c>
      <c r="P48">
        <f>SUMIF($F$2:$F$47,"&lt;&gt;EV_*",$P$2:$P$47)</f>
        <v>0</v>
      </c>
      <c r="Q48">
        <f>SUMIF($F$2:$F$47,"&lt;&gt;EV_*",$Q$2:$Q$47)</f>
        <v>7399875.2967263646</v>
      </c>
      <c r="R48">
        <f>SUMIF($F$2:$F$47,"&lt;&gt;EV_*",$R$2:$R$47)</f>
        <v>7108483.5417356044</v>
      </c>
      <c r="S48">
        <f>SUMIF($F$2:$F$47,"&lt;&gt;EV_*",$S$2:$S$47)</f>
        <v>-291391.75499075995</v>
      </c>
      <c r="T48">
        <v>0</v>
      </c>
      <c r="U48">
        <f>SUMIF($F$2:$F$47,"&lt;&gt;EV_*",$U$2:$U$47)</f>
        <v>2898.9715000000119</v>
      </c>
      <c r="V48">
        <f>SUMIF($F$2:$F$47,"&lt;&gt;EV_*",$V$2:$V$47)</f>
        <v>7111382.5132356063</v>
      </c>
      <c r="W48">
        <f>SUMIF($F$2:$F$47,"&lt;&gt;EV_*",$W$2:$W$47)</f>
        <v>-288492.78349075996</v>
      </c>
      <c r="X48">
        <f>SUMIF($F$2:$F$47,"&lt;&gt;EV_*",$X$2:$X$47)</f>
        <v>0</v>
      </c>
    </row>
    <row r="49" spans="1:24" x14ac:dyDescent="0.25">
      <c r="A49" t="s">
        <v>1943</v>
      </c>
      <c r="B49" t="s">
        <v>1944</v>
      </c>
      <c r="C49" t="s">
        <v>1945</v>
      </c>
      <c r="D49" t="s">
        <v>52</v>
      </c>
      <c r="E49" t="s">
        <v>5</v>
      </c>
      <c r="F49" t="s">
        <v>5</v>
      </c>
      <c r="G49" t="s">
        <v>452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</row>
    <row r="50" spans="1:24" x14ac:dyDescent="0.25">
      <c r="A50" t="s">
        <v>1943</v>
      </c>
      <c r="B50" t="s">
        <v>1944</v>
      </c>
      <c r="C50" t="s">
        <v>1945</v>
      </c>
      <c r="D50" t="s">
        <v>52</v>
      </c>
      <c r="E50" t="s">
        <v>6</v>
      </c>
      <c r="F50" t="s">
        <v>1</v>
      </c>
      <c r="G50" t="s">
        <v>453</v>
      </c>
      <c r="H50" t="s">
        <v>406</v>
      </c>
      <c r="I50" t="s">
        <v>1</v>
      </c>
      <c r="J50">
        <v>92836.08</v>
      </c>
      <c r="K50">
        <v>92502.999599999996</v>
      </c>
      <c r="L50">
        <v>46251.29</v>
      </c>
      <c r="M50">
        <v>93269.175966850831</v>
      </c>
      <c r="N50">
        <v>92502.590000000011</v>
      </c>
      <c r="O50">
        <v>92502.58</v>
      </c>
      <c r="P50">
        <v>0</v>
      </c>
      <c r="Q50">
        <f t="shared" ref="Q50:Q64" si="5">O50+P50</f>
        <v>92502.58</v>
      </c>
      <c r="R50">
        <v>92504</v>
      </c>
      <c r="S50">
        <f t="shared" ref="S50:S64" si="6">IF(OR(LEFT(E50,2)="A_",LEFT(D50,5)="Total"),R50-Q50,"")</f>
        <v>1.4199999999982538</v>
      </c>
      <c r="T50"/>
      <c r="U50">
        <f t="shared" ref="U50:U64" si="7">IFERROR(R50*T50,R50*0)</f>
        <v>0</v>
      </c>
      <c r="V50">
        <f t="shared" ref="V50:V64" si="8">IF(OR(LEFT(E50,2)="A_",LEFT(D50,5)="Total"),R50+U50,"")</f>
        <v>92504</v>
      </c>
      <c r="W50">
        <f t="shared" ref="W50:W64" si="9">IF(OR(LEFT(E50,2)="A_",LEFT(D50,5)="Total"),V50-Q50,"")</f>
        <v>1.4199999999982538</v>
      </c>
      <c r="X50" t="s">
        <v>1292</v>
      </c>
    </row>
    <row r="51" spans="1:24" x14ac:dyDescent="0.25">
      <c r="A51" t="s">
        <v>1943</v>
      </c>
      <c r="B51" t="s">
        <v>1944</v>
      </c>
      <c r="C51" t="s">
        <v>1945</v>
      </c>
      <c r="D51" t="s">
        <v>52</v>
      </c>
      <c r="E51" t="s">
        <v>9</v>
      </c>
      <c r="F51" t="s">
        <v>1</v>
      </c>
      <c r="G51" t="s">
        <v>453</v>
      </c>
      <c r="H51" t="s">
        <v>409</v>
      </c>
      <c r="I51" t="s">
        <v>1</v>
      </c>
      <c r="J51">
        <v>43125</v>
      </c>
      <c r="K51">
        <v>45999.999600000003</v>
      </c>
      <c r="L51">
        <v>17250</v>
      </c>
      <c r="M51">
        <v>34785.911602209941</v>
      </c>
      <c r="N51">
        <v>43125</v>
      </c>
      <c r="O51">
        <v>34500</v>
      </c>
      <c r="P51">
        <v>0</v>
      </c>
      <c r="Q51">
        <f t="shared" si="5"/>
        <v>34500</v>
      </c>
      <c r="R51">
        <v>34500</v>
      </c>
      <c r="S51">
        <f t="shared" si="6"/>
        <v>0</v>
      </c>
      <c r="T51"/>
      <c r="U51">
        <f t="shared" si="7"/>
        <v>0</v>
      </c>
      <c r="V51">
        <f t="shared" si="8"/>
        <v>34500</v>
      </c>
      <c r="W51">
        <f t="shared" si="9"/>
        <v>0</v>
      </c>
      <c r="X51" t="s">
        <v>1293</v>
      </c>
    </row>
    <row r="52" spans="1:24" x14ac:dyDescent="0.25">
      <c r="A52" t="s">
        <v>1943</v>
      </c>
      <c r="B52" t="s">
        <v>1944</v>
      </c>
      <c r="C52" t="s">
        <v>1945</v>
      </c>
      <c r="D52" t="s">
        <v>52</v>
      </c>
      <c r="E52" t="s">
        <v>11</v>
      </c>
      <c r="F52" t="s">
        <v>1</v>
      </c>
      <c r="G52" t="s">
        <v>453</v>
      </c>
      <c r="H52" t="s">
        <v>411</v>
      </c>
      <c r="I52" t="s">
        <v>1</v>
      </c>
      <c r="J52">
        <v>1016.65</v>
      </c>
      <c r="K52">
        <v>762.31040000040002</v>
      </c>
      <c r="L52">
        <v>424.82</v>
      </c>
      <c r="M52">
        <v>856.68121546961322</v>
      </c>
      <c r="N52">
        <v>897.38000000000011</v>
      </c>
      <c r="O52">
        <v>849.64</v>
      </c>
      <c r="P52">
        <v>0</v>
      </c>
      <c r="Q52">
        <f t="shared" si="5"/>
        <v>849.64</v>
      </c>
      <c r="R52">
        <v>849.64</v>
      </c>
      <c r="S52">
        <f t="shared" si="6"/>
        <v>0</v>
      </c>
      <c r="T52"/>
      <c r="U52">
        <f t="shared" si="7"/>
        <v>0</v>
      </c>
      <c r="V52">
        <f t="shared" si="8"/>
        <v>849.64</v>
      </c>
      <c r="W52">
        <f t="shared" si="9"/>
        <v>0</v>
      </c>
      <c r="X52" t="s">
        <v>1294</v>
      </c>
    </row>
    <row r="53" spans="1:24" x14ac:dyDescent="0.25">
      <c r="A53" t="s">
        <v>1943</v>
      </c>
      <c r="B53" t="s">
        <v>1944</v>
      </c>
      <c r="C53" t="s">
        <v>1945</v>
      </c>
      <c r="D53" t="s">
        <v>52</v>
      </c>
      <c r="E53" t="s">
        <v>23</v>
      </c>
      <c r="F53" t="s">
        <v>1</v>
      </c>
      <c r="G53" t="s">
        <v>453</v>
      </c>
      <c r="H53" t="s">
        <v>423</v>
      </c>
      <c r="I53" t="s">
        <v>1</v>
      </c>
      <c r="J53">
        <v>182.97</v>
      </c>
      <c r="K53">
        <v>288.76500000009997</v>
      </c>
      <c r="L53">
        <v>84.45</v>
      </c>
      <c r="M53">
        <v>170.29972375690608</v>
      </c>
      <c r="N53">
        <v>207.57</v>
      </c>
      <c r="O53">
        <v>170.29972375689999</v>
      </c>
      <c r="P53">
        <v>0</v>
      </c>
      <c r="Q53">
        <f t="shared" si="5"/>
        <v>170.29972375689999</v>
      </c>
      <c r="R53">
        <v>170</v>
      </c>
      <c r="S53">
        <f t="shared" si="6"/>
        <v>-0.29972375689999353</v>
      </c>
      <c r="T53">
        <v>3.5000000000000003E-2</v>
      </c>
      <c r="U53">
        <f t="shared" si="7"/>
        <v>5.95</v>
      </c>
      <c r="V53">
        <f t="shared" si="8"/>
        <v>175.95</v>
      </c>
      <c r="W53">
        <f t="shared" si="9"/>
        <v>5.6502762430999951</v>
      </c>
      <c r="X53" t="s">
        <v>1295</v>
      </c>
    </row>
    <row r="54" spans="1:24" x14ac:dyDescent="0.25">
      <c r="A54" t="s">
        <v>1943</v>
      </c>
      <c r="B54" t="s">
        <v>1944</v>
      </c>
      <c r="C54" t="s">
        <v>1945</v>
      </c>
      <c r="D54" t="s">
        <v>52</v>
      </c>
      <c r="E54" t="s">
        <v>24</v>
      </c>
      <c r="F54" t="s">
        <v>1</v>
      </c>
      <c r="G54" t="s">
        <v>453</v>
      </c>
      <c r="H54" t="s">
        <v>424</v>
      </c>
      <c r="I54" t="s">
        <v>1</v>
      </c>
      <c r="J54">
        <v>930</v>
      </c>
      <c r="K54">
        <v>842.00040000000001</v>
      </c>
      <c r="L54">
        <v>395</v>
      </c>
      <c r="M54">
        <v>796.54696132596678</v>
      </c>
      <c r="N54">
        <v>845</v>
      </c>
      <c r="O54">
        <v>790</v>
      </c>
      <c r="P54">
        <v>0</v>
      </c>
      <c r="Q54">
        <f t="shared" si="5"/>
        <v>790</v>
      </c>
      <c r="R54">
        <v>840</v>
      </c>
      <c r="S54">
        <f t="shared" si="6"/>
        <v>50</v>
      </c>
      <c r="T54"/>
      <c r="U54">
        <f t="shared" si="7"/>
        <v>0</v>
      </c>
      <c r="V54">
        <f t="shared" si="8"/>
        <v>840</v>
      </c>
      <c r="W54">
        <f t="shared" si="9"/>
        <v>50</v>
      </c>
      <c r="X54" t="s">
        <v>1296</v>
      </c>
    </row>
    <row r="55" spans="1:24" x14ac:dyDescent="0.25">
      <c r="A55" t="s">
        <v>1943</v>
      </c>
      <c r="B55" t="s">
        <v>1944</v>
      </c>
      <c r="C55" t="s">
        <v>1945</v>
      </c>
      <c r="D55" t="s">
        <v>52</v>
      </c>
      <c r="E55" t="s">
        <v>26</v>
      </c>
      <c r="F55" t="s">
        <v>1</v>
      </c>
      <c r="G55" t="s">
        <v>453</v>
      </c>
      <c r="H55" t="s">
        <v>426</v>
      </c>
      <c r="I55" t="s">
        <v>1</v>
      </c>
      <c r="J55">
        <v>1019</v>
      </c>
      <c r="K55">
        <v>4003.4525426424002</v>
      </c>
      <c r="L55">
        <v>585</v>
      </c>
      <c r="M55">
        <v>1179.6961325966852</v>
      </c>
      <c r="N55">
        <v>1404</v>
      </c>
      <c r="O55">
        <v>1170</v>
      </c>
      <c r="P55">
        <v>0</v>
      </c>
      <c r="Q55">
        <f t="shared" si="5"/>
        <v>1170</v>
      </c>
      <c r="R55">
        <v>2700</v>
      </c>
      <c r="S55">
        <f t="shared" si="6"/>
        <v>1530</v>
      </c>
      <c r="T55"/>
      <c r="U55">
        <f t="shared" si="7"/>
        <v>0</v>
      </c>
      <c r="V55">
        <f t="shared" si="8"/>
        <v>2700</v>
      </c>
      <c r="W55">
        <f t="shared" si="9"/>
        <v>1530</v>
      </c>
      <c r="X55" t="s">
        <v>1297</v>
      </c>
    </row>
    <row r="56" spans="1:24" x14ac:dyDescent="0.25">
      <c r="A56" t="s">
        <v>1943</v>
      </c>
      <c r="B56" t="s">
        <v>1944</v>
      </c>
      <c r="C56" t="s">
        <v>1945</v>
      </c>
      <c r="D56" t="s">
        <v>52</v>
      </c>
      <c r="E56" t="s">
        <v>28</v>
      </c>
      <c r="F56" t="s">
        <v>1</v>
      </c>
      <c r="G56" t="s">
        <v>453</v>
      </c>
      <c r="H56" t="s">
        <v>428</v>
      </c>
      <c r="I56" t="s">
        <v>1</v>
      </c>
      <c r="J56">
        <v>745</v>
      </c>
      <c r="K56">
        <v>1500</v>
      </c>
      <c r="L56">
        <v>0</v>
      </c>
      <c r="M56">
        <v>0</v>
      </c>
      <c r="N56">
        <v>745</v>
      </c>
      <c r="O56"/>
      <c r="P56">
        <v>0</v>
      </c>
      <c r="Q56">
        <f t="shared" si="5"/>
        <v>0</v>
      </c>
      <c r="R56">
        <v>0</v>
      </c>
      <c r="S56">
        <f t="shared" si="6"/>
        <v>0</v>
      </c>
      <c r="T56"/>
      <c r="U56">
        <f t="shared" si="7"/>
        <v>0</v>
      </c>
      <c r="V56">
        <f t="shared" si="8"/>
        <v>0</v>
      </c>
      <c r="W56">
        <f t="shared" si="9"/>
        <v>0</v>
      </c>
      <c r="X56">
        <v>0</v>
      </c>
    </row>
    <row r="57" spans="1:24" x14ac:dyDescent="0.25">
      <c r="A57" t="s">
        <v>1943</v>
      </c>
      <c r="B57" t="s">
        <v>1944</v>
      </c>
      <c r="C57" t="s">
        <v>1945</v>
      </c>
      <c r="D57" t="s">
        <v>52</v>
      </c>
      <c r="E57" t="s">
        <v>29</v>
      </c>
      <c r="F57" t="s">
        <v>1</v>
      </c>
      <c r="G57" t="s">
        <v>453</v>
      </c>
      <c r="H57" t="s">
        <v>429</v>
      </c>
      <c r="I57" t="s">
        <v>1</v>
      </c>
      <c r="J57">
        <v>428.03</v>
      </c>
      <c r="K57"/>
      <c r="L57">
        <v>0</v>
      </c>
      <c r="M57">
        <v>0</v>
      </c>
      <c r="N57">
        <v>404.34000000000003</v>
      </c>
      <c r="O57"/>
      <c r="P57">
        <v>0</v>
      </c>
      <c r="Q57">
        <f t="shared" si="5"/>
        <v>0</v>
      </c>
      <c r="R57">
        <v>0</v>
      </c>
      <c r="S57">
        <f t="shared" si="6"/>
        <v>0</v>
      </c>
      <c r="T57"/>
      <c r="U57">
        <f t="shared" si="7"/>
        <v>0</v>
      </c>
      <c r="V57">
        <f t="shared" si="8"/>
        <v>0</v>
      </c>
      <c r="W57">
        <f t="shared" si="9"/>
        <v>0</v>
      </c>
      <c r="X57">
        <v>0</v>
      </c>
    </row>
    <row r="58" spans="1:24" x14ac:dyDescent="0.25">
      <c r="A58" t="s">
        <v>1943</v>
      </c>
      <c r="B58" t="s">
        <v>1944</v>
      </c>
      <c r="C58" t="s">
        <v>1945</v>
      </c>
      <c r="D58" t="s">
        <v>52</v>
      </c>
      <c r="E58" t="s">
        <v>33</v>
      </c>
      <c r="F58" t="s">
        <v>1</v>
      </c>
      <c r="G58" t="s">
        <v>453</v>
      </c>
      <c r="H58" t="s">
        <v>433</v>
      </c>
      <c r="I58" t="s">
        <v>1</v>
      </c>
      <c r="J58">
        <v>267.51</v>
      </c>
      <c r="K58"/>
      <c r="L58">
        <v>0</v>
      </c>
      <c r="M58">
        <v>0</v>
      </c>
      <c r="N58">
        <v>267.51</v>
      </c>
      <c r="O58"/>
      <c r="P58">
        <v>0</v>
      </c>
      <c r="Q58">
        <f t="shared" si="5"/>
        <v>0</v>
      </c>
      <c r="R58">
        <v>0</v>
      </c>
      <c r="S58">
        <f t="shared" si="6"/>
        <v>0</v>
      </c>
      <c r="T58"/>
      <c r="U58">
        <f t="shared" si="7"/>
        <v>0</v>
      </c>
      <c r="V58">
        <f t="shared" si="8"/>
        <v>0</v>
      </c>
      <c r="W58">
        <f t="shared" si="9"/>
        <v>0</v>
      </c>
      <c r="X58">
        <v>0</v>
      </c>
    </row>
    <row r="59" spans="1:24" x14ac:dyDescent="0.25">
      <c r="A59" t="s">
        <v>1943</v>
      </c>
      <c r="B59" t="s">
        <v>1944</v>
      </c>
      <c r="C59" t="s">
        <v>1945</v>
      </c>
      <c r="D59" t="s">
        <v>52</v>
      </c>
      <c r="E59" t="s">
        <v>34</v>
      </c>
      <c r="F59" t="s">
        <v>1</v>
      </c>
      <c r="G59" t="s">
        <v>453</v>
      </c>
      <c r="H59" t="s">
        <v>434</v>
      </c>
      <c r="I59" t="s">
        <v>1</v>
      </c>
      <c r="J59">
        <v>342.43</v>
      </c>
      <c r="K59">
        <v>981.23837579880001</v>
      </c>
      <c r="L59">
        <v>0</v>
      </c>
      <c r="M59">
        <v>0</v>
      </c>
      <c r="N59">
        <v>21.59</v>
      </c>
      <c r="O59"/>
      <c r="P59">
        <v>0</v>
      </c>
      <c r="Q59">
        <f t="shared" si="5"/>
        <v>0</v>
      </c>
      <c r="R59">
        <v>250</v>
      </c>
      <c r="S59">
        <f t="shared" si="6"/>
        <v>250</v>
      </c>
      <c r="T59"/>
      <c r="U59">
        <f t="shared" si="7"/>
        <v>0</v>
      </c>
      <c r="V59">
        <f t="shared" si="8"/>
        <v>250</v>
      </c>
      <c r="W59">
        <f t="shared" si="9"/>
        <v>250</v>
      </c>
      <c r="X59">
        <v>0</v>
      </c>
    </row>
    <row r="60" spans="1:24" x14ac:dyDescent="0.25">
      <c r="A60" t="s">
        <v>1943</v>
      </c>
      <c r="B60" t="s">
        <v>1944</v>
      </c>
      <c r="C60" t="s">
        <v>1945</v>
      </c>
      <c r="D60" t="s">
        <v>52</v>
      </c>
      <c r="E60" t="s">
        <v>35</v>
      </c>
      <c r="F60" t="s">
        <v>1</v>
      </c>
      <c r="G60" t="s">
        <v>453</v>
      </c>
      <c r="H60" t="s">
        <v>435</v>
      </c>
      <c r="I60" t="s">
        <v>1</v>
      </c>
      <c r="J60">
        <v>243.32</v>
      </c>
      <c r="K60">
        <v>150</v>
      </c>
      <c r="L60">
        <v>153.61000000000001</v>
      </c>
      <c r="M60">
        <v>309.76602209944753</v>
      </c>
      <c r="N60">
        <v>223.48000000000002</v>
      </c>
      <c r="O60">
        <v>307.22000000000003</v>
      </c>
      <c r="P60">
        <v>0</v>
      </c>
      <c r="Q60">
        <f t="shared" si="5"/>
        <v>307.22000000000003</v>
      </c>
      <c r="R60">
        <v>300</v>
      </c>
      <c r="S60">
        <f t="shared" si="6"/>
        <v>-7.2200000000000273</v>
      </c>
      <c r="T60"/>
      <c r="U60">
        <f t="shared" si="7"/>
        <v>0</v>
      </c>
      <c r="V60">
        <f t="shared" si="8"/>
        <v>300</v>
      </c>
      <c r="W60">
        <f t="shared" si="9"/>
        <v>-7.2200000000000273</v>
      </c>
      <c r="X60">
        <v>0</v>
      </c>
    </row>
    <row r="61" spans="1:24" x14ac:dyDescent="0.25">
      <c r="A61" t="s">
        <v>1943</v>
      </c>
      <c r="B61" t="s">
        <v>1944</v>
      </c>
      <c r="C61" t="s">
        <v>1945</v>
      </c>
      <c r="D61" t="s">
        <v>52</v>
      </c>
      <c r="E61" t="s">
        <v>37</v>
      </c>
      <c r="F61" t="s">
        <v>1</v>
      </c>
      <c r="G61" t="s">
        <v>453</v>
      </c>
      <c r="H61" t="s">
        <v>437</v>
      </c>
      <c r="I61" t="s">
        <v>1</v>
      </c>
      <c r="J61">
        <v>1583.19</v>
      </c>
      <c r="K61">
        <v>836.99633565960005</v>
      </c>
      <c r="L61">
        <v>165.61</v>
      </c>
      <c r="M61">
        <v>333.96491712707189</v>
      </c>
      <c r="N61">
        <v>1662.6</v>
      </c>
      <c r="O61">
        <v>331.22</v>
      </c>
      <c r="P61">
        <v>0</v>
      </c>
      <c r="Q61">
        <f t="shared" si="5"/>
        <v>331.22</v>
      </c>
      <c r="R61">
        <v>800</v>
      </c>
      <c r="S61">
        <f t="shared" si="6"/>
        <v>468.78</v>
      </c>
      <c r="T61"/>
      <c r="U61">
        <f t="shared" si="7"/>
        <v>0</v>
      </c>
      <c r="V61">
        <f t="shared" si="8"/>
        <v>800</v>
      </c>
      <c r="W61">
        <f t="shared" si="9"/>
        <v>468.78</v>
      </c>
      <c r="X61">
        <v>0</v>
      </c>
    </row>
    <row r="62" spans="1:24" x14ac:dyDescent="0.25">
      <c r="A62" t="s">
        <v>1943</v>
      </c>
      <c r="B62" t="s">
        <v>1944</v>
      </c>
      <c r="C62" t="s">
        <v>1945</v>
      </c>
      <c r="D62" t="s">
        <v>52</v>
      </c>
      <c r="E62" t="s">
        <v>53</v>
      </c>
      <c r="F62" t="s">
        <v>1</v>
      </c>
      <c r="G62" t="s">
        <v>453</v>
      </c>
      <c r="H62" t="s">
        <v>454</v>
      </c>
      <c r="I62" t="s">
        <v>1</v>
      </c>
      <c r="J62">
        <v>780</v>
      </c>
      <c r="K62"/>
      <c r="L62">
        <v>0</v>
      </c>
      <c r="M62">
        <v>0</v>
      </c>
      <c r="N62">
        <v>780</v>
      </c>
      <c r="O62"/>
      <c r="P62">
        <v>0</v>
      </c>
      <c r="Q62">
        <f t="shared" si="5"/>
        <v>0</v>
      </c>
      <c r="R62">
        <v>0</v>
      </c>
      <c r="S62">
        <f t="shared" si="6"/>
        <v>0</v>
      </c>
      <c r="T62">
        <v>0.03</v>
      </c>
      <c r="U62">
        <f t="shared" si="7"/>
        <v>0</v>
      </c>
      <c r="V62">
        <f t="shared" si="8"/>
        <v>0</v>
      </c>
      <c r="W62">
        <f t="shared" si="9"/>
        <v>0</v>
      </c>
      <c r="X62">
        <v>0</v>
      </c>
    </row>
    <row r="63" spans="1:24" x14ac:dyDescent="0.25">
      <c r="A63" t="s">
        <v>1943</v>
      </c>
      <c r="B63" t="s">
        <v>1944</v>
      </c>
      <c r="C63" t="s">
        <v>1945</v>
      </c>
      <c r="D63" t="s">
        <v>52</v>
      </c>
      <c r="E63" t="s">
        <v>46</v>
      </c>
      <c r="F63" t="s">
        <v>1</v>
      </c>
      <c r="G63" t="s">
        <v>453</v>
      </c>
      <c r="H63" t="s">
        <v>446</v>
      </c>
      <c r="I63" t="s">
        <v>1</v>
      </c>
      <c r="J63"/>
      <c r="K63"/>
      <c r="L63">
        <v>14.14</v>
      </c>
      <c r="M63">
        <v>28.514364640883976</v>
      </c>
      <c r="N63">
        <v>14.14</v>
      </c>
      <c r="O63">
        <v>28.28</v>
      </c>
      <c r="P63">
        <v>0</v>
      </c>
      <c r="Q63">
        <f t="shared" si="5"/>
        <v>28.28</v>
      </c>
      <c r="R63">
        <v>0</v>
      </c>
      <c r="S63">
        <f t="shared" si="6"/>
        <v>-28.28</v>
      </c>
      <c r="T63">
        <v>0.03</v>
      </c>
      <c r="U63">
        <f t="shared" si="7"/>
        <v>0</v>
      </c>
      <c r="V63">
        <f t="shared" si="8"/>
        <v>0</v>
      </c>
      <c r="W63">
        <f t="shared" si="9"/>
        <v>-28.28</v>
      </c>
      <c r="X63">
        <v>0</v>
      </c>
    </row>
    <row r="64" spans="1:24" x14ac:dyDescent="0.25">
      <c r="A64" t="s">
        <v>1943</v>
      </c>
      <c r="B64" t="s">
        <v>1944</v>
      </c>
      <c r="C64" t="s">
        <v>1945</v>
      </c>
      <c r="D64" t="s">
        <v>52</v>
      </c>
      <c r="E64" t="s">
        <v>50</v>
      </c>
      <c r="F64" t="s">
        <v>1</v>
      </c>
      <c r="G64" t="s">
        <v>453</v>
      </c>
      <c r="H64" t="s">
        <v>450</v>
      </c>
      <c r="I64" t="s">
        <v>1</v>
      </c>
      <c r="J64">
        <v>721.08</v>
      </c>
      <c r="K64">
        <v>690.00000000039995</v>
      </c>
      <c r="L64">
        <v>393.44</v>
      </c>
      <c r="M64">
        <v>793.40110497237572</v>
      </c>
      <c r="N64">
        <v>786.59999999999991</v>
      </c>
      <c r="O64">
        <v>793.40110497240005</v>
      </c>
      <c r="P64">
        <v>0</v>
      </c>
      <c r="Q64">
        <f t="shared" si="5"/>
        <v>793.40110497240005</v>
      </c>
      <c r="R64">
        <v>793.40110497240005</v>
      </c>
      <c r="S64">
        <f t="shared" si="6"/>
        <v>0</v>
      </c>
      <c r="T64"/>
      <c r="U64">
        <f t="shared" si="7"/>
        <v>0</v>
      </c>
      <c r="V64">
        <f t="shared" si="8"/>
        <v>793.40110497240005</v>
      </c>
      <c r="W64">
        <f t="shared" si="9"/>
        <v>0</v>
      </c>
      <c r="X64">
        <v>0</v>
      </c>
    </row>
    <row r="65" spans="1:24" x14ac:dyDescent="0.25">
      <c r="A65" t="s">
        <v>1943</v>
      </c>
      <c r="B65" t="s">
        <v>1944</v>
      </c>
      <c r="C65" t="s">
        <v>1945</v>
      </c>
      <c r="D65" t="s">
        <v>52</v>
      </c>
      <c r="E65" t="s">
        <v>51</v>
      </c>
      <c r="F65" t="s">
        <v>51</v>
      </c>
      <c r="G65" t="s">
        <v>455</v>
      </c>
      <c r="H65"/>
      <c r="I65"/>
      <c r="J65">
        <v>144220.26</v>
      </c>
      <c r="K65">
        <v>148557.76225410169</v>
      </c>
      <c r="L65">
        <v>65717.36</v>
      </c>
      <c r="M65">
        <v>132523.95801104972</v>
      </c>
      <c r="N65">
        <v>143886.80000000008</v>
      </c>
      <c r="O65">
        <v>131442.64082872932</v>
      </c>
      <c r="P65">
        <f>SUMIF($F$49:$F$64,"&lt;&gt;EV_*",$P$49:$P$64)</f>
        <v>0</v>
      </c>
      <c r="Q65">
        <f>SUMIF($F$49:$F$64,"&lt;&gt;EV_*",$Q$49:$Q$64)</f>
        <v>131442.64082872932</v>
      </c>
      <c r="R65">
        <f>SUMIF($F$49:$F$64,"&lt;&gt;EV_*",$R$49:$R$64)</f>
        <v>133707.04110497242</v>
      </c>
      <c r="S65">
        <f>SUMIF($F$49:$F$64,"&lt;&gt;EV_*",$S$49:$S$64)</f>
        <v>2264.4002762430978</v>
      </c>
      <c r="T65">
        <v>0</v>
      </c>
      <c r="U65">
        <f>SUMIF($F$49:$F$64,"&lt;&gt;EV_*",$U$49:$U$64)</f>
        <v>5.95</v>
      </c>
      <c r="V65">
        <f>SUMIF($F$49:$F$64,"&lt;&gt;EV_*",$V$49:$V$64)</f>
        <v>133712.9911049724</v>
      </c>
      <c r="W65">
        <f>SUMIF($F$49:$F$64,"&lt;&gt;EV_*",$W$49:$W$64)</f>
        <v>2270.3502762430981</v>
      </c>
      <c r="X65">
        <f>SUMIF($F$49:$F$64,"&lt;&gt;EV_*",$X$49:$X$64)</f>
        <v>0</v>
      </c>
    </row>
    <row r="66" spans="1:24" x14ac:dyDescent="0.25">
      <c r="A66" t="s">
        <v>1940</v>
      </c>
      <c r="B66" t="s">
        <v>1946</v>
      </c>
      <c r="C66" t="s">
        <v>1947</v>
      </c>
      <c r="D66" t="s">
        <v>54</v>
      </c>
      <c r="E66" t="s">
        <v>5</v>
      </c>
      <c r="F66" t="s">
        <v>5</v>
      </c>
      <c r="G66" t="s">
        <v>456</v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</row>
    <row r="67" spans="1:24" x14ac:dyDescent="0.25">
      <c r="A67" t="s">
        <v>1940</v>
      </c>
      <c r="B67" t="s">
        <v>1946</v>
      </c>
      <c r="C67" t="s">
        <v>1947</v>
      </c>
      <c r="D67" t="s">
        <v>54</v>
      </c>
      <c r="E67" t="s">
        <v>11</v>
      </c>
      <c r="F67" t="s">
        <v>1</v>
      </c>
      <c r="G67" t="s">
        <v>457</v>
      </c>
      <c r="H67" t="s">
        <v>411</v>
      </c>
      <c r="I67" t="s">
        <v>1</v>
      </c>
      <c r="J67">
        <v>1022.24</v>
      </c>
      <c r="K67">
        <v>1014</v>
      </c>
      <c r="L67">
        <v>516.26</v>
      </c>
      <c r="M67">
        <v>1041.0767955801105</v>
      </c>
      <c r="N67">
        <v>1032.0900000000001</v>
      </c>
      <c r="O67">
        <v>1032.52</v>
      </c>
      <c r="P67">
        <v>0</v>
      </c>
      <c r="Q67">
        <f t="shared" ref="Q67:Q83" si="10">O67+P67</f>
        <v>1032.52</v>
      </c>
      <c r="R67">
        <v>1032.96</v>
      </c>
      <c r="S67">
        <f t="shared" ref="S67:S83" si="11">IF(OR(LEFT(E67,2)="A_",LEFT(D67,5)="Total"),R67-Q67,"")</f>
        <v>0.44000000000005457</v>
      </c>
      <c r="T67"/>
      <c r="U67">
        <f t="shared" ref="U67:U83" si="12">IFERROR(R67*T67,R67*0)</f>
        <v>0</v>
      </c>
      <c r="V67">
        <f t="shared" ref="V67:V83" si="13">IF(OR(LEFT(E67,2)="A_",LEFT(D67,5)="Total"),R67+U67,"")</f>
        <v>1032.96</v>
      </c>
      <c r="W67">
        <f t="shared" ref="W67:W83" si="14">IF(OR(LEFT(E67,2)="A_",LEFT(D67,5)="Total"),V67-Q67,"")</f>
        <v>0.44000000000005457</v>
      </c>
      <c r="X67" t="s">
        <v>1298</v>
      </c>
    </row>
    <row r="68" spans="1:24" x14ac:dyDescent="0.25">
      <c r="A68" t="s">
        <v>1940</v>
      </c>
      <c r="B68" t="s">
        <v>1946</v>
      </c>
      <c r="C68" t="s">
        <v>1947</v>
      </c>
      <c r="D68" t="s">
        <v>54</v>
      </c>
      <c r="E68" t="s">
        <v>12</v>
      </c>
      <c r="F68" t="s">
        <v>1</v>
      </c>
      <c r="G68" t="s">
        <v>457</v>
      </c>
      <c r="H68" t="s">
        <v>412</v>
      </c>
      <c r="I68" t="s">
        <v>1</v>
      </c>
      <c r="J68"/>
      <c r="K68"/>
      <c r="L68">
        <v>236</v>
      </c>
      <c r="M68">
        <v>475.91160220994476</v>
      </c>
      <c r="N68">
        <v>236</v>
      </c>
      <c r="O68">
        <v>472</v>
      </c>
      <c r="P68">
        <v>0</v>
      </c>
      <c r="Q68">
        <f t="shared" si="10"/>
        <v>472</v>
      </c>
      <c r="R68">
        <v>236</v>
      </c>
      <c r="S68">
        <f t="shared" si="11"/>
        <v>-236</v>
      </c>
      <c r="T68"/>
      <c r="U68">
        <f t="shared" si="12"/>
        <v>0</v>
      </c>
      <c r="V68">
        <f t="shared" si="13"/>
        <v>236</v>
      </c>
      <c r="W68">
        <f t="shared" si="14"/>
        <v>-236</v>
      </c>
      <c r="X68" t="s">
        <v>1299</v>
      </c>
    </row>
    <row r="69" spans="1:24" x14ac:dyDescent="0.25">
      <c r="A69" t="s">
        <v>1940</v>
      </c>
      <c r="B69" t="s">
        <v>1946</v>
      </c>
      <c r="C69" t="s">
        <v>1947</v>
      </c>
      <c r="D69" t="s">
        <v>54</v>
      </c>
      <c r="E69" t="s">
        <v>18</v>
      </c>
      <c r="F69" t="s">
        <v>1</v>
      </c>
      <c r="G69" t="s">
        <v>457</v>
      </c>
      <c r="H69" t="s">
        <v>418</v>
      </c>
      <c r="I69" t="s">
        <v>1</v>
      </c>
      <c r="J69"/>
      <c r="K69"/>
      <c r="L69">
        <v>96.33</v>
      </c>
      <c r="M69">
        <v>194.25662983425411</v>
      </c>
      <c r="N69">
        <v>96.33</v>
      </c>
      <c r="O69">
        <v>193.7185714286</v>
      </c>
      <c r="P69">
        <v>0</v>
      </c>
      <c r="Q69">
        <f t="shared" si="10"/>
        <v>193.7185714286</v>
      </c>
      <c r="R69">
        <v>0</v>
      </c>
      <c r="S69">
        <f t="shared" si="11"/>
        <v>-193.7185714286</v>
      </c>
      <c r="T69">
        <v>0.02</v>
      </c>
      <c r="U69">
        <f t="shared" si="12"/>
        <v>0</v>
      </c>
      <c r="V69">
        <f t="shared" si="13"/>
        <v>0</v>
      </c>
      <c r="W69">
        <f t="shared" si="14"/>
        <v>-193.7185714286</v>
      </c>
      <c r="X69">
        <v>0</v>
      </c>
    </row>
    <row r="70" spans="1:24" x14ac:dyDescent="0.25">
      <c r="A70" t="s">
        <v>1940</v>
      </c>
      <c r="B70" t="s">
        <v>1946</v>
      </c>
      <c r="C70" t="s">
        <v>1947</v>
      </c>
      <c r="D70" t="s">
        <v>54</v>
      </c>
      <c r="E70" t="s">
        <v>21</v>
      </c>
      <c r="F70" t="s">
        <v>1</v>
      </c>
      <c r="G70" t="s">
        <v>457</v>
      </c>
      <c r="H70" t="s">
        <v>421</v>
      </c>
      <c r="I70" t="s">
        <v>1</v>
      </c>
      <c r="J70">
        <v>4249.83</v>
      </c>
      <c r="K70">
        <v>4451.0999999997002</v>
      </c>
      <c r="L70">
        <v>1027.02</v>
      </c>
      <c r="M70">
        <v>2071.0624309392265</v>
      </c>
      <c r="N70">
        <v>2903.4100000000003</v>
      </c>
      <c r="O70">
        <v>2071.0624309392001</v>
      </c>
      <c r="P70">
        <v>0</v>
      </c>
      <c r="Q70">
        <f t="shared" si="10"/>
        <v>2071.0624309392001</v>
      </c>
      <c r="R70">
        <v>4451.0999999997002</v>
      </c>
      <c r="S70">
        <f t="shared" si="11"/>
        <v>2380.0375690605001</v>
      </c>
      <c r="T70">
        <v>0.03</v>
      </c>
      <c r="U70">
        <f t="shared" si="12"/>
        <v>133.53299999999101</v>
      </c>
      <c r="V70">
        <f t="shared" si="13"/>
        <v>4584.6329999996915</v>
      </c>
      <c r="W70">
        <f t="shared" si="14"/>
        <v>2513.5705690604914</v>
      </c>
      <c r="X70">
        <v>0</v>
      </c>
    </row>
    <row r="71" spans="1:24" x14ac:dyDescent="0.25">
      <c r="A71" t="s">
        <v>1940</v>
      </c>
      <c r="B71" t="s">
        <v>1946</v>
      </c>
      <c r="C71" t="s">
        <v>1947</v>
      </c>
      <c r="D71" t="s">
        <v>54</v>
      </c>
      <c r="E71" t="s">
        <v>22</v>
      </c>
      <c r="F71" t="s">
        <v>1</v>
      </c>
      <c r="G71" t="s">
        <v>457</v>
      </c>
      <c r="H71" t="s">
        <v>422</v>
      </c>
      <c r="I71" t="s">
        <v>1</v>
      </c>
      <c r="J71">
        <v>1928.87</v>
      </c>
      <c r="K71">
        <v>2742.75</v>
      </c>
      <c r="L71">
        <v>680.44</v>
      </c>
      <c r="M71">
        <v>1372.1580110497239</v>
      </c>
      <c r="N71">
        <v>1285.1300000000001</v>
      </c>
      <c r="O71">
        <v>1372.1580110497</v>
      </c>
      <c r="P71">
        <v>0</v>
      </c>
      <c r="Q71">
        <f t="shared" si="10"/>
        <v>1372.1580110497</v>
      </c>
      <c r="R71">
        <v>2742.75</v>
      </c>
      <c r="S71">
        <f t="shared" si="11"/>
        <v>1370.5919889503</v>
      </c>
      <c r="T71">
        <v>3.5000000000000003E-2</v>
      </c>
      <c r="U71">
        <f t="shared" si="12"/>
        <v>95.996250000000003</v>
      </c>
      <c r="V71">
        <f t="shared" si="13"/>
        <v>2838.7462500000001</v>
      </c>
      <c r="W71">
        <f t="shared" si="14"/>
        <v>1466.5882389503001</v>
      </c>
      <c r="X71">
        <v>0</v>
      </c>
    </row>
    <row r="72" spans="1:24" x14ac:dyDescent="0.25">
      <c r="A72" t="s">
        <v>1940</v>
      </c>
      <c r="B72" t="s">
        <v>1946</v>
      </c>
      <c r="C72" t="s">
        <v>1947</v>
      </c>
      <c r="D72" t="s">
        <v>54</v>
      </c>
      <c r="E72" t="s">
        <v>23</v>
      </c>
      <c r="F72" t="s">
        <v>1</v>
      </c>
      <c r="G72" t="s">
        <v>457</v>
      </c>
      <c r="H72" t="s">
        <v>423</v>
      </c>
      <c r="I72" t="s">
        <v>1</v>
      </c>
      <c r="J72">
        <v>42</v>
      </c>
      <c r="K72"/>
      <c r="L72">
        <v>0</v>
      </c>
      <c r="M72">
        <v>0</v>
      </c>
      <c r="N72">
        <v>42</v>
      </c>
      <c r="O72"/>
      <c r="P72">
        <v>0</v>
      </c>
      <c r="Q72">
        <f t="shared" si="10"/>
        <v>0</v>
      </c>
      <c r="R72">
        <v>0</v>
      </c>
      <c r="S72">
        <f t="shared" si="11"/>
        <v>0</v>
      </c>
      <c r="T72">
        <v>3.5000000000000003E-2</v>
      </c>
      <c r="U72">
        <f t="shared" si="12"/>
        <v>0</v>
      </c>
      <c r="V72">
        <f t="shared" si="13"/>
        <v>0</v>
      </c>
      <c r="W72">
        <f t="shared" si="14"/>
        <v>0</v>
      </c>
      <c r="X72">
        <v>0</v>
      </c>
    </row>
    <row r="73" spans="1:24" x14ac:dyDescent="0.25">
      <c r="A73" t="s">
        <v>1940</v>
      </c>
      <c r="B73" t="s">
        <v>1946</v>
      </c>
      <c r="C73" t="s">
        <v>1947</v>
      </c>
      <c r="D73" t="s">
        <v>54</v>
      </c>
      <c r="E73" t="s">
        <v>27</v>
      </c>
      <c r="F73" t="s">
        <v>1</v>
      </c>
      <c r="G73" t="s">
        <v>457</v>
      </c>
      <c r="H73" t="s">
        <v>427</v>
      </c>
      <c r="I73" t="s">
        <v>1</v>
      </c>
      <c r="J73">
        <v>3882.19</v>
      </c>
      <c r="K73">
        <v>5139.9999999995998</v>
      </c>
      <c r="L73">
        <v>487.22</v>
      </c>
      <c r="M73">
        <v>982.51546961325971</v>
      </c>
      <c r="N73">
        <v>1345.04</v>
      </c>
      <c r="O73">
        <v>974.44</v>
      </c>
      <c r="P73">
        <v>0</v>
      </c>
      <c r="Q73">
        <f t="shared" si="10"/>
        <v>974.44</v>
      </c>
      <c r="R73">
        <v>974.44</v>
      </c>
      <c r="S73">
        <f t="shared" si="11"/>
        <v>0</v>
      </c>
      <c r="T73"/>
      <c r="U73">
        <f t="shared" si="12"/>
        <v>0</v>
      </c>
      <c r="V73">
        <f t="shared" si="13"/>
        <v>974.44</v>
      </c>
      <c r="W73">
        <f t="shared" si="14"/>
        <v>0</v>
      </c>
      <c r="X73">
        <v>0</v>
      </c>
    </row>
    <row r="74" spans="1:24" x14ac:dyDescent="0.25">
      <c r="A74" t="s">
        <v>1940</v>
      </c>
      <c r="B74" t="s">
        <v>1946</v>
      </c>
      <c r="C74" t="s">
        <v>1947</v>
      </c>
      <c r="D74" t="s">
        <v>54</v>
      </c>
      <c r="E74" t="s">
        <v>28</v>
      </c>
      <c r="F74" t="s">
        <v>1</v>
      </c>
      <c r="G74" t="s">
        <v>457</v>
      </c>
      <c r="H74" t="s">
        <v>428</v>
      </c>
      <c r="I74" t="s">
        <v>1</v>
      </c>
      <c r="J74">
        <v>916.59</v>
      </c>
      <c r="K74">
        <v>489.99999999959999</v>
      </c>
      <c r="L74">
        <v>80.88</v>
      </c>
      <c r="M74">
        <v>163.10055248618784</v>
      </c>
      <c r="N74">
        <v>766.58999999999992</v>
      </c>
      <c r="O74">
        <v>161.76</v>
      </c>
      <c r="P74">
        <v>0</v>
      </c>
      <c r="Q74">
        <f t="shared" si="10"/>
        <v>161.76</v>
      </c>
      <c r="R74">
        <v>161.76</v>
      </c>
      <c r="S74">
        <f t="shared" si="11"/>
        <v>0</v>
      </c>
      <c r="T74"/>
      <c r="U74">
        <f t="shared" si="12"/>
        <v>0</v>
      </c>
      <c r="V74">
        <f t="shared" si="13"/>
        <v>161.76</v>
      </c>
      <c r="W74">
        <f t="shared" si="14"/>
        <v>0</v>
      </c>
      <c r="X74">
        <v>0</v>
      </c>
    </row>
    <row r="75" spans="1:24" x14ac:dyDescent="0.25">
      <c r="A75" t="s">
        <v>1940</v>
      </c>
      <c r="B75" t="s">
        <v>1946</v>
      </c>
      <c r="C75" t="s">
        <v>1947</v>
      </c>
      <c r="D75" t="s">
        <v>54</v>
      </c>
      <c r="E75" t="s">
        <v>29</v>
      </c>
      <c r="F75" t="s">
        <v>1</v>
      </c>
      <c r="G75" t="s">
        <v>457</v>
      </c>
      <c r="H75" t="s">
        <v>429</v>
      </c>
      <c r="I75" t="s">
        <v>1</v>
      </c>
      <c r="J75">
        <v>372.48</v>
      </c>
      <c r="K75">
        <v>150</v>
      </c>
      <c r="L75">
        <v>0</v>
      </c>
      <c r="M75">
        <v>0</v>
      </c>
      <c r="N75">
        <v>298.98</v>
      </c>
      <c r="O75"/>
      <c r="P75">
        <v>0</v>
      </c>
      <c r="Q75">
        <f t="shared" si="10"/>
        <v>0</v>
      </c>
      <c r="R75">
        <v>150</v>
      </c>
      <c r="S75">
        <f t="shared" si="11"/>
        <v>150</v>
      </c>
      <c r="T75"/>
      <c r="U75">
        <f t="shared" si="12"/>
        <v>0</v>
      </c>
      <c r="V75">
        <f t="shared" si="13"/>
        <v>150</v>
      </c>
      <c r="W75">
        <f t="shared" si="14"/>
        <v>150</v>
      </c>
      <c r="X75">
        <v>0</v>
      </c>
    </row>
    <row r="76" spans="1:24" x14ac:dyDescent="0.25">
      <c r="A76" t="s">
        <v>1940</v>
      </c>
      <c r="B76" t="s">
        <v>1946</v>
      </c>
      <c r="C76" t="s">
        <v>1947</v>
      </c>
      <c r="D76" t="s">
        <v>54</v>
      </c>
      <c r="E76" t="s">
        <v>55</v>
      </c>
      <c r="F76" t="s">
        <v>1</v>
      </c>
      <c r="G76" t="s">
        <v>457</v>
      </c>
      <c r="H76" t="s">
        <v>458</v>
      </c>
      <c r="I76" t="s">
        <v>1</v>
      </c>
      <c r="J76">
        <v>1818.47</v>
      </c>
      <c r="K76"/>
      <c r="L76">
        <v>0</v>
      </c>
      <c r="M76">
        <v>0</v>
      </c>
      <c r="N76">
        <v>1818.47</v>
      </c>
      <c r="O76"/>
      <c r="P76">
        <v>0</v>
      </c>
      <c r="Q76">
        <f t="shared" si="10"/>
        <v>0</v>
      </c>
      <c r="R76">
        <v>0</v>
      </c>
      <c r="S76">
        <f t="shared" si="11"/>
        <v>0</v>
      </c>
      <c r="T76"/>
      <c r="U76">
        <f t="shared" si="12"/>
        <v>0</v>
      </c>
      <c r="V76">
        <f t="shared" si="13"/>
        <v>0</v>
      </c>
      <c r="W76">
        <f t="shared" si="14"/>
        <v>0</v>
      </c>
      <c r="X76">
        <v>0</v>
      </c>
    </row>
    <row r="77" spans="1:24" x14ac:dyDescent="0.25">
      <c r="A77" t="s">
        <v>1940</v>
      </c>
      <c r="B77" t="s">
        <v>1946</v>
      </c>
      <c r="C77" t="s">
        <v>1947</v>
      </c>
      <c r="D77" t="s">
        <v>54</v>
      </c>
      <c r="E77" t="s">
        <v>31</v>
      </c>
      <c r="F77" t="s">
        <v>1</v>
      </c>
      <c r="G77" t="s">
        <v>457</v>
      </c>
      <c r="H77" t="s">
        <v>431</v>
      </c>
      <c r="I77" t="s">
        <v>1</v>
      </c>
      <c r="J77"/>
      <c r="K77">
        <v>10784.0000000004</v>
      </c>
      <c r="L77">
        <v>0</v>
      </c>
      <c r="M77">
        <v>0</v>
      </c>
      <c r="N77">
        <v>0</v>
      </c>
      <c r="O77"/>
      <c r="P77">
        <v>0</v>
      </c>
      <c r="Q77">
        <f t="shared" si="10"/>
        <v>0</v>
      </c>
      <c r="R77">
        <v>0</v>
      </c>
      <c r="S77">
        <f t="shared" si="11"/>
        <v>0</v>
      </c>
      <c r="T77"/>
      <c r="U77">
        <f t="shared" si="12"/>
        <v>0</v>
      </c>
      <c r="V77">
        <f t="shared" si="13"/>
        <v>0</v>
      </c>
      <c r="W77">
        <f t="shared" si="14"/>
        <v>0</v>
      </c>
      <c r="X77">
        <v>0</v>
      </c>
    </row>
    <row r="78" spans="1:24" x14ac:dyDescent="0.25">
      <c r="A78" t="s">
        <v>1940</v>
      </c>
      <c r="B78" t="s">
        <v>1946</v>
      </c>
      <c r="C78" t="s">
        <v>1947</v>
      </c>
      <c r="D78" t="s">
        <v>54</v>
      </c>
      <c r="E78" t="s">
        <v>33</v>
      </c>
      <c r="F78" t="s">
        <v>1</v>
      </c>
      <c r="G78" t="s">
        <v>457</v>
      </c>
      <c r="H78" t="s">
        <v>433</v>
      </c>
      <c r="I78" t="s">
        <v>1</v>
      </c>
      <c r="J78">
        <v>8286.6299999999992</v>
      </c>
      <c r="K78">
        <v>1177.486041954</v>
      </c>
      <c r="L78">
        <v>9060.57</v>
      </c>
      <c r="M78">
        <v>18271.315193370163</v>
      </c>
      <c r="N78">
        <v>9460.98</v>
      </c>
      <c r="O78">
        <v>18121.14</v>
      </c>
      <c r="P78">
        <v>0</v>
      </c>
      <c r="Q78">
        <f t="shared" si="10"/>
        <v>18121.14</v>
      </c>
      <c r="R78">
        <v>10000</v>
      </c>
      <c r="S78">
        <f t="shared" si="11"/>
        <v>-8121.1399999999994</v>
      </c>
      <c r="T78"/>
      <c r="U78">
        <f t="shared" si="12"/>
        <v>0</v>
      </c>
      <c r="V78">
        <f t="shared" si="13"/>
        <v>10000</v>
      </c>
      <c r="W78">
        <f t="shared" si="14"/>
        <v>-8121.1399999999994</v>
      </c>
      <c r="X78" t="s">
        <v>1300</v>
      </c>
    </row>
    <row r="79" spans="1:24" x14ac:dyDescent="0.25">
      <c r="A79" t="s">
        <v>1940</v>
      </c>
      <c r="B79" t="s">
        <v>1946</v>
      </c>
      <c r="C79" t="s">
        <v>1947</v>
      </c>
      <c r="D79" t="s">
        <v>54</v>
      </c>
      <c r="E79" t="s">
        <v>34</v>
      </c>
      <c r="F79" t="s">
        <v>1</v>
      </c>
      <c r="G79" t="s">
        <v>457</v>
      </c>
      <c r="H79" t="s">
        <v>434</v>
      </c>
      <c r="I79" t="s">
        <v>1</v>
      </c>
      <c r="J79">
        <v>361.61</v>
      </c>
      <c r="K79">
        <v>1766.2290629304</v>
      </c>
      <c r="L79">
        <v>53.36</v>
      </c>
      <c r="M79">
        <v>107.60441988950276</v>
      </c>
      <c r="N79">
        <v>228.75</v>
      </c>
      <c r="O79">
        <v>106.72</v>
      </c>
      <c r="P79">
        <v>0</v>
      </c>
      <c r="Q79">
        <f t="shared" si="10"/>
        <v>106.72</v>
      </c>
      <c r="R79">
        <v>250</v>
      </c>
      <c r="S79">
        <f t="shared" si="11"/>
        <v>143.28</v>
      </c>
      <c r="T79"/>
      <c r="U79">
        <f t="shared" si="12"/>
        <v>0</v>
      </c>
      <c r="V79">
        <f t="shared" si="13"/>
        <v>250</v>
      </c>
      <c r="W79">
        <f t="shared" si="14"/>
        <v>143.28</v>
      </c>
      <c r="X79">
        <v>0</v>
      </c>
    </row>
    <row r="80" spans="1:24" x14ac:dyDescent="0.25">
      <c r="A80" t="s">
        <v>1940</v>
      </c>
      <c r="B80" t="s">
        <v>1946</v>
      </c>
      <c r="C80" t="s">
        <v>1947</v>
      </c>
      <c r="D80" t="s">
        <v>54</v>
      </c>
      <c r="E80" t="s">
        <v>42</v>
      </c>
      <c r="F80" t="s">
        <v>1</v>
      </c>
      <c r="G80" t="s">
        <v>457</v>
      </c>
      <c r="H80" t="s">
        <v>442</v>
      </c>
      <c r="I80" t="s">
        <v>1</v>
      </c>
      <c r="J80">
        <v>507</v>
      </c>
      <c r="K80">
        <v>507</v>
      </c>
      <c r="L80">
        <v>0</v>
      </c>
      <c r="M80">
        <v>0</v>
      </c>
      <c r="N80">
        <v>0</v>
      </c>
      <c r="O80"/>
      <c r="P80">
        <v>0</v>
      </c>
      <c r="Q80">
        <f t="shared" si="10"/>
        <v>0</v>
      </c>
      <c r="R80">
        <v>0</v>
      </c>
      <c r="S80">
        <f t="shared" si="11"/>
        <v>0</v>
      </c>
      <c r="T80">
        <v>0.03</v>
      </c>
      <c r="U80">
        <f t="shared" si="12"/>
        <v>0</v>
      </c>
      <c r="V80">
        <f t="shared" si="13"/>
        <v>0</v>
      </c>
      <c r="W80">
        <f t="shared" si="14"/>
        <v>0</v>
      </c>
      <c r="X80">
        <v>0</v>
      </c>
    </row>
    <row r="81" spans="1:24" x14ac:dyDescent="0.25">
      <c r="A81" t="s">
        <v>1940</v>
      </c>
      <c r="B81" t="s">
        <v>1946</v>
      </c>
      <c r="C81" t="s">
        <v>1947</v>
      </c>
      <c r="D81" t="s">
        <v>54</v>
      </c>
      <c r="E81" t="s">
        <v>46</v>
      </c>
      <c r="F81" t="s">
        <v>1</v>
      </c>
      <c r="G81" t="s">
        <v>457</v>
      </c>
      <c r="H81" t="s">
        <v>446</v>
      </c>
      <c r="I81" t="s">
        <v>1</v>
      </c>
      <c r="J81">
        <v>1883</v>
      </c>
      <c r="K81"/>
      <c r="L81">
        <v>0</v>
      </c>
      <c r="M81">
        <v>0</v>
      </c>
      <c r="N81">
        <v>1883</v>
      </c>
      <c r="O81"/>
      <c r="P81">
        <v>0</v>
      </c>
      <c r="Q81">
        <f t="shared" si="10"/>
        <v>0</v>
      </c>
      <c r="R81">
        <v>0</v>
      </c>
      <c r="S81">
        <f t="shared" si="11"/>
        <v>0</v>
      </c>
      <c r="T81">
        <v>0.03</v>
      </c>
      <c r="U81">
        <f t="shared" si="12"/>
        <v>0</v>
      </c>
      <c r="V81">
        <f t="shared" si="13"/>
        <v>0</v>
      </c>
      <c r="W81">
        <f t="shared" si="14"/>
        <v>0</v>
      </c>
      <c r="X81">
        <v>0</v>
      </c>
    </row>
    <row r="82" spans="1:24" x14ac:dyDescent="0.25">
      <c r="A82" t="s">
        <v>1940</v>
      </c>
      <c r="B82" t="s">
        <v>1946</v>
      </c>
      <c r="C82" t="s">
        <v>1947</v>
      </c>
      <c r="D82" t="s">
        <v>54</v>
      </c>
      <c r="E82" t="s">
        <v>47</v>
      </c>
      <c r="F82" t="s">
        <v>1</v>
      </c>
      <c r="G82" t="s">
        <v>457</v>
      </c>
      <c r="H82" t="s">
        <v>447</v>
      </c>
      <c r="I82" t="s">
        <v>1</v>
      </c>
      <c r="J82">
        <v>2995</v>
      </c>
      <c r="K82">
        <v>426.99999999959999</v>
      </c>
      <c r="L82">
        <v>0</v>
      </c>
      <c r="M82">
        <v>0</v>
      </c>
      <c r="N82">
        <v>2995</v>
      </c>
      <c r="O82"/>
      <c r="P82">
        <v>0</v>
      </c>
      <c r="Q82">
        <f t="shared" si="10"/>
        <v>0</v>
      </c>
      <c r="R82">
        <v>0</v>
      </c>
      <c r="S82">
        <f t="shared" si="11"/>
        <v>0</v>
      </c>
      <c r="T82">
        <v>0.03</v>
      </c>
      <c r="U82">
        <f t="shared" si="12"/>
        <v>0</v>
      </c>
      <c r="V82">
        <f t="shared" si="13"/>
        <v>0</v>
      </c>
      <c r="W82">
        <f t="shared" si="14"/>
        <v>0</v>
      </c>
      <c r="X82">
        <v>0</v>
      </c>
    </row>
    <row r="83" spans="1:24" x14ac:dyDescent="0.25">
      <c r="A83" t="s">
        <v>1940</v>
      </c>
      <c r="B83" t="s">
        <v>1946</v>
      </c>
      <c r="C83" t="s">
        <v>1947</v>
      </c>
      <c r="D83" t="s">
        <v>54</v>
      </c>
      <c r="E83" t="s">
        <v>50</v>
      </c>
      <c r="F83" t="s">
        <v>1</v>
      </c>
      <c r="G83" t="s">
        <v>457</v>
      </c>
      <c r="H83" t="s">
        <v>450</v>
      </c>
      <c r="I83" t="s">
        <v>1</v>
      </c>
      <c r="J83">
        <v>809.19</v>
      </c>
      <c r="K83">
        <v>690</v>
      </c>
      <c r="L83">
        <v>547.66</v>
      </c>
      <c r="M83">
        <v>1104.3972375690607</v>
      </c>
      <c r="N83">
        <v>1028.8999999999999</v>
      </c>
      <c r="O83">
        <v>1104.3972375691001</v>
      </c>
      <c r="P83">
        <v>0</v>
      </c>
      <c r="Q83">
        <f t="shared" si="10"/>
        <v>1104.3972375691001</v>
      </c>
      <c r="R83">
        <v>786.24</v>
      </c>
      <c r="S83">
        <f t="shared" si="11"/>
        <v>-318.15723756910006</v>
      </c>
      <c r="T83"/>
      <c r="U83">
        <f t="shared" si="12"/>
        <v>0</v>
      </c>
      <c r="V83">
        <f t="shared" si="13"/>
        <v>786.24</v>
      </c>
      <c r="W83">
        <f t="shared" si="14"/>
        <v>-318.15723756910006</v>
      </c>
      <c r="X83" t="s">
        <v>1301</v>
      </c>
    </row>
    <row r="84" spans="1:24" x14ac:dyDescent="0.25">
      <c r="A84" t="s">
        <v>1940</v>
      </c>
      <c r="B84" t="s">
        <v>1946</v>
      </c>
      <c r="C84" t="s">
        <v>1947</v>
      </c>
      <c r="D84" t="s">
        <v>54</v>
      </c>
      <c r="E84" t="s">
        <v>51</v>
      </c>
      <c r="F84" t="s">
        <v>51</v>
      </c>
      <c r="G84" t="s">
        <v>459</v>
      </c>
      <c r="H84"/>
      <c r="I84"/>
      <c r="J84">
        <v>29075.099999999995</v>
      </c>
      <c r="K84">
        <v>29339.565104883299</v>
      </c>
      <c r="L84">
        <v>12785.740000000002</v>
      </c>
      <c r="M84">
        <v>25783.398342541434</v>
      </c>
      <c r="N84">
        <v>25420.67</v>
      </c>
      <c r="O84">
        <v>25609.9162509866</v>
      </c>
      <c r="P84">
        <f>SUMIF($F$66:$F$83,"&lt;&gt;EV_*",$P$66:$P$83)</f>
        <v>0</v>
      </c>
      <c r="Q84">
        <f>SUMIF($F$66:$F$83,"&lt;&gt;EV_*",$Q$66:$Q$83)</f>
        <v>25609.9162509866</v>
      </c>
      <c r="R84">
        <f>SUMIF($F$66:$F$83,"&lt;&gt;EV_*",$R$66:$R$83)</f>
        <v>20785.249999999702</v>
      </c>
      <c r="S84">
        <f>SUMIF($F$66:$F$83,"&lt;&gt;EV_*",$S$66:$S$83)</f>
        <v>-4824.6662509869002</v>
      </c>
      <c r="T84">
        <v>0</v>
      </c>
      <c r="U84">
        <f>SUMIF($F$66:$F$83,"&lt;&gt;EV_*",$U$66:$U$83)</f>
        <v>229.52924999999101</v>
      </c>
      <c r="V84">
        <f>SUMIF($F$66:$F$83,"&lt;&gt;EV_*",$V$66:$V$83)</f>
        <v>21014.779249999694</v>
      </c>
      <c r="W84">
        <f>SUMIF($F$66:$F$83,"&lt;&gt;EV_*",$W$66:$W$83)</f>
        <v>-4595.1370009869088</v>
      </c>
      <c r="X84">
        <f>SUMIF($F$66:$F$83,"&lt;&gt;EV_*",$X$66:$X$83)</f>
        <v>0</v>
      </c>
    </row>
    <row r="85" spans="1:24" x14ac:dyDescent="0.25">
      <c r="A85" t="s">
        <v>1948</v>
      </c>
      <c r="B85" t="s">
        <v>1949</v>
      </c>
      <c r="C85" t="s">
        <v>1950</v>
      </c>
      <c r="D85" t="s">
        <v>56</v>
      </c>
      <c r="E85" t="s">
        <v>5</v>
      </c>
      <c r="F85" t="s">
        <v>5</v>
      </c>
      <c r="G85" t="s">
        <v>460</v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</row>
    <row r="86" spans="1:24" x14ac:dyDescent="0.25">
      <c r="A86" t="s">
        <v>1948</v>
      </c>
      <c r="B86" t="s">
        <v>1949</v>
      </c>
      <c r="C86" t="s">
        <v>1950</v>
      </c>
      <c r="D86" t="s">
        <v>56</v>
      </c>
      <c r="E86" t="s">
        <v>11</v>
      </c>
      <c r="F86" t="s">
        <v>1</v>
      </c>
      <c r="G86" t="s">
        <v>461</v>
      </c>
      <c r="H86" t="s">
        <v>411</v>
      </c>
      <c r="I86" t="s">
        <v>1</v>
      </c>
      <c r="J86">
        <v>2275.7800000000002</v>
      </c>
      <c r="K86">
        <v>2270.0000000004002</v>
      </c>
      <c r="L86">
        <v>1142.1199999999999</v>
      </c>
      <c r="M86">
        <v>2303.1701657458561</v>
      </c>
      <c r="N86">
        <v>2283.81</v>
      </c>
      <c r="O86">
        <v>2284.2399999999998</v>
      </c>
      <c r="P86">
        <v>0</v>
      </c>
      <c r="Q86">
        <f t="shared" ref="Q86:Q100" si="15">O86+P86</f>
        <v>2284.2399999999998</v>
      </c>
      <c r="R86">
        <v>0</v>
      </c>
      <c r="S86">
        <f t="shared" ref="S86:S100" si="16">IF(OR(LEFT(E86,2)="A_",LEFT(D86,5)="Total"),R86-Q86,"")</f>
        <v>-2284.2399999999998</v>
      </c>
      <c r="T86"/>
      <c r="U86">
        <f t="shared" ref="U86:U100" si="17">IFERROR(R86*T86,R86*0)</f>
        <v>0</v>
      </c>
      <c r="V86">
        <f t="shared" ref="V86:V100" si="18">IF(OR(LEFT(E86,2)="A_",LEFT(D86,5)="Total"),R86+U86,"")</f>
        <v>0</v>
      </c>
      <c r="W86">
        <f t="shared" ref="W86:W100" si="19">IF(OR(LEFT(E86,2)="A_",LEFT(D86,5)="Total"),V86-Q86,"")</f>
        <v>-2284.2399999999998</v>
      </c>
      <c r="X86">
        <v>0</v>
      </c>
    </row>
    <row r="87" spans="1:24" x14ac:dyDescent="0.25">
      <c r="A87" t="s">
        <v>1948</v>
      </c>
      <c r="B87" t="s">
        <v>1949</v>
      </c>
      <c r="C87" t="s">
        <v>1950</v>
      </c>
      <c r="D87" t="s">
        <v>56</v>
      </c>
      <c r="E87" t="s">
        <v>18</v>
      </c>
      <c r="F87" t="s">
        <v>1</v>
      </c>
      <c r="G87" t="s">
        <v>461</v>
      </c>
      <c r="H87" t="s">
        <v>418</v>
      </c>
      <c r="I87" t="s">
        <v>1</v>
      </c>
      <c r="J87">
        <v>1832.56</v>
      </c>
      <c r="K87">
        <v>2526.7361450204999</v>
      </c>
      <c r="L87">
        <v>1344.26</v>
      </c>
      <c r="M87">
        <v>2710.8005524861878</v>
      </c>
      <c r="N87">
        <v>1794.31</v>
      </c>
      <c r="O87">
        <v>2703.2920879121002</v>
      </c>
      <c r="P87">
        <v>0</v>
      </c>
      <c r="Q87">
        <f t="shared" si="15"/>
        <v>2703.2920879121002</v>
      </c>
      <c r="R87">
        <v>0</v>
      </c>
      <c r="S87">
        <f t="shared" si="16"/>
        <v>-2703.2920879121002</v>
      </c>
      <c r="T87">
        <v>0.02</v>
      </c>
      <c r="U87">
        <f t="shared" si="17"/>
        <v>0</v>
      </c>
      <c r="V87">
        <f t="shared" si="18"/>
        <v>0</v>
      </c>
      <c r="W87">
        <f t="shared" si="19"/>
        <v>-2703.2920879121002</v>
      </c>
      <c r="X87">
        <v>0</v>
      </c>
    </row>
    <row r="88" spans="1:24" x14ac:dyDescent="0.25">
      <c r="A88" t="s">
        <v>1948</v>
      </c>
      <c r="B88" t="s">
        <v>1949</v>
      </c>
      <c r="C88" t="s">
        <v>1950</v>
      </c>
      <c r="D88" t="s">
        <v>56</v>
      </c>
      <c r="E88" t="s">
        <v>57</v>
      </c>
      <c r="F88" t="s">
        <v>1</v>
      </c>
      <c r="G88" t="s">
        <v>461</v>
      </c>
      <c r="H88" t="s">
        <v>462</v>
      </c>
      <c r="I88" t="s">
        <v>1</v>
      </c>
      <c r="J88">
        <v>1366.52</v>
      </c>
      <c r="K88">
        <v>1813.3632592593001</v>
      </c>
      <c r="L88">
        <v>146.41999999999999</v>
      </c>
      <c r="M88">
        <v>295.26685082872928</v>
      </c>
      <c r="N88">
        <v>352.12</v>
      </c>
      <c r="O88">
        <v>294.44901098899999</v>
      </c>
      <c r="P88">
        <v>0</v>
      </c>
      <c r="Q88">
        <f t="shared" si="15"/>
        <v>294.44901098899999</v>
      </c>
      <c r="R88">
        <v>0</v>
      </c>
      <c r="S88">
        <f t="shared" si="16"/>
        <v>-294.44901098899999</v>
      </c>
      <c r="T88">
        <v>0.04</v>
      </c>
      <c r="U88">
        <f t="shared" si="17"/>
        <v>0</v>
      </c>
      <c r="V88">
        <f t="shared" si="18"/>
        <v>0</v>
      </c>
      <c r="W88">
        <f t="shared" si="19"/>
        <v>-294.44901098899999</v>
      </c>
      <c r="X88">
        <v>0</v>
      </c>
    </row>
    <row r="89" spans="1:24" x14ac:dyDescent="0.25">
      <c r="A89" t="s">
        <v>1948</v>
      </c>
      <c r="B89" t="s">
        <v>1949</v>
      </c>
      <c r="C89" t="s">
        <v>1950</v>
      </c>
      <c r="D89" t="s">
        <v>56</v>
      </c>
      <c r="E89" t="s">
        <v>21</v>
      </c>
      <c r="F89" t="s">
        <v>1</v>
      </c>
      <c r="G89" t="s">
        <v>461</v>
      </c>
      <c r="H89" t="s">
        <v>421</v>
      </c>
      <c r="I89" t="s">
        <v>1</v>
      </c>
      <c r="J89">
        <v>567.91</v>
      </c>
      <c r="K89">
        <v>750.80999999990001</v>
      </c>
      <c r="L89">
        <v>129.77000000000001</v>
      </c>
      <c r="M89">
        <v>261.69088397790057</v>
      </c>
      <c r="N89">
        <v>285.08000000000004</v>
      </c>
      <c r="O89">
        <v>261.6908839779</v>
      </c>
      <c r="P89">
        <v>0</v>
      </c>
      <c r="Q89">
        <f t="shared" si="15"/>
        <v>261.6908839779</v>
      </c>
      <c r="R89">
        <v>0</v>
      </c>
      <c r="S89">
        <f t="shared" si="16"/>
        <v>-261.6908839779</v>
      </c>
      <c r="T89">
        <v>0.03</v>
      </c>
      <c r="U89">
        <f t="shared" si="17"/>
        <v>0</v>
      </c>
      <c r="V89">
        <f t="shared" si="18"/>
        <v>0</v>
      </c>
      <c r="W89">
        <f t="shared" si="19"/>
        <v>-261.6908839779</v>
      </c>
      <c r="X89">
        <v>0</v>
      </c>
    </row>
    <row r="90" spans="1:24" x14ac:dyDescent="0.25">
      <c r="A90" t="s">
        <v>1948</v>
      </c>
      <c r="B90" t="s">
        <v>1949</v>
      </c>
      <c r="C90" t="s">
        <v>1950</v>
      </c>
      <c r="D90" t="s">
        <v>56</v>
      </c>
      <c r="E90" t="s">
        <v>22</v>
      </c>
      <c r="F90" t="s">
        <v>1</v>
      </c>
      <c r="G90" t="s">
        <v>461</v>
      </c>
      <c r="H90" t="s">
        <v>422</v>
      </c>
      <c r="I90" t="s">
        <v>1</v>
      </c>
      <c r="J90">
        <v>18.02</v>
      </c>
      <c r="K90"/>
      <c r="L90">
        <v>0</v>
      </c>
      <c r="M90">
        <v>0</v>
      </c>
      <c r="N90">
        <v>13.51</v>
      </c>
      <c r="O90"/>
      <c r="P90">
        <v>0</v>
      </c>
      <c r="Q90">
        <f t="shared" si="15"/>
        <v>0</v>
      </c>
      <c r="R90">
        <v>0</v>
      </c>
      <c r="S90">
        <f t="shared" si="16"/>
        <v>0</v>
      </c>
      <c r="T90">
        <v>3.5000000000000003E-2</v>
      </c>
      <c r="U90">
        <f t="shared" si="17"/>
        <v>0</v>
      </c>
      <c r="V90">
        <f t="shared" si="18"/>
        <v>0</v>
      </c>
      <c r="W90">
        <f t="shared" si="19"/>
        <v>0</v>
      </c>
      <c r="X90">
        <v>0</v>
      </c>
    </row>
    <row r="91" spans="1:24" x14ac:dyDescent="0.25">
      <c r="A91" t="s">
        <v>1948</v>
      </c>
      <c r="B91" t="s">
        <v>1949</v>
      </c>
      <c r="C91" t="s">
        <v>1950</v>
      </c>
      <c r="D91" t="s">
        <v>56</v>
      </c>
      <c r="E91" t="s">
        <v>58</v>
      </c>
      <c r="F91" t="s">
        <v>1</v>
      </c>
      <c r="G91" t="s">
        <v>461</v>
      </c>
      <c r="H91" t="s">
        <v>463</v>
      </c>
      <c r="I91" t="s">
        <v>1</v>
      </c>
      <c r="J91"/>
      <c r="K91">
        <v>39.9999999996</v>
      </c>
      <c r="L91">
        <v>0</v>
      </c>
      <c r="M91">
        <v>0</v>
      </c>
      <c r="N91">
        <v>0</v>
      </c>
      <c r="O91"/>
      <c r="P91">
        <v>0</v>
      </c>
      <c r="Q91">
        <f t="shared" si="15"/>
        <v>0</v>
      </c>
      <c r="R91">
        <v>0</v>
      </c>
      <c r="S91">
        <f t="shared" si="16"/>
        <v>0</v>
      </c>
      <c r="T91"/>
      <c r="U91">
        <f t="shared" si="17"/>
        <v>0</v>
      </c>
      <c r="V91">
        <f t="shared" si="18"/>
        <v>0</v>
      </c>
      <c r="W91">
        <f t="shared" si="19"/>
        <v>0</v>
      </c>
      <c r="X91">
        <v>0</v>
      </c>
    </row>
    <row r="92" spans="1:24" x14ac:dyDescent="0.25">
      <c r="A92" t="s">
        <v>1948</v>
      </c>
      <c r="B92" t="s">
        <v>1949</v>
      </c>
      <c r="C92" t="s">
        <v>1950</v>
      </c>
      <c r="D92" t="s">
        <v>56</v>
      </c>
      <c r="E92" t="s">
        <v>28</v>
      </c>
      <c r="F92" t="s">
        <v>1</v>
      </c>
      <c r="G92" t="s">
        <v>461</v>
      </c>
      <c r="H92" t="s">
        <v>428</v>
      </c>
      <c r="I92" t="s">
        <v>1</v>
      </c>
      <c r="J92">
        <v>406.01</v>
      </c>
      <c r="K92">
        <v>810</v>
      </c>
      <c r="L92">
        <v>435.75</v>
      </c>
      <c r="M92">
        <v>878.72237569060781</v>
      </c>
      <c r="N92">
        <v>435.75</v>
      </c>
      <c r="O92">
        <v>871.5</v>
      </c>
      <c r="P92">
        <v>0</v>
      </c>
      <c r="Q92">
        <f t="shared" si="15"/>
        <v>871.5</v>
      </c>
      <c r="R92">
        <v>0</v>
      </c>
      <c r="S92">
        <f t="shared" si="16"/>
        <v>-871.5</v>
      </c>
      <c r="T92"/>
      <c r="U92">
        <f t="shared" si="17"/>
        <v>0</v>
      </c>
      <c r="V92">
        <f t="shared" si="18"/>
        <v>0</v>
      </c>
      <c r="W92">
        <f t="shared" si="19"/>
        <v>-871.5</v>
      </c>
      <c r="X92">
        <v>0</v>
      </c>
    </row>
    <row r="93" spans="1:24" x14ac:dyDescent="0.25">
      <c r="A93" t="s">
        <v>1948</v>
      </c>
      <c r="B93" t="s">
        <v>1949</v>
      </c>
      <c r="C93" t="s">
        <v>1950</v>
      </c>
      <c r="D93" t="s">
        <v>56</v>
      </c>
      <c r="E93" t="s">
        <v>29</v>
      </c>
      <c r="F93" t="s">
        <v>1</v>
      </c>
      <c r="G93" t="s">
        <v>461</v>
      </c>
      <c r="H93" t="s">
        <v>429</v>
      </c>
      <c r="I93" t="s">
        <v>1</v>
      </c>
      <c r="J93"/>
      <c r="K93"/>
      <c r="L93">
        <v>6490</v>
      </c>
      <c r="M93">
        <v>13087.569060773481</v>
      </c>
      <c r="N93">
        <v>6490</v>
      </c>
      <c r="O93">
        <v>12980</v>
      </c>
      <c r="P93">
        <v>0</v>
      </c>
      <c r="Q93">
        <f t="shared" si="15"/>
        <v>12980</v>
      </c>
      <c r="R93">
        <v>0</v>
      </c>
      <c r="S93">
        <f t="shared" si="16"/>
        <v>-12980</v>
      </c>
      <c r="T93"/>
      <c r="U93">
        <f t="shared" si="17"/>
        <v>0</v>
      </c>
      <c r="V93">
        <f t="shared" si="18"/>
        <v>0</v>
      </c>
      <c r="W93">
        <f t="shared" si="19"/>
        <v>-12980</v>
      </c>
      <c r="X93">
        <v>0</v>
      </c>
    </row>
    <row r="94" spans="1:24" x14ac:dyDescent="0.25">
      <c r="A94" t="s">
        <v>1948</v>
      </c>
      <c r="B94" t="s">
        <v>1949</v>
      </c>
      <c r="C94" t="s">
        <v>1950</v>
      </c>
      <c r="D94" t="s">
        <v>56</v>
      </c>
      <c r="E94" t="s">
        <v>37</v>
      </c>
      <c r="F94" t="s">
        <v>1</v>
      </c>
      <c r="G94" t="s">
        <v>461</v>
      </c>
      <c r="H94" t="s">
        <v>437</v>
      </c>
      <c r="I94" t="s">
        <v>1</v>
      </c>
      <c r="J94">
        <v>29</v>
      </c>
      <c r="K94">
        <v>98.123836830000002</v>
      </c>
      <c r="L94">
        <v>0</v>
      </c>
      <c r="M94">
        <v>0</v>
      </c>
      <c r="N94">
        <v>0</v>
      </c>
      <c r="O94"/>
      <c r="P94">
        <v>0</v>
      </c>
      <c r="Q94">
        <f t="shared" si="15"/>
        <v>0</v>
      </c>
      <c r="R94">
        <v>0</v>
      </c>
      <c r="S94">
        <f t="shared" si="16"/>
        <v>0</v>
      </c>
      <c r="T94"/>
      <c r="U94">
        <f t="shared" si="17"/>
        <v>0</v>
      </c>
      <c r="V94">
        <f t="shared" si="18"/>
        <v>0</v>
      </c>
      <c r="W94">
        <f t="shared" si="19"/>
        <v>0</v>
      </c>
      <c r="X94">
        <v>0</v>
      </c>
    </row>
    <row r="95" spans="1:24" x14ac:dyDescent="0.25">
      <c r="A95" t="s">
        <v>1948</v>
      </c>
      <c r="B95" t="s">
        <v>1949</v>
      </c>
      <c r="C95" t="s">
        <v>1950</v>
      </c>
      <c r="D95" t="s">
        <v>56</v>
      </c>
      <c r="E95" t="s">
        <v>41</v>
      </c>
      <c r="F95" t="s">
        <v>1</v>
      </c>
      <c r="G95" t="s">
        <v>461</v>
      </c>
      <c r="H95" t="s">
        <v>441</v>
      </c>
      <c r="I95" t="s">
        <v>1</v>
      </c>
      <c r="J95"/>
      <c r="K95"/>
      <c r="L95">
        <v>22.64</v>
      </c>
      <c r="M95">
        <v>45.655248618784533</v>
      </c>
      <c r="N95">
        <v>22.64</v>
      </c>
      <c r="O95">
        <v>45.28</v>
      </c>
      <c r="P95">
        <v>0</v>
      </c>
      <c r="Q95">
        <f t="shared" si="15"/>
        <v>45.28</v>
      </c>
      <c r="R95">
        <v>0</v>
      </c>
      <c r="S95">
        <f t="shared" si="16"/>
        <v>-45.28</v>
      </c>
      <c r="T95">
        <v>0.03</v>
      </c>
      <c r="U95">
        <f t="shared" si="17"/>
        <v>0</v>
      </c>
      <c r="V95">
        <f t="shared" si="18"/>
        <v>0</v>
      </c>
      <c r="W95">
        <f t="shared" si="19"/>
        <v>-45.28</v>
      </c>
      <c r="X95">
        <v>0</v>
      </c>
    </row>
    <row r="96" spans="1:24" x14ac:dyDescent="0.25">
      <c r="A96" t="s">
        <v>1948</v>
      </c>
      <c r="B96" t="s">
        <v>1949</v>
      </c>
      <c r="C96" t="s">
        <v>1950</v>
      </c>
      <c r="D96" t="s">
        <v>56</v>
      </c>
      <c r="E96" t="s">
        <v>42</v>
      </c>
      <c r="F96" t="s">
        <v>1</v>
      </c>
      <c r="G96" t="s">
        <v>461</v>
      </c>
      <c r="H96" t="s">
        <v>442</v>
      </c>
      <c r="I96" t="s">
        <v>1</v>
      </c>
      <c r="J96">
        <v>29441.09</v>
      </c>
      <c r="K96">
        <v>17123.0000000004</v>
      </c>
      <c r="L96">
        <v>9624.6299999999992</v>
      </c>
      <c r="M96">
        <v>19408.784254143644</v>
      </c>
      <c r="N96">
        <v>19600.819999999996</v>
      </c>
      <c r="O96">
        <v>19249.259999999998</v>
      </c>
      <c r="P96">
        <v>0</v>
      </c>
      <c r="Q96">
        <f t="shared" si="15"/>
        <v>19249.259999999998</v>
      </c>
      <c r="R96">
        <v>0</v>
      </c>
      <c r="S96">
        <f t="shared" si="16"/>
        <v>-19249.259999999998</v>
      </c>
      <c r="T96">
        <v>0.03</v>
      </c>
      <c r="U96">
        <f t="shared" si="17"/>
        <v>0</v>
      </c>
      <c r="V96">
        <f t="shared" si="18"/>
        <v>0</v>
      </c>
      <c r="W96">
        <f t="shared" si="19"/>
        <v>-19249.259999999998</v>
      </c>
      <c r="X96">
        <v>0</v>
      </c>
    </row>
    <row r="97" spans="1:24" x14ac:dyDescent="0.25">
      <c r="A97" t="s">
        <v>1948</v>
      </c>
      <c r="B97" t="s">
        <v>1949</v>
      </c>
      <c r="C97" t="s">
        <v>1950</v>
      </c>
      <c r="D97" t="s">
        <v>56</v>
      </c>
      <c r="E97" t="s">
        <v>43</v>
      </c>
      <c r="F97" t="s">
        <v>1</v>
      </c>
      <c r="G97" t="s">
        <v>461</v>
      </c>
      <c r="H97" t="s">
        <v>443</v>
      </c>
      <c r="I97" t="s">
        <v>1</v>
      </c>
      <c r="J97">
        <v>70</v>
      </c>
      <c r="K97"/>
      <c r="L97">
        <v>3220</v>
      </c>
      <c r="M97">
        <v>6493.3701657458569</v>
      </c>
      <c r="N97">
        <v>3220</v>
      </c>
      <c r="O97">
        <v>6440</v>
      </c>
      <c r="P97">
        <v>0</v>
      </c>
      <c r="Q97">
        <f t="shared" si="15"/>
        <v>6440</v>
      </c>
      <c r="R97">
        <v>0</v>
      </c>
      <c r="S97">
        <f t="shared" si="16"/>
        <v>-6440</v>
      </c>
      <c r="T97">
        <v>0.03</v>
      </c>
      <c r="U97">
        <f t="shared" si="17"/>
        <v>0</v>
      </c>
      <c r="V97">
        <f t="shared" si="18"/>
        <v>0</v>
      </c>
      <c r="W97">
        <f t="shared" si="19"/>
        <v>-6440</v>
      </c>
      <c r="X97">
        <v>0</v>
      </c>
    </row>
    <row r="98" spans="1:24" x14ac:dyDescent="0.25">
      <c r="A98" t="s">
        <v>1948</v>
      </c>
      <c r="B98" t="s">
        <v>1949</v>
      </c>
      <c r="C98" t="s">
        <v>1950</v>
      </c>
      <c r="D98" t="s">
        <v>56</v>
      </c>
      <c r="E98" t="s">
        <v>46</v>
      </c>
      <c r="F98" t="s">
        <v>1</v>
      </c>
      <c r="G98" t="s">
        <v>461</v>
      </c>
      <c r="H98" t="s">
        <v>446</v>
      </c>
      <c r="I98" t="s">
        <v>1</v>
      </c>
      <c r="J98">
        <v>25</v>
      </c>
      <c r="K98"/>
      <c r="L98">
        <v>0</v>
      </c>
      <c r="M98">
        <v>0</v>
      </c>
      <c r="N98">
        <v>0</v>
      </c>
      <c r="O98"/>
      <c r="P98">
        <v>0</v>
      </c>
      <c r="Q98">
        <f t="shared" si="15"/>
        <v>0</v>
      </c>
      <c r="R98">
        <v>0</v>
      </c>
      <c r="S98">
        <f t="shared" si="16"/>
        <v>0</v>
      </c>
      <c r="T98">
        <v>0.03</v>
      </c>
      <c r="U98">
        <f t="shared" si="17"/>
        <v>0</v>
      </c>
      <c r="V98">
        <f t="shared" si="18"/>
        <v>0</v>
      </c>
      <c r="W98">
        <f t="shared" si="19"/>
        <v>0</v>
      </c>
      <c r="X98">
        <v>0</v>
      </c>
    </row>
    <row r="99" spans="1:24" x14ac:dyDescent="0.25">
      <c r="A99" t="s">
        <v>1948</v>
      </c>
      <c r="B99" t="s">
        <v>1949</v>
      </c>
      <c r="C99" t="s">
        <v>1950</v>
      </c>
      <c r="D99" t="s">
        <v>56</v>
      </c>
      <c r="E99" t="s">
        <v>47</v>
      </c>
      <c r="F99" t="s">
        <v>1</v>
      </c>
      <c r="G99" t="s">
        <v>461</v>
      </c>
      <c r="H99" t="s">
        <v>447</v>
      </c>
      <c r="I99" t="s">
        <v>1</v>
      </c>
      <c r="J99"/>
      <c r="K99">
        <v>294.99999999959999</v>
      </c>
      <c r="L99">
        <v>0</v>
      </c>
      <c r="M99">
        <v>0</v>
      </c>
      <c r="N99">
        <v>0</v>
      </c>
      <c r="O99"/>
      <c r="P99">
        <v>0</v>
      </c>
      <c r="Q99">
        <f t="shared" si="15"/>
        <v>0</v>
      </c>
      <c r="R99">
        <v>0</v>
      </c>
      <c r="S99">
        <f t="shared" si="16"/>
        <v>0</v>
      </c>
      <c r="T99">
        <v>0.03</v>
      </c>
      <c r="U99">
        <f t="shared" si="17"/>
        <v>0</v>
      </c>
      <c r="V99">
        <f t="shared" si="18"/>
        <v>0</v>
      </c>
      <c r="W99">
        <f t="shared" si="19"/>
        <v>0</v>
      </c>
      <c r="X99">
        <v>0</v>
      </c>
    </row>
    <row r="100" spans="1:24" x14ac:dyDescent="0.25">
      <c r="A100" t="s">
        <v>1948</v>
      </c>
      <c r="B100" t="s">
        <v>1949</v>
      </c>
      <c r="C100" t="s">
        <v>1950</v>
      </c>
      <c r="D100" t="s">
        <v>56</v>
      </c>
      <c r="E100" t="s">
        <v>50</v>
      </c>
      <c r="F100" t="s">
        <v>1</v>
      </c>
      <c r="G100" t="s">
        <v>461</v>
      </c>
      <c r="H100" t="s">
        <v>450</v>
      </c>
      <c r="I100" t="s">
        <v>1</v>
      </c>
      <c r="J100">
        <v>922.63</v>
      </c>
      <c r="K100">
        <v>1029.9999999996</v>
      </c>
      <c r="L100">
        <v>270.12</v>
      </c>
      <c r="M100">
        <v>544.71712707182314</v>
      </c>
      <c r="N100">
        <v>661.93000000000006</v>
      </c>
      <c r="O100">
        <v>544.71712707179995</v>
      </c>
      <c r="P100">
        <v>0</v>
      </c>
      <c r="Q100">
        <f t="shared" si="15"/>
        <v>544.71712707179995</v>
      </c>
      <c r="R100">
        <v>0</v>
      </c>
      <c r="S100">
        <f t="shared" si="16"/>
        <v>-544.71712707179995</v>
      </c>
      <c r="T100"/>
      <c r="U100">
        <f t="shared" si="17"/>
        <v>0</v>
      </c>
      <c r="V100">
        <f t="shared" si="18"/>
        <v>0</v>
      </c>
      <c r="W100">
        <f t="shared" si="19"/>
        <v>-544.71712707179995</v>
      </c>
      <c r="X100">
        <v>0</v>
      </c>
    </row>
    <row r="101" spans="1:24" x14ac:dyDescent="0.25">
      <c r="A101" t="s">
        <v>1948</v>
      </c>
      <c r="B101" t="s">
        <v>1949</v>
      </c>
      <c r="C101" t="s">
        <v>1950</v>
      </c>
      <c r="D101" t="s">
        <v>56</v>
      </c>
      <c r="E101" t="s">
        <v>51</v>
      </c>
      <c r="F101" t="s">
        <v>51</v>
      </c>
      <c r="G101" t="s">
        <v>464</v>
      </c>
      <c r="H101"/>
      <c r="I101"/>
      <c r="J101">
        <v>36954.519999999997</v>
      </c>
      <c r="K101">
        <v>26757.0332411093</v>
      </c>
      <c r="L101">
        <v>22825.709999999995</v>
      </c>
      <c r="M101">
        <v>46029.746685082871</v>
      </c>
      <c r="N101">
        <v>35159.969999999994</v>
      </c>
      <c r="O101">
        <v>45674.429109950805</v>
      </c>
      <c r="P101">
        <f>SUMIF($F$85:$F$100,"&lt;&gt;EV_*",$P$85:$P$100)</f>
        <v>0</v>
      </c>
      <c r="Q101">
        <f>SUMIF($F$85:$F$100,"&lt;&gt;EV_*",$Q$85:$Q$100)</f>
        <v>45674.429109950805</v>
      </c>
      <c r="R101">
        <f>SUMIF($F$85:$F$100,"&lt;&gt;EV_*",$R$85:$R$100)</f>
        <v>0</v>
      </c>
      <c r="S101">
        <f>SUMIF($F$85:$F$100,"&lt;&gt;EV_*",$S$85:$S$100)</f>
        <v>-45674.429109950805</v>
      </c>
      <c r="T101">
        <v>0</v>
      </c>
      <c r="U101">
        <f>SUMIF($F$85:$F$100,"&lt;&gt;EV_*",$U$85:$U$100)</f>
        <v>0</v>
      </c>
      <c r="V101">
        <f>SUMIF($F$85:$F$100,"&lt;&gt;EV_*",$V$85:$V$100)</f>
        <v>0</v>
      </c>
      <c r="W101">
        <f>SUMIF($F$85:$F$100,"&lt;&gt;EV_*",$W$85:$W$100)</f>
        <v>-45674.429109950805</v>
      </c>
      <c r="X101">
        <f>SUMIF($F$85:$F$100,"&lt;&gt;EV_*",$X$85:$X$100)</f>
        <v>0</v>
      </c>
    </row>
    <row r="102" spans="1:24" x14ac:dyDescent="0.25">
      <c r="A102" t="s">
        <v>1925</v>
      </c>
      <c r="B102" t="s">
        <v>1926</v>
      </c>
      <c r="C102" t="s">
        <v>1951</v>
      </c>
      <c r="D102" t="s">
        <v>59</v>
      </c>
      <c r="E102" t="s">
        <v>5</v>
      </c>
      <c r="F102" t="s">
        <v>5</v>
      </c>
      <c r="G102" t="s">
        <v>465</v>
      </c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</row>
    <row r="103" spans="1:24" x14ac:dyDescent="0.25">
      <c r="A103" t="s">
        <v>1925</v>
      </c>
      <c r="B103" t="s">
        <v>1926</v>
      </c>
      <c r="C103" t="s">
        <v>1951</v>
      </c>
      <c r="D103" t="s">
        <v>59</v>
      </c>
      <c r="E103" t="s">
        <v>7</v>
      </c>
      <c r="F103" t="s">
        <v>1</v>
      </c>
      <c r="G103" t="s">
        <v>466</v>
      </c>
      <c r="H103" t="s">
        <v>407</v>
      </c>
      <c r="I103" t="s">
        <v>1</v>
      </c>
      <c r="J103">
        <v>32.22</v>
      </c>
      <c r="K103"/>
      <c r="L103">
        <v>0</v>
      </c>
      <c r="M103">
        <v>0</v>
      </c>
      <c r="N103">
        <v>0</v>
      </c>
      <c r="O103"/>
      <c r="P103">
        <v>0</v>
      </c>
      <c r="Q103">
        <f t="shared" ref="Q103:Q112" si="20">O103+P103</f>
        <v>0</v>
      </c>
      <c r="R103">
        <v>0</v>
      </c>
      <c r="S103">
        <f t="shared" ref="S103:S112" si="21">IF(OR(LEFT(E103,2)="A_",LEFT(D103,5)="Total"),R103-Q103,"")</f>
        <v>0</v>
      </c>
      <c r="T103"/>
      <c r="U103">
        <f t="shared" ref="U103:U112" si="22">IFERROR(R103*T103,R103*0)</f>
        <v>0</v>
      </c>
      <c r="V103">
        <f t="shared" ref="V103:V112" si="23">IF(OR(LEFT(E103,2)="A_",LEFT(D103,5)="Total"),R103+U103,"")</f>
        <v>0</v>
      </c>
      <c r="W103">
        <f t="shared" ref="W103:W112" si="24">IF(OR(LEFT(E103,2)="A_",LEFT(D103,5)="Total"),V103-Q103,"")</f>
        <v>0</v>
      </c>
      <c r="X103">
        <v>0</v>
      </c>
    </row>
    <row r="104" spans="1:24" x14ac:dyDescent="0.25">
      <c r="A104" t="s">
        <v>1925</v>
      </c>
      <c r="B104" t="s">
        <v>1926</v>
      </c>
      <c r="C104" t="s">
        <v>1951</v>
      </c>
      <c r="D104" t="s">
        <v>59</v>
      </c>
      <c r="E104" t="s">
        <v>22</v>
      </c>
      <c r="F104" t="s">
        <v>1</v>
      </c>
      <c r="G104" t="s">
        <v>466</v>
      </c>
      <c r="H104" t="s">
        <v>422</v>
      </c>
      <c r="I104" t="s">
        <v>1</v>
      </c>
      <c r="J104">
        <v>320</v>
      </c>
      <c r="K104">
        <v>517.5</v>
      </c>
      <c r="L104">
        <v>0</v>
      </c>
      <c r="M104">
        <v>0</v>
      </c>
      <c r="N104">
        <v>0</v>
      </c>
      <c r="O104"/>
      <c r="P104">
        <v>0</v>
      </c>
      <c r="Q104">
        <f t="shared" si="20"/>
        <v>0</v>
      </c>
      <c r="R104">
        <v>0</v>
      </c>
      <c r="S104">
        <f t="shared" si="21"/>
        <v>0</v>
      </c>
      <c r="T104">
        <v>3.5000000000000003E-2</v>
      </c>
      <c r="U104">
        <f t="shared" si="22"/>
        <v>0</v>
      </c>
      <c r="V104">
        <f t="shared" si="23"/>
        <v>0</v>
      </c>
      <c r="W104">
        <f t="shared" si="24"/>
        <v>0</v>
      </c>
      <c r="X104">
        <v>0</v>
      </c>
    </row>
    <row r="105" spans="1:24" x14ac:dyDescent="0.25">
      <c r="A105" t="s">
        <v>1925</v>
      </c>
      <c r="B105" t="s">
        <v>1926</v>
      </c>
      <c r="C105" t="s">
        <v>1951</v>
      </c>
      <c r="D105" t="s">
        <v>59</v>
      </c>
      <c r="E105" t="s">
        <v>23</v>
      </c>
      <c r="F105" t="s">
        <v>1</v>
      </c>
      <c r="G105" t="s">
        <v>466</v>
      </c>
      <c r="H105" t="s">
        <v>423</v>
      </c>
      <c r="I105" t="s">
        <v>1</v>
      </c>
      <c r="J105">
        <v>362.67</v>
      </c>
      <c r="K105">
        <v>1035</v>
      </c>
      <c r="L105">
        <v>0</v>
      </c>
      <c r="M105">
        <v>0</v>
      </c>
      <c r="N105">
        <v>0</v>
      </c>
      <c r="O105"/>
      <c r="P105">
        <v>0</v>
      </c>
      <c r="Q105">
        <f t="shared" si="20"/>
        <v>0</v>
      </c>
      <c r="R105">
        <v>0</v>
      </c>
      <c r="S105">
        <f t="shared" si="21"/>
        <v>0</v>
      </c>
      <c r="T105">
        <v>3.5000000000000003E-2</v>
      </c>
      <c r="U105">
        <f t="shared" si="22"/>
        <v>0</v>
      </c>
      <c r="V105">
        <f t="shared" si="23"/>
        <v>0</v>
      </c>
      <c r="W105">
        <f t="shared" si="24"/>
        <v>0</v>
      </c>
      <c r="X105">
        <v>0</v>
      </c>
    </row>
    <row r="106" spans="1:24" x14ac:dyDescent="0.25">
      <c r="A106" t="s">
        <v>1925</v>
      </c>
      <c r="B106" t="s">
        <v>1926</v>
      </c>
      <c r="C106" t="s">
        <v>1951</v>
      </c>
      <c r="D106" t="s">
        <v>59</v>
      </c>
      <c r="E106" t="s">
        <v>28</v>
      </c>
      <c r="F106" t="s">
        <v>1</v>
      </c>
      <c r="G106" t="s">
        <v>466</v>
      </c>
      <c r="H106" t="s">
        <v>428</v>
      </c>
      <c r="I106" t="s">
        <v>1</v>
      </c>
      <c r="J106">
        <v>3095</v>
      </c>
      <c r="K106">
        <v>1999.9995999995999</v>
      </c>
      <c r="L106">
        <v>0</v>
      </c>
      <c r="M106">
        <v>0</v>
      </c>
      <c r="N106">
        <v>0</v>
      </c>
      <c r="O106"/>
      <c r="P106">
        <v>0</v>
      </c>
      <c r="Q106">
        <f t="shared" si="20"/>
        <v>0</v>
      </c>
      <c r="R106">
        <v>0</v>
      </c>
      <c r="S106">
        <f t="shared" si="21"/>
        <v>0</v>
      </c>
      <c r="T106"/>
      <c r="U106">
        <f t="shared" si="22"/>
        <v>0</v>
      </c>
      <c r="V106">
        <f t="shared" si="23"/>
        <v>0</v>
      </c>
      <c r="W106">
        <f t="shared" si="24"/>
        <v>0</v>
      </c>
      <c r="X106">
        <v>0</v>
      </c>
    </row>
    <row r="107" spans="1:24" x14ac:dyDescent="0.25">
      <c r="A107" t="s">
        <v>1925</v>
      </c>
      <c r="B107" t="s">
        <v>1926</v>
      </c>
      <c r="C107" t="s">
        <v>1951</v>
      </c>
      <c r="D107" t="s">
        <v>59</v>
      </c>
      <c r="E107" t="s">
        <v>30</v>
      </c>
      <c r="F107" t="s">
        <v>1</v>
      </c>
      <c r="G107" t="s">
        <v>466</v>
      </c>
      <c r="H107" t="s">
        <v>430</v>
      </c>
      <c r="I107" t="s">
        <v>1</v>
      </c>
      <c r="J107"/>
      <c r="K107">
        <v>2000.0003999999999</v>
      </c>
      <c r="L107">
        <v>0</v>
      </c>
      <c r="M107">
        <v>0</v>
      </c>
      <c r="N107">
        <v>0</v>
      </c>
      <c r="O107"/>
      <c r="P107">
        <v>0</v>
      </c>
      <c r="Q107">
        <f t="shared" si="20"/>
        <v>0</v>
      </c>
      <c r="R107">
        <v>0</v>
      </c>
      <c r="S107">
        <f t="shared" si="21"/>
        <v>0</v>
      </c>
      <c r="T107"/>
      <c r="U107">
        <f t="shared" si="22"/>
        <v>0</v>
      </c>
      <c r="V107">
        <f t="shared" si="23"/>
        <v>0</v>
      </c>
      <c r="W107">
        <f t="shared" si="24"/>
        <v>0</v>
      </c>
      <c r="X107">
        <v>0</v>
      </c>
    </row>
    <row r="108" spans="1:24" x14ac:dyDescent="0.25">
      <c r="A108" t="s">
        <v>1925</v>
      </c>
      <c r="B108" t="s">
        <v>1926</v>
      </c>
      <c r="C108" t="s">
        <v>1951</v>
      </c>
      <c r="D108" t="s">
        <v>59</v>
      </c>
      <c r="E108" t="s">
        <v>31</v>
      </c>
      <c r="F108" t="s">
        <v>1</v>
      </c>
      <c r="G108" t="s">
        <v>466</v>
      </c>
      <c r="H108" t="s">
        <v>431</v>
      </c>
      <c r="I108" t="s">
        <v>1</v>
      </c>
      <c r="J108">
        <v>5006.87</v>
      </c>
      <c r="K108">
        <v>1999.9995999995999</v>
      </c>
      <c r="L108">
        <v>0</v>
      </c>
      <c r="M108">
        <v>0</v>
      </c>
      <c r="N108">
        <v>0</v>
      </c>
      <c r="O108"/>
      <c r="P108">
        <v>0</v>
      </c>
      <c r="Q108">
        <f t="shared" si="20"/>
        <v>0</v>
      </c>
      <c r="R108">
        <v>0</v>
      </c>
      <c r="S108">
        <f t="shared" si="21"/>
        <v>0</v>
      </c>
      <c r="T108"/>
      <c r="U108">
        <f t="shared" si="22"/>
        <v>0</v>
      </c>
      <c r="V108">
        <f t="shared" si="23"/>
        <v>0</v>
      </c>
      <c r="W108">
        <f t="shared" si="24"/>
        <v>0</v>
      </c>
      <c r="X108" t="s">
        <v>1302</v>
      </c>
    </row>
    <row r="109" spans="1:24" x14ac:dyDescent="0.25">
      <c r="A109" t="s">
        <v>1925</v>
      </c>
      <c r="B109" t="s">
        <v>1926</v>
      </c>
      <c r="C109" t="s">
        <v>1951</v>
      </c>
      <c r="D109" t="s">
        <v>59</v>
      </c>
      <c r="E109" t="s">
        <v>33</v>
      </c>
      <c r="F109" t="s">
        <v>1</v>
      </c>
      <c r="G109" t="s">
        <v>466</v>
      </c>
      <c r="H109" t="s">
        <v>433</v>
      </c>
      <c r="I109" t="s">
        <v>1</v>
      </c>
      <c r="J109">
        <v>2155.89</v>
      </c>
      <c r="K109">
        <v>2499.9996000000001</v>
      </c>
      <c r="L109">
        <v>676.47</v>
      </c>
      <c r="M109">
        <v>1364.1522099447513</v>
      </c>
      <c r="N109">
        <v>676.47</v>
      </c>
      <c r="O109">
        <v>1352.94</v>
      </c>
      <c r="P109">
        <v>0</v>
      </c>
      <c r="Q109">
        <f t="shared" si="20"/>
        <v>1352.94</v>
      </c>
      <c r="R109">
        <v>0</v>
      </c>
      <c r="S109">
        <f t="shared" si="21"/>
        <v>-1352.94</v>
      </c>
      <c r="T109"/>
      <c r="U109">
        <f t="shared" si="22"/>
        <v>0</v>
      </c>
      <c r="V109">
        <f t="shared" si="23"/>
        <v>0</v>
      </c>
      <c r="W109">
        <f t="shared" si="24"/>
        <v>-1352.94</v>
      </c>
      <c r="X109" t="s">
        <v>1302</v>
      </c>
    </row>
    <row r="110" spans="1:24" x14ac:dyDescent="0.25">
      <c r="A110" t="s">
        <v>1925</v>
      </c>
      <c r="B110" t="s">
        <v>1926</v>
      </c>
      <c r="C110" t="s">
        <v>1951</v>
      </c>
      <c r="D110" t="s">
        <v>59</v>
      </c>
      <c r="E110" t="s">
        <v>34</v>
      </c>
      <c r="F110" t="s">
        <v>1</v>
      </c>
      <c r="G110" t="s">
        <v>466</v>
      </c>
      <c r="H110" t="s">
        <v>434</v>
      </c>
      <c r="I110" t="s">
        <v>1</v>
      </c>
      <c r="J110">
        <v>144.55000000000001</v>
      </c>
      <c r="K110">
        <v>4500</v>
      </c>
      <c r="L110">
        <v>27.73</v>
      </c>
      <c r="M110">
        <v>55.919613259668509</v>
      </c>
      <c r="N110">
        <v>27.73</v>
      </c>
      <c r="O110">
        <v>55.46</v>
      </c>
      <c r="P110">
        <v>0</v>
      </c>
      <c r="Q110">
        <f t="shared" si="20"/>
        <v>55.46</v>
      </c>
      <c r="R110">
        <v>0</v>
      </c>
      <c r="S110">
        <f t="shared" si="21"/>
        <v>-55.46</v>
      </c>
      <c r="T110"/>
      <c r="U110">
        <f t="shared" si="22"/>
        <v>0</v>
      </c>
      <c r="V110">
        <f t="shared" si="23"/>
        <v>0</v>
      </c>
      <c r="W110">
        <f t="shared" si="24"/>
        <v>-55.46</v>
      </c>
      <c r="X110" t="s">
        <v>1302</v>
      </c>
    </row>
    <row r="111" spans="1:24" x14ac:dyDescent="0.25">
      <c r="A111" t="s">
        <v>1925</v>
      </c>
      <c r="B111" t="s">
        <v>1926</v>
      </c>
      <c r="C111" t="s">
        <v>1951</v>
      </c>
      <c r="D111" t="s">
        <v>59</v>
      </c>
      <c r="E111" t="s">
        <v>37</v>
      </c>
      <c r="F111" t="s">
        <v>1</v>
      </c>
      <c r="G111" t="s">
        <v>466</v>
      </c>
      <c r="H111" t="s">
        <v>437</v>
      </c>
      <c r="I111" t="s">
        <v>1</v>
      </c>
      <c r="J111">
        <v>10280</v>
      </c>
      <c r="K111">
        <v>17999.999600000399</v>
      </c>
      <c r="L111">
        <v>1652.78</v>
      </c>
      <c r="M111">
        <v>3332.9541436464087</v>
      </c>
      <c r="N111">
        <v>-384.24999999999977</v>
      </c>
      <c r="O111">
        <v>3305.56</v>
      </c>
      <c r="P111">
        <v>0</v>
      </c>
      <c r="Q111">
        <f t="shared" si="20"/>
        <v>3305.56</v>
      </c>
      <c r="R111">
        <v>0</v>
      </c>
      <c r="S111">
        <f t="shared" si="21"/>
        <v>-3305.56</v>
      </c>
      <c r="T111"/>
      <c r="U111">
        <f t="shared" si="22"/>
        <v>0</v>
      </c>
      <c r="V111">
        <f t="shared" si="23"/>
        <v>0</v>
      </c>
      <c r="W111">
        <f t="shared" si="24"/>
        <v>-3305.56</v>
      </c>
      <c r="X111" t="s">
        <v>1302</v>
      </c>
    </row>
    <row r="112" spans="1:24" x14ac:dyDescent="0.25">
      <c r="A112" t="s">
        <v>1925</v>
      </c>
      <c r="B112" t="s">
        <v>1926</v>
      </c>
      <c r="C112" t="s">
        <v>1951</v>
      </c>
      <c r="D112" t="s">
        <v>59</v>
      </c>
      <c r="E112" t="s">
        <v>41</v>
      </c>
      <c r="F112" t="s">
        <v>1</v>
      </c>
      <c r="G112" t="s">
        <v>466</v>
      </c>
      <c r="H112" t="s">
        <v>441</v>
      </c>
      <c r="I112" t="s">
        <v>1</v>
      </c>
      <c r="J112">
        <v>431.09</v>
      </c>
      <c r="K112">
        <v>500.00040000000001</v>
      </c>
      <c r="L112">
        <v>0</v>
      </c>
      <c r="M112">
        <v>0</v>
      </c>
      <c r="N112">
        <v>0</v>
      </c>
      <c r="O112"/>
      <c r="P112">
        <v>0</v>
      </c>
      <c r="Q112">
        <f t="shared" si="20"/>
        <v>0</v>
      </c>
      <c r="R112">
        <v>0</v>
      </c>
      <c r="S112">
        <f t="shared" si="21"/>
        <v>0</v>
      </c>
      <c r="T112">
        <v>0.03</v>
      </c>
      <c r="U112">
        <f t="shared" si="22"/>
        <v>0</v>
      </c>
      <c r="V112">
        <f t="shared" si="23"/>
        <v>0</v>
      </c>
      <c r="W112">
        <f t="shared" si="24"/>
        <v>0</v>
      </c>
      <c r="X112" t="s">
        <v>1302</v>
      </c>
    </row>
    <row r="113" spans="1:24" x14ac:dyDescent="0.25">
      <c r="A113" t="s">
        <v>1925</v>
      </c>
      <c r="B113" t="s">
        <v>1926</v>
      </c>
      <c r="C113" t="s">
        <v>1951</v>
      </c>
      <c r="D113" t="s">
        <v>59</v>
      </c>
      <c r="E113" t="s">
        <v>51</v>
      </c>
      <c r="F113" t="s">
        <v>51</v>
      </c>
      <c r="G113" t="s">
        <v>467</v>
      </c>
      <c r="H113"/>
      <c r="I113"/>
      <c r="J113">
        <v>21828.289999999997</v>
      </c>
      <c r="K113">
        <v>33052.499199999598</v>
      </c>
      <c r="L113">
        <v>2356.98</v>
      </c>
      <c r="M113">
        <v>4753.0259668508288</v>
      </c>
      <c r="N113">
        <v>319.95000000000027</v>
      </c>
      <c r="O113">
        <v>4713.96</v>
      </c>
      <c r="P113">
        <f>SUMIF($F$102:$F$112,"&lt;&gt;EV_*",$P$102:$P$112)</f>
        <v>0</v>
      </c>
      <c r="Q113">
        <f>SUMIF($F$102:$F$112,"&lt;&gt;EV_*",$Q$102:$Q$112)</f>
        <v>4713.96</v>
      </c>
      <c r="R113">
        <f>SUMIF($F$102:$F$112,"&lt;&gt;EV_*",$R$102:$R$112)</f>
        <v>0</v>
      </c>
      <c r="S113">
        <f>SUMIF($F$102:$F$112,"&lt;&gt;EV_*",$S$102:$S$112)</f>
        <v>-4713.96</v>
      </c>
      <c r="T113">
        <v>0</v>
      </c>
      <c r="U113">
        <f>SUMIF($F$102:$F$112,"&lt;&gt;EV_*",$U$102:$U$112)</f>
        <v>0</v>
      </c>
      <c r="V113">
        <f>SUMIF($F$102:$F$112,"&lt;&gt;EV_*",$V$102:$V$112)</f>
        <v>0</v>
      </c>
      <c r="W113">
        <f>SUMIF($F$102:$F$112,"&lt;&gt;EV_*",$W$102:$W$112)</f>
        <v>-4713.96</v>
      </c>
      <c r="X113">
        <f>SUMIF($F$102:$F$112,"&lt;&gt;EV_*",$X$102:$X$112)</f>
        <v>0</v>
      </c>
    </row>
    <row r="114" spans="1:24" x14ac:dyDescent="0.25">
      <c r="A114" t="s">
        <v>1952</v>
      </c>
      <c r="B114" t="s">
        <v>1953</v>
      </c>
      <c r="C114" t="s">
        <v>1954</v>
      </c>
      <c r="D114" t="s">
        <v>60</v>
      </c>
      <c r="E114" t="s">
        <v>5</v>
      </c>
      <c r="F114" t="s">
        <v>5</v>
      </c>
      <c r="G114" t="s">
        <v>468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</row>
    <row r="115" spans="1:24" x14ac:dyDescent="0.25">
      <c r="A115" t="s">
        <v>1952</v>
      </c>
      <c r="B115" t="s">
        <v>1953</v>
      </c>
      <c r="C115" t="s">
        <v>1954</v>
      </c>
      <c r="D115" t="s">
        <v>60</v>
      </c>
      <c r="E115" t="s">
        <v>61</v>
      </c>
      <c r="F115" t="s">
        <v>1</v>
      </c>
      <c r="G115" t="s">
        <v>469</v>
      </c>
      <c r="H115" t="s">
        <v>470</v>
      </c>
      <c r="I115" t="s">
        <v>1</v>
      </c>
      <c r="J115"/>
      <c r="K115"/>
      <c r="L115">
        <v>1200</v>
      </c>
      <c r="M115">
        <v>2419.8895027624308</v>
      </c>
      <c r="N115">
        <v>1200</v>
      </c>
      <c r="O115">
        <v>2400</v>
      </c>
      <c r="P115">
        <v>0</v>
      </c>
      <c r="Q115">
        <f t="shared" ref="Q115:Q137" si="25">O115+P115</f>
        <v>2400</v>
      </c>
      <c r="R115">
        <v>2400</v>
      </c>
      <c r="S115">
        <f t="shared" ref="S115:S137" si="26">IF(OR(LEFT(E115,2)="A_",LEFT(D115,5)="Total"),R115-Q115,"")</f>
        <v>0</v>
      </c>
      <c r="T115"/>
      <c r="U115">
        <f t="shared" ref="U115:U137" si="27">IFERROR(R115*T115,R115*0)</f>
        <v>0</v>
      </c>
      <c r="V115">
        <f t="shared" ref="V115:V137" si="28">IF(OR(LEFT(E115,2)="A_",LEFT(D115,5)="Total"),R115+U115,"")</f>
        <v>2400</v>
      </c>
      <c r="W115">
        <f t="shared" ref="W115:W137" si="29">IF(OR(LEFT(E115,2)="A_",LEFT(D115,5)="Total"),V115-Q115,"")</f>
        <v>0</v>
      </c>
      <c r="X115">
        <v>0</v>
      </c>
    </row>
    <row r="116" spans="1:24" x14ac:dyDescent="0.25">
      <c r="A116" t="s">
        <v>1952</v>
      </c>
      <c r="B116" t="s">
        <v>1953</v>
      </c>
      <c r="C116" t="s">
        <v>1954</v>
      </c>
      <c r="D116" t="s">
        <v>60</v>
      </c>
      <c r="E116" t="s">
        <v>8</v>
      </c>
      <c r="F116" t="s">
        <v>1</v>
      </c>
      <c r="G116" t="s">
        <v>469</v>
      </c>
      <c r="H116" t="s">
        <v>408</v>
      </c>
      <c r="I116" t="s">
        <v>1</v>
      </c>
      <c r="J116">
        <v>45437.5</v>
      </c>
      <c r="K116">
        <v>46126.441436464302</v>
      </c>
      <c r="L116">
        <v>11059.48</v>
      </c>
      <c r="M116">
        <v>22302.26629834254</v>
      </c>
      <c r="N116">
        <v>33623.319999999992</v>
      </c>
      <c r="O116">
        <v>22302.2662983425</v>
      </c>
      <c r="P116">
        <v>0</v>
      </c>
      <c r="Q116">
        <f t="shared" si="25"/>
        <v>22302.2662983425</v>
      </c>
      <c r="R116">
        <v>22302.2662983425</v>
      </c>
      <c r="S116">
        <f t="shared" si="26"/>
        <v>0</v>
      </c>
      <c r="T116"/>
      <c r="U116">
        <f t="shared" si="27"/>
        <v>0</v>
      </c>
      <c r="V116">
        <f t="shared" si="28"/>
        <v>22302.2662983425</v>
      </c>
      <c r="W116">
        <f t="shared" si="29"/>
        <v>0</v>
      </c>
      <c r="X116" t="s">
        <v>2236</v>
      </c>
    </row>
    <row r="117" spans="1:24" x14ac:dyDescent="0.25">
      <c r="A117" t="s">
        <v>1952</v>
      </c>
      <c r="B117" t="s">
        <v>1953</v>
      </c>
      <c r="C117" t="s">
        <v>1954</v>
      </c>
      <c r="D117" t="s">
        <v>60</v>
      </c>
      <c r="E117" t="s">
        <v>10</v>
      </c>
      <c r="F117" t="s">
        <v>1</v>
      </c>
      <c r="G117" t="s">
        <v>469</v>
      </c>
      <c r="H117" t="s">
        <v>410</v>
      </c>
      <c r="I117" t="s">
        <v>1</v>
      </c>
      <c r="J117">
        <v>247.5</v>
      </c>
      <c r="K117">
        <v>990</v>
      </c>
      <c r="L117">
        <v>165</v>
      </c>
      <c r="M117">
        <v>332.73480662983428</v>
      </c>
      <c r="N117">
        <v>330</v>
      </c>
      <c r="O117">
        <v>330</v>
      </c>
      <c r="P117">
        <v>0</v>
      </c>
      <c r="Q117">
        <f t="shared" si="25"/>
        <v>330</v>
      </c>
      <c r="R117">
        <v>330</v>
      </c>
      <c r="S117">
        <f t="shared" si="26"/>
        <v>0</v>
      </c>
      <c r="T117"/>
      <c r="U117">
        <f t="shared" si="27"/>
        <v>0</v>
      </c>
      <c r="V117">
        <f t="shared" si="28"/>
        <v>330</v>
      </c>
      <c r="W117">
        <f t="shared" si="29"/>
        <v>0</v>
      </c>
      <c r="X117">
        <v>0</v>
      </c>
    </row>
    <row r="118" spans="1:24" x14ac:dyDescent="0.25">
      <c r="A118" t="s">
        <v>1952</v>
      </c>
      <c r="B118" t="s">
        <v>1953</v>
      </c>
      <c r="C118" t="s">
        <v>1954</v>
      </c>
      <c r="D118" t="s">
        <v>60</v>
      </c>
      <c r="E118" t="s">
        <v>11</v>
      </c>
      <c r="F118" t="s">
        <v>1</v>
      </c>
      <c r="G118" t="s">
        <v>469</v>
      </c>
      <c r="H118" t="s">
        <v>411</v>
      </c>
      <c r="I118" t="s">
        <v>1</v>
      </c>
      <c r="J118">
        <v>6026.62</v>
      </c>
      <c r="K118">
        <v>11736</v>
      </c>
      <c r="L118">
        <v>3114.78</v>
      </c>
      <c r="M118">
        <v>6281.1861878453046</v>
      </c>
      <c r="N118">
        <v>6181.13</v>
      </c>
      <c r="O118">
        <v>6229.56</v>
      </c>
      <c r="P118">
        <v>0</v>
      </c>
      <c r="Q118">
        <f t="shared" si="25"/>
        <v>6229.56</v>
      </c>
      <c r="R118">
        <v>6229.56</v>
      </c>
      <c r="S118">
        <f t="shared" si="26"/>
        <v>0</v>
      </c>
      <c r="T118"/>
      <c r="U118">
        <f t="shared" si="27"/>
        <v>0</v>
      </c>
      <c r="V118">
        <f t="shared" si="28"/>
        <v>6229.56</v>
      </c>
      <c r="W118">
        <f t="shared" si="29"/>
        <v>0</v>
      </c>
      <c r="X118">
        <v>0</v>
      </c>
    </row>
    <row r="119" spans="1:24" x14ac:dyDescent="0.25">
      <c r="A119" t="s">
        <v>1952</v>
      </c>
      <c r="B119" t="s">
        <v>1953</v>
      </c>
      <c r="C119" t="s">
        <v>1954</v>
      </c>
      <c r="D119" t="s">
        <v>60</v>
      </c>
      <c r="E119" t="s">
        <v>12</v>
      </c>
      <c r="F119" t="s">
        <v>1</v>
      </c>
      <c r="G119" t="s">
        <v>469</v>
      </c>
      <c r="H119" t="s">
        <v>412</v>
      </c>
      <c r="I119" t="s">
        <v>1</v>
      </c>
      <c r="J119"/>
      <c r="K119"/>
      <c r="L119">
        <v>1211</v>
      </c>
      <c r="M119">
        <v>2442.0718232044201</v>
      </c>
      <c r="N119">
        <v>1211</v>
      </c>
      <c r="O119">
        <v>2422</v>
      </c>
      <c r="P119">
        <v>0</v>
      </c>
      <c r="Q119">
        <f t="shared" si="25"/>
        <v>2422</v>
      </c>
      <c r="R119">
        <v>2422</v>
      </c>
      <c r="S119">
        <f t="shared" si="26"/>
        <v>0</v>
      </c>
      <c r="T119"/>
      <c r="U119">
        <f t="shared" si="27"/>
        <v>0</v>
      </c>
      <c r="V119">
        <f t="shared" si="28"/>
        <v>2422</v>
      </c>
      <c r="W119">
        <f t="shared" si="29"/>
        <v>0</v>
      </c>
      <c r="X119">
        <v>0</v>
      </c>
    </row>
    <row r="120" spans="1:24" x14ac:dyDescent="0.25">
      <c r="A120" t="s">
        <v>1952</v>
      </c>
      <c r="B120" t="s">
        <v>1953</v>
      </c>
      <c r="C120" t="s">
        <v>1954</v>
      </c>
      <c r="D120" t="s">
        <v>60</v>
      </c>
      <c r="E120" t="s">
        <v>21</v>
      </c>
      <c r="F120" t="s">
        <v>1</v>
      </c>
      <c r="G120" t="s">
        <v>469</v>
      </c>
      <c r="H120" t="s">
        <v>421</v>
      </c>
      <c r="I120" t="s">
        <v>1</v>
      </c>
      <c r="J120">
        <v>20.22</v>
      </c>
      <c r="K120">
        <v>515.00000000010004</v>
      </c>
      <c r="L120">
        <v>263.89</v>
      </c>
      <c r="M120">
        <v>532.15386740331485</v>
      </c>
      <c r="N120">
        <v>263.89</v>
      </c>
      <c r="O120">
        <v>532.15386740329996</v>
      </c>
      <c r="P120">
        <v>0</v>
      </c>
      <c r="Q120">
        <f t="shared" si="25"/>
        <v>532.15386740329996</v>
      </c>
      <c r="R120">
        <v>532.15386740329996</v>
      </c>
      <c r="S120">
        <f t="shared" si="26"/>
        <v>0</v>
      </c>
      <c r="T120">
        <v>0.03</v>
      </c>
      <c r="U120">
        <f t="shared" si="27"/>
        <v>15.964616022098998</v>
      </c>
      <c r="V120">
        <f t="shared" si="28"/>
        <v>548.11848342539895</v>
      </c>
      <c r="W120">
        <f t="shared" si="29"/>
        <v>15.964616022098994</v>
      </c>
      <c r="X120">
        <v>0</v>
      </c>
    </row>
    <row r="121" spans="1:24" x14ac:dyDescent="0.25">
      <c r="A121" t="s">
        <v>1952</v>
      </c>
      <c r="B121" t="s">
        <v>1953</v>
      </c>
      <c r="C121" t="s">
        <v>1954</v>
      </c>
      <c r="D121" t="s">
        <v>60</v>
      </c>
      <c r="E121" t="s">
        <v>22</v>
      </c>
      <c r="F121" t="s">
        <v>1</v>
      </c>
      <c r="G121" t="s">
        <v>469</v>
      </c>
      <c r="H121" t="s">
        <v>422</v>
      </c>
      <c r="I121" t="s">
        <v>1</v>
      </c>
      <c r="J121">
        <v>712.38</v>
      </c>
      <c r="K121">
        <v>1552.5000000001</v>
      </c>
      <c r="L121">
        <v>234.81</v>
      </c>
      <c r="M121">
        <v>473.51187845303866</v>
      </c>
      <c r="N121">
        <v>234.81</v>
      </c>
      <c r="O121">
        <v>473.51187845300001</v>
      </c>
      <c r="P121">
        <v>0</v>
      </c>
      <c r="Q121">
        <f t="shared" si="25"/>
        <v>473.51187845300001</v>
      </c>
      <c r="R121">
        <v>473.51187845300001</v>
      </c>
      <c r="S121">
        <f t="shared" si="26"/>
        <v>0</v>
      </c>
      <c r="T121">
        <v>3.5000000000000003E-2</v>
      </c>
      <c r="U121">
        <f t="shared" si="27"/>
        <v>16.572915745855003</v>
      </c>
      <c r="V121">
        <f t="shared" si="28"/>
        <v>490.08479419885504</v>
      </c>
      <c r="W121">
        <f t="shared" si="29"/>
        <v>16.572915745855028</v>
      </c>
      <c r="X121">
        <v>0</v>
      </c>
    </row>
    <row r="122" spans="1:24" x14ac:dyDescent="0.25">
      <c r="A122" t="s">
        <v>1952</v>
      </c>
      <c r="B122" t="s">
        <v>1953</v>
      </c>
      <c r="C122" t="s">
        <v>1954</v>
      </c>
      <c r="D122" t="s">
        <v>60</v>
      </c>
      <c r="E122" t="s">
        <v>23</v>
      </c>
      <c r="F122" t="s">
        <v>1</v>
      </c>
      <c r="G122" t="s">
        <v>469</v>
      </c>
      <c r="H122" t="s">
        <v>423</v>
      </c>
      <c r="I122" t="s">
        <v>1</v>
      </c>
      <c r="J122">
        <v>6972.3</v>
      </c>
      <c r="K122">
        <v>20700</v>
      </c>
      <c r="L122">
        <v>0</v>
      </c>
      <c r="M122">
        <v>0</v>
      </c>
      <c r="N122">
        <v>0</v>
      </c>
      <c r="O122"/>
      <c r="P122">
        <v>0</v>
      </c>
      <c r="Q122">
        <f t="shared" si="25"/>
        <v>0</v>
      </c>
      <c r="R122">
        <v>0</v>
      </c>
      <c r="S122">
        <f t="shared" si="26"/>
        <v>0</v>
      </c>
      <c r="T122">
        <v>3.5000000000000003E-2</v>
      </c>
      <c r="U122">
        <f t="shared" si="27"/>
        <v>0</v>
      </c>
      <c r="V122">
        <f t="shared" si="28"/>
        <v>0</v>
      </c>
      <c r="W122">
        <f t="shared" si="29"/>
        <v>0</v>
      </c>
      <c r="X122">
        <v>0</v>
      </c>
    </row>
    <row r="123" spans="1:24" x14ac:dyDescent="0.25">
      <c r="A123" t="s">
        <v>1952</v>
      </c>
      <c r="B123" t="s">
        <v>1953</v>
      </c>
      <c r="C123" t="s">
        <v>1954</v>
      </c>
      <c r="D123" t="s">
        <v>60</v>
      </c>
      <c r="E123" t="s">
        <v>27</v>
      </c>
      <c r="F123" t="s">
        <v>1</v>
      </c>
      <c r="G123" t="s">
        <v>469</v>
      </c>
      <c r="H123" t="s">
        <v>427</v>
      </c>
      <c r="I123" t="s">
        <v>1</v>
      </c>
      <c r="J123"/>
      <c r="K123">
        <v>3999.9999999995998</v>
      </c>
      <c r="L123">
        <v>23296</v>
      </c>
      <c r="M123">
        <v>46978.121546961331</v>
      </c>
      <c r="N123">
        <v>23296</v>
      </c>
      <c r="O123">
        <v>46592</v>
      </c>
      <c r="P123">
        <v>0</v>
      </c>
      <c r="Q123">
        <f t="shared" si="25"/>
        <v>46592</v>
      </c>
      <c r="R123">
        <v>46592</v>
      </c>
      <c r="S123">
        <f t="shared" si="26"/>
        <v>0</v>
      </c>
      <c r="T123"/>
      <c r="U123">
        <f t="shared" si="27"/>
        <v>0</v>
      </c>
      <c r="V123">
        <f t="shared" si="28"/>
        <v>46592</v>
      </c>
      <c r="W123">
        <f t="shared" si="29"/>
        <v>0</v>
      </c>
      <c r="X123" t="s">
        <v>1332</v>
      </c>
    </row>
    <row r="124" spans="1:24" x14ac:dyDescent="0.25">
      <c r="A124" t="s">
        <v>1952</v>
      </c>
      <c r="B124" t="s">
        <v>1953</v>
      </c>
      <c r="C124" t="s">
        <v>1954</v>
      </c>
      <c r="D124" t="s">
        <v>60</v>
      </c>
      <c r="E124" t="s">
        <v>28</v>
      </c>
      <c r="F124" t="s">
        <v>1</v>
      </c>
      <c r="G124" t="s">
        <v>469</v>
      </c>
      <c r="H124" t="s">
        <v>428</v>
      </c>
      <c r="I124" t="s">
        <v>1</v>
      </c>
      <c r="J124"/>
      <c r="K124">
        <v>8000.0000000004002</v>
      </c>
      <c r="L124">
        <v>43.17</v>
      </c>
      <c r="M124">
        <v>87.055524861878467</v>
      </c>
      <c r="N124">
        <v>43.17</v>
      </c>
      <c r="O124">
        <v>86.34</v>
      </c>
      <c r="P124">
        <v>0</v>
      </c>
      <c r="Q124">
        <f t="shared" si="25"/>
        <v>86.34</v>
      </c>
      <c r="R124">
        <v>86.34</v>
      </c>
      <c r="S124">
        <f t="shared" si="26"/>
        <v>0</v>
      </c>
      <c r="T124"/>
      <c r="U124">
        <f t="shared" si="27"/>
        <v>0</v>
      </c>
      <c r="V124">
        <f t="shared" si="28"/>
        <v>86.34</v>
      </c>
      <c r="W124">
        <f t="shared" si="29"/>
        <v>0</v>
      </c>
      <c r="X124">
        <v>0</v>
      </c>
    </row>
    <row r="125" spans="1:24" x14ac:dyDescent="0.25">
      <c r="A125" t="s">
        <v>1952</v>
      </c>
      <c r="B125" t="s">
        <v>1953</v>
      </c>
      <c r="C125" t="s">
        <v>1954</v>
      </c>
      <c r="D125" t="s">
        <v>60</v>
      </c>
      <c r="E125" t="s">
        <v>29</v>
      </c>
      <c r="F125" t="s">
        <v>1</v>
      </c>
      <c r="G125" t="s">
        <v>469</v>
      </c>
      <c r="H125" t="s">
        <v>429</v>
      </c>
      <c r="I125" t="s">
        <v>1</v>
      </c>
      <c r="J125">
        <v>35560.76</v>
      </c>
      <c r="K125">
        <v>1650</v>
      </c>
      <c r="L125">
        <v>41473.74</v>
      </c>
      <c r="M125">
        <v>83634.890055248616</v>
      </c>
      <c r="N125">
        <v>61207.310000000005</v>
      </c>
      <c r="O125">
        <v>82947.48</v>
      </c>
      <c r="P125">
        <v>0</v>
      </c>
      <c r="Q125">
        <f t="shared" si="25"/>
        <v>82947.48</v>
      </c>
      <c r="R125">
        <v>20000</v>
      </c>
      <c r="S125">
        <f t="shared" si="26"/>
        <v>-62947.479999999996</v>
      </c>
      <c r="T125"/>
      <c r="U125">
        <f t="shared" si="27"/>
        <v>0</v>
      </c>
      <c r="V125">
        <f t="shared" si="28"/>
        <v>20000</v>
      </c>
      <c r="W125">
        <f t="shared" si="29"/>
        <v>-62947.479999999996</v>
      </c>
      <c r="X125">
        <v>0</v>
      </c>
    </row>
    <row r="126" spans="1:24" x14ac:dyDescent="0.25">
      <c r="A126" t="s">
        <v>1952</v>
      </c>
      <c r="B126" t="s">
        <v>1953</v>
      </c>
      <c r="C126" t="s">
        <v>1954</v>
      </c>
      <c r="D126" t="s">
        <v>60</v>
      </c>
      <c r="E126" t="s">
        <v>30</v>
      </c>
      <c r="F126" t="s">
        <v>1</v>
      </c>
      <c r="G126" t="s">
        <v>469</v>
      </c>
      <c r="H126" t="s">
        <v>430</v>
      </c>
      <c r="I126" t="s">
        <v>1</v>
      </c>
      <c r="J126">
        <v>1445.05</v>
      </c>
      <c r="K126">
        <v>2508</v>
      </c>
      <c r="L126">
        <v>575.4</v>
      </c>
      <c r="M126">
        <v>1160.3370165745857</v>
      </c>
      <c r="N126">
        <v>1420.45</v>
      </c>
      <c r="O126">
        <v>1150.8</v>
      </c>
      <c r="P126">
        <v>0</v>
      </c>
      <c r="Q126">
        <f t="shared" si="25"/>
        <v>1150.8</v>
      </c>
      <c r="R126">
        <v>1150.8</v>
      </c>
      <c r="S126">
        <f t="shared" si="26"/>
        <v>0</v>
      </c>
      <c r="T126"/>
      <c r="U126">
        <f t="shared" si="27"/>
        <v>0</v>
      </c>
      <c r="V126">
        <f t="shared" si="28"/>
        <v>1150.8</v>
      </c>
      <c r="W126">
        <f t="shared" si="29"/>
        <v>0</v>
      </c>
      <c r="X126">
        <v>0</v>
      </c>
    </row>
    <row r="127" spans="1:24" x14ac:dyDescent="0.25">
      <c r="A127" t="s">
        <v>1952</v>
      </c>
      <c r="B127" t="s">
        <v>1953</v>
      </c>
      <c r="C127" t="s">
        <v>1954</v>
      </c>
      <c r="D127" t="s">
        <v>60</v>
      </c>
      <c r="E127" t="s">
        <v>31</v>
      </c>
      <c r="F127" t="s">
        <v>1</v>
      </c>
      <c r="G127" t="s">
        <v>469</v>
      </c>
      <c r="H127" t="s">
        <v>431</v>
      </c>
      <c r="I127" t="s">
        <v>1</v>
      </c>
      <c r="J127">
        <v>8316</v>
      </c>
      <c r="K127">
        <v>16737</v>
      </c>
      <c r="L127">
        <v>0</v>
      </c>
      <c r="M127">
        <v>0</v>
      </c>
      <c r="N127">
        <v>0</v>
      </c>
      <c r="O127"/>
      <c r="P127">
        <v>0</v>
      </c>
      <c r="Q127">
        <f t="shared" si="25"/>
        <v>0</v>
      </c>
      <c r="R127">
        <v>0</v>
      </c>
      <c r="S127">
        <f t="shared" si="26"/>
        <v>0</v>
      </c>
      <c r="T127"/>
      <c r="U127">
        <f t="shared" si="27"/>
        <v>0</v>
      </c>
      <c r="V127">
        <f t="shared" si="28"/>
        <v>0</v>
      </c>
      <c r="W127">
        <f t="shared" si="29"/>
        <v>0</v>
      </c>
      <c r="X127">
        <v>0</v>
      </c>
    </row>
    <row r="128" spans="1:24" x14ac:dyDescent="0.25">
      <c r="A128" t="s">
        <v>1952</v>
      </c>
      <c r="B128" t="s">
        <v>1953</v>
      </c>
      <c r="C128" t="s">
        <v>1954</v>
      </c>
      <c r="D128" t="s">
        <v>60</v>
      </c>
      <c r="E128" t="s">
        <v>33</v>
      </c>
      <c r="F128" t="s">
        <v>1</v>
      </c>
      <c r="G128" t="s">
        <v>469</v>
      </c>
      <c r="H128" t="s">
        <v>433</v>
      </c>
      <c r="I128" t="s">
        <v>1</v>
      </c>
      <c r="J128">
        <v>1483.28</v>
      </c>
      <c r="K128">
        <v>53217.644987986801</v>
      </c>
      <c r="L128">
        <v>805.07</v>
      </c>
      <c r="M128">
        <v>1623.4837016574586</v>
      </c>
      <c r="N128">
        <v>1321.7800000000002</v>
      </c>
      <c r="O128">
        <v>1610.14</v>
      </c>
      <c r="P128">
        <v>0</v>
      </c>
      <c r="Q128">
        <f t="shared" si="25"/>
        <v>1610.14</v>
      </c>
      <c r="R128">
        <v>140000</v>
      </c>
      <c r="S128">
        <f t="shared" si="26"/>
        <v>138389.85999999999</v>
      </c>
      <c r="T128"/>
      <c r="U128">
        <f t="shared" si="27"/>
        <v>0</v>
      </c>
      <c r="V128">
        <f t="shared" si="28"/>
        <v>140000</v>
      </c>
      <c r="W128">
        <f t="shared" si="29"/>
        <v>138389.85999999999</v>
      </c>
      <c r="X128" t="s">
        <v>2237</v>
      </c>
    </row>
    <row r="129" spans="1:24" x14ac:dyDescent="0.25">
      <c r="A129" t="s">
        <v>1952</v>
      </c>
      <c r="B129" t="s">
        <v>1953</v>
      </c>
      <c r="C129" t="s">
        <v>1954</v>
      </c>
      <c r="D129" t="s">
        <v>60</v>
      </c>
      <c r="E129" t="s">
        <v>62</v>
      </c>
      <c r="F129" t="s">
        <v>1</v>
      </c>
      <c r="G129" t="s">
        <v>469</v>
      </c>
      <c r="H129" t="s">
        <v>471</v>
      </c>
      <c r="I129" t="s">
        <v>1</v>
      </c>
      <c r="J129">
        <v>118100.97</v>
      </c>
      <c r="K129">
        <v>122238</v>
      </c>
      <c r="L129">
        <v>49167</v>
      </c>
      <c r="M129">
        <v>99148.92265193371</v>
      </c>
      <c r="N129">
        <v>111010.98999999999</v>
      </c>
      <c r="O129">
        <v>98334</v>
      </c>
      <c r="P129">
        <v>0</v>
      </c>
      <c r="Q129">
        <f t="shared" si="25"/>
        <v>98334</v>
      </c>
      <c r="R129">
        <v>98334</v>
      </c>
      <c r="S129">
        <f t="shared" si="26"/>
        <v>0</v>
      </c>
      <c r="T129"/>
      <c r="U129">
        <f t="shared" si="27"/>
        <v>0</v>
      </c>
      <c r="V129">
        <f t="shared" si="28"/>
        <v>98334</v>
      </c>
      <c r="W129">
        <f t="shared" si="29"/>
        <v>0</v>
      </c>
      <c r="X129">
        <v>0</v>
      </c>
    </row>
    <row r="130" spans="1:24" x14ac:dyDescent="0.25">
      <c r="A130" t="s">
        <v>1952</v>
      </c>
      <c r="B130" t="s">
        <v>1953</v>
      </c>
      <c r="C130" t="s">
        <v>1954</v>
      </c>
      <c r="D130" t="s">
        <v>60</v>
      </c>
      <c r="E130" t="s">
        <v>37</v>
      </c>
      <c r="F130" t="s">
        <v>1</v>
      </c>
      <c r="G130" t="s">
        <v>469</v>
      </c>
      <c r="H130" t="s">
        <v>437</v>
      </c>
      <c r="I130" t="s">
        <v>1</v>
      </c>
      <c r="J130">
        <v>2762.16</v>
      </c>
      <c r="K130">
        <v>4906.1918414723996</v>
      </c>
      <c r="L130">
        <v>493.97</v>
      </c>
      <c r="M130">
        <v>996.12734806629828</v>
      </c>
      <c r="N130">
        <v>1589.05</v>
      </c>
      <c r="O130">
        <v>987.94</v>
      </c>
      <c r="P130">
        <v>0</v>
      </c>
      <c r="Q130">
        <f t="shared" si="25"/>
        <v>987.94</v>
      </c>
      <c r="R130">
        <v>200</v>
      </c>
      <c r="S130">
        <f t="shared" si="26"/>
        <v>-787.94</v>
      </c>
      <c r="T130"/>
      <c r="U130">
        <f t="shared" si="27"/>
        <v>0</v>
      </c>
      <c r="V130">
        <f t="shared" si="28"/>
        <v>200</v>
      </c>
      <c r="W130">
        <f t="shared" si="29"/>
        <v>-787.94</v>
      </c>
      <c r="X130">
        <v>0</v>
      </c>
    </row>
    <row r="131" spans="1:24" x14ac:dyDescent="0.25">
      <c r="A131" t="s">
        <v>1952</v>
      </c>
      <c r="B131" t="s">
        <v>1953</v>
      </c>
      <c r="C131" t="s">
        <v>1954</v>
      </c>
      <c r="D131" t="s">
        <v>60</v>
      </c>
      <c r="E131" t="s">
        <v>41</v>
      </c>
      <c r="F131" t="s">
        <v>1</v>
      </c>
      <c r="G131" t="s">
        <v>469</v>
      </c>
      <c r="H131" t="s">
        <v>441</v>
      </c>
      <c r="I131" t="s">
        <v>1</v>
      </c>
      <c r="J131">
        <v>1.35</v>
      </c>
      <c r="K131">
        <v>2.6518796964</v>
      </c>
      <c r="L131">
        <v>0</v>
      </c>
      <c r="M131">
        <v>0</v>
      </c>
      <c r="N131">
        <v>0</v>
      </c>
      <c r="O131"/>
      <c r="P131">
        <v>0</v>
      </c>
      <c r="Q131">
        <f t="shared" si="25"/>
        <v>0</v>
      </c>
      <c r="R131">
        <v>0</v>
      </c>
      <c r="S131">
        <f t="shared" si="26"/>
        <v>0</v>
      </c>
      <c r="T131">
        <v>0.03</v>
      </c>
      <c r="U131">
        <f t="shared" si="27"/>
        <v>0</v>
      </c>
      <c r="V131">
        <f t="shared" si="28"/>
        <v>0</v>
      </c>
      <c r="W131">
        <f t="shared" si="29"/>
        <v>0</v>
      </c>
      <c r="X131">
        <v>0</v>
      </c>
    </row>
    <row r="132" spans="1:24" x14ac:dyDescent="0.25">
      <c r="A132" t="s">
        <v>1952</v>
      </c>
      <c r="B132" t="s">
        <v>1953</v>
      </c>
      <c r="C132" t="s">
        <v>1954</v>
      </c>
      <c r="D132" t="s">
        <v>60</v>
      </c>
      <c r="E132" t="s">
        <v>42</v>
      </c>
      <c r="F132" t="s">
        <v>1</v>
      </c>
      <c r="G132" t="s">
        <v>469</v>
      </c>
      <c r="H132" t="s">
        <v>442</v>
      </c>
      <c r="I132" t="s">
        <v>1</v>
      </c>
      <c r="J132">
        <v>953</v>
      </c>
      <c r="K132">
        <v>1200</v>
      </c>
      <c r="L132">
        <v>119.99</v>
      </c>
      <c r="M132">
        <v>241.96878453038676</v>
      </c>
      <c r="N132">
        <v>119.99</v>
      </c>
      <c r="O132">
        <v>239.98</v>
      </c>
      <c r="P132">
        <v>0</v>
      </c>
      <c r="Q132">
        <f t="shared" si="25"/>
        <v>239.98</v>
      </c>
      <c r="R132">
        <v>239.98</v>
      </c>
      <c r="S132">
        <f t="shared" si="26"/>
        <v>0</v>
      </c>
      <c r="T132">
        <v>0.03</v>
      </c>
      <c r="U132">
        <f t="shared" si="27"/>
        <v>7.1993999999999998</v>
      </c>
      <c r="V132">
        <f t="shared" si="28"/>
        <v>247.17939999999999</v>
      </c>
      <c r="W132">
        <f t="shared" si="29"/>
        <v>7.1993999999999971</v>
      </c>
      <c r="X132">
        <v>0</v>
      </c>
    </row>
    <row r="133" spans="1:24" x14ac:dyDescent="0.25">
      <c r="A133" t="s">
        <v>1952</v>
      </c>
      <c r="B133" t="s">
        <v>1953</v>
      </c>
      <c r="C133" t="s">
        <v>1954</v>
      </c>
      <c r="D133" t="s">
        <v>60</v>
      </c>
      <c r="E133" t="s">
        <v>44</v>
      </c>
      <c r="F133" t="s">
        <v>1</v>
      </c>
      <c r="G133" t="s">
        <v>469</v>
      </c>
      <c r="H133" t="s">
        <v>444</v>
      </c>
      <c r="I133" t="s">
        <v>1</v>
      </c>
      <c r="J133">
        <v>500</v>
      </c>
      <c r="K133"/>
      <c r="L133">
        <v>0</v>
      </c>
      <c r="M133">
        <v>0</v>
      </c>
      <c r="N133">
        <v>0</v>
      </c>
      <c r="O133"/>
      <c r="P133">
        <v>0</v>
      </c>
      <c r="Q133">
        <f t="shared" si="25"/>
        <v>0</v>
      </c>
      <c r="R133">
        <v>0</v>
      </c>
      <c r="S133">
        <f t="shared" si="26"/>
        <v>0</v>
      </c>
      <c r="T133">
        <v>0.03</v>
      </c>
      <c r="U133">
        <f t="shared" si="27"/>
        <v>0</v>
      </c>
      <c r="V133">
        <f t="shared" si="28"/>
        <v>0</v>
      </c>
      <c r="W133">
        <f t="shared" si="29"/>
        <v>0</v>
      </c>
      <c r="X133">
        <v>0</v>
      </c>
    </row>
    <row r="134" spans="1:24" x14ac:dyDescent="0.25">
      <c r="A134" t="s">
        <v>1952</v>
      </c>
      <c r="B134" t="s">
        <v>1953</v>
      </c>
      <c r="C134" t="s">
        <v>1954</v>
      </c>
      <c r="D134" t="s">
        <v>60</v>
      </c>
      <c r="E134" t="s">
        <v>46</v>
      </c>
      <c r="F134" t="s">
        <v>1</v>
      </c>
      <c r="G134" t="s">
        <v>469</v>
      </c>
      <c r="H134" t="s">
        <v>446</v>
      </c>
      <c r="I134" t="s">
        <v>1</v>
      </c>
      <c r="J134">
        <v>489</v>
      </c>
      <c r="K134"/>
      <c r="L134">
        <v>0</v>
      </c>
      <c r="M134">
        <v>0</v>
      </c>
      <c r="N134">
        <v>144</v>
      </c>
      <c r="O134"/>
      <c r="P134">
        <v>0</v>
      </c>
      <c r="Q134">
        <f t="shared" si="25"/>
        <v>0</v>
      </c>
      <c r="R134">
        <v>0</v>
      </c>
      <c r="S134">
        <f t="shared" si="26"/>
        <v>0</v>
      </c>
      <c r="T134">
        <v>0.03</v>
      </c>
      <c r="U134">
        <f t="shared" si="27"/>
        <v>0</v>
      </c>
      <c r="V134">
        <f t="shared" si="28"/>
        <v>0</v>
      </c>
      <c r="W134">
        <f t="shared" si="29"/>
        <v>0</v>
      </c>
      <c r="X134">
        <v>0</v>
      </c>
    </row>
    <row r="135" spans="1:24" x14ac:dyDescent="0.25">
      <c r="A135" t="s">
        <v>1952</v>
      </c>
      <c r="B135" t="s">
        <v>1953</v>
      </c>
      <c r="C135" t="s">
        <v>1954</v>
      </c>
      <c r="D135" t="s">
        <v>60</v>
      </c>
      <c r="E135" t="s">
        <v>48</v>
      </c>
      <c r="F135" t="s">
        <v>1</v>
      </c>
      <c r="G135" t="s">
        <v>469</v>
      </c>
      <c r="H135" t="s">
        <v>448</v>
      </c>
      <c r="I135" t="s">
        <v>1</v>
      </c>
      <c r="J135">
        <v>977.41</v>
      </c>
      <c r="K135">
        <v>735</v>
      </c>
      <c r="L135">
        <v>547.98</v>
      </c>
      <c r="M135">
        <v>1105.042541436464</v>
      </c>
      <c r="N135">
        <v>1175.42</v>
      </c>
      <c r="O135">
        <v>1095.96</v>
      </c>
      <c r="P135">
        <v>0</v>
      </c>
      <c r="Q135">
        <f t="shared" si="25"/>
        <v>1095.96</v>
      </c>
      <c r="R135">
        <v>1095.96</v>
      </c>
      <c r="S135">
        <f t="shared" si="26"/>
        <v>0</v>
      </c>
      <c r="T135">
        <v>0.03</v>
      </c>
      <c r="U135">
        <f t="shared" si="27"/>
        <v>32.878799999999998</v>
      </c>
      <c r="V135">
        <f t="shared" si="28"/>
        <v>1128.8388</v>
      </c>
      <c r="W135">
        <f t="shared" si="29"/>
        <v>32.878799999999956</v>
      </c>
      <c r="X135">
        <v>0</v>
      </c>
    </row>
    <row r="136" spans="1:24" x14ac:dyDescent="0.25">
      <c r="A136" t="s">
        <v>1952</v>
      </c>
      <c r="B136" t="s">
        <v>1953</v>
      </c>
      <c r="C136" t="s">
        <v>1954</v>
      </c>
      <c r="D136" t="s">
        <v>60</v>
      </c>
      <c r="E136" t="s">
        <v>63</v>
      </c>
      <c r="F136" t="s">
        <v>1</v>
      </c>
      <c r="G136" t="s">
        <v>469</v>
      </c>
      <c r="H136" t="s">
        <v>472</v>
      </c>
      <c r="I136" t="s">
        <v>1</v>
      </c>
      <c r="J136">
        <v>12613.83</v>
      </c>
      <c r="K136"/>
      <c r="L136">
        <v>7705.77</v>
      </c>
      <c r="M136">
        <v>15539.25994475138</v>
      </c>
      <c r="N136">
        <v>15915.090000000002</v>
      </c>
      <c r="O136">
        <v>15539.2599447514</v>
      </c>
      <c r="P136">
        <v>0</v>
      </c>
      <c r="Q136">
        <f t="shared" si="25"/>
        <v>15539.2599447514</v>
      </c>
      <c r="R136">
        <v>15539.2599447514</v>
      </c>
      <c r="S136">
        <f t="shared" si="26"/>
        <v>0</v>
      </c>
      <c r="T136"/>
      <c r="U136">
        <f t="shared" si="27"/>
        <v>0</v>
      </c>
      <c r="V136">
        <f t="shared" si="28"/>
        <v>15539.2599447514</v>
      </c>
      <c r="W136">
        <f t="shared" si="29"/>
        <v>0</v>
      </c>
      <c r="X136" t="s">
        <v>2238</v>
      </c>
    </row>
    <row r="137" spans="1:24" x14ac:dyDescent="0.25">
      <c r="A137" t="s">
        <v>1952</v>
      </c>
      <c r="B137" t="s">
        <v>1953</v>
      </c>
      <c r="C137" t="s">
        <v>1954</v>
      </c>
      <c r="D137" t="s">
        <v>60</v>
      </c>
      <c r="E137" t="s">
        <v>50</v>
      </c>
      <c r="F137" t="s">
        <v>1</v>
      </c>
      <c r="G137" t="s">
        <v>469</v>
      </c>
      <c r="H137" t="s">
        <v>450</v>
      </c>
      <c r="I137" t="s">
        <v>1</v>
      </c>
      <c r="J137">
        <v>1254.8499999999999</v>
      </c>
      <c r="K137">
        <v>1220.0000000004</v>
      </c>
      <c r="L137">
        <v>544.21</v>
      </c>
      <c r="M137">
        <v>1097.4400552486188</v>
      </c>
      <c r="N137">
        <v>1204.4000000000001</v>
      </c>
      <c r="O137">
        <v>1097.4400552485999</v>
      </c>
      <c r="P137">
        <v>0</v>
      </c>
      <c r="Q137">
        <f t="shared" si="25"/>
        <v>1097.4400552485999</v>
      </c>
      <c r="R137">
        <v>1097.4400552485999</v>
      </c>
      <c r="S137">
        <f t="shared" si="26"/>
        <v>0</v>
      </c>
      <c r="T137"/>
      <c r="U137">
        <f t="shared" si="27"/>
        <v>0</v>
      </c>
      <c r="V137">
        <f t="shared" si="28"/>
        <v>1097.4400552485999</v>
      </c>
      <c r="W137">
        <f t="shared" si="29"/>
        <v>0</v>
      </c>
      <c r="X137">
        <v>0</v>
      </c>
    </row>
    <row r="138" spans="1:24" x14ac:dyDescent="0.25">
      <c r="A138" t="s">
        <v>1952</v>
      </c>
      <c r="B138" t="s">
        <v>1953</v>
      </c>
      <c r="C138" t="s">
        <v>1954</v>
      </c>
      <c r="D138" t="s">
        <v>60</v>
      </c>
      <c r="E138" t="s">
        <v>51</v>
      </c>
      <c r="F138" t="s">
        <v>51</v>
      </c>
      <c r="G138" t="s">
        <v>473</v>
      </c>
      <c r="H138"/>
      <c r="I138"/>
      <c r="J138">
        <v>243874.18000000002</v>
      </c>
      <c r="K138">
        <v>298034.43014562054</v>
      </c>
      <c r="L138">
        <v>142021.25999999998</v>
      </c>
      <c r="M138">
        <v>286396.46353591164</v>
      </c>
      <c r="N138">
        <v>261491.79999999996</v>
      </c>
      <c r="O138">
        <v>284370.83204419882</v>
      </c>
      <c r="P138">
        <f>SUMIF($F$114:$F$137,"&lt;&gt;EV_*",$P$114:$P$137)</f>
        <v>0</v>
      </c>
      <c r="Q138">
        <f>SUMIF($F$114:$F$137,"&lt;&gt;EV_*",$Q$114:$Q$137)</f>
        <v>284370.83204419882</v>
      </c>
      <c r="R138">
        <f>SUMIF($F$114:$F$137,"&lt;&gt;EV_*",$R$114:$R$137)</f>
        <v>359025.27204419882</v>
      </c>
      <c r="S138">
        <f>SUMIF($F$114:$F$137,"&lt;&gt;EV_*",$S$114:$S$137)</f>
        <v>74654.439999999988</v>
      </c>
      <c r="T138">
        <v>0</v>
      </c>
      <c r="U138">
        <f>SUMIF($F$114:$F$137,"&lt;&gt;EV_*",$U$114:$U$137)</f>
        <v>72.615731767954003</v>
      </c>
      <c r="V138">
        <f>SUMIF($F$114:$F$137,"&lt;&gt;EV_*",$V$114:$V$137)</f>
        <v>359097.88777596684</v>
      </c>
      <c r="W138">
        <f>SUMIF($F$114:$F$137,"&lt;&gt;EV_*",$W$114:$W$137)</f>
        <v>74727.055731767949</v>
      </c>
      <c r="X138">
        <f>SUMIF($F$114:$F$137,"&lt;&gt;EV_*",$X$114:$X$137)</f>
        <v>0</v>
      </c>
    </row>
    <row r="139" spans="1:24" x14ac:dyDescent="0.25">
      <c r="A139" t="s">
        <v>1940</v>
      </c>
      <c r="B139" t="s">
        <v>1946</v>
      </c>
      <c r="C139" t="s">
        <v>1955</v>
      </c>
      <c r="D139" t="s">
        <v>64</v>
      </c>
      <c r="E139" t="s">
        <v>5</v>
      </c>
      <c r="F139" t="s">
        <v>5</v>
      </c>
      <c r="G139" t="s">
        <v>474</v>
      </c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</row>
    <row r="140" spans="1:24" x14ac:dyDescent="0.25">
      <c r="A140" t="s">
        <v>1940</v>
      </c>
      <c r="B140" t="s">
        <v>1946</v>
      </c>
      <c r="C140" t="s">
        <v>1955</v>
      </c>
      <c r="D140" t="s">
        <v>64</v>
      </c>
      <c r="E140" t="s">
        <v>8</v>
      </c>
      <c r="F140" t="s">
        <v>1</v>
      </c>
      <c r="G140" t="s">
        <v>475</v>
      </c>
      <c r="H140" t="s">
        <v>408</v>
      </c>
      <c r="I140" t="s">
        <v>1</v>
      </c>
      <c r="J140">
        <v>1404</v>
      </c>
      <c r="K140"/>
      <c r="L140">
        <v>0</v>
      </c>
      <c r="M140">
        <v>0</v>
      </c>
      <c r="N140">
        <v>1404</v>
      </c>
      <c r="O140"/>
      <c r="P140">
        <v>0</v>
      </c>
      <c r="Q140">
        <f t="shared" ref="Q140:Q156" si="30">O140+P140</f>
        <v>0</v>
      </c>
      <c r="R140">
        <v>0</v>
      </c>
      <c r="S140">
        <f t="shared" ref="S140:S156" si="31">IF(OR(LEFT(E140,2)="A_",LEFT(D140,5)="Total"),R140-Q140,"")</f>
        <v>0</v>
      </c>
      <c r="T140"/>
      <c r="U140">
        <f t="shared" ref="U140:U156" si="32">IFERROR(R140*T140,R140*0)</f>
        <v>0</v>
      </c>
      <c r="V140">
        <f t="shared" ref="V140:V156" si="33">IF(OR(LEFT(E140,2)="A_",LEFT(D140,5)="Total"),R140+U140,"")</f>
        <v>0</v>
      </c>
      <c r="W140">
        <f t="shared" ref="W140:W156" si="34">IF(OR(LEFT(E140,2)="A_",LEFT(D140,5)="Total"),V140-Q140,"")</f>
        <v>0</v>
      </c>
      <c r="X140">
        <v>0</v>
      </c>
    </row>
    <row r="141" spans="1:24" x14ac:dyDescent="0.25">
      <c r="A141" t="s">
        <v>1940</v>
      </c>
      <c r="B141" t="s">
        <v>1946</v>
      </c>
      <c r="C141" t="s">
        <v>1955</v>
      </c>
      <c r="D141" t="s">
        <v>64</v>
      </c>
      <c r="E141" t="s">
        <v>11</v>
      </c>
      <c r="F141" t="s">
        <v>1</v>
      </c>
      <c r="G141" t="s">
        <v>475</v>
      </c>
      <c r="H141" t="s">
        <v>411</v>
      </c>
      <c r="I141" t="s">
        <v>1</v>
      </c>
      <c r="J141">
        <v>960.26</v>
      </c>
      <c r="K141">
        <v>869.31</v>
      </c>
      <c r="L141">
        <v>424.82</v>
      </c>
      <c r="M141">
        <v>856.68121546961322</v>
      </c>
      <c r="N141">
        <v>878.67000000000007</v>
      </c>
      <c r="O141">
        <v>849.64</v>
      </c>
      <c r="P141">
        <v>0</v>
      </c>
      <c r="Q141">
        <f t="shared" si="30"/>
        <v>849.64</v>
      </c>
      <c r="R141">
        <v>849.64</v>
      </c>
      <c r="S141">
        <f t="shared" si="31"/>
        <v>0</v>
      </c>
      <c r="T141"/>
      <c r="U141">
        <f t="shared" si="32"/>
        <v>0</v>
      </c>
      <c r="V141">
        <f t="shared" si="33"/>
        <v>849.64</v>
      </c>
      <c r="W141">
        <f t="shared" si="34"/>
        <v>0</v>
      </c>
      <c r="X141">
        <v>0</v>
      </c>
    </row>
    <row r="142" spans="1:24" x14ac:dyDescent="0.25">
      <c r="A142" t="s">
        <v>1940</v>
      </c>
      <c r="B142" t="s">
        <v>1946</v>
      </c>
      <c r="C142" t="s">
        <v>1955</v>
      </c>
      <c r="D142" t="s">
        <v>64</v>
      </c>
      <c r="E142" t="s">
        <v>65</v>
      </c>
      <c r="F142" t="s">
        <v>1</v>
      </c>
      <c r="G142" t="s">
        <v>475</v>
      </c>
      <c r="H142" t="s">
        <v>476</v>
      </c>
      <c r="I142" t="s">
        <v>1</v>
      </c>
      <c r="J142"/>
      <c r="K142"/>
      <c r="L142">
        <v>-14.66</v>
      </c>
      <c r="M142">
        <v>-29.562983425414366</v>
      </c>
      <c r="N142">
        <v>-14.66</v>
      </c>
      <c r="O142">
        <v>-29.481098901100001</v>
      </c>
      <c r="P142">
        <v>0</v>
      </c>
      <c r="Q142">
        <f t="shared" si="30"/>
        <v>-29.481098901100001</v>
      </c>
      <c r="R142">
        <v>-29.481098901100001</v>
      </c>
      <c r="S142">
        <f t="shared" si="31"/>
        <v>0</v>
      </c>
      <c r="T142"/>
      <c r="U142">
        <f t="shared" si="32"/>
        <v>0</v>
      </c>
      <c r="V142">
        <f t="shared" si="33"/>
        <v>-29.481098901100001</v>
      </c>
      <c r="W142">
        <f t="shared" si="34"/>
        <v>0</v>
      </c>
      <c r="X142">
        <v>0</v>
      </c>
    </row>
    <row r="143" spans="1:24" x14ac:dyDescent="0.25">
      <c r="A143" t="s">
        <v>1940</v>
      </c>
      <c r="B143" t="s">
        <v>1946</v>
      </c>
      <c r="C143" t="s">
        <v>1955</v>
      </c>
      <c r="D143" t="s">
        <v>64</v>
      </c>
      <c r="E143" t="s">
        <v>17</v>
      </c>
      <c r="F143" t="s">
        <v>1</v>
      </c>
      <c r="G143" t="s">
        <v>475</v>
      </c>
      <c r="H143" t="s">
        <v>417</v>
      </c>
      <c r="I143" t="s">
        <v>1</v>
      </c>
      <c r="J143">
        <v>-7.1</v>
      </c>
      <c r="K143">
        <v>-39.999999999800004</v>
      </c>
      <c r="L143">
        <v>-8.51</v>
      </c>
      <c r="M143">
        <v>-17.161049723756907</v>
      </c>
      <c r="N143">
        <v>-13.61</v>
      </c>
      <c r="O143">
        <v>-17.1135164835</v>
      </c>
      <c r="P143">
        <v>0</v>
      </c>
      <c r="Q143">
        <f t="shared" si="30"/>
        <v>-17.1135164835</v>
      </c>
      <c r="R143">
        <v>-17.1135164835</v>
      </c>
      <c r="S143">
        <f t="shared" si="31"/>
        <v>0</v>
      </c>
      <c r="T143"/>
      <c r="U143">
        <f t="shared" si="32"/>
        <v>0</v>
      </c>
      <c r="V143">
        <f t="shared" si="33"/>
        <v>-17.1135164835</v>
      </c>
      <c r="W143">
        <f t="shared" si="34"/>
        <v>0</v>
      </c>
      <c r="X143">
        <v>0</v>
      </c>
    </row>
    <row r="144" spans="1:24" x14ac:dyDescent="0.25">
      <c r="A144" t="s">
        <v>1940</v>
      </c>
      <c r="B144" t="s">
        <v>1946</v>
      </c>
      <c r="C144" t="s">
        <v>1955</v>
      </c>
      <c r="D144" t="s">
        <v>64</v>
      </c>
      <c r="E144" t="s">
        <v>18</v>
      </c>
      <c r="F144" t="s">
        <v>1</v>
      </c>
      <c r="G144" t="s">
        <v>475</v>
      </c>
      <c r="H144" t="s">
        <v>418</v>
      </c>
      <c r="I144" t="s">
        <v>1</v>
      </c>
      <c r="J144">
        <v>5649.27</v>
      </c>
      <c r="K144">
        <v>2158.7431121546001</v>
      </c>
      <c r="L144">
        <v>900.02</v>
      </c>
      <c r="M144">
        <v>1814.957458563536</v>
      </c>
      <c r="N144">
        <v>5655.4400000000005</v>
      </c>
      <c r="O144">
        <v>1809.9303296702999</v>
      </c>
      <c r="P144">
        <v>0</v>
      </c>
      <c r="Q144">
        <f t="shared" si="30"/>
        <v>1809.9303296702999</v>
      </c>
      <c r="R144">
        <v>1809.9303296702999</v>
      </c>
      <c r="S144">
        <f t="shared" si="31"/>
        <v>0</v>
      </c>
      <c r="T144">
        <v>0.02</v>
      </c>
      <c r="U144">
        <f t="shared" si="32"/>
        <v>36.198606593405998</v>
      </c>
      <c r="V144">
        <f t="shared" si="33"/>
        <v>1846.1289362637058</v>
      </c>
      <c r="W144">
        <f t="shared" si="34"/>
        <v>36.198606593405884</v>
      </c>
      <c r="X144">
        <v>0</v>
      </c>
    </row>
    <row r="145" spans="1:24" x14ac:dyDescent="0.25">
      <c r="A145" t="s">
        <v>1940</v>
      </c>
      <c r="B145" t="s">
        <v>1946</v>
      </c>
      <c r="C145" t="s">
        <v>1955</v>
      </c>
      <c r="D145" t="s">
        <v>64</v>
      </c>
      <c r="E145" t="s">
        <v>57</v>
      </c>
      <c r="F145" t="s">
        <v>1</v>
      </c>
      <c r="G145" t="s">
        <v>475</v>
      </c>
      <c r="H145" t="s">
        <v>462</v>
      </c>
      <c r="I145" t="s">
        <v>1</v>
      </c>
      <c r="J145">
        <v>888.98</v>
      </c>
      <c r="K145">
        <v>1065.9886584364999</v>
      </c>
      <c r="L145">
        <v>468.53</v>
      </c>
      <c r="M145">
        <v>944.82569060773471</v>
      </c>
      <c r="N145">
        <v>689.82</v>
      </c>
      <c r="O145">
        <v>942.20868131869997</v>
      </c>
      <c r="P145">
        <v>0</v>
      </c>
      <c r="Q145">
        <f t="shared" si="30"/>
        <v>942.20868131869997</v>
      </c>
      <c r="R145">
        <v>942.20868131869997</v>
      </c>
      <c r="S145">
        <f t="shared" si="31"/>
        <v>0</v>
      </c>
      <c r="T145">
        <v>0.04</v>
      </c>
      <c r="U145">
        <f t="shared" si="32"/>
        <v>37.688347252748002</v>
      </c>
      <c r="V145">
        <f t="shared" si="33"/>
        <v>979.897028571448</v>
      </c>
      <c r="W145">
        <f t="shared" si="34"/>
        <v>37.688347252748031</v>
      </c>
      <c r="X145">
        <v>0</v>
      </c>
    </row>
    <row r="146" spans="1:24" x14ac:dyDescent="0.25">
      <c r="A146" t="s">
        <v>1940</v>
      </c>
      <c r="B146" t="s">
        <v>1946</v>
      </c>
      <c r="C146" t="s">
        <v>1955</v>
      </c>
      <c r="D146" t="s">
        <v>64</v>
      </c>
      <c r="E146" t="s">
        <v>19</v>
      </c>
      <c r="F146" t="s">
        <v>1</v>
      </c>
      <c r="G146" t="s">
        <v>475</v>
      </c>
      <c r="H146" t="s">
        <v>419</v>
      </c>
      <c r="I146" t="s">
        <v>1</v>
      </c>
      <c r="J146"/>
      <c r="K146"/>
      <c r="L146">
        <v>380.49</v>
      </c>
      <c r="M146">
        <v>767.28646408839768</v>
      </c>
      <c r="N146">
        <v>380.49</v>
      </c>
      <c r="O146">
        <v>765.16120879120001</v>
      </c>
      <c r="P146">
        <v>0</v>
      </c>
      <c r="Q146">
        <f t="shared" si="30"/>
        <v>765.16120879120001</v>
      </c>
      <c r="R146">
        <v>765.16120879120001</v>
      </c>
      <c r="S146">
        <f t="shared" si="31"/>
        <v>0</v>
      </c>
      <c r="T146">
        <v>0.02</v>
      </c>
      <c r="U146">
        <f t="shared" si="32"/>
        <v>15.303224175824001</v>
      </c>
      <c r="V146">
        <f t="shared" si="33"/>
        <v>780.46443296702398</v>
      </c>
      <c r="W146">
        <f t="shared" si="34"/>
        <v>15.303224175823971</v>
      </c>
      <c r="X146">
        <v>0</v>
      </c>
    </row>
    <row r="147" spans="1:24" x14ac:dyDescent="0.25">
      <c r="A147" t="s">
        <v>1940</v>
      </c>
      <c r="B147" t="s">
        <v>1946</v>
      </c>
      <c r="C147" t="s">
        <v>1955</v>
      </c>
      <c r="D147" t="s">
        <v>64</v>
      </c>
      <c r="E147" t="s">
        <v>20</v>
      </c>
      <c r="F147" t="s">
        <v>1</v>
      </c>
      <c r="G147" t="s">
        <v>475</v>
      </c>
      <c r="H147" t="s">
        <v>420</v>
      </c>
      <c r="I147" t="s">
        <v>1</v>
      </c>
      <c r="J147">
        <v>419.78</v>
      </c>
      <c r="K147"/>
      <c r="L147">
        <v>5.36</v>
      </c>
      <c r="M147">
        <v>10.808839779005526</v>
      </c>
      <c r="N147">
        <v>411.77000000000004</v>
      </c>
      <c r="O147">
        <v>10.7789010989</v>
      </c>
      <c r="P147">
        <v>0</v>
      </c>
      <c r="Q147">
        <f t="shared" si="30"/>
        <v>10.7789010989</v>
      </c>
      <c r="R147">
        <v>10.7789010989</v>
      </c>
      <c r="S147">
        <f t="shared" si="31"/>
        <v>0</v>
      </c>
      <c r="T147">
        <v>0.04</v>
      </c>
      <c r="U147">
        <f t="shared" si="32"/>
        <v>0.43115604395600005</v>
      </c>
      <c r="V147">
        <f t="shared" si="33"/>
        <v>11.210057142856</v>
      </c>
      <c r="W147">
        <f t="shared" si="34"/>
        <v>0.43115604395599938</v>
      </c>
      <c r="X147">
        <v>0</v>
      </c>
    </row>
    <row r="148" spans="1:24" x14ac:dyDescent="0.25">
      <c r="A148" t="s">
        <v>1940</v>
      </c>
      <c r="B148" t="s">
        <v>1946</v>
      </c>
      <c r="C148" t="s">
        <v>1955</v>
      </c>
      <c r="D148" t="s">
        <v>64</v>
      </c>
      <c r="E148" t="s">
        <v>21</v>
      </c>
      <c r="F148" t="s">
        <v>1</v>
      </c>
      <c r="G148" t="s">
        <v>475</v>
      </c>
      <c r="H148" t="s">
        <v>421</v>
      </c>
      <c r="I148" t="s">
        <v>1</v>
      </c>
      <c r="J148">
        <v>3981.99</v>
      </c>
      <c r="K148">
        <v>2428.2700000002001</v>
      </c>
      <c r="L148">
        <v>1606.99</v>
      </c>
      <c r="M148">
        <v>3240.6151933701658</v>
      </c>
      <c r="N148">
        <v>4230.68</v>
      </c>
      <c r="O148">
        <v>3240.6151933701999</v>
      </c>
      <c r="P148">
        <v>0</v>
      </c>
      <c r="Q148">
        <f t="shared" si="30"/>
        <v>3240.6151933701999</v>
      </c>
      <c r="R148">
        <v>3240.6151933701999</v>
      </c>
      <c r="S148">
        <f t="shared" si="31"/>
        <v>0</v>
      </c>
      <c r="T148">
        <v>0.03</v>
      </c>
      <c r="U148">
        <f t="shared" si="32"/>
        <v>97.218455801105989</v>
      </c>
      <c r="V148">
        <f t="shared" si="33"/>
        <v>3337.8336491713058</v>
      </c>
      <c r="W148">
        <f t="shared" si="34"/>
        <v>97.218455801105847</v>
      </c>
      <c r="X148">
        <v>0</v>
      </c>
    </row>
    <row r="149" spans="1:24" x14ac:dyDescent="0.25">
      <c r="A149" t="s">
        <v>1940</v>
      </c>
      <c r="B149" t="s">
        <v>1946</v>
      </c>
      <c r="C149" t="s">
        <v>1955</v>
      </c>
      <c r="D149" t="s">
        <v>64</v>
      </c>
      <c r="E149" t="s">
        <v>66</v>
      </c>
      <c r="F149" t="s">
        <v>1</v>
      </c>
      <c r="G149" t="s">
        <v>475</v>
      </c>
      <c r="H149" t="s">
        <v>477</v>
      </c>
      <c r="I149" t="s">
        <v>1</v>
      </c>
      <c r="J149">
        <v>75.25</v>
      </c>
      <c r="K149">
        <v>62.100000000100003</v>
      </c>
      <c r="L149">
        <v>38.369999999999997</v>
      </c>
      <c r="M149">
        <v>77.375966850828732</v>
      </c>
      <c r="N149">
        <v>84.41</v>
      </c>
      <c r="O149">
        <v>77.375966850799998</v>
      </c>
      <c r="P149">
        <v>0</v>
      </c>
      <c r="Q149">
        <f t="shared" si="30"/>
        <v>77.375966850799998</v>
      </c>
      <c r="R149">
        <v>77.375966850799998</v>
      </c>
      <c r="S149">
        <f t="shared" si="31"/>
        <v>0</v>
      </c>
      <c r="T149">
        <v>3.5000000000000003E-2</v>
      </c>
      <c r="U149">
        <f t="shared" si="32"/>
        <v>2.7081588397780001</v>
      </c>
      <c r="V149">
        <f t="shared" si="33"/>
        <v>80.084125690577991</v>
      </c>
      <c r="W149">
        <f t="shared" si="34"/>
        <v>2.7081588397779939</v>
      </c>
      <c r="X149">
        <v>0</v>
      </c>
    </row>
    <row r="150" spans="1:24" x14ac:dyDescent="0.25">
      <c r="A150" t="s">
        <v>1940</v>
      </c>
      <c r="B150" t="s">
        <v>1946</v>
      </c>
      <c r="C150" t="s">
        <v>1955</v>
      </c>
      <c r="D150" t="s">
        <v>64</v>
      </c>
      <c r="E150" t="s">
        <v>22</v>
      </c>
      <c r="F150" t="s">
        <v>1</v>
      </c>
      <c r="G150" t="s">
        <v>475</v>
      </c>
      <c r="H150" t="s">
        <v>422</v>
      </c>
      <c r="I150" t="s">
        <v>1</v>
      </c>
      <c r="J150">
        <v>2220.27</v>
      </c>
      <c r="K150">
        <v>2152.8000000001002</v>
      </c>
      <c r="L150">
        <v>588.12</v>
      </c>
      <c r="M150">
        <v>1185.9878453038673</v>
      </c>
      <c r="N150">
        <v>1768.98</v>
      </c>
      <c r="O150">
        <v>1185.9878453039</v>
      </c>
      <c r="P150">
        <v>0</v>
      </c>
      <c r="Q150">
        <f t="shared" si="30"/>
        <v>1185.9878453039</v>
      </c>
      <c r="R150">
        <v>1185.9878453039</v>
      </c>
      <c r="S150">
        <f t="shared" si="31"/>
        <v>0</v>
      </c>
      <c r="T150">
        <v>3.5000000000000003E-2</v>
      </c>
      <c r="U150">
        <f t="shared" si="32"/>
        <v>41.509574585636507</v>
      </c>
      <c r="V150">
        <f t="shared" si="33"/>
        <v>1227.4974198895366</v>
      </c>
      <c r="W150">
        <f t="shared" si="34"/>
        <v>41.509574585636528</v>
      </c>
      <c r="X150">
        <v>0</v>
      </c>
    </row>
    <row r="151" spans="1:24" x14ac:dyDescent="0.25">
      <c r="A151" t="s">
        <v>1940</v>
      </c>
      <c r="B151" t="s">
        <v>1946</v>
      </c>
      <c r="C151" t="s">
        <v>1955</v>
      </c>
      <c r="D151" t="s">
        <v>64</v>
      </c>
      <c r="E151" t="s">
        <v>23</v>
      </c>
      <c r="F151" t="s">
        <v>1</v>
      </c>
      <c r="G151" t="s">
        <v>475</v>
      </c>
      <c r="H151" t="s">
        <v>423</v>
      </c>
      <c r="I151" t="s">
        <v>1</v>
      </c>
      <c r="J151">
        <v>136</v>
      </c>
      <c r="K151">
        <v>279.45000000020002</v>
      </c>
      <c r="L151">
        <v>0</v>
      </c>
      <c r="M151">
        <v>0</v>
      </c>
      <c r="N151">
        <v>0</v>
      </c>
      <c r="O151"/>
      <c r="P151">
        <v>0</v>
      </c>
      <c r="Q151">
        <f t="shared" si="30"/>
        <v>0</v>
      </c>
      <c r="R151">
        <v>0</v>
      </c>
      <c r="S151">
        <f t="shared" si="31"/>
        <v>0</v>
      </c>
      <c r="T151">
        <v>3.5000000000000003E-2</v>
      </c>
      <c r="U151">
        <f t="shared" si="32"/>
        <v>0</v>
      </c>
      <c r="V151">
        <f t="shared" si="33"/>
        <v>0</v>
      </c>
      <c r="W151">
        <f t="shared" si="34"/>
        <v>0</v>
      </c>
      <c r="X151">
        <v>0</v>
      </c>
    </row>
    <row r="152" spans="1:24" x14ac:dyDescent="0.25">
      <c r="A152" t="s">
        <v>1940</v>
      </c>
      <c r="B152" t="s">
        <v>1946</v>
      </c>
      <c r="C152" t="s">
        <v>1955</v>
      </c>
      <c r="D152" t="s">
        <v>64</v>
      </c>
      <c r="E152" t="s">
        <v>28</v>
      </c>
      <c r="F152" t="s">
        <v>1</v>
      </c>
      <c r="G152" t="s">
        <v>475</v>
      </c>
      <c r="H152" t="s">
        <v>428</v>
      </c>
      <c r="I152" t="s">
        <v>1</v>
      </c>
      <c r="J152">
        <v>1895.65</v>
      </c>
      <c r="K152">
        <v>350.97999999960001</v>
      </c>
      <c r="L152">
        <v>322.45</v>
      </c>
      <c r="M152">
        <v>650.24447513812152</v>
      </c>
      <c r="N152">
        <v>1975.6899999999998</v>
      </c>
      <c r="O152">
        <v>644.9</v>
      </c>
      <c r="P152">
        <v>0</v>
      </c>
      <c r="Q152">
        <f t="shared" si="30"/>
        <v>644.9</v>
      </c>
      <c r="R152">
        <v>644.9</v>
      </c>
      <c r="S152">
        <f t="shared" si="31"/>
        <v>0</v>
      </c>
      <c r="T152"/>
      <c r="U152">
        <f t="shared" si="32"/>
        <v>0</v>
      </c>
      <c r="V152">
        <f t="shared" si="33"/>
        <v>644.9</v>
      </c>
      <c r="W152">
        <f t="shared" si="34"/>
        <v>0</v>
      </c>
      <c r="X152">
        <v>0</v>
      </c>
    </row>
    <row r="153" spans="1:24" x14ac:dyDescent="0.25">
      <c r="A153" t="s">
        <v>1940</v>
      </c>
      <c r="B153" t="s">
        <v>1946</v>
      </c>
      <c r="C153" t="s">
        <v>1955</v>
      </c>
      <c r="D153" t="s">
        <v>64</v>
      </c>
      <c r="E153" t="s">
        <v>41</v>
      </c>
      <c r="F153" t="s">
        <v>1</v>
      </c>
      <c r="G153" t="s">
        <v>475</v>
      </c>
      <c r="H153" t="s">
        <v>441</v>
      </c>
      <c r="I153" t="s">
        <v>1</v>
      </c>
      <c r="J153">
        <v>110.48</v>
      </c>
      <c r="K153">
        <v>80.754647661600004</v>
      </c>
      <c r="L153">
        <v>3.8</v>
      </c>
      <c r="M153">
        <v>7.6629834254143647</v>
      </c>
      <c r="N153">
        <v>73.17</v>
      </c>
      <c r="O153">
        <v>7.6</v>
      </c>
      <c r="P153">
        <v>0</v>
      </c>
      <c r="Q153">
        <f t="shared" si="30"/>
        <v>7.6</v>
      </c>
      <c r="R153">
        <v>7.6</v>
      </c>
      <c r="S153">
        <f t="shared" si="31"/>
        <v>0</v>
      </c>
      <c r="T153">
        <v>0.03</v>
      </c>
      <c r="U153">
        <f t="shared" si="32"/>
        <v>0.22799999999999998</v>
      </c>
      <c r="V153">
        <f t="shared" si="33"/>
        <v>7.8279999999999994</v>
      </c>
      <c r="W153">
        <f t="shared" si="34"/>
        <v>0.22799999999999976</v>
      </c>
      <c r="X153">
        <v>0</v>
      </c>
    </row>
    <row r="154" spans="1:24" x14ac:dyDescent="0.25">
      <c r="A154" t="s">
        <v>1940</v>
      </c>
      <c r="B154" t="s">
        <v>1946</v>
      </c>
      <c r="C154" t="s">
        <v>1955</v>
      </c>
      <c r="D154" t="s">
        <v>64</v>
      </c>
      <c r="E154" t="s">
        <v>42</v>
      </c>
      <c r="F154" t="s">
        <v>1</v>
      </c>
      <c r="G154" t="s">
        <v>475</v>
      </c>
      <c r="H154" t="s">
        <v>442</v>
      </c>
      <c r="I154" t="s">
        <v>1</v>
      </c>
      <c r="J154"/>
      <c r="K154">
        <v>675.99999999960005</v>
      </c>
      <c r="L154">
        <v>0</v>
      </c>
      <c r="M154">
        <v>0</v>
      </c>
      <c r="N154">
        <v>0</v>
      </c>
      <c r="O154"/>
      <c r="P154">
        <v>0</v>
      </c>
      <c r="Q154">
        <f t="shared" si="30"/>
        <v>0</v>
      </c>
      <c r="R154">
        <v>0</v>
      </c>
      <c r="S154">
        <f t="shared" si="31"/>
        <v>0</v>
      </c>
      <c r="T154">
        <v>0.03</v>
      </c>
      <c r="U154">
        <f t="shared" si="32"/>
        <v>0</v>
      </c>
      <c r="V154">
        <f t="shared" si="33"/>
        <v>0</v>
      </c>
      <c r="W154">
        <f t="shared" si="34"/>
        <v>0</v>
      </c>
      <c r="X154">
        <v>0</v>
      </c>
    </row>
    <row r="155" spans="1:24" x14ac:dyDescent="0.25">
      <c r="A155" t="s">
        <v>1940</v>
      </c>
      <c r="B155" t="s">
        <v>1946</v>
      </c>
      <c r="C155" t="s">
        <v>1955</v>
      </c>
      <c r="D155" t="s">
        <v>64</v>
      </c>
      <c r="E155" t="s">
        <v>67</v>
      </c>
      <c r="F155" t="s">
        <v>1</v>
      </c>
      <c r="G155" t="s">
        <v>475</v>
      </c>
      <c r="H155" t="s">
        <v>478</v>
      </c>
      <c r="I155" t="s">
        <v>1</v>
      </c>
      <c r="J155">
        <v>3888.8</v>
      </c>
      <c r="K155"/>
      <c r="L155">
        <v>0</v>
      </c>
      <c r="M155">
        <v>0</v>
      </c>
      <c r="N155">
        <v>0</v>
      </c>
      <c r="O155"/>
      <c r="P155">
        <v>0</v>
      </c>
      <c r="Q155">
        <f t="shared" si="30"/>
        <v>0</v>
      </c>
      <c r="R155">
        <v>0</v>
      </c>
      <c r="S155">
        <f t="shared" si="31"/>
        <v>0</v>
      </c>
      <c r="T155">
        <v>0.03</v>
      </c>
      <c r="U155">
        <f t="shared" si="32"/>
        <v>0</v>
      </c>
      <c r="V155">
        <f t="shared" si="33"/>
        <v>0</v>
      </c>
      <c r="W155">
        <f t="shared" si="34"/>
        <v>0</v>
      </c>
      <c r="X155">
        <v>0</v>
      </c>
    </row>
    <row r="156" spans="1:24" x14ac:dyDescent="0.25">
      <c r="A156" t="s">
        <v>1940</v>
      </c>
      <c r="B156" t="s">
        <v>1946</v>
      </c>
      <c r="C156" t="s">
        <v>1955</v>
      </c>
      <c r="D156" t="s">
        <v>64</v>
      </c>
      <c r="E156" t="s">
        <v>48</v>
      </c>
      <c r="F156" t="s">
        <v>1</v>
      </c>
      <c r="G156" t="s">
        <v>475</v>
      </c>
      <c r="H156" t="s">
        <v>448</v>
      </c>
      <c r="I156" t="s">
        <v>1</v>
      </c>
      <c r="J156">
        <v>42.78</v>
      </c>
      <c r="K156"/>
      <c r="L156">
        <v>0</v>
      </c>
      <c r="M156">
        <v>0</v>
      </c>
      <c r="N156">
        <v>42.78</v>
      </c>
      <c r="O156"/>
      <c r="P156">
        <v>0</v>
      </c>
      <c r="Q156">
        <f t="shared" si="30"/>
        <v>0</v>
      </c>
      <c r="R156">
        <v>0</v>
      </c>
      <c r="S156">
        <f t="shared" si="31"/>
        <v>0</v>
      </c>
      <c r="T156">
        <v>0.03</v>
      </c>
      <c r="U156">
        <f t="shared" si="32"/>
        <v>0</v>
      </c>
      <c r="V156">
        <f t="shared" si="33"/>
        <v>0</v>
      </c>
      <c r="W156">
        <f t="shared" si="34"/>
        <v>0</v>
      </c>
      <c r="X156">
        <v>0</v>
      </c>
    </row>
    <row r="157" spans="1:24" x14ac:dyDescent="0.25">
      <c r="A157" t="s">
        <v>1940</v>
      </c>
      <c r="B157" t="s">
        <v>1946</v>
      </c>
      <c r="C157" t="s">
        <v>1955</v>
      </c>
      <c r="D157" t="s">
        <v>64</v>
      </c>
      <c r="E157" t="s">
        <v>51</v>
      </c>
      <c r="F157" t="s">
        <v>51</v>
      </c>
      <c r="G157" t="s">
        <v>479</v>
      </c>
      <c r="H157"/>
      <c r="I157"/>
      <c r="J157">
        <v>21666.41</v>
      </c>
      <c r="K157">
        <v>10084.396418252702</v>
      </c>
      <c r="L157">
        <v>4715.78</v>
      </c>
      <c r="M157">
        <v>9509.7220994475138</v>
      </c>
      <c r="N157">
        <v>17567.629999999997</v>
      </c>
      <c r="O157">
        <v>9487.6035110193989</v>
      </c>
      <c r="P157">
        <f>SUMIF($F$139:$F$156,"&lt;&gt;EV_*",$P$139:$P$156)</f>
        <v>0</v>
      </c>
      <c r="Q157">
        <f>SUMIF($F$139:$F$156,"&lt;&gt;EV_*",$Q$139:$Q$156)</f>
        <v>9487.6035110193989</v>
      </c>
      <c r="R157">
        <f>SUMIF($F$139:$F$156,"&lt;&gt;EV_*",$R$139:$R$156)</f>
        <v>9487.6035110193989</v>
      </c>
      <c r="S157">
        <f>SUMIF($F$139:$F$156,"&lt;&gt;EV_*",$S$139:$S$156)</f>
        <v>0</v>
      </c>
      <c r="T157">
        <v>0</v>
      </c>
      <c r="U157">
        <f>SUMIF($F$139:$F$156,"&lt;&gt;EV_*",$U$139:$U$156)</f>
        <v>231.28552329245451</v>
      </c>
      <c r="V157">
        <f>SUMIF($F$139:$F$156,"&lt;&gt;EV_*",$V$139:$V$156)</f>
        <v>9718.8890343118546</v>
      </c>
      <c r="W157">
        <f>SUMIF($F$139:$F$156,"&lt;&gt;EV_*",$W$139:$W$156)</f>
        <v>231.28552329245423</v>
      </c>
      <c r="X157">
        <f>SUMIF($F$139:$F$156,"&lt;&gt;EV_*",$X$139:$X$156)</f>
        <v>0</v>
      </c>
    </row>
    <row r="158" spans="1:24" x14ac:dyDescent="0.25">
      <c r="A158" t="s">
        <v>1948</v>
      </c>
      <c r="B158" t="s">
        <v>1956</v>
      </c>
      <c r="C158" t="s">
        <v>1957</v>
      </c>
      <c r="D158" t="s">
        <v>68</v>
      </c>
      <c r="E158" t="s">
        <v>5</v>
      </c>
      <c r="F158" t="s">
        <v>5</v>
      </c>
      <c r="G158" t="s">
        <v>480</v>
      </c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</row>
    <row r="159" spans="1:24" x14ac:dyDescent="0.25">
      <c r="A159" t="s">
        <v>1948</v>
      </c>
      <c r="B159" t="s">
        <v>1956</v>
      </c>
      <c r="C159" t="s">
        <v>1957</v>
      </c>
      <c r="D159" t="s">
        <v>68</v>
      </c>
      <c r="E159" t="s">
        <v>10</v>
      </c>
      <c r="F159" t="s">
        <v>1</v>
      </c>
      <c r="G159" t="s">
        <v>481</v>
      </c>
      <c r="H159" t="s">
        <v>410</v>
      </c>
      <c r="I159" t="s">
        <v>1</v>
      </c>
      <c r="J159">
        <v>4045.95</v>
      </c>
      <c r="K159">
        <v>16184.0000000004</v>
      </c>
      <c r="L159">
        <v>2697.3</v>
      </c>
      <c r="M159">
        <v>5439.3066298342546</v>
      </c>
      <c r="N159">
        <v>4045.9500000000003</v>
      </c>
      <c r="O159">
        <v>5394.6</v>
      </c>
      <c r="P159">
        <v>0</v>
      </c>
      <c r="Q159">
        <f t="shared" ref="Q159:Q164" si="35">O159+P159</f>
        <v>5394.6</v>
      </c>
      <c r="R159">
        <v>5394.6</v>
      </c>
      <c r="S159">
        <f t="shared" ref="S159:S164" si="36">IF(OR(LEFT(E159,2)="A_",LEFT(D159,5)="Total"),R159-Q159,"")</f>
        <v>0</v>
      </c>
      <c r="T159"/>
      <c r="U159">
        <f t="shared" ref="U159:U164" si="37">IFERROR(R159*T159,R159*0)</f>
        <v>0</v>
      </c>
      <c r="V159">
        <f t="shared" ref="V159:V164" si="38">IF(OR(LEFT(E159,2)="A_",LEFT(D159,5)="Total"),R159+U159,"")</f>
        <v>5394.6</v>
      </c>
      <c r="W159">
        <f t="shared" ref="W159:W164" si="39">IF(OR(LEFT(E159,2)="A_",LEFT(D159,5)="Total"),V159-Q159,"")</f>
        <v>0</v>
      </c>
      <c r="X159">
        <v>0</v>
      </c>
    </row>
    <row r="160" spans="1:24" x14ac:dyDescent="0.25">
      <c r="A160" t="s">
        <v>1948</v>
      </c>
      <c r="B160" t="s">
        <v>1956</v>
      </c>
      <c r="C160" t="s">
        <v>1957</v>
      </c>
      <c r="D160" t="s">
        <v>68</v>
      </c>
      <c r="E160" t="s">
        <v>11</v>
      </c>
      <c r="F160" t="s">
        <v>1</v>
      </c>
      <c r="G160" t="s">
        <v>481</v>
      </c>
      <c r="H160" t="s">
        <v>411</v>
      </c>
      <c r="I160" t="s">
        <v>1</v>
      </c>
      <c r="J160">
        <v>2534.23</v>
      </c>
      <c r="K160">
        <v>2450.0000000004002</v>
      </c>
      <c r="L160">
        <v>1344.98</v>
      </c>
      <c r="M160">
        <v>2712.2524861878455</v>
      </c>
      <c r="N160">
        <v>2655.02</v>
      </c>
      <c r="O160">
        <v>2689.96</v>
      </c>
      <c r="P160">
        <v>0</v>
      </c>
      <c r="Q160">
        <f t="shared" si="35"/>
        <v>2689.96</v>
      </c>
      <c r="R160">
        <v>2689.96</v>
      </c>
      <c r="S160">
        <f t="shared" si="36"/>
        <v>0</v>
      </c>
      <c r="T160"/>
      <c r="U160">
        <f t="shared" si="37"/>
        <v>0</v>
      </c>
      <c r="V160">
        <f t="shared" si="38"/>
        <v>2689.96</v>
      </c>
      <c r="W160">
        <f t="shared" si="39"/>
        <v>0</v>
      </c>
      <c r="X160">
        <v>0</v>
      </c>
    </row>
    <row r="161" spans="1:24" x14ac:dyDescent="0.25">
      <c r="A161" t="s">
        <v>1948</v>
      </c>
      <c r="B161" t="s">
        <v>1956</v>
      </c>
      <c r="C161" t="s">
        <v>1957</v>
      </c>
      <c r="D161" t="s">
        <v>68</v>
      </c>
      <c r="E161" t="s">
        <v>22</v>
      </c>
      <c r="F161" t="s">
        <v>1</v>
      </c>
      <c r="G161" t="s">
        <v>481</v>
      </c>
      <c r="H161" t="s">
        <v>422</v>
      </c>
      <c r="I161" t="s">
        <v>1</v>
      </c>
      <c r="J161">
        <v>1271.1099999999999</v>
      </c>
      <c r="K161">
        <v>3187.7999999999001</v>
      </c>
      <c r="L161">
        <v>-1539.9</v>
      </c>
      <c r="M161">
        <v>-3105.3232044198894</v>
      </c>
      <c r="N161">
        <v>-1808.69</v>
      </c>
      <c r="O161">
        <v>-3105.3232044198999</v>
      </c>
      <c r="P161">
        <v>0</v>
      </c>
      <c r="Q161">
        <f t="shared" si="35"/>
        <v>-3105.3232044198999</v>
      </c>
      <c r="R161">
        <v>-3105.3232044198999</v>
      </c>
      <c r="S161">
        <f t="shared" si="36"/>
        <v>0</v>
      </c>
      <c r="T161">
        <v>3.5000000000000003E-2</v>
      </c>
      <c r="U161">
        <f t="shared" si="37"/>
        <v>-108.68631215469651</v>
      </c>
      <c r="V161">
        <f t="shared" si="38"/>
        <v>-3214.0095165745965</v>
      </c>
      <c r="W161">
        <f t="shared" si="39"/>
        <v>-108.68631215469668</v>
      </c>
      <c r="X161">
        <v>0</v>
      </c>
    </row>
    <row r="162" spans="1:24" x14ac:dyDescent="0.25">
      <c r="A162" t="s">
        <v>1948</v>
      </c>
      <c r="B162" t="s">
        <v>1956</v>
      </c>
      <c r="C162" t="s">
        <v>1957</v>
      </c>
      <c r="D162" t="s">
        <v>68</v>
      </c>
      <c r="E162" t="s">
        <v>23</v>
      </c>
      <c r="F162" t="s">
        <v>1</v>
      </c>
      <c r="G162" t="s">
        <v>481</v>
      </c>
      <c r="H162" t="s">
        <v>423</v>
      </c>
      <c r="I162" t="s">
        <v>1</v>
      </c>
      <c r="J162">
        <v>130</v>
      </c>
      <c r="K162"/>
      <c r="L162">
        <v>192.06</v>
      </c>
      <c r="M162">
        <v>387.30331491712712</v>
      </c>
      <c r="N162">
        <v>322.06</v>
      </c>
      <c r="O162">
        <v>387.30331491710001</v>
      </c>
      <c r="P162">
        <v>0</v>
      </c>
      <c r="Q162">
        <f t="shared" si="35"/>
        <v>387.30331491710001</v>
      </c>
      <c r="R162">
        <v>387.30331491710001</v>
      </c>
      <c r="S162">
        <f t="shared" si="36"/>
        <v>0</v>
      </c>
      <c r="T162">
        <v>3.5000000000000003E-2</v>
      </c>
      <c r="U162">
        <f t="shared" si="37"/>
        <v>13.555616022098501</v>
      </c>
      <c r="V162">
        <f t="shared" si="38"/>
        <v>400.8589309391985</v>
      </c>
      <c r="W162">
        <f t="shared" si="39"/>
        <v>13.555616022098491</v>
      </c>
      <c r="X162">
        <v>0</v>
      </c>
    </row>
    <row r="163" spans="1:24" x14ac:dyDescent="0.25">
      <c r="A163" t="s">
        <v>1948</v>
      </c>
      <c r="B163" t="s">
        <v>1956</v>
      </c>
      <c r="C163" t="s">
        <v>1957</v>
      </c>
      <c r="D163" t="s">
        <v>68</v>
      </c>
      <c r="E163" t="s">
        <v>58</v>
      </c>
      <c r="F163" t="s">
        <v>1</v>
      </c>
      <c r="G163" t="s">
        <v>481</v>
      </c>
      <c r="H163" t="s">
        <v>463</v>
      </c>
      <c r="I163" t="s">
        <v>1</v>
      </c>
      <c r="J163">
        <v>72528</v>
      </c>
      <c r="K163">
        <v>60480</v>
      </c>
      <c r="L163">
        <v>36288</v>
      </c>
      <c r="M163">
        <v>73177.458563535911</v>
      </c>
      <c r="N163">
        <v>72576</v>
      </c>
      <c r="O163">
        <v>72576</v>
      </c>
      <c r="P163">
        <v>0</v>
      </c>
      <c r="Q163">
        <f t="shared" si="35"/>
        <v>72576</v>
      </c>
      <c r="R163">
        <v>72576</v>
      </c>
      <c r="S163">
        <f t="shared" si="36"/>
        <v>0</v>
      </c>
      <c r="T163"/>
      <c r="U163">
        <f t="shared" si="37"/>
        <v>0</v>
      </c>
      <c r="V163">
        <f t="shared" si="38"/>
        <v>72576</v>
      </c>
      <c r="W163">
        <f t="shared" si="39"/>
        <v>0</v>
      </c>
      <c r="X163">
        <v>0</v>
      </c>
    </row>
    <row r="164" spans="1:24" x14ac:dyDescent="0.25">
      <c r="A164" t="s">
        <v>1948</v>
      </c>
      <c r="B164" t="s">
        <v>1956</v>
      </c>
      <c r="C164" t="s">
        <v>1957</v>
      </c>
      <c r="D164" t="s">
        <v>68</v>
      </c>
      <c r="E164" t="s">
        <v>41</v>
      </c>
      <c r="F164" t="s">
        <v>1</v>
      </c>
      <c r="G164" t="s">
        <v>481</v>
      </c>
      <c r="H164" t="s">
        <v>441</v>
      </c>
      <c r="I164" t="s">
        <v>1</v>
      </c>
      <c r="J164">
        <v>62.09</v>
      </c>
      <c r="K164"/>
      <c r="L164">
        <v>1348.65</v>
      </c>
      <c r="M164">
        <v>2719.6533149171273</v>
      </c>
      <c r="N164">
        <v>1410.74</v>
      </c>
      <c r="O164">
        <v>2697.3</v>
      </c>
      <c r="P164">
        <v>0</v>
      </c>
      <c r="Q164">
        <f t="shared" si="35"/>
        <v>2697.3</v>
      </c>
      <c r="R164">
        <v>2697.3</v>
      </c>
      <c r="S164">
        <f t="shared" si="36"/>
        <v>0</v>
      </c>
      <c r="T164">
        <v>0.03</v>
      </c>
      <c r="U164">
        <f t="shared" si="37"/>
        <v>80.918999999999997</v>
      </c>
      <c r="V164">
        <f t="shared" si="38"/>
        <v>2778.2190000000001</v>
      </c>
      <c r="W164">
        <f t="shared" si="39"/>
        <v>80.918999999999869</v>
      </c>
      <c r="X164">
        <v>0</v>
      </c>
    </row>
    <row r="165" spans="1:24" x14ac:dyDescent="0.25">
      <c r="A165" t="s">
        <v>1940</v>
      </c>
      <c r="B165" t="s">
        <v>1956</v>
      </c>
      <c r="C165" t="s">
        <v>1957</v>
      </c>
      <c r="D165" t="s">
        <v>68</v>
      </c>
      <c r="E165" t="s">
        <v>51</v>
      </c>
      <c r="F165" t="s">
        <v>51</v>
      </c>
      <c r="G165" t="s">
        <v>482</v>
      </c>
      <c r="H165"/>
      <c r="I165"/>
      <c r="J165">
        <v>80571.37999999999</v>
      </c>
      <c r="K165">
        <v>82301.800000000701</v>
      </c>
      <c r="L165">
        <v>40331.090000000004</v>
      </c>
      <c r="M165">
        <v>81330.651104972378</v>
      </c>
      <c r="N165">
        <v>79201.08</v>
      </c>
      <c r="O165">
        <v>80639.8401104972</v>
      </c>
      <c r="P165">
        <f>SUMIF($F$158:$F$164,"&lt;&gt;EV_*",$P$158:$P$164)</f>
        <v>0</v>
      </c>
      <c r="Q165">
        <f>SUMIF($F$158:$F$164,"&lt;&gt;EV_*",$Q$158:$Q$164)</f>
        <v>80639.8401104972</v>
      </c>
      <c r="R165">
        <f>SUMIF($F$158:$F$164,"&lt;&gt;EV_*",$R$158:$R$164)</f>
        <v>80639.8401104972</v>
      </c>
      <c r="S165">
        <f>SUMIF($F$158:$F$164,"&lt;&gt;EV_*",$S$158:$S$164)</f>
        <v>0</v>
      </c>
      <c r="T165">
        <v>0</v>
      </c>
      <c r="U165">
        <f>SUMIF($F$158:$F$164,"&lt;&gt;EV_*",$U$158:$U$164)</f>
        <v>-14.211696132598007</v>
      </c>
      <c r="V165">
        <f>SUMIF($F$158:$F$164,"&lt;&gt;EV_*",$V$158:$V$164)</f>
        <v>80625.628414364604</v>
      </c>
      <c r="W165">
        <f>SUMIF($F$158:$F$164,"&lt;&gt;EV_*",$W$158:$W$164)</f>
        <v>-14.21169613259832</v>
      </c>
      <c r="X165">
        <f>SUMIF($F$158:$F$164,"&lt;&gt;EV_*",$X$158:$X$164)</f>
        <v>0</v>
      </c>
    </row>
    <row r="166" spans="1:24" x14ac:dyDescent="0.25">
      <c r="A166" t="s">
        <v>1943</v>
      </c>
      <c r="B166" t="s">
        <v>1944</v>
      </c>
      <c r="C166" t="s">
        <v>1958</v>
      </c>
      <c r="D166" t="s">
        <v>69</v>
      </c>
      <c r="E166" t="s">
        <v>5</v>
      </c>
      <c r="F166" t="s">
        <v>5</v>
      </c>
      <c r="G166" t="s">
        <v>483</v>
      </c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</row>
    <row r="167" spans="1:24" x14ac:dyDescent="0.25">
      <c r="A167" t="s">
        <v>1943</v>
      </c>
      <c r="B167" t="s">
        <v>1944</v>
      </c>
      <c r="C167" t="s">
        <v>1958</v>
      </c>
      <c r="D167" t="s">
        <v>69</v>
      </c>
      <c r="E167" t="s">
        <v>70</v>
      </c>
      <c r="F167" t="s">
        <v>1</v>
      </c>
      <c r="G167" t="s">
        <v>484</v>
      </c>
      <c r="H167" t="s">
        <v>485</v>
      </c>
      <c r="I167" t="s">
        <v>1</v>
      </c>
      <c r="J167"/>
      <c r="K167"/>
      <c r="L167">
        <v>1951</v>
      </c>
      <c r="M167">
        <v>3934.3370165745855</v>
      </c>
      <c r="N167">
        <v>1951</v>
      </c>
      <c r="O167">
        <v>3902</v>
      </c>
      <c r="P167">
        <v>0</v>
      </c>
      <c r="Q167">
        <f t="shared" ref="Q167:Q183" si="40">O167+P167</f>
        <v>3902</v>
      </c>
      <c r="R167">
        <v>15500</v>
      </c>
      <c r="S167">
        <f t="shared" ref="S167:S183" si="41">IF(OR(LEFT(E167,2)="A_",LEFT(D167,5)="Total"),R167-Q167,"")</f>
        <v>11598</v>
      </c>
      <c r="T167"/>
      <c r="U167">
        <f t="shared" ref="U167:U183" si="42">IFERROR(R167*T167,R167*0)</f>
        <v>0</v>
      </c>
      <c r="V167">
        <f t="shared" ref="V167:V183" si="43">IF(OR(LEFT(E167,2)="A_",LEFT(D167,5)="Total"),R167+U167,"")</f>
        <v>15500</v>
      </c>
      <c r="W167">
        <f t="shared" ref="W167:W183" si="44">IF(OR(LEFT(E167,2)="A_",LEFT(D167,5)="Total"),V167-Q167,"")</f>
        <v>11598</v>
      </c>
      <c r="X167" t="s">
        <v>1303</v>
      </c>
    </row>
    <row r="168" spans="1:24" x14ac:dyDescent="0.25">
      <c r="A168" t="s">
        <v>1943</v>
      </c>
      <c r="B168" t="s">
        <v>1944</v>
      </c>
      <c r="C168" t="s">
        <v>1958</v>
      </c>
      <c r="D168" t="s">
        <v>69</v>
      </c>
      <c r="E168" t="s">
        <v>8</v>
      </c>
      <c r="F168" t="s">
        <v>1</v>
      </c>
      <c r="G168" t="s">
        <v>484</v>
      </c>
      <c r="H168" t="s">
        <v>408</v>
      </c>
      <c r="I168" t="s">
        <v>1</v>
      </c>
      <c r="J168">
        <v>956.55</v>
      </c>
      <c r="K168">
        <v>1928.9544198895001</v>
      </c>
      <c r="L168">
        <v>0</v>
      </c>
      <c r="M168">
        <v>0</v>
      </c>
      <c r="N168">
        <v>0</v>
      </c>
      <c r="O168"/>
      <c r="P168">
        <v>0</v>
      </c>
      <c r="Q168">
        <f t="shared" si="40"/>
        <v>0</v>
      </c>
      <c r="R168">
        <v>0</v>
      </c>
      <c r="S168">
        <f t="shared" si="41"/>
        <v>0</v>
      </c>
      <c r="T168"/>
      <c r="U168">
        <f t="shared" si="42"/>
        <v>0</v>
      </c>
      <c r="V168">
        <f t="shared" si="43"/>
        <v>0</v>
      </c>
      <c r="W168">
        <f t="shared" si="44"/>
        <v>0</v>
      </c>
      <c r="X168" t="s">
        <v>1304</v>
      </c>
    </row>
    <row r="169" spans="1:24" x14ac:dyDescent="0.25">
      <c r="A169" t="s">
        <v>1943</v>
      </c>
      <c r="B169" t="s">
        <v>1944</v>
      </c>
      <c r="C169" t="s">
        <v>1958</v>
      </c>
      <c r="D169" t="s">
        <v>69</v>
      </c>
      <c r="E169" t="s">
        <v>11</v>
      </c>
      <c r="F169" t="s">
        <v>1</v>
      </c>
      <c r="G169" t="s">
        <v>484</v>
      </c>
      <c r="H169" t="s">
        <v>411</v>
      </c>
      <c r="I169" t="s">
        <v>1</v>
      </c>
      <c r="J169">
        <v>1269.2</v>
      </c>
      <c r="K169"/>
      <c r="L169">
        <v>717.67</v>
      </c>
      <c r="M169">
        <v>1447.2350828729279</v>
      </c>
      <c r="N169">
        <v>1506.28</v>
      </c>
      <c r="O169">
        <v>1435.34</v>
      </c>
      <c r="P169">
        <v>0</v>
      </c>
      <c r="Q169">
        <f t="shared" si="40"/>
        <v>1435.34</v>
      </c>
      <c r="R169">
        <v>1435.34</v>
      </c>
      <c r="S169">
        <f t="shared" si="41"/>
        <v>0</v>
      </c>
      <c r="T169"/>
      <c r="U169">
        <f t="shared" si="42"/>
        <v>0</v>
      </c>
      <c r="V169">
        <f t="shared" si="43"/>
        <v>1435.34</v>
      </c>
      <c r="W169">
        <f t="shared" si="44"/>
        <v>0</v>
      </c>
      <c r="X169">
        <v>0</v>
      </c>
    </row>
    <row r="170" spans="1:24" x14ac:dyDescent="0.25">
      <c r="A170" t="s">
        <v>1943</v>
      </c>
      <c r="B170" t="s">
        <v>1944</v>
      </c>
      <c r="C170" t="s">
        <v>1958</v>
      </c>
      <c r="D170" t="s">
        <v>69</v>
      </c>
      <c r="E170" t="s">
        <v>18</v>
      </c>
      <c r="F170" t="s">
        <v>1</v>
      </c>
      <c r="G170" t="s">
        <v>484</v>
      </c>
      <c r="H170" t="s">
        <v>418</v>
      </c>
      <c r="I170" t="s">
        <v>1</v>
      </c>
      <c r="J170"/>
      <c r="K170">
        <v>-145.14999999989999</v>
      </c>
      <c r="L170">
        <v>0</v>
      </c>
      <c r="M170">
        <v>0</v>
      </c>
      <c r="N170">
        <v>0</v>
      </c>
      <c r="O170"/>
      <c r="P170">
        <v>0</v>
      </c>
      <c r="Q170">
        <f t="shared" si="40"/>
        <v>0</v>
      </c>
      <c r="R170">
        <v>0</v>
      </c>
      <c r="S170">
        <f t="shared" si="41"/>
        <v>0</v>
      </c>
      <c r="T170">
        <v>0.02</v>
      </c>
      <c r="U170">
        <f t="shared" si="42"/>
        <v>0</v>
      </c>
      <c r="V170">
        <f t="shared" si="43"/>
        <v>0</v>
      </c>
      <c r="W170">
        <f t="shared" si="44"/>
        <v>0</v>
      </c>
      <c r="X170">
        <v>0</v>
      </c>
    </row>
    <row r="171" spans="1:24" x14ac:dyDescent="0.25">
      <c r="A171" t="s">
        <v>1943</v>
      </c>
      <c r="B171" t="s">
        <v>1944</v>
      </c>
      <c r="C171" t="s">
        <v>1958</v>
      </c>
      <c r="D171" t="s">
        <v>69</v>
      </c>
      <c r="E171" t="s">
        <v>21</v>
      </c>
      <c r="F171" t="s">
        <v>1</v>
      </c>
      <c r="G171" t="s">
        <v>484</v>
      </c>
      <c r="H171" t="s">
        <v>421</v>
      </c>
      <c r="I171" t="s">
        <v>1</v>
      </c>
      <c r="J171">
        <v>1988.66</v>
      </c>
      <c r="K171">
        <v>-263.24</v>
      </c>
      <c r="L171">
        <v>420.93</v>
      </c>
      <c r="M171">
        <v>848.83674033149168</v>
      </c>
      <c r="N171">
        <v>1427.33</v>
      </c>
      <c r="O171">
        <v>848.83674033149998</v>
      </c>
      <c r="P171">
        <v>0</v>
      </c>
      <c r="Q171">
        <f t="shared" si="40"/>
        <v>848.83674033149998</v>
      </c>
      <c r="R171">
        <v>848.83674033149998</v>
      </c>
      <c r="S171">
        <f t="shared" si="41"/>
        <v>0</v>
      </c>
      <c r="T171">
        <v>0.03</v>
      </c>
      <c r="U171">
        <f t="shared" si="42"/>
        <v>25.465102209944998</v>
      </c>
      <c r="V171">
        <f t="shared" si="43"/>
        <v>874.30184254144501</v>
      </c>
      <c r="W171">
        <f t="shared" si="44"/>
        <v>25.46510220994503</v>
      </c>
      <c r="X171">
        <v>0</v>
      </c>
    </row>
    <row r="172" spans="1:24" x14ac:dyDescent="0.25">
      <c r="A172" t="s">
        <v>1943</v>
      </c>
      <c r="B172" t="s">
        <v>1944</v>
      </c>
      <c r="C172" t="s">
        <v>1958</v>
      </c>
      <c r="D172" t="s">
        <v>69</v>
      </c>
      <c r="E172" t="s">
        <v>22</v>
      </c>
      <c r="F172" t="s">
        <v>1</v>
      </c>
      <c r="G172" t="s">
        <v>484</v>
      </c>
      <c r="H172" t="s">
        <v>422</v>
      </c>
      <c r="I172" t="s">
        <v>1</v>
      </c>
      <c r="J172">
        <v>4316.22</v>
      </c>
      <c r="K172">
        <v>2070</v>
      </c>
      <c r="L172">
        <v>138.18</v>
      </c>
      <c r="M172">
        <v>278.65027624309397</v>
      </c>
      <c r="N172">
        <v>2290.5899999999997</v>
      </c>
      <c r="O172">
        <v>278.6502762431</v>
      </c>
      <c r="P172">
        <v>0</v>
      </c>
      <c r="Q172">
        <f t="shared" si="40"/>
        <v>278.6502762431</v>
      </c>
      <c r="R172">
        <v>0</v>
      </c>
      <c r="S172">
        <f t="shared" si="41"/>
        <v>-278.6502762431</v>
      </c>
      <c r="T172">
        <v>3.5000000000000003E-2</v>
      </c>
      <c r="U172">
        <f t="shared" si="42"/>
        <v>0</v>
      </c>
      <c r="V172">
        <f t="shared" si="43"/>
        <v>0</v>
      </c>
      <c r="W172">
        <f t="shared" si="44"/>
        <v>-278.6502762431</v>
      </c>
      <c r="X172" t="s">
        <v>1305</v>
      </c>
    </row>
    <row r="173" spans="1:24" x14ac:dyDescent="0.25">
      <c r="A173" t="s">
        <v>1943</v>
      </c>
      <c r="B173" t="s">
        <v>1944</v>
      </c>
      <c r="C173" t="s">
        <v>1958</v>
      </c>
      <c r="D173" t="s">
        <v>69</v>
      </c>
      <c r="E173" t="s">
        <v>23</v>
      </c>
      <c r="F173" t="s">
        <v>1</v>
      </c>
      <c r="G173" t="s">
        <v>484</v>
      </c>
      <c r="H173" t="s">
        <v>423</v>
      </c>
      <c r="I173" t="s">
        <v>1</v>
      </c>
      <c r="J173">
        <v>1653.75</v>
      </c>
      <c r="K173"/>
      <c r="L173">
        <v>320.24</v>
      </c>
      <c r="M173">
        <v>645.78784530386736</v>
      </c>
      <c r="N173">
        <v>1973.99</v>
      </c>
      <c r="O173">
        <v>645.78784530389999</v>
      </c>
      <c r="P173">
        <v>0</v>
      </c>
      <c r="Q173">
        <f t="shared" si="40"/>
        <v>645.78784530389999</v>
      </c>
      <c r="R173">
        <v>0</v>
      </c>
      <c r="S173">
        <f t="shared" si="41"/>
        <v>-645.78784530389999</v>
      </c>
      <c r="T173">
        <v>3.5000000000000003E-2</v>
      </c>
      <c r="U173">
        <f t="shared" si="42"/>
        <v>0</v>
      </c>
      <c r="V173">
        <f t="shared" si="43"/>
        <v>0</v>
      </c>
      <c r="W173">
        <f t="shared" si="44"/>
        <v>-645.78784530389999</v>
      </c>
      <c r="X173">
        <v>0</v>
      </c>
    </row>
    <row r="174" spans="1:24" x14ac:dyDescent="0.25">
      <c r="A174" t="s">
        <v>1943</v>
      </c>
      <c r="B174" t="s">
        <v>1944</v>
      </c>
      <c r="C174" t="s">
        <v>1958</v>
      </c>
      <c r="D174" t="s">
        <v>69</v>
      </c>
      <c r="E174" t="s">
        <v>24</v>
      </c>
      <c r="F174" t="s">
        <v>1</v>
      </c>
      <c r="G174" t="s">
        <v>484</v>
      </c>
      <c r="H174" t="s">
        <v>424</v>
      </c>
      <c r="I174" t="s">
        <v>1</v>
      </c>
      <c r="J174"/>
      <c r="K174">
        <v>1749.9996000000001</v>
      </c>
      <c r="L174">
        <v>0</v>
      </c>
      <c r="M174">
        <v>0</v>
      </c>
      <c r="N174">
        <v>0</v>
      </c>
      <c r="O174"/>
      <c r="P174">
        <v>0</v>
      </c>
      <c r="Q174">
        <f t="shared" si="40"/>
        <v>0</v>
      </c>
      <c r="R174">
        <v>0</v>
      </c>
      <c r="S174">
        <f t="shared" si="41"/>
        <v>0</v>
      </c>
      <c r="T174"/>
      <c r="U174">
        <f t="shared" si="42"/>
        <v>0</v>
      </c>
      <c r="V174">
        <f t="shared" si="43"/>
        <v>0</v>
      </c>
      <c r="W174">
        <f t="shared" si="44"/>
        <v>0</v>
      </c>
      <c r="X174">
        <v>0</v>
      </c>
    </row>
    <row r="175" spans="1:24" x14ac:dyDescent="0.25">
      <c r="A175" t="s">
        <v>1943</v>
      </c>
      <c r="B175" t="s">
        <v>1944</v>
      </c>
      <c r="C175" t="s">
        <v>1958</v>
      </c>
      <c r="D175" t="s">
        <v>69</v>
      </c>
      <c r="E175" t="s">
        <v>25</v>
      </c>
      <c r="F175" t="s">
        <v>1</v>
      </c>
      <c r="G175" t="s">
        <v>484</v>
      </c>
      <c r="H175" t="s">
        <v>425</v>
      </c>
      <c r="I175" t="s">
        <v>1</v>
      </c>
      <c r="J175"/>
      <c r="K175">
        <v>18219.999599999999</v>
      </c>
      <c r="L175">
        <v>1548.75</v>
      </c>
      <c r="M175">
        <v>3123.1698895027625</v>
      </c>
      <c r="N175">
        <v>1548.75</v>
      </c>
      <c r="O175">
        <v>3097.5</v>
      </c>
      <c r="P175">
        <v>0</v>
      </c>
      <c r="Q175">
        <f t="shared" si="40"/>
        <v>3097.5</v>
      </c>
      <c r="R175">
        <v>0</v>
      </c>
      <c r="S175">
        <f t="shared" si="41"/>
        <v>-3097.5</v>
      </c>
      <c r="T175"/>
      <c r="U175">
        <f t="shared" si="42"/>
        <v>0</v>
      </c>
      <c r="V175">
        <f t="shared" si="43"/>
        <v>0</v>
      </c>
      <c r="W175">
        <f t="shared" si="44"/>
        <v>-3097.5</v>
      </c>
      <c r="X175">
        <v>0</v>
      </c>
    </row>
    <row r="176" spans="1:24" x14ac:dyDescent="0.25">
      <c r="A176" t="s">
        <v>1943</v>
      </c>
      <c r="B176" t="s">
        <v>1944</v>
      </c>
      <c r="C176" t="s">
        <v>1958</v>
      </c>
      <c r="D176" t="s">
        <v>69</v>
      </c>
      <c r="E176" t="s">
        <v>28</v>
      </c>
      <c r="F176" t="s">
        <v>1</v>
      </c>
      <c r="G176" t="s">
        <v>484</v>
      </c>
      <c r="H176" t="s">
        <v>428</v>
      </c>
      <c r="I176" t="s">
        <v>1</v>
      </c>
      <c r="J176"/>
      <c r="K176">
        <v>999.99959999999999</v>
      </c>
      <c r="L176">
        <v>64</v>
      </c>
      <c r="M176">
        <v>129.06077348066299</v>
      </c>
      <c r="N176">
        <v>64</v>
      </c>
      <c r="O176">
        <v>128</v>
      </c>
      <c r="P176">
        <v>0</v>
      </c>
      <c r="Q176">
        <f t="shared" si="40"/>
        <v>128</v>
      </c>
      <c r="R176">
        <v>0</v>
      </c>
      <c r="S176">
        <f t="shared" si="41"/>
        <v>-128</v>
      </c>
      <c r="T176"/>
      <c r="U176">
        <f t="shared" si="42"/>
        <v>0</v>
      </c>
      <c r="V176">
        <f t="shared" si="43"/>
        <v>0</v>
      </c>
      <c r="W176">
        <f t="shared" si="44"/>
        <v>-128</v>
      </c>
      <c r="X176">
        <v>0</v>
      </c>
    </row>
    <row r="177" spans="1:24" x14ac:dyDescent="0.25">
      <c r="A177" t="s">
        <v>1943</v>
      </c>
      <c r="B177" t="s">
        <v>1944</v>
      </c>
      <c r="C177" t="s">
        <v>1958</v>
      </c>
      <c r="D177" t="s">
        <v>69</v>
      </c>
      <c r="E177" t="s">
        <v>29</v>
      </c>
      <c r="F177" t="s">
        <v>1</v>
      </c>
      <c r="G177" t="s">
        <v>484</v>
      </c>
      <c r="H177" t="s">
        <v>429</v>
      </c>
      <c r="I177" t="s">
        <v>1</v>
      </c>
      <c r="J177">
        <v>2811.03</v>
      </c>
      <c r="K177"/>
      <c r="L177">
        <v>0</v>
      </c>
      <c r="M177">
        <v>0</v>
      </c>
      <c r="N177">
        <v>1318.4099999999999</v>
      </c>
      <c r="O177"/>
      <c r="P177">
        <v>0</v>
      </c>
      <c r="Q177">
        <f t="shared" si="40"/>
        <v>0</v>
      </c>
      <c r="R177">
        <v>0</v>
      </c>
      <c r="S177">
        <f t="shared" si="41"/>
        <v>0</v>
      </c>
      <c r="T177"/>
      <c r="U177">
        <f t="shared" si="42"/>
        <v>0</v>
      </c>
      <c r="V177">
        <f t="shared" si="43"/>
        <v>0</v>
      </c>
      <c r="W177">
        <f t="shared" si="44"/>
        <v>0</v>
      </c>
      <c r="X177">
        <v>0</v>
      </c>
    </row>
    <row r="178" spans="1:24" x14ac:dyDescent="0.25">
      <c r="A178" t="s">
        <v>1943</v>
      </c>
      <c r="B178" t="s">
        <v>1944</v>
      </c>
      <c r="C178" t="s">
        <v>1958</v>
      </c>
      <c r="D178" t="s">
        <v>69</v>
      </c>
      <c r="E178" t="s">
        <v>31</v>
      </c>
      <c r="F178" t="s">
        <v>1</v>
      </c>
      <c r="G178" t="s">
        <v>484</v>
      </c>
      <c r="H178" t="s">
        <v>431</v>
      </c>
      <c r="I178" t="s">
        <v>1</v>
      </c>
      <c r="J178">
        <v>7033.25</v>
      </c>
      <c r="K178">
        <v>3000</v>
      </c>
      <c r="L178">
        <v>925</v>
      </c>
      <c r="M178">
        <v>1865.3314917127072</v>
      </c>
      <c r="N178">
        <v>2107.5</v>
      </c>
      <c r="O178">
        <v>1850</v>
      </c>
      <c r="P178">
        <v>0</v>
      </c>
      <c r="Q178">
        <f t="shared" si="40"/>
        <v>1850</v>
      </c>
      <c r="R178">
        <v>0</v>
      </c>
      <c r="S178">
        <f t="shared" si="41"/>
        <v>-1850</v>
      </c>
      <c r="T178"/>
      <c r="U178">
        <f t="shared" si="42"/>
        <v>0</v>
      </c>
      <c r="V178">
        <f t="shared" si="43"/>
        <v>0</v>
      </c>
      <c r="W178">
        <f t="shared" si="44"/>
        <v>-1850</v>
      </c>
      <c r="X178">
        <v>0</v>
      </c>
    </row>
    <row r="179" spans="1:24" x14ac:dyDescent="0.25">
      <c r="A179" t="s">
        <v>1943</v>
      </c>
      <c r="B179" t="s">
        <v>1944</v>
      </c>
      <c r="C179" t="s">
        <v>1958</v>
      </c>
      <c r="D179" t="s">
        <v>69</v>
      </c>
      <c r="E179" t="s">
        <v>33</v>
      </c>
      <c r="F179" t="s">
        <v>1</v>
      </c>
      <c r="G179" t="s">
        <v>484</v>
      </c>
      <c r="H179" t="s">
        <v>433</v>
      </c>
      <c r="I179" t="s">
        <v>1</v>
      </c>
      <c r="J179">
        <v>2625.46</v>
      </c>
      <c r="K179">
        <v>5151.5014335468004</v>
      </c>
      <c r="L179">
        <v>0</v>
      </c>
      <c r="M179">
        <v>0</v>
      </c>
      <c r="N179">
        <v>0</v>
      </c>
      <c r="O179"/>
      <c r="P179">
        <v>0</v>
      </c>
      <c r="Q179">
        <f t="shared" si="40"/>
        <v>0</v>
      </c>
      <c r="R179">
        <v>0</v>
      </c>
      <c r="S179">
        <f t="shared" si="41"/>
        <v>0</v>
      </c>
      <c r="T179"/>
      <c r="U179">
        <f t="shared" si="42"/>
        <v>0</v>
      </c>
      <c r="V179">
        <f t="shared" si="43"/>
        <v>0</v>
      </c>
      <c r="W179">
        <f t="shared" si="44"/>
        <v>0</v>
      </c>
      <c r="X179">
        <v>0</v>
      </c>
    </row>
    <row r="180" spans="1:24" x14ac:dyDescent="0.25">
      <c r="A180" t="s">
        <v>1943</v>
      </c>
      <c r="B180" t="s">
        <v>1944</v>
      </c>
      <c r="C180" t="s">
        <v>1958</v>
      </c>
      <c r="D180" t="s">
        <v>69</v>
      </c>
      <c r="E180" t="s">
        <v>34</v>
      </c>
      <c r="F180" t="s">
        <v>1</v>
      </c>
      <c r="G180" t="s">
        <v>484</v>
      </c>
      <c r="H180" t="s">
        <v>434</v>
      </c>
      <c r="I180" t="s">
        <v>1</v>
      </c>
      <c r="J180"/>
      <c r="K180">
        <v>245.30959957799999</v>
      </c>
      <c r="L180">
        <v>0</v>
      </c>
      <c r="M180">
        <v>0</v>
      </c>
      <c r="N180">
        <v>0</v>
      </c>
      <c r="O180"/>
      <c r="P180">
        <v>0</v>
      </c>
      <c r="Q180">
        <f t="shared" si="40"/>
        <v>0</v>
      </c>
      <c r="R180">
        <v>0</v>
      </c>
      <c r="S180">
        <f t="shared" si="41"/>
        <v>0</v>
      </c>
      <c r="T180"/>
      <c r="U180">
        <f t="shared" si="42"/>
        <v>0</v>
      </c>
      <c r="V180">
        <f t="shared" si="43"/>
        <v>0</v>
      </c>
      <c r="W180">
        <f t="shared" si="44"/>
        <v>0</v>
      </c>
      <c r="X180">
        <v>0</v>
      </c>
    </row>
    <row r="181" spans="1:24" x14ac:dyDescent="0.25">
      <c r="A181" t="s">
        <v>1943</v>
      </c>
      <c r="B181" t="s">
        <v>1944</v>
      </c>
      <c r="C181" t="s">
        <v>1958</v>
      </c>
      <c r="D181" t="s">
        <v>69</v>
      </c>
      <c r="E181" t="s">
        <v>37</v>
      </c>
      <c r="F181" t="s">
        <v>1</v>
      </c>
      <c r="G181" t="s">
        <v>484</v>
      </c>
      <c r="H181" t="s">
        <v>437</v>
      </c>
      <c r="I181" t="s">
        <v>1</v>
      </c>
      <c r="J181">
        <v>414.49</v>
      </c>
      <c r="K181">
        <v>1471.8575524416001</v>
      </c>
      <c r="L181">
        <v>0</v>
      </c>
      <c r="M181">
        <v>0</v>
      </c>
      <c r="N181">
        <v>414.49</v>
      </c>
      <c r="O181"/>
      <c r="P181">
        <v>0</v>
      </c>
      <c r="Q181">
        <f t="shared" si="40"/>
        <v>0</v>
      </c>
      <c r="R181">
        <v>0</v>
      </c>
      <c r="S181">
        <f t="shared" si="41"/>
        <v>0</v>
      </c>
      <c r="T181"/>
      <c r="U181">
        <f t="shared" si="42"/>
        <v>0</v>
      </c>
      <c r="V181">
        <f t="shared" si="43"/>
        <v>0</v>
      </c>
      <c r="W181">
        <f t="shared" si="44"/>
        <v>0</v>
      </c>
      <c r="X181">
        <v>0</v>
      </c>
    </row>
    <row r="182" spans="1:24" x14ac:dyDescent="0.25">
      <c r="A182" t="s">
        <v>1943</v>
      </c>
      <c r="B182" t="s">
        <v>1944</v>
      </c>
      <c r="C182" t="s">
        <v>1958</v>
      </c>
      <c r="D182" t="s">
        <v>69</v>
      </c>
      <c r="E182" t="s">
        <v>41</v>
      </c>
      <c r="F182" t="s">
        <v>1</v>
      </c>
      <c r="G182" t="s">
        <v>484</v>
      </c>
      <c r="H182" t="s">
        <v>441</v>
      </c>
      <c r="I182" t="s">
        <v>1</v>
      </c>
      <c r="J182">
        <v>525.12</v>
      </c>
      <c r="K182">
        <v>717.53971534319999</v>
      </c>
      <c r="L182">
        <v>48.86</v>
      </c>
      <c r="M182">
        <v>98.529834254143651</v>
      </c>
      <c r="N182">
        <v>208.7</v>
      </c>
      <c r="O182">
        <v>97.72</v>
      </c>
      <c r="P182">
        <v>0</v>
      </c>
      <c r="Q182">
        <f t="shared" si="40"/>
        <v>97.72</v>
      </c>
      <c r="R182">
        <v>0</v>
      </c>
      <c r="S182">
        <f t="shared" si="41"/>
        <v>-97.72</v>
      </c>
      <c r="T182">
        <v>0.03</v>
      </c>
      <c r="U182">
        <f t="shared" si="42"/>
        <v>0</v>
      </c>
      <c r="V182">
        <f t="shared" si="43"/>
        <v>0</v>
      </c>
      <c r="W182">
        <f t="shared" si="44"/>
        <v>-97.72</v>
      </c>
      <c r="X182">
        <v>0</v>
      </c>
    </row>
    <row r="183" spans="1:24" x14ac:dyDescent="0.25">
      <c r="A183" t="s">
        <v>1943</v>
      </c>
      <c r="B183" t="s">
        <v>1944</v>
      </c>
      <c r="C183" t="s">
        <v>1958</v>
      </c>
      <c r="D183" t="s">
        <v>69</v>
      </c>
      <c r="E183" t="s">
        <v>46</v>
      </c>
      <c r="F183" t="s">
        <v>1</v>
      </c>
      <c r="G183" t="s">
        <v>484</v>
      </c>
      <c r="H183" t="s">
        <v>446</v>
      </c>
      <c r="I183" t="s">
        <v>1</v>
      </c>
      <c r="J183">
        <v>685</v>
      </c>
      <c r="K183">
        <v>20000.000400000001</v>
      </c>
      <c r="L183">
        <v>692</v>
      </c>
      <c r="M183">
        <v>1395.4696132596684</v>
      </c>
      <c r="N183">
        <v>747</v>
      </c>
      <c r="O183">
        <v>1384</v>
      </c>
      <c r="P183">
        <v>0</v>
      </c>
      <c r="Q183">
        <f t="shared" si="40"/>
        <v>1384</v>
      </c>
      <c r="R183">
        <v>0</v>
      </c>
      <c r="S183">
        <f t="shared" si="41"/>
        <v>-1384</v>
      </c>
      <c r="T183">
        <v>0.03</v>
      </c>
      <c r="U183">
        <f t="shared" si="42"/>
        <v>0</v>
      </c>
      <c r="V183">
        <f t="shared" si="43"/>
        <v>0</v>
      </c>
      <c r="W183">
        <f t="shared" si="44"/>
        <v>-1384</v>
      </c>
      <c r="X183">
        <v>0</v>
      </c>
    </row>
    <row r="184" spans="1:24" x14ac:dyDescent="0.25">
      <c r="A184" t="s">
        <v>1943</v>
      </c>
      <c r="B184" t="s">
        <v>1944</v>
      </c>
      <c r="C184" t="s">
        <v>1958</v>
      </c>
      <c r="D184" t="s">
        <v>69</v>
      </c>
      <c r="E184" t="s">
        <v>51</v>
      </c>
      <c r="F184" t="s">
        <v>51</v>
      </c>
      <c r="G184" t="s">
        <v>486</v>
      </c>
      <c r="H184"/>
      <c r="I184"/>
      <c r="J184">
        <v>24278.730000000003</v>
      </c>
      <c r="K184">
        <v>55146.771920799205</v>
      </c>
      <c r="L184">
        <v>6826.6299999999992</v>
      </c>
      <c r="M184">
        <v>13766.408563535912</v>
      </c>
      <c r="N184">
        <v>15558.039999999999</v>
      </c>
      <c r="O184">
        <v>13667.8348618785</v>
      </c>
      <c r="P184">
        <f>SUMIF($F$166:$F$183,"&lt;&gt;EV_*",$P$166:$P$183)</f>
        <v>0</v>
      </c>
      <c r="Q184">
        <f>SUMIF($F$166:$F$183,"&lt;&gt;EV_*",$Q$166:$Q$183)</f>
        <v>13667.8348618785</v>
      </c>
      <c r="R184">
        <f>SUMIF($F$166:$F$183,"&lt;&gt;EV_*",$R$166:$R$183)</f>
        <v>17784.176740331499</v>
      </c>
      <c r="S184">
        <f>SUMIF($F$166:$F$183,"&lt;&gt;EV_*",$S$166:$S$183)</f>
        <v>4116.3418784530013</v>
      </c>
      <c r="T184">
        <v>0</v>
      </c>
      <c r="U184">
        <f>SUMIF($F$166:$F$183,"&lt;&gt;EV_*",$U$166:$U$183)</f>
        <v>25.465102209944998</v>
      </c>
      <c r="V184">
        <f>SUMIF($F$166:$F$183,"&lt;&gt;EV_*",$V$166:$V$183)</f>
        <v>17809.641842541445</v>
      </c>
      <c r="W184">
        <f>SUMIF($F$166:$F$183,"&lt;&gt;EV_*",$W$166:$W$183)</f>
        <v>4141.8069806629455</v>
      </c>
      <c r="X184">
        <f>SUMIF($F$166:$F$183,"&lt;&gt;EV_*",$X$166:$X$183)</f>
        <v>0</v>
      </c>
    </row>
    <row r="185" spans="1:24" x14ac:dyDescent="0.25">
      <c r="A185" t="s">
        <v>1925</v>
      </c>
      <c r="B185" t="s">
        <v>1926</v>
      </c>
      <c r="C185" t="s">
        <v>1959</v>
      </c>
      <c r="D185" t="s">
        <v>71</v>
      </c>
      <c r="E185" t="s">
        <v>5</v>
      </c>
      <c r="F185" t="s">
        <v>5</v>
      </c>
      <c r="G185" t="s">
        <v>487</v>
      </c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</row>
    <row r="186" spans="1:24" x14ac:dyDescent="0.25">
      <c r="A186" t="s">
        <v>1925</v>
      </c>
      <c r="B186" t="s">
        <v>1926</v>
      </c>
      <c r="C186" t="s">
        <v>1959</v>
      </c>
      <c r="D186" t="s">
        <v>71</v>
      </c>
      <c r="E186" t="s">
        <v>11</v>
      </c>
      <c r="F186" t="s">
        <v>1</v>
      </c>
      <c r="G186" t="s">
        <v>488</v>
      </c>
      <c r="H186" t="s">
        <v>411</v>
      </c>
      <c r="I186" t="s">
        <v>1</v>
      </c>
      <c r="J186"/>
      <c r="K186"/>
      <c r="L186">
        <v>542.58000000000004</v>
      </c>
      <c r="M186">
        <v>1094.1530386740333</v>
      </c>
      <c r="N186">
        <v>542.58000000000004</v>
      </c>
      <c r="O186">
        <v>1085.1600000000001</v>
      </c>
      <c r="P186">
        <v>0</v>
      </c>
      <c r="Q186">
        <f t="shared" ref="Q186:Q212" si="45">O186+P186</f>
        <v>1085.1600000000001</v>
      </c>
      <c r="R186" t="s">
        <v>2239</v>
      </c>
      <c r="S186" t="e">
        <f t="shared" ref="S186:S212" si="46">IF(OR(LEFT(E186,2)="A_",LEFT(D186,5)="Total"),R186-Q186,"")</f>
        <v>#VALUE!</v>
      </c>
      <c r="T186"/>
      <c r="U186" t="e">
        <f t="shared" ref="U186:U212" si="47">IFERROR(R186*T186,R186*0)</f>
        <v>#VALUE!</v>
      </c>
      <c r="V186" t="e">
        <f t="shared" ref="V186:V212" si="48">IF(OR(LEFT(E186,2)="A_",LEFT(D186,5)="Total"),R186+U186,"")</f>
        <v>#VALUE!</v>
      </c>
      <c r="W186" t="e">
        <f t="shared" ref="W186:W212" si="49">IF(OR(LEFT(E186,2)="A_",LEFT(D186,5)="Total"),V186-Q186,"")</f>
        <v>#VALUE!</v>
      </c>
      <c r="X186">
        <v>0</v>
      </c>
    </row>
    <row r="187" spans="1:24" x14ac:dyDescent="0.25">
      <c r="A187" t="s">
        <v>1925</v>
      </c>
      <c r="B187" t="s">
        <v>1926</v>
      </c>
      <c r="C187" t="s">
        <v>1959</v>
      </c>
      <c r="D187" t="s">
        <v>71</v>
      </c>
      <c r="E187" t="s">
        <v>12</v>
      </c>
      <c r="F187" t="s">
        <v>1</v>
      </c>
      <c r="G187" t="s">
        <v>488</v>
      </c>
      <c r="H187" t="s">
        <v>412</v>
      </c>
      <c r="I187" t="s">
        <v>1</v>
      </c>
      <c r="J187"/>
      <c r="K187"/>
      <c r="L187">
        <v>748.78</v>
      </c>
      <c r="M187">
        <v>1509.9707182320442</v>
      </c>
      <c r="N187">
        <v>748.78</v>
      </c>
      <c r="O187">
        <v>1497.56</v>
      </c>
      <c r="P187">
        <v>0</v>
      </c>
      <c r="Q187">
        <f t="shared" si="45"/>
        <v>1497.56</v>
      </c>
      <c r="R187">
        <v>1497.56</v>
      </c>
      <c r="S187">
        <f t="shared" si="46"/>
        <v>0</v>
      </c>
      <c r="T187"/>
      <c r="U187">
        <f t="shared" si="47"/>
        <v>0</v>
      </c>
      <c r="V187">
        <f t="shared" si="48"/>
        <v>1497.56</v>
      </c>
      <c r="W187">
        <f t="shared" si="49"/>
        <v>0</v>
      </c>
      <c r="X187" t="s">
        <v>1306</v>
      </c>
    </row>
    <row r="188" spans="1:24" x14ac:dyDescent="0.25">
      <c r="A188" t="s">
        <v>1925</v>
      </c>
      <c r="B188" t="s">
        <v>1926</v>
      </c>
      <c r="C188" t="s">
        <v>1959</v>
      </c>
      <c r="D188" t="s">
        <v>71</v>
      </c>
      <c r="E188" t="s">
        <v>17</v>
      </c>
      <c r="F188" t="s">
        <v>1</v>
      </c>
      <c r="G188" t="s">
        <v>488</v>
      </c>
      <c r="H188" t="s">
        <v>417</v>
      </c>
      <c r="I188" t="s">
        <v>1</v>
      </c>
      <c r="J188"/>
      <c r="K188">
        <v>-10</v>
      </c>
      <c r="L188">
        <v>0</v>
      </c>
      <c r="M188">
        <v>0</v>
      </c>
      <c r="N188">
        <v>0</v>
      </c>
      <c r="O188"/>
      <c r="P188">
        <v>0</v>
      </c>
      <c r="Q188">
        <f t="shared" si="45"/>
        <v>0</v>
      </c>
      <c r="R188">
        <v>0</v>
      </c>
      <c r="S188">
        <f t="shared" si="46"/>
        <v>0</v>
      </c>
      <c r="T188"/>
      <c r="U188">
        <f t="shared" si="47"/>
        <v>0</v>
      </c>
      <c r="V188">
        <f t="shared" si="48"/>
        <v>0</v>
      </c>
      <c r="W188">
        <f t="shared" si="49"/>
        <v>0</v>
      </c>
      <c r="X188">
        <v>0</v>
      </c>
    </row>
    <row r="189" spans="1:24" x14ac:dyDescent="0.25">
      <c r="A189" t="s">
        <v>1925</v>
      </c>
      <c r="B189" t="s">
        <v>1926</v>
      </c>
      <c r="C189" t="s">
        <v>1959</v>
      </c>
      <c r="D189" t="s">
        <v>71</v>
      </c>
      <c r="E189" t="s">
        <v>72</v>
      </c>
      <c r="F189" t="s">
        <v>1</v>
      </c>
      <c r="G189" t="s">
        <v>488</v>
      </c>
      <c r="H189" t="s">
        <v>489</v>
      </c>
      <c r="I189" t="s">
        <v>1</v>
      </c>
      <c r="J189"/>
      <c r="K189"/>
      <c r="L189">
        <v>439.61</v>
      </c>
      <c r="M189">
        <v>886.50635359116029</v>
      </c>
      <c r="N189">
        <v>439.61</v>
      </c>
      <c r="O189">
        <v>884.05087912090005</v>
      </c>
      <c r="P189">
        <v>0</v>
      </c>
      <c r="Q189">
        <f t="shared" si="45"/>
        <v>884.05087912090005</v>
      </c>
      <c r="R189">
        <v>0</v>
      </c>
      <c r="S189">
        <f t="shared" si="46"/>
        <v>-884.05087912090005</v>
      </c>
      <c r="T189">
        <v>2.2499999999999999E-2</v>
      </c>
      <c r="U189">
        <f t="shared" si="47"/>
        <v>0</v>
      </c>
      <c r="V189">
        <f t="shared" si="48"/>
        <v>0</v>
      </c>
      <c r="W189">
        <f t="shared" si="49"/>
        <v>-884.05087912090005</v>
      </c>
      <c r="X189" t="s">
        <v>1307</v>
      </c>
    </row>
    <row r="190" spans="1:24" x14ac:dyDescent="0.25">
      <c r="A190" t="s">
        <v>1925</v>
      </c>
      <c r="B190" t="s">
        <v>1926</v>
      </c>
      <c r="C190" t="s">
        <v>1959</v>
      </c>
      <c r="D190" t="s">
        <v>71</v>
      </c>
      <c r="E190" t="s">
        <v>18</v>
      </c>
      <c r="F190" t="s">
        <v>1</v>
      </c>
      <c r="G190" t="s">
        <v>488</v>
      </c>
      <c r="H190" t="s">
        <v>418</v>
      </c>
      <c r="I190" t="s">
        <v>1</v>
      </c>
      <c r="J190"/>
      <c r="K190"/>
      <c r="L190">
        <v>2512.52</v>
      </c>
      <c r="M190">
        <v>5066.6839779005522</v>
      </c>
      <c r="N190">
        <v>2512.52</v>
      </c>
      <c r="O190">
        <v>5052.6501098900999</v>
      </c>
      <c r="P190">
        <v>0</v>
      </c>
      <c r="Q190">
        <f t="shared" si="45"/>
        <v>5052.6501098900999</v>
      </c>
      <c r="R190">
        <v>0</v>
      </c>
      <c r="S190">
        <f t="shared" si="46"/>
        <v>-5052.6501098900999</v>
      </c>
      <c r="T190">
        <v>0.02</v>
      </c>
      <c r="U190">
        <f t="shared" si="47"/>
        <v>0</v>
      </c>
      <c r="V190">
        <f t="shared" si="48"/>
        <v>0</v>
      </c>
      <c r="W190">
        <f t="shared" si="49"/>
        <v>-5052.6501098900999</v>
      </c>
      <c r="X190" t="s">
        <v>1307</v>
      </c>
    </row>
    <row r="191" spans="1:24" x14ac:dyDescent="0.25">
      <c r="A191" t="s">
        <v>1925</v>
      </c>
      <c r="B191" t="s">
        <v>1926</v>
      </c>
      <c r="C191" t="s">
        <v>1959</v>
      </c>
      <c r="D191" t="s">
        <v>71</v>
      </c>
      <c r="E191" t="s">
        <v>73</v>
      </c>
      <c r="F191" t="s">
        <v>1</v>
      </c>
      <c r="G191" t="s">
        <v>488</v>
      </c>
      <c r="H191" t="s">
        <v>490</v>
      </c>
      <c r="I191" t="s">
        <v>1</v>
      </c>
      <c r="J191"/>
      <c r="K191"/>
      <c r="L191">
        <v>1360</v>
      </c>
      <c r="M191">
        <v>2742.5414364640887</v>
      </c>
      <c r="N191">
        <v>1360</v>
      </c>
      <c r="O191">
        <v>2734.9450549450999</v>
      </c>
      <c r="P191">
        <v>0</v>
      </c>
      <c r="Q191">
        <f t="shared" si="45"/>
        <v>2734.9450549450999</v>
      </c>
      <c r="R191">
        <v>0</v>
      </c>
      <c r="S191">
        <f t="shared" si="46"/>
        <v>-2734.9450549450999</v>
      </c>
      <c r="T191">
        <v>3.5000000000000003E-2</v>
      </c>
      <c r="U191">
        <f t="shared" si="47"/>
        <v>0</v>
      </c>
      <c r="V191">
        <f t="shared" si="48"/>
        <v>0</v>
      </c>
      <c r="W191">
        <f t="shared" si="49"/>
        <v>-2734.9450549450999</v>
      </c>
      <c r="X191" t="s">
        <v>1307</v>
      </c>
    </row>
    <row r="192" spans="1:24" x14ac:dyDescent="0.25">
      <c r="A192" t="s">
        <v>1925</v>
      </c>
      <c r="B192" t="s">
        <v>1926</v>
      </c>
      <c r="C192" t="s">
        <v>1959</v>
      </c>
      <c r="D192" t="s">
        <v>71</v>
      </c>
      <c r="E192" t="s">
        <v>74</v>
      </c>
      <c r="F192" t="s">
        <v>1</v>
      </c>
      <c r="G192" t="s">
        <v>488</v>
      </c>
      <c r="H192" t="s">
        <v>491</v>
      </c>
      <c r="I192" t="s">
        <v>1</v>
      </c>
      <c r="J192"/>
      <c r="K192"/>
      <c r="L192">
        <v>83.69</v>
      </c>
      <c r="M192">
        <v>168.76712707182321</v>
      </c>
      <c r="N192">
        <v>83.69</v>
      </c>
      <c r="O192">
        <v>168.29967032970001</v>
      </c>
      <c r="P192">
        <v>0</v>
      </c>
      <c r="Q192">
        <f t="shared" si="45"/>
        <v>168.29967032970001</v>
      </c>
      <c r="R192">
        <v>0</v>
      </c>
      <c r="S192">
        <f t="shared" si="46"/>
        <v>-168.29967032970001</v>
      </c>
      <c r="T192">
        <v>3.5000000000000003E-2</v>
      </c>
      <c r="U192">
        <f t="shared" si="47"/>
        <v>0</v>
      </c>
      <c r="V192">
        <f t="shared" si="48"/>
        <v>0</v>
      </c>
      <c r="W192">
        <f t="shared" si="49"/>
        <v>-168.29967032970001</v>
      </c>
      <c r="X192" t="s">
        <v>1307</v>
      </c>
    </row>
    <row r="193" spans="1:24" x14ac:dyDescent="0.25">
      <c r="A193" t="s">
        <v>1925</v>
      </c>
      <c r="B193" t="s">
        <v>1926</v>
      </c>
      <c r="C193" t="s">
        <v>1959</v>
      </c>
      <c r="D193" t="s">
        <v>71</v>
      </c>
      <c r="E193" t="s">
        <v>20</v>
      </c>
      <c r="F193" t="s">
        <v>1</v>
      </c>
      <c r="G193" t="s">
        <v>488</v>
      </c>
      <c r="H193" t="s">
        <v>420</v>
      </c>
      <c r="I193" t="s">
        <v>1</v>
      </c>
      <c r="J193"/>
      <c r="K193"/>
      <c r="L193">
        <v>3488.44</v>
      </c>
      <c r="M193">
        <v>7034.6994475138117</v>
      </c>
      <c r="N193">
        <v>3488.44</v>
      </c>
      <c r="O193">
        <v>7015.2145054945004</v>
      </c>
      <c r="P193">
        <v>0</v>
      </c>
      <c r="Q193">
        <f t="shared" si="45"/>
        <v>7015.2145054945004</v>
      </c>
      <c r="R193">
        <v>0</v>
      </c>
      <c r="S193">
        <f t="shared" si="46"/>
        <v>-7015.2145054945004</v>
      </c>
      <c r="T193">
        <v>0.04</v>
      </c>
      <c r="U193">
        <f t="shared" si="47"/>
        <v>0</v>
      </c>
      <c r="V193">
        <f t="shared" si="48"/>
        <v>0</v>
      </c>
      <c r="W193">
        <f t="shared" si="49"/>
        <v>-7015.2145054945004</v>
      </c>
      <c r="X193" t="s">
        <v>1307</v>
      </c>
    </row>
    <row r="194" spans="1:24" x14ac:dyDescent="0.25">
      <c r="A194" t="s">
        <v>1925</v>
      </c>
      <c r="B194" t="s">
        <v>1926</v>
      </c>
      <c r="C194" t="s">
        <v>1959</v>
      </c>
      <c r="D194" t="s">
        <v>71</v>
      </c>
      <c r="E194" t="s">
        <v>21</v>
      </c>
      <c r="F194" t="s">
        <v>1</v>
      </c>
      <c r="G194" t="s">
        <v>488</v>
      </c>
      <c r="H194" t="s">
        <v>421</v>
      </c>
      <c r="I194" t="s">
        <v>1</v>
      </c>
      <c r="J194"/>
      <c r="K194"/>
      <c r="L194">
        <v>1551.84</v>
      </c>
      <c r="M194">
        <v>3129.4011049723758</v>
      </c>
      <c r="N194">
        <v>1551.84</v>
      </c>
      <c r="O194">
        <v>3129.4011049723999</v>
      </c>
      <c r="P194">
        <v>0</v>
      </c>
      <c r="Q194">
        <f t="shared" si="45"/>
        <v>3129.4011049723999</v>
      </c>
      <c r="R194">
        <v>0</v>
      </c>
      <c r="S194">
        <f t="shared" si="46"/>
        <v>-3129.4011049723999</v>
      </c>
      <c r="T194">
        <v>0.03</v>
      </c>
      <c r="U194">
        <f t="shared" si="47"/>
        <v>0</v>
      </c>
      <c r="V194">
        <f t="shared" si="48"/>
        <v>0</v>
      </c>
      <c r="W194">
        <f t="shared" si="49"/>
        <v>-3129.4011049723999</v>
      </c>
      <c r="X194">
        <v>0</v>
      </c>
    </row>
    <row r="195" spans="1:24" x14ac:dyDescent="0.25">
      <c r="A195" t="s">
        <v>1925</v>
      </c>
      <c r="B195" t="s">
        <v>1926</v>
      </c>
      <c r="C195" t="s">
        <v>1959</v>
      </c>
      <c r="D195" t="s">
        <v>71</v>
      </c>
      <c r="E195" t="s">
        <v>22</v>
      </c>
      <c r="F195" t="s">
        <v>1</v>
      </c>
      <c r="G195" t="s">
        <v>488</v>
      </c>
      <c r="H195" t="s">
        <v>422</v>
      </c>
      <c r="I195" t="s">
        <v>1</v>
      </c>
      <c r="J195">
        <v>39.159999999999997</v>
      </c>
      <c r="K195">
        <v>1070</v>
      </c>
      <c r="L195">
        <v>2903.36</v>
      </c>
      <c r="M195">
        <v>5854.8419889502757</v>
      </c>
      <c r="N195">
        <v>2903.36</v>
      </c>
      <c r="O195">
        <v>5854.8419889503002</v>
      </c>
      <c r="P195">
        <v>0</v>
      </c>
      <c r="Q195">
        <f t="shared" si="45"/>
        <v>5854.8419889503002</v>
      </c>
      <c r="R195">
        <v>0</v>
      </c>
      <c r="S195">
        <f t="shared" si="46"/>
        <v>-5854.8419889503002</v>
      </c>
      <c r="T195">
        <v>3.5000000000000003E-2</v>
      </c>
      <c r="U195">
        <f t="shared" si="47"/>
        <v>0</v>
      </c>
      <c r="V195">
        <f t="shared" si="48"/>
        <v>0</v>
      </c>
      <c r="W195">
        <f t="shared" si="49"/>
        <v>-5854.8419889503002</v>
      </c>
      <c r="X195">
        <v>0</v>
      </c>
    </row>
    <row r="196" spans="1:24" x14ac:dyDescent="0.25">
      <c r="A196" t="s">
        <v>1925</v>
      </c>
      <c r="B196" t="s">
        <v>1926</v>
      </c>
      <c r="C196" t="s">
        <v>1959</v>
      </c>
      <c r="D196" t="s">
        <v>71</v>
      </c>
      <c r="E196" t="s">
        <v>23</v>
      </c>
      <c r="F196" t="s">
        <v>1</v>
      </c>
      <c r="G196" t="s">
        <v>488</v>
      </c>
      <c r="H196" t="s">
        <v>423</v>
      </c>
      <c r="I196" t="s">
        <v>1</v>
      </c>
      <c r="J196">
        <v>549.59</v>
      </c>
      <c r="K196">
        <v>1587.5000000001</v>
      </c>
      <c r="L196">
        <v>3101.99</v>
      </c>
      <c r="M196">
        <v>6255.3941988950273</v>
      </c>
      <c r="N196">
        <v>3207.6</v>
      </c>
      <c r="O196">
        <v>6255.394198895</v>
      </c>
      <c r="P196">
        <v>0</v>
      </c>
      <c r="Q196">
        <f t="shared" si="45"/>
        <v>6255.394198895</v>
      </c>
      <c r="R196">
        <v>0</v>
      </c>
      <c r="S196">
        <f t="shared" si="46"/>
        <v>-6255.394198895</v>
      </c>
      <c r="T196">
        <v>3.5000000000000003E-2</v>
      </c>
      <c r="U196">
        <f t="shared" si="47"/>
        <v>0</v>
      </c>
      <c r="V196">
        <f t="shared" si="48"/>
        <v>0</v>
      </c>
      <c r="W196">
        <f t="shared" si="49"/>
        <v>-6255.394198895</v>
      </c>
      <c r="X196">
        <v>0</v>
      </c>
    </row>
    <row r="197" spans="1:24" x14ac:dyDescent="0.25">
      <c r="A197" t="s">
        <v>1925</v>
      </c>
      <c r="B197" t="s">
        <v>1926</v>
      </c>
      <c r="C197" t="s">
        <v>1959</v>
      </c>
      <c r="D197" t="s">
        <v>71</v>
      </c>
      <c r="E197" t="s">
        <v>24</v>
      </c>
      <c r="F197" t="s">
        <v>1</v>
      </c>
      <c r="G197" t="s">
        <v>488</v>
      </c>
      <c r="H197" t="s">
        <v>424</v>
      </c>
      <c r="I197" t="s">
        <v>1</v>
      </c>
      <c r="J197">
        <v>644.88</v>
      </c>
      <c r="K197">
        <v>840</v>
      </c>
      <c r="L197">
        <v>0</v>
      </c>
      <c r="M197">
        <v>0</v>
      </c>
      <c r="N197">
        <v>224.88</v>
      </c>
      <c r="O197"/>
      <c r="P197">
        <v>0</v>
      </c>
      <c r="Q197">
        <f t="shared" si="45"/>
        <v>0</v>
      </c>
      <c r="R197">
        <v>0</v>
      </c>
      <c r="S197">
        <f t="shared" si="46"/>
        <v>0</v>
      </c>
      <c r="T197"/>
      <c r="U197">
        <f t="shared" si="47"/>
        <v>0</v>
      </c>
      <c r="V197">
        <f t="shared" si="48"/>
        <v>0</v>
      </c>
      <c r="W197">
        <f t="shared" si="49"/>
        <v>0</v>
      </c>
      <c r="X197">
        <v>0</v>
      </c>
    </row>
    <row r="198" spans="1:24" x14ac:dyDescent="0.25">
      <c r="A198" t="s">
        <v>1925</v>
      </c>
      <c r="B198" t="s">
        <v>1926</v>
      </c>
      <c r="C198" t="s">
        <v>1959</v>
      </c>
      <c r="D198" t="s">
        <v>71</v>
      </c>
      <c r="E198" t="s">
        <v>25</v>
      </c>
      <c r="F198" t="s">
        <v>1</v>
      </c>
      <c r="G198" t="s">
        <v>488</v>
      </c>
      <c r="H198" t="s">
        <v>425</v>
      </c>
      <c r="I198" t="s">
        <v>1</v>
      </c>
      <c r="J198">
        <v>1089.8800000000001</v>
      </c>
      <c r="K198">
        <v>999.99959999999999</v>
      </c>
      <c r="L198">
        <v>16.32</v>
      </c>
      <c r="M198">
        <v>32.910497237569061</v>
      </c>
      <c r="N198">
        <v>69.319999999999993</v>
      </c>
      <c r="O198">
        <v>32.64</v>
      </c>
      <c r="P198">
        <v>0</v>
      </c>
      <c r="Q198">
        <f t="shared" si="45"/>
        <v>32.64</v>
      </c>
      <c r="R198">
        <v>0</v>
      </c>
      <c r="S198">
        <f t="shared" si="46"/>
        <v>-32.64</v>
      </c>
      <c r="T198"/>
      <c r="U198">
        <f t="shared" si="47"/>
        <v>0</v>
      </c>
      <c r="V198">
        <f t="shared" si="48"/>
        <v>0</v>
      </c>
      <c r="W198">
        <f t="shared" si="49"/>
        <v>-32.64</v>
      </c>
      <c r="X198">
        <v>0</v>
      </c>
    </row>
    <row r="199" spans="1:24" x14ac:dyDescent="0.25">
      <c r="A199" t="s">
        <v>1925</v>
      </c>
      <c r="B199" t="s">
        <v>1926</v>
      </c>
      <c r="C199" t="s">
        <v>1959</v>
      </c>
      <c r="D199" t="s">
        <v>71</v>
      </c>
      <c r="E199" t="s">
        <v>27</v>
      </c>
      <c r="F199" t="s">
        <v>1</v>
      </c>
      <c r="G199" t="s">
        <v>488</v>
      </c>
      <c r="H199" t="s">
        <v>427</v>
      </c>
      <c r="I199" t="s">
        <v>1</v>
      </c>
      <c r="J199">
        <v>17.940000000000001</v>
      </c>
      <c r="K199">
        <v>99.999600000000001</v>
      </c>
      <c r="L199">
        <v>0</v>
      </c>
      <c r="M199">
        <v>0</v>
      </c>
      <c r="N199">
        <v>5.98</v>
      </c>
      <c r="O199"/>
      <c r="P199">
        <v>0</v>
      </c>
      <c r="Q199">
        <f t="shared" si="45"/>
        <v>0</v>
      </c>
      <c r="R199">
        <v>0</v>
      </c>
      <c r="S199">
        <f t="shared" si="46"/>
        <v>0</v>
      </c>
      <c r="T199"/>
      <c r="U199">
        <f t="shared" si="47"/>
        <v>0</v>
      </c>
      <c r="V199">
        <f t="shared" si="48"/>
        <v>0</v>
      </c>
      <c r="W199">
        <f t="shared" si="49"/>
        <v>0</v>
      </c>
      <c r="X199">
        <v>0</v>
      </c>
    </row>
    <row r="200" spans="1:24" x14ac:dyDescent="0.25">
      <c r="A200" t="s">
        <v>1925</v>
      </c>
      <c r="B200" t="s">
        <v>1926</v>
      </c>
      <c r="C200" t="s">
        <v>1959</v>
      </c>
      <c r="D200" t="s">
        <v>71</v>
      </c>
      <c r="E200" t="s">
        <v>28</v>
      </c>
      <c r="F200" t="s">
        <v>1</v>
      </c>
      <c r="G200" t="s">
        <v>488</v>
      </c>
      <c r="H200" t="s">
        <v>428</v>
      </c>
      <c r="I200" t="s">
        <v>1</v>
      </c>
      <c r="J200"/>
      <c r="K200">
        <v>1999.9995999995999</v>
      </c>
      <c r="L200">
        <v>78.97</v>
      </c>
      <c r="M200">
        <v>159.24889502762431</v>
      </c>
      <c r="N200">
        <v>78.97</v>
      </c>
      <c r="O200">
        <v>157.94</v>
      </c>
      <c r="P200">
        <v>0</v>
      </c>
      <c r="Q200">
        <f t="shared" si="45"/>
        <v>157.94</v>
      </c>
      <c r="R200">
        <v>0</v>
      </c>
      <c r="S200">
        <f t="shared" si="46"/>
        <v>-157.94</v>
      </c>
      <c r="T200"/>
      <c r="U200">
        <f t="shared" si="47"/>
        <v>0</v>
      </c>
      <c r="V200">
        <f t="shared" si="48"/>
        <v>0</v>
      </c>
      <c r="W200">
        <f t="shared" si="49"/>
        <v>-157.94</v>
      </c>
      <c r="X200">
        <v>0</v>
      </c>
    </row>
    <row r="201" spans="1:24" x14ac:dyDescent="0.25">
      <c r="A201" t="s">
        <v>1925</v>
      </c>
      <c r="B201" t="s">
        <v>1926</v>
      </c>
      <c r="C201" t="s">
        <v>1959</v>
      </c>
      <c r="D201" t="s">
        <v>71</v>
      </c>
      <c r="E201" t="s">
        <v>29</v>
      </c>
      <c r="F201" t="s">
        <v>1</v>
      </c>
      <c r="G201" t="s">
        <v>488</v>
      </c>
      <c r="H201" t="s">
        <v>429</v>
      </c>
      <c r="I201" t="s">
        <v>1</v>
      </c>
      <c r="J201">
        <v>1900.99</v>
      </c>
      <c r="K201">
        <v>2499.9996000000001</v>
      </c>
      <c r="L201">
        <v>46.43</v>
      </c>
      <c r="M201">
        <v>93.629558011049724</v>
      </c>
      <c r="N201">
        <v>49.42</v>
      </c>
      <c r="O201">
        <v>92.86</v>
      </c>
      <c r="P201">
        <v>0</v>
      </c>
      <c r="Q201">
        <f t="shared" si="45"/>
        <v>92.86</v>
      </c>
      <c r="R201">
        <v>0</v>
      </c>
      <c r="S201">
        <f t="shared" si="46"/>
        <v>-92.86</v>
      </c>
      <c r="T201"/>
      <c r="U201">
        <f t="shared" si="47"/>
        <v>0</v>
      </c>
      <c r="V201">
        <f t="shared" si="48"/>
        <v>0</v>
      </c>
      <c r="W201">
        <f t="shared" si="49"/>
        <v>-92.86</v>
      </c>
      <c r="X201">
        <v>0</v>
      </c>
    </row>
    <row r="202" spans="1:24" x14ac:dyDescent="0.25">
      <c r="A202" t="s">
        <v>1925</v>
      </c>
      <c r="B202" t="s">
        <v>1926</v>
      </c>
      <c r="C202" t="s">
        <v>1959</v>
      </c>
      <c r="D202" t="s">
        <v>71</v>
      </c>
      <c r="E202" t="s">
        <v>31</v>
      </c>
      <c r="F202" t="s">
        <v>1</v>
      </c>
      <c r="G202" t="s">
        <v>488</v>
      </c>
      <c r="H202" t="s">
        <v>431</v>
      </c>
      <c r="I202" t="s">
        <v>1</v>
      </c>
      <c r="J202"/>
      <c r="K202"/>
      <c r="L202">
        <v>10365.450000000001</v>
      </c>
      <c r="M202">
        <v>20902.703038674033</v>
      </c>
      <c r="N202">
        <v>10365.450000000001</v>
      </c>
      <c r="O202">
        <v>20730.900000000001</v>
      </c>
      <c r="P202">
        <v>0</v>
      </c>
      <c r="Q202">
        <f t="shared" si="45"/>
        <v>20730.900000000001</v>
      </c>
      <c r="R202">
        <v>0</v>
      </c>
      <c r="S202">
        <f t="shared" si="46"/>
        <v>-20730.900000000001</v>
      </c>
      <c r="T202"/>
      <c r="U202">
        <f t="shared" si="47"/>
        <v>0</v>
      </c>
      <c r="V202">
        <f t="shared" si="48"/>
        <v>0</v>
      </c>
      <c r="W202">
        <f t="shared" si="49"/>
        <v>-20730.900000000001</v>
      </c>
      <c r="X202">
        <v>0</v>
      </c>
    </row>
    <row r="203" spans="1:24" x14ac:dyDescent="0.25">
      <c r="A203" t="s">
        <v>1925</v>
      </c>
      <c r="B203" t="s">
        <v>1926</v>
      </c>
      <c r="C203" t="s">
        <v>1959</v>
      </c>
      <c r="D203" t="s">
        <v>71</v>
      </c>
      <c r="E203" t="s">
        <v>33</v>
      </c>
      <c r="F203" t="s">
        <v>1</v>
      </c>
      <c r="G203" t="s">
        <v>488</v>
      </c>
      <c r="H203" t="s">
        <v>433</v>
      </c>
      <c r="I203" t="s">
        <v>1</v>
      </c>
      <c r="J203"/>
      <c r="K203">
        <v>5000.0003999999999</v>
      </c>
      <c r="L203">
        <v>583</v>
      </c>
      <c r="M203">
        <v>1175.6629834254143</v>
      </c>
      <c r="N203">
        <v>583</v>
      </c>
      <c r="O203">
        <v>1166</v>
      </c>
      <c r="P203">
        <v>0</v>
      </c>
      <c r="Q203">
        <f t="shared" si="45"/>
        <v>1166</v>
      </c>
      <c r="R203">
        <v>0</v>
      </c>
      <c r="S203">
        <f t="shared" si="46"/>
        <v>-1166</v>
      </c>
      <c r="T203"/>
      <c r="U203">
        <f t="shared" si="47"/>
        <v>0</v>
      </c>
      <c r="V203">
        <f t="shared" si="48"/>
        <v>0</v>
      </c>
      <c r="W203">
        <f t="shared" si="49"/>
        <v>-1166</v>
      </c>
      <c r="X203">
        <v>0</v>
      </c>
    </row>
    <row r="204" spans="1:24" x14ac:dyDescent="0.25">
      <c r="A204" t="s">
        <v>1925</v>
      </c>
      <c r="B204" t="s">
        <v>1926</v>
      </c>
      <c r="C204" t="s">
        <v>1959</v>
      </c>
      <c r="D204" t="s">
        <v>71</v>
      </c>
      <c r="E204" t="s">
        <v>34</v>
      </c>
      <c r="F204" t="s">
        <v>1</v>
      </c>
      <c r="G204" t="s">
        <v>488</v>
      </c>
      <c r="H204" t="s">
        <v>434</v>
      </c>
      <c r="I204" t="s">
        <v>1</v>
      </c>
      <c r="J204">
        <v>29976.34</v>
      </c>
      <c r="K204">
        <v>9999.9999999995998</v>
      </c>
      <c r="L204">
        <v>10605.91</v>
      </c>
      <c r="M204">
        <v>21387.608563535912</v>
      </c>
      <c r="N204">
        <v>19477.89</v>
      </c>
      <c r="O204">
        <v>21211.82</v>
      </c>
      <c r="P204">
        <v>0</v>
      </c>
      <c r="Q204">
        <f t="shared" si="45"/>
        <v>21211.82</v>
      </c>
      <c r="R204">
        <v>0</v>
      </c>
      <c r="S204">
        <f t="shared" si="46"/>
        <v>-21211.82</v>
      </c>
      <c r="T204"/>
      <c r="U204">
        <f t="shared" si="47"/>
        <v>0</v>
      </c>
      <c r="V204">
        <f t="shared" si="48"/>
        <v>0</v>
      </c>
      <c r="W204">
        <f t="shared" si="49"/>
        <v>-21211.82</v>
      </c>
      <c r="X204">
        <v>0</v>
      </c>
    </row>
    <row r="205" spans="1:24" x14ac:dyDescent="0.25">
      <c r="A205" t="s">
        <v>1925</v>
      </c>
      <c r="B205" t="s">
        <v>1926</v>
      </c>
      <c r="C205" t="s">
        <v>1959</v>
      </c>
      <c r="D205" t="s">
        <v>71</v>
      </c>
      <c r="E205" t="s">
        <v>37</v>
      </c>
      <c r="F205" t="s">
        <v>1</v>
      </c>
      <c r="G205" t="s">
        <v>488</v>
      </c>
      <c r="H205" t="s">
        <v>437</v>
      </c>
      <c r="I205" t="s">
        <v>1</v>
      </c>
      <c r="J205">
        <v>14670.12</v>
      </c>
      <c r="K205">
        <v>2499.9996000000001</v>
      </c>
      <c r="L205">
        <v>2315.21</v>
      </c>
      <c r="M205">
        <v>4668.7936464088398</v>
      </c>
      <c r="N205">
        <v>14296.3</v>
      </c>
      <c r="O205">
        <v>4630.42</v>
      </c>
      <c r="P205">
        <v>0</v>
      </c>
      <c r="Q205">
        <f t="shared" si="45"/>
        <v>4630.42</v>
      </c>
      <c r="R205">
        <v>0</v>
      </c>
      <c r="S205">
        <f t="shared" si="46"/>
        <v>-4630.42</v>
      </c>
      <c r="T205"/>
      <c r="U205">
        <f t="shared" si="47"/>
        <v>0</v>
      </c>
      <c r="V205">
        <f t="shared" si="48"/>
        <v>0</v>
      </c>
      <c r="W205">
        <f t="shared" si="49"/>
        <v>-4630.42</v>
      </c>
      <c r="X205">
        <v>0</v>
      </c>
    </row>
    <row r="206" spans="1:24" x14ac:dyDescent="0.25">
      <c r="A206" t="s">
        <v>1925</v>
      </c>
      <c r="B206" t="s">
        <v>1926</v>
      </c>
      <c r="C206" t="s">
        <v>1959</v>
      </c>
      <c r="D206" t="s">
        <v>71</v>
      </c>
      <c r="E206" t="s">
        <v>75</v>
      </c>
      <c r="F206" t="s">
        <v>1</v>
      </c>
      <c r="G206" t="s">
        <v>488</v>
      </c>
      <c r="H206" t="s">
        <v>492</v>
      </c>
      <c r="I206" t="s">
        <v>1</v>
      </c>
      <c r="J206"/>
      <c r="K206"/>
      <c r="L206">
        <v>36.51</v>
      </c>
      <c r="M206">
        <v>73.625138121546954</v>
      </c>
      <c r="N206">
        <v>36.51</v>
      </c>
      <c r="O206">
        <v>73.625138121500001</v>
      </c>
      <c r="P206">
        <v>0</v>
      </c>
      <c r="Q206">
        <f t="shared" si="45"/>
        <v>73.625138121500001</v>
      </c>
      <c r="R206">
        <v>0</v>
      </c>
      <c r="S206">
        <f t="shared" si="46"/>
        <v>-73.625138121500001</v>
      </c>
      <c r="T206">
        <v>3.2500000000000001E-2</v>
      </c>
      <c r="U206">
        <f t="shared" si="47"/>
        <v>0</v>
      </c>
      <c r="V206">
        <f t="shared" si="48"/>
        <v>0</v>
      </c>
      <c r="W206">
        <f t="shared" si="49"/>
        <v>-73.625138121500001</v>
      </c>
      <c r="X206" t="s">
        <v>1307</v>
      </c>
    </row>
    <row r="207" spans="1:24" x14ac:dyDescent="0.25">
      <c r="A207" t="s">
        <v>1925</v>
      </c>
      <c r="B207" t="s">
        <v>1926</v>
      </c>
      <c r="C207" t="s">
        <v>1959</v>
      </c>
      <c r="D207" t="s">
        <v>71</v>
      </c>
      <c r="E207" t="s">
        <v>76</v>
      </c>
      <c r="F207" t="s">
        <v>1</v>
      </c>
      <c r="G207" t="s">
        <v>488</v>
      </c>
      <c r="H207" t="s">
        <v>493</v>
      </c>
      <c r="I207" t="s">
        <v>1</v>
      </c>
      <c r="J207">
        <v>4416.3</v>
      </c>
      <c r="K207">
        <v>4999.9995999995999</v>
      </c>
      <c r="L207">
        <v>0</v>
      </c>
      <c r="M207">
        <v>0</v>
      </c>
      <c r="N207">
        <v>0</v>
      </c>
      <c r="O207"/>
      <c r="P207">
        <v>0</v>
      </c>
      <c r="Q207">
        <f t="shared" si="45"/>
        <v>0</v>
      </c>
      <c r="R207">
        <v>0</v>
      </c>
      <c r="S207">
        <f t="shared" si="46"/>
        <v>0</v>
      </c>
      <c r="T207">
        <v>0.03</v>
      </c>
      <c r="U207">
        <f t="shared" si="47"/>
        <v>0</v>
      </c>
      <c r="V207">
        <f t="shared" si="48"/>
        <v>0</v>
      </c>
      <c r="W207">
        <f t="shared" si="49"/>
        <v>0</v>
      </c>
      <c r="X207">
        <v>0</v>
      </c>
    </row>
    <row r="208" spans="1:24" x14ac:dyDescent="0.25">
      <c r="A208" t="s">
        <v>1925</v>
      </c>
      <c r="B208" t="s">
        <v>1926</v>
      </c>
      <c r="C208" t="s">
        <v>1959</v>
      </c>
      <c r="D208" t="s">
        <v>71</v>
      </c>
      <c r="E208" t="s">
        <v>41</v>
      </c>
      <c r="F208" t="s">
        <v>1</v>
      </c>
      <c r="G208" t="s">
        <v>488</v>
      </c>
      <c r="H208" t="s">
        <v>441</v>
      </c>
      <c r="I208" t="s">
        <v>1</v>
      </c>
      <c r="J208"/>
      <c r="K208"/>
      <c r="L208">
        <v>1037.83</v>
      </c>
      <c r="M208">
        <v>2092.8616022099445</v>
      </c>
      <c r="N208">
        <v>1037.83</v>
      </c>
      <c r="O208">
        <v>2075.66</v>
      </c>
      <c r="P208">
        <v>0</v>
      </c>
      <c r="Q208">
        <f t="shared" si="45"/>
        <v>2075.66</v>
      </c>
      <c r="R208">
        <v>0</v>
      </c>
      <c r="S208">
        <f t="shared" si="46"/>
        <v>-2075.66</v>
      </c>
      <c r="T208">
        <v>0.03</v>
      </c>
      <c r="U208">
        <f t="shared" si="47"/>
        <v>0</v>
      </c>
      <c r="V208">
        <f t="shared" si="48"/>
        <v>0</v>
      </c>
      <c r="W208">
        <f t="shared" si="49"/>
        <v>-2075.66</v>
      </c>
      <c r="X208">
        <v>0</v>
      </c>
    </row>
    <row r="209" spans="1:24" x14ac:dyDescent="0.25">
      <c r="A209" t="s">
        <v>1925</v>
      </c>
      <c r="B209" t="s">
        <v>1926</v>
      </c>
      <c r="C209" t="s">
        <v>1959</v>
      </c>
      <c r="D209" t="s">
        <v>71</v>
      </c>
      <c r="E209" t="s">
        <v>46</v>
      </c>
      <c r="F209" t="s">
        <v>1</v>
      </c>
      <c r="G209" t="s">
        <v>488</v>
      </c>
      <c r="H209" t="s">
        <v>446</v>
      </c>
      <c r="I209" t="s">
        <v>1</v>
      </c>
      <c r="J209">
        <v>1237</v>
      </c>
      <c r="K209">
        <v>999.99959999999999</v>
      </c>
      <c r="L209">
        <v>4760.8599999999997</v>
      </c>
      <c r="M209">
        <v>9600.629281767955</v>
      </c>
      <c r="N209">
        <v>4952.8600000000006</v>
      </c>
      <c r="O209">
        <v>9521.7199999999993</v>
      </c>
      <c r="P209">
        <v>0</v>
      </c>
      <c r="Q209">
        <f t="shared" si="45"/>
        <v>9521.7199999999993</v>
      </c>
      <c r="R209">
        <v>0</v>
      </c>
      <c r="S209">
        <f t="shared" si="46"/>
        <v>-9521.7199999999993</v>
      </c>
      <c r="T209">
        <v>0.03</v>
      </c>
      <c r="U209">
        <f t="shared" si="47"/>
        <v>0</v>
      </c>
      <c r="V209">
        <f t="shared" si="48"/>
        <v>0</v>
      </c>
      <c r="W209">
        <f t="shared" si="49"/>
        <v>-9521.7199999999993</v>
      </c>
      <c r="X209">
        <v>0</v>
      </c>
    </row>
    <row r="210" spans="1:24" x14ac:dyDescent="0.25">
      <c r="A210" t="s">
        <v>1925</v>
      </c>
      <c r="B210" t="s">
        <v>1926</v>
      </c>
      <c r="C210" t="s">
        <v>1959</v>
      </c>
      <c r="D210" t="s">
        <v>71</v>
      </c>
      <c r="E210" t="s">
        <v>48</v>
      </c>
      <c r="F210" t="s">
        <v>1</v>
      </c>
      <c r="G210" t="s">
        <v>488</v>
      </c>
      <c r="H210" t="s">
        <v>448</v>
      </c>
      <c r="I210" t="s">
        <v>1</v>
      </c>
      <c r="J210">
        <v>120.72</v>
      </c>
      <c r="K210">
        <v>200.00040000000001</v>
      </c>
      <c r="L210">
        <v>0</v>
      </c>
      <c r="M210">
        <v>0</v>
      </c>
      <c r="N210">
        <v>30.42</v>
      </c>
      <c r="O210"/>
      <c r="P210">
        <v>0</v>
      </c>
      <c r="Q210">
        <f t="shared" si="45"/>
        <v>0</v>
      </c>
      <c r="R210">
        <v>0</v>
      </c>
      <c r="S210">
        <f t="shared" si="46"/>
        <v>0</v>
      </c>
      <c r="T210">
        <v>0.03</v>
      </c>
      <c r="U210">
        <f t="shared" si="47"/>
        <v>0</v>
      </c>
      <c r="V210">
        <f t="shared" si="48"/>
        <v>0</v>
      </c>
      <c r="W210">
        <f t="shared" si="49"/>
        <v>0</v>
      </c>
      <c r="X210">
        <v>0</v>
      </c>
    </row>
    <row r="211" spans="1:24" x14ac:dyDescent="0.25">
      <c r="A211" t="s">
        <v>1925</v>
      </c>
      <c r="B211" t="s">
        <v>1926</v>
      </c>
      <c r="C211" t="s">
        <v>1959</v>
      </c>
      <c r="D211" t="s">
        <v>71</v>
      </c>
      <c r="E211" t="s">
        <v>49</v>
      </c>
      <c r="F211" t="s">
        <v>1</v>
      </c>
      <c r="G211" t="s">
        <v>488</v>
      </c>
      <c r="H211" t="s">
        <v>449</v>
      </c>
      <c r="I211" t="s">
        <v>1</v>
      </c>
      <c r="J211">
        <v>924.8</v>
      </c>
      <c r="K211">
        <v>1328.0001999996</v>
      </c>
      <c r="L211">
        <v>486.68</v>
      </c>
      <c r="M211">
        <v>981.42651933701654</v>
      </c>
      <c r="N211">
        <v>753.01</v>
      </c>
      <c r="O211">
        <v>981.42651933699995</v>
      </c>
      <c r="P211">
        <v>0</v>
      </c>
      <c r="Q211">
        <f t="shared" si="45"/>
        <v>981.42651933699995</v>
      </c>
      <c r="R211">
        <v>0</v>
      </c>
      <c r="S211">
        <f t="shared" si="46"/>
        <v>-981.42651933699995</v>
      </c>
      <c r="T211"/>
      <c r="U211">
        <f t="shared" si="47"/>
        <v>0</v>
      </c>
      <c r="V211">
        <f t="shared" si="48"/>
        <v>0</v>
      </c>
      <c r="W211">
        <f t="shared" si="49"/>
        <v>-981.42651933699995</v>
      </c>
      <c r="X211">
        <v>0</v>
      </c>
    </row>
    <row r="212" spans="1:24" x14ac:dyDescent="0.25">
      <c r="A212" t="s">
        <v>1925</v>
      </c>
      <c r="B212" t="s">
        <v>1926</v>
      </c>
      <c r="C212" t="s">
        <v>1959</v>
      </c>
      <c r="D212" t="s">
        <v>71</v>
      </c>
      <c r="E212" t="s">
        <v>50</v>
      </c>
      <c r="F212" t="s">
        <v>1</v>
      </c>
      <c r="G212" t="s">
        <v>488</v>
      </c>
      <c r="H212" t="s">
        <v>450</v>
      </c>
      <c r="I212" t="s">
        <v>1</v>
      </c>
      <c r="J212">
        <v>1489.48</v>
      </c>
      <c r="K212">
        <v>369.00009999960002</v>
      </c>
      <c r="L212">
        <v>169.16</v>
      </c>
      <c r="M212">
        <v>341.12375690607735</v>
      </c>
      <c r="N212">
        <v>1475.45</v>
      </c>
      <c r="O212">
        <v>341.12375690610003</v>
      </c>
      <c r="P212">
        <v>0</v>
      </c>
      <c r="Q212">
        <f t="shared" si="45"/>
        <v>341.12375690610003</v>
      </c>
      <c r="R212">
        <v>0</v>
      </c>
      <c r="S212">
        <f t="shared" si="46"/>
        <v>-341.12375690610003</v>
      </c>
      <c r="T212"/>
      <c r="U212">
        <f t="shared" si="47"/>
        <v>0</v>
      </c>
      <c r="V212">
        <f t="shared" si="48"/>
        <v>0</v>
      </c>
      <c r="W212">
        <f t="shared" si="49"/>
        <v>-341.12375690610003</v>
      </c>
      <c r="X212">
        <v>0</v>
      </c>
    </row>
    <row r="213" spans="1:24" x14ac:dyDescent="0.25">
      <c r="A213" t="s">
        <v>1925</v>
      </c>
      <c r="B213" t="s">
        <v>1926</v>
      </c>
      <c r="C213" t="s">
        <v>1959</v>
      </c>
      <c r="D213" t="s">
        <v>71</v>
      </c>
      <c r="E213" t="s">
        <v>51</v>
      </c>
      <c r="F213" t="s">
        <v>51</v>
      </c>
      <c r="G213" t="s">
        <v>494</v>
      </c>
      <c r="H213"/>
      <c r="I213"/>
      <c r="J213">
        <v>57077.200000000012</v>
      </c>
      <c r="K213">
        <v>34484.498299998093</v>
      </c>
      <c r="L213">
        <v>47235.140000000007</v>
      </c>
      <c r="M213">
        <v>95253.182872928184</v>
      </c>
      <c r="N213">
        <v>70275.710000000006</v>
      </c>
      <c r="O213">
        <v>94693.652926962604</v>
      </c>
      <c r="P213">
        <f>SUMIF($F$185:$F$212,"&lt;&gt;EV_*",$P$185:$P$212)</f>
        <v>0</v>
      </c>
      <c r="Q213">
        <f>SUMIF($F$185:$F$212,"&lt;&gt;EV_*",$Q$185:$Q$212)</f>
        <v>94693.652926962604</v>
      </c>
      <c r="R213">
        <f>SUMIF($F$185:$F$212,"&lt;&gt;EV_*",$R$185:$R$212)</f>
        <v>1497.56</v>
      </c>
      <c r="S213" t="e">
        <f>SUMIF($F$185:$F$212,"&lt;&gt;EV_*",$S$185:$S$212)</f>
        <v>#VALUE!</v>
      </c>
      <c r="T213">
        <v>0</v>
      </c>
      <c r="U213" t="e">
        <f>SUMIF($F$185:$F$212,"&lt;&gt;EV_*",$U$185:$U$212)</f>
        <v>#VALUE!</v>
      </c>
      <c r="V213" t="e">
        <f>SUMIF($F$185:$F$212,"&lt;&gt;EV_*",$V$185:$V$212)</f>
        <v>#VALUE!</v>
      </c>
      <c r="W213" t="e">
        <f>SUMIF($F$185:$F$212,"&lt;&gt;EV_*",$W$185:$W$212)</f>
        <v>#VALUE!</v>
      </c>
      <c r="X213">
        <f>SUMIF($F$185:$F$212,"&lt;&gt;EV_*",$X$185:$X$212)</f>
        <v>0</v>
      </c>
    </row>
    <row r="214" spans="1:24" x14ac:dyDescent="0.25">
      <c r="A214" t="s">
        <v>1960</v>
      </c>
      <c r="B214" t="s">
        <v>1961</v>
      </c>
      <c r="C214" t="s">
        <v>1962</v>
      </c>
      <c r="D214" t="s">
        <v>77</v>
      </c>
      <c r="E214" t="s">
        <v>5</v>
      </c>
      <c r="F214" t="s">
        <v>5</v>
      </c>
      <c r="G214" t="s">
        <v>495</v>
      </c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</row>
    <row r="215" spans="1:24" x14ac:dyDescent="0.25">
      <c r="A215" t="s">
        <v>1960</v>
      </c>
      <c r="B215" t="s">
        <v>1961</v>
      </c>
      <c r="C215" t="s">
        <v>1962</v>
      </c>
      <c r="D215" t="s">
        <v>77</v>
      </c>
      <c r="E215" t="s">
        <v>8</v>
      </c>
      <c r="F215" t="s">
        <v>1</v>
      </c>
      <c r="G215" t="s">
        <v>496</v>
      </c>
      <c r="H215" t="s">
        <v>408</v>
      </c>
      <c r="I215" t="s">
        <v>1</v>
      </c>
      <c r="J215">
        <v>2240.34</v>
      </c>
      <c r="K215">
        <v>4183.0613259667998</v>
      </c>
      <c r="L215">
        <v>0</v>
      </c>
      <c r="M215">
        <v>0</v>
      </c>
      <c r="N215">
        <v>166</v>
      </c>
      <c r="O215"/>
      <c r="P215">
        <v>0</v>
      </c>
      <c r="Q215">
        <f t="shared" ref="Q215:Q234" si="50">O215+P215</f>
        <v>0</v>
      </c>
      <c r="R215">
        <v>0</v>
      </c>
      <c r="S215">
        <f t="shared" ref="S215:S234" si="51">IF(OR(LEFT(E215,2)="A_",LEFT(D215,5)="Total"),R215-Q215,"")</f>
        <v>0</v>
      </c>
      <c r="T215"/>
      <c r="U215">
        <f t="shared" ref="U215:U234" si="52">IFERROR(R215*T215,R215*0)</f>
        <v>0</v>
      </c>
      <c r="V215">
        <f t="shared" ref="V215:V234" si="53">IF(OR(LEFT(E215,2)="A_",LEFT(D215,5)="Total"),R215+U215,"")</f>
        <v>0</v>
      </c>
      <c r="W215">
        <f t="shared" ref="W215:W234" si="54">IF(OR(LEFT(E215,2)="A_",LEFT(D215,5)="Total"),V215-Q215,"")</f>
        <v>0</v>
      </c>
      <c r="X215" t="s">
        <v>1308</v>
      </c>
    </row>
    <row r="216" spans="1:24" x14ac:dyDescent="0.25">
      <c r="A216" t="s">
        <v>1960</v>
      </c>
      <c r="B216" t="s">
        <v>1961</v>
      </c>
      <c r="C216" t="s">
        <v>1962</v>
      </c>
      <c r="D216" t="s">
        <v>77</v>
      </c>
      <c r="E216" t="s">
        <v>11</v>
      </c>
      <c r="F216" t="s">
        <v>1</v>
      </c>
      <c r="G216" t="s">
        <v>496</v>
      </c>
      <c r="H216" t="s">
        <v>411</v>
      </c>
      <c r="I216" t="s">
        <v>1</v>
      </c>
      <c r="J216">
        <v>10945.82</v>
      </c>
      <c r="K216">
        <v>10170.27</v>
      </c>
      <c r="L216">
        <v>4832.43</v>
      </c>
      <c r="M216">
        <v>9744.9555248618799</v>
      </c>
      <c r="N216">
        <v>10158.44</v>
      </c>
      <c r="O216">
        <v>9664.86</v>
      </c>
      <c r="P216">
        <v>0</v>
      </c>
      <c r="Q216">
        <f t="shared" si="50"/>
        <v>9664.86</v>
      </c>
      <c r="R216">
        <v>7000</v>
      </c>
      <c r="S216">
        <f t="shared" si="51"/>
        <v>-2664.8600000000006</v>
      </c>
      <c r="T216"/>
      <c r="U216">
        <f t="shared" si="52"/>
        <v>0</v>
      </c>
      <c r="V216">
        <f t="shared" si="53"/>
        <v>7000</v>
      </c>
      <c r="W216">
        <f t="shared" si="54"/>
        <v>-2664.8600000000006</v>
      </c>
      <c r="X216" t="s">
        <v>1309</v>
      </c>
    </row>
    <row r="217" spans="1:24" x14ac:dyDescent="0.25">
      <c r="A217" t="s">
        <v>1960</v>
      </c>
      <c r="B217" t="s">
        <v>1961</v>
      </c>
      <c r="C217" t="s">
        <v>1962</v>
      </c>
      <c r="D217" t="s">
        <v>77</v>
      </c>
      <c r="E217" t="s">
        <v>12</v>
      </c>
      <c r="F217" t="s">
        <v>1</v>
      </c>
      <c r="G217" t="s">
        <v>496</v>
      </c>
      <c r="H217" t="s">
        <v>412</v>
      </c>
      <c r="I217" t="s">
        <v>1</v>
      </c>
      <c r="J217"/>
      <c r="K217"/>
      <c r="L217">
        <v>527.72</v>
      </c>
      <c r="M217">
        <v>1064.1867403314918</v>
      </c>
      <c r="N217">
        <v>527.72</v>
      </c>
      <c r="O217">
        <v>1055.44</v>
      </c>
      <c r="P217">
        <v>0</v>
      </c>
      <c r="Q217">
        <f t="shared" si="50"/>
        <v>1055.44</v>
      </c>
      <c r="R217">
        <v>500</v>
      </c>
      <c r="S217">
        <f t="shared" si="51"/>
        <v>-555.44000000000005</v>
      </c>
      <c r="T217"/>
      <c r="U217">
        <f t="shared" si="52"/>
        <v>0</v>
      </c>
      <c r="V217">
        <f t="shared" si="53"/>
        <v>500</v>
      </c>
      <c r="W217">
        <f t="shared" si="54"/>
        <v>-555.44000000000005</v>
      </c>
      <c r="X217" t="s">
        <v>1310</v>
      </c>
    </row>
    <row r="218" spans="1:24" x14ac:dyDescent="0.25">
      <c r="A218" t="s">
        <v>1960</v>
      </c>
      <c r="B218" t="s">
        <v>1961</v>
      </c>
      <c r="C218" t="s">
        <v>1962</v>
      </c>
      <c r="D218" t="s">
        <v>77</v>
      </c>
      <c r="E218" t="s">
        <v>21</v>
      </c>
      <c r="F218" t="s">
        <v>1</v>
      </c>
      <c r="G218" t="s">
        <v>496</v>
      </c>
      <c r="H218" t="s">
        <v>421</v>
      </c>
      <c r="I218" t="s">
        <v>1</v>
      </c>
      <c r="J218">
        <v>943.02</v>
      </c>
      <c r="K218">
        <v>774.66999999990003</v>
      </c>
      <c r="L218">
        <v>277.38</v>
      </c>
      <c r="M218">
        <v>559.35745856353583</v>
      </c>
      <c r="N218">
        <v>824.37</v>
      </c>
      <c r="O218">
        <v>559.35745856350002</v>
      </c>
      <c r="P218">
        <v>0</v>
      </c>
      <c r="Q218">
        <f t="shared" si="50"/>
        <v>559.35745856350002</v>
      </c>
      <c r="R218">
        <v>559</v>
      </c>
      <c r="S218">
        <f t="shared" si="51"/>
        <v>-0.35745856350001759</v>
      </c>
      <c r="T218">
        <v>0.03</v>
      </c>
      <c r="U218">
        <f t="shared" si="52"/>
        <v>16.77</v>
      </c>
      <c r="V218">
        <f t="shared" si="53"/>
        <v>575.77</v>
      </c>
      <c r="W218">
        <f t="shared" si="54"/>
        <v>16.412541436499964</v>
      </c>
      <c r="X218" t="s">
        <v>1311</v>
      </c>
    </row>
    <row r="219" spans="1:24" x14ac:dyDescent="0.25">
      <c r="A219" t="s">
        <v>1960</v>
      </c>
      <c r="B219" t="s">
        <v>1961</v>
      </c>
      <c r="C219" t="s">
        <v>1962</v>
      </c>
      <c r="D219" t="s">
        <v>77</v>
      </c>
      <c r="E219" t="s">
        <v>66</v>
      </c>
      <c r="F219" t="s">
        <v>1</v>
      </c>
      <c r="G219" t="s">
        <v>496</v>
      </c>
      <c r="H219" t="s">
        <v>477</v>
      </c>
      <c r="I219" t="s">
        <v>1</v>
      </c>
      <c r="J219">
        <v>130.31</v>
      </c>
      <c r="K219">
        <v>269.09999999979999</v>
      </c>
      <c r="L219">
        <v>0</v>
      </c>
      <c r="M219">
        <v>0</v>
      </c>
      <c r="N219">
        <v>0</v>
      </c>
      <c r="O219"/>
      <c r="P219">
        <v>0</v>
      </c>
      <c r="Q219">
        <f t="shared" si="50"/>
        <v>0</v>
      </c>
      <c r="R219">
        <v>0</v>
      </c>
      <c r="S219">
        <f t="shared" si="51"/>
        <v>0</v>
      </c>
      <c r="T219">
        <v>3.5000000000000003E-2</v>
      </c>
      <c r="U219">
        <f t="shared" si="52"/>
        <v>0</v>
      </c>
      <c r="V219">
        <f t="shared" si="53"/>
        <v>0</v>
      </c>
      <c r="W219">
        <f t="shared" si="54"/>
        <v>0</v>
      </c>
      <c r="X219">
        <v>0</v>
      </c>
    </row>
    <row r="220" spans="1:24" x14ac:dyDescent="0.25">
      <c r="A220" t="s">
        <v>1960</v>
      </c>
      <c r="B220" t="s">
        <v>1961</v>
      </c>
      <c r="C220" t="s">
        <v>1962</v>
      </c>
      <c r="D220" t="s">
        <v>77</v>
      </c>
      <c r="E220" t="s">
        <v>22</v>
      </c>
      <c r="F220" t="s">
        <v>1</v>
      </c>
      <c r="G220" t="s">
        <v>496</v>
      </c>
      <c r="H220" t="s">
        <v>422</v>
      </c>
      <c r="I220" t="s">
        <v>1</v>
      </c>
      <c r="J220">
        <v>1022.57</v>
      </c>
      <c r="K220">
        <v>1221.2999999998001</v>
      </c>
      <c r="L220">
        <v>1910.43</v>
      </c>
      <c r="M220">
        <v>3852.5245856353595</v>
      </c>
      <c r="N220">
        <v>2343.3200000000002</v>
      </c>
      <c r="O220">
        <v>3852.5245856353999</v>
      </c>
      <c r="P220">
        <v>0</v>
      </c>
      <c r="Q220">
        <f t="shared" si="50"/>
        <v>3852.5245856353999</v>
      </c>
      <c r="R220">
        <v>3853</v>
      </c>
      <c r="S220">
        <f t="shared" si="51"/>
        <v>0.47541436460005571</v>
      </c>
      <c r="T220">
        <v>3.5000000000000003E-2</v>
      </c>
      <c r="U220">
        <f t="shared" si="52"/>
        <v>134.85500000000002</v>
      </c>
      <c r="V220">
        <f t="shared" si="53"/>
        <v>3987.855</v>
      </c>
      <c r="W220">
        <f t="shared" si="54"/>
        <v>135.33041436460007</v>
      </c>
      <c r="X220" t="s">
        <v>1312</v>
      </c>
    </row>
    <row r="221" spans="1:24" x14ac:dyDescent="0.25">
      <c r="A221" t="s">
        <v>1960</v>
      </c>
      <c r="B221" t="s">
        <v>1961</v>
      </c>
      <c r="C221" t="s">
        <v>1962</v>
      </c>
      <c r="D221" t="s">
        <v>77</v>
      </c>
      <c r="E221" t="s">
        <v>23</v>
      </c>
      <c r="F221" t="s">
        <v>1</v>
      </c>
      <c r="G221" t="s">
        <v>496</v>
      </c>
      <c r="H221" t="s">
        <v>423</v>
      </c>
      <c r="I221" t="s">
        <v>1</v>
      </c>
      <c r="J221">
        <v>1131.72</v>
      </c>
      <c r="K221">
        <v>2339.0999999998999</v>
      </c>
      <c r="L221">
        <v>0</v>
      </c>
      <c r="M221">
        <v>0</v>
      </c>
      <c r="N221">
        <v>0</v>
      </c>
      <c r="O221"/>
      <c r="P221">
        <v>0</v>
      </c>
      <c r="Q221">
        <f t="shared" si="50"/>
        <v>0</v>
      </c>
      <c r="R221">
        <v>600</v>
      </c>
      <c r="S221">
        <f t="shared" si="51"/>
        <v>600</v>
      </c>
      <c r="T221">
        <v>3.5000000000000003E-2</v>
      </c>
      <c r="U221">
        <f t="shared" si="52"/>
        <v>21.000000000000004</v>
      </c>
      <c r="V221">
        <f t="shared" si="53"/>
        <v>621</v>
      </c>
      <c r="W221">
        <f t="shared" si="54"/>
        <v>621</v>
      </c>
      <c r="X221" t="s">
        <v>1311</v>
      </c>
    </row>
    <row r="222" spans="1:24" x14ac:dyDescent="0.25">
      <c r="A222" t="s">
        <v>1960</v>
      </c>
      <c r="B222" t="s">
        <v>1961</v>
      </c>
      <c r="C222" t="s">
        <v>1962</v>
      </c>
      <c r="D222" t="s">
        <v>77</v>
      </c>
      <c r="E222" t="s">
        <v>24</v>
      </c>
      <c r="F222" t="s">
        <v>1</v>
      </c>
      <c r="G222" t="s">
        <v>496</v>
      </c>
      <c r="H222" t="s">
        <v>424</v>
      </c>
      <c r="I222" t="s">
        <v>1</v>
      </c>
      <c r="J222"/>
      <c r="K222">
        <v>14451</v>
      </c>
      <c r="L222">
        <v>12250</v>
      </c>
      <c r="M222">
        <v>24703.038674033149</v>
      </c>
      <c r="N222">
        <v>12250</v>
      </c>
      <c r="O222">
        <v>24500</v>
      </c>
      <c r="P222">
        <v>0</v>
      </c>
      <c r="Q222">
        <f t="shared" si="50"/>
        <v>24500</v>
      </c>
      <c r="R222">
        <v>13250</v>
      </c>
      <c r="S222">
        <f t="shared" si="51"/>
        <v>-11250</v>
      </c>
      <c r="T222"/>
      <c r="U222">
        <f t="shared" si="52"/>
        <v>0</v>
      </c>
      <c r="V222">
        <f t="shared" si="53"/>
        <v>13250</v>
      </c>
      <c r="W222">
        <f t="shared" si="54"/>
        <v>-11250</v>
      </c>
      <c r="X222" t="s">
        <v>1313</v>
      </c>
    </row>
    <row r="223" spans="1:24" x14ac:dyDescent="0.25">
      <c r="A223" t="s">
        <v>1960</v>
      </c>
      <c r="B223" t="s">
        <v>1961</v>
      </c>
      <c r="C223" t="s">
        <v>1962</v>
      </c>
      <c r="D223" t="s">
        <v>77</v>
      </c>
      <c r="E223" t="s">
        <v>26</v>
      </c>
      <c r="F223" t="s">
        <v>1</v>
      </c>
      <c r="G223" t="s">
        <v>496</v>
      </c>
      <c r="H223" t="s">
        <v>426</v>
      </c>
      <c r="I223" t="s">
        <v>1</v>
      </c>
      <c r="J223"/>
      <c r="K223">
        <v>2335.3473165408</v>
      </c>
      <c r="L223">
        <v>938</v>
      </c>
      <c r="M223">
        <v>1891.5469613259668</v>
      </c>
      <c r="N223">
        <v>938</v>
      </c>
      <c r="O223">
        <v>1876</v>
      </c>
      <c r="P223">
        <v>0</v>
      </c>
      <c r="Q223">
        <f t="shared" si="50"/>
        <v>1876</v>
      </c>
      <c r="R223">
        <v>7550</v>
      </c>
      <c r="S223">
        <f t="shared" si="51"/>
        <v>5674</v>
      </c>
      <c r="T223"/>
      <c r="U223">
        <f t="shared" si="52"/>
        <v>0</v>
      </c>
      <c r="V223">
        <f t="shared" si="53"/>
        <v>7550</v>
      </c>
      <c r="W223">
        <f t="shared" si="54"/>
        <v>5674</v>
      </c>
      <c r="X223" t="s">
        <v>1314</v>
      </c>
    </row>
    <row r="224" spans="1:24" x14ac:dyDescent="0.25">
      <c r="A224" t="s">
        <v>1960</v>
      </c>
      <c r="B224" t="s">
        <v>1961</v>
      </c>
      <c r="C224" t="s">
        <v>1962</v>
      </c>
      <c r="D224" t="s">
        <v>77</v>
      </c>
      <c r="E224" t="s">
        <v>28</v>
      </c>
      <c r="F224" t="s">
        <v>1</v>
      </c>
      <c r="G224" t="s">
        <v>496</v>
      </c>
      <c r="H224" t="s">
        <v>428</v>
      </c>
      <c r="I224" t="s">
        <v>1</v>
      </c>
      <c r="J224">
        <v>21693.96</v>
      </c>
      <c r="K224">
        <v>42900</v>
      </c>
      <c r="L224">
        <v>2826.07</v>
      </c>
      <c r="M224">
        <v>5698.9809392265197</v>
      </c>
      <c r="N224">
        <v>3462.05</v>
      </c>
      <c r="O224">
        <v>5652.14</v>
      </c>
      <c r="P224">
        <v>0</v>
      </c>
      <c r="Q224">
        <f t="shared" si="50"/>
        <v>5652.14</v>
      </c>
      <c r="R224">
        <v>3462</v>
      </c>
      <c r="S224">
        <f t="shared" si="51"/>
        <v>-2190.1400000000003</v>
      </c>
      <c r="T224"/>
      <c r="U224">
        <f t="shared" si="52"/>
        <v>0</v>
      </c>
      <c r="V224">
        <f t="shared" si="53"/>
        <v>3462</v>
      </c>
      <c r="W224">
        <f t="shared" si="54"/>
        <v>-2190.1400000000003</v>
      </c>
      <c r="X224" t="s">
        <v>1315</v>
      </c>
    </row>
    <row r="225" spans="1:24" x14ac:dyDescent="0.25">
      <c r="A225" t="s">
        <v>1960</v>
      </c>
      <c r="B225" t="s">
        <v>1961</v>
      </c>
      <c r="C225" t="s">
        <v>1962</v>
      </c>
      <c r="D225" t="s">
        <v>77</v>
      </c>
      <c r="E225" t="s">
        <v>29</v>
      </c>
      <c r="F225" t="s">
        <v>1</v>
      </c>
      <c r="G225" t="s">
        <v>496</v>
      </c>
      <c r="H225" t="s">
        <v>429</v>
      </c>
      <c r="I225" t="s">
        <v>1</v>
      </c>
      <c r="J225">
        <v>5556.64</v>
      </c>
      <c r="K225">
        <v>680.00000000039995</v>
      </c>
      <c r="L225">
        <v>0</v>
      </c>
      <c r="M225">
        <v>0</v>
      </c>
      <c r="N225">
        <v>5215.82</v>
      </c>
      <c r="O225"/>
      <c r="P225">
        <v>0</v>
      </c>
      <c r="Q225">
        <f t="shared" si="50"/>
        <v>0</v>
      </c>
      <c r="R225">
        <v>700</v>
      </c>
      <c r="S225">
        <f t="shared" si="51"/>
        <v>700</v>
      </c>
      <c r="T225"/>
      <c r="U225">
        <f t="shared" si="52"/>
        <v>0</v>
      </c>
      <c r="V225">
        <f t="shared" si="53"/>
        <v>700</v>
      </c>
      <c r="W225">
        <f t="shared" si="54"/>
        <v>700</v>
      </c>
      <c r="X225" t="s">
        <v>1316</v>
      </c>
    </row>
    <row r="226" spans="1:24" x14ac:dyDescent="0.25">
      <c r="A226" t="s">
        <v>1960</v>
      </c>
      <c r="B226" t="s">
        <v>1961</v>
      </c>
      <c r="C226" t="s">
        <v>1962</v>
      </c>
      <c r="D226" t="s">
        <v>77</v>
      </c>
      <c r="E226" t="s">
        <v>31</v>
      </c>
      <c r="F226" t="s">
        <v>1</v>
      </c>
      <c r="G226" t="s">
        <v>496</v>
      </c>
      <c r="H226" t="s">
        <v>431</v>
      </c>
      <c r="I226" t="s">
        <v>1</v>
      </c>
      <c r="J226"/>
      <c r="K226">
        <v>1275</v>
      </c>
      <c r="L226">
        <v>0</v>
      </c>
      <c r="M226">
        <v>0</v>
      </c>
      <c r="N226">
        <v>0</v>
      </c>
      <c r="O226"/>
      <c r="P226">
        <v>0</v>
      </c>
      <c r="Q226">
        <f t="shared" si="50"/>
        <v>0</v>
      </c>
      <c r="R226">
        <v>1000</v>
      </c>
      <c r="S226">
        <f t="shared" si="51"/>
        <v>1000</v>
      </c>
      <c r="T226"/>
      <c r="U226">
        <f t="shared" si="52"/>
        <v>0</v>
      </c>
      <c r="V226">
        <f t="shared" si="53"/>
        <v>1000</v>
      </c>
      <c r="W226">
        <f t="shared" si="54"/>
        <v>1000</v>
      </c>
      <c r="X226" t="s">
        <v>1317</v>
      </c>
    </row>
    <row r="227" spans="1:24" x14ac:dyDescent="0.25">
      <c r="A227" t="s">
        <v>1960</v>
      </c>
      <c r="B227" t="s">
        <v>1961</v>
      </c>
      <c r="C227" t="s">
        <v>1962</v>
      </c>
      <c r="D227" t="s">
        <v>77</v>
      </c>
      <c r="E227" t="s">
        <v>33</v>
      </c>
      <c r="F227" t="s">
        <v>1</v>
      </c>
      <c r="G227" t="s">
        <v>496</v>
      </c>
      <c r="H227" t="s">
        <v>433</v>
      </c>
      <c r="I227" t="s">
        <v>1</v>
      </c>
      <c r="J227">
        <v>2529.1999999999998</v>
      </c>
      <c r="K227"/>
      <c r="L227">
        <v>0</v>
      </c>
      <c r="M227">
        <v>0</v>
      </c>
      <c r="N227">
        <v>109.2</v>
      </c>
      <c r="O227"/>
      <c r="P227">
        <v>0</v>
      </c>
      <c r="Q227">
        <f t="shared" si="50"/>
        <v>0</v>
      </c>
      <c r="R227">
        <v>360</v>
      </c>
      <c r="S227">
        <f t="shared" si="51"/>
        <v>360</v>
      </c>
      <c r="T227"/>
      <c r="U227">
        <f t="shared" si="52"/>
        <v>0</v>
      </c>
      <c r="V227">
        <f t="shared" si="53"/>
        <v>360</v>
      </c>
      <c r="W227">
        <f t="shared" si="54"/>
        <v>360</v>
      </c>
      <c r="X227" t="s">
        <v>1318</v>
      </c>
    </row>
    <row r="228" spans="1:24" x14ac:dyDescent="0.25">
      <c r="A228" t="s">
        <v>1960</v>
      </c>
      <c r="B228" t="s">
        <v>1961</v>
      </c>
      <c r="C228" t="s">
        <v>1962</v>
      </c>
      <c r="D228" t="s">
        <v>77</v>
      </c>
      <c r="E228" t="s">
        <v>34</v>
      </c>
      <c r="F228" t="s">
        <v>1</v>
      </c>
      <c r="G228" t="s">
        <v>496</v>
      </c>
      <c r="H228" t="s">
        <v>434</v>
      </c>
      <c r="I228" t="s">
        <v>1</v>
      </c>
      <c r="J228">
        <v>1087.33</v>
      </c>
      <c r="K228">
        <v>1766.2290629304</v>
      </c>
      <c r="L228">
        <v>0</v>
      </c>
      <c r="M228">
        <v>0</v>
      </c>
      <c r="N228">
        <v>0</v>
      </c>
      <c r="O228"/>
      <c r="P228">
        <v>0</v>
      </c>
      <c r="Q228">
        <f t="shared" si="50"/>
        <v>0</v>
      </c>
      <c r="R228">
        <v>520</v>
      </c>
      <c r="S228">
        <f t="shared" si="51"/>
        <v>520</v>
      </c>
      <c r="T228"/>
      <c r="U228">
        <f t="shared" si="52"/>
        <v>0</v>
      </c>
      <c r="V228">
        <f t="shared" si="53"/>
        <v>520</v>
      </c>
      <c r="W228">
        <f t="shared" si="54"/>
        <v>520</v>
      </c>
      <c r="X228" t="s">
        <v>1319</v>
      </c>
    </row>
    <row r="229" spans="1:24" x14ac:dyDescent="0.25">
      <c r="A229" t="s">
        <v>1960</v>
      </c>
      <c r="B229" t="s">
        <v>1961</v>
      </c>
      <c r="C229" t="s">
        <v>1962</v>
      </c>
      <c r="D229" t="s">
        <v>77</v>
      </c>
      <c r="E229" t="s">
        <v>37</v>
      </c>
      <c r="F229" t="s">
        <v>1</v>
      </c>
      <c r="G229" t="s">
        <v>496</v>
      </c>
      <c r="H229" t="s">
        <v>437</v>
      </c>
      <c r="I229" t="s">
        <v>1</v>
      </c>
      <c r="J229">
        <v>460.58</v>
      </c>
      <c r="K229">
        <v>2747.4674312244001</v>
      </c>
      <c r="L229">
        <v>41.99</v>
      </c>
      <c r="M229">
        <v>84.675966850828729</v>
      </c>
      <c r="N229">
        <v>41.99</v>
      </c>
      <c r="O229">
        <v>83.98</v>
      </c>
      <c r="P229">
        <v>0</v>
      </c>
      <c r="Q229">
        <f t="shared" si="50"/>
        <v>83.98</v>
      </c>
      <c r="R229">
        <v>3250</v>
      </c>
      <c r="S229">
        <f t="shared" si="51"/>
        <v>3166.02</v>
      </c>
      <c r="T229"/>
      <c r="U229">
        <f t="shared" si="52"/>
        <v>0</v>
      </c>
      <c r="V229">
        <f t="shared" si="53"/>
        <v>3250</v>
      </c>
      <c r="W229">
        <f t="shared" si="54"/>
        <v>3166.02</v>
      </c>
      <c r="X229" t="s">
        <v>1320</v>
      </c>
    </row>
    <row r="230" spans="1:24" x14ac:dyDescent="0.25">
      <c r="A230" t="s">
        <v>1960</v>
      </c>
      <c r="B230" t="s">
        <v>1961</v>
      </c>
      <c r="C230" t="s">
        <v>1962</v>
      </c>
      <c r="D230" t="s">
        <v>77</v>
      </c>
      <c r="E230" t="s">
        <v>42</v>
      </c>
      <c r="F230" t="s">
        <v>1</v>
      </c>
      <c r="G230" t="s">
        <v>496</v>
      </c>
      <c r="H230" t="s">
        <v>442</v>
      </c>
      <c r="I230" t="s">
        <v>1</v>
      </c>
      <c r="J230">
        <v>1426.06</v>
      </c>
      <c r="K230">
        <v>1425.9999999996</v>
      </c>
      <c r="L230">
        <v>1294.77</v>
      </c>
      <c r="M230">
        <v>2611.000276243094</v>
      </c>
      <c r="N230">
        <v>1294.77</v>
      </c>
      <c r="O230">
        <v>2589.54</v>
      </c>
      <c r="P230">
        <v>0</v>
      </c>
      <c r="Q230">
        <f t="shared" si="50"/>
        <v>2589.54</v>
      </c>
      <c r="R230">
        <v>2611</v>
      </c>
      <c r="S230">
        <f t="shared" si="51"/>
        <v>21.460000000000036</v>
      </c>
      <c r="T230">
        <v>0.03</v>
      </c>
      <c r="U230">
        <f t="shared" si="52"/>
        <v>78.33</v>
      </c>
      <c r="V230">
        <f t="shared" si="53"/>
        <v>2689.33</v>
      </c>
      <c r="W230">
        <f t="shared" si="54"/>
        <v>99.789999999999964</v>
      </c>
      <c r="X230" t="s">
        <v>1321</v>
      </c>
    </row>
    <row r="231" spans="1:24" x14ac:dyDescent="0.25">
      <c r="A231" t="s">
        <v>1960</v>
      </c>
      <c r="B231" t="s">
        <v>1961</v>
      </c>
      <c r="C231" t="s">
        <v>1962</v>
      </c>
      <c r="D231" t="s">
        <v>77</v>
      </c>
      <c r="E231" t="s">
        <v>46</v>
      </c>
      <c r="F231" t="s">
        <v>1</v>
      </c>
      <c r="G231" t="s">
        <v>496</v>
      </c>
      <c r="H231" t="s">
        <v>446</v>
      </c>
      <c r="I231" t="s">
        <v>1</v>
      </c>
      <c r="J231"/>
      <c r="K231"/>
      <c r="L231">
        <v>3470</v>
      </c>
      <c r="M231">
        <v>6997.5138121546961</v>
      </c>
      <c r="N231">
        <v>3470</v>
      </c>
      <c r="O231">
        <v>6940</v>
      </c>
      <c r="P231">
        <v>0</v>
      </c>
      <c r="Q231">
        <f t="shared" si="50"/>
        <v>6940</v>
      </c>
      <c r="R231">
        <v>8883</v>
      </c>
      <c r="S231">
        <f t="shared" si="51"/>
        <v>1943</v>
      </c>
      <c r="T231">
        <v>0.03</v>
      </c>
      <c r="U231">
        <f t="shared" si="52"/>
        <v>266.49</v>
      </c>
      <c r="V231">
        <f t="shared" si="53"/>
        <v>9149.49</v>
      </c>
      <c r="W231">
        <f t="shared" si="54"/>
        <v>2209.4899999999998</v>
      </c>
      <c r="X231" t="s">
        <v>1322</v>
      </c>
    </row>
    <row r="232" spans="1:24" x14ac:dyDescent="0.25">
      <c r="A232" t="s">
        <v>1960</v>
      </c>
      <c r="B232" t="s">
        <v>1961</v>
      </c>
      <c r="C232" t="s">
        <v>1962</v>
      </c>
      <c r="D232" t="s">
        <v>77</v>
      </c>
      <c r="E232" t="s">
        <v>47</v>
      </c>
      <c r="F232" t="s">
        <v>1</v>
      </c>
      <c r="G232" t="s">
        <v>496</v>
      </c>
      <c r="H232" t="s">
        <v>447</v>
      </c>
      <c r="I232" t="s">
        <v>1</v>
      </c>
      <c r="J232">
        <v>79994.13</v>
      </c>
      <c r="K232">
        <v>47415</v>
      </c>
      <c r="L232">
        <v>30465</v>
      </c>
      <c r="M232">
        <v>61434.944751381212</v>
      </c>
      <c r="N232">
        <v>71031.26999999999</v>
      </c>
      <c r="O232">
        <v>60930</v>
      </c>
      <c r="P232">
        <v>0</v>
      </c>
      <c r="Q232">
        <f t="shared" si="50"/>
        <v>60930</v>
      </c>
      <c r="R232">
        <v>65855</v>
      </c>
      <c r="S232">
        <f t="shared" si="51"/>
        <v>4925</v>
      </c>
      <c r="T232">
        <v>0.03</v>
      </c>
      <c r="U232">
        <f t="shared" si="52"/>
        <v>1975.6499999999999</v>
      </c>
      <c r="V232">
        <f t="shared" si="53"/>
        <v>67830.649999999994</v>
      </c>
      <c r="W232">
        <f t="shared" si="54"/>
        <v>6900.6499999999942</v>
      </c>
      <c r="X232" t="s">
        <v>1323</v>
      </c>
    </row>
    <row r="233" spans="1:24" x14ac:dyDescent="0.25">
      <c r="A233" t="s">
        <v>1960</v>
      </c>
      <c r="B233" t="s">
        <v>1961</v>
      </c>
      <c r="C233" t="s">
        <v>1962</v>
      </c>
      <c r="D233" t="s">
        <v>77</v>
      </c>
      <c r="E233" t="s">
        <v>48</v>
      </c>
      <c r="F233" t="s">
        <v>1</v>
      </c>
      <c r="G233" t="s">
        <v>496</v>
      </c>
      <c r="H233" t="s">
        <v>448</v>
      </c>
      <c r="I233" t="s">
        <v>1</v>
      </c>
      <c r="J233">
        <v>245.41</v>
      </c>
      <c r="K233">
        <v>137.00000000040001</v>
      </c>
      <c r="L233">
        <v>78.86</v>
      </c>
      <c r="M233">
        <v>159.02707182320441</v>
      </c>
      <c r="N233">
        <v>255.95999999999995</v>
      </c>
      <c r="O233">
        <v>157.72</v>
      </c>
      <c r="P233">
        <v>0</v>
      </c>
      <c r="Q233">
        <f t="shared" si="50"/>
        <v>157.72</v>
      </c>
      <c r="R233">
        <v>432</v>
      </c>
      <c r="S233">
        <f t="shared" si="51"/>
        <v>274.27999999999997</v>
      </c>
      <c r="T233">
        <v>0.03</v>
      </c>
      <c r="U233">
        <f t="shared" si="52"/>
        <v>12.959999999999999</v>
      </c>
      <c r="V233">
        <f t="shared" si="53"/>
        <v>444.96</v>
      </c>
      <c r="W233">
        <f t="shared" si="54"/>
        <v>287.24</v>
      </c>
      <c r="X233" t="s">
        <v>1324</v>
      </c>
    </row>
    <row r="234" spans="1:24" x14ac:dyDescent="0.25">
      <c r="A234" t="s">
        <v>1960</v>
      </c>
      <c r="B234" t="s">
        <v>1961</v>
      </c>
      <c r="C234" t="s">
        <v>1962</v>
      </c>
      <c r="D234" t="s">
        <v>77</v>
      </c>
      <c r="E234" t="s">
        <v>50</v>
      </c>
      <c r="F234" t="s">
        <v>1</v>
      </c>
      <c r="G234" t="s">
        <v>496</v>
      </c>
      <c r="H234" t="s">
        <v>450</v>
      </c>
      <c r="I234" t="s">
        <v>1</v>
      </c>
      <c r="J234">
        <v>4823.24</v>
      </c>
      <c r="K234">
        <v>4800</v>
      </c>
      <c r="L234">
        <v>2193.46</v>
      </c>
      <c r="M234">
        <v>4423.2756906077348</v>
      </c>
      <c r="N234">
        <v>4700.6899999999996</v>
      </c>
      <c r="O234">
        <v>4423.2756906077002</v>
      </c>
      <c r="P234">
        <v>0</v>
      </c>
      <c r="Q234">
        <f t="shared" si="50"/>
        <v>4423.2756906077002</v>
      </c>
      <c r="R234">
        <v>4823</v>
      </c>
      <c r="S234">
        <f t="shared" si="51"/>
        <v>399.7243093922998</v>
      </c>
      <c r="T234"/>
      <c r="U234">
        <f t="shared" si="52"/>
        <v>0</v>
      </c>
      <c r="V234">
        <f t="shared" si="53"/>
        <v>4823</v>
      </c>
      <c r="W234">
        <f t="shared" si="54"/>
        <v>399.7243093922998</v>
      </c>
      <c r="X234" t="s">
        <v>1325</v>
      </c>
    </row>
    <row r="235" spans="1:24" x14ac:dyDescent="0.25">
      <c r="A235" t="s">
        <v>1960</v>
      </c>
      <c r="B235" t="s">
        <v>1961</v>
      </c>
      <c r="C235" t="s">
        <v>1962</v>
      </c>
      <c r="D235" t="s">
        <v>77</v>
      </c>
      <c r="E235" t="s">
        <v>51</v>
      </c>
      <c r="F235" t="s">
        <v>51</v>
      </c>
      <c r="G235" t="s">
        <v>497</v>
      </c>
      <c r="H235"/>
      <c r="I235"/>
      <c r="J235">
        <v>134230.32999999999</v>
      </c>
      <c r="K235">
        <v>138890.5451366622</v>
      </c>
      <c r="L235">
        <v>61106.11</v>
      </c>
      <c r="M235">
        <v>123225.02845303869</v>
      </c>
      <c r="N235">
        <v>116789.59999999999</v>
      </c>
      <c r="O235">
        <v>122284.8377348066</v>
      </c>
      <c r="P235">
        <f>SUMIF($F$214:$F$234,"&lt;&gt;EV_*",$P$214:$P$234)</f>
        <v>0</v>
      </c>
      <c r="Q235">
        <f>SUMIF($F$214:$F$234,"&lt;&gt;EV_*",$Q$214:$Q$234)</f>
        <v>122284.8377348066</v>
      </c>
      <c r="R235">
        <f>SUMIF($F$214:$F$234,"&lt;&gt;EV_*",$R$214:$R$234)</f>
        <v>125208</v>
      </c>
      <c r="S235">
        <f>SUMIF($F$214:$F$234,"&lt;&gt;EV_*",$S$214:$S$234)</f>
        <v>2923.1622651934003</v>
      </c>
      <c r="T235">
        <v>0</v>
      </c>
      <c r="U235">
        <f>SUMIF($F$214:$F$234,"&lt;&gt;EV_*",$U$214:$U$234)</f>
        <v>2506.0549999999998</v>
      </c>
      <c r="V235">
        <f>SUMIF($F$214:$F$234,"&lt;&gt;EV_*",$V$214:$V$234)</f>
        <v>127714.05500000001</v>
      </c>
      <c r="W235">
        <f>SUMIF($F$214:$F$234,"&lt;&gt;EV_*",$W$214:$W$234)</f>
        <v>5429.2172651933943</v>
      </c>
      <c r="X235">
        <f>SUMIF($F$214:$F$234,"&lt;&gt;EV_*",$X$214:$X$234)</f>
        <v>0</v>
      </c>
    </row>
    <row r="236" spans="1:24" x14ac:dyDescent="0.25">
      <c r="A236" t="s">
        <v>1960</v>
      </c>
      <c r="B236" t="s">
        <v>1963</v>
      </c>
      <c r="C236" t="s">
        <v>1964</v>
      </c>
      <c r="D236" t="s">
        <v>78</v>
      </c>
      <c r="E236" t="s">
        <v>5</v>
      </c>
      <c r="F236" t="s">
        <v>5</v>
      </c>
      <c r="G236" t="s">
        <v>498</v>
      </c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</row>
    <row r="237" spans="1:24" x14ac:dyDescent="0.25">
      <c r="A237" t="s">
        <v>1960</v>
      </c>
      <c r="B237" t="s">
        <v>1963</v>
      </c>
      <c r="C237" t="s">
        <v>1964</v>
      </c>
      <c r="D237" t="s">
        <v>78</v>
      </c>
      <c r="E237" t="s">
        <v>11</v>
      </c>
      <c r="F237" t="s">
        <v>1</v>
      </c>
      <c r="G237" t="s">
        <v>499</v>
      </c>
      <c r="H237" t="s">
        <v>411</v>
      </c>
      <c r="I237" t="s">
        <v>1</v>
      </c>
      <c r="J237">
        <v>18805.5</v>
      </c>
      <c r="K237">
        <v>16529.4099999996</v>
      </c>
      <c r="L237">
        <v>8692.91</v>
      </c>
      <c r="M237">
        <v>17529.90138121547</v>
      </c>
      <c r="N237">
        <v>17827.27</v>
      </c>
      <c r="O237">
        <v>17385.82</v>
      </c>
      <c r="P237">
        <v>0</v>
      </c>
      <c r="Q237">
        <f t="shared" ref="Q237:Q258" si="55">O237+P237</f>
        <v>17385.82</v>
      </c>
      <c r="R237">
        <v>10000</v>
      </c>
      <c r="S237">
        <f t="shared" ref="S237:S258" si="56">IF(OR(LEFT(E237,2)="A_",LEFT(D237,5)="Total"),R237-Q237,"")</f>
        <v>-7385.82</v>
      </c>
      <c r="T237"/>
      <c r="U237">
        <f t="shared" ref="U237:U258" si="57">IFERROR(R237*T237,R237*0)</f>
        <v>0</v>
      </c>
      <c r="V237">
        <f t="shared" ref="V237:V258" si="58">IF(OR(LEFT(E237,2)="A_",LEFT(D237,5)="Total"),R237+U237,"")</f>
        <v>10000</v>
      </c>
      <c r="W237">
        <f t="shared" ref="W237:W258" si="59">IF(OR(LEFT(E237,2)="A_",LEFT(D237,5)="Total"),V237-Q237,"")</f>
        <v>-7385.82</v>
      </c>
      <c r="X237" t="s">
        <v>1326</v>
      </c>
    </row>
    <row r="238" spans="1:24" x14ac:dyDescent="0.25">
      <c r="A238" t="s">
        <v>1960</v>
      </c>
      <c r="B238" t="s">
        <v>1963</v>
      </c>
      <c r="C238" t="s">
        <v>1964</v>
      </c>
      <c r="D238" t="s">
        <v>78</v>
      </c>
      <c r="E238" t="s">
        <v>17</v>
      </c>
      <c r="F238" t="s">
        <v>1</v>
      </c>
      <c r="G238" t="s">
        <v>499</v>
      </c>
      <c r="H238" t="s">
        <v>417</v>
      </c>
      <c r="I238" t="s">
        <v>1</v>
      </c>
      <c r="J238">
        <v>-14.29</v>
      </c>
      <c r="K238"/>
      <c r="L238">
        <v>0</v>
      </c>
      <c r="M238">
        <v>0</v>
      </c>
      <c r="N238">
        <v>-14.29</v>
      </c>
      <c r="O238"/>
      <c r="P238">
        <v>0</v>
      </c>
      <c r="Q238">
        <f t="shared" si="55"/>
        <v>0</v>
      </c>
      <c r="R238">
        <v>0</v>
      </c>
      <c r="S238">
        <f t="shared" si="56"/>
        <v>0</v>
      </c>
      <c r="T238"/>
      <c r="U238">
        <f t="shared" si="57"/>
        <v>0</v>
      </c>
      <c r="V238">
        <f t="shared" si="58"/>
        <v>0</v>
      </c>
      <c r="W238">
        <f t="shared" si="59"/>
        <v>0</v>
      </c>
      <c r="X238">
        <v>0</v>
      </c>
    </row>
    <row r="239" spans="1:24" x14ac:dyDescent="0.25">
      <c r="A239" t="s">
        <v>1960</v>
      </c>
      <c r="B239" t="s">
        <v>1963</v>
      </c>
      <c r="C239" t="s">
        <v>1964</v>
      </c>
      <c r="D239" t="s">
        <v>78</v>
      </c>
      <c r="E239" t="s">
        <v>18</v>
      </c>
      <c r="F239" t="s">
        <v>1</v>
      </c>
      <c r="G239" t="s">
        <v>499</v>
      </c>
      <c r="H239" t="s">
        <v>418</v>
      </c>
      <c r="I239" t="s">
        <v>1</v>
      </c>
      <c r="J239">
        <v>1351</v>
      </c>
      <c r="K239">
        <v>2042.4700849262999</v>
      </c>
      <c r="L239">
        <v>0</v>
      </c>
      <c r="M239">
        <v>0</v>
      </c>
      <c r="N239">
        <v>63</v>
      </c>
      <c r="O239"/>
      <c r="P239">
        <v>0</v>
      </c>
      <c r="Q239">
        <f t="shared" si="55"/>
        <v>0</v>
      </c>
      <c r="R239">
        <v>2500</v>
      </c>
      <c r="S239">
        <f t="shared" si="56"/>
        <v>2500</v>
      </c>
      <c r="T239">
        <v>0.02</v>
      </c>
      <c r="U239">
        <f t="shared" si="57"/>
        <v>50</v>
      </c>
      <c r="V239">
        <f t="shared" si="58"/>
        <v>2550</v>
      </c>
      <c r="W239">
        <f t="shared" si="59"/>
        <v>2550</v>
      </c>
      <c r="X239" t="s">
        <v>1327</v>
      </c>
    </row>
    <row r="240" spans="1:24" x14ac:dyDescent="0.25">
      <c r="A240" t="s">
        <v>1960</v>
      </c>
      <c r="B240" t="s">
        <v>1963</v>
      </c>
      <c r="C240" t="s">
        <v>1964</v>
      </c>
      <c r="D240" t="s">
        <v>78</v>
      </c>
      <c r="E240" t="s">
        <v>57</v>
      </c>
      <c r="F240" t="s">
        <v>1</v>
      </c>
      <c r="G240" t="s">
        <v>499</v>
      </c>
      <c r="H240" t="s">
        <v>462</v>
      </c>
      <c r="I240" t="s">
        <v>1</v>
      </c>
      <c r="J240">
        <v>22.33</v>
      </c>
      <c r="K240"/>
      <c r="L240">
        <v>0</v>
      </c>
      <c r="M240">
        <v>0</v>
      </c>
      <c r="N240">
        <v>0</v>
      </c>
      <c r="O240"/>
      <c r="P240">
        <v>0</v>
      </c>
      <c r="Q240">
        <f t="shared" si="55"/>
        <v>0</v>
      </c>
      <c r="R240">
        <v>0</v>
      </c>
      <c r="S240">
        <f t="shared" si="56"/>
        <v>0</v>
      </c>
      <c r="T240">
        <v>0.04</v>
      </c>
      <c r="U240">
        <f t="shared" si="57"/>
        <v>0</v>
      </c>
      <c r="V240">
        <f t="shared" si="58"/>
        <v>0</v>
      </c>
      <c r="W240">
        <f t="shared" si="59"/>
        <v>0</v>
      </c>
      <c r="X240">
        <v>0</v>
      </c>
    </row>
    <row r="241" spans="1:24" x14ac:dyDescent="0.25">
      <c r="A241" t="s">
        <v>1960</v>
      </c>
      <c r="B241" t="s">
        <v>1963</v>
      </c>
      <c r="C241" t="s">
        <v>1964</v>
      </c>
      <c r="D241" t="s">
        <v>78</v>
      </c>
      <c r="E241" t="s">
        <v>21</v>
      </c>
      <c r="F241" t="s">
        <v>1</v>
      </c>
      <c r="G241" t="s">
        <v>499</v>
      </c>
      <c r="H241" t="s">
        <v>421</v>
      </c>
      <c r="I241" t="s">
        <v>1</v>
      </c>
      <c r="J241">
        <v>594.29999999999995</v>
      </c>
      <c r="K241">
        <v>126.93</v>
      </c>
      <c r="L241">
        <v>112.59</v>
      </c>
      <c r="M241">
        <v>227.04613259668508</v>
      </c>
      <c r="N241">
        <v>358.15999999999997</v>
      </c>
      <c r="O241">
        <v>227.04613259670001</v>
      </c>
      <c r="P241">
        <v>0</v>
      </c>
      <c r="Q241">
        <f t="shared" si="55"/>
        <v>227.04613259670001</v>
      </c>
      <c r="R241">
        <v>500</v>
      </c>
      <c r="S241">
        <f t="shared" si="56"/>
        <v>272.95386740330002</v>
      </c>
      <c r="T241">
        <v>0.03</v>
      </c>
      <c r="U241">
        <f t="shared" si="57"/>
        <v>15</v>
      </c>
      <c r="V241">
        <f t="shared" si="58"/>
        <v>515</v>
      </c>
      <c r="W241">
        <f t="shared" si="59"/>
        <v>287.95386740330002</v>
      </c>
      <c r="X241" t="s">
        <v>1328</v>
      </c>
    </row>
    <row r="242" spans="1:24" x14ac:dyDescent="0.25">
      <c r="A242" t="s">
        <v>1960</v>
      </c>
      <c r="B242" t="s">
        <v>1963</v>
      </c>
      <c r="C242" t="s">
        <v>1964</v>
      </c>
      <c r="D242" t="s">
        <v>78</v>
      </c>
      <c r="E242" t="s">
        <v>22</v>
      </c>
      <c r="F242" t="s">
        <v>1</v>
      </c>
      <c r="G242" t="s">
        <v>499</v>
      </c>
      <c r="H242" t="s">
        <v>422</v>
      </c>
      <c r="I242" t="s">
        <v>1</v>
      </c>
      <c r="J242">
        <v>4127.6400000000003</v>
      </c>
      <c r="K242">
        <v>517.5</v>
      </c>
      <c r="L242">
        <v>29.76</v>
      </c>
      <c r="M242">
        <v>60.013259668508283</v>
      </c>
      <c r="N242">
        <v>1759.9</v>
      </c>
      <c r="O242">
        <v>60.013259668499998</v>
      </c>
      <c r="P242">
        <v>0</v>
      </c>
      <c r="Q242">
        <f t="shared" si="55"/>
        <v>60.013259668499998</v>
      </c>
      <c r="R242">
        <v>100</v>
      </c>
      <c r="S242">
        <f t="shared" si="56"/>
        <v>39.986740331500002</v>
      </c>
      <c r="T242">
        <v>3.5000000000000003E-2</v>
      </c>
      <c r="U242">
        <f t="shared" si="57"/>
        <v>3.5000000000000004</v>
      </c>
      <c r="V242">
        <f t="shared" si="58"/>
        <v>103.5</v>
      </c>
      <c r="W242">
        <f t="shared" si="59"/>
        <v>43.486740331500002</v>
      </c>
      <c r="X242" t="s">
        <v>1329</v>
      </c>
    </row>
    <row r="243" spans="1:24" x14ac:dyDescent="0.25">
      <c r="A243" t="s">
        <v>1960</v>
      </c>
      <c r="B243" t="s">
        <v>1963</v>
      </c>
      <c r="C243" t="s">
        <v>1964</v>
      </c>
      <c r="D243" t="s">
        <v>78</v>
      </c>
      <c r="E243" t="s">
        <v>23</v>
      </c>
      <c r="F243" t="s">
        <v>1</v>
      </c>
      <c r="G243" t="s">
        <v>499</v>
      </c>
      <c r="H243" t="s">
        <v>423</v>
      </c>
      <c r="I243" t="s">
        <v>1</v>
      </c>
      <c r="J243"/>
      <c r="K243"/>
      <c r="L243">
        <v>160.55000000000001</v>
      </c>
      <c r="M243">
        <v>323.76104972375691</v>
      </c>
      <c r="N243">
        <v>160.55000000000001</v>
      </c>
      <c r="O243">
        <v>323.7610497238</v>
      </c>
      <c r="P243">
        <v>0</v>
      </c>
      <c r="Q243">
        <f t="shared" si="55"/>
        <v>323.7610497238</v>
      </c>
      <c r="R243">
        <v>324</v>
      </c>
      <c r="S243">
        <f t="shared" si="56"/>
        <v>0.23895027620000064</v>
      </c>
      <c r="T243">
        <v>3.5000000000000003E-2</v>
      </c>
      <c r="U243">
        <f t="shared" si="57"/>
        <v>11.340000000000002</v>
      </c>
      <c r="V243">
        <f t="shared" si="58"/>
        <v>335.34</v>
      </c>
      <c r="W243">
        <f t="shared" si="59"/>
        <v>11.578950276199976</v>
      </c>
      <c r="X243" t="s">
        <v>1330</v>
      </c>
    </row>
    <row r="244" spans="1:24" x14ac:dyDescent="0.25">
      <c r="A244" t="s">
        <v>1960</v>
      </c>
      <c r="B244" t="s">
        <v>1963</v>
      </c>
      <c r="C244" t="s">
        <v>1964</v>
      </c>
      <c r="D244" t="s">
        <v>78</v>
      </c>
      <c r="E244" t="s">
        <v>26</v>
      </c>
      <c r="F244" t="s">
        <v>1</v>
      </c>
      <c r="G244" t="s">
        <v>499</v>
      </c>
      <c r="H244" t="s">
        <v>426</v>
      </c>
      <c r="I244" t="s">
        <v>1</v>
      </c>
      <c r="J244"/>
      <c r="K244">
        <v>2354.9720839068</v>
      </c>
      <c r="L244">
        <v>0</v>
      </c>
      <c r="M244">
        <v>0</v>
      </c>
      <c r="N244">
        <v>0</v>
      </c>
      <c r="O244"/>
      <c r="P244">
        <v>0</v>
      </c>
      <c r="Q244">
        <f t="shared" si="55"/>
        <v>0</v>
      </c>
      <c r="R244">
        <v>2354.9720839068</v>
      </c>
      <c r="S244">
        <f t="shared" si="56"/>
        <v>2354.9720839068</v>
      </c>
      <c r="T244"/>
      <c r="U244">
        <f t="shared" si="57"/>
        <v>0</v>
      </c>
      <c r="V244">
        <f t="shared" si="58"/>
        <v>2354.9720839068</v>
      </c>
      <c r="W244">
        <f t="shared" si="59"/>
        <v>2354.9720839068</v>
      </c>
      <c r="X244" t="s">
        <v>1331</v>
      </c>
    </row>
    <row r="245" spans="1:24" x14ac:dyDescent="0.25">
      <c r="A245" t="s">
        <v>1960</v>
      </c>
      <c r="B245" t="s">
        <v>1963</v>
      </c>
      <c r="C245" t="s">
        <v>1964</v>
      </c>
      <c r="D245" t="s">
        <v>78</v>
      </c>
      <c r="E245" t="s">
        <v>27</v>
      </c>
      <c r="F245" t="s">
        <v>1</v>
      </c>
      <c r="G245" t="s">
        <v>499</v>
      </c>
      <c r="H245" t="s">
        <v>427</v>
      </c>
      <c r="I245" t="s">
        <v>1</v>
      </c>
      <c r="J245">
        <v>2173.87</v>
      </c>
      <c r="K245">
        <v>1820.0000000004</v>
      </c>
      <c r="L245">
        <v>1010.22</v>
      </c>
      <c r="M245">
        <v>2037.1839779005527</v>
      </c>
      <c r="N245">
        <v>2020.4399999999998</v>
      </c>
      <c r="O245">
        <v>2020.44</v>
      </c>
      <c r="P245">
        <v>0</v>
      </c>
      <c r="Q245">
        <f t="shared" si="55"/>
        <v>2020.44</v>
      </c>
      <c r="R245">
        <v>2020.44</v>
      </c>
      <c r="S245">
        <f t="shared" si="56"/>
        <v>0</v>
      </c>
      <c r="T245"/>
      <c r="U245">
        <f t="shared" si="57"/>
        <v>0</v>
      </c>
      <c r="V245">
        <f t="shared" si="58"/>
        <v>2020.44</v>
      </c>
      <c r="W245">
        <f t="shared" si="59"/>
        <v>0</v>
      </c>
      <c r="X245" t="s">
        <v>1332</v>
      </c>
    </row>
    <row r="246" spans="1:24" x14ac:dyDescent="0.25">
      <c r="A246" t="s">
        <v>1960</v>
      </c>
      <c r="B246" t="s">
        <v>1963</v>
      </c>
      <c r="C246" t="s">
        <v>1964</v>
      </c>
      <c r="D246" t="s">
        <v>78</v>
      </c>
      <c r="E246" t="s">
        <v>28</v>
      </c>
      <c r="F246" t="s">
        <v>1</v>
      </c>
      <c r="G246" t="s">
        <v>499</v>
      </c>
      <c r="H246" t="s">
        <v>428</v>
      </c>
      <c r="I246" t="s">
        <v>1</v>
      </c>
      <c r="J246">
        <v>3160.78</v>
      </c>
      <c r="K246">
        <v>2069.0000000004002</v>
      </c>
      <c r="L246">
        <v>3720.28</v>
      </c>
      <c r="M246">
        <v>7502.2220994475138</v>
      </c>
      <c r="N246">
        <v>5846.34</v>
      </c>
      <c r="O246">
        <v>7440.56</v>
      </c>
      <c r="P246">
        <v>0</v>
      </c>
      <c r="Q246">
        <f t="shared" si="55"/>
        <v>7440.56</v>
      </c>
      <c r="R246">
        <v>7440.56</v>
      </c>
      <c r="S246">
        <f t="shared" si="56"/>
        <v>0</v>
      </c>
      <c r="T246"/>
      <c r="U246">
        <f t="shared" si="57"/>
        <v>0</v>
      </c>
      <c r="V246">
        <f t="shared" si="58"/>
        <v>7440.56</v>
      </c>
      <c r="W246">
        <f t="shared" si="59"/>
        <v>0</v>
      </c>
      <c r="X246" t="s">
        <v>1333</v>
      </c>
    </row>
    <row r="247" spans="1:24" x14ac:dyDescent="0.25">
      <c r="A247" t="s">
        <v>1960</v>
      </c>
      <c r="B247" t="s">
        <v>1963</v>
      </c>
      <c r="C247" t="s">
        <v>1964</v>
      </c>
      <c r="D247" t="s">
        <v>78</v>
      </c>
      <c r="E247" t="s">
        <v>29</v>
      </c>
      <c r="F247" t="s">
        <v>1</v>
      </c>
      <c r="G247" t="s">
        <v>499</v>
      </c>
      <c r="H247" t="s">
        <v>429</v>
      </c>
      <c r="I247" t="s">
        <v>1</v>
      </c>
      <c r="J247">
        <v>1550.71</v>
      </c>
      <c r="K247">
        <v>440.00000000040001</v>
      </c>
      <c r="L247">
        <v>1439.86</v>
      </c>
      <c r="M247">
        <v>2903.5850828729281</v>
      </c>
      <c r="N247">
        <v>2771.8300000000004</v>
      </c>
      <c r="O247">
        <v>2879.72</v>
      </c>
      <c r="P247">
        <v>0</v>
      </c>
      <c r="Q247">
        <f t="shared" si="55"/>
        <v>2879.72</v>
      </c>
      <c r="R247">
        <v>2879.72</v>
      </c>
      <c r="S247">
        <f t="shared" si="56"/>
        <v>0</v>
      </c>
      <c r="T247"/>
      <c r="U247">
        <f t="shared" si="57"/>
        <v>0</v>
      </c>
      <c r="V247">
        <f t="shared" si="58"/>
        <v>2879.72</v>
      </c>
      <c r="W247">
        <f t="shared" si="59"/>
        <v>0</v>
      </c>
      <c r="X247">
        <v>0</v>
      </c>
    </row>
    <row r="248" spans="1:24" x14ac:dyDescent="0.25">
      <c r="A248" t="s">
        <v>1960</v>
      </c>
      <c r="B248" t="s">
        <v>1963</v>
      </c>
      <c r="C248" t="s">
        <v>1964</v>
      </c>
      <c r="D248" t="s">
        <v>78</v>
      </c>
      <c r="E248" t="s">
        <v>31</v>
      </c>
      <c r="F248" t="s">
        <v>1</v>
      </c>
      <c r="G248" t="s">
        <v>499</v>
      </c>
      <c r="H248" t="s">
        <v>431</v>
      </c>
      <c r="I248" t="s">
        <v>1</v>
      </c>
      <c r="J248"/>
      <c r="K248"/>
      <c r="L248">
        <v>3663.62</v>
      </c>
      <c r="M248">
        <v>7387.9629834254138</v>
      </c>
      <c r="N248">
        <v>3663.62</v>
      </c>
      <c r="O248">
        <v>7327.24</v>
      </c>
      <c r="P248">
        <v>0</v>
      </c>
      <c r="Q248">
        <f t="shared" si="55"/>
        <v>7327.24</v>
      </c>
      <c r="R248">
        <v>3663.62</v>
      </c>
      <c r="S248">
        <f t="shared" si="56"/>
        <v>-3663.62</v>
      </c>
      <c r="T248"/>
      <c r="U248">
        <f t="shared" si="57"/>
        <v>0</v>
      </c>
      <c r="V248">
        <f t="shared" si="58"/>
        <v>3663.62</v>
      </c>
      <c r="W248">
        <f t="shared" si="59"/>
        <v>-3663.62</v>
      </c>
      <c r="X248" t="s">
        <v>1334</v>
      </c>
    </row>
    <row r="249" spans="1:24" x14ac:dyDescent="0.25">
      <c r="A249" t="s">
        <v>1960</v>
      </c>
      <c r="B249" t="s">
        <v>1963</v>
      </c>
      <c r="C249" t="s">
        <v>1964</v>
      </c>
      <c r="D249" t="s">
        <v>78</v>
      </c>
      <c r="E249" t="s">
        <v>33</v>
      </c>
      <c r="F249" t="s">
        <v>1</v>
      </c>
      <c r="G249" t="s">
        <v>499</v>
      </c>
      <c r="H249" t="s">
        <v>433</v>
      </c>
      <c r="I249" t="s">
        <v>1</v>
      </c>
      <c r="J249">
        <v>7641.5</v>
      </c>
      <c r="K249">
        <v>3924.9534731784001</v>
      </c>
      <c r="L249">
        <v>3112.48</v>
      </c>
      <c r="M249">
        <v>6276.5480662983427</v>
      </c>
      <c r="N249">
        <v>3745.2799999999997</v>
      </c>
      <c r="O249">
        <v>6224.96</v>
      </c>
      <c r="P249">
        <v>0</v>
      </c>
      <c r="Q249">
        <f t="shared" si="55"/>
        <v>6224.96</v>
      </c>
      <c r="R249">
        <v>4000</v>
      </c>
      <c r="S249">
        <f t="shared" si="56"/>
        <v>-2224.96</v>
      </c>
      <c r="T249"/>
      <c r="U249">
        <f t="shared" si="57"/>
        <v>0</v>
      </c>
      <c r="V249">
        <f t="shared" si="58"/>
        <v>4000</v>
      </c>
      <c r="W249">
        <f t="shared" si="59"/>
        <v>-2224.96</v>
      </c>
      <c r="X249" t="s">
        <v>1335</v>
      </c>
    </row>
    <row r="250" spans="1:24" x14ac:dyDescent="0.25">
      <c r="A250" t="s">
        <v>1960</v>
      </c>
      <c r="B250" t="s">
        <v>1963</v>
      </c>
      <c r="C250" t="s">
        <v>1964</v>
      </c>
      <c r="D250" t="s">
        <v>78</v>
      </c>
      <c r="E250" t="s">
        <v>34</v>
      </c>
      <c r="F250" t="s">
        <v>1</v>
      </c>
      <c r="G250" t="s">
        <v>499</v>
      </c>
      <c r="H250" t="s">
        <v>434</v>
      </c>
      <c r="I250" t="s">
        <v>1</v>
      </c>
      <c r="J250"/>
      <c r="K250">
        <v>2943.7151048832002</v>
      </c>
      <c r="L250">
        <v>0</v>
      </c>
      <c r="M250">
        <v>0</v>
      </c>
      <c r="N250">
        <v>0</v>
      </c>
      <c r="O250"/>
      <c r="P250">
        <v>0</v>
      </c>
      <c r="Q250">
        <f t="shared" si="55"/>
        <v>0</v>
      </c>
      <c r="R250">
        <v>1000</v>
      </c>
      <c r="S250">
        <f t="shared" si="56"/>
        <v>1000</v>
      </c>
      <c r="T250"/>
      <c r="U250">
        <f t="shared" si="57"/>
        <v>0</v>
      </c>
      <c r="V250">
        <f t="shared" si="58"/>
        <v>1000</v>
      </c>
      <c r="W250">
        <f t="shared" si="59"/>
        <v>1000</v>
      </c>
      <c r="X250" t="s">
        <v>1336</v>
      </c>
    </row>
    <row r="251" spans="1:24" x14ac:dyDescent="0.25">
      <c r="A251" t="s">
        <v>1960</v>
      </c>
      <c r="B251" t="s">
        <v>1963</v>
      </c>
      <c r="C251" t="s">
        <v>1964</v>
      </c>
      <c r="D251" t="s">
        <v>78</v>
      </c>
      <c r="E251" t="s">
        <v>37</v>
      </c>
      <c r="F251" t="s">
        <v>1</v>
      </c>
      <c r="G251" t="s">
        <v>499</v>
      </c>
      <c r="H251" t="s">
        <v>437</v>
      </c>
      <c r="I251" t="s">
        <v>1</v>
      </c>
      <c r="J251"/>
      <c r="K251">
        <v>2845.5912680544002</v>
      </c>
      <c r="L251">
        <v>0</v>
      </c>
      <c r="M251">
        <v>0</v>
      </c>
      <c r="N251">
        <v>0</v>
      </c>
      <c r="O251"/>
      <c r="P251">
        <v>0</v>
      </c>
      <c r="Q251">
        <f t="shared" si="55"/>
        <v>0</v>
      </c>
      <c r="R251">
        <v>2845.5912680544002</v>
      </c>
      <c r="S251">
        <f t="shared" si="56"/>
        <v>2845.5912680544002</v>
      </c>
      <c r="T251"/>
      <c r="U251">
        <f t="shared" si="57"/>
        <v>0</v>
      </c>
      <c r="V251">
        <f t="shared" si="58"/>
        <v>2845.5912680544002</v>
      </c>
      <c r="W251">
        <f t="shared" si="59"/>
        <v>2845.5912680544002</v>
      </c>
      <c r="X251" t="s">
        <v>1331</v>
      </c>
    </row>
    <row r="252" spans="1:24" x14ac:dyDescent="0.25">
      <c r="A252" t="s">
        <v>1960</v>
      </c>
      <c r="B252" t="s">
        <v>1963</v>
      </c>
      <c r="C252" t="s">
        <v>1964</v>
      </c>
      <c r="D252" t="s">
        <v>78</v>
      </c>
      <c r="E252" t="s">
        <v>38</v>
      </c>
      <c r="F252" t="s">
        <v>1</v>
      </c>
      <c r="G252" t="s">
        <v>499</v>
      </c>
      <c r="H252" t="s">
        <v>438</v>
      </c>
      <c r="I252" t="s">
        <v>1</v>
      </c>
      <c r="J252">
        <v>2320</v>
      </c>
      <c r="K252">
        <v>3500.0000000004002</v>
      </c>
      <c r="L252">
        <v>0</v>
      </c>
      <c r="M252">
        <v>0</v>
      </c>
      <c r="N252">
        <v>1160</v>
      </c>
      <c r="O252"/>
      <c r="P252">
        <v>0</v>
      </c>
      <c r="Q252">
        <f t="shared" si="55"/>
        <v>0</v>
      </c>
      <c r="R252">
        <v>3600</v>
      </c>
      <c r="S252">
        <f t="shared" si="56"/>
        <v>3600</v>
      </c>
      <c r="T252"/>
      <c r="U252">
        <f t="shared" si="57"/>
        <v>0</v>
      </c>
      <c r="V252">
        <f t="shared" si="58"/>
        <v>3600</v>
      </c>
      <c r="W252">
        <f t="shared" si="59"/>
        <v>3600</v>
      </c>
      <c r="X252" t="s">
        <v>1337</v>
      </c>
    </row>
    <row r="253" spans="1:24" x14ac:dyDescent="0.25">
      <c r="A253" t="s">
        <v>1960</v>
      </c>
      <c r="B253" t="s">
        <v>1963</v>
      </c>
      <c r="C253" t="s">
        <v>1964</v>
      </c>
      <c r="D253" t="s">
        <v>78</v>
      </c>
      <c r="E253" t="s">
        <v>41</v>
      </c>
      <c r="F253" t="s">
        <v>1</v>
      </c>
      <c r="G253" t="s">
        <v>499</v>
      </c>
      <c r="H253" t="s">
        <v>441</v>
      </c>
      <c r="I253" t="s">
        <v>1</v>
      </c>
      <c r="J253">
        <v>19.149999999999999</v>
      </c>
      <c r="K253">
        <v>37.6174045908</v>
      </c>
      <c r="L253">
        <v>0</v>
      </c>
      <c r="M253">
        <v>0</v>
      </c>
      <c r="N253">
        <v>0</v>
      </c>
      <c r="O253"/>
      <c r="P253">
        <v>0</v>
      </c>
      <c r="Q253">
        <f t="shared" si="55"/>
        <v>0</v>
      </c>
      <c r="R253">
        <v>0</v>
      </c>
      <c r="S253">
        <f t="shared" si="56"/>
        <v>0</v>
      </c>
      <c r="T253">
        <v>0.03</v>
      </c>
      <c r="U253">
        <f t="shared" si="57"/>
        <v>0</v>
      </c>
      <c r="V253">
        <f t="shared" si="58"/>
        <v>0</v>
      </c>
      <c r="W253">
        <f t="shared" si="59"/>
        <v>0</v>
      </c>
      <c r="X253">
        <v>0</v>
      </c>
    </row>
    <row r="254" spans="1:24" x14ac:dyDescent="0.25">
      <c r="A254" t="s">
        <v>1960</v>
      </c>
      <c r="B254" t="s">
        <v>1963</v>
      </c>
      <c r="C254" t="s">
        <v>1964</v>
      </c>
      <c r="D254" t="s">
        <v>78</v>
      </c>
      <c r="E254" t="s">
        <v>46</v>
      </c>
      <c r="F254" t="s">
        <v>1</v>
      </c>
      <c r="G254" t="s">
        <v>499</v>
      </c>
      <c r="H254" t="s">
        <v>446</v>
      </c>
      <c r="I254" t="s">
        <v>1</v>
      </c>
      <c r="J254">
        <v>350</v>
      </c>
      <c r="K254"/>
      <c r="L254">
        <v>2939.33</v>
      </c>
      <c r="M254">
        <v>5927.3781767955797</v>
      </c>
      <c r="N254">
        <v>3289.33</v>
      </c>
      <c r="O254">
        <v>5878.66</v>
      </c>
      <c r="P254">
        <v>0</v>
      </c>
      <c r="Q254">
        <f t="shared" si="55"/>
        <v>5878.66</v>
      </c>
      <c r="R254">
        <v>2939.33</v>
      </c>
      <c r="S254">
        <f t="shared" si="56"/>
        <v>-2939.33</v>
      </c>
      <c r="T254">
        <v>0.03</v>
      </c>
      <c r="U254">
        <f t="shared" si="57"/>
        <v>88.179899999999989</v>
      </c>
      <c r="V254">
        <f t="shared" si="58"/>
        <v>3027.5099</v>
      </c>
      <c r="W254">
        <f t="shared" si="59"/>
        <v>-2851.1500999999998</v>
      </c>
      <c r="X254" t="s">
        <v>1330</v>
      </c>
    </row>
    <row r="255" spans="1:24" x14ac:dyDescent="0.25">
      <c r="A255" t="s">
        <v>1960</v>
      </c>
      <c r="B255" t="s">
        <v>1963</v>
      </c>
      <c r="C255" t="s">
        <v>1964</v>
      </c>
      <c r="D255" t="s">
        <v>78</v>
      </c>
      <c r="E255" t="s">
        <v>47</v>
      </c>
      <c r="F255" t="s">
        <v>1</v>
      </c>
      <c r="G255" t="s">
        <v>499</v>
      </c>
      <c r="H255" t="s">
        <v>447</v>
      </c>
      <c r="I255" t="s">
        <v>1</v>
      </c>
      <c r="J255">
        <v>2195</v>
      </c>
      <c r="K255">
        <v>2750.0000000004002</v>
      </c>
      <c r="L255">
        <v>1375</v>
      </c>
      <c r="M255">
        <v>2772.7900552486185</v>
      </c>
      <c r="N255">
        <v>1650</v>
      </c>
      <c r="O255">
        <v>2750</v>
      </c>
      <c r="P255">
        <v>0</v>
      </c>
      <c r="Q255">
        <f t="shared" si="55"/>
        <v>2750</v>
      </c>
      <c r="R255">
        <v>3350</v>
      </c>
      <c r="S255">
        <f t="shared" si="56"/>
        <v>600</v>
      </c>
      <c r="T255">
        <v>0.03</v>
      </c>
      <c r="U255">
        <f t="shared" si="57"/>
        <v>100.5</v>
      </c>
      <c r="V255">
        <f t="shared" si="58"/>
        <v>3450.5</v>
      </c>
      <c r="W255">
        <f t="shared" si="59"/>
        <v>700.5</v>
      </c>
      <c r="X255" t="s">
        <v>1338</v>
      </c>
    </row>
    <row r="256" spans="1:24" x14ac:dyDescent="0.25">
      <c r="A256" t="s">
        <v>1960</v>
      </c>
      <c r="B256" t="s">
        <v>1963</v>
      </c>
      <c r="C256" t="s">
        <v>1964</v>
      </c>
      <c r="D256" t="s">
        <v>78</v>
      </c>
      <c r="E256" t="s">
        <v>48</v>
      </c>
      <c r="F256" t="s">
        <v>1</v>
      </c>
      <c r="G256" t="s">
        <v>499</v>
      </c>
      <c r="H256" t="s">
        <v>448</v>
      </c>
      <c r="I256" t="s">
        <v>1</v>
      </c>
      <c r="J256">
        <v>65.959999999999994</v>
      </c>
      <c r="K256"/>
      <c r="L256">
        <v>0</v>
      </c>
      <c r="M256">
        <v>0</v>
      </c>
      <c r="N256">
        <v>65.959999999999994</v>
      </c>
      <c r="O256"/>
      <c r="P256">
        <v>0</v>
      </c>
      <c r="Q256">
        <f t="shared" si="55"/>
        <v>0</v>
      </c>
      <c r="R256">
        <v>0</v>
      </c>
      <c r="S256">
        <f t="shared" si="56"/>
        <v>0</v>
      </c>
      <c r="T256">
        <v>0.03</v>
      </c>
      <c r="U256">
        <f t="shared" si="57"/>
        <v>0</v>
      </c>
      <c r="V256">
        <f t="shared" si="58"/>
        <v>0</v>
      </c>
      <c r="W256">
        <f t="shared" si="59"/>
        <v>0</v>
      </c>
      <c r="X256">
        <v>0</v>
      </c>
    </row>
    <row r="257" spans="1:24" x14ac:dyDescent="0.25">
      <c r="A257" t="s">
        <v>1960</v>
      </c>
      <c r="B257" t="s">
        <v>1963</v>
      </c>
      <c r="C257" t="s">
        <v>1964</v>
      </c>
      <c r="D257" t="s">
        <v>78</v>
      </c>
      <c r="E257" t="s">
        <v>79</v>
      </c>
      <c r="F257" t="s">
        <v>1</v>
      </c>
      <c r="G257" t="s">
        <v>499</v>
      </c>
      <c r="H257" t="s">
        <v>500</v>
      </c>
      <c r="I257" t="s">
        <v>1</v>
      </c>
      <c r="J257">
        <v>11710.33</v>
      </c>
      <c r="K257">
        <v>12999.9999999996</v>
      </c>
      <c r="L257">
        <v>4905.74</v>
      </c>
      <c r="M257">
        <v>9892.7906077348052</v>
      </c>
      <c r="N257">
        <v>9964.74</v>
      </c>
      <c r="O257">
        <v>9811.48</v>
      </c>
      <c r="P257">
        <v>0</v>
      </c>
      <c r="Q257">
        <f t="shared" si="55"/>
        <v>9811.48</v>
      </c>
      <c r="R257">
        <v>12000</v>
      </c>
      <c r="S257">
        <f t="shared" si="56"/>
        <v>2188.5200000000004</v>
      </c>
      <c r="T257">
        <v>0.03</v>
      </c>
      <c r="U257">
        <f t="shared" si="57"/>
        <v>360</v>
      </c>
      <c r="V257">
        <f t="shared" si="58"/>
        <v>12360</v>
      </c>
      <c r="W257">
        <f t="shared" si="59"/>
        <v>2548.5200000000004</v>
      </c>
      <c r="X257">
        <v>0</v>
      </c>
    </row>
    <row r="258" spans="1:24" x14ac:dyDescent="0.25">
      <c r="A258" t="s">
        <v>1960</v>
      </c>
      <c r="B258" t="s">
        <v>1963</v>
      </c>
      <c r="C258" t="s">
        <v>1964</v>
      </c>
      <c r="D258" t="s">
        <v>78</v>
      </c>
      <c r="E258" t="s">
        <v>50</v>
      </c>
      <c r="F258" t="s">
        <v>1</v>
      </c>
      <c r="G258" t="s">
        <v>499</v>
      </c>
      <c r="H258" t="s">
        <v>450</v>
      </c>
      <c r="I258" t="s">
        <v>1</v>
      </c>
      <c r="J258">
        <v>27505.81</v>
      </c>
      <c r="K258">
        <v>28690.000000000498</v>
      </c>
      <c r="L258">
        <v>2098.94</v>
      </c>
      <c r="M258">
        <v>4232.6690607734809</v>
      </c>
      <c r="N258">
        <v>15971.869999999997</v>
      </c>
      <c r="O258">
        <v>4232.6690607735</v>
      </c>
      <c r="P258">
        <v>0</v>
      </c>
      <c r="Q258">
        <f t="shared" si="55"/>
        <v>4232.6690607735</v>
      </c>
      <c r="R258">
        <v>4232.6690607735</v>
      </c>
      <c r="S258">
        <f t="shared" si="56"/>
        <v>0</v>
      </c>
      <c r="T258"/>
      <c r="U258">
        <f t="shared" si="57"/>
        <v>0</v>
      </c>
      <c r="V258">
        <f t="shared" si="58"/>
        <v>4232.6690607735</v>
      </c>
      <c r="W258">
        <f t="shared" si="59"/>
        <v>0</v>
      </c>
      <c r="X258">
        <v>0</v>
      </c>
    </row>
    <row r="259" spans="1:24" x14ac:dyDescent="0.25">
      <c r="A259" t="s">
        <v>1960</v>
      </c>
      <c r="B259" t="s">
        <v>1963</v>
      </c>
      <c r="C259" t="s">
        <v>1964</v>
      </c>
      <c r="D259" t="s">
        <v>78</v>
      </c>
      <c r="E259" t="s">
        <v>51</v>
      </c>
      <c r="F259" t="s">
        <v>51</v>
      </c>
      <c r="G259" t="s">
        <v>501</v>
      </c>
      <c r="H259"/>
      <c r="I259"/>
      <c r="J259">
        <v>83579.59</v>
      </c>
      <c r="K259">
        <v>83592.159419541596</v>
      </c>
      <c r="L259">
        <v>33261.279999999999</v>
      </c>
      <c r="M259">
        <v>67073.851933701662</v>
      </c>
      <c r="N259">
        <v>70304</v>
      </c>
      <c r="O259">
        <v>66562.369502762507</v>
      </c>
      <c r="P259">
        <f>SUMIF($F$236:$F$258,"&lt;&gt;EV_*",$P$236:$P$258)</f>
        <v>0</v>
      </c>
      <c r="Q259">
        <f>SUMIF($F$236:$F$258,"&lt;&gt;EV_*",$Q$236:$Q$258)</f>
        <v>66562.369502762507</v>
      </c>
      <c r="R259">
        <f>SUMIF($F$236:$F$258,"&lt;&gt;EV_*",$R$236:$R$258)</f>
        <v>65750.902412734693</v>
      </c>
      <c r="S259">
        <f>SUMIF($F$236:$F$258,"&lt;&gt;EV_*",$S$236:$S$258)</f>
        <v>-811.46709002779971</v>
      </c>
      <c r="T259">
        <v>0</v>
      </c>
      <c r="U259">
        <f>SUMIF($F$236:$F$258,"&lt;&gt;EV_*",$U$236:$U$258)</f>
        <v>628.51990000000001</v>
      </c>
      <c r="V259">
        <f>SUMIF($F$236:$F$258,"&lt;&gt;EV_*",$V$236:$V$258)</f>
        <v>66379.422312734692</v>
      </c>
      <c r="W259">
        <f>SUMIF($F$236:$F$258,"&lt;&gt;EV_*",$W$236:$W$258)</f>
        <v>-182.94719002779948</v>
      </c>
      <c r="X259">
        <f>SUMIF($F$236:$F$258,"&lt;&gt;EV_*",$X$236:$X$258)</f>
        <v>0</v>
      </c>
    </row>
    <row r="260" spans="1:24" x14ac:dyDescent="0.25">
      <c r="A260" t="s">
        <v>1965</v>
      </c>
      <c r="B260" t="s">
        <v>1966</v>
      </c>
      <c r="C260" t="s">
        <v>1967</v>
      </c>
      <c r="D260" t="s">
        <v>80</v>
      </c>
      <c r="E260" t="s">
        <v>5</v>
      </c>
      <c r="F260" t="s">
        <v>5</v>
      </c>
      <c r="G260" t="s">
        <v>502</v>
      </c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</row>
    <row r="261" spans="1:24" x14ac:dyDescent="0.25">
      <c r="A261" t="s">
        <v>1965</v>
      </c>
      <c r="B261" t="s">
        <v>1966</v>
      </c>
      <c r="C261" t="s">
        <v>1967</v>
      </c>
      <c r="D261" t="s">
        <v>80</v>
      </c>
      <c r="E261" t="s">
        <v>8</v>
      </c>
      <c r="F261" t="s">
        <v>1</v>
      </c>
      <c r="G261" t="s">
        <v>503</v>
      </c>
      <c r="H261" t="s">
        <v>408</v>
      </c>
      <c r="I261" t="s">
        <v>1</v>
      </c>
      <c r="J261">
        <v>23705.200000000001</v>
      </c>
      <c r="K261">
        <v>26809.895303867299</v>
      </c>
      <c r="L261">
        <v>847.6</v>
      </c>
      <c r="M261">
        <v>1709.2486187845304</v>
      </c>
      <c r="N261">
        <v>11258.030000000002</v>
      </c>
      <c r="O261">
        <v>1709.2486187845</v>
      </c>
      <c r="P261">
        <v>0</v>
      </c>
      <c r="Q261">
        <f t="shared" ref="Q261:Q278" si="60">O261+P261</f>
        <v>1709.2486187845</v>
      </c>
      <c r="R261">
        <v>23705.200000000001</v>
      </c>
      <c r="S261">
        <f t="shared" ref="S261:S278" si="61">IF(OR(LEFT(E261,2)="A_",LEFT(D261,5)="Total"),R261-Q261,"")</f>
        <v>21995.951381215502</v>
      </c>
      <c r="T261"/>
      <c r="U261">
        <f t="shared" ref="U261:U278" si="62">IFERROR(R261*T261,R261*0)</f>
        <v>0</v>
      </c>
      <c r="V261">
        <f t="shared" ref="V261:V278" si="63">IF(OR(LEFT(E261,2)="A_",LEFT(D261,5)="Total"),R261+U261,"")</f>
        <v>23705.200000000001</v>
      </c>
      <c r="W261">
        <f t="shared" ref="W261:W278" si="64">IF(OR(LEFT(E261,2)="A_",LEFT(D261,5)="Total"),V261-Q261,"")</f>
        <v>21995.951381215502</v>
      </c>
      <c r="X261" t="s">
        <v>1339</v>
      </c>
    </row>
    <row r="262" spans="1:24" x14ac:dyDescent="0.25">
      <c r="A262" t="s">
        <v>1965</v>
      </c>
      <c r="B262" t="s">
        <v>1966</v>
      </c>
      <c r="C262" t="s">
        <v>1967</v>
      </c>
      <c r="D262" t="s">
        <v>80</v>
      </c>
      <c r="E262" t="s">
        <v>12</v>
      </c>
      <c r="F262" t="s">
        <v>1</v>
      </c>
      <c r="G262" t="s">
        <v>503</v>
      </c>
      <c r="H262" t="s">
        <v>412</v>
      </c>
      <c r="I262" t="s">
        <v>1</v>
      </c>
      <c r="J262"/>
      <c r="K262"/>
      <c r="L262">
        <v>472</v>
      </c>
      <c r="M262">
        <v>951.82320441988952</v>
      </c>
      <c r="N262">
        <v>472</v>
      </c>
      <c r="O262">
        <v>944</v>
      </c>
      <c r="P262">
        <v>0</v>
      </c>
      <c r="Q262">
        <f t="shared" si="60"/>
        <v>944</v>
      </c>
      <c r="R262">
        <v>472</v>
      </c>
      <c r="S262">
        <f t="shared" si="61"/>
        <v>-472</v>
      </c>
      <c r="T262"/>
      <c r="U262">
        <f t="shared" si="62"/>
        <v>0</v>
      </c>
      <c r="V262">
        <f t="shared" si="63"/>
        <v>472</v>
      </c>
      <c r="W262">
        <f t="shared" si="64"/>
        <v>-472</v>
      </c>
      <c r="X262" t="s">
        <v>1340</v>
      </c>
    </row>
    <row r="263" spans="1:24" x14ac:dyDescent="0.25">
      <c r="A263" t="s">
        <v>1965</v>
      </c>
      <c r="B263" t="s">
        <v>1966</v>
      </c>
      <c r="C263" t="s">
        <v>1967</v>
      </c>
      <c r="D263" t="s">
        <v>80</v>
      </c>
      <c r="E263" t="s">
        <v>18</v>
      </c>
      <c r="F263" t="s">
        <v>1</v>
      </c>
      <c r="G263" t="s">
        <v>503</v>
      </c>
      <c r="H263" t="s">
        <v>418</v>
      </c>
      <c r="I263" t="s">
        <v>1</v>
      </c>
      <c r="J263">
        <v>43.51</v>
      </c>
      <c r="K263"/>
      <c r="L263">
        <v>0</v>
      </c>
      <c r="M263">
        <v>0</v>
      </c>
      <c r="N263">
        <v>0</v>
      </c>
      <c r="O263"/>
      <c r="P263">
        <v>0</v>
      </c>
      <c r="Q263">
        <f t="shared" si="60"/>
        <v>0</v>
      </c>
      <c r="R263">
        <v>0</v>
      </c>
      <c r="S263">
        <f t="shared" si="61"/>
        <v>0</v>
      </c>
      <c r="T263">
        <v>0.02</v>
      </c>
      <c r="U263">
        <f t="shared" si="62"/>
        <v>0</v>
      </c>
      <c r="V263">
        <f t="shared" si="63"/>
        <v>0</v>
      </c>
      <c r="W263">
        <f t="shared" si="64"/>
        <v>0</v>
      </c>
      <c r="X263">
        <v>0</v>
      </c>
    </row>
    <row r="264" spans="1:24" x14ac:dyDescent="0.25">
      <c r="A264" t="s">
        <v>1965</v>
      </c>
      <c r="B264" t="s">
        <v>1966</v>
      </c>
      <c r="C264" t="s">
        <v>1967</v>
      </c>
      <c r="D264" t="s">
        <v>80</v>
      </c>
      <c r="E264" t="s">
        <v>21</v>
      </c>
      <c r="F264" t="s">
        <v>1</v>
      </c>
      <c r="G264" t="s">
        <v>503</v>
      </c>
      <c r="H264" t="s">
        <v>421</v>
      </c>
      <c r="I264" t="s">
        <v>1</v>
      </c>
      <c r="J264">
        <v>462.83</v>
      </c>
      <c r="K264">
        <v>849.47999999989997</v>
      </c>
      <c r="L264">
        <v>0</v>
      </c>
      <c r="M264">
        <v>0</v>
      </c>
      <c r="N264">
        <v>36.74</v>
      </c>
      <c r="O264"/>
      <c r="P264">
        <v>0</v>
      </c>
      <c r="Q264">
        <f t="shared" si="60"/>
        <v>0</v>
      </c>
      <c r="R264">
        <v>0</v>
      </c>
      <c r="S264">
        <f t="shared" si="61"/>
        <v>0</v>
      </c>
      <c r="T264">
        <v>0.03</v>
      </c>
      <c r="U264">
        <f t="shared" si="62"/>
        <v>0</v>
      </c>
      <c r="V264">
        <f t="shared" si="63"/>
        <v>0</v>
      </c>
      <c r="W264">
        <f t="shared" si="64"/>
        <v>0</v>
      </c>
      <c r="X264">
        <v>0</v>
      </c>
    </row>
    <row r="265" spans="1:24" x14ac:dyDescent="0.25">
      <c r="A265" t="s">
        <v>1965</v>
      </c>
      <c r="B265" t="s">
        <v>1966</v>
      </c>
      <c r="C265" t="s">
        <v>1967</v>
      </c>
      <c r="D265" t="s">
        <v>80</v>
      </c>
      <c r="E265" t="s">
        <v>22</v>
      </c>
      <c r="F265" t="s">
        <v>1</v>
      </c>
      <c r="G265" t="s">
        <v>503</v>
      </c>
      <c r="H265" t="s">
        <v>422</v>
      </c>
      <c r="I265" t="s">
        <v>1</v>
      </c>
      <c r="J265">
        <v>870.29</v>
      </c>
      <c r="K265">
        <v>1159.2</v>
      </c>
      <c r="L265">
        <v>0</v>
      </c>
      <c r="M265">
        <v>0</v>
      </c>
      <c r="N265">
        <v>308.63</v>
      </c>
      <c r="O265"/>
      <c r="P265">
        <v>0</v>
      </c>
      <c r="Q265">
        <f t="shared" si="60"/>
        <v>0</v>
      </c>
      <c r="R265">
        <v>1159.2</v>
      </c>
      <c r="S265">
        <f t="shared" si="61"/>
        <v>1159.2</v>
      </c>
      <c r="T265">
        <v>3.5000000000000003E-2</v>
      </c>
      <c r="U265">
        <f t="shared" si="62"/>
        <v>40.572000000000003</v>
      </c>
      <c r="V265">
        <f t="shared" si="63"/>
        <v>1199.7719999999999</v>
      </c>
      <c r="W265">
        <f t="shared" si="64"/>
        <v>1199.7719999999999</v>
      </c>
      <c r="X265">
        <v>0</v>
      </c>
    </row>
    <row r="266" spans="1:24" x14ac:dyDescent="0.25">
      <c r="A266" t="s">
        <v>1965</v>
      </c>
      <c r="B266" t="s">
        <v>1966</v>
      </c>
      <c r="C266" t="s">
        <v>1967</v>
      </c>
      <c r="D266" t="s">
        <v>80</v>
      </c>
      <c r="E266" t="s">
        <v>23</v>
      </c>
      <c r="F266" t="s">
        <v>1</v>
      </c>
      <c r="G266" t="s">
        <v>503</v>
      </c>
      <c r="H266" t="s">
        <v>423</v>
      </c>
      <c r="I266" t="s">
        <v>1</v>
      </c>
      <c r="J266">
        <v>1050.97</v>
      </c>
      <c r="K266">
        <v>2173.4999999999</v>
      </c>
      <c r="L266">
        <v>0</v>
      </c>
      <c r="M266">
        <v>0</v>
      </c>
      <c r="N266">
        <v>0</v>
      </c>
      <c r="O266"/>
      <c r="P266">
        <v>0</v>
      </c>
      <c r="Q266">
        <f t="shared" si="60"/>
        <v>0</v>
      </c>
      <c r="R266">
        <v>2173.4999999999</v>
      </c>
      <c r="S266">
        <f t="shared" si="61"/>
        <v>2173.4999999999</v>
      </c>
      <c r="T266">
        <v>3.5000000000000003E-2</v>
      </c>
      <c r="U266">
        <f t="shared" si="62"/>
        <v>76.072499999996509</v>
      </c>
      <c r="V266">
        <f t="shared" si="63"/>
        <v>2249.5724999998965</v>
      </c>
      <c r="W266">
        <f t="shared" si="64"/>
        <v>2249.5724999998965</v>
      </c>
      <c r="X266" t="s">
        <v>1330</v>
      </c>
    </row>
    <row r="267" spans="1:24" x14ac:dyDescent="0.25">
      <c r="A267" t="s">
        <v>1965</v>
      </c>
      <c r="B267" t="s">
        <v>1966</v>
      </c>
      <c r="C267" t="s">
        <v>1967</v>
      </c>
      <c r="D267" t="s">
        <v>80</v>
      </c>
      <c r="E267" t="s">
        <v>26</v>
      </c>
      <c r="F267" t="s">
        <v>1</v>
      </c>
      <c r="G267" t="s">
        <v>503</v>
      </c>
      <c r="H267" t="s">
        <v>426</v>
      </c>
      <c r="I267" t="s">
        <v>1</v>
      </c>
      <c r="J267">
        <v>1938</v>
      </c>
      <c r="K267">
        <v>1393.3584829788001</v>
      </c>
      <c r="L267">
        <v>0</v>
      </c>
      <c r="M267">
        <v>0</v>
      </c>
      <c r="N267">
        <v>0</v>
      </c>
      <c r="O267"/>
      <c r="P267">
        <v>0</v>
      </c>
      <c r="Q267">
        <f t="shared" si="60"/>
        <v>0</v>
      </c>
      <c r="R267">
        <v>2200</v>
      </c>
      <c r="S267">
        <f t="shared" si="61"/>
        <v>2200</v>
      </c>
      <c r="T267"/>
      <c r="U267">
        <f t="shared" si="62"/>
        <v>0</v>
      </c>
      <c r="V267">
        <f t="shared" si="63"/>
        <v>2200</v>
      </c>
      <c r="W267">
        <f t="shared" si="64"/>
        <v>2200</v>
      </c>
      <c r="X267" t="s">
        <v>1341</v>
      </c>
    </row>
    <row r="268" spans="1:24" x14ac:dyDescent="0.25">
      <c r="A268" t="s">
        <v>1965</v>
      </c>
      <c r="B268" t="s">
        <v>1966</v>
      </c>
      <c r="C268" t="s">
        <v>1967</v>
      </c>
      <c r="D268" t="s">
        <v>80</v>
      </c>
      <c r="E268" t="s">
        <v>27</v>
      </c>
      <c r="F268" t="s">
        <v>1</v>
      </c>
      <c r="G268" t="s">
        <v>503</v>
      </c>
      <c r="H268" t="s">
        <v>427</v>
      </c>
      <c r="I268" t="s">
        <v>1</v>
      </c>
      <c r="J268">
        <v>588.04</v>
      </c>
      <c r="K268">
        <v>429.99999999959999</v>
      </c>
      <c r="L268">
        <v>410.24</v>
      </c>
      <c r="M268">
        <v>827.27955801104986</v>
      </c>
      <c r="N268">
        <v>633.25</v>
      </c>
      <c r="O268">
        <v>820.48</v>
      </c>
      <c r="P268">
        <v>0</v>
      </c>
      <c r="Q268">
        <f t="shared" si="60"/>
        <v>820.48</v>
      </c>
      <c r="R268">
        <v>820.48</v>
      </c>
      <c r="S268">
        <f t="shared" si="61"/>
        <v>0</v>
      </c>
      <c r="T268"/>
      <c r="U268">
        <f t="shared" si="62"/>
        <v>0</v>
      </c>
      <c r="V268">
        <f t="shared" si="63"/>
        <v>820.48</v>
      </c>
      <c r="W268">
        <f t="shared" si="64"/>
        <v>0</v>
      </c>
      <c r="X268">
        <v>0</v>
      </c>
    </row>
    <row r="269" spans="1:24" x14ac:dyDescent="0.25">
      <c r="A269" t="s">
        <v>1965</v>
      </c>
      <c r="B269" t="s">
        <v>1966</v>
      </c>
      <c r="C269" t="s">
        <v>1967</v>
      </c>
      <c r="D269" t="s">
        <v>80</v>
      </c>
      <c r="E269" t="s">
        <v>29</v>
      </c>
      <c r="F269" t="s">
        <v>1</v>
      </c>
      <c r="G269" t="s">
        <v>503</v>
      </c>
      <c r="H269" t="s">
        <v>429</v>
      </c>
      <c r="I269" t="s">
        <v>1</v>
      </c>
      <c r="J269">
        <v>501.3</v>
      </c>
      <c r="K269">
        <v>999.99999999960005</v>
      </c>
      <c r="L269">
        <v>35.04</v>
      </c>
      <c r="M269">
        <v>70.660773480662982</v>
      </c>
      <c r="N269">
        <v>35.04</v>
      </c>
      <c r="O269">
        <v>70.08</v>
      </c>
      <c r="P269">
        <v>0</v>
      </c>
      <c r="Q269">
        <f t="shared" si="60"/>
        <v>70.08</v>
      </c>
      <c r="R269">
        <v>999.99999999960005</v>
      </c>
      <c r="S269">
        <f t="shared" si="61"/>
        <v>929.91999999960001</v>
      </c>
      <c r="T269"/>
      <c r="U269">
        <f t="shared" si="62"/>
        <v>0</v>
      </c>
      <c r="V269">
        <f t="shared" si="63"/>
        <v>999.99999999960005</v>
      </c>
      <c r="W269">
        <f t="shared" si="64"/>
        <v>929.91999999960001</v>
      </c>
      <c r="X269" t="s">
        <v>1342</v>
      </c>
    </row>
    <row r="270" spans="1:24" x14ac:dyDescent="0.25">
      <c r="A270" t="s">
        <v>1965</v>
      </c>
      <c r="B270" t="s">
        <v>1966</v>
      </c>
      <c r="C270" t="s">
        <v>1967</v>
      </c>
      <c r="D270" t="s">
        <v>80</v>
      </c>
      <c r="E270" t="s">
        <v>31</v>
      </c>
      <c r="F270" t="s">
        <v>1</v>
      </c>
      <c r="G270" t="s">
        <v>503</v>
      </c>
      <c r="H270" t="s">
        <v>431</v>
      </c>
      <c r="I270" t="s">
        <v>1</v>
      </c>
      <c r="J270">
        <v>9413.25</v>
      </c>
      <c r="K270">
        <v>6486.9999999995998</v>
      </c>
      <c r="L270">
        <v>2070</v>
      </c>
      <c r="M270">
        <v>4174.3093922651933</v>
      </c>
      <c r="N270">
        <v>8367.75</v>
      </c>
      <c r="O270">
        <v>4140</v>
      </c>
      <c r="P270">
        <v>0</v>
      </c>
      <c r="Q270">
        <f t="shared" si="60"/>
        <v>4140</v>
      </c>
      <c r="R270">
        <v>7100</v>
      </c>
      <c r="S270">
        <f t="shared" si="61"/>
        <v>2960</v>
      </c>
      <c r="T270"/>
      <c r="U270">
        <f t="shared" si="62"/>
        <v>0</v>
      </c>
      <c r="V270">
        <f t="shared" si="63"/>
        <v>7100</v>
      </c>
      <c r="W270">
        <f t="shared" si="64"/>
        <v>2960</v>
      </c>
      <c r="X270" t="s">
        <v>1343</v>
      </c>
    </row>
    <row r="271" spans="1:24" x14ac:dyDescent="0.25">
      <c r="A271" t="s">
        <v>1965</v>
      </c>
      <c r="B271" t="s">
        <v>1966</v>
      </c>
      <c r="C271" t="s">
        <v>1967</v>
      </c>
      <c r="D271" t="s">
        <v>80</v>
      </c>
      <c r="E271" t="s">
        <v>33</v>
      </c>
      <c r="F271" t="s">
        <v>1</v>
      </c>
      <c r="G271" t="s">
        <v>503</v>
      </c>
      <c r="H271" t="s">
        <v>433</v>
      </c>
      <c r="I271" t="s">
        <v>1</v>
      </c>
      <c r="J271">
        <v>16985</v>
      </c>
      <c r="K271">
        <v>981.23836829519996</v>
      </c>
      <c r="L271">
        <v>0</v>
      </c>
      <c r="M271">
        <v>0</v>
      </c>
      <c r="N271">
        <v>16985</v>
      </c>
      <c r="O271"/>
      <c r="P271">
        <v>0</v>
      </c>
      <c r="Q271">
        <f t="shared" si="60"/>
        <v>0</v>
      </c>
      <c r="R271">
        <v>33000</v>
      </c>
      <c r="S271">
        <f t="shared" si="61"/>
        <v>33000</v>
      </c>
      <c r="T271"/>
      <c r="U271">
        <f t="shared" si="62"/>
        <v>0</v>
      </c>
      <c r="V271">
        <f t="shared" si="63"/>
        <v>33000</v>
      </c>
      <c r="W271">
        <f t="shared" si="64"/>
        <v>33000</v>
      </c>
      <c r="X271" t="s">
        <v>1344</v>
      </c>
    </row>
    <row r="272" spans="1:24" x14ac:dyDescent="0.25">
      <c r="A272" t="s">
        <v>1965</v>
      </c>
      <c r="B272" t="s">
        <v>1966</v>
      </c>
      <c r="C272" t="s">
        <v>1967</v>
      </c>
      <c r="D272" t="s">
        <v>80</v>
      </c>
      <c r="E272" t="s">
        <v>34</v>
      </c>
      <c r="F272" t="s">
        <v>1</v>
      </c>
      <c r="G272" t="s">
        <v>503</v>
      </c>
      <c r="H272" t="s">
        <v>434</v>
      </c>
      <c r="I272" t="s">
        <v>1</v>
      </c>
      <c r="J272">
        <v>174.42</v>
      </c>
      <c r="K272">
        <v>98.123836830000002</v>
      </c>
      <c r="L272">
        <v>10870</v>
      </c>
      <c r="M272">
        <v>21920.165745856353</v>
      </c>
      <c r="N272">
        <v>11044.42</v>
      </c>
      <c r="O272">
        <v>21740</v>
      </c>
      <c r="P272">
        <v>0</v>
      </c>
      <c r="Q272">
        <f t="shared" si="60"/>
        <v>21740</v>
      </c>
      <c r="R272">
        <v>450</v>
      </c>
      <c r="S272">
        <f t="shared" si="61"/>
        <v>-21290</v>
      </c>
      <c r="T272"/>
      <c r="U272">
        <f t="shared" si="62"/>
        <v>0</v>
      </c>
      <c r="V272">
        <f t="shared" si="63"/>
        <v>450</v>
      </c>
      <c r="W272">
        <f t="shared" si="64"/>
        <v>-21290</v>
      </c>
      <c r="X272" t="s">
        <v>1345</v>
      </c>
    </row>
    <row r="273" spans="1:24" x14ac:dyDescent="0.25">
      <c r="A273" t="s">
        <v>1965</v>
      </c>
      <c r="B273" t="s">
        <v>1966</v>
      </c>
      <c r="C273" t="s">
        <v>1967</v>
      </c>
      <c r="D273" t="s">
        <v>80</v>
      </c>
      <c r="E273" t="s">
        <v>35</v>
      </c>
      <c r="F273" t="s">
        <v>1</v>
      </c>
      <c r="G273" t="s">
        <v>503</v>
      </c>
      <c r="H273" t="s">
        <v>435</v>
      </c>
      <c r="I273" t="s">
        <v>1</v>
      </c>
      <c r="J273"/>
      <c r="K273">
        <v>219.99999999959999</v>
      </c>
      <c r="L273">
        <v>0</v>
      </c>
      <c r="M273">
        <v>0</v>
      </c>
      <c r="N273">
        <v>0</v>
      </c>
      <c r="O273"/>
      <c r="P273">
        <v>0</v>
      </c>
      <c r="Q273">
        <f t="shared" si="60"/>
        <v>0</v>
      </c>
      <c r="R273">
        <v>219.99999999959999</v>
      </c>
      <c r="S273">
        <f t="shared" si="61"/>
        <v>219.99999999959999</v>
      </c>
      <c r="T273"/>
      <c r="U273">
        <f t="shared" si="62"/>
        <v>0</v>
      </c>
      <c r="V273">
        <f t="shared" si="63"/>
        <v>219.99999999959999</v>
      </c>
      <c r="W273">
        <f t="shared" si="64"/>
        <v>219.99999999959999</v>
      </c>
      <c r="X273">
        <v>0</v>
      </c>
    </row>
    <row r="274" spans="1:24" x14ac:dyDescent="0.25">
      <c r="A274" t="s">
        <v>1965</v>
      </c>
      <c r="B274" t="s">
        <v>1966</v>
      </c>
      <c r="C274" t="s">
        <v>1967</v>
      </c>
      <c r="D274" t="s">
        <v>80</v>
      </c>
      <c r="E274" t="s">
        <v>37</v>
      </c>
      <c r="F274" t="s">
        <v>1</v>
      </c>
      <c r="G274" t="s">
        <v>503</v>
      </c>
      <c r="H274" t="s">
        <v>437</v>
      </c>
      <c r="I274" t="s">
        <v>1</v>
      </c>
      <c r="J274">
        <v>2007.16</v>
      </c>
      <c r="K274">
        <v>1864.3528997592</v>
      </c>
      <c r="L274">
        <v>0</v>
      </c>
      <c r="M274">
        <v>0</v>
      </c>
      <c r="N274">
        <v>1041.06</v>
      </c>
      <c r="O274"/>
      <c r="P274">
        <v>0</v>
      </c>
      <c r="Q274">
        <f t="shared" si="60"/>
        <v>0</v>
      </c>
      <c r="R274">
        <v>2000</v>
      </c>
      <c r="S274">
        <f t="shared" si="61"/>
        <v>2000</v>
      </c>
      <c r="T274"/>
      <c r="U274">
        <f t="shared" si="62"/>
        <v>0</v>
      </c>
      <c r="V274">
        <f t="shared" si="63"/>
        <v>2000</v>
      </c>
      <c r="W274">
        <f t="shared" si="64"/>
        <v>2000</v>
      </c>
      <c r="X274" t="s">
        <v>1346</v>
      </c>
    </row>
    <row r="275" spans="1:24" x14ac:dyDescent="0.25">
      <c r="A275" t="s">
        <v>1965</v>
      </c>
      <c r="B275" t="s">
        <v>1966</v>
      </c>
      <c r="C275" t="s">
        <v>1967</v>
      </c>
      <c r="D275" t="s">
        <v>80</v>
      </c>
      <c r="E275" t="s">
        <v>41</v>
      </c>
      <c r="F275" t="s">
        <v>1</v>
      </c>
      <c r="G275" t="s">
        <v>503</v>
      </c>
      <c r="H275" t="s">
        <v>441</v>
      </c>
      <c r="I275" t="s">
        <v>1</v>
      </c>
      <c r="J275">
        <v>602.77</v>
      </c>
      <c r="K275">
        <v>467.85050920679998</v>
      </c>
      <c r="L275">
        <v>223.05</v>
      </c>
      <c r="M275">
        <v>449.79696132596689</v>
      </c>
      <c r="N275">
        <v>587.65000000000009</v>
      </c>
      <c r="O275">
        <v>446.1</v>
      </c>
      <c r="P275">
        <v>0</v>
      </c>
      <c r="Q275">
        <f t="shared" si="60"/>
        <v>446.1</v>
      </c>
      <c r="R275">
        <v>467.85050920679998</v>
      </c>
      <c r="S275">
        <f t="shared" si="61"/>
        <v>21.750509206799961</v>
      </c>
      <c r="T275">
        <v>0.03</v>
      </c>
      <c r="U275">
        <f t="shared" si="62"/>
        <v>14.035515276203999</v>
      </c>
      <c r="V275">
        <f t="shared" si="63"/>
        <v>481.88602448300401</v>
      </c>
      <c r="W275">
        <f t="shared" si="64"/>
        <v>35.786024483003985</v>
      </c>
      <c r="X275">
        <v>0</v>
      </c>
    </row>
    <row r="276" spans="1:24" x14ac:dyDescent="0.25">
      <c r="A276" t="s">
        <v>1965</v>
      </c>
      <c r="B276" t="s">
        <v>1966</v>
      </c>
      <c r="C276" t="s">
        <v>1967</v>
      </c>
      <c r="D276" t="s">
        <v>80</v>
      </c>
      <c r="E276" t="s">
        <v>42</v>
      </c>
      <c r="F276" t="s">
        <v>1</v>
      </c>
      <c r="G276" t="s">
        <v>503</v>
      </c>
      <c r="H276" t="s">
        <v>442</v>
      </c>
      <c r="I276" t="s">
        <v>1</v>
      </c>
      <c r="J276">
        <v>338</v>
      </c>
      <c r="K276">
        <v>338.00000000040001</v>
      </c>
      <c r="L276">
        <v>0</v>
      </c>
      <c r="M276">
        <v>0</v>
      </c>
      <c r="N276">
        <v>0</v>
      </c>
      <c r="O276"/>
      <c r="P276">
        <v>0</v>
      </c>
      <c r="Q276">
        <f t="shared" si="60"/>
        <v>0</v>
      </c>
      <c r="R276">
        <v>0</v>
      </c>
      <c r="S276">
        <f t="shared" si="61"/>
        <v>0</v>
      </c>
      <c r="T276">
        <v>0.03</v>
      </c>
      <c r="U276">
        <f t="shared" si="62"/>
        <v>0</v>
      </c>
      <c r="V276">
        <f t="shared" si="63"/>
        <v>0</v>
      </c>
      <c r="W276">
        <f t="shared" si="64"/>
        <v>0</v>
      </c>
      <c r="X276">
        <v>0</v>
      </c>
    </row>
    <row r="277" spans="1:24" x14ac:dyDescent="0.25">
      <c r="A277" t="s">
        <v>1965</v>
      </c>
      <c r="B277" t="s">
        <v>1966</v>
      </c>
      <c r="C277" t="s">
        <v>1967</v>
      </c>
      <c r="D277" t="s">
        <v>80</v>
      </c>
      <c r="E277" t="s">
        <v>46</v>
      </c>
      <c r="F277" t="s">
        <v>1</v>
      </c>
      <c r="G277" t="s">
        <v>503</v>
      </c>
      <c r="H277" t="s">
        <v>446</v>
      </c>
      <c r="I277" t="s">
        <v>1</v>
      </c>
      <c r="J277">
        <v>34.11</v>
      </c>
      <c r="K277"/>
      <c r="L277">
        <v>0</v>
      </c>
      <c r="M277">
        <v>0</v>
      </c>
      <c r="N277">
        <v>0</v>
      </c>
      <c r="O277"/>
      <c r="P277">
        <v>0</v>
      </c>
      <c r="Q277">
        <f t="shared" si="60"/>
        <v>0</v>
      </c>
      <c r="R277">
        <v>2000</v>
      </c>
      <c r="S277">
        <f t="shared" si="61"/>
        <v>2000</v>
      </c>
      <c r="T277">
        <v>0.03</v>
      </c>
      <c r="U277">
        <f t="shared" si="62"/>
        <v>60</v>
      </c>
      <c r="V277">
        <f t="shared" si="63"/>
        <v>2060</v>
      </c>
      <c r="W277">
        <f t="shared" si="64"/>
        <v>2060</v>
      </c>
      <c r="X277" t="s">
        <v>1347</v>
      </c>
    </row>
    <row r="278" spans="1:24" x14ac:dyDescent="0.25">
      <c r="A278" t="s">
        <v>1965</v>
      </c>
      <c r="B278" t="s">
        <v>1966</v>
      </c>
      <c r="C278" t="s">
        <v>1967</v>
      </c>
      <c r="D278" t="s">
        <v>80</v>
      </c>
      <c r="E278" t="s">
        <v>50</v>
      </c>
      <c r="F278" t="s">
        <v>1</v>
      </c>
      <c r="G278" t="s">
        <v>503</v>
      </c>
      <c r="H278" t="s">
        <v>450</v>
      </c>
      <c r="I278" t="s">
        <v>1</v>
      </c>
      <c r="J278">
        <v>1043.3599999999999</v>
      </c>
      <c r="K278">
        <v>1100.0000000004</v>
      </c>
      <c r="L278">
        <v>664.17</v>
      </c>
      <c r="M278">
        <v>1339.3483425414363</v>
      </c>
      <c r="N278">
        <v>1124.9099999999999</v>
      </c>
      <c r="O278">
        <v>1339.3483425413999</v>
      </c>
      <c r="P278">
        <v>0</v>
      </c>
      <c r="Q278">
        <f t="shared" si="60"/>
        <v>1339.3483425413999</v>
      </c>
      <c r="R278">
        <v>1339.3483425413999</v>
      </c>
      <c r="S278">
        <f t="shared" si="61"/>
        <v>0</v>
      </c>
      <c r="T278"/>
      <c r="U278">
        <f t="shared" si="62"/>
        <v>0</v>
      </c>
      <c r="V278">
        <f t="shared" si="63"/>
        <v>1339.3483425413999</v>
      </c>
      <c r="W278">
        <f t="shared" si="64"/>
        <v>0</v>
      </c>
      <c r="X278">
        <v>0</v>
      </c>
    </row>
    <row r="279" spans="1:24" x14ac:dyDescent="0.25">
      <c r="A279" t="s">
        <v>1965</v>
      </c>
      <c r="B279" t="s">
        <v>1966</v>
      </c>
      <c r="C279" t="s">
        <v>1967</v>
      </c>
      <c r="D279" t="s">
        <v>80</v>
      </c>
      <c r="E279" t="s">
        <v>51</v>
      </c>
      <c r="F279" t="s">
        <v>51</v>
      </c>
      <c r="G279" t="s">
        <v>504</v>
      </c>
      <c r="H279"/>
      <c r="I279"/>
      <c r="J279">
        <v>59758.21</v>
      </c>
      <c r="K279">
        <v>45371.9994009363</v>
      </c>
      <c r="L279">
        <v>15592.1</v>
      </c>
      <c r="M279">
        <v>31442.632596685082</v>
      </c>
      <c r="N279">
        <v>51894.479999999996</v>
      </c>
      <c r="O279">
        <v>31209.2569613259</v>
      </c>
      <c r="P279">
        <f>SUMIF($F$260:$F$278,"&lt;&gt;EV_*",$P$260:$P$278)</f>
        <v>0</v>
      </c>
      <c r="Q279">
        <f>SUMIF($F$260:$F$278,"&lt;&gt;EV_*",$Q$260:$Q$278)</f>
        <v>31209.2569613259</v>
      </c>
      <c r="R279">
        <f>SUMIF($F$260:$F$278,"&lt;&gt;EV_*",$R$260:$R$278)</f>
        <v>78107.578851747297</v>
      </c>
      <c r="S279">
        <f>SUMIF($F$260:$F$278,"&lt;&gt;EV_*",$S$260:$S$278)</f>
        <v>46898.321890421408</v>
      </c>
      <c r="T279">
        <v>0</v>
      </c>
      <c r="U279">
        <f>SUMIF($F$260:$F$278,"&lt;&gt;EV_*",$U$260:$U$278)</f>
        <v>190.68001527620052</v>
      </c>
      <c r="V279">
        <f>SUMIF($F$260:$F$278,"&lt;&gt;EV_*",$V$260:$V$278)</f>
        <v>78298.258867023513</v>
      </c>
      <c r="W279">
        <f>SUMIF($F$260:$F$278,"&lt;&gt;EV_*",$W$260:$W$278)</f>
        <v>47089.001905697602</v>
      </c>
      <c r="X279">
        <f>SUMIF($F$260:$F$278,"&lt;&gt;EV_*",$X$260:$X$278)</f>
        <v>0</v>
      </c>
    </row>
    <row r="280" spans="1:24" x14ac:dyDescent="0.25">
      <c r="A280" t="s">
        <v>1968</v>
      </c>
      <c r="B280" t="s">
        <v>1969</v>
      </c>
      <c r="C280" t="s">
        <v>1970</v>
      </c>
      <c r="D280" t="s">
        <v>81</v>
      </c>
      <c r="E280" t="s">
        <v>5</v>
      </c>
      <c r="F280" t="s">
        <v>5</v>
      </c>
      <c r="G280" t="s">
        <v>505</v>
      </c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</row>
    <row r="281" spans="1:24" x14ac:dyDescent="0.25">
      <c r="A281" t="s">
        <v>1968</v>
      </c>
      <c r="B281" t="s">
        <v>1969</v>
      </c>
      <c r="C281" t="s">
        <v>1970</v>
      </c>
      <c r="D281" t="s">
        <v>81</v>
      </c>
      <c r="E281" t="s">
        <v>8</v>
      </c>
      <c r="F281" t="s">
        <v>1</v>
      </c>
      <c r="G281" t="s">
        <v>506</v>
      </c>
      <c r="H281" t="s">
        <v>408</v>
      </c>
      <c r="I281" t="s">
        <v>1</v>
      </c>
      <c r="J281">
        <v>540.75</v>
      </c>
      <c r="K281">
        <v>344.16878453020001</v>
      </c>
      <c r="L281">
        <v>0</v>
      </c>
      <c r="M281">
        <v>0</v>
      </c>
      <c r="N281">
        <v>370.08000000000004</v>
      </c>
      <c r="O281"/>
      <c r="P281">
        <v>0</v>
      </c>
      <c r="Q281">
        <f t="shared" ref="Q281:Q311" si="65">O281+P281</f>
        <v>0</v>
      </c>
      <c r="R281">
        <v>0</v>
      </c>
      <c r="S281">
        <f t="shared" ref="S281:S311" si="66">IF(OR(LEFT(E281,2)="A_",LEFT(D281,5)="Total"),R281-Q281,"")</f>
        <v>0</v>
      </c>
      <c r="T281"/>
      <c r="U281">
        <f t="shared" ref="U281:U311" si="67">IFERROR(R281*T281,R281*0)</f>
        <v>0</v>
      </c>
      <c r="V281">
        <f t="shared" ref="V281:V311" si="68">IF(OR(LEFT(E281,2)="A_",LEFT(D281,5)="Total"),R281+U281,"")</f>
        <v>0</v>
      </c>
      <c r="W281">
        <f t="shared" ref="W281:W311" si="69">IF(OR(LEFT(E281,2)="A_",LEFT(D281,5)="Total"),V281-Q281,"")</f>
        <v>0</v>
      </c>
      <c r="X281">
        <v>0</v>
      </c>
    </row>
    <row r="282" spans="1:24" x14ac:dyDescent="0.25">
      <c r="A282" t="s">
        <v>1968</v>
      </c>
      <c r="B282" t="s">
        <v>1969</v>
      </c>
      <c r="C282" t="s">
        <v>1970</v>
      </c>
      <c r="D282" t="s">
        <v>81</v>
      </c>
      <c r="E282" t="s">
        <v>10</v>
      </c>
      <c r="F282" t="s">
        <v>1</v>
      </c>
      <c r="G282" t="s">
        <v>506</v>
      </c>
      <c r="H282" t="s">
        <v>410</v>
      </c>
      <c r="I282" t="s">
        <v>1</v>
      </c>
      <c r="J282">
        <v>19435.96</v>
      </c>
      <c r="K282">
        <v>23118.9999999996</v>
      </c>
      <c r="L282">
        <v>37946.1</v>
      </c>
      <c r="M282">
        <v>76521.140883977903</v>
      </c>
      <c r="N282">
        <v>45385.700000000004</v>
      </c>
      <c r="O282">
        <v>75892.2</v>
      </c>
      <c r="P282">
        <v>0</v>
      </c>
      <c r="Q282">
        <f t="shared" si="65"/>
        <v>75892.2</v>
      </c>
      <c r="R282">
        <v>75892.2</v>
      </c>
      <c r="S282">
        <f t="shared" si="66"/>
        <v>0</v>
      </c>
      <c r="T282"/>
      <c r="U282">
        <f t="shared" si="67"/>
        <v>0</v>
      </c>
      <c r="V282">
        <f t="shared" si="68"/>
        <v>75892.2</v>
      </c>
      <c r="W282">
        <f t="shared" si="69"/>
        <v>0</v>
      </c>
      <c r="X282" t="s">
        <v>1348</v>
      </c>
    </row>
    <row r="283" spans="1:24" x14ac:dyDescent="0.25">
      <c r="A283" t="s">
        <v>1968</v>
      </c>
      <c r="B283" t="s">
        <v>1969</v>
      </c>
      <c r="C283" t="s">
        <v>1970</v>
      </c>
      <c r="D283" t="s">
        <v>81</v>
      </c>
      <c r="E283" t="s">
        <v>11</v>
      </c>
      <c r="F283" t="s">
        <v>1</v>
      </c>
      <c r="G283" t="s">
        <v>506</v>
      </c>
      <c r="H283" t="s">
        <v>411</v>
      </c>
      <c r="I283" t="s">
        <v>1</v>
      </c>
      <c r="J283">
        <v>13855.22</v>
      </c>
      <c r="K283">
        <v>13499.4099999996</v>
      </c>
      <c r="L283">
        <v>5797.32</v>
      </c>
      <c r="M283">
        <v>11690.728176795579</v>
      </c>
      <c r="N283">
        <v>12789.37</v>
      </c>
      <c r="O283">
        <v>11594.64</v>
      </c>
      <c r="P283">
        <v>0</v>
      </c>
      <c r="Q283">
        <f t="shared" si="65"/>
        <v>11594.64</v>
      </c>
      <c r="R283">
        <v>11594.64</v>
      </c>
      <c r="S283">
        <f t="shared" si="66"/>
        <v>0</v>
      </c>
      <c r="T283"/>
      <c r="U283">
        <f t="shared" si="67"/>
        <v>0</v>
      </c>
      <c r="V283">
        <f t="shared" si="68"/>
        <v>11594.64</v>
      </c>
      <c r="W283">
        <f t="shared" si="69"/>
        <v>0</v>
      </c>
      <c r="X283">
        <v>0</v>
      </c>
    </row>
    <row r="284" spans="1:24" x14ac:dyDescent="0.25">
      <c r="A284" t="s">
        <v>1968</v>
      </c>
      <c r="B284" t="s">
        <v>1969</v>
      </c>
      <c r="C284" t="s">
        <v>1970</v>
      </c>
      <c r="D284" t="s">
        <v>81</v>
      </c>
      <c r="E284" t="s">
        <v>13</v>
      </c>
      <c r="F284" t="s">
        <v>1</v>
      </c>
      <c r="G284" t="s">
        <v>506</v>
      </c>
      <c r="H284" t="s">
        <v>413</v>
      </c>
      <c r="I284" t="s">
        <v>1</v>
      </c>
      <c r="J284">
        <v>163.93</v>
      </c>
      <c r="K284"/>
      <c r="L284">
        <v>-36.43</v>
      </c>
      <c r="M284">
        <v>-73.463812154696129</v>
      </c>
      <c r="N284">
        <v>127.5</v>
      </c>
      <c r="O284">
        <v>-72.86</v>
      </c>
      <c r="P284">
        <v>0</v>
      </c>
      <c r="Q284">
        <f t="shared" si="65"/>
        <v>-72.86</v>
      </c>
      <c r="R284">
        <v>0</v>
      </c>
      <c r="S284">
        <f t="shared" si="66"/>
        <v>72.86</v>
      </c>
      <c r="T284"/>
      <c r="U284">
        <f t="shared" si="67"/>
        <v>0</v>
      </c>
      <c r="V284">
        <f t="shared" si="68"/>
        <v>0</v>
      </c>
      <c r="W284">
        <f t="shared" si="69"/>
        <v>72.86</v>
      </c>
      <c r="X284">
        <v>0</v>
      </c>
    </row>
    <row r="285" spans="1:24" x14ac:dyDescent="0.25">
      <c r="A285" t="s">
        <v>1968</v>
      </c>
      <c r="B285" t="s">
        <v>1969</v>
      </c>
      <c r="C285" t="s">
        <v>1970</v>
      </c>
      <c r="D285" t="s">
        <v>81</v>
      </c>
      <c r="E285" t="s">
        <v>17</v>
      </c>
      <c r="F285" t="s">
        <v>1</v>
      </c>
      <c r="G285" t="s">
        <v>506</v>
      </c>
      <c r="H285" t="s">
        <v>417</v>
      </c>
      <c r="I285" t="s">
        <v>1</v>
      </c>
      <c r="J285">
        <v>-1028.24</v>
      </c>
      <c r="K285">
        <v>-5590</v>
      </c>
      <c r="L285">
        <v>0</v>
      </c>
      <c r="M285">
        <v>0</v>
      </c>
      <c r="N285">
        <v>-396.76</v>
      </c>
      <c r="O285"/>
      <c r="P285">
        <v>0</v>
      </c>
      <c r="Q285">
        <f t="shared" si="65"/>
        <v>0</v>
      </c>
      <c r="R285">
        <v>0</v>
      </c>
      <c r="S285">
        <f t="shared" si="66"/>
        <v>0</v>
      </c>
      <c r="T285"/>
      <c r="U285">
        <f t="shared" si="67"/>
        <v>0</v>
      </c>
      <c r="V285">
        <f t="shared" si="68"/>
        <v>0</v>
      </c>
      <c r="W285">
        <f t="shared" si="69"/>
        <v>0</v>
      </c>
      <c r="X285">
        <v>0</v>
      </c>
    </row>
    <row r="286" spans="1:24" x14ac:dyDescent="0.25">
      <c r="A286" t="s">
        <v>1968</v>
      </c>
      <c r="B286" t="s">
        <v>1969</v>
      </c>
      <c r="C286" t="s">
        <v>1970</v>
      </c>
      <c r="D286" t="s">
        <v>81</v>
      </c>
      <c r="E286" t="s">
        <v>82</v>
      </c>
      <c r="F286" t="s">
        <v>1</v>
      </c>
      <c r="G286" t="s">
        <v>506</v>
      </c>
      <c r="H286" t="s">
        <v>507</v>
      </c>
      <c r="I286" t="s">
        <v>1</v>
      </c>
      <c r="J286">
        <v>37.24</v>
      </c>
      <c r="K286"/>
      <c r="L286">
        <v>0</v>
      </c>
      <c r="M286">
        <v>0</v>
      </c>
      <c r="N286">
        <v>0</v>
      </c>
      <c r="O286"/>
      <c r="P286">
        <v>0</v>
      </c>
      <c r="Q286">
        <f t="shared" si="65"/>
        <v>0</v>
      </c>
      <c r="R286">
        <v>0</v>
      </c>
      <c r="S286">
        <f t="shared" si="66"/>
        <v>0</v>
      </c>
      <c r="T286">
        <v>2.75E-2</v>
      </c>
      <c r="U286">
        <f t="shared" si="67"/>
        <v>0</v>
      </c>
      <c r="V286">
        <f t="shared" si="68"/>
        <v>0</v>
      </c>
      <c r="W286">
        <f t="shared" si="69"/>
        <v>0</v>
      </c>
      <c r="X286">
        <v>0</v>
      </c>
    </row>
    <row r="287" spans="1:24" x14ac:dyDescent="0.25">
      <c r="A287" t="s">
        <v>1968</v>
      </c>
      <c r="B287" t="s">
        <v>1969</v>
      </c>
      <c r="C287" t="s">
        <v>1970</v>
      </c>
      <c r="D287" t="s">
        <v>81</v>
      </c>
      <c r="E287" t="s">
        <v>72</v>
      </c>
      <c r="F287" t="s">
        <v>1</v>
      </c>
      <c r="G287" t="s">
        <v>506</v>
      </c>
      <c r="H287" t="s">
        <v>489</v>
      </c>
      <c r="I287" t="s">
        <v>1</v>
      </c>
      <c r="J287"/>
      <c r="K287"/>
      <c r="L287">
        <v>796.32</v>
      </c>
      <c r="M287">
        <v>1605.8386740331491</v>
      </c>
      <c r="N287">
        <v>796.32</v>
      </c>
      <c r="O287">
        <v>1601.3907692308001</v>
      </c>
      <c r="P287">
        <v>0</v>
      </c>
      <c r="Q287">
        <f t="shared" si="65"/>
        <v>1601.3907692308001</v>
      </c>
      <c r="R287">
        <v>1601.3907692308001</v>
      </c>
      <c r="S287">
        <f t="shared" si="66"/>
        <v>0</v>
      </c>
      <c r="T287">
        <v>2.2499999999999999E-2</v>
      </c>
      <c r="U287">
        <f t="shared" si="67"/>
        <v>36.031292307693001</v>
      </c>
      <c r="V287">
        <f t="shared" si="68"/>
        <v>1637.4220615384932</v>
      </c>
      <c r="W287">
        <f t="shared" si="69"/>
        <v>36.031292307693093</v>
      </c>
      <c r="X287">
        <v>0</v>
      </c>
    </row>
    <row r="288" spans="1:24" x14ac:dyDescent="0.25">
      <c r="A288" t="s">
        <v>1968</v>
      </c>
      <c r="B288" t="s">
        <v>1969</v>
      </c>
      <c r="C288" t="s">
        <v>1970</v>
      </c>
      <c r="D288" t="s">
        <v>81</v>
      </c>
      <c r="E288" t="s">
        <v>83</v>
      </c>
      <c r="F288" t="s">
        <v>1</v>
      </c>
      <c r="G288" t="s">
        <v>506</v>
      </c>
      <c r="H288" t="s">
        <v>508</v>
      </c>
      <c r="I288" t="s">
        <v>1</v>
      </c>
      <c r="J288"/>
      <c r="K288"/>
      <c r="L288">
        <v>3471</v>
      </c>
      <c r="M288">
        <v>6999.5303867403318</v>
      </c>
      <c r="N288">
        <v>3471</v>
      </c>
      <c r="O288">
        <v>6980.1428571428996</v>
      </c>
      <c r="P288">
        <v>0</v>
      </c>
      <c r="Q288">
        <f t="shared" si="65"/>
        <v>6980.1428571428996</v>
      </c>
      <c r="R288">
        <v>6980.1428571428996</v>
      </c>
      <c r="S288">
        <f t="shared" si="66"/>
        <v>0</v>
      </c>
      <c r="T288">
        <v>1.4999999999999999E-2</v>
      </c>
      <c r="U288">
        <f t="shared" si="67"/>
        <v>104.70214285714349</v>
      </c>
      <c r="V288">
        <f t="shared" si="68"/>
        <v>7084.845000000043</v>
      </c>
      <c r="W288">
        <f t="shared" si="69"/>
        <v>104.70214285714337</v>
      </c>
      <c r="X288">
        <v>0</v>
      </c>
    </row>
    <row r="289" spans="1:24" x14ac:dyDescent="0.25">
      <c r="A289" t="s">
        <v>1968</v>
      </c>
      <c r="B289" t="s">
        <v>1969</v>
      </c>
      <c r="C289" t="s">
        <v>1970</v>
      </c>
      <c r="D289" t="s">
        <v>81</v>
      </c>
      <c r="E289" t="s">
        <v>84</v>
      </c>
      <c r="F289" t="s">
        <v>1</v>
      </c>
      <c r="G289" t="s">
        <v>506</v>
      </c>
      <c r="H289" t="s">
        <v>509</v>
      </c>
      <c r="I289" t="s">
        <v>1</v>
      </c>
      <c r="J289"/>
      <c r="K289"/>
      <c r="L289">
        <v>6397.98</v>
      </c>
      <c r="M289">
        <v>12902.003867403315</v>
      </c>
      <c r="N289">
        <v>6397.98</v>
      </c>
      <c r="O289">
        <v>12866.267472527499</v>
      </c>
      <c r="P289">
        <v>0</v>
      </c>
      <c r="Q289">
        <f t="shared" si="65"/>
        <v>12866.267472527499</v>
      </c>
      <c r="R289">
        <v>12866.267472527499</v>
      </c>
      <c r="S289">
        <f t="shared" si="66"/>
        <v>0</v>
      </c>
      <c r="T289">
        <v>2.5000000000000001E-2</v>
      </c>
      <c r="U289">
        <f t="shared" si="67"/>
        <v>321.65668681318749</v>
      </c>
      <c r="V289">
        <f t="shared" si="68"/>
        <v>13187.924159340686</v>
      </c>
      <c r="W289">
        <f t="shared" si="69"/>
        <v>321.65668681318675</v>
      </c>
      <c r="X289">
        <v>0</v>
      </c>
    </row>
    <row r="290" spans="1:24" x14ac:dyDescent="0.25">
      <c r="A290" t="s">
        <v>1968</v>
      </c>
      <c r="B290" t="s">
        <v>1969</v>
      </c>
      <c r="C290" t="s">
        <v>1970</v>
      </c>
      <c r="D290" t="s">
        <v>81</v>
      </c>
      <c r="E290" t="s">
        <v>18</v>
      </c>
      <c r="F290" t="s">
        <v>1</v>
      </c>
      <c r="G290" t="s">
        <v>506</v>
      </c>
      <c r="H290" t="s">
        <v>418</v>
      </c>
      <c r="I290" t="s">
        <v>1</v>
      </c>
      <c r="J290">
        <v>11103.26</v>
      </c>
      <c r="K290"/>
      <c r="L290">
        <v>25.01</v>
      </c>
      <c r="M290">
        <v>50.434530386740335</v>
      </c>
      <c r="N290">
        <v>11076.460000000001</v>
      </c>
      <c r="O290">
        <v>50.294835164799998</v>
      </c>
      <c r="P290">
        <v>0</v>
      </c>
      <c r="Q290">
        <f t="shared" si="65"/>
        <v>50.294835164799998</v>
      </c>
      <c r="R290">
        <v>50.294835164799998</v>
      </c>
      <c r="S290">
        <f t="shared" si="66"/>
        <v>0</v>
      </c>
      <c r="T290">
        <v>0.02</v>
      </c>
      <c r="U290">
        <f t="shared" si="67"/>
        <v>1.005896703296</v>
      </c>
      <c r="V290">
        <f t="shared" si="68"/>
        <v>51.300731868096001</v>
      </c>
      <c r="W290">
        <f t="shared" si="69"/>
        <v>1.0058967032960027</v>
      </c>
      <c r="X290">
        <v>0</v>
      </c>
    </row>
    <row r="291" spans="1:24" x14ac:dyDescent="0.25">
      <c r="A291" t="s">
        <v>1968</v>
      </c>
      <c r="B291" t="s">
        <v>1969</v>
      </c>
      <c r="C291" t="s">
        <v>1970</v>
      </c>
      <c r="D291" t="s">
        <v>81</v>
      </c>
      <c r="E291" t="s">
        <v>74</v>
      </c>
      <c r="F291" t="s">
        <v>1</v>
      </c>
      <c r="G291" t="s">
        <v>506</v>
      </c>
      <c r="H291" t="s">
        <v>491</v>
      </c>
      <c r="I291" t="s">
        <v>1</v>
      </c>
      <c r="J291">
        <v>1680.96</v>
      </c>
      <c r="K291">
        <v>1257.0424259263</v>
      </c>
      <c r="L291">
        <v>0</v>
      </c>
      <c r="M291">
        <v>0</v>
      </c>
      <c r="N291">
        <v>1133.5600000000002</v>
      </c>
      <c r="O291"/>
      <c r="P291">
        <v>0</v>
      </c>
      <c r="Q291">
        <f t="shared" si="65"/>
        <v>0</v>
      </c>
      <c r="R291">
        <v>0</v>
      </c>
      <c r="S291">
        <f t="shared" si="66"/>
        <v>0</v>
      </c>
      <c r="T291">
        <v>3.5000000000000003E-2</v>
      </c>
      <c r="U291">
        <f t="shared" si="67"/>
        <v>0</v>
      </c>
      <c r="V291">
        <f t="shared" si="68"/>
        <v>0</v>
      </c>
      <c r="W291">
        <f t="shared" si="69"/>
        <v>0</v>
      </c>
      <c r="X291">
        <v>0</v>
      </c>
    </row>
    <row r="292" spans="1:24" x14ac:dyDescent="0.25">
      <c r="A292" t="s">
        <v>1968</v>
      </c>
      <c r="B292" t="s">
        <v>1969</v>
      </c>
      <c r="C292" t="s">
        <v>1970</v>
      </c>
      <c r="D292" t="s">
        <v>81</v>
      </c>
      <c r="E292" t="s">
        <v>85</v>
      </c>
      <c r="F292" t="s">
        <v>1</v>
      </c>
      <c r="G292" t="s">
        <v>506</v>
      </c>
      <c r="H292" t="s">
        <v>510</v>
      </c>
      <c r="I292" t="s">
        <v>1</v>
      </c>
      <c r="J292"/>
      <c r="K292"/>
      <c r="L292">
        <v>2535.1</v>
      </c>
      <c r="M292">
        <v>5112.218232044198</v>
      </c>
      <c r="N292">
        <v>2535.1</v>
      </c>
      <c r="O292">
        <v>5098.0582417582</v>
      </c>
      <c r="P292">
        <v>0</v>
      </c>
      <c r="Q292">
        <f t="shared" si="65"/>
        <v>5098.0582417582</v>
      </c>
      <c r="R292">
        <v>5098.0582417582</v>
      </c>
      <c r="S292">
        <f t="shared" si="66"/>
        <v>0</v>
      </c>
      <c r="T292">
        <v>0.02</v>
      </c>
      <c r="U292">
        <f t="shared" si="67"/>
        <v>101.961164835164</v>
      </c>
      <c r="V292">
        <f t="shared" si="68"/>
        <v>5200.0194065933638</v>
      </c>
      <c r="W292">
        <f t="shared" si="69"/>
        <v>101.9611648351638</v>
      </c>
      <c r="X292">
        <v>0</v>
      </c>
    </row>
    <row r="293" spans="1:24" x14ac:dyDescent="0.25">
      <c r="A293" t="s">
        <v>1968</v>
      </c>
      <c r="B293" t="s">
        <v>1969</v>
      </c>
      <c r="C293" t="s">
        <v>1970</v>
      </c>
      <c r="D293" t="s">
        <v>81</v>
      </c>
      <c r="E293" t="s">
        <v>86</v>
      </c>
      <c r="F293" t="s">
        <v>1</v>
      </c>
      <c r="G293" t="s">
        <v>506</v>
      </c>
      <c r="H293" t="s">
        <v>511</v>
      </c>
      <c r="I293" t="s">
        <v>1</v>
      </c>
      <c r="J293"/>
      <c r="K293"/>
      <c r="L293">
        <v>5000</v>
      </c>
      <c r="M293">
        <v>10082.872928176796</v>
      </c>
      <c r="N293">
        <v>5000</v>
      </c>
      <c r="O293">
        <v>10054.945054945099</v>
      </c>
      <c r="P293">
        <v>0</v>
      </c>
      <c r="Q293">
        <f t="shared" si="65"/>
        <v>10054.945054945099</v>
      </c>
      <c r="R293">
        <v>10054.945054945099</v>
      </c>
      <c r="S293">
        <f t="shared" si="66"/>
        <v>0</v>
      </c>
      <c r="T293">
        <v>3.5000000000000003E-2</v>
      </c>
      <c r="U293">
        <f t="shared" si="67"/>
        <v>351.9230769230785</v>
      </c>
      <c r="V293">
        <f t="shared" si="68"/>
        <v>10406.868131868177</v>
      </c>
      <c r="W293">
        <f t="shared" si="69"/>
        <v>351.92307692307804</v>
      </c>
      <c r="X293">
        <v>0</v>
      </c>
    </row>
    <row r="294" spans="1:24" x14ac:dyDescent="0.25">
      <c r="A294" t="s">
        <v>1968</v>
      </c>
      <c r="B294" t="s">
        <v>1969</v>
      </c>
      <c r="C294" t="s">
        <v>1970</v>
      </c>
      <c r="D294" t="s">
        <v>81</v>
      </c>
      <c r="E294" t="s">
        <v>20</v>
      </c>
      <c r="F294" t="s">
        <v>1</v>
      </c>
      <c r="G294" t="s">
        <v>506</v>
      </c>
      <c r="H294" t="s">
        <v>420</v>
      </c>
      <c r="I294" t="s">
        <v>1</v>
      </c>
      <c r="J294">
        <v>5384.09</v>
      </c>
      <c r="K294">
        <v>8410.7019094650004</v>
      </c>
      <c r="L294">
        <v>8260.68</v>
      </c>
      <c r="M294">
        <v>16658.277348066298</v>
      </c>
      <c r="N294">
        <v>8260.68</v>
      </c>
      <c r="O294">
        <v>16612.136703296699</v>
      </c>
      <c r="P294">
        <v>0</v>
      </c>
      <c r="Q294">
        <f t="shared" si="65"/>
        <v>16612.136703296699</v>
      </c>
      <c r="R294">
        <v>16612.136703296699</v>
      </c>
      <c r="S294">
        <f t="shared" si="66"/>
        <v>0</v>
      </c>
      <c r="T294">
        <v>0.04</v>
      </c>
      <c r="U294">
        <f t="shared" si="67"/>
        <v>664.48546813186795</v>
      </c>
      <c r="V294">
        <f t="shared" si="68"/>
        <v>17276.622171428568</v>
      </c>
      <c r="W294">
        <f t="shared" si="69"/>
        <v>664.4854681318684</v>
      </c>
      <c r="X294">
        <v>0</v>
      </c>
    </row>
    <row r="295" spans="1:24" x14ac:dyDescent="0.25">
      <c r="A295" t="s">
        <v>1968</v>
      </c>
      <c r="B295" t="s">
        <v>1969</v>
      </c>
      <c r="C295" t="s">
        <v>1970</v>
      </c>
      <c r="D295" t="s">
        <v>81</v>
      </c>
      <c r="E295" t="s">
        <v>21</v>
      </c>
      <c r="F295" t="s">
        <v>1</v>
      </c>
      <c r="G295" t="s">
        <v>506</v>
      </c>
      <c r="H295" t="s">
        <v>421</v>
      </c>
      <c r="I295" t="s">
        <v>1</v>
      </c>
      <c r="J295">
        <v>3847.4</v>
      </c>
      <c r="K295">
        <v>4167.6499999997004</v>
      </c>
      <c r="L295">
        <v>1452.8</v>
      </c>
      <c r="M295">
        <v>2929.6795580110497</v>
      </c>
      <c r="N295">
        <v>2979.0099999999998</v>
      </c>
      <c r="O295">
        <v>2929.6795580111002</v>
      </c>
      <c r="P295">
        <v>0</v>
      </c>
      <c r="Q295">
        <f t="shared" si="65"/>
        <v>2929.6795580111002</v>
      </c>
      <c r="R295">
        <v>2929.6795580111002</v>
      </c>
      <c r="S295">
        <f t="shared" si="66"/>
        <v>0</v>
      </c>
      <c r="T295">
        <v>0.03</v>
      </c>
      <c r="U295">
        <f t="shared" si="67"/>
        <v>87.890386740333</v>
      </c>
      <c r="V295">
        <f t="shared" si="68"/>
        <v>3017.569944751433</v>
      </c>
      <c r="W295">
        <f t="shared" si="69"/>
        <v>87.890386740332815</v>
      </c>
      <c r="X295">
        <v>0</v>
      </c>
    </row>
    <row r="296" spans="1:24" x14ac:dyDescent="0.25">
      <c r="A296" t="s">
        <v>1968</v>
      </c>
      <c r="B296" t="s">
        <v>1969</v>
      </c>
      <c r="C296" t="s">
        <v>1970</v>
      </c>
      <c r="D296" t="s">
        <v>81</v>
      </c>
      <c r="E296" t="s">
        <v>22</v>
      </c>
      <c r="F296" t="s">
        <v>1</v>
      </c>
      <c r="G296" t="s">
        <v>506</v>
      </c>
      <c r="H296" t="s">
        <v>422</v>
      </c>
      <c r="I296" t="s">
        <v>1</v>
      </c>
      <c r="J296">
        <v>3944.7</v>
      </c>
      <c r="K296">
        <v>4771.3500000000004</v>
      </c>
      <c r="L296">
        <v>1695.78</v>
      </c>
      <c r="M296">
        <v>3419.6668508287294</v>
      </c>
      <c r="N296">
        <v>3336.1299999999997</v>
      </c>
      <c r="O296">
        <v>3419.6668508286998</v>
      </c>
      <c r="P296">
        <v>0</v>
      </c>
      <c r="Q296">
        <f t="shared" si="65"/>
        <v>3419.6668508286998</v>
      </c>
      <c r="R296">
        <v>3419.6668508286998</v>
      </c>
      <c r="S296">
        <f t="shared" si="66"/>
        <v>0</v>
      </c>
      <c r="T296">
        <v>3.5000000000000003E-2</v>
      </c>
      <c r="U296">
        <f t="shared" si="67"/>
        <v>119.68833977900451</v>
      </c>
      <c r="V296">
        <f t="shared" si="68"/>
        <v>3539.3551906077041</v>
      </c>
      <c r="W296">
        <f t="shared" si="69"/>
        <v>119.68833977900431</v>
      </c>
      <c r="X296">
        <v>0</v>
      </c>
    </row>
    <row r="297" spans="1:24" x14ac:dyDescent="0.25">
      <c r="A297" t="s">
        <v>1968</v>
      </c>
      <c r="B297" t="s">
        <v>1969</v>
      </c>
      <c r="C297" t="s">
        <v>1970</v>
      </c>
      <c r="D297" t="s">
        <v>81</v>
      </c>
      <c r="E297" t="s">
        <v>23</v>
      </c>
      <c r="F297" t="s">
        <v>1</v>
      </c>
      <c r="G297" t="s">
        <v>506</v>
      </c>
      <c r="H297" t="s">
        <v>423</v>
      </c>
      <c r="I297" t="s">
        <v>1</v>
      </c>
      <c r="J297">
        <v>9962.24</v>
      </c>
      <c r="K297">
        <v>18474.750000000098</v>
      </c>
      <c r="L297">
        <v>14117.13</v>
      </c>
      <c r="M297">
        <v>28468.245580110495</v>
      </c>
      <c r="N297">
        <v>15152.53</v>
      </c>
      <c r="O297">
        <v>28468.245580110499</v>
      </c>
      <c r="P297">
        <v>0</v>
      </c>
      <c r="Q297">
        <f t="shared" si="65"/>
        <v>28468.245580110499</v>
      </c>
      <c r="R297">
        <v>28468.245580110499</v>
      </c>
      <c r="S297">
        <f t="shared" si="66"/>
        <v>0</v>
      </c>
      <c r="T297">
        <v>3.5000000000000003E-2</v>
      </c>
      <c r="U297">
        <f t="shared" si="67"/>
        <v>996.38859530386753</v>
      </c>
      <c r="V297">
        <f t="shared" si="68"/>
        <v>29464.634175414365</v>
      </c>
      <c r="W297">
        <f t="shared" si="69"/>
        <v>996.38859530386617</v>
      </c>
      <c r="X297">
        <v>0</v>
      </c>
    </row>
    <row r="298" spans="1:24" x14ac:dyDescent="0.25">
      <c r="A298" t="s">
        <v>1968</v>
      </c>
      <c r="B298" t="s">
        <v>1969</v>
      </c>
      <c r="C298" t="s">
        <v>1970</v>
      </c>
      <c r="D298" t="s">
        <v>81</v>
      </c>
      <c r="E298" t="s">
        <v>27</v>
      </c>
      <c r="F298" t="s">
        <v>1</v>
      </c>
      <c r="G298" t="s">
        <v>506</v>
      </c>
      <c r="H298" t="s">
        <v>427</v>
      </c>
      <c r="I298" t="s">
        <v>1</v>
      </c>
      <c r="J298">
        <v>1010.7</v>
      </c>
      <c r="K298">
        <v>1500</v>
      </c>
      <c r="L298">
        <v>0</v>
      </c>
      <c r="M298">
        <v>0</v>
      </c>
      <c r="N298">
        <v>126.8</v>
      </c>
      <c r="O298"/>
      <c r="P298">
        <v>0</v>
      </c>
      <c r="Q298">
        <f t="shared" si="65"/>
        <v>0</v>
      </c>
      <c r="R298">
        <v>0</v>
      </c>
      <c r="S298">
        <f t="shared" si="66"/>
        <v>0</v>
      </c>
      <c r="T298"/>
      <c r="U298">
        <f t="shared" si="67"/>
        <v>0</v>
      </c>
      <c r="V298">
        <f t="shared" si="68"/>
        <v>0</v>
      </c>
      <c r="W298">
        <f t="shared" si="69"/>
        <v>0</v>
      </c>
      <c r="X298">
        <v>0</v>
      </c>
    </row>
    <row r="299" spans="1:24" x14ac:dyDescent="0.25">
      <c r="A299" t="s">
        <v>1968</v>
      </c>
      <c r="B299" t="s">
        <v>1969</v>
      </c>
      <c r="C299" t="s">
        <v>1970</v>
      </c>
      <c r="D299" t="s">
        <v>81</v>
      </c>
      <c r="E299" t="s">
        <v>28</v>
      </c>
      <c r="F299" t="s">
        <v>1</v>
      </c>
      <c r="G299" t="s">
        <v>506</v>
      </c>
      <c r="H299" t="s">
        <v>428</v>
      </c>
      <c r="I299" t="s">
        <v>1</v>
      </c>
      <c r="J299">
        <v>1726.22</v>
      </c>
      <c r="K299">
        <v>1500</v>
      </c>
      <c r="L299">
        <v>266.72000000000003</v>
      </c>
      <c r="M299">
        <v>537.86077348066306</v>
      </c>
      <c r="N299">
        <v>1134.53</v>
      </c>
      <c r="O299">
        <v>533.44000000000005</v>
      </c>
      <c r="P299">
        <v>0</v>
      </c>
      <c r="Q299">
        <f t="shared" si="65"/>
        <v>533.44000000000005</v>
      </c>
      <c r="R299">
        <v>533.44000000000005</v>
      </c>
      <c r="S299">
        <f t="shared" si="66"/>
        <v>0</v>
      </c>
      <c r="T299"/>
      <c r="U299">
        <f t="shared" si="67"/>
        <v>0</v>
      </c>
      <c r="V299">
        <f t="shared" si="68"/>
        <v>533.44000000000005</v>
      </c>
      <c r="W299">
        <f t="shared" si="69"/>
        <v>0</v>
      </c>
      <c r="X299">
        <v>0</v>
      </c>
    </row>
    <row r="300" spans="1:24" x14ac:dyDescent="0.25">
      <c r="A300" t="s">
        <v>1968</v>
      </c>
      <c r="B300" t="s">
        <v>1969</v>
      </c>
      <c r="C300" t="s">
        <v>1970</v>
      </c>
      <c r="D300" t="s">
        <v>81</v>
      </c>
      <c r="E300" t="s">
        <v>31</v>
      </c>
      <c r="F300" t="s">
        <v>1</v>
      </c>
      <c r="G300" t="s">
        <v>506</v>
      </c>
      <c r="H300" t="s">
        <v>431</v>
      </c>
      <c r="I300" t="s">
        <v>1</v>
      </c>
      <c r="J300">
        <v>3261.54</v>
      </c>
      <c r="K300">
        <v>7370.0000000004002</v>
      </c>
      <c r="L300">
        <v>0</v>
      </c>
      <c r="M300">
        <v>0</v>
      </c>
      <c r="N300">
        <v>3261.54</v>
      </c>
      <c r="O300"/>
      <c r="P300">
        <v>0</v>
      </c>
      <c r="Q300">
        <f t="shared" si="65"/>
        <v>0</v>
      </c>
      <c r="R300">
        <v>0</v>
      </c>
      <c r="S300">
        <f t="shared" si="66"/>
        <v>0</v>
      </c>
      <c r="T300"/>
      <c r="U300">
        <f t="shared" si="67"/>
        <v>0</v>
      </c>
      <c r="V300">
        <f t="shared" si="68"/>
        <v>0</v>
      </c>
      <c r="W300">
        <f t="shared" si="69"/>
        <v>0</v>
      </c>
      <c r="X300">
        <v>0</v>
      </c>
    </row>
    <row r="301" spans="1:24" x14ac:dyDescent="0.25">
      <c r="A301" t="s">
        <v>1968</v>
      </c>
      <c r="B301" t="s">
        <v>1969</v>
      </c>
      <c r="C301" t="s">
        <v>1970</v>
      </c>
      <c r="D301" t="s">
        <v>81</v>
      </c>
      <c r="E301" t="s">
        <v>33</v>
      </c>
      <c r="F301" t="s">
        <v>1</v>
      </c>
      <c r="G301" t="s">
        <v>506</v>
      </c>
      <c r="H301" t="s">
        <v>433</v>
      </c>
      <c r="I301" t="s">
        <v>1</v>
      </c>
      <c r="J301">
        <v>2284.62</v>
      </c>
      <c r="K301">
        <v>5004.3156783023996</v>
      </c>
      <c r="L301">
        <v>968.56</v>
      </c>
      <c r="M301">
        <v>1953.1734806629831</v>
      </c>
      <c r="N301">
        <v>2973.1800000000003</v>
      </c>
      <c r="O301">
        <v>1937.12</v>
      </c>
      <c r="P301">
        <v>0</v>
      </c>
      <c r="Q301">
        <f t="shared" si="65"/>
        <v>1937.12</v>
      </c>
      <c r="R301">
        <v>1937.12</v>
      </c>
      <c r="S301">
        <f t="shared" si="66"/>
        <v>0</v>
      </c>
      <c r="T301"/>
      <c r="U301">
        <f t="shared" si="67"/>
        <v>0</v>
      </c>
      <c r="V301">
        <f t="shared" si="68"/>
        <v>1937.12</v>
      </c>
      <c r="W301">
        <f t="shared" si="69"/>
        <v>0</v>
      </c>
      <c r="X301">
        <v>0</v>
      </c>
    </row>
    <row r="302" spans="1:24" x14ac:dyDescent="0.25">
      <c r="A302" t="s">
        <v>1968</v>
      </c>
      <c r="B302" t="s">
        <v>1969</v>
      </c>
      <c r="C302" t="s">
        <v>1970</v>
      </c>
      <c r="D302" t="s">
        <v>81</v>
      </c>
      <c r="E302" t="s">
        <v>34</v>
      </c>
      <c r="F302" t="s">
        <v>1</v>
      </c>
      <c r="G302" t="s">
        <v>506</v>
      </c>
      <c r="H302" t="s">
        <v>434</v>
      </c>
      <c r="I302" t="s">
        <v>1</v>
      </c>
      <c r="J302"/>
      <c r="K302">
        <v>196.24767365880001</v>
      </c>
      <c r="L302">
        <v>218.21</v>
      </c>
      <c r="M302">
        <v>440.03674033149173</v>
      </c>
      <c r="N302">
        <v>218.20999999999998</v>
      </c>
      <c r="O302">
        <v>436.42</v>
      </c>
      <c r="P302">
        <v>0</v>
      </c>
      <c r="Q302">
        <f t="shared" si="65"/>
        <v>436.42</v>
      </c>
      <c r="R302">
        <v>436.42</v>
      </c>
      <c r="S302">
        <f t="shared" si="66"/>
        <v>0</v>
      </c>
      <c r="T302"/>
      <c r="U302">
        <f t="shared" si="67"/>
        <v>0</v>
      </c>
      <c r="V302">
        <f t="shared" si="68"/>
        <v>436.42</v>
      </c>
      <c r="W302">
        <f t="shared" si="69"/>
        <v>0</v>
      </c>
      <c r="X302">
        <v>0</v>
      </c>
    </row>
    <row r="303" spans="1:24" x14ac:dyDescent="0.25">
      <c r="A303" t="s">
        <v>1968</v>
      </c>
      <c r="B303" t="s">
        <v>1969</v>
      </c>
      <c r="C303" t="s">
        <v>1970</v>
      </c>
      <c r="D303" t="s">
        <v>81</v>
      </c>
      <c r="E303" t="s">
        <v>35</v>
      </c>
      <c r="F303" t="s">
        <v>1</v>
      </c>
      <c r="G303" t="s">
        <v>506</v>
      </c>
      <c r="H303" t="s">
        <v>435</v>
      </c>
      <c r="I303" t="s">
        <v>1</v>
      </c>
      <c r="J303">
        <v>1687.86</v>
      </c>
      <c r="K303">
        <v>2090.0000000004002</v>
      </c>
      <c r="L303">
        <v>911.09</v>
      </c>
      <c r="M303">
        <v>1837.2809392265194</v>
      </c>
      <c r="N303">
        <v>1783.0100000000004</v>
      </c>
      <c r="O303">
        <v>1822.18</v>
      </c>
      <c r="P303">
        <v>0</v>
      </c>
      <c r="Q303">
        <f t="shared" si="65"/>
        <v>1822.18</v>
      </c>
      <c r="R303">
        <v>1822.18</v>
      </c>
      <c r="S303">
        <f t="shared" si="66"/>
        <v>0</v>
      </c>
      <c r="T303"/>
      <c r="U303">
        <f t="shared" si="67"/>
        <v>0</v>
      </c>
      <c r="V303">
        <f t="shared" si="68"/>
        <v>1822.18</v>
      </c>
      <c r="W303">
        <f t="shared" si="69"/>
        <v>0</v>
      </c>
      <c r="X303">
        <v>0</v>
      </c>
    </row>
    <row r="304" spans="1:24" x14ac:dyDescent="0.25">
      <c r="A304" t="s">
        <v>1968</v>
      </c>
      <c r="B304" t="s">
        <v>1969</v>
      </c>
      <c r="C304" t="s">
        <v>1970</v>
      </c>
      <c r="D304" t="s">
        <v>81</v>
      </c>
      <c r="E304" t="s">
        <v>37</v>
      </c>
      <c r="F304" t="s">
        <v>1</v>
      </c>
      <c r="G304" t="s">
        <v>506</v>
      </c>
      <c r="H304" t="s">
        <v>437</v>
      </c>
      <c r="I304" t="s">
        <v>1</v>
      </c>
      <c r="J304">
        <v>89.27</v>
      </c>
      <c r="K304">
        <v>588.74302097639998</v>
      </c>
      <c r="L304">
        <v>54.71</v>
      </c>
      <c r="M304">
        <v>110.32679558011051</v>
      </c>
      <c r="N304">
        <v>143.97999999999999</v>
      </c>
      <c r="O304">
        <v>109.42</v>
      </c>
      <c r="P304">
        <v>0</v>
      </c>
      <c r="Q304">
        <f t="shared" si="65"/>
        <v>109.42</v>
      </c>
      <c r="R304">
        <v>109.42</v>
      </c>
      <c r="S304">
        <f t="shared" si="66"/>
        <v>0</v>
      </c>
      <c r="T304"/>
      <c r="U304">
        <f t="shared" si="67"/>
        <v>0</v>
      </c>
      <c r="V304">
        <f t="shared" si="68"/>
        <v>109.42</v>
      </c>
      <c r="W304">
        <f t="shared" si="69"/>
        <v>0</v>
      </c>
      <c r="X304">
        <v>0</v>
      </c>
    </row>
    <row r="305" spans="1:24" x14ac:dyDescent="0.25">
      <c r="A305" t="s">
        <v>1968</v>
      </c>
      <c r="B305" t="s">
        <v>1969</v>
      </c>
      <c r="C305" t="s">
        <v>1970</v>
      </c>
      <c r="D305" t="s">
        <v>81</v>
      </c>
      <c r="E305" t="s">
        <v>40</v>
      </c>
      <c r="F305" t="s">
        <v>1</v>
      </c>
      <c r="G305" t="s">
        <v>506</v>
      </c>
      <c r="H305" t="s">
        <v>440</v>
      </c>
      <c r="I305" t="s">
        <v>1</v>
      </c>
      <c r="J305">
        <v>2137.87</v>
      </c>
      <c r="K305"/>
      <c r="L305">
        <v>-35</v>
      </c>
      <c r="M305">
        <v>-70.58011049723757</v>
      </c>
      <c r="N305">
        <v>-35</v>
      </c>
      <c r="O305">
        <v>-70</v>
      </c>
      <c r="P305">
        <v>0</v>
      </c>
      <c r="Q305">
        <f t="shared" si="65"/>
        <v>-70</v>
      </c>
      <c r="R305">
        <v>-70</v>
      </c>
      <c r="S305">
        <f t="shared" si="66"/>
        <v>0</v>
      </c>
      <c r="T305">
        <v>0.03</v>
      </c>
      <c r="U305">
        <f t="shared" si="67"/>
        <v>-2.1</v>
      </c>
      <c r="V305">
        <f t="shared" si="68"/>
        <v>-72.099999999999994</v>
      </c>
      <c r="W305">
        <f t="shared" si="69"/>
        <v>-2.0999999999999943</v>
      </c>
      <c r="X305">
        <v>0</v>
      </c>
    </row>
    <row r="306" spans="1:24" x14ac:dyDescent="0.25">
      <c r="A306" t="s">
        <v>1968</v>
      </c>
      <c r="B306" t="s">
        <v>1969</v>
      </c>
      <c r="C306" t="s">
        <v>1970</v>
      </c>
      <c r="D306" t="s">
        <v>81</v>
      </c>
      <c r="E306" t="s">
        <v>41</v>
      </c>
      <c r="F306" t="s">
        <v>1</v>
      </c>
      <c r="G306" t="s">
        <v>506</v>
      </c>
      <c r="H306" t="s">
        <v>441</v>
      </c>
      <c r="I306" t="s">
        <v>1</v>
      </c>
      <c r="J306">
        <v>5426.72</v>
      </c>
      <c r="K306">
        <v>4405.6893026772004</v>
      </c>
      <c r="L306">
        <v>2493.31</v>
      </c>
      <c r="M306">
        <v>5027.9455801104968</v>
      </c>
      <c r="N306">
        <v>5585.58</v>
      </c>
      <c r="O306">
        <v>4986.62</v>
      </c>
      <c r="P306">
        <v>0</v>
      </c>
      <c r="Q306">
        <f t="shared" si="65"/>
        <v>4986.62</v>
      </c>
      <c r="R306">
        <v>4986.62</v>
      </c>
      <c r="S306">
        <f t="shared" si="66"/>
        <v>0</v>
      </c>
      <c r="T306">
        <v>0.03</v>
      </c>
      <c r="U306">
        <f t="shared" si="67"/>
        <v>149.5986</v>
      </c>
      <c r="V306">
        <f t="shared" si="68"/>
        <v>5136.2186000000002</v>
      </c>
      <c r="W306">
        <f t="shared" si="69"/>
        <v>149.59860000000026</v>
      </c>
      <c r="X306">
        <v>0</v>
      </c>
    </row>
    <row r="307" spans="1:24" x14ac:dyDescent="0.25">
      <c r="A307" t="s">
        <v>1968</v>
      </c>
      <c r="B307" t="s">
        <v>1969</v>
      </c>
      <c r="C307" t="s">
        <v>1970</v>
      </c>
      <c r="D307" t="s">
        <v>81</v>
      </c>
      <c r="E307" t="s">
        <v>42</v>
      </c>
      <c r="F307" t="s">
        <v>1</v>
      </c>
      <c r="G307" t="s">
        <v>506</v>
      </c>
      <c r="H307" t="s">
        <v>442</v>
      </c>
      <c r="I307" t="s">
        <v>1</v>
      </c>
      <c r="J307">
        <v>1290.28</v>
      </c>
      <c r="K307">
        <v>1257</v>
      </c>
      <c r="L307">
        <v>1294.76</v>
      </c>
      <c r="M307">
        <v>2610.9801104972375</v>
      </c>
      <c r="N307">
        <v>1327.99</v>
      </c>
      <c r="O307">
        <v>2589.52</v>
      </c>
      <c r="P307">
        <v>0</v>
      </c>
      <c r="Q307">
        <f t="shared" si="65"/>
        <v>2589.52</v>
      </c>
      <c r="R307">
        <v>2589.52</v>
      </c>
      <c r="S307">
        <f t="shared" si="66"/>
        <v>0</v>
      </c>
      <c r="T307">
        <v>0.03</v>
      </c>
      <c r="U307">
        <f t="shared" si="67"/>
        <v>77.685599999999994</v>
      </c>
      <c r="V307">
        <f t="shared" si="68"/>
        <v>2667.2055999999998</v>
      </c>
      <c r="W307">
        <f t="shared" si="69"/>
        <v>77.685599999999795</v>
      </c>
      <c r="X307">
        <v>0</v>
      </c>
    </row>
    <row r="308" spans="1:24" x14ac:dyDescent="0.25">
      <c r="A308" t="s">
        <v>1968</v>
      </c>
      <c r="B308" t="s">
        <v>1969</v>
      </c>
      <c r="C308" t="s">
        <v>1970</v>
      </c>
      <c r="D308" t="s">
        <v>81</v>
      </c>
      <c r="E308" t="s">
        <v>43</v>
      </c>
      <c r="F308" t="s">
        <v>1</v>
      </c>
      <c r="G308" t="s">
        <v>506</v>
      </c>
      <c r="H308" t="s">
        <v>443</v>
      </c>
      <c r="I308" t="s">
        <v>1</v>
      </c>
      <c r="J308">
        <v>-436</v>
      </c>
      <c r="K308"/>
      <c r="L308">
        <v>0</v>
      </c>
      <c r="M308">
        <v>0</v>
      </c>
      <c r="N308">
        <v>-436</v>
      </c>
      <c r="O308"/>
      <c r="P308">
        <v>0</v>
      </c>
      <c r="Q308">
        <f t="shared" si="65"/>
        <v>0</v>
      </c>
      <c r="R308">
        <v>0</v>
      </c>
      <c r="S308">
        <f t="shared" si="66"/>
        <v>0</v>
      </c>
      <c r="T308">
        <v>0.03</v>
      </c>
      <c r="U308">
        <f t="shared" si="67"/>
        <v>0</v>
      </c>
      <c r="V308">
        <f t="shared" si="68"/>
        <v>0</v>
      </c>
      <c r="W308">
        <f t="shared" si="69"/>
        <v>0</v>
      </c>
      <c r="X308">
        <v>0</v>
      </c>
    </row>
    <row r="309" spans="1:24" x14ac:dyDescent="0.25">
      <c r="A309" t="s">
        <v>1968</v>
      </c>
      <c r="B309" t="s">
        <v>1969</v>
      </c>
      <c r="C309" t="s">
        <v>1970</v>
      </c>
      <c r="D309" t="s">
        <v>81</v>
      </c>
      <c r="E309" t="s">
        <v>46</v>
      </c>
      <c r="F309" t="s">
        <v>1</v>
      </c>
      <c r="G309" t="s">
        <v>506</v>
      </c>
      <c r="H309" t="s">
        <v>446</v>
      </c>
      <c r="I309" t="s">
        <v>1</v>
      </c>
      <c r="J309">
        <v>9922.01</v>
      </c>
      <c r="K309">
        <v>17082.9999999996</v>
      </c>
      <c r="L309">
        <v>0</v>
      </c>
      <c r="M309">
        <v>0</v>
      </c>
      <c r="N309">
        <v>3896.66</v>
      </c>
      <c r="O309"/>
      <c r="P309">
        <v>0</v>
      </c>
      <c r="Q309">
        <f t="shared" si="65"/>
        <v>0</v>
      </c>
      <c r="R309">
        <v>0</v>
      </c>
      <c r="S309">
        <f t="shared" si="66"/>
        <v>0</v>
      </c>
      <c r="T309">
        <v>0.03</v>
      </c>
      <c r="U309">
        <f t="shared" si="67"/>
        <v>0</v>
      </c>
      <c r="V309">
        <f t="shared" si="68"/>
        <v>0</v>
      </c>
      <c r="W309">
        <f t="shared" si="69"/>
        <v>0</v>
      </c>
      <c r="X309">
        <v>0</v>
      </c>
    </row>
    <row r="310" spans="1:24" x14ac:dyDescent="0.25">
      <c r="A310" t="s">
        <v>1968</v>
      </c>
      <c r="B310" t="s">
        <v>1969</v>
      </c>
      <c r="C310" t="s">
        <v>1970</v>
      </c>
      <c r="D310" t="s">
        <v>81</v>
      </c>
      <c r="E310" t="s">
        <v>48</v>
      </c>
      <c r="F310" t="s">
        <v>1</v>
      </c>
      <c r="G310" t="s">
        <v>506</v>
      </c>
      <c r="H310" t="s">
        <v>448</v>
      </c>
      <c r="I310" t="s">
        <v>1</v>
      </c>
      <c r="J310">
        <v>8979.64</v>
      </c>
      <c r="K310">
        <v>13155.9999999996</v>
      </c>
      <c r="L310">
        <v>2846.7</v>
      </c>
      <c r="M310">
        <v>5740.5828729281766</v>
      </c>
      <c r="N310">
        <v>4702.43</v>
      </c>
      <c r="O310">
        <v>5693.4</v>
      </c>
      <c r="P310">
        <v>0</v>
      </c>
      <c r="Q310">
        <f t="shared" si="65"/>
        <v>5693.4</v>
      </c>
      <c r="R310">
        <v>5693.4</v>
      </c>
      <c r="S310">
        <f t="shared" si="66"/>
        <v>0</v>
      </c>
      <c r="T310">
        <v>0.03</v>
      </c>
      <c r="U310">
        <f t="shared" si="67"/>
        <v>170.80199999999999</v>
      </c>
      <c r="V310">
        <f t="shared" si="68"/>
        <v>5864.2019999999993</v>
      </c>
      <c r="W310">
        <f t="shared" si="69"/>
        <v>170.80199999999968</v>
      </c>
      <c r="X310">
        <v>0</v>
      </c>
    </row>
    <row r="311" spans="1:24" x14ac:dyDescent="0.25">
      <c r="A311" t="s">
        <v>1968</v>
      </c>
      <c r="B311" t="s">
        <v>1969</v>
      </c>
      <c r="C311" t="s">
        <v>1970</v>
      </c>
      <c r="D311" t="s">
        <v>81</v>
      </c>
      <c r="E311" t="s">
        <v>50</v>
      </c>
      <c r="F311" t="s">
        <v>1</v>
      </c>
      <c r="G311" t="s">
        <v>506</v>
      </c>
      <c r="H311" t="s">
        <v>450</v>
      </c>
      <c r="I311" t="s">
        <v>1</v>
      </c>
      <c r="J311">
        <v>5225.78</v>
      </c>
      <c r="K311">
        <v>4689.9999999995998</v>
      </c>
      <c r="L311">
        <v>2682.36</v>
      </c>
      <c r="M311">
        <v>5409.1790055248621</v>
      </c>
      <c r="N311">
        <v>5678.35</v>
      </c>
      <c r="O311">
        <v>5409.1790055249003</v>
      </c>
      <c r="P311">
        <v>0</v>
      </c>
      <c r="Q311">
        <f t="shared" si="65"/>
        <v>5409.1790055249003</v>
      </c>
      <c r="R311">
        <v>5409.1790055249003</v>
      </c>
      <c r="S311">
        <f t="shared" si="66"/>
        <v>0</v>
      </c>
      <c r="T311"/>
      <c r="U311">
        <f t="shared" si="67"/>
        <v>0</v>
      </c>
      <c r="V311">
        <f t="shared" si="68"/>
        <v>5409.1790055249003</v>
      </c>
      <c r="W311">
        <f t="shared" si="69"/>
        <v>0</v>
      </c>
      <c r="X311">
        <v>0</v>
      </c>
    </row>
    <row r="312" spans="1:24" x14ac:dyDescent="0.25">
      <c r="A312" t="s">
        <v>1968</v>
      </c>
      <c r="B312" t="s">
        <v>1969</v>
      </c>
      <c r="C312" t="s">
        <v>1970</v>
      </c>
      <c r="D312" t="s">
        <v>81</v>
      </c>
      <c r="E312" t="s">
        <v>51</v>
      </c>
      <c r="F312" t="s">
        <v>51</v>
      </c>
      <c r="G312" t="s">
        <v>512</v>
      </c>
      <c r="H312"/>
      <c r="I312"/>
      <c r="J312">
        <v>111534.01999999997</v>
      </c>
      <c r="K312">
        <v>127295.0687955349</v>
      </c>
      <c r="L312">
        <v>99160.209999999992</v>
      </c>
      <c r="M312">
        <v>199963.95939226524</v>
      </c>
      <c r="N312">
        <v>148775.92000000001</v>
      </c>
      <c r="O312">
        <v>198942.10692854118</v>
      </c>
      <c r="P312">
        <f>SUMIF($F$280:$F$311,"&lt;&gt;EV_*",$P$280:$P$311)</f>
        <v>0</v>
      </c>
      <c r="Q312">
        <f>SUMIF($F$280:$F$311,"&lt;&gt;EV_*",$Q$280:$Q$311)</f>
        <v>198942.10692854118</v>
      </c>
      <c r="R312">
        <f>SUMIF($F$280:$F$311,"&lt;&gt;EV_*",$R$280:$R$311)</f>
        <v>199014.96692854119</v>
      </c>
      <c r="S312">
        <f>SUMIF($F$280:$F$311,"&lt;&gt;EV_*",$S$280:$S$311)</f>
        <v>72.86</v>
      </c>
      <c r="T312">
        <v>0</v>
      </c>
      <c r="U312">
        <f>SUMIF($F$280:$F$311,"&lt;&gt;EV_*",$U$280:$U$311)</f>
        <v>3181.7192503946353</v>
      </c>
      <c r="V312">
        <f>SUMIF($F$280:$F$311,"&lt;&gt;EV_*",$V$280:$V$311)</f>
        <v>202196.68617893578</v>
      </c>
      <c r="W312">
        <f>SUMIF($F$280:$F$311,"&lt;&gt;EV_*",$W$280:$W$311)</f>
        <v>3254.5792503946327</v>
      </c>
      <c r="X312">
        <f>SUMIF($F$280:$F$311,"&lt;&gt;EV_*",$X$280:$X$311)</f>
        <v>0</v>
      </c>
    </row>
    <row r="313" spans="1:24" x14ac:dyDescent="0.25">
      <c r="A313" t="s">
        <v>1940</v>
      </c>
      <c r="B313" t="s">
        <v>1971</v>
      </c>
      <c r="C313" t="s">
        <v>1972</v>
      </c>
      <c r="D313" t="s">
        <v>87</v>
      </c>
      <c r="E313" t="s">
        <v>5</v>
      </c>
      <c r="F313" t="s">
        <v>5</v>
      </c>
      <c r="G313" t="s">
        <v>513</v>
      </c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</row>
    <row r="314" spans="1:24" x14ac:dyDescent="0.25">
      <c r="A314" t="s">
        <v>1940</v>
      </c>
      <c r="B314" t="s">
        <v>1971</v>
      </c>
      <c r="C314" t="s">
        <v>1972</v>
      </c>
      <c r="D314" t="s">
        <v>87</v>
      </c>
      <c r="E314" t="s">
        <v>21</v>
      </c>
      <c r="F314" t="s">
        <v>1</v>
      </c>
      <c r="G314" t="s">
        <v>514</v>
      </c>
      <c r="H314" t="s">
        <v>421</v>
      </c>
      <c r="I314" t="s">
        <v>1</v>
      </c>
      <c r="J314"/>
      <c r="K314"/>
      <c r="L314">
        <v>16</v>
      </c>
      <c r="M314">
        <v>32.265193370165747</v>
      </c>
      <c r="N314">
        <v>16</v>
      </c>
      <c r="O314">
        <v>32.265193370200002</v>
      </c>
      <c r="P314">
        <v>0</v>
      </c>
      <c r="Q314">
        <f>O314+P314</f>
        <v>32.265193370200002</v>
      </c>
      <c r="R314">
        <v>0</v>
      </c>
      <c r="S314">
        <f>IF(OR(LEFT(E314,2)="A_",LEFT(D314,5)="Total"),R314-Q314,"")</f>
        <v>-32.265193370200002</v>
      </c>
      <c r="T314">
        <v>0.03</v>
      </c>
      <c r="U314">
        <f>IFERROR(R314*T314,R314*0)</f>
        <v>0</v>
      </c>
      <c r="V314">
        <f>IF(OR(LEFT(E314,2)="A_",LEFT(D314,5)="Total"),R314+U314,"")</f>
        <v>0</v>
      </c>
      <c r="W314">
        <f>IF(OR(LEFT(E314,2)="A_",LEFT(D314,5)="Total"),V314-Q314,"")</f>
        <v>-32.265193370200002</v>
      </c>
      <c r="X314">
        <v>0</v>
      </c>
    </row>
    <row r="315" spans="1:24" x14ac:dyDescent="0.25">
      <c r="A315" t="s">
        <v>1940</v>
      </c>
      <c r="B315" t="s">
        <v>1971</v>
      </c>
      <c r="C315" t="s">
        <v>1972</v>
      </c>
      <c r="D315" t="s">
        <v>87</v>
      </c>
      <c r="E315" t="s">
        <v>48</v>
      </c>
      <c r="F315" t="s">
        <v>1</v>
      </c>
      <c r="G315" t="s">
        <v>514</v>
      </c>
      <c r="H315" t="s">
        <v>448</v>
      </c>
      <c r="I315" t="s">
        <v>1</v>
      </c>
      <c r="J315">
        <v>4182.92</v>
      </c>
      <c r="K315">
        <v>4113</v>
      </c>
      <c r="L315">
        <v>5310.6</v>
      </c>
      <c r="M315">
        <v>10709.220994475139</v>
      </c>
      <c r="N315">
        <v>7488.04</v>
      </c>
      <c r="O315">
        <v>10621.2</v>
      </c>
      <c r="P315">
        <v>0</v>
      </c>
      <c r="Q315">
        <f>O315+P315</f>
        <v>10621.2</v>
      </c>
      <c r="R315">
        <v>0</v>
      </c>
      <c r="S315">
        <f>IF(OR(LEFT(E315,2)="A_",LEFT(D315,5)="Total"),R315-Q315,"")</f>
        <v>-10621.2</v>
      </c>
      <c r="T315">
        <v>0.03</v>
      </c>
      <c r="U315">
        <f>IFERROR(R315*T315,R315*0)</f>
        <v>0</v>
      </c>
      <c r="V315">
        <f>IF(OR(LEFT(E315,2)="A_",LEFT(D315,5)="Total"),R315+U315,"")</f>
        <v>0</v>
      </c>
      <c r="W315">
        <f>IF(OR(LEFT(E315,2)="A_",LEFT(D315,5)="Total"),V315-Q315,"")</f>
        <v>-10621.2</v>
      </c>
      <c r="X315" t="s">
        <v>1349</v>
      </c>
    </row>
    <row r="316" spans="1:24" x14ac:dyDescent="0.25">
      <c r="A316" t="s">
        <v>1940</v>
      </c>
      <c r="B316" t="s">
        <v>1971</v>
      </c>
      <c r="C316" t="s">
        <v>1972</v>
      </c>
      <c r="D316" t="s">
        <v>87</v>
      </c>
      <c r="E316" t="s">
        <v>51</v>
      </c>
      <c r="F316" t="s">
        <v>51</v>
      </c>
      <c r="G316" t="s">
        <v>515</v>
      </c>
      <c r="H316"/>
      <c r="I316"/>
      <c r="J316">
        <v>4182.92</v>
      </c>
      <c r="K316">
        <v>4113</v>
      </c>
      <c r="L316">
        <v>5326.6</v>
      </c>
      <c r="M316">
        <v>10741.486187845305</v>
      </c>
      <c r="N316">
        <v>7504.04</v>
      </c>
      <c r="O316">
        <v>10653.465193370201</v>
      </c>
      <c r="P316">
        <f>SUMIF($F$313:$F$315,"&lt;&gt;EV_*",$P$313:$P$315)</f>
        <v>0</v>
      </c>
      <c r="Q316">
        <f>SUMIF($F$313:$F$315,"&lt;&gt;EV_*",$Q$313:$Q$315)</f>
        <v>10653.465193370201</v>
      </c>
      <c r="R316">
        <f>SUMIF($F$313:$F$315,"&lt;&gt;EV_*",$R$313:$R$315)</f>
        <v>0</v>
      </c>
      <c r="S316">
        <f>SUMIF($F$313:$F$315,"&lt;&gt;EV_*",$S$313:$S$315)</f>
        <v>-10653.465193370201</v>
      </c>
      <c r="T316">
        <v>0</v>
      </c>
      <c r="U316">
        <f>SUMIF($F$313:$F$315,"&lt;&gt;EV_*",$U$313:$U$315)</f>
        <v>0</v>
      </c>
      <c r="V316">
        <f>SUMIF($F$313:$F$315,"&lt;&gt;EV_*",$V$313:$V$315)</f>
        <v>0</v>
      </c>
      <c r="W316">
        <f>SUMIF($F$313:$F$315,"&lt;&gt;EV_*",$W$313:$W$315)</f>
        <v>-10653.465193370201</v>
      </c>
      <c r="X316">
        <f>SUMIF($F$313:$F$315,"&lt;&gt;EV_*",$X$313:$X$315)</f>
        <v>0</v>
      </c>
    </row>
    <row r="317" spans="1:24" x14ac:dyDescent="0.25">
      <c r="A317" t="s">
        <v>1940</v>
      </c>
      <c r="B317" t="s">
        <v>1971</v>
      </c>
      <c r="C317" t="s">
        <v>1973</v>
      </c>
      <c r="D317" t="s">
        <v>88</v>
      </c>
      <c r="E317" t="s">
        <v>5</v>
      </c>
      <c r="F317" t="s">
        <v>5</v>
      </c>
      <c r="G317" t="s">
        <v>516</v>
      </c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</row>
    <row r="318" spans="1:24" x14ac:dyDescent="0.25">
      <c r="A318" t="s">
        <v>1940</v>
      </c>
      <c r="B318" t="s">
        <v>1971</v>
      </c>
      <c r="C318" t="s">
        <v>1973</v>
      </c>
      <c r="D318" t="s">
        <v>88</v>
      </c>
      <c r="E318" t="s">
        <v>10</v>
      </c>
      <c r="F318" t="s">
        <v>1</v>
      </c>
      <c r="G318" t="s">
        <v>517</v>
      </c>
      <c r="H318" t="s">
        <v>410</v>
      </c>
      <c r="I318" t="s">
        <v>1</v>
      </c>
      <c r="J318">
        <v>395.89</v>
      </c>
      <c r="K318">
        <v>432</v>
      </c>
      <c r="L318">
        <v>251.93</v>
      </c>
      <c r="M318">
        <v>508.03563535911604</v>
      </c>
      <c r="N318">
        <v>539.85</v>
      </c>
      <c r="O318">
        <v>503.86</v>
      </c>
      <c r="P318">
        <v>0</v>
      </c>
      <c r="Q318">
        <f t="shared" ref="Q318:Q332" si="70">O318+P318</f>
        <v>503.86</v>
      </c>
      <c r="R318">
        <v>432</v>
      </c>
      <c r="S318">
        <f t="shared" ref="S318:S332" si="71">IF(OR(LEFT(E318,2)="A_",LEFT(D318,5)="Total"),R318-Q318,"")</f>
        <v>-71.860000000000014</v>
      </c>
      <c r="T318"/>
      <c r="U318">
        <f t="shared" ref="U318:U332" si="72">IFERROR(R318*T318,R318*0)</f>
        <v>0</v>
      </c>
      <c r="V318">
        <f t="shared" ref="V318:V332" si="73">IF(OR(LEFT(E318,2)="A_",LEFT(D318,5)="Total"),R318+U318,"")</f>
        <v>432</v>
      </c>
      <c r="W318">
        <f t="shared" ref="W318:W332" si="74">IF(OR(LEFT(E318,2)="A_",LEFT(D318,5)="Total"),V318-Q318,"")</f>
        <v>-71.860000000000014</v>
      </c>
      <c r="X318" t="s">
        <v>1270</v>
      </c>
    </row>
    <row r="319" spans="1:24" x14ac:dyDescent="0.25">
      <c r="A319" t="s">
        <v>1940</v>
      </c>
      <c r="B319" t="s">
        <v>1971</v>
      </c>
      <c r="C319" t="s">
        <v>1973</v>
      </c>
      <c r="D319" t="s">
        <v>88</v>
      </c>
      <c r="E319" t="s">
        <v>11</v>
      </c>
      <c r="F319" t="s">
        <v>1</v>
      </c>
      <c r="G319" t="s">
        <v>517</v>
      </c>
      <c r="H319" t="s">
        <v>411</v>
      </c>
      <c r="I319" t="s">
        <v>1</v>
      </c>
      <c r="J319">
        <v>8672.09</v>
      </c>
      <c r="K319">
        <v>7249.68</v>
      </c>
      <c r="L319">
        <v>3776.29</v>
      </c>
      <c r="M319">
        <v>7615.1704419889493</v>
      </c>
      <c r="N319">
        <v>7832.0400000000009</v>
      </c>
      <c r="O319">
        <v>7552.58</v>
      </c>
      <c r="P319">
        <v>0</v>
      </c>
      <c r="Q319">
        <f t="shared" si="70"/>
        <v>7552.58</v>
      </c>
      <c r="R319">
        <v>7552.58</v>
      </c>
      <c r="S319">
        <f t="shared" si="71"/>
        <v>0</v>
      </c>
      <c r="T319"/>
      <c r="U319">
        <f t="shared" si="72"/>
        <v>0</v>
      </c>
      <c r="V319">
        <f t="shared" si="73"/>
        <v>7552.58</v>
      </c>
      <c r="W319">
        <f t="shared" si="74"/>
        <v>0</v>
      </c>
      <c r="X319" t="s">
        <v>1350</v>
      </c>
    </row>
    <row r="320" spans="1:24" x14ac:dyDescent="0.25">
      <c r="A320" t="s">
        <v>1940</v>
      </c>
      <c r="B320" t="s">
        <v>1971</v>
      </c>
      <c r="C320" t="s">
        <v>1973</v>
      </c>
      <c r="D320" t="s">
        <v>88</v>
      </c>
      <c r="E320" t="s">
        <v>18</v>
      </c>
      <c r="F320" t="s">
        <v>1</v>
      </c>
      <c r="G320" t="s">
        <v>517</v>
      </c>
      <c r="H320" t="s">
        <v>418</v>
      </c>
      <c r="I320" t="s">
        <v>1</v>
      </c>
      <c r="J320">
        <v>3392</v>
      </c>
      <c r="K320">
        <v>5196.8790123458002</v>
      </c>
      <c r="L320">
        <v>102.55</v>
      </c>
      <c r="M320">
        <v>206.79972375690608</v>
      </c>
      <c r="N320">
        <v>102.55</v>
      </c>
      <c r="O320">
        <v>206.22692307689999</v>
      </c>
      <c r="P320">
        <v>0</v>
      </c>
      <c r="Q320">
        <f t="shared" si="70"/>
        <v>206.22692307689999</v>
      </c>
      <c r="R320">
        <v>206.22692307689999</v>
      </c>
      <c r="S320">
        <f t="shared" si="71"/>
        <v>0</v>
      </c>
      <c r="T320">
        <v>0.02</v>
      </c>
      <c r="U320">
        <f t="shared" si="72"/>
        <v>4.1245384615380001</v>
      </c>
      <c r="V320">
        <f t="shared" si="73"/>
        <v>210.351461538438</v>
      </c>
      <c r="W320">
        <f t="shared" si="74"/>
        <v>4.124538461538009</v>
      </c>
      <c r="X320" t="s">
        <v>1351</v>
      </c>
    </row>
    <row r="321" spans="1:24" x14ac:dyDescent="0.25">
      <c r="A321" t="s">
        <v>1940</v>
      </c>
      <c r="B321" t="s">
        <v>1971</v>
      </c>
      <c r="C321" t="s">
        <v>1973</v>
      </c>
      <c r="D321" t="s">
        <v>88</v>
      </c>
      <c r="E321" t="s">
        <v>21</v>
      </c>
      <c r="F321" t="s">
        <v>1</v>
      </c>
      <c r="G321" t="s">
        <v>517</v>
      </c>
      <c r="H321" t="s">
        <v>421</v>
      </c>
      <c r="I321" t="s">
        <v>1</v>
      </c>
      <c r="J321">
        <v>68.02</v>
      </c>
      <c r="K321">
        <v>103.0000000001</v>
      </c>
      <c r="L321">
        <v>86.34</v>
      </c>
      <c r="M321">
        <v>174.11104972375693</v>
      </c>
      <c r="N321">
        <v>104.72999999999999</v>
      </c>
      <c r="O321">
        <v>174.11104972379999</v>
      </c>
      <c r="P321">
        <v>0</v>
      </c>
      <c r="Q321">
        <f t="shared" si="70"/>
        <v>174.11104972379999</v>
      </c>
      <c r="R321">
        <v>174.11104972379999</v>
      </c>
      <c r="S321">
        <f t="shared" si="71"/>
        <v>0</v>
      </c>
      <c r="T321">
        <v>0.03</v>
      </c>
      <c r="U321">
        <f t="shared" si="72"/>
        <v>5.2233314917139992</v>
      </c>
      <c r="V321">
        <f t="shared" si="73"/>
        <v>179.33438121551399</v>
      </c>
      <c r="W321">
        <f t="shared" si="74"/>
        <v>5.2233314917139921</v>
      </c>
      <c r="X321" t="s">
        <v>1352</v>
      </c>
    </row>
    <row r="322" spans="1:24" x14ac:dyDescent="0.25">
      <c r="A322" t="s">
        <v>1940</v>
      </c>
      <c r="B322" t="s">
        <v>1971</v>
      </c>
      <c r="C322" t="s">
        <v>1973</v>
      </c>
      <c r="D322" t="s">
        <v>88</v>
      </c>
      <c r="E322" t="s">
        <v>22</v>
      </c>
      <c r="F322" t="s">
        <v>1</v>
      </c>
      <c r="G322" t="s">
        <v>517</v>
      </c>
      <c r="H322" t="s">
        <v>422</v>
      </c>
      <c r="I322" t="s">
        <v>1</v>
      </c>
      <c r="J322">
        <v>9211.7800000000007</v>
      </c>
      <c r="K322">
        <v>9708.3000000000993</v>
      </c>
      <c r="L322">
        <v>2091.2600000000002</v>
      </c>
      <c r="M322">
        <v>4217.1817679558017</v>
      </c>
      <c r="N322">
        <v>6613.0500000000011</v>
      </c>
      <c r="O322">
        <v>4217.1817679557998</v>
      </c>
      <c r="P322">
        <v>0</v>
      </c>
      <c r="Q322">
        <f t="shared" si="70"/>
        <v>4217.1817679557998</v>
      </c>
      <c r="R322">
        <v>4217.1817679557998</v>
      </c>
      <c r="S322">
        <f t="shared" si="71"/>
        <v>0</v>
      </c>
      <c r="T322">
        <v>3.5000000000000003E-2</v>
      </c>
      <c r="U322">
        <f t="shared" si="72"/>
        <v>147.60136187845302</v>
      </c>
      <c r="V322">
        <f t="shared" si="73"/>
        <v>4364.7831298342526</v>
      </c>
      <c r="W322">
        <f t="shared" si="74"/>
        <v>147.60136187845274</v>
      </c>
      <c r="X322" t="s">
        <v>1353</v>
      </c>
    </row>
    <row r="323" spans="1:24" x14ac:dyDescent="0.25">
      <c r="A323" t="s">
        <v>1940</v>
      </c>
      <c r="B323" t="s">
        <v>1971</v>
      </c>
      <c r="C323" t="s">
        <v>1973</v>
      </c>
      <c r="D323" t="s">
        <v>88</v>
      </c>
      <c r="E323" t="s">
        <v>24</v>
      </c>
      <c r="F323" t="s">
        <v>1</v>
      </c>
      <c r="G323" t="s">
        <v>517</v>
      </c>
      <c r="H323" t="s">
        <v>424</v>
      </c>
      <c r="I323" t="s">
        <v>1</v>
      </c>
      <c r="J323">
        <v>185</v>
      </c>
      <c r="K323">
        <v>185.00000000040001</v>
      </c>
      <c r="L323">
        <v>555</v>
      </c>
      <c r="M323">
        <v>1119.1988950276243</v>
      </c>
      <c r="N323">
        <v>740</v>
      </c>
      <c r="O323">
        <v>1110</v>
      </c>
      <c r="P323">
        <v>0</v>
      </c>
      <c r="Q323">
        <f t="shared" si="70"/>
        <v>1110</v>
      </c>
      <c r="R323">
        <v>150</v>
      </c>
      <c r="S323">
        <f t="shared" si="71"/>
        <v>-960</v>
      </c>
      <c r="T323"/>
      <c r="U323">
        <f t="shared" si="72"/>
        <v>0</v>
      </c>
      <c r="V323">
        <f t="shared" si="73"/>
        <v>150</v>
      </c>
      <c r="W323">
        <f t="shared" si="74"/>
        <v>-960</v>
      </c>
      <c r="X323" t="s">
        <v>1354</v>
      </c>
    </row>
    <row r="324" spans="1:24" x14ac:dyDescent="0.25">
      <c r="A324" t="s">
        <v>1940</v>
      </c>
      <c r="B324" t="s">
        <v>1971</v>
      </c>
      <c r="C324" t="s">
        <v>1973</v>
      </c>
      <c r="D324" t="s">
        <v>88</v>
      </c>
      <c r="E324" t="s">
        <v>27</v>
      </c>
      <c r="F324" t="s">
        <v>1</v>
      </c>
      <c r="G324" t="s">
        <v>517</v>
      </c>
      <c r="H324" t="s">
        <v>427</v>
      </c>
      <c r="I324" t="s">
        <v>1</v>
      </c>
      <c r="J324">
        <v>17154.36</v>
      </c>
      <c r="K324">
        <v>21579.9999999996</v>
      </c>
      <c r="L324">
        <v>537.38</v>
      </c>
      <c r="M324">
        <v>1083.6668508287291</v>
      </c>
      <c r="N324">
        <v>4547.4900000000007</v>
      </c>
      <c r="O324">
        <v>1074.76</v>
      </c>
      <c r="P324">
        <v>0</v>
      </c>
      <c r="Q324">
        <f t="shared" si="70"/>
        <v>1074.76</v>
      </c>
      <c r="R324">
        <v>1074.76</v>
      </c>
      <c r="S324">
        <f t="shared" si="71"/>
        <v>0</v>
      </c>
      <c r="T324"/>
      <c r="U324">
        <f t="shared" si="72"/>
        <v>0</v>
      </c>
      <c r="V324">
        <f t="shared" si="73"/>
        <v>1074.76</v>
      </c>
      <c r="W324">
        <f t="shared" si="74"/>
        <v>0</v>
      </c>
      <c r="X324" t="s">
        <v>1355</v>
      </c>
    </row>
    <row r="325" spans="1:24" x14ac:dyDescent="0.25">
      <c r="A325" t="s">
        <v>1940</v>
      </c>
      <c r="B325" t="s">
        <v>1971</v>
      </c>
      <c r="C325" t="s">
        <v>1973</v>
      </c>
      <c r="D325" t="s">
        <v>88</v>
      </c>
      <c r="E325" t="s">
        <v>28</v>
      </c>
      <c r="F325" t="s">
        <v>1</v>
      </c>
      <c r="G325" t="s">
        <v>517</v>
      </c>
      <c r="H325" t="s">
        <v>428</v>
      </c>
      <c r="I325" t="s">
        <v>1</v>
      </c>
      <c r="J325">
        <v>1910.92</v>
      </c>
      <c r="K325">
        <v>2130</v>
      </c>
      <c r="L325">
        <v>998</v>
      </c>
      <c r="M325">
        <v>2012.5414364640885</v>
      </c>
      <c r="N325">
        <v>1604.1699999999998</v>
      </c>
      <c r="O325">
        <v>1996</v>
      </c>
      <c r="P325">
        <v>0</v>
      </c>
      <c r="Q325">
        <f t="shared" si="70"/>
        <v>1996</v>
      </c>
      <c r="R325">
        <v>1996</v>
      </c>
      <c r="S325">
        <f t="shared" si="71"/>
        <v>0</v>
      </c>
      <c r="T325"/>
      <c r="U325">
        <f t="shared" si="72"/>
        <v>0</v>
      </c>
      <c r="V325">
        <f t="shared" si="73"/>
        <v>1996</v>
      </c>
      <c r="W325">
        <f t="shared" si="74"/>
        <v>0</v>
      </c>
      <c r="X325" t="s">
        <v>1356</v>
      </c>
    </row>
    <row r="326" spans="1:24" x14ac:dyDescent="0.25">
      <c r="A326" t="s">
        <v>1940</v>
      </c>
      <c r="B326" t="s">
        <v>1971</v>
      </c>
      <c r="C326" t="s">
        <v>1973</v>
      </c>
      <c r="D326" t="s">
        <v>88</v>
      </c>
      <c r="E326" t="s">
        <v>29</v>
      </c>
      <c r="F326" t="s">
        <v>1</v>
      </c>
      <c r="G326" t="s">
        <v>517</v>
      </c>
      <c r="H326" t="s">
        <v>429</v>
      </c>
      <c r="I326" t="s">
        <v>1</v>
      </c>
      <c r="J326">
        <v>1007.32</v>
      </c>
      <c r="K326">
        <v>150</v>
      </c>
      <c r="L326">
        <v>198.36</v>
      </c>
      <c r="M326">
        <v>400.00773480662986</v>
      </c>
      <c r="N326">
        <v>428.48</v>
      </c>
      <c r="O326">
        <v>396.72</v>
      </c>
      <c r="P326">
        <v>0</v>
      </c>
      <c r="Q326">
        <f t="shared" si="70"/>
        <v>396.72</v>
      </c>
      <c r="R326">
        <v>100</v>
      </c>
      <c r="S326">
        <f t="shared" si="71"/>
        <v>-296.72000000000003</v>
      </c>
      <c r="T326"/>
      <c r="U326">
        <f t="shared" si="72"/>
        <v>0</v>
      </c>
      <c r="V326">
        <f t="shared" si="73"/>
        <v>100</v>
      </c>
      <c r="W326">
        <f t="shared" si="74"/>
        <v>-296.72000000000003</v>
      </c>
      <c r="X326">
        <v>0</v>
      </c>
    </row>
    <row r="327" spans="1:24" x14ac:dyDescent="0.25">
      <c r="A327" t="s">
        <v>1940</v>
      </c>
      <c r="B327" t="s">
        <v>1971</v>
      </c>
      <c r="C327" t="s">
        <v>1973</v>
      </c>
      <c r="D327" t="s">
        <v>88</v>
      </c>
      <c r="E327" t="s">
        <v>33</v>
      </c>
      <c r="F327" t="s">
        <v>1</v>
      </c>
      <c r="G327" t="s">
        <v>517</v>
      </c>
      <c r="H327" t="s">
        <v>433</v>
      </c>
      <c r="I327" t="s">
        <v>1</v>
      </c>
      <c r="J327">
        <v>1223.76</v>
      </c>
      <c r="K327">
        <v>981.23836829519996</v>
      </c>
      <c r="L327">
        <v>484.45</v>
      </c>
      <c r="M327">
        <v>976.92955801104972</v>
      </c>
      <c r="N327">
        <v>484.45000000000005</v>
      </c>
      <c r="O327">
        <v>968.9</v>
      </c>
      <c r="P327">
        <v>0</v>
      </c>
      <c r="Q327">
        <f t="shared" si="70"/>
        <v>968.9</v>
      </c>
      <c r="R327">
        <v>968.9</v>
      </c>
      <c r="S327">
        <f t="shared" si="71"/>
        <v>0</v>
      </c>
      <c r="T327"/>
      <c r="U327">
        <f t="shared" si="72"/>
        <v>0</v>
      </c>
      <c r="V327">
        <f t="shared" si="73"/>
        <v>968.9</v>
      </c>
      <c r="W327">
        <f t="shared" si="74"/>
        <v>0</v>
      </c>
      <c r="X327" t="s">
        <v>1357</v>
      </c>
    </row>
    <row r="328" spans="1:24" x14ac:dyDescent="0.25">
      <c r="A328" t="s">
        <v>1940</v>
      </c>
      <c r="B328" t="s">
        <v>1971</v>
      </c>
      <c r="C328" t="s">
        <v>1973</v>
      </c>
      <c r="D328" t="s">
        <v>88</v>
      </c>
      <c r="E328" t="s">
        <v>40</v>
      </c>
      <c r="F328" t="s">
        <v>1</v>
      </c>
      <c r="G328" t="s">
        <v>517</v>
      </c>
      <c r="H328" t="s">
        <v>440</v>
      </c>
      <c r="I328" t="s">
        <v>1</v>
      </c>
      <c r="J328">
        <v>0</v>
      </c>
      <c r="K328"/>
      <c r="L328">
        <v>0</v>
      </c>
      <c r="M328">
        <v>0</v>
      </c>
      <c r="N328">
        <v>-500</v>
      </c>
      <c r="O328"/>
      <c r="P328">
        <v>0</v>
      </c>
      <c r="Q328">
        <f t="shared" si="70"/>
        <v>0</v>
      </c>
      <c r="R328">
        <v>0</v>
      </c>
      <c r="S328">
        <f t="shared" si="71"/>
        <v>0</v>
      </c>
      <c r="T328">
        <v>0.03</v>
      </c>
      <c r="U328">
        <f t="shared" si="72"/>
        <v>0</v>
      </c>
      <c r="V328">
        <f t="shared" si="73"/>
        <v>0</v>
      </c>
      <c r="W328">
        <f t="shared" si="74"/>
        <v>0</v>
      </c>
      <c r="X328">
        <v>0</v>
      </c>
    </row>
    <row r="329" spans="1:24" x14ac:dyDescent="0.25">
      <c r="A329" t="s">
        <v>1940</v>
      </c>
      <c r="B329" t="s">
        <v>1971</v>
      </c>
      <c r="C329" t="s">
        <v>1973</v>
      </c>
      <c r="D329" t="s">
        <v>88</v>
      </c>
      <c r="E329" t="s">
        <v>42</v>
      </c>
      <c r="F329" t="s">
        <v>1</v>
      </c>
      <c r="G329" t="s">
        <v>517</v>
      </c>
      <c r="H329" t="s">
        <v>442</v>
      </c>
      <c r="I329" t="s">
        <v>1</v>
      </c>
      <c r="J329">
        <v>6258.3</v>
      </c>
      <c r="K329">
        <v>12516.9999999996</v>
      </c>
      <c r="L329">
        <v>16408.64</v>
      </c>
      <c r="M329">
        <v>33089.246408839776</v>
      </c>
      <c r="N329">
        <v>16408.64</v>
      </c>
      <c r="O329">
        <v>32817.279999999999</v>
      </c>
      <c r="P329">
        <v>0</v>
      </c>
      <c r="Q329">
        <f t="shared" si="70"/>
        <v>32817.279999999999</v>
      </c>
      <c r="R329">
        <v>16408.64</v>
      </c>
      <c r="S329">
        <f t="shared" si="71"/>
        <v>-16408.64</v>
      </c>
      <c r="T329">
        <v>0.03</v>
      </c>
      <c r="U329">
        <f t="shared" si="72"/>
        <v>492.25919999999996</v>
      </c>
      <c r="V329">
        <f t="shared" si="73"/>
        <v>16900.8992</v>
      </c>
      <c r="W329">
        <f t="shared" si="74"/>
        <v>-15916.380799999999</v>
      </c>
      <c r="X329" t="s">
        <v>1358</v>
      </c>
    </row>
    <row r="330" spans="1:24" x14ac:dyDescent="0.25">
      <c r="A330" t="s">
        <v>1940</v>
      </c>
      <c r="B330" t="s">
        <v>1971</v>
      </c>
      <c r="C330" t="s">
        <v>1973</v>
      </c>
      <c r="D330" t="s">
        <v>88</v>
      </c>
      <c r="E330" t="s">
        <v>48</v>
      </c>
      <c r="F330" t="s">
        <v>1</v>
      </c>
      <c r="G330" t="s">
        <v>517</v>
      </c>
      <c r="H330" t="s">
        <v>448</v>
      </c>
      <c r="I330" t="s">
        <v>1</v>
      </c>
      <c r="J330">
        <v>376.86</v>
      </c>
      <c r="K330">
        <v>390.99999999959999</v>
      </c>
      <c r="L330">
        <v>824.97</v>
      </c>
      <c r="M330">
        <v>1663.6135359116024</v>
      </c>
      <c r="N330">
        <v>1012.35</v>
      </c>
      <c r="O330">
        <v>1649.94</v>
      </c>
      <c r="P330">
        <v>0</v>
      </c>
      <c r="Q330">
        <f t="shared" si="70"/>
        <v>1649.94</v>
      </c>
      <c r="R330">
        <v>1649.94</v>
      </c>
      <c r="S330">
        <f t="shared" si="71"/>
        <v>0</v>
      </c>
      <c r="T330">
        <v>0.03</v>
      </c>
      <c r="U330">
        <f t="shared" si="72"/>
        <v>49.498199999999997</v>
      </c>
      <c r="V330">
        <f t="shared" si="73"/>
        <v>1699.4382000000001</v>
      </c>
      <c r="W330">
        <f t="shared" si="74"/>
        <v>49.498199999999997</v>
      </c>
      <c r="X330" t="s">
        <v>1359</v>
      </c>
    </row>
    <row r="331" spans="1:24" x14ac:dyDescent="0.25">
      <c r="A331" t="s">
        <v>1940</v>
      </c>
      <c r="B331" t="s">
        <v>1971</v>
      </c>
      <c r="C331" t="s">
        <v>1973</v>
      </c>
      <c r="D331" t="s">
        <v>88</v>
      </c>
      <c r="E331" t="s">
        <v>49</v>
      </c>
      <c r="F331" t="s">
        <v>1</v>
      </c>
      <c r="G331" t="s">
        <v>517</v>
      </c>
      <c r="H331" t="s">
        <v>449</v>
      </c>
      <c r="I331" t="s">
        <v>1</v>
      </c>
      <c r="J331">
        <v>4350.22</v>
      </c>
      <c r="K331">
        <v>5420.0000000004002</v>
      </c>
      <c r="L331">
        <v>2064.92</v>
      </c>
      <c r="M331">
        <v>4164.0651933701656</v>
      </c>
      <c r="N331">
        <v>3167.72</v>
      </c>
      <c r="O331">
        <v>4164.0651933702002</v>
      </c>
      <c r="P331">
        <v>0</v>
      </c>
      <c r="Q331">
        <f t="shared" si="70"/>
        <v>4164.0651933702002</v>
      </c>
      <c r="R331">
        <v>6834</v>
      </c>
      <c r="S331">
        <f t="shared" si="71"/>
        <v>2669.9348066297998</v>
      </c>
      <c r="T331"/>
      <c r="U331">
        <f t="shared" si="72"/>
        <v>0</v>
      </c>
      <c r="V331">
        <f t="shared" si="73"/>
        <v>6834</v>
      </c>
      <c r="W331">
        <f t="shared" si="74"/>
        <v>2669.9348066297998</v>
      </c>
      <c r="X331" t="s">
        <v>1360</v>
      </c>
    </row>
    <row r="332" spans="1:24" x14ac:dyDescent="0.25">
      <c r="A332" t="s">
        <v>1940</v>
      </c>
      <c r="B332" t="s">
        <v>1971</v>
      </c>
      <c r="C332" t="s">
        <v>1973</v>
      </c>
      <c r="D332" t="s">
        <v>88</v>
      </c>
      <c r="E332" t="s">
        <v>50</v>
      </c>
      <c r="F332" t="s">
        <v>1</v>
      </c>
      <c r="G332" t="s">
        <v>517</v>
      </c>
      <c r="H332" t="s">
        <v>450</v>
      </c>
      <c r="I332" t="s">
        <v>1</v>
      </c>
      <c r="J332">
        <v>360.41</v>
      </c>
      <c r="K332">
        <v>339.99999999959999</v>
      </c>
      <c r="L332">
        <v>129.07</v>
      </c>
      <c r="M332">
        <v>260.27928176795575</v>
      </c>
      <c r="N332">
        <v>325.64999999999998</v>
      </c>
      <c r="O332">
        <v>260.27928176799998</v>
      </c>
      <c r="P332">
        <v>0</v>
      </c>
      <c r="Q332">
        <f t="shared" si="70"/>
        <v>260.27928176799998</v>
      </c>
      <c r="R332">
        <v>396</v>
      </c>
      <c r="S332">
        <f t="shared" si="71"/>
        <v>135.72071823200002</v>
      </c>
      <c r="T332"/>
      <c r="U332">
        <f t="shared" si="72"/>
        <v>0</v>
      </c>
      <c r="V332">
        <f t="shared" si="73"/>
        <v>396</v>
      </c>
      <c r="W332">
        <f t="shared" si="74"/>
        <v>135.72071823200002</v>
      </c>
      <c r="X332" t="s">
        <v>1361</v>
      </c>
    </row>
    <row r="333" spans="1:24" x14ac:dyDescent="0.25">
      <c r="A333" t="s">
        <v>1940</v>
      </c>
      <c r="B333" t="s">
        <v>1971</v>
      </c>
      <c r="C333" t="s">
        <v>1973</v>
      </c>
      <c r="D333" t="s">
        <v>88</v>
      </c>
      <c r="E333" t="s">
        <v>51</v>
      </c>
      <c r="F333" t="s">
        <v>51</v>
      </c>
      <c r="G333" t="s">
        <v>518</v>
      </c>
      <c r="H333"/>
      <c r="I333"/>
      <c r="J333">
        <v>54566.930000000008</v>
      </c>
      <c r="K333">
        <v>66384.097380640407</v>
      </c>
      <c r="L333">
        <v>28509.160000000003</v>
      </c>
      <c r="M333">
        <v>57490.84751381215</v>
      </c>
      <c r="N333">
        <v>43411.17</v>
      </c>
      <c r="O333">
        <v>57091.904215894712</v>
      </c>
      <c r="P333">
        <f>SUMIF($F$317:$F$332,"&lt;&gt;EV_*",$P$317:$P$332)</f>
        <v>0</v>
      </c>
      <c r="Q333">
        <f>SUMIF($F$317:$F$332,"&lt;&gt;EV_*",$Q$317:$Q$332)</f>
        <v>57091.904215894712</v>
      </c>
      <c r="R333">
        <f>SUMIF($F$317:$F$332,"&lt;&gt;EV_*",$R$317:$R$332)</f>
        <v>42160.339740756506</v>
      </c>
      <c r="S333">
        <f>SUMIF($F$317:$F$332,"&lt;&gt;EV_*",$S$317:$S$332)</f>
        <v>-14931.564475138201</v>
      </c>
      <c r="T333">
        <v>0</v>
      </c>
      <c r="U333">
        <f>SUMIF($F$317:$F$332,"&lt;&gt;EV_*",$U$317:$U$332)</f>
        <v>698.70663183170495</v>
      </c>
      <c r="V333">
        <f>SUMIF($F$317:$F$332,"&lt;&gt;EV_*",$V$317:$V$332)</f>
        <v>42859.0463725882</v>
      </c>
      <c r="W333">
        <f>SUMIF($F$317:$F$332,"&lt;&gt;EV_*",$W$317:$W$332)</f>
        <v>-14232.857843306492</v>
      </c>
      <c r="X333">
        <f>SUMIF($F$317:$F$332,"&lt;&gt;EV_*",$X$317:$X$332)</f>
        <v>0</v>
      </c>
    </row>
    <row r="334" spans="1:24" x14ac:dyDescent="0.25">
      <c r="A334" t="s">
        <v>1948</v>
      </c>
      <c r="B334" t="s">
        <v>1974</v>
      </c>
      <c r="C334" t="s">
        <v>1975</v>
      </c>
      <c r="D334" t="s">
        <v>89</v>
      </c>
      <c r="E334" t="s">
        <v>5</v>
      </c>
      <c r="F334" t="s">
        <v>5</v>
      </c>
      <c r="G334" t="s">
        <v>519</v>
      </c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</row>
    <row r="335" spans="1:24" x14ac:dyDescent="0.25">
      <c r="A335" t="s">
        <v>1948</v>
      </c>
      <c r="B335" t="s">
        <v>1974</v>
      </c>
      <c r="C335" t="s">
        <v>1975</v>
      </c>
      <c r="D335" t="s">
        <v>89</v>
      </c>
      <c r="E335" t="s">
        <v>11</v>
      </c>
      <c r="F335" t="s">
        <v>1</v>
      </c>
      <c r="G335" t="s">
        <v>520</v>
      </c>
      <c r="H335" t="s">
        <v>411</v>
      </c>
      <c r="I335" t="s">
        <v>1</v>
      </c>
      <c r="J335">
        <v>3562.37</v>
      </c>
      <c r="K335">
        <v>3431.0000000004002</v>
      </c>
      <c r="L335">
        <v>1565.42</v>
      </c>
      <c r="M335">
        <v>3156.7861878453041</v>
      </c>
      <c r="N335">
        <v>3426.61</v>
      </c>
      <c r="O335">
        <v>3130.84</v>
      </c>
      <c r="P335">
        <v>0</v>
      </c>
      <c r="Q335">
        <f t="shared" ref="Q335:Q346" si="75">O335+P335</f>
        <v>3130.84</v>
      </c>
      <c r="R335">
        <v>3130.84</v>
      </c>
      <c r="S335">
        <f t="shared" ref="S335:S346" si="76">IF(OR(LEFT(E335,2)="A_",LEFT(D335,5)="Total"),R335-Q335,"")</f>
        <v>0</v>
      </c>
      <c r="T335"/>
      <c r="U335">
        <f t="shared" ref="U335:U346" si="77">IFERROR(R335*T335,R335*0)</f>
        <v>0</v>
      </c>
      <c r="V335">
        <f t="shared" ref="V335:V346" si="78">IF(OR(LEFT(E335,2)="A_",LEFT(D335,5)="Total"),R335+U335,"")</f>
        <v>3130.84</v>
      </c>
      <c r="W335">
        <f t="shared" ref="W335:W346" si="79">IF(OR(LEFT(E335,2)="A_",LEFT(D335,5)="Total"),V335-Q335,"")</f>
        <v>0</v>
      </c>
      <c r="X335" t="s">
        <v>1362</v>
      </c>
    </row>
    <row r="336" spans="1:24" x14ac:dyDescent="0.25">
      <c r="A336" t="s">
        <v>1948</v>
      </c>
      <c r="B336" t="s">
        <v>1974</v>
      </c>
      <c r="C336" t="s">
        <v>1975</v>
      </c>
      <c r="D336" t="s">
        <v>89</v>
      </c>
      <c r="E336" t="s">
        <v>18</v>
      </c>
      <c r="F336" t="s">
        <v>1</v>
      </c>
      <c r="G336" t="s">
        <v>520</v>
      </c>
      <c r="H336" t="s">
        <v>418</v>
      </c>
      <c r="I336" t="s">
        <v>1</v>
      </c>
      <c r="J336"/>
      <c r="K336"/>
      <c r="L336">
        <v>100.48</v>
      </c>
      <c r="M336">
        <v>202.62541436464087</v>
      </c>
      <c r="N336">
        <v>100.48</v>
      </c>
      <c r="O336">
        <v>202.06417582419999</v>
      </c>
      <c r="P336">
        <v>0</v>
      </c>
      <c r="Q336">
        <f t="shared" si="75"/>
        <v>202.06417582419999</v>
      </c>
      <c r="R336">
        <v>0</v>
      </c>
      <c r="S336">
        <f t="shared" si="76"/>
        <v>-202.06417582419999</v>
      </c>
      <c r="T336">
        <v>0.02</v>
      </c>
      <c r="U336">
        <f t="shared" si="77"/>
        <v>0</v>
      </c>
      <c r="V336">
        <f t="shared" si="78"/>
        <v>0</v>
      </c>
      <c r="W336">
        <f t="shared" si="79"/>
        <v>-202.06417582419999</v>
      </c>
      <c r="X336">
        <v>0</v>
      </c>
    </row>
    <row r="337" spans="1:24" x14ac:dyDescent="0.25">
      <c r="A337" t="s">
        <v>1948</v>
      </c>
      <c r="B337" t="s">
        <v>1974</v>
      </c>
      <c r="C337" t="s">
        <v>1975</v>
      </c>
      <c r="D337" t="s">
        <v>89</v>
      </c>
      <c r="E337" t="s">
        <v>21</v>
      </c>
      <c r="F337" t="s">
        <v>1</v>
      </c>
      <c r="G337" t="s">
        <v>520</v>
      </c>
      <c r="H337" t="s">
        <v>421</v>
      </c>
      <c r="I337" t="s">
        <v>1</v>
      </c>
      <c r="J337">
        <v>600.48</v>
      </c>
      <c r="K337">
        <v>457.86000000040002</v>
      </c>
      <c r="L337">
        <v>187.58</v>
      </c>
      <c r="M337">
        <v>378.2690607734807</v>
      </c>
      <c r="N337">
        <v>365.13</v>
      </c>
      <c r="O337">
        <v>378.26906077349997</v>
      </c>
      <c r="P337">
        <v>0</v>
      </c>
      <c r="Q337">
        <f t="shared" si="75"/>
        <v>378.26906077349997</v>
      </c>
      <c r="R337">
        <v>378.26906077349997</v>
      </c>
      <c r="S337">
        <f t="shared" si="76"/>
        <v>0</v>
      </c>
      <c r="T337">
        <v>0.03</v>
      </c>
      <c r="U337">
        <f t="shared" si="77"/>
        <v>11.348071823204998</v>
      </c>
      <c r="V337">
        <f t="shared" si="78"/>
        <v>389.61713259670495</v>
      </c>
      <c r="W337">
        <f t="shared" si="79"/>
        <v>11.348071823204975</v>
      </c>
      <c r="X337">
        <v>0</v>
      </c>
    </row>
    <row r="338" spans="1:24" x14ac:dyDescent="0.25">
      <c r="A338" t="s">
        <v>1948</v>
      </c>
      <c r="B338" t="s">
        <v>1974</v>
      </c>
      <c r="C338" t="s">
        <v>1975</v>
      </c>
      <c r="D338" t="s">
        <v>89</v>
      </c>
      <c r="E338" t="s">
        <v>22</v>
      </c>
      <c r="F338" t="s">
        <v>1</v>
      </c>
      <c r="G338" t="s">
        <v>520</v>
      </c>
      <c r="H338" t="s">
        <v>422</v>
      </c>
      <c r="I338" t="s">
        <v>1</v>
      </c>
      <c r="J338">
        <v>1592.14</v>
      </c>
      <c r="K338">
        <v>913.90499999990004</v>
      </c>
      <c r="L338">
        <v>349.77</v>
      </c>
      <c r="M338">
        <v>705.33729281767955</v>
      </c>
      <c r="N338">
        <v>1132.3699999999999</v>
      </c>
      <c r="O338">
        <v>705.33729281770002</v>
      </c>
      <c r="P338">
        <v>0</v>
      </c>
      <c r="Q338">
        <f t="shared" si="75"/>
        <v>705.33729281770002</v>
      </c>
      <c r="R338">
        <v>705.33729281770002</v>
      </c>
      <c r="S338">
        <f t="shared" si="76"/>
        <v>0</v>
      </c>
      <c r="T338">
        <v>3.5000000000000003E-2</v>
      </c>
      <c r="U338">
        <f t="shared" si="77"/>
        <v>24.686805248619503</v>
      </c>
      <c r="V338">
        <f t="shared" si="78"/>
        <v>730.02409806631954</v>
      </c>
      <c r="W338">
        <f t="shared" si="79"/>
        <v>24.686805248619521</v>
      </c>
      <c r="X338">
        <v>0</v>
      </c>
    </row>
    <row r="339" spans="1:24" x14ac:dyDescent="0.25">
      <c r="A339" t="s">
        <v>1948</v>
      </c>
      <c r="B339" t="s">
        <v>1974</v>
      </c>
      <c r="C339" t="s">
        <v>1975</v>
      </c>
      <c r="D339" t="s">
        <v>89</v>
      </c>
      <c r="E339" t="s">
        <v>26</v>
      </c>
      <c r="F339" t="s">
        <v>1</v>
      </c>
      <c r="G339" t="s">
        <v>520</v>
      </c>
      <c r="H339" t="s">
        <v>426</v>
      </c>
      <c r="I339" t="s">
        <v>1</v>
      </c>
      <c r="J339">
        <v>955.63</v>
      </c>
      <c r="K339">
        <v>1594.5123484788</v>
      </c>
      <c r="L339">
        <v>410</v>
      </c>
      <c r="M339">
        <v>826.79558011049733</v>
      </c>
      <c r="N339">
        <v>560</v>
      </c>
      <c r="O339">
        <v>820</v>
      </c>
      <c r="P339">
        <v>0</v>
      </c>
      <c r="Q339">
        <f t="shared" si="75"/>
        <v>820</v>
      </c>
      <c r="R339">
        <v>820</v>
      </c>
      <c r="S339">
        <f t="shared" si="76"/>
        <v>0</v>
      </c>
      <c r="T339"/>
      <c r="U339">
        <f t="shared" si="77"/>
        <v>0</v>
      </c>
      <c r="V339">
        <f t="shared" si="78"/>
        <v>820</v>
      </c>
      <c r="W339">
        <f t="shared" si="79"/>
        <v>0</v>
      </c>
      <c r="X339">
        <v>0</v>
      </c>
    </row>
    <row r="340" spans="1:24" x14ac:dyDescent="0.25">
      <c r="A340" t="s">
        <v>1948</v>
      </c>
      <c r="B340" t="s">
        <v>1974</v>
      </c>
      <c r="C340" t="s">
        <v>1975</v>
      </c>
      <c r="D340" t="s">
        <v>89</v>
      </c>
      <c r="E340" t="s">
        <v>27</v>
      </c>
      <c r="F340" t="s">
        <v>1</v>
      </c>
      <c r="G340" t="s">
        <v>520</v>
      </c>
      <c r="H340" t="s">
        <v>427</v>
      </c>
      <c r="I340" t="s">
        <v>1</v>
      </c>
      <c r="J340">
        <v>1803.71</v>
      </c>
      <c r="K340">
        <v>2076</v>
      </c>
      <c r="L340">
        <v>591.20000000000005</v>
      </c>
      <c r="M340">
        <v>1192.1988950276245</v>
      </c>
      <c r="N340">
        <v>1151.42</v>
      </c>
      <c r="O340">
        <v>1182.4000000000001</v>
      </c>
      <c r="P340">
        <v>0</v>
      </c>
      <c r="Q340">
        <f t="shared" si="75"/>
        <v>1182.4000000000001</v>
      </c>
      <c r="R340">
        <v>1182.4000000000001</v>
      </c>
      <c r="S340">
        <f t="shared" si="76"/>
        <v>0</v>
      </c>
      <c r="T340"/>
      <c r="U340">
        <f t="shared" si="77"/>
        <v>0</v>
      </c>
      <c r="V340">
        <f t="shared" si="78"/>
        <v>1182.4000000000001</v>
      </c>
      <c r="W340">
        <f t="shared" si="79"/>
        <v>0</v>
      </c>
      <c r="X340">
        <v>0</v>
      </c>
    </row>
    <row r="341" spans="1:24" x14ac:dyDescent="0.25">
      <c r="A341" t="s">
        <v>1948</v>
      </c>
      <c r="B341" t="s">
        <v>1974</v>
      </c>
      <c r="C341" t="s">
        <v>1975</v>
      </c>
      <c r="D341" t="s">
        <v>89</v>
      </c>
      <c r="E341" t="s">
        <v>28</v>
      </c>
      <c r="F341" t="s">
        <v>1</v>
      </c>
      <c r="G341" t="s">
        <v>520</v>
      </c>
      <c r="H341" t="s">
        <v>428</v>
      </c>
      <c r="I341" t="s">
        <v>1</v>
      </c>
      <c r="J341">
        <v>93.33</v>
      </c>
      <c r="K341">
        <v>20.0000000004</v>
      </c>
      <c r="L341">
        <v>0</v>
      </c>
      <c r="M341">
        <v>0</v>
      </c>
      <c r="N341">
        <v>82.39</v>
      </c>
      <c r="O341"/>
      <c r="P341">
        <v>0</v>
      </c>
      <c r="Q341">
        <f t="shared" si="75"/>
        <v>0</v>
      </c>
      <c r="R341">
        <v>0</v>
      </c>
      <c r="S341">
        <f t="shared" si="76"/>
        <v>0</v>
      </c>
      <c r="T341"/>
      <c r="U341">
        <f t="shared" si="77"/>
        <v>0</v>
      </c>
      <c r="V341">
        <f t="shared" si="78"/>
        <v>0</v>
      </c>
      <c r="W341">
        <f t="shared" si="79"/>
        <v>0</v>
      </c>
      <c r="X341">
        <v>0</v>
      </c>
    </row>
    <row r="342" spans="1:24" x14ac:dyDescent="0.25">
      <c r="A342" t="s">
        <v>1948</v>
      </c>
      <c r="B342" t="s">
        <v>1974</v>
      </c>
      <c r="C342" t="s">
        <v>1975</v>
      </c>
      <c r="D342" t="s">
        <v>89</v>
      </c>
      <c r="E342" t="s">
        <v>29</v>
      </c>
      <c r="F342" t="s">
        <v>1</v>
      </c>
      <c r="G342" t="s">
        <v>520</v>
      </c>
      <c r="H342" t="s">
        <v>429</v>
      </c>
      <c r="I342" t="s">
        <v>1</v>
      </c>
      <c r="J342">
        <v>47.97</v>
      </c>
      <c r="K342">
        <v>50.0000000004</v>
      </c>
      <c r="L342">
        <v>0</v>
      </c>
      <c r="M342">
        <v>0</v>
      </c>
      <c r="N342">
        <v>0</v>
      </c>
      <c r="O342"/>
      <c r="P342">
        <v>0</v>
      </c>
      <c r="Q342">
        <f t="shared" si="75"/>
        <v>0</v>
      </c>
      <c r="R342">
        <v>0</v>
      </c>
      <c r="S342">
        <f t="shared" si="76"/>
        <v>0</v>
      </c>
      <c r="T342"/>
      <c r="U342">
        <f t="shared" si="77"/>
        <v>0</v>
      </c>
      <c r="V342">
        <f t="shared" si="78"/>
        <v>0</v>
      </c>
      <c r="W342">
        <f t="shared" si="79"/>
        <v>0</v>
      </c>
      <c r="X342">
        <v>0</v>
      </c>
    </row>
    <row r="343" spans="1:24" x14ac:dyDescent="0.25">
      <c r="A343" t="s">
        <v>1948</v>
      </c>
      <c r="B343" t="s">
        <v>1974</v>
      </c>
      <c r="C343" t="s">
        <v>1975</v>
      </c>
      <c r="D343" t="s">
        <v>89</v>
      </c>
      <c r="E343" t="s">
        <v>34</v>
      </c>
      <c r="F343" t="s">
        <v>1</v>
      </c>
      <c r="G343" t="s">
        <v>520</v>
      </c>
      <c r="H343" t="s">
        <v>434</v>
      </c>
      <c r="I343" t="s">
        <v>1</v>
      </c>
      <c r="J343">
        <v>224.63</v>
      </c>
      <c r="K343">
        <v>981.23836829519996</v>
      </c>
      <c r="L343">
        <v>540.48</v>
      </c>
      <c r="M343">
        <v>1089.9182320441989</v>
      </c>
      <c r="N343">
        <v>540.48</v>
      </c>
      <c r="O343">
        <v>1080.96</v>
      </c>
      <c r="P343">
        <v>0</v>
      </c>
      <c r="Q343">
        <f t="shared" si="75"/>
        <v>1080.96</v>
      </c>
      <c r="R343">
        <v>1080.96</v>
      </c>
      <c r="S343">
        <f t="shared" si="76"/>
        <v>0</v>
      </c>
      <c r="T343"/>
      <c r="U343">
        <f t="shared" si="77"/>
        <v>0</v>
      </c>
      <c r="V343">
        <f t="shared" si="78"/>
        <v>1080.96</v>
      </c>
      <c r="W343">
        <f t="shared" si="79"/>
        <v>0</v>
      </c>
      <c r="X343">
        <v>0</v>
      </c>
    </row>
    <row r="344" spans="1:24" x14ac:dyDescent="0.25">
      <c r="A344" t="s">
        <v>1948</v>
      </c>
      <c r="B344" t="s">
        <v>1974</v>
      </c>
      <c r="C344" t="s">
        <v>1975</v>
      </c>
      <c r="D344" t="s">
        <v>89</v>
      </c>
      <c r="E344" t="s">
        <v>37</v>
      </c>
      <c r="F344" t="s">
        <v>1</v>
      </c>
      <c r="G344" t="s">
        <v>520</v>
      </c>
      <c r="H344" t="s">
        <v>437</v>
      </c>
      <c r="I344" t="s">
        <v>1</v>
      </c>
      <c r="J344">
        <v>165.72</v>
      </c>
      <c r="K344"/>
      <c r="L344">
        <v>0</v>
      </c>
      <c r="M344">
        <v>0</v>
      </c>
      <c r="N344">
        <v>165.72</v>
      </c>
      <c r="O344"/>
      <c r="P344">
        <v>0</v>
      </c>
      <c r="Q344">
        <f t="shared" si="75"/>
        <v>0</v>
      </c>
      <c r="R344">
        <v>0</v>
      </c>
      <c r="S344">
        <f t="shared" si="76"/>
        <v>0</v>
      </c>
      <c r="T344"/>
      <c r="U344">
        <f t="shared" si="77"/>
        <v>0</v>
      </c>
      <c r="V344">
        <f t="shared" si="78"/>
        <v>0</v>
      </c>
      <c r="W344">
        <f t="shared" si="79"/>
        <v>0</v>
      </c>
      <c r="X344">
        <v>0</v>
      </c>
    </row>
    <row r="345" spans="1:24" x14ac:dyDescent="0.25">
      <c r="A345" t="s">
        <v>1948</v>
      </c>
      <c r="B345" t="s">
        <v>1974</v>
      </c>
      <c r="C345" t="s">
        <v>1975</v>
      </c>
      <c r="D345" t="s">
        <v>89</v>
      </c>
      <c r="E345" t="s">
        <v>47</v>
      </c>
      <c r="F345" t="s">
        <v>1</v>
      </c>
      <c r="G345" t="s">
        <v>520</v>
      </c>
      <c r="H345" t="s">
        <v>447</v>
      </c>
      <c r="I345" t="s">
        <v>1</v>
      </c>
      <c r="J345"/>
      <c r="K345">
        <v>560.00000000039995</v>
      </c>
      <c r="L345">
        <v>281.22000000000003</v>
      </c>
      <c r="M345">
        <v>567.10110497237577</v>
      </c>
      <c r="N345">
        <v>281.21999999999997</v>
      </c>
      <c r="O345">
        <v>562.44000000000005</v>
      </c>
      <c r="P345">
        <v>0</v>
      </c>
      <c r="Q345">
        <f t="shared" si="75"/>
        <v>562.44000000000005</v>
      </c>
      <c r="R345">
        <v>562.44000000000005</v>
      </c>
      <c r="S345">
        <f t="shared" si="76"/>
        <v>0</v>
      </c>
      <c r="T345">
        <v>0.03</v>
      </c>
      <c r="U345">
        <f t="shared" si="77"/>
        <v>16.873200000000001</v>
      </c>
      <c r="V345">
        <f t="shared" si="78"/>
        <v>579.31320000000005</v>
      </c>
      <c r="W345">
        <f t="shared" si="79"/>
        <v>16.873199999999997</v>
      </c>
      <c r="X345">
        <v>0</v>
      </c>
    </row>
    <row r="346" spans="1:24" x14ac:dyDescent="0.25">
      <c r="A346" t="s">
        <v>1948</v>
      </c>
      <c r="B346" t="s">
        <v>1974</v>
      </c>
      <c r="C346" t="s">
        <v>1975</v>
      </c>
      <c r="D346" t="s">
        <v>89</v>
      </c>
      <c r="E346" t="s">
        <v>50</v>
      </c>
      <c r="F346" t="s">
        <v>1</v>
      </c>
      <c r="G346" t="s">
        <v>520</v>
      </c>
      <c r="H346" t="s">
        <v>450</v>
      </c>
      <c r="I346" t="s">
        <v>1</v>
      </c>
      <c r="J346">
        <v>4964.18</v>
      </c>
      <c r="K346">
        <v>4790.0000000004002</v>
      </c>
      <c r="L346">
        <v>2544.6799999999998</v>
      </c>
      <c r="M346">
        <v>5131.5370165745853</v>
      </c>
      <c r="N346">
        <v>5107.79</v>
      </c>
      <c r="O346">
        <v>5131.5370165745999</v>
      </c>
      <c r="P346">
        <v>0</v>
      </c>
      <c r="Q346">
        <f t="shared" si="75"/>
        <v>5131.5370165745999</v>
      </c>
      <c r="R346">
        <v>5131.5370165745999</v>
      </c>
      <c r="S346">
        <f t="shared" si="76"/>
        <v>0</v>
      </c>
      <c r="T346"/>
      <c r="U346">
        <f t="shared" si="77"/>
        <v>0</v>
      </c>
      <c r="V346">
        <f t="shared" si="78"/>
        <v>5131.5370165745999</v>
      </c>
      <c r="W346">
        <f t="shared" si="79"/>
        <v>0</v>
      </c>
      <c r="X346">
        <v>0</v>
      </c>
    </row>
    <row r="347" spans="1:24" x14ac:dyDescent="0.25">
      <c r="A347" t="s">
        <v>1948</v>
      </c>
      <c r="B347" t="s">
        <v>1974</v>
      </c>
      <c r="C347" t="s">
        <v>1975</v>
      </c>
      <c r="D347" t="s">
        <v>89</v>
      </c>
      <c r="E347" t="s">
        <v>51</v>
      </c>
      <c r="F347" t="s">
        <v>51</v>
      </c>
      <c r="G347" t="s">
        <v>521</v>
      </c>
      <c r="H347"/>
      <c r="I347"/>
      <c r="J347">
        <v>14010.16</v>
      </c>
      <c r="K347">
        <v>14874.515716776301</v>
      </c>
      <c r="L347">
        <v>6570.83</v>
      </c>
      <c r="M347">
        <v>13250.568784530387</v>
      </c>
      <c r="N347">
        <v>12913.61</v>
      </c>
      <c r="O347">
        <v>13193.84754599</v>
      </c>
      <c r="P347">
        <f>SUMIF($F$334:$F$346,"&lt;&gt;EV_*",$P$334:$P$346)</f>
        <v>0</v>
      </c>
      <c r="Q347">
        <f>SUMIF($F$334:$F$346,"&lt;&gt;EV_*",$Q$334:$Q$346)</f>
        <v>13193.84754599</v>
      </c>
      <c r="R347">
        <f>SUMIF($F$334:$F$346,"&lt;&gt;EV_*",$R$334:$R$346)</f>
        <v>12991.783370165798</v>
      </c>
      <c r="S347">
        <f>SUMIF($F$334:$F$346,"&lt;&gt;EV_*",$S$334:$S$346)</f>
        <v>-202.06417582419999</v>
      </c>
      <c r="T347">
        <v>0</v>
      </c>
      <c r="U347">
        <f>SUMIF($F$334:$F$346,"&lt;&gt;EV_*",$U$334:$U$346)</f>
        <v>52.908077071824508</v>
      </c>
      <c r="V347">
        <f>SUMIF($F$334:$F$346,"&lt;&gt;EV_*",$V$334:$V$346)</f>
        <v>13044.691447237623</v>
      </c>
      <c r="W347">
        <f>SUMIF($F$334:$F$346,"&lt;&gt;EV_*",$W$334:$W$346)</f>
        <v>-149.1560987523755</v>
      </c>
      <c r="X347">
        <f>SUMIF($F$334:$F$346,"&lt;&gt;EV_*",$X$334:$X$346)</f>
        <v>0</v>
      </c>
    </row>
    <row r="348" spans="1:24" x14ac:dyDescent="0.25">
      <c r="A348" t="s">
        <v>1940</v>
      </c>
      <c r="B348" t="s">
        <v>1946</v>
      </c>
      <c r="C348" t="s">
        <v>1976</v>
      </c>
      <c r="D348" t="s">
        <v>90</v>
      </c>
      <c r="E348" t="s">
        <v>5</v>
      </c>
      <c r="F348" t="s">
        <v>5</v>
      </c>
      <c r="G348" t="s">
        <v>522</v>
      </c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</row>
    <row r="349" spans="1:24" x14ac:dyDescent="0.25">
      <c r="A349" t="s">
        <v>1940</v>
      </c>
      <c r="B349" t="s">
        <v>1946</v>
      </c>
      <c r="C349" t="s">
        <v>1976</v>
      </c>
      <c r="D349" t="s">
        <v>90</v>
      </c>
      <c r="E349" t="s">
        <v>18</v>
      </c>
      <c r="F349" t="s">
        <v>1</v>
      </c>
      <c r="G349" t="s">
        <v>523</v>
      </c>
      <c r="H349" t="s">
        <v>418</v>
      </c>
      <c r="I349" t="s">
        <v>1</v>
      </c>
      <c r="J349"/>
      <c r="K349"/>
      <c r="L349">
        <v>0.74</v>
      </c>
      <c r="M349">
        <v>1.4922651933701656</v>
      </c>
      <c r="N349">
        <v>0.74</v>
      </c>
      <c r="O349">
        <v>1.4881318681</v>
      </c>
      <c r="P349">
        <v>0</v>
      </c>
      <c r="Q349">
        <f>O349+P349</f>
        <v>1.4881318681</v>
      </c>
      <c r="R349">
        <v>1.4881318681</v>
      </c>
      <c r="S349">
        <f>IF(OR(LEFT(E349,2)="A_",LEFT(D349,5)="Total"),R349-Q349,"")</f>
        <v>0</v>
      </c>
      <c r="T349">
        <v>0.02</v>
      </c>
      <c r="U349">
        <f>IFERROR(R349*T349,R349*0)</f>
        <v>2.9762637362000001E-2</v>
      </c>
      <c r="V349">
        <f>IF(OR(LEFT(E349,2)="A_",LEFT(D349,5)="Total"),R349+U349,"")</f>
        <v>1.5178945054619999</v>
      </c>
      <c r="W349">
        <f>IF(OR(LEFT(E349,2)="A_",LEFT(D349,5)="Total"),V349-Q349,"")</f>
        <v>2.9762637361999911E-2</v>
      </c>
      <c r="X349">
        <v>0</v>
      </c>
    </row>
    <row r="350" spans="1:24" x14ac:dyDescent="0.25">
      <c r="A350" t="s">
        <v>1940</v>
      </c>
      <c r="B350" t="s">
        <v>1946</v>
      </c>
      <c r="C350" t="s">
        <v>1976</v>
      </c>
      <c r="D350" t="s">
        <v>90</v>
      </c>
      <c r="E350" t="s">
        <v>27</v>
      </c>
      <c r="F350" t="s">
        <v>1</v>
      </c>
      <c r="G350" t="s">
        <v>523</v>
      </c>
      <c r="H350" t="s">
        <v>427</v>
      </c>
      <c r="I350" t="s">
        <v>1</v>
      </c>
      <c r="J350">
        <v>103326.69</v>
      </c>
      <c r="K350">
        <v>36680.0000000004</v>
      </c>
      <c r="L350">
        <v>36868.660000000003</v>
      </c>
      <c r="M350">
        <v>74348.402762430938</v>
      </c>
      <c r="N350">
        <v>88753.659999999989</v>
      </c>
      <c r="O350">
        <v>73737.320000000007</v>
      </c>
      <c r="P350">
        <v>0</v>
      </c>
      <c r="Q350">
        <f>O350+P350</f>
        <v>73737.320000000007</v>
      </c>
      <c r="R350">
        <v>73737.320000000007</v>
      </c>
      <c r="S350">
        <f>IF(OR(LEFT(E350,2)="A_",LEFT(D350,5)="Total"),R350-Q350,"")</f>
        <v>0</v>
      </c>
      <c r="T350"/>
      <c r="U350">
        <f>IFERROR(R350*T350,R350*0)</f>
        <v>0</v>
      </c>
      <c r="V350">
        <f>IF(OR(LEFT(E350,2)="A_",LEFT(D350,5)="Total"),R350+U350,"")</f>
        <v>73737.320000000007</v>
      </c>
      <c r="W350">
        <f>IF(OR(LEFT(E350,2)="A_",LEFT(D350,5)="Total"),V350-Q350,"")</f>
        <v>0</v>
      </c>
      <c r="X350">
        <v>0</v>
      </c>
    </row>
    <row r="351" spans="1:24" x14ac:dyDescent="0.25">
      <c r="A351" t="s">
        <v>1940</v>
      </c>
      <c r="B351" t="s">
        <v>1946</v>
      </c>
      <c r="C351" t="s">
        <v>1976</v>
      </c>
      <c r="D351" t="s">
        <v>90</v>
      </c>
      <c r="E351" t="s">
        <v>51</v>
      </c>
      <c r="F351" t="s">
        <v>51</v>
      </c>
      <c r="G351" t="s">
        <v>524</v>
      </c>
      <c r="H351"/>
      <c r="I351"/>
      <c r="J351">
        <v>103326.69</v>
      </c>
      <c r="K351">
        <v>36680.0000000004</v>
      </c>
      <c r="L351">
        <v>36869.4</v>
      </c>
      <c r="M351">
        <v>74349.895027624312</v>
      </c>
      <c r="N351">
        <v>88754.4</v>
      </c>
      <c r="O351">
        <v>73738.808131868107</v>
      </c>
      <c r="P351">
        <f>SUMIF($F$348:$F$350,"&lt;&gt;EV_*",$P$348:$P$350)</f>
        <v>0</v>
      </c>
      <c r="Q351">
        <f>SUMIF($F$348:$F$350,"&lt;&gt;EV_*",$Q$348:$Q$350)</f>
        <v>73738.808131868107</v>
      </c>
      <c r="R351">
        <f>SUMIF($F$348:$F$350,"&lt;&gt;EV_*",$R$348:$R$350)</f>
        <v>73738.808131868107</v>
      </c>
      <c r="S351">
        <f>SUMIF($F$348:$F$350,"&lt;&gt;EV_*",$S$348:$S$350)</f>
        <v>0</v>
      </c>
      <c r="T351">
        <v>0</v>
      </c>
      <c r="U351">
        <f>SUMIF($F$348:$F$350,"&lt;&gt;EV_*",$U$348:$U$350)</f>
        <v>2.9762637362000001E-2</v>
      </c>
      <c r="V351">
        <f>SUMIF($F$348:$F$350,"&lt;&gt;EV_*",$V$348:$V$350)</f>
        <v>73738.837894505472</v>
      </c>
      <c r="W351">
        <f>SUMIF($F$348:$F$350,"&lt;&gt;EV_*",$W$348:$W$350)</f>
        <v>2.9762637361999911E-2</v>
      </c>
      <c r="X351">
        <f>SUMIF($F$348:$F$350,"&lt;&gt;EV_*",$X$348:$X$350)</f>
        <v>0</v>
      </c>
    </row>
    <row r="352" spans="1:24" x14ac:dyDescent="0.25">
      <c r="A352" t="s">
        <v>1940</v>
      </c>
      <c r="B352" t="s">
        <v>1946</v>
      </c>
      <c r="C352" t="s">
        <v>1977</v>
      </c>
      <c r="D352" t="s">
        <v>91</v>
      </c>
      <c r="E352" t="s">
        <v>5</v>
      </c>
      <c r="F352" t="s">
        <v>5</v>
      </c>
      <c r="G352" t="s">
        <v>525</v>
      </c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</row>
    <row r="353" spans="1:24" x14ac:dyDescent="0.25">
      <c r="A353" t="s">
        <v>1940</v>
      </c>
      <c r="B353" t="s">
        <v>1946</v>
      </c>
      <c r="C353" t="s">
        <v>1977</v>
      </c>
      <c r="D353" t="s">
        <v>91</v>
      </c>
      <c r="E353" t="s">
        <v>50</v>
      </c>
      <c r="F353" t="s">
        <v>1</v>
      </c>
      <c r="G353" t="s">
        <v>526</v>
      </c>
      <c r="H353" t="s">
        <v>450</v>
      </c>
      <c r="I353" t="s">
        <v>1</v>
      </c>
      <c r="J353">
        <v>559.76</v>
      </c>
      <c r="K353">
        <v>549.99999999960005</v>
      </c>
      <c r="L353">
        <v>196.59</v>
      </c>
      <c r="M353">
        <v>396.43839779005532</v>
      </c>
      <c r="N353">
        <v>492.51999999999992</v>
      </c>
      <c r="O353">
        <v>396.4383977901</v>
      </c>
      <c r="P353">
        <v>0</v>
      </c>
      <c r="Q353">
        <f>O353+P353</f>
        <v>396.4383977901</v>
      </c>
      <c r="R353">
        <v>396.4383977901</v>
      </c>
      <c r="S353">
        <f>IF(OR(LEFT(E353,2)="A_",LEFT(D353,5)="Total"),R353-Q353,"")</f>
        <v>0</v>
      </c>
      <c r="T353"/>
      <c r="U353">
        <f>IFERROR(R353*T353,R353*0)</f>
        <v>0</v>
      </c>
      <c r="V353">
        <f>IF(OR(LEFT(E353,2)="A_",LEFT(D353,5)="Total"),R353+U353,"")</f>
        <v>396.4383977901</v>
      </c>
      <c r="W353">
        <f>IF(OR(LEFT(E353,2)="A_",LEFT(D353,5)="Total"),V353-Q353,"")</f>
        <v>0</v>
      </c>
      <c r="X353">
        <v>0</v>
      </c>
    </row>
    <row r="354" spans="1:24" x14ac:dyDescent="0.25">
      <c r="A354" t="s">
        <v>1940</v>
      </c>
      <c r="B354" t="s">
        <v>1946</v>
      </c>
      <c r="C354" t="s">
        <v>1977</v>
      </c>
      <c r="D354" t="s">
        <v>91</v>
      </c>
      <c r="E354" t="s">
        <v>51</v>
      </c>
      <c r="F354" t="s">
        <v>51</v>
      </c>
      <c r="G354" t="s">
        <v>527</v>
      </c>
      <c r="H354"/>
      <c r="I354"/>
      <c r="J354">
        <v>559.76</v>
      </c>
      <c r="K354">
        <v>549.99999999960005</v>
      </c>
      <c r="L354">
        <v>196.59</v>
      </c>
      <c r="M354">
        <v>396.43839779005532</v>
      </c>
      <c r="N354">
        <v>492.51999999999992</v>
      </c>
      <c r="O354">
        <v>396.4383977901</v>
      </c>
      <c r="P354">
        <f>SUMIF($F$352:$F$353,"&lt;&gt;EV_*",$P$352:$P$353)</f>
        <v>0</v>
      </c>
      <c r="Q354">
        <f>SUMIF($F$352:$F$353,"&lt;&gt;EV_*",$Q$352:$Q$353)</f>
        <v>396.4383977901</v>
      </c>
      <c r="R354">
        <f>SUMIF($F$352:$F$353,"&lt;&gt;EV_*",$R$352:$R$353)</f>
        <v>396.4383977901</v>
      </c>
      <c r="S354">
        <f>SUMIF($F$352:$F$353,"&lt;&gt;EV_*",$S$352:$S$353)</f>
        <v>0</v>
      </c>
      <c r="T354">
        <v>0</v>
      </c>
      <c r="U354">
        <f>SUMIF($F$352:$F$353,"&lt;&gt;EV_*",$U$352:$U$353)</f>
        <v>0</v>
      </c>
      <c r="V354">
        <f>SUMIF($F$352:$F$353,"&lt;&gt;EV_*",$V$352:$V$353)</f>
        <v>396.4383977901</v>
      </c>
      <c r="W354">
        <f>SUMIF($F$352:$F$353,"&lt;&gt;EV_*",$W$352:$W$353)</f>
        <v>0</v>
      </c>
      <c r="X354">
        <f>SUMIF($F$352:$F$353,"&lt;&gt;EV_*",$X$352:$X$353)</f>
        <v>0</v>
      </c>
    </row>
    <row r="355" spans="1:24" x14ac:dyDescent="0.25">
      <c r="A355" t="s">
        <v>1940</v>
      </c>
      <c r="B355" t="s">
        <v>1946</v>
      </c>
      <c r="C355" t="s">
        <v>1978</v>
      </c>
      <c r="D355" t="s">
        <v>92</v>
      </c>
      <c r="E355" t="s">
        <v>5</v>
      </c>
      <c r="F355" t="s">
        <v>5</v>
      </c>
      <c r="G355" t="s">
        <v>528</v>
      </c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</row>
    <row r="356" spans="1:24" x14ac:dyDescent="0.25">
      <c r="A356" t="s">
        <v>1940</v>
      </c>
      <c r="B356" t="s">
        <v>1946</v>
      </c>
      <c r="C356" t="s">
        <v>1978</v>
      </c>
      <c r="D356" t="s">
        <v>92</v>
      </c>
      <c r="E356" t="s">
        <v>11</v>
      </c>
      <c r="F356" t="s">
        <v>1</v>
      </c>
      <c r="G356" t="s">
        <v>529</v>
      </c>
      <c r="H356" t="s">
        <v>411</v>
      </c>
      <c r="I356" t="s">
        <v>1</v>
      </c>
      <c r="J356">
        <v>717</v>
      </c>
      <c r="K356">
        <v>22.5699999996</v>
      </c>
      <c r="L356">
        <v>358.5</v>
      </c>
      <c r="M356">
        <v>722.94198895027625</v>
      </c>
      <c r="N356">
        <v>717</v>
      </c>
      <c r="O356">
        <v>717</v>
      </c>
      <c r="P356">
        <v>0</v>
      </c>
      <c r="Q356">
        <f>O356+P356</f>
        <v>717</v>
      </c>
      <c r="R356">
        <v>717</v>
      </c>
      <c r="S356">
        <f>IF(OR(LEFT(E356,2)="A_",LEFT(D356,5)="Total"),R356-Q356,"")</f>
        <v>0</v>
      </c>
      <c r="T356"/>
      <c r="U356">
        <f>IFERROR(R356*T356,R356*0)</f>
        <v>0</v>
      </c>
      <c r="V356">
        <f>IF(OR(LEFT(E356,2)="A_",LEFT(D356,5)="Total"),R356+U356,"")</f>
        <v>717</v>
      </c>
      <c r="W356">
        <f>IF(OR(LEFT(E356,2)="A_",LEFT(D356,5)="Total"),V356-Q356,"")</f>
        <v>0</v>
      </c>
      <c r="X356">
        <v>0</v>
      </c>
    </row>
    <row r="357" spans="1:24" x14ac:dyDescent="0.25">
      <c r="A357" t="s">
        <v>1940</v>
      </c>
      <c r="B357" t="s">
        <v>1946</v>
      </c>
      <c r="C357" t="s">
        <v>1978</v>
      </c>
      <c r="D357" t="s">
        <v>92</v>
      </c>
      <c r="E357" t="s">
        <v>51</v>
      </c>
      <c r="F357" t="s">
        <v>51</v>
      </c>
      <c r="G357" t="s">
        <v>530</v>
      </c>
      <c r="H357"/>
      <c r="I357"/>
      <c r="J357">
        <v>717</v>
      </c>
      <c r="K357">
        <v>22.5699999996</v>
      </c>
      <c r="L357">
        <v>358.5</v>
      </c>
      <c r="M357">
        <v>722.94198895027625</v>
      </c>
      <c r="N357">
        <v>717</v>
      </c>
      <c r="O357">
        <v>717</v>
      </c>
      <c r="P357">
        <f>SUMIF($F$355:$F$356,"&lt;&gt;EV_*",$P$355:$P$356)</f>
        <v>0</v>
      </c>
      <c r="Q357">
        <f>SUMIF($F$355:$F$356,"&lt;&gt;EV_*",$Q$355:$Q$356)</f>
        <v>717</v>
      </c>
      <c r="R357">
        <f>SUMIF($F$355:$F$356,"&lt;&gt;EV_*",$R$355:$R$356)</f>
        <v>717</v>
      </c>
      <c r="S357">
        <f>SUMIF($F$355:$F$356,"&lt;&gt;EV_*",$S$355:$S$356)</f>
        <v>0</v>
      </c>
      <c r="T357">
        <v>0</v>
      </c>
      <c r="U357">
        <f>SUMIF($F$355:$F$356,"&lt;&gt;EV_*",$U$355:$U$356)</f>
        <v>0</v>
      </c>
      <c r="V357">
        <f>SUMIF($F$355:$F$356,"&lt;&gt;EV_*",$V$355:$V$356)</f>
        <v>717</v>
      </c>
      <c r="W357">
        <f>SUMIF($F$355:$F$356,"&lt;&gt;EV_*",$W$355:$W$356)</f>
        <v>0</v>
      </c>
      <c r="X357">
        <f>SUMIF($F$355:$F$356,"&lt;&gt;EV_*",$X$355:$X$356)</f>
        <v>0</v>
      </c>
    </row>
    <row r="358" spans="1:24" x14ac:dyDescent="0.25">
      <c r="A358" t="s">
        <v>1979</v>
      </c>
      <c r="B358" t="s">
        <v>1979</v>
      </c>
      <c r="C358" t="s">
        <v>1980</v>
      </c>
      <c r="D358" t="s">
        <v>93</v>
      </c>
      <c r="E358" t="s">
        <v>5</v>
      </c>
      <c r="F358" t="s">
        <v>5</v>
      </c>
      <c r="G358" t="s">
        <v>531</v>
      </c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</row>
    <row r="359" spans="1:24" x14ac:dyDescent="0.25">
      <c r="A359" t="s">
        <v>1979</v>
      </c>
      <c r="B359" t="s">
        <v>1979</v>
      </c>
      <c r="C359" t="s">
        <v>1980</v>
      </c>
      <c r="D359" t="s">
        <v>93</v>
      </c>
      <c r="E359" t="s">
        <v>18</v>
      </c>
      <c r="F359" t="s">
        <v>1</v>
      </c>
      <c r="G359" t="s">
        <v>532</v>
      </c>
      <c r="H359" t="s">
        <v>418</v>
      </c>
      <c r="I359" t="s">
        <v>1</v>
      </c>
      <c r="J359"/>
      <c r="K359"/>
      <c r="L359">
        <v>258.83999999999997</v>
      </c>
      <c r="M359">
        <v>521.97016574585632</v>
      </c>
      <c r="N359">
        <v>258.84000000000003</v>
      </c>
      <c r="O359">
        <v>520.52439560439996</v>
      </c>
      <c r="P359">
        <v>0</v>
      </c>
      <c r="Q359">
        <f t="shared" ref="Q359:Q364" si="80">O359+P359</f>
        <v>520.52439560439996</v>
      </c>
      <c r="R359">
        <v>0</v>
      </c>
      <c r="S359">
        <f t="shared" ref="S359:S364" si="81">IF(OR(LEFT(E359,2)="A_",LEFT(D359,5)="Total"),R359-Q359,"")</f>
        <v>-520.52439560439996</v>
      </c>
      <c r="T359">
        <v>0.02</v>
      </c>
      <c r="U359">
        <f t="shared" ref="U359:U364" si="82">IFERROR(R359*T359,R359*0)</f>
        <v>0</v>
      </c>
      <c r="V359">
        <f t="shared" ref="V359:V364" si="83">IF(OR(LEFT(E359,2)="A_",LEFT(D359,5)="Total"),R359+U359,"")</f>
        <v>0</v>
      </c>
      <c r="W359">
        <f t="shared" ref="W359:W364" si="84">IF(OR(LEFT(E359,2)="A_",LEFT(D359,5)="Total"),V359-Q359,"")</f>
        <v>-520.52439560439996</v>
      </c>
      <c r="X359">
        <v>0</v>
      </c>
    </row>
    <row r="360" spans="1:24" x14ac:dyDescent="0.25">
      <c r="A360" t="s">
        <v>1979</v>
      </c>
      <c r="B360" t="s">
        <v>1979</v>
      </c>
      <c r="C360" t="s">
        <v>1980</v>
      </c>
      <c r="D360" t="s">
        <v>93</v>
      </c>
      <c r="E360" t="s">
        <v>23</v>
      </c>
      <c r="F360" t="s">
        <v>1</v>
      </c>
      <c r="G360" t="s">
        <v>532</v>
      </c>
      <c r="H360" t="s">
        <v>423</v>
      </c>
      <c r="I360" t="s">
        <v>1</v>
      </c>
      <c r="J360">
        <v>0</v>
      </c>
      <c r="K360"/>
      <c r="L360">
        <v>0</v>
      </c>
      <c r="M360">
        <v>0</v>
      </c>
      <c r="N360">
        <v>0</v>
      </c>
      <c r="O360"/>
      <c r="P360">
        <v>0</v>
      </c>
      <c r="Q360">
        <f t="shared" si="80"/>
        <v>0</v>
      </c>
      <c r="R360">
        <v>0</v>
      </c>
      <c r="S360">
        <f t="shared" si="81"/>
        <v>0</v>
      </c>
      <c r="T360">
        <v>3.5000000000000003E-2</v>
      </c>
      <c r="U360">
        <f t="shared" si="82"/>
        <v>0</v>
      </c>
      <c r="V360">
        <f t="shared" si="83"/>
        <v>0</v>
      </c>
      <c r="W360">
        <f t="shared" si="84"/>
        <v>0</v>
      </c>
      <c r="X360">
        <v>0</v>
      </c>
    </row>
    <row r="361" spans="1:24" x14ac:dyDescent="0.25">
      <c r="A361" t="s">
        <v>1979</v>
      </c>
      <c r="B361" t="s">
        <v>1979</v>
      </c>
      <c r="C361" t="s">
        <v>1980</v>
      </c>
      <c r="D361" t="s">
        <v>93</v>
      </c>
      <c r="E361" t="s">
        <v>34</v>
      </c>
      <c r="F361" t="s">
        <v>1</v>
      </c>
      <c r="G361" t="s">
        <v>532</v>
      </c>
      <c r="H361" t="s">
        <v>434</v>
      </c>
      <c r="I361" t="s">
        <v>1</v>
      </c>
      <c r="J361"/>
      <c r="K361"/>
      <c r="L361">
        <v>340.98</v>
      </c>
      <c r="M361">
        <v>687.61160220994475</v>
      </c>
      <c r="N361">
        <v>340.98</v>
      </c>
      <c r="O361">
        <v>681.96</v>
      </c>
      <c r="P361">
        <v>0</v>
      </c>
      <c r="Q361">
        <f t="shared" si="80"/>
        <v>681.96</v>
      </c>
      <c r="R361">
        <v>0</v>
      </c>
      <c r="S361">
        <f t="shared" si="81"/>
        <v>-681.96</v>
      </c>
      <c r="T361"/>
      <c r="U361">
        <f t="shared" si="82"/>
        <v>0</v>
      </c>
      <c r="V361">
        <f t="shared" si="83"/>
        <v>0</v>
      </c>
      <c r="W361">
        <f t="shared" si="84"/>
        <v>-681.96</v>
      </c>
      <c r="X361">
        <v>0</v>
      </c>
    </row>
    <row r="362" spans="1:24" x14ac:dyDescent="0.25">
      <c r="A362" t="s">
        <v>1979</v>
      </c>
      <c r="B362" t="s">
        <v>1979</v>
      </c>
      <c r="C362" t="s">
        <v>1980</v>
      </c>
      <c r="D362" t="s">
        <v>93</v>
      </c>
      <c r="E362" t="s">
        <v>37</v>
      </c>
      <c r="F362" t="s">
        <v>1</v>
      </c>
      <c r="G362" t="s">
        <v>532</v>
      </c>
      <c r="H362" t="s">
        <v>437</v>
      </c>
      <c r="I362" t="s">
        <v>1</v>
      </c>
      <c r="J362"/>
      <c r="K362"/>
      <c r="L362">
        <v>385.06</v>
      </c>
      <c r="M362">
        <v>776.50220994475137</v>
      </c>
      <c r="N362">
        <v>385.06</v>
      </c>
      <c r="O362">
        <v>770.12</v>
      </c>
      <c r="P362">
        <v>0</v>
      </c>
      <c r="Q362">
        <f t="shared" si="80"/>
        <v>770.12</v>
      </c>
      <c r="R362">
        <v>0</v>
      </c>
      <c r="S362">
        <f t="shared" si="81"/>
        <v>-770.12</v>
      </c>
      <c r="T362"/>
      <c r="U362">
        <f t="shared" si="82"/>
        <v>0</v>
      </c>
      <c r="V362">
        <f t="shared" si="83"/>
        <v>0</v>
      </c>
      <c r="W362">
        <f t="shared" si="84"/>
        <v>-770.12</v>
      </c>
      <c r="X362">
        <v>0</v>
      </c>
    </row>
    <row r="363" spans="1:24" x14ac:dyDescent="0.25">
      <c r="A363" t="s">
        <v>1979</v>
      </c>
      <c r="B363" t="s">
        <v>1979</v>
      </c>
      <c r="C363" t="s">
        <v>1980</v>
      </c>
      <c r="D363" t="s">
        <v>93</v>
      </c>
      <c r="E363" t="s">
        <v>41</v>
      </c>
      <c r="F363" t="s">
        <v>1</v>
      </c>
      <c r="G363" t="s">
        <v>532</v>
      </c>
      <c r="H363" t="s">
        <v>441</v>
      </c>
      <c r="I363" t="s">
        <v>1</v>
      </c>
      <c r="J363">
        <v>0</v>
      </c>
      <c r="K363"/>
      <c r="L363">
        <v>0</v>
      </c>
      <c r="M363">
        <v>0</v>
      </c>
      <c r="N363">
        <v>0</v>
      </c>
      <c r="O363"/>
      <c r="P363">
        <v>0</v>
      </c>
      <c r="Q363">
        <f t="shared" si="80"/>
        <v>0</v>
      </c>
      <c r="R363">
        <v>0</v>
      </c>
      <c r="S363">
        <f t="shared" si="81"/>
        <v>0</v>
      </c>
      <c r="T363">
        <v>0.03</v>
      </c>
      <c r="U363">
        <f t="shared" si="82"/>
        <v>0</v>
      </c>
      <c r="V363">
        <f t="shared" si="83"/>
        <v>0</v>
      </c>
      <c r="W363">
        <f t="shared" si="84"/>
        <v>0</v>
      </c>
      <c r="X363">
        <v>0</v>
      </c>
    </row>
    <row r="364" spans="1:24" x14ac:dyDescent="0.25">
      <c r="A364" t="s">
        <v>1979</v>
      </c>
      <c r="B364" t="s">
        <v>1979</v>
      </c>
      <c r="C364" t="s">
        <v>1980</v>
      </c>
      <c r="D364" t="s">
        <v>93</v>
      </c>
      <c r="E364" t="s">
        <v>46</v>
      </c>
      <c r="F364" t="s">
        <v>1</v>
      </c>
      <c r="G364" t="s">
        <v>532</v>
      </c>
      <c r="H364" t="s">
        <v>446</v>
      </c>
      <c r="I364" t="s">
        <v>1</v>
      </c>
      <c r="J364">
        <v>0</v>
      </c>
      <c r="K364"/>
      <c r="L364">
        <v>0</v>
      </c>
      <c r="M364">
        <v>0</v>
      </c>
      <c r="N364">
        <v>0</v>
      </c>
      <c r="O364"/>
      <c r="P364">
        <v>0</v>
      </c>
      <c r="Q364">
        <f t="shared" si="80"/>
        <v>0</v>
      </c>
      <c r="R364">
        <v>0</v>
      </c>
      <c r="S364">
        <f t="shared" si="81"/>
        <v>0</v>
      </c>
      <c r="T364">
        <v>0.03</v>
      </c>
      <c r="U364">
        <f t="shared" si="82"/>
        <v>0</v>
      </c>
      <c r="V364">
        <f t="shared" si="83"/>
        <v>0</v>
      </c>
      <c r="W364">
        <f t="shared" si="84"/>
        <v>0</v>
      </c>
      <c r="X364">
        <v>0</v>
      </c>
    </row>
    <row r="365" spans="1:24" x14ac:dyDescent="0.25">
      <c r="A365" t="s">
        <v>1979</v>
      </c>
      <c r="B365" t="s">
        <v>1979</v>
      </c>
      <c r="C365" t="s">
        <v>1980</v>
      </c>
      <c r="D365" t="s">
        <v>93</v>
      </c>
      <c r="E365" t="s">
        <v>51</v>
      </c>
      <c r="F365" t="s">
        <v>51</v>
      </c>
      <c r="G365" t="s">
        <v>533</v>
      </c>
      <c r="H365"/>
      <c r="I365"/>
      <c r="J365">
        <v>0</v>
      </c>
      <c r="K365">
        <v>0</v>
      </c>
      <c r="L365">
        <v>984.87999999999988</v>
      </c>
      <c r="M365">
        <v>1986.0839779005523</v>
      </c>
      <c r="N365">
        <v>984.88000000000011</v>
      </c>
      <c r="O365">
        <v>1972.6043956044</v>
      </c>
      <c r="P365">
        <f>SUMIF($F$358:$F$364,"&lt;&gt;EV_*",$P$358:$P$364)</f>
        <v>0</v>
      </c>
      <c r="Q365">
        <f>SUMIF($F$358:$F$364,"&lt;&gt;EV_*",$Q$358:$Q$364)</f>
        <v>1972.6043956044</v>
      </c>
      <c r="R365">
        <f>SUMIF($F$358:$F$364,"&lt;&gt;EV_*",$R$358:$R$364)</f>
        <v>0</v>
      </c>
      <c r="S365">
        <f>SUMIF($F$358:$F$364,"&lt;&gt;EV_*",$S$358:$S$364)</f>
        <v>-1972.6043956044</v>
      </c>
      <c r="T365">
        <v>0</v>
      </c>
      <c r="U365">
        <f>SUMIF($F$358:$F$364,"&lt;&gt;EV_*",$U$358:$U$364)</f>
        <v>0</v>
      </c>
      <c r="V365">
        <f>SUMIF($F$358:$F$364,"&lt;&gt;EV_*",$V$358:$V$364)</f>
        <v>0</v>
      </c>
      <c r="W365">
        <f>SUMIF($F$358:$F$364,"&lt;&gt;EV_*",$W$358:$W$364)</f>
        <v>-1972.6043956044</v>
      </c>
      <c r="X365">
        <f>SUMIF($F$358:$F$364,"&lt;&gt;EV_*",$X$358:$X$364)</f>
        <v>0</v>
      </c>
    </row>
    <row r="366" spans="1:24" x14ac:dyDescent="0.25">
      <c r="A366" t="s">
        <v>1979</v>
      </c>
      <c r="B366" t="s">
        <v>1979</v>
      </c>
      <c r="C366" t="s">
        <v>1981</v>
      </c>
      <c r="D366" t="s">
        <v>94</v>
      </c>
      <c r="E366" t="s">
        <v>5</v>
      </c>
      <c r="F366" t="s">
        <v>5</v>
      </c>
      <c r="G366" t="s">
        <v>534</v>
      </c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</row>
    <row r="367" spans="1:24" x14ac:dyDescent="0.25">
      <c r="A367" t="s">
        <v>1979</v>
      </c>
      <c r="B367" t="s">
        <v>1979</v>
      </c>
      <c r="C367" t="s">
        <v>1981</v>
      </c>
      <c r="D367" t="s">
        <v>94</v>
      </c>
      <c r="E367" t="s">
        <v>34</v>
      </c>
      <c r="F367" t="s">
        <v>1</v>
      </c>
      <c r="G367" t="s">
        <v>535</v>
      </c>
      <c r="H367" t="s">
        <v>434</v>
      </c>
      <c r="I367" t="s">
        <v>1</v>
      </c>
      <c r="J367"/>
      <c r="K367"/>
      <c r="L367">
        <v>72.13</v>
      </c>
      <c r="M367">
        <v>145.45552486187844</v>
      </c>
      <c r="N367">
        <v>72.13</v>
      </c>
      <c r="O367">
        <v>144.26</v>
      </c>
      <c r="P367">
        <v>0</v>
      </c>
      <c r="Q367">
        <f>O367+P367</f>
        <v>144.26</v>
      </c>
      <c r="R367">
        <v>0</v>
      </c>
      <c r="S367">
        <f>IF(OR(LEFT(E367,2)="A_",LEFT(D367,5)="Total"),R367-Q367,"")</f>
        <v>-144.26</v>
      </c>
      <c r="T367"/>
      <c r="U367">
        <f>IFERROR(R367*T367,R367*0)</f>
        <v>0</v>
      </c>
      <c r="V367">
        <f>IF(OR(LEFT(E367,2)="A_",LEFT(D367,5)="Total"),R367+U367,"")</f>
        <v>0</v>
      </c>
      <c r="W367">
        <f>IF(OR(LEFT(E367,2)="A_",LEFT(D367,5)="Total"),V367-Q367,"")</f>
        <v>-144.26</v>
      </c>
      <c r="X367">
        <v>0</v>
      </c>
    </row>
    <row r="368" spans="1:24" x14ac:dyDescent="0.25">
      <c r="A368" t="s">
        <v>1979</v>
      </c>
      <c r="B368" t="s">
        <v>1979</v>
      </c>
      <c r="C368" t="s">
        <v>1981</v>
      </c>
      <c r="D368" t="s">
        <v>94</v>
      </c>
      <c r="E368" t="s">
        <v>51</v>
      </c>
      <c r="F368" t="s">
        <v>51</v>
      </c>
      <c r="G368" t="s">
        <v>536</v>
      </c>
      <c r="H368"/>
      <c r="I368"/>
      <c r="J368">
        <v>0</v>
      </c>
      <c r="K368">
        <v>0</v>
      </c>
      <c r="L368">
        <v>72.13</v>
      </c>
      <c r="M368">
        <v>145.45552486187844</v>
      </c>
      <c r="N368">
        <v>72.13</v>
      </c>
      <c r="O368">
        <v>144.26</v>
      </c>
      <c r="P368">
        <f>SUMIF($F$366:$F$367,"&lt;&gt;EV_*",$P$366:$P$367)</f>
        <v>0</v>
      </c>
      <c r="Q368">
        <f>SUMIF($F$366:$F$367,"&lt;&gt;EV_*",$Q$366:$Q$367)</f>
        <v>144.26</v>
      </c>
      <c r="R368">
        <f>SUMIF($F$366:$F$367,"&lt;&gt;EV_*",$R$366:$R$367)</f>
        <v>0</v>
      </c>
      <c r="S368">
        <f>SUMIF($F$366:$F$367,"&lt;&gt;EV_*",$S$366:$S$367)</f>
        <v>-144.26</v>
      </c>
      <c r="T368">
        <v>0</v>
      </c>
      <c r="U368">
        <f>SUMIF($F$366:$F$367,"&lt;&gt;EV_*",$U$366:$U$367)</f>
        <v>0</v>
      </c>
      <c r="V368">
        <f>SUMIF($F$366:$F$367,"&lt;&gt;EV_*",$V$366:$V$367)</f>
        <v>0</v>
      </c>
      <c r="W368">
        <f>SUMIF($F$366:$F$367,"&lt;&gt;EV_*",$W$366:$W$367)</f>
        <v>-144.26</v>
      </c>
      <c r="X368">
        <f>SUMIF($F$366:$F$367,"&lt;&gt;EV_*",$X$366:$X$367)</f>
        <v>0</v>
      </c>
    </row>
    <row r="369" spans="1:24" x14ac:dyDescent="0.25">
      <c r="A369" t="s">
        <v>1940</v>
      </c>
      <c r="B369" t="s">
        <v>1982</v>
      </c>
      <c r="C369" t="s">
        <v>1983</v>
      </c>
      <c r="D369" t="s">
        <v>95</v>
      </c>
      <c r="E369" t="s">
        <v>5</v>
      </c>
      <c r="F369" t="s">
        <v>5</v>
      </c>
      <c r="G369" t="s">
        <v>537</v>
      </c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</row>
    <row r="370" spans="1:24" x14ac:dyDescent="0.25">
      <c r="A370" t="s">
        <v>1940</v>
      </c>
      <c r="B370" t="s">
        <v>1982</v>
      </c>
      <c r="C370" t="s">
        <v>1983</v>
      </c>
      <c r="D370" t="s">
        <v>95</v>
      </c>
      <c r="E370" t="s">
        <v>48</v>
      </c>
      <c r="F370" t="s">
        <v>1</v>
      </c>
      <c r="G370" t="s">
        <v>538</v>
      </c>
      <c r="H370" t="s">
        <v>448</v>
      </c>
      <c r="I370" t="s">
        <v>1</v>
      </c>
      <c r="J370">
        <v>294.38</v>
      </c>
      <c r="K370"/>
      <c r="L370">
        <v>0</v>
      </c>
      <c r="M370">
        <v>0</v>
      </c>
      <c r="N370">
        <v>294.38</v>
      </c>
      <c r="O370"/>
      <c r="P370">
        <v>0</v>
      </c>
      <c r="Q370">
        <f>O370+P370</f>
        <v>0</v>
      </c>
      <c r="R370">
        <v>0</v>
      </c>
      <c r="S370">
        <f>IF(OR(LEFT(E370,2)="A_",LEFT(D370,5)="Total"),R370-Q370,"")</f>
        <v>0</v>
      </c>
      <c r="T370">
        <v>0.03</v>
      </c>
      <c r="U370">
        <f>IFERROR(R370*T370,R370*0)</f>
        <v>0</v>
      </c>
      <c r="V370">
        <f>IF(OR(LEFT(E370,2)="A_",LEFT(D370,5)="Total"),R370+U370,"")</f>
        <v>0</v>
      </c>
      <c r="W370">
        <f>IF(OR(LEFT(E370,2)="A_",LEFT(D370,5)="Total"),V370-Q370,"")</f>
        <v>0</v>
      </c>
      <c r="X370">
        <v>0</v>
      </c>
    </row>
    <row r="371" spans="1:24" x14ac:dyDescent="0.25">
      <c r="A371" t="s">
        <v>1940</v>
      </c>
      <c r="B371" t="s">
        <v>1982</v>
      </c>
      <c r="C371" t="s">
        <v>1983</v>
      </c>
      <c r="D371" t="s">
        <v>95</v>
      </c>
      <c r="E371" t="s">
        <v>51</v>
      </c>
      <c r="F371" t="s">
        <v>51</v>
      </c>
      <c r="G371" t="s">
        <v>539</v>
      </c>
      <c r="H371"/>
      <c r="I371"/>
      <c r="J371">
        <v>294.38</v>
      </c>
      <c r="K371">
        <v>0</v>
      </c>
      <c r="L371">
        <v>0</v>
      </c>
      <c r="M371">
        <v>0</v>
      </c>
      <c r="N371">
        <v>294.38</v>
      </c>
      <c r="O371">
        <v>0</v>
      </c>
      <c r="P371">
        <f>SUMIF($F$369:$F$370,"&lt;&gt;EV_*",$P$369:$P$370)</f>
        <v>0</v>
      </c>
      <c r="Q371">
        <f>SUMIF($F$369:$F$370,"&lt;&gt;EV_*",$Q$369:$Q$370)</f>
        <v>0</v>
      </c>
      <c r="R371">
        <f>SUMIF($F$369:$F$370,"&lt;&gt;EV_*",$R$369:$R$370)</f>
        <v>0</v>
      </c>
      <c r="S371">
        <f>SUMIF($F$369:$F$370,"&lt;&gt;EV_*",$S$369:$S$370)</f>
        <v>0</v>
      </c>
      <c r="T371">
        <v>0</v>
      </c>
      <c r="U371">
        <f>SUMIF($F$369:$F$370,"&lt;&gt;EV_*",$U$369:$U$370)</f>
        <v>0</v>
      </c>
      <c r="V371">
        <f>SUMIF($F$369:$F$370,"&lt;&gt;EV_*",$V$369:$V$370)</f>
        <v>0</v>
      </c>
      <c r="W371">
        <f>SUMIF($F$369:$F$370,"&lt;&gt;EV_*",$W$369:$W$370)</f>
        <v>0</v>
      </c>
      <c r="X371">
        <f>SUMIF($F$369:$F$370,"&lt;&gt;EV_*",$X$369:$X$370)</f>
        <v>0</v>
      </c>
    </row>
    <row r="372" spans="1:24" x14ac:dyDescent="0.25">
      <c r="A372" t="s">
        <v>1940</v>
      </c>
      <c r="B372" t="s">
        <v>1982</v>
      </c>
      <c r="C372" t="s">
        <v>1984</v>
      </c>
      <c r="D372" t="s">
        <v>96</v>
      </c>
      <c r="E372" t="s">
        <v>5</v>
      </c>
      <c r="F372" t="s">
        <v>5</v>
      </c>
      <c r="G372" t="s">
        <v>540</v>
      </c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</row>
    <row r="373" spans="1:24" x14ac:dyDescent="0.25">
      <c r="A373" t="s">
        <v>1940</v>
      </c>
      <c r="B373" t="s">
        <v>1982</v>
      </c>
      <c r="C373" t="s">
        <v>1984</v>
      </c>
      <c r="D373" t="s">
        <v>96</v>
      </c>
      <c r="E373" t="s">
        <v>11</v>
      </c>
      <c r="F373" t="s">
        <v>1</v>
      </c>
      <c r="G373" t="s">
        <v>541</v>
      </c>
      <c r="H373" t="s">
        <v>411</v>
      </c>
      <c r="I373" t="s">
        <v>1</v>
      </c>
      <c r="J373">
        <v>1533.58</v>
      </c>
      <c r="K373">
        <v>1396.0699999992</v>
      </c>
      <c r="L373">
        <v>711.49</v>
      </c>
      <c r="M373">
        <v>1434.7726519337018</v>
      </c>
      <c r="N373">
        <v>1451.26</v>
      </c>
      <c r="O373">
        <v>1422.98</v>
      </c>
      <c r="P373">
        <v>0</v>
      </c>
      <c r="Q373">
        <f>O373+P373</f>
        <v>1422.98</v>
      </c>
      <c r="R373">
        <v>1435</v>
      </c>
      <c r="S373">
        <f>IF(OR(LEFT(E373,2)="A_",LEFT(D373,5)="Total"),R373-Q373,"")</f>
        <v>12.019999999999982</v>
      </c>
      <c r="T373"/>
      <c r="U373">
        <f>IFERROR(R373*T373,R373*0)</f>
        <v>0</v>
      </c>
      <c r="V373">
        <f>IF(OR(LEFT(E373,2)="A_",LEFT(D373,5)="Total"),R373+U373,"")</f>
        <v>1435</v>
      </c>
      <c r="W373">
        <f>IF(OR(LEFT(E373,2)="A_",LEFT(D373,5)="Total"),V373-Q373,"")</f>
        <v>12.019999999999982</v>
      </c>
      <c r="X373">
        <v>0</v>
      </c>
    </row>
    <row r="374" spans="1:24" x14ac:dyDescent="0.25">
      <c r="A374" t="s">
        <v>1940</v>
      </c>
      <c r="B374" t="s">
        <v>1982</v>
      </c>
      <c r="C374" t="s">
        <v>1984</v>
      </c>
      <c r="D374" t="s">
        <v>96</v>
      </c>
      <c r="E374" t="s">
        <v>27</v>
      </c>
      <c r="F374" t="s">
        <v>1</v>
      </c>
      <c r="G374" t="s">
        <v>541</v>
      </c>
      <c r="H374" t="s">
        <v>427</v>
      </c>
      <c r="I374" t="s">
        <v>1</v>
      </c>
      <c r="J374">
        <v>734.42</v>
      </c>
      <c r="K374">
        <v>1080</v>
      </c>
      <c r="L374">
        <v>0</v>
      </c>
      <c r="M374">
        <v>0</v>
      </c>
      <c r="N374">
        <v>91.53</v>
      </c>
      <c r="O374"/>
      <c r="P374">
        <v>0</v>
      </c>
      <c r="Q374">
        <f>O374+P374</f>
        <v>0</v>
      </c>
      <c r="R374">
        <v>0</v>
      </c>
      <c r="S374">
        <f>IF(OR(LEFT(E374,2)="A_",LEFT(D374,5)="Total"),R374-Q374,"")</f>
        <v>0</v>
      </c>
      <c r="T374"/>
      <c r="U374">
        <f>IFERROR(R374*T374,R374*0)</f>
        <v>0</v>
      </c>
      <c r="V374">
        <f>IF(OR(LEFT(E374,2)="A_",LEFT(D374,5)="Total"),R374+U374,"")</f>
        <v>0</v>
      </c>
      <c r="W374">
        <f>IF(OR(LEFT(E374,2)="A_",LEFT(D374,5)="Total"),V374-Q374,"")</f>
        <v>0</v>
      </c>
      <c r="X374">
        <v>0</v>
      </c>
    </row>
    <row r="375" spans="1:24" x14ac:dyDescent="0.25">
      <c r="A375" t="s">
        <v>1940</v>
      </c>
      <c r="B375" t="s">
        <v>1982</v>
      </c>
      <c r="C375" t="s">
        <v>1984</v>
      </c>
      <c r="D375" t="s">
        <v>96</v>
      </c>
      <c r="E375" t="s">
        <v>40</v>
      </c>
      <c r="F375" t="s">
        <v>1</v>
      </c>
      <c r="G375" t="s">
        <v>541</v>
      </c>
      <c r="H375" t="s">
        <v>440</v>
      </c>
      <c r="I375" t="s">
        <v>1</v>
      </c>
      <c r="J375">
        <v>11250</v>
      </c>
      <c r="K375">
        <v>13914.9999999996</v>
      </c>
      <c r="L375">
        <v>7500</v>
      </c>
      <c r="M375">
        <v>15124.309392265193</v>
      </c>
      <c r="N375">
        <v>11250</v>
      </c>
      <c r="O375">
        <v>15000</v>
      </c>
      <c r="P375">
        <v>0</v>
      </c>
      <c r="Q375">
        <f>O375+P375</f>
        <v>15000</v>
      </c>
      <c r="R375">
        <v>0</v>
      </c>
      <c r="S375">
        <f>IF(OR(LEFT(E375,2)="A_",LEFT(D375,5)="Total"),R375-Q375,"")</f>
        <v>-15000</v>
      </c>
      <c r="T375">
        <v>0.03</v>
      </c>
      <c r="U375">
        <f>IFERROR(R375*T375,R375*0)</f>
        <v>0</v>
      </c>
      <c r="V375">
        <f>IF(OR(LEFT(E375,2)="A_",LEFT(D375,5)="Total"),R375+U375,"")</f>
        <v>0</v>
      </c>
      <c r="W375">
        <f>IF(OR(LEFT(E375,2)="A_",LEFT(D375,5)="Total"),V375-Q375,"")</f>
        <v>-15000</v>
      </c>
      <c r="X375" t="s">
        <v>1363</v>
      </c>
    </row>
    <row r="376" spans="1:24" x14ac:dyDescent="0.25">
      <c r="A376" t="s">
        <v>1940</v>
      </c>
      <c r="B376" t="s">
        <v>1982</v>
      </c>
      <c r="C376" t="s">
        <v>1984</v>
      </c>
      <c r="D376" t="s">
        <v>96</v>
      </c>
      <c r="E376" t="s">
        <v>46</v>
      </c>
      <c r="F376" t="s">
        <v>1</v>
      </c>
      <c r="G376" t="s">
        <v>541</v>
      </c>
      <c r="H376" t="s">
        <v>446</v>
      </c>
      <c r="I376" t="s">
        <v>1</v>
      </c>
      <c r="J376">
        <v>11936.4</v>
      </c>
      <c r="K376">
        <v>10583.0000000004</v>
      </c>
      <c r="L376">
        <v>984.57</v>
      </c>
      <c r="M376">
        <v>1985.4588397790055</v>
      </c>
      <c r="N376">
        <v>5258.3200000000006</v>
      </c>
      <c r="O376">
        <v>1969.14</v>
      </c>
      <c r="P376">
        <v>0</v>
      </c>
      <c r="Q376">
        <f>O376+P376</f>
        <v>1969.14</v>
      </c>
      <c r="R376">
        <v>7176</v>
      </c>
      <c r="S376">
        <f>IF(OR(LEFT(E376,2)="A_",LEFT(D376,5)="Total"),R376-Q376,"")</f>
        <v>5206.8599999999997</v>
      </c>
      <c r="T376">
        <v>0.03</v>
      </c>
      <c r="U376">
        <f>IFERROR(R376*T376,R376*0)</f>
        <v>215.28</v>
      </c>
      <c r="V376">
        <f>IF(OR(LEFT(E376,2)="A_",LEFT(D376,5)="Total"),R376+U376,"")</f>
        <v>7391.28</v>
      </c>
      <c r="W376">
        <f>IF(OR(LEFT(E376,2)="A_",LEFT(D376,5)="Total"),V376-Q376,"")</f>
        <v>5422.1399999999994</v>
      </c>
      <c r="X376" t="s">
        <v>1364</v>
      </c>
    </row>
    <row r="377" spans="1:24" x14ac:dyDescent="0.25">
      <c r="A377" t="s">
        <v>1940</v>
      </c>
      <c r="B377" t="s">
        <v>1982</v>
      </c>
      <c r="C377" t="s">
        <v>1984</v>
      </c>
      <c r="D377" t="s">
        <v>96</v>
      </c>
      <c r="E377" t="s">
        <v>51</v>
      </c>
      <c r="F377" t="s">
        <v>51</v>
      </c>
      <c r="G377" t="s">
        <v>542</v>
      </c>
      <c r="H377"/>
      <c r="I377"/>
      <c r="J377">
        <v>25454.400000000001</v>
      </c>
      <c r="K377">
        <v>26974.069999999199</v>
      </c>
      <c r="L377">
        <v>9196.06</v>
      </c>
      <c r="M377">
        <v>18544.540883977901</v>
      </c>
      <c r="N377">
        <v>18051.11</v>
      </c>
      <c r="O377">
        <v>18392.12</v>
      </c>
      <c r="P377">
        <f>SUMIF($F$372:$F$376,"&lt;&gt;EV_*",$P$372:$P$376)</f>
        <v>0</v>
      </c>
      <c r="Q377">
        <f>SUMIF($F$372:$F$376,"&lt;&gt;EV_*",$Q$372:$Q$376)</f>
        <v>18392.12</v>
      </c>
      <c r="R377">
        <f>SUMIF($F$372:$F$376,"&lt;&gt;EV_*",$R$372:$R$376)</f>
        <v>8611</v>
      </c>
      <c r="S377">
        <f>SUMIF($F$372:$F$376,"&lt;&gt;EV_*",$S$372:$S$376)</f>
        <v>-9781.119999999999</v>
      </c>
      <c r="T377">
        <v>0</v>
      </c>
      <c r="U377">
        <f>SUMIF($F$372:$F$376,"&lt;&gt;EV_*",$U$372:$U$376)</f>
        <v>215.28</v>
      </c>
      <c r="V377">
        <f>SUMIF($F$372:$F$376,"&lt;&gt;EV_*",$V$372:$V$376)</f>
        <v>8826.2799999999988</v>
      </c>
      <c r="W377">
        <f>SUMIF($F$372:$F$376,"&lt;&gt;EV_*",$W$372:$W$376)</f>
        <v>-9565.84</v>
      </c>
      <c r="X377">
        <f>SUMIF($F$372:$F$376,"&lt;&gt;EV_*",$X$372:$X$376)</f>
        <v>0</v>
      </c>
    </row>
    <row r="378" spans="1:24" x14ac:dyDescent="0.25">
      <c r="A378" t="s">
        <v>1940</v>
      </c>
      <c r="B378" t="s">
        <v>1946</v>
      </c>
      <c r="C378" t="s">
        <v>1985</v>
      </c>
      <c r="D378" t="s">
        <v>97</v>
      </c>
      <c r="E378" t="s">
        <v>5</v>
      </c>
      <c r="F378" t="s">
        <v>5</v>
      </c>
      <c r="G378" t="s">
        <v>543</v>
      </c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</row>
    <row r="379" spans="1:24" x14ac:dyDescent="0.25">
      <c r="A379" t="s">
        <v>1940</v>
      </c>
      <c r="B379" t="s">
        <v>1946</v>
      </c>
      <c r="C379" t="s">
        <v>1985</v>
      </c>
      <c r="D379" t="s">
        <v>97</v>
      </c>
      <c r="E379" t="s">
        <v>18</v>
      </c>
      <c r="F379" t="s">
        <v>1</v>
      </c>
      <c r="G379" t="s">
        <v>544</v>
      </c>
      <c r="H379" t="s">
        <v>418</v>
      </c>
      <c r="I379" t="s">
        <v>1</v>
      </c>
      <c r="J379"/>
      <c r="K379"/>
      <c r="L379">
        <v>598.44000000000005</v>
      </c>
      <c r="M379">
        <v>1206.7988950276244</v>
      </c>
      <c r="N379">
        <v>598.44000000000005</v>
      </c>
      <c r="O379">
        <v>1203.4562637362999</v>
      </c>
      <c r="P379">
        <v>0</v>
      </c>
      <c r="Q379">
        <f>O379+P379</f>
        <v>1203.4562637362999</v>
      </c>
      <c r="R379">
        <v>1203.4562637362999</v>
      </c>
      <c r="S379">
        <f>IF(OR(LEFT(E379,2)="A_",LEFT(D379,5)="Total"),R379-Q379,"")</f>
        <v>0</v>
      </c>
      <c r="T379">
        <v>0.02</v>
      </c>
      <c r="U379">
        <f>IFERROR(R379*T379,R379*0)</f>
        <v>24.069125274725998</v>
      </c>
      <c r="V379">
        <f>IF(OR(LEFT(E379,2)="A_",LEFT(D379,5)="Total"),R379+U379,"")</f>
        <v>1227.5253890110259</v>
      </c>
      <c r="W379">
        <f>IF(OR(LEFT(E379,2)="A_",LEFT(D379,5)="Total"),V379-Q379,"")</f>
        <v>24.069125274726048</v>
      </c>
      <c r="X379">
        <v>0</v>
      </c>
    </row>
    <row r="380" spans="1:24" x14ac:dyDescent="0.25">
      <c r="A380" t="s">
        <v>1940</v>
      </c>
      <c r="B380" t="s">
        <v>1946</v>
      </c>
      <c r="C380" t="s">
        <v>1985</v>
      </c>
      <c r="D380" t="s">
        <v>97</v>
      </c>
      <c r="E380" t="s">
        <v>27</v>
      </c>
      <c r="F380" t="s">
        <v>1</v>
      </c>
      <c r="G380" t="s">
        <v>544</v>
      </c>
      <c r="H380" t="s">
        <v>427</v>
      </c>
      <c r="I380" t="s">
        <v>1</v>
      </c>
      <c r="J380">
        <v>4168.32</v>
      </c>
      <c r="K380">
        <v>3660</v>
      </c>
      <c r="L380">
        <v>1937.35</v>
      </c>
      <c r="M380">
        <v>3906.8107734806626</v>
      </c>
      <c r="N380">
        <v>3909.72</v>
      </c>
      <c r="O380">
        <v>3874.7</v>
      </c>
      <c r="P380">
        <v>0</v>
      </c>
      <c r="Q380">
        <f>O380+P380</f>
        <v>3874.7</v>
      </c>
      <c r="R380">
        <v>3874.7</v>
      </c>
      <c r="S380">
        <f>IF(OR(LEFT(E380,2)="A_",LEFT(D380,5)="Total"),R380-Q380,"")</f>
        <v>0</v>
      </c>
      <c r="T380"/>
      <c r="U380">
        <f>IFERROR(R380*T380,R380*0)</f>
        <v>0</v>
      </c>
      <c r="V380">
        <f>IF(OR(LEFT(E380,2)="A_",LEFT(D380,5)="Total"),R380+U380,"")</f>
        <v>3874.7</v>
      </c>
      <c r="W380">
        <f>IF(OR(LEFT(E380,2)="A_",LEFT(D380,5)="Total"),V380-Q380,"")</f>
        <v>0</v>
      </c>
      <c r="X380">
        <v>0</v>
      </c>
    </row>
    <row r="381" spans="1:24" x14ac:dyDescent="0.25">
      <c r="A381" t="s">
        <v>1940</v>
      </c>
      <c r="B381" t="s">
        <v>1946</v>
      </c>
      <c r="C381" t="s">
        <v>1985</v>
      </c>
      <c r="D381" t="s">
        <v>97</v>
      </c>
      <c r="E381" t="s">
        <v>48</v>
      </c>
      <c r="F381" t="s">
        <v>1</v>
      </c>
      <c r="G381" t="s">
        <v>544</v>
      </c>
      <c r="H381" t="s">
        <v>448</v>
      </c>
      <c r="I381" t="s">
        <v>1</v>
      </c>
      <c r="J381">
        <v>50.84</v>
      </c>
      <c r="K381"/>
      <c r="L381">
        <v>0</v>
      </c>
      <c r="M381">
        <v>0</v>
      </c>
      <c r="N381">
        <v>50.84</v>
      </c>
      <c r="O381"/>
      <c r="P381">
        <v>0</v>
      </c>
      <c r="Q381">
        <f>O381+P381</f>
        <v>0</v>
      </c>
      <c r="R381">
        <v>0</v>
      </c>
      <c r="S381">
        <f>IF(OR(LEFT(E381,2)="A_",LEFT(D381,5)="Total"),R381-Q381,"")</f>
        <v>0</v>
      </c>
      <c r="T381">
        <v>0.03</v>
      </c>
      <c r="U381">
        <f>IFERROR(R381*T381,R381*0)</f>
        <v>0</v>
      </c>
      <c r="V381">
        <f>IF(OR(LEFT(E381,2)="A_",LEFT(D381,5)="Total"),R381+U381,"")</f>
        <v>0</v>
      </c>
      <c r="W381">
        <f>IF(OR(LEFT(E381,2)="A_",LEFT(D381,5)="Total"),V381-Q381,"")</f>
        <v>0</v>
      </c>
      <c r="X381">
        <v>0</v>
      </c>
    </row>
    <row r="382" spans="1:24" x14ac:dyDescent="0.25">
      <c r="A382" t="s">
        <v>1940</v>
      </c>
      <c r="B382" t="s">
        <v>1946</v>
      </c>
      <c r="C382" t="s">
        <v>1985</v>
      </c>
      <c r="D382" t="s">
        <v>97</v>
      </c>
      <c r="E382" t="s">
        <v>51</v>
      </c>
      <c r="F382" t="s">
        <v>51</v>
      </c>
      <c r="G382" t="s">
        <v>545</v>
      </c>
      <c r="H382"/>
      <c r="I382"/>
      <c r="J382">
        <v>4219.16</v>
      </c>
      <c r="K382">
        <v>3660</v>
      </c>
      <c r="L382">
        <v>2535.79</v>
      </c>
      <c r="M382">
        <v>5113.6096685082866</v>
      </c>
      <c r="N382">
        <v>4559</v>
      </c>
      <c r="O382">
        <v>5078.1562637362995</v>
      </c>
      <c r="P382">
        <f>SUMIF($F$378:$F$381,"&lt;&gt;EV_*",$P$378:$P$381)</f>
        <v>0</v>
      </c>
      <c r="Q382">
        <f>SUMIF($F$378:$F$381,"&lt;&gt;EV_*",$Q$378:$Q$381)</f>
        <v>5078.1562637362995</v>
      </c>
      <c r="R382">
        <f>SUMIF($F$378:$F$381,"&lt;&gt;EV_*",$R$378:$R$381)</f>
        <v>5078.1562637362995</v>
      </c>
      <c r="S382">
        <f>SUMIF($F$378:$F$381,"&lt;&gt;EV_*",$S$378:$S$381)</f>
        <v>0</v>
      </c>
      <c r="T382">
        <v>0</v>
      </c>
      <c r="U382">
        <f>SUMIF($F$378:$F$381,"&lt;&gt;EV_*",$U$378:$U$381)</f>
        <v>24.069125274725998</v>
      </c>
      <c r="V382">
        <f>SUMIF($F$378:$F$381,"&lt;&gt;EV_*",$V$378:$V$381)</f>
        <v>5102.225389011026</v>
      </c>
      <c r="W382">
        <f>SUMIF($F$378:$F$381,"&lt;&gt;EV_*",$W$378:$W$381)</f>
        <v>24.069125274726048</v>
      </c>
      <c r="X382">
        <f>SUMIF($F$378:$F$381,"&lt;&gt;EV_*",$X$378:$X$381)</f>
        <v>0</v>
      </c>
    </row>
    <row r="383" spans="1:24" x14ac:dyDescent="0.25">
      <c r="A383" t="s">
        <v>1943</v>
      </c>
      <c r="B383" t="s">
        <v>1944</v>
      </c>
      <c r="C383" t="s">
        <v>1986</v>
      </c>
      <c r="D383" t="s">
        <v>98</v>
      </c>
      <c r="E383" t="s">
        <v>5</v>
      </c>
      <c r="F383" t="s">
        <v>5</v>
      </c>
      <c r="G383" t="s">
        <v>546</v>
      </c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</row>
    <row r="384" spans="1:24" x14ac:dyDescent="0.25">
      <c r="A384" t="s">
        <v>1943</v>
      </c>
      <c r="B384" t="s">
        <v>1944</v>
      </c>
      <c r="C384" t="s">
        <v>1986</v>
      </c>
      <c r="D384" t="s">
        <v>98</v>
      </c>
      <c r="E384" t="s">
        <v>6</v>
      </c>
      <c r="F384" t="s">
        <v>1</v>
      </c>
      <c r="G384" t="s">
        <v>547</v>
      </c>
      <c r="H384" t="s">
        <v>406</v>
      </c>
      <c r="I384" t="s">
        <v>1</v>
      </c>
      <c r="J384">
        <v>5000</v>
      </c>
      <c r="K384"/>
      <c r="L384">
        <v>0</v>
      </c>
      <c r="M384">
        <v>0</v>
      </c>
      <c r="N384">
        <v>5000</v>
      </c>
      <c r="O384"/>
      <c r="P384">
        <v>0</v>
      </c>
      <c r="Q384">
        <f t="shared" ref="Q384:Q413" si="85">O384+P384</f>
        <v>0</v>
      </c>
      <c r="R384">
        <v>0</v>
      </c>
      <c r="S384">
        <f t="shared" ref="S384:S413" si="86">IF(OR(LEFT(E384,2)="A_",LEFT(D384,5)="Total"),R384-Q384,"")</f>
        <v>0</v>
      </c>
      <c r="T384"/>
      <c r="U384">
        <f t="shared" ref="U384:U413" si="87">IFERROR(R384*T384,R384*0)</f>
        <v>0</v>
      </c>
      <c r="V384">
        <f t="shared" ref="V384:V413" si="88">IF(OR(LEFT(E384,2)="A_",LEFT(D384,5)="Total"),R384+U384,"")</f>
        <v>0</v>
      </c>
      <c r="W384">
        <f t="shared" ref="W384:W413" si="89">IF(OR(LEFT(E384,2)="A_",LEFT(D384,5)="Total"),V384-Q384,"")</f>
        <v>0</v>
      </c>
      <c r="X384">
        <v>0</v>
      </c>
    </row>
    <row r="385" spans="1:24" x14ac:dyDescent="0.25">
      <c r="A385" t="s">
        <v>1943</v>
      </c>
      <c r="B385" t="s">
        <v>1944</v>
      </c>
      <c r="C385" t="s">
        <v>1986</v>
      </c>
      <c r="D385" t="s">
        <v>98</v>
      </c>
      <c r="E385" t="s">
        <v>99</v>
      </c>
      <c r="F385" t="s">
        <v>1</v>
      </c>
      <c r="G385" t="s">
        <v>547</v>
      </c>
      <c r="H385" t="s">
        <v>548</v>
      </c>
      <c r="I385" t="s">
        <v>1</v>
      </c>
      <c r="J385">
        <v>247.5</v>
      </c>
      <c r="K385"/>
      <c r="L385">
        <v>82.5</v>
      </c>
      <c r="M385">
        <v>166.36740331491714</v>
      </c>
      <c r="N385">
        <v>247.5</v>
      </c>
      <c r="O385">
        <v>166.3674033149</v>
      </c>
      <c r="P385">
        <v>0</v>
      </c>
      <c r="Q385">
        <f t="shared" si="85"/>
        <v>166.3674033149</v>
      </c>
      <c r="R385">
        <v>166.3674033149</v>
      </c>
      <c r="S385">
        <f t="shared" si="86"/>
        <v>0</v>
      </c>
      <c r="T385">
        <v>3.5000000000000003E-2</v>
      </c>
      <c r="U385">
        <f t="shared" si="87"/>
        <v>5.8228591160215011</v>
      </c>
      <c r="V385">
        <f t="shared" si="88"/>
        <v>172.19026243092151</v>
      </c>
      <c r="W385">
        <f t="shared" si="89"/>
        <v>5.8228591160215046</v>
      </c>
      <c r="X385" t="s">
        <v>1365</v>
      </c>
    </row>
    <row r="386" spans="1:24" x14ac:dyDescent="0.25">
      <c r="A386" t="s">
        <v>1943</v>
      </c>
      <c r="B386" t="s">
        <v>1944</v>
      </c>
      <c r="C386" t="s">
        <v>1986</v>
      </c>
      <c r="D386" t="s">
        <v>98</v>
      </c>
      <c r="E386" t="s">
        <v>8</v>
      </c>
      <c r="F386" t="s">
        <v>1</v>
      </c>
      <c r="G386" t="s">
        <v>547</v>
      </c>
      <c r="H386" t="s">
        <v>408</v>
      </c>
      <c r="I386" t="s">
        <v>1</v>
      </c>
      <c r="J386">
        <v>8423.1200000000008</v>
      </c>
      <c r="K386">
        <v>15159.1356353591</v>
      </c>
      <c r="L386">
        <v>1153.3800000000001</v>
      </c>
      <c r="M386">
        <v>2325.8767955801109</v>
      </c>
      <c r="N386">
        <v>2059.23</v>
      </c>
      <c r="O386">
        <v>2325.8767955801</v>
      </c>
      <c r="P386">
        <v>0</v>
      </c>
      <c r="Q386">
        <f t="shared" si="85"/>
        <v>2325.8767955801</v>
      </c>
      <c r="R386">
        <v>2325.8767955801</v>
      </c>
      <c r="S386">
        <f t="shared" si="86"/>
        <v>0</v>
      </c>
      <c r="T386"/>
      <c r="U386">
        <f t="shared" si="87"/>
        <v>0</v>
      </c>
      <c r="V386">
        <f t="shared" si="88"/>
        <v>2325.8767955801</v>
      </c>
      <c r="W386">
        <f t="shared" si="89"/>
        <v>0</v>
      </c>
      <c r="X386" t="s">
        <v>1366</v>
      </c>
    </row>
    <row r="387" spans="1:24" x14ac:dyDescent="0.25">
      <c r="A387" t="s">
        <v>1943</v>
      </c>
      <c r="B387" t="s">
        <v>1944</v>
      </c>
      <c r="C387" t="s">
        <v>1986</v>
      </c>
      <c r="D387" t="s">
        <v>98</v>
      </c>
      <c r="E387" t="s">
        <v>10</v>
      </c>
      <c r="F387" t="s">
        <v>1</v>
      </c>
      <c r="G387" t="s">
        <v>547</v>
      </c>
      <c r="H387" t="s">
        <v>410</v>
      </c>
      <c r="I387" t="s">
        <v>1</v>
      </c>
      <c r="J387"/>
      <c r="K387">
        <v>1020</v>
      </c>
      <c r="L387">
        <v>0</v>
      </c>
      <c r="M387">
        <v>0</v>
      </c>
      <c r="N387">
        <v>0</v>
      </c>
      <c r="O387"/>
      <c r="P387">
        <v>0</v>
      </c>
      <c r="Q387">
        <f t="shared" si="85"/>
        <v>0</v>
      </c>
      <c r="R387">
        <v>0</v>
      </c>
      <c r="S387">
        <f t="shared" si="86"/>
        <v>0</v>
      </c>
      <c r="T387"/>
      <c r="U387">
        <f t="shared" si="87"/>
        <v>0</v>
      </c>
      <c r="V387">
        <f t="shared" si="88"/>
        <v>0</v>
      </c>
      <c r="W387">
        <f t="shared" si="89"/>
        <v>0</v>
      </c>
      <c r="X387">
        <v>0</v>
      </c>
    </row>
    <row r="388" spans="1:24" x14ac:dyDescent="0.25">
      <c r="A388" t="s">
        <v>1943</v>
      </c>
      <c r="B388" t="s">
        <v>1944</v>
      </c>
      <c r="C388" t="s">
        <v>1986</v>
      </c>
      <c r="D388" t="s">
        <v>98</v>
      </c>
      <c r="E388" t="s">
        <v>11</v>
      </c>
      <c r="F388" t="s">
        <v>1</v>
      </c>
      <c r="G388" t="s">
        <v>547</v>
      </c>
      <c r="H388" t="s">
        <v>411</v>
      </c>
      <c r="I388" t="s">
        <v>1</v>
      </c>
      <c r="J388">
        <v>2690.27</v>
      </c>
      <c r="K388">
        <v>3444.9996000000001</v>
      </c>
      <c r="L388">
        <v>1361.61</v>
      </c>
      <c r="M388">
        <v>2745.7881215469611</v>
      </c>
      <c r="N388">
        <v>2672.7400000000002</v>
      </c>
      <c r="O388">
        <v>2723.22</v>
      </c>
      <c r="P388">
        <v>0</v>
      </c>
      <c r="Q388">
        <f t="shared" si="85"/>
        <v>2723.22</v>
      </c>
      <c r="R388">
        <v>2723.22</v>
      </c>
      <c r="S388">
        <f t="shared" si="86"/>
        <v>0</v>
      </c>
      <c r="T388"/>
      <c r="U388">
        <f t="shared" si="87"/>
        <v>0</v>
      </c>
      <c r="V388">
        <f t="shared" si="88"/>
        <v>2723.22</v>
      </c>
      <c r="W388">
        <f t="shared" si="89"/>
        <v>0</v>
      </c>
      <c r="X388">
        <v>0</v>
      </c>
    </row>
    <row r="389" spans="1:24" x14ac:dyDescent="0.25">
      <c r="A389" t="s">
        <v>1943</v>
      </c>
      <c r="B389" t="s">
        <v>1944</v>
      </c>
      <c r="C389" t="s">
        <v>1986</v>
      </c>
      <c r="D389" t="s">
        <v>98</v>
      </c>
      <c r="E389" t="s">
        <v>17</v>
      </c>
      <c r="F389" t="s">
        <v>1</v>
      </c>
      <c r="G389" t="s">
        <v>547</v>
      </c>
      <c r="H389" t="s">
        <v>417</v>
      </c>
      <c r="I389" t="s">
        <v>1</v>
      </c>
      <c r="J389">
        <v>-2977.76</v>
      </c>
      <c r="K389"/>
      <c r="L389">
        <v>-5346.11</v>
      </c>
      <c r="M389">
        <v>-10780.829558011048</v>
      </c>
      <c r="N389">
        <v>-8323.8700000000008</v>
      </c>
      <c r="O389">
        <v>-10750.968461538499</v>
      </c>
      <c r="P389">
        <v>0</v>
      </c>
      <c r="Q389">
        <f t="shared" si="85"/>
        <v>-10750.968461538499</v>
      </c>
      <c r="R389">
        <v>-10750.968461538499</v>
      </c>
      <c r="S389">
        <f t="shared" si="86"/>
        <v>0</v>
      </c>
      <c r="T389"/>
      <c r="U389">
        <f t="shared" si="87"/>
        <v>0</v>
      </c>
      <c r="V389">
        <f t="shared" si="88"/>
        <v>-10750.968461538499</v>
      </c>
      <c r="W389">
        <f t="shared" si="89"/>
        <v>0</v>
      </c>
      <c r="X389">
        <v>0</v>
      </c>
    </row>
    <row r="390" spans="1:24" x14ac:dyDescent="0.25">
      <c r="A390" t="s">
        <v>1943</v>
      </c>
      <c r="B390" t="s">
        <v>1944</v>
      </c>
      <c r="C390" t="s">
        <v>1986</v>
      </c>
      <c r="D390" t="s">
        <v>98</v>
      </c>
      <c r="E390" t="s">
        <v>18</v>
      </c>
      <c r="F390" t="s">
        <v>1</v>
      </c>
      <c r="G390" t="s">
        <v>547</v>
      </c>
      <c r="H390" t="s">
        <v>418</v>
      </c>
      <c r="I390" t="s">
        <v>1</v>
      </c>
      <c r="J390">
        <v>73808.289999999994</v>
      </c>
      <c r="K390">
        <v>44874.9635824824</v>
      </c>
      <c r="L390">
        <v>1832.42</v>
      </c>
      <c r="M390">
        <v>3695.2116022099449</v>
      </c>
      <c r="N390">
        <v>55282.1</v>
      </c>
      <c r="O390">
        <v>3684.9764835165001</v>
      </c>
      <c r="P390">
        <v>0</v>
      </c>
      <c r="Q390">
        <f t="shared" si="85"/>
        <v>3684.9764835165001</v>
      </c>
      <c r="R390">
        <v>2500</v>
      </c>
      <c r="S390">
        <f t="shared" si="86"/>
        <v>-1184.9764835165001</v>
      </c>
      <c r="T390">
        <v>0.02</v>
      </c>
      <c r="U390">
        <f t="shared" si="87"/>
        <v>50</v>
      </c>
      <c r="V390">
        <f t="shared" si="88"/>
        <v>2550</v>
      </c>
      <c r="W390">
        <f t="shared" si="89"/>
        <v>-1134.9764835165001</v>
      </c>
      <c r="X390" t="s">
        <v>1367</v>
      </c>
    </row>
    <row r="391" spans="1:24" x14ac:dyDescent="0.25">
      <c r="A391" t="s">
        <v>1943</v>
      </c>
      <c r="B391" t="s">
        <v>1944</v>
      </c>
      <c r="C391" t="s">
        <v>1986</v>
      </c>
      <c r="D391" t="s">
        <v>98</v>
      </c>
      <c r="E391" t="s">
        <v>21</v>
      </c>
      <c r="F391" t="s">
        <v>1</v>
      </c>
      <c r="G391" t="s">
        <v>547</v>
      </c>
      <c r="H391" t="s">
        <v>421</v>
      </c>
      <c r="I391" t="s">
        <v>1</v>
      </c>
      <c r="J391">
        <v>4042.36</v>
      </c>
      <c r="K391">
        <v>3587.0700000001002</v>
      </c>
      <c r="L391">
        <v>1476.53</v>
      </c>
      <c r="M391">
        <v>2977.5328729281769</v>
      </c>
      <c r="N391">
        <v>3711.71</v>
      </c>
      <c r="O391">
        <v>2977.5328729282</v>
      </c>
      <c r="P391">
        <v>0</v>
      </c>
      <c r="Q391">
        <f t="shared" si="85"/>
        <v>2977.5328729282</v>
      </c>
      <c r="R391">
        <v>2977.5328729282</v>
      </c>
      <c r="S391">
        <f t="shared" si="86"/>
        <v>0</v>
      </c>
      <c r="T391">
        <v>0.03</v>
      </c>
      <c r="U391">
        <f t="shared" si="87"/>
        <v>89.325986187845999</v>
      </c>
      <c r="V391">
        <f t="shared" si="88"/>
        <v>3066.858859116046</v>
      </c>
      <c r="W391">
        <f t="shared" si="89"/>
        <v>89.325986187845956</v>
      </c>
      <c r="X391">
        <v>0</v>
      </c>
    </row>
    <row r="392" spans="1:24" x14ac:dyDescent="0.25">
      <c r="A392" t="s">
        <v>1943</v>
      </c>
      <c r="B392" t="s">
        <v>1944</v>
      </c>
      <c r="C392" t="s">
        <v>1986</v>
      </c>
      <c r="D392" t="s">
        <v>98</v>
      </c>
      <c r="E392" t="s">
        <v>22</v>
      </c>
      <c r="F392" t="s">
        <v>1</v>
      </c>
      <c r="G392" t="s">
        <v>547</v>
      </c>
      <c r="H392" t="s">
        <v>422</v>
      </c>
      <c r="I392" t="s">
        <v>1</v>
      </c>
      <c r="J392">
        <v>52789.06</v>
      </c>
      <c r="K392">
        <v>5059.2088499998999</v>
      </c>
      <c r="L392">
        <v>7161.46</v>
      </c>
      <c r="M392">
        <v>14441.6182320442</v>
      </c>
      <c r="N392">
        <v>40369.74</v>
      </c>
      <c r="O392">
        <v>14441.6182320442</v>
      </c>
      <c r="P392">
        <v>0</v>
      </c>
      <c r="Q392">
        <f t="shared" si="85"/>
        <v>14441.6182320442</v>
      </c>
      <c r="R392">
        <v>7161.46</v>
      </c>
      <c r="S392">
        <f t="shared" si="86"/>
        <v>-7280.1582320442003</v>
      </c>
      <c r="T392">
        <v>3.5000000000000003E-2</v>
      </c>
      <c r="U392">
        <f t="shared" si="87"/>
        <v>250.65110000000001</v>
      </c>
      <c r="V392">
        <f t="shared" si="88"/>
        <v>7412.1111000000001</v>
      </c>
      <c r="W392">
        <f t="shared" si="89"/>
        <v>-7029.5071320442003</v>
      </c>
      <c r="X392" t="s">
        <v>1356</v>
      </c>
    </row>
    <row r="393" spans="1:24" x14ac:dyDescent="0.25">
      <c r="A393" t="s">
        <v>1943</v>
      </c>
      <c r="B393" t="s">
        <v>1944</v>
      </c>
      <c r="C393" t="s">
        <v>1986</v>
      </c>
      <c r="D393" t="s">
        <v>98</v>
      </c>
      <c r="E393" t="s">
        <v>23</v>
      </c>
      <c r="F393" t="s">
        <v>1</v>
      </c>
      <c r="G393" t="s">
        <v>547</v>
      </c>
      <c r="H393" t="s">
        <v>423</v>
      </c>
      <c r="I393" t="s">
        <v>1</v>
      </c>
      <c r="J393">
        <v>110705.84</v>
      </c>
      <c r="K393">
        <v>180120</v>
      </c>
      <c r="L393">
        <v>89415.79</v>
      </c>
      <c r="M393">
        <v>180313.60966850829</v>
      </c>
      <c r="N393">
        <v>102628.29</v>
      </c>
      <c r="O393">
        <v>180313.609668508</v>
      </c>
      <c r="P393">
        <v>0</v>
      </c>
      <c r="Q393">
        <f t="shared" si="85"/>
        <v>180313.609668508</v>
      </c>
      <c r="R393">
        <v>232000</v>
      </c>
      <c r="S393">
        <f t="shared" si="86"/>
        <v>51686.390331492003</v>
      </c>
      <c r="T393">
        <v>3.5000000000000003E-2</v>
      </c>
      <c r="U393">
        <f t="shared" si="87"/>
        <v>8120.0000000000009</v>
      </c>
      <c r="V393">
        <f t="shared" si="88"/>
        <v>240120</v>
      </c>
      <c r="W393">
        <f t="shared" si="89"/>
        <v>59806.390331492003</v>
      </c>
      <c r="X393" t="s">
        <v>1368</v>
      </c>
    </row>
    <row r="394" spans="1:24" x14ac:dyDescent="0.25">
      <c r="A394" t="s">
        <v>1943</v>
      </c>
      <c r="B394" t="s">
        <v>1944</v>
      </c>
      <c r="C394" t="s">
        <v>1986</v>
      </c>
      <c r="D394" t="s">
        <v>98</v>
      </c>
      <c r="E394" t="s">
        <v>26</v>
      </c>
      <c r="F394" t="s">
        <v>1</v>
      </c>
      <c r="G394" t="s">
        <v>547</v>
      </c>
      <c r="H394" t="s">
        <v>426</v>
      </c>
      <c r="I394" t="s">
        <v>1</v>
      </c>
      <c r="J394">
        <v>2700</v>
      </c>
      <c r="K394">
        <v>3924.9534806831998</v>
      </c>
      <c r="L394">
        <v>0</v>
      </c>
      <c r="M394">
        <v>0</v>
      </c>
      <c r="N394">
        <v>0</v>
      </c>
      <c r="O394"/>
      <c r="P394">
        <v>0</v>
      </c>
      <c r="Q394">
        <f t="shared" si="85"/>
        <v>0</v>
      </c>
      <c r="R394">
        <v>3500</v>
      </c>
      <c r="S394">
        <f t="shared" si="86"/>
        <v>3500</v>
      </c>
      <c r="T394"/>
      <c r="U394">
        <f t="shared" si="87"/>
        <v>0</v>
      </c>
      <c r="V394">
        <f t="shared" si="88"/>
        <v>3500</v>
      </c>
      <c r="W394">
        <f t="shared" si="89"/>
        <v>3500</v>
      </c>
      <c r="X394" t="s">
        <v>1369</v>
      </c>
    </row>
    <row r="395" spans="1:24" x14ac:dyDescent="0.25">
      <c r="A395" t="s">
        <v>1943</v>
      </c>
      <c r="B395" t="s">
        <v>1944</v>
      </c>
      <c r="C395" t="s">
        <v>1986</v>
      </c>
      <c r="D395" t="s">
        <v>98</v>
      </c>
      <c r="E395" t="s">
        <v>27</v>
      </c>
      <c r="F395" t="s">
        <v>1</v>
      </c>
      <c r="G395" t="s">
        <v>547</v>
      </c>
      <c r="H395" t="s">
        <v>427</v>
      </c>
      <c r="I395" t="s">
        <v>1</v>
      </c>
      <c r="J395">
        <v>2223.37</v>
      </c>
      <c r="K395">
        <v>1841.0003999999999</v>
      </c>
      <c r="L395">
        <v>1065.1600000000001</v>
      </c>
      <c r="M395">
        <v>2147.9745856353593</v>
      </c>
      <c r="N395">
        <v>2088.31</v>
      </c>
      <c r="O395">
        <v>2130.3200000000002</v>
      </c>
      <c r="P395">
        <v>0</v>
      </c>
      <c r="Q395">
        <f t="shared" si="85"/>
        <v>2130.3200000000002</v>
      </c>
      <c r="R395">
        <v>2130.3200000000002</v>
      </c>
      <c r="S395">
        <f t="shared" si="86"/>
        <v>0</v>
      </c>
      <c r="T395"/>
      <c r="U395">
        <f t="shared" si="87"/>
        <v>0</v>
      </c>
      <c r="V395">
        <f t="shared" si="88"/>
        <v>2130.3200000000002</v>
      </c>
      <c r="W395">
        <f t="shared" si="89"/>
        <v>0</v>
      </c>
      <c r="X395" t="s">
        <v>1370</v>
      </c>
    </row>
    <row r="396" spans="1:24" x14ac:dyDescent="0.25">
      <c r="A396" t="s">
        <v>1943</v>
      </c>
      <c r="B396" t="s">
        <v>1944</v>
      </c>
      <c r="C396" t="s">
        <v>1986</v>
      </c>
      <c r="D396" t="s">
        <v>98</v>
      </c>
      <c r="E396" t="s">
        <v>28</v>
      </c>
      <c r="F396" t="s">
        <v>1</v>
      </c>
      <c r="G396" t="s">
        <v>547</v>
      </c>
      <c r="H396" t="s">
        <v>428</v>
      </c>
      <c r="I396" t="s">
        <v>1</v>
      </c>
      <c r="J396">
        <v>42062.17</v>
      </c>
      <c r="K396">
        <v>24818.4207999996</v>
      </c>
      <c r="L396">
        <v>8785.11</v>
      </c>
      <c r="M396">
        <v>17715.82955801105</v>
      </c>
      <c r="N396">
        <v>46809.94000000001</v>
      </c>
      <c r="O396">
        <v>17570.22</v>
      </c>
      <c r="P396">
        <v>0</v>
      </c>
      <c r="Q396">
        <f t="shared" si="85"/>
        <v>17570.22</v>
      </c>
      <c r="R396">
        <v>17570.22</v>
      </c>
      <c r="S396">
        <f t="shared" si="86"/>
        <v>0</v>
      </c>
      <c r="T396"/>
      <c r="U396">
        <f t="shared" si="87"/>
        <v>0</v>
      </c>
      <c r="V396">
        <f t="shared" si="88"/>
        <v>17570.22</v>
      </c>
      <c r="W396">
        <f t="shared" si="89"/>
        <v>0</v>
      </c>
      <c r="X396" t="s">
        <v>1371</v>
      </c>
    </row>
    <row r="397" spans="1:24" x14ac:dyDescent="0.25">
      <c r="A397" t="s">
        <v>1943</v>
      </c>
      <c r="B397" t="s">
        <v>1944</v>
      </c>
      <c r="C397" t="s">
        <v>1986</v>
      </c>
      <c r="D397" t="s">
        <v>98</v>
      </c>
      <c r="E397" t="s">
        <v>29</v>
      </c>
      <c r="F397" t="s">
        <v>1</v>
      </c>
      <c r="G397" t="s">
        <v>547</v>
      </c>
      <c r="H397" t="s">
        <v>429</v>
      </c>
      <c r="I397" t="s">
        <v>1</v>
      </c>
      <c r="J397">
        <v>11669.04</v>
      </c>
      <c r="K397">
        <v>12000</v>
      </c>
      <c r="L397">
        <v>9000</v>
      </c>
      <c r="M397">
        <v>18149.171270718231</v>
      </c>
      <c r="N397">
        <v>14892.69</v>
      </c>
      <c r="O397">
        <v>18000</v>
      </c>
      <c r="P397">
        <v>0</v>
      </c>
      <c r="Q397">
        <f t="shared" si="85"/>
        <v>18000</v>
      </c>
      <c r="R397">
        <v>12000</v>
      </c>
      <c r="S397">
        <f t="shared" si="86"/>
        <v>-6000</v>
      </c>
      <c r="T397"/>
      <c r="U397">
        <f t="shared" si="87"/>
        <v>0</v>
      </c>
      <c r="V397">
        <f t="shared" si="88"/>
        <v>12000</v>
      </c>
      <c r="W397">
        <f t="shared" si="89"/>
        <v>-6000</v>
      </c>
      <c r="X397" t="s">
        <v>1372</v>
      </c>
    </row>
    <row r="398" spans="1:24" x14ac:dyDescent="0.25">
      <c r="A398" t="s">
        <v>1943</v>
      </c>
      <c r="B398" t="s">
        <v>1944</v>
      </c>
      <c r="C398" t="s">
        <v>1986</v>
      </c>
      <c r="D398" t="s">
        <v>98</v>
      </c>
      <c r="E398" t="s">
        <v>55</v>
      </c>
      <c r="F398" t="s">
        <v>1</v>
      </c>
      <c r="G398" t="s">
        <v>547</v>
      </c>
      <c r="H398" t="s">
        <v>458</v>
      </c>
      <c r="I398" t="s">
        <v>1</v>
      </c>
      <c r="J398"/>
      <c r="K398">
        <v>65000.000399999997</v>
      </c>
      <c r="L398">
        <v>0</v>
      </c>
      <c r="M398">
        <v>0</v>
      </c>
      <c r="N398">
        <v>0</v>
      </c>
      <c r="O398"/>
      <c r="P398">
        <v>0</v>
      </c>
      <c r="Q398">
        <f t="shared" si="85"/>
        <v>0</v>
      </c>
      <c r="R398">
        <v>65000</v>
      </c>
      <c r="S398">
        <f t="shared" si="86"/>
        <v>65000</v>
      </c>
      <c r="T398"/>
      <c r="U398">
        <f t="shared" si="87"/>
        <v>0</v>
      </c>
      <c r="V398">
        <f t="shared" si="88"/>
        <v>65000</v>
      </c>
      <c r="W398">
        <f t="shared" si="89"/>
        <v>65000</v>
      </c>
      <c r="X398" t="s">
        <v>1373</v>
      </c>
    </row>
    <row r="399" spans="1:24" x14ac:dyDescent="0.25">
      <c r="A399" t="s">
        <v>1943</v>
      </c>
      <c r="B399" t="s">
        <v>1944</v>
      </c>
      <c r="C399" t="s">
        <v>1986</v>
      </c>
      <c r="D399" t="s">
        <v>98</v>
      </c>
      <c r="E399" t="s">
        <v>31</v>
      </c>
      <c r="F399" t="s">
        <v>1</v>
      </c>
      <c r="G399" t="s">
        <v>547</v>
      </c>
      <c r="H399" t="s">
        <v>431</v>
      </c>
      <c r="I399" t="s">
        <v>1</v>
      </c>
      <c r="J399">
        <v>186898.77</v>
      </c>
      <c r="K399">
        <v>24817.378799999999</v>
      </c>
      <c r="L399">
        <v>5663.6</v>
      </c>
      <c r="M399">
        <v>11421.07182320442</v>
      </c>
      <c r="N399">
        <v>182311.86999999997</v>
      </c>
      <c r="O399">
        <v>11327.2</v>
      </c>
      <c r="P399">
        <v>0</v>
      </c>
      <c r="Q399">
        <f t="shared" si="85"/>
        <v>11327.2</v>
      </c>
      <c r="R399">
        <v>5000</v>
      </c>
      <c r="S399">
        <f t="shared" si="86"/>
        <v>-6327.2000000000007</v>
      </c>
      <c r="T399"/>
      <c r="U399">
        <f t="shared" si="87"/>
        <v>0</v>
      </c>
      <c r="V399">
        <f t="shared" si="88"/>
        <v>5000</v>
      </c>
      <c r="W399">
        <f t="shared" si="89"/>
        <v>-6327.2000000000007</v>
      </c>
      <c r="X399" t="s">
        <v>1374</v>
      </c>
    </row>
    <row r="400" spans="1:24" x14ac:dyDescent="0.25">
      <c r="A400" t="s">
        <v>1943</v>
      </c>
      <c r="B400" t="s">
        <v>1944</v>
      </c>
      <c r="C400" t="s">
        <v>1986</v>
      </c>
      <c r="D400" t="s">
        <v>98</v>
      </c>
      <c r="E400" t="s">
        <v>33</v>
      </c>
      <c r="F400" t="s">
        <v>1</v>
      </c>
      <c r="G400" t="s">
        <v>547</v>
      </c>
      <c r="H400" t="s">
        <v>433</v>
      </c>
      <c r="I400" t="s">
        <v>1</v>
      </c>
      <c r="J400">
        <v>2511.9499999999998</v>
      </c>
      <c r="K400">
        <v>2453.0959282416002</v>
      </c>
      <c r="L400">
        <v>1020.99</v>
      </c>
      <c r="M400">
        <v>2058.9024861878456</v>
      </c>
      <c r="N400">
        <v>2755.8300000000004</v>
      </c>
      <c r="O400">
        <v>2041.98</v>
      </c>
      <c r="P400">
        <v>0</v>
      </c>
      <c r="Q400">
        <f t="shared" si="85"/>
        <v>2041.98</v>
      </c>
      <c r="R400">
        <v>2000</v>
      </c>
      <c r="S400">
        <f t="shared" si="86"/>
        <v>-41.980000000000018</v>
      </c>
      <c r="T400"/>
      <c r="U400">
        <f t="shared" si="87"/>
        <v>0</v>
      </c>
      <c r="V400">
        <f t="shared" si="88"/>
        <v>2000</v>
      </c>
      <c r="W400">
        <f t="shared" si="89"/>
        <v>-41.980000000000018</v>
      </c>
      <c r="X400" t="s">
        <v>1375</v>
      </c>
    </row>
    <row r="401" spans="1:24" x14ac:dyDescent="0.25">
      <c r="A401" t="s">
        <v>1943</v>
      </c>
      <c r="B401" t="s">
        <v>1944</v>
      </c>
      <c r="C401" t="s">
        <v>1986</v>
      </c>
      <c r="D401" t="s">
        <v>98</v>
      </c>
      <c r="E401" t="s">
        <v>34</v>
      </c>
      <c r="F401" t="s">
        <v>1</v>
      </c>
      <c r="G401" t="s">
        <v>547</v>
      </c>
      <c r="H401" t="s">
        <v>434</v>
      </c>
      <c r="I401" t="s">
        <v>1</v>
      </c>
      <c r="J401">
        <v>1349.13</v>
      </c>
      <c r="K401">
        <v>981.23837579880001</v>
      </c>
      <c r="L401">
        <v>173.06</v>
      </c>
      <c r="M401">
        <v>348.98839779005527</v>
      </c>
      <c r="N401">
        <v>726.23</v>
      </c>
      <c r="O401">
        <v>346.12</v>
      </c>
      <c r="P401">
        <v>0</v>
      </c>
      <c r="Q401">
        <f t="shared" si="85"/>
        <v>346.12</v>
      </c>
      <c r="R401">
        <v>500</v>
      </c>
      <c r="S401">
        <f t="shared" si="86"/>
        <v>153.88</v>
      </c>
      <c r="T401"/>
      <c r="U401">
        <f t="shared" si="87"/>
        <v>0</v>
      </c>
      <c r="V401">
        <f t="shared" si="88"/>
        <v>500</v>
      </c>
      <c r="W401">
        <f t="shared" si="89"/>
        <v>153.88</v>
      </c>
      <c r="X401">
        <v>0</v>
      </c>
    </row>
    <row r="402" spans="1:24" x14ac:dyDescent="0.25">
      <c r="A402" t="s">
        <v>1943</v>
      </c>
      <c r="B402" t="s">
        <v>1944</v>
      </c>
      <c r="C402" t="s">
        <v>1986</v>
      </c>
      <c r="D402" t="s">
        <v>98</v>
      </c>
      <c r="E402" t="s">
        <v>37</v>
      </c>
      <c r="F402" t="s">
        <v>1</v>
      </c>
      <c r="G402" t="s">
        <v>547</v>
      </c>
      <c r="H402" t="s">
        <v>437</v>
      </c>
      <c r="I402" t="s">
        <v>1</v>
      </c>
      <c r="J402">
        <v>6353.51</v>
      </c>
      <c r="K402">
        <v>1177.486041954</v>
      </c>
      <c r="L402">
        <v>3561.79</v>
      </c>
      <c r="M402">
        <v>7182.6151933701667</v>
      </c>
      <c r="N402">
        <v>3763.45</v>
      </c>
      <c r="O402">
        <v>7123.58</v>
      </c>
      <c r="P402">
        <v>0</v>
      </c>
      <c r="Q402">
        <f t="shared" si="85"/>
        <v>7123.58</v>
      </c>
      <c r="R402">
        <v>3561.79</v>
      </c>
      <c r="S402">
        <f t="shared" si="86"/>
        <v>-3561.79</v>
      </c>
      <c r="T402"/>
      <c r="U402">
        <f t="shared" si="87"/>
        <v>0</v>
      </c>
      <c r="V402">
        <f t="shared" si="88"/>
        <v>3561.79</v>
      </c>
      <c r="W402">
        <f t="shared" si="89"/>
        <v>-3561.79</v>
      </c>
      <c r="X402" t="s">
        <v>1369</v>
      </c>
    </row>
    <row r="403" spans="1:24" x14ac:dyDescent="0.25">
      <c r="A403" t="s">
        <v>1943</v>
      </c>
      <c r="B403" t="s">
        <v>1944</v>
      </c>
      <c r="C403" t="s">
        <v>1986</v>
      </c>
      <c r="D403" t="s">
        <v>98</v>
      </c>
      <c r="E403" t="s">
        <v>38</v>
      </c>
      <c r="F403" t="s">
        <v>1</v>
      </c>
      <c r="G403" t="s">
        <v>547</v>
      </c>
      <c r="H403" t="s">
        <v>438</v>
      </c>
      <c r="I403" t="s">
        <v>1</v>
      </c>
      <c r="J403">
        <v>70.819999999999993</v>
      </c>
      <c r="K403"/>
      <c r="L403">
        <v>0</v>
      </c>
      <c r="M403">
        <v>0</v>
      </c>
      <c r="N403">
        <v>70.819999999999993</v>
      </c>
      <c r="O403"/>
      <c r="P403">
        <v>0</v>
      </c>
      <c r="Q403">
        <f t="shared" si="85"/>
        <v>0</v>
      </c>
      <c r="R403">
        <v>0</v>
      </c>
      <c r="S403">
        <f t="shared" si="86"/>
        <v>0</v>
      </c>
      <c r="T403"/>
      <c r="U403">
        <f t="shared" si="87"/>
        <v>0</v>
      </c>
      <c r="V403">
        <f t="shared" si="88"/>
        <v>0</v>
      </c>
      <c r="W403">
        <f t="shared" si="89"/>
        <v>0</v>
      </c>
      <c r="X403">
        <v>0</v>
      </c>
    </row>
    <row r="404" spans="1:24" x14ac:dyDescent="0.25">
      <c r="A404" t="s">
        <v>1943</v>
      </c>
      <c r="B404" t="s">
        <v>1944</v>
      </c>
      <c r="C404" t="s">
        <v>1986</v>
      </c>
      <c r="D404" t="s">
        <v>98</v>
      </c>
      <c r="E404" t="s">
        <v>40</v>
      </c>
      <c r="F404" t="s">
        <v>1</v>
      </c>
      <c r="G404" t="s">
        <v>547</v>
      </c>
      <c r="H404" t="s">
        <v>440</v>
      </c>
      <c r="I404" t="s">
        <v>1</v>
      </c>
      <c r="J404">
        <v>1800</v>
      </c>
      <c r="K404"/>
      <c r="L404">
        <v>1260</v>
      </c>
      <c r="M404">
        <v>2540.8839779005525</v>
      </c>
      <c r="N404">
        <v>3060</v>
      </c>
      <c r="O404">
        <v>2520</v>
      </c>
      <c r="P404">
        <v>0</v>
      </c>
      <c r="Q404">
        <f t="shared" si="85"/>
        <v>2520</v>
      </c>
      <c r="R404">
        <v>2500</v>
      </c>
      <c r="S404">
        <f t="shared" si="86"/>
        <v>-20</v>
      </c>
      <c r="T404">
        <v>0.03</v>
      </c>
      <c r="U404">
        <f t="shared" si="87"/>
        <v>75</v>
      </c>
      <c r="V404">
        <f t="shared" si="88"/>
        <v>2575</v>
      </c>
      <c r="W404">
        <f t="shared" si="89"/>
        <v>55</v>
      </c>
      <c r="X404" t="s">
        <v>1376</v>
      </c>
    </row>
    <row r="405" spans="1:24" x14ac:dyDescent="0.25">
      <c r="A405" t="s">
        <v>1943</v>
      </c>
      <c r="B405" t="s">
        <v>1944</v>
      </c>
      <c r="C405" t="s">
        <v>1986</v>
      </c>
      <c r="D405" t="s">
        <v>98</v>
      </c>
      <c r="E405" t="s">
        <v>41</v>
      </c>
      <c r="F405" t="s">
        <v>1</v>
      </c>
      <c r="G405" t="s">
        <v>547</v>
      </c>
      <c r="H405" t="s">
        <v>441</v>
      </c>
      <c r="I405" t="s">
        <v>1</v>
      </c>
      <c r="J405">
        <v>13213.61</v>
      </c>
      <c r="K405">
        <v>1680.8595697128001</v>
      </c>
      <c r="L405">
        <v>5204.76</v>
      </c>
      <c r="M405">
        <v>10495.786740331492</v>
      </c>
      <c r="N405">
        <v>17562.690000000002</v>
      </c>
      <c r="O405">
        <v>10409.52</v>
      </c>
      <c r="P405">
        <v>0</v>
      </c>
      <c r="Q405">
        <f t="shared" si="85"/>
        <v>10409.52</v>
      </c>
      <c r="R405">
        <v>10409.52</v>
      </c>
      <c r="S405">
        <f t="shared" si="86"/>
        <v>0</v>
      </c>
      <c r="T405">
        <v>0.03</v>
      </c>
      <c r="U405">
        <f t="shared" si="87"/>
        <v>312.28559999999999</v>
      </c>
      <c r="V405">
        <f t="shared" si="88"/>
        <v>10721.8056</v>
      </c>
      <c r="W405">
        <f t="shared" si="89"/>
        <v>312.28559999999925</v>
      </c>
      <c r="X405" t="s">
        <v>1377</v>
      </c>
    </row>
    <row r="406" spans="1:24" x14ac:dyDescent="0.25">
      <c r="A406" t="s">
        <v>1943</v>
      </c>
      <c r="B406" t="s">
        <v>1944</v>
      </c>
      <c r="C406" t="s">
        <v>1986</v>
      </c>
      <c r="D406" t="s">
        <v>98</v>
      </c>
      <c r="E406" t="s">
        <v>42</v>
      </c>
      <c r="F406" t="s">
        <v>1</v>
      </c>
      <c r="G406" t="s">
        <v>547</v>
      </c>
      <c r="H406" t="s">
        <v>442</v>
      </c>
      <c r="I406" t="s">
        <v>1</v>
      </c>
      <c r="J406">
        <v>107376</v>
      </c>
      <c r="K406">
        <v>93000</v>
      </c>
      <c r="L406">
        <v>36999.99</v>
      </c>
      <c r="M406">
        <v>74613.23950276243</v>
      </c>
      <c r="N406">
        <v>86271.33</v>
      </c>
      <c r="O406">
        <v>73999.98</v>
      </c>
      <c r="P406">
        <v>0</v>
      </c>
      <c r="Q406">
        <f t="shared" si="85"/>
        <v>73999.98</v>
      </c>
      <c r="R406">
        <v>137000</v>
      </c>
      <c r="S406">
        <f t="shared" si="86"/>
        <v>63000.020000000004</v>
      </c>
      <c r="T406">
        <v>0.03</v>
      </c>
      <c r="U406">
        <f t="shared" si="87"/>
        <v>4110</v>
      </c>
      <c r="V406">
        <f t="shared" si="88"/>
        <v>141110</v>
      </c>
      <c r="W406">
        <f t="shared" si="89"/>
        <v>67110.02</v>
      </c>
      <c r="X406" t="s">
        <v>1378</v>
      </c>
    </row>
    <row r="407" spans="1:24" x14ac:dyDescent="0.25">
      <c r="A407" t="s">
        <v>1943</v>
      </c>
      <c r="B407" t="s">
        <v>1944</v>
      </c>
      <c r="C407" t="s">
        <v>1986</v>
      </c>
      <c r="D407" t="s">
        <v>98</v>
      </c>
      <c r="E407" t="s">
        <v>100</v>
      </c>
      <c r="F407" t="s">
        <v>1</v>
      </c>
      <c r="G407" t="s">
        <v>547</v>
      </c>
      <c r="H407" t="s">
        <v>549</v>
      </c>
      <c r="I407" t="s">
        <v>1</v>
      </c>
      <c r="J407"/>
      <c r="K407"/>
      <c r="L407">
        <v>894.5</v>
      </c>
      <c r="M407">
        <v>1803.8259668508285</v>
      </c>
      <c r="N407">
        <v>894.5</v>
      </c>
      <c r="O407">
        <v>1789</v>
      </c>
      <c r="P407">
        <v>0</v>
      </c>
      <c r="Q407">
        <f t="shared" si="85"/>
        <v>1789</v>
      </c>
      <c r="R407">
        <v>0</v>
      </c>
      <c r="S407">
        <f t="shared" si="86"/>
        <v>-1789</v>
      </c>
      <c r="T407">
        <v>0.03</v>
      </c>
      <c r="U407">
        <f t="shared" si="87"/>
        <v>0</v>
      </c>
      <c r="V407">
        <f t="shared" si="88"/>
        <v>0</v>
      </c>
      <c r="W407">
        <f t="shared" si="89"/>
        <v>-1789</v>
      </c>
      <c r="X407">
        <v>0</v>
      </c>
    </row>
    <row r="408" spans="1:24" x14ac:dyDescent="0.25">
      <c r="A408" t="s">
        <v>1943</v>
      </c>
      <c r="B408" t="s">
        <v>1944</v>
      </c>
      <c r="C408" t="s">
        <v>1986</v>
      </c>
      <c r="D408" t="s">
        <v>98</v>
      </c>
      <c r="E408" t="s">
        <v>45</v>
      </c>
      <c r="F408" t="s">
        <v>1</v>
      </c>
      <c r="G408" t="s">
        <v>547</v>
      </c>
      <c r="H408" t="s">
        <v>445</v>
      </c>
      <c r="I408" t="s">
        <v>1</v>
      </c>
      <c r="J408">
        <v>1125</v>
      </c>
      <c r="K408"/>
      <c r="L408">
        <v>0</v>
      </c>
      <c r="M408">
        <v>0</v>
      </c>
      <c r="N408">
        <v>1125</v>
      </c>
      <c r="O408"/>
      <c r="P408">
        <v>0</v>
      </c>
      <c r="Q408">
        <f t="shared" si="85"/>
        <v>0</v>
      </c>
      <c r="R408">
        <v>0</v>
      </c>
      <c r="S408">
        <f t="shared" si="86"/>
        <v>0</v>
      </c>
      <c r="T408">
        <v>0.03</v>
      </c>
      <c r="U408">
        <f t="shared" si="87"/>
        <v>0</v>
      </c>
      <c r="V408">
        <f t="shared" si="88"/>
        <v>0</v>
      </c>
      <c r="W408">
        <f t="shared" si="89"/>
        <v>0</v>
      </c>
      <c r="X408">
        <v>0</v>
      </c>
    </row>
    <row r="409" spans="1:24" x14ac:dyDescent="0.25">
      <c r="A409" t="s">
        <v>1943</v>
      </c>
      <c r="B409" t="s">
        <v>1944</v>
      </c>
      <c r="C409" t="s">
        <v>1986</v>
      </c>
      <c r="D409" t="s">
        <v>98</v>
      </c>
      <c r="E409" t="s">
        <v>46</v>
      </c>
      <c r="F409" t="s">
        <v>1</v>
      </c>
      <c r="G409" t="s">
        <v>547</v>
      </c>
      <c r="H409" t="s">
        <v>446</v>
      </c>
      <c r="I409" t="s">
        <v>1</v>
      </c>
      <c r="J409">
        <v>31260.71</v>
      </c>
      <c r="K409">
        <v>20373</v>
      </c>
      <c r="L409">
        <v>7904.94</v>
      </c>
      <c r="M409">
        <v>15940.901104972374</v>
      </c>
      <c r="N409">
        <v>18187.900000000001</v>
      </c>
      <c r="O409">
        <v>15809.88</v>
      </c>
      <c r="P409">
        <v>4500</v>
      </c>
      <c r="Q409">
        <f t="shared" si="85"/>
        <v>20309.879999999997</v>
      </c>
      <c r="R409">
        <v>4500</v>
      </c>
      <c r="S409">
        <f t="shared" si="86"/>
        <v>-15809.879999999997</v>
      </c>
      <c r="T409">
        <v>0.03</v>
      </c>
      <c r="U409">
        <f t="shared" si="87"/>
        <v>135</v>
      </c>
      <c r="V409">
        <f t="shared" si="88"/>
        <v>4635</v>
      </c>
      <c r="W409">
        <f t="shared" si="89"/>
        <v>-15674.879999999997</v>
      </c>
      <c r="X409" t="s">
        <v>2231</v>
      </c>
    </row>
    <row r="410" spans="1:24" x14ac:dyDescent="0.25">
      <c r="A410" t="s">
        <v>1943</v>
      </c>
      <c r="B410" t="s">
        <v>1944</v>
      </c>
      <c r="C410" t="s">
        <v>1986</v>
      </c>
      <c r="D410" t="s">
        <v>98</v>
      </c>
      <c r="E410" t="s">
        <v>47</v>
      </c>
      <c r="F410" t="s">
        <v>1</v>
      </c>
      <c r="G410" t="s">
        <v>547</v>
      </c>
      <c r="H410" t="s">
        <v>447</v>
      </c>
      <c r="I410" t="s">
        <v>1</v>
      </c>
      <c r="J410">
        <v>1225</v>
      </c>
      <c r="K410">
        <v>999.99959999999999</v>
      </c>
      <c r="L410">
        <v>0</v>
      </c>
      <c r="M410">
        <v>0</v>
      </c>
      <c r="N410">
        <v>0</v>
      </c>
      <c r="O410"/>
      <c r="P410">
        <v>0</v>
      </c>
      <c r="Q410">
        <f t="shared" si="85"/>
        <v>0</v>
      </c>
      <c r="R410">
        <v>1000</v>
      </c>
      <c r="S410">
        <f t="shared" si="86"/>
        <v>1000</v>
      </c>
      <c r="T410">
        <v>0.03</v>
      </c>
      <c r="U410">
        <f t="shared" si="87"/>
        <v>30</v>
      </c>
      <c r="V410">
        <f t="shared" si="88"/>
        <v>1030</v>
      </c>
      <c r="W410">
        <f t="shared" si="89"/>
        <v>1030</v>
      </c>
      <c r="X410">
        <v>0</v>
      </c>
    </row>
    <row r="411" spans="1:24" x14ac:dyDescent="0.25">
      <c r="A411" t="s">
        <v>1943</v>
      </c>
      <c r="B411" t="s">
        <v>1944</v>
      </c>
      <c r="C411" t="s">
        <v>1986</v>
      </c>
      <c r="D411" t="s">
        <v>98</v>
      </c>
      <c r="E411" t="s">
        <v>48</v>
      </c>
      <c r="F411" t="s">
        <v>1</v>
      </c>
      <c r="G411" t="s">
        <v>547</v>
      </c>
      <c r="H411" t="s">
        <v>448</v>
      </c>
      <c r="I411" t="s">
        <v>1</v>
      </c>
      <c r="J411"/>
      <c r="K411">
        <v>300</v>
      </c>
      <c r="L411">
        <v>0</v>
      </c>
      <c r="M411">
        <v>0</v>
      </c>
      <c r="N411">
        <v>0</v>
      </c>
      <c r="O411"/>
      <c r="P411">
        <v>0</v>
      </c>
      <c r="Q411">
        <f t="shared" si="85"/>
        <v>0</v>
      </c>
      <c r="R411">
        <v>0</v>
      </c>
      <c r="S411">
        <f t="shared" si="86"/>
        <v>0</v>
      </c>
      <c r="T411">
        <v>0.03</v>
      </c>
      <c r="U411">
        <f t="shared" si="87"/>
        <v>0</v>
      </c>
      <c r="V411">
        <f t="shared" si="88"/>
        <v>0</v>
      </c>
      <c r="W411">
        <f t="shared" si="89"/>
        <v>0</v>
      </c>
      <c r="X411">
        <v>0</v>
      </c>
    </row>
    <row r="412" spans="1:24" x14ac:dyDescent="0.25">
      <c r="A412" t="s">
        <v>1943</v>
      </c>
      <c r="B412" t="s">
        <v>1944</v>
      </c>
      <c r="C412" t="s">
        <v>1986</v>
      </c>
      <c r="D412" t="s">
        <v>98</v>
      </c>
      <c r="E412" t="s">
        <v>101</v>
      </c>
      <c r="F412" t="s">
        <v>1</v>
      </c>
      <c r="G412" t="s">
        <v>547</v>
      </c>
      <c r="H412" t="s">
        <v>550</v>
      </c>
      <c r="I412" t="s">
        <v>1</v>
      </c>
      <c r="J412">
        <v>524206.98</v>
      </c>
      <c r="K412">
        <v>520494.08000000002</v>
      </c>
      <c r="L412">
        <v>284314.08</v>
      </c>
      <c r="M412">
        <v>573340.54806629836</v>
      </c>
      <c r="N412">
        <v>540648.56000000006</v>
      </c>
      <c r="O412">
        <v>568628.16</v>
      </c>
      <c r="P412">
        <v>0</v>
      </c>
      <c r="Q412">
        <f t="shared" si="85"/>
        <v>568628.16</v>
      </c>
      <c r="R412">
        <v>568628.16</v>
      </c>
      <c r="S412">
        <f t="shared" si="86"/>
        <v>0</v>
      </c>
      <c r="T412">
        <v>0.03</v>
      </c>
      <c r="U412">
        <f t="shared" si="87"/>
        <v>17058.844799999999</v>
      </c>
      <c r="V412">
        <f t="shared" si="88"/>
        <v>585687.0048</v>
      </c>
      <c r="W412">
        <f t="shared" si="89"/>
        <v>17058.844799999963</v>
      </c>
      <c r="X412" t="s">
        <v>1379</v>
      </c>
    </row>
    <row r="413" spans="1:24" x14ac:dyDescent="0.25">
      <c r="A413" t="s">
        <v>1943</v>
      </c>
      <c r="B413" t="s">
        <v>1944</v>
      </c>
      <c r="C413" t="s">
        <v>1986</v>
      </c>
      <c r="D413" t="s">
        <v>98</v>
      </c>
      <c r="E413" t="s">
        <v>50</v>
      </c>
      <c r="F413" t="s">
        <v>1</v>
      </c>
      <c r="G413" t="s">
        <v>547</v>
      </c>
      <c r="H413" t="s">
        <v>450</v>
      </c>
      <c r="I413" t="s">
        <v>1</v>
      </c>
      <c r="J413">
        <v>5419.37</v>
      </c>
      <c r="K413">
        <v>4710.0000000004002</v>
      </c>
      <c r="L413">
        <v>2790.02</v>
      </c>
      <c r="M413">
        <v>5626.2834254143645</v>
      </c>
      <c r="N413">
        <v>5879.0599999999995</v>
      </c>
      <c r="O413">
        <v>5626.2834254144</v>
      </c>
      <c r="P413">
        <v>0</v>
      </c>
      <c r="Q413">
        <f t="shared" si="85"/>
        <v>5626.2834254144</v>
      </c>
      <c r="R413">
        <v>5626.2834254144</v>
      </c>
      <c r="S413">
        <f t="shared" si="86"/>
        <v>0</v>
      </c>
      <c r="T413"/>
      <c r="U413">
        <f t="shared" si="87"/>
        <v>0</v>
      </c>
      <c r="V413">
        <f t="shared" si="88"/>
        <v>5626.2834254144</v>
      </c>
      <c r="W413">
        <f t="shared" si="89"/>
        <v>0</v>
      </c>
      <c r="X413">
        <v>0</v>
      </c>
    </row>
    <row r="414" spans="1:24" x14ac:dyDescent="0.25">
      <c r="A414" t="s">
        <v>1943</v>
      </c>
      <c r="B414" t="s">
        <v>1944</v>
      </c>
      <c r="C414" t="s">
        <v>1986</v>
      </c>
      <c r="D414" t="s">
        <v>98</v>
      </c>
      <c r="E414" t="s">
        <v>51</v>
      </c>
      <c r="F414" t="s">
        <v>51</v>
      </c>
      <c r="G414" t="s">
        <v>551</v>
      </c>
      <c r="H414"/>
      <c r="I414"/>
      <c r="J414">
        <v>1196194.1099999999</v>
      </c>
      <c r="K414">
        <v>1031836.8910642319</v>
      </c>
      <c r="L414">
        <v>465775.58</v>
      </c>
      <c r="M414">
        <v>939271.19723756902</v>
      </c>
      <c r="N414">
        <v>1130695.6200000001</v>
      </c>
      <c r="O414">
        <v>933204.47641976771</v>
      </c>
      <c r="P414">
        <f>SUMIF($F$383:$F$413,"&lt;&gt;EV_*",$P$383:$P$413)</f>
        <v>4500</v>
      </c>
      <c r="Q414">
        <f>SUMIF($F$383:$F$413,"&lt;&gt;EV_*",$Q$383:$Q$413)</f>
        <v>937704.47641976771</v>
      </c>
      <c r="R414">
        <f>SUMIF($F$383:$F$413,"&lt;&gt;EV_*",$R$383:$R$413)</f>
        <v>1080029.7820356991</v>
      </c>
      <c r="S414">
        <f>SUMIF($F$383:$F$413,"&lt;&gt;EV_*",$S$383:$S$413)</f>
        <v>142325.30561593131</v>
      </c>
      <c r="T414">
        <v>0</v>
      </c>
      <c r="U414">
        <f>SUMIF($F$383:$F$413,"&lt;&gt;EV_*",$U$383:$U$413)</f>
        <v>30236.930345303866</v>
      </c>
      <c r="V414">
        <f>SUMIF($F$383:$F$413,"&lt;&gt;EV_*",$V$383:$V$413)</f>
        <v>1110266.712381003</v>
      </c>
      <c r="W414">
        <f>SUMIF($F$383:$F$413,"&lt;&gt;EV_*",$W$383:$W$413)</f>
        <v>172562.23596123516</v>
      </c>
      <c r="X414">
        <f>SUMIF($F$383:$F$413,"&lt;&gt;EV_*",$X$383:$X$413)</f>
        <v>0</v>
      </c>
    </row>
    <row r="415" spans="1:24" x14ac:dyDescent="0.25">
      <c r="A415" t="s">
        <v>1940</v>
      </c>
      <c r="B415" t="s">
        <v>1946</v>
      </c>
      <c r="C415" t="s">
        <v>1987</v>
      </c>
      <c r="D415" t="s">
        <v>102</v>
      </c>
      <c r="E415" t="s">
        <v>5</v>
      </c>
      <c r="F415" t="s">
        <v>5</v>
      </c>
      <c r="G415" t="s">
        <v>552</v>
      </c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</row>
    <row r="416" spans="1:24" x14ac:dyDescent="0.25">
      <c r="A416" t="s">
        <v>1940</v>
      </c>
      <c r="B416" t="s">
        <v>1946</v>
      </c>
      <c r="C416" t="s">
        <v>1987</v>
      </c>
      <c r="D416" t="s">
        <v>102</v>
      </c>
      <c r="E416" t="s">
        <v>11</v>
      </c>
      <c r="F416" t="s">
        <v>1</v>
      </c>
      <c r="G416" t="s">
        <v>553</v>
      </c>
      <c r="H416" t="s">
        <v>411</v>
      </c>
      <c r="I416" t="s">
        <v>1</v>
      </c>
      <c r="J416">
        <v>999.08</v>
      </c>
      <c r="K416">
        <v>889.31000000040001</v>
      </c>
      <c r="L416">
        <v>469.59</v>
      </c>
      <c r="M416">
        <v>946.96325966850827</v>
      </c>
      <c r="N416">
        <v>954.02</v>
      </c>
      <c r="O416">
        <v>939.18</v>
      </c>
      <c r="P416">
        <v>0</v>
      </c>
      <c r="Q416">
        <f>O416+P416</f>
        <v>939.18</v>
      </c>
      <c r="R416">
        <v>939.18</v>
      </c>
      <c r="S416">
        <f>IF(OR(LEFT(E416,2)="A_",LEFT(D416,5)="Total"),R416-Q416,"")</f>
        <v>0</v>
      </c>
      <c r="T416"/>
      <c r="U416">
        <f>IFERROR(R416*T416,R416*0)</f>
        <v>0</v>
      </c>
      <c r="V416">
        <f>IF(OR(LEFT(E416,2)="A_",LEFT(D416,5)="Total"),R416+U416,"")</f>
        <v>939.18</v>
      </c>
      <c r="W416">
        <f>IF(OR(LEFT(E416,2)="A_",LEFT(D416,5)="Total"),V416-Q416,"")</f>
        <v>0</v>
      </c>
      <c r="X416">
        <v>0</v>
      </c>
    </row>
    <row r="417" spans="1:24" x14ac:dyDescent="0.25">
      <c r="A417" t="s">
        <v>1940</v>
      </c>
      <c r="B417" t="s">
        <v>1946</v>
      </c>
      <c r="C417" t="s">
        <v>1987</v>
      </c>
      <c r="D417" t="s">
        <v>102</v>
      </c>
      <c r="E417" t="s">
        <v>18</v>
      </c>
      <c r="F417" t="s">
        <v>1</v>
      </c>
      <c r="G417" t="s">
        <v>553</v>
      </c>
      <c r="H417" t="s">
        <v>418</v>
      </c>
      <c r="I417" t="s">
        <v>1</v>
      </c>
      <c r="J417"/>
      <c r="K417"/>
      <c r="L417">
        <v>95.64</v>
      </c>
      <c r="M417">
        <v>192.86519337016577</v>
      </c>
      <c r="N417">
        <v>95.64</v>
      </c>
      <c r="O417">
        <v>192.33098901100001</v>
      </c>
      <c r="P417">
        <v>0</v>
      </c>
      <c r="Q417">
        <f>O417+P417</f>
        <v>192.33098901100001</v>
      </c>
      <c r="R417">
        <v>192.33098901100001</v>
      </c>
      <c r="S417">
        <f>IF(OR(LEFT(E417,2)="A_",LEFT(D417,5)="Total"),R417-Q417,"")</f>
        <v>0</v>
      </c>
      <c r="T417">
        <v>0.02</v>
      </c>
      <c r="U417">
        <f>IFERROR(R417*T417,R417*0)</f>
        <v>3.8466197802200002</v>
      </c>
      <c r="V417">
        <f>IF(OR(LEFT(E417,2)="A_",LEFT(D417,5)="Total"),R417+U417,"")</f>
        <v>196.17760879122002</v>
      </c>
      <c r="W417">
        <f>IF(OR(LEFT(E417,2)="A_",LEFT(D417,5)="Total"),V417-Q417,"")</f>
        <v>3.8466197802200099</v>
      </c>
      <c r="X417">
        <v>0</v>
      </c>
    </row>
    <row r="418" spans="1:24" x14ac:dyDescent="0.25">
      <c r="A418" t="s">
        <v>1940</v>
      </c>
      <c r="B418" t="s">
        <v>1946</v>
      </c>
      <c r="C418" t="s">
        <v>1987</v>
      </c>
      <c r="D418" t="s">
        <v>102</v>
      </c>
      <c r="E418" t="s">
        <v>27</v>
      </c>
      <c r="F418" t="s">
        <v>1</v>
      </c>
      <c r="G418" t="s">
        <v>553</v>
      </c>
      <c r="H418" t="s">
        <v>427</v>
      </c>
      <c r="I418" t="s">
        <v>1</v>
      </c>
      <c r="J418">
        <v>4302.13</v>
      </c>
      <c r="K418">
        <v>5420.0000000004002</v>
      </c>
      <c r="L418">
        <v>382.56</v>
      </c>
      <c r="M418">
        <v>771.46077348066308</v>
      </c>
      <c r="N418">
        <v>1499.3200000000002</v>
      </c>
      <c r="O418">
        <v>765.12</v>
      </c>
      <c r="P418">
        <v>0</v>
      </c>
      <c r="Q418">
        <f>O418+P418</f>
        <v>765.12</v>
      </c>
      <c r="R418">
        <v>765.12</v>
      </c>
      <c r="S418">
        <f>IF(OR(LEFT(E418,2)="A_",LEFT(D418,5)="Total"),R418-Q418,"")</f>
        <v>0</v>
      </c>
      <c r="T418"/>
      <c r="U418">
        <f>IFERROR(R418*T418,R418*0)</f>
        <v>0</v>
      </c>
      <c r="V418">
        <f>IF(OR(LEFT(E418,2)="A_",LEFT(D418,5)="Total"),R418+U418,"")</f>
        <v>765.12</v>
      </c>
      <c r="W418">
        <f>IF(OR(LEFT(E418,2)="A_",LEFT(D418,5)="Total"),V418-Q418,"")</f>
        <v>0</v>
      </c>
      <c r="X418">
        <v>0</v>
      </c>
    </row>
    <row r="419" spans="1:24" x14ac:dyDescent="0.25">
      <c r="A419" t="s">
        <v>1940</v>
      </c>
      <c r="B419" t="s">
        <v>1946</v>
      </c>
      <c r="C419" t="s">
        <v>1987</v>
      </c>
      <c r="D419" t="s">
        <v>102</v>
      </c>
      <c r="E419" t="s">
        <v>51</v>
      </c>
      <c r="F419" t="s">
        <v>51</v>
      </c>
      <c r="G419" t="s">
        <v>554</v>
      </c>
      <c r="H419"/>
      <c r="I419"/>
      <c r="J419">
        <v>5301.21</v>
      </c>
      <c r="K419">
        <v>6309.3100000007998</v>
      </c>
      <c r="L419">
        <v>947.79</v>
      </c>
      <c r="M419">
        <v>1911.2892265193373</v>
      </c>
      <c r="N419">
        <v>2548.9800000000005</v>
      </c>
      <c r="O419">
        <v>1896.6309890110001</v>
      </c>
      <c r="P419">
        <f>SUMIF($F$415:$F$418,"&lt;&gt;EV_*",$P$415:$P$418)</f>
        <v>0</v>
      </c>
      <c r="Q419">
        <f>SUMIF($F$415:$F$418,"&lt;&gt;EV_*",$Q$415:$Q$418)</f>
        <v>1896.6309890110001</v>
      </c>
      <c r="R419">
        <f>SUMIF($F$415:$F$418,"&lt;&gt;EV_*",$R$415:$R$418)</f>
        <v>1896.6309890110001</v>
      </c>
      <c r="S419">
        <f>SUMIF($F$415:$F$418,"&lt;&gt;EV_*",$S$415:$S$418)</f>
        <v>0</v>
      </c>
      <c r="T419">
        <v>0</v>
      </c>
      <c r="U419">
        <f>SUMIF($F$415:$F$418,"&lt;&gt;EV_*",$U$415:$U$418)</f>
        <v>3.8466197802200002</v>
      </c>
      <c r="V419">
        <f>SUMIF($F$415:$F$418,"&lt;&gt;EV_*",$V$415:$V$418)</f>
        <v>1900.4776087912201</v>
      </c>
      <c r="W419">
        <f>SUMIF($F$415:$F$418,"&lt;&gt;EV_*",$W$415:$W$418)</f>
        <v>3.8466197802200099</v>
      </c>
      <c r="X419">
        <f>SUMIF($F$415:$F$418,"&lt;&gt;EV_*",$X$415:$X$418)</f>
        <v>0</v>
      </c>
    </row>
    <row r="420" spans="1:24" x14ac:dyDescent="0.25">
      <c r="A420" t="s">
        <v>1940</v>
      </c>
      <c r="B420" t="s">
        <v>1982</v>
      </c>
      <c r="C420" t="s">
        <v>1988</v>
      </c>
      <c r="D420" t="s">
        <v>103</v>
      </c>
      <c r="E420" t="s">
        <v>5</v>
      </c>
      <c r="F420" t="s">
        <v>5</v>
      </c>
      <c r="G420" t="s">
        <v>555</v>
      </c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</row>
    <row r="421" spans="1:24" x14ac:dyDescent="0.25">
      <c r="A421" t="s">
        <v>1940</v>
      </c>
      <c r="B421" t="s">
        <v>1982</v>
      </c>
      <c r="C421" t="s">
        <v>1988</v>
      </c>
      <c r="D421" t="s">
        <v>103</v>
      </c>
      <c r="E421" t="s">
        <v>11</v>
      </c>
      <c r="F421" t="s">
        <v>1</v>
      </c>
      <c r="G421" t="s">
        <v>556</v>
      </c>
      <c r="H421" t="s">
        <v>411</v>
      </c>
      <c r="I421" t="s">
        <v>1</v>
      </c>
      <c r="J421">
        <v>10705.01</v>
      </c>
      <c r="K421">
        <v>10230.4900000008</v>
      </c>
      <c r="L421">
        <v>4960.5600000000004</v>
      </c>
      <c r="M421">
        <v>10003.339226519338</v>
      </c>
      <c r="N421">
        <v>10247.89</v>
      </c>
      <c r="O421">
        <v>9921.1200000000008</v>
      </c>
      <c r="P421">
        <v>0</v>
      </c>
      <c r="Q421">
        <f t="shared" ref="Q421:Q437" si="90">O421+P421</f>
        <v>9921.1200000000008</v>
      </c>
      <c r="R421">
        <v>9921</v>
      </c>
      <c r="S421">
        <f t="shared" ref="S421:S437" si="91">IF(OR(LEFT(E421,2)="A_",LEFT(D421,5)="Total"),R421-Q421,"")</f>
        <v>-0.12000000000080036</v>
      </c>
      <c r="T421"/>
      <c r="U421">
        <f t="shared" ref="U421:U437" si="92">IFERROR(R421*T421,R421*0)</f>
        <v>0</v>
      </c>
      <c r="V421">
        <f t="shared" ref="V421:V437" si="93">IF(OR(LEFT(E421,2)="A_",LEFT(D421,5)="Total"),R421+U421,"")</f>
        <v>9921</v>
      </c>
      <c r="W421">
        <f t="shared" ref="W421:W437" si="94">IF(OR(LEFT(E421,2)="A_",LEFT(D421,5)="Total"),V421-Q421,"")</f>
        <v>-0.12000000000080036</v>
      </c>
      <c r="X421">
        <v>0</v>
      </c>
    </row>
    <row r="422" spans="1:24" x14ac:dyDescent="0.25">
      <c r="A422" t="s">
        <v>1940</v>
      </c>
      <c r="B422" t="s">
        <v>1982</v>
      </c>
      <c r="C422" t="s">
        <v>1988</v>
      </c>
      <c r="D422" t="s">
        <v>103</v>
      </c>
      <c r="E422" t="s">
        <v>12</v>
      </c>
      <c r="F422" t="s">
        <v>1</v>
      </c>
      <c r="G422" t="s">
        <v>556</v>
      </c>
      <c r="H422" t="s">
        <v>412</v>
      </c>
      <c r="I422" t="s">
        <v>1</v>
      </c>
      <c r="J422">
        <v>8936</v>
      </c>
      <c r="K422">
        <v>8936.0000000004002</v>
      </c>
      <c r="L422">
        <v>8936</v>
      </c>
      <c r="M422">
        <v>18020.110497237569</v>
      </c>
      <c r="N422">
        <v>-4628</v>
      </c>
      <c r="O422">
        <v>17872</v>
      </c>
      <c r="P422">
        <v>0</v>
      </c>
      <c r="Q422">
        <f t="shared" si="90"/>
        <v>17872</v>
      </c>
      <c r="R422">
        <v>8936</v>
      </c>
      <c r="S422">
        <f t="shared" si="91"/>
        <v>-8936</v>
      </c>
      <c r="T422"/>
      <c r="U422">
        <f t="shared" si="92"/>
        <v>0</v>
      </c>
      <c r="V422">
        <f t="shared" si="93"/>
        <v>8936</v>
      </c>
      <c r="W422">
        <f t="shared" si="94"/>
        <v>-8936</v>
      </c>
      <c r="X422">
        <v>0</v>
      </c>
    </row>
    <row r="423" spans="1:24" x14ac:dyDescent="0.25">
      <c r="A423" t="s">
        <v>1940</v>
      </c>
      <c r="B423" t="s">
        <v>1982</v>
      </c>
      <c r="C423" t="s">
        <v>1988</v>
      </c>
      <c r="D423" t="s">
        <v>103</v>
      </c>
      <c r="E423" t="s">
        <v>18</v>
      </c>
      <c r="F423" t="s">
        <v>1</v>
      </c>
      <c r="G423" t="s">
        <v>556</v>
      </c>
      <c r="H423" t="s">
        <v>418</v>
      </c>
      <c r="I423" t="s">
        <v>1</v>
      </c>
      <c r="J423">
        <v>32784.910000000003</v>
      </c>
      <c r="K423">
        <v>39402.827347653401</v>
      </c>
      <c r="L423">
        <v>3149.23</v>
      </c>
      <c r="M423">
        <v>6350.6571823204422</v>
      </c>
      <c r="N423">
        <v>11553.14</v>
      </c>
      <c r="O423">
        <v>6333.0669230768999</v>
      </c>
      <c r="P423">
        <v>0</v>
      </c>
      <c r="Q423">
        <f t="shared" si="90"/>
        <v>6333.0669230768999</v>
      </c>
      <c r="R423">
        <v>6500</v>
      </c>
      <c r="S423">
        <f t="shared" si="91"/>
        <v>166.93307692310009</v>
      </c>
      <c r="T423">
        <v>0.02</v>
      </c>
      <c r="U423">
        <f t="shared" si="92"/>
        <v>130</v>
      </c>
      <c r="V423">
        <f t="shared" si="93"/>
        <v>6630</v>
      </c>
      <c r="W423">
        <f t="shared" si="94"/>
        <v>296.93307692310009</v>
      </c>
      <c r="X423">
        <v>0</v>
      </c>
    </row>
    <row r="424" spans="1:24" x14ac:dyDescent="0.25">
      <c r="A424" t="s">
        <v>1940</v>
      </c>
      <c r="B424" t="s">
        <v>1982</v>
      </c>
      <c r="C424" t="s">
        <v>1988</v>
      </c>
      <c r="D424" t="s">
        <v>103</v>
      </c>
      <c r="E424" t="s">
        <v>21</v>
      </c>
      <c r="F424" t="s">
        <v>1</v>
      </c>
      <c r="G424" t="s">
        <v>556</v>
      </c>
      <c r="H424" t="s">
        <v>421</v>
      </c>
      <c r="I424" t="s">
        <v>1</v>
      </c>
      <c r="J424">
        <v>1448.65</v>
      </c>
      <c r="K424">
        <v>1291.5699999998999</v>
      </c>
      <c r="L424">
        <v>466.52</v>
      </c>
      <c r="M424">
        <v>940.77237569060765</v>
      </c>
      <c r="N424">
        <v>1220.2099999999998</v>
      </c>
      <c r="O424">
        <v>940.77237569060003</v>
      </c>
      <c r="P424">
        <v>0</v>
      </c>
      <c r="Q424">
        <f t="shared" si="90"/>
        <v>940.77237569060003</v>
      </c>
      <c r="R424">
        <v>941</v>
      </c>
      <c r="S424">
        <f t="shared" si="91"/>
        <v>0.22762430939997103</v>
      </c>
      <c r="T424">
        <v>0.03</v>
      </c>
      <c r="U424">
        <f t="shared" si="92"/>
        <v>28.23</v>
      </c>
      <c r="V424">
        <f t="shared" si="93"/>
        <v>969.23</v>
      </c>
      <c r="W424">
        <f t="shared" si="94"/>
        <v>28.457624309399989</v>
      </c>
      <c r="X424">
        <v>0</v>
      </c>
    </row>
    <row r="425" spans="1:24" x14ac:dyDescent="0.25">
      <c r="A425" t="s">
        <v>1940</v>
      </c>
      <c r="B425" t="s">
        <v>1982</v>
      </c>
      <c r="C425" t="s">
        <v>1988</v>
      </c>
      <c r="D425" t="s">
        <v>103</v>
      </c>
      <c r="E425" t="s">
        <v>22</v>
      </c>
      <c r="F425" t="s">
        <v>1</v>
      </c>
      <c r="G425" t="s">
        <v>556</v>
      </c>
      <c r="H425" t="s">
        <v>422</v>
      </c>
      <c r="I425" t="s">
        <v>1</v>
      </c>
      <c r="J425">
        <v>37387.870000000003</v>
      </c>
      <c r="K425">
        <v>35562.6000000001</v>
      </c>
      <c r="L425">
        <v>6834.34</v>
      </c>
      <c r="M425">
        <v>13781.95635359116</v>
      </c>
      <c r="N425">
        <v>27040.390000000003</v>
      </c>
      <c r="O425">
        <v>13781.9563535912</v>
      </c>
      <c r="P425">
        <v>0</v>
      </c>
      <c r="Q425">
        <f t="shared" si="90"/>
        <v>13781.9563535912</v>
      </c>
      <c r="R425">
        <v>13000</v>
      </c>
      <c r="S425">
        <f t="shared" si="91"/>
        <v>-781.95635359120024</v>
      </c>
      <c r="T425">
        <v>3.5000000000000003E-2</v>
      </c>
      <c r="U425">
        <f t="shared" si="92"/>
        <v>455.00000000000006</v>
      </c>
      <c r="V425">
        <f t="shared" si="93"/>
        <v>13455</v>
      </c>
      <c r="W425">
        <f t="shared" si="94"/>
        <v>-326.95635359120024</v>
      </c>
      <c r="X425">
        <v>0</v>
      </c>
    </row>
    <row r="426" spans="1:24" x14ac:dyDescent="0.25">
      <c r="A426" t="s">
        <v>1940</v>
      </c>
      <c r="B426" t="s">
        <v>1982</v>
      </c>
      <c r="C426" t="s">
        <v>1988</v>
      </c>
      <c r="D426" t="s">
        <v>103</v>
      </c>
      <c r="E426" t="s">
        <v>23</v>
      </c>
      <c r="F426" t="s">
        <v>1</v>
      </c>
      <c r="G426" t="s">
        <v>556</v>
      </c>
      <c r="H426" t="s">
        <v>423</v>
      </c>
      <c r="I426" t="s">
        <v>1</v>
      </c>
      <c r="J426">
        <v>750.62</v>
      </c>
      <c r="K426">
        <v>1552.5000000001</v>
      </c>
      <c r="L426">
        <v>1076</v>
      </c>
      <c r="M426">
        <v>2169.8342541436464</v>
      </c>
      <c r="N426">
        <v>1076</v>
      </c>
      <c r="O426">
        <v>2169.8342541437</v>
      </c>
      <c r="P426">
        <v>0</v>
      </c>
      <c r="Q426">
        <f t="shared" si="90"/>
        <v>2169.8342541437</v>
      </c>
      <c r="R426">
        <v>2000</v>
      </c>
      <c r="S426">
        <f t="shared" si="91"/>
        <v>-169.83425414370004</v>
      </c>
      <c r="T426">
        <v>3.5000000000000003E-2</v>
      </c>
      <c r="U426">
        <f t="shared" si="92"/>
        <v>70</v>
      </c>
      <c r="V426">
        <f t="shared" si="93"/>
        <v>2070</v>
      </c>
      <c r="W426">
        <f t="shared" si="94"/>
        <v>-99.834254143700036</v>
      </c>
      <c r="X426">
        <v>0</v>
      </c>
    </row>
    <row r="427" spans="1:24" x14ac:dyDescent="0.25">
      <c r="A427" t="s">
        <v>1940</v>
      </c>
      <c r="B427" t="s">
        <v>1982</v>
      </c>
      <c r="C427" t="s">
        <v>1988</v>
      </c>
      <c r="D427" t="s">
        <v>103</v>
      </c>
      <c r="E427" t="s">
        <v>27</v>
      </c>
      <c r="F427" t="s">
        <v>1</v>
      </c>
      <c r="G427" t="s">
        <v>556</v>
      </c>
      <c r="H427" t="s">
        <v>427</v>
      </c>
      <c r="I427" t="s">
        <v>1</v>
      </c>
      <c r="J427">
        <v>1185.17</v>
      </c>
      <c r="K427">
        <v>1760.0000000004</v>
      </c>
      <c r="L427">
        <v>0</v>
      </c>
      <c r="M427">
        <v>0</v>
      </c>
      <c r="N427">
        <v>148.07</v>
      </c>
      <c r="O427"/>
      <c r="P427">
        <v>0</v>
      </c>
      <c r="Q427">
        <f t="shared" si="90"/>
        <v>0</v>
      </c>
      <c r="R427">
        <v>0</v>
      </c>
      <c r="S427">
        <f t="shared" si="91"/>
        <v>0</v>
      </c>
      <c r="T427"/>
      <c r="U427">
        <f t="shared" si="92"/>
        <v>0</v>
      </c>
      <c r="V427">
        <f t="shared" si="93"/>
        <v>0</v>
      </c>
      <c r="W427">
        <f t="shared" si="94"/>
        <v>0</v>
      </c>
      <c r="X427">
        <v>0</v>
      </c>
    </row>
    <row r="428" spans="1:24" x14ac:dyDescent="0.25">
      <c r="A428" t="s">
        <v>1940</v>
      </c>
      <c r="B428" t="s">
        <v>1982</v>
      </c>
      <c r="C428" t="s">
        <v>1988</v>
      </c>
      <c r="D428" t="s">
        <v>103</v>
      </c>
      <c r="E428" t="s">
        <v>28</v>
      </c>
      <c r="F428" t="s">
        <v>1</v>
      </c>
      <c r="G428" t="s">
        <v>556</v>
      </c>
      <c r="H428" t="s">
        <v>428</v>
      </c>
      <c r="I428" t="s">
        <v>1</v>
      </c>
      <c r="J428">
        <v>48243.4</v>
      </c>
      <c r="K428">
        <v>40500</v>
      </c>
      <c r="L428">
        <v>20654.14</v>
      </c>
      <c r="M428">
        <v>41650.61381215469</v>
      </c>
      <c r="N428">
        <v>48754.670000000006</v>
      </c>
      <c r="O428">
        <v>41308.28</v>
      </c>
      <c r="P428">
        <v>0</v>
      </c>
      <c r="Q428">
        <f t="shared" si="90"/>
        <v>41308.28</v>
      </c>
      <c r="R428">
        <v>43000</v>
      </c>
      <c r="S428">
        <f t="shared" si="91"/>
        <v>1691.7200000000012</v>
      </c>
      <c r="T428"/>
      <c r="U428">
        <f t="shared" si="92"/>
        <v>0</v>
      </c>
      <c r="V428">
        <f t="shared" si="93"/>
        <v>43000</v>
      </c>
      <c r="W428">
        <f t="shared" si="94"/>
        <v>1691.7200000000012</v>
      </c>
      <c r="X428">
        <v>0</v>
      </c>
    </row>
    <row r="429" spans="1:24" x14ac:dyDescent="0.25">
      <c r="A429" t="s">
        <v>1940</v>
      </c>
      <c r="B429" t="s">
        <v>1982</v>
      </c>
      <c r="C429" t="s">
        <v>1988</v>
      </c>
      <c r="D429" t="s">
        <v>103</v>
      </c>
      <c r="E429" t="s">
        <v>29</v>
      </c>
      <c r="F429" t="s">
        <v>1</v>
      </c>
      <c r="G429" t="s">
        <v>556</v>
      </c>
      <c r="H429" t="s">
        <v>429</v>
      </c>
      <c r="I429" t="s">
        <v>1</v>
      </c>
      <c r="J429">
        <v>408.3</v>
      </c>
      <c r="K429">
        <v>819.99999999960005</v>
      </c>
      <c r="L429">
        <v>217.1</v>
      </c>
      <c r="M429">
        <v>437.79834254143651</v>
      </c>
      <c r="N429">
        <v>498.35</v>
      </c>
      <c r="O429">
        <v>434.2</v>
      </c>
      <c r="P429">
        <v>0</v>
      </c>
      <c r="Q429">
        <f t="shared" si="90"/>
        <v>434.2</v>
      </c>
      <c r="R429">
        <v>434</v>
      </c>
      <c r="S429">
        <f t="shared" si="91"/>
        <v>-0.19999999999998863</v>
      </c>
      <c r="T429"/>
      <c r="U429">
        <f t="shared" si="92"/>
        <v>0</v>
      </c>
      <c r="V429">
        <f t="shared" si="93"/>
        <v>434</v>
      </c>
      <c r="W429">
        <f t="shared" si="94"/>
        <v>-0.19999999999998863</v>
      </c>
      <c r="X429">
        <v>0</v>
      </c>
    </row>
    <row r="430" spans="1:24" x14ac:dyDescent="0.25">
      <c r="A430" t="s">
        <v>1940</v>
      </c>
      <c r="B430" t="s">
        <v>1982</v>
      </c>
      <c r="C430" t="s">
        <v>1988</v>
      </c>
      <c r="D430" t="s">
        <v>103</v>
      </c>
      <c r="E430" t="s">
        <v>31</v>
      </c>
      <c r="F430" t="s">
        <v>1</v>
      </c>
      <c r="G430" t="s">
        <v>556</v>
      </c>
      <c r="H430" t="s">
        <v>431</v>
      </c>
      <c r="I430" t="s">
        <v>1</v>
      </c>
      <c r="J430">
        <v>6195.63</v>
      </c>
      <c r="K430">
        <v>624.99999999960005</v>
      </c>
      <c r="L430">
        <v>0</v>
      </c>
      <c r="M430">
        <v>0</v>
      </c>
      <c r="N430">
        <v>6195.63</v>
      </c>
      <c r="O430"/>
      <c r="P430">
        <v>0</v>
      </c>
      <c r="Q430">
        <f t="shared" si="90"/>
        <v>0</v>
      </c>
      <c r="R430">
        <v>0</v>
      </c>
      <c r="S430">
        <f t="shared" si="91"/>
        <v>0</v>
      </c>
      <c r="T430"/>
      <c r="U430">
        <f t="shared" si="92"/>
        <v>0</v>
      </c>
      <c r="V430">
        <f t="shared" si="93"/>
        <v>0</v>
      </c>
      <c r="W430">
        <f t="shared" si="94"/>
        <v>0</v>
      </c>
      <c r="X430">
        <v>0</v>
      </c>
    </row>
    <row r="431" spans="1:24" x14ac:dyDescent="0.25">
      <c r="A431" t="s">
        <v>1940</v>
      </c>
      <c r="B431" t="s">
        <v>1982</v>
      </c>
      <c r="C431" t="s">
        <v>1988</v>
      </c>
      <c r="D431" t="s">
        <v>103</v>
      </c>
      <c r="E431" t="s">
        <v>33</v>
      </c>
      <c r="F431" t="s">
        <v>1</v>
      </c>
      <c r="G431" t="s">
        <v>556</v>
      </c>
      <c r="H431" t="s">
        <v>433</v>
      </c>
      <c r="I431" t="s">
        <v>1</v>
      </c>
      <c r="J431">
        <v>3338.4</v>
      </c>
      <c r="K431">
        <v>2551.2197575656</v>
      </c>
      <c r="L431">
        <v>2383.71</v>
      </c>
      <c r="M431">
        <v>4806.9290055248621</v>
      </c>
      <c r="N431">
        <v>2492.7400000000002</v>
      </c>
      <c r="O431">
        <v>4767.42</v>
      </c>
      <c r="P431">
        <v>0</v>
      </c>
      <c r="Q431">
        <f t="shared" si="90"/>
        <v>4767.42</v>
      </c>
      <c r="R431">
        <v>2551</v>
      </c>
      <c r="S431">
        <f t="shared" si="91"/>
        <v>-2216.42</v>
      </c>
      <c r="T431"/>
      <c r="U431">
        <f t="shared" si="92"/>
        <v>0</v>
      </c>
      <c r="V431">
        <f t="shared" si="93"/>
        <v>2551</v>
      </c>
      <c r="W431">
        <f t="shared" si="94"/>
        <v>-2216.42</v>
      </c>
      <c r="X431" t="s">
        <v>1380</v>
      </c>
    </row>
    <row r="432" spans="1:24" x14ac:dyDescent="0.25">
      <c r="A432" t="s">
        <v>1940</v>
      </c>
      <c r="B432" t="s">
        <v>1982</v>
      </c>
      <c r="C432" t="s">
        <v>1988</v>
      </c>
      <c r="D432" t="s">
        <v>103</v>
      </c>
      <c r="E432" t="s">
        <v>34</v>
      </c>
      <c r="F432" t="s">
        <v>1</v>
      </c>
      <c r="G432" t="s">
        <v>556</v>
      </c>
      <c r="H432" t="s">
        <v>434</v>
      </c>
      <c r="I432" t="s">
        <v>1</v>
      </c>
      <c r="J432">
        <v>285.57</v>
      </c>
      <c r="K432">
        <v>1177.486041954</v>
      </c>
      <c r="L432">
        <v>146.41</v>
      </c>
      <c r="M432">
        <v>295.24668508287294</v>
      </c>
      <c r="N432">
        <v>146.41</v>
      </c>
      <c r="O432">
        <v>292.82</v>
      </c>
      <c r="P432">
        <v>0</v>
      </c>
      <c r="Q432">
        <f t="shared" si="90"/>
        <v>292.82</v>
      </c>
      <c r="R432">
        <v>293</v>
      </c>
      <c r="S432">
        <f t="shared" si="91"/>
        <v>0.18000000000000682</v>
      </c>
      <c r="T432"/>
      <c r="U432">
        <f t="shared" si="92"/>
        <v>0</v>
      </c>
      <c r="V432">
        <f t="shared" si="93"/>
        <v>293</v>
      </c>
      <c r="W432">
        <f t="shared" si="94"/>
        <v>0.18000000000000682</v>
      </c>
      <c r="X432">
        <v>0</v>
      </c>
    </row>
    <row r="433" spans="1:24" x14ac:dyDescent="0.25">
      <c r="A433" t="s">
        <v>1940</v>
      </c>
      <c r="B433" t="s">
        <v>1982</v>
      </c>
      <c r="C433" t="s">
        <v>1988</v>
      </c>
      <c r="D433" t="s">
        <v>103</v>
      </c>
      <c r="E433" t="s">
        <v>37</v>
      </c>
      <c r="F433" t="s">
        <v>1</v>
      </c>
      <c r="G433" t="s">
        <v>556</v>
      </c>
      <c r="H433" t="s">
        <v>437</v>
      </c>
      <c r="I433" t="s">
        <v>1</v>
      </c>
      <c r="J433">
        <v>20</v>
      </c>
      <c r="K433">
        <v>98.123836830000002</v>
      </c>
      <c r="L433">
        <v>156.91</v>
      </c>
      <c r="M433">
        <v>316.42071823204418</v>
      </c>
      <c r="N433">
        <v>156.91</v>
      </c>
      <c r="O433">
        <v>313.82</v>
      </c>
      <c r="P433">
        <v>0</v>
      </c>
      <c r="Q433">
        <f t="shared" si="90"/>
        <v>313.82</v>
      </c>
      <c r="R433">
        <v>300</v>
      </c>
      <c r="S433">
        <f t="shared" si="91"/>
        <v>-13.819999999999993</v>
      </c>
      <c r="T433"/>
      <c r="U433">
        <f t="shared" si="92"/>
        <v>0</v>
      </c>
      <c r="V433">
        <f t="shared" si="93"/>
        <v>300</v>
      </c>
      <c r="W433">
        <f t="shared" si="94"/>
        <v>-13.819999999999993</v>
      </c>
      <c r="X433">
        <v>0</v>
      </c>
    </row>
    <row r="434" spans="1:24" x14ac:dyDescent="0.25">
      <c r="A434" t="s">
        <v>1940</v>
      </c>
      <c r="B434" t="s">
        <v>1982</v>
      </c>
      <c r="C434" t="s">
        <v>1988</v>
      </c>
      <c r="D434" t="s">
        <v>103</v>
      </c>
      <c r="E434" t="s">
        <v>41</v>
      </c>
      <c r="F434" t="s">
        <v>1</v>
      </c>
      <c r="G434" t="s">
        <v>556</v>
      </c>
      <c r="H434" t="s">
        <v>441</v>
      </c>
      <c r="I434" t="s">
        <v>1</v>
      </c>
      <c r="J434">
        <v>175.33</v>
      </c>
      <c r="K434">
        <v>66.198774657599998</v>
      </c>
      <c r="L434">
        <v>671.27</v>
      </c>
      <c r="M434">
        <v>1353.6660220994474</v>
      </c>
      <c r="N434">
        <v>812.9</v>
      </c>
      <c r="O434">
        <v>1342.54</v>
      </c>
      <c r="P434">
        <v>0</v>
      </c>
      <c r="Q434">
        <f t="shared" si="90"/>
        <v>1342.54</v>
      </c>
      <c r="R434">
        <v>1343</v>
      </c>
      <c r="S434">
        <f t="shared" si="91"/>
        <v>0.46000000000003638</v>
      </c>
      <c r="T434">
        <v>0.03</v>
      </c>
      <c r="U434">
        <f t="shared" si="92"/>
        <v>40.29</v>
      </c>
      <c r="V434">
        <f t="shared" si="93"/>
        <v>1383.29</v>
      </c>
      <c r="W434">
        <f t="shared" si="94"/>
        <v>40.75</v>
      </c>
      <c r="X434">
        <v>0</v>
      </c>
    </row>
    <row r="435" spans="1:24" x14ac:dyDescent="0.25">
      <c r="A435" t="s">
        <v>1940</v>
      </c>
      <c r="B435" t="s">
        <v>1982</v>
      </c>
      <c r="C435" t="s">
        <v>1988</v>
      </c>
      <c r="D435" t="s">
        <v>103</v>
      </c>
      <c r="E435" t="s">
        <v>46</v>
      </c>
      <c r="F435" t="s">
        <v>1</v>
      </c>
      <c r="G435" t="s">
        <v>556</v>
      </c>
      <c r="H435" t="s">
        <v>446</v>
      </c>
      <c r="I435" t="s">
        <v>1</v>
      </c>
      <c r="J435">
        <v>7076.68</v>
      </c>
      <c r="K435"/>
      <c r="L435">
        <v>0</v>
      </c>
      <c r="M435">
        <v>0</v>
      </c>
      <c r="N435">
        <v>925.25</v>
      </c>
      <c r="O435"/>
      <c r="P435">
        <v>0</v>
      </c>
      <c r="Q435">
        <f t="shared" si="90"/>
        <v>0</v>
      </c>
      <c r="R435">
        <v>0</v>
      </c>
      <c r="S435">
        <f t="shared" si="91"/>
        <v>0</v>
      </c>
      <c r="T435">
        <v>0.03</v>
      </c>
      <c r="U435">
        <f t="shared" si="92"/>
        <v>0</v>
      </c>
      <c r="V435">
        <f t="shared" si="93"/>
        <v>0</v>
      </c>
      <c r="W435">
        <f t="shared" si="94"/>
        <v>0</v>
      </c>
      <c r="X435">
        <v>0</v>
      </c>
    </row>
    <row r="436" spans="1:24" x14ac:dyDescent="0.25">
      <c r="A436" t="s">
        <v>1940</v>
      </c>
      <c r="B436" t="s">
        <v>1982</v>
      </c>
      <c r="C436" t="s">
        <v>1988</v>
      </c>
      <c r="D436" t="s">
        <v>103</v>
      </c>
      <c r="E436" t="s">
        <v>48</v>
      </c>
      <c r="F436" t="s">
        <v>1</v>
      </c>
      <c r="G436" t="s">
        <v>556</v>
      </c>
      <c r="H436" t="s">
        <v>448</v>
      </c>
      <c r="I436" t="s">
        <v>1</v>
      </c>
      <c r="J436">
        <v>381.28</v>
      </c>
      <c r="K436">
        <v>228.99999999959999</v>
      </c>
      <c r="L436">
        <v>285.41000000000003</v>
      </c>
      <c r="M436">
        <v>575.55055248618794</v>
      </c>
      <c r="N436">
        <v>476.05999999999995</v>
      </c>
      <c r="O436">
        <v>570.82000000000005</v>
      </c>
      <c r="P436">
        <v>0</v>
      </c>
      <c r="Q436">
        <f t="shared" si="90"/>
        <v>570.82000000000005</v>
      </c>
      <c r="R436">
        <v>571</v>
      </c>
      <c r="S436">
        <f t="shared" si="91"/>
        <v>0.17999999999994998</v>
      </c>
      <c r="T436">
        <v>0.03</v>
      </c>
      <c r="U436">
        <f t="shared" si="92"/>
        <v>17.13</v>
      </c>
      <c r="V436">
        <f t="shared" si="93"/>
        <v>588.13</v>
      </c>
      <c r="W436">
        <f t="shared" si="94"/>
        <v>17.309999999999945</v>
      </c>
      <c r="X436">
        <v>0</v>
      </c>
    </row>
    <row r="437" spans="1:24" x14ac:dyDescent="0.25">
      <c r="A437" t="s">
        <v>1940</v>
      </c>
      <c r="B437" t="s">
        <v>1982</v>
      </c>
      <c r="C437" t="s">
        <v>1988</v>
      </c>
      <c r="D437" t="s">
        <v>103</v>
      </c>
      <c r="E437" t="s">
        <v>50</v>
      </c>
      <c r="F437" t="s">
        <v>1</v>
      </c>
      <c r="G437" t="s">
        <v>556</v>
      </c>
      <c r="H437" t="s">
        <v>450</v>
      </c>
      <c r="I437" t="s">
        <v>1</v>
      </c>
      <c r="J437">
        <v>735.81</v>
      </c>
      <c r="K437">
        <v>690</v>
      </c>
      <c r="L437">
        <v>964.71</v>
      </c>
      <c r="M437">
        <v>1945.4096685082875</v>
      </c>
      <c r="N437">
        <v>1372.86</v>
      </c>
      <c r="O437">
        <v>1945.4096685083</v>
      </c>
      <c r="P437">
        <v>0</v>
      </c>
      <c r="Q437">
        <f t="shared" si="90"/>
        <v>1945.4096685083</v>
      </c>
      <c r="R437">
        <v>1000</v>
      </c>
      <c r="S437">
        <f t="shared" si="91"/>
        <v>-945.4096685083</v>
      </c>
      <c r="T437"/>
      <c r="U437">
        <f t="shared" si="92"/>
        <v>0</v>
      </c>
      <c r="V437">
        <f t="shared" si="93"/>
        <v>1000</v>
      </c>
      <c r="W437">
        <f t="shared" si="94"/>
        <v>-945.4096685083</v>
      </c>
      <c r="X437">
        <v>0</v>
      </c>
    </row>
    <row r="438" spans="1:24" x14ac:dyDescent="0.25">
      <c r="A438" t="s">
        <v>1940</v>
      </c>
      <c r="B438" t="s">
        <v>1982</v>
      </c>
      <c r="C438" t="s">
        <v>1988</v>
      </c>
      <c r="D438" t="s">
        <v>103</v>
      </c>
      <c r="E438" t="s">
        <v>51</v>
      </c>
      <c r="F438" t="s">
        <v>51</v>
      </c>
      <c r="G438" t="s">
        <v>557</v>
      </c>
      <c r="H438"/>
      <c r="I438"/>
      <c r="J438">
        <v>160058.62999999998</v>
      </c>
      <c r="K438">
        <v>145493.01575866103</v>
      </c>
      <c r="L438">
        <v>50902.310000000005</v>
      </c>
      <c r="M438">
        <v>102648.3046961326</v>
      </c>
      <c r="N438">
        <v>108489.48000000003</v>
      </c>
      <c r="O438">
        <v>101994.05957501072</v>
      </c>
      <c r="P438">
        <f>SUMIF($F$420:$F$437,"&lt;&gt;EV_*",$P$420:$P$437)</f>
        <v>0</v>
      </c>
      <c r="Q438">
        <f>SUMIF($F$420:$F$437,"&lt;&gt;EV_*",$Q$420:$Q$437)</f>
        <v>101994.05957501072</v>
      </c>
      <c r="R438">
        <f>SUMIF($F$420:$F$437,"&lt;&gt;EV_*",$R$420:$R$437)</f>
        <v>90790</v>
      </c>
      <c r="S438">
        <f>SUMIF($F$420:$F$437,"&lt;&gt;EV_*",$S$420:$S$437)</f>
        <v>-11204.0595750107</v>
      </c>
      <c r="T438">
        <v>0</v>
      </c>
      <c r="U438">
        <f>SUMIF($F$420:$F$437,"&lt;&gt;EV_*",$U$420:$U$437)</f>
        <v>740.65</v>
      </c>
      <c r="V438">
        <f>SUMIF($F$420:$F$437,"&lt;&gt;EV_*",$V$420:$V$437)</f>
        <v>91530.65</v>
      </c>
      <c r="W438">
        <f>SUMIF($F$420:$F$437,"&lt;&gt;EV_*",$W$420:$W$437)</f>
        <v>-10463.409575010701</v>
      </c>
      <c r="X438">
        <f>SUMIF($F$420:$F$437,"&lt;&gt;EV_*",$X$420:$X$437)</f>
        <v>0</v>
      </c>
    </row>
    <row r="439" spans="1:24" x14ac:dyDescent="0.25">
      <c r="A439" t="s">
        <v>1989</v>
      </c>
      <c r="B439" t="s">
        <v>1989</v>
      </c>
      <c r="C439" t="s">
        <v>1990</v>
      </c>
      <c r="D439" t="s">
        <v>104</v>
      </c>
      <c r="E439" t="s">
        <v>5</v>
      </c>
      <c r="F439" t="s">
        <v>5</v>
      </c>
      <c r="G439" t="s">
        <v>558</v>
      </c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</row>
    <row r="440" spans="1:24" x14ac:dyDescent="0.25">
      <c r="A440" t="s">
        <v>1989</v>
      </c>
      <c r="B440" t="s">
        <v>1989</v>
      </c>
      <c r="C440" t="s">
        <v>1990</v>
      </c>
      <c r="D440" t="s">
        <v>104</v>
      </c>
      <c r="E440" t="s">
        <v>11</v>
      </c>
      <c r="F440" t="s">
        <v>1</v>
      </c>
      <c r="G440" t="s">
        <v>559</v>
      </c>
      <c r="H440" t="s">
        <v>411</v>
      </c>
      <c r="I440" t="s">
        <v>1</v>
      </c>
      <c r="J440">
        <v>2534.73</v>
      </c>
      <c r="K440">
        <v>2450.0000000004002</v>
      </c>
      <c r="L440">
        <v>1344.98</v>
      </c>
      <c r="M440">
        <v>2712.2524861878455</v>
      </c>
      <c r="N440">
        <v>2655.52</v>
      </c>
      <c r="O440">
        <v>2689.96</v>
      </c>
      <c r="P440">
        <v>0</v>
      </c>
      <c r="Q440">
        <f t="shared" ref="Q440:Q453" si="95">O440+P440</f>
        <v>2689.96</v>
      </c>
      <c r="R440">
        <v>2689.96</v>
      </c>
      <c r="S440">
        <f t="shared" ref="S440:S453" si="96">IF(OR(LEFT(E440,2)="A_",LEFT(D440,5)="Total"),R440-Q440,"")</f>
        <v>0</v>
      </c>
      <c r="T440"/>
      <c r="U440">
        <f t="shared" ref="U440:U453" si="97">IFERROR(R440*T440,R440*0)</f>
        <v>0</v>
      </c>
      <c r="V440">
        <f t="shared" ref="V440:V453" si="98">IF(OR(LEFT(E440,2)="A_",LEFT(D440,5)="Total"),R440+U440,"")</f>
        <v>2689.96</v>
      </c>
      <c r="W440">
        <f t="shared" ref="W440:W453" si="99">IF(OR(LEFT(E440,2)="A_",LEFT(D440,5)="Total"),V440-Q440,"")</f>
        <v>0</v>
      </c>
      <c r="X440" t="s">
        <v>1381</v>
      </c>
    </row>
    <row r="441" spans="1:24" x14ac:dyDescent="0.25">
      <c r="A441" t="s">
        <v>1989</v>
      </c>
      <c r="B441" t="s">
        <v>1989</v>
      </c>
      <c r="C441" t="s">
        <v>1990</v>
      </c>
      <c r="D441" t="s">
        <v>104</v>
      </c>
      <c r="E441" t="s">
        <v>12</v>
      </c>
      <c r="F441" t="s">
        <v>1</v>
      </c>
      <c r="G441" t="s">
        <v>559</v>
      </c>
      <c r="H441" t="s">
        <v>412</v>
      </c>
      <c r="I441" t="s">
        <v>1</v>
      </c>
      <c r="J441">
        <v>10500.03</v>
      </c>
      <c r="K441"/>
      <c r="L441">
        <v>472</v>
      </c>
      <c r="M441">
        <v>951.82320441988952</v>
      </c>
      <c r="N441">
        <v>3972.01</v>
      </c>
      <c r="O441">
        <v>944</v>
      </c>
      <c r="P441">
        <v>0</v>
      </c>
      <c r="Q441">
        <f t="shared" si="95"/>
        <v>944</v>
      </c>
      <c r="R441">
        <v>944</v>
      </c>
      <c r="S441">
        <f t="shared" si="96"/>
        <v>0</v>
      </c>
      <c r="T441"/>
      <c r="U441">
        <f t="shared" si="97"/>
        <v>0</v>
      </c>
      <c r="V441">
        <f t="shared" si="98"/>
        <v>944</v>
      </c>
      <c r="W441">
        <f t="shared" si="99"/>
        <v>0</v>
      </c>
      <c r="X441" t="s">
        <v>1382</v>
      </c>
    </row>
    <row r="442" spans="1:24" x14ac:dyDescent="0.25">
      <c r="A442" t="s">
        <v>1989</v>
      </c>
      <c r="B442" t="s">
        <v>1989</v>
      </c>
      <c r="C442" t="s">
        <v>1990</v>
      </c>
      <c r="D442" t="s">
        <v>104</v>
      </c>
      <c r="E442" t="s">
        <v>21</v>
      </c>
      <c r="F442" t="s">
        <v>1</v>
      </c>
      <c r="G442" t="s">
        <v>559</v>
      </c>
      <c r="H442" t="s">
        <v>421</v>
      </c>
      <c r="I442" t="s">
        <v>1</v>
      </c>
      <c r="J442">
        <v>291.88</v>
      </c>
      <c r="K442">
        <v>278.10000000010001</v>
      </c>
      <c r="L442">
        <v>269.38</v>
      </c>
      <c r="M442">
        <v>543.224861878453</v>
      </c>
      <c r="N442">
        <v>427.84999999999997</v>
      </c>
      <c r="O442">
        <v>543.22486187849995</v>
      </c>
      <c r="P442">
        <v>0</v>
      </c>
      <c r="Q442">
        <f t="shared" si="95"/>
        <v>543.22486187849995</v>
      </c>
      <c r="R442">
        <v>250</v>
      </c>
      <c r="S442">
        <f t="shared" si="96"/>
        <v>-293.22486187849995</v>
      </c>
      <c r="T442">
        <v>0.03</v>
      </c>
      <c r="U442">
        <f t="shared" si="97"/>
        <v>7.5</v>
      </c>
      <c r="V442">
        <f t="shared" si="98"/>
        <v>257.5</v>
      </c>
      <c r="W442">
        <f t="shared" si="99"/>
        <v>-285.72486187849995</v>
      </c>
      <c r="X442">
        <v>0</v>
      </c>
    </row>
    <row r="443" spans="1:24" x14ac:dyDescent="0.25">
      <c r="A443" t="s">
        <v>1989</v>
      </c>
      <c r="B443" t="s">
        <v>1989</v>
      </c>
      <c r="C443" t="s">
        <v>1990</v>
      </c>
      <c r="D443" t="s">
        <v>104</v>
      </c>
      <c r="E443" t="s">
        <v>22</v>
      </c>
      <c r="F443" t="s">
        <v>1</v>
      </c>
      <c r="G443" t="s">
        <v>559</v>
      </c>
      <c r="H443" t="s">
        <v>422</v>
      </c>
      <c r="I443" t="s">
        <v>1</v>
      </c>
      <c r="J443">
        <v>1218.75</v>
      </c>
      <c r="K443">
        <v>1904.4000000000999</v>
      </c>
      <c r="L443">
        <v>-734.55</v>
      </c>
      <c r="M443">
        <v>-1481.2748618784531</v>
      </c>
      <c r="N443">
        <v>-434.42999999999995</v>
      </c>
      <c r="O443">
        <v>-1481.2748618784999</v>
      </c>
      <c r="P443">
        <v>0</v>
      </c>
      <c r="Q443">
        <f t="shared" si="95"/>
        <v>-1481.2748618784999</v>
      </c>
      <c r="R443">
        <v>2324.4</v>
      </c>
      <c r="S443">
        <f t="shared" si="96"/>
        <v>3805.6748618785</v>
      </c>
      <c r="T443">
        <v>3.5000000000000003E-2</v>
      </c>
      <c r="U443">
        <f t="shared" si="97"/>
        <v>81.354000000000013</v>
      </c>
      <c r="V443">
        <f t="shared" si="98"/>
        <v>2405.7539999999999</v>
      </c>
      <c r="W443">
        <f t="shared" si="99"/>
        <v>3887.0288618784998</v>
      </c>
      <c r="X443">
        <v>0</v>
      </c>
    </row>
    <row r="444" spans="1:24" x14ac:dyDescent="0.25">
      <c r="A444" t="s">
        <v>1989</v>
      </c>
      <c r="B444" t="s">
        <v>1989</v>
      </c>
      <c r="C444" t="s">
        <v>1990</v>
      </c>
      <c r="D444" t="s">
        <v>104</v>
      </c>
      <c r="E444" t="s">
        <v>23</v>
      </c>
      <c r="F444" t="s">
        <v>1</v>
      </c>
      <c r="G444" t="s">
        <v>559</v>
      </c>
      <c r="H444" t="s">
        <v>423</v>
      </c>
      <c r="I444" t="s">
        <v>1</v>
      </c>
      <c r="J444">
        <v>6327.19</v>
      </c>
      <c r="K444">
        <v>8528.4</v>
      </c>
      <c r="L444">
        <v>2690.31</v>
      </c>
      <c r="M444">
        <v>5425.2107734806623</v>
      </c>
      <c r="N444">
        <v>4895.1100000000006</v>
      </c>
      <c r="O444">
        <v>5425.2107734806996</v>
      </c>
      <c r="P444">
        <v>0</v>
      </c>
      <c r="Q444">
        <f t="shared" si="95"/>
        <v>5425.2107734806996</v>
      </c>
      <c r="R444">
        <v>5425.2107734806996</v>
      </c>
      <c r="S444">
        <f t="shared" si="96"/>
        <v>0</v>
      </c>
      <c r="T444">
        <v>3.5000000000000003E-2</v>
      </c>
      <c r="U444">
        <f t="shared" si="97"/>
        <v>189.88237707182449</v>
      </c>
      <c r="V444">
        <f t="shared" si="98"/>
        <v>5615.0931505525241</v>
      </c>
      <c r="W444">
        <f t="shared" si="99"/>
        <v>189.88237707182452</v>
      </c>
      <c r="X444">
        <v>0</v>
      </c>
    </row>
    <row r="445" spans="1:24" x14ac:dyDescent="0.25">
      <c r="A445" t="s">
        <v>1989</v>
      </c>
      <c r="B445" t="s">
        <v>1989</v>
      </c>
      <c r="C445" t="s">
        <v>1990</v>
      </c>
      <c r="D445" t="s">
        <v>104</v>
      </c>
      <c r="E445" t="s">
        <v>26</v>
      </c>
      <c r="F445" t="s">
        <v>1</v>
      </c>
      <c r="G445" t="s">
        <v>559</v>
      </c>
      <c r="H445" t="s">
        <v>426</v>
      </c>
      <c r="I445" t="s">
        <v>1</v>
      </c>
      <c r="J445">
        <v>2948.69</v>
      </c>
      <c r="K445"/>
      <c r="L445">
        <v>0</v>
      </c>
      <c r="M445">
        <v>0</v>
      </c>
      <c r="N445">
        <v>0</v>
      </c>
      <c r="O445"/>
      <c r="P445">
        <v>0</v>
      </c>
      <c r="Q445">
        <f t="shared" si="95"/>
        <v>0</v>
      </c>
      <c r="R445">
        <v>0</v>
      </c>
      <c r="S445">
        <f t="shared" si="96"/>
        <v>0</v>
      </c>
      <c r="T445"/>
      <c r="U445">
        <f t="shared" si="97"/>
        <v>0</v>
      </c>
      <c r="V445">
        <f t="shared" si="98"/>
        <v>0</v>
      </c>
      <c r="W445">
        <f t="shared" si="99"/>
        <v>0</v>
      </c>
      <c r="X445">
        <v>0</v>
      </c>
    </row>
    <row r="446" spans="1:24" x14ac:dyDescent="0.25">
      <c r="A446" t="s">
        <v>1989</v>
      </c>
      <c r="B446" t="s">
        <v>1989</v>
      </c>
      <c r="C446" t="s">
        <v>1990</v>
      </c>
      <c r="D446" t="s">
        <v>104</v>
      </c>
      <c r="E446" t="s">
        <v>28</v>
      </c>
      <c r="F446" t="s">
        <v>1</v>
      </c>
      <c r="G446" t="s">
        <v>559</v>
      </c>
      <c r="H446" t="s">
        <v>428</v>
      </c>
      <c r="I446" t="s">
        <v>1</v>
      </c>
      <c r="J446">
        <v>63.9</v>
      </c>
      <c r="K446">
        <v>39.9999999996</v>
      </c>
      <c r="L446">
        <v>289.02</v>
      </c>
      <c r="M446">
        <v>582.83038674033151</v>
      </c>
      <c r="N446">
        <v>331.62</v>
      </c>
      <c r="O446">
        <v>578.04</v>
      </c>
      <c r="P446">
        <v>0</v>
      </c>
      <c r="Q446">
        <f t="shared" si="95"/>
        <v>578.04</v>
      </c>
      <c r="R446">
        <v>289</v>
      </c>
      <c r="S446">
        <f t="shared" si="96"/>
        <v>-289.03999999999996</v>
      </c>
      <c r="T446"/>
      <c r="U446">
        <f t="shared" si="97"/>
        <v>0</v>
      </c>
      <c r="V446">
        <f t="shared" si="98"/>
        <v>289</v>
      </c>
      <c r="W446">
        <f t="shared" si="99"/>
        <v>-289.03999999999996</v>
      </c>
      <c r="X446">
        <v>0</v>
      </c>
    </row>
    <row r="447" spans="1:24" x14ac:dyDescent="0.25">
      <c r="A447" t="s">
        <v>1989</v>
      </c>
      <c r="B447" t="s">
        <v>1989</v>
      </c>
      <c r="C447" t="s">
        <v>1990</v>
      </c>
      <c r="D447" t="s">
        <v>104</v>
      </c>
      <c r="E447" t="s">
        <v>29</v>
      </c>
      <c r="F447" t="s">
        <v>1</v>
      </c>
      <c r="G447" t="s">
        <v>559</v>
      </c>
      <c r="H447" t="s">
        <v>429</v>
      </c>
      <c r="I447" t="s">
        <v>1</v>
      </c>
      <c r="J447">
        <v>408.5</v>
      </c>
      <c r="K447">
        <v>219.99999999959999</v>
      </c>
      <c r="L447">
        <v>1799</v>
      </c>
      <c r="M447">
        <v>3627.8176795580107</v>
      </c>
      <c r="N447">
        <v>2207.5</v>
      </c>
      <c r="O447">
        <v>3598</v>
      </c>
      <c r="P447">
        <v>0</v>
      </c>
      <c r="Q447">
        <f t="shared" si="95"/>
        <v>3598</v>
      </c>
      <c r="R447">
        <v>1500</v>
      </c>
      <c r="S447">
        <f t="shared" si="96"/>
        <v>-2098</v>
      </c>
      <c r="T447"/>
      <c r="U447">
        <f t="shared" si="97"/>
        <v>0</v>
      </c>
      <c r="V447">
        <f t="shared" si="98"/>
        <v>1500</v>
      </c>
      <c r="W447">
        <f t="shared" si="99"/>
        <v>-2098</v>
      </c>
      <c r="X447" t="s">
        <v>1383</v>
      </c>
    </row>
    <row r="448" spans="1:24" x14ac:dyDescent="0.25">
      <c r="A448" t="s">
        <v>1989</v>
      </c>
      <c r="B448" t="s">
        <v>1989</v>
      </c>
      <c r="C448" t="s">
        <v>1990</v>
      </c>
      <c r="D448" t="s">
        <v>104</v>
      </c>
      <c r="E448" t="s">
        <v>31</v>
      </c>
      <c r="F448" t="s">
        <v>1</v>
      </c>
      <c r="G448" t="s">
        <v>559</v>
      </c>
      <c r="H448" t="s">
        <v>431</v>
      </c>
      <c r="I448" t="s">
        <v>1</v>
      </c>
      <c r="J448"/>
      <c r="K448">
        <v>744</v>
      </c>
      <c r="L448">
        <v>0</v>
      </c>
      <c r="M448">
        <v>0</v>
      </c>
      <c r="N448">
        <v>0</v>
      </c>
      <c r="O448"/>
      <c r="P448">
        <v>0</v>
      </c>
      <c r="Q448">
        <f t="shared" si="95"/>
        <v>0</v>
      </c>
      <c r="R448">
        <v>700</v>
      </c>
      <c r="S448">
        <f t="shared" si="96"/>
        <v>700</v>
      </c>
      <c r="T448"/>
      <c r="U448">
        <f t="shared" si="97"/>
        <v>0</v>
      </c>
      <c r="V448">
        <f t="shared" si="98"/>
        <v>700</v>
      </c>
      <c r="W448">
        <f t="shared" si="99"/>
        <v>700</v>
      </c>
      <c r="X448" t="s">
        <v>1384</v>
      </c>
    </row>
    <row r="449" spans="1:24" x14ac:dyDescent="0.25">
      <c r="A449" t="s">
        <v>1989</v>
      </c>
      <c r="B449" t="s">
        <v>1989</v>
      </c>
      <c r="C449" t="s">
        <v>1990</v>
      </c>
      <c r="D449" t="s">
        <v>104</v>
      </c>
      <c r="E449" t="s">
        <v>41</v>
      </c>
      <c r="F449" t="s">
        <v>1</v>
      </c>
      <c r="G449" t="s">
        <v>559</v>
      </c>
      <c r="H449" t="s">
        <v>441</v>
      </c>
      <c r="I449" t="s">
        <v>1</v>
      </c>
      <c r="J449">
        <v>116.19</v>
      </c>
      <c r="K449">
        <v>228.2384459196</v>
      </c>
      <c r="L449">
        <v>46.49</v>
      </c>
      <c r="M449">
        <v>93.750552486187843</v>
      </c>
      <c r="N449">
        <v>46.49</v>
      </c>
      <c r="O449">
        <v>92.98</v>
      </c>
      <c r="P449">
        <v>0</v>
      </c>
      <c r="Q449">
        <f t="shared" si="95"/>
        <v>92.98</v>
      </c>
      <c r="R449">
        <v>92.98</v>
      </c>
      <c r="S449">
        <f t="shared" si="96"/>
        <v>0</v>
      </c>
      <c r="T449">
        <v>0.03</v>
      </c>
      <c r="U449">
        <f t="shared" si="97"/>
        <v>2.7894000000000001</v>
      </c>
      <c r="V449">
        <f t="shared" si="98"/>
        <v>95.769400000000005</v>
      </c>
      <c r="W449">
        <f t="shared" si="99"/>
        <v>2.7894000000000005</v>
      </c>
      <c r="X449">
        <v>0</v>
      </c>
    </row>
    <row r="450" spans="1:24" x14ac:dyDescent="0.25">
      <c r="A450" t="s">
        <v>1989</v>
      </c>
      <c r="B450" t="s">
        <v>1989</v>
      </c>
      <c r="C450" t="s">
        <v>1990</v>
      </c>
      <c r="D450" t="s">
        <v>104</v>
      </c>
      <c r="E450" t="s">
        <v>42</v>
      </c>
      <c r="F450" t="s">
        <v>1</v>
      </c>
      <c r="G450" t="s">
        <v>559</v>
      </c>
      <c r="H450" t="s">
        <v>442</v>
      </c>
      <c r="I450" t="s">
        <v>1</v>
      </c>
      <c r="J450">
        <v>289172.36</v>
      </c>
      <c r="K450">
        <v>300590</v>
      </c>
      <c r="L450">
        <v>159915.54</v>
      </c>
      <c r="M450">
        <v>322481.61381215474</v>
      </c>
      <c r="N450">
        <v>300110.56</v>
      </c>
      <c r="O450">
        <v>319831.08</v>
      </c>
      <c r="P450">
        <v>0</v>
      </c>
      <c r="Q450">
        <f t="shared" si="95"/>
        <v>319831.08</v>
      </c>
      <c r="R450">
        <v>113608</v>
      </c>
      <c r="S450">
        <f t="shared" si="96"/>
        <v>-206223.08000000002</v>
      </c>
      <c r="T450">
        <v>0.03</v>
      </c>
      <c r="U450">
        <f t="shared" si="97"/>
        <v>3408.24</v>
      </c>
      <c r="V450">
        <f t="shared" si="98"/>
        <v>117016.24</v>
      </c>
      <c r="W450">
        <f t="shared" si="99"/>
        <v>-202814.84000000003</v>
      </c>
      <c r="X450" t="s">
        <v>1385</v>
      </c>
    </row>
    <row r="451" spans="1:24" x14ac:dyDescent="0.25">
      <c r="A451" t="s">
        <v>1989</v>
      </c>
      <c r="B451" t="s">
        <v>1989</v>
      </c>
      <c r="C451" t="s">
        <v>1990</v>
      </c>
      <c r="D451" t="s">
        <v>104</v>
      </c>
      <c r="E451" t="s">
        <v>43</v>
      </c>
      <c r="F451" t="s">
        <v>1</v>
      </c>
      <c r="G451" t="s">
        <v>559</v>
      </c>
      <c r="H451" t="s">
        <v>443</v>
      </c>
      <c r="I451" t="s">
        <v>1</v>
      </c>
      <c r="J451">
        <v>34310.160000000003</v>
      </c>
      <c r="K451">
        <v>49667.0000000004</v>
      </c>
      <c r="L451">
        <v>230</v>
      </c>
      <c r="M451">
        <v>463.81215469613261</v>
      </c>
      <c r="N451">
        <v>12130.5</v>
      </c>
      <c r="O451">
        <v>460</v>
      </c>
      <c r="P451">
        <v>0</v>
      </c>
      <c r="Q451">
        <f t="shared" si="95"/>
        <v>460</v>
      </c>
      <c r="R451">
        <v>10460</v>
      </c>
      <c r="S451">
        <f t="shared" si="96"/>
        <v>10000</v>
      </c>
      <c r="T451">
        <v>0.03</v>
      </c>
      <c r="U451">
        <f t="shared" si="97"/>
        <v>313.8</v>
      </c>
      <c r="V451">
        <f t="shared" si="98"/>
        <v>10773.8</v>
      </c>
      <c r="W451">
        <f t="shared" si="99"/>
        <v>10313.799999999999</v>
      </c>
      <c r="X451" t="s">
        <v>1386</v>
      </c>
    </row>
    <row r="452" spans="1:24" x14ac:dyDescent="0.25">
      <c r="A452" t="s">
        <v>1989</v>
      </c>
      <c r="B452" t="s">
        <v>1989</v>
      </c>
      <c r="C452" t="s">
        <v>1990</v>
      </c>
      <c r="D452" t="s">
        <v>104</v>
      </c>
      <c r="E452" t="s">
        <v>46</v>
      </c>
      <c r="F452" t="s">
        <v>1</v>
      </c>
      <c r="G452" t="s">
        <v>559</v>
      </c>
      <c r="H452" t="s">
        <v>446</v>
      </c>
      <c r="I452" t="s">
        <v>1</v>
      </c>
      <c r="J452">
        <v>6916.42</v>
      </c>
      <c r="K452"/>
      <c r="L452">
        <v>2850.46</v>
      </c>
      <c r="M452">
        <v>5748.165193370166</v>
      </c>
      <c r="N452">
        <v>3579.48</v>
      </c>
      <c r="O452">
        <v>5700.92</v>
      </c>
      <c r="P452">
        <v>0</v>
      </c>
      <c r="Q452">
        <f t="shared" si="95"/>
        <v>5700.92</v>
      </c>
      <c r="R452">
        <v>5700.92</v>
      </c>
      <c r="S452">
        <f t="shared" si="96"/>
        <v>0</v>
      </c>
      <c r="T452">
        <v>0.03</v>
      </c>
      <c r="U452">
        <f t="shared" si="97"/>
        <v>171.02760000000001</v>
      </c>
      <c r="V452">
        <f t="shared" si="98"/>
        <v>5871.9476000000004</v>
      </c>
      <c r="W452">
        <f t="shared" si="99"/>
        <v>171.02760000000035</v>
      </c>
      <c r="X452" t="s">
        <v>1387</v>
      </c>
    </row>
    <row r="453" spans="1:24" x14ac:dyDescent="0.25">
      <c r="A453" t="s">
        <v>1989</v>
      </c>
      <c r="B453" t="s">
        <v>1989</v>
      </c>
      <c r="C453" t="s">
        <v>1990</v>
      </c>
      <c r="D453" t="s">
        <v>104</v>
      </c>
      <c r="E453" t="s">
        <v>50</v>
      </c>
      <c r="F453" t="s">
        <v>1</v>
      </c>
      <c r="G453" t="s">
        <v>559</v>
      </c>
      <c r="H453" t="s">
        <v>450</v>
      </c>
      <c r="I453" t="s">
        <v>1</v>
      </c>
      <c r="J453">
        <v>4779.6499999999996</v>
      </c>
      <c r="K453">
        <v>4580.0000000004002</v>
      </c>
      <c r="L453">
        <v>2624.05</v>
      </c>
      <c r="M453">
        <v>5291.5925414364647</v>
      </c>
      <c r="N453">
        <v>5104.75</v>
      </c>
      <c r="O453">
        <v>5291.5925414365001</v>
      </c>
      <c r="P453">
        <v>0</v>
      </c>
      <c r="Q453">
        <f t="shared" si="95"/>
        <v>5291.5925414365001</v>
      </c>
      <c r="R453">
        <v>5253</v>
      </c>
      <c r="S453">
        <f t="shared" si="96"/>
        <v>-38.592541436500142</v>
      </c>
      <c r="T453"/>
      <c r="U453">
        <f t="shared" si="97"/>
        <v>0</v>
      </c>
      <c r="V453">
        <f t="shared" si="98"/>
        <v>5253</v>
      </c>
      <c r="W453">
        <f t="shared" si="99"/>
        <v>-38.592541436500142</v>
      </c>
      <c r="X453" t="s">
        <v>1388</v>
      </c>
    </row>
    <row r="454" spans="1:24" x14ac:dyDescent="0.25">
      <c r="A454" t="s">
        <v>1989</v>
      </c>
      <c r="B454" t="s">
        <v>1989</v>
      </c>
      <c r="C454" t="s">
        <v>1990</v>
      </c>
      <c r="D454" t="s">
        <v>104</v>
      </c>
      <c r="E454" t="s">
        <v>51</v>
      </c>
      <c r="F454" t="s">
        <v>51</v>
      </c>
      <c r="G454" t="s">
        <v>560</v>
      </c>
      <c r="H454"/>
      <c r="I454"/>
      <c r="J454">
        <v>359588.45</v>
      </c>
      <c r="K454">
        <v>369230.13844592019</v>
      </c>
      <c r="L454">
        <v>171796.68</v>
      </c>
      <c r="M454">
        <v>346440.81878453051</v>
      </c>
      <c r="N454">
        <v>335026.95999999996</v>
      </c>
      <c r="O454">
        <v>343673.73331491719</v>
      </c>
      <c r="P454">
        <f>SUMIF($F$439:$F$453,"&lt;&gt;EV_*",$P$439:$P$453)</f>
        <v>0</v>
      </c>
      <c r="Q454">
        <f>SUMIF($F$439:$F$453,"&lt;&gt;EV_*",$Q$439:$Q$453)</f>
        <v>343673.73331491719</v>
      </c>
      <c r="R454">
        <f>SUMIF($F$439:$F$453,"&lt;&gt;EV_*",$R$439:$R$453)</f>
        <v>149237.47077348072</v>
      </c>
      <c r="S454">
        <f>SUMIF($F$439:$F$453,"&lt;&gt;EV_*",$S$439:$S$453)</f>
        <v>-194436.2625414365</v>
      </c>
      <c r="T454">
        <v>0</v>
      </c>
      <c r="U454">
        <f>SUMIF($F$439:$F$453,"&lt;&gt;EV_*",$U$439:$U$453)</f>
        <v>4174.5933770718248</v>
      </c>
      <c r="V454">
        <f>SUMIF($F$439:$F$453,"&lt;&gt;EV_*",$V$439:$V$453)</f>
        <v>153412.06415055253</v>
      </c>
      <c r="W454">
        <f>SUMIF($F$439:$F$453,"&lt;&gt;EV_*",$W$439:$W$453)</f>
        <v>-190261.66916436469</v>
      </c>
      <c r="X454">
        <f>SUMIF($F$439:$F$453,"&lt;&gt;EV_*",$X$439:$X$453)</f>
        <v>0</v>
      </c>
    </row>
    <row r="455" spans="1:24" x14ac:dyDescent="0.25">
      <c r="A455" t="s">
        <v>1925</v>
      </c>
      <c r="B455" t="s">
        <v>1926</v>
      </c>
      <c r="C455" t="s">
        <v>1991</v>
      </c>
      <c r="D455" t="s">
        <v>105</v>
      </c>
      <c r="E455" t="s">
        <v>5</v>
      </c>
      <c r="F455" t="s">
        <v>5</v>
      </c>
      <c r="G455" t="s">
        <v>561</v>
      </c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</row>
    <row r="456" spans="1:24" x14ac:dyDescent="0.25">
      <c r="A456" t="s">
        <v>1925</v>
      </c>
      <c r="B456" t="s">
        <v>1926</v>
      </c>
      <c r="C456" t="s">
        <v>1991</v>
      </c>
      <c r="D456" t="s">
        <v>105</v>
      </c>
      <c r="E456" t="s">
        <v>6</v>
      </c>
      <c r="F456" t="s">
        <v>1</v>
      </c>
      <c r="G456" t="s">
        <v>562</v>
      </c>
      <c r="H456" t="s">
        <v>406</v>
      </c>
      <c r="I456" t="s">
        <v>1</v>
      </c>
      <c r="J456">
        <v>184486.28</v>
      </c>
      <c r="K456">
        <v>240000</v>
      </c>
      <c r="L456">
        <v>93000</v>
      </c>
      <c r="M456">
        <v>187541.43646408839</v>
      </c>
      <c r="N456">
        <v>186205</v>
      </c>
      <c r="O456">
        <v>186000</v>
      </c>
      <c r="P456">
        <v>50000</v>
      </c>
      <c r="Q456">
        <f t="shared" ref="Q456:Q494" si="100">O456+P456</f>
        <v>236000</v>
      </c>
      <c r="R456">
        <v>256000</v>
      </c>
      <c r="S456">
        <f t="shared" ref="S456:S494" si="101">IF(OR(LEFT(E456,2)="A_",LEFT(D456,5)="Total"),R456-Q456,"")</f>
        <v>20000</v>
      </c>
      <c r="T456"/>
      <c r="U456">
        <f t="shared" ref="U456:U494" si="102">IFERROR(R456*T456,R456*0)</f>
        <v>0</v>
      </c>
      <c r="V456">
        <f t="shared" ref="V456:V494" si="103">IF(OR(LEFT(E456,2)="A_",LEFT(D456,5)="Total"),R456+U456,"")</f>
        <v>256000</v>
      </c>
      <c r="W456">
        <f t="shared" ref="W456:W494" si="104">IF(OR(LEFT(E456,2)="A_",LEFT(D456,5)="Total"),V456-Q456,"")</f>
        <v>20000</v>
      </c>
      <c r="X456" t="s">
        <v>1389</v>
      </c>
    </row>
    <row r="457" spans="1:24" x14ac:dyDescent="0.25">
      <c r="A457" t="s">
        <v>1925</v>
      </c>
      <c r="B457" t="s">
        <v>1926</v>
      </c>
      <c r="C457" t="s">
        <v>1991</v>
      </c>
      <c r="D457" t="s">
        <v>105</v>
      </c>
      <c r="E457" t="s">
        <v>7</v>
      </c>
      <c r="F457" t="s">
        <v>1</v>
      </c>
      <c r="G457" t="s">
        <v>562</v>
      </c>
      <c r="H457" t="s">
        <v>407</v>
      </c>
      <c r="I457" t="s">
        <v>1</v>
      </c>
      <c r="J457">
        <v>563.86</v>
      </c>
      <c r="K457">
        <v>1128</v>
      </c>
      <c r="L457">
        <v>0</v>
      </c>
      <c r="M457">
        <v>0</v>
      </c>
      <c r="N457">
        <v>0</v>
      </c>
      <c r="O457"/>
      <c r="P457">
        <v>0</v>
      </c>
      <c r="Q457">
        <f t="shared" si="100"/>
        <v>0</v>
      </c>
      <c r="R457">
        <v>0</v>
      </c>
      <c r="S457">
        <f t="shared" si="101"/>
        <v>0</v>
      </c>
      <c r="T457"/>
      <c r="U457">
        <f t="shared" si="102"/>
        <v>0</v>
      </c>
      <c r="V457">
        <f t="shared" si="103"/>
        <v>0</v>
      </c>
      <c r="W457">
        <f t="shared" si="104"/>
        <v>0</v>
      </c>
      <c r="X457">
        <v>0</v>
      </c>
    </row>
    <row r="458" spans="1:24" x14ac:dyDescent="0.25">
      <c r="A458" t="s">
        <v>1925</v>
      </c>
      <c r="B458" t="s">
        <v>1926</v>
      </c>
      <c r="C458" t="s">
        <v>1991</v>
      </c>
      <c r="D458" t="s">
        <v>105</v>
      </c>
      <c r="E458" t="s">
        <v>8</v>
      </c>
      <c r="F458" t="s">
        <v>1</v>
      </c>
      <c r="G458" t="s">
        <v>562</v>
      </c>
      <c r="H458" t="s">
        <v>408</v>
      </c>
      <c r="I458" t="s">
        <v>1</v>
      </c>
      <c r="J458">
        <v>123.5</v>
      </c>
      <c r="K458"/>
      <c r="L458">
        <v>91.1</v>
      </c>
      <c r="M458">
        <v>183.70994475138119</v>
      </c>
      <c r="N458">
        <v>214.6</v>
      </c>
      <c r="O458">
        <v>183.7099447514</v>
      </c>
      <c r="P458">
        <v>0</v>
      </c>
      <c r="Q458">
        <f t="shared" si="100"/>
        <v>183.7099447514</v>
      </c>
      <c r="R458">
        <v>0</v>
      </c>
      <c r="S458">
        <f t="shared" si="101"/>
        <v>-183.7099447514</v>
      </c>
      <c r="T458"/>
      <c r="U458">
        <f t="shared" si="102"/>
        <v>0</v>
      </c>
      <c r="V458">
        <f t="shared" si="103"/>
        <v>0</v>
      </c>
      <c r="W458">
        <f t="shared" si="104"/>
        <v>-183.7099447514</v>
      </c>
      <c r="X458">
        <v>0</v>
      </c>
    </row>
    <row r="459" spans="1:24" x14ac:dyDescent="0.25">
      <c r="A459" t="s">
        <v>1925</v>
      </c>
      <c r="B459" t="s">
        <v>1926</v>
      </c>
      <c r="C459" t="s">
        <v>1991</v>
      </c>
      <c r="D459" t="s">
        <v>105</v>
      </c>
      <c r="E459" t="s">
        <v>9</v>
      </c>
      <c r="F459" t="s">
        <v>1</v>
      </c>
      <c r="G459" t="s">
        <v>562</v>
      </c>
      <c r="H459" t="s">
        <v>409</v>
      </c>
      <c r="I459" t="s">
        <v>1</v>
      </c>
      <c r="J459">
        <v>91104</v>
      </c>
      <c r="K459">
        <v>91104</v>
      </c>
      <c r="L459">
        <v>45552</v>
      </c>
      <c r="M459">
        <v>91859.005524861874</v>
      </c>
      <c r="N459">
        <v>91104</v>
      </c>
      <c r="O459">
        <v>91104</v>
      </c>
      <c r="P459">
        <v>0</v>
      </c>
      <c r="Q459">
        <f t="shared" si="100"/>
        <v>91104</v>
      </c>
      <c r="R459">
        <v>91104</v>
      </c>
      <c r="S459">
        <f t="shared" si="101"/>
        <v>0</v>
      </c>
      <c r="T459"/>
      <c r="U459">
        <f t="shared" si="102"/>
        <v>0</v>
      </c>
      <c r="V459">
        <f t="shared" si="103"/>
        <v>91104</v>
      </c>
      <c r="W459">
        <f t="shared" si="104"/>
        <v>0</v>
      </c>
      <c r="X459" t="s">
        <v>1390</v>
      </c>
    </row>
    <row r="460" spans="1:24" x14ac:dyDescent="0.25">
      <c r="A460" t="s">
        <v>1925</v>
      </c>
      <c r="B460" t="s">
        <v>1926</v>
      </c>
      <c r="C460" t="s">
        <v>1991</v>
      </c>
      <c r="D460" t="s">
        <v>105</v>
      </c>
      <c r="E460" t="s">
        <v>11</v>
      </c>
      <c r="F460" t="s">
        <v>1</v>
      </c>
      <c r="G460" t="s">
        <v>562</v>
      </c>
      <c r="H460" t="s">
        <v>411</v>
      </c>
      <c r="I460" t="s">
        <v>1</v>
      </c>
      <c r="J460">
        <v>5685.68</v>
      </c>
      <c r="K460">
        <v>5655</v>
      </c>
      <c r="L460">
        <v>2837.76</v>
      </c>
      <c r="M460">
        <v>5722.5546961325972</v>
      </c>
      <c r="N460">
        <v>5695.8600000000006</v>
      </c>
      <c r="O460">
        <v>5675.52</v>
      </c>
      <c r="P460">
        <v>0</v>
      </c>
      <c r="Q460">
        <f t="shared" si="100"/>
        <v>5675.52</v>
      </c>
      <c r="R460">
        <v>5675.52</v>
      </c>
      <c r="S460">
        <f t="shared" si="101"/>
        <v>0</v>
      </c>
      <c r="T460"/>
      <c r="U460">
        <f t="shared" si="102"/>
        <v>0</v>
      </c>
      <c r="V460">
        <f t="shared" si="103"/>
        <v>5675.52</v>
      </c>
      <c r="W460">
        <f t="shared" si="104"/>
        <v>0</v>
      </c>
      <c r="X460">
        <v>0</v>
      </c>
    </row>
    <row r="461" spans="1:24" x14ac:dyDescent="0.25">
      <c r="A461" t="s">
        <v>1925</v>
      </c>
      <c r="B461" t="s">
        <v>1926</v>
      </c>
      <c r="C461" t="s">
        <v>1991</v>
      </c>
      <c r="D461" t="s">
        <v>105</v>
      </c>
      <c r="E461" t="s">
        <v>12</v>
      </c>
      <c r="F461" t="s">
        <v>1</v>
      </c>
      <c r="G461" t="s">
        <v>562</v>
      </c>
      <c r="H461" t="s">
        <v>412</v>
      </c>
      <c r="I461" t="s">
        <v>1</v>
      </c>
      <c r="J461"/>
      <c r="K461"/>
      <c r="L461">
        <v>2628</v>
      </c>
      <c r="M461">
        <v>5299.558011049724</v>
      </c>
      <c r="N461">
        <v>2628</v>
      </c>
      <c r="O461">
        <v>5256</v>
      </c>
      <c r="P461">
        <v>0</v>
      </c>
      <c r="Q461">
        <f t="shared" si="100"/>
        <v>5256</v>
      </c>
      <c r="R461">
        <v>30000</v>
      </c>
      <c r="S461">
        <f t="shared" si="101"/>
        <v>24744</v>
      </c>
      <c r="T461"/>
      <c r="U461">
        <f t="shared" si="102"/>
        <v>0</v>
      </c>
      <c r="V461">
        <f t="shared" si="103"/>
        <v>30000</v>
      </c>
      <c r="W461">
        <f t="shared" si="104"/>
        <v>24744</v>
      </c>
      <c r="X461" t="s">
        <v>1391</v>
      </c>
    </row>
    <row r="462" spans="1:24" x14ac:dyDescent="0.25">
      <c r="A462" t="s">
        <v>1925</v>
      </c>
      <c r="B462" t="s">
        <v>1926</v>
      </c>
      <c r="C462" t="s">
        <v>1991</v>
      </c>
      <c r="D462" t="s">
        <v>105</v>
      </c>
      <c r="E462" t="s">
        <v>13</v>
      </c>
      <c r="F462" t="s">
        <v>1</v>
      </c>
      <c r="G462" t="s">
        <v>562</v>
      </c>
      <c r="H462" t="s">
        <v>413</v>
      </c>
      <c r="I462" t="s">
        <v>1</v>
      </c>
      <c r="J462">
        <v>163.93</v>
      </c>
      <c r="K462"/>
      <c r="L462">
        <v>105.09</v>
      </c>
      <c r="M462">
        <v>211.92182320441989</v>
      </c>
      <c r="N462">
        <v>269.02</v>
      </c>
      <c r="O462">
        <v>210.18</v>
      </c>
      <c r="P462">
        <v>0</v>
      </c>
      <c r="Q462">
        <f t="shared" si="100"/>
        <v>210.18</v>
      </c>
      <c r="R462">
        <v>210.18</v>
      </c>
      <c r="S462">
        <f t="shared" si="101"/>
        <v>0</v>
      </c>
      <c r="T462"/>
      <c r="U462">
        <f t="shared" si="102"/>
        <v>0</v>
      </c>
      <c r="V462">
        <f t="shared" si="103"/>
        <v>210.18</v>
      </c>
      <c r="W462">
        <f t="shared" si="104"/>
        <v>0</v>
      </c>
      <c r="X462">
        <v>0</v>
      </c>
    </row>
    <row r="463" spans="1:24" x14ac:dyDescent="0.25">
      <c r="A463" t="s">
        <v>1925</v>
      </c>
      <c r="B463" t="s">
        <v>1926</v>
      </c>
      <c r="C463" t="s">
        <v>1991</v>
      </c>
      <c r="D463" t="s">
        <v>105</v>
      </c>
      <c r="E463" t="s">
        <v>16</v>
      </c>
      <c r="F463" t="s">
        <v>1</v>
      </c>
      <c r="G463" t="s">
        <v>562</v>
      </c>
      <c r="H463" t="s">
        <v>416</v>
      </c>
      <c r="I463" t="s">
        <v>1</v>
      </c>
      <c r="J463">
        <v>1571.62</v>
      </c>
      <c r="K463">
        <v>3143.0003999999999</v>
      </c>
      <c r="L463">
        <v>0</v>
      </c>
      <c r="M463">
        <v>0</v>
      </c>
      <c r="N463">
        <v>0</v>
      </c>
      <c r="O463"/>
      <c r="P463">
        <v>0</v>
      </c>
      <c r="Q463">
        <f t="shared" si="100"/>
        <v>0</v>
      </c>
      <c r="R463">
        <v>0</v>
      </c>
      <c r="S463">
        <f t="shared" si="101"/>
        <v>0</v>
      </c>
      <c r="T463"/>
      <c r="U463">
        <f t="shared" si="102"/>
        <v>0</v>
      </c>
      <c r="V463">
        <f t="shared" si="103"/>
        <v>0</v>
      </c>
      <c r="W463">
        <f t="shared" si="104"/>
        <v>0</v>
      </c>
      <c r="X463">
        <v>0</v>
      </c>
    </row>
    <row r="464" spans="1:24" x14ac:dyDescent="0.25">
      <c r="A464" t="s">
        <v>1925</v>
      </c>
      <c r="B464" t="s">
        <v>1926</v>
      </c>
      <c r="C464" t="s">
        <v>1991</v>
      </c>
      <c r="D464" t="s">
        <v>105</v>
      </c>
      <c r="E464" t="s">
        <v>17</v>
      </c>
      <c r="F464" t="s">
        <v>1</v>
      </c>
      <c r="G464" t="s">
        <v>562</v>
      </c>
      <c r="H464" t="s">
        <v>417</v>
      </c>
      <c r="I464" t="s">
        <v>1</v>
      </c>
      <c r="J464"/>
      <c r="K464"/>
      <c r="L464">
        <v>-3.71</v>
      </c>
      <c r="M464">
        <v>-7.4814917127071823</v>
      </c>
      <c r="N464">
        <v>-3.71</v>
      </c>
      <c r="O464">
        <v>-7.4607692308000004</v>
      </c>
      <c r="P464">
        <v>0</v>
      </c>
      <c r="Q464">
        <f t="shared" si="100"/>
        <v>-7.4607692308000004</v>
      </c>
      <c r="R464">
        <v>-7.4607692308000004</v>
      </c>
      <c r="S464">
        <f t="shared" si="101"/>
        <v>0</v>
      </c>
      <c r="T464"/>
      <c r="U464">
        <f t="shared" si="102"/>
        <v>0</v>
      </c>
      <c r="V464">
        <f t="shared" si="103"/>
        <v>-7.4607692308000004</v>
      </c>
      <c r="W464">
        <f t="shared" si="104"/>
        <v>0</v>
      </c>
      <c r="X464">
        <v>0</v>
      </c>
    </row>
    <row r="465" spans="1:24" x14ac:dyDescent="0.25">
      <c r="A465" t="s">
        <v>1925</v>
      </c>
      <c r="B465" t="s">
        <v>1926</v>
      </c>
      <c r="C465" t="s">
        <v>1991</v>
      </c>
      <c r="D465" t="s">
        <v>105</v>
      </c>
      <c r="E465" t="s">
        <v>21</v>
      </c>
      <c r="F465" t="s">
        <v>1</v>
      </c>
      <c r="G465" t="s">
        <v>562</v>
      </c>
      <c r="H465" t="s">
        <v>421</v>
      </c>
      <c r="I465" t="s">
        <v>1</v>
      </c>
      <c r="J465">
        <v>4034.43</v>
      </c>
      <c r="K465">
        <v>3650.1100000001002</v>
      </c>
      <c r="L465">
        <v>1404.34</v>
      </c>
      <c r="M465">
        <v>2831.9563535911602</v>
      </c>
      <c r="N465">
        <v>3378.0299999999997</v>
      </c>
      <c r="O465">
        <v>2831.9563535911998</v>
      </c>
      <c r="P465">
        <v>0</v>
      </c>
      <c r="Q465">
        <f t="shared" si="100"/>
        <v>2831.9563535911998</v>
      </c>
      <c r="R465">
        <v>2831.9563535911998</v>
      </c>
      <c r="S465">
        <f t="shared" si="101"/>
        <v>0</v>
      </c>
      <c r="T465">
        <v>0.03</v>
      </c>
      <c r="U465">
        <f t="shared" si="102"/>
        <v>84.958690607735988</v>
      </c>
      <c r="V465">
        <f t="shared" si="103"/>
        <v>2916.9150441989359</v>
      </c>
      <c r="W465">
        <f t="shared" si="104"/>
        <v>84.958690607736116</v>
      </c>
      <c r="X465">
        <v>0</v>
      </c>
    </row>
    <row r="466" spans="1:24" x14ac:dyDescent="0.25">
      <c r="A466" t="s">
        <v>1925</v>
      </c>
      <c r="B466" t="s">
        <v>1926</v>
      </c>
      <c r="C466" t="s">
        <v>1991</v>
      </c>
      <c r="D466" t="s">
        <v>105</v>
      </c>
      <c r="E466" t="s">
        <v>22</v>
      </c>
      <c r="F466" t="s">
        <v>1</v>
      </c>
      <c r="G466" t="s">
        <v>562</v>
      </c>
      <c r="H466" t="s">
        <v>422</v>
      </c>
      <c r="I466" t="s">
        <v>1</v>
      </c>
      <c r="J466">
        <v>5164.43</v>
      </c>
      <c r="K466">
        <v>4781.7000000001999</v>
      </c>
      <c r="L466">
        <v>862.36</v>
      </c>
      <c r="M466">
        <v>1739.0132596685082</v>
      </c>
      <c r="N466">
        <v>3735.67</v>
      </c>
      <c r="O466">
        <v>1739.0132596685</v>
      </c>
      <c r="P466">
        <v>0</v>
      </c>
      <c r="Q466">
        <f t="shared" si="100"/>
        <v>1739.0132596685</v>
      </c>
      <c r="R466">
        <v>1739.0132596685</v>
      </c>
      <c r="S466">
        <f t="shared" si="101"/>
        <v>0</v>
      </c>
      <c r="T466">
        <v>3.5000000000000003E-2</v>
      </c>
      <c r="U466">
        <f t="shared" si="102"/>
        <v>60.865464088397509</v>
      </c>
      <c r="V466">
        <f t="shared" si="103"/>
        <v>1799.8787237568974</v>
      </c>
      <c r="W466">
        <f t="shared" si="104"/>
        <v>60.865464088397403</v>
      </c>
      <c r="X466">
        <v>0</v>
      </c>
    </row>
    <row r="467" spans="1:24" x14ac:dyDescent="0.25">
      <c r="A467" t="s">
        <v>1925</v>
      </c>
      <c r="B467" t="s">
        <v>1926</v>
      </c>
      <c r="C467" t="s">
        <v>1991</v>
      </c>
      <c r="D467" t="s">
        <v>105</v>
      </c>
      <c r="E467" t="s">
        <v>23</v>
      </c>
      <c r="F467" t="s">
        <v>1</v>
      </c>
      <c r="G467" t="s">
        <v>562</v>
      </c>
      <c r="H467" t="s">
        <v>423</v>
      </c>
      <c r="I467" t="s">
        <v>1</v>
      </c>
      <c r="J467">
        <v>3685.61</v>
      </c>
      <c r="K467">
        <v>5446.1699999999</v>
      </c>
      <c r="L467">
        <v>6413.99</v>
      </c>
      <c r="M467">
        <v>12934.289226519337</v>
      </c>
      <c r="N467">
        <v>7490.3899999999994</v>
      </c>
      <c r="O467">
        <v>12934.2892265193</v>
      </c>
      <c r="P467">
        <v>0</v>
      </c>
      <c r="Q467">
        <f t="shared" si="100"/>
        <v>12934.2892265193</v>
      </c>
      <c r="R467">
        <v>12934.2892265193</v>
      </c>
      <c r="S467">
        <f t="shared" si="101"/>
        <v>0</v>
      </c>
      <c r="T467">
        <v>3.5000000000000003E-2</v>
      </c>
      <c r="U467">
        <f t="shared" si="102"/>
        <v>452.70012292817557</v>
      </c>
      <c r="V467">
        <f t="shared" si="103"/>
        <v>13386.989349447476</v>
      </c>
      <c r="W467">
        <f t="shared" si="104"/>
        <v>452.70012292817592</v>
      </c>
      <c r="X467" t="s">
        <v>1392</v>
      </c>
    </row>
    <row r="468" spans="1:24" x14ac:dyDescent="0.25">
      <c r="A468" t="s">
        <v>1925</v>
      </c>
      <c r="B468" t="s">
        <v>1926</v>
      </c>
      <c r="C468" t="s">
        <v>1991</v>
      </c>
      <c r="D468" t="s">
        <v>105</v>
      </c>
      <c r="E468" t="s">
        <v>24</v>
      </c>
      <c r="F468" t="s">
        <v>1</v>
      </c>
      <c r="G468" t="s">
        <v>562</v>
      </c>
      <c r="H468" t="s">
        <v>424</v>
      </c>
      <c r="I468" t="s">
        <v>1</v>
      </c>
      <c r="J468">
        <v>24833.89</v>
      </c>
      <c r="K468">
        <v>9200.0004000000008</v>
      </c>
      <c r="L468">
        <v>1970</v>
      </c>
      <c r="M468">
        <v>3972.6519337016571</v>
      </c>
      <c r="N468">
        <v>22203.89</v>
      </c>
      <c r="O468">
        <v>3940</v>
      </c>
      <c r="P468">
        <v>0</v>
      </c>
      <c r="Q468">
        <f t="shared" si="100"/>
        <v>3940</v>
      </c>
      <c r="R468">
        <v>9200</v>
      </c>
      <c r="S468">
        <f t="shared" si="101"/>
        <v>5260</v>
      </c>
      <c r="T468"/>
      <c r="U468">
        <f t="shared" si="102"/>
        <v>0</v>
      </c>
      <c r="V468">
        <f t="shared" si="103"/>
        <v>9200</v>
      </c>
      <c r="W468">
        <f t="shared" si="104"/>
        <v>5260</v>
      </c>
      <c r="X468" t="s">
        <v>1393</v>
      </c>
    </row>
    <row r="469" spans="1:24" x14ac:dyDescent="0.25">
      <c r="A469" t="s">
        <v>1925</v>
      </c>
      <c r="B469" t="s">
        <v>1926</v>
      </c>
      <c r="C469" t="s">
        <v>1991</v>
      </c>
      <c r="D469" t="s">
        <v>105</v>
      </c>
      <c r="E469" t="s">
        <v>25</v>
      </c>
      <c r="F469" t="s">
        <v>1</v>
      </c>
      <c r="G469" t="s">
        <v>562</v>
      </c>
      <c r="H469" t="s">
        <v>425</v>
      </c>
      <c r="I469" t="s">
        <v>1</v>
      </c>
      <c r="J469">
        <v>2675.93</v>
      </c>
      <c r="K469">
        <v>3881.0003999999999</v>
      </c>
      <c r="L469">
        <v>500.17</v>
      </c>
      <c r="M469">
        <v>1008.6301104972375</v>
      </c>
      <c r="N469">
        <v>1235.5300000000002</v>
      </c>
      <c r="O469">
        <v>1000.34</v>
      </c>
      <c r="P469">
        <v>0</v>
      </c>
      <c r="Q469">
        <f t="shared" si="100"/>
        <v>1000.34</v>
      </c>
      <c r="R469">
        <v>1000</v>
      </c>
      <c r="S469">
        <f t="shared" si="101"/>
        <v>-0.34000000000003183</v>
      </c>
      <c r="T469"/>
      <c r="U469">
        <f t="shared" si="102"/>
        <v>0</v>
      </c>
      <c r="V469">
        <f t="shared" si="103"/>
        <v>1000</v>
      </c>
      <c r="W469">
        <f t="shared" si="104"/>
        <v>-0.34000000000003183</v>
      </c>
      <c r="X469" t="s">
        <v>1394</v>
      </c>
    </row>
    <row r="470" spans="1:24" x14ac:dyDescent="0.25">
      <c r="A470" t="s">
        <v>1925</v>
      </c>
      <c r="B470" t="s">
        <v>1926</v>
      </c>
      <c r="C470" t="s">
        <v>1991</v>
      </c>
      <c r="D470" t="s">
        <v>105</v>
      </c>
      <c r="E470" t="s">
        <v>26</v>
      </c>
      <c r="F470" t="s">
        <v>1</v>
      </c>
      <c r="G470" t="s">
        <v>562</v>
      </c>
      <c r="H470" t="s">
        <v>426</v>
      </c>
      <c r="I470" t="s">
        <v>1</v>
      </c>
      <c r="J470">
        <v>9928</v>
      </c>
      <c r="K470"/>
      <c r="L470">
        <v>240.2</v>
      </c>
      <c r="M470">
        <v>484.38121546961327</v>
      </c>
      <c r="N470">
        <v>10168.200000000001</v>
      </c>
      <c r="O470">
        <v>480.4</v>
      </c>
      <c r="P470">
        <v>0</v>
      </c>
      <c r="Q470">
        <f t="shared" si="100"/>
        <v>480.4</v>
      </c>
      <c r="R470">
        <v>5000</v>
      </c>
      <c r="S470">
        <f t="shared" si="101"/>
        <v>4519.6000000000004</v>
      </c>
      <c r="T470"/>
      <c r="U470">
        <f t="shared" si="102"/>
        <v>0</v>
      </c>
      <c r="V470">
        <f t="shared" si="103"/>
        <v>5000</v>
      </c>
      <c r="W470">
        <f t="shared" si="104"/>
        <v>4519.6000000000004</v>
      </c>
      <c r="X470" t="s">
        <v>1395</v>
      </c>
    </row>
    <row r="471" spans="1:24" x14ac:dyDescent="0.25">
      <c r="A471" t="s">
        <v>1925</v>
      </c>
      <c r="B471" t="s">
        <v>1926</v>
      </c>
      <c r="C471" t="s">
        <v>1991</v>
      </c>
      <c r="D471" t="s">
        <v>105</v>
      </c>
      <c r="E471" t="s">
        <v>27</v>
      </c>
      <c r="F471" t="s">
        <v>1</v>
      </c>
      <c r="G471" t="s">
        <v>562</v>
      </c>
      <c r="H471" t="s">
        <v>427</v>
      </c>
      <c r="I471" t="s">
        <v>1</v>
      </c>
      <c r="J471">
        <v>24.94</v>
      </c>
      <c r="K471">
        <v>44.000399999999999</v>
      </c>
      <c r="L471">
        <v>8.9700000000000006</v>
      </c>
      <c r="M471">
        <v>18.088674033149172</v>
      </c>
      <c r="N471">
        <v>11.96</v>
      </c>
      <c r="O471">
        <v>17.940000000000001</v>
      </c>
      <c r="P471">
        <v>0</v>
      </c>
      <c r="Q471">
        <f t="shared" si="100"/>
        <v>17.940000000000001</v>
      </c>
      <c r="R471">
        <v>17.940000000000001</v>
      </c>
      <c r="S471">
        <f t="shared" si="101"/>
        <v>0</v>
      </c>
      <c r="T471"/>
      <c r="U471">
        <f t="shared" si="102"/>
        <v>0</v>
      </c>
      <c r="V471">
        <f t="shared" si="103"/>
        <v>17.940000000000001</v>
      </c>
      <c r="W471">
        <f t="shared" si="104"/>
        <v>0</v>
      </c>
      <c r="X471">
        <v>0</v>
      </c>
    </row>
    <row r="472" spans="1:24" x14ac:dyDescent="0.25">
      <c r="A472" t="s">
        <v>1925</v>
      </c>
      <c r="B472" t="s">
        <v>1926</v>
      </c>
      <c r="C472" t="s">
        <v>1991</v>
      </c>
      <c r="D472" t="s">
        <v>105</v>
      </c>
      <c r="E472" t="s">
        <v>28</v>
      </c>
      <c r="F472" t="s">
        <v>1</v>
      </c>
      <c r="G472" t="s">
        <v>562</v>
      </c>
      <c r="H472" t="s">
        <v>428</v>
      </c>
      <c r="I472" t="s">
        <v>1</v>
      </c>
      <c r="J472">
        <v>30141.75</v>
      </c>
      <c r="K472">
        <v>29978.979599999999</v>
      </c>
      <c r="L472">
        <v>1303.3</v>
      </c>
      <c r="M472">
        <v>2628.2016574585632</v>
      </c>
      <c r="N472">
        <v>7859.4900000000007</v>
      </c>
      <c r="O472">
        <v>2606.6</v>
      </c>
      <c r="P472">
        <v>0</v>
      </c>
      <c r="Q472">
        <f t="shared" si="100"/>
        <v>2606.6</v>
      </c>
      <c r="R472">
        <v>24000</v>
      </c>
      <c r="S472">
        <f t="shared" si="101"/>
        <v>21393.4</v>
      </c>
      <c r="T472"/>
      <c r="U472">
        <f t="shared" si="102"/>
        <v>0</v>
      </c>
      <c r="V472">
        <f t="shared" si="103"/>
        <v>24000</v>
      </c>
      <c r="W472">
        <f t="shared" si="104"/>
        <v>21393.4</v>
      </c>
      <c r="X472" t="s">
        <v>1396</v>
      </c>
    </row>
    <row r="473" spans="1:24" x14ac:dyDescent="0.25">
      <c r="A473" t="s">
        <v>1925</v>
      </c>
      <c r="B473" t="s">
        <v>1926</v>
      </c>
      <c r="C473" t="s">
        <v>1991</v>
      </c>
      <c r="D473" t="s">
        <v>105</v>
      </c>
      <c r="E473" t="s">
        <v>29</v>
      </c>
      <c r="F473" t="s">
        <v>1</v>
      </c>
      <c r="G473" t="s">
        <v>562</v>
      </c>
      <c r="H473" t="s">
        <v>429</v>
      </c>
      <c r="I473" t="s">
        <v>1</v>
      </c>
      <c r="J473">
        <v>14404.49</v>
      </c>
      <c r="K473">
        <v>8000.0003999999999</v>
      </c>
      <c r="L473">
        <v>29334.18</v>
      </c>
      <c r="M473">
        <v>59154.561878453045</v>
      </c>
      <c r="N473">
        <v>39727.86</v>
      </c>
      <c r="O473">
        <v>58668.36</v>
      </c>
      <c r="P473">
        <v>0</v>
      </c>
      <c r="Q473">
        <f t="shared" si="100"/>
        <v>58668.36</v>
      </c>
      <c r="R473">
        <v>10000</v>
      </c>
      <c r="S473">
        <f t="shared" si="101"/>
        <v>-48668.36</v>
      </c>
      <c r="T473"/>
      <c r="U473">
        <f t="shared" si="102"/>
        <v>0</v>
      </c>
      <c r="V473">
        <f t="shared" si="103"/>
        <v>10000</v>
      </c>
      <c r="W473">
        <f t="shared" si="104"/>
        <v>-48668.36</v>
      </c>
      <c r="X473" t="s">
        <v>1397</v>
      </c>
    </row>
    <row r="474" spans="1:24" x14ac:dyDescent="0.25">
      <c r="A474" t="s">
        <v>1925</v>
      </c>
      <c r="B474" t="s">
        <v>1926</v>
      </c>
      <c r="C474" t="s">
        <v>1991</v>
      </c>
      <c r="D474" t="s">
        <v>105</v>
      </c>
      <c r="E474" t="s">
        <v>30</v>
      </c>
      <c r="F474" t="s">
        <v>1</v>
      </c>
      <c r="G474" t="s">
        <v>562</v>
      </c>
      <c r="H474" t="s">
        <v>430</v>
      </c>
      <c r="I474" t="s">
        <v>1</v>
      </c>
      <c r="J474">
        <v>4064.34</v>
      </c>
      <c r="K474">
        <v>14999.999600000399</v>
      </c>
      <c r="L474">
        <v>0</v>
      </c>
      <c r="M474">
        <v>0</v>
      </c>
      <c r="N474">
        <v>1481.84</v>
      </c>
      <c r="O474"/>
      <c r="P474">
        <v>15000</v>
      </c>
      <c r="Q474">
        <f t="shared" si="100"/>
        <v>15000</v>
      </c>
      <c r="R474">
        <v>15000</v>
      </c>
      <c r="S474">
        <f t="shared" si="101"/>
        <v>0</v>
      </c>
      <c r="T474"/>
      <c r="U474">
        <f t="shared" si="102"/>
        <v>0</v>
      </c>
      <c r="V474">
        <f t="shared" si="103"/>
        <v>15000</v>
      </c>
      <c r="W474">
        <f t="shared" si="104"/>
        <v>0</v>
      </c>
      <c r="X474" t="s">
        <v>1398</v>
      </c>
    </row>
    <row r="475" spans="1:24" x14ac:dyDescent="0.25">
      <c r="A475" t="s">
        <v>1925</v>
      </c>
      <c r="B475" t="s">
        <v>1926</v>
      </c>
      <c r="C475" t="s">
        <v>1991</v>
      </c>
      <c r="D475" t="s">
        <v>105</v>
      </c>
      <c r="E475" t="s">
        <v>31</v>
      </c>
      <c r="F475" t="s">
        <v>1</v>
      </c>
      <c r="G475" t="s">
        <v>562</v>
      </c>
      <c r="H475" t="s">
        <v>431</v>
      </c>
      <c r="I475" t="s">
        <v>1</v>
      </c>
      <c r="J475">
        <v>13083.11</v>
      </c>
      <c r="K475">
        <v>9999.9995999999992</v>
      </c>
      <c r="L475">
        <v>9818.2000000000007</v>
      </c>
      <c r="M475">
        <v>19799.132596685085</v>
      </c>
      <c r="N475">
        <v>19624.810000000001</v>
      </c>
      <c r="O475">
        <v>19636.400000000001</v>
      </c>
      <c r="P475">
        <v>0</v>
      </c>
      <c r="Q475">
        <f t="shared" si="100"/>
        <v>19636.400000000001</v>
      </c>
      <c r="R475">
        <v>19636.400000000001</v>
      </c>
      <c r="S475">
        <f t="shared" si="101"/>
        <v>0</v>
      </c>
      <c r="T475"/>
      <c r="U475">
        <f t="shared" si="102"/>
        <v>0</v>
      </c>
      <c r="V475">
        <f t="shared" si="103"/>
        <v>19636.400000000001</v>
      </c>
      <c r="W475">
        <f t="shared" si="104"/>
        <v>0</v>
      </c>
      <c r="X475" t="s">
        <v>1399</v>
      </c>
    </row>
    <row r="476" spans="1:24" x14ac:dyDescent="0.25">
      <c r="A476" t="s">
        <v>1925</v>
      </c>
      <c r="B476" t="s">
        <v>1926</v>
      </c>
      <c r="C476" t="s">
        <v>1991</v>
      </c>
      <c r="D476" t="s">
        <v>105</v>
      </c>
      <c r="E476" t="s">
        <v>106</v>
      </c>
      <c r="F476" t="s">
        <v>1</v>
      </c>
      <c r="G476" t="s">
        <v>562</v>
      </c>
      <c r="H476" t="s">
        <v>563</v>
      </c>
      <c r="I476" t="s">
        <v>1</v>
      </c>
      <c r="J476"/>
      <c r="K476"/>
      <c r="L476">
        <v>4320</v>
      </c>
      <c r="M476">
        <v>8711.6022099447509</v>
      </c>
      <c r="N476">
        <v>4320</v>
      </c>
      <c r="O476">
        <v>8640</v>
      </c>
      <c r="P476">
        <v>0</v>
      </c>
      <c r="Q476">
        <f t="shared" si="100"/>
        <v>8640</v>
      </c>
      <c r="R476">
        <v>8640</v>
      </c>
      <c r="S476">
        <f t="shared" si="101"/>
        <v>0</v>
      </c>
      <c r="T476"/>
      <c r="U476">
        <f t="shared" si="102"/>
        <v>0</v>
      </c>
      <c r="V476">
        <f t="shared" si="103"/>
        <v>8640</v>
      </c>
      <c r="W476">
        <f t="shared" si="104"/>
        <v>0</v>
      </c>
      <c r="X476" t="s">
        <v>1400</v>
      </c>
    </row>
    <row r="477" spans="1:24" x14ac:dyDescent="0.25">
      <c r="A477" t="s">
        <v>1925</v>
      </c>
      <c r="B477" t="s">
        <v>1926</v>
      </c>
      <c r="C477" t="s">
        <v>1991</v>
      </c>
      <c r="D477" t="s">
        <v>105</v>
      </c>
      <c r="E477" t="s">
        <v>33</v>
      </c>
      <c r="F477" t="s">
        <v>1</v>
      </c>
      <c r="G477" t="s">
        <v>562</v>
      </c>
      <c r="H477" t="s">
        <v>433</v>
      </c>
      <c r="I477" t="s">
        <v>1</v>
      </c>
      <c r="J477">
        <v>82965.210000000006</v>
      </c>
      <c r="K477">
        <v>129999.9996</v>
      </c>
      <c r="L477">
        <v>34289.14</v>
      </c>
      <c r="M477">
        <v>69146.608287292809</v>
      </c>
      <c r="N477">
        <v>46742.31</v>
      </c>
      <c r="O477">
        <v>68578.28</v>
      </c>
      <c r="P477">
        <v>0</v>
      </c>
      <c r="Q477">
        <f t="shared" si="100"/>
        <v>68578.28</v>
      </c>
      <c r="R477">
        <v>130000</v>
      </c>
      <c r="S477">
        <f t="shared" si="101"/>
        <v>61421.72</v>
      </c>
      <c r="T477"/>
      <c r="U477">
        <f t="shared" si="102"/>
        <v>0</v>
      </c>
      <c r="V477">
        <f t="shared" si="103"/>
        <v>130000</v>
      </c>
      <c r="W477">
        <f t="shared" si="104"/>
        <v>61421.72</v>
      </c>
      <c r="X477" t="s">
        <v>1401</v>
      </c>
    </row>
    <row r="478" spans="1:24" x14ac:dyDescent="0.25">
      <c r="A478" t="s">
        <v>1925</v>
      </c>
      <c r="B478" t="s">
        <v>1926</v>
      </c>
      <c r="C478" t="s">
        <v>1991</v>
      </c>
      <c r="D478" t="s">
        <v>105</v>
      </c>
      <c r="E478" t="s">
        <v>34</v>
      </c>
      <c r="F478" t="s">
        <v>1</v>
      </c>
      <c r="G478" t="s">
        <v>562</v>
      </c>
      <c r="H478" t="s">
        <v>434</v>
      </c>
      <c r="I478" t="s">
        <v>1</v>
      </c>
      <c r="J478">
        <v>6474.61</v>
      </c>
      <c r="K478">
        <v>27999.9999999996</v>
      </c>
      <c r="L478">
        <v>7977.7</v>
      </c>
      <c r="M478">
        <v>16087.627071823204</v>
      </c>
      <c r="N478">
        <v>9927.36</v>
      </c>
      <c r="O478">
        <v>15955.4</v>
      </c>
      <c r="P478">
        <v>0</v>
      </c>
      <c r="Q478">
        <f t="shared" si="100"/>
        <v>15955.4</v>
      </c>
      <c r="R478">
        <v>28000</v>
      </c>
      <c r="S478">
        <f t="shared" si="101"/>
        <v>12044.6</v>
      </c>
      <c r="T478"/>
      <c r="U478">
        <f t="shared" si="102"/>
        <v>0</v>
      </c>
      <c r="V478">
        <f t="shared" si="103"/>
        <v>28000</v>
      </c>
      <c r="W478">
        <f t="shared" si="104"/>
        <v>12044.6</v>
      </c>
      <c r="X478" t="s">
        <v>1402</v>
      </c>
    </row>
    <row r="479" spans="1:24" x14ac:dyDescent="0.25">
      <c r="A479" t="s">
        <v>1925</v>
      </c>
      <c r="B479" t="s">
        <v>1926</v>
      </c>
      <c r="C479" t="s">
        <v>1991</v>
      </c>
      <c r="D479" t="s">
        <v>105</v>
      </c>
      <c r="E479" t="s">
        <v>35</v>
      </c>
      <c r="F479" t="s">
        <v>1</v>
      </c>
      <c r="G479" t="s">
        <v>562</v>
      </c>
      <c r="H479" t="s">
        <v>435</v>
      </c>
      <c r="I479" t="s">
        <v>1</v>
      </c>
      <c r="J479">
        <v>23.93</v>
      </c>
      <c r="K479"/>
      <c r="L479">
        <v>42.94</v>
      </c>
      <c r="M479">
        <v>86.591712707182324</v>
      </c>
      <c r="N479">
        <v>66.87</v>
      </c>
      <c r="O479">
        <v>85.88</v>
      </c>
      <c r="P479">
        <v>0</v>
      </c>
      <c r="Q479">
        <f t="shared" si="100"/>
        <v>85.88</v>
      </c>
      <c r="R479">
        <v>86</v>
      </c>
      <c r="S479">
        <f t="shared" si="101"/>
        <v>0.12000000000000455</v>
      </c>
      <c r="T479"/>
      <c r="U479">
        <f t="shared" si="102"/>
        <v>0</v>
      </c>
      <c r="V479">
        <f t="shared" si="103"/>
        <v>86</v>
      </c>
      <c r="W479">
        <f t="shared" si="104"/>
        <v>0.12000000000000455</v>
      </c>
      <c r="X479" t="s">
        <v>1403</v>
      </c>
    </row>
    <row r="480" spans="1:24" x14ac:dyDescent="0.25">
      <c r="A480" t="s">
        <v>1925</v>
      </c>
      <c r="B480" t="s">
        <v>1926</v>
      </c>
      <c r="C480" t="s">
        <v>1991</v>
      </c>
      <c r="D480" t="s">
        <v>105</v>
      </c>
      <c r="E480" t="s">
        <v>37</v>
      </c>
      <c r="F480" t="s">
        <v>1</v>
      </c>
      <c r="G480" t="s">
        <v>562</v>
      </c>
      <c r="H480" t="s">
        <v>437</v>
      </c>
      <c r="I480" t="s">
        <v>1</v>
      </c>
      <c r="J480">
        <v>145090.5</v>
      </c>
      <c r="K480">
        <v>160000</v>
      </c>
      <c r="L480">
        <v>26694.87</v>
      </c>
      <c r="M480">
        <v>53832.196408839773</v>
      </c>
      <c r="N480">
        <v>78342.28</v>
      </c>
      <c r="O480">
        <v>53389.74</v>
      </c>
      <c r="P480">
        <v>0</v>
      </c>
      <c r="Q480">
        <f t="shared" si="100"/>
        <v>53389.74</v>
      </c>
      <c r="R480">
        <v>170000</v>
      </c>
      <c r="S480">
        <f t="shared" si="101"/>
        <v>116610.26000000001</v>
      </c>
      <c r="T480"/>
      <c r="U480">
        <f t="shared" si="102"/>
        <v>0</v>
      </c>
      <c r="V480">
        <f t="shared" si="103"/>
        <v>170000</v>
      </c>
      <c r="W480">
        <f t="shared" si="104"/>
        <v>116610.26000000001</v>
      </c>
      <c r="X480" t="s">
        <v>1404</v>
      </c>
    </row>
    <row r="481" spans="1:24" x14ac:dyDescent="0.25">
      <c r="A481" t="s">
        <v>1925</v>
      </c>
      <c r="B481" t="s">
        <v>1926</v>
      </c>
      <c r="C481" t="s">
        <v>1991</v>
      </c>
      <c r="D481" t="s">
        <v>105</v>
      </c>
      <c r="E481" t="s">
        <v>38</v>
      </c>
      <c r="F481" t="s">
        <v>1</v>
      </c>
      <c r="G481" t="s">
        <v>562</v>
      </c>
      <c r="H481" t="s">
        <v>438</v>
      </c>
      <c r="I481" t="s">
        <v>1</v>
      </c>
      <c r="J481">
        <v>813.07</v>
      </c>
      <c r="K481">
        <v>1626</v>
      </c>
      <c r="L481">
        <v>0</v>
      </c>
      <c r="M481">
        <v>0</v>
      </c>
      <c r="N481">
        <v>0</v>
      </c>
      <c r="O481"/>
      <c r="P481">
        <v>0</v>
      </c>
      <c r="Q481">
        <f t="shared" si="100"/>
        <v>0</v>
      </c>
      <c r="R481">
        <v>0</v>
      </c>
      <c r="S481">
        <f t="shared" si="101"/>
        <v>0</v>
      </c>
      <c r="T481"/>
      <c r="U481">
        <f t="shared" si="102"/>
        <v>0</v>
      </c>
      <c r="V481">
        <f t="shared" si="103"/>
        <v>0</v>
      </c>
      <c r="W481">
        <f t="shared" si="104"/>
        <v>0</v>
      </c>
      <c r="X481" t="s">
        <v>1405</v>
      </c>
    </row>
    <row r="482" spans="1:24" x14ac:dyDescent="0.25">
      <c r="A482" t="s">
        <v>1925</v>
      </c>
      <c r="B482" t="s">
        <v>1926</v>
      </c>
      <c r="C482" t="s">
        <v>1991</v>
      </c>
      <c r="D482" t="s">
        <v>105</v>
      </c>
      <c r="E482" t="s">
        <v>41</v>
      </c>
      <c r="F482" t="s">
        <v>1</v>
      </c>
      <c r="G482" t="s">
        <v>562</v>
      </c>
      <c r="H482" t="s">
        <v>441</v>
      </c>
      <c r="I482" t="s">
        <v>1</v>
      </c>
      <c r="J482">
        <v>565.98</v>
      </c>
      <c r="K482">
        <v>597</v>
      </c>
      <c r="L482">
        <v>1210.3900000000001</v>
      </c>
      <c r="M482">
        <v>2440.8417127071825</v>
      </c>
      <c r="N482">
        <v>1477.7399999999998</v>
      </c>
      <c r="O482">
        <v>2420.7800000000002</v>
      </c>
      <c r="P482">
        <v>0</v>
      </c>
      <c r="Q482">
        <f t="shared" si="100"/>
        <v>2420.7800000000002</v>
      </c>
      <c r="R482">
        <v>2421</v>
      </c>
      <c r="S482">
        <f t="shared" si="101"/>
        <v>0.21999999999979991</v>
      </c>
      <c r="T482">
        <v>0.03</v>
      </c>
      <c r="U482">
        <f t="shared" si="102"/>
        <v>72.63</v>
      </c>
      <c r="V482">
        <f t="shared" si="103"/>
        <v>2493.63</v>
      </c>
      <c r="W482">
        <f t="shared" si="104"/>
        <v>72.849999999999909</v>
      </c>
      <c r="X482" t="s">
        <v>1406</v>
      </c>
    </row>
    <row r="483" spans="1:24" x14ac:dyDescent="0.25">
      <c r="A483" t="s">
        <v>1925</v>
      </c>
      <c r="B483" t="s">
        <v>1926</v>
      </c>
      <c r="C483" t="s">
        <v>1991</v>
      </c>
      <c r="D483" t="s">
        <v>105</v>
      </c>
      <c r="E483" t="s">
        <v>42</v>
      </c>
      <c r="F483" t="s">
        <v>1</v>
      </c>
      <c r="G483" t="s">
        <v>562</v>
      </c>
      <c r="H483" t="s">
        <v>442</v>
      </c>
      <c r="I483" t="s">
        <v>1</v>
      </c>
      <c r="J483">
        <v>3061.55</v>
      </c>
      <c r="K483">
        <v>6057</v>
      </c>
      <c r="L483">
        <v>3229.16</v>
      </c>
      <c r="M483">
        <v>6511.8419889502757</v>
      </c>
      <c r="N483">
        <v>3262.3900000000003</v>
      </c>
      <c r="O483">
        <v>6458.32</v>
      </c>
      <c r="P483">
        <v>0</v>
      </c>
      <c r="Q483">
        <f t="shared" si="100"/>
        <v>6458.32</v>
      </c>
      <c r="R483">
        <v>15000</v>
      </c>
      <c r="S483">
        <f t="shared" si="101"/>
        <v>8541.68</v>
      </c>
      <c r="T483">
        <v>0.03</v>
      </c>
      <c r="U483">
        <f t="shared" si="102"/>
        <v>450</v>
      </c>
      <c r="V483">
        <f t="shared" si="103"/>
        <v>15450</v>
      </c>
      <c r="W483">
        <f t="shared" si="104"/>
        <v>8991.68</v>
      </c>
      <c r="X483" t="s">
        <v>1407</v>
      </c>
    </row>
    <row r="484" spans="1:24" x14ac:dyDescent="0.25">
      <c r="A484" t="s">
        <v>1925</v>
      </c>
      <c r="B484" t="s">
        <v>1926</v>
      </c>
      <c r="C484" t="s">
        <v>1991</v>
      </c>
      <c r="D484" t="s">
        <v>105</v>
      </c>
      <c r="E484" t="s">
        <v>107</v>
      </c>
      <c r="F484" t="s">
        <v>1</v>
      </c>
      <c r="G484" t="s">
        <v>562</v>
      </c>
      <c r="H484" t="s">
        <v>564</v>
      </c>
      <c r="I484" t="s">
        <v>1</v>
      </c>
      <c r="J484">
        <v>346.32</v>
      </c>
      <c r="K484"/>
      <c r="L484">
        <v>0</v>
      </c>
      <c r="M484">
        <v>0</v>
      </c>
      <c r="N484">
        <v>346.32</v>
      </c>
      <c r="O484"/>
      <c r="P484">
        <v>0</v>
      </c>
      <c r="Q484">
        <f t="shared" si="100"/>
        <v>0</v>
      </c>
      <c r="R484">
        <v>0</v>
      </c>
      <c r="S484">
        <f t="shared" si="101"/>
        <v>0</v>
      </c>
      <c r="T484">
        <v>0.03</v>
      </c>
      <c r="U484">
        <f t="shared" si="102"/>
        <v>0</v>
      </c>
      <c r="V484">
        <f t="shared" si="103"/>
        <v>0</v>
      </c>
      <c r="W484">
        <f t="shared" si="104"/>
        <v>0</v>
      </c>
      <c r="X484" t="s">
        <v>1408</v>
      </c>
    </row>
    <row r="485" spans="1:24" x14ac:dyDescent="0.25">
      <c r="A485" t="s">
        <v>1925</v>
      </c>
      <c r="B485" t="s">
        <v>1926</v>
      </c>
      <c r="C485" t="s">
        <v>1991</v>
      </c>
      <c r="D485" t="s">
        <v>105</v>
      </c>
      <c r="E485" t="s">
        <v>67</v>
      </c>
      <c r="F485" t="s">
        <v>1</v>
      </c>
      <c r="G485" t="s">
        <v>562</v>
      </c>
      <c r="H485" t="s">
        <v>478</v>
      </c>
      <c r="I485" t="s">
        <v>1</v>
      </c>
      <c r="J485"/>
      <c r="K485"/>
      <c r="L485">
        <v>-382</v>
      </c>
      <c r="M485">
        <v>-770.33149171270725</v>
      </c>
      <c r="N485">
        <v>-382</v>
      </c>
      <c r="O485">
        <v>-764</v>
      </c>
      <c r="P485">
        <v>0</v>
      </c>
      <c r="Q485">
        <f t="shared" si="100"/>
        <v>-764</v>
      </c>
      <c r="R485">
        <v>0</v>
      </c>
      <c r="S485">
        <f t="shared" si="101"/>
        <v>764</v>
      </c>
      <c r="T485">
        <v>0.03</v>
      </c>
      <c r="U485">
        <f t="shared" si="102"/>
        <v>0</v>
      </c>
      <c r="V485">
        <f t="shared" si="103"/>
        <v>0</v>
      </c>
      <c r="W485">
        <f t="shared" si="104"/>
        <v>764</v>
      </c>
      <c r="X485" t="s">
        <v>1409</v>
      </c>
    </row>
    <row r="486" spans="1:24" x14ac:dyDescent="0.25">
      <c r="A486" t="s">
        <v>1925</v>
      </c>
      <c r="B486" t="s">
        <v>1926</v>
      </c>
      <c r="C486" t="s">
        <v>1991</v>
      </c>
      <c r="D486" t="s">
        <v>105</v>
      </c>
      <c r="E486" t="s">
        <v>53</v>
      </c>
      <c r="F486" t="s">
        <v>1</v>
      </c>
      <c r="G486" t="s">
        <v>562</v>
      </c>
      <c r="H486" t="s">
        <v>454</v>
      </c>
      <c r="I486" t="s">
        <v>1</v>
      </c>
      <c r="J486">
        <v>1800</v>
      </c>
      <c r="K486"/>
      <c r="L486">
        <v>0</v>
      </c>
      <c r="M486">
        <v>0</v>
      </c>
      <c r="N486">
        <v>1800</v>
      </c>
      <c r="O486"/>
      <c r="P486">
        <v>0</v>
      </c>
      <c r="Q486">
        <f t="shared" si="100"/>
        <v>0</v>
      </c>
      <c r="R486">
        <v>0</v>
      </c>
      <c r="S486">
        <f t="shared" si="101"/>
        <v>0</v>
      </c>
      <c r="T486">
        <v>0.03</v>
      </c>
      <c r="U486">
        <f t="shared" si="102"/>
        <v>0</v>
      </c>
      <c r="V486">
        <f t="shared" si="103"/>
        <v>0</v>
      </c>
      <c r="W486">
        <f t="shared" si="104"/>
        <v>0</v>
      </c>
      <c r="X486" t="s">
        <v>1410</v>
      </c>
    </row>
    <row r="487" spans="1:24" x14ac:dyDescent="0.25">
      <c r="A487" t="s">
        <v>1925</v>
      </c>
      <c r="B487" t="s">
        <v>1926</v>
      </c>
      <c r="C487" t="s">
        <v>1991</v>
      </c>
      <c r="D487" t="s">
        <v>105</v>
      </c>
      <c r="E487" t="s">
        <v>46</v>
      </c>
      <c r="F487" t="s">
        <v>1</v>
      </c>
      <c r="G487" t="s">
        <v>562</v>
      </c>
      <c r="H487" t="s">
        <v>446</v>
      </c>
      <c r="I487" t="s">
        <v>1</v>
      </c>
      <c r="J487">
        <v>19946.66</v>
      </c>
      <c r="K487">
        <v>20000.000400000001</v>
      </c>
      <c r="L487">
        <v>11513.4</v>
      </c>
      <c r="M487">
        <v>23217.629834254141</v>
      </c>
      <c r="N487">
        <v>20062.539999999997</v>
      </c>
      <c r="O487">
        <v>23026.799999999999</v>
      </c>
      <c r="P487">
        <v>0</v>
      </c>
      <c r="Q487">
        <f t="shared" si="100"/>
        <v>23026.799999999999</v>
      </c>
      <c r="R487">
        <v>23027</v>
      </c>
      <c r="S487">
        <f t="shared" si="101"/>
        <v>0.2000000000007276</v>
      </c>
      <c r="T487">
        <v>0.03</v>
      </c>
      <c r="U487">
        <f t="shared" si="102"/>
        <v>690.81</v>
      </c>
      <c r="V487">
        <f t="shared" si="103"/>
        <v>23717.81</v>
      </c>
      <c r="W487">
        <f t="shared" si="104"/>
        <v>691.01000000000204</v>
      </c>
      <c r="X487" t="s">
        <v>1411</v>
      </c>
    </row>
    <row r="488" spans="1:24" x14ac:dyDescent="0.25">
      <c r="A488" t="s">
        <v>1925</v>
      </c>
      <c r="B488" t="s">
        <v>1926</v>
      </c>
      <c r="C488" t="s">
        <v>1991</v>
      </c>
      <c r="D488" t="s">
        <v>105</v>
      </c>
      <c r="E488" t="s">
        <v>47</v>
      </c>
      <c r="F488" t="s">
        <v>1</v>
      </c>
      <c r="G488" t="s">
        <v>562</v>
      </c>
      <c r="H488" t="s">
        <v>447</v>
      </c>
      <c r="I488" t="s">
        <v>1</v>
      </c>
      <c r="J488">
        <v>888</v>
      </c>
      <c r="K488">
        <v>1776</v>
      </c>
      <c r="L488">
        <v>0</v>
      </c>
      <c r="M488">
        <v>0</v>
      </c>
      <c r="N488">
        <v>0</v>
      </c>
      <c r="O488"/>
      <c r="P488">
        <v>0</v>
      </c>
      <c r="Q488">
        <f t="shared" si="100"/>
        <v>0</v>
      </c>
      <c r="R488">
        <v>0</v>
      </c>
      <c r="S488">
        <f t="shared" si="101"/>
        <v>0</v>
      </c>
      <c r="T488">
        <v>0.03</v>
      </c>
      <c r="U488">
        <f t="shared" si="102"/>
        <v>0</v>
      </c>
      <c r="V488">
        <f t="shared" si="103"/>
        <v>0</v>
      </c>
      <c r="W488">
        <f t="shared" si="104"/>
        <v>0</v>
      </c>
      <c r="X488" t="s">
        <v>1412</v>
      </c>
    </row>
    <row r="489" spans="1:24" x14ac:dyDescent="0.25">
      <c r="A489" t="s">
        <v>1925</v>
      </c>
      <c r="B489" t="s">
        <v>1926</v>
      </c>
      <c r="C489" t="s">
        <v>1991</v>
      </c>
      <c r="D489" t="s">
        <v>105</v>
      </c>
      <c r="E489" t="s">
        <v>108</v>
      </c>
      <c r="F489" t="s">
        <v>1</v>
      </c>
      <c r="G489" t="s">
        <v>562</v>
      </c>
      <c r="H489" t="s">
        <v>565</v>
      </c>
      <c r="I489" t="s">
        <v>1</v>
      </c>
      <c r="J489">
        <v>6888.14</v>
      </c>
      <c r="K489">
        <v>13776</v>
      </c>
      <c r="L489">
        <v>8086.26</v>
      </c>
      <c r="M489">
        <v>16306.54640883978</v>
      </c>
      <c r="N489">
        <v>8086.26</v>
      </c>
      <c r="O489">
        <v>16172.52</v>
      </c>
      <c r="P489">
        <v>0</v>
      </c>
      <c r="Q489">
        <f t="shared" si="100"/>
        <v>16172.52</v>
      </c>
      <c r="R489">
        <v>16173</v>
      </c>
      <c r="S489">
        <f t="shared" si="101"/>
        <v>0.47999999999956344</v>
      </c>
      <c r="T489"/>
      <c r="U489">
        <f t="shared" si="102"/>
        <v>0</v>
      </c>
      <c r="V489">
        <f t="shared" si="103"/>
        <v>16173</v>
      </c>
      <c r="W489">
        <f t="shared" si="104"/>
        <v>0.47999999999956344</v>
      </c>
      <c r="X489" t="s">
        <v>1413</v>
      </c>
    </row>
    <row r="490" spans="1:24" x14ac:dyDescent="0.25">
      <c r="A490" t="s">
        <v>1925</v>
      </c>
      <c r="B490" t="s">
        <v>1926</v>
      </c>
      <c r="C490" t="s">
        <v>1991</v>
      </c>
      <c r="D490" t="s">
        <v>105</v>
      </c>
      <c r="E490" t="s">
        <v>48</v>
      </c>
      <c r="F490" t="s">
        <v>1</v>
      </c>
      <c r="G490" t="s">
        <v>562</v>
      </c>
      <c r="H490" t="s">
        <v>448</v>
      </c>
      <c r="I490" t="s">
        <v>1</v>
      </c>
      <c r="J490">
        <v>5123.22</v>
      </c>
      <c r="K490">
        <v>5397.9996000000001</v>
      </c>
      <c r="L490">
        <v>1441.88</v>
      </c>
      <c r="M490">
        <v>2907.658563535912</v>
      </c>
      <c r="N490">
        <v>3866.01</v>
      </c>
      <c r="O490">
        <v>2883.76</v>
      </c>
      <c r="P490">
        <v>0</v>
      </c>
      <c r="Q490">
        <f t="shared" si="100"/>
        <v>2883.76</v>
      </c>
      <c r="R490">
        <v>2884</v>
      </c>
      <c r="S490">
        <f t="shared" si="101"/>
        <v>0.23999999999978172</v>
      </c>
      <c r="T490">
        <v>0.03</v>
      </c>
      <c r="U490">
        <f t="shared" si="102"/>
        <v>86.52</v>
      </c>
      <c r="V490">
        <f t="shared" si="103"/>
        <v>2970.52</v>
      </c>
      <c r="W490">
        <f t="shared" si="104"/>
        <v>86.759999999999764</v>
      </c>
      <c r="X490" t="s">
        <v>1414</v>
      </c>
    </row>
    <row r="491" spans="1:24" x14ac:dyDescent="0.25">
      <c r="A491" t="s">
        <v>1925</v>
      </c>
      <c r="B491" t="s">
        <v>1926</v>
      </c>
      <c r="C491" t="s">
        <v>1991</v>
      </c>
      <c r="D491" t="s">
        <v>105</v>
      </c>
      <c r="E491" t="s">
        <v>101</v>
      </c>
      <c r="F491" t="s">
        <v>1</v>
      </c>
      <c r="G491" t="s">
        <v>562</v>
      </c>
      <c r="H491" t="s">
        <v>550</v>
      </c>
      <c r="I491" t="s">
        <v>1</v>
      </c>
      <c r="J491">
        <v>298.55</v>
      </c>
      <c r="K491">
        <v>597</v>
      </c>
      <c r="L491">
        <v>160.85</v>
      </c>
      <c r="M491">
        <v>324.36602209944749</v>
      </c>
      <c r="N491">
        <v>160.85</v>
      </c>
      <c r="O491">
        <v>321.7</v>
      </c>
      <c r="P491">
        <v>0</v>
      </c>
      <c r="Q491">
        <f t="shared" si="100"/>
        <v>321.7</v>
      </c>
      <c r="R491">
        <v>322</v>
      </c>
      <c r="S491">
        <f t="shared" si="101"/>
        <v>0.30000000000001137</v>
      </c>
      <c r="T491">
        <v>0.03</v>
      </c>
      <c r="U491">
        <f t="shared" si="102"/>
        <v>9.66</v>
      </c>
      <c r="V491">
        <f t="shared" si="103"/>
        <v>331.66</v>
      </c>
      <c r="W491">
        <f t="shared" si="104"/>
        <v>9.9600000000000364</v>
      </c>
      <c r="X491" t="s">
        <v>1415</v>
      </c>
    </row>
    <row r="492" spans="1:24" x14ac:dyDescent="0.25">
      <c r="A492" t="s">
        <v>1925</v>
      </c>
      <c r="B492" t="s">
        <v>1926</v>
      </c>
      <c r="C492" t="s">
        <v>1991</v>
      </c>
      <c r="D492" t="s">
        <v>105</v>
      </c>
      <c r="E492" t="s">
        <v>109</v>
      </c>
      <c r="F492" t="s">
        <v>1</v>
      </c>
      <c r="G492" t="s">
        <v>562</v>
      </c>
      <c r="H492" t="s">
        <v>566</v>
      </c>
      <c r="I492" t="s">
        <v>1</v>
      </c>
      <c r="J492">
        <v>1758.28</v>
      </c>
      <c r="K492">
        <v>3546</v>
      </c>
      <c r="L492">
        <v>0</v>
      </c>
      <c r="M492">
        <v>0</v>
      </c>
      <c r="N492">
        <v>0</v>
      </c>
      <c r="O492"/>
      <c r="P492">
        <v>0</v>
      </c>
      <c r="Q492">
        <f t="shared" si="100"/>
        <v>0</v>
      </c>
      <c r="R492">
        <v>0</v>
      </c>
      <c r="S492">
        <f t="shared" si="101"/>
        <v>0</v>
      </c>
      <c r="T492"/>
      <c r="U492">
        <f t="shared" si="102"/>
        <v>0</v>
      </c>
      <c r="V492">
        <f t="shared" si="103"/>
        <v>0</v>
      </c>
      <c r="W492">
        <f t="shared" si="104"/>
        <v>0</v>
      </c>
      <c r="X492" t="s">
        <v>1416</v>
      </c>
    </row>
    <row r="493" spans="1:24" x14ac:dyDescent="0.25">
      <c r="A493" t="s">
        <v>1925</v>
      </c>
      <c r="B493" t="s">
        <v>1926</v>
      </c>
      <c r="C493" t="s">
        <v>1991</v>
      </c>
      <c r="D493" t="s">
        <v>105</v>
      </c>
      <c r="E493" t="s">
        <v>49</v>
      </c>
      <c r="F493" t="s">
        <v>1</v>
      </c>
      <c r="G493" t="s">
        <v>562</v>
      </c>
      <c r="H493" t="s">
        <v>449</v>
      </c>
      <c r="I493" t="s">
        <v>1</v>
      </c>
      <c r="J493">
        <v>573.5</v>
      </c>
      <c r="K493">
        <v>975.00009999960002</v>
      </c>
      <c r="L493">
        <v>397.77</v>
      </c>
      <c r="M493">
        <v>802.13287292817665</v>
      </c>
      <c r="N493">
        <v>487.68000000000006</v>
      </c>
      <c r="O493">
        <v>802.13287292819996</v>
      </c>
      <c r="P493">
        <v>0</v>
      </c>
      <c r="Q493">
        <f t="shared" si="100"/>
        <v>802.13287292819996</v>
      </c>
      <c r="R493">
        <v>802</v>
      </c>
      <c r="S493">
        <f t="shared" si="101"/>
        <v>-0.13287292819995855</v>
      </c>
      <c r="T493"/>
      <c r="U493">
        <f t="shared" si="102"/>
        <v>0</v>
      </c>
      <c r="V493">
        <f t="shared" si="103"/>
        <v>802</v>
      </c>
      <c r="W493">
        <f t="shared" si="104"/>
        <v>-0.13287292819995855</v>
      </c>
      <c r="X493" t="s">
        <v>1417</v>
      </c>
    </row>
    <row r="494" spans="1:24" x14ac:dyDescent="0.25">
      <c r="A494" t="s">
        <v>1925</v>
      </c>
      <c r="B494" t="s">
        <v>1926</v>
      </c>
      <c r="C494" t="s">
        <v>1991</v>
      </c>
      <c r="D494" t="s">
        <v>105</v>
      </c>
      <c r="E494" t="s">
        <v>50</v>
      </c>
      <c r="F494" t="s">
        <v>1</v>
      </c>
      <c r="G494" t="s">
        <v>562</v>
      </c>
      <c r="H494" t="s">
        <v>450</v>
      </c>
      <c r="I494" t="s">
        <v>1</v>
      </c>
      <c r="J494">
        <v>8459.4</v>
      </c>
      <c r="K494">
        <v>7717.0002000000004</v>
      </c>
      <c r="L494">
        <v>3236.38</v>
      </c>
      <c r="M494">
        <v>6526.4016574585639</v>
      </c>
      <c r="N494">
        <v>7868.8799999999983</v>
      </c>
      <c r="O494">
        <v>6526.4016574586003</v>
      </c>
      <c r="P494">
        <v>0</v>
      </c>
      <c r="Q494">
        <f t="shared" si="100"/>
        <v>6526.4016574586003</v>
      </c>
      <c r="R494">
        <v>6526</v>
      </c>
      <c r="S494">
        <f t="shared" si="101"/>
        <v>-0.40165745860031166</v>
      </c>
      <c r="T494"/>
      <c r="U494">
        <f t="shared" si="102"/>
        <v>0</v>
      </c>
      <c r="V494">
        <f t="shared" si="103"/>
        <v>6526</v>
      </c>
      <c r="W494">
        <f t="shared" si="104"/>
        <v>-0.40165745860031166</v>
      </c>
      <c r="X494" t="s">
        <v>1418</v>
      </c>
    </row>
    <row r="495" spans="1:24" x14ac:dyDescent="0.25">
      <c r="A495" t="s">
        <v>1925</v>
      </c>
      <c r="B495" t="s">
        <v>1926</v>
      </c>
      <c r="C495" t="s">
        <v>1991</v>
      </c>
      <c r="D495" t="s">
        <v>105</v>
      </c>
      <c r="E495" t="s">
        <v>51</v>
      </c>
      <c r="F495" t="s">
        <v>51</v>
      </c>
      <c r="G495" t="s">
        <v>567</v>
      </c>
      <c r="H495"/>
      <c r="I495"/>
      <c r="J495">
        <v>680816.71000000008</v>
      </c>
      <c r="K495">
        <v>811076.96069999994</v>
      </c>
      <c r="L495">
        <v>298284.69000000006</v>
      </c>
      <c r="M495">
        <v>601513.32513812149</v>
      </c>
      <c r="N495">
        <v>589465.93000000005</v>
      </c>
      <c r="O495">
        <v>596774.9625456864</v>
      </c>
      <c r="P495">
        <f>SUMIF($F$455:$F$494,"&lt;&gt;EV_*",$P$455:$P$494)</f>
        <v>65000</v>
      </c>
      <c r="Q495">
        <f>SUMIF($F$455:$F$494,"&lt;&gt;EV_*",$Q$455:$Q$494)</f>
        <v>661774.9625456864</v>
      </c>
      <c r="R495">
        <f>SUMIF($F$455:$F$494,"&lt;&gt;EV_*",$R$455:$R$494)</f>
        <v>888222.83807054814</v>
      </c>
      <c r="S495">
        <f>SUMIF($F$455:$F$494,"&lt;&gt;EV_*",$S$455:$S$494)</f>
        <v>226447.8755248618</v>
      </c>
      <c r="T495">
        <v>0</v>
      </c>
      <c r="U495">
        <f>SUMIF($F$455:$F$494,"&lt;&gt;EV_*",$U$455:$U$494)</f>
        <v>1908.1442776243091</v>
      </c>
      <c r="V495">
        <f>SUMIF($F$455:$F$494,"&lt;&gt;EV_*",$V$455:$V$494)</f>
        <v>890130.98234817269</v>
      </c>
      <c r="W495">
        <f>SUMIF($F$455:$F$494,"&lt;&gt;EV_*",$W$455:$W$494)</f>
        <v>228356.01980248615</v>
      </c>
      <c r="X495">
        <f>SUMIF($F$455:$F$494,"&lt;&gt;EV_*",$X$455:$X$494)</f>
        <v>0</v>
      </c>
    </row>
    <row r="496" spans="1:24" x14ac:dyDescent="0.25">
      <c r="A496" t="s">
        <v>1940</v>
      </c>
      <c r="B496" t="s">
        <v>1946</v>
      </c>
      <c r="C496" t="s">
        <v>1992</v>
      </c>
      <c r="D496" t="s">
        <v>110</v>
      </c>
      <c r="E496" t="s">
        <v>5</v>
      </c>
      <c r="F496" t="s">
        <v>5</v>
      </c>
      <c r="G496" t="s">
        <v>568</v>
      </c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</row>
    <row r="497" spans="1:24" x14ac:dyDescent="0.25">
      <c r="A497" t="s">
        <v>1940</v>
      </c>
      <c r="B497" t="s">
        <v>1946</v>
      </c>
      <c r="C497" t="s">
        <v>1992</v>
      </c>
      <c r="D497" t="s">
        <v>110</v>
      </c>
      <c r="E497" t="s">
        <v>11</v>
      </c>
      <c r="F497" t="s">
        <v>1</v>
      </c>
      <c r="G497" t="s">
        <v>569</v>
      </c>
      <c r="H497" t="s">
        <v>411</v>
      </c>
      <c r="I497" t="s">
        <v>1</v>
      </c>
      <c r="J497">
        <v>4256.95</v>
      </c>
      <c r="K497">
        <v>3572.19</v>
      </c>
      <c r="L497">
        <v>1769.8</v>
      </c>
      <c r="M497">
        <v>3568.9337016574582</v>
      </c>
      <c r="N497">
        <v>3771.63</v>
      </c>
      <c r="O497">
        <v>3539.6</v>
      </c>
      <c r="P497">
        <v>0</v>
      </c>
      <c r="Q497">
        <f>O497+P497</f>
        <v>3539.6</v>
      </c>
      <c r="R497">
        <v>3539.6</v>
      </c>
      <c r="S497">
        <f>IF(OR(LEFT(E497,2)="A_",LEFT(D497,5)="Total"),R497-Q497,"")</f>
        <v>0</v>
      </c>
      <c r="T497"/>
      <c r="U497">
        <f>IFERROR(R497*T497,R497*0)</f>
        <v>0</v>
      </c>
      <c r="V497">
        <f>IF(OR(LEFT(E497,2)="A_",LEFT(D497,5)="Total"),R497+U497,"")</f>
        <v>3539.6</v>
      </c>
      <c r="W497">
        <f>IF(OR(LEFT(E497,2)="A_",LEFT(D497,5)="Total"),V497-Q497,"")</f>
        <v>0</v>
      </c>
      <c r="X497">
        <v>0</v>
      </c>
    </row>
    <row r="498" spans="1:24" x14ac:dyDescent="0.25">
      <c r="A498" t="s">
        <v>1940</v>
      </c>
      <c r="B498" t="s">
        <v>1946</v>
      </c>
      <c r="C498" t="s">
        <v>1992</v>
      </c>
      <c r="D498" t="s">
        <v>110</v>
      </c>
      <c r="E498" t="s">
        <v>51</v>
      </c>
      <c r="F498" t="s">
        <v>51</v>
      </c>
      <c r="G498" t="s">
        <v>570</v>
      </c>
      <c r="H498"/>
      <c r="I498"/>
      <c r="J498">
        <v>4256.95</v>
      </c>
      <c r="K498">
        <v>3572.19</v>
      </c>
      <c r="L498">
        <v>1769.8</v>
      </c>
      <c r="M498">
        <v>3568.9337016574582</v>
      </c>
      <c r="N498">
        <v>3771.63</v>
      </c>
      <c r="O498">
        <v>3539.6</v>
      </c>
      <c r="P498">
        <f>SUMIF($F$496:$F$497,"&lt;&gt;EV_*",$P$496:$P$497)</f>
        <v>0</v>
      </c>
      <c r="Q498">
        <f>SUMIF($F$496:$F$497,"&lt;&gt;EV_*",$Q$496:$Q$497)</f>
        <v>3539.6</v>
      </c>
      <c r="R498">
        <f>SUMIF($F$496:$F$497,"&lt;&gt;EV_*",$R$496:$R$497)</f>
        <v>3539.6</v>
      </c>
      <c r="S498">
        <f>SUMIF($F$496:$F$497,"&lt;&gt;EV_*",$S$496:$S$497)</f>
        <v>0</v>
      </c>
      <c r="T498">
        <v>0</v>
      </c>
      <c r="U498">
        <f>SUMIF($F$496:$F$497,"&lt;&gt;EV_*",$U$496:$U$497)</f>
        <v>0</v>
      </c>
      <c r="V498">
        <f>SUMIF($F$496:$F$497,"&lt;&gt;EV_*",$V$496:$V$497)</f>
        <v>3539.6</v>
      </c>
      <c r="W498">
        <f>SUMIF($F$496:$F$497,"&lt;&gt;EV_*",$W$496:$W$497)</f>
        <v>0</v>
      </c>
      <c r="X498">
        <f>SUMIF($F$496:$F$497,"&lt;&gt;EV_*",$X$496:$X$497)</f>
        <v>0</v>
      </c>
    </row>
    <row r="499" spans="1:24" x14ac:dyDescent="0.25">
      <c r="A499" t="s">
        <v>1940</v>
      </c>
      <c r="B499" t="s">
        <v>1946</v>
      </c>
      <c r="C499" t="s">
        <v>1993</v>
      </c>
      <c r="D499" t="s">
        <v>111</v>
      </c>
      <c r="E499" t="s">
        <v>5</v>
      </c>
      <c r="F499" t="s">
        <v>5</v>
      </c>
      <c r="G499" t="s">
        <v>571</v>
      </c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</row>
    <row r="500" spans="1:24" x14ac:dyDescent="0.25">
      <c r="A500" t="s">
        <v>1940</v>
      </c>
      <c r="B500" t="s">
        <v>1946</v>
      </c>
      <c r="C500" t="s">
        <v>1993</v>
      </c>
      <c r="D500" t="s">
        <v>111</v>
      </c>
      <c r="E500" t="s">
        <v>18</v>
      </c>
      <c r="F500" t="s">
        <v>1</v>
      </c>
      <c r="G500" t="s">
        <v>572</v>
      </c>
      <c r="H500" t="s">
        <v>418</v>
      </c>
      <c r="I500" t="s">
        <v>1</v>
      </c>
      <c r="J500"/>
      <c r="K500"/>
      <c r="L500">
        <v>1.38</v>
      </c>
      <c r="M500">
        <v>2.7828729281767952</v>
      </c>
      <c r="N500">
        <v>1.38</v>
      </c>
      <c r="O500">
        <v>2.7751648352</v>
      </c>
      <c r="P500">
        <v>0</v>
      </c>
      <c r="Q500">
        <f>O500+P500</f>
        <v>2.7751648352</v>
      </c>
      <c r="R500">
        <v>2.7751648352</v>
      </c>
      <c r="S500">
        <f>IF(OR(LEFT(E500,2)="A_",LEFT(D500,5)="Total"),R500-Q500,"")</f>
        <v>0</v>
      </c>
      <c r="T500">
        <v>0.02</v>
      </c>
      <c r="U500">
        <f>IFERROR(R500*T500,R500*0)</f>
        <v>5.5503296704000005E-2</v>
      </c>
      <c r="V500">
        <f>IF(OR(LEFT(E500,2)="A_",LEFT(D500,5)="Total"),R500+U500,"")</f>
        <v>2.8306681319039999</v>
      </c>
      <c r="W500">
        <f>IF(OR(LEFT(E500,2)="A_",LEFT(D500,5)="Total"),V500-Q500,"")</f>
        <v>5.5503296703999894E-2</v>
      </c>
      <c r="X500">
        <v>0</v>
      </c>
    </row>
    <row r="501" spans="1:24" x14ac:dyDescent="0.25">
      <c r="A501" t="s">
        <v>1940</v>
      </c>
      <c r="B501" t="s">
        <v>1946</v>
      </c>
      <c r="C501" t="s">
        <v>1993</v>
      </c>
      <c r="D501" t="s">
        <v>111</v>
      </c>
      <c r="E501" t="s">
        <v>27</v>
      </c>
      <c r="F501" t="s">
        <v>1</v>
      </c>
      <c r="G501" t="s">
        <v>572</v>
      </c>
      <c r="H501" t="s">
        <v>427</v>
      </c>
      <c r="I501" t="s">
        <v>1</v>
      </c>
      <c r="J501">
        <v>16.7</v>
      </c>
      <c r="K501">
        <v>20.0000000004</v>
      </c>
      <c r="L501">
        <v>6.9</v>
      </c>
      <c r="M501">
        <v>13.91436464088398</v>
      </c>
      <c r="N501">
        <v>14.68</v>
      </c>
      <c r="O501">
        <v>13.8</v>
      </c>
      <c r="P501">
        <v>0</v>
      </c>
      <c r="Q501">
        <f>O501+P501</f>
        <v>13.8</v>
      </c>
      <c r="R501">
        <v>13.8</v>
      </c>
      <c r="S501">
        <f>IF(OR(LEFT(E501,2)="A_",LEFT(D501,5)="Total"),R501-Q501,"")</f>
        <v>0</v>
      </c>
      <c r="T501"/>
      <c r="U501">
        <f>IFERROR(R501*T501,R501*0)</f>
        <v>0</v>
      </c>
      <c r="V501">
        <f>IF(OR(LEFT(E501,2)="A_",LEFT(D501,5)="Total"),R501+U501,"")</f>
        <v>13.8</v>
      </c>
      <c r="W501">
        <f>IF(OR(LEFT(E501,2)="A_",LEFT(D501,5)="Total"),V501-Q501,"")</f>
        <v>0</v>
      </c>
      <c r="X501">
        <v>0</v>
      </c>
    </row>
    <row r="502" spans="1:24" x14ac:dyDescent="0.25">
      <c r="A502" t="s">
        <v>1940</v>
      </c>
      <c r="B502" t="s">
        <v>1946</v>
      </c>
      <c r="C502" t="s">
        <v>1993</v>
      </c>
      <c r="D502" t="s">
        <v>111</v>
      </c>
      <c r="E502" t="s">
        <v>46</v>
      </c>
      <c r="F502" t="s">
        <v>1</v>
      </c>
      <c r="G502" t="s">
        <v>572</v>
      </c>
      <c r="H502" t="s">
        <v>446</v>
      </c>
      <c r="I502" t="s">
        <v>1</v>
      </c>
      <c r="J502"/>
      <c r="K502"/>
      <c r="L502">
        <v>2.56</v>
      </c>
      <c r="M502">
        <v>5.1624309392265193</v>
      </c>
      <c r="N502">
        <v>2.56</v>
      </c>
      <c r="O502">
        <v>5.12</v>
      </c>
      <c r="P502">
        <v>0</v>
      </c>
      <c r="Q502">
        <f>O502+P502</f>
        <v>5.12</v>
      </c>
      <c r="R502">
        <v>5.12</v>
      </c>
      <c r="S502">
        <f>IF(OR(LEFT(E502,2)="A_",LEFT(D502,5)="Total"),R502-Q502,"")</f>
        <v>0</v>
      </c>
      <c r="T502">
        <v>0.03</v>
      </c>
      <c r="U502">
        <f>IFERROR(R502*T502,R502*0)</f>
        <v>0.15359999999999999</v>
      </c>
      <c r="V502">
        <f>IF(OR(LEFT(E502,2)="A_",LEFT(D502,5)="Total"),R502+U502,"")</f>
        <v>5.2736000000000001</v>
      </c>
      <c r="W502">
        <f>IF(OR(LEFT(E502,2)="A_",LEFT(D502,5)="Total"),V502-Q502,"")</f>
        <v>0.15359999999999996</v>
      </c>
      <c r="X502">
        <v>0</v>
      </c>
    </row>
    <row r="503" spans="1:24" x14ac:dyDescent="0.25">
      <c r="A503" t="s">
        <v>1940</v>
      </c>
      <c r="B503" t="s">
        <v>1946</v>
      </c>
      <c r="C503" t="s">
        <v>1993</v>
      </c>
      <c r="D503" t="s">
        <v>111</v>
      </c>
      <c r="E503" t="s">
        <v>51</v>
      </c>
      <c r="F503" t="s">
        <v>51</v>
      </c>
      <c r="G503" t="s">
        <v>573</v>
      </c>
      <c r="H503"/>
      <c r="I503"/>
      <c r="J503">
        <v>16.7</v>
      </c>
      <c r="K503">
        <v>20.0000000004</v>
      </c>
      <c r="L503">
        <v>10.840000000000002</v>
      </c>
      <c r="M503">
        <v>21.859668508287292</v>
      </c>
      <c r="N503">
        <v>18.619999999999997</v>
      </c>
      <c r="O503">
        <v>21.6951648352</v>
      </c>
      <c r="P503">
        <f>SUMIF($F$499:$F$502,"&lt;&gt;EV_*",$P$499:$P$502)</f>
        <v>0</v>
      </c>
      <c r="Q503">
        <f>SUMIF($F$499:$F$502,"&lt;&gt;EV_*",$Q$499:$Q$502)</f>
        <v>21.6951648352</v>
      </c>
      <c r="R503">
        <f>SUMIF($F$499:$F$502,"&lt;&gt;EV_*",$R$499:$R$502)</f>
        <v>21.6951648352</v>
      </c>
      <c r="S503">
        <f>SUMIF($F$499:$F$502,"&lt;&gt;EV_*",$S$499:$S$502)</f>
        <v>0</v>
      </c>
      <c r="T503">
        <v>0</v>
      </c>
      <c r="U503">
        <f>SUMIF($F$499:$F$502,"&lt;&gt;EV_*",$U$499:$U$502)</f>
        <v>0.20910329670399999</v>
      </c>
      <c r="V503">
        <f>SUMIF($F$499:$F$502,"&lt;&gt;EV_*",$V$499:$V$502)</f>
        <v>21.904268131904004</v>
      </c>
      <c r="W503">
        <f>SUMIF($F$499:$F$502,"&lt;&gt;EV_*",$W$499:$W$502)</f>
        <v>0.20910329670399985</v>
      </c>
      <c r="X503">
        <f>SUMIF($F$499:$F$502,"&lt;&gt;EV_*",$X$499:$X$502)</f>
        <v>0</v>
      </c>
    </row>
    <row r="504" spans="1:24" x14ac:dyDescent="0.25">
      <c r="A504" t="s">
        <v>1940</v>
      </c>
      <c r="B504" t="s">
        <v>1946</v>
      </c>
      <c r="C504" t="s">
        <v>1994</v>
      </c>
      <c r="D504" t="s">
        <v>112</v>
      </c>
      <c r="E504" t="s">
        <v>5</v>
      </c>
      <c r="F504" t="s">
        <v>5</v>
      </c>
      <c r="G504" t="s">
        <v>574</v>
      </c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</row>
    <row r="505" spans="1:24" x14ac:dyDescent="0.25">
      <c r="A505" t="s">
        <v>1940</v>
      </c>
      <c r="B505" t="s">
        <v>1946</v>
      </c>
      <c r="C505" t="s">
        <v>1994</v>
      </c>
      <c r="D505" t="s">
        <v>112</v>
      </c>
      <c r="E505" t="s">
        <v>11</v>
      </c>
      <c r="F505" t="s">
        <v>1</v>
      </c>
      <c r="G505" t="s">
        <v>575</v>
      </c>
      <c r="H505" t="s">
        <v>411</v>
      </c>
      <c r="I505" t="s">
        <v>1</v>
      </c>
      <c r="J505">
        <v>6619.9</v>
      </c>
      <c r="K505">
        <v>3662.5300000008001</v>
      </c>
      <c r="L505">
        <v>1902.06</v>
      </c>
      <c r="M505">
        <v>3835.6458563535907</v>
      </c>
      <c r="N505">
        <v>4832.3599999999997</v>
      </c>
      <c r="O505">
        <v>3804.12</v>
      </c>
      <c r="P505">
        <v>0</v>
      </c>
      <c r="Q505">
        <f>O505+P505</f>
        <v>3804.12</v>
      </c>
      <c r="R505">
        <v>3804.12</v>
      </c>
      <c r="S505">
        <f>IF(OR(LEFT(E505,2)="A_",LEFT(D505,5)="Total"),R505-Q505,"")</f>
        <v>0</v>
      </c>
      <c r="T505"/>
      <c r="U505">
        <f>IFERROR(R505*T505,R505*0)</f>
        <v>0</v>
      </c>
      <c r="V505">
        <f>IF(OR(LEFT(E505,2)="A_",LEFT(D505,5)="Total"),R505+U505,"")</f>
        <v>3804.12</v>
      </c>
      <c r="W505">
        <f>IF(OR(LEFT(E505,2)="A_",LEFT(D505,5)="Total"),V505-Q505,"")</f>
        <v>0</v>
      </c>
      <c r="X505">
        <v>0</v>
      </c>
    </row>
    <row r="506" spans="1:24" x14ac:dyDescent="0.25">
      <c r="A506" t="s">
        <v>1940</v>
      </c>
      <c r="B506" t="s">
        <v>1946</v>
      </c>
      <c r="C506" t="s">
        <v>1994</v>
      </c>
      <c r="D506" t="s">
        <v>112</v>
      </c>
      <c r="E506" t="s">
        <v>27</v>
      </c>
      <c r="F506" t="s">
        <v>1</v>
      </c>
      <c r="G506" t="s">
        <v>575</v>
      </c>
      <c r="H506" t="s">
        <v>427</v>
      </c>
      <c r="I506" t="s">
        <v>1</v>
      </c>
      <c r="J506">
        <v>949.34</v>
      </c>
      <c r="K506">
        <v>1419.9999999996</v>
      </c>
      <c r="L506">
        <v>0</v>
      </c>
      <c r="M506">
        <v>0</v>
      </c>
      <c r="N506">
        <v>119.1</v>
      </c>
      <c r="O506"/>
      <c r="P506">
        <v>0</v>
      </c>
      <c r="Q506">
        <f>O506+P506</f>
        <v>0</v>
      </c>
      <c r="R506">
        <v>0</v>
      </c>
      <c r="S506">
        <f>IF(OR(LEFT(E506,2)="A_",LEFT(D506,5)="Total"),R506-Q506,"")</f>
        <v>0</v>
      </c>
      <c r="T506"/>
      <c r="U506">
        <f>IFERROR(R506*T506,R506*0)</f>
        <v>0</v>
      </c>
      <c r="V506">
        <f>IF(OR(LEFT(E506,2)="A_",LEFT(D506,5)="Total"),R506+U506,"")</f>
        <v>0</v>
      </c>
      <c r="W506">
        <f>IF(OR(LEFT(E506,2)="A_",LEFT(D506,5)="Total"),V506-Q506,"")</f>
        <v>0</v>
      </c>
      <c r="X506">
        <v>0</v>
      </c>
    </row>
    <row r="507" spans="1:24" x14ac:dyDescent="0.25">
      <c r="A507" t="s">
        <v>1940</v>
      </c>
      <c r="B507" t="s">
        <v>1946</v>
      </c>
      <c r="C507" t="s">
        <v>1994</v>
      </c>
      <c r="D507" t="s">
        <v>112</v>
      </c>
      <c r="E507" t="s">
        <v>51</v>
      </c>
      <c r="F507" t="s">
        <v>51</v>
      </c>
      <c r="G507" t="s">
        <v>576</v>
      </c>
      <c r="H507"/>
      <c r="I507"/>
      <c r="J507">
        <v>7569.24</v>
      </c>
      <c r="K507">
        <v>5082.5300000003999</v>
      </c>
      <c r="L507">
        <v>1902.06</v>
      </c>
      <c r="M507">
        <v>3835.6458563535907</v>
      </c>
      <c r="N507">
        <v>4951.46</v>
      </c>
      <c r="O507">
        <v>3804.12</v>
      </c>
      <c r="P507">
        <f>SUMIF($F$504:$F$506,"&lt;&gt;EV_*",$P$504:$P$506)</f>
        <v>0</v>
      </c>
      <c r="Q507">
        <f>SUMIF($F$504:$F$506,"&lt;&gt;EV_*",$Q$504:$Q$506)</f>
        <v>3804.12</v>
      </c>
      <c r="R507">
        <f>SUMIF($F$504:$F$506,"&lt;&gt;EV_*",$R$504:$R$506)</f>
        <v>3804.12</v>
      </c>
      <c r="S507">
        <f>SUMIF($F$504:$F$506,"&lt;&gt;EV_*",$S$504:$S$506)</f>
        <v>0</v>
      </c>
      <c r="T507">
        <v>0</v>
      </c>
      <c r="U507">
        <f>SUMIF($F$504:$F$506,"&lt;&gt;EV_*",$U$504:$U$506)</f>
        <v>0</v>
      </c>
      <c r="V507">
        <f>SUMIF($F$504:$F$506,"&lt;&gt;EV_*",$V$504:$V$506)</f>
        <v>3804.12</v>
      </c>
      <c r="W507">
        <f>SUMIF($F$504:$F$506,"&lt;&gt;EV_*",$W$504:$W$506)</f>
        <v>0</v>
      </c>
      <c r="X507">
        <f>SUMIF($F$504:$F$506,"&lt;&gt;EV_*",$X$504:$X$506)</f>
        <v>0</v>
      </c>
    </row>
    <row r="508" spans="1:24" x14ac:dyDescent="0.25">
      <c r="A508" t="s">
        <v>1940</v>
      </c>
      <c r="B508" t="s">
        <v>1946</v>
      </c>
      <c r="C508" t="s">
        <v>1995</v>
      </c>
      <c r="D508" t="s">
        <v>113</v>
      </c>
      <c r="E508" t="s">
        <v>5</v>
      </c>
      <c r="F508" t="s">
        <v>5</v>
      </c>
      <c r="G508" t="s">
        <v>577</v>
      </c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</row>
    <row r="509" spans="1:24" x14ac:dyDescent="0.25">
      <c r="A509" t="s">
        <v>1940</v>
      </c>
      <c r="B509" t="s">
        <v>1946</v>
      </c>
      <c r="C509" t="s">
        <v>1995</v>
      </c>
      <c r="D509" t="s">
        <v>113</v>
      </c>
      <c r="E509" t="s">
        <v>40</v>
      </c>
      <c r="F509" t="s">
        <v>1</v>
      </c>
      <c r="G509" t="s">
        <v>578</v>
      </c>
      <c r="H509" t="s">
        <v>440</v>
      </c>
      <c r="I509" t="s">
        <v>1</v>
      </c>
      <c r="J509">
        <v>340.45</v>
      </c>
      <c r="K509">
        <v>371.00000000040001</v>
      </c>
      <c r="L509">
        <v>278.55</v>
      </c>
      <c r="M509">
        <v>561.71685082872932</v>
      </c>
      <c r="N509">
        <v>433.29999999999995</v>
      </c>
      <c r="O509">
        <v>557.1</v>
      </c>
      <c r="P509">
        <v>0</v>
      </c>
      <c r="Q509">
        <f>O509+P509</f>
        <v>557.1</v>
      </c>
      <c r="R509">
        <v>557.1</v>
      </c>
      <c r="S509">
        <f>IF(OR(LEFT(E509,2)="A_",LEFT(D509,5)="Total"),R509-Q509,"")</f>
        <v>0</v>
      </c>
      <c r="T509">
        <v>0.03</v>
      </c>
      <c r="U509">
        <f>IFERROR(R509*T509,R509*0)</f>
        <v>16.713000000000001</v>
      </c>
      <c r="V509">
        <f>IF(OR(LEFT(E509,2)="A_",LEFT(D509,5)="Total"),R509+U509,"")</f>
        <v>573.81299999999999</v>
      </c>
      <c r="W509">
        <f>IF(OR(LEFT(E509,2)="A_",LEFT(D509,5)="Total"),V509-Q509,"")</f>
        <v>16.712999999999965</v>
      </c>
      <c r="X509">
        <v>0</v>
      </c>
    </row>
    <row r="510" spans="1:24" x14ac:dyDescent="0.25">
      <c r="A510" t="s">
        <v>1940</v>
      </c>
      <c r="B510" t="s">
        <v>1946</v>
      </c>
      <c r="C510" t="s">
        <v>1995</v>
      </c>
      <c r="D510" t="s">
        <v>113</v>
      </c>
      <c r="E510" t="s">
        <v>51</v>
      </c>
      <c r="F510" t="s">
        <v>51</v>
      </c>
      <c r="G510" t="s">
        <v>579</v>
      </c>
      <c r="H510"/>
      <c r="I510"/>
      <c r="J510">
        <v>340.45</v>
      </c>
      <c r="K510">
        <v>371.00000000040001</v>
      </c>
      <c r="L510">
        <v>278.55</v>
      </c>
      <c r="M510">
        <v>561.71685082872932</v>
      </c>
      <c r="N510">
        <v>433.29999999999995</v>
      </c>
      <c r="O510">
        <v>557.1</v>
      </c>
      <c r="P510">
        <f>SUMIF($F$508:$F$509,"&lt;&gt;EV_*",$P$508:$P$509)</f>
        <v>0</v>
      </c>
      <c r="Q510">
        <f>SUMIF($F$508:$F$509,"&lt;&gt;EV_*",$Q$508:$Q$509)</f>
        <v>557.1</v>
      </c>
      <c r="R510">
        <f>SUMIF($F$508:$F$509,"&lt;&gt;EV_*",$R$508:$R$509)</f>
        <v>557.1</v>
      </c>
      <c r="S510">
        <f>SUMIF($F$508:$F$509,"&lt;&gt;EV_*",$S$508:$S$509)</f>
        <v>0</v>
      </c>
      <c r="T510">
        <v>0</v>
      </c>
      <c r="U510">
        <f>SUMIF($F$508:$F$509,"&lt;&gt;EV_*",$U$508:$U$509)</f>
        <v>16.713000000000001</v>
      </c>
      <c r="V510">
        <f>SUMIF($F$508:$F$509,"&lt;&gt;EV_*",$V$508:$V$509)</f>
        <v>573.81299999999999</v>
      </c>
      <c r="W510">
        <f>SUMIF($F$508:$F$509,"&lt;&gt;EV_*",$W$508:$W$509)</f>
        <v>16.712999999999965</v>
      </c>
      <c r="X510">
        <f>SUMIF($F$508:$F$509,"&lt;&gt;EV_*",$X$508:$X$509)</f>
        <v>0</v>
      </c>
    </row>
    <row r="511" spans="1:24" x14ac:dyDescent="0.25">
      <c r="A511" t="s">
        <v>1940</v>
      </c>
      <c r="B511" t="s">
        <v>1946</v>
      </c>
      <c r="C511" t="s">
        <v>1996</v>
      </c>
      <c r="D511" t="s">
        <v>114</v>
      </c>
      <c r="E511" t="s">
        <v>5</v>
      </c>
      <c r="F511" t="s">
        <v>5</v>
      </c>
      <c r="G511" t="s">
        <v>580</v>
      </c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</row>
    <row r="512" spans="1:24" x14ac:dyDescent="0.25">
      <c r="A512" t="s">
        <v>1940</v>
      </c>
      <c r="B512" t="s">
        <v>1946</v>
      </c>
      <c r="C512" t="s">
        <v>1996</v>
      </c>
      <c r="D512" t="s">
        <v>114</v>
      </c>
      <c r="E512" t="s">
        <v>27</v>
      </c>
      <c r="F512" t="s">
        <v>1</v>
      </c>
      <c r="G512" t="s">
        <v>581</v>
      </c>
      <c r="H512" t="s">
        <v>427</v>
      </c>
      <c r="I512" t="s">
        <v>1</v>
      </c>
      <c r="J512">
        <v>15.32</v>
      </c>
      <c r="K512">
        <v>20.0000000004</v>
      </c>
      <c r="L512">
        <v>0</v>
      </c>
      <c r="M512">
        <v>0</v>
      </c>
      <c r="N512">
        <v>1.92</v>
      </c>
      <c r="O512"/>
      <c r="P512">
        <v>0</v>
      </c>
      <c r="Q512">
        <f>O512+P512</f>
        <v>0</v>
      </c>
      <c r="R512">
        <v>0</v>
      </c>
      <c r="S512">
        <f>IF(OR(LEFT(E512,2)="A_",LEFT(D512,5)="Total"),R512-Q512,"")</f>
        <v>0</v>
      </c>
      <c r="T512"/>
      <c r="U512">
        <f>IFERROR(R512*T512,R512*0)</f>
        <v>0</v>
      </c>
      <c r="V512">
        <f>IF(OR(LEFT(E512,2)="A_",LEFT(D512,5)="Total"),R512+U512,"")</f>
        <v>0</v>
      </c>
      <c r="W512">
        <f>IF(OR(LEFT(E512,2)="A_",LEFT(D512,5)="Total"),V512-Q512,"")</f>
        <v>0</v>
      </c>
      <c r="X512">
        <v>0</v>
      </c>
    </row>
    <row r="513" spans="1:24" x14ac:dyDescent="0.25">
      <c r="A513" t="s">
        <v>1940</v>
      </c>
      <c r="B513" t="s">
        <v>1946</v>
      </c>
      <c r="C513" t="s">
        <v>1996</v>
      </c>
      <c r="D513" t="s">
        <v>114</v>
      </c>
      <c r="E513" t="s">
        <v>51</v>
      </c>
      <c r="F513" t="s">
        <v>51</v>
      </c>
      <c r="G513" t="s">
        <v>582</v>
      </c>
      <c r="H513"/>
      <c r="I513"/>
      <c r="J513">
        <v>15.32</v>
      </c>
      <c r="K513">
        <v>20.0000000004</v>
      </c>
      <c r="L513">
        <v>0</v>
      </c>
      <c r="M513">
        <v>0</v>
      </c>
      <c r="N513">
        <v>1.92</v>
      </c>
      <c r="O513">
        <v>0</v>
      </c>
      <c r="P513">
        <f>SUMIF($F$511:$F$512,"&lt;&gt;EV_*",$P$511:$P$512)</f>
        <v>0</v>
      </c>
      <c r="Q513">
        <f>SUMIF($F$511:$F$512,"&lt;&gt;EV_*",$Q$511:$Q$512)</f>
        <v>0</v>
      </c>
      <c r="R513">
        <f>SUMIF($F$511:$F$512,"&lt;&gt;EV_*",$R$511:$R$512)</f>
        <v>0</v>
      </c>
      <c r="S513">
        <f>SUMIF($F$511:$F$512,"&lt;&gt;EV_*",$S$511:$S$512)</f>
        <v>0</v>
      </c>
      <c r="T513">
        <v>0</v>
      </c>
      <c r="U513">
        <f>SUMIF($F$511:$F$512,"&lt;&gt;EV_*",$U$511:$U$512)</f>
        <v>0</v>
      </c>
      <c r="V513">
        <f>SUMIF($F$511:$F$512,"&lt;&gt;EV_*",$V$511:$V$512)</f>
        <v>0</v>
      </c>
      <c r="W513">
        <f>SUMIF($F$511:$F$512,"&lt;&gt;EV_*",$W$511:$W$512)</f>
        <v>0</v>
      </c>
      <c r="X513">
        <f>SUMIF($F$511:$F$512,"&lt;&gt;EV_*",$X$511:$X$512)</f>
        <v>0</v>
      </c>
    </row>
    <row r="514" spans="1:24" x14ac:dyDescent="0.25">
      <c r="A514" t="s">
        <v>1928</v>
      </c>
      <c r="B514" t="s">
        <v>1929</v>
      </c>
      <c r="C514" t="s">
        <v>1997</v>
      </c>
      <c r="D514" t="s">
        <v>115</v>
      </c>
      <c r="E514" t="s">
        <v>5</v>
      </c>
      <c r="F514" t="s">
        <v>5</v>
      </c>
      <c r="G514" t="s">
        <v>583</v>
      </c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</row>
    <row r="515" spans="1:24" x14ac:dyDescent="0.25">
      <c r="A515" t="s">
        <v>1928</v>
      </c>
      <c r="B515" t="s">
        <v>1929</v>
      </c>
      <c r="C515" t="s">
        <v>1997</v>
      </c>
      <c r="D515" t="s">
        <v>115</v>
      </c>
      <c r="E515" t="s">
        <v>116</v>
      </c>
      <c r="F515" t="s">
        <v>1</v>
      </c>
      <c r="G515" t="s">
        <v>584</v>
      </c>
      <c r="H515" t="s">
        <v>585</v>
      </c>
      <c r="I515" t="s">
        <v>1</v>
      </c>
      <c r="J515">
        <v>32670</v>
      </c>
      <c r="K515"/>
      <c r="L515">
        <v>0</v>
      </c>
      <c r="M515">
        <v>0</v>
      </c>
      <c r="N515">
        <v>0</v>
      </c>
      <c r="O515"/>
      <c r="P515">
        <v>0</v>
      </c>
      <c r="Q515">
        <f t="shared" ref="Q515:Q551" si="105">O515+P515</f>
        <v>0</v>
      </c>
      <c r="R515">
        <v>0</v>
      </c>
      <c r="S515">
        <f t="shared" ref="S515:S551" si="106">IF(OR(LEFT(E515,2)="A_",LEFT(D515,5)="Total"),R515-Q515,"")</f>
        <v>0</v>
      </c>
      <c r="T515"/>
      <c r="U515">
        <f t="shared" ref="U515:U551" si="107">IFERROR(R515*T515,R515*0)</f>
        <v>0</v>
      </c>
      <c r="V515">
        <f t="shared" ref="V515:V551" si="108">IF(OR(LEFT(E515,2)="A_",LEFT(D515,5)="Total"),R515+U515,"")</f>
        <v>0</v>
      </c>
      <c r="W515">
        <f t="shared" ref="W515:W551" si="109">IF(OR(LEFT(E515,2)="A_",LEFT(D515,5)="Total"),V515-Q515,"")</f>
        <v>0</v>
      </c>
      <c r="X515">
        <v>0</v>
      </c>
    </row>
    <row r="516" spans="1:24" x14ac:dyDescent="0.25">
      <c r="A516" t="s">
        <v>1928</v>
      </c>
      <c r="B516" t="s">
        <v>1929</v>
      </c>
      <c r="C516" t="s">
        <v>1997</v>
      </c>
      <c r="D516" t="s">
        <v>115</v>
      </c>
      <c r="E516" t="s">
        <v>8</v>
      </c>
      <c r="F516" t="s">
        <v>1</v>
      </c>
      <c r="G516" t="s">
        <v>584</v>
      </c>
      <c r="H516" t="s">
        <v>408</v>
      </c>
      <c r="I516" t="s">
        <v>1</v>
      </c>
      <c r="J516">
        <v>6496.8</v>
      </c>
      <c r="K516">
        <v>8476.5301104972004</v>
      </c>
      <c r="L516">
        <v>52.5</v>
      </c>
      <c r="M516">
        <v>105.87016574585634</v>
      </c>
      <c r="N516">
        <v>2345.87</v>
      </c>
      <c r="O516">
        <v>105.8701657459</v>
      </c>
      <c r="P516">
        <v>-106</v>
      </c>
      <c r="Q516">
        <f t="shared" si="105"/>
        <v>-0.12983425410000393</v>
      </c>
      <c r="R516">
        <v>0</v>
      </c>
      <c r="S516">
        <f t="shared" si="106"/>
        <v>0.12983425410000393</v>
      </c>
      <c r="T516"/>
      <c r="U516">
        <f t="shared" si="107"/>
        <v>0</v>
      </c>
      <c r="V516">
        <f t="shared" si="108"/>
        <v>0</v>
      </c>
      <c r="W516">
        <f t="shared" si="109"/>
        <v>0.12983425410000393</v>
      </c>
      <c r="X516">
        <v>0</v>
      </c>
    </row>
    <row r="517" spans="1:24" x14ac:dyDescent="0.25">
      <c r="A517" t="s">
        <v>1928</v>
      </c>
      <c r="B517" t="s">
        <v>1929</v>
      </c>
      <c r="C517" t="s">
        <v>1997</v>
      </c>
      <c r="D517" t="s">
        <v>115</v>
      </c>
      <c r="E517" t="s">
        <v>10</v>
      </c>
      <c r="F517" t="s">
        <v>1</v>
      </c>
      <c r="G517" t="s">
        <v>584</v>
      </c>
      <c r="H517" t="s">
        <v>410</v>
      </c>
      <c r="I517" t="s">
        <v>1</v>
      </c>
      <c r="J517">
        <v>105752.5</v>
      </c>
      <c r="K517">
        <v>124282</v>
      </c>
      <c r="L517">
        <v>112505</v>
      </c>
      <c r="M517">
        <v>226874.72375690605</v>
      </c>
      <c r="N517">
        <v>147960</v>
      </c>
      <c r="O517">
        <v>225010</v>
      </c>
      <c r="P517">
        <v>0</v>
      </c>
      <c r="Q517">
        <f t="shared" si="105"/>
        <v>225010</v>
      </c>
      <c r="R517">
        <v>225010</v>
      </c>
      <c r="S517">
        <f t="shared" si="106"/>
        <v>0</v>
      </c>
      <c r="T517"/>
      <c r="U517">
        <f t="shared" si="107"/>
        <v>0</v>
      </c>
      <c r="V517">
        <f t="shared" si="108"/>
        <v>225010</v>
      </c>
      <c r="W517">
        <f t="shared" si="109"/>
        <v>0</v>
      </c>
      <c r="X517">
        <v>0</v>
      </c>
    </row>
    <row r="518" spans="1:24" x14ac:dyDescent="0.25">
      <c r="A518" t="s">
        <v>1928</v>
      </c>
      <c r="B518" t="s">
        <v>1929</v>
      </c>
      <c r="C518" t="s">
        <v>1997</v>
      </c>
      <c r="D518" t="s">
        <v>115</v>
      </c>
      <c r="E518" t="s">
        <v>11</v>
      </c>
      <c r="F518" t="s">
        <v>1</v>
      </c>
      <c r="G518" t="s">
        <v>584</v>
      </c>
      <c r="H518" t="s">
        <v>411</v>
      </c>
      <c r="I518" t="s">
        <v>1</v>
      </c>
      <c r="J518">
        <v>11378.64</v>
      </c>
      <c r="K518">
        <v>8037.7299999996003</v>
      </c>
      <c r="L518">
        <v>4474.32</v>
      </c>
      <c r="M518">
        <v>9022.7999999999993</v>
      </c>
      <c r="N518">
        <v>9360.4399999999987</v>
      </c>
      <c r="O518">
        <v>8948.64</v>
      </c>
      <c r="P518">
        <v>0</v>
      </c>
      <c r="Q518">
        <f t="shared" si="105"/>
        <v>8948.64</v>
      </c>
      <c r="R518">
        <v>8948.64</v>
      </c>
      <c r="S518">
        <f t="shared" si="106"/>
        <v>0</v>
      </c>
      <c r="T518"/>
      <c r="U518">
        <f t="shared" si="107"/>
        <v>0</v>
      </c>
      <c r="V518">
        <f t="shared" si="108"/>
        <v>8948.64</v>
      </c>
      <c r="W518">
        <f t="shared" si="109"/>
        <v>0</v>
      </c>
      <c r="X518">
        <v>0</v>
      </c>
    </row>
    <row r="519" spans="1:24" x14ac:dyDescent="0.25">
      <c r="A519" t="s">
        <v>1928</v>
      </c>
      <c r="B519" t="s">
        <v>1929</v>
      </c>
      <c r="C519" t="s">
        <v>1997</v>
      </c>
      <c r="D519" t="s">
        <v>115</v>
      </c>
      <c r="E519" t="s">
        <v>117</v>
      </c>
      <c r="F519" t="s">
        <v>1</v>
      </c>
      <c r="G519" t="s">
        <v>584</v>
      </c>
      <c r="H519" t="s">
        <v>586</v>
      </c>
      <c r="I519" t="s">
        <v>1</v>
      </c>
      <c r="J519">
        <v>-39113.11</v>
      </c>
      <c r="K519">
        <v>49743</v>
      </c>
      <c r="L519">
        <v>23576.9</v>
      </c>
      <c r="M519">
        <v>47544.577348066297</v>
      </c>
      <c r="N519">
        <v>-70212.789999999994</v>
      </c>
      <c r="O519">
        <v>47153.8</v>
      </c>
      <c r="P519">
        <v>0</v>
      </c>
      <c r="Q519">
        <f t="shared" si="105"/>
        <v>47153.8</v>
      </c>
      <c r="R519">
        <v>47153.8</v>
      </c>
      <c r="S519">
        <f t="shared" si="106"/>
        <v>0</v>
      </c>
      <c r="T519"/>
      <c r="U519">
        <f t="shared" si="107"/>
        <v>0</v>
      </c>
      <c r="V519">
        <f t="shared" si="108"/>
        <v>47153.8</v>
      </c>
      <c r="W519">
        <f t="shared" si="109"/>
        <v>0</v>
      </c>
      <c r="X519">
        <v>0</v>
      </c>
    </row>
    <row r="520" spans="1:24" x14ac:dyDescent="0.25">
      <c r="A520" t="s">
        <v>1928</v>
      </c>
      <c r="B520" t="s">
        <v>1929</v>
      </c>
      <c r="C520" t="s">
        <v>1997</v>
      </c>
      <c r="D520" t="s">
        <v>115</v>
      </c>
      <c r="E520" t="s">
        <v>12</v>
      </c>
      <c r="F520" t="s">
        <v>1</v>
      </c>
      <c r="G520" t="s">
        <v>584</v>
      </c>
      <c r="H520" t="s">
        <v>412</v>
      </c>
      <c r="I520" t="s">
        <v>1</v>
      </c>
      <c r="J520">
        <v>77</v>
      </c>
      <c r="K520"/>
      <c r="L520">
        <v>236</v>
      </c>
      <c r="M520">
        <v>475.91160220994476</v>
      </c>
      <c r="N520">
        <v>313</v>
      </c>
      <c r="O520">
        <v>472</v>
      </c>
      <c r="P520">
        <v>0</v>
      </c>
      <c r="Q520">
        <f t="shared" si="105"/>
        <v>472</v>
      </c>
      <c r="R520">
        <v>472</v>
      </c>
      <c r="S520">
        <f t="shared" si="106"/>
        <v>0</v>
      </c>
      <c r="T520"/>
      <c r="U520">
        <f t="shared" si="107"/>
        <v>0</v>
      </c>
      <c r="V520">
        <f t="shared" si="108"/>
        <v>472</v>
      </c>
      <c r="W520">
        <f t="shared" si="109"/>
        <v>0</v>
      </c>
      <c r="X520">
        <v>0</v>
      </c>
    </row>
    <row r="521" spans="1:24" x14ac:dyDescent="0.25">
      <c r="A521" t="s">
        <v>1928</v>
      </c>
      <c r="B521" t="s">
        <v>1929</v>
      </c>
      <c r="C521" t="s">
        <v>1997</v>
      </c>
      <c r="D521" t="s">
        <v>115</v>
      </c>
      <c r="E521" t="s">
        <v>65</v>
      </c>
      <c r="F521" t="s">
        <v>1</v>
      </c>
      <c r="G521" t="s">
        <v>584</v>
      </c>
      <c r="H521" t="s">
        <v>476</v>
      </c>
      <c r="I521" t="s">
        <v>1</v>
      </c>
      <c r="J521">
        <v>-323.91000000000003</v>
      </c>
      <c r="K521"/>
      <c r="L521">
        <v>-168.7</v>
      </c>
      <c r="M521">
        <v>-340.19613259668506</v>
      </c>
      <c r="N521">
        <v>-246.31</v>
      </c>
      <c r="O521">
        <v>-339.2538461538</v>
      </c>
      <c r="P521">
        <v>0</v>
      </c>
      <c r="Q521">
        <f t="shared" si="105"/>
        <v>-339.2538461538</v>
      </c>
      <c r="R521">
        <v>0</v>
      </c>
      <c r="S521">
        <f t="shared" si="106"/>
        <v>339.2538461538</v>
      </c>
      <c r="T521"/>
      <c r="U521">
        <f t="shared" si="107"/>
        <v>0</v>
      </c>
      <c r="V521">
        <f t="shared" si="108"/>
        <v>0</v>
      </c>
      <c r="W521">
        <f t="shared" si="109"/>
        <v>339.2538461538</v>
      </c>
      <c r="X521" t="s">
        <v>1419</v>
      </c>
    </row>
    <row r="522" spans="1:24" x14ac:dyDescent="0.25">
      <c r="A522" t="s">
        <v>1928</v>
      </c>
      <c r="B522" t="s">
        <v>1929</v>
      </c>
      <c r="C522" t="s">
        <v>1997</v>
      </c>
      <c r="D522" t="s">
        <v>115</v>
      </c>
      <c r="E522" t="s">
        <v>17</v>
      </c>
      <c r="F522" t="s">
        <v>1</v>
      </c>
      <c r="G522" t="s">
        <v>584</v>
      </c>
      <c r="H522" t="s">
        <v>417</v>
      </c>
      <c r="I522" t="s">
        <v>1</v>
      </c>
      <c r="J522">
        <v>-11972.51</v>
      </c>
      <c r="K522">
        <v>-14819.9999999999</v>
      </c>
      <c r="L522">
        <v>-1012.54</v>
      </c>
      <c r="M522">
        <v>-2041.8624309392262</v>
      </c>
      <c r="N522">
        <v>-11440.070000000002</v>
      </c>
      <c r="O522">
        <v>-2036.2068131868</v>
      </c>
      <c r="P522">
        <v>0</v>
      </c>
      <c r="Q522">
        <f t="shared" si="105"/>
        <v>-2036.2068131868</v>
      </c>
      <c r="R522">
        <v>-2036.2068131868</v>
      </c>
      <c r="S522">
        <f t="shared" si="106"/>
        <v>0</v>
      </c>
      <c r="T522"/>
      <c r="U522">
        <f t="shared" si="107"/>
        <v>0</v>
      </c>
      <c r="V522">
        <f t="shared" si="108"/>
        <v>-2036.2068131868</v>
      </c>
      <c r="W522">
        <f t="shared" si="109"/>
        <v>0</v>
      </c>
      <c r="X522" t="s">
        <v>1419</v>
      </c>
    </row>
    <row r="523" spans="1:24" x14ac:dyDescent="0.25">
      <c r="A523" t="s">
        <v>1928</v>
      </c>
      <c r="B523" t="s">
        <v>1929</v>
      </c>
      <c r="C523" t="s">
        <v>1997</v>
      </c>
      <c r="D523" t="s">
        <v>115</v>
      </c>
      <c r="E523" t="s">
        <v>82</v>
      </c>
      <c r="F523" t="s">
        <v>1</v>
      </c>
      <c r="G523" t="s">
        <v>584</v>
      </c>
      <c r="H523" t="s">
        <v>507</v>
      </c>
      <c r="I523" t="s">
        <v>1</v>
      </c>
      <c r="J523">
        <v>2813.08</v>
      </c>
      <c r="K523">
        <v>2920.6738066111998</v>
      </c>
      <c r="L523">
        <v>1241.96</v>
      </c>
      <c r="M523">
        <v>2504.5049723756906</v>
      </c>
      <c r="N523">
        <v>2432.0100000000002</v>
      </c>
      <c r="O523">
        <v>2497.5679120878999</v>
      </c>
      <c r="P523">
        <v>0</v>
      </c>
      <c r="Q523">
        <f t="shared" si="105"/>
        <v>2497.5679120878999</v>
      </c>
      <c r="R523">
        <v>2497.5679120878999</v>
      </c>
      <c r="S523">
        <f t="shared" si="106"/>
        <v>0</v>
      </c>
      <c r="T523">
        <v>2.75E-2</v>
      </c>
      <c r="U523">
        <f t="shared" si="107"/>
        <v>68.683117582417253</v>
      </c>
      <c r="V523">
        <f t="shared" si="108"/>
        <v>2566.2510296703172</v>
      </c>
      <c r="W523">
        <f t="shared" si="109"/>
        <v>68.683117582417253</v>
      </c>
      <c r="X523" t="s">
        <v>1419</v>
      </c>
    </row>
    <row r="524" spans="1:24" x14ac:dyDescent="0.25">
      <c r="A524" t="s">
        <v>1928</v>
      </c>
      <c r="B524" t="s">
        <v>1929</v>
      </c>
      <c r="C524" t="s">
        <v>1997</v>
      </c>
      <c r="D524" t="s">
        <v>115</v>
      </c>
      <c r="E524" t="s">
        <v>72</v>
      </c>
      <c r="F524" t="s">
        <v>1</v>
      </c>
      <c r="G524" t="s">
        <v>584</v>
      </c>
      <c r="H524" t="s">
        <v>489</v>
      </c>
      <c r="I524" t="s">
        <v>1</v>
      </c>
      <c r="J524">
        <v>796.32</v>
      </c>
      <c r="K524">
        <v>1223.0311851852</v>
      </c>
      <c r="L524">
        <v>0</v>
      </c>
      <c r="M524">
        <v>0</v>
      </c>
      <c r="N524">
        <v>796.32</v>
      </c>
      <c r="O524"/>
      <c r="P524">
        <v>0</v>
      </c>
      <c r="Q524">
        <f t="shared" si="105"/>
        <v>0</v>
      </c>
      <c r="R524">
        <v>0</v>
      </c>
      <c r="S524">
        <f t="shared" si="106"/>
        <v>0</v>
      </c>
      <c r="T524">
        <v>2.2499999999999999E-2</v>
      </c>
      <c r="U524">
        <f t="shared" si="107"/>
        <v>0</v>
      </c>
      <c r="V524">
        <f t="shared" si="108"/>
        <v>0</v>
      </c>
      <c r="W524">
        <f t="shared" si="109"/>
        <v>0</v>
      </c>
      <c r="X524" t="s">
        <v>1419</v>
      </c>
    </row>
    <row r="525" spans="1:24" x14ac:dyDescent="0.25">
      <c r="A525" t="s">
        <v>1928</v>
      </c>
      <c r="B525" t="s">
        <v>1929</v>
      </c>
      <c r="C525" t="s">
        <v>1997</v>
      </c>
      <c r="D525" t="s">
        <v>115</v>
      </c>
      <c r="E525" t="s">
        <v>118</v>
      </c>
      <c r="F525" t="s">
        <v>1</v>
      </c>
      <c r="G525" t="s">
        <v>584</v>
      </c>
      <c r="H525" t="s">
        <v>587</v>
      </c>
      <c r="I525" t="s">
        <v>1</v>
      </c>
      <c r="J525">
        <v>637.58000000000004</v>
      </c>
      <c r="K525"/>
      <c r="L525">
        <v>44.73</v>
      </c>
      <c r="M525">
        <v>90.20138121546961</v>
      </c>
      <c r="N525">
        <v>426.90999999999997</v>
      </c>
      <c r="O525">
        <v>89.951538461499993</v>
      </c>
      <c r="P525">
        <v>0</v>
      </c>
      <c r="Q525">
        <f t="shared" si="105"/>
        <v>89.951538461499993</v>
      </c>
      <c r="R525">
        <v>89.951538461499993</v>
      </c>
      <c r="S525">
        <f t="shared" si="106"/>
        <v>0</v>
      </c>
      <c r="T525">
        <v>3.2500000000000001E-2</v>
      </c>
      <c r="U525">
        <f t="shared" si="107"/>
        <v>2.9234249999987498</v>
      </c>
      <c r="V525">
        <f t="shared" si="108"/>
        <v>92.874963461498737</v>
      </c>
      <c r="W525">
        <f t="shared" si="109"/>
        <v>2.9234249999987441</v>
      </c>
      <c r="X525" t="s">
        <v>1419</v>
      </c>
    </row>
    <row r="526" spans="1:24" x14ac:dyDescent="0.25">
      <c r="A526" t="s">
        <v>1928</v>
      </c>
      <c r="B526" t="s">
        <v>1929</v>
      </c>
      <c r="C526" t="s">
        <v>1997</v>
      </c>
      <c r="D526" t="s">
        <v>115</v>
      </c>
      <c r="E526" t="s">
        <v>18</v>
      </c>
      <c r="F526" t="s">
        <v>1</v>
      </c>
      <c r="G526" t="s">
        <v>584</v>
      </c>
      <c r="H526" t="s">
        <v>418</v>
      </c>
      <c r="I526" t="s">
        <v>1</v>
      </c>
      <c r="J526">
        <v>106022.9</v>
      </c>
      <c r="K526">
        <v>110426.502840318</v>
      </c>
      <c r="L526">
        <v>39814.47</v>
      </c>
      <c r="M526">
        <v>80288.848342541431</v>
      </c>
      <c r="N526">
        <v>86721.12999999999</v>
      </c>
      <c r="O526">
        <v>80066.4616483516</v>
      </c>
      <c r="P526">
        <v>0</v>
      </c>
      <c r="Q526">
        <f t="shared" si="105"/>
        <v>80066.4616483516</v>
      </c>
      <c r="R526">
        <v>80066.4616483516</v>
      </c>
      <c r="S526">
        <f t="shared" si="106"/>
        <v>0</v>
      </c>
      <c r="T526">
        <v>0.02</v>
      </c>
      <c r="U526">
        <f t="shared" si="107"/>
        <v>1601.3292329670321</v>
      </c>
      <c r="V526">
        <f t="shared" si="108"/>
        <v>81667.790881318637</v>
      </c>
      <c r="W526">
        <f t="shared" si="109"/>
        <v>1601.3292329670367</v>
      </c>
      <c r="X526" t="s">
        <v>1419</v>
      </c>
    </row>
    <row r="527" spans="1:24" x14ac:dyDescent="0.25">
      <c r="A527" t="s">
        <v>1928</v>
      </c>
      <c r="B527" t="s">
        <v>1929</v>
      </c>
      <c r="C527" t="s">
        <v>1997</v>
      </c>
      <c r="D527" t="s">
        <v>115</v>
      </c>
      <c r="E527" t="s">
        <v>19</v>
      </c>
      <c r="F527" t="s">
        <v>1</v>
      </c>
      <c r="G527" t="s">
        <v>584</v>
      </c>
      <c r="H527" t="s">
        <v>419</v>
      </c>
      <c r="I527" t="s">
        <v>1</v>
      </c>
      <c r="J527">
        <v>9110</v>
      </c>
      <c r="K527">
        <v>13833.695724150901</v>
      </c>
      <c r="L527">
        <v>0</v>
      </c>
      <c r="M527">
        <v>0</v>
      </c>
      <c r="N527">
        <v>0</v>
      </c>
      <c r="O527"/>
      <c r="P527">
        <v>0</v>
      </c>
      <c r="Q527">
        <f t="shared" si="105"/>
        <v>0</v>
      </c>
      <c r="R527">
        <v>0</v>
      </c>
      <c r="S527">
        <f t="shared" si="106"/>
        <v>0</v>
      </c>
      <c r="T527">
        <v>0.02</v>
      </c>
      <c r="U527">
        <f t="shared" si="107"/>
        <v>0</v>
      </c>
      <c r="V527">
        <f t="shared" si="108"/>
        <v>0</v>
      </c>
      <c r="W527">
        <f t="shared" si="109"/>
        <v>0</v>
      </c>
      <c r="X527" t="s">
        <v>1419</v>
      </c>
    </row>
    <row r="528" spans="1:24" x14ac:dyDescent="0.25">
      <c r="A528" t="s">
        <v>1928</v>
      </c>
      <c r="B528" t="s">
        <v>1929</v>
      </c>
      <c r="C528" t="s">
        <v>1997</v>
      </c>
      <c r="D528" t="s">
        <v>115</v>
      </c>
      <c r="E528" t="s">
        <v>74</v>
      </c>
      <c r="F528" t="s">
        <v>1</v>
      </c>
      <c r="G528" t="s">
        <v>584</v>
      </c>
      <c r="H528" t="s">
        <v>491</v>
      </c>
      <c r="I528" t="s">
        <v>1</v>
      </c>
      <c r="J528">
        <v>10415.24</v>
      </c>
      <c r="K528">
        <v>10466.1505957927</v>
      </c>
      <c r="L528">
        <v>4164.26</v>
      </c>
      <c r="M528">
        <v>8397.5408839779011</v>
      </c>
      <c r="N528">
        <v>9066.880000000001</v>
      </c>
      <c r="O528">
        <v>8374.2810989010995</v>
      </c>
      <c r="P528">
        <v>0</v>
      </c>
      <c r="Q528">
        <f t="shared" si="105"/>
        <v>8374.2810989010995</v>
      </c>
      <c r="R528">
        <v>8374.2810989010995</v>
      </c>
      <c r="S528">
        <f t="shared" si="106"/>
        <v>0</v>
      </c>
      <c r="T528">
        <v>3.5000000000000003E-2</v>
      </c>
      <c r="U528">
        <f t="shared" si="107"/>
        <v>293.09983846153852</v>
      </c>
      <c r="V528">
        <f t="shared" si="108"/>
        <v>8667.3809373626373</v>
      </c>
      <c r="W528">
        <f t="shared" si="109"/>
        <v>293.09983846153773</v>
      </c>
      <c r="X528" t="s">
        <v>1419</v>
      </c>
    </row>
    <row r="529" spans="1:24" x14ac:dyDescent="0.25">
      <c r="A529" t="s">
        <v>1928</v>
      </c>
      <c r="B529" t="s">
        <v>1929</v>
      </c>
      <c r="C529" t="s">
        <v>1997</v>
      </c>
      <c r="D529" t="s">
        <v>115</v>
      </c>
      <c r="E529" t="s">
        <v>85</v>
      </c>
      <c r="F529" t="s">
        <v>1</v>
      </c>
      <c r="G529" t="s">
        <v>584</v>
      </c>
      <c r="H529" t="s">
        <v>510</v>
      </c>
      <c r="I529" t="s">
        <v>1</v>
      </c>
      <c r="J529">
        <v>2386.98</v>
      </c>
      <c r="K529">
        <v>3596.2749626338</v>
      </c>
      <c r="L529">
        <v>92.3</v>
      </c>
      <c r="M529">
        <v>186.12983425414362</v>
      </c>
      <c r="N529">
        <v>1315.9</v>
      </c>
      <c r="O529">
        <v>185.6142857143</v>
      </c>
      <c r="P529">
        <v>0</v>
      </c>
      <c r="Q529">
        <f t="shared" si="105"/>
        <v>185.6142857143</v>
      </c>
      <c r="R529">
        <v>185.6142857143</v>
      </c>
      <c r="S529">
        <f t="shared" si="106"/>
        <v>0</v>
      </c>
      <c r="T529">
        <v>0.02</v>
      </c>
      <c r="U529">
        <f t="shared" si="107"/>
        <v>3.7122857142860002</v>
      </c>
      <c r="V529">
        <f t="shared" si="108"/>
        <v>189.32657142858599</v>
      </c>
      <c r="W529">
        <f t="shared" si="109"/>
        <v>3.7122857142859971</v>
      </c>
      <c r="X529" t="s">
        <v>1419</v>
      </c>
    </row>
    <row r="530" spans="1:24" x14ac:dyDescent="0.25">
      <c r="A530" t="s">
        <v>1928</v>
      </c>
      <c r="B530" t="s">
        <v>1929</v>
      </c>
      <c r="C530" t="s">
        <v>1997</v>
      </c>
      <c r="D530" t="s">
        <v>115</v>
      </c>
      <c r="E530" t="s">
        <v>119</v>
      </c>
      <c r="F530" t="s">
        <v>1</v>
      </c>
      <c r="G530" t="s">
        <v>584</v>
      </c>
      <c r="H530" t="s">
        <v>588</v>
      </c>
      <c r="I530" t="s">
        <v>1</v>
      </c>
      <c r="J530">
        <v>21161.61</v>
      </c>
      <c r="K530">
        <v>23459.8005111272</v>
      </c>
      <c r="L530">
        <v>5632.7</v>
      </c>
      <c r="M530">
        <v>11358.759668508286</v>
      </c>
      <c r="N530">
        <v>14633.92</v>
      </c>
      <c r="O530">
        <v>11327.2978021978</v>
      </c>
      <c r="P530">
        <v>0</v>
      </c>
      <c r="Q530">
        <f t="shared" si="105"/>
        <v>11327.2978021978</v>
      </c>
      <c r="R530">
        <v>11327.2978021978</v>
      </c>
      <c r="S530">
        <f t="shared" si="106"/>
        <v>0</v>
      </c>
      <c r="T530">
        <v>1.4999999999999999E-2</v>
      </c>
      <c r="U530">
        <f t="shared" si="107"/>
        <v>169.909467032967</v>
      </c>
      <c r="V530">
        <f t="shared" si="108"/>
        <v>11497.207269230767</v>
      </c>
      <c r="W530">
        <f t="shared" si="109"/>
        <v>169.90946703296686</v>
      </c>
      <c r="X530" t="s">
        <v>1419</v>
      </c>
    </row>
    <row r="531" spans="1:24" x14ac:dyDescent="0.25">
      <c r="A531" t="s">
        <v>1928</v>
      </c>
      <c r="B531" t="s">
        <v>1929</v>
      </c>
      <c r="C531" t="s">
        <v>1997</v>
      </c>
      <c r="D531" t="s">
        <v>115</v>
      </c>
      <c r="E531" t="s">
        <v>120</v>
      </c>
      <c r="F531" t="s">
        <v>1</v>
      </c>
      <c r="G531" t="s">
        <v>584</v>
      </c>
      <c r="H531" t="s">
        <v>589</v>
      </c>
      <c r="I531" t="s">
        <v>1</v>
      </c>
      <c r="J531">
        <v>2959.11</v>
      </c>
      <c r="K531">
        <v>3107.9470636648002</v>
      </c>
      <c r="L531">
        <v>1286.3499999999999</v>
      </c>
      <c r="M531">
        <v>2594.0207182320441</v>
      </c>
      <c r="N531">
        <v>2440.86</v>
      </c>
      <c r="O531">
        <v>2586.8357142856999</v>
      </c>
      <c r="P531">
        <v>0</v>
      </c>
      <c r="Q531">
        <f t="shared" si="105"/>
        <v>2586.8357142856999</v>
      </c>
      <c r="R531">
        <v>2586.8357142856999</v>
      </c>
      <c r="S531">
        <f t="shared" si="106"/>
        <v>0</v>
      </c>
      <c r="T531">
        <v>3.5000000000000003E-2</v>
      </c>
      <c r="U531">
        <f t="shared" si="107"/>
        <v>90.539249999999498</v>
      </c>
      <c r="V531">
        <f t="shared" si="108"/>
        <v>2677.3749642856992</v>
      </c>
      <c r="W531">
        <f t="shared" si="109"/>
        <v>90.539249999999356</v>
      </c>
      <c r="X531" t="s">
        <v>1419</v>
      </c>
    </row>
    <row r="532" spans="1:24" x14ac:dyDescent="0.25">
      <c r="A532" t="s">
        <v>1928</v>
      </c>
      <c r="B532" t="s">
        <v>1929</v>
      </c>
      <c r="C532" t="s">
        <v>1997</v>
      </c>
      <c r="D532" t="s">
        <v>115</v>
      </c>
      <c r="E532" t="s">
        <v>20</v>
      </c>
      <c r="F532" t="s">
        <v>1</v>
      </c>
      <c r="G532" t="s">
        <v>584</v>
      </c>
      <c r="H532" t="s">
        <v>420</v>
      </c>
      <c r="I532" t="s">
        <v>1</v>
      </c>
      <c r="J532">
        <v>19957.87</v>
      </c>
      <c r="K532">
        <v>24808.8480862738</v>
      </c>
      <c r="L532">
        <v>4933.1899999999996</v>
      </c>
      <c r="M532">
        <v>9948.1455801104967</v>
      </c>
      <c r="N532">
        <v>12383</v>
      </c>
      <c r="O532">
        <v>9920.5908791209004</v>
      </c>
      <c r="P532">
        <v>0</v>
      </c>
      <c r="Q532">
        <f t="shared" si="105"/>
        <v>9920.5908791209004</v>
      </c>
      <c r="R532">
        <v>9920.5908791209004</v>
      </c>
      <c r="S532">
        <f t="shared" si="106"/>
        <v>0</v>
      </c>
      <c r="T532">
        <v>0.04</v>
      </c>
      <c r="U532">
        <f t="shared" si="107"/>
        <v>396.82363516483605</v>
      </c>
      <c r="V532">
        <f t="shared" si="108"/>
        <v>10317.414514285736</v>
      </c>
      <c r="W532">
        <f t="shared" si="109"/>
        <v>396.82363516483565</v>
      </c>
      <c r="X532" t="s">
        <v>1419</v>
      </c>
    </row>
    <row r="533" spans="1:24" x14ac:dyDescent="0.25">
      <c r="A533" t="s">
        <v>1928</v>
      </c>
      <c r="B533" t="s">
        <v>1929</v>
      </c>
      <c r="C533" t="s">
        <v>1997</v>
      </c>
      <c r="D533" t="s">
        <v>115</v>
      </c>
      <c r="E533" t="s">
        <v>21</v>
      </c>
      <c r="F533" t="s">
        <v>1</v>
      </c>
      <c r="G533" t="s">
        <v>584</v>
      </c>
      <c r="H533" t="s">
        <v>421</v>
      </c>
      <c r="I533" t="s">
        <v>1</v>
      </c>
      <c r="J533">
        <v>2991.89</v>
      </c>
      <c r="K533">
        <v>3621.2099999997999</v>
      </c>
      <c r="L533">
        <v>1439.74</v>
      </c>
      <c r="M533">
        <v>2903.3430939226519</v>
      </c>
      <c r="N533">
        <v>2531.7599999999998</v>
      </c>
      <c r="O533">
        <v>2903.3430939227001</v>
      </c>
      <c r="P533">
        <v>0</v>
      </c>
      <c r="Q533">
        <f t="shared" si="105"/>
        <v>2903.3430939227001</v>
      </c>
      <c r="R533">
        <v>2903.3430939227001</v>
      </c>
      <c r="S533">
        <f t="shared" si="106"/>
        <v>0</v>
      </c>
      <c r="T533">
        <v>0.03</v>
      </c>
      <c r="U533">
        <f t="shared" si="107"/>
        <v>87.100292817680995</v>
      </c>
      <c r="V533">
        <f t="shared" si="108"/>
        <v>2990.4433867403809</v>
      </c>
      <c r="W533">
        <f t="shared" si="109"/>
        <v>87.100292817680838</v>
      </c>
      <c r="X533">
        <v>0</v>
      </c>
    </row>
    <row r="534" spans="1:24" x14ac:dyDescent="0.25">
      <c r="A534" t="s">
        <v>1928</v>
      </c>
      <c r="B534" t="s">
        <v>1929</v>
      </c>
      <c r="C534" t="s">
        <v>1997</v>
      </c>
      <c r="D534" t="s">
        <v>115</v>
      </c>
      <c r="E534" t="s">
        <v>22</v>
      </c>
      <c r="F534" t="s">
        <v>1</v>
      </c>
      <c r="G534" t="s">
        <v>584</v>
      </c>
      <c r="H534" t="s">
        <v>422</v>
      </c>
      <c r="I534" t="s">
        <v>1</v>
      </c>
      <c r="J534">
        <v>7030.95</v>
      </c>
      <c r="K534">
        <v>8383.4999999997999</v>
      </c>
      <c r="L534">
        <v>3197.49</v>
      </c>
      <c r="M534">
        <v>6447.9770718232039</v>
      </c>
      <c r="N534">
        <v>6179.1100000000006</v>
      </c>
      <c r="O534">
        <v>6447.9770718232003</v>
      </c>
      <c r="P534">
        <v>0</v>
      </c>
      <c r="Q534">
        <f t="shared" si="105"/>
        <v>6447.9770718232003</v>
      </c>
      <c r="R534">
        <v>6447.9770718232003</v>
      </c>
      <c r="S534">
        <f t="shared" si="106"/>
        <v>0</v>
      </c>
      <c r="T534">
        <v>3.5000000000000003E-2</v>
      </c>
      <c r="U534">
        <f t="shared" si="107"/>
        <v>225.67919751381203</v>
      </c>
      <c r="V534">
        <f t="shared" si="108"/>
        <v>6673.6562693370124</v>
      </c>
      <c r="W534">
        <f t="shared" si="109"/>
        <v>225.67919751381214</v>
      </c>
      <c r="X534">
        <v>0</v>
      </c>
    </row>
    <row r="535" spans="1:24" x14ac:dyDescent="0.25">
      <c r="A535" t="s">
        <v>1928</v>
      </c>
      <c r="B535" t="s">
        <v>1929</v>
      </c>
      <c r="C535" t="s">
        <v>1997</v>
      </c>
      <c r="D535" t="s">
        <v>115</v>
      </c>
      <c r="E535" t="s">
        <v>23</v>
      </c>
      <c r="F535" t="s">
        <v>1</v>
      </c>
      <c r="G535" t="s">
        <v>584</v>
      </c>
      <c r="H535" t="s">
        <v>423</v>
      </c>
      <c r="I535" t="s">
        <v>1</v>
      </c>
      <c r="J535">
        <v>27445.18</v>
      </c>
      <c r="K535">
        <v>34651.800000000003</v>
      </c>
      <c r="L535">
        <v>8440.93</v>
      </c>
      <c r="M535">
        <v>17021.764917127071</v>
      </c>
      <c r="N535">
        <v>19148.570000000003</v>
      </c>
      <c r="O535">
        <v>17021.7649171271</v>
      </c>
      <c r="P535">
        <v>2127</v>
      </c>
      <c r="Q535">
        <f t="shared" si="105"/>
        <v>19148.7649171271</v>
      </c>
      <c r="R535">
        <v>19149</v>
      </c>
      <c r="S535">
        <f t="shared" si="106"/>
        <v>0.23508287289951113</v>
      </c>
      <c r="T535">
        <v>3.5000000000000003E-2</v>
      </c>
      <c r="U535">
        <f t="shared" si="107"/>
        <v>670.21500000000003</v>
      </c>
      <c r="V535">
        <f t="shared" si="108"/>
        <v>19819.215</v>
      </c>
      <c r="W535">
        <f t="shared" si="109"/>
        <v>670.45008287289966</v>
      </c>
      <c r="X535" t="s">
        <v>1419</v>
      </c>
    </row>
    <row r="536" spans="1:24" x14ac:dyDescent="0.25">
      <c r="A536" t="s">
        <v>1928</v>
      </c>
      <c r="B536" t="s">
        <v>1929</v>
      </c>
      <c r="C536" t="s">
        <v>1997</v>
      </c>
      <c r="D536" t="s">
        <v>115</v>
      </c>
      <c r="E536" t="s">
        <v>25</v>
      </c>
      <c r="F536" t="s">
        <v>1</v>
      </c>
      <c r="G536" t="s">
        <v>584</v>
      </c>
      <c r="H536" t="s">
        <v>425</v>
      </c>
      <c r="I536" t="s">
        <v>1</v>
      </c>
      <c r="J536">
        <v>294.89999999999998</v>
      </c>
      <c r="K536"/>
      <c r="L536">
        <v>0</v>
      </c>
      <c r="M536">
        <v>0</v>
      </c>
      <c r="N536">
        <v>0</v>
      </c>
      <c r="O536"/>
      <c r="P536">
        <v>0</v>
      </c>
      <c r="Q536">
        <f t="shared" si="105"/>
        <v>0</v>
      </c>
      <c r="R536">
        <v>0</v>
      </c>
      <c r="S536">
        <f t="shared" si="106"/>
        <v>0</v>
      </c>
      <c r="T536"/>
      <c r="U536">
        <f t="shared" si="107"/>
        <v>0</v>
      </c>
      <c r="V536">
        <f t="shared" si="108"/>
        <v>0</v>
      </c>
      <c r="W536">
        <f t="shared" si="109"/>
        <v>0</v>
      </c>
      <c r="X536">
        <v>0</v>
      </c>
    </row>
    <row r="537" spans="1:24" x14ac:dyDescent="0.25">
      <c r="A537" t="s">
        <v>1928</v>
      </c>
      <c r="B537" t="s">
        <v>1929</v>
      </c>
      <c r="C537" t="s">
        <v>1997</v>
      </c>
      <c r="D537" t="s">
        <v>115</v>
      </c>
      <c r="E537" t="s">
        <v>26</v>
      </c>
      <c r="F537" t="s">
        <v>1</v>
      </c>
      <c r="G537" t="s">
        <v>584</v>
      </c>
      <c r="H537" t="s">
        <v>426</v>
      </c>
      <c r="I537" t="s">
        <v>1</v>
      </c>
      <c r="J537"/>
      <c r="K537">
        <v>981.23836829519996</v>
      </c>
      <c r="L537">
        <v>0</v>
      </c>
      <c r="M537">
        <v>0</v>
      </c>
      <c r="N537">
        <v>0</v>
      </c>
      <c r="O537"/>
      <c r="P537">
        <v>9000</v>
      </c>
      <c r="Q537">
        <f t="shared" si="105"/>
        <v>9000</v>
      </c>
      <c r="R537">
        <v>9000</v>
      </c>
      <c r="S537">
        <f t="shared" si="106"/>
        <v>0</v>
      </c>
      <c r="T537"/>
      <c r="U537">
        <f t="shared" si="107"/>
        <v>0</v>
      </c>
      <c r="V537">
        <f t="shared" si="108"/>
        <v>9000</v>
      </c>
      <c r="W537">
        <f t="shared" si="109"/>
        <v>0</v>
      </c>
      <c r="X537" t="s">
        <v>1420</v>
      </c>
    </row>
    <row r="538" spans="1:24" x14ac:dyDescent="0.25">
      <c r="A538" t="s">
        <v>1928</v>
      </c>
      <c r="B538" t="s">
        <v>1929</v>
      </c>
      <c r="C538" t="s">
        <v>1997</v>
      </c>
      <c r="D538" t="s">
        <v>115</v>
      </c>
      <c r="E538" t="s">
        <v>27</v>
      </c>
      <c r="F538" t="s">
        <v>1</v>
      </c>
      <c r="G538" t="s">
        <v>584</v>
      </c>
      <c r="H538" t="s">
        <v>427</v>
      </c>
      <c r="I538" t="s">
        <v>1</v>
      </c>
      <c r="J538">
        <v>1723.68</v>
      </c>
      <c r="K538">
        <v>1770</v>
      </c>
      <c r="L538">
        <v>602.79999999999995</v>
      </c>
      <c r="M538">
        <v>1215.5911602209944</v>
      </c>
      <c r="N538">
        <v>1288.7499999999998</v>
      </c>
      <c r="O538">
        <v>1205.5999999999999</v>
      </c>
      <c r="P538">
        <v>0</v>
      </c>
      <c r="Q538">
        <f t="shared" si="105"/>
        <v>1205.5999999999999</v>
      </c>
      <c r="R538">
        <v>1205.5999999999999</v>
      </c>
      <c r="S538">
        <f t="shared" si="106"/>
        <v>0</v>
      </c>
      <c r="T538"/>
      <c r="U538">
        <f t="shared" si="107"/>
        <v>0</v>
      </c>
      <c r="V538">
        <f t="shared" si="108"/>
        <v>1205.5999999999999</v>
      </c>
      <c r="W538">
        <f t="shared" si="109"/>
        <v>0</v>
      </c>
      <c r="X538">
        <v>0</v>
      </c>
    </row>
    <row r="539" spans="1:24" x14ac:dyDescent="0.25">
      <c r="A539" t="s">
        <v>1928</v>
      </c>
      <c r="B539" t="s">
        <v>1929</v>
      </c>
      <c r="C539" t="s">
        <v>1997</v>
      </c>
      <c r="D539" t="s">
        <v>115</v>
      </c>
      <c r="E539" t="s">
        <v>28</v>
      </c>
      <c r="F539" t="s">
        <v>1</v>
      </c>
      <c r="G539" t="s">
        <v>584</v>
      </c>
      <c r="H539" t="s">
        <v>428</v>
      </c>
      <c r="I539" t="s">
        <v>1</v>
      </c>
      <c r="J539">
        <v>57497.96</v>
      </c>
      <c r="K539">
        <v>73779.999999999607</v>
      </c>
      <c r="L539">
        <v>26046.36</v>
      </c>
      <c r="M539">
        <v>52524.427624309399</v>
      </c>
      <c r="N539">
        <v>49002.14</v>
      </c>
      <c r="O539">
        <v>52092.72</v>
      </c>
      <c r="P539">
        <v>0</v>
      </c>
      <c r="Q539">
        <f t="shared" si="105"/>
        <v>52092.72</v>
      </c>
      <c r="R539">
        <v>52092.72</v>
      </c>
      <c r="S539">
        <f t="shared" si="106"/>
        <v>0</v>
      </c>
      <c r="T539"/>
      <c r="U539">
        <f t="shared" si="107"/>
        <v>0</v>
      </c>
      <c r="V539">
        <f t="shared" si="108"/>
        <v>52092.72</v>
      </c>
      <c r="W539">
        <f t="shared" si="109"/>
        <v>0</v>
      </c>
      <c r="X539">
        <v>0</v>
      </c>
    </row>
    <row r="540" spans="1:24" x14ac:dyDescent="0.25">
      <c r="A540" t="s">
        <v>1928</v>
      </c>
      <c r="B540" t="s">
        <v>1929</v>
      </c>
      <c r="C540" t="s">
        <v>1997</v>
      </c>
      <c r="D540" t="s">
        <v>115</v>
      </c>
      <c r="E540" t="s">
        <v>29</v>
      </c>
      <c r="F540" t="s">
        <v>1</v>
      </c>
      <c r="G540" t="s">
        <v>584</v>
      </c>
      <c r="H540" t="s">
        <v>429</v>
      </c>
      <c r="I540" t="s">
        <v>1</v>
      </c>
      <c r="J540">
        <v>2273.6799999999998</v>
      </c>
      <c r="K540">
        <v>1020</v>
      </c>
      <c r="L540">
        <v>0</v>
      </c>
      <c r="M540">
        <v>0</v>
      </c>
      <c r="N540">
        <v>512.42000000000007</v>
      </c>
      <c r="O540"/>
      <c r="P540">
        <v>512</v>
      </c>
      <c r="Q540">
        <f t="shared" si="105"/>
        <v>512</v>
      </c>
      <c r="R540">
        <v>512</v>
      </c>
      <c r="S540">
        <f t="shared" si="106"/>
        <v>0</v>
      </c>
      <c r="T540"/>
      <c r="U540">
        <f t="shared" si="107"/>
        <v>0</v>
      </c>
      <c r="V540">
        <f t="shared" si="108"/>
        <v>512</v>
      </c>
      <c r="W540">
        <f t="shared" si="109"/>
        <v>0</v>
      </c>
      <c r="X540" t="s">
        <v>1421</v>
      </c>
    </row>
    <row r="541" spans="1:24" x14ac:dyDescent="0.25">
      <c r="A541" t="s">
        <v>1928</v>
      </c>
      <c r="B541" t="s">
        <v>1929</v>
      </c>
      <c r="C541" t="s">
        <v>1997</v>
      </c>
      <c r="D541" t="s">
        <v>115</v>
      </c>
      <c r="E541" t="s">
        <v>33</v>
      </c>
      <c r="F541" t="s">
        <v>1</v>
      </c>
      <c r="G541" t="s">
        <v>584</v>
      </c>
      <c r="H541" t="s">
        <v>433</v>
      </c>
      <c r="I541" t="s">
        <v>1</v>
      </c>
      <c r="J541">
        <v>7650.11</v>
      </c>
      <c r="K541">
        <v>12167.355766852799</v>
      </c>
      <c r="L541">
        <v>350.92</v>
      </c>
      <c r="M541">
        <v>707.65635359116027</v>
      </c>
      <c r="N541">
        <v>2263.9</v>
      </c>
      <c r="O541">
        <v>701.84</v>
      </c>
      <c r="P541">
        <v>-202</v>
      </c>
      <c r="Q541">
        <f t="shared" si="105"/>
        <v>499.84000000000003</v>
      </c>
      <c r="R541">
        <v>500</v>
      </c>
      <c r="S541">
        <f t="shared" si="106"/>
        <v>0.15999999999996817</v>
      </c>
      <c r="T541"/>
      <c r="U541">
        <f t="shared" si="107"/>
        <v>0</v>
      </c>
      <c r="V541">
        <f t="shared" si="108"/>
        <v>500</v>
      </c>
      <c r="W541">
        <f t="shared" si="109"/>
        <v>0.15999999999996817</v>
      </c>
      <c r="X541" t="s">
        <v>1422</v>
      </c>
    </row>
    <row r="542" spans="1:24" x14ac:dyDescent="0.25">
      <c r="A542" t="s">
        <v>1928</v>
      </c>
      <c r="B542" t="s">
        <v>1929</v>
      </c>
      <c r="C542" t="s">
        <v>1997</v>
      </c>
      <c r="D542" t="s">
        <v>115</v>
      </c>
      <c r="E542" t="s">
        <v>34</v>
      </c>
      <c r="F542" t="s">
        <v>1</v>
      </c>
      <c r="G542" t="s">
        <v>584</v>
      </c>
      <c r="H542" t="s">
        <v>434</v>
      </c>
      <c r="I542" t="s">
        <v>1</v>
      </c>
      <c r="J542">
        <v>1494.34</v>
      </c>
      <c r="K542">
        <v>2649.3435943956001</v>
      </c>
      <c r="L542">
        <v>0</v>
      </c>
      <c r="M542">
        <v>0</v>
      </c>
      <c r="N542">
        <v>1293.5800000000002</v>
      </c>
      <c r="O542"/>
      <c r="P542">
        <v>0</v>
      </c>
      <c r="Q542">
        <f t="shared" si="105"/>
        <v>0</v>
      </c>
      <c r="R542">
        <v>0</v>
      </c>
      <c r="S542">
        <f t="shared" si="106"/>
        <v>0</v>
      </c>
      <c r="T542"/>
      <c r="U542">
        <f t="shared" si="107"/>
        <v>0</v>
      </c>
      <c r="V542">
        <f t="shared" si="108"/>
        <v>0</v>
      </c>
      <c r="W542">
        <f t="shared" si="109"/>
        <v>0</v>
      </c>
      <c r="X542">
        <v>0</v>
      </c>
    </row>
    <row r="543" spans="1:24" x14ac:dyDescent="0.25">
      <c r="A543" t="s">
        <v>1928</v>
      </c>
      <c r="B543" t="s">
        <v>1929</v>
      </c>
      <c r="C543" t="s">
        <v>1997</v>
      </c>
      <c r="D543" t="s">
        <v>115</v>
      </c>
      <c r="E543" t="s">
        <v>37</v>
      </c>
      <c r="F543" t="s">
        <v>1</v>
      </c>
      <c r="G543" t="s">
        <v>584</v>
      </c>
      <c r="H543" t="s">
        <v>437</v>
      </c>
      <c r="I543" t="s">
        <v>1</v>
      </c>
      <c r="J543">
        <v>200.38</v>
      </c>
      <c r="K543">
        <v>21096.6249183336</v>
      </c>
      <c r="L543">
        <v>0</v>
      </c>
      <c r="M543">
        <v>0</v>
      </c>
      <c r="N543">
        <v>200.38</v>
      </c>
      <c r="O543"/>
      <c r="P543">
        <v>1500</v>
      </c>
      <c r="Q543">
        <f t="shared" si="105"/>
        <v>1500</v>
      </c>
      <c r="R543">
        <v>1500</v>
      </c>
      <c r="S543">
        <f t="shared" si="106"/>
        <v>0</v>
      </c>
      <c r="T543"/>
      <c r="U543">
        <f t="shared" si="107"/>
        <v>0</v>
      </c>
      <c r="V543">
        <f t="shared" si="108"/>
        <v>1500</v>
      </c>
      <c r="W543">
        <f t="shared" si="109"/>
        <v>0</v>
      </c>
      <c r="X543" t="s">
        <v>1423</v>
      </c>
    </row>
    <row r="544" spans="1:24" x14ac:dyDescent="0.25">
      <c r="A544" t="s">
        <v>1928</v>
      </c>
      <c r="B544" t="s">
        <v>1929</v>
      </c>
      <c r="C544" t="s">
        <v>1997</v>
      </c>
      <c r="D544" t="s">
        <v>115</v>
      </c>
      <c r="E544" t="s">
        <v>121</v>
      </c>
      <c r="F544" t="s">
        <v>1</v>
      </c>
      <c r="G544" t="s">
        <v>584</v>
      </c>
      <c r="H544" t="s">
        <v>590</v>
      </c>
      <c r="I544" t="s">
        <v>1</v>
      </c>
      <c r="J544">
        <v>1290843.43</v>
      </c>
      <c r="K544">
        <v>-3.9999959999999999E-4</v>
      </c>
      <c r="L544">
        <v>336819.86</v>
      </c>
      <c r="M544">
        <v>679222.36961325957</v>
      </c>
      <c r="N544">
        <v>1068394.1499999999</v>
      </c>
      <c r="O544">
        <v>673639.72</v>
      </c>
      <c r="P544">
        <v>0</v>
      </c>
      <c r="Q544">
        <f t="shared" si="105"/>
        <v>673639.72</v>
      </c>
      <c r="R544">
        <v>0</v>
      </c>
      <c r="S544">
        <f t="shared" si="106"/>
        <v>-673639.72</v>
      </c>
      <c r="T544"/>
      <c r="U544">
        <f t="shared" si="107"/>
        <v>0</v>
      </c>
      <c r="V544">
        <f t="shared" si="108"/>
        <v>0</v>
      </c>
      <c r="W544">
        <f t="shared" si="109"/>
        <v>-673639.72</v>
      </c>
      <c r="X544" t="s">
        <v>1424</v>
      </c>
    </row>
    <row r="545" spans="1:24" x14ac:dyDescent="0.25">
      <c r="A545" t="s">
        <v>1928</v>
      </c>
      <c r="B545" t="s">
        <v>1929</v>
      </c>
      <c r="C545" t="s">
        <v>1997</v>
      </c>
      <c r="D545" t="s">
        <v>115</v>
      </c>
      <c r="E545" t="s">
        <v>76</v>
      </c>
      <c r="F545" t="s">
        <v>1</v>
      </c>
      <c r="G545" t="s">
        <v>584</v>
      </c>
      <c r="H545" t="s">
        <v>493</v>
      </c>
      <c r="I545" t="s">
        <v>1</v>
      </c>
      <c r="J545">
        <v>237395</v>
      </c>
      <c r="K545">
        <v>217986.37</v>
      </c>
      <c r="L545">
        <v>122600</v>
      </c>
      <c r="M545">
        <v>247232.04419889505</v>
      </c>
      <c r="N545">
        <v>237299.5</v>
      </c>
      <c r="O545">
        <v>245200</v>
      </c>
      <c r="P545">
        <v>0</v>
      </c>
      <c r="Q545">
        <f t="shared" si="105"/>
        <v>245200</v>
      </c>
      <c r="R545">
        <v>245200</v>
      </c>
      <c r="S545">
        <f t="shared" si="106"/>
        <v>0</v>
      </c>
      <c r="T545">
        <v>0.03</v>
      </c>
      <c r="U545">
        <f t="shared" si="107"/>
        <v>7356</v>
      </c>
      <c r="V545">
        <f t="shared" si="108"/>
        <v>252556</v>
      </c>
      <c r="W545">
        <f t="shared" si="109"/>
        <v>7356</v>
      </c>
      <c r="X545">
        <v>0</v>
      </c>
    </row>
    <row r="546" spans="1:24" x14ac:dyDescent="0.25">
      <c r="A546" t="s">
        <v>1928</v>
      </c>
      <c r="B546" t="s">
        <v>1929</v>
      </c>
      <c r="C546" t="s">
        <v>1997</v>
      </c>
      <c r="D546" t="s">
        <v>115</v>
      </c>
      <c r="E546" t="s">
        <v>41</v>
      </c>
      <c r="F546" t="s">
        <v>1</v>
      </c>
      <c r="G546" t="s">
        <v>584</v>
      </c>
      <c r="H546" t="s">
        <v>441</v>
      </c>
      <c r="I546" t="s">
        <v>1</v>
      </c>
      <c r="J546">
        <v>6503.42</v>
      </c>
      <c r="K546">
        <v>5265.7300000007999</v>
      </c>
      <c r="L546">
        <v>1610.04</v>
      </c>
      <c r="M546">
        <v>3246.7657458563535</v>
      </c>
      <c r="N546">
        <v>4689.28</v>
      </c>
      <c r="O546">
        <v>3220.08</v>
      </c>
      <c r="P546">
        <v>0</v>
      </c>
      <c r="Q546">
        <f t="shared" si="105"/>
        <v>3220.08</v>
      </c>
      <c r="R546">
        <v>3220.08</v>
      </c>
      <c r="S546">
        <f t="shared" si="106"/>
        <v>0</v>
      </c>
      <c r="T546">
        <v>0.03</v>
      </c>
      <c r="U546">
        <f t="shared" si="107"/>
        <v>96.602399999999989</v>
      </c>
      <c r="V546">
        <f t="shared" si="108"/>
        <v>3316.6823999999997</v>
      </c>
      <c r="W546">
        <f t="shared" si="109"/>
        <v>96.602399999999761</v>
      </c>
      <c r="X546">
        <v>0</v>
      </c>
    </row>
    <row r="547" spans="1:24" x14ac:dyDescent="0.25">
      <c r="A547" t="s">
        <v>1928</v>
      </c>
      <c r="B547" t="s">
        <v>1929</v>
      </c>
      <c r="C547" t="s">
        <v>1997</v>
      </c>
      <c r="D547" t="s">
        <v>115</v>
      </c>
      <c r="E547" t="s">
        <v>43</v>
      </c>
      <c r="F547" t="s">
        <v>1</v>
      </c>
      <c r="G547" t="s">
        <v>584</v>
      </c>
      <c r="H547" t="s">
        <v>443</v>
      </c>
      <c r="I547" t="s">
        <v>1</v>
      </c>
      <c r="J547">
        <v>1560</v>
      </c>
      <c r="K547"/>
      <c r="L547">
        <v>0</v>
      </c>
      <c r="M547">
        <v>0</v>
      </c>
      <c r="N547">
        <v>1560</v>
      </c>
      <c r="O547"/>
      <c r="P547">
        <v>0</v>
      </c>
      <c r="Q547">
        <f t="shared" si="105"/>
        <v>0</v>
      </c>
      <c r="R547">
        <v>0</v>
      </c>
      <c r="S547">
        <f t="shared" si="106"/>
        <v>0</v>
      </c>
      <c r="T547">
        <v>0.03</v>
      </c>
      <c r="U547">
        <f t="shared" si="107"/>
        <v>0</v>
      </c>
      <c r="V547">
        <f t="shared" si="108"/>
        <v>0</v>
      </c>
      <c r="W547">
        <f t="shared" si="109"/>
        <v>0</v>
      </c>
      <c r="X547">
        <v>0</v>
      </c>
    </row>
    <row r="548" spans="1:24" x14ac:dyDescent="0.25">
      <c r="A548" t="s">
        <v>1928</v>
      </c>
      <c r="B548" t="s">
        <v>1929</v>
      </c>
      <c r="C548" t="s">
        <v>1997</v>
      </c>
      <c r="D548" t="s">
        <v>115</v>
      </c>
      <c r="E548" t="s">
        <v>46</v>
      </c>
      <c r="F548" t="s">
        <v>1</v>
      </c>
      <c r="G548" t="s">
        <v>584</v>
      </c>
      <c r="H548" t="s">
        <v>446</v>
      </c>
      <c r="I548" t="s">
        <v>1</v>
      </c>
      <c r="J548">
        <v>4611.2</v>
      </c>
      <c r="K548"/>
      <c r="L548">
        <v>0</v>
      </c>
      <c r="M548">
        <v>0</v>
      </c>
      <c r="N548">
        <v>4611.2</v>
      </c>
      <c r="O548"/>
      <c r="P548">
        <v>0</v>
      </c>
      <c r="Q548">
        <f t="shared" si="105"/>
        <v>0</v>
      </c>
      <c r="R548">
        <v>0</v>
      </c>
      <c r="S548">
        <f t="shared" si="106"/>
        <v>0</v>
      </c>
      <c r="T548">
        <v>0.03</v>
      </c>
      <c r="U548">
        <f t="shared" si="107"/>
        <v>0</v>
      </c>
      <c r="V548">
        <f t="shared" si="108"/>
        <v>0</v>
      </c>
      <c r="W548">
        <f t="shared" si="109"/>
        <v>0</v>
      </c>
      <c r="X548">
        <v>0</v>
      </c>
    </row>
    <row r="549" spans="1:24" x14ac:dyDescent="0.25">
      <c r="A549" t="s">
        <v>1928</v>
      </c>
      <c r="B549" t="s">
        <v>1929</v>
      </c>
      <c r="C549" t="s">
        <v>1997</v>
      </c>
      <c r="D549" t="s">
        <v>115</v>
      </c>
      <c r="E549" t="s">
        <v>47</v>
      </c>
      <c r="F549" t="s">
        <v>1</v>
      </c>
      <c r="G549" t="s">
        <v>584</v>
      </c>
      <c r="H549" t="s">
        <v>447</v>
      </c>
      <c r="I549" t="s">
        <v>1</v>
      </c>
      <c r="J549">
        <v>225</v>
      </c>
      <c r="K549"/>
      <c r="L549">
        <v>228.64</v>
      </c>
      <c r="M549">
        <v>461.06961325966847</v>
      </c>
      <c r="N549">
        <v>453.64</v>
      </c>
      <c r="O549">
        <v>457.28</v>
      </c>
      <c r="P549">
        <v>-457</v>
      </c>
      <c r="Q549">
        <f t="shared" si="105"/>
        <v>0.27999999999997272</v>
      </c>
      <c r="R549">
        <v>0</v>
      </c>
      <c r="S549">
        <f t="shared" si="106"/>
        <v>-0.27999999999997272</v>
      </c>
      <c r="T549">
        <v>0.03</v>
      </c>
      <c r="U549">
        <f t="shared" si="107"/>
        <v>0</v>
      </c>
      <c r="V549">
        <f t="shared" si="108"/>
        <v>0</v>
      </c>
      <c r="W549">
        <f t="shared" si="109"/>
        <v>-0.27999999999997272</v>
      </c>
      <c r="X549">
        <v>0</v>
      </c>
    </row>
    <row r="550" spans="1:24" x14ac:dyDescent="0.25">
      <c r="A550" t="s">
        <v>1928</v>
      </c>
      <c r="B550" t="s">
        <v>1929</v>
      </c>
      <c r="C550" t="s">
        <v>1997</v>
      </c>
      <c r="D550" t="s">
        <v>115</v>
      </c>
      <c r="E550" t="s">
        <v>48</v>
      </c>
      <c r="F550" t="s">
        <v>1</v>
      </c>
      <c r="G550" t="s">
        <v>584</v>
      </c>
      <c r="H550" t="s">
        <v>448</v>
      </c>
      <c r="I550" t="s">
        <v>1</v>
      </c>
      <c r="J550"/>
      <c r="K550"/>
      <c r="L550">
        <v>52.48</v>
      </c>
      <c r="M550">
        <v>105.82983425414363</v>
      </c>
      <c r="N550">
        <v>52.48</v>
      </c>
      <c r="O550">
        <v>104.96</v>
      </c>
      <c r="P550">
        <v>0</v>
      </c>
      <c r="Q550">
        <f t="shared" si="105"/>
        <v>104.96</v>
      </c>
      <c r="R550">
        <v>104.96</v>
      </c>
      <c r="S550">
        <f t="shared" si="106"/>
        <v>0</v>
      </c>
      <c r="T550">
        <v>0.03</v>
      </c>
      <c r="U550">
        <f t="shared" si="107"/>
        <v>3.1487999999999996</v>
      </c>
      <c r="V550">
        <f t="shared" si="108"/>
        <v>108.10879999999999</v>
      </c>
      <c r="W550">
        <f t="shared" si="109"/>
        <v>3.1487999999999943</v>
      </c>
      <c r="X550">
        <v>0</v>
      </c>
    </row>
    <row r="551" spans="1:24" x14ac:dyDescent="0.25">
      <c r="A551" t="s">
        <v>1928</v>
      </c>
      <c r="B551" t="s">
        <v>1929</v>
      </c>
      <c r="C551" t="s">
        <v>1997</v>
      </c>
      <c r="D551" t="s">
        <v>115</v>
      </c>
      <c r="E551" t="s">
        <v>50</v>
      </c>
      <c r="F551" t="s">
        <v>1</v>
      </c>
      <c r="G551" t="s">
        <v>584</v>
      </c>
      <c r="H551" t="s">
        <v>450</v>
      </c>
      <c r="I551" t="s">
        <v>1</v>
      </c>
      <c r="J551">
        <v>1601.3</v>
      </c>
      <c r="K551">
        <v>1419.9999999997001</v>
      </c>
      <c r="L551">
        <v>1012.94</v>
      </c>
      <c r="M551">
        <v>2042.6690607734806</v>
      </c>
      <c r="N551">
        <v>1989.59</v>
      </c>
      <c r="O551">
        <v>2042.6690607735</v>
      </c>
      <c r="P551">
        <v>0</v>
      </c>
      <c r="Q551">
        <f t="shared" si="105"/>
        <v>2042.6690607735</v>
      </c>
      <c r="R551">
        <v>2042.6690607735</v>
      </c>
      <c r="S551">
        <f t="shared" si="106"/>
        <v>0</v>
      </c>
      <c r="T551"/>
      <c r="U551">
        <f t="shared" si="107"/>
        <v>0</v>
      </c>
      <c r="V551">
        <f t="shared" si="108"/>
        <v>2042.6690607735</v>
      </c>
      <c r="W551">
        <f t="shared" si="109"/>
        <v>0</v>
      </c>
      <c r="X551">
        <v>0</v>
      </c>
    </row>
    <row r="552" spans="1:24" x14ac:dyDescent="0.25">
      <c r="A552" t="s">
        <v>1928</v>
      </c>
      <c r="B552" t="s">
        <v>1929</v>
      </c>
      <c r="C552" t="s">
        <v>1997</v>
      </c>
      <c r="D552" t="s">
        <v>115</v>
      </c>
      <c r="E552" t="s">
        <v>51</v>
      </c>
      <c r="F552" t="s">
        <v>51</v>
      </c>
      <c r="G552" t="s">
        <v>591</v>
      </c>
      <c r="H552"/>
      <c r="I552"/>
      <c r="J552">
        <v>1932568.52</v>
      </c>
      <c r="K552">
        <v>754355.35713413171</v>
      </c>
      <c r="L552">
        <v>699275.6399999999</v>
      </c>
      <c r="M552">
        <v>1410141.4839779006</v>
      </c>
      <c r="N552">
        <v>1609767.52</v>
      </c>
      <c r="O552">
        <v>1399401.4045291727</v>
      </c>
      <c r="P552">
        <f>SUMIF($F$514:$F$551,"&lt;&gt;EV_*",$P$514:$P$551)</f>
        <v>12374</v>
      </c>
      <c r="Q552">
        <f>SUMIF($F$514:$F$551,"&lt;&gt;EV_*",$Q$514:$Q$551)</f>
        <v>1411775.4045291727</v>
      </c>
      <c r="R552">
        <f>SUMIF($F$514:$F$551,"&lt;&gt;EV_*",$R$514:$R$551)</f>
        <v>738475.18329245329</v>
      </c>
      <c r="S552">
        <f>SUMIF($F$514:$F$551,"&lt;&gt;EV_*",$S$514:$S$551)</f>
        <v>-673300.22123671917</v>
      </c>
      <c r="T552">
        <v>0</v>
      </c>
      <c r="U552">
        <f>SUMIF($F$514:$F$551,"&lt;&gt;EV_*",$U$514:$U$551)</f>
        <v>11065.765942254569</v>
      </c>
      <c r="V552">
        <f>SUMIF($F$514:$F$551,"&lt;&gt;EV_*",$V$514:$V$551)</f>
        <v>749540.94923470786</v>
      </c>
      <c r="W552">
        <f>SUMIF($F$514:$F$551,"&lt;&gt;EV_*",$W$514:$W$551)</f>
        <v>-662234.45529446471</v>
      </c>
      <c r="X552">
        <f>SUMIF($F$514:$F$551,"&lt;&gt;EV_*",$X$514:$X$551)</f>
        <v>0</v>
      </c>
    </row>
    <row r="553" spans="1:24" x14ac:dyDescent="0.25">
      <c r="A553" t="s">
        <v>1928</v>
      </c>
      <c r="B553" t="s">
        <v>1929</v>
      </c>
      <c r="C553" t="s">
        <v>1998</v>
      </c>
      <c r="D553" t="s">
        <v>122</v>
      </c>
      <c r="E553" t="s">
        <v>5</v>
      </c>
      <c r="F553" t="s">
        <v>5</v>
      </c>
      <c r="G553" t="s">
        <v>592</v>
      </c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</row>
    <row r="554" spans="1:24" x14ac:dyDescent="0.25">
      <c r="A554" t="s">
        <v>1928</v>
      </c>
      <c r="B554" t="s">
        <v>1929</v>
      </c>
      <c r="C554" t="s">
        <v>1998</v>
      </c>
      <c r="D554" t="s">
        <v>122</v>
      </c>
      <c r="E554" t="s">
        <v>26</v>
      </c>
      <c r="F554" t="s">
        <v>1</v>
      </c>
      <c r="G554" t="s">
        <v>593</v>
      </c>
      <c r="H554" t="s">
        <v>426</v>
      </c>
      <c r="I554" t="s">
        <v>1</v>
      </c>
      <c r="J554"/>
      <c r="K554">
        <v>981.23836829519996</v>
      </c>
      <c r="L554">
        <v>0</v>
      </c>
      <c r="M554">
        <v>0</v>
      </c>
      <c r="N554">
        <v>0</v>
      </c>
      <c r="O554"/>
      <c r="P554">
        <v>1000</v>
      </c>
      <c r="Q554">
        <f t="shared" ref="Q554:Q559" si="110">O554+P554</f>
        <v>1000</v>
      </c>
      <c r="R554">
        <v>1000</v>
      </c>
      <c r="S554">
        <f t="shared" ref="S554:S559" si="111">IF(OR(LEFT(E554,2)="A_",LEFT(D554,5)="Total"),R554-Q554,"")</f>
        <v>0</v>
      </c>
      <c r="T554"/>
      <c r="U554">
        <f t="shared" ref="U554:U559" si="112">IFERROR(R554*T554,R554*0)</f>
        <v>0</v>
      </c>
      <c r="V554">
        <f t="shared" ref="V554:V559" si="113">IF(OR(LEFT(E554,2)="A_",LEFT(D554,5)="Total"),R554+U554,"")</f>
        <v>1000</v>
      </c>
      <c r="W554">
        <f t="shared" ref="W554:W559" si="114">IF(OR(LEFT(E554,2)="A_",LEFT(D554,5)="Total"),V554-Q554,"")</f>
        <v>0</v>
      </c>
      <c r="X554" t="s">
        <v>1425</v>
      </c>
    </row>
    <row r="555" spans="1:24" x14ac:dyDescent="0.25">
      <c r="A555" t="s">
        <v>1928</v>
      </c>
      <c r="B555" t="s">
        <v>1929</v>
      </c>
      <c r="C555" t="s">
        <v>1998</v>
      </c>
      <c r="D555" t="s">
        <v>122</v>
      </c>
      <c r="E555" t="s">
        <v>29</v>
      </c>
      <c r="F555" t="s">
        <v>1</v>
      </c>
      <c r="G555" t="s">
        <v>593</v>
      </c>
      <c r="H555" t="s">
        <v>429</v>
      </c>
      <c r="I555" t="s">
        <v>1</v>
      </c>
      <c r="J555">
        <v>278.13</v>
      </c>
      <c r="K555">
        <v>560.00000000039995</v>
      </c>
      <c r="L555">
        <v>0</v>
      </c>
      <c r="M555">
        <v>0</v>
      </c>
      <c r="N555">
        <v>0</v>
      </c>
      <c r="O555"/>
      <c r="P555">
        <v>0</v>
      </c>
      <c r="Q555">
        <f t="shared" si="110"/>
        <v>0</v>
      </c>
      <c r="R555">
        <v>0</v>
      </c>
      <c r="S555">
        <f t="shared" si="111"/>
        <v>0</v>
      </c>
      <c r="T555"/>
      <c r="U555">
        <f t="shared" si="112"/>
        <v>0</v>
      </c>
      <c r="V555">
        <f t="shared" si="113"/>
        <v>0</v>
      </c>
      <c r="W555">
        <f t="shared" si="114"/>
        <v>0</v>
      </c>
      <c r="X555">
        <v>0</v>
      </c>
    </row>
    <row r="556" spans="1:24" x14ac:dyDescent="0.25">
      <c r="A556" t="s">
        <v>1928</v>
      </c>
      <c r="B556" t="s">
        <v>1929</v>
      </c>
      <c r="C556" t="s">
        <v>1998</v>
      </c>
      <c r="D556" t="s">
        <v>122</v>
      </c>
      <c r="E556" t="s">
        <v>33</v>
      </c>
      <c r="F556" t="s">
        <v>1</v>
      </c>
      <c r="G556" t="s">
        <v>593</v>
      </c>
      <c r="H556" t="s">
        <v>433</v>
      </c>
      <c r="I556" t="s">
        <v>1</v>
      </c>
      <c r="J556">
        <v>858.28</v>
      </c>
      <c r="K556">
        <v>1962.4767365892001</v>
      </c>
      <c r="L556">
        <v>0</v>
      </c>
      <c r="M556">
        <v>0</v>
      </c>
      <c r="N556">
        <v>0</v>
      </c>
      <c r="O556"/>
      <c r="P556">
        <v>500</v>
      </c>
      <c r="Q556">
        <f t="shared" si="110"/>
        <v>500</v>
      </c>
      <c r="R556">
        <v>500</v>
      </c>
      <c r="S556">
        <f t="shared" si="111"/>
        <v>0</v>
      </c>
      <c r="T556"/>
      <c r="U556">
        <f t="shared" si="112"/>
        <v>0</v>
      </c>
      <c r="V556">
        <f t="shared" si="113"/>
        <v>500</v>
      </c>
      <c r="W556">
        <f t="shared" si="114"/>
        <v>0</v>
      </c>
      <c r="X556" t="s">
        <v>1422</v>
      </c>
    </row>
    <row r="557" spans="1:24" x14ac:dyDescent="0.25">
      <c r="A557" t="s">
        <v>1928</v>
      </c>
      <c r="B557" t="s">
        <v>1929</v>
      </c>
      <c r="C557" t="s">
        <v>1998</v>
      </c>
      <c r="D557" t="s">
        <v>122</v>
      </c>
      <c r="E557" t="s">
        <v>34</v>
      </c>
      <c r="F557" t="s">
        <v>1</v>
      </c>
      <c r="G557" t="s">
        <v>593</v>
      </c>
      <c r="H557" t="s">
        <v>434</v>
      </c>
      <c r="I557" t="s">
        <v>1</v>
      </c>
      <c r="J557">
        <v>70.760000000000005</v>
      </c>
      <c r="K557">
        <v>1177.486041954</v>
      </c>
      <c r="L557">
        <v>309.12</v>
      </c>
      <c r="M557">
        <v>623.36353591160218</v>
      </c>
      <c r="N557">
        <v>309.12</v>
      </c>
      <c r="O557">
        <v>618.24</v>
      </c>
      <c r="P557">
        <v>0</v>
      </c>
      <c r="Q557">
        <f t="shared" si="110"/>
        <v>618.24</v>
      </c>
      <c r="R557">
        <v>0</v>
      </c>
      <c r="S557">
        <f t="shared" si="111"/>
        <v>-618.24</v>
      </c>
      <c r="T557"/>
      <c r="U557">
        <f t="shared" si="112"/>
        <v>0</v>
      </c>
      <c r="V557">
        <f t="shared" si="113"/>
        <v>0</v>
      </c>
      <c r="W557">
        <f t="shared" si="114"/>
        <v>-618.24</v>
      </c>
      <c r="X557">
        <v>0</v>
      </c>
    </row>
    <row r="558" spans="1:24" x14ac:dyDescent="0.25">
      <c r="A558" t="s">
        <v>1928</v>
      </c>
      <c r="B558" t="s">
        <v>1929</v>
      </c>
      <c r="C558" t="s">
        <v>1998</v>
      </c>
      <c r="D558" t="s">
        <v>122</v>
      </c>
      <c r="E558" t="s">
        <v>37</v>
      </c>
      <c r="F558" t="s">
        <v>1</v>
      </c>
      <c r="G558" t="s">
        <v>593</v>
      </c>
      <c r="H558" t="s">
        <v>437</v>
      </c>
      <c r="I558" t="s">
        <v>1</v>
      </c>
      <c r="J558">
        <v>379.83</v>
      </c>
      <c r="K558">
        <v>1471.8575524427999</v>
      </c>
      <c r="L558">
        <v>0</v>
      </c>
      <c r="M558">
        <v>0</v>
      </c>
      <c r="N558">
        <v>379.83</v>
      </c>
      <c r="O558"/>
      <c r="P558">
        <v>1500</v>
      </c>
      <c r="Q558">
        <f t="shared" si="110"/>
        <v>1500</v>
      </c>
      <c r="R558">
        <v>1500</v>
      </c>
      <c r="S558">
        <f t="shared" si="111"/>
        <v>0</v>
      </c>
      <c r="T558"/>
      <c r="U558">
        <f t="shared" si="112"/>
        <v>0</v>
      </c>
      <c r="V558">
        <f t="shared" si="113"/>
        <v>1500</v>
      </c>
      <c r="W558">
        <f t="shared" si="114"/>
        <v>0</v>
      </c>
      <c r="X558" t="s">
        <v>1426</v>
      </c>
    </row>
    <row r="559" spans="1:24" x14ac:dyDescent="0.25">
      <c r="A559" t="s">
        <v>1928</v>
      </c>
      <c r="B559" t="s">
        <v>1929</v>
      </c>
      <c r="C559" t="s">
        <v>1998</v>
      </c>
      <c r="D559" t="s">
        <v>122</v>
      </c>
      <c r="E559" t="s">
        <v>50</v>
      </c>
      <c r="F559" t="s">
        <v>1</v>
      </c>
      <c r="G559" t="s">
        <v>593</v>
      </c>
      <c r="H559" t="s">
        <v>450</v>
      </c>
      <c r="I559" t="s">
        <v>1</v>
      </c>
      <c r="J559">
        <v>360.41</v>
      </c>
      <c r="K559">
        <v>339.99999999969998</v>
      </c>
      <c r="L559">
        <v>196.59</v>
      </c>
      <c r="M559">
        <v>396.43839779005532</v>
      </c>
      <c r="N559">
        <v>393.16999999999996</v>
      </c>
      <c r="O559">
        <v>396.4383977901</v>
      </c>
      <c r="P559">
        <v>0</v>
      </c>
      <c r="Q559">
        <f t="shared" si="110"/>
        <v>396.4383977901</v>
      </c>
      <c r="R559">
        <v>396</v>
      </c>
      <c r="S559">
        <f t="shared" si="111"/>
        <v>-0.43839779009999802</v>
      </c>
      <c r="T559"/>
      <c r="U559">
        <f t="shared" si="112"/>
        <v>0</v>
      </c>
      <c r="V559">
        <f t="shared" si="113"/>
        <v>396</v>
      </c>
      <c r="W559">
        <f t="shared" si="114"/>
        <v>-0.43839779009999802</v>
      </c>
      <c r="X559">
        <v>0</v>
      </c>
    </row>
    <row r="560" spans="1:24" x14ac:dyDescent="0.25">
      <c r="A560" t="s">
        <v>1928</v>
      </c>
      <c r="B560" t="s">
        <v>1929</v>
      </c>
      <c r="C560" t="s">
        <v>1998</v>
      </c>
      <c r="D560" t="s">
        <v>122</v>
      </c>
      <c r="E560" t="s">
        <v>51</v>
      </c>
      <c r="F560" t="s">
        <v>51</v>
      </c>
      <c r="G560" t="s">
        <v>594</v>
      </c>
      <c r="H560"/>
      <c r="I560"/>
      <c r="J560">
        <v>1947.4099999999999</v>
      </c>
      <c r="K560">
        <v>6493.0586992812996</v>
      </c>
      <c r="L560">
        <v>505.71000000000004</v>
      </c>
      <c r="M560">
        <v>1019.8019337016575</v>
      </c>
      <c r="N560">
        <v>1082.1199999999999</v>
      </c>
      <c r="O560">
        <v>1014.6783977901</v>
      </c>
      <c r="P560">
        <f>SUMIF($F$553:$F$559,"&lt;&gt;EV_*",$P$553:$P$559)</f>
        <v>3000</v>
      </c>
      <c r="Q560">
        <f>SUMIF($F$553:$F$559,"&lt;&gt;EV_*",$Q$553:$Q$559)</f>
        <v>4014.6783977900996</v>
      </c>
      <c r="R560">
        <f>SUMIF($F$553:$F$559,"&lt;&gt;EV_*",$R$553:$R$559)</f>
        <v>3396</v>
      </c>
      <c r="S560">
        <f>SUMIF($F$553:$F$559,"&lt;&gt;EV_*",$S$553:$S$559)</f>
        <v>-618.67839779010001</v>
      </c>
      <c r="T560">
        <v>0</v>
      </c>
      <c r="U560">
        <f>SUMIF($F$553:$F$559,"&lt;&gt;EV_*",$U$553:$U$559)</f>
        <v>0</v>
      </c>
      <c r="V560">
        <f>SUMIF($F$553:$F$559,"&lt;&gt;EV_*",$V$553:$V$559)</f>
        <v>3396</v>
      </c>
      <c r="W560">
        <f>SUMIF($F$553:$F$559,"&lt;&gt;EV_*",$W$553:$W$559)</f>
        <v>-618.67839779010001</v>
      </c>
      <c r="X560">
        <f>SUMIF($F$553:$F$559,"&lt;&gt;EV_*",$X$553:$X$559)</f>
        <v>0</v>
      </c>
    </row>
    <row r="561" spans="1:24" x14ac:dyDescent="0.25">
      <c r="A561" t="s">
        <v>1928</v>
      </c>
      <c r="B561" t="s">
        <v>1932</v>
      </c>
      <c r="C561" t="s">
        <v>1999</v>
      </c>
      <c r="D561" t="s">
        <v>123</v>
      </c>
      <c r="E561" t="s">
        <v>5</v>
      </c>
      <c r="F561" t="s">
        <v>5</v>
      </c>
      <c r="G561" t="s">
        <v>595</v>
      </c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</row>
    <row r="562" spans="1:24" x14ac:dyDescent="0.25">
      <c r="A562" t="s">
        <v>1928</v>
      </c>
      <c r="B562" t="s">
        <v>1932</v>
      </c>
      <c r="C562" t="s">
        <v>1999</v>
      </c>
      <c r="D562" t="s">
        <v>123</v>
      </c>
      <c r="E562" t="s">
        <v>124</v>
      </c>
      <c r="F562" t="s">
        <v>1</v>
      </c>
      <c r="G562" t="s">
        <v>596</v>
      </c>
      <c r="H562" t="s">
        <v>597</v>
      </c>
      <c r="I562" t="s">
        <v>1</v>
      </c>
      <c r="J562"/>
      <c r="K562"/>
      <c r="L562">
        <v>1158.75</v>
      </c>
      <c r="M562">
        <v>2336.7058011049726</v>
      </c>
      <c r="N562">
        <v>1158.75</v>
      </c>
      <c r="O562">
        <v>2317.5</v>
      </c>
      <c r="P562">
        <v>-2317.5</v>
      </c>
      <c r="Q562">
        <f t="shared" ref="Q562:Q583" si="115">O562+P562</f>
        <v>0</v>
      </c>
      <c r="R562">
        <v>0</v>
      </c>
      <c r="S562">
        <f t="shared" ref="S562:S583" si="116">IF(OR(LEFT(E562,2)="A_",LEFT(D562,5)="Total"),R562-Q562,"")</f>
        <v>0</v>
      </c>
      <c r="T562"/>
      <c r="U562">
        <f t="shared" ref="U562:U583" si="117">IFERROR(R562*T562,R562*0)</f>
        <v>0</v>
      </c>
      <c r="V562">
        <f t="shared" ref="V562:V583" si="118">IF(OR(LEFT(E562,2)="A_",LEFT(D562,5)="Total"),R562+U562,"")</f>
        <v>0</v>
      </c>
      <c r="W562">
        <f t="shared" ref="W562:W583" si="119">IF(OR(LEFT(E562,2)="A_",LEFT(D562,5)="Total"),V562-Q562,"")</f>
        <v>0</v>
      </c>
      <c r="X562">
        <v>0</v>
      </c>
    </row>
    <row r="563" spans="1:24" x14ac:dyDescent="0.25">
      <c r="A563" t="s">
        <v>1928</v>
      </c>
      <c r="B563" t="s">
        <v>1932</v>
      </c>
      <c r="C563" t="s">
        <v>1999</v>
      </c>
      <c r="D563" t="s">
        <v>123</v>
      </c>
      <c r="E563" t="s">
        <v>8</v>
      </c>
      <c r="F563" t="s">
        <v>1</v>
      </c>
      <c r="G563" t="s">
        <v>596</v>
      </c>
      <c r="H563" t="s">
        <v>408</v>
      </c>
      <c r="I563" t="s">
        <v>1</v>
      </c>
      <c r="J563">
        <v>7898.44</v>
      </c>
      <c r="K563">
        <v>15927.7933701657</v>
      </c>
      <c r="L563">
        <v>434</v>
      </c>
      <c r="M563">
        <v>875.19337016574582</v>
      </c>
      <c r="N563">
        <v>434</v>
      </c>
      <c r="O563">
        <v>875.1933701657</v>
      </c>
      <c r="P563">
        <v>0</v>
      </c>
      <c r="Q563">
        <f t="shared" si="115"/>
        <v>875.1933701657</v>
      </c>
      <c r="R563">
        <v>875.1933701657</v>
      </c>
      <c r="S563">
        <f t="shared" si="116"/>
        <v>0</v>
      </c>
      <c r="T563"/>
      <c r="U563">
        <f t="shared" si="117"/>
        <v>0</v>
      </c>
      <c r="V563">
        <f t="shared" si="118"/>
        <v>875.1933701657</v>
      </c>
      <c r="W563">
        <f t="shared" si="119"/>
        <v>0</v>
      </c>
      <c r="X563">
        <v>0</v>
      </c>
    </row>
    <row r="564" spans="1:24" x14ac:dyDescent="0.25">
      <c r="A564" t="s">
        <v>1928</v>
      </c>
      <c r="B564" t="s">
        <v>1932</v>
      </c>
      <c r="C564" t="s">
        <v>1999</v>
      </c>
      <c r="D564" t="s">
        <v>123</v>
      </c>
      <c r="E564" t="s">
        <v>11</v>
      </c>
      <c r="F564" t="s">
        <v>1</v>
      </c>
      <c r="G564" t="s">
        <v>596</v>
      </c>
      <c r="H564" t="s">
        <v>411</v>
      </c>
      <c r="I564" t="s">
        <v>1</v>
      </c>
      <c r="J564">
        <v>6646.37</v>
      </c>
      <c r="K564">
        <v>6536.0000000004002</v>
      </c>
      <c r="L564">
        <v>3617.11</v>
      </c>
      <c r="M564">
        <v>7294.1720994475136</v>
      </c>
      <c r="N564">
        <v>7119.31</v>
      </c>
      <c r="O564">
        <v>7234.22</v>
      </c>
      <c r="P564">
        <v>0</v>
      </c>
      <c r="Q564">
        <f t="shared" si="115"/>
        <v>7234.22</v>
      </c>
      <c r="R564">
        <v>7234.22</v>
      </c>
      <c r="S564">
        <f t="shared" si="116"/>
        <v>0</v>
      </c>
      <c r="T564"/>
      <c r="U564">
        <f t="shared" si="117"/>
        <v>0</v>
      </c>
      <c r="V564">
        <f t="shared" si="118"/>
        <v>7234.22</v>
      </c>
      <c r="W564">
        <f t="shared" si="119"/>
        <v>0</v>
      </c>
      <c r="X564">
        <v>0</v>
      </c>
    </row>
    <row r="565" spans="1:24" x14ac:dyDescent="0.25">
      <c r="A565" t="s">
        <v>1928</v>
      </c>
      <c r="B565" t="s">
        <v>1932</v>
      </c>
      <c r="C565" t="s">
        <v>1999</v>
      </c>
      <c r="D565" t="s">
        <v>123</v>
      </c>
      <c r="E565" t="s">
        <v>17</v>
      </c>
      <c r="F565" t="s">
        <v>1</v>
      </c>
      <c r="G565" t="s">
        <v>596</v>
      </c>
      <c r="H565" t="s">
        <v>417</v>
      </c>
      <c r="I565" t="s">
        <v>1</v>
      </c>
      <c r="J565">
        <v>-8.35</v>
      </c>
      <c r="K565">
        <v>-20.000000000099998</v>
      </c>
      <c r="L565">
        <v>0</v>
      </c>
      <c r="M565">
        <v>0</v>
      </c>
      <c r="N565">
        <v>-8.35</v>
      </c>
      <c r="O565"/>
      <c r="P565">
        <v>0</v>
      </c>
      <c r="Q565">
        <f t="shared" si="115"/>
        <v>0</v>
      </c>
      <c r="R565">
        <v>0</v>
      </c>
      <c r="S565">
        <f t="shared" si="116"/>
        <v>0</v>
      </c>
      <c r="T565"/>
      <c r="U565">
        <f t="shared" si="117"/>
        <v>0</v>
      </c>
      <c r="V565">
        <f t="shared" si="118"/>
        <v>0</v>
      </c>
      <c r="W565">
        <f t="shared" si="119"/>
        <v>0</v>
      </c>
      <c r="X565">
        <v>0</v>
      </c>
    </row>
    <row r="566" spans="1:24" x14ac:dyDescent="0.25">
      <c r="A566" t="s">
        <v>1928</v>
      </c>
      <c r="B566" t="s">
        <v>1932</v>
      </c>
      <c r="C566" t="s">
        <v>1999</v>
      </c>
      <c r="D566" t="s">
        <v>123</v>
      </c>
      <c r="E566" t="s">
        <v>18</v>
      </c>
      <c r="F566" t="s">
        <v>1</v>
      </c>
      <c r="G566" t="s">
        <v>596</v>
      </c>
      <c r="H566" t="s">
        <v>418</v>
      </c>
      <c r="I566" t="s">
        <v>1</v>
      </c>
      <c r="J566">
        <v>996.8</v>
      </c>
      <c r="K566">
        <v>1354.2140336769</v>
      </c>
      <c r="L566">
        <v>52.5</v>
      </c>
      <c r="M566">
        <v>105.87016574585634</v>
      </c>
      <c r="N566">
        <v>267.26</v>
      </c>
      <c r="O566">
        <v>105.5769230769</v>
      </c>
      <c r="P566">
        <v>1249</v>
      </c>
      <c r="Q566">
        <f t="shared" si="115"/>
        <v>1354.5769230768999</v>
      </c>
      <c r="R566">
        <v>1354.2140336769</v>
      </c>
      <c r="S566">
        <f t="shared" si="116"/>
        <v>-0.36288939999985814</v>
      </c>
      <c r="T566">
        <v>0.02</v>
      </c>
      <c r="U566">
        <f t="shared" si="117"/>
        <v>27.084280673538</v>
      </c>
      <c r="V566">
        <f t="shared" si="118"/>
        <v>1381.298314350438</v>
      </c>
      <c r="W566">
        <f t="shared" si="119"/>
        <v>26.721391273538075</v>
      </c>
      <c r="X566" t="s">
        <v>1427</v>
      </c>
    </row>
    <row r="567" spans="1:24" x14ac:dyDescent="0.25">
      <c r="A567" t="s">
        <v>1928</v>
      </c>
      <c r="B567" t="s">
        <v>1932</v>
      </c>
      <c r="C567" t="s">
        <v>1999</v>
      </c>
      <c r="D567" t="s">
        <v>123</v>
      </c>
      <c r="E567" t="s">
        <v>20</v>
      </c>
      <c r="F567" t="s">
        <v>1</v>
      </c>
      <c r="G567" t="s">
        <v>596</v>
      </c>
      <c r="H567" t="s">
        <v>420</v>
      </c>
      <c r="I567" t="s">
        <v>1</v>
      </c>
      <c r="J567">
        <v>-1347.19</v>
      </c>
      <c r="K567">
        <v>3.1242797E-3</v>
      </c>
      <c r="L567">
        <v>0</v>
      </c>
      <c r="M567">
        <v>0</v>
      </c>
      <c r="N567">
        <v>0</v>
      </c>
      <c r="O567"/>
      <c r="P567">
        <v>0</v>
      </c>
      <c r="Q567">
        <f t="shared" si="115"/>
        <v>0</v>
      </c>
      <c r="R567">
        <v>3.1242797E-3</v>
      </c>
      <c r="S567">
        <f t="shared" si="116"/>
        <v>3.1242797E-3</v>
      </c>
      <c r="T567">
        <v>0.04</v>
      </c>
      <c r="U567">
        <f t="shared" si="117"/>
        <v>1.2497118800000001E-4</v>
      </c>
      <c r="V567">
        <f t="shared" si="118"/>
        <v>3.2492508879999999E-3</v>
      </c>
      <c r="W567">
        <f t="shared" si="119"/>
        <v>3.2492508879999999E-3</v>
      </c>
      <c r="X567">
        <v>0</v>
      </c>
    </row>
    <row r="568" spans="1:24" x14ac:dyDescent="0.25">
      <c r="A568" t="s">
        <v>1928</v>
      </c>
      <c r="B568" t="s">
        <v>1932</v>
      </c>
      <c r="C568" t="s">
        <v>1999</v>
      </c>
      <c r="D568" t="s">
        <v>123</v>
      </c>
      <c r="E568" t="s">
        <v>21</v>
      </c>
      <c r="F568" t="s">
        <v>1</v>
      </c>
      <c r="G568" t="s">
        <v>596</v>
      </c>
      <c r="H568" t="s">
        <v>421</v>
      </c>
      <c r="I568" t="s">
        <v>1</v>
      </c>
      <c r="J568">
        <v>2142.9</v>
      </c>
      <c r="K568">
        <v>972.05000000040002</v>
      </c>
      <c r="L568">
        <v>0</v>
      </c>
      <c r="M568">
        <v>0</v>
      </c>
      <c r="N568">
        <v>1540.2300000000002</v>
      </c>
      <c r="O568"/>
      <c r="P568">
        <v>972</v>
      </c>
      <c r="Q568">
        <f t="shared" si="115"/>
        <v>972</v>
      </c>
      <c r="R568">
        <v>972.05000000040002</v>
      </c>
      <c r="S568">
        <f t="shared" si="116"/>
        <v>5.0000000400018507E-2</v>
      </c>
      <c r="T568">
        <v>0.03</v>
      </c>
      <c r="U568">
        <f t="shared" si="117"/>
        <v>29.161500000011998</v>
      </c>
      <c r="V568">
        <f t="shared" si="118"/>
        <v>1001.211500000412</v>
      </c>
      <c r="W568">
        <f t="shared" si="119"/>
        <v>29.211500000412002</v>
      </c>
      <c r="X568" t="s">
        <v>1427</v>
      </c>
    </row>
    <row r="569" spans="1:24" x14ac:dyDescent="0.25">
      <c r="A569" t="s">
        <v>1928</v>
      </c>
      <c r="B569" t="s">
        <v>1932</v>
      </c>
      <c r="C569" t="s">
        <v>1999</v>
      </c>
      <c r="D569" t="s">
        <v>123</v>
      </c>
      <c r="E569" t="s">
        <v>22</v>
      </c>
      <c r="F569" t="s">
        <v>1</v>
      </c>
      <c r="G569" t="s">
        <v>596</v>
      </c>
      <c r="H569" t="s">
        <v>422</v>
      </c>
      <c r="I569" t="s">
        <v>1</v>
      </c>
      <c r="J569">
        <v>4309.4799999999996</v>
      </c>
      <c r="K569">
        <v>5640.7499999996999</v>
      </c>
      <c r="L569">
        <v>0</v>
      </c>
      <c r="M569">
        <v>0</v>
      </c>
      <c r="N569">
        <v>1586.28</v>
      </c>
      <c r="O569"/>
      <c r="P569">
        <v>5641</v>
      </c>
      <c r="Q569">
        <f t="shared" si="115"/>
        <v>5641</v>
      </c>
      <c r="R569">
        <v>5640.7499999996999</v>
      </c>
      <c r="S569">
        <f t="shared" si="116"/>
        <v>-0.25000000030013325</v>
      </c>
      <c r="T569">
        <v>3.5000000000000003E-2</v>
      </c>
      <c r="U569">
        <f t="shared" si="117"/>
        <v>197.42624999998952</v>
      </c>
      <c r="V569">
        <f t="shared" si="118"/>
        <v>5838.1762499996894</v>
      </c>
      <c r="W569">
        <f t="shared" si="119"/>
        <v>197.17624999968939</v>
      </c>
      <c r="X569" t="s">
        <v>1427</v>
      </c>
    </row>
    <row r="570" spans="1:24" x14ac:dyDescent="0.25">
      <c r="A570" t="s">
        <v>1928</v>
      </c>
      <c r="B570" t="s">
        <v>1932</v>
      </c>
      <c r="C570" t="s">
        <v>1999</v>
      </c>
      <c r="D570" t="s">
        <v>123</v>
      </c>
      <c r="E570" t="s">
        <v>23</v>
      </c>
      <c r="F570" t="s">
        <v>1</v>
      </c>
      <c r="G570" t="s">
        <v>596</v>
      </c>
      <c r="H570" t="s">
        <v>423</v>
      </c>
      <c r="I570" t="s">
        <v>1</v>
      </c>
      <c r="J570">
        <v>2496.2600000000002</v>
      </c>
      <c r="K570">
        <v>1076.3999999999</v>
      </c>
      <c r="L570">
        <v>0</v>
      </c>
      <c r="M570">
        <v>0</v>
      </c>
      <c r="N570">
        <v>1975</v>
      </c>
      <c r="O570"/>
      <c r="P570">
        <v>1076</v>
      </c>
      <c r="Q570">
        <f t="shared" si="115"/>
        <v>1076</v>
      </c>
      <c r="R570">
        <v>1076.3999999999</v>
      </c>
      <c r="S570">
        <f t="shared" si="116"/>
        <v>0.39999999990004653</v>
      </c>
      <c r="T570">
        <v>3.5000000000000003E-2</v>
      </c>
      <c r="U570">
        <f t="shared" si="117"/>
        <v>37.673999999996504</v>
      </c>
      <c r="V570">
        <f t="shared" si="118"/>
        <v>1114.0739999998966</v>
      </c>
      <c r="W570">
        <f t="shared" si="119"/>
        <v>38.073999999896614</v>
      </c>
      <c r="X570" t="s">
        <v>1427</v>
      </c>
    </row>
    <row r="571" spans="1:24" x14ac:dyDescent="0.25">
      <c r="A571" t="s">
        <v>1928</v>
      </c>
      <c r="B571" t="s">
        <v>1932</v>
      </c>
      <c r="C571" t="s">
        <v>1999</v>
      </c>
      <c r="D571" t="s">
        <v>123</v>
      </c>
      <c r="E571" t="s">
        <v>25</v>
      </c>
      <c r="F571" t="s">
        <v>1</v>
      </c>
      <c r="G571" t="s">
        <v>596</v>
      </c>
      <c r="H571" t="s">
        <v>425</v>
      </c>
      <c r="I571" t="s">
        <v>1</v>
      </c>
      <c r="J571">
        <v>128.75</v>
      </c>
      <c r="K571">
        <v>300</v>
      </c>
      <c r="L571">
        <v>0</v>
      </c>
      <c r="M571">
        <v>0</v>
      </c>
      <c r="N571">
        <v>0</v>
      </c>
      <c r="O571"/>
      <c r="P571">
        <v>300</v>
      </c>
      <c r="Q571">
        <f t="shared" si="115"/>
        <v>300</v>
      </c>
      <c r="R571">
        <v>300</v>
      </c>
      <c r="S571">
        <f t="shared" si="116"/>
        <v>0</v>
      </c>
      <c r="T571"/>
      <c r="U571">
        <f t="shared" si="117"/>
        <v>0</v>
      </c>
      <c r="V571">
        <f t="shared" si="118"/>
        <v>300</v>
      </c>
      <c r="W571">
        <f t="shared" si="119"/>
        <v>0</v>
      </c>
      <c r="X571" t="s">
        <v>1427</v>
      </c>
    </row>
    <row r="572" spans="1:24" x14ac:dyDescent="0.25">
      <c r="A572" t="s">
        <v>1928</v>
      </c>
      <c r="B572" t="s">
        <v>1932</v>
      </c>
      <c r="C572" t="s">
        <v>1999</v>
      </c>
      <c r="D572" t="s">
        <v>123</v>
      </c>
      <c r="E572" t="s">
        <v>26</v>
      </c>
      <c r="F572" t="s">
        <v>1</v>
      </c>
      <c r="G572" t="s">
        <v>596</v>
      </c>
      <c r="H572" t="s">
        <v>426</v>
      </c>
      <c r="I572" t="s">
        <v>1</v>
      </c>
      <c r="J572">
        <v>3485.15</v>
      </c>
      <c r="K572">
        <v>1471.8575524416001</v>
      </c>
      <c r="L572">
        <v>935.05</v>
      </c>
      <c r="M572">
        <v>1885.5980662983422</v>
      </c>
      <c r="N572">
        <v>1455.1</v>
      </c>
      <c r="O572">
        <v>1870.1</v>
      </c>
      <c r="P572">
        <v>130</v>
      </c>
      <c r="Q572">
        <f t="shared" si="115"/>
        <v>2000.1</v>
      </c>
      <c r="R572">
        <v>2000</v>
      </c>
      <c r="S572">
        <f t="shared" si="116"/>
        <v>-9.9999999999909051E-2</v>
      </c>
      <c r="T572"/>
      <c r="U572">
        <f t="shared" si="117"/>
        <v>0</v>
      </c>
      <c r="V572">
        <f t="shared" si="118"/>
        <v>2000</v>
      </c>
      <c r="W572">
        <f t="shared" si="119"/>
        <v>-9.9999999999909051E-2</v>
      </c>
      <c r="X572" t="s">
        <v>1428</v>
      </c>
    </row>
    <row r="573" spans="1:24" x14ac:dyDescent="0.25">
      <c r="A573" t="s">
        <v>1928</v>
      </c>
      <c r="B573" t="s">
        <v>1932</v>
      </c>
      <c r="C573" t="s">
        <v>1999</v>
      </c>
      <c r="D573" t="s">
        <v>123</v>
      </c>
      <c r="E573" t="s">
        <v>28</v>
      </c>
      <c r="F573" t="s">
        <v>1</v>
      </c>
      <c r="G573" t="s">
        <v>596</v>
      </c>
      <c r="H573" t="s">
        <v>428</v>
      </c>
      <c r="I573" t="s">
        <v>1</v>
      </c>
      <c r="J573">
        <v>1677.83</v>
      </c>
      <c r="K573">
        <v>2100</v>
      </c>
      <c r="L573">
        <v>682.97</v>
      </c>
      <c r="M573">
        <v>1377.2599447513812</v>
      </c>
      <c r="N573">
        <v>1288.27</v>
      </c>
      <c r="O573">
        <v>1365.94</v>
      </c>
      <c r="P573">
        <v>0</v>
      </c>
      <c r="Q573">
        <f t="shared" si="115"/>
        <v>1365.94</v>
      </c>
      <c r="R573">
        <v>1365.94</v>
      </c>
      <c r="S573">
        <f t="shared" si="116"/>
        <v>0</v>
      </c>
      <c r="T573"/>
      <c r="U573">
        <f t="shared" si="117"/>
        <v>0</v>
      </c>
      <c r="V573">
        <f t="shared" si="118"/>
        <v>1365.94</v>
      </c>
      <c r="W573">
        <f t="shared" si="119"/>
        <v>0</v>
      </c>
      <c r="X573">
        <v>0</v>
      </c>
    </row>
    <row r="574" spans="1:24" x14ac:dyDescent="0.25">
      <c r="A574" t="s">
        <v>1928</v>
      </c>
      <c r="B574" t="s">
        <v>1932</v>
      </c>
      <c r="C574" t="s">
        <v>1999</v>
      </c>
      <c r="D574" t="s">
        <v>123</v>
      </c>
      <c r="E574" t="s">
        <v>29</v>
      </c>
      <c r="F574" t="s">
        <v>1</v>
      </c>
      <c r="G574" t="s">
        <v>596</v>
      </c>
      <c r="H574" t="s">
        <v>429</v>
      </c>
      <c r="I574" t="s">
        <v>1</v>
      </c>
      <c r="J574">
        <v>1433.67</v>
      </c>
      <c r="K574">
        <v>1770</v>
      </c>
      <c r="L574">
        <v>740.85</v>
      </c>
      <c r="M574">
        <v>1493.9792817679559</v>
      </c>
      <c r="N574">
        <v>1200.6899999999998</v>
      </c>
      <c r="O574">
        <v>1481.7</v>
      </c>
      <c r="P574">
        <v>0</v>
      </c>
      <c r="Q574">
        <f t="shared" si="115"/>
        <v>1481.7</v>
      </c>
      <c r="R574">
        <v>1481.7</v>
      </c>
      <c r="S574">
        <f t="shared" si="116"/>
        <v>0</v>
      </c>
      <c r="T574"/>
      <c r="U574">
        <f t="shared" si="117"/>
        <v>0</v>
      </c>
      <c r="V574">
        <f t="shared" si="118"/>
        <v>1481.7</v>
      </c>
      <c r="W574">
        <f t="shared" si="119"/>
        <v>0</v>
      </c>
      <c r="X574">
        <v>0</v>
      </c>
    </row>
    <row r="575" spans="1:24" x14ac:dyDescent="0.25">
      <c r="A575" t="s">
        <v>1928</v>
      </c>
      <c r="B575" t="s">
        <v>1932</v>
      </c>
      <c r="C575" t="s">
        <v>1999</v>
      </c>
      <c r="D575" t="s">
        <v>123</v>
      </c>
      <c r="E575" t="s">
        <v>31</v>
      </c>
      <c r="F575" t="s">
        <v>1</v>
      </c>
      <c r="G575" t="s">
        <v>596</v>
      </c>
      <c r="H575" t="s">
        <v>431</v>
      </c>
      <c r="I575" t="s">
        <v>1</v>
      </c>
      <c r="J575">
        <v>379.75</v>
      </c>
      <c r="K575">
        <v>1122.9999999996</v>
      </c>
      <c r="L575">
        <v>0</v>
      </c>
      <c r="M575">
        <v>0</v>
      </c>
      <c r="N575">
        <v>379.75</v>
      </c>
      <c r="O575"/>
      <c r="P575">
        <v>0</v>
      </c>
      <c r="Q575">
        <f t="shared" si="115"/>
        <v>0</v>
      </c>
      <c r="R575">
        <v>0</v>
      </c>
      <c r="S575">
        <f t="shared" si="116"/>
        <v>0</v>
      </c>
      <c r="T575"/>
      <c r="U575">
        <f t="shared" si="117"/>
        <v>0</v>
      </c>
      <c r="V575">
        <f t="shared" si="118"/>
        <v>0</v>
      </c>
      <c r="W575">
        <f t="shared" si="119"/>
        <v>0</v>
      </c>
      <c r="X575">
        <v>0</v>
      </c>
    </row>
    <row r="576" spans="1:24" x14ac:dyDescent="0.25">
      <c r="A576" t="s">
        <v>1928</v>
      </c>
      <c r="B576" t="s">
        <v>1932</v>
      </c>
      <c r="C576" t="s">
        <v>1999</v>
      </c>
      <c r="D576" t="s">
        <v>123</v>
      </c>
      <c r="E576" t="s">
        <v>33</v>
      </c>
      <c r="F576" t="s">
        <v>1</v>
      </c>
      <c r="G576" t="s">
        <v>596</v>
      </c>
      <c r="H576" t="s">
        <v>433</v>
      </c>
      <c r="I576" t="s">
        <v>1</v>
      </c>
      <c r="J576">
        <v>3540.33</v>
      </c>
      <c r="K576">
        <v>19624.767358387198</v>
      </c>
      <c r="L576">
        <v>1244.08</v>
      </c>
      <c r="M576">
        <v>2508.7801104972373</v>
      </c>
      <c r="N576">
        <v>2211.0100000000002</v>
      </c>
      <c r="O576">
        <v>2488.16</v>
      </c>
      <c r="P576">
        <v>17512</v>
      </c>
      <c r="Q576">
        <f t="shared" si="115"/>
        <v>20000.16</v>
      </c>
      <c r="R576">
        <v>20000</v>
      </c>
      <c r="S576">
        <f t="shared" si="116"/>
        <v>-0.15999999999985448</v>
      </c>
      <c r="T576"/>
      <c r="U576">
        <f t="shared" si="117"/>
        <v>0</v>
      </c>
      <c r="V576">
        <f t="shared" si="118"/>
        <v>20000</v>
      </c>
      <c r="W576">
        <f t="shared" si="119"/>
        <v>-0.15999999999985448</v>
      </c>
      <c r="X576" t="s">
        <v>1429</v>
      </c>
    </row>
    <row r="577" spans="1:24" x14ac:dyDescent="0.25">
      <c r="A577" t="s">
        <v>1928</v>
      </c>
      <c r="B577" t="s">
        <v>1932</v>
      </c>
      <c r="C577" t="s">
        <v>1999</v>
      </c>
      <c r="D577" t="s">
        <v>123</v>
      </c>
      <c r="E577" t="s">
        <v>34</v>
      </c>
      <c r="F577" t="s">
        <v>1</v>
      </c>
      <c r="G577" t="s">
        <v>596</v>
      </c>
      <c r="H577" t="s">
        <v>434</v>
      </c>
      <c r="I577" t="s">
        <v>1</v>
      </c>
      <c r="J577">
        <v>604.72</v>
      </c>
      <c r="K577">
        <v>294.37151048880003</v>
      </c>
      <c r="L577">
        <v>0</v>
      </c>
      <c r="M577">
        <v>0</v>
      </c>
      <c r="N577">
        <v>40.81</v>
      </c>
      <c r="O577"/>
      <c r="P577">
        <v>0</v>
      </c>
      <c r="Q577">
        <f t="shared" si="115"/>
        <v>0</v>
      </c>
      <c r="R577">
        <v>0</v>
      </c>
      <c r="S577">
        <f t="shared" si="116"/>
        <v>0</v>
      </c>
      <c r="T577"/>
      <c r="U577">
        <f t="shared" si="117"/>
        <v>0</v>
      </c>
      <c r="V577">
        <f t="shared" si="118"/>
        <v>0</v>
      </c>
      <c r="W577">
        <f t="shared" si="119"/>
        <v>0</v>
      </c>
      <c r="X577">
        <v>0</v>
      </c>
    </row>
    <row r="578" spans="1:24" x14ac:dyDescent="0.25">
      <c r="A578" t="s">
        <v>1928</v>
      </c>
      <c r="B578" t="s">
        <v>1932</v>
      </c>
      <c r="C578" t="s">
        <v>1999</v>
      </c>
      <c r="D578" t="s">
        <v>123</v>
      </c>
      <c r="E578" t="s">
        <v>37</v>
      </c>
      <c r="F578" t="s">
        <v>1</v>
      </c>
      <c r="G578" t="s">
        <v>596</v>
      </c>
      <c r="H578" t="s">
        <v>437</v>
      </c>
      <c r="I578" t="s">
        <v>1</v>
      </c>
      <c r="J578">
        <v>2942.33</v>
      </c>
      <c r="K578">
        <v>2943.7151048832002</v>
      </c>
      <c r="L578">
        <v>84.5</v>
      </c>
      <c r="M578">
        <v>170.40055248618785</v>
      </c>
      <c r="N578">
        <v>294.09000000000003</v>
      </c>
      <c r="O578">
        <v>169</v>
      </c>
      <c r="P578">
        <v>2831</v>
      </c>
      <c r="Q578">
        <f t="shared" si="115"/>
        <v>3000</v>
      </c>
      <c r="R578">
        <v>3000</v>
      </c>
      <c r="S578">
        <f t="shared" si="116"/>
        <v>0</v>
      </c>
      <c r="T578"/>
      <c r="U578">
        <f t="shared" si="117"/>
        <v>0</v>
      </c>
      <c r="V578">
        <f t="shared" si="118"/>
        <v>3000</v>
      </c>
      <c r="W578">
        <f t="shared" si="119"/>
        <v>0</v>
      </c>
      <c r="X578" t="s">
        <v>1430</v>
      </c>
    </row>
    <row r="579" spans="1:24" x14ac:dyDescent="0.25">
      <c r="A579" t="s">
        <v>1928</v>
      </c>
      <c r="B579" t="s">
        <v>1932</v>
      </c>
      <c r="C579" t="s">
        <v>1999</v>
      </c>
      <c r="D579" t="s">
        <v>123</v>
      </c>
      <c r="E579" t="s">
        <v>121</v>
      </c>
      <c r="F579" t="s">
        <v>1</v>
      </c>
      <c r="G579" t="s">
        <v>596</v>
      </c>
      <c r="H579" t="s">
        <v>590</v>
      </c>
      <c r="I579" t="s">
        <v>1</v>
      </c>
      <c r="J579"/>
      <c r="K579">
        <v>18364.183352992801</v>
      </c>
      <c r="L579">
        <v>0</v>
      </c>
      <c r="M579">
        <v>0</v>
      </c>
      <c r="N579">
        <v>0</v>
      </c>
      <c r="O579"/>
      <c r="P579">
        <v>0</v>
      </c>
      <c r="Q579">
        <f t="shared" si="115"/>
        <v>0</v>
      </c>
      <c r="R579">
        <v>0</v>
      </c>
      <c r="S579">
        <f t="shared" si="116"/>
        <v>0</v>
      </c>
      <c r="T579"/>
      <c r="U579">
        <f t="shared" si="117"/>
        <v>0</v>
      </c>
      <c r="V579">
        <f t="shared" si="118"/>
        <v>0</v>
      </c>
      <c r="W579">
        <f t="shared" si="119"/>
        <v>0</v>
      </c>
      <c r="X579">
        <v>0</v>
      </c>
    </row>
    <row r="580" spans="1:24" x14ac:dyDescent="0.25">
      <c r="A580" t="s">
        <v>1928</v>
      </c>
      <c r="B580" t="s">
        <v>1932</v>
      </c>
      <c r="C580" t="s">
        <v>1999</v>
      </c>
      <c r="D580" t="s">
        <v>123</v>
      </c>
      <c r="E580" t="s">
        <v>41</v>
      </c>
      <c r="F580" t="s">
        <v>1</v>
      </c>
      <c r="G580" t="s">
        <v>596</v>
      </c>
      <c r="H580" t="s">
        <v>441</v>
      </c>
      <c r="I580" t="s">
        <v>1</v>
      </c>
      <c r="J580">
        <v>24</v>
      </c>
      <c r="K580">
        <v>90.999600000000001</v>
      </c>
      <c r="L580">
        <v>0</v>
      </c>
      <c r="M580">
        <v>0</v>
      </c>
      <c r="N580">
        <v>24</v>
      </c>
      <c r="O580"/>
      <c r="P580">
        <v>91</v>
      </c>
      <c r="Q580">
        <f t="shared" si="115"/>
        <v>91</v>
      </c>
      <c r="R580">
        <v>91</v>
      </c>
      <c r="S580">
        <f t="shared" si="116"/>
        <v>0</v>
      </c>
      <c r="T580">
        <v>0.03</v>
      </c>
      <c r="U580">
        <f t="shared" si="117"/>
        <v>2.73</v>
      </c>
      <c r="V580">
        <f t="shared" si="118"/>
        <v>93.73</v>
      </c>
      <c r="W580">
        <f t="shared" si="119"/>
        <v>2.730000000000004</v>
      </c>
      <c r="X580" t="s">
        <v>1431</v>
      </c>
    </row>
    <row r="581" spans="1:24" x14ac:dyDescent="0.25">
      <c r="A581" t="s">
        <v>1928</v>
      </c>
      <c r="B581" t="s">
        <v>1932</v>
      </c>
      <c r="C581" t="s">
        <v>1999</v>
      </c>
      <c r="D581" t="s">
        <v>123</v>
      </c>
      <c r="E581" t="s">
        <v>46</v>
      </c>
      <c r="F581" t="s">
        <v>1</v>
      </c>
      <c r="G581" t="s">
        <v>596</v>
      </c>
      <c r="H581" t="s">
        <v>446</v>
      </c>
      <c r="I581" t="s">
        <v>1</v>
      </c>
      <c r="J581"/>
      <c r="K581">
        <v>1200</v>
      </c>
      <c r="L581">
        <v>0</v>
      </c>
      <c r="M581">
        <v>0</v>
      </c>
      <c r="N581">
        <v>0</v>
      </c>
      <c r="O581"/>
      <c r="P581">
        <v>1200</v>
      </c>
      <c r="Q581">
        <f t="shared" si="115"/>
        <v>1200</v>
      </c>
      <c r="R581">
        <v>1200</v>
      </c>
      <c r="S581">
        <f t="shared" si="116"/>
        <v>0</v>
      </c>
      <c r="T581">
        <v>0.03</v>
      </c>
      <c r="U581">
        <f t="shared" si="117"/>
        <v>36</v>
      </c>
      <c r="V581">
        <f t="shared" si="118"/>
        <v>1236</v>
      </c>
      <c r="W581">
        <f t="shared" si="119"/>
        <v>36</v>
      </c>
      <c r="X581" t="s">
        <v>1432</v>
      </c>
    </row>
    <row r="582" spans="1:24" x14ac:dyDescent="0.25">
      <c r="A582" t="s">
        <v>1928</v>
      </c>
      <c r="B582" t="s">
        <v>1932</v>
      </c>
      <c r="C582" t="s">
        <v>1999</v>
      </c>
      <c r="D582" t="s">
        <v>123</v>
      </c>
      <c r="E582" t="s">
        <v>47</v>
      </c>
      <c r="F582" t="s">
        <v>1</v>
      </c>
      <c r="G582" t="s">
        <v>596</v>
      </c>
      <c r="H582" t="s">
        <v>447</v>
      </c>
      <c r="I582" t="s">
        <v>1</v>
      </c>
      <c r="J582">
        <v>551.27</v>
      </c>
      <c r="K582">
        <v>533.00000000039995</v>
      </c>
      <c r="L582">
        <v>0</v>
      </c>
      <c r="M582">
        <v>0</v>
      </c>
      <c r="N582">
        <v>277.93</v>
      </c>
      <c r="O582"/>
      <c r="P582">
        <v>533</v>
      </c>
      <c r="Q582">
        <f t="shared" si="115"/>
        <v>533</v>
      </c>
      <c r="R582">
        <v>533</v>
      </c>
      <c r="S582">
        <f t="shared" si="116"/>
        <v>0</v>
      </c>
      <c r="T582">
        <v>0.03</v>
      </c>
      <c r="U582">
        <f t="shared" si="117"/>
        <v>15.99</v>
      </c>
      <c r="V582">
        <f t="shared" si="118"/>
        <v>548.99</v>
      </c>
      <c r="W582">
        <f t="shared" si="119"/>
        <v>15.990000000000009</v>
      </c>
      <c r="X582" t="s">
        <v>1433</v>
      </c>
    </row>
    <row r="583" spans="1:24" x14ac:dyDescent="0.25">
      <c r="A583" t="s">
        <v>1928</v>
      </c>
      <c r="B583" t="s">
        <v>1932</v>
      </c>
      <c r="C583" t="s">
        <v>1999</v>
      </c>
      <c r="D583" t="s">
        <v>123</v>
      </c>
      <c r="E583" t="s">
        <v>50</v>
      </c>
      <c r="F583" t="s">
        <v>1</v>
      </c>
      <c r="G583" t="s">
        <v>596</v>
      </c>
      <c r="H583" t="s">
        <v>450</v>
      </c>
      <c r="I583" t="s">
        <v>1</v>
      </c>
      <c r="J583">
        <v>3763.8</v>
      </c>
      <c r="K583">
        <v>3800.0000000004002</v>
      </c>
      <c r="L583">
        <v>1866.84</v>
      </c>
      <c r="M583">
        <v>3764.6220994475138</v>
      </c>
      <c r="N583">
        <v>3721.2799999999997</v>
      </c>
      <c r="O583">
        <v>3764.6220994475002</v>
      </c>
      <c r="P583">
        <v>-1965</v>
      </c>
      <c r="Q583">
        <f t="shared" si="115"/>
        <v>1799.6220994475002</v>
      </c>
      <c r="R583">
        <v>1800</v>
      </c>
      <c r="S583">
        <f t="shared" si="116"/>
        <v>0.37790055249979559</v>
      </c>
      <c r="T583"/>
      <c r="U583">
        <f t="shared" si="117"/>
        <v>0</v>
      </c>
      <c r="V583">
        <f t="shared" si="118"/>
        <v>1800</v>
      </c>
      <c r="W583">
        <f t="shared" si="119"/>
        <v>0.37790055249979559</v>
      </c>
      <c r="X583" t="s">
        <v>1434</v>
      </c>
    </row>
    <row r="584" spans="1:24" x14ac:dyDescent="0.25">
      <c r="A584" t="s">
        <v>1928</v>
      </c>
      <c r="B584" t="s">
        <v>1932</v>
      </c>
      <c r="C584" t="s">
        <v>1999</v>
      </c>
      <c r="D584" t="s">
        <v>123</v>
      </c>
      <c r="E584" t="s">
        <v>51</v>
      </c>
      <c r="F584" t="s">
        <v>51</v>
      </c>
      <c r="G584" t="s">
        <v>598</v>
      </c>
      <c r="H584"/>
      <c r="I584"/>
      <c r="J584">
        <v>41666.310000000005</v>
      </c>
      <c r="K584">
        <v>85103.105007316597</v>
      </c>
      <c r="L584">
        <v>10816.650000000001</v>
      </c>
      <c r="M584">
        <v>21812.58149171271</v>
      </c>
      <c r="N584">
        <v>24965.410000000003</v>
      </c>
      <c r="O584">
        <v>21672.012392690103</v>
      </c>
      <c r="P584">
        <f>SUMIF($F$561:$F$583,"&lt;&gt;EV_*",$P$561:$P$583)</f>
        <v>27252.5</v>
      </c>
      <c r="Q584">
        <f>SUMIF($F$561:$F$583,"&lt;&gt;EV_*",$Q$561:$Q$583)</f>
        <v>48924.5123926901</v>
      </c>
      <c r="R584">
        <f>SUMIF($F$561:$F$583,"&lt;&gt;EV_*",$R$561:$R$583)</f>
        <v>48924.4705281223</v>
      </c>
      <c r="S584">
        <f>SUMIF($F$561:$F$583,"&lt;&gt;EV_*",$S$561:$S$583)</f>
        <v>-4.1864567799894337E-2</v>
      </c>
      <c r="T584">
        <v>0</v>
      </c>
      <c r="U584">
        <f>SUMIF($F$561:$F$583,"&lt;&gt;EV_*",$U$561:$U$583)</f>
        <v>346.06615564472406</v>
      </c>
      <c r="V584">
        <f>SUMIF($F$561:$F$583,"&lt;&gt;EV_*",$V$561:$V$583)</f>
        <v>49270.536683767023</v>
      </c>
      <c r="W584">
        <f>SUMIF($F$561:$F$583,"&lt;&gt;EV_*",$W$561:$W$583)</f>
        <v>346.02429107692416</v>
      </c>
      <c r="X584">
        <f>SUMIF($F$561:$F$583,"&lt;&gt;EV_*",$X$561:$X$583)</f>
        <v>0</v>
      </c>
    </row>
    <row r="585" spans="1:24" x14ac:dyDescent="0.25">
      <c r="A585" t="s">
        <v>1928</v>
      </c>
      <c r="B585" t="s">
        <v>1929</v>
      </c>
      <c r="C585" t="s">
        <v>2000</v>
      </c>
      <c r="D585" t="s">
        <v>125</v>
      </c>
      <c r="E585" t="s">
        <v>5</v>
      </c>
      <c r="F585" t="s">
        <v>5</v>
      </c>
      <c r="G585" t="s">
        <v>599</v>
      </c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</row>
    <row r="586" spans="1:24" x14ac:dyDescent="0.25">
      <c r="A586" t="s">
        <v>1928</v>
      </c>
      <c r="B586" t="s">
        <v>1929</v>
      </c>
      <c r="C586" t="s">
        <v>2000</v>
      </c>
      <c r="D586" t="s">
        <v>125</v>
      </c>
      <c r="E586" t="s">
        <v>7</v>
      </c>
      <c r="F586" t="s">
        <v>1</v>
      </c>
      <c r="G586" t="s">
        <v>600</v>
      </c>
      <c r="H586" t="s">
        <v>407</v>
      </c>
      <c r="I586" t="s">
        <v>1</v>
      </c>
      <c r="J586">
        <v>100</v>
      </c>
      <c r="K586"/>
      <c r="L586">
        <v>0</v>
      </c>
      <c r="M586">
        <v>0</v>
      </c>
      <c r="N586">
        <v>100</v>
      </c>
      <c r="O586"/>
      <c r="P586">
        <v>0</v>
      </c>
      <c r="Q586">
        <f t="shared" ref="Q586:Q591" si="120">O586+P586</f>
        <v>0</v>
      </c>
      <c r="R586">
        <v>0</v>
      </c>
      <c r="S586">
        <f t="shared" ref="S586:S591" si="121">IF(OR(LEFT(E586,2)="A_",LEFT(D586,5)="Total"),R586-Q586,"")</f>
        <v>0</v>
      </c>
      <c r="T586"/>
      <c r="U586">
        <f t="shared" ref="U586:U591" si="122">IFERROR(R586*T586,R586*0)</f>
        <v>0</v>
      </c>
      <c r="V586">
        <f t="shared" ref="V586:V591" si="123">IF(OR(LEFT(E586,2)="A_",LEFT(D586,5)="Total"),R586+U586,"")</f>
        <v>0</v>
      </c>
      <c r="W586">
        <f t="shared" ref="W586:W591" si="124">IF(OR(LEFT(E586,2)="A_",LEFT(D586,5)="Total"),V586-Q586,"")</f>
        <v>0</v>
      </c>
      <c r="X586">
        <v>0</v>
      </c>
    </row>
    <row r="587" spans="1:24" x14ac:dyDescent="0.25">
      <c r="A587" t="s">
        <v>1928</v>
      </c>
      <c r="B587" t="s">
        <v>1929</v>
      </c>
      <c r="C587" t="s">
        <v>2000</v>
      </c>
      <c r="D587" t="s">
        <v>125</v>
      </c>
      <c r="E587" t="s">
        <v>26</v>
      </c>
      <c r="F587" t="s">
        <v>1</v>
      </c>
      <c r="G587" t="s">
        <v>600</v>
      </c>
      <c r="H587" t="s">
        <v>426</v>
      </c>
      <c r="I587" t="s">
        <v>1</v>
      </c>
      <c r="J587">
        <v>10048.36</v>
      </c>
      <c r="K587">
        <v>7467.2239827215999</v>
      </c>
      <c r="L587">
        <v>5679.01</v>
      </c>
      <c r="M587">
        <v>11452.147237569061</v>
      </c>
      <c r="N587">
        <v>13211.91</v>
      </c>
      <c r="O587">
        <v>11358.02</v>
      </c>
      <c r="P587">
        <v>1854</v>
      </c>
      <c r="Q587">
        <f t="shared" si="120"/>
        <v>13212.02</v>
      </c>
      <c r="R587">
        <v>13212</v>
      </c>
      <c r="S587">
        <f t="shared" si="121"/>
        <v>-2.0000000000436557E-2</v>
      </c>
      <c r="T587"/>
      <c r="U587">
        <f t="shared" si="122"/>
        <v>0</v>
      </c>
      <c r="V587">
        <f t="shared" si="123"/>
        <v>13212</v>
      </c>
      <c r="W587">
        <f t="shared" si="124"/>
        <v>-2.0000000000436557E-2</v>
      </c>
      <c r="X587" t="s">
        <v>1435</v>
      </c>
    </row>
    <row r="588" spans="1:24" x14ac:dyDescent="0.25">
      <c r="A588" t="s">
        <v>1928</v>
      </c>
      <c r="B588" t="s">
        <v>1929</v>
      </c>
      <c r="C588" t="s">
        <v>2000</v>
      </c>
      <c r="D588" t="s">
        <v>125</v>
      </c>
      <c r="E588" t="s">
        <v>29</v>
      </c>
      <c r="F588" t="s">
        <v>1</v>
      </c>
      <c r="G588" t="s">
        <v>600</v>
      </c>
      <c r="H588" t="s">
        <v>429</v>
      </c>
      <c r="I588" t="s">
        <v>1</v>
      </c>
      <c r="J588">
        <v>64</v>
      </c>
      <c r="K588"/>
      <c r="L588">
        <v>0</v>
      </c>
      <c r="M588">
        <v>0</v>
      </c>
      <c r="N588">
        <v>64</v>
      </c>
      <c r="O588"/>
      <c r="P588">
        <v>0</v>
      </c>
      <c r="Q588">
        <f t="shared" si="120"/>
        <v>0</v>
      </c>
      <c r="R588">
        <v>0</v>
      </c>
      <c r="S588">
        <f t="shared" si="121"/>
        <v>0</v>
      </c>
      <c r="T588"/>
      <c r="U588">
        <f t="shared" si="122"/>
        <v>0</v>
      </c>
      <c r="V588">
        <f t="shared" si="123"/>
        <v>0</v>
      </c>
      <c r="W588">
        <f t="shared" si="124"/>
        <v>0</v>
      </c>
      <c r="X588">
        <v>0</v>
      </c>
    </row>
    <row r="589" spans="1:24" x14ac:dyDescent="0.25">
      <c r="A589" t="s">
        <v>1928</v>
      </c>
      <c r="B589" t="s">
        <v>1929</v>
      </c>
      <c r="C589" t="s">
        <v>2000</v>
      </c>
      <c r="D589" t="s">
        <v>125</v>
      </c>
      <c r="E589" t="s">
        <v>37</v>
      </c>
      <c r="F589" t="s">
        <v>1</v>
      </c>
      <c r="G589" t="s">
        <v>600</v>
      </c>
      <c r="H589" t="s">
        <v>437</v>
      </c>
      <c r="I589" t="s">
        <v>1</v>
      </c>
      <c r="J589">
        <v>669.46</v>
      </c>
      <c r="K589"/>
      <c r="L589">
        <v>0</v>
      </c>
      <c r="M589">
        <v>0</v>
      </c>
      <c r="N589">
        <v>669.46</v>
      </c>
      <c r="O589"/>
      <c r="P589">
        <v>25000</v>
      </c>
      <c r="Q589">
        <f t="shared" si="120"/>
        <v>25000</v>
      </c>
      <c r="R589">
        <v>25000</v>
      </c>
      <c r="S589">
        <f t="shared" si="121"/>
        <v>0</v>
      </c>
      <c r="T589"/>
      <c r="U589">
        <f t="shared" si="122"/>
        <v>0</v>
      </c>
      <c r="V589">
        <f t="shared" si="123"/>
        <v>25000</v>
      </c>
      <c r="W589">
        <f t="shared" si="124"/>
        <v>0</v>
      </c>
      <c r="X589" t="s">
        <v>1436</v>
      </c>
    </row>
    <row r="590" spans="1:24" x14ac:dyDescent="0.25">
      <c r="A590" t="s">
        <v>1928</v>
      </c>
      <c r="B590" t="s">
        <v>1929</v>
      </c>
      <c r="C590" t="s">
        <v>2000</v>
      </c>
      <c r="D590" t="s">
        <v>125</v>
      </c>
      <c r="E590" t="s">
        <v>46</v>
      </c>
      <c r="F590" t="s">
        <v>1</v>
      </c>
      <c r="G590" t="s">
        <v>600</v>
      </c>
      <c r="H590" t="s">
        <v>446</v>
      </c>
      <c r="I590" t="s">
        <v>1</v>
      </c>
      <c r="J590">
        <v>210</v>
      </c>
      <c r="K590"/>
      <c r="L590">
        <v>0</v>
      </c>
      <c r="M590">
        <v>0</v>
      </c>
      <c r="N590">
        <v>0</v>
      </c>
      <c r="O590"/>
      <c r="P590">
        <v>0</v>
      </c>
      <c r="Q590">
        <f t="shared" si="120"/>
        <v>0</v>
      </c>
      <c r="R590">
        <v>0</v>
      </c>
      <c r="S590">
        <f t="shared" si="121"/>
        <v>0</v>
      </c>
      <c r="T590">
        <v>0.03</v>
      </c>
      <c r="U590">
        <f t="shared" si="122"/>
        <v>0</v>
      </c>
      <c r="V590">
        <f t="shared" si="123"/>
        <v>0</v>
      </c>
      <c r="W590">
        <f t="shared" si="124"/>
        <v>0</v>
      </c>
      <c r="X590">
        <v>0</v>
      </c>
    </row>
    <row r="591" spans="1:24" x14ac:dyDescent="0.25">
      <c r="A591" t="s">
        <v>1928</v>
      </c>
      <c r="B591" t="s">
        <v>1929</v>
      </c>
      <c r="C591" t="s">
        <v>2000</v>
      </c>
      <c r="D591" t="s">
        <v>125</v>
      </c>
      <c r="E591" t="s">
        <v>47</v>
      </c>
      <c r="F591" t="s">
        <v>1</v>
      </c>
      <c r="G591" t="s">
        <v>600</v>
      </c>
      <c r="H591" t="s">
        <v>447</v>
      </c>
      <c r="I591" t="s">
        <v>1</v>
      </c>
      <c r="J591">
        <v>1379.35</v>
      </c>
      <c r="K591">
        <v>309.99999999959999</v>
      </c>
      <c r="L591">
        <v>450</v>
      </c>
      <c r="M591">
        <v>907.45856353591159</v>
      </c>
      <c r="N591">
        <v>1719.35</v>
      </c>
      <c r="O591">
        <v>900</v>
      </c>
      <c r="P591">
        <v>-900</v>
      </c>
      <c r="Q591">
        <f t="shared" si="120"/>
        <v>0</v>
      </c>
      <c r="R591">
        <v>0</v>
      </c>
      <c r="S591">
        <f t="shared" si="121"/>
        <v>0</v>
      </c>
      <c r="T591">
        <v>0.03</v>
      </c>
      <c r="U591">
        <f t="shared" si="122"/>
        <v>0</v>
      </c>
      <c r="V591">
        <f t="shared" si="123"/>
        <v>0</v>
      </c>
      <c r="W591">
        <f t="shared" si="124"/>
        <v>0</v>
      </c>
      <c r="X591" t="s">
        <v>1437</v>
      </c>
    </row>
    <row r="592" spans="1:24" x14ac:dyDescent="0.25">
      <c r="A592" t="s">
        <v>1928</v>
      </c>
      <c r="B592" t="s">
        <v>1929</v>
      </c>
      <c r="C592" t="s">
        <v>2000</v>
      </c>
      <c r="D592" t="s">
        <v>125</v>
      </c>
      <c r="E592" t="s">
        <v>51</v>
      </c>
      <c r="F592" t="s">
        <v>51</v>
      </c>
      <c r="G592" t="s">
        <v>601</v>
      </c>
      <c r="H592"/>
      <c r="I592"/>
      <c r="J592">
        <v>12471.17</v>
      </c>
      <c r="K592">
        <v>7777.2239827211997</v>
      </c>
      <c r="L592">
        <v>6129.01</v>
      </c>
      <c r="M592">
        <v>12359.605801104972</v>
      </c>
      <c r="N592">
        <v>15764.72</v>
      </c>
      <c r="O592">
        <v>12258.02</v>
      </c>
      <c r="P592">
        <f>SUMIF($F$585:$F$591,"&lt;&gt;EV_*",$P$585:$P$591)</f>
        <v>25954</v>
      </c>
      <c r="Q592">
        <f>SUMIF($F$585:$F$591,"&lt;&gt;EV_*",$Q$585:$Q$591)</f>
        <v>38212.020000000004</v>
      </c>
      <c r="R592">
        <f>SUMIF($F$585:$F$591,"&lt;&gt;EV_*",$R$585:$R$591)</f>
        <v>38212</v>
      </c>
      <c r="S592">
        <f>SUMIF($F$585:$F$591,"&lt;&gt;EV_*",$S$585:$S$591)</f>
        <v>-2.0000000000436557E-2</v>
      </c>
      <c r="T592">
        <v>0</v>
      </c>
      <c r="U592">
        <f>SUMIF($F$585:$F$591,"&lt;&gt;EV_*",$U$585:$U$591)</f>
        <v>0</v>
      </c>
      <c r="V592">
        <f>SUMIF($F$585:$F$591,"&lt;&gt;EV_*",$V$585:$V$591)</f>
        <v>38212</v>
      </c>
      <c r="W592">
        <f>SUMIF($F$585:$F$591,"&lt;&gt;EV_*",$W$585:$W$591)</f>
        <v>-2.0000000000436557E-2</v>
      </c>
      <c r="X592">
        <f>SUMIF($F$585:$F$591,"&lt;&gt;EV_*",$X$585:$X$591)</f>
        <v>0</v>
      </c>
    </row>
    <row r="593" spans="1:24" x14ac:dyDescent="0.25">
      <c r="A593" t="s">
        <v>1928</v>
      </c>
      <c r="B593" t="s">
        <v>1929</v>
      </c>
      <c r="C593" t="s">
        <v>2001</v>
      </c>
      <c r="D593" t="s">
        <v>126</v>
      </c>
      <c r="E593" t="s">
        <v>5</v>
      </c>
      <c r="F593" t="s">
        <v>5</v>
      </c>
      <c r="G593" t="s">
        <v>602</v>
      </c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</row>
    <row r="594" spans="1:24" x14ac:dyDescent="0.25">
      <c r="A594" t="s">
        <v>1928</v>
      </c>
      <c r="B594" t="s">
        <v>1929</v>
      </c>
      <c r="C594" t="s">
        <v>2001</v>
      </c>
      <c r="D594" t="s">
        <v>126</v>
      </c>
      <c r="E594" t="s">
        <v>37</v>
      </c>
      <c r="F594" t="s">
        <v>1</v>
      </c>
      <c r="G594" t="s">
        <v>603</v>
      </c>
      <c r="H594" t="s">
        <v>437</v>
      </c>
      <c r="I594" t="s">
        <v>1</v>
      </c>
      <c r="J594">
        <v>106.94</v>
      </c>
      <c r="K594"/>
      <c r="L594">
        <v>35.67</v>
      </c>
      <c r="M594">
        <v>71.931215469613264</v>
      </c>
      <c r="N594">
        <v>142.61000000000001</v>
      </c>
      <c r="O594">
        <v>71.34</v>
      </c>
      <c r="P594">
        <v>-71</v>
      </c>
      <c r="Q594">
        <f>O594+P594</f>
        <v>0.34000000000000341</v>
      </c>
      <c r="R594">
        <v>0</v>
      </c>
      <c r="S594">
        <f>IF(OR(LEFT(E594,2)="A_",LEFT(D594,5)="Total"),R594-Q594,"")</f>
        <v>-0.34000000000000341</v>
      </c>
      <c r="T594"/>
      <c r="U594">
        <f>IFERROR(R594*T594,R594*0)</f>
        <v>0</v>
      </c>
      <c r="V594">
        <f>IF(OR(LEFT(E594,2)="A_",LEFT(D594,5)="Total"),R594+U594,"")</f>
        <v>0</v>
      </c>
      <c r="W594">
        <f>IF(OR(LEFT(E594,2)="A_",LEFT(D594,5)="Total"),V594-Q594,"")</f>
        <v>-0.34000000000000341</v>
      </c>
      <c r="X594">
        <v>0</v>
      </c>
    </row>
    <row r="595" spans="1:24" x14ac:dyDescent="0.25">
      <c r="A595" t="s">
        <v>1928</v>
      </c>
      <c r="B595" t="s">
        <v>1929</v>
      </c>
      <c r="C595" t="s">
        <v>2001</v>
      </c>
      <c r="D595" t="s">
        <v>126</v>
      </c>
      <c r="E595" t="s">
        <v>51</v>
      </c>
      <c r="F595" t="s">
        <v>51</v>
      </c>
      <c r="G595" t="s">
        <v>604</v>
      </c>
      <c r="H595"/>
      <c r="I595"/>
      <c r="J595">
        <v>106.94</v>
      </c>
      <c r="K595">
        <v>0</v>
      </c>
      <c r="L595">
        <v>35.67</v>
      </c>
      <c r="M595">
        <v>71.931215469613264</v>
      </c>
      <c r="N595">
        <v>142.61000000000001</v>
      </c>
      <c r="O595">
        <v>71.34</v>
      </c>
      <c r="P595">
        <f>SUMIF($F$593:$F$594,"&lt;&gt;EV_*",$P$593:$P$594)</f>
        <v>-71</v>
      </c>
      <c r="Q595">
        <f>SUMIF($F$593:$F$594,"&lt;&gt;EV_*",$Q$593:$Q$594)</f>
        <v>0.34000000000000341</v>
      </c>
      <c r="R595">
        <f>SUMIF($F$593:$F$594,"&lt;&gt;EV_*",$R$593:$R$594)</f>
        <v>0</v>
      </c>
      <c r="S595">
        <f>SUMIF($F$593:$F$594,"&lt;&gt;EV_*",$S$593:$S$594)</f>
        <v>-0.34000000000000341</v>
      </c>
      <c r="T595">
        <v>0</v>
      </c>
      <c r="U595">
        <f>SUMIF($F$593:$F$594,"&lt;&gt;EV_*",$U$593:$U$594)</f>
        <v>0</v>
      </c>
      <c r="V595">
        <f>SUMIF($F$593:$F$594,"&lt;&gt;EV_*",$V$593:$V$594)</f>
        <v>0</v>
      </c>
      <c r="W595">
        <f>SUMIF($F$593:$F$594,"&lt;&gt;EV_*",$W$593:$W$594)</f>
        <v>-0.34000000000000341</v>
      </c>
      <c r="X595">
        <f>SUMIF($F$593:$F$594,"&lt;&gt;EV_*",$X$593:$X$594)</f>
        <v>0</v>
      </c>
    </row>
    <row r="596" spans="1:24" x14ac:dyDescent="0.25">
      <c r="A596" t="s">
        <v>1928</v>
      </c>
      <c r="B596" t="s">
        <v>1929</v>
      </c>
      <c r="C596" t="s">
        <v>2002</v>
      </c>
      <c r="D596" t="s">
        <v>127</v>
      </c>
      <c r="E596" t="s">
        <v>5</v>
      </c>
      <c r="F596" t="s">
        <v>5</v>
      </c>
      <c r="G596" t="s">
        <v>605</v>
      </c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</row>
    <row r="597" spans="1:24" x14ac:dyDescent="0.25">
      <c r="A597" t="s">
        <v>1928</v>
      </c>
      <c r="B597" t="s">
        <v>1929</v>
      </c>
      <c r="C597" t="s">
        <v>2002</v>
      </c>
      <c r="D597" t="s">
        <v>127</v>
      </c>
      <c r="E597" t="s">
        <v>8</v>
      </c>
      <c r="F597" t="s">
        <v>1</v>
      </c>
      <c r="G597" t="s">
        <v>606</v>
      </c>
      <c r="H597" t="s">
        <v>408</v>
      </c>
      <c r="I597" t="s">
        <v>1</v>
      </c>
      <c r="J597">
        <v>219.5</v>
      </c>
      <c r="K597">
        <v>442.63812154700003</v>
      </c>
      <c r="L597">
        <v>0</v>
      </c>
      <c r="M597">
        <v>0</v>
      </c>
      <c r="N597">
        <v>0</v>
      </c>
      <c r="O597"/>
      <c r="P597">
        <v>0</v>
      </c>
      <c r="Q597">
        <f>O597+P597</f>
        <v>0</v>
      </c>
      <c r="R597">
        <v>0</v>
      </c>
      <c r="S597">
        <f>IF(OR(LEFT(E597,2)="A_",LEFT(D597,5)="Total"),R597-Q597,"")</f>
        <v>0</v>
      </c>
      <c r="T597"/>
      <c r="U597">
        <f>IFERROR(R597*T597,R597*0)</f>
        <v>0</v>
      </c>
      <c r="V597">
        <f>IF(OR(LEFT(E597,2)="A_",LEFT(D597,5)="Total"),R597+U597,"")</f>
        <v>0</v>
      </c>
      <c r="W597">
        <f>IF(OR(LEFT(E597,2)="A_",LEFT(D597,5)="Total"),V597-Q597,"")</f>
        <v>0</v>
      </c>
      <c r="X597">
        <v>0</v>
      </c>
    </row>
    <row r="598" spans="1:24" x14ac:dyDescent="0.25">
      <c r="A598" t="s">
        <v>1928</v>
      </c>
      <c r="B598" t="s">
        <v>1929</v>
      </c>
      <c r="C598" t="s">
        <v>2002</v>
      </c>
      <c r="D598" t="s">
        <v>127</v>
      </c>
      <c r="E598" t="s">
        <v>13</v>
      </c>
      <c r="F598" t="s">
        <v>1</v>
      </c>
      <c r="G598" t="s">
        <v>606</v>
      </c>
      <c r="H598" t="s">
        <v>413</v>
      </c>
      <c r="I598" t="s">
        <v>1</v>
      </c>
      <c r="J598"/>
      <c r="K598"/>
      <c r="L598">
        <v>53.07</v>
      </c>
      <c r="M598">
        <v>107.0196132596685</v>
      </c>
      <c r="N598">
        <v>53.07</v>
      </c>
      <c r="O598">
        <v>106.14</v>
      </c>
      <c r="P598">
        <v>-106</v>
      </c>
      <c r="Q598">
        <f>O598+P598</f>
        <v>0.14000000000000057</v>
      </c>
      <c r="R598">
        <v>0</v>
      </c>
      <c r="S598">
        <f>IF(OR(LEFT(E598,2)="A_",LEFT(D598,5)="Total"),R598-Q598,"")</f>
        <v>-0.14000000000000057</v>
      </c>
      <c r="T598"/>
      <c r="U598">
        <f>IFERROR(R598*T598,R598*0)</f>
        <v>0</v>
      </c>
      <c r="V598">
        <f>IF(OR(LEFT(E598,2)="A_",LEFT(D598,5)="Total"),R598+U598,"")</f>
        <v>0</v>
      </c>
      <c r="W598">
        <f>IF(OR(LEFT(E598,2)="A_",LEFT(D598,5)="Total"),V598-Q598,"")</f>
        <v>-0.14000000000000057</v>
      </c>
      <c r="X598">
        <v>0</v>
      </c>
    </row>
    <row r="599" spans="1:24" x14ac:dyDescent="0.25">
      <c r="A599" t="s">
        <v>1928</v>
      </c>
      <c r="B599" t="s">
        <v>1929</v>
      </c>
      <c r="C599" t="s">
        <v>2002</v>
      </c>
      <c r="D599" t="s">
        <v>127</v>
      </c>
      <c r="E599" t="s">
        <v>44</v>
      </c>
      <c r="F599" t="s">
        <v>1</v>
      </c>
      <c r="G599" t="s">
        <v>606</v>
      </c>
      <c r="H599" t="s">
        <v>444</v>
      </c>
      <c r="I599" t="s">
        <v>1</v>
      </c>
      <c r="J599"/>
      <c r="K599"/>
      <c r="L599">
        <v>-53.07</v>
      </c>
      <c r="M599">
        <v>-107.0196132596685</v>
      </c>
      <c r="N599">
        <v>-53.07</v>
      </c>
      <c r="O599">
        <v>-106.14</v>
      </c>
      <c r="P599">
        <v>106</v>
      </c>
      <c r="Q599">
        <f>O599+P599</f>
        <v>-0.14000000000000057</v>
      </c>
      <c r="R599">
        <v>0</v>
      </c>
      <c r="S599">
        <f>IF(OR(LEFT(E599,2)="A_",LEFT(D599,5)="Total"),R599-Q599,"")</f>
        <v>0.14000000000000057</v>
      </c>
      <c r="T599">
        <v>0.03</v>
      </c>
      <c r="U599">
        <f>IFERROR(R599*T599,R599*0)</f>
        <v>0</v>
      </c>
      <c r="V599">
        <f>IF(OR(LEFT(E599,2)="A_",LEFT(D599,5)="Total"),R599+U599,"")</f>
        <v>0</v>
      </c>
      <c r="W599">
        <f>IF(OR(LEFT(E599,2)="A_",LEFT(D599,5)="Total"),V599-Q599,"")</f>
        <v>0.14000000000000057</v>
      </c>
      <c r="X599">
        <v>0</v>
      </c>
    </row>
    <row r="600" spans="1:24" x14ac:dyDescent="0.25">
      <c r="A600" t="s">
        <v>1928</v>
      </c>
      <c r="B600" t="s">
        <v>1929</v>
      </c>
      <c r="C600" t="s">
        <v>2002</v>
      </c>
      <c r="D600" t="s">
        <v>127</v>
      </c>
      <c r="E600" t="s">
        <v>51</v>
      </c>
      <c r="F600" t="s">
        <v>51</v>
      </c>
      <c r="G600" t="s">
        <v>607</v>
      </c>
      <c r="H600"/>
      <c r="I600"/>
      <c r="J600">
        <v>219.5</v>
      </c>
      <c r="K600">
        <v>442.63812154700003</v>
      </c>
      <c r="L600">
        <v>0</v>
      </c>
      <c r="M600">
        <v>0</v>
      </c>
      <c r="N600">
        <v>0</v>
      </c>
      <c r="O600">
        <v>0</v>
      </c>
      <c r="P600">
        <f>SUMIF($F$596:$F$599,"&lt;&gt;EV_*",$P$596:$P$599)</f>
        <v>0</v>
      </c>
      <c r="Q600">
        <f>SUMIF($F$596:$F$599,"&lt;&gt;EV_*",$Q$596:$Q$599)</f>
        <v>0</v>
      </c>
      <c r="R600">
        <f>SUMIF($F$596:$F$599,"&lt;&gt;EV_*",$R$596:$R$599)</f>
        <v>0</v>
      </c>
      <c r="S600">
        <f>SUMIF($F$596:$F$599,"&lt;&gt;EV_*",$S$596:$S$599)</f>
        <v>0</v>
      </c>
      <c r="T600">
        <v>0</v>
      </c>
      <c r="U600">
        <f>SUMIF($F$596:$F$599,"&lt;&gt;EV_*",$U$596:$U$599)</f>
        <v>0</v>
      </c>
      <c r="V600">
        <f>SUMIF($F$596:$F$599,"&lt;&gt;EV_*",$V$596:$V$599)</f>
        <v>0</v>
      </c>
      <c r="W600">
        <f>SUMIF($F$596:$F$599,"&lt;&gt;EV_*",$W$596:$W$599)</f>
        <v>0</v>
      </c>
      <c r="X600">
        <f>SUMIF($F$596:$F$599,"&lt;&gt;EV_*",$X$596:$X$599)</f>
        <v>0</v>
      </c>
    </row>
    <row r="601" spans="1:24" x14ac:dyDescent="0.25">
      <c r="A601" t="s">
        <v>1928</v>
      </c>
      <c r="B601" t="s">
        <v>1929</v>
      </c>
      <c r="C601" t="s">
        <v>2003</v>
      </c>
      <c r="D601" t="s">
        <v>128</v>
      </c>
      <c r="E601" t="s">
        <v>5</v>
      </c>
      <c r="F601" t="s">
        <v>5</v>
      </c>
      <c r="G601" t="s">
        <v>608</v>
      </c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</row>
    <row r="602" spans="1:24" x14ac:dyDescent="0.25">
      <c r="A602" t="s">
        <v>1928</v>
      </c>
      <c r="B602" t="s">
        <v>1929</v>
      </c>
      <c r="C602" t="s">
        <v>2003</v>
      </c>
      <c r="D602" t="s">
        <v>128</v>
      </c>
      <c r="E602" t="s">
        <v>23</v>
      </c>
      <c r="F602" t="s">
        <v>1</v>
      </c>
      <c r="G602" t="s">
        <v>609</v>
      </c>
      <c r="H602" t="s">
        <v>423</v>
      </c>
      <c r="I602" t="s">
        <v>1</v>
      </c>
      <c r="J602">
        <v>192.58</v>
      </c>
      <c r="K602">
        <v>403.64999999989999</v>
      </c>
      <c r="L602">
        <v>0</v>
      </c>
      <c r="M602">
        <v>0</v>
      </c>
      <c r="N602">
        <v>0</v>
      </c>
      <c r="O602"/>
      <c r="P602">
        <v>0</v>
      </c>
      <c r="Q602">
        <f>O602+P602</f>
        <v>0</v>
      </c>
      <c r="R602">
        <v>0</v>
      </c>
      <c r="S602">
        <f>IF(OR(LEFT(E602,2)="A_",LEFT(D602,5)="Total"),R602-Q602,"")</f>
        <v>0</v>
      </c>
      <c r="T602">
        <v>3.5000000000000003E-2</v>
      </c>
      <c r="U602">
        <f>IFERROR(R602*T602,R602*0)</f>
        <v>0</v>
      </c>
      <c r="V602">
        <f>IF(OR(LEFT(E602,2)="A_",LEFT(D602,5)="Total"),R602+U602,"")</f>
        <v>0</v>
      </c>
      <c r="W602">
        <f>IF(OR(LEFT(E602,2)="A_",LEFT(D602,5)="Total"),V602-Q602,"")</f>
        <v>0</v>
      </c>
      <c r="X602">
        <v>0</v>
      </c>
    </row>
    <row r="603" spans="1:24" x14ac:dyDescent="0.25">
      <c r="A603" t="s">
        <v>1928</v>
      </c>
      <c r="B603" t="s">
        <v>1929</v>
      </c>
      <c r="C603" t="s">
        <v>2003</v>
      </c>
      <c r="D603" t="s">
        <v>128</v>
      </c>
      <c r="E603" t="s">
        <v>37</v>
      </c>
      <c r="F603" t="s">
        <v>1</v>
      </c>
      <c r="G603" t="s">
        <v>609</v>
      </c>
      <c r="H603" t="s">
        <v>437</v>
      </c>
      <c r="I603" t="s">
        <v>1</v>
      </c>
      <c r="J603">
        <v>416.2</v>
      </c>
      <c r="K603"/>
      <c r="L603">
        <v>0</v>
      </c>
      <c r="M603">
        <v>0</v>
      </c>
      <c r="N603">
        <v>416.2</v>
      </c>
      <c r="O603"/>
      <c r="P603">
        <v>0</v>
      </c>
      <c r="Q603">
        <f>O603+P603</f>
        <v>0</v>
      </c>
      <c r="R603">
        <v>0</v>
      </c>
      <c r="S603">
        <f>IF(OR(LEFT(E603,2)="A_",LEFT(D603,5)="Total"),R603-Q603,"")</f>
        <v>0</v>
      </c>
      <c r="T603"/>
      <c r="U603">
        <f>IFERROR(R603*T603,R603*0)</f>
        <v>0</v>
      </c>
      <c r="V603">
        <f>IF(OR(LEFT(E603,2)="A_",LEFT(D603,5)="Total"),R603+U603,"")</f>
        <v>0</v>
      </c>
      <c r="W603">
        <f>IF(OR(LEFT(E603,2)="A_",LEFT(D603,5)="Total"),V603-Q603,"")</f>
        <v>0</v>
      </c>
      <c r="X603">
        <v>0</v>
      </c>
    </row>
    <row r="604" spans="1:24" x14ac:dyDescent="0.25">
      <c r="A604" t="s">
        <v>1928</v>
      </c>
      <c r="B604" t="s">
        <v>1929</v>
      </c>
      <c r="C604" t="s">
        <v>2003</v>
      </c>
      <c r="D604" t="s">
        <v>128</v>
      </c>
      <c r="E604" t="s">
        <v>121</v>
      </c>
      <c r="F604" t="s">
        <v>1</v>
      </c>
      <c r="G604" t="s">
        <v>609</v>
      </c>
      <c r="H604" t="s">
        <v>590</v>
      </c>
      <c r="I604" t="s">
        <v>1</v>
      </c>
      <c r="J604">
        <v>1463</v>
      </c>
      <c r="K604"/>
      <c r="L604">
        <v>1463</v>
      </c>
      <c r="M604">
        <v>2950.2486187845307</v>
      </c>
      <c r="N604">
        <v>2926</v>
      </c>
      <c r="O604">
        <v>2926</v>
      </c>
      <c r="P604">
        <v>-2926</v>
      </c>
      <c r="Q604">
        <f>O604+P604</f>
        <v>0</v>
      </c>
      <c r="R604">
        <v>0</v>
      </c>
      <c r="S604">
        <f>IF(OR(LEFT(E604,2)="A_",LEFT(D604,5)="Total"),R604-Q604,"")</f>
        <v>0</v>
      </c>
      <c r="T604"/>
      <c r="U604">
        <f>IFERROR(R604*T604,R604*0)</f>
        <v>0</v>
      </c>
      <c r="V604">
        <f>IF(OR(LEFT(E604,2)="A_",LEFT(D604,5)="Total"),R604+U604,"")</f>
        <v>0</v>
      </c>
      <c r="W604">
        <f>IF(OR(LEFT(E604,2)="A_",LEFT(D604,5)="Total"),V604-Q604,"")</f>
        <v>0</v>
      </c>
      <c r="X604">
        <v>0</v>
      </c>
    </row>
    <row r="605" spans="1:24" x14ac:dyDescent="0.25">
      <c r="A605" t="s">
        <v>1928</v>
      </c>
      <c r="B605" t="s">
        <v>1929</v>
      </c>
      <c r="C605" t="s">
        <v>2003</v>
      </c>
      <c r="D605" t="s">
        <v>128</v>
      </c>
      <c r="E605" t="s">
        <v>46</v>
      </c>
      <c r="F605" t="s">
        <v>1</v>
      </c>
      <c r="G605" t="s">
        <v>609</v>
      </c>
      <c r="H605" t="s">
        <v>446</v>
      </c>
      <c r="I605" t="s">
        <v>1</v>
      </c>
      <c r="J605">
        <v>3844.43</v>
      </c>
      <c r="K605"/>
      <c r="L605">
        <v>76.5</v>
      </c>
      <c r="M605">
        <v>154.26795580110496</v>
      </c>
      <c r="N605">
        <v>76.5</v>
      </c>
      <c r="O605">
        <v>153</v>
      </c>
      <c r="P605">
        <v>0</v>
      </c>
      <c r="Q605">
        <f>O605+P605</f>
        <v>153</v>
      </c>
      <c r="R605">
        <v>0</v>
      </c>
      <c r="S605">
        <f>IF(OR(LEFT(E605,2)="A_",LEFT(D605,5)="Total"),R605-Q605,"")</f>
        <v>-153</v>
      </c>
      <c r="T605">
        <v>0.03</v>
      </c>
      <c r="U605">
        <f>IFERROR(R605*T605,R605*0)</f>
        <v>0</v>
      </c>
      <c r="V605">
        <f>IF(OR(LEFT(E605,2)="A_",LEFT(D605,5)="Total"),R605+U605,"")</f>
        <v>0</v>
      </c>
      <c r="W605">
        <f>IF(OR(LEFT(E605,2)="A_",LEFT(D605,5)="Total"),V605-Q605,"")</f>
        <v>-153</v>
      </c>
      <c r="X605">
        <v>0</v>
      </c>
    </row>
    <row r="606" spans="1:24" x14ac:dyDescent="0.25">
      <c r="A606" t="s">
        <v>1928</v>
      </c>
      <c r="B606" t="s">
        <v>1929</v>
      </c>
      <c r="C606" t="s">
        <v>2003</v>
      </c>
      <c r="D606" t="s">
        <v>128</v>
      </c>
      <c r="E606" t="s">
        <v>47</v>
      </c>
      <c r="F606" t="s">
        <v>1</v>
      </c>
      <c r="G606" t="s">
        <v>609</v>
      </c>
      <c r="H606" t="s">
        <v>447</v>
      </c>
      <c r="I606" t="s">
        <v>1</v>
      </c>
      <c r="J606"/>
      <c r="K606">
        <v>29.0000000004</v>
      </c>
      <c r="L606">
        <v>0</v>
      </c>
      <c r="M606">
        <v>0</v>
      </c>
      <c r="N606">
        <v>0</v>
      </c>
      <c r="O606"/>
      <c r="P606">
        <v>0</v>
      </c>
      <c r="Q606">
        <f>O606+P606</f>
        <v>0</v>
      </c>
      <c r="R606">
        <v>0</v>
      </c>
      <c r="S606">
        <f>IF(OR(LEFT(E606,2)="A_",LEFT(D606,5)="Total"),R606-Q606,"")</f>
        <v>0</v>
      </c>
      <c r="T606">
        <v>0.03</v>
      </c>
      <c r="U606">
        <f>IFERROR(R606*T606,R606*0)</f>
        <v>0</v>
      </c>
      <c r="V606">
        <f>IF(OR(LEFT(E606,2)="A_",LEFT(D606,5)="Total"),R606+U606,"")</f>
        <v>0</v>
      </c>
      <c r="W606">
        <f>IF(OR(LEFT(E606,2)="A_",LEFT(D606,5)="Total"),V606-Q606,"")</f>
        <v>0</v>
      </c>
      <c r="X606">
        <v>0</v>
      </c>
    </row>
    <row r="607" spans="1:24" x14ac:dyDescent="0.25">
      <c r="A607" t="s">
        <v>1928</v>
      </c>
      <c r="B607" t="s">
        <v>1929</v>
      </c>
      <c r="C607" t="s">
        <v>2003</v>
      </c>
      <c r="D607" t="s">
        <v>128</v>
      </c>
      <c r="E607" t="s">
        <v>51</v>
      </c>
      <c r="F607" t="s">
        <v>51</v>
      </c>
      <c r="G607" t="s">
        <v>610</v>
      </c>
      <c r="H607"/>
      <c r="I607"/>
      <c r="J607">
        <v>5916.2099999999991</v>
      </c>
      <c r="K607">
        <v>432.6500000003</v>
      </c>
      <c r="L607">
        <v>1539.5</v>
      </c>
      <c r="M607">
        <v>3104.5165745856357</v>
      </c>
      <c r="N607">
        <v>3418.7</v>
      </c>
      <c r="O607">
        <v>3079</v>
      </c>
      <c r="P607">
        <f>SUMIF($F$601:$F$606,"&lt;&gt;EV_*",$P$601:$P$606)</f>
        <v>-2926</v>
      </c>
      <c r="Q607">
        <f>SUMIF($F$601:$F$606,"&lt;&gt;EV_*",$Q$601:$Q$606)</f>
        <v>153</v>
      </c>
      <c r="R607">
        <f>SUMIF($F$601:$F$606,"&lt;&gt;EV_*",$R$601:$R$606)</f>
        <v>0</v>
      </c>
      <c r="S607">
        <f>SUMIF($F$601:$F$606,"&lt;&gt;EV_*",$S$601:$S$606)</f>
        <v>-153</v>
      </c>
      <c r="T607">
        <v>0</v>
      </c>
      <c r="U607">
        <f>SUMIF($F$601:$F$606,"&lt;&gt;EV_*",$U$601:$U$606)</f>
        <v>0</v>
      </c>
      <c r="V607">
        <f>SUMIF($F$601:$F$606,"&lt;&gt;EV_*",$V$601:$V$606)</f>
        <v>0</v>
      </c>
      <c r="W607">
        <f>SUMIF($F$601:$F$606,"&lt;&gt;EV_*",$W$601:$W$606)</f>
        <v>-153</v>
      </c>
      <c r="X607">
        <f>SUMIF($F$601:$F$606,"&lt;&gt;EV_*",$X$601:$X$606)</f>
        <v>0</v>
      </c>
    </row>
    <row r="608" spans="1:24" x14ac:dyDescent="0.25">
      <c r="A608" t="s">
        <v>1928</v>
      </c>
      <c r="B608" t="s">
        <v>1932</v>
      </c>
      <c r="C608" t="s">
        <v>2004</v>
      </c>
      <c r="D608" t="s">
        <v>129</v>
      </c>
      <c r="E608" t="s">
        <v>5</v>
      </c>
      <c r="F608" t="s">
        <v>5</v>
      </c>
      <c r="G608" t="s">
        <v>611</v>
      </c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</row>
    <row r="609" spans="1:24" x14ac:dyDescent="0.25">
      <c r="A609" t="s">
        <v>1928</v>
      </c>
      <c r="B609" t="s">
        <v>1932</v>
      </c>
      <c r="C609" t="s">
        <v>2004</v>
      </c>
      <c r="D609" t="s">
        <v>129</v>
      </c>
      <c r="E609" t="s">
        <v>124</v>
      </c>
      <c r="F609" t="s">
        <v>1</v>
      </c>
      <c r="G609" t="s">
        <v>612</v>
      </c>
      <c r="H609" t="s">
        <v>597</v>
      </c>
      <c r="I609" t="s">
        <v>1</v>
      </c>
      <c r="J609"/>
      <c r="K609"/>
      <c r="L609">
        <v>64658.75</v>
      </c>
      <c r="M609">
        <v>130389.19198895028</v>
      </c>
      <c r="N609">
        <v>64658.75</v>
      </c>
      <c r="O609">
        <v>129317.5</v>
      </c>
      <c r="P609">
        <v>-129317.5</v>
      </c>
      <c r="Q609">
        <f t="shared" ref="Q609:Q614" si="125">O609+P609</f>
        <v>0</v>
      </c>
      <c r="R609">
        <v>0</v>
      </c>
      <c r="S609">
        <f t="shared" ref="S609:S614" si="126">IF(OR(LEFT(E609,2)="A_",LEFT(D609,5)="Total"),R609-Q609,"")</f>
        <v>0</v>
      </c>
      <c r="T609"/>
      <c r="U609">
        <f t="shared" ref="U609:U614" si="127">IFERROR(R609*T609,R609*0)</f>
        <v>0</v>
      </c>
      <c r="V609">
        <f t="shared" ref="V609:V614" si="128">IF(OR(LEFT(E609,2)="A_",LEFT(D609,5)="Total"),R609+U609,"")</f>
        <v>0</v>
      </c>
      <c r="W609">
        <f t="shared" ref="W609:W614" si="129">IF(OR(LEFT(E609,2)="A_",LEFT(D609,5)="Total"),V609-Q609,"")</f>
        <v>0</v>
      </c>
      <c r="X609">
        <v>0</v>
      </c>
    </row>
    <row r="610" spans="1:24" x14ac:dyDescent="0.25">
      <c r="A610" t="s">
        <v>1928</v>
      </c>
      <c r="B610" t="s">
        <v>1932</v>
      </c>
      <c r="C610" t="s">
        <v>2004</v>
      </c>
      <c r="D610" t="s">
        <v>129</v>
      </c>
      <c r="E610" t="s">
        <v>17</v>
      </c>
      <c r="F610" t="s">
        <v>1</v>
      </c>
      <c r="G610" t="s">
        <v>612</v>
      </c>
      <c r="H610" t="s">
        <v>417</v>
      </c>
      <c r="I610" t="s">
        <v>1</v>
      </c>
      <c r="J610"/>
      <c r="K610">
        <v>-280</v>
      </c>
      <c r="L610">
        <v>0</v>
      </c>
      <c r="M610">
        <v>0</v>
      </c>
      <c r="N610">
        <v>0</v>
      </c>
      <c r="O610"/>
      <c r="P610">
        <v>0</v>
      </c>
      <c r="Q610">
        <f t="shared" si="125"/>
        <v>0</v>
      </c>
      <c r="R610">
        <v>0</v>
      </c>
      <c r="S610">
        <f t="shared" si="126"/>
        <v>0</v>
      </c>
      <c r="T610"/>
      <c r="U610">
        <f t="shared" si="127"/>
        <v>0</v>
      </c>
      <c r="V610">
        <f t="shared" si="128"/>
        <v>0</v>
      </c>
      <c r="W610">
        <f t="shared" si="129"/>
        <v>0</v>
      </c>
      <c r="X610">
        <v>0</v>
      </c>
    </row>
    <row r="611" spans="1:24" x14ac:dyDescent="0.25">
      <c r="A611" t="s">
        <v>1928</v>
      </c>
      <c r="B611" t="s">
        <v>1932</v>
      </c>
      <c r="C611" t="s">
        <v>2004</v>
      </c>
      <c r="D611" t="s">
        <v>129</v>
      </c>
      <c r="E611" t="s">
        <v>21</v>
      </c>
      <c r="F611" t="s">
        <v>1</v>
      </c>
      <c r="G611" t="s">
        <v>612</v>
      </c>
      <c r="H611" t="s">
        <v>421</v>
      </c>
      <c r="I611" t="s">
        <v>1</v>
      </c>
      <c r="J611">
        <v>189.14</v>
      </c>
      <c r="K611">
        <v>60.38</v>
      </c>
      <c r="L611">
        <v>116.87</v>
      </c>
      <c r="M611">
        <v>235.67707182320444</v>
      </c>
      <c r="N611">
        <v>264.38</v>
      </c>
      <c r="O611">
        <v>235.67707182320001</v>
      </c>
      <c r="P611">
        <v>-236</v>
      </c>
      <c r="Q611">
        <f t="shared" si="125"/>
        <v>-0.32292817679999075</v>
      </c>
      <c r="R611">
        <v>0</v>
      </c>
      <c r="S611">
        <f t="shared" si="126"/>
        <v>0.32292817679999075</v>
      </c>
      <c r="T611">
        <v>0.03</v>
      </c>
      <c r="U611">
        <f t="shared" si="127"/>
        <v>0</v>
      </c>
      <c r="V611">
        <f t="shared" si="128"/>
        <v>0</v>
      </c>
      <c r="W611">
        <f t="shared" si="129"/>
        <v>0.32292817679999075</v>
      </c>
      <c r="X611" t="s">
        <v>1438</v>
      </c>
    </row>
    <row r="612" spans="1:24" x14ac:dyDescent="0.25">
      <c r="A612" t="s">
        <v>1928</v>
      </c>
      <c r="B612" t="s">
        <v>1932</v>
      </c>
      <c r="C612" t="s">
        <v>2004</v>
      </c>
      <c r="D612" t="s">
        <v>129</v>
      </c>
      <c r="E612" t="s">
        <v>22</v>
      </c>
      <c r="F612" t="s">
        <v>1</v>
      </c>
      <c r="G612" t="s">
        <v>612</v>
      </c>
      <c r="H612" t="s">
        <v>422</v>
      </c>
      <c r="I612" t="s">
        <v>1</v>
      </c>
      <c r="J612">
        <v>215.94</v>
      </c>
      <c r="K612">
        <v>258.74999999969998</v>
      </c>
      <c r="L612">
        <v>99.64</v>
      </c>
      <c r="M612">
        <v>200.93149171270719</v>
      </c>
      <c r="N612">
        <v>190.95</v>
      </c>
      <c r="O612">
        <v>200.93149171269999</v>
      </c>
      <c r="P612">
        <v>-201</v>
      </c>
      <c r="Q612">
        <f t="shared" si="125"/>
        <v>-6.8508287300005577E-2</v>
      </c>
      <c r="R612">
        <v>0</v>
      </c>
      <c r="S612">
        <f t="shared" si="126"/>
        <v>6.8508287300005577E-2</v>
      </c>
      <c r="T612">
        <v>3.5000000000000003E-2</v>
      </c>
      <c r="U612">
        <f t="shared" si="127"/>
        <v>0</v>
      </c>
      <c r="V612">
        <f t="shared" si="128"/>
        <v>0</v>
      </c>
      <c r="W612">
        <f t="shared" si="129"/>
        <v>6.8508287300005577E-2</v>
      </c>
      <c r="X612" t="s">
        <v>1438</v>
      </c>
    </row>
    <row r="613" spans="1:24" x14ac:dyDescent="0.25">
      <c r="A613" t="s">
        <v>1928</v>
      </c>
      <c r="B613" t="s">
        <v>1932</v>
      </c>
      <c r="C613" t="s">
        <v>2004</v>
      </c>
      <c r="D613" t="s">
        <v>129</v>
      </c>
      <c r="E613" t="s">
        <v>26</v>
      </c>
      <c r="F613" t="s">
        <v>1</v>
      </c>
      <c r="G613" t="s">
        <v>612</v>
      </c>
      <c r="H613" t="s">
        <v>426</v>
      </c>
      <c r="I613" t="s">
        <v>1</v>
      </c>
      <c r="J613"/>
      <c r="K613">
        <v>490.61918414759998</v>
      </c>
      <c r="L613">
        <v>0</v>
      </c>
      <c r="M613">
        <v>0</v>
      </c>
      <c r="N613">
        <v>0</v>
      </c>
      <c r="O613"/>
      <c r="P613">
        <v>1000</v>
      </c>
      <c r="Q613">
        <f t="shared" si="125"/>
        <v>1000</v>
      </c>
      <c r="R613">
        <v>1000</v>
      </c>
      <c r="S613">
        <f t="shared" si="126"/>
        <v>0</v>
      </c>
      <c r="T613"/>
      <c r="U613">
        <f t="shared" si="127"/>
        <v>0</v>
      </c>
      <c r="V613">
        <f t="shared" si="128"/>
        <v>1000</v>
      </c>
      <c r="W613">
        <f t="shared" si="129"/>
        <v>0</v>
      </c>
      <c r="X613" t="s">
        <v>1439</v>
      </c>
    </row>
    <row r="614" spans="1:24" x14ac:dyDescent="0.25">
      <c r="A614" t="s">
        <v>1928</v>
      </c>
      <c r="B614" t="s">
        <v>1932</v>
      </c>
      <c r="C614" t="s">
        <v>2004</v>
      </c>
      <c r="D614" t="s">
        <v>129</v>
      </c>
      <c r="E614" t="s">
        <v>28</v>
      </c>
      <c r="F614" t="s">
        <v>1</v>
      </c>
      <c r="G614" t="s">
        <v>612</v>
      </c>
      <c r="H614" t="s">
        <v>428</v>
      </c>
      <c r="I614" t="s">
        <v>1</v>
      </c>
      <c r="J614">
        <v>44.04</v>
      </c>
      <c r="K614">
        <v>90</v>
      </c>
      <c r="L614">
        <v>0</v>
      </c>
      <c r="M614">
        <v>0</v>
      </c>
      <c r="N614">
        <v>0</v>
      </c>
      <c r="O614"/>
      <c r="P614">
        <v>0</v>
      </c>
      <c r="Q614">
        <f t="shared" si="125"/>
        <v>0</v>
      </c>
      <c r="R614">
        <v>0</v>
      </c>
      <c r="S614">
        <f t="shared" si="126"/>
        <v>0</v>
      </c>
      <c r="T614"/>
      <c r="U614">
        <f t="shared" si="127"/>
        <v>0</v>
      </c>
      <c r="V614">
        <f t="shared" si="128"/>
        <v>0</v>
      </c>
      <c r="W614">
        <f t="shared" si="129"/>
        <v>0</v>
      </c>
      <c r="X614" t="s">
        <v>1438</v>
      </c>
    </row>
    <row r="615" spans="1:24" x14ac:dyDescent="0.25">
      <c r="A615" t="s">
        <v>1928</v>
      </c>
      <c r="B615" t="s">
        <v>1932</v>
      </c>
      <c r="C615" t="s">
        <v>2004</v>
      </c>
      <c r="D615" t="s">
        <v>129</v>
      </c>
      <c r="E615" t="s">
        <v>51</v>
      </c>
      <c r="F615" t="s">
        <v>51</v>
      </c>
      <c r="G615" t="s">
        <v>613</v>
      </c>
      <c r="H615"/>
      <c r="I615"/>
      <c r="J615">
        <v>449.12</v>
      </c>
      <c r="K615">
        <v>619.74918414729996</v>
      </c>
      <c r="L615">
        <v>64875.26</v>
      </c>
      <c r="M615">
        <v>130825.80055248618</v>
      </c>
      <c r="N615">
        <v>65114.079999999994</v>
      </c>
      <c r="O615">
        <v>129754.1085635359</v>
      </c>
      <c r="P615">
        <f>SUMIF($F$608:$F$614,"&lt;&gt;EV_*",$P$608:$P$614)</f>
        <v>-128754.5</v>
      </c>
      <c r="Q615">
        <f>SUMIF($F$608:$F$614,"&lt;&gt;EV_*",$Q$608:$Q$614)</f>
        <v>999.60856353589998</v>
      </c>
      <c r="R615">
        <f>SUMIF($F$608:$F$614,"&lt;&gt;EV_*",$R$608:$R$614)</f>
        <v>1000</v>
      </c>
      <c r="S615">
        <f>SUMIF($F$608:$F$614,"&lt;&gt;EV_*",$S$608:$S$614)</f>
        <v>0.39143646409999633</v>
      </c>
      <c r="T615">
        <v>0</v>
      </c>
      <c r="U615">
        <f>SUMIF($F$608:$F$614,"&lt;&gt;EV_*",$U$608:$U$614)</f>
        <v>0</v>
      </c>
      <c r="V615">
        <f>SUMIF($F$608:$F$614,"&lt;&gt;EV_*",$V$608:$V$614)</f>
        <v>1000</v>
      </c>
      <c r="W615">
        <f>SUMIF($F$608:$F$614,"&lt;&gt;EV_*",$W$608:$W$614)</f>
        <v>0.39143646409999633</v>
      </c>
      <c r="X615">
        <f>SUMIF($F$608:$F$614,"&lt;&gt;EV_*",$X$608:$X$614)</f>
        <v>0</v>
      </c>
    </row>
    <row r="616" spans="1:24" x14ac:dyDescent="0.25">
      <c r="A616" t="s">
        <v>1928</v>
      </c>
      <c r="B616" t="s">
        <v>1934</v>
      </c>
      <c r="C616" t="s">
        <v>2005</v>
      </c>
      <c r="D616" t="s">
        <v>130</v>
      </c>
      <c r="E616" t="s">
        <v>5</v>
      </c>
      <c r="F616" t="s">
        <v>5</v>
      </c>
      <c r="G616" t="s">
        <v>614</v>
      </c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</row>
    <row r="617" spans="1:24" x14ac:dyDescent="0.25">
      <c r="A617" t="s">
        <v>1928</v>
      </c>
      <c r="B617" t="s">
        <v>1934</v>
      </c>
      <c r="C617" t="s">
        <v>2005</v>
      </c>
      <c r="D617" t="s">
        <v>130</v>
      </c>
      <c r="E617" t="s">
        <v>17</v>
      </c>
      <c r="F617" t="s">
        <v>1</v>
      </c>
      <c r="G617" t="s">
        <v>615</v>
      </c>
      <c r="H617" t="s">
        <v>417</v>
      </c>
      <c r="I617" t="s">
        <v>1</v>
      </c>
      <c r="J617">
        <v>-57.03</v>
      </c>
      <c r="K617"/>
      <c r="L617">
        <v>0</v>
      </c>
      <c r="M617">
        <v>0</v>
      </c>
      <c r="N617">
        <v>-57.03</v>
      </c>
      <c r="O617"/>
      <c r="P617">
        <v>0</v>
      </c>
      <c r="Q617">
        <f t="shared" ref="Q617:Q630" si="130">O617+P617</f>
        <v>0</v>
      </c>
      <c r="R617">
        <v>-1880.0535164835001</v>
      </c>
      <c r="S617">
        <f t="shared" ref="S617:S630" si="131">IF(OR(LEFT(E617,2)="A_",LEFT(D617,5)="Total"),R617-Q617,"")</f>
        <v>-1880.0535164835001</v>
      </c>
      <c r="T617"/>
      <c r="U617">
        <f t="shared" ref="U617:U630" si="132">IFERROR(R617*T617,R617*0)</f>
        <v>0</v>
      </c>
      <c r="V617">
        <f t="shared" ref="V617:V630" si="133">IF(OR(LEFT(E617,2)="A_",LEFT(D617,5)="Total"),R617+U617,"")</f>
        <v>-1880.0535164835001</v>
      </c>
      <c r="W617">
        <f t="shared" ref="W617:W630" si="134">IF(OR(LEFT(E617,2)="A_",LEFT(D617,5)="Total"),V617-Q617,"")</f>
        <v>-1880.0535164835001</v>
      </c>
      <c r="X617">
        <v>0</v>
      </c>
    </row>
    <row r="618" spans="1:24" x14ac:dyDescent="0.25">
      <c r="A618" t="s">
        <v>1928</v>
      </c>
      <c r="B618" t="s">
        <v>1934</v>
      </c>
      <c r="C618" t="s">
        <v>2005</v>
      </c>
      <c r="D618" t="s">
        <v>130</v>
      </c>
      <c r="E618" t="s">
        <v>18</v>
      </c>
      <c r="F618" t="s">
        <v>1</v>
      </c>
      <c r="G618" t="s">
        <v>615</v>
      </c>
      <c r="H618" t="s">
        <v>418</v>
      </c>
      <c r="I618" t="s">
        <v>1</v>
      </c>
      <c r="J618">
        <v>11857.74</v>
      </c>
      <c r="K618">
        <v>18021.740296296299</v>
      </c>
      <c r="L618">
        <v>0</v>
      </c>
      <c r="M618">
        <v>0</v>
      </c>
      <c r="N618">
        <v>17.399999999999636</v>
      </c>
      <c r="O618"/>
      <c r="P618">
        <v>49280.995054945</v>
      </c>
      <c r="Q618">
        <f t="shared" si="130"/>
        <v>49280.995054945</v>
      </c>
      <c r="R618">
        <v>49280.995054945</v>
      </c>
      <c r="S618">
        <f t="shared" si="131"/>
        <v>0</v>
      </c>
      <c r="T618">
        <v>0.02</v>
      </c>
      <c r="U618">
        <f t="shared" si="132"/>
        <v>985.61990109890007</v>
      </c>
      <c r="V618">
        <f t="shared" si="133"/>
        <v>50266.614956043901</v>
      </c>
      <c r="W618">
        <f t="shared" si="134"/>
        <v>985.6199010989003</v>
      </c>
      <c r="X618" t="s">
        <v>1440</v>
      </c>
    </row>
    <row r="619" spans="1:24" x14ac:dyDescent="0.25">
      <c r="A619" t="s">
        <v>1928</v>
      </c>
      <c r="B619" t="s">
        <v>1934</v>
      </c>
      <c r="C619" t="s">
        <v>2005</v>
      </c>
      <c r="D619" t="s">
        <v>130</v>
      </c>
      <c r="E619" t="s">
        <v>19</v>
      </c>
      <c r="F619" t="s">
        <v>1</v>
      </c>
      <c r="G619" t="s">
        <v>615</v>
      </c>
      <c r="H619" t="s">
        <v>419</v>
      </c>
      <c r="I619" t="s">
        <v>1</v>
      </c>
      <c r="J619"/>
      <c r="K619"/>
      <c r="L619">
        <v>310.95</v>
      </c>
      <c r="M619">
        <v>627.05386740331483</v>
      </c>
      <c r="N619">
        <v>310.95</v>
      </c>
      <c r="O619">
        <v>625.31703296700005</v>
      </c>
      <c r="P619">
        <v>0</v>
      </c>
      <c r="Q619">
        <f t="shared" si="130"/>
        <v>625.31703296700005</v>
      </c>
      <c r="R619">
        <v>625.31703296700005</v>
      </c>
      <c r="S619">
        <f t="shared" si="131"/>
        <v>0</v>
      </c>
      <c r="T619">
        <v>0.02</v>
      </c>
      <c r="U619">
        <f t="shared" si="132"/>
        <v>12.506340659340001</v>
      </c>
      <c r="V619">
        <f t="shared" si="133"/>
        <v>637.82337362634007</v>
      </c>
      <c r="W619">
        <f t="shared" si="134"/>
        <v>12.506340659340026</v>
      </c>
      <c r="X619">
        <v>0</v>
      </c>
    </row>
    <row r="620" spans="1:24" x14ac:dyDescent="0.25">
      <c r="A620" t="s">
        <v>1928</v>
      </c>
      <c r="B620" t="s">
        <v>1934</v>
      </c>
      <c r="C620" t="s">
        <v>2005</v>
      </c>
      <c r="D620" t="s">
        <v>130</v>
      </c>
      <c r="E620" t="s">
        <v>20</v>
      </c>
      <c r="F620" t="s">
        <v>1</v>
      </c>
      <c r="G620" t="s">
        <v>615</v>
      </c>
      <c r="H620" t="s">
        <v>420</v>
      </c>
      <c r="I620" t="s">
        <v>1</v>
      </c>
      <c r="J620">
        <v>94.94</v>
      </c>
      <c r="K620"/>
      <c r="L620">
        <v>0</v>
      </c>
      <c r="M620">
        <v>0</v>
      </c>
      <c r="N620">
        <v>94.94</v>
      </c>
      <c r="O620"/>
      <c r="P620">
        <v>2894.6578021977998</v>
      </c>
      <c r="Q620">
        <f t="shared" si="130"/>
        <v>2894.6578021977998</v>
      </c>
      <c r="R620">
        <v>2894.6578021977998</v>
      </c>
      <c r="S620">
        <f t="shared" si="131"/>
        <v>0</v>
      </c>
      <c r="T620">
        <v>0.04</v>
      </c>
      <c r="U620">
        <f t="shared" si="132"/>
        <v>115.78631208791199</v>
      </c>
      <c r="V620">
        <f t="shared" si="133"/>
        <v>3010.4441142857117</v>
      </c>
      <c r="W620">
        <f t="shared" si="134"/>
        <v>115.78631208791194</v>
      </c>
      <c r="X620" t="s">
        <v>1440</v>
      </c>
    </row>
    <row r="621" spans="1:24" x14ac:dyDescent="0.25">
      <c r="A621" t="s">
        <v>1928</v>
      </c>
      <c r="B621" t="s">
        <v>1934</v>
      </c>
      <c r="C621" t="s">
        <v>2005</v>
      </c>
      <c r="D621" t="s">
        <v>130</v>
      </c>
      <c r="E621" t="s">
        <v>21</v>
      </c>
      <c r="F621" t="s">
        <v>1</v>
      </c>
      <c r="G621" t="s">
        <v>615</v>
      </c>
      <c r="H621" t="s">
        <v>421</v>
      </c>
      <c r="I621" t="s">
        <v>1</v>
      </c>
      <c r="J621">
        <v>491.74</v>
      </c>
      <c r="K621">
        <v>463.78999999989998</v>
      </c>
      <c r="L621">
        <v>67.02</v>
      </c>
      <c r="M621">
        <v>135.15082872928176</v>
      </c>
      <c r="N621">
        <v>329</v>
      </c>
      <c r="O621">
        <v>135.1508287293</v>
      </c>
      <c r="P621">
        <v>0</v>
      </c>
      <c r="Q621">
        <f t="shared" si="130"/>
        <v>135.1508287293</v>
      </c>
      <c r="R621">
        <v>135.1508287293</v>
      </c>
      <c r="S621">
        <f t="shared" si="131"/>
        <v>0</v>
      </c>
      <c r="T621">
        <v>0.03</v>
      </c>
      <c r="U621">
        <f t="shared" si="132"/>
        <v>4.054524861879</v>
      </c>
      <c r="V621">
        <f t="shared" si="133"/>
        <v>139.205353591179</v>
      </c>
      <c r="W621">
        <f t="shared" si="134"/>
        <v>4.0545248618790026</v>
      </c>
      <c r="X621">
        <v>0</v>
      </c>
    </row>
    <row r="622" spans="1:24" x14ac:dyDescent="0.25">
      <c r="A622" t="s">
        <v>1928</v>
      </c>
      <c r="B622" t="s">
        <v>1934</v>
      </c>
      <c r="C622" t="s">
        <v>2005</v>
      </c>
      <c r="D622" t="s">
        <v>130</v>
      </c>
      <c r="E622" t="s">
        <v>22</v>
      </c>
      <c r="F622" t="s">
        <v>1</v>
      </c>
      <c r="G622" t="s">
        <v>615</v>
      </c>
      <c r="H622" t="s">
        <v>422</v>
      </c>
      <c r="I622" t="s">
        <v>1</v>
      </c>
      <c r="J622">
        <v>13059.59</v>
      </c>
      <c r="K622">
        <v>9967.0500000000993</v>
      </c>
      <c r="L622">
        <v>3469.08</v>
      </c>
      <c r="M622">
        <v>6995.6585635359115</v>
      </c>
      <c r="N622">
        <v>11715.24</v>
      </c>
      <c r="O622">
        <v>6995.6585635358997</v>
      </c>
      <c r="P622">
        <v>0</v>
      </c>
      <c r="Q622">
        <f t="shared" si="130"/>
        <v>6995.6585635358997</v>
      </c>
      <c r="R622">
        <v>6996</v>
      </c>
      <c r="S622">
        <f t="shared" si="131"/>
        <v>0.3414364641002976</v>
      </c>
      <c r="T622">
        <v>3.5000000000000003E-2</v>
      </c>
      <c r="U622">
        <f t="shared" si="132"/>
        <v>244.86</v>
      </c>
      <c r="V622">
        <f t="shared" si="133"/>
        <v>7240.86</v>
      </c>
      <c r="W622">
        <f t="shared" si="134"/>
        <v>245.20143646409997</v>
      </c>
      <c r="X622">
        <v>0</v>
      </c>
    </row>
    <row r="623" spans="1:24" x14ac:dyDescent="0.25">
      <c r="A623" t="s">
        <v>1928</v>
      </c>
      <c r="B623" t="s">
        <v>1934</v>
      </c>
      <c r="C623" t="s">
        <v>2005</v>
      </c>
      <c r="D623" t="s">
        <v>130</v>
      </c>
      <c r="E623" t="s">
        <v>23</v>
      </c>
      <c r="F623" t="s">
        <v>1</v>
      </c>
      <c r="G623" t="s">
        <v>615</v>
      </c>
      <c r="H623" t="s">
        <v>423</v>
      </c>
      <c r="I623" t="s">
        <v>1</v>
      </c>
      <c r="J623">
        <v>131.79</v>
      </c>
      <c r="K623"/>
      <c r="L623">
        <v>0</v>
      </c>
      <c r="M623">
        <v>0</v>
      </c>
      <c r="N623">
        <v>131.79</v>
      </c>
      <c r="O623"/>
      <c r="P623">
        <v>794.61104972379997</v>
      </c>
      <c r="Q623">
        <f t="shared" si="130"/>
        <v>794.61104972379997</v>
      </c>
      <c r="R623">
        <v>794.61104972379997</v>
      </c>
      <c r="S623">
        <f t="shared" si="131"/>
        <v>0</v>
      </c>
      <c r="T623">
        <v>3.5000000000000003E-2</v>
      </c>
      <c r="U623">
        <f t="shared" si="132"/>
        <v>27.811386740333003</v>
      </c>
      <c r="V623">
        <f t="shared" si="133"/>
        <v>822.42243646413294</v>
      </c>
      <c r="W623">
        <f t="shared" si="134"/>
        <v>27.811386740332978</v>
      </c>
      <c r="X623" t="s">
        <v>1440</v>
      </c>
    </row>
    <row r="624" spans="1:24" x14ac:dyDescent="0.25">
      <c r="A624" t="s">
        <v>1928</v>
      </c>
      <c r="B624" t="s">
        <v>1934</v>
      </c>
      <c r="C624" t="s">
        <v>2005</v>
      </c>
      <c r="D624" t="s">
        <v>130</v>
      </c>
      <c r="E624" t="s">
        <v>26</v>
      </c>
      <c r="F624" t="s">
        <v>1</v>
      </c>
      <c r="G624" t="s">
        <v>615</v>
      </c>
      <c r="H624" t="s">
        <v>426</v>
      </c>
      <c r="I624" t="s">
        <v>1</v>
      </c>
      <c r="J624">
        <v>679</v>
      </c>
      <c r="K624">
        <v>981.23836829519996</v>
      </c>
      <c r="L624">
        <v>303</v>
      </c>
      <c r="M624">
        <v>611.02209944751382</v>
      </c>
      <c r="N624">
        <v>303</v>
      </c>
      <c r="O624">
        <v>606</v>
      </c>
      <c r="P624">
        <v>3894</v>
      </c>
      <c r="Q624">
        <f t="shared" si="130"/>
        <v>4500</v>
      </c>
      <c r="R624">
        <v>4500</v>
      </c>
      <c r="S624">
        <f t="shared" si="131"/>
        <v>0</v>
      </c>
      <c r="T624"/>
      <c r="U624">
        <f t="shared" si="132"/>
        <v>0</v>
      </c>
      <c r="V624">
        <f t="shared" si="133"/>
        <v>4500</v>
      </c>
      <c r="W624">
        <f t="shared" si="134"/>
        <v>0</v>
      </c>
      <c r="X624" t="s">
        <v>1441</v>
      </c>
    </row>
    <row r="625" spans="1:24" x14ac:dyDescent="0.25">
      <c r="A625" t="s">
        <v>1928</v>
      </c>
      <c r="B625" t="s">
        <v>1934</v>
      </c>
      <c r="C625" t="s">
        <v>2005</v>
      </c>
      <c r="D625" t="s">
        <v>130</v>
      </c>
      <c r="E625" t="s">
        <v>28</v>
      </c>
      <c r="F625" t="s">
        <v>1</v>
      </c>
      <c r="G625" t="s">
        <v>615</v>
      </c>
      <c r="H625" t="s">
        <v>428</v>
      </c>
      <c r="I625" t="s">
        <v>1</v>
      </c>
      <c r="J625">
        <v>21719.360000000001</v>
      </c>
      <c r="K625">
        <v>16269.9999999996</v>
      </c>
      <c r="L625">
        <v>10635.81</v>
      </c>
      <c r="M625">
        <v>21447.904143646407</v>
      </c>
      <c r="N625">
        <v>28502.57</v>
      </c>
      <c r="O625">
        <v>21271.62</v>
      </c>
      <c r="P625">
        <v>98</v>
      </c>
      <c r="Q625">
        <f t="shared" si="130"/>
        <v>21369.62</v>
      </c>
      <c r="R625">
        <v>21370</v>
      </c>
      <c r="S625">
        <f t="shared" si="131"/>
        <v>0.38000000000101863</v>
      </c>
      <c r="T625"/>
      <c r="U625">
        <f t="shared" si="132"/>
        <v>0</v>
      </c>
      <c r="V625">
        <f t="shared" si="133"/>
        <v>21370</v>
      </c>
      <c r="W625">
        <f t="shared" si="134"/>
        <v>0.38000000000101863</v>
      </c>
      <c r="X625" t="s">
        <v>1442</v>
      </c>
    </row>
    <row r="626" spans="1:24" x14ac:dyDescent="0.25">
      <c r="A626" t="s">
        <v>1928</v>
      </c>
      <c r="B626" t="s">
        <v>1934</v>
      </c>
      <c r="C626" t="s">
        <v>2005</v>
      </c>
      <c r="D626" t="s">
        <v>130</v>
      </c>
      <c r="E626" t="s">
        <v>33</v>
      </c>
      <c r="F626" t="s">
        <v>1</v>
      </c>
      <c r="G626" t="s">
        <v>615</v>
      </c>
      <c r="H626" t="s">
        <v>433</v>
      </c>
      <c r="I626" t="s">
        <v>1</v>
      </c>
      <c r="J626"/>
      <c r="K626">
        <v>245.30959207320001</v>
      </c>
      <c r="L626">
        <v>0</v>
      </c>
      <c r="M626">
        <v>0</v>
      </c>
      <c r="N626">
        <v>0</v>
      </c>
      <c r="O626"/>
      <c r="P626">
        <v>500</v>
      </c>
      <c r="Q626">
        <f t="shared" si="130"/>
        <v>500</v>
      </c>
      <c r="R626">
        <v>500</v>
      </c>
      <c r="S626">
        <f t="shared" si="131"/>
        <v>0</v>
      </c>
      <c r="T626"/>
      <c r="U626">
        <f t="shared" si="132"/>
        <v>0</v>
      </c>
      <c r="V626">
        <f t="shared" si="133"/>
        <v>500</v>
      </c>
      <c r="W626">
        <f t="shared" si="134"/>
        <v>0</v>
      </c>
      <c r="X626" t="s">
        <v>1422</v>
      </c>
    </row>
    <row r="627" spans="1:24" x14ac:dyDescent="0.25">
      <c r="A627" t="s">
        <v>1928</v>
      </c>
      <c r="B627" t="s">
        <v>1934</v>
      </c>
      <c r="C627" t="s">
        <v>2005</v>
      </c>
      <c r="D627" t="s">
        <v>130</v>
      </c>
      <c r="E627" t="s">
        <v>37</v>
      </c>
      <c r="F627" t="s">
        <v>1</v>
      </c>
      <c r="G627" t="s">
        <v>615</v>
      </c>
      <c r="H627" t="s">
        <v>437</v>
      </c>
      <c r="I627" t="s">
        <v>1</v>
      </c>
      <c r="J627"/>
      <c r="K627">
        <v>1471.8575524416001</v>
      </c>
      <c r="L627">
        <v>78</v>
      </c>
      <c r="M627">
        <v>157.29281767955803</v>
      </c>
      <c r="N627">
        <v>78</v>
      </c>
      <c r="O627">
        <v>156</v>
      </c>
      <c r="P627">
        <v>-156</v>
      </c>
      <c r="Q627">
        <f t="shared" si="130"/>
        <v>0</v>
      </c>
      <c r="R627">
        <v>0</v>
      </c>
      <c r="S627">
        <f t="shared" si="131"/>
        <v>0</v>
      </c>
      <c r="T627"/>
      <c r="U627">
        <f t="shared" si="132"/>
        <v>0</v>
      </c>
      <c r="V627">
        <f t="shared" si="133"/>
        <v>0</v>
      </c>
      <c r="W627">
        <f t="shared" si="134"/>
        <v>0</v>
      </c>
      <c r="X627" t="s">
        <v>1443</v>
      </c>
    </row>
    <row r="628" spans="1:24" x14ac:dyDescent="0.25">
      <c r="A628" t="s">
        <v>1928</v>
      </c>
      <c r="B628" t="s">
        <v>1934</v>
      </c>
      <c r="C628" t="s">
        <v>2005</v>
      </c>
      <c r="D628" t="s">
        <v>130</v>
      </c>
      <c r="E628" t="s">
        <v>41</v>
      </c>
      <c r="F628" t="s">
        <v>1</v>
      </c>
      <c r="G628" t="s">
        <v>615</v>
      </c>
      <c r="H628" t="s">
        <v>441</v>
      </c>
      <c r="I628" t="s">
        <v>1</v>
      </c>
      <c r="J628">
        <v>39.99</v>
      </c>
      <c r="K628">
        <v>42.230000000399997</v>
      </c>
      <c r="L628">
        <v>22.58</v>
      </c>
      <c r="M628">
        <v>45.534254143646407</v>
      </c>
      <c r="N628">
        <v>62.569999999999993</v>
      </c>
      <c r="O628">
        <v>45.16</v>
      </c>
      <c r="P628">
        <v>445</v>
      </c>
      <c r="Q628">
        <f t="shared" si="130"/>
        <v>490.15999999999997</v>
      </c>
      <c r="R628">
        <v>490</v>
      </c>
      <c r="S628">
        <f t="shared" si="131"/>
        <v>-0.15999999999996817</v>
      </c>
      <c r="T628">
        <v>0.03</v>
      </c>
      <c r="U628">
        <f t="shared" si="132"/>
        <v>14.7</v>
      </c>
      <c r="V628">
        <f t="shared" si="133"/>
        <v>504.7</v>
      </c>
      <c r="W628">
        <f t="shared" si="134"/>
        <v>14.54000000000002</v>
      </c>
      <c r="X628" t="s">
        <v>1444</v>
      </c>
    </row>
    <row r="629" spans="1:24" x14ac:dyDescent="0.25">
      <c r="A629" t="s">
        <v>1928</v>
      </c>
      <c r="B629" t="s">
        <v>1934</v>
      </c>
      <c r="C629" t="s">
        <v>2005</v>
      </c>
      <c r="D629" t="s">
        <v>130</v>
      </c>
      <c r="E629" t="s">
        <v>47</v>
      </c>
      <c r="F629" t="s">
        <v>1</v>
      </c>
      <c r="G629" t="s">
        <v>615</v>
      </c>
      <c r="H629" t="s">
        <v>447</v>
      </c>
      <c r="I629" t="s">
        <v>1</v>
      </c>
      <c r="J629"/>
      <c r="K629">
        <v>609.99999999960005</v>
      </c>
      <c r="L629">
        <v>210</v>
      </c>
      <c r="M629">
        <v>423.48066298342536</v>
      </c>
      <c r="N629">
        <v>210</v>
      </c>
      <c r="O629">
        <v>420</v>
      </c>
      <c r="P629">
        <v>-420</v>
      </c>
      <c r="Q629">
        <f t="shared" si="130"/>
        <v>0</v>
      </c>
      <c r="R629">
        <v>0</v>
      </c>
      <c r="S629">
        <f t="shared" si="131"/>
        <v>0</v>
      </c>
      <c r="T629">
        <v>0.03</v>
      </c>
      <c r="U629">
        <f t="shared" si="132"/>
        <v>0</v>
      </c>
      <c r="V629">
        <f t="shared" si="133"/>
        <v>0</v>
      </c>
      <c r="W629">
        <f t="shared" si="134"/>
        <v>0</v>
      </c>
      <c r="X629" t="s">
        <v>1445</v>
      </c>
    </row>
    <row r="630" spans="1:24" x14ac:dyDescent="0.25">
      <c r="A630" t="s">
        <v>1928</v>
      </c>
      <c r="B630" t="s">
        <v>1934</v>
      </c>
      <c r="C630" t="s">
        <v>2005</v>
      </c>
      <c r="D630" t="s">
        <v>130</v>
      </c>
      <c r="E630" t="s">
        <v>50</v>
      </c>
      <c r="F630" t="s">
        <v>1</v>
      </c>
      <c r="G630" t="s">
        <v>615</v>
      </c>
      <c r="H630" t="s">
        <v>450</v>
      </c>
      <c r="I630" t="s">
        <v>1</v>
      </c>
      <c r="J630">
        <v>721.08</v>
      </c>
      <c r="K630">
        <v>689.99999999960005</v>
      </c>
      <c r="L630">
        <v>393.18</v>
      </c>
      <c r="M630">
        <v>792.87679558011064</v>
      </c>
      <c r="N630">
        <v>786.33999999999992</v>
      </c>
      <c r="O630">
        <v>792.87679558009995</v>
      </c>
      <c r="P630">
        <v>0</v>
      </c>
      <c r="Q630">
        <f t="shared" si="130"/>
        <v>792.87679558009995</v>
      </c>
      <c r="R630">
        <v>793</v>
      </c>
      <c r="S630">
        <f t="shared" si="131"/>
        <v>0.12320441990004838</v>
      </c>
      <c r="T630"/>
      <c r="U630">
        <f t="shared" si="132"/>
        <v>0</v>
      </c>
      <c r="V630">
        <f t="shared" si="133"/>
        <v>793</v>
      </c>
      <c r="W630">
        <f t="shared" si="134"/>
        <v>0.12320441990004838</v>
      </c>
      <c r="X630">
        <v>0</v>
      </c>
    </row>
    <row r="631" spans="1:24" x14ac:dyDescent="0.25">
      <c r="A631" t="s">
        <v>1928</v>
      </c>
      <c r="B631" t="s">
        <v>1934</v>
      </c>
      <c r="C631" t="s">
        <v>2005</v>
      </c>
      <c r="D631" t="s">
        <v>130</v>
      </c>
      <c r="E631" t="s">
        <v>51</v>
      </c>
      <c r="F631" t="s">
        <v>51</v>
      </c>
      <c r="G631" t="s">
        <v>616</v>
      </c>
      <c r="H631"/>
      <c r="I631"/>
      <c r="J631">
        <v>48738.200000000004</v>
      </c>
      <c r="K631">
        <v>48763.215809105503</v>
      </c>
      <c r="L631">
        <v>15489.619999999999</v>
      </c>
      <c r="M631">
        <v>31235.97403314917</v>
      </c>
      <c r="N631">
        <v>42484.77</v>
      </c>
      <c r="O631">
        <v>31047.7832208123</v>
      </c>
      <c r="P631">
        <f>SUMIF($F$616:$F$630,"&lt;&gt;EV_*",$P$616:$P$630)</f>
        <v>57331.263906866596</v>
      </c>
      <c r="Q631">
        <f>SUMIF($F$616:$F$630,"&lt;&gt;EV_*",$Q$616:$Q$630)</f>
        <v>88379.047127678903</v>
      </c>
      <c r="R631">
        <f>SUMIF($F$616:$F$630,"&lt;&gt;EV_*",$R$616:$R$630)</f>
        <v>86499.678252079408</v>
      </c>
      <c r="S631">
        <f>SUMIF($F$616:$F$630,"&lt;&gt;EV_*",$S$616:$S$630)</f>
        <v>-1879.3688755994986</v>
      </c>
      <c r="T631">
        <v>0</v>
      </c>
      <c r="U631">
        <f>SUMIF($F$616:$F$630,"&lt;&gt;EV_*",$U$616:$U$630)</f>
        <v>1405.3384654483641</v>
      </c>
      <c r="V631">
        <f>SUMIF($F$616:$F$630,"&lt;&gt;EV_*",$V$616:$V$630)</f>
        <v>87905.01671752776</v>
      </c>
      <c r="W631">
        <f>SUMIF($F$616:$F$630,"&lt;&gt;EV_*",$W$616:$W$630)</f>
        <v>-474.03041015113473</v>
      </c>
      <c r="X631">
        <f>SUMIF($F$616:$F$630,"&lt;&gt;EV_*",$X$616:$X$630)</f>
        <v>0</v>
      </c>
    </row>
    <row r="632" spans="1:24" x14ac:dyDescent="0.25">
      <c r="A632" t="s">
        <v>1928</v>
      </c>
      <c r="B632" t="s">
        <v>1936</v>
      </c>
      <c r="C632" t="s">
        <v>2006</v>
      </c>
      <c r="D632" t="s">
        <v>131</v>
      </c>
      <c r="E632" t="s">
        <v>5</v>
      </c>
      <c r="F632" t="s">
        <v>5</v>
      </c>
      <c r="G632" t="s">
        <v>617</v>
      </c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</row>
    <row r="633" spans="1:24" x14ac:dyDescent="0.25">
      <c r="A633" t="s">
        <v>1928</v>
      </c>
      <c r="B633" t="s">
        <v>1936</v>
      </c>
      <c r="C633" t="s">
        <v>2006</v>
      </c>
      <c r="D633" t="s">
        <v>131</v>
      </c>
      <c r="E633" t="s">
        <v>6</v>
      </c>
      <c r="F633" t="s">
        <v>1</v>
      </c>
      <c r="G633" t="s">
        <v>618</v>
      </c>
      <c r="H633" t="s">
        <v>406</v>
      </c>
      <c r="I633" t="s">
        <v>1</v>
      </c>
      <c r="J633">
        <v>272.88</v>
      </c>
      <c r="K633">
        <v>18000</v>
      </c>
      <c r="L633">
        <v>0</v>
      </c>
      <c r="M633">
        <v>0</v>
      </c>
      <c r="N633">
        <v>272.88</v>
      </c>
      <c r="O633"/>
      <c r="P633">
        <v>18000</v>
      </c>
      <c r="Q633">
        <f t="shared" ref="Q633:Q653" si="135">O633+P633</f>
        <v>18000</v>
      </c>
      <c r="R633">
        <v>18000</v>
      </c>
      <c r="S633">
        <f t="shared" ref="S633:S653" si="136">IF(OR(LEFT(E633,2)="A_",LEFT(D633,5)="Total"),R633-Q633,"")</f>
        <v>0</v>
      </c>
      <c r="T633"/>
      <c r="U633">
        <f t="shared" ref="U633:U653" si="137">IFERROR(R633*T633,R633*0)</f>
        <v>0</v>
      </c>
      <c r="V633">
        <f t="shared" ref="V633:V653" si="138">IF(OR(LEFT(E633,2)="A_",LEFT(D633,5)="Total"),R633+U633,"")</f>
        <v>18000</v>
      </c>
      <c r="W633">
        <f t="shared" ref="W633:W653" si="139">IF(OR(LEFT(E633,2)="A_",LEFT(D633,5)="Total"),V633-Q633,"")</f>
        <v>0</v>
      </c>
      <c r="X633" t="s">
        <v>1446</v>
      </c>
    </row>
    <row r="634" spans="1:24" x14ac:dyDescent="0.25">
      <c r="A634" t="s">
        <v>1928</v>
      </c>
      <c r="B634" t="s">
        <v>1936</v>
      </c>
      <c r="C634" t="s">
        <v>2006</v>
      </c>
      <c r="D634" t="s">
        <v>131</v>
      </c>
      <c r="E634" t="s">
        <v>8</v>
      </c>
      <c r="F634" t="s">
        <v>1</v>
      </c>
      <c r="G634" t="s">
        <v>618</v>
      </c>
      <c r="H634" t="s">
        <v>408</v>
      </c>
      <c r="I634" t="s">
        <v>1</v>
      </c>
      <c r="J634">
        <v>351</v>
      </c>
      <c r="K634">
        <v>707.81767955800001</v>
      </c>
      <c r="L634">
        <v>0</v>
      </c>
      <c r="M634">
        <v>0</v>
      </c>
      <c r="N634">
        <v>0</v>
      </c>
      <c r="O634"/>
      <c r="P634">
        <v>0</v>
      </c>
      <c r="Q634">
        <f t="shared" si="135"/>
        <v>0</v>
      </c>
      <c r="R634">
        <v>0</v>
      </c>
      <c r="S634">
        <f t="shared" si="136"/>
        <v>0</v>
      </c>
      <c r="T634"/>
      <c r="U634">
        <f t="shared" si="137"/>
        <v>0</v>
      </c>
      <c r="V634">
        <f t="shared" si="138"/>
        <v>0</v>
      </c>
      <c r="W634">
        <f t="shared" si="139"/>
        <v>0</v>
      </c>
      <c r="X634">
        <v>0</v>
      </c>
    </row>
    <row r="635" spans="1:24" x14ac:dyDescent="0.25">
      <c r="A635" t="s">
        <v>1928</v>
      </c>
      <c r="B635" t="s">
        <v>1936</v>
      </c>
      <c r="C635" t="s">
        <v>2006</v>
      </c>
      <c r="D635" t="s">
        <v>131</v>
      </c>
      <c r="E635" t="s">
        <v>12</v>
      </c>
      <c r="F635" t="s">
        <v>1</v>
      </c>
      <c r="G635" t="s">
        <v>618</v>
      </c>
      <c r="H635" t="s">
        <v>412</v>
      </c>
      <c r="I635" t="s">
        <v>1</v>
      </c>
      <c r="J635"/>
      <c r="K635"/>
      <c r="L635">
        <v>527.72</v>
      </c>
      <c r="M635">
        <v>1064.1867403314918</v>
      </c>
      <c r="N635">
        <v>527.72</v>
      </c>
      <c r="O635">
        <v>1055.44</v>
      </c>
      <c r="P635">
        <v>28945</v>
      </c>
      <c r="Q635">
        <f t="shared" si="135"/>
        <v>30000.44</v>
      </c>
      <c r="R635">
        <v>30000</v>
      </c>
      <c r="S635">
        <f t="shared" si="136"/>
        <v>-0.43999999999869033</v>
      </c>
      <c r="T635"/>
      <c r="U635">
        <f t="shared" si="137"/>
        <v>0</v>
      </c>
      <c r="V635">
        <f t="shared" si="138"/>
        <v>30000</v>
      </c>
      <c r="W635">
        <f t="shared" si="139"/>
        <v>-0.43999999999869033</v>
      </c>
      <c r="X635" t="s">
        <v>1447</v>
      </c>
    </row>
    <row r="636" spans="1:24" x14ac:dyDescent="0.25">
      <c r="A636" t="s">
        <v>1928</v>
      </c>
      <c r="B636" t="s">
        <v>1936</v>
      </c>
      <c r="C636" t="s">
        <v>2006</v>
      </c>
      <c r="D636" t="s">
        <v>131</v>
      </c>
      <c r="E636" t="s">
        <v>18</v>
      </c>
      <c r="F636" t="s">
        <v>1</v>
      </c>
      <c r="G636" t="s">
        <v>618</v>
      </c>
      <c r="H636" t="s">
        <v>418</v>
      </c>
      <c r="I636" t="s">
        <v>1</v>
      </c>
      <c r="J636">
        <v>70.489999999999995</v>
      </c>
      <c r="K636"/>
      <c r="L636">
        <v>0</v>
      </c>
      <c r="M636">
        <v>0</v>
      </c>
      <c r="N636">
        <v>70.489999999999995</v>
      </c>
      <c r="O636"/>
      <c r="P636">
        <v>0</v>
      </c>
      <c r="Q636">
        <f t="shared" si="135"/>
        <v>0</v>
      </c>
      <c r="R636">
        <v>0</v>
      </c>
      <c r="S636">
        <f t="shared" si="136"/>
        <v>0</v>
      </c>
      <c r="T636">
        <v>0.02</v>
      </c>
      <c r="U636">
        <f t="shared" si="137"/>
        <v>0</v>
      </c>
      <c r="V636">
        <f t="shared" si="138"/>
        <v>0</v>
      </c>
      <c r="W636">
        <f t="shared" si="139"/>
        <v>0</v>
      </c>
      <c r="X636">
        <v>0</v>
      </c>
    </row>
    <row r="637" spans="1:24" x14ac:dyDescent="0.25">
      <c r="A637" t="s">
        <v>1928</v>
      </c>
      <c r="B637" t="s">
        <v>1936</v>
      </c>
      <c r="C637" t="s">
        <v>2006</v>
      </c>
      <c r="D637" t="s">
        <v>131</v>
      </c>
      <c r="E637" t="s">
        <v>21</v>
      </c>
      <c r="F637" t="s">
        <v>1</v>
      </c>
      <c r="G637" t="s">
        <v>618</v>
      </c>
      <c r="H637" t="s">
        <v>421</v>
      </c>
      <c r="I637" t="s">
        <v>1</v>
      </c>
      <c r="J637"/>
      <c r="K637">
        <v>-72.060000000100004</v>
      </c>
      <c r="L637">
        <v>0</v>
      </c>
      <c r="M637">
        <v>0</v>
      </c>
      <c r="N637">
        <v>0</v>
      </c>
      <c r="O637"/>
      <c r="P637">
        <v>0</v>
      </c>
      <c r="Q637">
        <f t="shared" si="135"/>
        <v>0</v>
      </c>
      <c r="R637">
        <v>0</v>
      </c>
      <c r="S637">
        <f t="shared" si="136"/>
        <v>0</v>
      </c>
      <c r="T637">
        <v>0.03</v>
      </c>
      <c r="U637">
        <f t="shared" si="137"/>
        <v>0</v>
      </c>
      <c r="V637">
        <f t="shared" si="138"/>
        <v>0</v>
      </c>
      <c r="W637">
        <f t="shared" si="139"/>
        <v>0</v>
      </c>
      <c r="X637">
        <v>0</v>
      </c>
    </row>
    <row r="638" spans="1:24" x14ac:dyDescent="0.25">
      <c r="A638" t="s">
        <v>1928</v>
      </c>
      <c r="B638" t="s">
        <v>1936</v>
      </c>
      <c r="C638" t="s">
        <v>2006</v>
      </c>
      <c r="D638" t="s">
        <v>131</v>
      </c>
      <c r="E638" t="s">
        <v>22</v>
      </c>
      <c r="F638" t="s">
        <v>1</v>
      </c>
      <c r="G638" t="s">
        <v>618</v>
      </c>
      <c r="H638" t="s">
        <v>422</v>
      </c>
      <c r="I638" t="s">
        <v>1</v>
      </c>
      <c r="J638">
        <v>886.83</v>
      </c>
      <c r="K638">
        <v>714.14999999990005</v>
      </c>
      <c r="L638">
        <v>98.94</v>
      </c>
      <c r="M638">
        <v>199.51988950276245</v>
      </c>
      <c r="N638">
        <v>639.36999999999989</v>
      </c>
      <c r="O638">
        <v>199.5198895028</v>
      </c>
      <c r="P638">
        <v>525</v>
      </c>
      <c r="Q638">
        <f t="shared" si="135"/>
        <v>724.51988950279997</v>
      </c>
      <c r="R638">
        <v>725</v>
      </c>
      <c r="S638">
        <f t="shared" si="136"/>
        <v>0.4801104972000303</v>
      </c>
      <c r="T638">
        <v>3.5000000000000003E-2</v>
      </c>
      <c r="U638">
        <f t="shared" si="137"/>
        <v>25.375000000000004</v>
      </c>
      <c r="V638">
        <f t="shared" si="138"/>
        <v>750.375</v>
      </c>
      <c r="W638">
        <f t="shared" si="139"/>
        <v>25.85511049720003</v>
      </c>
      <c r="X638" t="s">
        <v>1448</v>
      </c>
    </row>
    <row r="639" spans="1:24" x14ac:dyDescent="0.25">
      <c r="A639" t="s">
        <v>1928</v>
      </c>
      <c r="B639" t="s">
        <v>1936</v>
      </c>
      <c r="C639" t="s">
        <v>2006</v>
      </c>
      <c r="D639" t="s">
        <v>131</v>
      </c>
      <c r="E639" t="s">
        <v>23</v>
      </c>
      <c r="F639" t="s">
        <v>1</v>
      </c>
      <c r="G639" t="s">
        <v>618</v>
      </c>
      <c r="H639" t="s">
        <v>423</v>
      </c>
      <c r="I639" t="s">
        <v>1</v>
      </c>
      <c r="J639">
        <v>372.49</v>
      </c>
      <c r="K639">
        <v>765.9</v>
      </c>
      <c r="L639">
        <v>0</v>
      </c>
      <c r="M639">
        <v>0</v>
      </c>
      <c r="N639">
        <v>0</v>
      </c>
      <c r="O639"/>
      <c r="P639">
        <v>0</v>
      </c>
      <c r="Q639">
        <f t="shared" si="135"/>
        <v>0</v>
      </c>
      <c r="R639">
        <v>0</v>
      </c>
      <c r="S639">
        <f t="shared" si="136"/>
        <v>0</v>
      </c>
      <c r="T639">
        <v>3.5000000000000003E-2</v>
      </c>
      <c r="U639">
        <f t="shared" si="137"/>
        <v>0</v>
      </c>
      <c r="V639">
        <f t="shared" si="138"/>
        <v>0</v>
      </c>
      <c r="W639">
        <f t="shared" si="139"/>
        <v>0</v>
      </c>
      <c r="X639">
        <v>0</v>
      </c>
    </row>
    <row r="640" spans="1:24" x14ac:dyDescent="0.25">
      <c r="A640" t="s">
        <v>1928</v>
      </c>
      <c r="B640" t="s">
        <v>1936</v>
      </c>
      <c r="C640" t="s">
        <v>2006</v>
      </c>
      <c r="D640" t="s">
        <v>131</v>
      </c>
      <c r="E640" t="s">
        <v>24</v>
      </c>
      <c r="F640" t="s">
        <v>1</v>
      </c>
      <c r="G640" t="s">
        <v>618</v>
      </c>
      <c r="H640" t="s">
        <v>424</v>
      </c>
      <c r="I640" t="s">
        <v>1</v>
      </c>
      <c r="J640">
        <v>15246.1</v>
      </c>
      <c r="K640">
        <v>15246</v>
      </c>
      <c r="L640">
        <v>15246.1</v>
      </c>
      <c r="M640">
        <v>30744.897790055253</v>
      </c>
      <c r="N640">
        <v>15246.1</v>
      </c>
      <c r="O640">
        <v>30492.2</v>
      </c>
      <c r="P640">
        <v>-15246</v>
      </c>
      <c r="Q640">
        <f t="shared" si="135"/>
        <v>15246.2</v>
      </c>
      <c r="R640">
        <v>15246</v>
      </c>
      <c r="S640">
        <f t="shared" si="136"/>
        <v>-0.2000000000007276</v>
      </c>
      <c r="T640"/>
      <c r="U640">
        <f t="shared" si="137"/>
        <v>0</v>
      </c>
      <c r="V640">
        <f t="shared" si="138"/>
        <v>15246</v>
      </c>
      <c r="W640">
        <f t="shared" si="139"/>
        <v>-0.2000000000007276</v>
      </c>
      <c r="X640" t="s">
        <v>1449</v>
      </c>
    </row>
    <row r="641" spans="1:24" x14ac:dyDescent="0.25">
      <c r="A641" t="s">
        <v>1928</v>
      </c>
      <c r="B641" t="s">
        <v>1936</v>
      </c>
      <c r="C641" t="s">
        <v>2006</v>
      </c>
      <c r="D641" t="s">
        <v>131</v>
      </c>
      <c r="E641" t="s">
        <v>26</v>
      </c>
      <c r="F641" t="s">
        <v>1</v>
      </c>
      <c r="G641" t="s">
        <v>618</v>
      </c>
      <c r="H641" t="s">
        <v>426</v>
      </c>
      <c r="I641" t="s">
        <v>1</v>
      </c>
      <c r="J641">
        <v>13997.5</v>
      </c>
      <c r="K641">
        <v>9812.3836904508007</v>
      </c>
      <c r="L641">
        <v>0</v>
      </c>
      <c r="M641">
        <v>0</v>
      </c>
      <c r="N641">
        <v>10000</v>
      </c>
      <c r="O641"/>
      <c r="P641">
        <v>10700</v>
      </c>
      <c r="Q641">
        <f t="shared" si="135"/>
        <v>10700</v>
      </c>
      <c r="R641">
        <v>10700</v>
      </c>
      <c r="S641">
        <f t="shared" si="136"/>
        <v>0</v>
      </c>
      <c r="T641"/>
      <c r="U641">
        <f t="shared" si="137"/>
        <v>0</v>
      </c>
      <c r="V641">
        <f t="shared" si="138"/>
        <v>10700</v>
      </c>
      <c r="W641">
        <f t="shared" si="139"/>
        <v>0</v>
      </c>
      <c r="X641" t="s">
        <v>1450</v>
      </c>
    </row>
    <row r="642" spans="1:24" x14ac:dyDescent="0.25">
      <c r="A642" t="s">
        <v>1928</v>
      </c>
      <c r="B642" t="s">
        <v>1936</v>
      </c>
      <c r="C642" t="s">
        <v>2006</v>
      </c>
      <c r="D642" t="s">
        <v>131</v>
      </c>
      <c r="E642" t="s">
        <v>28</v>
      </c>
      <c r="F642" t="s">
        <v>1</v>
      </c>
      <c r="G642" t="s">
        <v>618</v>
      </c>
      <c r="H642" t="s">
        <v>428</v>
      </c>
      <c r="I642" t="s">
        <v>1</v>
      </c>
      <c r="J642">
        <v>279.8</v>
      </c>
      <c r="K642">
        <v>800.00040000000001</v>
      </c>
      <c r="L642">
        <v>0</v>
      </c>
      <c r="M642">
        <v>0</v>
      </c>
      <c r="N642">
        <v>279.8</v>
      </c>
      <c r="O642"/>
      <c r="P642">
        <v>3000</v>
      </c>
      <c r="Q642">
        <f t="shared" si="135"/>
        <v>3000</v>
      </c>
      <c r="R642">
        <v>3000</v>
      </c>
      <c r="S642">
        <f t="shared" si="136"/>
        <v>0</v>
      </c>
      <c r="T642"/>
      <c r="U642">
        <f t="shared" si="137"/>
        <v>0</v>
      </c>
      <c r="V642">
        <f t="shared" si="138"/>
        <v>3000</v>
      </c>
      <c r="W642">
        <f t="shared" si="139"/>
        <v>0</v>
      </c>
      <c r="X642" t="s">
        <v>1451</v>
      </c>
    </row>
    <row r="643" spans="1:24" x14ac:dyDescent="0.25">
      <c r="A643" t="s">
        <v>1928</v>
      </c>
      <c r="B643" t="s">
        <v>1936</v>
      </c>
      <c r="C643" t="s">
        <v>2006</v>
      </c>
      <c r="D643" t="s">
        <v>131</v>
      </c>
      <c r="E643" t="s">
        <v>30</v>
      </c>
      <c r="F643" t="s">
        <v>1</v>
      </c>
      <c r="G643" t="s">
        <v>618</v>
      </c>
      <c r="H643" t="s">
        <v>430</v>
      </c>
      <c r="I643" t="s">
        <v>1</v>
      </c>
      <c r="J643">
        <v>1200</v>
      </c>
      <c r="K643"/>
      <c r="L643">
        <v>0</v>
      </c>
      <c r="M643">
        <v>0</v>
      </c>
      <c r="N643">
        <v>0</v>
      </c>
      <c r="O643"/>
      <c r="P643">
        <v>1200</v>
      </c>
      <c r="Q643">
        <f t="shared" si="135"/>
        <v>1200</v>
      </c>
      <c r="R643">
        <v>1200</v>
      </c>
      <c r="S643">
        <f t="shared" si="136"/>
        <v>0</v>
      </c>
      <c r="T643"/>
      <c r="U643">
        <f t="shared" si="137"/>
        <v>0</v>
      </c>
      <c r="V643">
        <f t="shared" si="138"/>
        <v>1200</v>
      </c>
      <c r="W643">
        <f t="shared" si="139"/>
        <v>0</v>
      </c>
      <c r="X643" t="s">
        <v>1452</v>
      </c>
    </row>
    <row r="644" spans="1:24" x14ac:dyDescent="0.25">
      <c r="A644" t="s">
        <v>1928</v>
      </c>
      <c r="B644" t="s">
        <v>1936</v>
      </c>
      <c r="C644" t="s">
        <v>2006</v>
      </c>
      <c r="D644" t="s">
        <v>131</v>
      </c>
      <c r="E644" t="s">
        <v>31</v>
      </c>
      <c r="F644" t="s">
        <v>1</v>
      </c>
      <c r="G644" t="s">
        <v>618</v>
      </c>
      <c r="H644" t="s">
        <v>431</v>
      </c>
      <c r="I644" t="s">
        <v>1</v>
      </c>
      <c r="J644"/>
      <c r="K644">
        <v>2499.9996000000001</v>
      </c>
      <c r="L644">
        <v>0</v>
      </c>
      <c r="M644">
        <v>0</v>
      </c>
      <c r="N644">
        <v>0</v>
      </c>
      <c r="O644"/>
      <c r="P644">
        <v>2500</v>
      </c>
      <c r="Q644">
        <f t="shared" si="135"/>
        <v>2500</v>
      </c>
      <c r="R644">
        <v>2500</v>
      </c>
      <c r="S644">
        <f t="shared" si="136"/>
        <v>0</v>
      </c>
      <c r="T644"/>
      <c r="U644">
        <f t="shared" si="137"/>
        <v>0</v>
      </c>
      <c r="V644">
        <f t="shared" si="138"/>
        <v>2500</v>
      </c>
      <c r="W644">
        <f t="shared" si="139"/>
        <v>0</v>
      </c>
      <c r="X644" t="s">
        <v>1453</v>
      </c>
    </row>
    <row r="645" spans="1:24" x14ac:dyDescent="0.25">
      <c r="A645" t="s">
        <v>1928</v>
      </c>
      <c r="B645" t="s">
        <v>1936</v>
      </c>
      <c r="C645" t="s">
        <v>2006</v>
      </c>
      <c r="D645" t="s">
        <v>131</v>
      </c>
      <c r="E645" t="s">
        <v>33</v>
      </c>
      <c r="F645" t="s">
        <v>1</v>
      </c>
      <c r="G645" t="s">
        <v>618</v>
      </c>
      <c r="H645" t="s">
        <v>433</v>
      </c>
      <c r="I645" t="s">
        <v>1</v>
      </c>
      <c r="J645">
        <v>5631.33</v>
      </c>
      <c r="K645">
        <v>981.23837579880001</v>
      </c>
      <c r="L645">
        <v>0</v>
      </c>
      <c r="M645">
        <v>0</v>
      </c>
      <c r="N645">
        <v>1346.91</v>
      </c>
      <c r="O645"/>
      <c r="P645">
        <v>2200</v>
      </c>
      <c r="Q645">
        <f t="shared" si="135"/>
        <v>2200</v>
      </c>
      <c r="R645">
        <v>2200</v>
      </c>
      <c r="S645">
        <f t="shared" si="136"/>
        <v>0</v>
      </c>
      <c r="T645"/>
      <c r="U645">
        <f t="shared" si="137"/>
        <v>0</v>
      </c>
      <c r="V645">
        <f t="shared" si="138"/>
        <v>2200</v>
      </c>
      <c r="W645">
        <f t="shared" si="139"/>
        <v>0</v>
      </c>
      <c r="X645" t="s">
        <v>1454</v>
      </c>
    </row>
    <row r="646" spans="1:24" x14ac:dyDescent="0.25">
      <c r="A646" t="s">
        <v>1928</v>
      </c>
      <c r="B646" t="s">
        <v>1936</v>
      </c>
      <c r="C646" t="s">
        <v>2006</v>
      </c>
      <c r="D646" t="s">
        <v>131</v>
      </c>
      <c r="E646" t="s">
        <v>34</v>
      </c>
      <c r="F646" t="s">
        <v>1</v>
      </c>
      <c r="G646" t="s">
        <v>618</v>
      </c>
      <c r="H646" t="s">
        <v>434</v>
      </c>
      <c r="I646" t="s">
        <v>1</v>
      </c>
      <c r="J646">
        <v>1004.79</v>
      </c>
      <c r="K646"/>
      <c r="L646">
        <v>0</v>
      </c>
      <c r="M646">
        <v>0</v>
      </c>
      <c r="N646">
        <v>263.48</v>
      </c>
      <c r="O646"/>
      <c r="P646">
        <v>0</v>
      </c>
      <c r="Q646">
        <f t="shared" si="135"/>
        <v>0</v>
      </c>
      <c r="R646">
        <v>0</v>
      </c>
      <c r="S646">
        <f t="shared" si="136"/>
        <v>0</v>
      </c>
      <c r="T646"/>
      <c r="U646">
        <f t="shared" si="137"/>
        <v>0</v>
      </c>
      <c r="V646">
        <f t="shared" si="138"/>
        <v>0</v>
      </c>
      <c r="W646">
        <f t="shared" si="139"/>
        <v>0</v>
      </c>
      <c r="X646">
        <v>0</v>
      </c>
    </row>
    <row r="647" spans="1:24" x14ac:dyDescent="0.25">
      <c r="A647" t="s">
        <v>1928</v>
      </c>
      <c r="B647" t="s">
        <v>1936</v>
      </c>
      <c r="C647" t="s">
        <v>2006</v>
      </c>
      <c r="D647" t="s">
        <v>131</v>
      </c>
      <c r="E647" t="s">
        <v>35</v>
      </c>
      <c r="F647" t="s">
        <v>1</v>
      </c>
      <c r="G647" t="s">
        <v>618</v>
      </c>
      <c r="H647" t="s">
        <v>435</v>
      </c>
      <c r="I647" t="s">
        <v>1</v>
      </c>
      <c r="J647">
        <v>142.52000000000001</v>
      </c>
      <c r="K647"/>
      <c r="L647">
        <v>0</v>
      </c>
      <c r="M647">
        <v>0</v>
      </c>
      <c r="N647">
        <v>0</v>
      </c>
      <c r="O647"/>
      <c r="P647">
        <v>500</v>
      </c>
      <c r="Q647">
        <f t="shared" si="135"/>
        <v>500</v>
      </c>
      <c r="R647">
        <v>500</v>
      </c>
      <c r="S647">
        <f t="shared" si="136"/>
        <v>0</v>
      </c>
      <c r="T647"/>
      <c r="U647">
        <f t="shared" si="137"/>
        <v>0</v>
      </c>
      <c r="V647">
        <f t="shared" si="138"/>
        <v>500</v>
      </c>
      <c r="W647">
        <f t="shared" si="139"/>
        <v>0</v>
      </c>
      <c r="X647" t="s">
        <v>1455</v>
      </c>
    </row>
    <row r="648" spans="1:24" x14ac:dyDescent="0.25">
      <c r="A648" t="s">
        <v>1928</v>
      </c>
      <c r="B648" t="s">
        <v>1936</v>
      </c>
      <c r="C648" t="s">
        <v>2006</v>
      </c>
      <c r="D648" t="s">
        <v>131</v>
      </c>
      <c r="E648" t="s">
        <v>37</v>
      </c>
      <c r="F648" t="s">
        <v>1</v>
      </c>
      <c r="G648" t="s">
        <v>618</v>
      </c>
      <c r="H648" t="s">
        <v>437</v>
      </c>
      <c r="I648" t="s">
        <v>1</v>
      </c>
      <c r="J648">
        <v>7553.74</v>
      </c>
      <c r="K648">
        <v>9812.3836904508007</v>
      </c>
      <c r="L648">
        <v>0</v>
      </c>
      <c r="M648">
        <v>0</v>
      </c>
      <c r="N648">
        <v>5685.1699999999992</v>
      </c>
      <c r="O648"/>
      <c r="P648">
        <v>0</v>
      </c>
      <c r="Q648">
        <f t="shared" si="135"/>
        <v>0</v>
      </c>
      <c r="R648">
        <v>0</v>
      </c>
      <c r="S648">
        <f t="shared" si="136"/>
        <v>0</v>
      </c>
      <c r="T648"/>
      <c r="U648">
        <f t="shared" si="137"/>
        <v>0</v>
      </c>
      <c r="V648">
        <f t="shared" si="138"/>
        <v>0</v>
      </c>
      <c r="W648">
        <f t="shared" si="139"/>
        <v>0</v>
      </c>
      <c r="X648"/>
    </row>
    <row r="649" spans="1:24" x14ac:dyDescent="0.25">
      <c r="A649" t="s">
        <v>1928</v>
      </c>
      <c r="B649" t="s">
        <v>1936</v>
      </c>
      <c r="C649" t="s">
        <v>2006</v>
      </c>
      <c r="D649" t="s">
        <v>131</v>
      </c>
      <c r="E649" t="s">
        <v>41</v>
      </c>
      <c r="F649" t="s">
        <v>1</v>
      </c>
      <c r="G649" t="s">
        <v>618</v>
      </c>
      <c r="H649" t="s">
        <v>441</v>
      </c>
      <c r="I649" t="s">
        <v>1</v>
      </c>
      <c r="J649"/>
      <c r="K649">
        <v>48.999600000000001</v>
      </c>
      <c r="L649">
        <v>0</v>
      </c>
      <c r="M649">
        <v>0</v>
      </c>
      <c r="N649">
        <v>0</v>
      </c>
      <c r="O649"/>
      <c r="P649">
        <v>10000</v>
      </c>
      <c r="Q649">
        <f t="shared" si="135"/>
        <v>10000</v>
      </c>
      <c r="R649">
        <v>10000</v>
      </c>
      <c r="S649">
        <f t="shared" si="136"/>
        <v>0</v>
      </c>
      <c r="T649">
        <v>0.03</v>
      </c>
      <c r="U649">
        <f t="shared" si="137"/>
        <v>300</v>
      </c>
      <c r="V649">
        <f t="shared" si="138"/>
        <v>10300</v>
      </c>
      <c r="W649">
        <f t="shared" si="139"/>
        <v>300</v>
      </c>
      <c r="X649" t="s">
        <v>1456</v>
      </c>
    </row>
    <row r="650" spans="1:24" x14ac:dyDescent="0.25">
      <c r="A650" t="s">
        <v>1928</v>
      </c>
      <c r="B650" t="s">
        <v>1936</v>
      </c>
      <c r="C650" t="s">
        <v>2006</v>
      </c>
      <c r="D650" t="s">
        <v>131</v>
      </c>
      <c r="E650" t="s">
        <v>42</v>
      </c>
      <c r="F650" t="s">
        <v>1</v>
      </c>
      <c r="G650" t="s">
        <v>618</v>
      </c>
      <c r="H650" t="s">
        <v>442</v>
      </c>
      <c r="I650" t="s">
        <v>1</v>
      </c>
      <c r="J650">
        <v>338</v>
      </c>
      <c r="K650">
        <v>338.00000000040001</v>
      </c>
      <c r="L650">
        <v>0</v>
      </c>
      <c r="M650">
        <v>0</v>
      </c>
      <c r="N650">
        <v>0</v>
      </c>
      <c r="O650"/>
      <c r="P650">
        <v>52</v>
      </c>
      <c r="Q650">
        <f t="shared" si="135"/>
        <v>52</v>
      </c>
      <c r="R650">
        <v>52</v>
      </c>
      <c r="S650">
        <f t="shared" si="136"/>
        <v>0</v>
      </c>
      <c r="T650">
        <v>0.03</v>
      </c>
      <c r="U650">
        <f t="shared" si="137"/>
        <v>1.56</v>
      </c>
      <c r="V650">
        <f t="shared" si="138"/>
        <v>53.56</v>
      </c>
      <c r="W650">
        <f t="shared" si="139"/>
        <v>1.5600000000000023</v>
      </c>
      <c r="X650" t="s">
        <v>1431</v>
      </c>
    </row>
    <row r="651" spans="1:24" x14ac:dyDescent="0.25">
      <c r="A651" t="s">
        <v>1928</v>
      </c>
      <c r="B651" t="s">
        <v>1936</v>
      </c>
      <c r="C651" t="s">
        <v>2006</v>
      </c>
      <c r="D651" t="s">
        <v>131</v>
      </c>
      <c r="E651" t="s">
        <v>46</v>
      </c>
      <c r="F651" t="s">
        <v>1</v>
      </c>
      <c r="G651" t="s">
        <v>618</v>
      </c>
      <c r="H651" t="s">
        <v>446</v>
      </c>
      <c r="I651" t="s">
        <v>1</v>
      </c>
      <c r="J651">
        <v>492.83</v>
      </c>
      <c r="K651"/>
      <c r="L651">
        <v>0</v>
      </c>
      <c r="M651">
        <v>0</v>
      </c>
      <c r="N651">
        <v>0</v>
      </c>
      <c r="O651"/>
      <c r="P651">
        <v>338</v>
      </c>
      <c r="Q651">
        <f t="shared" si="135"/>
        <v>338</v>
      </c>
      <c r="R651">
        <v>338</v>
      </c>
      <c r="S651">
        <f t="shared" si="136"/>
        <v>0</v>
      </c>
      <c r="T651">
        <v>0.03</v>
      </c>
      <c r="U651">
        <f t="shared" si="137"/>
        <v>10.139999999999999</v>
      </c>
      <c r="V651">
        <f t="shared" si="138"/>
        <v>348.14</v>
      </c>
      <c r="W651">
        <f t="shared" si="139"/>
        <v>10.139999999999986</v>
      </c>
      <c r="X651" t="s">
        <v>1457</v>
      </c>
    </row>
    <row r="652" spans="1:24" x14ac:dyDescent="0.25">
      <c r="A652" t="s">
        <v>1928</v>
      </c>
      <c r="B652" t="s">
        <v>1936</v>
      </c>
      <c r="C652" t="s">
        <v>2006</v>
      </c>
      <c r="D652" t="s">
        <v>131</v>
      </c>
      <c r="E652" t="s">
        <v>47</v>
      </c>
      <c r="F652" t="s">
        <v>1</v>
      </c>
      <c r="G652" t="s">
        <v>618</v>
      </c>
      <c r="H652" t="s">
        <v>447</v>
      </c>
      <c r="I652" t="s">
        <v>1</v>
      </c>
      <c r="J652"/>
      <c r="K652">
        <v>6999.9996000000001</v>
      </c>
      <c r="L652">
        <v>13798</v>
      </c>
      <c r="M652">
        <v>27824.696132596684</v>
      </c>
      <c r="N652">
        <v>13798</v>
      </c>
      <c r="O652">
        <v>27596</v>
      </c>
      <c r="P652">
        <v>-13798</v>
      </c>
      <c r="Q652">
        <f t="shared" si="135"/>
        <v>13798</v>
      </c>
      <c r="R652">
        <v>13798</v>
      </c>
      <c r="S652">
        <f t="shared" si="136"/>
        <v>0</v>
      </c>
      <c r="T652">
        <v>0.03</v>
      </c>
      <c r="U652">
        <f t="shared" si="137"/>
        <v>413.94</v>
      </c>
      <c r="V652">
        <f t="shared" si="138"/>
        <v>14211.94</v>
      </c>
      <c r="W652">
        <f t="shared" si="139"/>
        <v>413.94000000000051</v>
      </c>
      <c r="X652" t="s">
        <v>1458</v>
      </c>
    </row>
    <row r="653" spans="1:24" x14ac:dyDescent="0.25">
      <c r="A653" t="s">
        <v>1928</v>
      </c>
      <c r="B653" t="s">
        <v>1936</v>
      </c>
      <c r="C653" t="s">
        <v>2006</v>
      </c>
      <c r="D653" t="s">
        <v>131</v>
      </c>
      <c r="E653" t="s">
        <v>50</v>
      </c>
      <c r="F653" t="s">
        <v>1</v>
      </c>
      <c r="G653" t="s">
        <v>618</v>
      </c>
      <c r="H653" t="s">
        <v>450</v>
      </c>
      <c r="I653" t="s">
        <v>1</v>
      </c>
      <c r="J653">
        <v>584.02</v>
      </c>
      <c r="K653">
        <v>530</v>
      </c>
      <c r="L653">
        <v>270.12</v>
      </c>
      <c r="M653">
        <v>544.71712707182314</v>
      </c>
      <c r="N653">
        <v>587.14</v>
      </c>
      <c r="O653">
        <v>544.71712707179995</v>
      </c>
      <c r="P653">
        <v>0</v>
      </c>
      <c r="Q653">
        <f t="shared" si="135"/>
        <v>544.71712707179995</v>
      </c>
      <c r="R653">
        <v>545</v>
      </c>
      <c r="S653">
        <f t="shared" si="136"/>
        <v>0.2828729282000495</v>
      </c>
      <c r="T653"/>
      <c r="U653">
        <f t="shared" si="137"/>
        <v>0</v>
      </c>
      <c r="V653">
        <f t="shared" si="138"/>
        <v>545</v>
      </c>
      <c r="W653">
        <f t="shared" si="139"/>
        <v>0.2828729282000495</v>
      </c>
      <c r="X653" t="s">
        <v>1459</v>
      </c>
    </row>
    <row r="654" spans="1:24" x14ac:dyDescent="0.25">
      <c r="A654" t="s">
        <v>1928</v>
      </c>
      <c r="B654" t="s">
        <v>1936</v>
      </c>
      <c r="C654" t="s">
        <v>2006</v>
      </c>
      <c r="D654" t="s">
        <v>131</v>
      </c>
      <c r="E654" t="s">
        <v>51</v>
      </c>
      <c r="F654" t="s">
        <v>51</v>
      </c>
      <c r="G654" t="s">
        <v>619</v>
      </c>
      <c r="H654"/>
      <c r="I654"/>
      <c r="J654">
        <v>48424.319999999992</v>
      </c>
      <c r="K654">
        <v>67184.812636258604</v>
      </c>
      <c r="L654">
        <v>29940.880000000001</v>
      </c>
      <c r="M654">
        <v>60378.017679558019</v>
      </c>
      <c r="N654">
        <v>48717.06</v>
      </c>
      <c r="O654">
        <v>59887.877016574603</v>
      </c>
      <c r="P654">
        <f>SUMIF($F$632:$F$653,"&lt;&gt;EV_*",$P$632:$P$653)</f>
        <v>48916</v>
      </c>
      <c r="Q654">
        <f>SUMIF($F$632:$F$653,"&lt;&gt;EV_*",$Q$632:$Q$653)</f>
        <v>108803.8770165746</v>
      </c>
      <c r="R654">
        <f>SUMIF($F$632:$F$653,"&lt;&gt;EV_*",$R$632:$R$653)</f>
        <v>108804</v>
      </c>
      <c r="S654">
        <f>SUMIF($F$632:$F$653,"&lt;&gt;EV_*",$S$632:$S$653)</f>
        <v>0.12298342540066187</v>
      </c>
      <c r="T654">
        <v>0</v>
      </c>
      <c r="U654">
        <f>SUMIF($F$632:$F$653,"&lt;&gt;EV_*",$U$632:$U$653)</f>
        <v>751.01499999999999</v>
      </c>
      <c r="V654">
        <f>SUMIF($F$632:$F$653,"&lt;&gt;EV_*",$V$632:$V$653)</f>
        <v>109555.015</v>
      </c>
      <c r="W654">
        <f>SUMIF($F$632:$F$653,"&lt;&gt;EV_*",$W$632:$W$653)</f>
        <v>751.13798342540122</v>
      </c>
      <c r="X654">
        <f>SUMIF($F$632:$F$653,"&lt;&gt;EV_*",$X$632:$X$653)</f>
        <v>0</v>
      </c>
    </row>
    <row r="655" spans="1:24" x14ac:dyDescent="0.25">
      <c r="A655" t="s">
        <v>1928</v>
      </c>
      <c r="B655" t="s">
        <v>2007</v>
      </c>
      <c r="C655" t="s">
        <v>2008</v>
      </c>
      <c r="D655" t="s">
        <v>132</v>
      </c>
      <c r="E655" t="s">
        <v>5</v>
      </c>
      <c r="F655" t="s">
        <v>5</v>
      </c>
      <c r="G655" t="s">
        <v>620</v>
      </c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</row>
    <row r="656" spans="1:24" x14ac:dyDescent="0.25">
      <c r="A656" t="s">
        <v>1928</v>
      </c>
      <c r="B656" t="s">
        <v>2007</v>
      </c>
      <c r="C656" t="s">
        <v>2008</v>
      </c>
      <c r="D656" t="s">
        <v>132</v>
      </c>
      <c r="E656" t="s">
        <v>133</v>
      </c>
      <c r="F656" t="s">
        <v>1</v>
      </c>
      <c r="G656" t="s">
        <v>621</v>
      </c>
      <c r="H656" t="s">
        <v>622</v>
      </c>
      <c r="I656" t="s">
        <v>1</v>
      </c>
      <c r="J656"/>
      <c r="K656"/>
      <c r="L656">
        <v>0.04</v>
      </c>
      <c r="M656">
        <v>8.0662983425414364E-2</v>
      </c>
      <c r="N656">
        <v>0.04</v>
      </c>
      <c r="O656">
        <v>8.0662983399999999E-2</v>
      </c>
      <c r="P656">
        <v>0</v>
      </c>
      <c r="Q656">
        <f t="shared" ref="Q656:Q687" si="140">O656+P656</f>
        <v>8.0662983399999999E-2</v>
      </c>
      <c r="R656">
        <v>0</v>
      </c>
      <c r="S656">
        <f t="shared" ref="S656:S687" si="141">IF(OR(LEFT(E656,2)="A_",LEFT(D656,5)="Total"),R656-Q656,"")</f>
        <v>-8.0662983399999999E-2</v>
      </c>
      <c r="T656">
        <v>0.02</v>
      </c>
      <c r="U656">
        <f t="shared" ref="U656:U687" si="142">IFERROR(R656*T656,R656*0)</f>
        <v>0</v>
      </c>
      <c r="V656">
        <f t="shared" ref="V656:V687" si="143">IF(OR(LEFT(E656,2)="A_",LEFT(D656,5)="Total"),R656+U656,"")</f>
        <v>0</v>
      </c>
      <c r="W656">
        <f t="shared" ref="W656:W687" si="144">IF(OR(LEFT(E656,2)="A_",LEFT(D656,5)="Total"),V656-Q656,"")</f>
        <v>-8.0662983399999999E-2</v>
      </c>
      <c r="X656">
        <v>0</v>
      </c>
    </row>
    <row r="657" spans="1:24" x14ac:dyDescent="0.25">
      <c r="A657" t="s">
        <v>1928</v>
      </c>
      <c r="B657" t="s">
        <v>2007</v>
      </c>
      <c r="C657" t="s">
        <v>2008</v>
      </c>
      <c r="D657" t="s">
        <v>132</v>
      </c>
      <c r="E657" t="s">
        <v>8</v>
      </c>
      <c r="F657" t="s">
        <v>1</v>
      </c>
      <c r="G657" t="s">
        <v>621</v>
      </c>
      <c r="H657" t="s">
        <v>408</v>
      </c>
      <c r="I657" t="s">
        <v>1</v>
      </c>
      <c r="J657">
        <v>55868.92</v>
      </c>
      <c r="K657">
        <v>78676.012154696</v>
      </c>
      <c r="L657">
        <v>8427.1200000000008</v>
      </c>
      <c r="M657">
        <v>16993.916022099449</v>
      </c>
      <c r="N657">
        <v>25281.360000000004</v>
      </c>
      <c r="O657">
        <v>16993.916022099402</v>
      </c>
      <c r="P657">
        <v>-16994</v>
      </c>
      <c r="Q657">
        <f t="shared" si="140"/>
        <v>-8.3977900598256383E-2</v>
      </c>
      <c r="R657">
        <v>0</v>
      </c>
      <c r="S657">
        <f t="shared" si="141"/>
        <v>8.3977900598256383E-2</v>
      </c>
      <c r="T657"/>
      <c r="U657">
        <f t="shared" si="142"/>
        <v>0</v>
      </c>
      <c r="V657">
        <f t="shared" si="143"/>
        <v>0</v>
      </c>
      <c r="W657">
        <f t="shared" si="144"/>
        <v>8.3977900598256383E-2</v>
      </c>
      <c r="X657">
        <v>0</v>
      </c>
    </row>
    <row r="658" spans="1:24" x14ac:dyDescent="0.25">
      <c r="A658" t="s">
        <v>1928</v>
      </c>
      <c r="B658" t="s">
        <v>2007</v>
      </c>
      <c r="C658" t="s">
        <v>2008</v>
      </c>
      <c r="D658" t="s">
        <v>132</v>
      </c>
      <c r="E658" t="s">
        <v>11</v>
      </c>
      <c r="F658" t="s">
        <v>1</v>
      </c>
      <c r="G658" t="s">
        <v>621</v>
      </c>
      <c r="H658" t="s">
        <v>411</v>
      </c>
      <c r="I658" t="s">
        <v>1</v>
      </c>
      <c r="J658">
        <v>3550.24</v>
      </c>
      <c r="K658">
        <v>3115.23</v>
      </c>
      <c r="L658">
        <v>1609.8</v>
      </c>
      <c r="M658">
        <v>3246.2817679558011</v>
      </c>
      <c r="N658">
        <v>3314.88</v>
      </c>
      <c r="O658">
        <v>3219.6</v>
      </c>
      <c r="P658">
        <v>0</v>
      </c>
      <c r="Q658">
        <f t="shared" si="140"/>
        <v>3219.6</v>
      </c>
      <c r="R658">
        <v>3219.6</v>
      </c>
      <c r="S658">
        <f t="shared" si="141"/>
        <v>0</v>
      </c>
      <c r="T658"/>
      <c r="U658">
        <f t="shared" si="142"/>
        <v>0</v>
      </c>
      <c r="V658">
        <f t="shared" si="143"/>
        <v>3219.6</v>
      </c>
      <c r="W658">
        <f t="shared" si="144"/>
        <v>0</v>
      </c>
      <c r="X658">
        <v>0</v>
      </c>
    </row>
    <row r="659" spans="1:24" x14ac:dyDescent="0.25">
      <c r="A659" t="s">
        <v>1928</v>
      </c>
      <c r="B659" t="s">
        <v>2007</v>
      </c>
      <c r="C659" t="s">
        <v>2008</v>
      </c>
      <c r="D659" t="s">
        <v>132</v>
      </c>
      <c r="E659" t="s">
        <v>65</v>
      </c>
      <c r="F659" t="s">
        <v>1</v>
      </c>
      <c r="G659" t="s">
        <v>621</v>
      </c>
      <c r="H659" t="s">
        <v>476</v>
      </c>
      <c r="I659" t="s">
        <v>1</v>
      </c>
      <c r="J659">
        <v>-1107.5899999999999</v>
      </c>
      <c r="K659"/>
      <c r="L659">
        <v>-874.66</v>
      </c>
      <c r="M659">
        <v>-1763.8171270718231</v>
      </c>
      <c r="N659">
        <v>-1422.38</v>
      </c>
      <c r="O659">
        <v>-1758.9316483517</v>
      </c>
      <c r="P659">
        <v>0</v>
      </c>
      <c r="Q659">
        <f t="shared" si="140"/>
        <v>-1758.9316483517</v>
      </c>
      <c r="R659">
        <v>0</v>
      </c>
      <c r="S659">
        <f t="shared" si="141"/>
        <v>1758.9316483517</v>
      </c>
      <c r="T659"/>
      <c r="U659">
        <f t="shared" si="142"/>
        <v>0</v>
      </c>
      <c r="V659">
        <f t="shared" si="143"/>
        <v>0</v>
      </c>
      <c r="W659">
        <f t="shared" si="144"/>
        <v>1758.9316483517</v>
      </c>
      <c r="X659">
        <v>0</v>
      </c>
    </row>
    <row r="660" spans="1:24" x14ac:dyDescent="0.25">
      <c r="A660" t="s">
        <v>1928</v>
      </c>
      <c r="B660" t="s">
        <v>2007</v>
      </c>
      <c r="C660" t="s">
        <v>2008</v>
      </c>
      <c r="D660" t="s">
        <v>132</v>
      </c>
      <c r="E660" t="s">
        <v>17</v>
      </c>
      <c r="F660" t="s">
        <v>1</v>
      </c>
      <c r="G660" t="s">
        <v>621</v>
      </c>
      <c r="H660" t="s">
        <v>417</v>
      </c>
      <c r="I660" t="s">
        <v>1</v>
      </c>
      <c r="J660">
        <v>-12461.2</v>
      </c>
      <c r="K660">
        <v>-10359.9999999998</v>
      </c>
      <c r="L660">
        <v>-5606.84</v>
      </c>
      <c r="M660">
        <v>-11306.611049723757</v>
      </c>
      <c r="N660">
        <v>-13203.7</v>
      </c>
      <c r="O660">
        <v>-11275.293626373599</v>
      </c>
      <c r="P660">
        <v>0</v>
      </c>
      <c r="Q660">
        <f t="shared" si="140"/>
        <v>-11275.293626373599</v>
      </c>
      <c r="R660">
        <v>-11275.293626373599</v>
      </c>
      <c r="S660">
        <f t="shared" si="141"/>
        <v>0</v>
      </c>
      <c r="T660"/>
      <c r="U660">
        <f t="shared" si="142"/>
        <v>0</v>
      </c>
      <c r="V660">
        <f t="shared" si="143"/>
        <v>-11275.293626373599</v>
      </c>
      <c r="W660">
        <f t="shared" si="144"/>
        <v>0</v>
      </c>
      <c r="X660">
        <v>0</v>
      </c>
    </row>
    <row r="661" spans="1:24" x14ac:dyDescent="0.25">
      <c r="A661" t="s">
        <v>1928</v>
      </c>
      <c r="B661" t="s">
        <v>2007</v>
      </c>
      <c r="C661" t="s">
        <v>2008</v>
      </c>
      <c r="D661" t="s">
        <v>132</v>
      </c>
      <c r="E661" t="s">
        <v>82</v>
      </c>
      <c r="F661" t="s">
        <v>1</v>
      </c>
      <c r="G661" t="s">
        <v>621</v>
      </c>
      <c r="H661" t="s">
        <v>507</v>
      </c>
      <c r="I661" t="s">
        <v>1</v>
      </c>
      <c r="J661">
        <v>8247.9500000000007</v>
      </c>
      <c r="K661">
        <v>8006.5749384631999</v>
      </c>
      <c r="L661">
        <v>3919.77</v>
      </c>
      <c r="M661">
        <v>7904.5085635359119</v>
      </c>
      <c r="N661">
        <v>8312.02</v>
      </c>
      <c r="O661">
        <v>7882.6143956043998</v>
      </c>
      <c r="P661">
        <v>0</v>
      </c>
      <c r="Q661">
        <f t="shared" si="140"/>
        <v>7882.6143956043998</v>
      </c>
      <c r="R661">
        <v>7882.6143956043998</v>
      </c>
      <c r="S661">
        <f t="shared" si="141"/>
        <v>0</v>
      </c>
      <c r="T661">
        <v>2.75E-2</v>
      </c>
      <c r="U661">
        <f t="shared" si="142"/>
        <v>216.77189587912099</v>
      </c>
      <c r="V661">
        <f t="shared" si="143"/>
        <v>8099.3862914835208</v>
      </c>
      <c r="W661">
        <f t="shared" si="144"/>
        <v>216.77189587912108</v>
      </c>
      <c r="X661">
        <v>0</v>
      </c>
    </row>
    <row r="662" spans="1:24" x14ac:dyDescent="0.25">
      <c r="A662" t="s">
        <v>1928</v>
      </c>
      <c r="B662" t="s">
        <v>2007</v>
      </c>
      <c r="C662" t="s">
        <v>2008</v>
      </c>
      <c r="D662" t="s">
        <v>132</v>
      </c>
      <c r="E662" t="s">
        <v>72</v>
      </c>
      <c r="F662" t="s">
        <v>1</v>
      </c>
      <c r="G662" t="s">
        <v>621</v>
      </c>
      <c r="H662" t="s">
        <v>489</v>
      </c>
      <c r="I662" t="s">
        <v>1</v>
      </c>
      <c r="J662">
        <v>5262.34</v>
      </c>
      <c r="K662">
        <v>5334.5938032350005</v>
      </c>
      <c r="L662">
        <v>2729.58</v>
      </c>
      <c r="M662">
        <v>5504.401657458563</v>
      </c>
      <c r="N662">
        <v>5203.5399999999991</v>
      </c>
      <c r="O662">
        <v>5489.1553846154002</v>
      </c>
      <c r="P662">
        <v>0</v>
      </c>
      <c r="Q662">
        <f t="shared" si="140"/>
        <v>5489.1553846154002</v>
      </c>
      <c r="R662">
        <v>5489.1553846154002</v>
      </c>
      <c r="S662">
        <f t="shared" si="141"/>
        <v>0</v>
      </c>
      <c r="T662">
        <v>2.2499999999999999E-2</v>
      </c>
      <c r="U662">
        <f t="shared" si="142"/>
        <v>123.5059961538465</v>
      </c>
      <c r="V662">
        <f t="shared" si="143"/>
        <v>5612.6613807692465</v>
      </c>
      <c r="W662">
        <f t="shared" si="144"/>
        <v>123.50599615384635</v>
      </c>
      <c r="X662">
        <v>0</v>
      </c>
    </row>
    <row r="663" spans="1:24" x14ac:dyDescent="0.25">
      <c r="A663" t="s">
        <v>1928</v>
      </c>
      <c r="B663" t="s">
        <v>2007</v>
      </c>
      <c r="C663" t="s">
        <v>2008</v>
      </c>
      <c r="D663" t="s">
        <v>132</v>
      </c>
      <c r="E663" t="s">
        <v>118</v>
      </c>
      <c r="F663" t="s">
        <v>1</v>
      </c>
      <c r="G663" t="s">
        <v>621</v>
      </c>
      <c r="H663" t="s">
        <v>587</v>
      </c>
      <c r="I663" t="s">
        <v>1</v>
      </c>
      <c r="J663">
        <v>39.74</v>
      </c>
      <c r="K663"/>
      <c r="L663">
        <v>20.67</v>
      </c>
      <c r="M663">
        <v>41.682596685082878</v>
      </c>
      <c r="N663">
        <v>44.51</v>
      </c>
      <c r="O663">
        <v>41.567142857100002</v>
      </c>
      <c r="P663">
        <v>0</v>
      </c>
      <c r="Q663">
        <f t="shared" si="140"/>
        <v>41.567142857100002</v>
      </c>
      <c r="R663">
        <v>41.567142857100002</v>
      </c>
      <c r="S663">
        <f t="shared" si="141"/>
        <v>0</v>
      </c>
      <c r="T663">
        <v>3.2500000000000001E-2</v>
      </c>
      <c r="U663">
        <f t="shared" si="142"/>
        <v>1.3509321428557501</v>
      </c>
      <c r="V663">
        <f t="shared" si="143"/>
        <v>42.918074999955749</v>
      </c>
      <c r="W663">
        <f t="shared" si="144"/>
        <v>1.350932142855747</v>
      </c>
      <c r="X663">
        <v>0</v>
      </c>
    </row>
    <row r="664" spans="1:24" x14ac:dyDescent="0.25">
      <c r="A664" t="s">
        <v>1928</v>
      </c>
      <c r="B664" t="s">
        <v>2007</v>
      </c>
      <c r="C664" t="s">
        <v>2008</v>
      </c>
      <c r="D664" t="s">
        <v>132</v>
      </c>
      <c r="E664" t="s">
        <v>18</v>
      </c>
      <c r="F664" t="s">
        <v>1</v>
      </c>
      <c r="G664" t="s">
        <v>621</v>
      </c>
      <c r="H664" t="s">
        <v>418</v>
      </c>
      <c r="I664" t="s">
        <v>1</v>
      </c>
      <c r="J664">
        <v>315897.71000000002</v>
      </c>
      <c r="K664">
        <v>329925.599773761</v>
      </c>
      <c r="L664">
        <v>144736.63</v>
      </c>
      <c r="M664">
        <v>291872.20966850827</v>
      </c>
      <c r="N664">
        <v>299513.3</v>
      </c>
      <c r="O664">
        <v>291063.77241758199</v>
      </c>
      <c r="P664">
        <v>0</v>
      </c>
      <c r="Q664">
        <f t="shared" si="140"/>
        <v>291063.77241758199</v>
      </c>
      <c r="R664">
        <v>291063.77241758199</v>
      </c>
      <c r="S664">
        <f t="shared" si="141"/>
        <v>0</v>
      </c>
      <c r="T664">
        <v>0.02</v>
      </c>
      <c r="U664">
        <f t="shared" si="142"/>
        <v>5821.2754483516401</v>
      </c>
      <c r="V664">
        <f t="shared" si="143"/>
        <v>296885.04786593362</v>
      </c>
      <c r="W664">
        <f t="shared" si="144"/>
        <v>5821.2754483516328</v>
      </c>
      <c r="X664">
        <v>0</v>
      </c>
    </row>
    <row r="665" spans="1:24" x14ac:dyDescent="0.25">
      <c r="A665" t="s">
        <v>1928</v>
      </c>
      <c r="B665" t="s">
        <v>2007</v>
      </c>
      <c r="C665" t="s">
        <v>2008</v>
      </c>
      <c r="D665" t="s">
        <v>132</v>
      </c>
      <c r="E665" t="s">
        <v>57</v>
      </c>
      <c r="F665" t="s">
        <v>1</v>
      </c>
      <c r="G665" t="s">
        <v>621</v>
      </c>
      <c r="H665" t="s">
        <v>462</v>
      </c>
      <c r="I665" t="s">
        <v>1</v>
      </c>
      <c r="J665">
        <v>8833.9699999999993</v>
      </c>
      <c r="K665">
        <v>9830.5777448560002</v>
      </c>
      <c r="L665">
        <v>3006.13</v>
      </c>
      <c r="M665">
        <v>6062.085359116023</v>
      </c>
      <c r="N665">
        <v>6838.76</v>
      </c>
      <c r="O665">
        <v>6045.2943956044001</v>
      </c>
      <c r="P665">
        <v>0</v>
      </c>
      <c r="Q665">
        <f t="shared" si="140"/>
        <v>6045.2943956044001</v>
      </c>
      <c r="R665">
        <v>6045.2943956044001</v>
      </c>
      <c r="S665">
        <f t="shared" si="141"/>
        <v>0</v>
      </c>
      <c r="T665">
        <v>0.04</v>
      </c>
      <c r="U665">
        <f t="shared" si="142"/>
        <v>241.81177582417601</v>
      </c>
      <c r="V665">
        <f t="shared" si="143"/>
        <v>6287.1061714285761</v>
      </c>
      <c r="W665">
        <f t="shared" si="144"/>
        <v>241.81177582417604</v>
      </c>
      <c r="X665">
        <v>0</v>
      </c>
    </row>
    <row r="666" spans="1:24" x14ac:dyDescent="0.25">
      <c r="A666" t="s">
        <v>1928</v>
      </c>
      <c r="B666" t="s">
        <v>2007</v>
      </c>
      <c r="C666" t="s">
        <v>2008</v>
      </c>
      <c r="D666" t="s">
        <v>132</v>
      </c>
      <c r="E666" t="s">
        <v>73</v>
      </c>
      <c r="F666" t="s">
        <v>1</v>
      </c>
      <c r="G666" t="s">
        <v>621</v>
      </c>
      <c r="H666" t="s">
        <v>490</v>
      </c>
      <c r="I666" t="s">
        <v>1</v>
      </c>
      <c r="J666">
        <v>1603.24</v>
      </c>
      <c r="K666">
        <v>2582.7862569777999</v>
      </c>
      <c r="L666">
        <v>0</v>
      </c>
      <c r="M666">
        <v>0</v>
      </c>
      <c r="N666">
        <v>0</v>
      </c>
      <c r="O666"/>
      <c r="P666">
        <v>0</v>
      </c>
      <c r="Q666">
        <f t="shared" si="140"/>
        <v>0</v>
      </c>
      <c r="R666">
        <v>0</v>
      </c>
      <c r="S666">
        <f t="shared" si="141"/>
        <v>0</v>
      </c>
      <c r="T666">
        <v>3.5000000000000003E-2</v>
      </c>
      <c r="U666">
        <f t="shared" si="142"/>
        <v>0</v>
      </c>
      <c r="V666">
        <f t="shared" si="143"/>
        <v>0</v>
      </c>
      <c r="W666">
        <f t="shared" si="144"/>
        <v>0</v>
      </c>
      <c r="X666">
        <v>0</v>
      </c>
    </row>
    <row r="667" spans="1:24" x14ac:dyDescent="0.25">
      <c r="A667" t="s">
        <v>1928</v>
      </c>
      <c r="B667" t="s">
        <v>2007</v>
      </c>
      <c r="C667" t="s">
        <v>2008</v>
      </c>
      <c r="D667" t="s">
        <v>132</v>
      </c>
      <c r="E667" t="s">
        <v>19</v>
      </c>
      <c r="F667" t="s">
        <v>1</v>
      </c>
      <c r="G667" t="s">
        <v>621</v>
      </c>
      <c r="H667" t="s">
        <v>419</v>
      </c>
      <c r="I667" t="s">
        <v>1</v>
      </c>
      <c r="J667">
        <v>3013</v>
      </c>
      <c r="K667">
        <v>2077.5259259259001</v>
      </c>
      <c r="L667">
        <v>0</v>
      </c>
      <c r="M667">
        <v>0</v>
      </c>
      <c r="N667">
        <v>3013</v>
      </c>
      <c r="O667"/>
      <c r="P667">
        <v>0</v>
      </c>
      <c r="Q667">
        <f t="shared" si="140"/>
        <v>0</v>
      </c>
      <c r="R667">
        <v>0</v>
      </c>
      <c r="S667">
        <f t="shared" si="141"/>
        <v>0</v>
      </c>
      <c r="T667">
        <v>0.02</v>
      </c>
      <c r="U667">
        <f t="shared" si="142"/>
        <v>0</v>
      </c>
      <c r="V667">
        <f t="shared" si="143"/>
        <v>0</v>
      </c>
      <c r="W667">
        <f t="shared" si="144"/>
        <v>0</v>
      </c>
      <c r="X667">
        <v>0</v>
      </c>
    </row>
    <row r="668" spans="1:24" x14ac:dyDescent="0.25">
      <c r="A668" t="s">
        <v>1928</v>
      </c>
      <c r="B668" t="s">
        <v>2007</v>
      </c>
      <c r="C668" t="s">
        <v>2008</v>
      </c>
      <c r="D668" t="s">
        <v>132</v>
      </c>
      <c r="E668" t="s">
        <v>74</v>
      </c>
      <c r="F668" t="s">
        <v>1</v>
      </c>
      <c r="G668" t="s">
        <v>621</v>
      </c>
      <c r="H668" t="s">
        <v>491</v>
      </c>
      <c r="I668" t="s">
        <v>1</v>
      </c>
      <c r="J668">
        <v>82238.41</v>
      </c>
      <c r="K668">
        <v>85749.960780568304</v>
      </c>
      <c r="L668">
        <v>38826.480000000003</v>
      </c>
      <c r="M668">
        <v>78296.492817679566</v>
      </c>
      <c r="N668">
        <v>80897.59</v>
      </c>
      <c r="O668">
        <v>78079.6246153846</v>
      </c>
      <c r="P668">
        <v>0</v>
      </c>
      <c r="Q668">
        <f t="shared" si="140"/>
        <v>78079.6246153846</v>
      </c>
      <c r="R668">
        <v>78079.6246153846</v>
      </c>
      <c r="S668">
        <f t="shared" si="141"/>
        <v>0</v>
      </c>
      <c r="T668">
        <v>3.5000000000000003E-2</v>
      </c>
      <c r="U668">
        <f t="shared" si="142"/>
        <v>2732.7868615384614</v>
      </c>
      <c r="V668">
        <f t="shared" si="143"/>
        <v>80812.411476923065</v>
      </c>
      <c r="W668">
        <f t="shared" si="144"/>
        <v>2732.786861538465</v>
      </c>
      <c r="X668">
        <v>0</v>
      </c>
    </row>
    <row r="669" spans="1:24" x14ac:dyDescent="0.25">
      <c r="A669" t="s">
        <v>1928</v>
      </c>
      <c r="B669" t="s">
        <v>2007</v>
      </c>
      <c r="C669" t="s">
        <v>2008</v>
      </c>
      <c r="D669" t="s">
        <v>132</v>
      </c>
      <c r="E669" t="s">
        <v>85</v>
      </c>
      <c r="F669" t="s">
        <v>1</v>
      </c>
      <c r="G669" t="s">
        <v>621</v>
      </c>
      <c r="H669" t="s">
        <v>510</v>
      </c>
      <c r="I669" t="s">
        <v>1</v>
      </c>
      <c r="J669">
        <v>1271.04</v>
      </c>
      <c r="K669">
        <v>2017.9433368141999</v>
      </c>
      <c r="L669">
        <v>21.3</v>
      </c>
      <c r="M669">
        <v>42.953038674033152</v>
      </c>
      <c r="N669">
        <v>100.08</v>
      </c>
      <c r="O669">
        <v>42.834065934100003</v>
      </c>
      <c r="P669">
        <v>0</v>
      </c>
      <c r="Q669">
        <f t="shared" si="140"/>
        <v>42.834065934100003</v>
      </c>
      <c r="R669">
        <v>42.834065934100003</v>
      </c>
      <c r="S669">
        <f t="shared" si="141"/>
        <v>0</v>
      </c>
      <c r="T669">
        <v>0.02</v>
      </c>
      <c r="U669">
        <f t="shared" si="142"/>
        <v>0.85668131868200004</v>
      </c>
      <c r="V669">
        <f t="shared" si="143"/>
        <v>43.690747252782003</v>
      </c>
      <c r="W669">
        <f t="shared" si="144"/>
        <v>0.85668131868199993</v>
      </c>
      <c r="X669">
        <v>0</v>
      </c>
    </row>
    <row r="670" spans="1:24" x14ac:dyDescent="0.25">
      <c r="A670" t="s">
        <v>1928</v>
      </c>
      <c r="B670" t="s">
        <v>2007</v>
      </c>
      <c r="C670" t="s">
        <v>2008</v>
      </c>
      <c r="D670" t="s">
        <v>132</v>
      </c>
      <c r="E670" t="s">
        <v>120</v>
      </c>
      <c r="F670" t="s">
        <v>1</v>
      </c>
      <c r="G670" t="s">
        <v>621</v>
      </c>
      <c r="H670" t="s">
        <v>589</v>
      </c>
      <c r="I670" t="s">
        <v>1</v>
      </c>
      <c r="J670">
        <v>5227.1000000000004</v>
      </c>
      <c r="K670">
        <v>3157.7125059424998</v>
      </c>
      <c r="L670">
        <v>8491.52</v>
      </c>
      <c r="M670">
        <v>17123.783425414367</v>
      </c>
      <c r="N670">
        <v>12411.82</v>
      </c>
      <c r="O670">
        <v>17076.3534065934</v>
      </c>
      <c r="P670">
        <v>0</v>
      </c>
      <c r="Q670">
        <f t="shared" si="140"/>
        <v>17076.3534065934</v>
      </c>
      <c r="R670">
        <v>17076.3534065934</v>
      </c>
      <c r="S670">
        <f t="shared" si="141"/>
        <v>0</v>
      </c>
      <c r="T670">
        <v>3.5000000000000003E-2</v>
      </c>
      <c r="U670">
        <f t="shared" si="142"/>
        <v>597.67236923076905</v>
      </c>
      <c r="V670">
        <f t="shared" si="143"/>
        <v>17674.025775824168</v>
      </c>
      <c r="W670">
        <f t="shared" si="144"/>
        <v>597.6723692307678</v>
      </c>
      <c r="X670">
        <v>0</v>
      </c>
    </row>
    <row r="671" spans="1:24" x14ac:dyDescent="0.25">
      <c r="A671" t="s">
        <v>1928</v>
      </c>
      <c r="B671" t="s">
        <v>2007</v>
      </c>
      <c r="C671" t="s">
        <v>2008</v>
      </c>
      <c r="D671" t="s">
        <v>132</v>
      </c>
      <c r="E671" t="s">
        <v>20</v>
      </c>
      <c r="F671" t="s">
        <v>1</v>
      </c>
      <c r="G671" t="s">
        <v>621</v>
      </c>
      <c r="H671" t="s">
        <v>420</v>
      </c>
      <c r="I671" t="s">
        <v>1</v>
      </c>
      <c r="J671">
        <v>64140.23</v>
      </c>
      <c r="K671">
        <v>58527.051540365901</v>
      </c>
      <c r="L671">
        <v>29570.34</v>
      </c>
      <c r="M671">
        <v>59630.796132596683</v>
      </c>
      <c r="N671">
        <v>63732.259999999995</v>
      </c>
      <c r="O671">
        <v>59465.628791208801</v>
      </c>
      <c r="P671">
        <v>0</v>
      </c>
      <c r="Q671">
        <f t="shared" si="140"/>
        <v>59465.628791208801</v>
      </c>
      <c r="R671">
        <v>59465.628791208801</v>
      </c>
      <c r="S671">
        <f t="shared" si="141"/>
        <v>0</v>
      </c>
      <c r="T671">
        <v>0.04</v>
      </c>
      <c r="U671">
        <f t="shared" si="142"/>
        <v>2378.6251516483521</v>
      </c>
      <c r="V671">
        <f t="shared" si="143"/>
        <v>61844.253942857154</v>
      </c>
      <c r="W671">
        <f t="shared" si="144"/>
        <v>2378.6251516483535</v>
      </c>
      <c r="X671">
        <v>0</v>
      </c>
    </row>
    <row r="672" spans="1:24" x14ac:dyDescent="0.25">
      <c r="A672" t="s">
        <v>1928</v>
      </c>
      <c r="B672" t="s">
        <v>2007</v>
      </c>
      <c r="C672" t="s">
        <v>2008</v>
      </c>
      <c r="D672" t="s">
        <v>132</v>
      </c>
      <c r="E672" t="s">
        <v>21</v>
      </c>
      <c r="F672" t="s">
        <v>1</v>
      </c>
      <c r="G672" t="s">
        <v>621</v>
      </c>
      <c r="H672" t="s">
        <v>421</v>
      </c>
      <c r="I672" t="s">
        <v>1</v>
      </c>
      <c r="J672">
        <v>12496.52</v>
      </c>
      <c r="K672">
        <v>12969.64</v>
      </c>
      <c r="L672">
        <v>5411.48</v>
      </c>
      <c r="M672">
        <v>10912.653038674032</v>
      </c>
      <c r="N672">
        <v>11478.41</v>
      </c>
      <c r="O672">
        <v>10912.653038674</v>
      </c>
      <c r="P672">
        <v>0</v>
      </c>
      <c r="Q672">
        <f t="shared" si="140"/>
        <v>10912.653038674</v>
      </c>
      <c r="R672">
        <v>10912.653038674</v>
      </c>
      <c r="S672">
        <f t="shared" si="141"/>
        <v>0</v>
      </c>
      <c r="T672">
        <v>0.03</v>
      </c>
      <c r="U672">
        <f t="shared" si="142"/>
        <v>327.37959116022</v>
      </c>
      <c r="V672">
        <f t="shared" si="143"/>
        <v>11240.032629834219</v>
      </c>
      <c r="W672">
        <f t="shared" si="144"/>
        <v>327.37959116021921</v>
      </c>
      <c r="X672">
        <v>0</v>
      </c>
    </row>
    <row r="673" spans="1:24" x14ac:dyDescent="0.25">
      <c r="A673" t="s">
        <v>1928</v>
      </c>
      <c r="B673" t="s">
        <v>2007</v>
      </c>
      <c r="C673" t="s">
        <v>2008</v>
      </c>
      <c r="D673" t="s">
        <v>132</v>
      </c>
      <c r="E673" t="s">
        <v>22</v>
      </c>
      <c r="F673" t="s">
        <v>1</v>
      </c>
      <c r="G673" t="s">
        <v>621</v>
      </c>
      <c r="H673" t="s">
        <v>422</v>
      </c>
      <c r="I673" t="s">
        <v>1</v>
      </c>
      <c r="J673">
        <v>14294.08</v>
      </c>
      <c r="K673">
        <v>16497.9000000001</v>
      </c>
      <c r="L673">
        <v>4758.8999999999996</v>
      </c>
      <c r="M673">
        <v>9596.6767955801097</v>
      </c>
      <c r="N673">
        <v>11080.95</v>
      </c>
      <c r="O673">
        <v>9596.6767955801006</v>
      </c>
      <c r="P673">
        <v>0</v>
      </c>
      <c r="Q673">
        <f t="shared" si="140"/>
        <v>9596.6767955801006</v>
      </c>
      <c r="R673">
        <v>9596.6767955801006</v>
      </c>
      <c r="S673">
        <f t="shared" si="141"/>
        <v>0</v>
      </c>
      <c r="T673">
        <v>3.5000000000000003E-2</v>
      </c>
      <c r="U673">
        <f t="shared" si="142"/>
        <v>335.88368784530354</v>
      </c>
      <c r="V673">
        <f t="shared" si="143"/>
        <v>9932.5604834254045</v>
      </c>
      <c r="W673">
        <f t="shared" si="144"/>
        <v>335.88368784530394</v>
      </c>
      <c r="X673">
        <v>0</v>
      </c>
    </row>
    <row r="674" spans="1:24" x14ac:dyDescent="0.25">
      <c r="A674" t="s">
        <v>1928</v>
      </c>
      <c r="B674" t="s">
        <v>2007</v>
      </c>
      <c r="C674" t="s">
        <v>2008</v>
      </c>
      <c r="D674" t="s">
        <v>132</v>
      </c>
      <c r="E674" t="s">
        <v>23</v>
      </c>
      <c r="F674" t="s">
        <v>1</v>
      </c>
      <c r="G674" t="s">
        <v>621</v>
      </c>
      <c r="H674" t="s">
        <v>423</v>
      </c>
      <c r="I674" t="s">
        <v>1</v>
      </c>
      <c r="J674">
        <v>4061.83</v>
      </c>
      <c r="K674">
        <v>4026.1499999998</v>
      </c>
      <c r="L674">
        <v>2607.48</v>
      </c>
      <c r="M674">
        <v>5258.1779005524859</v>
      </c>
      <c r="N674">
        <v>4723.2400000000007</v>
      </c>
      <c r="O674">
        <v>5258.1779005525004</v>
      </c>
      <c r="P674">
        <v>0</v>
      </c>
      <c r="Q674">
        <f t="shared" si="140"/>
        <v>5258.1779005525004</v>
      </c>
      <c r="R674">
        <v>5258.1779005525004</v>
      </c>
      <c r="S674">
        <f t="shared" si="141"/>
        <v>0</v>
      </c>
      <c r="T674">
        <v>3.5000000000000003E-2</v>
      </c>
      <c r="U674">
        <f t="shared" si="142"/>
        <v>184.03622651933753</v>
      </c>
      <c r="V674">
        <f t="shared" si="143"/>
        <v>5442.2141270718375</v>
      </c>
      <c r="W674">
        <f t="shared" si="144"/>
        <v>184.03622651933711</v>
      </c>
      <c r="X674">
        <v>0</v>
      </c>
    </row>
    <row r="675" spans="1:24" x14ac:dyDescent="0.25">
      <c r="A675" t="s">
        <v>1928</v>
      </c>
      <c r="B675" t="s">
        <v>2007</v>
      </c>
      <c r="C675" t="s">
        <v>2008</v>
      </c>
      <c r="D675" t="s">
        <v>132</v>
      </c>
      <c r="E675" t="s">
        <v>26</v>
      </c>
      <c r="F675" t="s">
        <v>1</v>
      </c>
      <c r="G675" t="s">
        <v>621</v>
      </c>
      <c r="H675" t="s">
        <v>426</v>
      </c>
      <c r="I675" t="s">
        <v>1</v>
      </c>
      <c r="J675"/>
      <c r="K675">
        <v>981.23836829519996</v>
      </c>
      <c r="L675">
        <v>0</v>
      </c>
      <c r="M675">
        <v>0</v>
      </c>
      <c r="N675">
        <v>0</v>
      </c>
      <c r="O675"/>
      <c r="P675">
        <v>1000</v>
      </c>
      <c r="Q675">
        <f t="shared" si="140"/>
        <v>1000</v>
      </c>
      <c r="R675">
        <v>1000</v>
      </c>
      <c r="S675">
        <f t="shared" si="141"/>
        <v>0</v>
      </c>
      <c r="T675"/>
      <c r="U675">
        <f t="shared" si="142"/>
        <v>0</v>
      </c>
      <c r="V675">
        <f t="shared" si="143"/>
        <v>1000</v>
      </c>
      <c r="W675">
        <f t="shared" si="144"/>
        <v>0</v>
      </c>
      <c r="X675" t="s">
        <v>1460</v>
      </c>
    </row>
    <row r="676" spans="1:24" x14ac:dyDescent="0.25">
      <c r="A676" t="s">
        <v>1928</v>
      </c>
      <c r="B676" t="s">
        <v>2007</v>
      </c>
      <c r="C676" t="s">
        <v>2008</v>
      </c>
      <c r="D676" t="s">
        <v>132</v>
      </c>
      <c r="E676" t="s">
        <v>28</v>
      </c>
      <c r="F676" t="s">
        <v>1</v>
      </c>
      <c r="G676" t="s">
        <v>621</v>
      </c>
      <c r="H676" t="s">
        <v>428</v>
      </c>
      <c r="I676" t="s">
        <v>1</v>
      </c>
      <c r="J676">
        <v>17234.439999999999</v>
      </c>
      <c r="K676">
        <v>9429.9999999995998</v>
      </c>
      <c r="L676">
        <v>4038.45</v>
      </c>
      <c r="M676">
        <v>8143.8356353591162</v>
      </c>
      <c r="N676">
        <v>12962.73</v>
      </c>
      <c r="O676">
        <v>8076.9</v>
      </c>
      <c r="P676">
        <v>0</v>
      </c>
      <c r="Q676">
        <f t="shared" si="140"/>
        <v>8076.9</v>
      </c>
      <c r="R676">
        <v>8076.9</v>
      </c>
      <c r="S676">
        <f t="shared" si="141"/>
        <v>0</v>
      </c>
      <c r="T676"/>
      <c r="U676">
        <f t="shared" si="142"/>
        <v>0</v>
      </c>
      <c r="V676">
        <f t="shared" si="143"/>
        <v>8076.9</v>
      </c>
      <c r="W676">
        <f t="shared" si="144"/>
        <v>0</v>
      </c>
      <c r="X676">
        <v>0</v>
      </c>
    </row>
    <row r="677" spans="1:24" x14ac:dyDescent="0.25">
      <c r="A677" t="s">
        <v>1928</v>
      </c>
      <c r="B677" t="s">
        <v>2007</v>
      </c>
      <c r="C677" t="s">
        <v>2008</v>
      </c>
      <c r="D677" t="s">
        <v>132</v>
      </c>
      <c r="E677" t="s">
        <v>29</v>
      </c>
      <c r="F677" t="s">
        <v>1</v>
      </c>
      <c r="G677" t="s">
        <v>621</v>
      </c>
      <c r="H677" t="s">
        <v>429</v>
      </c>
      <c r="I677" t="s">
        <v>1</v>
      </c>
      <c r="J677">
        <v>2465.6</v>
      </c>
      <c r="K677">
        <v>3510</v>
      </c>
      <c r="L677">
        <v>512.5</v>
      </c>
      <c r="M677">
        <v>1033.4944751381215</v>
      </c>
      <c r="N677">
        <v>2463.1</v>
      </c>
      <c r="O677">
        <v>1025</v>
      </c>
      <c r="P677">
        <v>0</v>
      </c>
      <c r="Q677">
        <f t="shared" si="140"/>
        <v>1025</v>
      </c>
      <c r="R677">
        <v>1025</v>
      </c>
      <c r="S677">
        <f t="shared" si="141"/>
        <v>0</v>
      </c>
      <c r="T677"/>
      <c r="U677">
        <f t="shared" si="142"/>
        <v>0</v>
      </c>
      <c r="V677">
        <f t="shared" si="143"/>
        <v>1025</v>
      </c>
      <c r="W677">
        <f t="shared" si="144"/>
        <v>0</v>
      </c>
      <c r="X677">
        <v>0</v>
      </c>
    </row>
    <row r="678" spans="1:24" x14ac:dyDescent="0.25">
      <c r="A678" t="s">
        <v>1928</v>
      </c>
      <c r="B678" t="s">
        <v>2007</v>
      </c>
      <c r="C678" t="s">
        <v>2008</v>
      </c>
      <c r="D678" t="s">
        <v>132</v>
      </c>
      <c r="E678" t="s">
        <v>31</v>
      </c>
      <c r="F678" t="s">
        <v>1</v>
      </c>
      <c r="G678" t="s">
        <v>621</v>
      </c>
      <c r="H678" t="s">
        <v>431</v>
      </c>
      <c r="I678" t="s">
        <v>1</v>
      </c>
      <c r="J678">
        <v>1970</v>
      </c>
      <c r="K678">
        <v>2495.0000000004002</v>
      </c>
      <c r="L678">
        <v>1960</v>
      </c>
      <c r="M678">
        <v>3952.4861878453039</v>
      </c>
      <c r="N678">
        <v>1960</v>
      </c>
      <c r="O678">
        <v>3920</v>
      </c>
      <c r="P678">
        <v>0</v>
      </c>
      <c r="Q678">
        <f t="shared" si="140"/>
        <v>3920</v>
      </c>
      <c r="R678">
        <v>3920</v>
      </c>
      <c r="S678">
        <f t="shared" si="141"/>
        <v>0</v>
      </c>
      <c r="T678"/>
      <c r="U678">
        <f t="shared" si="142"/>
        <v>0</v>
      </c>
      <c r="V678">
        <f t="shared" si="143"/>
        <v>3920</v>
      </c>
      <c r="W678">
        <f t="shared" si="144"/>
        <v>0</v>
      </c>
      <c r="X678">
        <v>0</v>
      </c>
    </row>
    <row r="679" spans="1:24" x14ac:dyDescent="0.25">
      <c r="A679" t="s">
        <v>1928</v>
      </c>
      <c r="B679" t="s">
        <v>2007</v>
      </c>
      <c r="C679" t="s">
        <v>2008</v>
      </c>
      <c r="D679" t="s">
        <v>132</v>
      </c>
      <c r="E679" t="s">
        <v>33</v>
      </c>
      <c r="F679" t="s">
        <v>1</v>
      </c>
      <c r="G679" t="s">
        <v>621</v>
      </c>
      <c r="H679" t="s">
        <v>433</v>
      </c>
      <c r="I679" t="s">
        <v>1</v>
      </c>
      <c r="J679"/>
      <c r="K679">
        <v>245.30959207320001</v>
      </c>
      <c r="L679">
        <v>0</v>
      </c>
      <c r="M679">
        <v>0</v>
      </c>
      <c r="N679">
        <v>0</v>
      </c>
      <c r="O679"/>
      <c r="P679">
        <v>500</v>
      </c>
      <c r="Q679">
        <f t="shared" si="140"/>
        <v>500</v>
      </c>
      <c r="R679">
        <v>500</v>
      </c>
      <c r="S679">
        <f t="shared" si="141"/>
        <v>0</v>
      </c>
      <c r="T679"/>
      <c r="U679">
        <f t="shared" si="142"/>
        <v>0</v>
      </c>
      <c r="V679">
        <f t="shared" si="143"/>
        <v>500</v>
      </c>
      <c r="W679">
        <f t="shared" si="144"/>
        <v>0</v>
      </c>
      <c r="X679" t="s">
        <v>1461</v>
      </c>
    </row>
    <row r="680" spans="1:24" x14ac:dyDescent="0.25">
      <c r="A680" t="s">
        <v>1928</v>
      </c>
      <c r="B680" t="s">
        <v>2007</v>
      </c>
      <c r="C680" t="s">
        <v>2008</v>
      </c>
      <c r="D680" t="s">
        <v>132</v>
      </c>
      <c r="E680" t="s">
        <v>35</v>
      </c>
      <c r="F680" t="s">
        <v>1</v>
      </c>
      <c r="G680" t="s">
        <v>621</v>
      </c>
      <c r="H680" t="s">
        <v>435</v>
      </c>
      <c r="I680" t="s">
        <v>1</v>
      </c>
      <c r="J680"/>
      <c r="K680">
        <v>140.00000000040001</v>
      </c>
      <c r="L680">
        <v>168.91</v>
      </c>
      <c r="M680">
        <v>340.61961325966848</v>
      </c>
      <c r="N680">
        <v>168.91</v>
      </c>
      <c r="O680">
        <v>337.82</v>
      </c>
      <c r="P680">
        <v>0</v>
      </c>
      <c r="Q680">
        <f t="shared" si="140"/>
        <v>337.82</v>
      </c>
      <c r="R680">
        <v>337.82</v>
      </c>
      <c r="S680">
        <f t="shared" si="141"/>
        <v>0</v>
      </c>
      <c r="T680"/>
      <c r="U680">
        <f t="shared" si="142"/>
        <v>0</v>
      </c>
      <c r="V680">
        <f t="shared" si="143"/>
        <v>337.82</v>
      </c>
      <c r="W680">
        <f t="shared" si="144"/>
        <v>0</v>
      </c>
      <c r="X680">
        <v>0</v>
      </c>
    </row>
    <row r="681" spans="1:24" x14ac:dyDescent="0.25">
      <c r="A681" t="s">
        <v>1928</v>
      </c>
      <c r="B681" t="s">
        <v>2007</v>
      </c>
      <c r="C681" t="s">
        <v>2008</v>
      </c>
      <c r="D681" t="s">
        <v>132</v>
      </c>
      <c r="E681" t="s">
        <v>37</v>
      </c>
      <c r="F681" t="s">
        <v>1</v>
      </c>
      <c r="G681" t="s">
        <v>621</v>
      </c>
      <c r="H681" t="s">
        <v>437</v>
      </c>
      <c r="I681" t="s">
        <v>1</v>
      </c>
      <c r="J681">
        <v>1706.64</v>
      </c>
      <c r="K681">
        <v>1471.8575524416001</v>
      </c>
      <c r="L681">
        <v>121.3</v>
      </c>
      <c r="M681">
        <v>244.61049723756906</v>
      </c>
      <c r="N681">
        <v>1827.9399999999998</v>
      </c>
      <c r="O681">
        <v>242.6</v>
      </c>
      <c r="P681">
        <v>1257</v>
      </c>
      <c r="Q681">
        <f t="shared" si="140"/>
        <v>1499.6</v>
      </c>
      <c r="R681">
        <v>1500</v>
      </c>
      <c r="S681">
        <f t="shared" si="141"/>
        <v>0.40000000000009095</v>
      </c>
      <c r="T681"/>
      <c r="U681">
        <f t="shared" si="142"/>
        <v>0</v>
      </c>
      <c r="V681">
        <f t="shared" si="143"/>
        <v>1500</v>
      </c>
      <c r="W681">
        <f t="shared" si="144"/>
        <v>0.40000000000009095</v>
      </c>
      <c r="X681" t="s">
        <v>1423</v>
      </c>
    </row>
    <row r="682" spans="1:24" x14ac:dyDescent="0.25">
      <c r="A682" t="s">
        <v>1928</v>
      </c>
      <c r="B682" t="s">
        <v>2007</v>
      </c>
      <c r="C682" t="s">
        <v>2008</v>
      </c>
      <c r="D682" t="s">
        <v>132</v>
      </c>
      <c r="E682" t="s">
        <v>121</v>
      </c>
      <c r="F682" t="s">
        <v>1</v>
      </c>
      <c r="G682" t="s">
        <v>621</v>
      </c>
      <c r="H682" t="s">
        <v>590</v>
      </c>
      <c r="I682" t="s">
        <v>1</v>
      </c>
      <c r="J682">
        <v>5434</v>
      </c>
      <c r="K682">
        <v>99166.590106162796</v>
      </c>
      <c r="L682">
        <v>3746</v>
      </c>
      <c r="M682">
        <v>7554.0883977900548</v>
      </c>
      <c r="N682">
        <v>9180</v>
      </c>
      <c r="O682">
        <v>7492</v>
      </c>
      <c r="P682">
        <v>-7492</v>
      </c>
      <c r="Q682">
        <f t="shared" si="140"/>
        <v>0</v>
      </c>
      <c r="R682">
        <v>0</v>
      </c>
      <c r="S682">
        <f t="shared" si="141"/>
        <v>0</v>
      </c>
      <c r="T682"/>
      <c r="U682">
        <f t="shared" si="142"/>
        <v>0</v>
      </c>
      <c r="V682">
        <f t="shared" si="143"/>
        <v>0</v>
      </c>
      <c r="W682">
        <f t="shared" si="144"/>
        <v>0</v>
      </c>
      <c r="X682">
        <v>0</v>
      </c>
    </row>
    <row r="683" spans="1:24" x14ac:dyDescent="0.25">
      <c r="A683" t="s">
        <v>1928</v>
      </c>
      <c r="B683" t="s">
        <v>2007</v>
      </c>
      <c r="C683" t="s">
        <v>2008</v>
      </c>
      <c r="D683" t="s">
        <v>132</v>
      </c>
      <c r="E683" t="s">
        <v>41</v>
      </c>
      <c r="F683" t="s">
        <v>1</v>
      </c>
      <c r="G683" t="s">
        <v>621</v>
      </c>
      <c r="H683" t="s">
        <v>441</v>
      </c>
      <c r="I683" t="s">
        <v>1</v>
      </c>
      <c r="J683">
        <v>996.23</v>
      </c>
      <c r="K683">
        <v>1041.7399999992001</v>
      </c>
      <c r="L683">
        <v>563.01</v>
      </c>
      <c r="M683">
        <v>1135.3516574585635</v>
      </c>
      <c r="N683">
        <v>809.63000000000011</v>
      </c>
      <c r="O683">
        <v>1126.02</v>
      </c>
      <c r="P683">
        <v>0</v>
      </c>
      <c r="Q683">
        <f t="shared" si="140"/>
        <v>1126.02</v>
      </c>
      <c r="R683">
        <v>1126.02</v>
      </c>
      <c r="S683">
        <f t="shared" si="141"/>
        <v>0</v>
      </c>
      <c r="T683">
        <v>0.03</v>
      </c>
      <c r="U683">
        <f t="shared" si="142"/>
        <v>33.7806</v>
      </c>
      <c r="V683">
        <f t="shared" si="143"/>
        <v>1159.8006</v>
      </c>
      <c r="W683">
        <f t="shared" si="144"/>
        <v>33.780600000000049</v>
      </c>
      <c r="X683">
        <v>0</v>
      </c>
    </row>
    <row r="684" spans="1:24" x14ac:dyDescent="0.25">
      <c r="A684" t="s">
        <v>1928</v>
      </c>
      <c r="B684" t="s">
        <v>2007</v>
      </c>
      <c r="C684" t="s">
        <v>2008</v>
      </c>
      <c r="D684" t="s">
        <v>132</v>
      </c>
      <c r="E684" t="s">
        <v>43</v>
      </c>
      <c r="F684" t="s">
        <v>1</v>
      </c>
      <c r="G684" t="s">
        <v>621</v>
      </c>
      <c r="H684" t="s">
        <v>443</v>
      </c>
      <c r="I684" t="s">
        <v>1</v>
      </c>
      <c r="J684">
        <v>4317</v>
      </c>
      <c r="K684"/>
      <c r="L684">
        <v>0</v>
      </c>
      <c r="M684">
        <v>0</v>
      </c>
      <c r="N684">
        <v>35</v>
      </c>
      <c r="O684"/>
      <c r="P684">
        <v>0</v>
      </c>
      <c r="Q684">
        <f t="shared" si="140"/>
        <v>0</v>
      </c>
      <c r="R684">
        <v>0</v>
      </c>
      <c r="S684">
        <f t="shared" si="141"/>
        <v>0</v>
      </c>
      <c r="T684">
        <v>0.03</v>
      </c>
      <c r="U684">
        <f t="shared" si="142"/>
        <v>0</v>
      </c>
      <c r="V684">
        <f t="shared" si="143"/>
        <v>0</v>
      </c>
      <c r="W684">
        <f t="shared" si="144"/>
        <v>0</v>
      </c>
      <c r="X684">
        <v>0</v>
      </c>
    </row>
    <row r="685" spans="1:24" x14ac:dyDescent="0.25">
      <c r="A685" t="s">
        <v>1928</v>
      </c>
      <c r="B685" t="s">
        <v>2007</v>
      </c>
      <c r="C685" t="s">
        <v>2008</v>
      </c>
      <c r="D685" t="s">
        <v>132</v>
      </c>
      <c r="E685" t="s">
        <v>134</v>
      </c>
      <c r="F685" t="s">
        <v>1</v>
      </c>
      <c r="G685" t="s">
        <v>621</v>
      </c>
      <c r="H685" t="s">
        <v>623</v>
      </c>
      <c r="I685" t="s">
        <v>1</v>
      </c>
      <c r="J685">
        <v>1712</v>
      </c>
      <c r="K685">
        <v>4025.0000000004002</v>
      </c>
      <c r="L685">
        <v>-35</v>
      </c>
      <c r="M685">
        <v>-70.58011049723757</v>
      </c>
      <c r="N685">
        <v>-35</v>
      </c>
      <c r="O685">
        <v>-70</v>
      </c>
      <c r="P685">
        <v>4095</v>
      </c>
      <c r="Q685">
        <f t="shared" si="140"/>
        <v>4025</v>
      </c>
      <c r="R685">
        <v>4025</v>
      </c>
      <c r="S685">
        <f t="shared" si="141"/>
        <v>0</v>
      </c>
      <c r="T685">
        <v>0.03</v>
      </c>
      <c r="U685">
        <f t="shared" si="142"/>
        <v>120.75</v>
      </c>
      <c r="V685">
        <f t="shared" si="143"/>
        <v>4145.75</v>
      </c>
      <c r="W685">
        <f t="shared" si="144"/>
        <v>120.75</v>
      </c>
      <c r="X685" t="s">
        <v>1427</v>
      </c>
    </row>
    <row r="686" spans="1:24" x14ac:dyDescent="0.25">
      <c r="A686" t="s">
        <v>1928</v>
      </c>
      <c r="B686" t="s">
        <v>2007</v>
      </c>
      <c r="C686" t="s">
        <v>2008</v>
      </c>
      <c r="D686" t="s">
        <v>132</v>
      </c>
      <c r="E686" t="s">
        <v>46</v>
      </c>
      <c r="F686" t="s">
        <v>1</v>
      </c>
      <c r="G686" t="s">
        <v>621</v>
      </c>
      <c r="H686" t="s">
        <v>446</v>
      </c>
      <c r="I686" t="s">
        <v>1</v>
      </c>
      <c r="J686">
        <v>1923</v>
      </c>
      <c r="K686"/>
      <c r="L686">
        <v>0</v>
      </c>
      <c r="M686">
        <v>0</v>
      </c>
      <c r="N686">
        <v>0</v>
      </c>
      <c r="O686"/>
      <c r="P686">
        <v>0</v>
      </c>
      <c r="Q686">
        <f t="shared" si="140"/>
        <v>0</v>
      </c>
      <c r="R686">
        <v>0</v>
      </c>
      <c r="S686">
        <f t="shared" si="141"/>
        <v>0</v>
      </c>
      <c r="T686">
        <v>0.03</v>
      </c>
      <c r="U686">
        <f t="shared" si="142"/>
        <v>0</v>
      </c>
      <c r="V686">
        <f t="shared" si="143"/>
        <v>0</v>
      </c>
      <c r="W686">
        <f t="shared" si="144"/>
        <v>0</v>
      </c>
      <c r="X686">
        <v>0</v>
      </c>
    </row>
    <row r="687" spans="1:24" x14ac:dyDescent="0.25">
      <c r="A687" t="s">
        <v>1928</v>
      </c>
      <c r="B687" t="s">
        <v>2007</v>
      </c>
      <c r="C687" t="s">
        <v>2008</v>
      </c>
      <c r="D687" t="s">
        <v>132</v>
      </c>
      <c r="E687" t="s">
        <v>50</v>
      </c>
      <c r="F687" t="s">
        <v>1</v>
      </c>
      <c r="G687" t="s">
        <v>621</v>
      </c>
      <c r="H687" t="s">
        <v>450</v>
      </c>
      <c r="I687" t="s">
        <v>1</v>
      </c>
      <c r="J687">
        <v>1102.1400000000001</v>
      </c>
      <c r="K687">
        <v>1070</v>
      </c>
      <c r="L687">
        <v>393.18</v>
      </c>
      <c r="M687">
        <v>792.87679558011064</v>
      </c>
      <c r="N687">
        <v>1003.8299999999997</v>
      </c>
      <c r="O687">
        <v>792.87679558009995</v>
      </c>
      <c r="P687">
        <v>0</v>
      </c>
      <c r="Q687">
        <f t="shared" si="140"/>
        <v>792.87679558009995</v>
      </c>
      <c r="R687">
        <v>792.87679558009995</v>
      </c>
      <c r="S687">
        <f t="shared" si="141"/>
        <v>0</v>
      </c>
      <c r="T687"/>
      <c r="U687">
        <f t="shared" si="142"/>
        <v>0</v>
      </c>
      <c r="V687">
        <f t="shared" si="143"/>
        <v>792.87679558009995</v>
      </c>
      <c r="W687">
        <f t="shared" si="144"/>
        <v>0</v>
      </c>
      <c r="X687">
        <v>0</v>
      </c>
    </row>
    <row r="688" spans="1:24" x14ac:dyDescent="0.25">
      <c r="A688" t="s">
        <v>1928</v>
      </c>
      <c r="B688" t="s">
        <v>2007</v>
      </c>
      <c r="C688" t="s">
        <v>2008</v>
      </c>
      <c r="D688" t="s">
        <v>132</v>
      </c>
      <c r="E688" t="s">
        <v>51</v>
      </c>
      <c r="F688" t="s">
        <v>51</v>
      </c>
      <c r="G688" t="s">
        <v>624</v>
      </c>
      <c r="H688"/>
      <c r="I688"/>
      <c r="J688">
        <v>611338.57999999984</v>
      </c>
      <c r="K688">
        <v>735711.99438057875</v>
      </c>
      <c r="L688">
        <v>259124.09000000003</v>
      </c>
      <c r="M688">
        <v>522543.05441988941</v>
      </c>
      <c r="N688">
        <v>551695.81999999995</v>
      </c>
      <c r="O688">
        <v>521076.94055612839</v>
      </c>
      <c r="P688">
        <f>SUMIF($F$655:$F$687,"&lt;&gt;EV_*",$P$655:$P$687)</f>
        <v>-17634</v>
      </c>
      <c r="Q688">
        <f>SUMIF($F$655:$F$687,"&lt;&gt;EV_*",$Q$655:$Q$687)</f>
        <v>503442.94055612839</v>
      </c>
      <c r="R688">
        <f>SUMIF($F$655:$F$687,"&lt;&gt;EV_*",$R$655:$R$687)</f>
        <v>505202.27551939728</v>
      </c>
      <c r="S688">
        <f>SUMIF($F$655:$F$687,"&lt;&gt;EV_*",$S$655:$S$687)</f>
        <v>1759.3349632688983</v>
      </c>
      <c r="T688">
        <v>0</v>
      </c>
      <c r="U688">
        <f>SUMIF($F$655:$F$687,"&lt;&gt;EV_*",$U$655:$U$687)</f>
        <v>13116.487217612765</v>
      </c>
      <c r="V688">
        <f>SUMIF($F$655:$F$687,"&lt;&gt;EV_*",$V$655:$V$687)</f>
        <v>518318.76273701002</v>
      </c>
      <c r="W688">
        <f>SUMIF($F$655:$F$687,"&lt;&gt;EV_*",$W$655:$W$687)</f>
        <v>14875.82218088166</v>
      </c>
      <c r="X688">
        <f>SUMIF($F$655:$F$687,"&lt;&gt;EV_*",$X$655:$X$687)</f>
        <v>0</v>
      </c>
    </row>
    <row r="689" spans="1:24" x14ac:dyDescent="0.25">
      <c r="A689" t="s">
        <v>1928</v>
      </c>
      <c r="B689" t="s">
        <v>2007</v>
      </c>
      <c r="C689" t="s">
        <v>2009</v>
      </c>
      <c r="D689" t="s">
        <v>135</v>
      </c>
      <c r="E689" t="s">
        <v>5</v>
      </c>
      <c r="F689" t="s">
        <v>5</v>
      </c>
      <c r="G689" t="s">
        <v>625</v>
      </c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</row>
    <row r="690" spans="1:24" x14ac:dyDescent="0.25">
      <c r="A690" t="s">
        <v>1928</v>
      </c>
      <c r="B690" t="s">
        <v>2007</v>
      </c>
      <c r="C690" t="s">
        <v>2009</v>
      </c>
      <c r="D690" t="s">
        <v>135</v>
      </c>
      <c r="E690" t="s">
        <v>8</v>
      </c>
      <c r="F690" t="s">
        <v>1</v>
      </c>
      <c r="G690" t="s">
        <v>626</v>
      </c>
      <c r="H690" t="s">
        <v>408</v>
      </c>
      <c r="I690" t="s">
        <v>1</v>
      </c>
      <c r="J690">
        <v>83554.12</v>
      </c>
      <c r="K690">
        <v>83919.428729281906</v>
      </c>
      <c r="L690">
        <v>12284.52</v>
      </c>
      <c r="M690">
        <v>24772.650828729282</v>
      </c>
      <c r="N690">
        <v>54223.8</v>
      </c>
      <c r="O690">
        <v>24772.6508287293</v>
      </c>
      <c r="P690">
        <v>-24773</v>
      </c>
      <c r="Q690">
        <f t="shared" ref="Q690:Q714" si="145">O690+P690</f>
        <v>-0.34917127070002607</v>
      </c>
      <c r="R690">
        <v>0</v>
      </c>
      <c r="S690">
        <f t="shared" ref="S690:S714" si="146">IF(OR(LEFT(E690,2)="A_",LEFT(D690,5)="Total"),R690-Q690,"")</f>
        <v>0.34917127070002607</v>
      </c>
      <c r="T690"/>
      <c r="U690">
        <f t="shared" ref="U690:U714" si="147">IFERROR(R690*T690,R690*0)</f>
        <v>0</v>
      </c>
      <c r="V690">
        <f t="shared" ref="V690:V714" si="148">IF(OR(LEFT(E690,2)="A_",LEFT(D690,5)="Total"),R690+U690,"")</f>
        <v>0</v>
      </c>
      <c r="W690">
        <f t="shared" ref="W690:W714" si="149">IF(OR(LEFT(E690,2)="A_",LEFT(D690,5)="Total"),V690-Q690,"")</f>
        <v>0.34917127070002607</v>
      </c>
      <c r="X690">
        <v>0</v>
      </c>
    </row>
    <row r="691" spans="1:24" x14ac:dyDescent="0.25">
      <c r="A691" t="s">
        <v>1928</v>
      </c>
      <c r="B691" t="s">
        <v>2007</v>
      </c>
      <c r="C691" t="s">
        <v>2009</v>
      </c>
      <c r="D691" t="s">
        <v>135</v>
      </c>
      <c r="E691" t="s">
        <v>11</v>
      </c>
      <c r="F691" t="s">
        <v>1</v>
      </c>
      <c r="G691" t="s">
        <v>626</v>
      </c>
      <c r="H691" t="s">
        <v>411</v>
      </c>
      <c r="I691" t="s">
        <v>1</v>
      </c>
      <c r="J691">
        <v>1059.98</v>
      </c>
      <c r="K691">
        <v>912.31000000079996</v>
      </c>
      <c r="L691">
        <v>464.33</v>
      </c>
      <c r="M691">
        <v>936.35607734806626</v>
      </c>
      <c r="N691">
        <v>963.17</v>
      </c>
      <c r="O691">
        <v>928.66</v>
      </c>
      <c r="P691">
        <v>8</v>
      </c>
      <c r="Q691">
        <f t="shared" si="145"/>
        <v>936.66</v>
      </c>
      <c r="R691">
        <v>936.35607734806626</v>
      </c>
      <c r="S691">
        <f t="shared" si="146"/>
        <v>-0.30392265193370349</v>
      </c>
      <c r="T691"/>
      <c r="U691">
        <f t="shared" si="147"/>
        <v>0</v>
      </c>
      <c r="V691">
        <f t="shared" si="148"/>
        <v>936.35607734806626</v>
      </c>
      <c r="W691">
        <f t="shared" si="149"/>
        <v>-0.30392265193370349</v>
      </c>
      <c r="X691">
        <v>0</v>
      </c>
    </row>
    <row r="692" spans="1:24" x14ac:dyDescent="0.25">
      <c r="A692" t="s">
        <v>1928</v>
      </c>
      <c r="B692" t="s">
        <v>2007</v>
      </c>
      <c r="C692" t="s">
        <v>2009</v>
      </c>
      <c r="D692" t="s">
        <v>135</v>
      </c>
      <c r="E692" t="s">
        <v>65</v>
      </c>
      <c r="F692" t="s">
        <v>1</v>
      </c>
      <c r="G692" t="s">
        <v>626</v>
      </c>
      <c r="H692" t="s">
        <v>476</v>
      </c>
      <c r="I692" t="s">
        <v>1</v>
      </c>
      <c r="J692">
        <v>-601.63</v>
      </c>
      <c r="K692"/>
      <c r="L692">
        <v>-446.07</v>
      </c>
      <c r="M692">
        <v>-899.53342541436461</v>
      </c>
      <c r="N692">
        <v>-730.24999999999989</v>
      </c>
      <c r="O692">
        <v>-897.04186813189995</v>
      </c>
      <c r="P692">
        <v>0</v>
      </c>
      <c r="Q692">
        <f t="shared" si="145"/>
        <v>-897.04186813189995</v>
      </c>
      <c r="R692">
        <v>0</v>
      </c>
      <c r="S692">
        <f t="shared" si="146"/>
        <v>897.04186813189995</v>
      </c>
      <c r="T692"/>
      <c r="U692">
        <f t="shared" si="147"/>
        <v>0</v>
      </c>
      <c r="V692">
        <f t="shared" si="148"/>
        <v>0</v>
      </c>
      <c r="W692">
        <f t="shared" si="149"/>
        <v>897.04186813189995</v>
      </c>
      <c r="X692">
        <v>0</v>
      </c>
    </row>
    <row r="693" spans="1:24" x14ac:dyDescent="0.25">
      <c r="A693" t="s">
        <v>1928</v>
      </c>
      <c r="B693" t="s">
        <v>2007</v>
      </c>
      <c r="C693" t="s">
        <v>2009</v>
      </c>
      <c r="D693" t="s">
        <v>135</v>
      </c>
      <c r="E693" t="s">
        <v>17</v>
      </c>
      <c r="F693" t="s">
        <v>1</v>
      </c>
      <c r="G693" t="s">
        <v>626</v>
      </c>
      <c r="H693" t="s">
        <v>417</v>
      </c>
      <c r="I693" t="s">
        <v>1</v>
      </c>
      <c r="J693">
        <v>-5877.47</v>
      </c>
      <c r="K693">
        <v>-5750.0000000001</v>
      </c>
      <c r="L693">
        <v>-2423.25</v>
      </c>
      <c r="M693">
        <v>-4886.6643646408838</v>
      </c>
      <c r="N693">
        <v>-5801.2900000000009</v>
      </c>
      <c r="O693">
        <v>-4873.1291208790999</v>
      </c>
      <c r="P693">
        <v>0</v>
      </c>
      <c r="Q693">
        <f t="shared" si="145"/>
        <v>-4873.1291208790999</v>
      </c>
      <c r="R693">
        <v>-4873.1291208790999</v>
      </c>
      <c r="S693">
        <f t="shared" si="146"/>
        <v>0</v>
      </c>
      <c r="T693"/>
      <c r="U693">
        <f t="shared" si="147"/>
        <v>0</v>
      </c>
      <c r="V693">
        <f t="shared" si="148"/>
        <v>-4873.1291208790999</v>
      </c>
      <c r="W693">
        <f t="shared" si="149"/>
        <v>0</v>
      </c>
      <c r="X693">
        <v>0</v>
      </c>
    </row>
    <row r="694" spans="1:24" x14ac:dyDescent="0.25">
      <c r="A694" t="s">
        <v>1928</v>
      </c>
      <c r="B694" t="s">
        <v>2007</v>
      </c>
      <c r="C694" t="s">
        <v>2009</v>
      </c>
      <c r="D694" t="s">
        <v>135</v>
      </c>
      <c r="E694" t="s">
        <v>82</v>
      </c>
      <c r="F694" t="s">
        <v>1</v>
      </c>
      <c r="G694" t="s">
        <v>626</v>
      </c>
      <c r="H694" t="s">
        <v>507</v>
      </c>
      <c r="I694" t="s">
        <v>1</v>
      </c>
      <c r="J694">
        <v>4243.72</v>
      </c>
      <c r="K694">
        <v>3871.3503615709001</v>
      </c>
      <c r="L694">
        <v>2010.88</v>
      </c>
      <c r="M694">
        <v>4055.0895027624315</v>
      </c>
      <c r="N694">
        <v>4287.8499999999995</v>
      </c>
      <c r="O694">
        <v>4043.8575824176</v>
      </c>
      <c r="P694">
        <v>11</v>
      </c>
      <c r="Q694">
        <f t="shared" si="145"/>
        <v>4054.8575824176</v>
      </c>
      <c r="R694">
        <v>4055.0895027624315</v>
      </c>
      <c r="S694">
        <f t="shared" si="146"/>
        <v>0.23192034483145108</v>
      </c>
      <c r="T694">
        <v>2.75E-2</v>
      </c>
      <c r="U694">
        <f t="shared" si="147"/>
        <v>111.51496132596687</v>
      </c>
      <c r="V694">
        <f t="shared" si="148"/>
        <v>4166.6044640883983</v>
      </c>
      <c r="W694">
        <f t="shared" si="149"/>
        <v>111.7468816707983</v>
      </c>
      <c r="X694">
        <v>0</v>
      </c>
    </row>
    <row r="695" spans="1:24" x14ac:dyDescent="0.25">
      <c r="A695" t="s">
        <v>1928</v>
      </c>
      <c r="B695" t="s">
        <v>2007</v>
      </c>
      <c r="C695" t="s">
        <v>2009</v>
      </c>
      <c r="D695" t="s">
        <v>135</v>
      </c>
      <c r="E695" t="s">
        <v>72</v>
      </c>
      <c r="F695" t="s">
        <v>1</v>
      </c>
      <c r="G695" t="s">
        <v>626</v>
      </c>
      <c r="H695" t="s">
        <v>489</v>
      </c>
      <c r="I695" t="s">
        <v>1</v>
      </c>
      <c r="J695">
        <v>2603.86</v>
      </c>
      <c r="K695">
        <v>2485.7041378701001</v>
      </c>
      <c r="L695">
        <v>1764.42</v>
      </c>
      <c r="M695">
        <v>3558.0845303867404</v>
      </c>
      <c r="N695">
        <v>3348.38</v>
      </c>
      <c r="O695">
        <v>3548.2292307692001</v>
      </c>
      <c r="P695">
        <v>10</v>
      </c>
      <c r="Q695">
        <f t="shared" si="145"/>
        <v>3558.2292307692001</v>
      </c>
      <c r="R695">
        <v>3558.0845303867404</v>
      </c>
      <c r="S695">
        <f t="shared" si="146"/>
        <v>-0.14470038245963224</v>
      </c>
      <c r="T695">
        <v>2.2499999999999999E-2</v>
      </c>
      <c r="U695">
        <f t="shared" si="147"/>
        <v>80.056901933701653</v>
      </c>
      <c r="V695">
        <f t="shared" si="148"/>
        <v>3638.1414323204422</v>
      </c>
      <c r="W695">
        <f t="shared" si="149"/>
        <v>79.912201551242106</v>
      </c>
      <c r="X695">
        <v>0</v>
      </c>
    </row>
    <row r="696" spans="1:24" x14ac:dyDescent="0.25">
      <c r="A696" t="s">
        <v>1928</v>
      </c>
      <c r="B696" t="s">
        <v>2007</v>
      </c>
      <c r="C696" t="s">
        <v>2009</v>
      </c>
      <c r="D696" t="s">
        <v>135</v>
      </c>
      <c r="E696" t="s">
        <v>118</v>
      </c>
      <c r="F696" t="s">
        <v>1</v>
      </c>
      <c r="G696" t="s">
        <v>626</v>
      </c>
      <c r="H696" t="s">
        <v>587</v>
      </c>
      <c r="I696" t="s">
        <v>1</v>
      </c>
      <c r="J696">
        <v>30.12</v>
      </c>
      <c r="K696"/>
      <c r="L696">
        <v>144.15</v>
      </c>
      <c r="M696">
        <v>290.68922651933701</v>
      </c>
      <c r="N696">
        <v>170.3</v>
      </c>
      <c r="O696">
        <v>289.88406593410002</v>
      </c>
      <c r="P696">
        <v>1</v>
      </c>
      <c r="Q696">
        <f t="shared" si="145"/>
        <v>290.88406593410002</v>
      </c>
      <c r="R696">
        <v>290.68922651933701</v>
      </c>
      <c r="S696">
        <f t="shared" si="146"/>
        <v>-0.1948394147630097</v>
      </c>
      <c r="T696">
        <v>3.2500000000000001E-2</v>
      </c>
      <c r="U696">
        <f t="shared" si="147"/>
        <v>9.4473998618784538</v>
      </c>
      <c r="V696">
        <f t="shared" si="148"/>
        <v>300.13662638121548</v>
      </c>
      <c r="W696">
        <f t="shared" si="149"/>
        <v>9.2525604471154566</v>
      </c>
      <c r="X696">
        <v>0</v>
      </c>
    </row>
    <row r="697" spans="1:24" x14ac:dyDescent="0.25">
      <c r="A697" t="s">
        <v>1928</v>
      </c>
      <c r="B697" t="s">
        <v>2007</v>
      </c>
      <c r="C697" t="s">
        <v>2009</v>
      </c>
      <c r="D697" t="s">
        <v>135</v>
      </c>
      <c r="E697" t="s">
        <v>18</v>
      </c>
      <c r="F697" t="s">
        <v>1</v>
      </c>
      <c r="G697" t="s">
        <v>626</v>
      </c>
      <c r="H697" t="s">
        <v>418</v>
      </c>
      <c r="I697" t="s">
        <v>1</v>
      </c>
      <c r="J697">
        <v>145308.94</v>
      </c>
      <c r="K697">
        <v>153494.96320617301</v>
      </c>
      <c r="L697">
        <v>77576.490000000005</v>
      </c>
      <c r="M697">
        <v>156438.77817679557</v>
      </c>
      <c r="N697">
        <v>147365.72</v>
      </c>
      <c r="O697">
        <v>156005.468901099</v>
      </c>
      <c r="P697">
        <v>433</v>
      </c>
      <c r="Q697">
        <f t="shared" si="145"/>
        <v>156438.468901099</v>
      </c>
      <c r="R697">
        <v>156438.77817679557</v>
      </c>
      <c r="S697">
        <f t="shared" si="146"/>
        <v>0.30927569657796994</v>
      </c>
      <c r="T697">
        <v>0.02</v>
      </c>
      <c r="U697">
        <f t="shared" si="147"/>
        <v>3128.7755635359117</v>
      </c>
      <c r="V697">
        <f t="shared" si="148"/>
        <v>159567.5537403315</v>
      </c>
      <c r="W697">
        <f t="shared" si="149"/>
        <v>3129.0848392324988</v>
      </c>
      <c r="X697">
        <v>0</v>
      </c>
    </row>
    <row r="698" spans="1:24" x14ac:dyDescent="0.25">
      <c r="A698" t="s">
        <v>1928</v>
      </c>
      <c r="B698" t="s">
        <v>2007</v>
      </c>
      <c r="C698" t="s">
        <v>2009</v>
      </c>
      <c r="D698" t="s">
        <v>135</v>
      </c>
      <c r="E698" t="s">
        <v>57</v>
      </c>
      <c r="F698" t="s">
        <v>1</v>
      </c>
      <c r="G698" t="s">
        <v>626</v>
      </c>
      <c r="H698" t="s">
        <v>462</v>
      </c>
      <c r="I698" t="s">
        <v>1</v>
      </c>
      <c r="J698">
        <v>7665.71</v>
      </c>
      <c r="K698">
        <v>9018.4212016459005</v>
      </c>
      <c r="L698">
        <v>2851.63</v>
      </c>
      <c r="M698">
        <v>5750.5245856353595</v>
      </c>
      <c r="N698">
        <v>5759.3</v>
      </c>
      <c r="O698">
        <v>5734.5965934065998</v>
      </c>
      <c r="P698">
        <v>16</v>
      </c>
      <c r="Q698">
        <f t="shared" si="145"/>
        <v>5750.5965934065998</v>
      </c>
      <c r="R698">
        <v>5750.5245856353595</v>
      </c>
      <c r="S698">
        <f t="shared" si="146"/>
        <v>-7.2007771240350849E-2</v>
      </c>
      <c r="T698">
        <v>0.04</v>
      </c>
      <c r="U698">
        <f t="shared" si="147"/>
        <v>230.02098342541439</v>
      </c>
      <c r="V698">
        <f t="shared" si="148"/>
        <v>5980.5455690607741</v>
      </c>
      <c r="W698">
        <f t="shared" si="149"/>
        <v>229.94897565417432</v>
      </c>
      <c r="X698">
        <v>0</v>
      </c>
    </row>
    <row r="699" spans="1:24" x14ac:dyDescent="0.25">
      <c r="A699" t="s">
        <v>1928</v>
      </c>
      <c r="B699" t="s">
        <v>2007</v>
      </c>
      <c r="C699" t="s">
        <v>2009</v>
      </c>
      <c r="D699" t="s">
        <v>135</v>
      </c>
      <c r="E699" t="s">
        <v>19</v>
      </c>
      <c r="F699" t="s">
        <v>1</v>
      </c>
      <c r="G699" t="s">
        <v>626</v>
      </c>
      <c r="H699" t="s">
        <v>419</v>
      </c>
      <c r="I699" t="s">
        <v>1</v>
      </c>
      <c r="J699">
        <v>308.98</v>
      </c>
      <c r="K699"/>
      <c r="L699">
        <v>0</v>
      </c>
      <c r="M699">
        <v>0</v>
      </c>
      <c r="N699">
        <v>308.98</v>
      </c>
      <c r="O699"/>
      <c r="P699">
        <v>0</v>
      </c>
      <c r="Q699">
        <f t="shared" si="145"/>
        <v>0</v>
      </c>
      <c r="R699">
        <v>0</v>
      </c>
      <c r="S699">
        <f t="shared" si="146"/>
        <v>0</v>
      </c>
      <c r="T699">
        <v>0.02</v>
      </c>
      <c r="U699">
        <f t="shared" si="147"/>
        <v>0</v>
      </c>
      <c r="V699">
        <f t="shared" si="148"/>
        <v>0</v>
      </c>
      <c r="W699">
        <f t="shared" si="149"/>
        <v>0</v>
      </c>
      <c r="X699">
        <v>0</v>
      </c>
    </row>
    <row r="700" spans="1:24" x14ac:dyDescent="0.25">
      <c r="A700" t="s">
        <v>1928</v>
      </c>
      <c r="B700" t="s">
        <v>2007</v>
      </c>
      <c r="C700" t="s">
        <v>2009</v>
      </c>
      <c r="D700" t="s">
        <v>135</v>
      </c>
      <c r="E700" t="s">
        <v>74</v>
      </c>
      <c r="F700" t="s">
        <v>1</v>
      </c>
      <c r="G700" t="s">
        <v>626</v>
      </c>
      <c r="H700" t="s">
        <v>491</v>
      </c>
      <c r="I700" t="s">
        <v>1</v>
      </c>
      <c r="J700">
        <v>33523.75</v>
      </c>
      <c r="K700">
        <v>33929.462771203303</v>
      </c>
      <c r="L700">
        <v>18790.25</v>
      </c>
      <c r="M700">
        <v>37891.94060773481</v>
      </c>
      <c r="N700">
        <v>36252.029999999992</v>
      </c>
      <c r="O700">
        <v>37786.986263736297</v>
      </c>
      <c r="P700">
        <v>105</v>
      </c>
      <c r="Q700">
        <f t="shared" si="145"/>
        <v>37891.986263736297</v>
      </c>
      <c r="R700">
        <v>37891.94060773481</v>
      </c>
      <c r="S700">
        <f t="shared" si="146"/>
        <v>-4.5656001486349851E-2</v>
      </c>
      <c r="T700">
        <v>3.5000000000000003E-2</v>
      </c>
      <c r="U700">
        <f t="shared" si="147"/>
        <v>1326.2179212707185</v>
      </c>
      <c r="V700">
        <f t="shared" si="148"/>
        <v>39218.15852900553</v>
      </c>
      <c r="W700">
        <f t="shared" si="149"/>
        <v>1326.1722652692333</v>
      </c>
      <c r="X700">
        <v>0</v>
      </c>
    </row>
    <row r="701" spans="1:24" x14ac:dyDescent="0.25">
      <c r="A701" t="s">
        <v>1928</v>
      </c>
      <c r="B701" t="s">
        <v>2007</v>
      </c>
      <c r="C701" t="s">
        <v>2009</v>
      </c>
      <c r="D701" t="s">
        <v>135</v>
      </c>
      <c r="E701" t="s">
        <v>85</v>
      </c>
      <c r="F701" t="s">
        <v>1</v>
      </c>
      <c r="G701" t="s">
        <v>626</v>
      </c>
      <c r="H701" t="s">
        <v>510</v>
      </c>
      <c r="I701" t="s">
        <v>1</v>
      </c>
      <c r="J701">
        <v>531.89</v>
      </c>
      <c r="K701"/>
      <c r="L701">
        <v>0</v>
      </c>
      <c r="M701">
        <v>0</v>
      </c>
      <c r="N701">
        <v>37.65</v>
      </c>
      <c r="O701"/>
      <c r="P701">
        <v>0</v>
      </c>
      <c r="Q701">
        <f t="shared" si="145"/>
        <v>0</v>
      </c>
      <c r="R701">
        <v>0</v>
      </c>
      <c r="S701">
        <f t="shared" si="146"/>
        <v>0</v>
      </c>
      <c r="T701">
        <v>0.02</v>
      </c>
      <c r="U701">
        <f t="shared" si="147"/>
        <v>0</v>
      </c>
      <c r="V701">
        <f t="shared" si="148"/>
        <v>0</v>
      </c>
      <c r="W701">
        <f t="shared" si="149"/>
        <v>0</v>
      </c>
      <c r="X701">
        <v>0</v>
      </c>
    </row>
    <row r="702" spans="1:24" x14ac:dyDescent="0.25">
      <c r="A702" t="s">
        <v>1928</v>
      </c>
      <c r="B702" t="s">
        <v>2007</v>
      </c>
      <c r="C702" t="s">
        <v>2009</v>
      </c>
      <c r="D702" t="s">
        <v>135</v>
      </c>
      <c r="E702" t="s">
        <v>136</v>
      </c>
      <c r="F702" t="s">
        <v>1</v>
      </c>
      <c r="G702" t="s">
        <v>626</v>
      </c>
      <c r="H702" t="s">
        <v>627</v>
      </c>
      <c r="I702" t="s">
        <v>1</v>
      </c>
      <c r="J702">
        <v>998.76</v>
      </c>
      <c r="K702">
        <v>1545.2009135802</v>
      </c>
      <c r="L702">
        <v>0</v>
      </c>
      <c r="M702">
        <v>0</v>
      </c>
      <c r="N702">
        <v>0</v>
      </c>
      <c r="O702"/>
      <c r="P702">
        <v>0</v>
      </c>
      <c r="Q702">
        <f t="shared" si="145"/>
        <v>0</v>
      </c>
      <c r="R702">
        <v>0</v>
      </c>
      <c r="S702">
        <f t="shared" si="146"/>
        <v>0</v>
      </c>
      <c r="T702">
        <v>0.03</v>
      </c>
      <c r="U702">
        <f t="shared" si="147"/>
        <v>0</v>
      </c>
      <c r="V702">
        <f t="shared" si="148"/>
        <v>0</v>
      </c>
      <c r="W702">
        <f t="shared" si="149"/>
        <v>0</v>
      </c>
      <c r="X702">
        <v>0</v>
      </c>
    </row>
    <row r="703" spans="1:24" x14ac:dyDescent="0.25">
      <c r="A703" t="s">
        <v>1928</v>
      </c>
      <c r="B703" t="s">
        <v>2007</v>
      </c>
      <c r="C703" t="s">
        <v>2009</v>
      </c>
      <c r="D703" t="s">
        <v>135</v>
      </c>
      <c r="E703" t="s">
        <v>120</v>
      </c>
      <c r="F703" t="s">
        <v>1</v>
      </c>
      <c r="G703" t="s">
        <v>626</v>
      </c>
      <c r="H703" t="s">
        <v>589</v>
      </c>
      <c r="I703" t="s">
        <v>1</v>
      </c>
      <c r="J703">
        <v>214.93</v>
      </c>
      <c r="K703"/>
      <c r="L703">
        <v>0</v>
      </c>
      <c r="M703">
        <v>0</v>
      </c>
      <c r="N703">
        <v>0</v>
      </c>
      <c r="O703"/>
      <c r="P703">
        <v>0</v>
      </c>
      <c r="Q703">
        <f t="shared" si="145"/>
        <v>0</v>
      </c>
      <c r="R703">
        <v>0</v>
      </c>
      <c r="S703">
        <f t="shared" si="146"/>
        <v>0</v>
      </c>
      <c r="T703">
        <v>3.5000000000000003E-2</v>
      </c>
      <c r="U703">
        <f t="shared" si="147"/>
        <v>0</v>
      </c>
      <c r="V703">
        <f t="shared" si="148"/>
        <v>0</v>
      </c>
      <c r="W703">
        <f t="shared" si="149"/>
        <v>0</v>
      </c>
      <c r="X703">
        <v>0</v>
      </c>
    </row>
    <row r="704" spans="1:24" x14ac:dyDescent="0.25">
      <c r="A704" t="s">
        <v>1928</v>
      </c>
      <c r="B704" t="s">
        <v>2007</v>
      </c>
      <c r="C704" t="s">
        <v>2009</v>
      </c>
      <c r="D704" t="s">
        <v>135</v>
      </c>
      <c r="E704" t="s">
        <v>20</v>
      </c>
      <c r="F704" t="s">
        <v>1</v>
      </c>
      <c r="G704" t="s">
        <v>626</v>
      </c>
      <c r="H704" t="s">
        <v>420</v>
      </c>
      <c r="I704" t="s">
        <v>1</v>
      </c>
      <c r="J704">
        <v>26197.81</v>
      </c>
      <c r="K704">
        <v>24347.568252183901</v>
      </c>
      <c r="L704">
        <v>20232.32</v>
      </c>
      <c r="M704">
        <v>40799.982320441988</v>
      </c>
      <c r="N704">
        <v>34191.64</v>
      </c>
      <c r="O704">
        <v>40686.9731868132</v>
      </c>
      <c r="P704">
        <v>113</v>
      </c>
      <c r="Q704">
        <f t="shared" si="145"/>
        <v>40799.9731868132</v>
      </c>
      <c r="R704">
        <v>40799.982320441988</v>
      </c>
      <c r="S704">
        <f t="shared" si="146"/>
        <v>9.1336287878220901E-3</v>
      </c>
      <c r="T704">
        <v>0.04</v>
      </c>
      <c r="U704">
        <f t="shared" si="147"/>
        <v>1631.9992928176796</v>
      </c>
      <c r="V704">
        <f t="shared" si="148"/>
        <v>42431.981613259668</v>
      </c>
      <c r="W704">
        <f t="shared" si="149"/>
        <v>1632.0084264464676</v>
      </c>
      <c r="X704">
        <v>0</v>
      </c>
    </row>
    <row r="705" spans="1:24" x14ac:dyDescent="0.25">
      <c r="A705" t="s">
        <v>1928</v>
      </c>
      <c r="B705" t="s">
        <v>2007</v>
      </c>
      <c r="C705" t="s">
        <v>2009</v>
      </c>
      <c r="D705" t="s">
        <v>135</v>
      </c>
      <c r="E705" t="s">
        <v>21</v>
      </c>
      <c r="F705" t="s">
        <v>1</v>
      </c>
      <c r="G705" t="s">
        <v>626</v>
      </c>
      <c r="H705" t="s">
        <v>421</v>
      </c>
      <c r="I705" t="s">
        <v>1</v>
      </c>
      <c r="J705">
        <v>3694.46</v>
      </c>
      <c r="K705">
        <v>3480.27</v>
      </c>
      <c r="L705">
        <v>2465.73</v>
      </c>
      <c r="M705">
        <v>4972.3284530386736</v>
      </c>
      <c r="N705">
        <v>4395.2300000000005</v>
      </c>
      <c r="O705">
        <v>4972.3284530387</v>
      </c>
      <c r="P705">
        <v>0</v>
      </c>
      <c r="Q705">
        <f t="shared" si="145"/>
        <v>4972.3284530387</v>
      </c>
      <c r="R705">
        <v>4972.3284530386736</v>
      </c>
      <c r="S705">
        <f t="shared" si="146"/>
        <v>-2.6375346351414919E-11</v>
      </c>
      <c r="T705">
        <v>0.03</v>
      </c>
      <c r="U705">
        <f t="shared" si="147"/>
        <v>149.16985359116021</v>
      </c>
      <c r="V705">
        <f t="shared" si="148"/>
        <v>5121.4983066298337</v>
      </c>
      <c r="W705">
        <f t="shared" si="149"/>
        <v>149.16985359113369</v>
      </c>
      <c r="X705">
        <v>0</v>
      </c>
    </row>
    <row r="706" spans="1:24" x14ac:dyDescent="0.25">
      <c r="A706" t="s">
        <v>1928</v>
      </c>
      <c r="B706" t="s">
        <v>2007</v>
      </c>
      <c r="C706" t="s">
        <v>2009</v>
      </c>
      <c r="D706" t="s">
        <v>135</v>
      </c>
      <c r="E706" t="s">
        <v>22</v>
      </c>
      <c r="F706" t="s">
        <v>1</v>
      </c>
      <c r="G706" t="s">
        <v>626</v>
      </c>
      <c r="H706" t="s">
        <v>422</v>
      </c>
      <c r="I706" t="s">
        <v>1</v>
      </c>
      <c r="J706">
        <v>243.99</v>
      </c>
      <c r="K706">
        <v>217.35</v>
      </c>
      <c r="L706">
        <v>0</v>
      </c>
      <c r="M706">
        <v>0</v>
      </c>
      <c r="N706">
        <v>140.68</v>
      </c>
      <c r="O706"/>
      <c r="P706">
        <v>0</v>
      </c>
      <c r="Q706">
        <f t="shared" si="145"/>
        <v>0</v>
      </c>
      <c r="R706">
        <v>0</v>
      </c>
      <c r="S706">
        <f t="shared" si="146"/>
        <v>0</v>
      </c>
      <c r="T706">
        <v>3.5000000000000003E-2</v>
      </c>
      <c r="U706">
        <f t="shared" si="147"/>
        <v>0</v>
      </c>
      <c r="V706">
        <f t="shared" si="148"/>
        <v>0</v>
      </c>
      <c r="W706">
        <f t="shared" si="149"/>
        <v>0</v>
      </c>
      <c r="X706">
        <v>0</v>
      </c>
    </row>
    <row r="707" spans="1:24" x14ac:dyDescent="0.25">
      <c r="A707" t="s">
        <v>1928</v>
      </c>
      <c r="B707" t="s">
        <v>2007</v>
      </c>
      <c r="C707" t="s">
        <v>2009</v>
      </c>
      <c r="D707" t="s">
        <v>135</v>
      </c>
      <c r="E707" t="s">
        <v>23</v>
      </c>
      <c r="F707" t="s">
        <v>1</v>
      </c>
      <c r="G707" t="s">
        <v>626</v>
      </c>
      <c r="H707" t="s">
        <v>423</v>
      </c>
      <c r="I707" t="s">
        <v>1</v>
      </c>
      <c r="J707">
        <v>3456.46</v>
      </c>
      <c r="K707">
        <v>6903.45</v>
      </c>
      <c r="L707">
        <v>306.04000000000002</v>
      </c>
      <c r="M707">
        <v>617.1524861878454</v>
      </c>
      <c r="N707">
        <v>427.35999999999996</v>
      </c>
      <c r="O707">
        <v>617.15248618780004</v>
      </c>
      <c r="P707">
        <v>0</v>
      </c>
      <c r="Q707">
        <f t="shared" si="145"/>
        <v>617.15248618780004</v>
      </c>
      <c r="R707">
        <v>617.1524861878454</v>
      </c>
      <c r="S707">
        <f t="shared" si="146"/>
        <v>4.5361048250924796E-11</v>
      </c>
      <c r="T707">
        <v>3.5000000000000003E-2</v>
      </c>
      <c r="U707">
        <f t="shared" si="147"/>
        <v>21.600337016574592</v>
      </c>
      <c r="V707">
        <f t="shared" si="148"/>
        <v>638.75282320442</v>
      </c>
      <c r="W707">
        <f t="shared" si="149"/>
        <v>21.60033701661996</v>
      </c>
      <c r="X707">
        <v>0</v>
      </c>
    </row>
    <row r="708" spans="1:24" x14ac:dyDescent="0.25">
      <c r="A708" t="s">
        <v>1928</v>
      </c>
      <c r="B708" t="s">
        <v>2007</v>
      </c>
      <c r="C708" t="s">
        <v>2009</v>
      </c>
      <c r="D708" t="s">
        <v>135</v>
      </c>
      <c r="E708" t="s">
        <v>28</v>
      </c>
      <c r="F708" t="s">
        <v>1</v>
      </c>
      <c r="G708" t="s">
        <v>626</v>
      </c>
      <c r="H708" t="s">
        <v>428</v>
      </c>
      <c r="I708" t="s">
        <v>1</v>
      </c>
      <c r="J708">
        <v>88.69</v>
      </c>
      <c r="K708">
        <v>120</v>
      </c>
      <c r="L708">
        <v>49.04</v>
      </c>
      <c r="M708">
        <v>98.892817679558007</v>
      </c>
      <c r="N708">
        <v>75.319999999999993</v>
      </c>
      <c r="O708">
        <v>98.08</v>
      </c>
      <c r="P708">
        <v>1</v>
      </c>
      <c r="Q708">
        <f t="shared" si="145"/>
        <v>99.08</v>
      </c>
      <c r="R708">
        <v>98.892817679558007</v>
      </c>
      <c r="S708">
        <f t="shared" si="146"/>
        <v>-0.18718232044199112</v>
      </c>
      <c r="T708"/>
      <c r="U708">
        <f t="shared" si="147"/>
        <v>0</v>
      </c>
      <c r="V708">
        <f t="shared" si="148"/>
        <v>98.892817679558007</v>
      </c>
      <c r="W708">
        <f t="shared" si="149"/>
        <v>-0.18718232044199112</v>
      </c>
      <c r="X708">
        <v>0</v>
      </c>
    </row>
    <row r="709" spans="1:24" x14ac:dyDescent="0.25">
      <c r="A709" t="s">
        <v>1928</v>
      </c>
      <c r="B709" t="s">
        <v>2007</v>
      </c>
      <c r="C709" t="s">
        <v>2009</v>
      </c>
      <c r="D709" t="s">
        <v>135</v>
      </c>
      <c r="E709" t="s">
        <v>29</v>
      </c>
      <c r="F709" t="s">
        <v>1</v>
      </c>
      <c r="G709" t="s">
        <v>626</v>
      </c>
      <c r="H709" t="s">
        <v>429</v>
      </c>
      <c r="I709" t="s">
        <v>1</v>
      </c>
      <c r="J709">
        <v>112.5</v>
      </c>
      <c r="K709"/>
      <c r="L709">
        <v>110</v>
      </c>
      <c r="M709">
        <v>221.82320441988949</v>
      </c>
      <c r="N709">
        <v>222.5</v>
      </c>
      <c r="O709">
        <v>220</v>
      </c>
      <c r="P709">
        <v>2</v>
      </c>
      <c r="Q709">
        <f t="shared" si="145"/>
        <v>222</v>
      </c>
      <c r="R709">
        <v>221.82320441988949</v>
      </c>
      <c r="S709">
        <f t="shared" si="146"/>
        <v>-0.17679558011050744</v>
      </c>
      <c r="T709"/>
      <c r="U709">
        <f t="shared" si="147"/>
        <v>0</v>
      </c>
      <c r="V709">
        <f t="shared" si="148"/>
        <v>221.82320441988949</v>
      </c>
      <c r="W709">
        <f t="shared" si="149"/>
        <v>-0.17679558011050744</v>
      </c>
      <c r="X709">
        <v>0</v>
      </c>
    </row>
    <row r="710" spans="1:24" x14ac:dyDescent="0.25">
      <c r="A710" t="s">
        <v>1928</v>
      </c>
      <c r="B710" t="s">
        <v>2007</v>
      </c>
      <c r="C710" t="s">
        <v>2009</v>
      </c>
      <c r="D710" t="s">
        <v>135</v>
      </c>
      <c r="E710" t="s">
        <v>37</v>
      </c>
      <c r="F710" t="s">
        <v>1</v>
      </c>
      <c r="G710" t="s">
        <v>626</v>
      </c>
      <c r="H710" t="s">
        <v>437</v>
      </c>
      <c r="I710" t="s">
        <v>1</v>
      </c>
      <c r="J710">
        <v>579.63</v>
      </c>
      <c r="K710"/>
      <c r="L710">
        <v>0</v>
      </c>
      <c r="M710">
        <v>0</v>
      </c>
      <c r="N710">
        <v>579.63</v>
      </c>
      <c r="O710"/>
      <c r="P710">
        <v>0</v>
      </c>
      <c r="Q710">
        <f t="shared" si="145"/>
        <v>0</v>
      </c>
      <c r="R710">
        <v>0</v>
      </c>
      <c r="S710">
        <f t="shared" si="146"/>
        <v>0</v>
      </c>
      <c r="T710"/>
      <c r="U710">
        <f t="shared" si="147"/>
        <v>0</v>
      </c>
      <c r="V710">
        <f t="shared" si="148"/>
        <v>0</v>
      </c>
      <c r="W710">
        <f t="shared" si="149"/>
        <v>0</v>
      </c>
      <c r="X710">
        <v>0</v>
      </c>
    </row>
    <row r="711" spans="1:24" x14ac:dyDescent="0.25">
      <c r="A711" t="s">
        <v>1928</v>
      </c>
      <c r="B711" t="s">
        <v>2007</v>
      </c>
      <c r="C711" t="s">
        <v>2009</v>
      </c>
      <c r="D711" t="s">
        <v>135</v>
      </c>
      <c r="E711" t="s">
        <v>121</v>
      </c>
      <c r="F711" t="s">
        <v>1</v>
      </c>
      <c r="G711" t="s">
        <v>626</v>
      </c>
      <c r="H711" t="s">
        <v>590</v>
      </c>
      <c r="I711" t="s">
        <v>1</v>
      </c>
      <c r="J711">
        <v>1463</v>
      </c>
      <c r="K711">
        <v>55092.550058979599</v>
      </c>
      <c r="L711">
        <v>0</v>
      </c>
      <c r="M711">
        <v>0</v>
      </c>
      <c r="N711">
        <v>1463</v>
      </c>
      <c r="O711"/>
      <c r="P711">
        <v>0</v>
      </c>
      <c r="Q711">
        <f t="shared" si="145"/>
        <v>0</v>
      </c>
      <c r="R711">
        <v>0</v>
      </c>
      <c r="S711">
        <f t="shared" si="146"/>
        <v>0</v>
      </c>
      <c r="T711"/>
      <c r="U711">
        <f t="shared" si="147"/>
        <v>0</v>
      </c>
      <c r="V711">
        <f t="shared" si="148"/>
        <v>0</v>
      </c>
      <c r="W711">
        <f t="shared" si="149"/>
        <v>0</v>
      </c>
      <c r="X711">
        <v>0</v>
      </c>
    </row>
    <row r="712" spans="1:24" x14ac:dyDescent="0.25">
      <c r="A712" t="s">
        <v>1928</v>
      </c>
      <c r="B712" t="s">
        <v>2007</v>
      </c>
      <c r="C712" t="s">
        <v>2009</v>
      </c>
      <c r="D712" t="s">
        <v>135</v>
      </c>
      <c r="E712" t="s">
        <v>41</v>
      </c>
      <c r="F712" t="s">
        <v>1</v>
      </c>
      <c r="G712" t="s">
        <v>626</v>
      </c>
      <c r="H712" t="s">
        <v>441</v>
      </c>
      <c r="I712" t="s">
        <v>1</v>
      </c>
      <c r="J712">
        <v>407.56</v>
      </c>
      <c r="K712">
        <v>390.43999999919998</v>
      </c>
      <c r="L712">
        <v>1.23</v>
      </c>
      <c r="M712">
        <v>2.4803867403314914</v>
      </c>
      <c r="N712">
        <v>44.05</v>
      </c>
      <c r="O712">
        <v>2.46</v>
      </c>
      <c r="P712">
        <v>-2</v>
      </c>
      <c r="Q712">
        <f t="shared" si="145"/>
        <v>0.45999999999999996</v>
      </c>
      <c r="R712">
        <v>0</v>
      </c>
      <c r="S712">
        <f t="shared" si="146"/>
        <v>-0.45999999999999996</v>
      </c>
      <c r="T712">
        <v>0.03</v>
      </c>
      <c r="U712">
        <f t="shared" si="147"/>
        <v>0</v>
      </c>
      <c r="V712">
        <f t="shared" si="148"/>
        <v>0</v>
      </c>
      <c r="W712">
        <f t="shared" si="149"/>
        <v>-0.45999999999999996</v>
      </c>
      <c r="X712">
        <v>0</v>
      </c>
    </row>
    <row r="713" spans="1:24" x14ac:dyDescent="0.25">
      <c r="A713" t="s">
        <v>1928</v>
      </c>
      <c r="B713" t="s">
        <v>2007</v>
      </c>
      <c r="C713" t="s">
        <v>2009</v>
      </c>
      <c r="D713" t="s">
        <v>135</v>
      </c>
      <c r="E713" t="s">
        <v>134</v>
      </c>
      <c r="F713" t="s">
        <v>1</v>
      </c>
      <c r="G713" t="s">
        <v>626</v>
      </c>
      <c r="H713" t="s">
        <v>623</v>
      </c>
      <c r="I713" t="s">
        <v>1</v>
      </c>
      <c r="J713"/>
      <c r="K713"/>
      <c r="L713">
        <v>3354</v>
      </c>
      <c r="M713">
        <v>6763.5911602209944</v>
      </c>
      <c r="N713">
        <v>3354</v>
      </c>
      <c r="O713">
        <v>6708</v>
      </c>
      <c r="P713">
        <v>-3354</v>
      </c>
      <c r="Q713">
        <f t="shared" si="145"/>
        <v>3354</v>
      </c>
      <c r="R713">
        <v>3354</v>
      </c>
      <c r="S713">
        <f t="shared" si="146"/>
        <v>0</v>
      </c>
      <c r="T713">
        <v>0.03</v>
      </c>
      <c r="U713">
        <f t="shared" si="147"/>
        <v>100.61999999999999</v>
      </c>
      <c r="V713">
        <f t="shared" si="148"/>
        <v>3454.62</v>
      </c>
      <c r="W713">
        <f t="shared" si="149"/>
        <v>100.61999999999989</v>
      </c>
      <c r="X713">
        <v>0</v>
      </c>
    </row>
    <row r="714" spans="1:24" x14ac:dyDescent="0.25">
      <c r="A714" t="s">
        <v>1928</v>
      </c>
      <c r="B714" t="s">
        <v>2007</v>
      </c>
      <c r="C714" t="s">
        <v>2009</v>
      </c>
      <c r="D714" t="s">
        <v>135</v>
      </c>
      <c r="E714" t="s">
        <v>46</v>
      </c>
      <c r="F714" t="s">
        <v>1</v>
      </c>
      <c r="G714" t="s">
        <v>626</v>
      </c>
      <c r="H714" t="s">
        <v>446</v>
      </c>
      <c r="I714" t="s">
        <v>1</v>
      </c>
      <c r="J714">
        <v>1923</v>
      </c>
      <c r="K714"/>
      <c r="L714">
        <v>0</v>
      </c>
      <c r="M714">
        <v>0</v>
      </c>
      <c r="N714">
        <v>0</v>
      </c>
      <c r="O714"/>
      <c r="P714">
        <v>0</v>
      </c>
      <c r="Q714">
        <f t="shared" si="145"/>
        <v>0</v>
      </c>
      <c r="R714">
        <v>0</v>
      </c>
      <c r="S714">
        <f t="shared" si="146"/>
        <v>0</v>
      </c>
      <c r="T714">
        <v>0.03</v>
      </c>
      <c r="U714">
        <f t="shared" si="147"/>
        <v>0</v>
      </c>
      <c r="V714">
        <f t="shared" si="148"/>
        <v>0</v>
      </c>
      <c r="W714">
        <f t="shared" si="149"/>
        <v>0</v>
      </c>
      <c r="X714">
        <v>0</v>
      </c>
    </row>
    <row r="715" spans="1:24" x14ac:dyDescent="0.25">
      <c r="A715" t="s">
        <v>1928</v>
      </c>
      <c r="B715" t="s">
        <v>2007</v>
      </c>
      <c r="C715" t="s">
        <v>2009</v>
      </c>
      <c r="D715" t="s">
        <v>135</v>
      </c>
      <c r="E715" t="s">
        <v>51</v>
      </c>
      <c r="F715" t="s">
        <v>51</v>
      </c>
      <c r="G715" t="s">
        <v>628</v>
      </c>
      <c r="H715"/>
      <c r="I715"/>
      <c r="J715">
        <v>311732.76</v>
      </c>
      <c r="K715">
        <v>373978.46963248868</v>
      </c>
      <c r="L715">
        <v>139535.71000000005</v>
      </c>
      <c r="M715">
        <v>281384.16657458566</v>
      </c>
      <c r="N715">
        <v>291079.04999999993</v>
      </c>
      <c r="O715">
        <v>280645.15660312085</v>
      </c>
      <c r="P715">
        <f>SUMIF($F$689:$F$714,"&lt;&gt;EV_*",$P$689:$P$714)</f>
        <v>-27429</v>
      </c>
      <c r="Q715">
        <f>SUMIF($F$689:$F$714,"&lt;&gt;EV_*",$Q$689:$Q$714)</f>
        <v>253216.15660312079</v>
      </c>
      <c r="R715">
        <f>SUMIF($F$689:$F$714,"&lt;&gt;EV_*",$R$689:$R$714)</f>
        <v>254112.51286807118</v>
      </c>
      <c r="S715">
        <f>SUMIF($F$689:$F$714,"&lt;&gt;EV_*",$S$689:$S$714)</f>
        <v>896.35626495038071</v>
      </c>
      <c r="T715">
        <v>0</v>
      </c>
      <c r="U715">
        <f>SUMIF($F$689:$F$714,"&lt;&gt;EV_*",$U$689:$U$714)</f>
        <v>6789.4232147790053</v>
      </c>
      <c r="V715">
        <f>SUMIF($F$689:$F$714,"&lt;&gt;EV_*",$V$689:$V$714)</f>
        <v>260901.93608285021</v>
      </c>
      <c r="W715">
        <f>SUMIF($F$689:$F$714,"&lt;&gt;EV_*",$W$689:$W$714)</f>
        <v>7685.7794797293973</v>
      </c>
      <c r="X715">
        <f>SUMIF($F$689:$F$714,"&lt;&gt;EV_*",$X$689:$X$714)</f>
        <v>0</v>
      </c>
    </row>
    <row r="716" spans="1:24" x14ac:dyDescent="0.25">
      <c r="A716" t="s">
        <v>1928</v>
      </c>
      <c r="B716" t="s">
        <v>2007</v>
      </c>
      <c r="C716" t="s">
        <v>2010</v>
      </c>
      <c r="D716" t="s">
        <v>137</v>
      </c>
      <c r="E716" t="s">
        <v>5</v>
      </c>
      <c r="F716" t="s">
        <v>5</v>
      </c>
      <c r="G716" t="s">
        <v>629</v>
      </c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</row>
    <row r="717" spans="1:24" x14ac:dyDescent="0.25">
      <c r="A717" t="s">
        <v>1928</v>
      </c>
      <c r="B717" t="s">
        <v>2007</v>
      </c>
      <c r="C717" t="s">
        <v>2010</v>
      </c>
      <c r="D717" t="s">
        <v>137</v>
      </c>
      <c r="E717" t="s">
        <v>11</v>
      </c>
      <c r="F717" t="s">
        <v>1</v>
      </c>
      <c r="G717" t="s">
        <v>630</v>
      </c>
      <c r="H717" t="s">
        <v>411</v>
      </c>
      <c r="I717" t="s">
        <v>1</v>
      </c>
      <c r="J717">
        <v>1011.82</v>
      </c>
      <c r="K717">
        <v>871.31000000040001</v>
      </c>
      <c r="L717">
        <v>431.66</v>
      </c>
      <c r="M717">
        <v>870.47458563535906</v>
      </c>
      <c r="N717">
        <v>899.39</v>
      </c>
      <c r="O717">
        <v>863.32</v>
      </c>
      <c r="P717">
        <v>7</v>
      </c>
      <c r="Q717">
        <f t="shared" ref="Q717:Q749" si="150">O717+P717</f>
        <v>870.32</v>
      </c>
      <c r="R717">
        <v>870.47458563535906</v>
      </c>
      <c r="S717">
        <f t="shared" ref="S717:S749" si="151">IF(OR(LEFT(E717,2)="A_",LEFT(D717,5)="Total"),R717-Q717,"")</f>
        <v>0.15458563535901249</v>
      </c>
      <c r="T717"/>
      <c r="U717">
        <f t="shared" ref="U717:U749" si="152">IFERROR(R717*T717,R717*0)</f>
        <v>0</v>
      </c>
      <c r="V717">
        <f t="shared" ref="V717:V749" si="153">IF(OR(LEFT(E717,2)="A_",LEFT(D717,5)="Total"),R717+U717,"")</f>
        <v>870.47458563535906</v>
      </c>
      <c r="W717">
        <f t="shared" ref="W717:W749" si="154">IF(OR(LEFT(E717,2)="A_",LEFT(D717,5)="Total"),V717-Q717,"")</f>
        <v>0.15458563535901249</v>
      </c>
      <c r="X717">
        <v>0</v>
      </c>
    </row>
    <row r="718" spans="1:24" x14ac:dyDescent="0.25">
      <c r="A718" t="s">
        <v>1928</v>
      </c>
      <c r="B718" t="s">
        <v>2007</v>
      </c>
      <c r="C718" t="s">
        <v>2010</v>
      </c>
      <c r="D718" t="s">
        <v>137</v>
      </c>
      <c r="E718" t="s">
        <v>65</v>
      </c>
      <c r="F718" t="s">
        <v>1</v>
      </c>
      <c r="G718" t="s">
        <v>630</v>
      </c>
      <c r="H718" t="s">
        <v>476</v>
      </c>
      <c r="I718" t="s">
        <v>1</v>
      </c>
      <c r="J718">
        <v>-1611.36</v>
      </c>
      <c r="K718"/>
      <c r="L718">
        <v>-1278.76</v>
      </c>
      <c r="M718">
        <v>-2578.7149171270717</v>
      </c>
      <c r="N718">
        <v>-1949.67</v>
      </c>
      <c r="O718">
        <v>-2571.5723076923</v>
      </c>
      <c r="P718">
        <v>0</v>
      </c>
      <c r="Q718">
        <f t="shared" si="150"/>
        <v>-2571.5723076923</v>
      </c>
      <c r="R718">
        <v>0</v>
      </c>
      <c r="S718">
        <f t="shared" si="151"/>
        <v>2571.5723076923</v>
      </c>
      <c r="T718"/>
      <c r="U718">
        <f t="shared" si="152"/>
        <v>0</v>
      </c>
      <c r="V718">
        <f t="shared" si="153"/>
        <v>0</v>
      </c>
      <c r="W718">
        <f t="shared" si="154"/>
        <v>2571.5723076923</v>
      </c>
      <c r="X718">
        <v>0</v>
      </c>
    </row>
    <row r="719" spans="1:24" x14ac:dyDescent="0.25">
      <c r="A719" t="s">
        <v>1928</v>
      </c>
      <c r="B719" t="s">
        <v>2007</v>
      </c>
      <c r="C719" t="s">
        <v>2010</v>
      </c>
      <c r="D719" t="s">
        <v>137</v>
      </c>
      <c r="E719" t="s">
        <v>17</v>
      </c>
      <c r="F719" t="s">
        <v>1</v>
      </c>
      <c r="G719" t="s">
        <v>630</v>
      </c>
      <c r="H719" t="s">
        <v>417</v>
      </c>
      <c r="I719" t="s">
        <v>1</v>
      </c>
      <c r="J719">
        <v>-19511.099999999999</v>
      </c>
      <c r="K719">
        <v>-17060.000000000098</v>
      </c>
      <c r="L719">
        <v>-9656.0300000000007</v>
      </c>
      <c r="M719">
        <v>-19472.104696132599</v>
      </c>
      <c r="N719">
        <v>-20776.300000000003</v>
      </c>
      <c r="O719">
        <v>-19418.170219780201</v>
      </c>
      <c r="P719">
        <v>0</v>
      </c>
      <c r="Q719">
        <f t="shared" si="150"/>
        <v>-19418.170219780201</v>
      </c>
      <c r="R719">
        <v>-19418.170219780201</v>
      </c>
      <c r="S719">
        <f t="shared" si="151"/>
        <v>0</v>
      </c>
      <c r="T719"/>
      <c r="U719">
        <f t="shared" si="152"/>
        <v>0</v>
      </c>
      <c r="V719">
        <f t="shared" si="153"/>
        <v>-19418.170219780201</v>
      </c>
      <c r="W719">
        <f t="shared" si="154"/>
        <v>0</v>
      </c>
      <c r="X719">
        <v>0</v>
      </c>
    </row>
    <row r="720" spans="1:24" x14ac:dyDescent="0.25">
      <c r="A720" t="s">
        <v>1928</v>
      </c>
      <c r="B720" t="s">
        <v>2007</v>
      </c>
      <c r="C720" t="s">
        <v>2010</v>
      </c>
      <c r="D720" t="s">
        <v>137</v>
      </c>
      <c r="E720" t="s">
        <v>82</v>
      </c>
      <c r="F720" t="s">
        <v>1</v>
      </c>
      <c r="G720" t="s">
        <v>630</v>
      </c>
      <c r="H720" t="s">
        <v>507</v>
      </c>
      <c r="I720" t="s">
        <v>1</v>
      </c>
      <c r="J720">
        <v>36413.32</v>
      </c>
      <c r="K720">
        <v>35647.034298975297</v>
      </c>
      <c r="L720">
        <v>17720.900000000001</v>
      </c>
      <c r="M720">
        <v>35735.516574585636</v>
      </c>
      <c r="N720">
        <v>36838.519999999997</v>
      </c>
      <c r="O720">
        <v>35636.535164835201</v>
      </c>
      <c r="P720">
        <v>99</v>
      </c>
      <c r="Q720">
        <f t="shared" si="150"/>
        <v>35735.535164835201</v>
      </c>
      <c r="R720">
        <v>35735.516574585636</v>
      </c>
      <c r="S720">
        <f t="shared" si="151"/>
        <v>-1.8590249565022532E-2</v>
      </c>
      <c r="T720">
        <v>2.75E-2</v>
      </c>
      <c r="U720">
        <f t="shared" si="152"/>
        <v>982.72670580110503</v>
      </c>
      <c r="V720">
        <f t="shared" si="153"/>
        <v>36718.243280386741</v>
      </c>
      <c r="W720">
        <f t="shared" si="154"/>
        <v>982.70811555154069</v>
      </c>
      <c r="X720">
        <v>0</v>
      </c>
    </row>
    <row r="721" spans="1:24" x14ac:dyDescent="0.25">
      <c r="A721" t="s">
        <v>1928</v>
      </c>
      <c r="B721" t="s">
        <v>2007</v>
      </c>
      <c r="C721" t="s">
        <v>2010</v>
      </c>
      <c r="D721" t="s">
        <v>137</v>
      </c>
      <c r="E721" t="s">
        <v>72</v>
      </c>
      <c r="F721" t="s">
        <v>1</v>
      </c>
      <c r="G721" t="s">
        <v>630</v>
      </c>
      <c r="H721" t="s">
        <v>489</v>
      </c>
      <c r="I721" t="s">
        <v>1</v>
      </c>
      <c r="J721">
        <v>9361.52</v>
      </c>
      <c r="K721">
        <v>12934.975108980099</v>
      </c>
      <c r="L721">
        <v>1458.8</v>
      </c>
      <c r="M721">
        <v>2941.779005524862</v>
      </c>
      <c r="N721">
        <v>3471.84</v>
      </c>
      <c r="O721">
        <v>2933.6307692308001</v>
      </c>
      <c r="P721">
        <v>8</v>
      </c>
      <c r="Q721">
        <f t="shared" si="150"/>
        <v>2941.6307692308001</v>
      </c>
      <c r="R721">
        <v>2941.779005524862</v>
      </c>
      <c r="S721">
        <f t="shared" si="151"/>
        <v>0.14823629406191685</v>
      </c>
      <c r="T721">
        <v>2.2499999999999999E-2</v>
      </c>
      <c r="U721">
        <f t="shared" si="152"/>
        <v>66.190027624309394</v>
      </c>
      <c r="V721">
        <f t="shared" si="153"/>
        <v>3007.9690331491715</v>
      </c>
      <c r="W721">
        <f t="shared" si="154"/>
        <v>66.338263918371467</v>
      </c>
      <c r="X721">
        <v>0</v>
      </c>
    </row>
    <row r="722" spans="1:24" x14ac:dyDescent="0.25">
      <c r="A722" t="s">
        <v>1928</v>
      </c>
      <c r="B722" t="s">
        <v>2007</v>
      </c>
      <c r="C722" t="s">
        <v>2010</v>
      </c>
      <c r="D722" t="s">
        <v>137</v>
      </c>
      <c r="E722" t="s">
        <v>118</v>
      </c>
      <c r="F722" t="s">
        <v>1</v>
      </c>
      <c r="G722" t="s">
        <v>630</v>
      </c>
      <c r="H722" t="s">
        <v>587</v>
      </c>
      <c r="I722" t="s">
        <v>1</v>
      </c>
      <c r="J722">
        <v>144.88999999999999</v>
      </c>
      <c r="K722"/>
      <c r="L722">
        <v>125.95</v>
      </c>
      <c r="M722">
        <v>253.9875690607735</v>
      </c>
      <c r="N722">
        <v>186.64000000000001</v>
      </c>
      <c r="O722">
        <v>253.2840659341</v>
      </c>
      <c r="P722">
        <v>1</v>
      </c>
      <c r="Q722">
        <f t="shared" si="150"/>
        <v>254.2840659341</v>
      </c>
      <c r="R722">
        <v>253.9875690607735</v>
      </c>
      <c r="S722">
        <f t="shared" si="151"/>
        <v>-0.29649687332650387</v>
      </c>
      <c r="T722">
        <v>3.2500000000000001E-2</v>
      </c>
      <c r="U722">
        <f t="shared" si="152"/>
        <v>8.2545959944751388</v>
      </c>
      <c r="V722">
        <f t="shared" si="153"/>
        <v>262.24216505524862</v>
      </c>
      <c r="W722">
        <f t="shared" si="154"/>
        <v>7.9580991211486207</v>
      </c>
      <c r="X722">
        <v>0</v>
      </c>
    </row>
    <row r="723" spans="1:24" x14ac:dyDescent="0.25">
      <c r="A723" t="s">
        <v>1928</v>
      </c>
      <c r="B723" t="s">
        <v>2007</v>
      </c>
      <c r="C723" t="s">
        <v>2010</v>
      </c>
      <c r="D723" t="s">
        <v>137</v>
      </c>
      <c r="E723" t="s">
        <v>18</v>
      </c>
      <c r="F723" t="s">
        <v>1</v>
      </c>
      <c r="G723" t="s">
        <v>630</v>
      </c>
      <c r="H723" t="s">
        <v>418</v>
      </c>
      <c r="I723" t="s">
        <v>1</v>
      </c>
      <c r="J723">
        <v>364600.77</v>
      </c>
      <c r="K723">
        <v>361426.99298418598</v>
      </c>
      <c r="L723">
        <v>201362.84</v>
      </c>
      <c r="M723">
        <v>406063.18563535914</v>
      </c>
      <c r="N723">
        <v>396777.9</v>
      </c>
      <c r="O723">
        <v>404938.45846153802</v>
      </c>
      <c r="P723">
        <v>1125</v>
      </c>
      <c r="Q723">
        <f t="shared" si="150"/>
        <v>406063.45846153802</v>
      </c>
      <c r="R723">
        <v>406063.18563535914</v>
      </c>
      <c r="S723">
        <f t="shared" si="151"/>
        <v>-0.27282617887249216</v>
      </c>
      <c r="T723">
        <v>0.02</v>
      </c>
      <c r="U723">
        <f t="shared" si="152"/>
        <v>8121.263712707183</v>
      </c>
      <c r="V723">
        <f t="shared" si="153"/>
        <v>414184.44934806635</v>
      </c>
      <c r="W723">
        <f t="shared" si="154"/>
        <v>8120.990886528336</v>
      </c>
      <c r="X723">
        <v>0</v>
      </c>
    </row>
    <row r="724" spans="1:24" x14ac:dyDescent="0.25">
      <c r="A724" t="s">
        <v>1928</v>
      </c>
      <c r="B724" t="s">
        <v>2007</v>
      </c>
      <c r="C724" t="s">
        <v>2010</v>
      </c>
      <c r="D724" t="s">
        <v>137</v>
      </c>
      <c r="E724" t="s">
        <v>57</v>
      </c>
      <c r="F724" t="s">
        <v>1</v>
      </c>
      <c r="G724" t="s">
        <v>630</v>
      </c>
      <c r="H724" t="s">
        <v>462</v>
      </c>
      <c r="I724" t="s">
        <v>1</v>
      </c>
      <c r="J724">
        <v>17185.23</v>
      </c>
      <c r="K724">
        <v>19465.771148891301</v>
      </c>
      <c r="L724">
        <v>4520.8599999999997</v>
      </c>
      <c r="M724">
        <v>9116.6513812154681</v>
      </c>
      <c r="N724">
        <v>11280.019999999999</v>
      </c>
      <c r="O724">
        <v>9091.3997802197991</v>
      </c>
      <c r="P724">
        <v>25</v>
      </c>
      <c r="Q724">
        <f t="shared" si="150"/>
        <v>9116.3997802197991</v>
      </c>
      <c r="R724">
        <v>9116.6513812154681</v>
      </c>
      <c r="S724">
        <f t="shared" si="151"/>
        <v>0.25160099566892313</v>
      </c>
      <c r="T724">
        <v>0.04</v>
      </c>
      <c r="U724">
        <f t="shared" si="152"/>
        <v>364.6660552486187</v>
      </c>
      <c r="V724">
        <f t="shared" si="153"/>
        <v>9481.3174364640872</v>
      </c>
      <c r="W724">
        <f t="shared" si="154"/>
        <v>364.91765624428808</v>
      </c>
      <c r="X724">
        <v>0</v>
      </c>
    </row>
    <row r="725" spans="1:24" x14ac:dyDescent="0.25">
      <c r="A725" t="s">
        <v>1928</v>
      </c>
      <c r="B725" t="s">
        <v>2007</v>
      </c>
      <c r="C725" t="s">
        <v>2010</v>
      </c>
      <c r="D725" t="s">
        <v>137</v>
      </c>
      <c r="E725" t="s">
        <v>73</v>
      </c>
      <c r="F725" t="s">
        <v>1</v>
      </c>
      <c r="G725" t="s">
        <v>630</v>
      </c>
      <c r="H725" t="s">
        <v>490</v>
      </c>
      <c r="I725" t="s">
        <v>1</v>
      </c>
      <c r="J725"/>
      <c r="K725"/>
      <c r="L725">
        <v>185</v>
      </c>
      <c r="M725">
        <v>373.06629834254142</v>
      </c>
      <c r="N725">
        <v>185</v>
      </c>
      <c r="O725">
        <v>372.03296703299998</v>
      </c>
      <c r="P725">
        <v>1</v>
      </c>
      <c r="Q725">
        <f t="shared" si="150"/>
        <v>373.03296703299998</v>
      </c>
      <c r="R725">
        <v>373.06629834254142</v>
      </c>
      <c r="S725">
        <f t="shared" si="151"/>
        <v>3.3331309541438259E-2</v>
      </c>
      <c r="T725">
        <v>3.5000000000000003E-2</v>
      </c>
      <c r="U725">
        <f t="shared" si="152"/>
        <v>13.057320441988951</v>
      </c>
      <c r="V725">
        <f t="shared" si="153"/>
        <v>386.12361878453038</v>
      </c>
      <c r="W725">
        <f t="shared" si="154"/>
        <v>13.090651751530402</v>
      </c>
      <c r="X725">
        <v>0</v>
      </c>
    </row>
    <row r="726" spans="1:24" x14ac:dyDescent="0.25">
      <c r="A726" t="s">
        <v>1928</v>
      </c>
      <c r="B726" t="s">
        <v>2007</v>
      </c>
      <c r="C726" t="s">
        <v>2010</v>
      </c>
      <c r="D726" t="s">
        <v>137</v>
      </c>
      <c r="E726" t="s">
        <v>19</v>
      </c>
      <c r="F726" t="s">
        <v>1</v>
      </c>
      <c r="G726" t="s">
        <v>630</v>
      </c>
      <c r="H726" t="s">
        <v>419</v>
      </c>
      <c r="I726" t="s">
        <v>1</v>
      </c>
      <c r="J726">
        <v>2487.1799999999998</v>
      </c>
      <c r="K726">
        <v>3810.6054074072999</v>
      </c>
      <c r="L726">
        <v>0</v>
      </c>
      <c r="M726">
        <v>0</v>
      </c>
      <c r="N726">
        <v>159.68</v>
      </c>
      <c r="O726"/>
      <c r="P726">
        <v>0</v>
      </c>
      <c r="Q726">
        <f t="shared" si="150"/>
        <v>0</v>
      </c>
      <c r="R726">
        <v>0</v>
      </c>
      <c r="S726">
        <f t="shared" si="151"/>
        <v>0</v>
      </c>
      <c r="T726">
        <v>0.02</v>
      </c>
      <c r="U726">
        <f t="shared" si="152"/>
        <v>0</v>
      </c>
      <c r="V726">
        <f t="shared" si="153"/>
        <v>0</v>
      </c>
      <c r="W726">
        <f t="shared" si="154"/>
        <v>0</v>
      </c>
      <c r="X726">
        <v>0</v>
      </c>
    </row>
    <row r="727" spans="1:24" x14ac:dyDescent="0.25">
      <c r="A727" t="s">
        <v>1928</v>
      </c>
      <c r="B727" t="s">
        <v>2007</v>
      </c>
      <c r="C727" t="s">
        <v>2010</v>
      </c>
      <c r="D727" t="s">
        <v>137</v>
      </c>
      <c r="E727" t="s">
        <v>74</v>
      </c>
      <c r="F727" t="s">
        <v>1</v>
      </c>
      <c r="G727" t="s">
        <v>630</v>
      </c>
      <c r="H727" t="s">
        <v>491</v>
      </c>
      <c r="I727" t="s">
        <v>1</v>
      </c>
      <c r="J727">
        <v>121391.07</v>
      </c>
      <c r="K727">
        <v>125441.179293849</v>
      </c>
      <c r="L727">
        <v>55319.95</v>
      </c>
      <c r="M727">
        <v>111556.80524861877</v>
      </c>
      <c r="N727">
        <v>118984.28000000001</v>
      </c>
      <c r="O727">
        <v>111247.811538462</v>
      </c>
      <c r="P727">
        <v>309</v>
      </c>
      <c r="Q727">
        <f t="shared" si="150"/>
        <v>111556.811538462</v>
      </c>
      <c r="R727">
        <v>111556.80524861877</v>
      </c>
      <c r="S727">
        <f t="shared" si="151"/>
        <v>-6.2898432370275259E-3</v>
      </c>
      <c r="T727">
        <v>3.5000000000000003E-2</v>
      </c>
      <c r="U727">
        <f t="shared" si="152"/>
        <v>3904.4881837016574</v>
      </c>
      <c r="V727">
        <f t="shared" si="153"/>
        <v>115461.29343232042</v>
      </c>
      <c r="W727">
        <f t="shared" si="154"/>
        <v>3904.4818938584212</v>
      </c>
      <c r="X727">
        <v>0</v>
      </c>
    </row>
    <row r="728" spans="1:24" x14ac:dyDescent="0.25">
      <c r="A728" t="s">
        <v>1928</v>
      </c>
      <c r="B728" t="s">
        <v>2007</v>
      </c>
      <c r="C728" t="s">
        <v>2010</v>
      </c>
      <c r="D728" t="s">
        <v>137</v>
      </c>
      <c r="E728" t="s">
        <v>85</v>
      </c>
      <c r="F728" t="s">
        <v>1</v>
      </c>
      <c r="G728" t="s">
        <v>630</v>
      </c>
      <c r="H728" t="s">
        <v>510</v>
      </c>
      <c r="I728" t="s">
        <v>1</v>
      </c>
      <c r="J728">
        <v>3590.75</v>
      </c>
      <c r="K728">
        <v>4276.9050349407999</v>
      </c>
      <c r="L728">
        <v>1108.43</v>
      </c>
      <c r="M728">
        <v>2235.2317679558014</v>
      </c>
      <c r="N728">
        <v>2569.8999999999996</v>
      </c>
      <c r="O728">
        <v>2229.0405494505999</v>
      </c>
      <c r="P728">
        <v>6</v>
      </c>
      <c r="Q728">
        <f t="shared" si="150"/>
        <v>2235.0405494505999</v>
      </c>
      <c r="R728">
        <v>2235.2317679558014</v>
      </c>
      <c r="S728">
        <f t="shared" si="151"/>
        <v>0.19121850520150474</v>
      </c>
      <c r="T728">
        <v>0.02</v>
      </c>
      <c r="U728">
        <f t="shared" si="152"/>
        <v>44.704635359116025</v>
      </c>
      <c r="V728">
        <f t="shared" si="153"/>
        <v>2279.9364033149172</v>
      </c>
      <c r="W728">
        <f t="shared" si="154"/>
        <v>44.89585386431736</v>
      </c>
      <c r="X728">
        <v>0</v>
      </c>
    </row>
    <row r="729" spans="1:24" x14ac:dyDescent="0.25">
      <c r="A729" t="s">
        <v>1928</v>
      </c>
      <c r="B729" t="s">
        <v>2007</v>
      </c>
      <c r="C729" t="s">
        <v>2010</v>
      </c>
      <c r="D729" t="s">
        <v>137</v>
      </c>
      <c r="E729" t="s">
        <v>119</v>
      </c>
      <c r="F729" t="s">
        <v>1</v>
      </c>
      <c r="G729" t="s">
        <v>630</v>
      </c>
      <c r="H729" t="s">
        <v>588</v>
      </c>
      <c r="I729" t="s">
        <v>1</v>
      </c>
      <c r="J729">
        <v>45930.75</v>
      </c>
      <c r="K729">
        <v>49637.201305460803</v>
      </c>
      <c r="L729">
        <v>22858.04</v>
      </c>
      <c r="M729">
        <v>46094.942541436467</v>
      </c>
      <c r="N729">
        <v>46429.42</v>
      </c>
      <c r="O729">
        <v>45967.267252747297</v>
      </c>
      <c r="P729">
        <v>128</v>
      </c>
      <c r="Q729">
        <f t="shared" si="150"/>
        <v>46095.267252747297</v>
      </c>
      <c r="R729">
        <v>46094.942541436467</v>
      </c>
      <c r="S729">
        <f t="shared" si="151"/>
        <v>-0.32471131083002547</v>
      </c>
      <c r="T729">
        <v>1.4999999999999999E-2</v>
      </c>
      <c r="U729">
        <f t="shared" si="152"/>
        <v>691.424138121547</v>
      </c>
      <c r="V729">
        <f t="shared" si="153"/>
        <v>46786.366679558014</v>
      </c>
      <c r="W729">
        <f t="shared" si="154"/>
        <v>691.09942681071698</v>
      </c>
      <c r="X729">
        <v>0</v>
      </c>
    </row>
    <row r="730" spans="1:24" x14ac:dyDescent="0.25">
      <c r="A730" t="s">
        <v>1928</v>
      </c>
      <c r="B730" t="s">
        <v>2007</v>
      </c>
      <c r="C730" t="s">
        <v>2010</v>
      </c>
      <c r="D730" t="s">
        <v>137</v>
      </c>
      <c r="E730" t="s">
        <v>136</v>
      </c>
      <c r="F730" t="s">
        <v>1</v>
      </c>
      <c r="G730" t="s">
        <v>630</v>
      </c>
      <c r="H730" t="s">
        <v>627</v>
      </c>
      <c r="I730" t="s">
        <v>1</v>
      </c>
      <c r="J730">
        <v>16742.71</v>
      </c>
      <c r="K730">
        <v>14157.4450226629</v>
      </c>
      <c r="L730">
        <v>16065.89</v>
      </c>
      <c r="M730">
        <v>32398.065469613259</v>
      </c>
      <c r="N730">
        <v>24593.84</v>
      </c>
      <c r="O730">
        <v>32308.328241758201</v>
      </c>
      <c r="P730">
        <v>90</v>
      </c>
      <c r="Q730">
        <f t="shared" si="150"/>
        <v>32398.328241758201</v>
      </c>
      <c r="R730">
        <v>32398.065469613259</v>
      </c>
      <c r="S730">
        <f t="shared" si="151"/>
        <v>-0.2627721449425735</v>
      </c>
      <c r="T730">
        <v>0.03</v>
      </c>
      <c r="U730">
        <f t="shared" si="152"/>
        <v>971.94196408839775</v>
      </c>
      <c r="V730">
        <f t="shared" si="153"/>
        <v>33370.007433701656</v>
      </c>
      <c r="W730">
        <f t="shared" si="154"/>
        <v>971.6791919434545</v>
      </c>
      <c r="X730">
        <v>0</v>
      </c>
    </row>
    <row r="731" spans="1:24" x14ac:dyDescent="0.25">
      <c r="A731" t="s">
        <v>1928</v>
      </c>
      <c r="B731" t="s">
        <v>2007</v>
      </c>
      <c r="C731" t="s">
        <v>2010</v>
      </c>
      <c r="D731" t="s">
        <v>137</v>
      </c>
      <c r="E731" t="s">
        <v>120</v>
      </c>
      <c r="F731" t="s">
        <v>1</v>
      </c>
      <c r="G731" t="s">
        <v>630</v>
      </c>
      <c r="H731" t="s">
        <v>589</v>
      </c>
      <c r="I731" t="s">
        <v>1</v>
      </c>
      <c r="J731">
        <v>13953.43</v>
      </c>
      <c r="K731">
        <v>16090.1700513754</v>
      </c>
      <c r="L731">
        <v>3647.48</v>
      </c>
      <c r="M731">
        <v>7355.41546961326</v>
      </c>
      <c r="N731">
        <v>8948.6400000000012</v>
      </c>
      <c r="O731">
        <v>7335.0421978021996</v>
      </c>
      <c r="P731">
        <v>20</v>
      </c>
      <c r="Q731">
        <f t="shared" si="150"/>
        <v>7355.0421978021996</v>
      </c>
      <c r="R731">
        <v>7355.41546961326</v>
      </c>
      <c r="S731">
        <f t="shared" si="151"/>
        <v>0.37327181106047647</v>
      </c>
      <c r="T731">
        <v>3.5000000000000003E-2</v>
      </c>
      <c r="U731">
        <f t="shared" si="152"/>
        <v>257.43954143646414</v>
      </c>
      <c r="V731">
        <f t="shared" si="153"/>
        <v>7612.8550110497245</v>
      </c>
      <c r="W731">
        <f t="shared" si="154"/>
        <v>257.8128132475249</v>
      </c>
      <c r="X731">
        <v>0</v>
      </c>
    </row>
    <row r="732" spans="1:24" x14ac:dyDescent="0.25">
      <c r="A732" t="s">
        <v>1928</v>
      </c>
      <c r="B732" t="s">
        <v>2007</v>
      </c>
      <c r="C732" t="s">
        <v>2010</v>
      </c>
      <c r="D732" t="s">
        <v>137</v>
      </c>
      <c r="E732" t="s">
        <v>20</v>
      </c>
      <c r="F732" t="s">
        <v>1</v>
      </c>
      <c r="G732" t="s">
        <v>630</v>
      </c>
      <c r="H732" t="s">
        <v>420</v>
      </c>
      <c r="I732" t="s">
        <v>1</v>
      </c>
      <c r="J732">
        <v>151390.70000000001</v>
      </c>
      <c r="K732">
        <v>152287.31993269699</v>
      </c>
      <c r="L732">
        <v>60784.11</v>
      </c>
      <c r="M732">
        <v>122575.6914364641</v>
      </c>
      <c r="N732">
        <v>135286.32999999999</v>
      </c>
      <c r="O732">
        <v>122236.177252747</v>
      </c>
      <c r="P732">
        <v>340</v>
      </c>
      <c r="Q732">
        <f t="shared" si="150"/>
        <v>122576.177252747</v>
      </c>
      <c r="R732">
        <v>122575.6914364641</v>
      </c>
      <c r="S732">
        <f t="shared" si="151"/>
        <v>-0.48581628290412482</v>
      </c>
      <c r="T732">
        <v>0.04</v>
      </c>
      <c r="U732">
        <f t="shared" si="152"/>
        <v>4903.0276574585641</v>
      </c>
      <c r="V732">
        <f t="shared" si="153"/>
        <v>127478.71909392266</v>
      </c>
      <c r="W732">
        <f t="shared" si="154"/>
        <v>4902.5418411756546</v>
      </c>
      <c r="X732">
        <v>0</v>
      </c>
    </row>
    <row r="733" spans="1:24" x14ac:dyDescent="0.25">
      <c r="A733" t="s">
        <v>1928</v>
      </c>
      <c r="B733" t="s">
        <v>2007</v>
      </c>
      <c r="C733" t="s">
        <v>2010</v>
      </c>
      <c r="D733" t="s">
        <v>137</v>
      </c>
      <c r="E733" t="s">
        <v>21</v>
      </c>
      <c r="F733" t="s">
        <v>1</v>
      </c>
      <c r="G733" t="s">
        <v>630</v>
      </c>
      <c r="H733" t="s">
        <v>421</v>
      </c>
      <c r="I733" t="s">
        <v>1</v>
      </c>
      <c r="J733">
        <v>6507.49</v>
      </c>
      <c r="K733">
        <v>6190.7300000001997</v>
      </c>
      <c r="L733">
        <v>3020.05</v>
      </c>
      <c r="M733">
        <v>6090.1560773480669</v>
      </c>
      <c r="N733">
        <v>6432.6499999999987</v>
      </c>
      <c r="O733">
        <v>6090.1560773480996</v>
      </c>
      <c r="P733">
        <v>0</v>
      </c>
      <c r="Q733">
        <f t="shared" si="150"/>
        <v>6090.1560773480996</v>
      </c>
      <c r="R733">
        <v>6090.1560773480669</v>
      </c>
      <c r="S733">
        <f t="shared" si="151"/>
        <v>-3.2741809263825417E-11</v>
      </c>
      <c r="T733">
        <v>0.03</v>
      </c>
      <c r="U733">
        <f t="shared" si="152"/>
        <v>182.704682320442</v>
      </c>
      <c r="V733">
        <f t="shared" si="153"/>
        <v>6272.8607596685088</v>
      </c>
      <c r="W733">
        <f t="shared" si="154"/>
        <v>182.70468232040912</v>
      </c>
      <c r="X733">
        <v>0</v>
      </c>
    </row>
    <row r="734" spans="1:24" x14ac:dyDescent="0.25">
      <c r="A734" t="s">
        <v>1928</v>
      </c>
      <c r="B734" t="s">
        <v>2007</v>
      </c>
      <c r="C734" t="s">
        <v>2010</v>
      </c>
      <c r="D734" t="s">
        <v>137</v>
      </c>
      <c r="E734" t="s">
        <v>22</v>
      </c>
      <c r="F734" t="s">
        <v>1</v>
      </c>
      <c r="G734" t="s">
        <v>630</v>
      </c>
      <c r="H734" t="s">
        <v>422</v>
      </c>
      <c r="I734" t="s">
        <v>1</v>
      </c>
      <c r="J734">
        <v>6874.31</v>
      </c>
      <c r="K734">
        <v>7700.4000000001997</v>
      </c>
      <c r="L734">
        <v>2721.82</v>
      </c>
      <c r="M734">
        <v>5488.7530386740336</v>
      </c>
      <c r="N734">
        <v>5877.0000000000009</v>
      </c>
      <c r="O734">
        <v>5488.753038674</v>
      </c>
      <c r="P734">
        <v>0</v>
      </c>
      <c r="Q734">
        <f t="shared" si="150"/>
        <v>5488.753038674</v>
      </c>
      <c r="R734">
        <v>5488.7530386740336</v>
      </c>
      <c r="S734">
        <f t="shared" si="151"/>
        <v>3.3651303965598345E-11</v>
      </c>
      <c r="T734">
        <v>3.5000000000000003E-2</v>
      </c>
      <c r="U734">
        <f t="shared" si="152"/>
        <v>192.1063563535912</v>
      </c>
      <c r="V734">
        <f t="shared" si="153"/>
        <v>5680.8593950276245</v>
      </c>
      <c r="W734">
        <f t="shared" si="154"/>
        <v>192.10635635362451</v>
      </c>
      <c r="X734">
        <v>0</v>
      </c>
    </row>
    <row r="735" spans="1:24" x14ac:dyDescent="0.25">
      <c r="A735" t="s">
        <v>1928</v>
      </c>
      <c r="B735" t="s">
        <v>2007</v>
      </c>
      <c r="C735" t="s">
        <v>2010</v>
      </c>
      <c r="D735" t="s">
        <v>137</v>
      </c>
      <c r="E735" t="s">
        <v>23</v>
      </c>
      <c r="F735" t="s">
        <v>1</v>
      </c>
      <c r="G735" t="s">
        <v>630</v>
      </c>
      <c r="H735" t="s">
        <v>423</v>
      </c>
      <c r="I735" t="s">
        <v>1</v>
      </c>
      <c r="J735">
        <v>6632.3</v>
      </c>
      <c r="K735">
        <v>12088.8</v>
      </c>
      <c r="L735">
        <v>14490.75</v>
      </c>
      <c r="M735">
        <v>29221.67817679558</v>
      </c>
      <c r="N735">
        <v>15282.349999999999</v>
      </c>
      <c r="O735">
        <v>29221.678176795602</v>
      </c>
      <c r="P735">
        <v>0</v>
      </c>
      <c r="Q735">
        <f t="shared" si="150"/>
        <v>29221.678176795602</v>
      </c>
      <c r="R735">
        <v>29221.67817679558</v>
      </c>
      <c r="S735">
        <f t="shared" si="151"/>
        <v>-2.1827872842550278E-11</v>
      </c>
      <c r="T735">
        <v>3.5000000000000003E-2</v>
      </c>
      <c r="U735">
        <f t="shared" si="152"/>
        <v>1022.7587361878454</v>
      </c>
      <c r="V735">
        <f t="shared" si="153"/>
        <v>30244.436912983427</v>
      </c>
      <c r="W735">
        <f t="shared" si="154"/>
        <v>1022.758736187825</v>
      </c>
      <c r="X735">
        <v>0</v>
      </c>
    </row>
    <row r="736" spans="1:24" x14ac:dyDescent="0.25">
      <c r="A736" t="s">
        <v>1928</v>
      </c>
      <c r="B736" t="s">
        <v>2007</v>
      </c>
      <c r="C736" t="s">
        <v>2010</v>
      </c>
      <c r="D736" t="s">
        <v>137</v>
      </c>
      <c r="E736" t="s">
        <v>26</v>
      </c>
      <c r="F736" t="s">
        <v>1</v>
      </c>
      <c r="G736" t="s">
        <v>630</v>
      </c>
      <c r="H736" t="s">
        <v>426</v>
      </c>
      <c r="I736" t="s">
        <v>1</v>
      </c>
      <c r="J736"/>
      <c r="K736">
        <v>3198.8370806399998</v>
      </c>
      <c r="L736">
        <v>0</v>
      </c>
      <c r="M736">
        <v>0</v>
      </c>
      <c r="N736">
        <v>0</v>
      </c>
      <c r="O736"/>
      <c r="P736">
        <v>1000</v>
      </c>
      <c r="Q736">
        <f t="shared" si="150"/>
        <v>1000</v>
      </c>
      <c r="R736">
        <v>1000</v>
      </c>
      <c r="S736">
        <f t="shared" si="151"/>
        <v>0</v>
      </c>
      <c r="T736"/>
      <c r="U736">
        <f t="shared" si="152"/>
        <v>0</v>
      </c>
      <c r="V736">
        <f t="shared" si="153"/>
        <v>1000</v>
      </c>
      <c r="W736">
        <f t="shared" si="154"/>
        <v>0</v>
      </c>
      <c r="X736" t="s">
        <v>1460</v>
      </c>
    </row>
    <row r="737" spans="1:24" x14ac:dyDescent="0.25">
      <c r="A737" t="s">
        <v>1928</v>
      </c>
      <c r="B737" t="s">
        <v>2007</v>
      </c>
      <c r="C737" t="s">
        <v>2010</v>
      </c>
      <c r="D737" t="s">
        <v>137</v>
      </c>
      <c r="E737" t="s">
        <v>28</v>
      </c>
      <c r="F737" t="s">
        <v>1</v>
      </c>
      <c r="G737" t="s">
        <v>630</v>
      </c>
      <c r="H737" t="s">
        <v>428</v>
      </c>
      <c r="I737" t="s">
        <v>1</v>
      </c>
      <c r="J737">
        <v>12456.69</v>
      </c>
      <c r="K737">
        <v>11349.9999999996</v>
      </c>
      <c r="L737">
        <v>4359.2299999999996</v>
      </c>
      <c r="M737">
        <v>8790.7124309392257</v>
      </c>
      <c r="N737">
        <v>10827.859999999997</v>
      </c>
      <c r="O737">
        <v>8718.4599999999991</v>
      </c>
      <c r="P737">
        <v>72</v>
      </c>
      <c r="Q737">
        <f t="shared" si="150"/>
        <v>8790.4599999999991</v>
      </c>
      <c r="R737">
        <v>8790.7124309392257</v>
      </c>
      <c r="S737">
        <f t="shared" si="151"/>
        <v>0.25243093922654225</v>
      </c>
      <c r="T737"/>
      <c r="U737">
        <f t="shared" si="152"/>
        <v>0</v>
      </c>
      <c r="V737">
        <f t="shared" si="153"/>
        <v>8790.7124309392257</v>
      </c>
      <c r="W737">
        <f t="shared" si="154"/>
        <v>0.25243093922654225</v>
      </c>
      <c r="X737">
        <v>0</v>
      </c>
    </row>
    <row r="738" spans="1:24" x14ac:dyDescent="0.25">
      <c r="A738" t="s">
        <v>1928</v>
      </c>
      <c r="B738" t="s">
        <v>2007</v>
      </c>
      <c r="C738" t="s">
        <v>2010</v>
      </c>
      <c r="D738" t="s">
        <v>137</v>
      </c>
      <c r="E738" t="s">
        <v>29</v>
      </c>
      <c r="F738" t="s">
        <v>1</v>
      </c>
      <c r="G738" t="s">
        <v>630</v>
      </c>
      <c r="H738" t="s">
        <v>429</v>
      </c>
      <c r="I738" t="s">
        <v>1</v>
      </c>
      <c r="J738">
        <v>105</v>
      </c>
      <c r="K738"/>
      <c r="L738">
        <v>0</v>
      </c>
      <c r="M738">
        <v>0</v>
      </c>
      <c r="N738">
        <v>105</v>
      </c>
      <c r="O738"/>
      <c r="P738">
        <v>3500</v>
      </c>
      <c r="Q738">
        <f t="shared" si="150"/>
        <v>3500</v>
      </c>
      <c r="R738">
        <v>3500</v>
      </c>
      <c r="S738">
        <f t="shared" si="151"/>
        <v>0</v>
      </c>
      <c r="T738"/>
      <c r="U738">
        <f t="shared" si="152"/>
        <v>0</v>
      </c>
      <c r="V738">
        <f t="shared" si="153"/>
        <v>3500</v>
      </c>
      <c r="W738">
        <f t="shared" si="154"/>
        <v>0</v>
      </c>
      <c r="X738" t="s">
        <v>1462</v>
      </c>
    </row>
    <row r="739" spans="1:24" x14ac:dyDescent="0.25">
      <c r="A739" t="s">
        <v>1928</v>
      </c>
      <c r="B739" t="s">
        <v>2007</v>
      </c>
      <c r="C739" t="s">
        <v>2010</v>
      </c>
      <c r="D739" t="s">
        <v>137</v>
      </c>
      <c r="E739" t="s">
        <v>31</v>
      </c>
      <c r="F739" t="s">
        <v>1</v>
      </c>
      <c r="G739" t="s">
        <v>630</v>
      </c>
      <c r="H739" t="s">
        <v>431</v>
      </c>
      <c r="I739" t="s">
        <v>1</v>
      </c>
      <c r="J739"/>
      <c r="K739">
        <v>525</v>
      </c>
      <c r="L739">
        <v>0</v>
      </c>
      <c r="M739">
        <v>0</v>
      </c>
      <c r="N739">
        <v>0</v>
      </c>
      <c r="O739"/>
      <c r="P739">
        <v>0</v>
      </c>
      <c r="Q739">
        <f t="shared" si="150"/>
        <v>0</v>
      </c>
      <c r="R739">
        <v>0</v>
      </c>
      <c r="S739">
        <f t="shared" si="151"/>
        <v>0</v>
      </c>
      <c r="T739"/>
      <c r="U739">
        <f t="shared" si="152"/>
        <v>0</v>
      </c>
      <c r="V739">
        <f t="shared" si="153"/>
        <v>0</v>
      </c>
      <c r="W739">
        <f t="shared" si="154"/>
        <v>0</v>
      </c>
      <c r="X739">
        <v>0</v>
      </c>
    </row>
    <row r="740" spans="1:24" x14ac:dyDescent="0.25">
      <c r="A740" t="s">
        <v>1928</v>
      </c>
      <c r="B740" t="s">
        <v>2007</v>
      </c>
      <c r="C740" t="s">
        <v>2010</v>
      </c>
      <c r="D740" t="s">
        <v>137</v>
      </c>
      <c r="E740" t="s">
        <v>33</v>
      </c>
      <c r="F740" t="s">
        <v>1</v>
      </c>
      <c r="G740" t="s">
        <v>630</v>
      </c>
      <c r="H740" t="s">
        <v>433</v>
      </c>
      <c r="I740" t="s">
        <v>1</v>
      </c>
      <c r="J740"/>
      <c r="K740">
        <v>245.30959207320001</v>
      </c>
      <c r="L740">
        <v>0</v>
      </c>
      <c r="M740">
        <v>0</v>
      </c>
      <c r="N740">
        <v>0</v>
      </c>
      <c r="O740"/>
      <c r="P740">
        <v>500</v>
      </c>
      <c r="Q740">
        <f t="shared" si="150"/>
        <v>500</v>
      </c>
      <c r="R740">
        <v>500</v>
      </c>
      <c r="S740">
        <f t="shared" si="151"/>
        <v>0</v>
      </c>
      <c r="T740"/>
      <c r="U740">
        <f t="shared" si="152"/>
        <v>0</v>
      </c>
      <c r="V740">
        <f t="shared" si="153"/>
        <v>500</v>
      </c>
      <c r="W740">
        <f t="shared" si="154"/>
        <v>0</v>
      </c>
      <c r="X740" t="s">
        <v>1461</v>
      </c>
    </row>
    <row r="741" spans="1:24" x14ac:dyDescent="0.25">
      <c r="A741" t="s">
        <v>1928</v>
      </c>
      <c r="B741" t="s">
        <v>2007</v>
      </c>
      <c r="C741" t="s">
        <v>2010</v>
      </c>
      <c r="D741" t="s">
        <v>137</v>
      </c>
      <c r="E741" t="s">
        <v>34</v>
      </c>
      <c r="F741" t="s">
        <v>1</v>
      </c>
      <c r="G741" t="s">
        <v>630</v>
      </c>
      <c r="H741" t="s">
        <v>434</v>
      </c>
      <c r="I741" t="s">
        <v>1</v>
      </c>
      <c r="J741"/>
      <c r="K741">
        <v>784.99069463520004</v>
      </c>
      <c r="L741">
        <v>0</v>
      </c>
      <c r="M741">
        <v>0</v>
      </c>
      <c r="N741">
        <v>0</v>
      </c>
      <c r="O741"/>
      <c r="P741">
        <v>0</v>
      </c>
      <c r="Q741">
        <f t="shared" si="150"/>
        <v>0</v>
      </c>
      <c r="R741">
        <v>0</v>
      </c>
      <c r="S741">
        <f t="shared" si="151"/>
        <v>0</v>
      </c>
      <c r="T741"/>
      <c r="U741">
        <f t="shared" si="152"/>
        <v>0</v>
      </c>
      <c r="V741">
        <f t="shared" si="153"/>
        <v>0</v>
      </c>
      <c r="W741">
        <f t="shared" si="154"/>
        <v>0</v>
      </c>
      <c r="X741">
        <v>0</v>
      </c>
    </row>
    <row r="742" spans="1:24" x14ac:dyDescent="0.25">
      <c r="A742" t="s">
        <v>1928</v>
      </c>
      <c r="B742" t="s">
        <v>2007</v>
      </c>
      <c r="C742" t="s">
        <v>2010</v>
      </c>
      <c r="D742" t="s">
        <v>137</v>
      </c>
      <c r="E742" t="s">
        <v>37</v>
      </c>
      <c r="F742" t="s">
        <v>1</v>
      </c>
      <c r="G742" t="s">
        <v>630</v>
      </c>
      <c r="H742" t="s">
        <v>437</v>
      </c>
      <c r="I742" t="s">
        <v>1</v>
      </c>
      <c r="J742">
        <v>696.11</v>
      </c>
      <c r="K742">
        <v>1471.8575524416001</v>
      </c>
      <c r="L742">
        <v>0</v>
      </c>
      <c r="M742">
        <v>0</v>
      </c>
      <c r="N742">
        <v>558.16000000000008</v>
      </c>
      <c r="O742"/>
      <c r="P742">
        <v>0</v>
      </c>
      <c r="Q742">
        <f t="shared" si="150"/>
        <v>0</v>
      </c>
      <c r="R742">
        <v>1500</v>
      </c>
      <c r="S742">
        <f t="shared" si="151"/>
        <v>1500</v>
      </c>
      <c r="T742"/>
      <c r="U742">
        <f t="shared" si="152"/>
        <v>0</v>
      </c>
      <c r="V742">
        <f t="shared" si="153"/>
        <v>1500</v>
      </c>
      <c r="W742">
        <f t="shared" si="154"/>
        <v>1500</v>
      </c>
      <c r="X742" t="s">
        <v>1423</v>
      </c>
    </row>
    <row r="743" spans="1:24" x14ac:dyDescent="0.25">
      <c r="A743" t="s">
        <v>1928</v>
      </c>
      <c r="B743" t="s">
        <v>2007</v>
      </c>
      <c r="C743" t="s">
        <v>2010</v>
      </c>
      <c r="D743" t="s">
        <v>137</v>
      </c>
      <c r="E743" t="s">
        <v>121</v>
      </c>
      <c r="F743" t="s">
        <v>1</v>
      </c>
      <c r="G743" t="s">
        <v>630</v>
      </c>
      <c r="H743" t="s">
        <v>590</v>
      </c>
      <c r="I743" t="s">
        <v>1</v>
      </c>
      <c r="J743"/>
      <c r="K743">
        <v>36728.366705985602</v>
      </c>
      <c r="L743">
        <v>0</v>
      </c>
      <c r="M743">
        <v>0</v>
      </c>
      <c r="N743">
        <v>0</v>
      </c>
      <c r="O743"/>
      <c r="P743">
        <v>0</v>
      </c>
      <c r="Q743">
        <f t="shared" si="150"/>
        <v>0</v>
      </c>
      <c r="R743">
        <v>0</v>
      </c>
      <c r="S743">
        <f t="shared" si="151"/>
        <v>0</v>
      </c>
      <c r="T743"/>
      <c r="U743">
        <f t="shared" si="152"/>
        <v>0</v>
      </c>
      <c r="V743">
        <f t="shared" si="153"/>
        <v>0</v>
      </c>
      <c r="W743">
        <f t="shared" si="154"/>
        <v>0</v>
      </c>
      <c r="X743">
        <v>0</v>
      </c>
    </row>
    <row r="744" spans="1:24" x14ac:dyDescent="0.25">
      <c r="A744" t="s">
        <v>1928</v>
      </c>
      <c r="B744" t="s">
        <v>2007</v>
      </c>
      <c r="C744" t="s">
        <v>2010</v>
      </c>
      <c r="D744" t="s">
        <v>137</v>
      </c>
      <c r="E744" t="s">
        <v>76</v>
      </c>
      <c r="F744" t="s">
        <v>1</v>
      </c>
      <c r="G744" t="s">
        <v>630</v>
      </c>
      <c r="H744" t="s">
        <v>493</v>
      </c>
      <c r="I744" t="s">
        <v>1</v>
      </c>
      <c r="J744"/>
      <c r="K744"/>
      <c r="L744">
        <v>11264</v>
      </c>
      <c r="M744">
        <v>22714.696132596684</v>
      </c>
      <c r="N744">
        <v>11264</v>
      </c>
      <c r="O744">
        <v>22528</v>
      </c>
      <c r="P744">
        <v>-11264</v>
      </c>
      <c r="Q744">
        <f t="shared" si="150"/>
        <v>11264</v>
      </c>
      <c r="R744">
        <v>11264</v>
      </c>
      <c r="S744">
        <f t="shared" si="151"/>
        <v>0</v>
      </c>
      <c r="T744">
        <v>0.03</v>
      </c>
      <c r="U744">
        <f t="shared" si="152"/>
        <v>337.91999999999996</v>
      </c>
      <c r="V744">
        <f t="shared" si="153"/>
        <v>11601.92</v>
      </c>
      <c r="W744">
        <f t="shared" si="154"/>
        <v>337.92000000000007</v>
      </c>
      <c r="X744">
        <v>0</v>
      </c>
    </row>
    <row r="745" spans="1:24" x14ac:dyDescent="0.25">
      <c r="A745" t="s">
        <v>1928</v>
      </c>
      <c r="B745" t="s">
        <v>2007</v>
      </c>
      <c r="C745" t="s">
        <v>2010</v>
      </c>
      <c r="D745" t="s">
        <v>137</v>
      </c>
      <c r="E745" t="s">
        <v>41</v>
      </c>
      <c r="F745" t="s">
        <v>1</v>
      </c>
      <c r="G745" t="s">
        <v>630</v>
      </c>
      <c r="H745" t="s">
        <v>441</v>
      </c>
      <c r="I745" t="s">
        <v>1</v>
      </c>
      <c r="J745">
        <v>2828.49</v>
      </c>
      <c r="K745">
        <v>3024.21</v>
      </c>
      <c r="L745">
        <v>3673.59</v>
      </c>
      <c r="M745">
        <v>7408.0682320441983</v>
      </c>
      <c r="N745">
        <v>4865.33</v>
      </c>
      <c r="O745">
        <v>7347.18</v>
      </c>
      <c r="P745">
        <v>-2482</v>
      </c>
      <c r="Q745">
        <f t="shared" si="150"/>
        <v>4865.18</v>
      </c>
      <c r="R745">
        <v>4865</v>
      </c>
      <c r="S745">
        <f t="shared" si="151"/>
        <v>-0.18000000000029104</v>
      </c>
      <c r="T745">
        <v>0.03</v>
      </c>
      <c r="U745">
        <f t="shared" si="152"/>
        <v>145.94999999999999</v>
      </c>
      <c r="V745">
        <f t="shared" si="153"/>
        <v>5010.95</v>
      </c>
      <c r="W745">
        <f t="shared" si="154"/>
        <v>145.76999999999953</v>
      </c>
      <c r="X745" t="s">
        <v>1421</v>
      </c>
    </row>
    <row r="746" spans="1:24" x14ac:dyDescent="0.25">
      <c r="A746" t="s">
        <v>1928</v>
      </c>
      <c r="B746" t="s">
        <v>2007</v>
      </c>
      <c r="C746" t="s">
        <v>2010</v>
      </c>
      <c r="D746" t="s">
        <v>137</v>
      </c>
      <c r="E746" t="s">
        <v>134</v>
      </c>
      <c r="F746" t="s">
        <v>1</v>
      </c>
      <c r="G746" t="s">
        <v>630</v>
      </c>
      <c r="H746" t="s">
        <v>623</v>
      </c>
      <c r="I746" t="s">
        <v>1</v>
      </c>
      <c r="J746"/>
      <c r="K746"/>
      <c r="L746">
        <v>1510</v>
      </c>
      <c r="M746">
        <v>3045.0276243093922</v>
      </c>
      <c r="N746">
        <v>1510</v>
      </c>
      <c r="O746">
        <v>3020</v>
      </c>
      <c r="P746">
        <v>-1510</v>
      </c>
      <c r="Q746">
        <f t="shared" si="150"/>
        <v>1510</v>
      </c>
      <c r="R746">
        <v>1510</v>
      </c>
      <c r="S746">
        <f t="shared" si="151"/>
        <v>0</v>
      </c>
      <c r="T746">
        <v>0.03</v>
      </c>
      <c r="U746">
        <f t="shared" si="152"/>
        <v>45.3</v>
      </c>
      <c r="V746">
        <f t="shared" si="153"/>
        <v>1555.3</v>
      </c>
      <c r="W746">
        <f t="shared" si="154"/>
        <v>45.299999999999955</v>
      </c>
      <c r="X746">
        <v>0</v>
      </c>
    </row>
    <row r="747" spans="1:24" x14ac:dyDescent="0.25">
      <c r="A747" t="s">
        <v>1928</v>
      </c>
      <c r="B747" t="s">
        <v>2007</v>
      </c>
      <c r="C747" t="s">
        <v>2010</v>
      </c>
      <c r="D747" t="s">
        <v>137</v>
      </c>
      <c r="E747" t="s">
        <v>46</v>
      </c>
      <c r="F747" t="s">
        <v>1</v>
      </c>
      <c r="G747" t="s">
        <v>630</v>
      </c>
      <c r="H747" t="s">
        <v>446</v>
      </c>
      <c r="I747" t="s">
        <v>1</v>
      </c>
      <c r="J747">
        <v>2375.88</v>
      </c>
      <c r="K747"/>
      <c r="L747">
        <v>0</v>
      </c>
      <c r="M747">
        <v>0</v>
      </c>
      <c r="N747">
        <v>0</v>
      </c>
      <c r="O747"/>
      <c r="P747">
        <v>0</v>
      </c>
      <c r="Q747">
        <f t="shared" si="150"/>
        <v>0</v>
      </c>
      <c r="R747">
        <v>0</v>
      </c>
      <c r="S747">
        <f t="shared" si="151"/>
        <v>0</v>
      </c>
      <c r="T747">
        <v>0.03</v>
      </c>
      <c r="U747">
        <f t="shared" si="152"/>
        <v>0</v>
      </c>
      <c r="V747">
        <f t="shared" si="153"/>
        <v>0</v>
      </c>
      <c r="W747">
        <f t="shared" si="154"/>
        <v>0</v>
      </c>
      <c r="X747">
        <v>0</v>
      </c>
    </row>
    <row r="748" spans="1:24" x14ac:dyDescent="0.25">
      <c r="A748" t="s">
        <v>1928</v>
      </c>
      <c r="B748" t="s">
        <v>2007</v>
      </c>
      <c r="C748" t="s">
        <v>2010</v>
      </c>
      <c r="D748" t="s">
        <v>137</v>
      </c>
      <c r="E748" t="s">
        <v>47</v>
      </c>
      <c r="F748" t="s">
        <v>1</v>
      </c>
      <c r="G748" t="s">
        <v>630</v>
      </c>
      <c r="H748" t="s">
        <v>447</v>
      </c>
      <c r="I748" t="s">
        <v>1</v>
      </c>
      <c r="J748"/>
      <c r="K748">
        <v>1260</v>
      </c>
      <c r="L748">
        <v>0</v>
      </c>
      <c r="M748">
        <v>0</v>
      </c>
      <c r="N748">
        <v>0</v>
      </c>
      <c r="O748"/>
      <c r="P748">
        <v>0</v>
      </c>
      <c r="Q748">
        <f t="shared" si="150"/>
        <v>0</v>
      </c>
      <c r="R748">
        <v>0</v>
      </c>
      <c r="S748">
        <f t="shared" si="151"/>
        <v>0</v>
      </c>
      <c r="T748">
        <v>0.03</v>
      </c>
      <c r="U748">
        <f t="shared" si="152"/>
        <v>0</v>
      </c>
      <c r="V748">
        <f t="shared" si="153"/>
        <v>0</v>
      </c>
      <c r="W748">
        <f t="shared" si="154"/>
        <v>0</v>
      </c>
      <c r="X748">
        <v>0</v>
      </c>
    </row>
    <row r="749" spans="1:24" x14ac:dyDescent="0.25">
      <c r="A749" t="s">
        <v>1928</v>
      </c>
      <c r="B749" t="s">
        <v>2007</v>
      </c>
      <c r="C749" t="s">
        <v>2010</v>
      </c>
      <c r="D749" t="s">
        <v>137</v>
      </c>
      <c r="E749" t="s">
        <v>50</v>
      </c>
      <c r="F749" t="s">
        <v>1</v>
      </c>
      <c r="G749" t="s">
        <v>630</v>
      </c>
      <c r="H749" t="s">
        <v>450</v>
      </c>
      <c r="I749" t="s">
        <v>1</v>
      </c>
      <c r="J749">
        <v>1553.04</v>
      </c>
      <c r="K749">
        <v>1450</v>
      </c>
      <c r="L749">
        <v>671.32</v>
      </c>
      <c r="M749">
        <v>1353.7668508287295</v>
      </c>
      <c r="N749">
        <v>1519.05</v>
      </c>
      <c r="O749">
        <v>1353.7668508286999</v>
      </c>
      <c r="P749">
        <v>0</v>
      </c>
      <c r="Q749">
        <f t="shared" si="150"/>
        <v>1353.7668508286999</v>
      </c>
      <c r="R749">
        <v>1353.7668508287295</v>
      </c>
      <c r="S749">
        <f t="shared" si="151"/>
        <v>2.9558577807620168E-11</v>
      </c>
      <c r="T749"/>
      <c r="U749">
        <f t="shared" si="152"/>
        <v>0</v>
      </c>
      <c r="V749">
        <f t="shared" si="153"/>
        <v>1353.7668508287295</v>
      </c>
      <c r="W749">
        <f t="shared" si="154"/>
        <v>2.9558577807620168E-11</v>
      </c>
      <c r="X749">
        <v>0</v>
      </c>
    </row>
    <row r="750" spans="1:24" x14ac:dyDescent="0.25">
      <c r="A750" t="s">
        <v>1928</v>
      </c>
      <c r="B750" t="s">
        <v>2007</v>
      </c>
      <c r="C750" t="s">
        <v>2010</v>
      </c>
      <c r="D750" t="s">
        <v>137</v>
      </c>
      <c r="E750" t="s">
        <v>51</v>
      </c>
      <c r="F750" t="s">
        <v>51</v>
      </c>
      <c r="G750" t="s">
        <v>631</v>
      </c>
      <c r="H750"/>
      <c r="I750"/>
      <c r="J750">
        <v>803110.99000000022</v>
      </c>
      <c r="K750">
        <v>865005.41121520195</v>
      </c>
      <c r="L750">
        <v>416365.87999999995</v>
      </c>
      <c r="M750">
        <v>839632.85193370178</v>
      </c>
      <c r="N750">
        <v>822126.83000000007</v>
      </c>
      <c r="O750">
        <v>837190.57985793205</v>
      </c>
      <c r="P750">
        <f>SUMIF($F$716:$F$749,"&lt;&gt;EV_*",$P$716:$P$749)</f>
        <v>-8025</v>
      </c>
      <c r="Q750">
        <f>SUMIF($F$716:$F$749,"&lt;&gt;EV_*",$Q$716:$Q$749)</f>
        <v>829165.57985793205</v>
      </c>
      <c r="R750">
        <f>SUMIF($F$716:$F$749,"&lt;&gt;EV_*",$R$716:$R$749)</f>
        <v>833236.70933823101</v>
      </c>
      <c r="S750">
        <f>SUMIF($F$716:$F$749,"&lt;&gt;EV_*",$S$716:$S$749)</f>
        <v>4071.1294802987509</v>
      </c>
      <c r="T750">
        <v>0</v>
      </c>
      <c r="U750">
        <f>SUMIF($F$716:$F$749,"&lt;&gt;EV_*",$U$716:$U$749)</f>
        <v>22255.924312845305</v>
      </c>
      <c r="V750">
        <f>SUMIF($F$716:$F$749,"&lt;&gt;EV_*",$V$716:$V$749)</f>
        <v>855492.63365107635</v>
      </c>
      <c r="W750">
        <f>SUMIF($F$716:$F$749,"&lt;&gt;EV_*",$W$716:$W$749)</f>
        <v>26327.05379314407</v>
      </c>
      <c r="X750">
        <f>SUMIF($F$716:$F$749,"&lt;&gt;EV_*",$X$716:$X$749)</f>
        <v>0</v>
      </c>
    </row>
    <row r="751" spans="1:24" x14ac:dyDescent="0.25">
      <c r="A751" t="s">
        <v>1928</v>
      </c>
      <c r="B751" t="s">
        <v>2007</v>
      </c>
      <c r="C751" t="s">
        <v>2011</v>
      </c>
      <c r="D751" t="s">
        <v>138</v>
      </c>
      <c r="E751" t="s">
        <v>5</v>
      </c>
      <c r="F751" t="s">
        <v>5</v>
      </c>
      <c r="G751" t="s">
        <v>632</v>
      </c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</row>
    <row r="752" spans="1:24" x14ac:dyDescent="0.25">
      <c r="A752" t="s">
        <v>1928</v>
      </c>
      <c r="B752" t="s">
        <v>2007</v>
      </c>
      <c r="C752" t="s">
        <v>2011</v>
      </c>
      <c r="D752" t="s">
        <v>138</v>
      </c>
      <c r="E752" t="s">
        <v>22</v>
      </c>
      <c r="F752" t="s">
        <v>1</v>
      </c>
      <c r="G752" t="s">
        <v>633</v>
      </c>
      <c r="H752" t="s">
        <v>422</v>
      </c>
      <c r="I752" t="s">
        <v>1</v>
      </c>
      <c r="J752">
        <v>239.18</v>
      </c>
      <c r="K752">
        <v>124.2000000001</v>
      </c>
      <c r="L752">
        <v>0</v>
      </c>
      <c r="M752">
        <v>0</v>
      </c>
      <c r="N752">
        <v>178.75</v>
      </c>
      <c r="O752"/>
      <c r="P752">
        <v>0</v>
      </c>
      <c r="Q752">
        <f t="shared" ref="Q752:Q759" si="155">O752+P752</f>
        <v>0</v>
      </c>
      <c r="R752">
        <v>0</v>
      </c>
      <c r="S752">
        <f t="shared" ref="S752:S759" si="156">IF(OR(LEFT(E752,2)="A_",LEFT(D752,5)="Total"),R752-Q752,"")</f>
        <v>0</v>
      </c>
      <c r="T752">
        <v>3.5000000000000003E-2</v>
      </c>
      <c r="U752">
        <f t="shared" ref="U752:U759" si="157">IFERROR(R752*T752,R752*0)</f>
        <v>0</v>
      </c>
      <c r="V752">
        <f t="shared" ref="V752:V759" si="158">IF(OR(LEFT(E752,2)="A_",LEFT(D752,5)="Total"),R752+U752,"")</f>
        <v>0</v>
      </c>
      <c r="W752">
        <f t="shared" ref="W752:W759" si="159">IF(OR(LEFT(E752,2)="A_",LEFT(D752,5)="Total"),V752-Q752,"")</f>
        <v>0</v>
      </c>
      <c r="X752">
        <v>0</v>
      </c>
    </row>
    <row r="753" spans="1:24" x14ac:dyDescent="0.25">
      <c r="A753" t="s">
        <v>1928</v>
      </c>
      <c r="B753" t="s">
        <v>2007</v>
      </c>
      <c r="C753" t="s">
        <v>2011</v>
      </c>
      <c r="D753" t="s">
        <v>138</v>
      </c>
      <c r="E753" t="s">
        <v>26</v>
      </c>
      <c r="F753" t="s">
        <v>1</v>
      </c>
      <c r="G753" t="s">
        <v>633</v>
      </c>
      <c r="H753" t="s">
        <v>426</v>
      </c>
      <c r="I753" t="s">
        <v>1</v>
      </c>
      <c r="J753"/>
      <c r="K753">
        <v>981.23837579880001</v>
      </c>
      <c r="L753">
        <v>0</v>
      </c>
      <c r="M753">
        <v>0</v>
      </c>
      <c r="N753">
        <v>0</v>
      </c>
      <c r="O753"/>
      <c r="P753">
        <v>1000</v>
      </c>
      <c r="Q753">
        <f t="shared" si="155"/>
        <v>1000</v>
      </c>
      <c r="R753">
        <v>1000</v>
      </c>
      <c r="S753">
        <f t="shared" si="156"/>
        <v>0</v>
      </c>
      <c r="T753"/>
      <c r="U753">
        <f t="shared" si="157"/>
        <v>0</v>
      </c>
      <c r="V753">
        <f t="shared" si="158"/>
        <v>1000</v>
      </c>
      <c r="W753">
        <f t="shared" si="159"/>
        <v>0</v>
      </c>
      <c r="X753" t="s">
        <v>1460</v>
      </c>
    </row>
    <row r="754" spans="1:24" x14ac:dyDescent="0.25">
      <c r="A754" t="s">
        <v>1928</v>
      </c>
      <c r="B754" t="s">
        <v>2007</v>
      </c>
      <c r="C754" t="s">
        <v>2011</v>
      </c>
      <c r="D754" t="s">
        <v>138</v>
      </c>
      <c r="E754" t="s">
        <v>28</v>
      </c>
      <c r="F754" t="s">
        <v>1</v>
      </c>
      <c r="G754" t="s">
        <v>633</v>
      </c>
      <c r="H754" t="s">
        <v>428</v>
      </c>
      <c r="I754" t="s">
        <v>1</v>
      </c>
      <c r="J754"/>
      <c r="K754"/>
      <c r="L754">
        <v>122.6</v>
      </c>
      <c r="M754">
        <v>247.23204419889504</v>
      </c>
      <c r="N754">
        <v>122.6</v>
      </c>
      <c r="O754">
        <v>245.2</v>
      </c>
      <c r="P754">
        <v>-245</v>
      </c>
      <c r="Q754">
        <f t="shared" si="155"/>
        <v>0.19999999999998863</v>
      </c>
      <c r="R754">
        <v>0</v>
      </c>
      <c r="S754">
        <f t="shared" si="156"/>
        <v>-0.19999999999998863</v>
      </c>
      <c r="T754"/>
      <c r="U754">
        <f t="shared" si="157"/>
        <v>0</v>
      </c>
      <c r="V754">
        <f t="shared" si="158"/>
        <v>0</v>
      </c>
      <c r="W754">
        <f t="shared" si="159"/>
        <v>-0.19999999999998863</v>
      </c>
      <c r="X754" t="s">
        <v>1463</v>
      </c>
    </row>
    <row r="755" spans="1:24" x14ac:dyDescent="0.25">
      <c r="A755" t="s">
        <v>1928</v>
      </c>
      <c r="B755" t="s">
        <v>2007</v>
      </c>
      <c r="C755" t="s">
        <v>2011</v>
      </c>
      <c r="D755" t="s">
        <v>138</v>
      </c>
      <c r="E755" t="s">
        <v>29</v>
      </c>
      <c r="F755" t="s">
        <v>1</v>
      </c>
      <c r="G755" t="s">
        <v>633</v>
      </c>
      <c r="H755" t="s">
        <v>429</v>
      </c>
      <c r="I755" t="s">
        <v>1</v>
      </c>
      <c r="J755">
        <v>202.5</v>
      </c>
      <c r="K755"/>
      <c r="L755">
        <v>0</v>
      </c>
      <c r="M755">
        <v>0</v>
      </c>
      <c r="N755">
        <v>202.5</v>
      </c>
      <c r="O755"/>
      <c r="P755">
        <v>0</v>
      </c>
      <c r="Q755">
        <f t="shared" si="155"/>
        <v>0</v>
      </c>
      <c r="R755">
        <v>0</v>
      </c>
      <c r="S755">
        <f t="shared" si="156"/>
        <v>0</v>
      </c>
      <c r="T755"/>
      <c r="U755">
        <f t="shared" si="157"/>
        <v>0</v>
      </c>
      <c r="V755">
        <f t="shared" si="158"/>
        <v>0</v>
      </c>
      <c r="W755">
        <f t="shared" si="159"/>
        <v>0</v>
      </c>
      <c r="X755">
        <v>0</v>
      </c>
    </row>
    <row r="756" spans="1:24" x14ac:dyDescent="0.25">
      <c r="A756" t="s">
        <v>1928</v>
      </c>
      <c r="B756" t="s">
        <v>2007</v>
      </c>
      <c r="C756" t="s">
        <v>2011</v>
      </c>
      <c r="D756" t="s">
        <v>138</v>
      </c>
      <c r="E756" t="s">
        <v>37</v>
      </c>
      <c r="F756" t="s">
        <v>1</v>
      </c>
      <c r="G756" t="s">
        <v>633</v>
      </c>
      <c r="H756" t="s">
        <v>437</v>
      </c>
      <c r="I756" t="s">
        <v>1</v>
      </c>
      <c r="J756">
        <v>236.57</v>
      </c>
      <c r="K756">
        <v>1471.8575524416001</v>
      </c>
      <c r="L756">
        <v>0</v>
      </c>
      <c r="M756">
        <v>0</v>
      </c>
      <c r="N756">
        <v>236.57</v>
      </c>
      <c r="O756"/>
      <c r="P756">
        <v>1500</v>
      </c>
      <c r="Q756">
        <f t="shared" si="155"/>
        <v>1500</v>
      </c>
      <c r="R756">
        <v>1500</v>
      </c>
      <c r="S756">
        <f t="shared" si="156"/>
        <v>0</v>
      </c>
      <c r="T756"/>
      <c r="U756">
        <f t="shared" si="157"/>
        <v>0</v>
      </c>
      <c r="V756">
        <f t="shared" si="158"/>
        <v>1500</v>
      </c>
      <c r="W756">
        <f t="shared" si="159"/>
        <v>0</v>
      </c>
      <c r="X756" t="s">
        <v>1423</v>
      </c>
    </row>
    <row r="757" spans="1:24" x14ac:dyDescent="0.25">
      <c r="A757" t="s">
        <v>1928</v>
      </c>
      <c r="B757" t="s">
        <v>2007</v>
      </c>
      <c r="C757" t="s">
        <v>2011</v>
      </c>
      <c r="D757" t="s">
        <v>138</v>
      </c>
      <c r="E757" t="s">
        <v>46</v>
      </c>
      <c r="F757" t="s">
        <v>1</v>
      </c>
      <c r="G757" t="s">
        <v>633</v>
      </c>
      <c r="H757" t="s">
        <v>446</v>
      </c>
      <c r="I757" t="s">
        <v>1</v>
      </c>
      <c r="J757">
        <v>2635</v>
      </c>
      <c r="K757"/>
      <c r="L757">
        <v>0</v>
      </c>
      <c r="M757">
        <v>0</v>
      </c>
      <c r="N757">
        <v>2635</v>
      </c>
      <c r="O757"/>
      <c r="P757">
        <v>0</v>
      </c>
      <c r="Q757">
        <f t="shared" si="155"/>
        <v>0</v>
      </c>
      <c r="R757">
        <v>0</v>
      </c>
      <c r="S757">
        <f t="shared" si="156"/>
        <v>0</v>
      </c>
      <c r="T757">
        <v>0.03</v>
      </c>
      <c r="U757">
        <f t="shared" si="157"/>
        <v>0</v>
      </c>
      <c r="V757">
        <f t="shared" si="158"/>
        <v>0</v>
      </c>
      <c r="W757">
        <f t="shared" si="159"/>
        <v>0</v>
      </c>
      <c r="X757">
        <v>0</v>
      </c>
    </row>
    <row r="758" spans="1:24" x14ac:dyDescent="0.25">
      <c r="A758" t="s">
        <v>1928</v>
      </c>
      <c r="B758" t="s">
        <v>2007</v>
      </c>
      <c r="C758" t="s">
        <v>2011</v>
      </c>
      <c r="D758" t="s">
        <v>138</v>
      </c>
      <c r="E758" t="s">
        <v>47</v>
      </c>
      <c r="F758" t="s">
        <v>1</v>
      </c>
      <c r="G758" t="s">
        <v>633</v>
      </c>
      <c r="H758" t="s">
        <v>447</v>
      </c>
      <c r="I758" t="s">
        <v>1</v>
      </c>
      <c r="J758">
        <v>365</v>
      </c>
      <c r="K758">
        <v>209.00000000040001</v>
      </c>
      <c r="L758">
        <v>0</v>
      </c>
      <c r="M758">
        <v>0</v>
      </c>
      <c r="N758">
        <v>365</v>
      </c>
      <c r="O758"/>
      <c r="P758">
        <v>0</v>
      </c>
      <c r="Q758">
        <f t="shared" si="155"/>
        <v>0</v>
      </c>
      <c r="R758">
        <v>0</v>
      </c>
      <c r="S758">
        <f t="shared" si="156"/>
        <v>0</v>
      </c>
      <c r="T758">
        <v>0.03</v>
      </c>
      <c r="U758">
        <f t="shared" si="157"/>
        <v>0</v>
      </c>
      <c r="V758">
        <f t="shared" si="158"/>
        <v>0</v>
      </c>
      <c r="W758">
        <f t="shared" si="159"/>
        <v>0</v>
      </c>
      <c r="X758">
        <v>0</v>
      </c>
    </row>
    <row r="759" spans="1:24" x14ac:dyDescent="0.25">
      <c r="A759" t="s">
        <v>1928</v>
      </c>
      <c r="B759" t="s">
        <v>2007</v>
      </c>
      <c r="C759" t="s">
        <v>2011</v>
      </c>
      <c r="D759" t="s">
        <v>138</v>
      </c>
      <c r="E759" t="s">
        <v>48</v>
      </c>
      <c r="F759" t="s">
        <v>1</v>
      </c>
      <c r="G759" t="s">
        <v>633</v>
      </c>
      <c r="H759" t="s">
        <v>448</v>
      </c>
      <c r="I759" t="s">
        <v>1</v>
      </c>
      <c r="J759">
        <v>95.81</v>
      </c>
      <c r="K759"/>
      <c r="L759">
        <v>235.18</v>
      </c>
      <c r="M759">
        <v>474.25801104972379</v>
      </c>
      <c r="N759">
        <v>330.99</v>
      </c>
      <c r="O759">
        <v>470.36</v>
      </c>
      <c r="P759">
        <v>0</v>
      </c>
      <c r="Q759">
        <f t="shared" si="155"/>
        <v>470.36</v>
      </c>
      <c r="R759">
        <v>0</v>
      </c>
      <c r="S759">
        <f t="shared" si="156"/>
        <v>-470.36</v>
      </c>
      <c r="T759">
        <v>0.03</v>
      </c>
      <c r="U759">
        <f t="shared" si="157"/>
        <v>0</v>
      </c>
      <c r="V759">
        <f t="shared" si="158"/>
        <v>0</v>
      </c>
      <c r="W759">
        <f t="shared" si="159"/>
        <v>-470.36</v>
      </c>
      <c r="X759">
        <v>0</v>
      </c>
    </row>
    <row r="760" spans="1:24" x14ac:dyDescent="0.25">
      <c r="A760" t="s">
        <v>1928</v>
      </c>
      <c r="B760" t="s">
        <v>2007</v>
      </c>
      <c r="C760" t="s">
        <v>2011</v>
      </c>
      <c r="D760" t="s">
        <v>138</v>
      </c>
      <c r="E760" t="s">
        <v>51</v>
      </c>
      <c r="F760" t="s">
        <v>51</v>
      </c>
      <c r="G760" t="s">
        <v>634</v>
      </c>
      <c r="H760"/>
      <c r="I760"/>
      <c r="J760">
        <v>3774.06</v>
      </c>
      <c r="K760">
        <v>2786.2959282409001</v>
      </c>
      <c r="L760">
        <v>357.78</v>
      </c>
      <c r="M760">
        <v>721.49005524861877</v>
      </c>
      <c r="N760">
        <v>4071.41</v>
      </c>
      <c r="O760">
        <v>715.56</v>
      </c>
      <c r="P760">
        <f>SUMIF($F$751:$F$759,"&lt;&gt;EV_*",$P$751:$P$759)</f>
        <v>2255</v>
      </c>
      <c r="Q760">
        <f>SUMIF($F$751:$F$759,"&lt;&gt;EV_*",$Q$751:$Q$759)</f>
        <v>2970.56</v>
      </c>
      <c r="R760">
        <f>SUMIF($F$751:$F$759,"&lt;&gt;EV_*",$R$751:$R$759)</f>
        <v>2500</v>
      </c>
      <c r="S760">
        <f>SUMIF($F$751:$F$759,"&lt;&gt;EV_*",$S$751:$S$759)</f>
        <v>-470.56</v>
      </c>
      <c r="T760">
        <v>0</v>
      </c>
      <c r="U760">
        <f>SUMIF($F$751:$F$759,"&lt;&gt;EV_*",$U$751:$U$759)</f>
        <v>0</v>
      </c>
      <c r="V760">
        <f>SUMIF($F$751:$F$759,"&lt;&gt;EV_*",$V$751:$V$759)</f>
        <v>2500</v>
      </c>
      <c r="W760">
        <f>SUMIF($F$751:$F$759,"&lt;&gt;EV_*",$W$751:$W$759)</f>
        <v>-470.56</v>
      </c>
      <c r="X760">
        <f>SUMIF($F$751:$F$759,"&lt;&gt;EV_*",$X$751:$X$759)</f>
        <v>0</v>
      </c>
    </row>
    <row r="761" spans="1:24" x14ac:dyDescent="0.25">
      <c r="A761" t="s">
        <v>1928</v>
      </c>
      <c r="B761" t="s">
        <v>2007</v>
      </c>
      <c r="C761" t="s">
        <v>2012</v>
      </c>
      <c r="D761" t="s">
        <v>139</v>
      </c>
      <c r="E761" t="s">
        <v>5</v>
      </c>
      <c r="F761" t="s">
        <v>5</v>
      </c>
      <c r="G761" t="s">
        <v>635</v>
      </c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</row>
    <row r="762" spans="1:24" x14ac:dyDescent="0.25">
      <c r="A762" t="s">
        <v>1928</v>
      </c>
      <c r="B762" t="s">
        <v>2007</v>
      </c>
      <c r="C762" t="s">
        <v>2012</v>
      </c>
      <c r="D762" t="s">
        <v>139</v>
      </c>
      <c r="E762" t="s">
        <v>7</v>
      </c>
      <c r="F762" t="s">
        <v>1</v>
      </c>
      <c r="G762" t="s">
        <v>636</v>
      </c>
      <c r="H762" t="s">
        <v>407</v>
      </c>
      <c r="I762" t="s">
        <v>1</v>
      </c>
      <c r="J762">
        <v>229.67</v>
      </c>
      <c r="K762"/>
      <c r="L762">
        <v>0</v>
      </c>
      <c r="M762">
        <v>0</v>
      </c>
      <c r="N762">
        <v>0</v>
      </c>
      <c r="O762"/>
      <c r="P762">
        <v>0</v>
      </c>
      <c r="Q762">
        <f t="shared" ref="Q762:Q804" si="160">O762+P762</f>
        <v>0</v>
      </c>
      <c r="R762">
        <v>0</v>
      </c>
      <c r="S762">
        <f t="shared" ref="S762:S804" si="161">IF(OR(LEFT(E762,2)="A_",LEFT(D762,5)="Total"),R762-Q762,"")</f>
        <v>0</v>
      </c>
      <c r="T762"/>
      <c r="U762">
        <f t="shared" ref="U762:U804" si="162">IFERROR(R762*T762,R762*0)</f>
        <v>0</v>
      </c>
      <c r="V762">
        <f t="shared" ref="V762:V804" si="163">IF(OR(LEFT(E762,2)="A_",LEFT(D762,5)="Total"),R762+U762,"")</f>
        <v>0</v>
      </c>
      <c r="W762">
        <f t="shared" ref="W762:W804" si="164">IF(OR(LEFT(E762,2)="A_",LEFT(D762,5)="Total"),V762-Q762,"")</f>
        <v>0</v>
      </c>
      <c r="X762">
        <v>0</v>
      </c>
    </row>
    <row r="763" spans="1:24" x14ac:dyDescent="0.25">
      <c r="A763" t="s">
        <v>1928</v>
      </c>
      <c r="B763" t="s">
        <v>2007</v>
      </c>
      <c r="C763" t="s">
        <v>2012</v>
      </c>
      <c r="D763" t="s">
        <v>139</v>
      </c>
      <c r="E763" t="s">
        <v>133</v>
      </c>
      <c r="F763" t="s">
        <v>1</v>
      </c>
      <c r="G763" t="s">
        <v>636</v>
      </c>
      <c r="H763" t="s">
        <v>622</v>
      </c>
      <c r="I763" t="s">
        <v>1</v>
      </c>
      <c r="J763">
        <v>6.84</v>
      </c>
      <c r="K763"/>
      <c r="L763">
        <v>6.32</v>
      </c>
      <c r="M763">
        <v>12.744751381215471</v>
      </c>
      <c r="N763">
        <v>7.8699999999999992</v>
      </c>
      <c r="O763">
        <v>12.7447513812</v>
      </c>
      <c r="P763">
        <v>-13</v>
      </c>
      <c r="Q763">
        <f t="shared" si="160"/>
        <v>-0.2552486187999996</v>
      </c>
      <c r="R763">
        <v>0</v>
      </c>
      <c r="S763">
        <f t="shared" si="161"/>
        <v>0.2552486187999996</v>
      </c>
      <c r="T763">
        <v>0.02</v>
      </c>
      <c r="U763">
        <f t="shared" si="162"/>
        <v>0</v>
      </c>
      <c r="V763">
        <f t="shared" si="163"/>
        <v>0</v>
      </c>
      <c r="W763">
        <f t="shared" si="164"/>
        <v>0.2552486187999996</v>
      </c>
      <c r="X763">
        <v>0</v>
      </c>
    </row>
    <row r="764" spans="1:24" x14ac:dyDescent="0.25">
      <c r="A764" t="s">
        <v>1928</v>
      </c>
      <c r="B764" t="s">
        <v>2007</v>
      </c>
      <c r="C764" t="s">
        <v>2012</v>
      </c>
      <c r="D764" t="s">
        <v>139</v>
      </c>
      <c r="E764" t="s">
        <v>8</v>
      </c>
      <c r="F764" t="s">
        <v>1</v>
      </c>
      <c r="G764" t="s">
        <v>636</v>
      </c>
      <c r="H764" t="s">
        <v>408</v>
      </c>
      <c r="I764" t="s">
        <v>1</v>
      </c>
      <c r="J764">
        <v>333.38</v>
      </c>
      <c r="K764">
        <v>544.47513812130001</v>
      </c>
      <c r="L764">
        <v>0</v>
      </c>
      <c r="M764">
        <v>0</v>
      </c>
      <c r="N764">
        <v>63.38</v>
      </c>
      <c r="O764"/>
      <c r="P764">
        <v>0</v>
      </c>
      <c r="Q764">
        <f t="shared" si="160"/>
        <v>0</v>
      </c>
      <c r="R764">
        <v>0</v>
      </c>
      <c r="S764">
        <f t="shared" si="161"/>
        <v>0</v>
      </c>
      <c r="T764"/>
      <c r="U764">
        <f t="shared" si="162"/>
        <v>0</v>
      </c>
      <c r="V764">
        <f t="shared" si="163"/>
        <v>0</v>
      </c>
      <c r="W764">
        <f t="shared" si="164"/>
        <v>0</v>
      </c>
      <c r="X764">
        <v>0</v>
      </c>
    </row>
    <row r="765" spans="1:24" x14ac:dyDescent="0.25">
      <c r="A765" t="s">
        <v>1928</v>
      </c>
      <c r="B765" t="s">
        <v>2007</v>
      </c>
      <c r="C765" t="s">
        <v>2012</v>
      </c>
      <c r="D765" t="s">
        <v>139</v>
      </c>
      <c r="E765" t="s">
        <v>10</v>
      </c>
      <c r="F765" t="s">
        <v>1</v>
      </c>
      <c r="G765" t="s">
        <v>636</v>
      </c>
      <c r="H765" t="s">
        <v>410</v>
      </c>
      <c r="I765" t="s">
        <v>1</v>
      </c>
      <c r="J765">
        <v>228</v>
      </c>
      <c r="K765"/>
      <c r="L765">
        <v>229.5</v>
      </c>
      <c r="M765">
        <v>462.80386740331488</v>
      </c>
      <c r="N765">
        <v>457.5</v>
      </c>
      <c r="O765">
        <v>459</v>
      </c>
      <c r="P765">
        <v>0</v>
      </c>
      <c r="Q765">
        <f t="shared" si="160"/>
        <v>459</v>
      </c>
      <c r="R765">
        <v>459</v>
      </c>
      <c r="S765">
        <f t="shared" si="161"/>
        <v>0</v>
      </c>
      <c r="T765"/>
      <c r="U765">
        <f t="shared" si="162"/>
        <v>0</v>
      </c>
      <c r="V765">
        <f t="shared" si="163"/>
        <v>459</v>
      </c>
      <c r="W765">
        <f t="shared" si="164"/>
        <v>0</v>
      </c>
      <c r="X765">
        <v>0</v>
      </c>
    </row>
    <row r="766" spans="1:24" x14ac:dyDescent="0.25">
      <c r="A766" t="s">
        <v>1928</v>
      </c>
      <c r="B766" t="s">
        <v>2007</v>
      </c>
      <c r="C766" t="s">
        <v>2012</v>
      </c>
      <c r="D766" t="s">
        <v>139</v>
      </c>
      <c r="E766" t="s">
        <v>11</v>
      </c>
      <c r="F766" t="s">
        <v>1</v>
      </c>
      <c r="G766" t="s">
        <v>636</v>
      </c>
      <c r="H766" t="s">
        <v>411</v>
      </c>
      <c r="I766" t="s">
        <v>1</v>
      </c>
      <c r="J766">
        <v>5365.53</v>
      </c>
      <c r="K766">
        <v>4819.1099999999997</v>
      </c>
      <c r="L766">
        <v>2123.02</v>
      </c>
      <c r="M766">
        <v>4281.2281767955801</v>
      </c>
      <c r="N766">
        <v>4479.3999999999996</v>
      </c>
      <c r="O766">
        <v>4246.04</v>
      </c>
      <c r="P766">
        <v>0</v>
      </c>
      <c r="Q766">
        <f t="shared" si="160"/>
        <v>4246.04</v>
      </c>
      <c r="R766">
        <v>4246.04</v>
      </c>
      <c r="S766">
        <f t="shared" si="161"/>
        <v>0</v>
      </c>
      <c r="T766"/>
      <c r="U766">
        <f t="shared" si="162"/>
        <v>0</v>
      </c>
      <c r="V766">
        <f t="shared" si="163"/>
        <v>4246.04</v>
      </c>
      <c r="W766">
        <f t="shared" si="164"/>
        <v>0</v>
      </c>
      <c r="X766">
        <v>0</v>
      </c>
    </row>
    <row r="767" spans="1:24" x14ac:dyDescent="0.25">
      <c r="A767" t="s">
        <v>1928</v>
      </c>
      <c r="B767" t="s">
        <v>2007</v>
      </c>
      <c r="C767" t="s">
        <v>2012</v>
      </c>
      <c r="D767" t="s">
        <v>139</v>
      </c>
      <c r="E767" t="s">
        <v>12</v>
      </c>
      <c r="F767" t="s">
        <v>1</v>
      </c>
      <c r="G767" t="s">
        <v>636</v>
      </c>
      <c r="H767" t="s">
        <v>412</v>
      </c>
      <c r="I767" t="s">
        <v>1</v>
      </c>
      <c r="J767">
        <v>6000</v>
      </c>
      <c r="K767"/>
      <c r="L767">
        <v>0</v>
      </c>
      <c r="M767">
        <v>0</v>
      </c>
      <c r="N767">
        <v>6000</v>
      </c>
      <c r="O767"/>
      <c r="P767">
        <v>0</v>
      </c>
      <c r="Q767">
        <f t="shared" si="160"/>
        <v>0</v>
      </c>
      <c r="R767">
        <v>0</v>
      </c>
      <c r="S767">
        <f t="shared" si="161"/>
        <v>0</v>
      </c>
      <c r="T767"/>
      <c r="U767">
        <f t="shared" si="162"/>
        <v>0</v>
      </c>
      <c r="V767">
        <f t="shared" si="163"/>
        <v>0</v>
      </c>
      <c r="W767">
        <f t="shared" si="164"/>
        <v>0</v>
      </c>
      <c r="X767">
        <v>0</v>
      </c>
    </row>
    <row r="768" spans="1:24" x14ac:dyDescent="0.25">
      <c r="A768" t="s">
        <v>1928</v>
      </c>
      <c r="B768" t="s">
        <v>2007</v>
      </c>
      <c r="C768" t="s">
        <v>2012</v>
      </c>
      <c r="D768" t="s">
        <v>139</v>
      </c>
      <c r="E768" t="s">
        <v>65</v>
      </c>
      <c r="F768" t="s">
        <v>1</v>
      </c>
      <c r="G768" t="s">
        <v>636</v>
      </c>
      <c r="H768" t="s">
        <v>476</v>
      </c>
      <c r="I768" t="s">
        <v>1</v>
      </c>
      <c r="J768">
        <v>-1106.73</v>
      </c>
      <c r="K768"/>
      <c r="L768">
        <v>-820.07</v>
      </c>
      <c r="M768">
        <v>-1653.7323204419893</v>
      </c>
      <c r="N768">
        <v>-1153.94</v>
      </c>
      <c r="O768">
        <v>-1649.1517582418001</v>
      </c>
      <c r="P768">
        <v>0</v>
      </c>
      <c r="Q768">
        <f t="shared" si="160"/>
        <v>-1649.1517582418001</v>
      </c>
      <c r="R768">
        <v>0</v>
      </c>
      <c r="S768">
        <f t="shared" si="161"/>
        <v>1649.1517582418001</v>
      </c>
      <c r="T768"/>
      <c r="U768">
        <f t="shared" si="162"/>
        <v>0</v>
      </c>
      <c r="V768">
        <f t="shared" si="163"/>
        <v>0</v>
      </c>
      <c r="W768">
        <f t="shared" si="164"/>
        <v>1649.1517582418001</v>
      </c>
      <c r="X768">
        <v>0</v>
      </c>
    </row>
    <row r="769" spans="1:24" x14ac:dyDescent="0.25">
      <c r="A769" t="s">
        <v>1928</v>
      </c>
      <c r="B769" t="s">
        <v>2007</v>
      </c>
      <c r="C769" t="s">
        <v>2012</v>
      </c>
      <c r="D769" t="s">
        <v>139</v>
      </c>
      <c r="E769" t="s">
        <v>17</v>
      </c>
      <c r="F769" t="s">
        <v>1</v>
      </c>
      <c r="G769" t="s">
        <v>636</v>
      </c>
      <c r="H769" t="s">
        <v>417</v>
      </c>
      <c r="I769" t="s">
        <v>1</v>
      </c>
      <c r="J769">
        <v>-36821.83</v>
      </c>
      <c r="K769">
        <v>-40360.000000000102</v>
      </c>
      <c r="L769">
        <v>-26905.11</v>
      </c>
      <c r="M769">
        <v>-54256.161049723763</v>
      </c>
      <c r="N769">
        <v>-51648.990000000005</v>
      </c>
      <c r="O769">
        <v>-54105.880549450601</v>
      </c>
      <c r="P769">
        <v>0</v>
      </c>
      <c r="Q769">
        <f t="shared" si="160"/>
        <v>-54105.880549450601</v>
      </c>
      <c r="R769">
        <v>-54105.880549450601</v>
      </c>
      <c r="S769">
        <f t="shared" si="161"/>
        <v>0</v>
      </c>
      <c r="T769"/>
      <c r="U769">
        <f t="shared" si="162"/>
        <v>0</v>
      </c>
      <c r="V769">
        <f t="shared" si="163"/>
        <v>-54105.880549450601</v>
      </c>
      <c r="W769">
        <f t="shared" si="164"/>
        <v>0</v>
      </c>
      <c r="X769">
        <v>0</v>
      </c>
    </row>
    <row r="770" spans="1:24" x14ac:dyDescent="0.25">
      <c r="A770" t="s">
        <v>1928</v>
      </c>
      <c r="B770" t="s">
        <v>2007</v>
      </c>
      <c r="C770" t="s">
        <v>2012</v>
      </c>
      <c r="D770" t="s">
        <v>139</v>
      </c>
      <c r="E770" t="s">
        <v>82</v>
      </c>
      <c r="F770" t="s">
        <v>1</v>
      </c>
      <c r="G770" t="s">
        <v>636</v>
      </c>
      <c r="H770" t="s">
        <v>507</v>
      </c>
      <c r="I770" t="s">
        <v>1</v>
      </c>
      <c r="J770">
        <v>21269.08</v>
      </c>
      <c r="K770">
        <v>22093.195063977899</v>
      </c>
      <c r="L770">
        <v>11201.96</v>
      </c>
      <c r="M770">
        <v>22589.587845303864</v>
      </c>
      <c r="N770">
        <v>22010.63</v>
      </c>
      <c r="O770">
        <v>22527.018461538501</v>
      </c>
      <c r="P770">
        <v>0</v>
      </c>
      <c r="Q770">
        <f t="shared" si="160"/>
        <v>22527.018461538501</v>
      </c>
      <c r="R770">
        <v>22527.018461538501</v>
      </c>
      <c r="S770">
        <f t="shared" si="161"/>
        <v>0</v>
      </c>
      <c r="T770">
        <v>2.75E-2</v>
      </c>
      <c r="U770">
        <f t="shared" si="162"/>
        <v>619.49300769230877</v>
      </c>
      <c r="V770">
        <f t="shared" si="163"/>
        <v>23146.511469230809</v>
      </c>
      <c r="W770">
        <f t="shared" si="164"/>
        <v>619.49300769230831</v>
      </c>
      <c r="X770">
        <v>0</v>
      </c>
    </row>
    <row r="771" spans="1:24" x14ac:dyDescent="0.25">
      <c r="A771" t="s">
        <v>1928</v>
      </c>
      <c r="B771" t="s">
        <v>2007</v>
      </c>
      <c r="C771" t="s">
        <v>2012</v>
      </c>
      <c r="D771" t="s">
        <v>139</v>
      </c>
      <c r="E771" t="s">
        <v>72</v>
      </c>
      <c r="F771" t="s">
        <v>1</v>
      </c>
      <c r="G771" t="s">
        <v>636</v>
      </c>
      <c r="H771" t="s">
        <v>489</v>
      </c>
      <c r="I771" t="s">
        <v>1</v>
      </c>
      <c r="J771">
        <v>12703.95</v>
      </c>
      <c r="K771">
        <v>18321.686583712501</v>
      </c>
      <c r="L771">
        <v>3250.66</v>
      </c>
      <c r="M771">
        <v>6555.1983425414364</v>
      </c>
      <c r="N771">
        <v>5209.6799999999994</v>
      </c>
      <c r="O771">
        <v>6537.0415384614998</v>
      </c>
      <c r="P771">
        <v>0</v>
      </c>
      <c r="Q771">
        <f t="shared" si="160"/>
        <v>6537.0415384614998</v>
      </c>
      <c r="R771">
        <v>6537.0415384614998</v>
      </c>
      <c r="S771">
        <f t="shared" si="161"/>
        <v>0</v>
      </c>
      <c r="T771">
        <v>2.2499999999999999E-2</v>
      </c>
      <c r="U771">
        <f t="shared" si="162"/>
        <v>147.08343461538374</v>
      </c>
      <c r="V771">
        <f t="shared" si="163"/>
        <v>6684.1249730768832</v>
      </c>
      <c r="W771">
        <f t="shared" si="164"/>
        <v>147.08343461538334</v>
      </c>
      <c r="X771">
        <v>0</v>
      </c>
    </row>
    <row r="772" spans="1:24" x14ac:dyDescent="0.25">
      <c r="A772" t="s">
        <v>1928</v>
      </c>
      <c r="B772" t="s">
        <v>2007</v>
      </c>
      <c r="C772" t="s">
        <v>2012</v>
      </c>
      <c r="D772" t="s">
        <v>139</v>
      </c>
      <c r="E772" t="s">
        <v>118</v>
      </c>
      <c r="F772" t="s">
        <v>1</v>
      </c>
      <c r="G772" t="s">
        <v>636</v>
      </c>
      <c r="H772" t="s">
        <v>587</v>
      </c>
      <c r="I772" t="s">
        <v>1</v>
      </c>
      <c r="J772">
        <v>54102.11</v>
      </c>
      <c r="K772">
        <v>60339.130109266</v>
      </c>
      <c r="L772">
        <v>27473.43</v>
      </c>
      <c r="M772">
        <v>55402.220718232049</v>
      </c>
      <c r="N772">
        <v>54247.78</v>
      </c>
      <c r="O772">
        <v>55248.765824175804</v>
      </c>
      <c r="P772">
        <v>0</v>
      </c>
      <c r="Q772">
        <f t="shared" si="160"/>
        <v>55248.765824175804</v>
      </c>
      <c r="R772">
        <v>55248.765824175804</v>
      </c>
      <c r="S772">
        <f t="shared" si="161"/>
        <v>0</v>
      </c>
      <c r="T772">
        <v>3.2500000000000001E-2</v>
      </c>
      <c r="U772">
        <f t="shared" si="162"/>
        <v>1795.5848892857136</v>
      </c>
      <c r="V772">
        <f t="shared" si="163"/>
        <v>57044.350713461514</v>
      </c>
      <c r="W772">
        <f t="shared" si="164"/>
        <v>1795.5848892857102</v>
      </c>
      <c r="X772">
        <v>0</v>
      </c>
    </row>
    <row r="773" spans="1:24" x14ac:dyDescent="0.25">
      <c r="A773" t="s">
        <v>1928</v>
      </c>
      <c r="B773" t="s">
        <v>2007</v>
      </c>
      <c r="C773" t="s">
        <v>2012</v>
      </c>
      <c r="D773" t="s">
        <v>139</v>
      </c>
      <c r="E773" t="s">
        <v>18</v>
      </c>
      <c r="F773" t="s">
        <v>1</v>
      </c>
      <c r="G773" t="s">
        <v>636</v>
      </c>
      <c r="H773" t="s">
        <v>418</v>
      </c>
      <c r="I773" t="s">
        <v>1</v>
      </c>
      <c r="J773">
        <v>507557.06</v>
      </c>
      <c r="K773">
        <v>760333.14991049201</v>
      </c>
      <c r="L773">
        <v>265085.8</v>
      </c>
      <c r="M773">
        <v>534565.28729281772</v>
      </c>
      <c r="N773">
        <v>504472.92999999993</v>
      </c>
      <c r="O773">
        <v>533084.63076923101</v>
      </c>
      <c r="P773">
        <v>101915</v>
      </c>
      <c r="Q773">
        <f t="shared" si="160"/>
        <v>634999.63076923101</v>
      </c>
      <c r="R773">
        <v>635000</v>
      </c>
      <c r="S773">
        <f t="shared" si="161"/>
        <v>0.36923076899256557</v>
      </c>
      <c r="T773">
        <v>0.02</v>
      </c>
      <c r="U773">
        <f t="shared" si="162"/>
        <v>12700</v>
      </c>
      <c r="V773">
        <f t="shared" si="163"/>
        <v>647700</v>
      </c>
      <c r="W773">
        <f t="shared" si="164"/>
        <v>12700.369230768993</v>
      </c>
      <c r="X773" t="s">
        <v>1464</v>
      </c>
    </row>
    <row r="774" spans="1:24" x14ac:dyDescent="0.25">
      <c r="A774" t="s">
        <v>1928</v>
      </c>
      <c r="B774" t="s">
        <v>2007</v>
      </c>
      <c r="C774" t="s">
        <v>2012</v>
      </c>
      <c r="D774" t="s">
        <v>139</v>
      </c>
      <c r="E774" t="s">
        <v>57</v>
      </c>
      <c r="F774" t="s">
        <v>1</v>
      </c>
      <c r="G774" t="s">
        <v>636</v>
      </c>
      <c r="H774" t="s">
        <v>462</v>
      </c>
      <c r="I774" t="s">
        <v>1</v>
      </c>
      <c r="J774"/>
      <c r="K774"/>
      <c r="L774">
        <v>15.46</v>
      </c>
      <c r="M774">
        <v>31.17624309392265</v>
      </c>
      <c r="N774">
        <v>15.46</v>
      </c>
      <c r="O774">
        <v>31.089890109900001</v>
      </c>
      <c r="P774">
        <v>-31</v>
      </c>
      <c r="Q774">
        <f t="shared" si="160"/>
        <v>8.9890109900000681E-2</v>
      </c>
      <c r="R774">
        <v>0</v>
      </c>
      <c r="S774">
        <f t="shared" si="161"/>
        <v>-8.9890109900000681E-2</v>
      </c>
      <c r="T774">
        <v>0.04</v>
      </c>
      <c r="U774">
        <f t="shared" si="162"/>
        <v>0</v>
      </c>
      <c r="V774">
        <f t="shared" si="163"/>
        <v>0</v>
      </c>
      <c r="W774">
        <f t="shared" si="164"/>
        <v>-8.9890109900000681E-2</v>
      </c>
      <c r="X774">
        <v>0</v>
      </c>
    </row>
    <row r="775" spans="1:24" x14ac:dyDescent="0.25">
      <c r="A775" t="s">
        <v>1928</v>
      </c>
      <c r="B775" t="s">
        <v>2007</v>
      </c>
      <c r="C775" t="s">
        <v>2012</v>
      </c>
      <c r="D775" t="s">
        <v>139</v>
      </c>
      <c r="E775" t="s">
        <v>19</v>
      </c>
      <c r="F775" t="s">
        <v>1</v>
      </c>
      <c r="G775" t="s">
        <v>636</v>
      </c>
      <c r="H775" t="s">
        <v>419</v>
      </c>
      <c r="I775" t="s">
        <v>1</v>
      </c>
      <c r="J775">
        <v>4448.37</v>
      </c>
      <c r="K775">
        <v>4226.6451028112997</v>
      </c>
      <c r="L775">
        <v>16546.72</v>
      </c>
      <c r="M775">
        <v>33367.695027624315</v>
      </c>
      <c r="N775">
        <v>18876.440000000002</v>
      </c>
      <c r="O775">
        <v>33275.272087912097</v>
      </c>
      <c r="P775">
        <v>0</v>
      </c>
      <c r="Q775">
        <f t="shared" si="160"/>
        <v>33275.272087912097</v>
      </c>
      <c r="R775">
        <v>33275.272087912097</v>
      </c>
      <c r="S775">
        <f t="shared" si="161"/>
        <v>0</v>
      </c>
      <c r="T775">
        <v>0.02</v>
      </c>
      <c r="U775">
        <f t="shared" si="162"/>
        <v>665.505441758242</v>
      </c>
      <c r="V775">
        <f t="shared" si="163"/>
        <v>33940.77752967034</v>
      </c>
      <c r="W775">
        <f t="shared" si="164"/>
        <v>665.50544175824325</v>
      </c>
      <c r="X775">
        <v>0</v>
      </c>
    </row>
    <row r="776" spans="1:24" x14ac:dyDescent="0.25">
      <c r="A776" t="s">
        <v>1928</v>
      </c>
      <c r="B776" t="s">
        <v>2007</v>
      </c>
      <c r="C776" t="s">
        <v>2012</v>
      </c>
      <c r="D776" t="s">
        <v>139</v>
      </c>
      <c r="E776" t="s">
        <v>74</v>
      </c>
      <c r="F776" t="s">
        <v>1</v>
      </c>
      <c r="G776" t="s">
        <v>636</v>
      </c>
      <c r="H776" t="s">
        <v>491</v>
      </c>
      <c r="I776" t="s">
        <v>1</v>
      </c>
      <c r="J776">
        <v>96608.77</v>
      </c>
      <c r="K776">
        <v>143659.71027671301</v>
      </c>
      <c r="L776">
        <v>57617.11</v>
      </c>
      <c r="M776">
        <v>116189.1997237569</v>
      </c>
      <c r="N776">
        <v>107070.6</v>
      </c>
      <c r="O776">
        <v>115867.37505494501</v>
      </c>
      <c r="P776">
        <v>0</v>
      </c>
      <c r="Q776">
        <f t="shared" si="160"/>
        <v>115867.37505494501</v>
      </c>
      <c r="R776">
        <v>115867.37505494501</v>
      </c>
      <c r="S776">
        <f t="shared" si="161"/>
        <v>0</v>
      </c>
      <c r="T776">
        <v>3.5000000000000003E-2</v>
      </c>
      <c r="U776">
        <f t="shared" si="162"/>
        <v>4055.3581269230754</v>
      </c>
      <c r="V776">
        <f t="shared" si="163"/>
        <v>119922.73318186808</v>
      </c>
      <c r="W776">
        <f t="shared" si="164"/>
        <v>4055.3581269230781</v>
      </c>
      <c r="X776">
        <v>0</v>
      </c>
    </row>
    <row r="777" spans="1:24" x14ac:dyDescent="0.25">
      <c r="A777" t="s">
        <v>1928</v>
      </c>
      <c r="B777" t="s">
        <v>2007</v>
      </c>
      <c r="C777" t="s">
        <v>2012</v>
      </c>
      <c r="D777" t="s">
        <v>139</v>
      </c>
      <c r="E777" t="s">
        <v>85</v>
      </c>
      <c r="F777" t="s">
        <v>1</v>
      </c>
      <c r="G777" t="s">
        <v>636</v>
      </c>
      <c r="H777" t="s">
        <v>510</v>
      </c>
      <c r="I777" t="s">
        <v>1</v>
      </c>
      <c r="J777">
        <v>139026.88</v>
      </c>
      <c r="K777">
        <v>199276.20146477901</v>
      </c>
      <c r="L777">
        <v>79591.960000000006</v>
      </c>
      <c r="M777">
        <v>160503.1237569061</v>
      </c>
      <c r="N777">
        <v>151168.09000000003</v>
      </c>
      <c r="O777">
        <v>160058.55692307701</v>
      </c>
      <c r="P777">
        <v>0</v>
      </c>
      <c r="Q777">
        <f t="shared" si="160"/>
        <v>160058.55692307701</v>
      </c>
      <c r="R777">
        <v>160058.55692307701</v>
      </c>
      <c r="S777">
        <f t="shared" si="161"/>
        <v>0</v>
      </c>
      <c r="T777">
        <v>0.02</v>
      </c>
      <c r="U777">
        <f t="shared" si="162"/>
        <v>3201.1711384615401</v>
      </c>
      <c r="V777">
        <f t="shared" si="163"/>
        <v>163259.72806153854</v>
      </c>
      <c r="W777">
        <f t="shared" si="164"/>
        <v>3201.1711384615337</v>
      </c>
      <c r="X777">
        <v>0</v>
      </c>
    </row>
    <row r="778" spans="1:24" x14ac:dyDescent="0.25">
      <c r="A778" t="s">
        <v>1928</v>
      </c>
      <c r="B778" t="s">
        <v>2007</v>
      </c>
      <c r="C778" t="s">
        <v>2012</v>
      </c>
      <c r="D778" t="s">
        <v>139</v>
      </c>
      <c r="E778" t="s">
        <v>119</v>
      </c>
      <c r="F778" t="s">
        <v>1</v>
      </c>
      <c r="G778" t="s">
        <v>636</v>
      </c>
      <c r="H778" t="s">
        <v>588</v>
      </c>
      <c r="I778" t="s">
        <v>1</v>
      </c>
      <c r="J778">
        <v>83198.539999999994</v>
      </c>
      <c r="K778">
        <v>93287.054680632005</v>
      </c>
      <c r="L778">
        <v>50347.25</v>
      </c>
      <c r="M778">
        <v>101528.98480662984</v>
      </c>
      <c r="N778">
        <v>93964.12999999999</v>
      </c>
      <c r="O778">
        <v>101247.766483516</v>
      </c>
      <c r="P778">
        <v>0</v>
      </c>
      <c r="Q778">
        <f t="shared" si="160"/>
        <v>101247.766483516</v>
      </c>
      <c r="R778">
        <v>101247.766483516</v>
      </c>
      <c r="S778">
        <f t="shared" si="161"/>
        <v>0</v>
      </c>
      <c r="T778">
        <v>1.4999999999999999E-2</v>
      </c>
      <c r="U778">
        <f t="shared" si="162"/>
        <v>1518.7164972527398</v>
      </c>
      <c r="V778">
        <f t="shared" si="163"/>
        <v>102766.48298076873</v>
      </c>
      <c r="W778">
        <f t="shared" si="164"/>
        <v>1518.7164972527389</v>
      </c>
      <c r="X778">
        <v>0</v>
      </c>
    </row>
    <row r="779" spans="1:24" x14ac:dyDescent="0.25">
      <c r="A779" t="s">
        <v>1928</v>
      </c>
      <c r="B779" t="s">
        <v>2007</v>
      </c>
      <c r="C779" t="s">
        <v>2012</v>
      </c>
      <c r="D779" t="s">
        <v>139</v>
      </c>
      <c r="E779" t="s">
        <v>120</v>
      </c>
      <c r="F779" t="s">
        <v>1</v>
      </c>
      <c r="G779" t="s">
        <v>636</v>
      </c>
      <c r="H779" t="s">
        <v>589</v>
      </c>
      <c r="I779" t="s">
        <v>1</v>
      </c>
      <c r="J779">
        <v>367608.28</v>
      </c>
      <c r="K779">
        <v>549521.86674177099</v>
      </c>
      <c r="L779">
        <v>197776.9</v>
      </c>
      <c r="M779">
        <v>398831.87016574584</v>
      </c>
      <c r="N779">
        <v>395870.29999999993</v>
      </c>
      <c r="O779">
        <v>397727.17252747301</v>
      </c>
      <c r="P779">
        <v>0</v>
      </c>
      <c r="Q779">
        <f t="shared" si="160"/>
        <v>397727.17252747301</v>
      </c>
      <c r="R779">
        <v>397727.17252747301</v>
      </c>
      <c r="S779">
        <f t="shared" si="161"/>
        <v>0</v>
      </c>
      <c r="T779">
        <v>3.5000000000000003E-2</v>
      </c>
      <c r="U779">
        <f t="shared" si="162"/>
        <v>13920.451038461557</v>
      </c>
      <c r="V779">
        <f t="shared" si="163"/>
        <v>411647.6235659346</v>
      </c>
      <c r="W779">
        <f t="shared" si="164"/>
        <v>13920.451038461586</v>
      </c>
      <c r="X779">
        <v>0</v>
      </c>
    </row>
    <row r="780" spans="1:24" x14ac:dyDescent="0.25">
      <c r="A780" t="s">
        <v>1928</v>
      </c>
      <c r="B780" t="s">
        <v>2007</v>
      </c>
      <c r="C780" t="s">
        <v>2012</v>
      </c>
      <c r="D780" t="s">
        <v>139</v>
      </c>
      <c r="E780" t="s">
        <v>20</v>
      </c>
      <c r="F780" t="s">
        <v>1</v>
      </c>
      <c r="G780" t="s">
        <v>636</v>
      </c>
      <c r="H780" t="s">
        <v>420</v>
      </c>
      <c r="I780" t="s">
        <v>1</v>
      </c>
      <c r="J780">
        <v>264268.03999999998</v>
      </c>
      <c r="K780">
        <v>364509.47914311802</v>
      </c>
      <c r="L780">
        <v>159532.1</v>
      </c>
      <c r="M780">
        <v>321708.37845303869</v>
      </c>
      <c r="N780">
        <v>311300.01</v>
      </c>
      <c r="O780">
        <v>320817.3</v>
      </c>
      <c r="P780">
        <v>0</v>
      </c>
      <c r="Q780">
        <f t="shared" si="160"/>
        <v>320817.3</v>
      </c>
      <c r="R780">
        <v>320817.3</v>
      </c>
      <c r="S780">
        <f t="shared" si="161"/>
        <v>0</v>
      </c>
      <c r="T780">
        <v>0.04</v>
      </c>
      <c r="U780">
        <f t="shared" si="162"/>
        <v>12832.691999999999</v>
      </c>
      <c r="V780">
        <f t="shared" si="163"/>
        <v>333649.99199999997</v>
      </c>
      <c r="W780">
        <f t="shared" si="164"/>
        <v>12832.691999999981</v>
      </c>
      <c r="X780">
        <v>0</v>
      </c>
    </row>
    <row r="781" spans="1:24" x14ac:dyDescent="0.25">
      <c r="A781" t="s">
        <v>1928</v>
      </c>
      <c r="B781" t="s">
        <v>2007</v>
      </c>
      <c r="C781" t="s">
        <v>2012</v>
      </c>
      <c r="D781" t="s">
        <v>139</v>
      </c>
      <c r="E781" t="s">
        <v>21</v>
      </c>
      <c r="F781" t="s">
        <v>1</v>
      </c>
      <c r="G781" t="s">
        <v>636</v>
      </c>
      <c r="H781" t="s">
        <v>421</v>
      </c>
      <c r="I781" t="s">
        <v>1</v>
      </c>
      <c r="J781">
        <v>23388.74</v>
      </c>
      <c r="K781">
        <v>20962.800000000199</v>
      </c>
      <c r="L781">
        <v>12588.01</v>
      </c>
      <c r="M781">
        <v>25384.66104972376</v>
      </c>
      <c r="N781">
        <v>25001.550000000003</v>
      </c>
      <c r="O781">
        <v>25384.6610497238</v>
      </c>
      <c r="P781">
        <v>0</v>
      </c>
      <c r="Q781">
        <f t="shared" si="160"/>
        <v>25384.6610497238</v>
      </c>
      <c r="R781">
        <v>25384.6610497238</v>
      </c>
      <c r="S781">
        <f t="shared" si="161"/>
        <v>0</v>
      </c>
      <c r="T781">
        <v>0.03</v>
      </c>
      <c r="U781">
        <f t="shared" si="162"/>
        <v>761.53983149171393</v>
      </c>
      <c r="V781">
        <f t="shared" si="163"/>
        <v>26146.200881215515</v>
      </c>
      <c r="W781">
        <f t="shared" si="164"/>
        <v>761.53983149171472</v>
      </c>
      <c r="X781">
        <v>0</v>
      </c>
    </row>
    <row r="782" spans="1:24" x14ac:dyDescent="0.25">
      <c r="A782" t="s">
        <v>1928</v>
      </c>
      <c r="B782" t="s">
        <v>2007</v>
      </c>
      <c r="C782" t="s">
        <v>2012</v>
      </c>
      <c r="D782" t="s">
        <v>139</v>
      </c>
      <c r="E782" t="s">
        <v>22</v>
      </c>
      <c r="F782" t="s">
        <v>1</v>
      </c>
      <c r="G782" t="s">
        <v>636</v>
      </c>
      <c r="H782" t="s">
        <v>422</v>
      </c>
      <c r="I782" t="s">
        <v>1</v>
      </c>
      <c r="J782">
        <v>23216.19</v>
      </c>
      <c r="K782">
        <v>29859.750000000098</v>
      </c>
      <c r="L782">
        <v>6622.93</v>
      </c>
      <c r="M782">
        <v>13355.632320441988</v>
      </c>
      <c r="N782">
        <v>15414.300000000001</v>
      </c>
      <c r="O782">
        <v>13355.632320442</v>
      </c>
      <c r="P782">
        <v>0</v>
      </c>
      <c r="Q782">
        <f t="shared" si="160"/>
        <v>13355.632320442</v>
      </c>
      <c r="R782">
        <v>13355.632320442</v>
      </c>
      <c r="S782">
        <f t="shared" si="161"/>
        <v>0</v>
      </c>
      <c r="T782">
        <v>3.5000000000000003E-2</v>
      </c>
      <c r="U782">
        <f t="shared" si="162"/>
        <v>467.44713121547005</v>
      </c>
      <c r="V782">
        <f t="shared" si="163"/>
        <v>13823.07945165747</v>
      </c>
      <c r="W782">
        <f t="shared" si="164"/>
        <v>467.4471312154692</v>
      </c>
      <c r="X782">
        <v>0</v>
      </c>
    </row>
    <row r="783" spans="1:24" x14ac:dyDescent="0.25">
      <c r="A783" t="s">
        <v>1928</v>
      </c>
      <c r="B783" t="s">
        <v>2007</v>
      </c>
      <c r="C783" t="s">
        <v>2012</v>
      </c>
      <c r="D783" t="s">
        <v>139</v>
      </c>
      <c r="E783" t="s">
        <v>23</v>
      </c>
      <c r="F783" t="s">
        <v>1</v>
      </c>
      <c r="G783" t="s">
        <v>636</v>
      </c>
      <c r="H783" t="s">
        <v>423</v>
      </c>
      <c r="I783" t="s">
        <v>1</v>
      </c>
      <c r="J783">
        <v>16980.82</v>
      </c>
      <c r="K783">
        <v>9210.1</v>
      </c>
      <c r="L783">
        <v>6285.09</v>
      </c>
      <c r="M783">
        <v>12674.352762430941</v>
      </c>
      <c r="N783">
        <v>18798.750000000004</v>
      </c>
      <c r="O783">
        <v>12674.352762430901</v>
      </c>
      <c r="P783">
        <v>0</v>
      </c>
      <c r="Q783">
        <f t="shared" si="160"/>
        <v>12674.352762430901</v>
      </c>
      <c r="R783">
        <v>12674.352762430901</v>
      </c>
      <c r="S783">
        <f t="shared" si="161"/>
        <v>0</v>
      </c>
      <c r="T783">
        <v>3.5000000000000003E-2</v>
      </c>
      <c r="U783">
        <f t="shared" si="162"/>
        <v>443.60234668508156</v>
      </c>
      <c r="V783">
        <f t="shared" si="163"/>
        <v>13117.955109115983</v>
      </c>
      <c r="W783">
        <f t="shared" si="164"/>
        <v>443.60234668508201</v>
      </c>
      <c r="X783">
        <v>0</v>
      </c>
    </row>
    <row r="784" spans="1:24" x14ac:dyDescent="0.25">
      <c r="A784" t="s">
        <v>1928</v>
      </c>
      <c r="B784" t="s">
        <v>2007</v>
      </c>
      <c r="C784" t="s">
        <v>2012</v>
      </c>
      <c r="D784" t="s">
        <v>139</v>
      </c>
      <c r="E784" t="s">
        <v>26</v>
      </c>
      <c r="F784" t="s">
        <v>1</v>
      </c>
      <c r="G784" t="s">
        <v>636</v>
      </c>
      <c r="H784" t="s">
        <v>426</v>
      </c>
      <c r="I784" t="s">
        <v>1</v>
      </c>
      <c r="J784"/>
      <c r="K784">
        <v>981.238368294</v>
      </c>
      <c r="L784">
        <v>0</v>
      </c>
      <c r="M784">
        <v>0</v>
      </c>
      <c r="N784">
        <v>0</v>
      </c>
      <c r="O784"/>
      <c r="P784">
        <v>7750</v>
      </c>
      <c r="Q784">
        <f t="shared" si="160"/>
        <v>7750</v>
      </c>
      <c r="R784">
        <v>7750</v>
      </c>
      <c r="S784">
        <f t="shared" si="161"/>
        <v>0</v>
      </c>
      <c r="T784"/>
      <c r="U784">
        <f t="shared" si="162"/>
        <v>0</v>
      </c>
      <c r="V784">
        <f t="shared" si="163"/>
        <v>7750</v>
      </c>
      <c r="W784">
        <f t="shared" si="164"/>
        <v>0</v>
      </c>
      <c r="X784" t="s">
        <v>1465</v>
      </c>
    </row>
    <row r="785" spans="1:24" x14ac:dyDescent="0.25">
      <c r="A785" t="s">
        <v>1928</v>
      </c>
      <c r="B785" t="s">
        <v>2007</v>
      </c>
      <c r="C785" t="s">
        <v>2012</v>
      </c>
      <c r="D785" t="s">
        <v>139</v>
      </c>
      <c r="E785" t="s">
        <v>27</v>
      </c>
      <c r="F785" t="s">
        <v>1</v>
      </c>
      <c r="G785" t="s">
        <v>636</v>
      </c>
      <c r="H785" t="s">
        <v>427</v>
      </c>
      <c r="I785" t="s">
        <v>1</v>
      </c>
      <c r="J785">
        <v>26.91</v>
      </c>
      <c r="K785">
        <v>30</v>
      </c>
      <c r="L785">
        <v>17.420000000000002</v>
      </c>
      <c r="M785">
        <v>35.12872928176796</v>
      </c>
      <c r="N785">
        <v>17.420000000000002</v>
      </c>
      <c r="O785">
        <v>34.840000000000003</v>
      </c>
      <c r="P785">
        <v>0</v>
      </c>
      <c r="Q785">
        <f t="shared" si="160"/>
        <v>34.840000000000003</v>
      </c>
      <c r="R785">
        <v>34.840000000000003</v>
      </c>
      <c r="S785">
        <f t="shared" si="161"/>
        <v>0</v>
      </c>
      <c r="T785"/>
      <c r="U785">
        <f t="shared" si="162"/>
        <v>0</v>
      </c>
      <c r="V785">
        <f t="shared" si="163"/>
        <v>34.840000000000003</v>
      </c>
      <c r="W785">
        <f t="shared" si="164"/>
        <v>0</v>
      </c>
      <c r="X785">
        <v>0</v>
      </c>
    </row>
    <row r="786" spans="1:24" x14ac:dyDescent="0.25">
      <c r="A786" t="s">
        <v>1928</v>
      </c>
      <c r="B786" t="s">
        <v>2007</v>
      </c>
      <c r="C786" t="s">
        <v>2012</v>
      </c>
      <c r="D786" t="s">
        <v>139</v>
      </c>
      <c r="E786" t="s">
        <v>28</v>
      </c>
      <c r="F786" t="s">
        <v>1</v>
      </c>
      <c r="G786" t="s">
        <v>636</v>
      </c>
      <c r="H786" t="s">
        <v>428</v>
      </c>
      <c r="I786" t="s">
        <v>1</v>
      </c>
      <c r="J786">
        <v>24305.67</v>
      </c>
      <c r="K786">
        <v>27090</v>
      </c>
      <c r="L786">
        <v>7616.32</v>
      </c>
      <c r="M786">
        <v>15358.877348066299</v>
      </c>
      <c r="N786">
        <v>19406.769999999997</v>
      </c>
      <c r="O786">
        <v>15232.64</v>
      </c>
      <c r="P786">
        <v>0</v>
      </c>
      <c r="Q786">
        <f t="shared" si="160"/>
        <v>15232.64</v>
      </c>
      <c r="R786">
        <v>15232.64</v>
      </c>
      <c r="S786">
        <f t="shared" si="161"/>
        <v>0</v>
      </c>
      <c r="T786"/>
      <c r="U786">
        <f t="shared" si="162"/>
        <v>0</v>
      </c>
      <c r="V786">
        <f t="shared" si="163"/>
        <v>15232.64</v>
      </c>
      <c r="W786">
        <f t="shared" si="164"/>
        <v>0</v>
      </c>
      <c r="X786">
        <v>0</v>
      </c>
    </row>
    <row r="787" spans="1:24" x14ac:dyDescent="0.25">
      <c r="A787" t="s">
        <v>1928</v>
      </c>
      <c r="B787" t="s">
        <v>2007</v>
      </c>
      <c r="C787" t="s">
        <v>2012</v>
      </c>
      <c r="D787" t="s">
        <v>139</v>
      </c>
      <c r="E787" t="s">
        <v>29</v>
      </c>
      <c r="F787" t="s">
        <v>1</v>
      </c>
      <c r="G787" t="s">
        <v>636</v>
      </c>
      <c r="H787" t="s">
        <v>429</v>
      </c>
      <c r="I787" t="s">
        <v>1</v>
      </c>
      <c r="J787">
        <v>756.08</v>
      </c>
      <c r="K787">
        <v>290.00000000040001</v>
      </c>
      <c r="L787">
        <v>562.41</v>
      </c>
      <c r="M787">
        <v>1134.1417127071823</v>
      </c>
      <c r="N787">
        <v>1174.4899999999998</v>
      </c>
      <c r="O787">
        <v>1124.82</v>
      </c>
      <c r="P787">
        <v>0</v>
      </c>
      <c r="Q787">
        <f t="shared" si="160"/>
        <v>1124.82</v>
      </c>
      <c r="R787">
        <v>1124.82</v>
      </c>
      <c r="S787">
        <f t="shared" si="161"/>
        <v>0</v>
      </c>
      <c r="T787"/>
      <c r="U787">
        <f t="shared" si="162"/>
        <v>0</v>
      </c>
      <c r="V787">
        <f t="shared" si="163"/>
        <v>1124.82</v>
      </c>
      <c r="W787">
        <f t="shared" si="164"/>
        <v>0</v>
      </c>
      <c r="X787">
        <v>0</v>
      </c>
    </row>
    <row r="788" spans="1:24" x14ac:dyDescent="0.25">
      <c r="A788" t="s">
        <v>1928</v>
      </c>
      <c r="B788" t="s">
        <v>2007</v>
      </c>
      <c r="C788" t="s">
        <v>2012</v>
      </c>
      <c r="D788" t="s">
        <v>139</v>
      </c>
      <c r="E788" t="s">
        <v>31</v>
      </c>
      <c r="F788" t="s">
        <v>1</v>
      </c>
      <c r="G788" t="s">
        <v>636</v>
      </c>
      <c r="H788" t="s">
        <v>431</v>
      </c>
      <c r="I788" t="s">
        <v>1</v>
      </c>
      <c r="J788">
        <v>750</v>
      </c>
      <c r="K788">
        <v>1500</v>
      </c>
      <c r="L788">
        <v>0</v>
      </c>
      <c r="M788">
        <v>0</v>
      </c>
      <c r="N788">
        <v>0</v>
      </c>
      <c r="O788"/>
      <c r="P788">
        <v>0</v>
      </c>
      <c r="Q788">
        <f t="shared" si="160"/>
        <v>0</v>
      </c>
      <c r="R788">
        <v>0</v>
      </c>
      <c r="S788">
        <f t="shared" si="161"/>
        <v>0</v>
      </c>
      <c r="T788"/>
      <c r="U788">
        <f t="shared" si="162"/>
        <v>0</v>
      </c>
      <c r="V788">
        <f t="shared" si="163"/>
        <v>0</v>
      </c>
      <c r="W788">
        <f t="shared" si="164"/>
        <v>0</v>
      </c>
      <c r="X788">
        <v>0</v>
      </c>
    </row>
    <row r="789" spans="1:24" x14ac:dyDescent="0.25">
      <c r="A789" t="s">
        <v>1928</v>
      </c>
      <c r="B789" t="s">
        <v>2007</v>
      </c>
      <c r="C789" t="s">
        <v>2012</v>
      </c>
      <c r="D789" t="s">
        <v>139</v>
      </c>
      <c r="E789" t="s">
        <v>33</v>
      </c>
      <c r="F789" t="s">
        <v>1</v>
      </c>
      <c r="G789" t="s">
        <v>636</v>
      </c>
      <c r="H789" t="s">
        <v>433</v>
      </c>
      <c r="I789" t="s">
        <v>1</v>
      </c>
      <c r="J789"/>
      <c r="K789">
        <v>245.30959207320001</v>
      </c>
      <c r="L789">
        <v>0</v>
      </c>
      <c r="M789">
        <v>0</v>
      </c>
      <c r="N789">
        <v>0</v>
      </c>
      <c r="O789"/>
      <c r="P789">
        <v>500</v>
      </c>
      <c r="Q789">
        <f t="shared" si="160"/>
        <v>500</v>
      </c>
      <c r="R789">
        <v>500</v>
      </c>
      <c r="S789">
        <f t="shared" si="161"/>
        <v>0</v>
      </c>
      <c r="T789"/>
      <c r="U789">
        <f t="shared" si="162"/>
        <v>0</v>
      </c>
      <c r="V789">
        <f t="shared" si="163"/>
        <v>500</v>
      </c>
      <c r="W789">
        <f t="shared" si="164"/>
        <v>0</v>
      </c>
      <c r="X789" t="s">
        <v>1461</v>
      </c>
    </row>
    <row r="790" spans="1:24" x14ac:dyDescent="0.25">
      <c r="A790" t="s">
        <v>1928</v>
      </c>
      <c r="B790" t="s">
        <v>2007</v>
      </c>
      <c r="C790" t="s">
        <v>2012</v>
      </c>
      <c r="D790" t="s">
        <v>139</v>
      </c>
      <c r="E790" t="s">
        <v>34</v>
      </c>
      <c r="F790" t="s">
        <v>1</v>
      </c>
      <c r="G790" t="s">
        <v>636</v>
      </c>
      <c r="H790" t="s">
        <v>434</v>
      </c>
      <c r="I790" t="s">
        <v>1</v>
      </c>
      <c r="J790"/>
      <c r="K790">
        <v>294.37151048880003</v>
      </c>
      <c r="L790">
        <v>0</v>
      </c>
      <c r="M790">
        <v>0</v>
      </c>
      <c r="N790">
        <v>0</v>
      </c>
      <c r="O790"/>
      <c r="P790">
        <v>0</v>
      </c>
      <c r="Q790">
        <f t="shared" si="160"/>
        <v>0</v>
      </c>
      <c r="R790">
        <v>0</v>
      </c>
      <c r="S790">
        <f t="shared" si="161"/>
        <v>0</v>
      </c>
      <c r="T790"/>
      <c r="U790">
        <f t="shared" si="162"/>
        <v>0</v>
      </c>
      <c r="V790">
        <f t="shared" si="163"/>
        <v>0</v>
      </c>
      <c r="W790">
        <f t="shared" si="164"/>
        <v>0</v>
      </c>
      <c r="X790">
        <v>0</v>
      </c>
    </row>
    <row r="791" spans="1:24" x14ac:dyDescent="0.25">
      <c r="A791" t="s">
        <v>1928</v>
      </c>
      <c r="B791" t="s">
        <v>2007</v>
      </c>
      <c r="C791" t="s">
        <v>2012</v>
      </c>
      <c r="D791" t="s">
        <v>139</v>
      </c>
      <c r="E791" t="s">
        <v>35</v>
      </c>
      <c r="F791" t="s">
        <v>1</v>
      </c>
      <c r="G791" t="s">
        <v>636</v>
      </c>
      <c r="H791" t="s">
        <v>435</v>
      </c>
      <c r="I791" t="s">
        <v>1</v>
      </c>
      <c r="J791">
        <v>21</v>
      </c>
      <c r="K791"/>
      <c r="L791">
        <v>0</v>
      </c>
      <c r="M791">
        <v>0</v>
      </c>
      <c r="N791">
        <v>21</v>
      </c>
      <c r="O791"/>
      <c r="P791">
        <v>0</v>
      </c>
      <c r="Q791">
        <f t="shared" si="160"/>
        <v>0</v>
      </c>
      <c r="R791">
        <v>0</v>
      </c>
      <c r="S791">
        <f t="shared" si="161"/>
        <v>0</v>
      </c>
      <c r="T791"/>
      <c r="U791">
        <f t="shared" si="162"/>
        <v>0</v>
      </c>
      <c r="V791">
        <f t="shared" si="163"/>
        <v>0</v>
      </c>
      <c r="W791">
        <f t="shared" si="164"/>
        <v>0</v>
      </c>
      <c r="X791">
        <v>0</v>
      </c>
    </row>
    <row r="792" spans="1:24" x14ac:dyDescent="0.25">
      <c r="A792" t="s">
        <v>1928</v>
      </c>
      <c r="B792" t="s">
        <v>2007</v>
      </c>
      <c r="C792" t="s">
        <v>2012</v>
      </c>
      <c r="D792" t="s">
        <v>139</v>
      </c>
      <c r="E792" t="s">
        <v>37</v>
      </c>
      <c r="F792" t="s">
        <v>1</v>
      </c>
      <c r="G792" t="s">
        <v>636</v>
      </c>
      <c r="H792" t="s">
        <v>437</v>
      </c>
      <c r="I792" t="s">
        <v>1</v>
      </c>
      <c r="J792">
        <v>932.88</v>
      </c>
      <c r="K792">
        <v>1471.8575524416001</v>
      </c>
      <c r="L792">
        <v>0</v>
      </c>
      <c r="M792">
        <v>0</v>
      </c>
      <c r="N792">
        <v>702.1</v>
      </c>
      <c r="O792"/>
      <c r="P792">
        <v>1500</v>
      </c>
      <c r="Q792">
        <f t="shared" si="160"/>
        <v>1500</v>
      </c>
      <c r="R792">
        <v>1500</v>
      </c>
      <c r="S792">
        <f t="shared" si="161"/>
        <v>0</v>
      </c>
      <c r="T792"/>
      <c r="U792">
        <f t="shared" si="162"/>
        <v>0</v>
      </c>
      <c r="V792">
        <f t="shared" si="163"/>
        <v>1500</v>
      </c>
      <c r="W792">
        <f t="shared" si="164"/>
        <v>0</v>
      </c>
      <c r="X792" t="s">
        <v>1423</v>
      </c>
    </row>
    <row r="793" spans="1:24" x14ac:dyDescent="0.25">
      <c r="A793" t="s">
        <v>1928</v>
      </c>
      <c r="B793" t="s">
        <v>2007</v>
      </c>
      <c r="C793" t="s">
        <v>2012</v>
      </c>
      <c r="D793" t="s">
        <v>139</v>
      </c>
      <c r="E793" t="s">
        <v>121</v>
      </c>
      <c r="F793" t="s">
        <v>1</v>
      </c>
      <c r="G793" t="s">
        <v>636</v>
      </c>
      <c r="H793" t="s">
        <v>590</v>
      </c>
      <c r="I793" t="s">
        <v>1</v>
      </c>
      <c r="J793">
        <v>1463</v>
      </c>
      <c r="K793">
        <v>36728.366705985602</v>
      </c>
      <c r="L793">
        <v>1626</v>
      </c>
      <c r="M793">
        <v>3278.9502762430939</v>
      </c>
      <c r="N793">
        <v>3089</v>
      </c>
      <c r="O793">
        <v>3252</v>
      </c>
      <c r="P793">
        <v>-3252</v>
      </c>
      <c r="Q793">
        <f t="shared" si="160"/>
        <v>0</v>
      </c>
      <c r="R793">
        <v>0</v>
      </c>
      <c r="S793">
        <f t="shared" si="161"/>
        <v>0</v>
      </c>
      <c r="T793"/>
      <c r="U793">
        <f t="shared" si="162"/>
        <v>0</v>
      </c>
      <c r="V793">
        <f t="shared" si="163"/>
        <v>0</v>
      </c>
      <c r="W793">
        <f t="shared" si="164"/>
        <v>0</v>
      </c>
      <c r="X793">
        <v>0</v>
      </c>
    </row>
    <row r="794" spans="1:24" x14ac:dyDescent="0.25">
      <c r="A794" t="s">
        <v>1928</v>
      </c>
      <c r="B794" t="s">
        <v>2007</v>
      </c>
      <c r="C794" t="s">
        <v>2012</v>
      </c>
      <c r="D794" t="s">
        <v>139</v>
      </c>
      <c r="E794" t="s">
        <v>40</v>
      </c>
      <c r="F794" t="s">
        <v>1</v>
      </c>
      <c r="G794" t="s">
        <v>636</v>
      </c>
      <c r="H794" t="s">
        <v>440</v>
      </c>
      <c r="I794" t="s">
        <v>1</v>
      </c>
      <c r="J794">
        <v>6085</v>
      </c>
      <c r="K794"/>
      <c r="L794">
        <v>0</v>
      </c>
      <c r="M794">
        <v>0</v>
      </c>
      <c r="N794">
        <v>6085</v>
      </c>
      <c r="O794"/>
      <c r="P794">
        <v>0</v>
      </c>
      <c r="Q794">
        <f t="shared" si="160"/>
        <v>0</v>
      </c>
      <c r="R794">
        <v>0</v>
      </c>
      <c r="S794">
        <f t="shared" si="161"/>
        <v>0</v>
      </c>
      <c r="T794">
        <v>0.03</v>
      </c>
      <c r="U794">
        <f t="shared" si="162"/>
        <v>0</v>
      </c>
      <c r="V794">
        <f t="shared" si="163"/>
        <v>0</v>
      </c>
      <c r="W794">
        <f t="shared" si="164"/>
        <v>0</v>
      </c>
      <c r="X794">
        <v>0</v>
      </c>
    </row>
    <row r="795" spans="1:24" x14ac:dyDescent="0.25">
      <c r="A795" t="s">
        <v>1928</v>
      </c>
      <c r="B795" t="s">
        <v>2007</v>
      </c>
      <c r="C795" t="s">
        <v>2012</v>
      </c>
      <c r="D795" t="s">
        <v>139</v>
      </c>
      <c r="E795" t="s">
        <v>76</v>
      </c>
      <c r="F795" t="s">
        <v>1</v>
      </c>
      <c r="G795" t="s">
        <v>636</v>
      </c>
      <c r="H795" t="s">
        <v>493</v>
      </c>
      <c r="I795" t="s">
        <v>1</v>
      </c>
      <c r="J795">
        <v>-11000</v>
      </c>
      <c r="K795">
        <v>12099.9999999996</v>
      </c>
      <c r="L795">
        <v>40000</v>
      </c>
      <c r="M795">
        <v>80662.983425414364</v>
      </c>
      <c r="N795">
        <v>-15500</v>
      </c>
      <c r="O795">
        <v>80000</v>
      </c>
      <c r="P795">
        <v>0</v>
      </c>
      <c r="Q795">
        <f t="shared" si="160"/>
        <v>80000</v>
      </c>
      <c r="R795">
        <v>80000</v>
      </c>
      <c r="S795">
        <f t="shared" si="161"/>
        <v>0</v>
      </c>
      <c r="T795">
        <v>0.03</v>
      </c>
      <c r="U795">
        <f t="shared" si="162"/>
        <v>2400</v>
      </c>
      <c r="V795">
        <f t="shared" si="163"/>
        <v>82400</v>
      </c>
      <c r="W795">
        <f t="shared" si="164"/>
        <v>2400</v>
      </c>
      <c r="X795" t="s">
        <v>1466</v>
      </c>
    </row>
    <row r="796" spans="1:24" x14ac:dyDescent="0.25">
      <c r="A796" t="s">
        <v>1928</v>
      </c>
      <c r="B796" t="s">
        <v>2007</v>
      </c>
      <c r="C796" t="s">
        <v>2012</v>
      </c>
      <c r="D796" t="s">
        <v>139</v>
      </c>
      <c r="E796" t="s">
        <v>41</v>
      </c>
      <c r="F796" t="s">
        <v>1</v>
      </c>
      <c r="G796" t="s">
        <v>636</v>
      </c>
      <c r="H796" t="s">
        <v>441</v>
      </c>
      <c r="I796" t="s">
        <v>1</v>
      </c>
      <c r="J796">
        <v>9219.2199999999993</v>
      </c>
      <c r="K796">
        <v>10673.630000000399</v>
      </c>
      <c r="L796">
        <v>8276.0400000000009</v>
      </c>
      <c r="M796">
        <v>16689.25193370166</v>
      </c>
      <c r="N796">
        <v>13103.65</v>
      </c>
      <c r="O796">
        <v>16552.080000000002</v>
      </c>
      <c r="P796">
        <v>0</v>
      </c>
      <c r="Q796">
        <f t="shared" si="160"/>
        <v>16552.080000000002</v>
      </c>
      <c r="R796">
        <v>16552.080000000002</v>
      </c>
      <c r="S796">
        <f t="shared" si="161"/>
        <v>0</v>
      </c>
      <c r="T796">
        <v>0.03</v>
      </c>
      <c r="U796">
        <f t="shared" si="162"/>
        <v>496.56240000000003</v>
      </c>
      <c r="V796">
        <f t="shared" si="163"/>
        <v>17048.642400000001</v>
      </c>
      <c r="W796">
        <f t="shared" si="164"/>
        <v>496.56239999999889</v>
      </c>
      <c r="X796">
        <v>0</v>
      </c>
    </row>
    <row r="797" spans="1:24" x14ac:dyDescent="0.25">
      <c r="A797" t="s">
        <v>1928</v>
      </c>
      <c r="B797" t="s">
        <v>2007</v>
      </c>
      <c r="C797" t="s">
        <v>2012</v>
      </c>
      <c r="D797" t="s">
        <v>139</v>
      </c>
      <c r="E797" t="s">
        <v>140</v>
      </c>
      <c r="F797" t="s">
        <v>1</v>
      </c>
      <c r="G797" t="s">
        <v>636</v>
      </c>
      <c r="H797" t="s">
        <v>637</v>
      </c>
      <c r="I797" t="s">
        <v>1</v>
      </c>
      <c r="J797">
        <v>288.17</v>
      </c>
      <c r="K797">
        <v>1728.9999999996</v>
      </c>
      <c r="L797">
        <v>0</v>
      </c>
      <c r="M797">
        <v>0</v>
      </c>
      <c r="N797">
        <v>0</v>
      </c>
      <c r="O797"/>
      <c r="P797">
        <v>0</v>
      </c>
      <c r="Q797">
        <f t="shared" si="160"/>
        <v>0</v>
      </c>
      <c r="R797">
        <v>0</v>
      </c>
      <c r="S797">
        <f t="shared" si="161"/>
        <v>0</v>
      </c>
      <c r="T797">
        <v>0.03</v>
      </c>
      <c r="U797">
        <f t="shared" si="162"/>
        <v>0</v>
      </c>
      <c r="V797">
        <f t="shared" si="163"/>
        <v>0</v>
      </c>
      <c r="W797">
        <f t="shared" si="164"/>
        <v>0</v>
      </c>
      <c r="X797">
        <v>0</v>
      </c>
    </row>
    <row r="798" spans="1:24" x14ac:dyDescent="0.25">
      <c r="A798" t="s">
        <v>1928</v>
      </c>
      <c r="B798" t="s">
        <v>2007</v>
      </c>
      <c r="C798" t="s">
        <v>2012</v>
      </c>
      <c r="D798" t="s">
        <v>139</v>
      </c>
      <c r="E798" t="s">
        <v>42</v>
      </c>
      <c r="F798" t="s">
        <v>1</v>
      </c>
      <c r="G798" t="s">
        <v>636</v>
      </c>
      <c r="H798" t="s">
        <v>442</v>
      </c>
      <c r="I798" t="s">
        <v>1</v>
      </c>
      <c r="J798">
        <v>80735.570000000007</v>
      </c>
      <c r="K798">
        <v>67593.999999999607</v>
      </c>
      <c r="L798">
        <v>17797.2</v>
      </c>
      <c r="M798">
        <v>35889.381215469613</v>
      </c>
      <c r="N798">
        <v>74735.570000000007</v>
      </c>
      <c r="O798">
        <v>35594.400000000001</v>
      </c>
      <c r="P798">
        <v>0</v>
      </c>
      <c r="Q798">
        <f t="shared" si="160"/>
        <v>35594.400000000001</v>
      </c>
      <c r="R798">
        <v>35594.400000000001</v>
      </c>
      <c r="S798">
        <f t="shared" si="161"/>
        <v>0</v>
      </c>
      <c r="T798">
        <v>0.03</v>
      </c>
      <c r="U798">
        <f t="shared" si="162"/>
        <v>1067.8320000000001</v>
      </c>
      <c r="V798">
        <f t="shared" si="163"/>
        <v>36662.232000000004</v>
      </c>
      <c r="W798">
        <f t="shared" si="164"/>
        <v>1067.8320000000022</v>
      </c>
      <c r="X798" t="s">
        <v>1467</v>
      </c>
    </row>
    <row r="799" spans="1:24" x14ac:dyDescent="0.25">
      <c r="A799" t="s">
        <v>1928</v>
      </c>
      <c r="B799" t="s">
        <v>2007</v>
      </c>
      <c r="C799" t="s">
        <v>2012</v>
      </c>
      <c r="D799" t="s">
        <v>139</v>
      </c>
      <c r="E799" t="s">
        <v>43</v>
      </c>
      <c r="F799" t="s">
        <v>1</v>
      </c>
      <c r="G799" t="s">
        <v>636</v>
      </c>
      <c r="H799" t="s">
        <v>443</v>
      </c>
      <c r="I799" t="s">
        <v>1</v>
      </c>
      <c r="J799">
        <v>4935.25</v>
      </c>
      <c r="K799"/>
      <c r="L799">
        <v>-1340</v>
      </c>
      <c r="M799">
        <v>-2702.2099447513815</v>
      </c>
      <c r="N799">
        <v>-1340</v>
      </c>
      <c r="O799">
        <v>-2680</v>
      </c>
      <c r="P799">
        <v>2680</v>
      </c>
      <c r="Q799">
        <f t="shared" si="160"/>
        <v>0</v>
      </c>
      <c r="R799">
        <v>0</v>
      </c>
      <c r="S799">
        <f t="shared" si="161"/>
        <v>0</v>
      </c>
      <c r="T799">
        <v>0.03</v>
      </c>
      <c r="U799">
        <f t="shared" si="162"/>
        <v>0</v>
      </c>
      <c r="V799">
        <f t="shared" si="163"/>
        <v>0</v>
      </c>
      <c r="W799">
        <f t="shared" si="164"/>
        <v>0</v>
      </c>
      <c r="X799">
        <v>0</v>
      </c>
    </row>
    <row r="800" spans="1:24" x14ac:dyDescent="0.25">
      <c r="A800" t="s">
        <v>1928</v>
      </c>
      <c r="B800" t="s">
        <v>2007</v>
      </c>
      <c r="C800" t="s">
        <v>2012</v>
      </c>
      <c r="D800" t="s">
        <v>139</v>
      </c>
      <c r="E800" t="s">
        <v>134</v>
      </c>
      <c r="F800" t="s">
        <v>1</v>
      </c>
      <c r="G800" t="s">
        <v>636</v>
      </c>
      <c r="H800" t="s">
        <v>623</v>
      </c>
      <c r="I800" t="s">
        <v>1</v>
      </c>
      <c r="J800">
        <v>13147.13</v>
      </c>
      <c r="K800">
        <v>25350</v>
      </c>
      <c r="L800">
        <v>0</v>
      </c>
      <c r="M800">
        <v>0</v>
      </c>
      <c r="N800">
        <v>4025</v>
      </c>
      <c r="O800"/>
      <c r="P800">
        <v>0</v>
      </c>
      <c r="Q800">
        <f t="shared" si="160"/>
        <v>0</v>
      </c>
      <c r="R800">
        <v>0</v>
      </c>
      <c r="S800">
        <f t="shared" si="161"/>
        <v>0</v>
      </c>
      <c r="T800">
        <v>0.03</v>
      </c>
      <c r="U800">
        <f t="shared" si="162"/>
        <v>0</v>
      </c>
      <c r="V800">
        <f t="shared" si="163"/>
        <v>0</v>
      </c>
      <c r="W800">
        <f t="shared" si="164"/>
        <v>0</v>
      </c>
      <c r="X800">
        <v>0</v>
      </c>
    </row>
    <row r="801" spans="1:24" x14ac:dyDescent="0.25">
      <c r="A801" t="s">
        <v>1928</v>
      </c>
      <c r="B801" t="s">
        <v>2007</v>
      </c>
      <c r="C801" t="s">
        <v>2012</v>
      </c>
      <c r="D801" t="s">
        <v>139</v>
      </c>
      <c r="E801" t="s">
        <v>46</v>
      </c>
      <c r="F801" t="s">
        <v>1</v>
      </c>
      <c r="G801" t="s">
        <v>636</v>
      </c>
      <c r="H801" t="s">
        <v>446</v>
      </c>
      <c r="I801" t="s">
        <v>1</v>
      </c>
      <c r="J801">
        <v>1199.21</v>
      </c>
      <c r="K801"/>
      <c r="L801">
        <v>198.19</v>
      </c>
      <c r="M801">
        <v>399.66491712707182</v>
      </c>
      <c r="N801">
        <v>270.66000000000003</v>
      </c>
      <c r="O801">
        <v>396.38</v>
      </c>
      <c r="P801">
        <v>0</v>
      </c>
      <c r="Q801">
        <f t="shared" si="160"/>
        <v>396.38</v>
      </c>
      <c r="R801">
        <v>396.38</v>
      </c>
      <c r="S801">
        <f t="shared" si="161"/>
        <v>0</v>
      </c>
      <c r="T801">
        <v>0.03</v>
      </c>
      <c r="U801">
        <f t="shared" si="162"/>
        <v>11.891399999999999</v>
      </c>
      <c r="V801">
        <f t="shared" si="163"/>
        <v>408.27139999999997</v>
      </c>
      <c r="W801">
        <f t="shared" si="164"/>
        <v>11.891399999999976</v>
      </c>
      <c r="X801">
        <v>0</v>
      </c>
    </row>
    <row r="802" spans="1:24" x14ac:dyDescent="0.25">
      <c r="A802" t="s">
        <v>1928</v>
      </c>
      <c r="B802" t="s">
        <v>2007</v>
      </c>
      <c r="C802" t="s">
        <v>2012</v>
      </c>
      <c r="D802" t="s">
        <v>139</v>
      </c>
      <c r="E802" t="s">
        <v>47</v>
      </c>
      <c r="F802" t="s">
        <v>1</v>
      </c>
      <c r="G802" t="s">
        <v>636</v>
      </c>
      <c r="H802" t="s">
        <v>447</v>
      </c>
      <c r="I802" t="s">
        <v>1</v>
      </c>
      <c r="J802"/>
      <c r="K802">
        <v>1248</v>
      </c>
      <c r="L802">
        <v>695</v>
      </c>
      <c r="M802">
        <v>1401.5193370165746</v>
      </c>
      <c r="N802">
        <v>695</v>
      </c>
      <c r="O802">
        <v>1390</v>
      </c>
      <c r="P802">
        <v>-1390</v>
      </c>
      <c r="Q802">
        <f t="shared" si="160"/>
        <v>0</v>
      </c>
      <c r="R802">
        <v>0</v>
      </c>
      <c r="S802">
        <f t="shared" si="161"/>
        <v>0</v>
      </c>
      <c r="T802">
        <v>0.03</v>
      </c>
      <c r="U802">
        <f t="shared" si="162"/>
        <v>0</v>
      </c>
      <c r="V802">
        <f t="shared" si="163"/>
        <v>0</v>
      </c>
      <c r="W802">
        <f t="shared" si="164"/>
        <v>0</v>
      </c>
      <c r="X802" t="s">
        <v>1468</v>
      </c>
    </row>
    <row r="803" spans="1:24" x14ac:dyDescent="0.25">
      <c r="A803" t="s">
        <v>1928</v>
      </c>
      <c r="B803" t="s">
        <v>2007</v>
      </c>
      <c r="C803" t="s">
        <v>2012</v>
      </c>
      <c r="D803" t="s">
        <v>139</v>
      </c>
      <c r="E803" t="s">
        <v>48</v>
      </c>
      <c r="F803" t="s">
        <v>1</v>
      </c>
      <c r="G803" t="s">
        <v>636</v>
      </c>
      <c r="H803" t="s">
        <v>448</v>
      </c>
      <c r="I803" t="s">
        <v>1</v>
      </c>
      <c r="J803">
        <v>59.97</v>
      </c>
      <c r="K803"/>
      <c r="L803">
        <v>28.8</v>
      </c>
      <c r="M803">
        <v>58.077348066298349</v>
      </c>
      <c r="N803">
        <v>41.06</v>
      </c>
      <c r="O803">
        <v>57.6</v>
      </c>
      <c r="P803">
        <v>0</v>
      </c>
      <c r="Q803">
        <f t="shared" si="160"/>
        <v>57.6</v>
      </c>
      <c r="R803">
        <v>57.6</v>
      </c>
      <c r="S803">
        <f t="shared" si="161"/>
        <v>0</v>
      </c>
      <c r="T803">
        <v>0.03</v>
      </c>
      <c r="U803">
        <f t="shared" si="162"/>
        <v>1.728</v>
      </c>
      <c r="V803">
        <f t="shared" si="163"/>
        <v>59.328000000000003</v>
      </c>
      <c r="W803">
        <f t="shared" si="164"/>
        <v>1.7280000000000015</v>
      </c>
      <c r="X803">
        <v>0</v>
      </c>
    </row>
    <row r="804" spans="1:24" x14ac:dyDescent="0.25">
      <c r="A804" t="s">
        <v>1928</v>
      </c>
      <c r="B804" t="s">
        <v>2007</v>
      </c>
      <c r="C804" t="s">
        <v>2012</v>
      </c>
      <c r="D804" t="s">
        <v>139</v>
      </c>
      <c r="E804" t="s">
        <v>50</v>
      </c>
      <c r="F804" t="s">
        <v>1</v>
      </c>
      <c r="G804" t="s">
        <v>636</v>
      </c>
      <c r="H804" t="s">
        <v>450</v>
      </c>
      <c r="I804" t="s">
        <v>1</v>
      </c>
      <c r="J804">
        <v>1860.18</v>
      </c>
      <c r="K804">
        <v>1959.9999999999</v>
      </c>
      <c r="L804">
        <v>975.99</v>
      </c>
      <c r="M804">
        <v>1968.1566298342541</v>
      </c>
      <c r="N804">
        <v>1859.64</v>
      </c>
      <c r="O804">
        <v>1968.1566298343</v>
      </c>
      <c r="P804">
        <v>0</v>
      </c>
      <c r="Q804">
        <f t="shared" si="160"/>
        <v>1968.1566298343</v>
      </c>
      <c r="R804">
        <v>1968.1566298343</v>
      </c>
      <c r="S804">
        <f t="shared" si="161"/>
        <v>0</v>
      </c>
      <c r="T804"/>
      <c r="U804">
        <f t="shared" si="162"/>
        <v>0</v>
      </c>
      <c r="V804">
        <f t="shared" si="163"/>
        <v>1968.1566298343</v>
      </c>
      <c r="W804">
        <f t="shared" si="164"/>
        <v>0</v>
      </c>
      <c r="X804">
        <v>0</v>
      </c>
    </row>
    <row r="805" spans="1:24" x14ac:dyDescent="0.25">
      <c r="A805" t="s">
        <v>1928</v>
      </c>
      <c r="B805" t="s">
        <v>2007</v>
      </c>
      <c r="C805" t="s">
        <v>2012</v>
      </c>
      <c r="D805" t="s">
        <v>139</v>
      </c>
      <c r="E805" t="s">
        <v>51</v>
      </c>
      <c r="F805" t="s">
        <v>51</v>
      </c>
      <c r="G805" t="s">
        <v>638</v>
      </c>
      <c r="H805"/>
      <c r="I805"/>
      <c r="J805">
        <v>1723396.9299999997</v>
      </c>
      <c r="K805">
        <v>2429890.1279446776</v>
      </c>
      <c r="L805">
        <v>945022.41</v>
      </c>
      <c r="M805">
        <v>1905708.1748618786</v>
      </c>
      <c r="N805">
        <v>1790012.2299999997</v>
      </c>
      <c r="O805">
        <v>1899722.3047665597</v>
      </c>
      <c r="P805">
        <f>SUMIF($F$761:$F$804,"&lt;&gt;EV_*",$P$761:$P$804)</f>
        <v>109659</v>
      </c>
      <c r="Q805">
        <f>SUMIF($F$761:$F$804,"&lt;&gt;EV_*",$Q$761:$Q$804)</f>
        <v>2009381.3047665597</v>
      </c>
      <c r="R805">
        <f>SUMIF($F$761:$F$804,"&lt;&gt;EV_*",$R$761:$R$804)</f>
        <v>2011030.9911140795</v>
      </c>
      <c r="S805">
        <f>SUMIF($F$761:$F$804,"&lt;&gt;EV_*",$S$761:$S$804)</f>
        <v>1649.6863475196926</v>
      </c>
      <c r="T805">
        <v>0</v>
      </c>
      <c r="U805">
        <f>SUMIF($F$761:$F$804,"&lt;&gt;EV_*",$U$761:$U$804)</f>
        <v>57106.658683842827</v>
      </c>
      <c r="V805">
        <f>SUMIF($F$761:$F$804,"&lt;&gt;EV_*",$V$761:$V$804)</f>
        <v>2068137.649797922</v>
      </c>
      <c r="W805">
        <f>SUMIF($F$761:$F$804,"&lt;&gt;EV_*",$W$761:$W$804)</f>
        <v>58756.345031362522</v>
      </c>
      <c r="X805">
        <f>SUMIF($F$761:$F$804,"&lt;&gt;EV_*",$X$761:$X$804)</f>
        <v>0</v>
      </c>
    </row>
    <row r="806" spans="1:24" x14ac:dyDescent="0.25">
      <c r="A806" t="s">
        <v>1928</v>
      </c>
      <c r="B806" t="s">
        <v>2007</v>
      </c>
      <c r="C806" t="s">
        <v>2013</v>
      </c>
      <c r="D806" t="s">
        <v>141</v>
      </c>
      <c r="E806" t="s">
        <v>5</v>
      </c>
      <c r="F806" t="s">
        <v>5</v>
      </c>
      <c r="G806" t="s">
        <v>639</v>
      </c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</row>
    <row r="807" spans="1:24" x14ac:dyDescent="0.25">
      <c r="A807" t="s">
        <v>1928</v>
      </c>
      <c r="B807" t="s">
        <v>2007</v>
      </c>
      <c r="C807" t="s">
        <v>2013</v>
      </c>
      <c r="D807" t="s">
        <v>141</v>
      </c>
      <c r="E807" t="s">
        <v>133</v>
      </c>
      <c r="F807" t="s">
        <v>1</v>
      </c>
      <c r="G807" t="s">
        <v>640</v>
      </c>
      <c r="H807" t="s">
        <v>622</v>
      </c>
      <c r="I807" t="s">
        <v>1</v>
      </c>
      <c r="J807">
        <v>0.73</v>
      </c>
      <c r="K807"/>
      <c r="L807">
        <v>0.89</v>
      </c>
      <c r="M807">
        <v>1.7947513812154698</v>
      </c>
      <c r="N807">
        <v>1.22</v>
      </c>
      <c r="O807">
        <v>1.7947513812</v>
      </c>
      <c r="P807">
        <v>-2</v>
      </c>
      <c r="Q807">
        <f t="shared" ref="Q807:Q821" si="165">O807+P807</f>
        <v>-0.2052486188</v>
      </c>
      <c r="R807">
        <v>0</v>
      </c>
      <c r="S807">
        <f t="shared" ref="S807:S821" si="166">IF(OR(LEFT(E807,2)="A_",LEFT(D807,5)="Total"),R807-Q807,"")</f>
        <v>0.2052486188</v>
      </c>
      <c r="T807">
        <v>0.02</v>
      </c>
      <c r="U807">
        <f t="shared" ref="U807:U821" si="167">IFERROR(R807*T807,R807*0)</f>
        <v>0</v>
      </c>
      <c r="V807">
        <f t="shared" ref="V807:V821" si="168">IF(OR(LEFT(E807,2)="A_",LEFT(D807,5)="Total"),R807+U807,"")</f>
        <v>0</v>
      </c>
      <c r="W807">
        <f t="shared" ref="W807:W821" si="169">IF(OR(LEFT(E807,2)="A_",LEFT(D807,5)="Total"),V807-Q807,"")</f>
        <v>0.2052486188</v>
      </c>
      <c r="X807">
        <v>0</v>
      </c>
    </row>
    <row r="808" spans="1:24" x14ac:dyDescent="0.25">
      <c r="A808" t="s">
        <v>1928</v>
      </c>
      <c r="B808" t="s">
        <v>2007</v>
      </c>
      <c r="C808" t="s">
        <v>2013</v>
      </c>
      <c r="D808" t="s">
        <v>141</v>
      </c>
      <c r="E808" t="s">
        <v>17</v>
      </c>
      <c r="F808" t="s">
        <v>1</v>
      </c>
      <c r="G808" t="s">
        <v>640</v>
      </c>
      <c r="H808" t="s">
        <v>417</v>
      </c>
      <c r="I808" t="s">
        <v>1</v>
      </c>
      <c r="J808">
        <v>-4</v>
      </c>
      <c r="K808"/>
      <c r="L808">
        <v>0</v>
      </c>
      <c r="M808">
        <v>0</v>
      </c>
      <c r="N808">
        <v>0</v>
      </c>
      <c r="O808"/>
      <c r="P808">
        <v>0</v>
      </c>
      <c r="Q808">
        <f t="shared" si="165"/>
        <v>0</v>
      </c>
      <c r="R808">
        <v>0</v>
      </c>
      <c r="S808">
        <f t="shared" si="166"/>
        <v>0</v>
      </c>
      <c r="T808"/>
      <c r="U808">
        <f t="shared" si="167"/>
        <v>0</v>
      </c>
      <c r="V808">
        <f t="shared" si="168"/>
        <v>0</v>
      </c>
      <c r="W808">
        <f t="shared" si="169"/>
        <v>0</v>
      </c>
      <c r="X808">
        <v>0</v>
      </c>
    </row>
    <row r="809" spans="1:24" x14ac:dyDescent="0.25">
      <c r="A809" t="s">
        <v>1928</v>
      </c>
      <c r="B809" t="s">
        <v>2007</v>
      </c>
      <c r="C809" t="s">
        <v>2013</v>
      </c>
      <c r="D809" t="s">
        <v>141</v>
      </c>
      <c r="E809" t="s">
        <v>18</v>
      </c>
      <c r="F809" t="s">
        <v>1</v>
      </c>
      <c r="G809" t="s">
        <v>640</v>
      </c>
      <c r="H809" t="s">
        <v>418</v>
      </c>
      <c r="I809" t="s">
        <v>1</v>
      </c>
      <c r="J809">
        <v>776.09</v>
      </c>
      <c r="K809">
        <v>1098.6778847790999</v>
      </c>
      <c r="L809">
        <v>356.96</v>
      </c>
      <c r="M809">
        <v>719.83646408839775</v>
      </c>
      <c r="N809">
        <v>409.53</v>
      </c>
      <c r="O809">
        <v>717.84263736260004</v>
      </c>
      <c r="P809">
        <v>0</v>
      </c>
      <c r="Q809">
        <f t="shared" si="165"/>
        <v>717.84263736260004</v>
      </c>
      <c r="R809">
        <v>718</v>
      </c>
      <c r="S809">
        <f t="shared" si="166"/>
        <v>0.15736263739995593</v>
      </c>
      <c r="T809">
        <v>0.02</v>
      </c>
      <c r="U809">
        <f t="shared" si="167"/>
        <v>14.36</v>
      </c>
      <c r="V809">
        <f t="shared" si="168"/>
        <v>732.36</v>
      </c>
      <c r="W809">
        <f t="shared" si="169"/>
        <v>14.51736263739997</v>
      </c>
      <c r="X809">
        <v>0</v>
      </c>
    </row>
    <row r="810" spans="1:24" x14ac:dyDescent="0.25">
      <c r="A810" t="s">
        <v>1928</v>
      </c>
      <c r="B810" t="s">
        <v>2007</v>
      </c>
      <c r="C810" t="s">
        <v>2013</v>
      </c>
      <c r="D810" t="s">
        <v>141</v>
      </c>
      <c r="E810" t="s">
        <v>19</v>
      </c>
      <c r="F810" t="s">
        <v>1</v>
      </c>
      <c r="G810" t="s">
        <v>640</v>
      </c>
      <c r="H810" t="s">
        <v>419</v>
      </c>
      <c r="I810" t="s">
        <v>1</v>
      </c>
      <c r="J810">
        <v>950</v>
      </c>
      <c r="K810"/>
      <c r="L810">
        <v>0</v>
      </c>
      <c r="M810">
        <v>0</v>
      </c>
      <c r="N810">
        <v>950</v>
      </c>
      <c r="O810"/>
      <c r="P810">
        <v>0</v>
      </c>
      <c r="Q810">
        <f t="shared" si="165"/>
        <v>0</v>
      </c>
      <c r="R810">
        <v>0</v>
      </c>
      <c r="S810">
        <f t="shared" si="166"/>
        <v>0</v>
      </c>
      <c r="T810">
        <v>0.02</v>
      </c>
      <c r="U810">
        <f t="shared" si="167"/>
        <v>0</v>
      </c>
      <c r="V810">
        <f t="shared" si="168"/>
        <v>0</v>
      </c>
      <c r="W810">
        <f t="shared" si="169"/>
        <v>0</v>
      </c>
      <c r="X810">
        <v>0</v>
      </c>
    </row>
    <row r="811" spans="1:24" x14ac:dyDescent="0.25">
      <c r="A811" t="s">
        <v>1928</v>
      </c>
      <c r="B811" t="s">
        <v>2007</v>
      </c>
      <c r="C811" t="s">
        <v>2013</v>
      </c>
      <c r="D811" t="s">
        <v>141</v>
      </c>
      <c r="E811" t="s">
        <v>74</v>
      </c>
      <c r="F811" t="s">
        <v>1</v>
      </c>
      <c r="G811" t="s">
        <v>640</v>
      </c>
      <c r="H811" t="s">
        <v>491</v>
      </c>
      <c r="I811" t="s">
        <v>1</v>
      </c>
      <c r="J811">
        <v>223.68</v>
      </c>
      <c r="K811"/>
      <c r="L811">
        <v>214.4</v>
      </c>
      <c r="M811">
        <v>432.35359116022101</v>
      </c>
      <c r="N811">
        <v>214.4</v>
      </c>
      <c r="O811">
        <v>431.15604395600002</v>
      </c>
      <c r="P811">
        <v>0</v>
      </c>
      <c r="Q811">
        <f t="shared" si="165"/>
        <v>431.15604395600002</v>
      </c>
      <c r="R811">
        <v>431</v>
      </c>
      <c r="S811">
        <f t="shared" si="166"/>
        <v>-0.15604395600001908</v>
      </c>
      <c r="T811">
        <v>3.5000000000000003E-2</v>
      </c>
      <c r="U811">
        <f t="shared" si="167"/>
        <v>15.085000000000001</v>
      </c>
      <c r="V811">
        <f t="shared" si="168"/>
        <v>446.08499999999998</v>
      </c>
      <c r="W811">
        <f t="shared" si="169"/>
        <v>14.92895604399996</v>
      </c>
      <c r="X811">
        <v>0</v>
      </c>
    </row>
    <row r="812" spans="1:24" x14ac:dyDescent="0.25">
      <c r="A812" t="s">
        <v>1928</v>
      </c>
      <c r="B812" t="s">
        <v>2007</v>
      </c>
      <c r="C812" t="s">
        <v>2013</v>
      </c>
      <c r="D812" t="s">
        <v>141</v>
      </c>
      <c r="E812" t="s">
        <v>20</v>
      </c>
      <c r="F812" t="s">
        <v>1</v>
      </c>
      <c r="G812" t="s">
        <v>640</v>
      </c>
      <c r="H812" t="s">
        <v>420</v>
      </c>
      <c r="I812" t="s">
        <v>1</v>
      </c>
      <c r="J812">
        <v>2280.04</v>
      </c>
      <c r="K812">
        <v>3561.7414979424998</v>
      </c>
      <c r="L812">
        <v>-750</v>
      </c>
      <c r="M812">
        <v>-1512.4309392265195</v>
      </c>
      <c r="N812">
        <v>-750</v>
      </c>
      <c r="O812">
        <v>-1508.2417582418</v>
      </c>
      <c r="P812">
        <v>0</v>
      </c>
      <c r="Q812">
        <f t="shared" si="165"/>
        <v>-1508.2417582418</v>
      </c>
      <c r="R812">
        <v>0</v>
      </c>
      <c r="S812">
        <f t="shared" si="166"/>
        <v>1508.2417582418</v>
      </c>
      <c r="T812">
        <v>0.04</v>
      </c>
      <c r="U812">
        <f t="shared" si="167"/>
        <v>0</v>
      </c>
      <c r="V812">
        <f t="shared" si="168"/>
        <v>0</v>
      </c>
      <c r="W812">
        <f t="shared" si="169"/>
        <v>1508.2417582418</v>
      </c>
      <c r="X812">
        <v>0</v>
      </c>
    </row>
    <row r="813" spans="1:24" x14ac:dyDescent="0.25">
      <c r="A813" t="s">
        <v>1928</v>
      </c>
      <c r="B813" t="s">
        <v>2007</v>
      </c>
      <c r="C813" t="s">
        <v>2013</v>
      </c>
      <c r="D813" t="s">
        <v>141</v>
      </c>
      <c r="E813" t="s">
        <v>22</v>
      </c>
      <c r="F813" t="s">
        <v>1</v>
      </c>
      <c r="G813" t="s">
        <v>640</v>
      </c>
      <c r="H813" t="s">
        <v>422</v>
      </c>
      <c r="I813" t="s">
        <v>1</v>
      </c>
      <c r="J813"/>
      <c r="K813"/>
      <c r="L813">
        <v>11.11</v>
      </c>
      <c r="M813">
        <v>22.404143646408837</v>
      </c>
      <c r="N813">
        <v>11.11</v>
      </c>
      <c r="O813">
        <v>22.404143646400001</v>
      </c>
      <c r="P813">
        <v>0</v>
      </c>
      <c r="Q813">
        <f t="shared" si="165"/>
        <v>22.404143646400001</v>
      </c>
      <c r="R813">
        <v>22</v>
      </c>
      <c r="S813">
        <f t="shared" si="166"/>
        <v>-0.40414364640000144</v>
      </c>
      <c r="T813">
        <v>3.5000000000000003E-2</v>
      </c>
      <c r="U813">
        <f t="shared" si="167"/>
        <v>0.77</v>
      </c>
      <c r="V813">
        <f t="shared" si="168"/>
        <v>22.77</v>
      </c>
      <c r="W813">
        <f t="shared" si="169"/>
        <v>0.36585635359999813</v>
      </c>
      <c r="X813">
        <v>0</v>
      </c>
    </row>
    <row r="814" spans="1:24" x14ac:dyDescent="0.25">
      <c r="A814" t="s">
        <v>1928</v>
      </c>
      <c r="B814" t="s">
        <v>2007</v>
      </c>
      <c r="C814" t="s">
        <v>2013</v>
      </c>
      <c r="D814" t="s">
        <v>141</v>
      </c>
      <c r="E814" t="s">
        <v>23</v>
      </c>
      <c r="F814" t="s">
        <v>1</v>
      </c>
      <c r="G814" t="s">
        <v>640</v>
      </c>
      <c r="H814" t="s">
        <v>423</v>
      </c>
      <c r="I814" t="s">
        <v>1</v>
      </c>
      <c r="J814">
        <v>597.38</v>
      </c>
      <c r="K814">
        <v>1045.3499999999999</v>
      </c>
      <c r="L814">
        <v>0</v>
      </c>
      <c r="M814">
        <v>0</v>
      </c>
      <c r="N814">
        <v>92</v>
      </c>
      <c r="O814"/>
      <c r="P814">
        <v>0</v>
      </c>
      <c r="Q814">
        <f t="shared" si="165"/>
        <v>0</v>
      </c>
      <c r="R814">
        <v>0</v>
      </c>
      <c r="S814">
        <f t="shared" si="166"/>
        <v>0</v>
      </c>
      <c r="T814">
        <v>3.5000000000000003E-2</v>
      </c>
      <c r="U814">
        <f t="shared" si="167"/>
        <v>0</v>
      </c>
      <c r="V814">
        <f t="shared" si="168"/>
        <v>0</v>
      </c>
      <c r="W814">
        <f t="shared" si="169"/>
        <v>0</v>
      </c>
      <c r="X814">
        <v>0</v>
      </c>
    </row>
    <row r="815" spans="1:24" x14ac:dyDescent="0.25">
      <c r="A815" t="s">
        <v>1928</v>
      </c>
      <c r="B815" t="s">
        <v>2007</v>
      </c>
      <c r="C815" t="s">
        <v>2013</v>
      </c>
      <c r="D815" t="s">
        <v>141</v>
      </c>
      <c r="E815" t="s">
        <v>26</v>
      </c>
      <c r="F815" t="s">
        <v>1</v>
      </c>
      <c r="G815" t="s">
        <v>640</v>
      </c>
      <c r="H815" t="s">
        <v>426</v>
      </c>
      <c r="I815" t="s">
        <v>1</v>
      </c>
      <c r="J815">
        <v>315</v>
      </c>
      <c r="K815">
        <v>333.62104521959998</v>
      </c>
      <c r="L815">
        <v>0</v>
      </c>
      <c r="M815">
        <v>0</v>
      </c>
      <c r="N815">
        <v>0</v>
      </c>
      <c r="O815"/>
      <c r="P815">
        <v>0</v>
      </c>
      <c r="Q815">
        <f t="shared" si="165"/>
        <v>0</v>
      </c>
      <c r="R815">
        <v>0</v>
      </c>
      <c r="S815">
        <f t="shared" si="166"/>
        <v>0</v>
      </c>
      <c r="T815"/>
      <c r="U815">
        <f t="shared" si="167"/>
        <v>0</v>
      </c>
      <c r="V815">
        <f t="shared" si="168"/>
        <v>0</v>
      </c>
      <c r="W815">
        <f t="shared" si="169"/>
        <v>0</v>
      </c>
      <c r="X815">
        <v>0</v>
      </c>
    </row>
    <row r="816" spans="1:24" x14ac:dyDescent="0.25">
      <c r="A816" t="s">
        <v>1928</v>
      </c>
      <c r="B816" t="s">
        <v>2007</v>
      </c>
      <c r="C816" t="s">
        <v>2013</v>
      </c>
      <c r="D816" t="s">
        <v>141</v>
      </c>
      <c r="E816" t="s">
        <v>28</v>
      </c>
      <c r="F816" t="s">
        <v>1</v>
      </c>
      <c r="G816" t="s">
        <v>640</v>
      </c>
      <c r="H816" t="s">
        <v>428</v>
      </c>
      <c r="I816" t="s">
        <v>1</v>
      </c>
      <c r="J816"/>
      <c r="K816"/>
      <c r="L816">
        <v>138.24</v>
      </c>
      <c r="M816">
        <v>278.77127071823207</v>
      </c>
      <c r="N816">
        <v>138.24</v>
      </c>
      <c r="O816">
        <v>276.48</v>
      </c>
      <c r="P816">
        <v>0</v>
      </c>
      <c r="Q816">
        <f t="shared" si="165"/>
        <v>276.48</v>
      </c>
      <c r="R816">
        <v>276</v>
      </c>
      <c r="S816">
        <f t="shared" si="166"/>
        <v>-0.48000000000001819</v>
      </c>
      <c r="T816"/>
      <c r="U816">
        <f t="shared" si="167"/>
        <v>0</v>
      </c>
      <c r="V816">
        <f t="shared" si="168"/>
        <v>276</v>
      </c>
      <c r="W816">
        <f t="shared" si="169"/>
        <v>-0.48000000000001819</v>
      </c>
      <c r="X816">
        <v>0</v>
      </c>
    </row>
    <row r="817" spans="1:24" x14ac:dyDescent="0.25">
      <c r="A817" t="s">
        <v>1928</v>
      </c>
      <c r="B817" t="s">
        <v>2007</v>
      </c>
      <c r="C817" t="s">
        <v>2013</v>
      </c>
      <c r="D817" t="s">
        <v>141</v>
      </c>
      <c r="E817" t="s">
        <v>29</v>
      </c>
      <c r="F817" t="s">
        <v>1</v>
      </c>
      <c r="G817" t="s">
        <v>640</v>
      </c>
      <c r="H817" t="s">
        <v>429</v>
      </c>
      <c r="I817" t="s">
        <v>1</v>
      </c>
      <c r="J817">
        <v>67.5</v>
      </c>
      <c r="K817"/>
      <c r="L817">
        <v>0</v>
      </c>
      <c r="M817">
        <v>0</v>
      </c>
      <c r="N817">
        <v>67.5</v>
      </c>
      <c r="O817"/>
      <c r="P817">
        <v>0</v>
      </c>
      <c r="Q817">
        <f t="shared" si="165"/>
        <v>0</v>
      </c>
      <c r="R817">
        <v>0</v>
      </c>
      <c r="S817">
        <f t="shared" si="166"/>
        <v>0</v>
      </c>
      <c r="T817"/>
      <c r="U817">
        <f t="shared" si="167"/>
        <v>0</v>
      </c>
      <c r="V817">
        <f t="shared" si="168"/>
        <v>0</v>
      </c>
      <c r="W817">
        <f t="shared" si="169"/>
        <v>0</v>
      </c>
      <c r="X817">
        <v>0</v>
      </c>
    </row>
    <row r="818" spans="1:24" x14ac:dyDescent="0.25">
      <c r="A818" t="s">
        <v>1928</v>
      </c>
      <c r="B818" t="s">
        <v>2007</v>
      </c>
      <c r="C818" t="s">
        <v>2013</v>
      </c>
      <c r="D818" t="s">
        <v>141</v>
      </c>
      <c r="E818" t="s">
        <v>37</v>
      </c>
      <c r="F818" t="s">
        <v>1</v>
      </c>
      <c r="G818" t="s">
        <v>640</v>
      </c>
      <c r="H818" t="s">
        <v>437</v>
      </c>
      <c r="I818" t="s">
        <v>1</v>
      </c>
      <c r="J818">
        <v>525</v>
      </c>
      <c r="K818"/>
      <c r="L818">
        <v>0</v>
      </c>
      <c r="M818">
        <v>0</v>
      </c>
      <c r="N818">
        <v>525</v>
      </c>
      <c r="O818"/>
      <c r="P818">
        <v>0</v>
      </c>
      <c r="Q818">
        <f t="shared" si="165"/>
        <v>0</v>
      </c>
      <c r="R818">
        <v>0</v>
      </c>
      <c r="S818">
        <f t="shared" si="166"/>
        <v>0</v>
      </c>
      <c r="T818"/>
      <c r="U818">
        <f t="shared" si="167"/>
        <v>0</v>
      </c>
      <c r="V818">
        <f t="shared" si="168"/>
        <v>0</v>
      </c>
      <c r="W818">
        <f t="shared" si="169"/>
        <v>0</v>
      </c>
      <c r="X818">
        <v>0</v>
      </c>
    </row>
    <row r="819" spans="1:24" x14ac:dyDescent="0.25">
      <c r="A819" t="s">
        <v>1928</v>
      </c>
      <c r="B819" t="s">
        <v>2007</v>
      </c>
      <c r="C819" t="s">
        <v>2013</v>
      </c>
      <c r="D819" t="s">
        <v>141</v>
      </c>
      <c r="E819" t="s">
        <v>41</v>
      </c>
      <c r="F819" t="s">
        <v>1</v>
      </c>
      <c r="G819" t="s">
        <v>640</v>
      </c>
      <c r="H819" t="s">
        <v>441</v>
      </c>
      <c r="I819" t="s">
        <v>1</v>
      </c>
      <c r="J819">
        <v>54.61</v>
      </c>
      <c r="K819"/>
      <c r="L819">
        <v>0</v>
      </c>
      <c r="M819">
        <v>0</v>
      </c>
      <c r="N819">
        <v>54.61</v>
      </c>
      <c r="O819"/>
      <c r="P819">
        <v>0</v>
      </c>
      <c r="Q819">
        <f t="shared" si="165"/>
        <v>0</v>
      </c>
      <c r="R819">
        <v>0</v>
      </c>
      <c r="S819">
        <f t="shared" si="166"/>
        <v>0</v>
      </c>
      <c r="T819">
        <v>0.03</v>
      </c>
      <c r="U819">
        <f t="shared" si="167"/>
        <v>0</v>
      </c>
      <c r="V819">
        <f t="shared" si="168"/>
        <v>0</v>
      </c>
      <c r="W819">
        <f t="shared" si="169"/>
        <v>0</v>
      </c>
      <c r="X819">
        <v>0</v>
      </c>
    </row>
    <row r="820" spans="1:24" x14ac:dyDescent="0.25">
      <c r="A820" t="s">
        <v>1928</v>
      </c>
      <c r="B820" t="s">
        <v>2007</v>
      </c>
      <c r="C820" t="s">
        <v>2013</v>
      </c>
      <c r="D820" t="s">
        <v>141</v>
      </c>
      <c r="E820" t="s">
        <v>134</v>
      </c>
      <c r="F820" t="s">
        <v>1</v>
      </c>
      <c r="G820" t="s">
        <v>640</v>
      </c>
      <c r="H820" t="s">
        <v>623</v>
      </c>
      <c r="I820" t="s">
        <v>1</v>
      </c>
      <c r="J820">
        <v>430</v>
      </c>
      <c r="K820"/>
      <c r="L820">
        <v>0</v>
      </c>
      <c r="M820">
        <v>0</v>
      </c>
      <c r="N820">
        <v>430</v>
      </c>
      <c r="O820"/>
      <c r="P820">
        <v>0</v>
      </c>
      <c r="Q820">
        <f t="shared" si="165"/>
        <v>0</v>
      </c>
      <c r="R820">
        <v>0</v>
      </c>
      <c r="S820">
        <f t="shared" si="166"/>
        <v>0</v>
      </c>
      <c r="T820">
        <v>0.03</v>
      </c>
      <c r="U820">
        <f t="shared" si="167"/>
        <v>0</v>
      </c>
      <c r="V820">
        <f t="shared" si="168"/>
        <v>0</v>
      </c>
      <c r="W820">
        <f t="shared" si="169"/>
        <v>0</v>
      </c>
      <c r="X820">
        <v>0</v>
      </c>
    </row>
    <row r="821" spans="1:24" x14ac:dyDescent="0.25">
      <c r="A821" t="s">
        <v>1928</v>
      </c>
      <c r="B821" t="s">
        <v>2007</v>
      </c>
      <c r="C821" t="s">
        <v>2013</v>
      </c>
      <c r="D821" t="s">
        <v>141</v>
      </c>
      <c r="E821" t="s">
        <v>50</v>
      </c>
      <c r="F821" t="s">
        <v>1</v>
      </c>
      <c r="G821" t="s">
        <v>640</v>
      </c>
      <c r="H821" t="s">
        <v>450</v>
      </c>
      <c r="I821" t="s">
        <v>1</v>
      </c>
      <c r="J821">
        <v>1005.26</v>
      </c>
      <c r="K821">
        <v>1030.0000000004</v>
      </c>
      <c r="L821">
        <v>393.18</v>
      </c>
      <c r="M821">
        <v>792.87679558011064</v>
      </c>
      <c r="N821">
        <v>906.94999999999982</v>
      </c>
      <c r="O821">
        <v>792.87679558009995</v>
      </c>
      <c r="P821">
        <v>0</v>
      </c>
      <c r="Q821">
        <f t="shared" si="165"/>
        <v>792.87679558009995</v>
      </c>
      <c r="R821">
        <v>793</v>
      </c>
      <c r="S821">
        <f t="shared" si="166"/>
        <v>0.12320441990004838</v>
      </c>
      <c r="T821"/>
      <c r="U821">
        <f t="shared" si="167"/>
        <v>0</v>
      </c>
      <c r="V821">
        <f t="shared" si="168"/>
        <v>793</v>
      </c>
      <c r="W821">
        <f t="shared" si="169"/>
        <v>0.12320441990004838</v>
      </c>
      <c r="X821">
        <v>0</v>
      </c>
    </row>
    <row r="822" spans="1:24" x14ac:dyDescent="0.25">
      <c r="A822" t="s">
        <v>1928</v>
      </c>
      <c r="B822" t="s">
        <v>2007</v>
      </c>
      <c r="C822" t="s">
        <v>2013</v>
      </c>
      <c r="D822" t="s">
        <v>141</v>
      </c>
      <c r="E822" t="s">
        <v>51</v>
      </c>
      <c r="F822" t="s">
        <v>51</v>
      </c>
      <c r="G822" t="s">
        <v>641</v>
      </c>
      <c r="H822"/>
      <c r="I822"/>
      <c r="J822">
        <v>7221.29</v>
      </c>
      <c r="K822">
        <v>7069.3904279415992</v>
      </c>
      <c r="L822">
        <v>364.78000000000003</v>
      </c>
      <c r="M822">
        <v>735.60607734806638</v>
      </c>
      <c r="N822">
        <v>3050.5599999999995</v>
      </c>
      <c r="O822">
        <v>734.31261368449998</v>
      </c>
      <c r="P822">
        <f>SUMIF($F$806:$F$821,"&lt;&gt;EV_*",$P$806:$P$821)</f>
        <v>-2</v>
      </c>
      <c r="Q822">
        <f>SUMIF($F$806:$F$821,"&lt;&gt;EV_*",$Q$806:$Q$821)</f>
        <v>732.31261368449998</v>
      </c>
      <c r="R822">
        <f>SUMIF($F$806:$F$821,"&lt;&gt;EV_*",$R$806:$R$821)</f>
        <v>2240</v>
      </c>
      <c r="S822">
        <f>SUMIF($F$806:$F$821,"&lt;&gt;EV_*",$S$806:$S$821)</f>
        <v>1507.6873863155001</v>
      </c>
      <c r="T822">
        <v>0</v>
      </c>
      <c r="U822">
        <f>SUMIF($F$806:$F$821,"&lt;&gt;EV_*",$U$806:$U$821)</f>
        <v>30.215</v>
      </c>
      <c r="V822">
        <f>SUMIF($F$806:$F$821,"&lt;&gt;EV_*",$V$806:$V$821)</f>
        <v>2270.2150000000001</v>
      </c>
      <c r="W822">
        <f>SUMIF($F$806:$F$821,"&lt;&gt;EV_*",$W$806:$W$821)</f>
        <v>1537.9023863155001</v>
      </c>
      <c r="X822">
        <f>SUMIF($F$806:$F$821,"&lt;&gt;EV_*",$X$806:$X$821)</f>
        <v>0</v>
      </c>
    </row>
    <row r="823" spans="1:24" x14ac:dyDescent="0.25">
      <c r="A823" t="s">
        <v>1928</v>
      </c>
      <c r="B823" t="s">
        <v>1934</v>
      </c>
      <c r="C823" t="s">
        <v>2014</v>
      </c>
      <c r="D823" t="s">
        <v>142</v>
      </c>
      <c r="E823" t="s">
        <v>5</v>
      </c>
      <c r="F823" t="s">
        <v>5</v>
      </c>
      <c r="G823" t="s">
        <v>642</v>
      </c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</row>
    <row r="824" spans="1:24" x14ac:dyDescent="0.25">
      <c r="A824" t="s">
        <v>1928</v>
      </c>
      <c r="B824" t="s">
        <v>1934</v>
      </c>
      <c r="C824" t="s">
        <v>2014</v>
      </c>
      <c r="D824" t="s">
        <v>142</v>
      </c>
      <c r="E824" t="s">
        <v>133</v>
      </c>
      <c r="F824" t="s">
        <v>1</v>
      </c>
      <c r="G824" t="s">
        <v>643</v>
      </c>
      <c r="H824" t="s">
        <v>622</v>
      </c>
      <c r="I824" t="s">
        <v>1</v>
      </c>
      <c r="J824">
        <v>1.04</v>
      </c>
      <c r="K824"/>
      <c r="L824">
        <v>0.13</v>
      </c>
      <c r="M824">
        <v>0.26215469613259668</v>
      </c>
      <c r="N824">
        <v>1.07</v>
      </c>
      <c r="O824">
        <v>0.26215469609999997</v>
      </c>
      <c r="P824">
        <v>0</v>
      </c>
      <c r="Q824">
        <f t="shared" ref="Q824:Q841" si="170">O824+P824</f>
        <v>0.26215469609999997</v>
      </c>
      <c r="R824">
        <v>0</v>
      </c>
      <c r="S824">
        <f t="shared" ref="S824:S841" si="171">IF(OR(LEFT(E824,2)="A_",LEFT(D824,5)="Total"),R824-Q824,"")</f>
        <v>-0.26215469609999997</v>
      </c>
      <c r="T824">
        <v>0.02</v>
      </c>
      <c r="U824">
        <f t="shared" ref="U824:U841" si="172">IFERROR(R824*T824,R824*0)</f>
        <v>0</v>
      </c>
      <c r="V824">
        <f t="shared" ref="V824:V841" si="173">IF(OR(LEFT(E824,2)="A_",LEFT(D824,5)="Total"),R824+U824,"")</f>
        <v>0</v>
      </c>
      <c r="W824">
        <f t="shared" ref="W824:W841" si="174">IF(OR(LEFT(E824,2)="A_",LEFT(D824,5)="Total"),V824-Q824,"")</f>
        <v>-0.26215469609999997</v>
      </c>
      <c r="X824" t="s">
        <v>1469</v>
      </c>
    </row>
    <row r="825" spans="1:24" x14ac:dyDescent="0.25">
      <c r="A825" t="s">
        <v>1928</v>
      </c>
      <c r="B825" t="s">
        <v>1934</v>
      </c>
      <c r="C825" t="s">
        <v>2014</v>
      </c>
      <c r="D825" t="s">
        <v>142</v>
      </c>
      <c r="E825" t="s">
        <v>8</v>
      </c>
      <c r="F825" t="s">
        <v>1</v>
      </c>
      <c r="G825" t="s">
        <v>643</v>
      </c>
      <c r="H825" t="s">
        <v>408</v>
      </c>
      <c r="I825" t="s">
        <v>1</v>
      </c>
      <c r="J825">
        <v>37820.06</v>
      </c>
      <c r="K825">
        <v>36884.722099447499</v>
      </c>
      <c r="L825">
        <v>1709.84</v>
      </c>
      <c r="M825">
        <v>3448.019889502762</v>
      </c>
      <c r="N825">
        <v>21239.120000000003</v>
      </c>
      <c r="O825">
        <v>3448.0198895028002</v>
      </c>
      <c r="P825">
        <v>-3448</v>
      </c>
      <c r="Q825">
        <f t="shared" si="170"/>
        <v>1.9889502800197079E-2</v>
      </c>
      <c r="R825">
        <v>0</v>
      </c>
      <c r="S825">
        <f t="shared" si="171"/>
        <v>-1.9889502800197079E-2</v>
      </c>
      <c r="T825"/>
      <c r="U825">
        <f t="shared" si="172"/>
        <v>0</v>
      </c>
      <c r="V825">
        <f t="shared" si="173"/>
        <v>0</v>
      </c>
      <c r="W825">
        <f t="shared" si="174"/>
        <v>-1.9889502800197079E-2</v>
      </c>
      <c r="X825" t="s">
        <v>1469</v>
      </c>
    </row>
    <row r="826" spans="1:24" x14ac:dyDescent="0.25">
      <c r="A826" t="s">
        <v>1928</v>
      </c>
      <c r="B826" t="s">
        <v>1934</v>
      </c>
      <c r="C826" t="s">
        <v>2014</v>
      </c>
      <c r="D826" t="s">
        <v>142</v>
      </c>
      <c r="E826" t="s">
        <v>11</v>
      </c>
      <c r="F826" t="s">
        <v>1</v>
      </c>
      <c r="G826" t="s">
        <v>643</v>
      </c>
      <c r="H826" t="s">
        <v>411</v>
      </c>
      <c r="I826" t="s">
        <v>1</v>
      </c>
      <c r="J826">
        <v>1044.8699999999999</v>
      </c>
      <c r="K826">
        <v>910.31000000040001</v>
      </c>
      <c r="L826">
        <v>455.35</v>
      </c>
      <c r="M826">
        <v>918.24723756906087</v>
      </c>
      <c r="N826">
        <v>940.23000000000013</v>
      </c>
      <c r="O826">
        <v>910.7</v>
      </c>
      <c r="P826">
        <v>-911</v>
      </c>
      <c r="Q826">
        <f t="shared" si="170"/>
        <v>-0.29999999999995453</v>
      </c>
      <c r="R826">
        <v>0</v>
      </c>
      <c r="S826">
        <f t="shared" si="171"/>
        <v>0.29999999999995453</v>
      </c>
      <c r="T826"/>
      <c r="U826">
        <f t="shared" si="172"/>
        <v>0</v>
      </c>
      <c r="V826">
        <f t="shared" si="173"/>
        <v>0</v>
      </c>
      <c r="W826">
        <f t="shared" si="174"/>
        <v>0.29999999999995453</v>
      </c>
      <c r="X826" t="s">
        <v>1469</v>
      </c>
    </row>
    <row r="827" spans="1:24" x14ac:dyDescent="0.25">
      <c r="A827" t="s">
        <v>1928</v>
      </c>
      <c r="B827" t="s">
        <v>1934</v>
      </c>
      <c r="C827" t="s">
        <v>2014</v>
      </c>
      <c r="D827" t="s">
        <v>142</v>
      </c>
      <c r="E827" t="s">
        <v>65</v>
      </c>
      <c r="F827" t="s">
        <v>1</v>
      </c>
      <c r="G827" t="s">
        <v>643</v>
      </c>
      <c r="H827" t="s">
        <v>476</v>
      </c>
      <c r="I827" t="s">
        <v>1</v>
      </c>
      <c r="J827">
        <v>-298.83</v>
      </c>
      <c r="K827"/>
      <c r="L827">
        <v>-142.77000000000001</v>
      </c>
      <c r="M827">
        <v>-287.90635359116021</v>
      </c>
      <c r="N827">
        <v>-212.82999999999998</v>
      </c>
      <c r="O827">
        <v>-287.10890109889999</v>
      </c>
      <c r="P827">
        <v>0</v>
      </c>
      <c r="Q827">
        <f t="shared" si="170"/>
        <v>-287.10890109889999</v>
      </c>
      <c r="R827">
        <v>0</v>
      </c>
      <c r="S827">
        <f t="shared" si="171"/>
        <v>287.10890109889999</v>
      </c>
      <c r="T827"/>
      <c r="U827">
        <f t="shared" si="172"/>
        <v>0</v>
      </c>
      <c r="V827">
        <f t="shared" si="173"/>
        <v>0</v>
      </c>
      <c r="W827">
        <f t="shared" si="174"/>
        <v>287.10890109889999</v>
      </c>
      <c r="X827" t="s">
        <v>1469</v>
      </c>
    </row>
    <row r="828" spans="1:24" x14ac:dyDescent="0.25">
      <c r="A828" t="s">
        <v>1928</v>
      </c>
      <c r="B828" t="s">
        <v>1934</v>
      </c>
      <c r="C828" t="s">
        <v>2014</v>
      </c>
      <c r="D828" t="s">
        <v>142</v>
      </c>
      <c r="E828" t="s">
        <v>17</v>
      </c>
      <c r="F828" t="s">
        <v>1</v>
      </c>
      <c r="G828" t="s">
        <v>643</v>
      </c>
      <c r="H828" t="s">
        <v>417</v>
      </c>
      <c r="I828" t="s">
        <v>1</v>
      </c>
      <c r="J828">
        <v>-1011.7</v>
      </c>
      <c r="K828">
        <v>-320.00000000019998</v>
      </c>
      <c r="L828">
        <v>-934.89</v>
      </c>
      <c r="M828">
        <v>-1885.2754143646409</v>
      </c>
      <c r="N828">
        <v>-1690.4399999999998</v>
      </c>
      <c r="O828">
        <v>-1880.0535164835001</v>
      </c>
      <c r="P828">
        <v>0</v>
      </c>
      <c r="Q828">
        <f t="shared" si="170"/>
        <v>-1880.0535164835001</v>
      </c>
      <c r="R828">
        <v>-1880.0535164835001</v>
      </c>
      <c r="S828">
        <f t="shared" si="171"/>
        <v>0</v>
      </c>
      <c r="T828"/>
      <c r="U828">
        <f t="shared" si="172"/>
        <v>0</v>
      </c>
      <c r="V828">
        <f t="shared" si="173"/>
        <v>-1880.0535164835001</v>
      </c>
      <c r="W828">
        <f t="shared" si="174"/>
        <v>0</v>
      </c>
      <c r="X828" t="s">
        <v>1469</v>
      </c>
    </row>
    <row r="829" spans="1:24" x14ac:dyDescent="0.25">
      <c r="A829" t="s">
        <v>1928</v>
      </c>
      <c r="B829" t="s">
        <v>1934</v>
      </c>
      <c r="C829" t="s">
        <v>2014</v>
      </c>
      <c r="D829" t="s">
        <v>142</v>
      </c>
      <c r="E829" t="s">
        <v>82</v>
      </c>
      <c r="F829" t="s">
        <v>1</v>
      </c>
      <c r="G829" t="s">
        <v>643</v>
      </c>
      <c r="H829" t="s">
        <v>507</v>
      </c>
      <c r="I829" t="s">
        <v>1</v>
      </c>
      <c r="J829">
        <v>5375.53</v>
      </c>
      <c r="K829">
        <v>5202.6245161587003</v>
      </c>
      <c r="L829">
        <v>1516.78</v>
      </c>
      <c r="M829">
        <v>3058.7</v>
      </c>
      <c r="N829">
        <v>4214.8099999999995</v>
      </c>
      <c r="O829">
        <v>3050.2279120879002</v>
      </c>
      <c r="P829">
        <v>-3050</v>
      </c>
      <c r="Q829">
        <f t="shared" si="170"/>
        <v>0.2279120879002221</v>
      </c>
      <c r="R829">
        <v>0</v>
      </c>
      <c r="S829">
        <f t="shared" si="171"/>
        <v>-0.2279120879002221</v>
      </c>
      <c r="T829">
        <v>2.75E-2</v>
      </c>
      <c r="U829">
        <f t="shared" si="172"/>
        <v>0</v>
      </c>
      <c r="V829">
        <f t="shared" si="173"/>
        <v>0</v>
      </c>
      <c r="W829">
        <f t="shared" si="174"/>
        <v>-0.2279120879002221</v>
      </c>
      <c r="X829" t="s">
        <v>1469</v>
      </c>
    </row>
    <row r="830" spans="1:24" x14ac:dyDescent="0.25">
      <c r="A830" t="s">
        <v>1928</v>
      </c>
      <c r="B830" t="s">
        <v>1934</v>
      </c>
      <c r="C830" t="s">
        <v>2014</v>
      </c>
      <c r="D830" t="s">
        <v>142</v>
      </c>
      <c r="E830" t="s">
        <v>72</v>
      </c>
      <c r="F830" t="s">
        <v>1</v>
      </c>
      <c r="G830" t="s">
        <v>643</v>
      </c>
      <c r="H830" t="s">
        <v>489</v>
      </c>
      <c r="I830" t="s">
        <v>1</v>
      </c>
      <c r="J830">
        <v>353.92</v>
      </c>
      <c r="K830"/>
      <c r="L830">
        <v>110.6</v>
      </c>
      <c r="M830">
        <v>223.03314917127071</v>
      </c>
      <c r="N830">
        <v>320.74</v>
      </c>
      <c r="O830">
        <v>222.4153846154</v>
      </c>
      <c r="P830">
        <v>-222</v>
      </c>
      <c r="Q830">
        <f t="shared" si="170"/>
        <v>0.41538461540000071</v>
      </c>
      <c r="R830">
        <v>0</v>
      </c>
      <c r="S830">
        <f t="shared" si="171"/>
        <v>-0.41538461540000071</v>
      </c>
      <c r="T830">
        <v>2.2499999999999999E-2</v>
      </c>
      <c r="U830">
        <f t="shared" si="172"/>
        <v>0</v>
      </c>
      <c r="V830">
        <f t="shared" si="173"/>
        <v>0</v>
      </c>
      <c r="W830">
        <f t="shared" si="174"/>
        <v>-0.41538461540000071</v>
      </c>
      <c r="X830" t="s">
        <v>1469</v>
      </c>
    </row>
    <row r="831" spans="1:24" x14ac:dyDescent="0.25">
      <c r="A831" t="s">
        <v>1928</v>
      </c>
      <c r="B831" t="s">
        <v>1934</v>
      </c>
      <c r="C831" t="s">
        <v>2014</v>
      </c>
      <c r="D831" t="s">
        <v>142</v>
      </c>
      <c r="E831" t="s">
        <v>18</v>
      </c>
      <c r="F831" t="s">
        <v>1</v>
      </c>
      <c r="G831" t="s">
        <v>643</v>
      </c>
      <c r="H831" t="s">
        <v>418</v>
      </c>
      <c r="I831" t="s">
        <v>1</v>
      </c>
      <c r="J831">
        <v>64710.42</v>
      </c>
      <c r="K831">
        <v>63693.604855500897</v>
      </c>
      <c r="L831">
        <v>24505.85</v>
      </c>
      <c r="M831">
        <v>49417.874309392268</v>
      </c>
      <c r="N831">
        <v>55063.47</v>
      </c>
      <c r="O831">
        <v>49280.995054945</v>
      </c>
      <c r="P831">
        <v>-49281</v>
      </c>
      <c r="Q831">
        <f t="shared" si="170"/>
        <v>-4.9450549995526671E-3</v>
      </c>
      <c r="R831">
        <v>0</v>
      </c>
      <c r="S831">
        <f t="shared" si="171"/>
        <v>4.9450549995526671E-3</v>
      </c>
      <c r="T831">
        <v>0.02</v>
      </c>
      <c r="U831">
        <f t="shared" si="172"/>
        <v>0</v>
      </c>
      <c r="V831">
        <f t="shared" si="173"/>
        <v>0</v>
      </c>
      <c r="W831">
        <f t="shared" si="174"/>
        <v>4.9450549995526671E-3</v>
      </c>
      <c r="X831" t="s">
        <v>1469</v>
      </c>
    </row>
    <row r="832" spans="1:24" x14ac:dyDescent="0.25">
      <c r="A832" t="s">
        <v>1928</v>
      </c>
      <c r="B832" t="s">
        <v>1934</v>
      </c>
      <c r="C832" t="s">
        <v>2014</v>
      </c>
      <c r="D832" t="s">
        <v>142</v>
      </c>
      <c r="E832" t="s">
        <v>19</v>
      </c>
      <c r="F832" t="s">
        <v>1</v>
      </c>
      <c r="G832" t="s">
        <v>643</v>
      </c>
      <c r="H832" t="s">
        <v>419</v>
      </c>
      <c r="I832" t="s">
        <v>1</v>
      </c>
      <c r="J832">
        <v>37.619999999999997</v>
      </c>
      <c r="K832"/>
      <c r="L832">
        <v>0</v>
      </c>
      <c r="M832">
        <v>0</v>
      </c>
      <c r="N832">
        <v>37.619999999999997</v>
      </c>
      <c r="O832"/>
      <c r="P832">
        <v>0</v>
      </c>
      <c r="Q832">
        <f t="shared" si="170"/>
        <v>0</v>
      </c>
      <c r="R832">
        <v>0</v>
      </c>
      <c r="S832">
        <f t="shared" si="171"/>
        <v>0</v>
      </c>
      <c r="T832">
        <v>0.02</v>
      </c>
      <c r="U832">
        <f t="shared" si="172"/>
        <v>0</v>
      </c>
      <c r="V832">
        <f t="shared" si="173"/>
        <v>0</v>
      </c>
      <c r="W832">
        <f t="shared" si="174"/>
        <v>0</v>
      </c>
      <c r="X832" t="s">
        <v>1469</v>
      </c>
    </row>
    <row r="833" spans="1:24" x14ac:dyDescent="0.25">
      <c r="A833" t="s">
        <v>1928</v>
      </c>
      <c r="B833" t="s">
        <v>1934</v>
      </c>
      <c r="C833" t="s">
        <v>2014</v>
      </c>
      <c r="D833" t="s">
        <v>142</v>
      </c>
      <c r="E833" t="s">
        <v>74</v>
      </c>
      <c r="F833" t="s">
        <v>1</v>
      </c>
      <c r="G833" t="s">
        <v>643</v>
      </c>
      <c r="H833" t="s">
        <v>491</v>
      </c>
      <c r="I833" t="s">
        <v>1</v>
      </c>
      <c r="J833">
        <v>13883.86</v>
      </c>
      <c r="K833">
        <v>12324.2850304487</v>
      </c>
      <c r="L833">
        <v>4750.88</v>
      </c>
      <c r="M833">
        <v>9580.5038674033149</v>
      </c>
      <c r="N833">
        <v>12382.87</v>
      </c>
      <c r="O833">
        <v>9553.9674725274999</v>
      </c>
      <c r="P833">
        <v>-9554</v>
      </c>
      <c r="Q833">
        <f t="shared" si="170"/>
        <v>-3.2527472500078147E-2</v>
      </c>
      <c r="R833">
        <v>0</v>
      </c>
      <c r="S833">
        <f t="shared" si="171"/>
        <v>3.2527472500078147E-2</v>
      </c>
      <c r="T833">
        <v>3.5000000000000003E-2</v>
      </c>
      <c r="U833">
        <f t="shared" si="172"/>
        <v>0</v>
      </c>
      <c r="V833">
        <f t="shared" si="173"/>
        <v>0</v>
      </c>
      <c r="W833">
        <f t="shared" si="174"/>
        <v>3.2527472500078147E-2</v>
      </c>
      <c r="X833" t="s">
        <v>1469</v>
      </c>
    </row>
    <row r="834" spans="1:24" x14ac:dyDescent="0.25">
      <c r="A834" t="s">
        <v>1928</v>
      </c>
      <c r="B834" t="s">
        <v>1934</v>
      </c>
      <c r="C834" t="s">
        <v>2014</v>
      </c>
      <c r="D834" t="s">
        <v>142</v>
      </c>
      <c r="E834" t="s">
        <v>85</v>
      </c>
      <c r="F834" t="s">
        <v>1</v>
      </c>
      <c r="G834" t="s">
        <v>643</v>
      </c>
      <c r="H834" t="s">
        <v>510</v>
      </c>
      <c r="I834" t="s">
        <v>1</v>
      </c>
      <c r="J834">
        <v>387.73</v>
      </c>
      <c r="K834"/>
      <c r="L834">
        <v>0</v>
      </c>
      <c r="M834">
        <v>0</v>
      </c>
      <c r="N834">
        <v>14.74</v>
      </c>
      <c r="O834"/>
      <c r="P834">
        <v>0</v>
      </c>
      <c r="Q834">
        <f t="shared" si="170"/>
        <v>0</v>
      </c>
      <c r="R834">
        <v>0</v>
      </c>
      <c r="S834">
        <f t="shared" si="171"/>
        <v>0</v>
      </c>
      <c r="T834">
        <v>0.02</v>
      </c>
      <c r="U834">
        <f t="shared" si="172"/>
        <v>0</v>
      </c>
      <c r="V834">
        <f t="shared" si="173"/>
        <v>0</v>
      </c>
      <c r="W834">
        <f t="shared" si="174"/>
        <v>0</v>
      </c>
      <c r="X834" t="s">
        <v>1469</v>
      </c>
    </row>
    <row r="835" spans="1:24" x14ac:dyDescent="0.25">
      <c r="A835" t="s">
        <v>1928</v>
      </c>
      <c r="B835" t="s">
        <v>1934</v>
      </c>
      <c r="C835" t="s">
        <v>2014</v>
      </c>
      <c r="D835" t="s">
        <v>142</v>
      </c>
      <c r="E835" t="s">
        <v>20</v>
      </c>
      <c r="F835" t="s">
        <v>1</v>
      </c>
      <c r="G835" t="s">
        <v>643</v>
      </c>
      <c r="H835" t="s">
        <v>420</v>
      </c>
      <c r="I835" t="s">
        <v>1</v>
      </c>
      <c r="J835">
        <v>2366.9299999999998</v>
      </c>
      <c r="K835">
        <v>2527.246879198</v>
      </c>
      <c r="L835">
        <v>1439.42</v>
      </c>
      <c r="M835">
        <v>2902.6977900552488</v>
      </c>
      <c r="N835">
        <v>2520.0700000000002</v>
      </c>
      <c r="O835">
        <v>2894.6578021977998</v>
      </c>
      <c r="P835">
        <v>-2895</v>
      </c>
      <c r="Q835">
        <f t="shared" si="170"/>
        <v>-0.34219780220018947</v>
      </c>
      <c r="R835">
        <v>0</v>
      </c>
      <c r="S835">
        <f t="shared" si="171"/>
        <v>0.34219780220018947</v>
      </c>
      <c r="T835">
        <v>0.04</v>
      </c>
      <c r="U835">
        <f t="shared" si="172"/>
        <v>0</v>
      </c>
      <c r="V835">
        <f t="shared" si="173"/>
        <v>0</v>
      </c>
      <c r="W835">
        <f t="shared" si="174"/>
        <v>0.34219780220018947</v>
      </c>
      <c r="X835" t="s">
        <v>1469</v>
      </c>
    </row>
    <row r="836" spans="1:24" x14ac:dyDescent="0.25">
      <c r="A836" t="s">
        <v>1928</v>
      </c>
      <c r="B836" t="s">
        <v>1934</v>
      </c>
      <c r="C836" t="s">
        <v>2014</v>
      </c>
      <c r="D836" t="s">
        <v>142</v>
      </c>
      <c r="E836" t="s">
        <v>21</v>
      </c>
      <c r="F836" t="s">
        <v>1</v>
      </c>
      <c r="G836" t="s">
        <v>643</v>
      </c>
      <c r="H836" t="s">
        <v>421</v>
      </c>
      <c r="I836" t="s">
        <v>1</v>
      </c>
      <c r="J836">
        <v>4777.55</v>
      </c>
      <c r="K836">
        <v>5370.7699999998003</v>
      </c>
      <c r="L836">
        <v>2219.09</v>
      </c>
      <c r="M836">
        <v>4474.9604972375701</v>
      </c>
      <c r="N836">
        <v>4355.8100000000004</v>
      </c>
      <c r="O836">
        <v>4474.9604972376001</v>
      </c>
      <c r="P836">
        <v>-4475</v>
      </c>
      <c r="Q836">
        <f t="shared" si="170"/>
        <v>-3.9502762399933999E-2</v>
      </c>
      <c r="R836">
        <v>0</v>
      </c>
      <c r="S836">
        <f t="shared" si="171"/>
        <v>3.9502762399933999E-2</v>
      </c>
      <c r="T836">
        <v>0.03</v>
      </c>
      <c r="U836">
        <f t="shared" si="172"/>
        <v>0</v>
      </c>
      <c r="V836">
        <f t="shared" si="173"/>
        <v>0</v>
      </c>
      <c r="W836">
        <f t="shared" si="174"/>
        <v>3.9502762399933999E-2</v>
      </c>
      <c r="X836" t="s">
        <v>1469</v>
      </c>
    </row>
    <row r="837" spans="1:24" x14ac:dyDescent="0.25">
      <c r="A837" t="s">
        <v>1928</v>
      </c>
      <c r="B837" t="s">
        <v>1934</v>
      </c>
      <c r="C837" t="s">
        <v>2014</v>
      </c>
      <c r="D837" t="s">
        <v>142</v>
      </c>
      <c r="E837" t="s">
        <v>22</v>
      </c>
      <c r="F837" t="s">
        <v>1</v>
      </c>
      <c r="G837" t="s">
        <v>643</v>
      </c>
      <c r="H837" t="s">
        <v>422</v>
      </c>
      <c r="I837" t="s">
        <v>1</v>
      </c>
      <c r="J837">
        <v>2685.6</v>
      </c>
      <c r="K837"/>
      <c r="L837">
        <v>0</v>
      </c>
      <c r="M837">
        <v>0</v>
      </c>
      <c r="N837">
        <v>2685.6</v>
      </c>
      <c r="O837"/>
      <c r="P837">
        <v>0</v>
      </c>
      <c r="Q837">
        <f t="shared" si="170"/>
        <v>0</v>
      </c>
      <c r="R837">
        <v>0</v>
      </c>
      <c r="S837">
        <f t="shared" si="171"/>
        <v>0</v>
      </c>
      <c r="T837">
        <v>3.5000000000000003E-2</v>
      </c>
      <c r="U837">
        <f t="shared" si="172"/>
        <v>0</v>
      </c>
      <c r="V837">
        <f t="shared" si="173"/>
        <v>0</v>
      </c>
      <c r="W837">
        <f t="shared" si="174"/>
        <v>0</v>
      </c>
      <c r="X837" t="s">
        <v>1469</v>
      </c>
    </row>
    <row r="838" spans="1:24" x14ac:dyDescent="0.25">
      <c r="A838" t="s">
        <v>1928</v>
      </c>
      <c r="B838" t="s">
        <v>1934</v>
      </c>
      <c r="C838" t="s">
        <v>2014</v>
      </c>
      <c r="D838" t="s">
        <v>142</v>
      </c>
      <c r="E838" t="s">
        <v>23</v>
      </c>
      <c r="F838" t="s">
        <v>1</v>
      </c>
      <c r="G838" t="s">
        <v>643</v>
      </c>
      <c r="H838" t="s">
        <v>423</v>
      </c>
      <c r="I838" t="s">
        <v>1</v>
      </c>
      <c r="J838">
        <v>520.52</v>
      </c>
      <c r="K838">
        <v>186.2999999999</v>
      </c>
      <c r="L838">
        <v>394.04</v>
      </c>
      <c r="M838">
        <v>794.61104972375699</v>
      </c>
      <c r="N838">
        <v>824.92</v>
      </c>
      <c r="O838">
        <v>794.61104972379997</v>
      </c>
      <c r="P838">
        <v>-795</v>
      </c>
      <c r="Q838">
        <f t="shared" si="170"/>
        <v>-0.38895027620003475</v>
      </c>
      <c r="R838">
        <v>0</v>
      </c>
      <c r="S838">
        <f t="shared" si="171"/>
        <v>0.38895027620003475</v>
      </c>
      <c r="T838">
        <v>3.5000000000000003E-2</v>
      </c>
      <c r="U838">
        <f t="shared" si="172"/>
        <v>0</v>
      </c>
      <c r="V838">
        <f t="shared" si="173"/>
        <v>0</v>
      </c>
      <c r="W838">
        <f t="shared" si="174"/>
        <v>0.38895027620003475</v>
      </c>
      <c r="X838" t="s">
        <v>1469</v>
      </c>
    </row>
    <row r="839" spans="1:24" x14ac:dyDescent="0.25">
      <c r="A839" t="s">
        <v>1928</v>
      </c>
      <c r="B839" t="s">
        <v>1934</v>
      </c>
      <c r="C839" t="s">
        <v>2014</v>
      </c>
      <c r="D839" t="s">
        <v>142</v>
      </c>
      <c r="E839" t="s">
        <v>28</v>
      </c>
      <c r="F839" t="s">
        <v>1</v>
      </c>
      <c r="G839" t="s">
        <v>643</v>
      </c>
      <c r="H839" t="s">
        <v>428</v>
      </c>
      <c r="I839" t="s">
        <v>1</v>
      </c>
      <c r="J839"/>
      <c r="K839"/>
      <c r="L839">
        <v>49.04</v>
      </c>
      <c r="M839">
        <v>98.892817679558007</v>
      </c>
      <c r="N839">
        <v>49.04</v>
      </c>
      <c r="O839">
        <v>98.08</v>
      </c>
      <c r="P839">
        <v>-98</v>
      </c>
      <c r="Q839">
        <f t="shared" si="170"/>
        <v>7.9999999999998295E-2</v>
      </c>
      <c r="R839">
        <v>0</v>
      </c>
      <c r="S839">
        <f t="shared" si="171"/>
        <v>-7.9999999999998295E-2</v>
      </c>
      <c r="T839"/>
      <c r="U839">
        <f t="shared" si="172"/>
        <v>0</v>
      </c>
      <c r="V839">
        <f t="shared" si="173"/>
        <v>0</v>
      </c>
      <c r="W839">
        <f t="shared" si="174"/>
        <v>-7.9999999999998295E-2</v>
      </c>
      <c r="X839" t="s">
        <v>1469</v>
      </c>
    </row>
    <row r="840" spans="1:24" x14ac:dyDescent="0.25">
      <c r="A840" t="s">
        <v>1928</v>
      </c>
      <c r="B840" t="s">
        <v>1934</v>
      </c>
      <c r="C840" t="s">
        <v>2014</v>
      </c>
      <c r="D840" t="s">
        <v>142</v>
      </c>
      <c r="E840" t="s">
        <v>41</v>
      </c>
      <c r="F840" t="s">
        <v>1</v>
      </c>
      <c r="G840" t="s">
        <v>643</v>
      </c>
      <c r="H840" t="s">
        <v>441</v>
      </c>
      <c r="I840" t="s">
        <v>1</v>
      </c>
      <c r="J840">
        <v>204.78</v>
      </c>
      <c r="K840">
        <v>89.120000000399997</v>
      </c>
      <c r="L840">
        <v>222.39</v>
      </c>
      <c r="M840">
        <v>448.46602209944751</v>
      </c>
      <c r="N840">
        <v>363.05</v>
      </c>
      <c r="O840">
        <v>444.78</v>
      </c>
      <c r="P840">
        <v>-445</v>
      </c>
      <c r="Q840">
        <f t="shared" si="170"/>
        <v>-0.22000000000002728</v>
      </c>
      <c r="R840">
        <v>0</v>
      </c>
      <c r="S840">
        <f t="shared" si="171"/>
        <v>0.22000000000002728</v>
      </c>
      <c r="T840">
        <v>0.03</v>
      </c>
      <c r="U840">
        <f t="shared" si="172"/>
        <v>0</v>
      </c>
      <c r="V840">
        <f t="shared" si="173"/>
        <v>0</v>
      </c>
      <c r="W840">
        <f t="shared" si="174"/>
        <v>0.22000000000002728</v>
      </c>
      <c r="X840" t="s">
        <v>1469</v>
      </c>
    </row>
    <row r="841" spans="1:24" x14ac:dyDescent="0.25">
      <c r="A841" t="s">
        <v>1928</v>
      </c>
      <c r="B841" t="s">
        <v>1934</v>
      </c>
      <c r="C841" t="s">
        <v>2014</v>
      </c>
      <c r="D841" t="s">
        <v>142</v>
      </c>
      <c r="E841" t="s">
        <v>43</v>
      </c>
      <c r="F841" t="s">
        <v>1</v>
      </c>
      <c r="G841" t="s">
        <v>643</v>
      </c>
      <c r="H841" t="s">
        <v>443</v>
      </c>
      <c r="I841" t="s">
        <v>1</v>
      </c>
      <c r="J841"/>
      <c r="K841"/>
      <c r="L841">
        <v>10.08</v>
      </c>
      <c r="M841">
        <v>20.32707182320442</v>
      </c>
      <c r="N841">
        <v>10.08</v>
      </c>
      <c r="O841">
        <v>20.16</v>
      </c>
      <c r="P841">
        <v>-20</v>
      </c>
      <c r="Q841">
        <f t="shared" si="170"/>
        <v>0.16000000000000014</v>
      </c>
      <c r="R841">
        <v>0</v>
      </c>
      <c r="S841">
        <f t="shared" si="171"/>
        <v>-0.16000000000000014</v>
      </c>
      <c r="T841">
        <v>0.03</v>
      </c>
      <c r="U841">
        <f t="shared" si="172"/>
        <v>0</v>
      </c>
      <c r="V841">
        <f t="shared" si="173"/>
        <v>0</v>
      </c>
      <c r="W841">
        <f t="shared" si="174"/>
        <v>-0.16000000000000014</v>
      </c>
      <c r="X841" t="s">
        <v>1469</v>
      </c>
    </row>
    <row r="842" spans="1:24" x14ac:dyDescent="0.25">
      <c r="A842" t="s">
        <v>1928</v>
      </c>
      <c r="B842" t="s">
        <v>1934</v>
      </c>
      <c r="C842" t="s">
        <v>2014</v>
      </c>
      <c r="D842" t="s">
        <v>142</v>
      </c>
      <c r="E842" t="s">
        <v>51</v>
      </c>
      <c r="F842" t="s">
        <v>51</v>
      </c>
      <c r="G842" t="s">
        <v>644</v>
      </c>
      <c r="H842"/>
      <c r="I842"/>
      <c r="J842">
        <v>132859.89999999997</v>
      </c>
      <c r="K842">
        <v>126868.98338075411</v>
      </c>
      <c r="L842">
        <v>36305.83</v>
      </c>
      <c r="M842">
        <v>73213.414088397782</v>
      </c>
      <c r="N842">
        <v>103119.97</v>
      </c>
      <c r="O842">
        <v>73026.674799951506</v>
      </c>
      <c r="P842">
        <f>SUMIF($F$823:$F$841,"&lt;&gt;EV_*",$P$823:$P$841)</f>
        <v>-75194</v>
      </c>
      <c r="Q842">
        <f>SUMIF($F$823:$F$841,"&lt;&gt;EV_*",$Q$823:$Q$841)</f>
        <v>-2167.3252000484999</v>
      </c>
      <c r="R842">
        <f>SUMIF($F$823:$F$841,"&lt;&gt;EV_*",$R$823:$R$841)</f>
        <v>-1880.0535164835001</v>
      </c>
      <c r="S842">
        <f>SUMIF($F$823:$F$841,"&lt;&gt;EV_*",$S$823:$S$841)</f>
        <v>287.27168356499931</v>
      </c>
      <c r="T842">
        <v>0</v>
      </c>
      <c r="U842">
        <f>SUMIF($F$823:$F$841,"&lt;&gt;EV_*",$U$823:$U$841)</f>
        <v>0</v>
      </c>
      <c r="V842">
        <f>SUMIF($F$823:$F$841,"&lt;&gt;EV_*",$V$823:$V$841)</f>
        <v>-1880.0535164835001</v>
      </c>
      <c r="W842">
        <f>SUMIF($F$823:$F$841,"&lt;&gt;EV_*",$W$823:$W$841)</f>
        <v>287.27168356499931</v>
      </c>
      <c r="X842">
        <f>SUMIF($F$823:$F$841,"&lt;&gt;EV_*",$X$823:$X$841)</f>
        <v>0</v>
      </c>
    </row>
    <row r="843" spans="1:24" x14ac:dyDescent="0.25">
      <c r="A843" t="s">
        <v>1928</v>
      </c>
      <c r="B843" t="s">
        <v>2007</v>
      </c>
      <c r="C843" t="s">
        <v>2015</v>
      </c>
      <c r="D843" t="s">
        <v>143</v>
      </c>
      <c r="E843" t="s">
        <v>5</v>
      </c>
      <c r="F843" t="s">
        <v>5</v>
      </c>
      <c r="G843" t="s">
        <v>645</v>
      </c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</row>
    <row r="844" spans="1:24" x14ac:dyDescent="0.25">
      <c r="A844" t="s">
        <v>1928</v>
      </c>
      <c r="B844" t="s">
        <v>2007</v>
      </c>
      <c r="C844" t="s">
        <v>2015</v>
      </c>
      <c r="D844" t="s">
        <v>143</v>
      </c>
      <c r="E844" t="s">
        <v>133</v>
      </c>
      <c r="F844" t="s">
        <v>1</v>
      </c>
      <c r="G844" t="s">
        <v>646</v>
      </c>
      <c r="H844" t="s">
        <v>622</v>
      </c>
      <c r="I844" t="s">
        <v>1</v>
      </c>
      <c r="J844">
        <v>23.03</v>
      </c>
      <c r="K844"/>
      <c r="L844">
        <v>2.61</v>
      </c>
      <c r="M844">
        <v>5.2632596685082875</v>
      </c>
      <c r="N844">
        <v>24.34</v>
      </c>
      <c r="O844">
        <v>5.2632596684999999</v>
      </c>
      <c r="P844">
        <v>0</v>
      </c>
      <c r="Q844">
        <f t="shared" ref="Q844:Q873" si="175">O844+P844</f>
        <v>5.2632596684999999</v>
      </c>
      <c r="R844">
        <v>0</v>
      </c>
      <c r="S844">
        <f t="shared" ref="S844:S873" si="176">IF(OR(LEFT(E844,2)="A_",LEFT(D844,5)="Total"),R844-Q844,"")</f>
        <v>-5.2632596684999999</v>
      </c>
      <c r="T844">
        <v>0.02</v>
      </c>
      <c r="U844">
        <f t="shared" ref="U844:U873" si="177">IFERROR(R844*T844,R844*0)</f>
        <v>0</v>
      </c>
      <c r="V844">
        <f t="shared" ref="V844:V873" si="178">IF(OR(LEFT(E844,2)="A_",LEFT(D844,5)="Total"),R844+U844,"")</f>
        <v>0</v>
      </c>
      <c r="W844">
        <f t="shared" ref="W844:W873" si="179">IF(OR(LEFT(E844,2)="A_",LEFT(D844,5)="Total"),V844-Q844,"")</f>
        <v>-5.2632596684999999</v>
      </c>
      <c r="X844">
        <v>0</v>
      </c>
    </row>
    <row r="845" spans="1:24" x14ac:dyDescent="0.25">
      <c r="A845" t="s">
        <v>1928</v>
      </c>
      <c r="B845" t="s">
        <v>2007</v>
      </c>
      <c r="C845" t="s">
        <v>2015</v>
      </c>
      <c r="D845" t="s">
        <v>143</v>
      </c>
      <c r="E845" t="s">
        <v>8</v>
      </c>
      <c r="F845" t="s">
        <v>1</v>
      </c>
      <c r="G845" t="s">
        <v>646</v>
      </c>
      <c r="H845" t="s">
        <v>408</v>
      </c>
      <c r="I845" t="s">
        <v>1</v>
      </c>
      <c r="J845">
        <v>68917.89</v>
      </c>
      <c r="K845">
        <v>81006.930386740496</v>
      </c>
      <c r="L845">
        <v>21443.09</v>
      </c>
      <c r="M845">
        <v>43241.590331491716</v>
      </c>
      <c r="N845">
        <v>50190.420000000006</v>
      </c>
      <c r="O845">
        <v>43241.590331491701</v>
      </c>
      <c r="P845">
        <v>0</v>
      </c>
      <c r="Q845">
        <f t="shared" si="175"/>
        <v>43241.590331491701</v>
      </c>
      <c r="R845">
        <v>43241.590331491701</v>
      </c>
      <c r="S845">
        <f t="shared" si="176"/>
        <v>0</v>
      </c>
      <c r="T845"/>
      <c r="U845">
        <f t="shared" si="177"/>
        <v>0</v>
      </c>
      <c r="V845">
        <f t="shared" si="178"/>
        <v>43241.590331491701</v>
      </c>
      <c r="W845">
        <f t="shared" si="179"/>
        <v>0</v>
      </c>
      <c r="X845">
        <v>0</v>
      </c>
    </row>
    <row r="846" spans="1:24" x14ac:dyDescent="0.25">
      <c r="A846" t="s">
        <v>1928</v>
      </c>
      <c r="B846" t="s">
        <v>2007</v>
      </c>
      <c r="C846" t="s">
        <v>2015</v>
      </c>
      <c r="D846" t="s">
        <v>143</v>
      </c>
      <c r="E846" t="s">
        <v>10</v>
      </c>
      <c r="F846" t="s">
        <v>1</v>
      </c>
      <c r="G846" t="s">
        <v>646</v>
      </c>
      <c r="H846" t="s">
        <v>410</v>
      </c>
      <c r="I846" t="s">
        <v>1</v>
      </c>
      <c r="J846">
        <v>11773.2</v>
      </c>
      <c r="K846">
        <v>13373.0000000004</v>
      </c>
      <c r="L846">
        <v>10660.2</v>
      </c>
      <c r="M846">
        <v>21497.088397790056</v>
      </c>
      <c r="N846">
        <v>10660.2</v>
      </c>
      <c r="O846">
        <v>21320.400000000001</v>
      </c>
      <c r="P846">
        <v>0</v>
      </c>
      <c r="Q846">
        <f t="shared" si="175"/>
        <v>21320.400000000001</v>
      </c>
      <c r="R846">
        <v>21320.400000000001</v>
      </c>
      <c r="S846">
        <f t="shared" si="176"/>
        <v>0</v>
      </c>
      <c r="T846"/>
      <c r="U846">
        <f t="shared" si="177"/>
        <v>0</v>
      </c>
      <c r="V846">
        <f t="shared" si="178"/>
        <v>21320.400000000001</v>
      </c>
      <c r="W846">
        <f t="shared" si="179"/>
        <v>0</v>
      </c>
      <c r="X846">
        <v>0</v>
      </c>
    </row>
    <row r="847" spans="1:24" x14ac:dyDescent="0.25">
      <c r="A847" t="s">
        <v>1928</v>
      </c>
      <c r="B847" t="s">
        <v>2007</v>
      </c>
      <c r="C847" t="s">
        <v>2015</v>
      </c>
      <c r="D847" t="s">
        <v>143</v>
      </c>
      <c r="E847" t="s">
        <v>65</v>
      </c>
      <c r="F847" t="s">
        <v>1</v>
      </c>
      <c r="G847" t="s">
        <v>646</v>
      </c>
      <c r="H847" t="s">
        <v>476</v>
      </c>
      <c r="I847" t="s">
        <v>1</v>
      </c>
      <c r="J847">
        <v>-595.53</v>
      </c>
      <c r="K847"/>
      <c r="L847">
        <v>-323.57</v>
      </c>
      <c r="M847">
        <v>-652.50303867403306</v>
      </c>
      <c r="N847">
        <v>-410.76</v>
      </c>
      <c r="O847">
        <v>-650.69571428569998</v>
      </c>
      <c r="P847">
        <v>0</v>
      </c>
      <c r="Q847">
        <f t="shared" si="175"/>
        <v>-650.69571428569998</v>
      </c>
      <c r="R847">
        <v>0</v>
      </c>
      <c r="S847">
        <f t="shared" si="176"/>
        <v>650.69571428569998</v>
      </c>
      <c r="T847"/>
      <c r="U847">
        <f t="shared" si="177"/>
        <v>0</v>
      </c>
      <c r="V847">
        <f t="shared" si="178"/>
        <v>0</v>
      </c>
      <c r="W847">
        <f t="shared" si="179"/>
        <v>650.69571428569998</v>
      </c>
      <c r="X847">
        <v>0</v>
      </c>
    </row>
    <row r="848" spans="1:24" x14ac:dyDescent="0.25">
      <c r="A848" t="s">
        <v>1928</v>
      </c>
      <c r="B848" t="s">
        <v>2007</v>
      </c>
      <c r="C848" t="s">
        <v>2015</v>
      </c>
      <c r="D848" t="s">
        <v>143</v>
      </c>
      <c r="E848" t="s">
        <v>17</v>
      </c>
      <c r="F848" t="s">
        <v>1</v>
      </c>
      <c r="G848" t="s">
        <v>646</v>
      </c>
      <c r="H848" t="s">
        <v>417</v>
      </c>
      <c r="I848" t="s">
        <v>1</v>
      </c>
      <c r="J848">
        <v>-7357.32</v>
      </c>
      <c r="K848">
        <v>-10279.9999999999</v>
      </c>
      <c r="L848">
        <v>-7371.79</v>
      </c>
      <c r="M848">
        <v>-14865.764364640883</v>
      </c>
      <c r="N848">
        <v>-13177.41</v>
      </c>
      <c r="O848">
        <v>-14824.588681318701</v>
      </c>
      <c r="P848">
        <v>0</v>
      </c>
      <c r="Q848">
        <f t="shared" si="175"/>
        <v>-14824.588681318701</v>
      </c>
      <c r="R848">
        <v>-14824.588681318701</v>
      </c>
      <c r="S848">
        <f t="shared" si="176"/>
        <v>0</v>
      </c>
      <c r="T848"/>
      <c r="U848">
        <f t="shared" si="177"/>
        <v>0</v>
      </c>
      <c r="V848">
        <f t="shared" si="178"/>
        <v>-14824.588681318701</v>
      </c>
      <c r="W848">
        <f t="shared" si="179"/>
        <v>0</v>
      </c>
      <c r="X848">
        <v>0</v>
      </c>
    </row>
    <row r="849" spans="1:24" x14ac:dyDescent="0.25">
      <c r="A849" t="s">
        <v>1928</v>
      </c>
      <c r="B849" t="s">
        <v>2007</v>
      </c>
      <c r="C849" t="s">
        <v>2015</v>
      </c>
      <c r="D849" t="s">
        <v>143</v>
      </c>
      <c r="E849" t="s">
        <v>82</v>
      </c>
      <c r="F849" t="s">
        <v>1</v>
      </c>
      <c r="G849" t="s">
        <v>646</v>
      </c>
      <c r="H849" t="s">
        <v>507</v>
      </c>
      <c r="I849" t="s">
        <v>1</v>
      </c>
      <c r="J849">
        <v>8425.0400000000009</v>
      </c>
      <c r="K849">
        <v>9711.1808331385</v>
      </c>
      <c r="L849">
        <v>3513.8</v>
      </c>
      <c r="M849">
        <v>7085.8397790055251</v>
      </c>
      <c r="N849">
        <v>6806.0999999999995</v>
      </c>
      <c r="O849">
        <v>7066.2131868132001</v>
      </c>
      <c r="P849">
        <v>0</v>
      </c>
      <c r="Q849">
        <f t="shared" si="175"/>
        <v>7066.2131868132001</v>
      </c>
      <c r="R849">
        <v>7066.2131868132001</v>
      </c>
      <c r="S849">
        <f t="shared" si="176"/>
        <v>0</v>
      </c>
      <c r="T849">
        <v>2.75E-2</v>
      </c>
      <c r="U849">
        <f t="shared" si="177"/>
        <v>194.32086263736301</v>
      </c>
      <c r="V849">
        <f t="shared" si="178"/>
        <v>7260.5340494505635</v>
      </c>
      <c r="W849">
        <f t="shared" si="179"/>
        <v>194.32086263736346</v>
      </c>
      <c r="X849">
        <v>0</v>
      </c>
    </row>
    <row r="850" spans="1:24" x14ac:dyDescent="0.25">
      <c r="A850" t="s">
        <v>1928</v>
      </c>
      <c r="B850" t="s">
        <v>2007</v>
      </c>
      <c r="C850" t="s">
        <v>2015</v>
      </c>
      <c r="D850" t="s">
        <v>143</v>
      </c>
      <c r="E850" t="s">
        <v>72</v>
      </c>
      <c r="F850" t="s">
        <v>1</v>
      </c>
      <c r="G850" t="s">
        <v>646</v>
      </c>
      <c r="H850" t="s">
        <v>489</v>
      </c>
      <c r="I850" t="s">
        <v>1</v>
      </c>
      <c r="J850">
        <v>1628.48</v>
      </c>
      <c r="K850">
        <v>1962.5907062836</v>
      </c>
      <c r="L850">
        <v>639.38</v>
      </c>
      <c r="M850">
        <v>1289.3574585635358</v>
      </c>
      <c r="N850">
        <v>1409.0999999999997</v>
      </c>
      <c r="O850">
        <v>1285.7861538462</v>
      </c>
      <c r="P850">
        <v>0</v>
      </c>
      <c r="Q850">
        <f t="shared" si="175"/>
        <v>1285.7861538462</v>
      </c>
      <c r="R850">
        <v>1285.7861538462</v>
      </c>
      <c r="S850">
        <f t="shared" si="176"/>
        <v>0</v>
      </c>
      <c r="T850">
        <v>2.2499999999999999E-2</v>
      </c>
      <c r="U850">
        <f t="shared" si="177"/>
        <v>28.930188461539501</v>
      </c>
      <c r="V850">
        <f t="shared" si="178"/>
        <v>1314.7163423077395</v>
      </c>
      <c r="W850">
        <f t="shared" si="179"/>
        <v>28.930188461539501</v>
      </c>
      <c r="X850">
        <v>0</v>
      </c>
    </row>
    <row r="851" spans="1:24" x14ac:dyDescent="0.25">
      <c r="A851" t="s">
        <v>1928</v>
      </c>
      <c r="B851" t="s">
        <v>2007</v>
      </c>
      <c r="C851" t="s">
        <v>2015</v>
      </c>
      <c r="D851" t="s">
        <v>143</v>
      </c>
      <c r="E851" t="s">
        <v>118</v>
      </c>
      <c r="F851" t="s">
        <v>1</v>
      </c>
      <c r="G851" t="s">
        <v>646</v>
      </c>
      <c r="H851" t="s">
        <v>587</v>
      </c>
      <c r="I851" t="s">
        <v>1</v>
      </c>
      <c r="J851">
        <v>789.88</v>
      </c>
      <c r="K851"/>
      <c r="L851">
        <v>354.64</v>
      </c>
      <c r="M851">
        <v>715.15801104972377</v>
      </c>
      <c r="N851">
        <v>866.78999999999985</v>
      </c>
      <c r="O851">
        <v>713.17714285709997</v>
      </c>
      <c r="P851">
        <v>0</v>
      </c>
      <c r="Q851">
        <f t="shared" si="175"/>
        <v>713.17714285709997</v>
      </c>
      <c r="R851">
        <v>713.17714285709997</v>
      </c>
      <c r="S851">
        <f t="shared" si="176"/>
        <v>0</v>
      </c>
      <c r="T851">
        <v>3.2500000000000001E-2</v>
      </c>
      <c r="U851">
        <f t="shared" si="177"/>
        <v>23.178257142855749</v>
      </c>
      <c r="V851">
        <f t="shared" si="178"/>
        <v>736.35539999995569</v>
      </c>
      <c r="W851">
        <f t="shared" si="179"/>
        <v>23.178257142855728</v>
      </c>
      <c r="X851">
        <v>0</v>
      </c>
    </row>
    <row r="852" spans="1:24" x14ac:dyDescent="0.25">
      <c r="A852" t="s">
        <v>1928</v>
      </c>
      <c r="B852" t="s">
        <v>2007</v>
      </c>
      <c r="C852" t="s">
        <v>2015</v>
      </c>
      <c r="D852" t="s">
        <v>143</v>
      </c>
      <c r="E852" t="s">
        <v>18</v>
      </c>
      <c r="F852" t="s">
        <v>1</v>
      </c>
      <c r="G852" t="s">
        <v>646</v>
      </c>
      <c r="H852" t="s">
        <v>418</v>
      </c>
      <c r="I852" t="s">
        <v>1</v>
      </c>
      <c r="J852">
        <v>238524.26</v>
      </c>
      <c r="K852">
        <v>244085.39229808599</v>
      </c>
      <c r="L852">
        <v>115940.99</v>
      </c>
      <c r="M852">
        <v>233803.65386740331</v>
      </c>
      <c r="N852">
        <v>236897.24000000002</v>
      </c>
      <c r="O852">
        <v>233156.05681318699</v>
      </c>
      <c r="P852">
        <v>0</v>
      </c>
      <c r="Q852">
        <f t="shared" si="175"/>
        <v>233156.05681318699</v>
      </c>
      <c r="R852">
        <v>233156.05681318699</v>
      </c>
      <c r="S852">
        <f t="shared" si="176"/>
        <v>0</v>
      </c>
      <c r="T852">
        <v>0.02</v>
      </c>
      <c r="U852">
        <f t="shared" si="177"/>
        <v>4663.1211362637396</v>
      </c>
      <c r="V852">
        <f t="shared" si="178"/>
        <v>237819.17794945074</v>
      </c>
      <c r="W852">
        <f t="shared" si="179"/>
        <v>4663.1211362637405</v>
      </c>
      <c r="X852">
        <v>0</v>
      </c>
    </row>
    <row r="853" spans="1:24" x14ac:dyDescent="0.25">
      <c r="A853" t="s">
        <v>1928</v>
      </c>
      <c r="B853" t="s">
        <v>2007</v>
      </c>
      <c r="C853" t="s">
        <v>2015</v>
      </c>
      <c r="D853" t="s">
        <v>143</v>
      </c>
      <c r="E853" t="s">
        <v>57</v>
      </c>
      <c r="F853" t="s">
        <v>1</v>
      </c>
      <c r="G853" t="s">
        <v>646</v>
      </c>
      <c r="H853" t="s">
        <v>462</v>
      </c>
      <c r="I853" t="s">
        <v>1</v>
      </c>
      <c r="J853">
        <v>264.83</v>
      </c>
      <c r="K853"/>
      <c r="L853">
        <v>15.46</v>
      </c>
      <c r="M853">
        <v>31.17624309392265</v>
      </c>
      <c r="N853">
        <v>123.42000000000002</v>
      </c>
      <c r="O853">
        <v>31.089890109900001</v>
      </c>
      <c r="P853">
        <v>-31</v>
      </c>
      <c r="Q853">
        <f t="shared" si="175"/>
        <v>8.9890109900000681E-2</v>
      </c>
      <c r="R853">
        <v>0</v>
      </c>
      <c r="S853">
        <f t="shared" si="176"/>
        <v>-8.9890109900000681E-2</v>
      </c>
      <c r="T853">
        <v>0.04</v>
      </c>
      <c r="U853">
        <f t="shared" si="177"/>
        <v>0</v>
      </c>
      <c r="V853">
        <f t="shared" si="178"/>
        <v>0</v>
      </c>
      <c r="W853">
        <f t="shared" si="179"/>
        <v>-8.9890109900000681E-2</v>
      </c>
      <c r="X853">
        <v>0</v>
      </c>
    </row>
    <row r="854" spans="1:24" x14ac:dyDescent="0.25">
      <c r="A854" t="s">
        <v>1928</v>
      </c>
      <c r="B854" t="s">
        <v>2007</v>
      </c>
      <c r="C854" t="s">
        <v>2015</v>
      </c>
      <c r="D854" t="s">
        <v>143</v>
      </c>
      <c r="E854" t="s">
        <v>19</v>
      </c>
      <c r="F854" t="s">
        <v>1</v>
      </c>
      <c r="G854" t="s">
        <v>646</v>
      </c>
      <c r="H854" t="s">
        <v>419</v>
      </c>
      <c r="I854" t="s">
        <v>1</v>
      </c>
      <c r="J854">
        <v>2231</v>
      </c>
      <c r="K854"/>
      <c r="L854">
        <v>1400</v>
      </c>
      <c r="M854">
        <v>2823.2044198895028</v>
      </c>
      <c r="N854">
        <v>3631</v>
      </c>
      <c r="O854">
        <v>2815.3846153845998</v>
      </c>
      <c r="P854">
        <v>0</v>
      </c>
      <c r="Q854">
        <f t="shared" si="175"/>
        <v>2815.3846153845998</v>
      </c>
      <c r="R854">
        <v>2815.3846153845998</v>
      </c>
      <c r="S854">
        <f t="shared" si="176"/>
        <v>0</v>
      </c>
      <c r="T854">
        <v>0.02</v>
      </c>
      <c r="U854">
        <f t="shared" si="177"/>
        <v>56.307692307691994</v>
      </c>
      <c r="V854">
        <f t="shared" si="178"/>
        <v>2871.6923076922917</v>
      </c>
      <c r="W854">
        <f t="shared" si="179"/>
        <v>56.307692307691923</v>
      </c>
      <c r="X854">
        <v>0</v>
      </c>
    </row>
    <row r="855" spans="1:24" x14ac:dyDescent="0.25">
      <c r="A855" t="s">
        <v>1928</v>
      </c>
      <c r="B855" t="s">
        <v>2007</v>
      </c>
      <c r="C855" t="s">
        <v>2015</v>
      </c>
      <c r="D855" t="s">
        <v>143</v>
      </c>
      <c r="E855" t="s">
        <v>74</v>
      </c>
      <c r="F855" t="s">
        <v>1</v>
      </c>
      <c r="G855" t="s">
        <v>646</v>
      </c>
      <c r="H855" t="s">
        <v>491</v>
      </c>
      <c r="I855" t="s">
        <v>1</v>
      </c>
      <c r="J855">
        <v>9349.69</v>
      </c>
      <c r="K855">
        <v>10179.8689876479</v>
      </c>
      <c r="L855">
        <v>4205.13</v>
      </c>
      <c r="M855">
        <v>8479.9582872928186</v>
      </c>
      <c r="N855">
        <v>8346.81</v>
      </c>
      <c r="O855">
        <v>8456.4702197801998</v>
      </c>
      <c r="P855">
        <v>0</v>
      </c>
      <c r="Q855">
        <f t="shared" si="175"/>
        <v>8456.4702197801998</v>
      </c>
      <c r="R855">
        <v>8456.4702197801998</v>
      </c>
      <c r="S855">
        <f t="shared" si="176"/>
        <v>0</v>
      </c>
      <c r="T855">
        <v>3.5000000000000003E-2</v>
      </c>
      <c r="U855">
        <f t="shared" si="177"/>
        <v>295.97645769230701</v>
      </c>
      <c r="V855">
        <f t="shared" si="178"/>
        <v>8752.4466774725061</v>
      </c>
      <c r="W855">
        <f t="shared" si="179"/>
        <v>295.97645769230621</v>
      </c>
      <c r="X855">
        <v>0</v>
      </c>
    </row>
    <row r="856" spans="1:24" x14ac:dyDescent="0.25">
      <c r="A856" t="s">
        <v>1928</v>
      </c>
      <c r="B856" t="s">
        <v>2007</v>
      </c>
      <c r="C856" t="s">
        <v>2015</v>
      </c>
      <c r="D856" t="s">
        <v>143</v>
      </c>
      <c r="E856" t="s">
        <v>85</v>
      </c>
      <c r="F856" t="s">
        <v>1</v>
      </c>
      <c r="G856" t="s">
        <v>646</v>
      </c>
      <c r="H856" t="s">
        <v>510</v>
      </c>
      <c r="I856" t="s">
        <v>1</v>
      </c>
      <c r="J856">
        <v>1191.6199999999999</v>
      </c>
      <c r="K856">
        <v>1167.9082361997</v>
      </c>
      <c r="L856">
        <v>624.62</v>
      </c>
      <c r="M856">
        <v>1259.592817679558</v>
      </c>
      <c r="N856">
        <v>1237.17</v>
      </c>
      <c r="O856">
        <v>1256.1039560439999</v>
      </c>
      <c r="P856">
        <v>0</v>
      </c>
      <c r="Q856">
        <f t="shared" si="175"/>
        <v>1256.1039560439999</v>
      </c>
      <c r="R856">
        <v>1256.1039560439999</v>
      </c>
      <c r="S856">
        <f t="shared" si="176"/>
        <v>0</v>
      </c>
      <c r="T856">
        <v>0.02</v>
      </c>
      <c r="U856">
        <f t="shared" si="177"/>
        <v>25.122079120879999</v>
      </c>
      <c r="V856">
        <f t="shared" si="178"/>
        <v>1281.2260351648799</v>
      </c>
      <c r="W856">
        <f t="shared" si="179"/>
        <v>25.122079120880016</v>
      </c>
      <c r="X856">
        <v>0</v>
      </c>
    </row>
    <row r="857" spans="1:24" x14ac:dyDescent="0.25">
      <c r="A857" t="s">
        <v>1928</v>
      </c>
      <c r="B857" t="s">
        <v>2007</v>
      </c>
      <c r="C857" t="s">
        <v>2015</v>
      </c>
      <c r="D857" t="s">
        <v>143</v>
      </c>
      <c r="E857" t="s">
        <v>120</v>
      </c>
      <c r="F857" t="s">
        <v>1</v>
      </c>
      <c r="G857" t="s">
        <v>646</v>
      </c>
      <c r="H857" t="s">
        <v>589</v>
      </c>
      <c r="I857" t="s">
        <v>1</v>
      </c>
      <c r="J857"/>
      <c r="K857"/>
      <c r="L857">
        <v>3600</v>
      </c>
      <c r="M857">
        <v>7259.6685082872928</v>
      </c>
      <c r="N857">
        <v>3600</v>
      </c>
      <c r="O857">
        <v>7239.5604395603996</v>
      </c>
      <c r="P857">
        <v>0</v>
      </c>
      <c r="Q857">
        <f t="shared" si="175"/>
        <v>7239.5604395603996</v>
      </c>
      <c r="R857">
        <v>7239.5604395603996</v>
      </c>
      <c r="S857">
        <f t="shared" si="176"/>
        <v>0</v>
      </c>
      <c r="T857">
        <v>3.5000000000000003E-2</v>
      </c>
      <c r="U857">
        <f t="shared" si="177"/>
        <v>253.38461538461402</v>
      </c>
      <c r="V857">
        <f t="shared" si="178"/>
        <v>7492.9450549450139</v>
      </c>
      <c r="W857">
        <f t="shared" si="179"/>
        <v>253.38461538461434</v>
      </c>
      <c r="X857">
        <v>0</v>
      </c>
    </row>
    <row r="858" spans="1:24" x14ac:dyDescent="0.25">
      <c r="A858" t="s">
        <v>1928</v>
      </c>
      <c r="B858" t="s">
        <v>2007</v>
      </c>
      <c r="C858" t="s">
        <v>2015</v>
      </c>
      <c r="D858" t="s">
        <v>143</v>
      </c>
      <c r="E858" t="s">
        <v>20</v>
      </c>
      <c r="F858" t="s">
        <v>1</v>
      </c>
      <c r="G858" t="s">
        <v>646</v>
      </c>
      <c r="H858" t="s">
        <v>420</v>
      </c>
      <c r="I858" t="s">
        <v>1</v>
      </c>
      <c r="J858">
        <v>30536.57</v>
      </c>
      <c r="K858">
        <v>31960.755878191099</v>
      </c>
      <c r="L858">
        <v>16705.61</v>
      </c>
      <c r="M858">
        <v>33688.108563535912</v>
      </c>
      <c r="N858">
        <v>30487.640000000007</v>
      </c>
      <c r="O858">
        <v>33594.798131868098</v>
      </c>
      <c r="P858">
        <v>0</v>
      </c>
      <c r="Q858">
        <f t="shared" si="175"/>
        <v>33594.798131868098</v>
      </c>
      <c r="R858">
        <v>33594.798131868098</v>
      </c>
      <c r="S858">
        <f t="shared" si="176"/>
        <v>0</v>
      </c>
      <c r="T858">
        <v>0.04</v>
      </c>
      <c r="U858">
        <f t="shared" si="177"/>
        <v>1343.791925274724</v>
      </c>
      <c r="V858">
        <f t="shared" si="178"/>
        <v>34938.590057142821</v>
      </c>
      <c r="W858">
        <f t="shared" si="179"/>
        <v>1343.7919252747233</v>
      </c>
      <c r="X858">
        <v>0</v>
      </c>
    </row>
    <row r="859" spans="1:24" x14ac:dyDescent="0.25">
      <c r="A859" t="s">
        <v>1928</v>
      </c>
      <c r="B859" t="s">
        <v>2007</v>
      </c>
      <c r="C859" t="s">
        <v>2015</v>
      </c>
      <c r="D859" t="s">
        <v>143</v>
      </c>
      <c r="E859" t="s">
        <v>21</v>
      </c>
      <c r="F859" t="s">
        <v>1</v>
      </c>
      <c r="G859" t="s">
        <v>646</v>
      </c>
      <c r="H859" t="s">
        <v>421</v>
      </c>
      <c r="I859" t="s">
        <v>1</v>
      </c>
      <c r="J859">
        <v>9907.3700000000008</v>
      </c>
      <c r="K859">
        <v>10861.690000000101</v>
      </c>
      <c r="L859">
        <v>4854.17</v>
      </c>
      <c r="M859">
        <v>9788.7958563535904</v>
      </c>
      <c r="N859">
        <v>9470.36</v>
      </c>
      <c r="O859">
        <v>9788.7958563535994</v>
      </c>
      <c r="P859">
        <v>0</v>
      </c>
      <c r="Q859">
        <f t="shared" si="175"/>
        <v>9788.7958563535994</v>
      </c>
      <c r="R859">
        <v>9788.7958563535994</v>
      </c>
      <c r="S859">
        <f t="shared" si="176"/>
        <v>0</v>
      </c>
      <c r="T859">
        <v>0.03</v>
      </c>
      <c r="U859">
        <f t="shared" si="177"/>
        <v>293.66387569060799</v>
      </c>
      <c r="V859">
        <f t="shared" si="178"/>
        <v>10082.459732044208</v>
      </c>
      <c r="W859">
        <f t="shared" si="179"/>
        <v>293.66387569060862</v>
      </c>
      <c r="X859">
        <v>0</v>
      </c>
    </row>
    <row r="860" spans="1:24" x14ac:dyDescent="0.25">
      <c r="A860" t="s">
        <v>1928</v>
      </c>
      <c r="B860" t="s">
        <v>2007</v>
      </c>
      <c r="C860" t="s">
        <v>2015</v>
      </c>
      <c r="D860" t="s">
        <v>143</v>
      </c>
      <c r="E860" t="s">
        <v>66</v>
      </c>
      <c r="F860" t="s">
        <v>1</v>
      </c>
      <c r="G860" t="s">
        <v>646</v>
      </c>
      <c r="H860" t="s">
        <v>477</v>
      </c>
      <c r="I860" t="s">
        <v>1</v>
      </c>
      <c r="J860">
        <v>553.14</v>
      </c>
      <c r="K860">
        <v>269.09999999979999</v>
      </c>
      <c r="L860">
        <v>56.25</v>
      </c>
      <c r="M860">
        <v>113.43232044198895</v>
      </c>
      <c r="N860">
        <v>478.14</v>
      </c>
      <c r="O860">
        <v>113.43232044200001</v>
      </c>
      <c r="P860">
        <v>0</v>
      </c>
      <c r="Q860">
        <f t="shared" si="175"/>
        <v>113.43232044200001</v>
      </c>
      <c r="R860">
        <v>113.43232044200001</v>
      </c>
      <c r="S860">
        <f t="shared" si="176"/>
        <v>0</v>
      </c>
      <c r="T860">
        <v>3.5000000000000003E-2</v>
      </c>
      <c r="U860">
        <f t="shared" si="177"/>
        <v>3.9701312154700004</v>
      </c>
      <c r="V860">
        <f t="shared" si="178"/>
        <v>117.40245165747001</v>
      </c>
      <c r="W860">
        <f t="shared" si="179"/>
        <v>3.9701312154700048</v>
      </c>
      <c r="X860">
        <v>0</v>
      </c>
    </row>
    <row r="861" spans="1:24" x14ac:dyDescent="0.25">
      <c r="A861" t="s">
        <v>1928</v>
      </c>
      <c r="B861" t="s">
        <v>2007</v>
      </c>
      <c r="C861" t="s">
        <v>2015</v>
      </c>
      <c r="D861" t="s">
        <v>143</v>
      </c>
      <c r="E861" t="s">
        <v>22</v>
      </c>
      <c r="F861" t="s">
        <v>1</v>
      </c>
      <c r="G861" t="s">
        <v>646</v>
      </c>
      <c r="H861" t="s">
        <v>422</v>
      </c>
      <c r="I861" t="s">
        <v>1</v>
      </c>
      <c r="J861">
        <v>10296.9</v>
      </c>
      <c r="K861">
        <v>8942.3999999996995</v>
      </c>
      <c r="L861">
        <v>1902.64</v>
      </c>
      <c r="M861">
        <v>3836.8154696132601</v>
      </c>
      <c r="N861">
        <v>7880.8300000000017</v>
      </c>
      <c r="O861">
        <v>3836.8154696133001</v>
      </c>
      <c r="P861">
        <v>600</v>
      </c>
      <c r="Q861">
        <f t="shared" si="175"/>
        <v>4436.8154696133006</v>
      </c>
      <c r="R861">
        <v>4437</v>
      </c>
      <c r="S861">
        <f t="shared" si="176"/>
        <v>0.18453038669940725</v>
      </c>
      <c r="T861">
        <v>3.5000000000000003E-2</v>
      </c>
      <c r="U861">
        <f t="shared" si="177"/>
        <v>155.29500000000002</v>
      </c>
      <c r="V861">
        <f t="shared" si="178"/>
        <v>4592.2950000000001</v>
      </c>
      <c r="W861">
        <f t="shared" si="179"/>
        <v>155.47953038669948</v>
      </c>
      <c r="X861" t="s">
        <v>1470</v>
      </c>
    </row>
    <row r="862" spans="1:24" x14ac:dyDescent="0.25">
      <c r="A862" t="s">
        <v>1928</v>
      </c>
      <c r="B862" t="s">
        <v>2007</v>
      </c>
      <c r="C862" t="s">
        <v>2015</v>
      </c>
      <c r="D862" t="s">
        <v>143</v>
      </c>
      <c r="E862" t="s">
        <v>23</v>
      </c>
      <c r="F862" t="s">
        <v>1</v>
      </c>
      <c r="G862" t="s">
        <v>646</v>
      </c>
      <c r="H862" t="s">
        <v>423</v>
      </c>
      <c r="I862" t="s">
        <v>1</v>
      </c>
      <c r="J862">
        <v>13390.77</v>
      </c>
      <c r="K862">
        <v>25140.1500000001</v>
      </c>
      <c r="L862">
        <v>7701.94</v>
      </c>
      <c r="M862">
        <v>15531.536464088398</v>
      </c>
      <c r="N862">
        <v>8949.91</v>
      </c>
      <c r="O862">
        <v>15531.5364640884</v>
      </c>
      <c r="P862">
        <v>0</v>
      </c>
      <c r="Q862">
        <f t="shared" si="175"/>
        <v>15531.5364640884</v>
      </c>
      <c r="R862">
        <v>15531.5364640884</v>
      </c>
      <c r="S862">
        <f t="shared" si="176"/>
        <v>0</v>
      </c>
      <c r="T862">
        <v>3.5000000000000003E-2</v>
      </c>
      <c r="U862">
        <f t="shared" si="177"/>
        <v>543.6037762430941</v>
      </c>
      <c r="V862">
        <f t="shared" si="178"/>
        <v>16075.140240331493</v>
      </c>
      <c r="W862">
        <f t="shared" si="179"/>
        <v>543.60377624309331</v>
      </c>
      <c r="X862">
        <v>0</v>
      </c>
    </row>
    <row r="863" spans="1:24" x14ac:dyDescent="0.25">
      <c r="A863" t="s">
        <v>1928</v>
      </c>
      <c r="B863" t="s">
        <v>2007</v>
      </c>
      <c r="C863" t="s">
        <v>2015</v>
      </c>
      <c r="D863" t="s">
        <v>143</v>
      </c>
      <c r="E863" t="s">
        <v>26</v>
      </c>
      <c r="F863" t="s">
        <v>1</v>
      </c>
      <c r="G863" t="s">
        <v>646</v>
      </c>
      <c r="H863" t="s">
        <v>426</v>
      </c>
      <c r="I863" t="s">
        <v>1</v>
      </c>
      <c r="J863">
        <v>310</v>
      </c>
      <c r="K863">
        <v>981.23836829519996</v>
      </c>
      <c r="L863">
        <v>0</v>
      </c>
      <c r="M863">
        <v>0</v>
      </c>
      <c r="N863">
        <v>0</v>
      </c>
      <c r="O863"/>
      <c r="P863">
        <v>1000</v>
      </c>
      <c r="Q863">
        <f t="shared" si="175"/>
        <v>1000</v>
      </c>
      <c r="R863">
        <v>1000</v>
      </c>
      <c r="S863">
        <f t="shared" si="176"/>
        <v>0</v>
      </c>
      <c r="T863"/>
      <c r="U863">
        <f t="shared" si="177"/>
        <v>0</v>
      </c>
      <c r="V863">
        <f t="shared" si="178"/>
        <v>1000</v>
      </c>
      <c r="W863">
        <f t="shared" si="179"/>
        <v>0</v>
      </c>
      <c r="X863" t="s">
        <v>1460</v>
      </c>
    </row>
    <row r="864" spans="1:24" x14ac:dyDescent="0.25">
      <c r="A864" t="s">
        <v>1928</v>
      </c>
      <c r="B864" t="s">
        <v>2007</v>
      </c>
      <c r="C864" t="s">
        <v>2015</v>
      </c>
      <c r="D864" t="s">
        <v>143</v>
      </c>
      <c r="E864" t="s">
        <v>28</v>
      </c>
      <c r="F864" t="s">
        <v>1</v>
      </c>
      <c r="G864" t="s">
        <v>646</v>
      </c>
      <c r="H864" t="s">
        <v>428</v>
      </c>
      <c r="I864" t="s">
        <v>1</v>
      </c>
      <c r="J864">
        <v>67926.100000000006</v>
      </c>
      <c r="K864">
        <v>72000</v>
      </c>
      <c r="L864">
        <v>25858.84</v>
      </c>
      <c r="M864">
        <v>52146.279558011047</v>
      </c>
      <c r="N864">
        <v>57979.93</v>
      </c>
      <c r="O864">
        <v>51717.68</v>
      </c>
      <c r="P864">
        <v>-19800</v>
      </c>
      <c r="Q864">
        <f t="shared" si="175"/>
        <v>31917.68</v>
      </c>
      <c r="R864">
        <v>31918</v>
      </c>
      <c r="S864">
        <f t="shared" si="176"/>
        <v>0.31999999999970896</v>
      </c>
      <c r="T864"/>
      <c r="U864">
        <f t="shared" si="177"/>
        <v>0</v>
      </c>
      <c r="V864">
        <f t="shared" si="178"/>
        <v>31918</v>
      </c>
      <c r="W864">
        <f t="shared" si="179"/>
        <v>0.31999999999970896</v>
      </c>
      <c r="X864" t="s">
        <v>1471</v>
      </c>
    </row>
    <row r="865" spans="1:24" x14ac:dyDescent="0.25">
      <c r="A865" t="s">
        <v>1928</v>
      </c>
      <c r="B865" t="s">
        <v>2007</v>
      </c>
      <c r="C865" t="s">
        <v>2015</v>
      </c>
      <c r="D865" t="s">
        <v>143</v>
      </c>
      <c r="E865" t="s">
        <v>29</v>
      </c>
      <c r="F865" t="s">
        <v>1</v>
      </c>
      <c r="G865" t="s">
        <v>646</v>
      </c>
      <c r="H865" t="s">
        <v>429</v>
      </c>
      <c r="I865" t="s">
        <v>1</v>
      </c>
      <c r="J865">
        <v>463.5</v>
      </c>
      <c r="K865">
        <v>930</v>
      </c>
      <c r="L865">
        <v>0</v>
      </c>
      <c r="M865">
        <v>0</v>
      </c>
      <c r="N865">
        <v>0</v>
      </c>
      <c r="O865"/>
      <c r="P865">
        <v>0</v>
      </c>
      <c r="Q865">
        <f t="shared" si="175"/>
        <v>0</v>
      </c>
      <c r="R865">
        <v>0</v>
      </c>
      <c r="S865">
        <f t="shared" si="176"/>
        <v>0</v>
      </c>
      <c r="T865"/>
      <c r="U865">
        <f t="shared" si="177"/>
        <v>0</v>
      </c>
      <c r="V865">
        <f t="shared" si="178"/>
        <v>0</v>
      </c>
      <c r="W865">
        <f t="shared" si="179"/>
        <v>0</v>
      </c>
      <c r="X865">
        <v>0</v>
      </c>
    </row>
    <row r="866" spans="1:24" x14ac:dyDescent="0.25">
      <c r="A866" t="s">
        <v>1928</v>
      </c>
      <c r="B866" t="s">
        <v>2007</v>
      </c>
      <c r="C866" t="s">
        <v>2015</v>
      </c>
      <c r="D866" t="s">
        <v>143</v>
      </c>
      <c r="E866" t="s">
        <v>31</v>
      </c>
      <c r="F866" t="s">
        <v>1</v>
      </c>
      <c r="G866" t="s">
        <v>646</v>
      </c>
      <c r="H866" t="s">
        <v>431</v>
      </c>
      <c r="I866" t="s">
        <v>1</v>
      </c>
      <c r="J866">
        <v>32771.08</v>
      </c>
      <c r="K866">
        <v>32319.9999999996</v>
      </c>
      <c r="L866">
        <v>0</v>
      </c>
      <c r="M866">
        <v>0</v>
      </c>
      <c r="N866">
        <v>30077.770000000004</v>
      </c>
      <c r="O866"/>
      <c r="P866">
        <v>32320</v>
      </c>
      <c r="Q866">
        <f t="shared" si="175"/>
        <v>32320</v>
      </c>
      <c r="R866">
        <v>32320</v>
      </c>
      <c r="S866">
        <f t="shared" si="176"/>
        <v>0</v>
      </c>
      <c r="T866"/>
      <c r="U866">
        <f t="shared" si="177"/>
        <v>0</v>
      </c>
      <c r="V866">
        <f t="shared" si="178"/>
        <v>32320</v>
      </c>
      <c r="W866">
        <f t="shared" si="179"/>
        <v>0</v>
      </c>
      <c r="X866" t="s">
        <v>1472</v>
      </c>
    </row>
    <row r="867" spans="1:24" x14ac:dyDescent="0.25">
      <c r="A867" t="s">
        <v>1928</v>
      </c>
      <c r="B867" t="s">
        <v>2007</v>
      </c>
      <c r="C867" t="s">
        <v>2015</v>
      </c>
      <c r="D867" t="s">
        <v>143</v>
      </c>
      <c r="E867" t="s">
        <v>33</v>
      </c>
      <c r="F867" t="s">
        <v>1</v>
      </c>
      <c r="G867" t="s">
        <v>646</v>
      </c>
      <c r="H867" t="s">
        <v>433</v>
      </c>
      <c r="I867" t="s">
        <v>1</v>
      </c>
      <c r="J867"/>
      <c r="K867">
        <v>245.30959207320001</v>
      </c>
      <c r="L867">
        <v>78.67</v>
      </c>
      <c r="M867">
        <v>158.64392265193371</v>
      </c>
      <c r="N867">
        <v>78.67</v>
      </c>
      <c r="O867">
        <v>157.34</v>
      </c>
      <c r="P867">
        <v>343</v>
      </c>
      <c r="Q867">
        <f t="shared" si="175"/>
        <v>500.34000000000003</v>
      </c>
      <c r="R867">
        <v>500</v>
      </c>
      <c r="S867">
        <f t="shared" si="176"/>
        <v>-0.34000000000003183</v>
      </c>
      <c r="T867"/>
      <c r="U867">
        <f t="shared" si="177"/>
        <v>0</v>
      </c>
      <c r="V867">
        <f t="shared" si="178"/>
        <v>500</v>
      </c>
      <c r="W867">
        <f t="shared" si="179"/>
        <v>-0.34000000000003183</v>
      </c>
      <c r="X867" t="s">
        <v>1422</v>
      </c>
    </row>
    <row r="868" spans="1:24" x14ac:dyDescent="0.25">
      <c r="A868" t="s">
        <v>1928</v>
      </c>
      <c r="B868" t="s">
        <v>2007</v>
      </c>
      <c r="C868" t="s">
        <v>2015</v>
      </c>
      <c r="D868" t="s">
        <v>143</v>
      </c>
      <c r="E868" t="s">
        <v>37</v>
      </c>
      <c r="F868" t="s">
        <v>1</v>
      </c>
      <c r="G868" t="s">
        <v>646</v>
      </c>
      <c r="H868" t="s">
        <v>437</v>
      </c>
      <c r="I868" t="s">
        <v>1</v>
      </c>
      <c r="J868">
        <v>930.27</v>
      </c>
      <c r="K868">
        <v>1471.8575524416001</v>
      </c>
      <c r="L868">
        <v>0</v>
      </c>
      <c r="M868">
        <v>0</v>
      </c>
      <c r="N868">
        <v>298.57</v>
      </c>
      <c r="O868"/>
      <c r="P868">
        <v>1500</v>
      </c>
      <c r="Q868">
        <f t="shared" si="175"/>
        <v>1500</v>
      </c>
      <c r="R868">
        <v>1500</v>
      </c>
      <c r="S868">
        <f t="shared" si="176"/>
        <v>0</v>
      </c>
      <c r="T868"/>
      <c r="U868">
        <f t="shared" si="177"/>
        <v>0</v>
      </c>
      <c r="V868">
        <f t="shared" si="178"/>
        <v>1500</v>
      </c>
      <c r="W868">
        <f t="shared" si="179"/>
        <v>0</v>
      </c>
      <c r="X868" t="s">
        <v>1423</v>
      </c>
    </row>
    <row r="869" spans="1:24" x14ac:dyDescent="0.25">
      <c r="A869" t="s">
        <v>1928</v>
      </c>
      <c r="B869" t="s">
        <v>2007</v>
      </c>
      <c r="C869" t="s">
        <v>2015</v>
      </c>
      <c r="D869" t="s">
        <v>143</v>
      </c>
      <c r="E869" t="s">
        <v>121</v>
      </c>
      <c r="F869" t="s">
        <v>1</v>
      </c>
      <c r="G869" t="s">
        <v>646</v>
      </c>
      <c r="H869" t="s">
        <v>590</v>
      </c>
      <c r="I869" t="s">
        <v>1</v>
      </c>
      <c r="J869">
        <v>1045</v>
      </c>
      <c r="K869"/>
      <c r="L869">
        <v>0</v>
      </c>
      <c r="M869">
        <v>0</v>
      </c>
      <c r="N869">
        <v>1045</v>
      </c>
      <c r="O869"/>
      <c r="P869">
        <v>0</v>
      </c>
      <c r="Q869">
        <f t="shared" si="175"/>
        <v>0</v>
      </c>
      <c r="R869">
        <v>0</v>
      </c>
      <c r="S869">
        <f t="shared" si="176"/>
        <v>0</v>
      </c>
      <c r="T869"/>
      <c r="U869">
        <f t="shared" si="177"/>
        <v>0</v>
      </c>
      <c r="V869">
        <f t="shared" si="178"/>
        <v>0</v>
      </c>
      <c r="W869">
        <f t="shared" si="179"/>
        <v>0</v>
      </c>
      <c r="X869">
        <v>0</v>
      </c>
    </row>
    <row r="870" spans="1:24" x14ac:dyDescent="0.25">
      <c r="A870" t="s">
        <v>1928</v>
      </c>
      <c r="B870" t="s">
        <v>2007</v>
      </c>
      <c r="C870" t="s">
        <v>2015</v>
      </c>
      <c r="D870" t="s">
        <v>143</v>
      </c>
      <c r="E870" t="s">
        <v>41</v>
      </c>
      <c r="F870" t="s">
        <v>1</v>
      </c>
      <c r="G870" t="s">
        <v>646</v>
      </c>
      <c r="H870" t="s">
        <v>441</v>
      </c>
      <c r="I870" t="s">
        <v>1</v>
      </c>
      <c r="J870">
        <v>4332.6400000000003</v>
      </c>
      <c r="K870">
        <v>3499.9099999992</v>
      </c>
      <c r="L870">
        <v>1890.24</v>
      </c>
      <c r="M870">
        <v>3811.8099447513814</v>
      </c>
      <c r="N870">
        <v>5421.0899999999983</v>
      </c>
      <c r="O870">
        <v>3780.48</v>
      </c>
      <c r="P870">
        <v>0</v>
      </c>
      <c r="Q870">
        <f t="shared" si="175"/>
        <v>3780.48</v>
      </c>
      <c r="R870">
        <v>3780</v>
      </c>
      <c r="S870">
        <f t="shared" si="176"/>
        <v>-0.48000000000001819</v>
      </c>
      <c r="T870">
        <v>0.03</v>
      </c>
      <c r="U870">
        <f t="shared" si="177"/>
        <v>113.39999999999999</v>
      </c>
      <c r="V870">
        <f t="shared" si="178"/>
        <v>3893.4</v>
      </c>
      <c r="W870">
        <f t="shared" si="179"/>
        <v>112.92000000000007</v>
      </c>
      <c r="X870">
        <v>0</v>
      </c>
    </row>
    <row r="871" spans="1:24" x14ac:dyDescent="0.25">
      <c r="A871" t="s">
        <v>1928</v>
      </c>
      <c r="B871" t="s">
        <v>2007</v>
      </c>
      <c r="C871" t="s">
        <v>2015</v>
      </c>
      <c r="D871" t="s">
        <v>143</v>
      </c>
      <c r="E871" t="s">
        <v>43</v>
      </c>
      <c r="F871" t="s">
        <v>1</v>
      </c>
      <c r="G871" t="s">
        <v>646</v>
      </c>
      <c r="H871" t="s">
        <v>443</v>
      </c>
      <c r="I871" t="s">
        <v>1</v>
      </c>
      <c r="J871">
        <v>2265</v>
      </c>
      <c r="K871"/>
      <c r="L871">
        <v>7744.5</v>
      </c>
      <c r="M871">
        <v>15617.361878453039</v>
      </c>
      <c r="N871">
        <v>8963.25</v>
      </c>
      <c r="O871">
        <v>15489</v>
      </c>
      <c r="P871">
        <v>0</v>
      </c>
      <c r="Q871">
        <f t="shared" si="175"/>
        <v>15489</v>
      </c>
      <c r="R871">
        <v>8963</v>
      </c>
      <c r="S871">
        <f t="shared" si="176"/>
        <v>-6526</v>
      </c>
      <c r="T871">
        <v>0.03</v>
      </c>
      <c r="U871">
        <f t="shared" si="177"/>
        <v>268.89</v>
      </c>
      <c r="V871">
        <f t="shared" si="178"/>
        <v>9231.89</v>
      </c>
      <c r="W871">
        <f t="shared" si="179"/>
        <v>-6257.1100000000006</v>
      </c>
      <c r="X871" t="s">
        <v>1473</v>
      </c>
    </row>
    <row r="872" spans="1:24" x14ac:dyDescent="0.25">
      <c r="A872" t="s">
        <v>1928</v>
      </c>
      <c r="B872" t="s">
        <v>2007</v>
      </c>
      <c r="C872" t="s">
        <v>2015</v>
      </c>
      <c r="D872" t="s">
        <v>143</v>
      </c>
      <c r="E872" t="s">
        <v>47</v>
      </c>
      <c r="F872" t="s">
        <v>1</v>
      </c>
      <c r="G872" t="s">
        <v>646</v>
      </c>
      <c r="H872" t="s">
        <v>447</v>
      </c>
      <c r="I872" t="s">
        <v>1</v>
      </c>
      <c r="J872">
        <v>300</v>
      </c>
      <c r="K872"/>
      <c r="L872">
        <v>0</v>
      </c>
      <c r="M872">
        <v>0</v>
      </c>
      <c r="N872">
        <v>0</v>
      </c>
      <c r="O872"/>
      <c r="P872">
        <v>0</v>
      </c>
      <c r="Q872">
        <f t="shared" si="175"/>
        <v>0</v>
      </c>
      <c r="R872">
        <v>0</v>
      </c>
      <c r="S872">
        <f t="shared" si="176"/>
        <v>0</v>
      </c>
      <c r="T872">
        <v>0.03</v>
      </c>
      <c r="U872">
        <f t="shared" si="177"/>
        <v>0</v>
      </c>
      <c r="V872">
        <f t="shared" si="178"/>
        <v>0</v>
      </c>
      <c r="W872">
        <f t="shared" si="179"/>
        <v>0</v>
      </c>
      <c r="X872">
        <v>0</v>
      </c>
    </row>
    <row r="873" spans="1:24" x14ac:dyDescent="0.25">
      <c r="A873" t="s">
        <v>1928</v>
      </c>
      <c r="B873" t="s">
        <v>2007</v>
      </c>
      <c r="C873" t="s">
        <v>2015</v>
      </c>
      <c r="D873" t="s">
        <v>143</v>
      </c>
      <c r="E873" t="s">
        <v>50</v>
      </c>
      <c r="F873" t="s">
        <v>1</v>
      </c>
      <c r="G873" t="s">
        <v>646</v>
      </c>
      <c r="H873" t="s">
        <v>450</v>
      </c>
      <c r="I873" t="s">
        <v>1</v>
      </c>
      <c r="J873">
        <v>1099.9000000000001</v>
      </c>
      <c r="K873">
        <v>910.00000000060004</v>
      </c>
      <c r="L873">
        <v>786.36</v>
      </c>
      <c r="M873">
        <v>1585.7535911602213</v>
      </c>
      <c r="N873">
        <v>1500.88</v>
      </c>
      <c r="O873">
        <v>1585.7535911601999</v>
      </c>
      <c r="P873">
        <v>0</v>
      </c>
      <c r="Q873">
        <f t="shared" si="175"/>
        <v>1585.7535911601999</v>
      </c>
      <c r="R873">
        <v>1586</v>
      </c>
      <c r="S873">
        <f t="shared" si="176"/>
        <v>0.24640883980009676</v>
      </c>
      <c r="T873"/>
      <c r="U873">
        <f t="shared" si="177"/>
        <v>0</v>
      </c>
      <c r="V873">
        <f t="shared" si="178"/>
        <v>1586</v>
      </c>
      <c r="W873">
        <f t="shared" si="179"/>
        <v>0.24640883980009676</v>
      </c>
      <c r="X873">
        <v>0</v>
      </c>
    </row>
    <row r="874" spans="1:24" x14ac:dyDescent="0.25">
      <c r="A874" t="s">
        <v>1928</v>
      </c>
      <c r="B874" t="s">
        <v>2007</v>
      </c>
      <c r="C874" t="s">
        <v>2015</v>
      </c>
      <c r="D874" t="s">
        <v>143</v>
      </c>
      <c r="E874" t="s">
        <v>51</v>
      </c>
      <c r="F874" t="s">
        <v>51</v>
      </c>
      <c r="G874" t="s">
        <v>647</v>
      </c>
      <c r="H874"/>
      <c r="I874"/>
      <c r="J874">
        <v>511294.31000000011</v>
      </c>
      <c r="K874">
        <v>540739.28283909685</v>
      </c>
      <c r="L874">
        <v>222283.78</v>
      </c>
      <c r="M874">
        <v>448251.82154696132</v>
      </c>
      <c r="N874">
        <v>472836.46</v>
      </c>
      <c r="O874">
        <v>446707.44344666402</v>
      </c>
      <c r="P874">
        <f>SUMIF($F$843:$F$873,"&lt;&gt;EV_*",$P$843:$P$873)</f>
        <v>15932</v>
      </c>
      <c r="Q874">
        <f>SUMIF($F$843:$F$873,"&lt;&gt;EV_*",$Q$843:$Q$873)</f>
        <v>462639.44344666402</v>
      </c>
      <c r="R874">
        <f>SUMIF($F$843:$F$873,"&lt;&gt;EV_*",$R$843:$R$873)</f>
        <v>456758.71695039782</v>
      </c>
      <c r="S874">
        <f>SUMIF($F$843:$F$873,"&lt;&gt;EV_*",$S$843:$S$873)</f>
        <v>-5880.7264962662011</v>
      </c>
      <c r="T874">
        <v>0</v>
      </c>
      <c r="U874">
        <f>SUMIF($F$843:$F$873,"&lt;&gt;EV_*",$U$843:$U$873)</f>
        <v>8262.9559974348867</v>
      </c>
      <c r="V874">
        <f>SUMIF($F$843:$F$873,"&lt;&gt;EV_*",$V$843:$V$873)</f>
        <v>465021.67294783267</v>
      </c>
      <c r="W874">
        <f>SUMIF($F$843:$F$873,"&lt;&gt;EV_*",$W$843:$W$873)</f>
        <v>2382.2295011686847</v>
      </c>
      <c r="X874">
        <f>SUMIF($F$843:$F$873,"&lt;&gt;EV_*",$X$843:$X$873)</f>
        <v>0</v>
      </c>
    </row>
    <row r="875" spans="1:24" x14ac:dyDescent="0.25">
      <c r="A875" t="s">
        <v>1928</v>
      </c>
      <c r="B875" t="s">
        <v>1934</v>
      </c>
      <c r="C875" t="s">
        <v>2016</v>
      </c>
      <c r="D875" t="s">
        <v>144</v>
      </c>
      <c r="E875" t="s">
        <v>5</v>
      </c>
      <c r="F875" t="s">
        <v>5</v>
      </c>
      <c r="G875" t="s">
        <v>648</v>
      </c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</row>
    <row r="876" spans="1:24" x14ac:dyDescent="0.25">
      <c r="A876" t="s">
        <v>1928</v>
      </c>
      <c r="B876" t="s">
        <v>1934</v>
      </c>
      <c r="C876" t="s">
        <v>2016</v>
      </c>
      <c r="D876" t="s">
        <v>144</v>
      </c>
      <c r="E876" t="s">
        <v>26</v>
      </c>
      <c r="F876" t="s">
        <v>1</v>
      </c>
      <c r="G876" t="s">
        <v>649</v>
      </c>
      <c r="H876" t="s">
        <v>426</v>
      </c>
      <c r="I876" t="s">
        <v>1</v>
      </c>
      <c r="J876">
        <v>240</v>
      </c>
      <c r="K876">
        <v>470.99441678160002</v>
      </c>
      <c r="L876">
        <v>150</v>
      </c>
      <c r="M876">
        <v>302.48618784530385</v>
      </c>
      <c r="N876">
        <v>150</v>
      </c>
      <c r="O876">
        <v>300</v>
      </c>
      <c r="P876">
        <v>-300</v>
      </c>
      <c r="Q876">
        <f>O876+P876</f>
        <v>0</v>
      </c>
      <c r="R876">
        <v>0</v>
      </c>
      <c r="S876">
        <f>IF(OR(LEFT(E876,2)="A_",LEFT(D876,5)="Total"),R876-Q876,"")</f>
        <v>0</v>
      </c>
      <c r="T876"/>
      <c r="U876">
        <f>IFERROR(R876*T876,R876*0)</f>
        <v>0</v>
      </c>
      <c r="V876">
        <f>IF(OR(LEFT(E876,2)="A_",LEFT(D876,5)="Total"),R876+U876,"")</f>
        <v>0</v>
      </c>
      <c r="W876">
        <f>IF(OR(LEFT(E876,2)="A_",LEFT(D876,5)="Total"),V876-Q876,"")</f>
        <v>0</v>
      </c>
      <c r="X876" t="s">
        <v>1474</v>
      </c>
    </row>
    <row r="877" spans="1:24" x14ac:dyDescent="0.25">
      <c r="A877" t="s">
        <v>1928</v>
      </c>
      <c r="B877" t="s">
        <v>1934</v>
      </c>
      <c r="C877" t="s">
        <v>2016</v>
      </c>
      <c r="D877" t="s">
        <v>144</v>
      </c>
      <c r="E877" t="s">
        <v>35</v>
      </c>
      <c r="F877" t="s">
        <v>1</v>
      </c>
      <c r="G877" t="s">
        <v>649</v>
      </c>
      <c r="H877" t="s">
        <v>435</v>
      </c>
      <c r="I877" t="s">
        <v>1</v>
      </c>
      <c r="J877"/>
      <c r="K877"/>
      <c r="L877">
        <v>457.42</v>
      </c>
      <c r="M877">
        <v>922.42154696132604</v>
      </c>
      <c r="N877">
        <v>457.41999999999996</v>
      </c>
      <c r="O877">
        <v>914.84</v>
      </c>
      <c r="P877">
        <v>-915</v>
      </c>
      <c r="Q877">
        <f>O877+P877</f>
        <v>-0.15999999999996817</v>
      </c>
      <c r="R877">
        <v>0</v>
      </c>
      <c r="S877">
        <f>IF(OR(LEFT(E877,2)="A_",LEFT(D877,5)="Total"),R877-Q877,"")</f>
        <v>0.15999999999996817</v>
      </c>
      <c r="T877"/>
      <c r="U877">
        <f>IFERROR(R877*T877,R877*0)</f>
        <v>0</v>
      </c>
      <c r="V877">
        <f>IF(OR(LEFT(E877,2)="A_",LEFT(D877,5)="Total"),R877+U877,"")</f>
        <v>0</v>
      </c>
      <c r="W877">
        <f>IF(OR(LEFT(E877,2)="A_",LEFT(D877,5)="Total"),V877-Q877,"")</f>
        <v>0.15999999999996817</v>
      </c>
      <c r="X877" t="s">
        <v>1475</v>
      </c>
    </row>
    <row r="878" spans="1:24" x14ac:dyDescent="0.25">
      <c r="A878" t="s">
        <v>1928</v>
      </c>
      <c r="B878" t="s">
        <v>1934</v>
      </c>
      <c r="C878" t="s">
        <v>2016</v>
      </c>
      <c r="D878" t="s">
        <v>144</v>
      </c>
      <c r="E878" t="s">
        <v>37</v>
      </c>
      <c r="F878" t="s">
        <v>1</v>
      </c>
      <c r="G878" t="s">
        <v>649</v>
      </c>
      <c r="H878" t="s">
        <v>437</v>
      </c>
      <c r="I878" t="s">
        <v>1</v>
      </c>
      <c r="J878">
        <v>230.13</v>
      </c>
      <c r="K878"/>
      <c r="L878">
        <v>274.81</v>
      </c>
      <c r="M878">
        <v>554.17486187845304</v>
      </c>
      <c r="N878">
        <v>274.81</v>
      </c>
      <c r="O878">
        <v>549.62</v>
      </c>
      <c r="P878">
        <v>-550</v>
      </c>
      <c r="Q878">
        <f>O878+P878</f>
        <v>-0.37999999999999545</v>
      </c>
      <c r="R878">
        <v>0</v>
      </c>
      <c r="S878">
        <f>IF(OR(LEFT(E878,2)="A_",LEFT(D878,5)="Total"),R878-Q878,"")</f>
        <v>0.37999999999999545</v>
      </c>
      <c r="T878"/>
      <c r="U878">
        <f>IFERROR(R878*T878,R878*0)</f>
        <v>0</v>
      </c>
      <c r="V878">
        <f>IF(OR(LEFT(E878,2)="A_",LEFT(D878,5)="Total"),R878+U878,"")</f>
        <v>0</v>
      </c>
      <c r="W878">
        <f>IF(OR(LEFT(E878,2)="A_",LEFT(D878,5)="Total"),V878-Q878,"")</f>
        <v>0.37999999999999545</v>
      </c>
      <c r="X878" t="s">
        <v>1475</v>
      </c>
    </row>
    <row r="879" spans="1:24" x14ac:dyDescent="0.25">
      <c r="A879" t="s">
        <v>1928</v>
      </c>
      <c r="B879" t="s">
        <v>1934</v>
      </c>
      <c r="C879" t="s">
        <v>2016</v>
      </c>
      <c r="D879" t="s">
        <v>144</v>
      </c>
      <c r="E879" t="s">
        <v>46</v>
      </c>
      <c r="F879" t="s">
        <v>1</v>
      </c>
      <c r="G879" t="s">
        <v>649</v>
      </c>
      <c r="H879" t="s">
        <v>446</v>
      </c>
      <c r="I879" t="s">
        <v>1</v>
      </c>
      <c r="J879">
        <v>210</v>
      </c>
      <c r="K879"/>
      <c r="L879">
        <v>0</v>
      </c>
      <c r="M879">
        <v>0</v>
      </c>
      <c r="N879">
        <v>0</v>
      </c>
      <c r="O879"/>
      <c r="P879">
        <v>0</v>
      </c>
      <c r="Q879">
        <f>O879+P879</f>
        <v>0</v>
      </c>
      <c r="R879">
        <v>0</v>
      </c>
      <c r="S879">
        <f>IF(OR(LEFT(E879,2)="A_",LEFT(D879,5)="Total"),R879-Q879,"")</f>
        <v>0</v>
      </c>
      <c r="T879">
        <v>0.03</v>
      </c>
      <c r="U879">
        <f>IFERROR(R879*T879,R879*0)</f>
        <v>0</v>
      </c>
      <c r="V879">
        <f>IF(OR(LEFT(E879,2)="A_",LEFT(D879,5)="Total"),R879+U879,"")</f>
        <v>0</v>
      </c>
      <c r="W879">
        <f>IF(OR(LEFT(E879,2)="A_",LEFT(D879,5)="Total"),V879-Q879,"")</f>
        <v>0</v>
      </c>
      <c r="X879">
        <v>0</v>
      </c>
    </row>
    <row r="880" spans="1:24" x14ac:dyDescent="0.25">
      <c r="A880" t="s">
        <v>1928</v>
      </c>
      <c r="B880" t="s">
        <v>1934</v>
      </c>
      <c r="C880" t="s">
        <v>2016</v>
      </c>
      <c r="D880" t="s">
        <v>144</v>
      </c>
      <c r="E880" t="s">
        <v>47</v>
      </c>
      <c r="F880" t="s">
        <v>1</v>
      </c>
      <c r="G880" t="s">
        <v>649</v>
      </c>
      <c r="H880" t="s">
        <v>447</v>
      </c>
      <c r="I880" t="s">
        <v>1</v>
      </c>
      <c r="J880"/>
      <c r="K880">
        <v>260.00000000040001</v>
      </c>
      <c r="L880">
        <v>37</v>
      </c>
      <c r="M880">
        <v>74.613259668508292</v>
      </c>
      <c r="N880">
        <v>37</v>
      </c>
      <c r="O880">
        <v>74</v>
      </c>
      <c r="P880">
        <v>-74</v>
      </c>
      <c r="Q880">
        <f>O880+P880</f>
        <v>0</v>
      </c>
      <c r="R880">
        <v>0</v>
      </c>
      <c r="S880">
        <f>IF(OR(LEFT(E880,2)="A_",LEFT(D880,5)="Total"),R880-Q880,"")</f>
        <v>0</v>
      </c>
      <c r="T880">
        <v>0.03</v>
      </c>
      <c r="U880">
        <f>IFERROR(R880*T880,R880*0)</f>
        <v>0</v>
      </c>
      <c r="V880">
        <f>IF(OR(LEFT(E880,2)="A_",LEFT(D880,5)="Total"),R880+U880,"")</f>
        <v>0</v>
      </c>
      <c r="W880">
        <f>IF(OR(LEFT(E880,2)="A_",LEFT(D880,5)="Total"),V880-Q880,"")</f>
        <v>0</v>
      </c>
      <c r="X880">
        <v>0</v>
      </c>
    </row>
    <row r="881" spans="1:24" x14ac:dyDescent="0.25">
      <c r="A881" t="s">
        <v>1928</v>
      </c>
      <c r="B881" t="s">
        <v>1934</v>
      </c>
      <c r="C881" t="s">
        <v>2016</v>
      </c>
      <c r="D881" t="s">
        <v>144</v>
      </c>
      <c r="E881" t="s">
        <v>51</v>
      </c>
      <c r="F881" t="s">
        <v>51</v>
      </c>
      <c r="G881" t="s">
        <v>650</v>
      </c>
      <c r="H881"/>
      <c r="I881"/>
      <c r="J881">
        <v>680.13</v>
      </c>
      <c r="K881">
        <v>730.99441678200003</v>
      </c>
      <c r="L881">
        <v>919.23</v>
      </c>
      <c r="M881">
        <v>1853.6958563535914</v>
      </c>
      <c r="N881">
        <v>919.23</v>
      </c>
      <c r="O881">
        <v>1838.46</v>
      </c>
      <c r="P881">
        <f>SUMIF($F$875:$F$880,"&lt;&gt;EV_*",$P$875:$P$880)</f>
        <v>-1839</v>
      </c>
      <c r="Q881">
        <f>SUMIF($F$875:$F$880,"&lt;&gt;EV_*",$Q$875:$Q$880)</f>
        <v>-0.53999999999996362</v>
      </c>
      <c r="R881">
        <f>SUMIF($F$875:$F$880,"&lt;&gt;EV_*",$R$875:$R$880)</f>
        <v>0</v>
      </c>
      <c r="S881">
        <f>SUMIF($F$875:$F$880,"&lt;&gt;EV_*",$S$875:$S$880)</f>
        <v>0.53999999999996362</v>
      </c>
      <c r="T881">
        <v>0</v>
      </c>
      <c r="U881">
        <f>SUMIF($F$875:$F$880,"&lt;&gt;EV_*",$U$875:$U$880)</f>
        <v>0</v>
      </c>
      <c r="V881">
        <f>SUMIF($F$875:$F$880,"&lt;&gt;EV_*",$V$875:$V$880)</f>
        <v>0</v>
      </c>
      <c r="W881">
        <f>SUMIF($F$875:$F$880,"&lt;&gt;EV_*",$W$875:$W$880)</f>
        <v>0.53999999999996362</v>
      </c>
      <c r="X881">
        <f>SUMIF($F$875:$F$880,"&lt;&gt;EV_*",$X$875:$X$880)</f>
        <v>0</v>
      </c>
    </row>
    <row r="882" spans="1:24" x14ac:dyDescent="0.25">
      <c r="A882" t="s">
        <v>1965</v>
      </c>
      <c r="B882" t="s">
        <v>2017</v>
      </c>
      <c r="C882" t="s">
        <v>2018</v>
      </c>
      <c r="D882" t="s">
        <v>145</v>
      </c>
      <c r="E882" t="s">
        <v>5</v>
      </c>
      <c r="F882" t="s">
        <v>5</v>
      </c>
      <c r="G882" t="s">
        <v>651</v>
      </c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</row>
    <row r="883" spans="1:24" x14ac:dyDescent="0.25">
      <c r="A883" t="s">
        <v>1965</v>
      </c>
      <c r="B883" t="s">
        <v>2017</v>
      </c>
      <c r="C883" t="s">
        <v>2018</v>
      </c>
      <c r="D883" t="s">
        <v>145</v>
      </c>
      <c r="E883" t="s">
        <v>13</v>
      </c>
      <c r="F883" t="s">
        <v>1</v>
      </c>
      <c r="G883" t="s">
        <v>652</v>
      </c>
      <c r="H883" t="s">
        <v>413</v>
      </c>
      <c r="I883" t="s">
        <v>1</v>
      </c>
      <c r="J883"/>
      <c r="K883"/>
      <c r="L883">
        <v>566.15</v>
      </c>
      <c r="M883">
        <v>1141.6837016574586</v>
      </c>
      <c r="N883">
        <v>566.15</v>
      </c>
      <c r="O883">
        <v>1132.3</v>
      </c>
      <c r="P883">
        <v>0</v>
      </c>
      <c r="Q883">
        <f t="shared" ref="Q883:Q890" si="180">O883+P883</f>
        <v>1132.3</v>
      </c>
      <c r="R883">
        <v>2264</v>
      </c>
      <c r="S883">
        <f t="shared" ref="S883:S890" si="181">IF(OR(LEFT(E883,2)="A_",LEFT(D883,5)="Total"),R883-Q883,"")</f>
        <v>1131.7</v>
      </c>
      <c r="T883"/>
      <c r="U883">
        <f t="shared" ref="U883:U890" si="182">IFERROR(R883*T883,R883*0)</f>
        <v>0</v>
      </c>
      <c r="V883">
        <f t="shared" ref="V883:V890" si="183">IF(OR(LEFT(E883,2)="A_",LEFT(D883,5)="Total"),R883+U883,"")</f>
        <v>2264</v>
      </c>
      <c r="W883">
        <f t="shared" ref="W883:W890" si="184">IF(OR(LEFT(E883,2)="A_",LEFT(D883,5)="Total"),V883-Q883,"")</f>
        <v>1131.7</v>
      </c>
      <c r="X883" t="s">
        <v>1476</v>
      </c>
    </row>
    <row r="884" spans="1:24" x14ac:dyDescent="0.25">
      <c r="A884" t="s">
        <v>1965</v>
      </c>
      <c r="B884" t="s">
        <v>2017</v>
      </c>
      <c r="C884" t="s">
        <v>2018</v>
      </c>
      <c r="D884" t="s">
        <v>145</v>
      </c>
      <c r="E884" t="s">
        <v>22</v>
      </c>
      <c r="F884" t="s">
        <v>1</v>
      </c>
      <c r="G884" t="s">
        <v>652</v>
      </c>
      <c r="H884" t="s">
        <v>422</v>
      </c>
      <c r="I884" t="s">
        <v>1</v>
      </c>
      <c r="J884">
        <v>1697.01</v>
      </c>
      <c r="K884">
        <v>2152.8000000001002</v>
      </c>
      <c r="L884">
        <v>1409.46</v>
      </c>
      <c r="M884">
        <v>2842.2812154696135</v>
      </c>
      <c r="N884">
        <v>2066.64</v>
      </c>
      <c r="O884">
        <v>2842.2812154695998</v>
      </c>
      <c r="P884">
        <v>0</v>
      </c>
      <c r="Q884">
        <f t="shared" si="180"/>
        <v>2842.2812154695998</v>
      </c>
      <c r="R884">
        <v>2000</v>
      </c>
      <c r="S884">
        <f t="shared" si="181"/>
        <v>-842.28121546959983</v>
      </c>
      <c r="T884">
        <v>3.5000000000000003E-2</v>
      </c>
      <c r="U884">
        <f t="shared" si="182"/>
        <v>70</v>
      </c>
      <c r="V884">
        <f t="shared" si="183"/>
        <v>2070</v>
      </c>
      <c r="W884">
        <f t="shared" si="184"/>
        <v>-772.28121546959983</v>
      </c>
      <c r="X884" t="s">
        <v>1477</v>
      </c>
    </row>
    <row r="885" spans="1:24" x14ac:dyDescent="0.25">
      <c r="A885" t="s">
        <v>1965</v>
      </c>
      <c r="B885" t="s">
        <v>2017</v>
      </c>
      <c r="C885" t="s">
        <v>2018</v>
      </c>
      <c r="D885" t="s">
        <v>145</v>
      </c>
      <c r="E885" t="s">
        <v>24</v>
      </c>
      <c r="F885" t="s">
        <v>1</v>
      </c>
      <c r="G885" t="s">
        <v>652</v>
      </c>
      <c r="H885" t="s">
        <v>424</v>
      </c>
      <c r="I885" t="s">
        <v>1</v>
      </c>
      <c r="J885">
        <v>716.5</v>
      </c>
      <c r="K885"/>
      <c r="L885">
        <v>633</v>
      </c>
      <c r="M885">
        <v>1276.4917127071822</v>
      </c>
      <c r="N885">
        <v>901.5</v>
      </c>
      <c r="O885">
        <v>1266</v>
      </c>
      <c r="P885">
        <v>0</v>
      </c>
      <c r="Q885">
        <f t="shared" si="180"/>
        <v>1266</v>
      </c>
      <c r="R885">
        <v>0</v>
      </c>
      <c r="S885">
        <f t="shared" si="181"/>
        <v>-1266</v>
      </c>
      <c r="T885"/>
      <c r="U885">
        <f t="shared" si="182"/>
        <v>0</v>
      </c>
      <c r="V885">
        <f t="shared" si="183"/>
        <v>0</v>
      </c>
      <c r="W885">
        <f t="shared" si="184"/>
        <v>-1266</v>
      </c>
      <c r="X885">
        <v>0</v>
      </c>
    </row>
    <row r="886" spans="1:24" x14ac:dyDescent="0.25">
      <c r="A886" t="s">
        <v>1965</v>
      </c>
      <c r="B886" t="s">
        <v>2017</v>
      </c>
      <c r="C886" t="s">
        <v>2018</v>
      </c>
      <c r="D886" t="s">
        <v>145</v>
      </c>
      <c r="E886" t="s">
        <v>26</v>
      </c>
      <c r="F886" t="s">
        <v>1</v>
      </c>
      <c r="G886" t="s">
        <v>652</v>
      </c>
      <c r="H886" t="s">
        <v>426</v>
      </c>
      <c r="I886" t="s">
        <v>1</v>
      </c>
      <c r="J886">
        <v>460.45</v>
      </c>
      <c r="K886">
        <v>991.05075197760004</v>
      </c>
      <c r="L886">
        <v>463.2</v>
      </c>
      <c r="M886">
        <v>934.07734806629833</v>
      </c>
      <c r="N886">
        <v>868.65</v>
      </c>
      <c r="O886">
        <v>926.4</v>
      </c>
      <c r="P886">
        <v>0</v>
      </c>
      <c r="Q886">
        <f t="shared" si="180"/>
        <v>926.4</v>
      </c>
      <c r="R886">
        <v>0</v>
      </c>
      <c r="S886">
        <f t="shared" si="181"/>
        <v>-926.4</v>
      </c>
      <c r="T886"/>
      <c r="U886">
        <f t="shared" si="182"/>
        <v>0</v>
      </c>
      <c r="V886">
        <f t="shared" si="183"/>
        <v>0</v>
      </c>
      <c r="W886">
        <f t="shared" si="184"/>
        <v>-926.4</v>
      </c>
      <c r="X886">
        <v>0</v>
      </c>
    </row>
    <row r="887" spans="1:24" x14ac:dyDescent="0.25">
      <c r="A887" t="s">
        <v>1965</v>
      </c>
      <c r="B887" t="s">
        <v>2017</v>
      </c>
      <c r="C887" t="s">
        <v>2018</v>
      </c>
      <c r="D887" t="s">
        <v>145</v>
      </c>
      <c r="E887" t="s">
        <v>34</v>
      </c>
      <c r="F887" t="s">
        <v>1</v>
      </c>
      <c r="G887" t="s">
        <v>652</v>
      </c>
      <c r="H887" t="s">
        <v>434</v>
      </c>
      <c r="I887" t="s">
        <v>1</v>
      </c>
      <c r="J887">
        <v>276.27</v>
      </c>
      <c r="K887"/>
      <c r="L887">
        <v>0</v>
      </c>
      <c r="M887">
        <v>0</v>
      </c>
      <c r="N887">
        <v>0</v>
      </c>
      <c r="O887"/>
      <c r="P887">
        <v>0</v>
      </c>
      <c r="Q887">
        <f t="shared" si="180"/>
        <v>0</v>
      </c>
      <c r="R887">
        <v>0</v>
      </c>
      <c r="S887">
        <f t="shared" si="181"/>
        <v>0</v>
      </c>
      <c r="T887"/>
      <c r="U887">
        <f t="shared" si="182"/>
        <v>0</v>
      </c>
      <c r="V887">
        <f t="shared" si="183"/>
        <v>0</v>
      </c>
      <c r="W887">
        <f t="shared" si="184"/>
        <v>0</v>
      </c>
      <c r="X887">
        <v>0</v>
      </c>
    </row>
    <row r="888" spans="1:24" x14ac:dyDescent="0.25">
      <c r="A888" t="s">
        <v>1965</v>
      </c>
      <c r="B888" t="s">
        <v>2017</v>
      </c>
      <c r="C888" t="s">
        <v>2018</v>
      </c>
      <c r="D888" t="s">
        <v>145</v>
      </c>
      <c r="E888" t="s">
        <v>42</v>
      </c>
      <c r="F888" t="s">
        <v>1</v>
      </c>
      <c r="G888" t="s">
        <v>652</v>
      </c>
      <c r="H888" t="s">
        <v>442</v>
      </c>
      <c r="I888" t="s">
        <v>1</v>
      </c>
      <c r="J888"/>
      <c r="K888"/>
      <c r="L888">
        <v>46.6</v>
      </c>
      <c r="M888">
        <v>93.972375690607748</v>
      </c>
      <c r="N888">
        <v>46.6</v>
      </c>
      <c r="O888">
        <v>93.2</v>
      </c>
      <c r="P888">
        <v>0</v>
      </c>
      <c r="Q888">
        <f t="shared" si="180"/>
        <v>93.2</v>
      </c>
      <c r="R888">
        <v>186</v>
      </c>
      <c r="S888">
        <f t="shared" si="181"/>
        <v>92.8</v>
      </c>
      <c r="T888">
        <v>0.03</v>
      </c>
      <c r="U888">
        <f t="shared" si="182"/>
        <v>5.58</v>
      </c>
      <c r="V888">
        <f t="shared" si="183"/>
        <v>191.58</v>
      </c>
      <c r="W888">
        <f t="shared" si="184"/>
        <v>98.38000000000001</v>
      </c>
      <c r="X888" t="s">
        <v>1478</v>
      </c>
    </row>
    <row r="889" spans="1:24" x14ac:dyDescent="0.25">
      <c r="A889" t="s">
        <v>1965</v>
      </c>
      <c r="B889" t="s">
        <v>2017</v>
      </c>
      <c r="C889" t="s">
        <v>2018</v>
      </c>
      <c r="D889" t="s">
        <v>145</v>
      </c>
      <c r="E889" t="s">
        <v>46</v>
      </c>
      <c r="F889" t="s">
        <v>1</v>
      </c>
      <c r="G889" t="s">
        <v>652</v>
      </c>
      <c r="H889" t="s">
        <v>446</v>
      </c>
      <c r="I889" t="s">
        <v>1</v>
      </c>
      <c r="J889"/>
      <c r="K889"/>
      <c r="L889">
        <v>281.25</v>
      </c>
      <c r="M889">
        <v>567.1616022099447</v>
      </c>
      <c r="N889">
        <v>281.25</v>
      </c>
      <c r="O889">
        <v>562.5</v>
      </c>
      <c r="P889">
        <v>0</v>
      </c>
      <c r="Q889">
        <f t="shared" si="180"/>
        <v>562.5</v>
      </c>
      <c r="R889">
        <v>0</v>
      </c>
      <c r="S889">
        <f t="shared" si="181"/>
        <v>-562.5</v>
      </c>
      <c r="T889">
        <v>0.03</v>
      </c>
      <c r="U889">
        <f t="shared" si="182"/>
        <v>0</v>
      </c>
      <c r="V889">
        <f t="shared" si="183"/>
        <v>0</v>
      </c>
      <c r="W889">
        <f t="shared" si="184"/>
        <v>-562.5</v>
      </c>
      <c r="X889">
        <v>0</v>
      </c>
    </row>
    <row r="890" spans="1:24" x14ac:dyDescent="0.25">
      <c r="A890" t="s">
        <v>1965</v>
      </c>
      <c r="B890" t="s">
        <v>2017</v>
      </c>
      <c r="C890" t="s">
        <v>2018</v>
      </c>
      <c r="D890" t="s">
        <v>145</v>
      </c>
      <c r="E890" t="s">
        <v>47</v>
      </c>
      <c r="F890" t="s">
        <v>1</v>
      </c>
      <c r="G890" t="s">
        <v>652</v>
      </c>
      <c r="H890" t="s">
        <v>447</v>
      </c>
      <c r="I890" t="s">
        <v>1</v>
      </c>
      <c r="J890">
        <v>2844</v>
      </c>
      <c r="K890">
        <v>2739</v>
      </c>
      <c r="L890">
        <v>2034</v>
      </c>
      <c r="M890">
        <v>4101.7127071823206</v>
      </c>
      <c r="N890">
        <v>3990</v>
      </c>
      <c r="O890">
        <v>4068</v>
      </c>
      <c r="P890">
        <v>0</v>
      </c>
      <c r="Q890">
        <f t="shared" si="180"/>
        <v>4068</v>
      </c>
      <c r="R890">
        <v>1500</v>
      </c>
      <c r="S890">
        <f t="shared" si="181"/>
        <v>-2568</v>
      </c>
      <c r="T890">
        <v>0.03</v>
      </c>
      <c r="U890">
        <f t="shared" si="182"/>
        <v>45</v>
      </c>
      <c r="V890">
        <f t="shared" si="183"/>
        <v>1545</v>
      </c>
      <c r="W890">
        <f t="shared" si="184"/>
        <v>-2523</v>
      </c>
      <c r="X890" t="s">
        <v>1479</v>
      </c>
    </row>
    <row r="891" spans="1:24" x14ac:dyDescent="0.25">
      <c r="A891" t="s">
        <v>1965</v>
      </c>
      <c r="B891" t="s">
        <v>2017</v>
      </c>
      <c r="C891" t="s">
        <v>2018</v>
      </c>
      <c r="D891" t="s">
        <v>145</v>
      </c>
      <c r="E891" t="s">
        <v>51</v>
      </c>
      <c r="F891" t="s">
        <v>51</v>
      </c>
      <c r="G891" t="s">
        <v>653</v>
      </c>
      <c r="H891"/>
      <c r="I891"/>
      <c r="J891">
        <v>5994.23</v>
      </c>
      <c r="K891">
        <v>5882.8507519777004</v>
      </c>
      <c r="L891">
        <v>5433.66</v>
      </c>
      <c r="M891">
        <v>10957.380662983425</v>
      </c>
      <c r="N891">
        <v>8720.7900000000009</v>
      </c>
      <c r="O891">
        <v>10890.681215469598</v>
      </c>
      <c r="P891">
        <f>SUMIF($F$882:$F$890,"&lt;&gt;EV_*",$P$882:$P$890)</f>
        <v>0</v>
      </c>
      <c r="Q891">
        <f>SUMIF($F$882:$F$890,"&lt;&gt;EV_*",$Q$882:$Q$890)</f>
        <v>10890.681215469598</v>
      </c>
      <c r="R891">
        <f>SUMIF($F$882:$F$890,"&lt;&gt;EV_*",$R$882:$R$890)</f>
        <v>5950</v>
      </c>
      <c r="S891">
        <f>SUMIF($F$882:$F$890,"&lt;&gt;EV_*",$S$882:$S$890)</f>
        <v>-4940.6812154695999</v>
      </c>
      <c r="T891">
        <v>0</v>
      </c>
      <c r="U891">
        <f>SUMIF($F$882:$F$890,"&lt;&gt;EV_*",$U$882:$U$890)</f>
        <v>120.58</v>
      </c>
      <c r="V891">
        <f>SUMIF($F$882:$F$890,"&lt;&gt;EV_*",$V$882:$V$890)</f>
        <v>6070.58</v>
      </c>
      <c r="W891">
        <f>SUMIF($F$882:$F$890,"&lt;&gt;EV_*",$W$882:$W$890)</f>
        <v>-4820.1012154696</v>
      </c>
      <c r="X891">
        <f>SUMIF($F$882:$F$890,"&lt;&gt;EV_*",$X$882:$X$890)</f>
        <v>0</v>
      </c>
    </row>
    <row r="892" spans="1:24" x14ac:dyDescent="0.25">
      <c r="A892" t="s">
        <v>1928</v>
      </c>
      <c r="B892" t="s">
        <v>1934</v>
      </c>
      <c r="C892" t="s">
        <v>2019</v>
      </c>
      <c r="D892" t="s">
        <v>146</v>
      </c>
      <c r="E892" t="s">
        <v>5</v>
      </c>
      <c r="F892" t="s">
        <v>5</v>
      </c>
      <c r="G892" t="s">
        <v>654</v>
      </c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</row>
    <row r="893" spans="1:24" x14ac:dyDescent="0.25">
      <c r="A893" t="s">
        <v>1928</v>
      </c>
      <c r="B893" t="s">
        <v>1934</v>
      </c>
      <c r="C893" t="s">
        <v>2019</v>
      </c>
      <c r="D893" t="s">
        <v>146</v>
      </c>
      <c r="E893" t="s">
        <v>133</v>
      </c>
      <c r="F893" t="s">
        <v>1</v>
      </c>
      <c r="G893" t="s">
        <v>655</v>
      </c>
      <c r="H893" t="s">
        <v>622</v>
      </c>
      <c r="I893" t="s">
        <v>1</v>
      </c>
      <c r="J893">
        <v>439805.76</v>
      </c>
      <c r="K893">
        <v>592677.12</v>
      </c>
      <c r="L893">
        <v>74327.87</v>
      </c>
      <c r="M893">
        <v>149887.69364640882</v>
      </c>
      <c r="N893">
        <v>208132.44</v>
      </c>
      <c r="O893">
        <v>149887.693646409</v>
      </c>
      <c r="P893">
        <v>58244</v>
      </c>
      <c r="Q893">
        <f t="shared" ref="Q893:Q929" si="185">O893+P893</f>
        <v>208131.693646409</v>
      </c>
      <c r="R893">
        <v>208132</v>
      </c>
      <c r="S893">
        <f t="shared" ref="S893:S929" si="186">IF(OR(LEFT(E893,2)="A_",LEFT(D893,5)="Total"),R893-Q893,"")</f>
        <v>0.30635359100415371</v>
      </c>
      <c r="T893">
        <v>0.02</v>
      </c>
      <c r="U893">
        <f t="shared" ref="U893:U929" si="187">IFERROR(R893*T893,R893*0)</f>
        <v>4162.6400000000003</v>
      </c>
      <c r="V893">
        <f t="shared" ref="V893:V929" si="188">IF(OR(LEFT(E893,2)="A_",LEFT(D893,5)="Total"),R893+U893,"")</f>
        <v>212294.64</v>
      </c>
      <c r="W893">
        <f t="shared" ref="W893:W929" si="189">IF(OR(LEFT(E893,2)="A_",LEFT(D893,5)="Total"),V893-Q893,"")</f>
        <v>4162.9463535910181</v>
      </c>
      <c r="X893" t="s">
        <v>1480</v>
      </c>
    </row>
    <row r="894" spans="1:24" x14ac:dyDescent="0.25">
      <c r="A894" t="s">
        <v>1928</v>
      </c>
      <c r="B894" t="s">
        <v>1934</v>
      </c>
      <c r="C894" t="s">
        <v>2019</v>
      </c>
      <c r="D894" t="s">
        <v>146</v>
      </c>
      <c r="E894" t="s">
        <v>8</v>
      </c>
      <c r="F894" t="s">
        <v>1</v>
      </c>
      <c r="G894" t="s">
        <v>655</v>
      </c>
      <c r="H894" t="s">
        <v>408</v>
      </c>
      <c r="I894" t="s">
        <v>1</v>
      </c>
      <c r="J894">
        <v>92243.75</v>
      </c>
      <c r="K894">
        <v>131607.70718232001</v>
      </c>
      <c r="L894">
        <v>4345.92</v>
      </c>
      <c r="M894">
        <v>8763.8718232044193</v>
      </c>
      <c r="N894">
        <v>31326.669999999995</v>
      </c>
      <c r="O894">
        <v>8763.8718232043993</v>
      </c>
      <c r="P894">
        <v>-8764</v>
      </c>
      <c r="Q894">
        <f t="shared" si="185"/>
        <v>-0.12817679560066608</v>
      </c>
      <c r="R894">
        <v>0</v>
      </c>
      <c r="S894">
        <f t="shared" si="186"/>
        <v>0.12817679560066608</v>
      </c>
      <c r="T894"/>
      <c r="U894">
        <f t="shared" si="187"/>
        <v>0</v>
      </c>
      <c r="V894">
        <f t="shared" si="188"/>
        <v>0</v>
      </c>
      <c r="W894">
        <f t="shared" si="189"/>
        <v>0.12817679560066608</v>
      </c>
      <c r="X894">
        <v>0</v>
      </c>
    </row>
    <row r="895" spans="1:24" x14ac:dyDescent="0.25">
      <c r="A895" t="s">
        <v>1928</v>
      </c>
      <c r="B895" t="s">
        <v>1934</v>
      </c>
      <c r="C895" t="s">
        <v>2019</v>
      </c>
      <c r="D895" t="s">
        <v>146</v>
      </c>
      <c r="E895" t="s">
        <v>10</v>
      </c>
      <c r="F895" t="s">
        <v>1</v>
      </c>
      <c r="G895" t="s">
        <v>655</v>
      </c>
      <c r="H895" t="s">
        <v>410</v>
      </c>
      <c r="I895" t="s">
        <v>1</v>
      </c>
      <c r="J895"/>
      <c r="K895"/>
      <c r="L895">
        <v>7030.56</v>
      </c>
      <c r="M895">
        <v>14177.648618784531</v>
      </c>
      <c r="N895">
        <v>7030.5599999999995</v>
      </c>
      <c r="O895">
        <v>14061.12</v>
      </c>
      <c r="P895">
        <v>0</v>
      </c>
      <c r="Q895">
        <f t="shared" si="185"/>
        <v>14061.12</v>
      </c>
      <c r="R895">
        <v>14061.12</v>
      </c>
      <c r="S895">
        <f t="shared" si="186"/>
        <v>0</v>
      </c>
      <c r="T895"/>
      <c r="U895">
        <f t="shared" si="187"/>
        <v>0</v>
      </c>
      <c r="V895">
        <f t="shared" si="188"/>
        <v>14061.12</v>
      </c>
      <c r="W895">
        <f t="shared" si="189"/>
        <v>0</v>
      </c>
      <c r="X895">
        <v>0</v>
      </c>
    </row>
    <row r="896" spans="1:24" x14ac:dyDescent="0.25">
      <c r="A896" t="s">
        <v>1928</v>
      </c>
      <c r="B896" t="s">
        <v>1934</v>
      </c>
      <c r="C896" t="s">
        <v>2019</v>
      </c>
      <c r="D896" t="s">
        <v>146</v>
      </c>
      <c r="E896" t="s">
        <v>12</v>
      </c>
      <c r="F896" t="s">
        <v>1</v>
      </c>
      <c r="G896" t="s">
        <v>655</v>
      </c>
      <c r="H896" t="s">
        <v>412</v>
      </c>
      <c r="I896" t="s">
        <v>1</v>
      </c>
      <c r="J896">
        <v>540.22</v>
      </c>
      <c r="K896"/>
      <c r="L896">
        <v>0</v>
      </c>
      <c r="M896">
        <v>0</v>
      </c>
      <c r="N896">
        <v>540.22</v>
      </c>
      <c r="O896"/>
      <c r="P896">
        <v>0</v>
      </c>
      <c r="Q896">
        <f t="shared" si="185"/>
        <v>0</v>
      </c>
      <c r="R896">
        <v>0</v>
      </c>
      <c r="S896">
        <f t="shared" si="186"/>
        <v>0</v>
      </c>
      <c r="T896"/>
      <c r="U896">
        <f t="shared" si="187"/>
        <v>0</v>
      </c>
      <c r="V896">
        <f t="shared" si="188"/>
        <v>0</v>
      </c>
      <c r="W896">
        <f t="shared" si="189"/>
        <v>0</v>
      </c>
      <c r="X896">
        <v>0</v>
      </c>
    </row>
    <row r="897" spans="1:24" x14ac:dyDescent="0.25">
      <c r="A897" t="s">
        <v>1928</v>
      </c>
      <c r="B897" t="s">
        <v>1934</v>
      </c>
      <c r="C897" t="s">
        <v>2019</v>
      </c>
      <c r="D897" t="s">
        <v>146</v>
      </c>
      <c r="E897" t="s">
        <v>65</v>
      </c>
      <c r="F897" t="s">
        <v>1</v>
      </c>
      <c r="G897" t="s">
        <v>655</v>
      </c>
      <c r="H897" t="s">
        <v>476</v>
      </c>
      <c r="I897" t="s">
        <v>1</v>
      </c>
      <c r="J897">
        <v>-225.91</v>
      </c>
      <c r="K897"/>
      <c r="L897">
        <v>-221.74</v>
      </c>
      <c r="M897">
        <v>-447.15524861878453</v>
      </c>
      <c r="N897">
        <v>-269.51</v>
      </c>
      <c r="O897">
        <v>-445.91670329670001</v>
      </c>
      <c r="P897">
        <v>0</v>
      </c>
      <c r="Q897">
        <f t="shared" si="185"/>
        <v>-445.91670329670001</v>
      </c>
      <c r="R897">
        <v>0</v>
      </c>
      <c r="S897">
        <f t="shared" si="186"/>
        <v>445.91670329670001</v>
      </c>
      <c r="T897"/>
      <c r="U897">
        <f t="shared" si="187"/>
        <v>0</v>
      </c>
      <c r="V897">
        <f t="shared" si="188"/>
        <v>0</v>
      </c>
      <c r="W897">
        <f t="shared" si="189"/>
        <v>445.91670329670001</v>
      </c>
      <c r="X897">
        <v>0</v>
      </c>
    </row>
    <row r="898" spans="1:24" x14ac:dyDescent="0.25">
      <c r="A898" t="s">
        <v>1928</v>
      </c>
      <c r="B898" t="s">
        <v>1934</v>
      </c>
      <c r="C898" t="s">
        <v>2019</v>
      </c>
      <c r="D898" t="s">
        <v>146</v>
      </c>
      <c r="E898" t="s">
        <v>17</v>
      </c>
      <c r="F898" t="s">
        <v>1</v>
      </c>
      <c r="G898" t="s">
        <v>655</v>
      </c>
      <c r="H898" t="s">
        <v>417</v>
      </c>
      <c r="I898" t="s">
        <v>1</v>
      </c>
      <c r="J898">
        <v>-7225.01</v>
      </c>
      <c r="K898">
        <v>-7150.0000000002001</v>
      </c>
      <c r="L898">
        <v>-6259.54</v>
      </c>
      <c r="M898">
        <v>-12622.829281767956</v>
      </c>
      <c r="N898">
        <v>-11718.670000000002</v>
      </c>
      <c r="O898">
        <v>-12587.8661538462</v>
      </c>
      <c r="P898">
        <v>0</v>
      </c>
      <c r="Q898">
        <f t="shared" si="185"/>
        <v>-12587.8661538462</v>
      </c>
      <c r="R898">
        <v>-12587.8661538462</v>
      </c>
      <c r="S898">
        <f t="shared" si="186"/>
        <v>0</v>
      </c>
      <c r="T898"/>
      <c r="U898">
        <f t="shared" si="187"/>
        <v>0</v>
      </c>
      <c r="V898">
        <f t="shared" si="188"/>
        <v>-12587.8661538462</v>
      </c>
      <c r="W898">
        <f t="shared" si="189"/>
        <v>0</v>
      </c>
      <c r="X898">
        <v>0</v>
      </c>
    </row>
    <row r="899" spans="1:24" x14ac:dyDescent="0.25">
      <c r="A899" t="s">
        <v>1928</v>
      </c>
      <c r="B899" t="s">
        <v>1934</v>
      </c>
      <c r="C899" t="s">
        <v>2019</v>
      </c>
      <c r="D899" t="s">
        <v>146</v>
      </c>
      <c r="E899" t="s">
        <v>82</v>
      </c>
      <c r="F899" t="s">
        <v>1</v>
      </c>
      <c r="G899" t="s">
        <v>655</v>
      </c>
      <c r="H899" t="s">
        <v>507</v>
      </c>
      <c r="I899" t="s">
        <v>1</v>
      </c>
      <c r="J899">
        <v>9220.58</v>
      </c>
      <c r="K899">
        <v>11432.746345334701</v>
      </c>
      <c r="L899">
        <v>6008.01</v>
      </c>
      <c r="M899">
        <v>12115.600276243094</v>
      </c>
      <c r="N899">
        <v>9615.73</v>
      </c>
      <c r="O899">
        <v>12082.042087912099</v>
      </c>
      <c r="P899">
        <v>0</v>
      </c>
      <c r="Q899">
        <f t="shared" si="185"/>
        <v>12082.042087912099</v>
      </c>
      <c r="R899">
        <v>12082.042087912099</v>
      </c>
      <c r="S899">
        <f t="shared" si="186"/>
        <v>0</v>
      </c>
      <c r="T899">
        <v>2.75E-2</v>
      </c>
      <c r="U899">
        <f t="shared" si="187"/>
        <v>332.25615741758276</v>
      </c>
      <c r="V899">
        <f t="shared" si="188"/>
        <v>12414.298245329683</v>
      </c>
      <c r="W899">
        <f t="shared" si="189"/>
        <v>332.25615741758338</v>
      </c>
      <c r="X899">
        <v>0</v>
      </c>
    </row>
    <row r="900" spans="1:24" x14ac:dyDescent="0.25">
      <c r="A900" t="s">
        <v>1928</v>
      </c>
      <c r="B900" t="s">
        <v>1934</v>
      </c>
      <c r="C900" t="s">
        <v>2019</v>
      </c>
      <c r="D900" t="s">
        <v>146</v>
      </c>
      <c r="E900" t="s">
        <v>72</v>
      </c>
      <c r="F900" t="s">
        <v>1</v>
      </c>
      <c r="G900" t="s">
        <v>655</v>
      </c>
      <c r="H900" t="s">
        <v>489</v>
      </c>
      <c r="I900" t="s">
        <v>1</v>
      </c>
      <c r="J900">
        <v>1484.42</v>
      </c>
      <c r="K900">
        <v>1656.4716731312001</v>
      </c>
      <c r="L900">
        <v>1064.1400000000001</v>
      </c>
      <c r="M900">
        <v>2145.9176795580111</v>
      </c>
      <c r="N900">
        <v>1708.5600000000002</v>
      </c>
      <c r="O900">
        <v>2139.9738461539</v>
      </c>
      <c r="P900">
        <v>0</v>
      </c>
      <c r="Q900">
        <f t="shared" si="185"/>
        <v>2139.9738461539</v>
      </c>
      <c r="R900">
        <v>2139.9738461539</v>
      </c>
      <c r="S900">
        <f t="shared" si="186"/>
        <v>0</v>
      </c>
      <c r="T900">
        <v>2.2499999999999999E-2</v>
      </c>
      <c r="U900">
        <f t="shared" si="187"/>
        <v>48.149411538462751</v>
      </c>
      <c r="V900">
        <f t="shared" si="188"/>
        <v>2188.1232576923626</v>
      </c>
      <c r="W900">
        <f t="shared" si="189"/>
        <v>48.149411538462573</v>
      </c>
      <c r="X900">
        <v>0</v>
      </c>
    </row>
    <row r="901" spans="1:24" x14ac:dyDescent="0.25">
      <c r="A901" t="s">
        <v>1928</v>
      </c>
      <c r="B901" t="s">
        <v>1934</v>
      </c>
      <c r="C901" t="s">
        <v>2019</v>
      </c>
      <c r="D901" t="s">
        <v>146</v>
      </c>
      <c r="E901" t="s">
        <v>118</v>
      </c>
      <c r="F901" t="s">
        <v>1</v>
      </c>
      <c r="G901" t="s">
        <v>655</v>
      </c>
      <c r="H901" t="s">
        <v>587</v>
      </c>
      <c r="I901" t="s">
        <v>1</v>
      </c>
      <c r="J901">
        <v>238.28</v>
      </c>
      <c r="K901"/>
      <c r="L901">
        <v>154.52000000000001</v>
      </c>
      <c r="M901">
        <v>311.60110497237571</v>
      </c>
      <c r="N901">
        <v>231.78000000000003</v>
      </c>
      <c r="O901">
        <v>310.73802197800001</v>
      </c>
      <c r="P901">
        <v>0</v>
      </c>
      <c r="Q901">
        <f t="shared" si="185"/>
        <v>310.73802197800001</v>
      </c>
      <c r="R901">
        <v>310.73802197800001</v>
      </c>
      <c r="S901">
        <f t="shared" si="186"/>
        <v>0</v>
      </c>
      <c r="T901">
        <v>3.2500000000000001E-2</v>
      </c>
      <c r="U901">
        <f t="shared" si="187"/>
        <v>10.098985714285</v>
      </c>
      <c r="V901">
        <f t="shared" si="188"/>
        <v>320.837007692285</v>
      </c>
      <c r="W901">
        <f t="shared" si="189"/>
        <v>10.098985714284993</v>
      </c>
      <c r="X901">
        <v>0</v>
      </c>
    </row>
    <row r="902" spans="1:24" x14ac:dyDescent="0.25">
      <c r="A902" t="s">
        <v>1928</v>
      </c>
      <c r="B902" t="s">
        <v>1934</v>
      </c>
      <c r="C902" t="s">
        <v>2019</v>
      </c>
      <c r="D902" t="s">
        <v>146</v>
      </c>
      <c r="E902" t="s">
        <v>18</v>
      </c>
      <c r="F902" t="s">
        <v>1</v>
      </c>
      <c r="G902" t="s">
        <v>655</v>
      </c>
      <c r="H902" t="s">
        <v>418</v>
      </c>
      <c r="I902" t="s">
        <v>1</v>
      </c>
      <c r="J902">
        <v>373433.29</v>
      </c>
      <c r="K902">
        <v>399433.08079968003</v>
      </c>
      <c r="L902">
        <v>226597.7</v>
      </c>
      <c r="M902">
        <v>456951.16298342549</v>
      </c>
      <c r="N902">
        <v>402286.04</v>
      </c>
      <c r="O902">
        <v>455685.48461538501</v>
      </c>
      <c r="P902">
        <v>6000</v>
      </c>
      <c r="Q902">
        <f t="shared" si="185"/>
        <v>461685.48461538501</v>
      </c>
      <c r="R902">
        <v>461685</v>
      </c>
      <c r="S902">
        <f t="shared" si="186"/>
        <v>-0.4846153850085102</v>
      </c>
      <c r="T902">
        <v>0.02</v>
      </c>
      <c r="U902">
        <f t="shared" si="187"/>
        <v>9233.7000000000007</v>
      </c>
      <c r="V902">
        <f t="shared" si="188"/>
        <v>470918.7</v>
      </c>
      <c r="W902">
        <f t="shared" si="189"/>
        <v>9233.2153846150031</v>
      </c>
      <c r="X902" t="s">
        <v>1481</v>
      </c>
    </row>
    <row r="903" spans="1:24" x14ac:dyDescent="0.25">
      <c r="A903" t="s">
        <v>1928</v>
      </c>
      <c r="B903" t="s">
        <v>1934</v>
      </c>
      <c r="C903" t="s">
        <v>2019</v>
      </c>
      <c r="D903" t="s">
        <v>146</v>
      </c>
      <c r="E903" t="s">
        <v>19</v>
      </c>
      <c r="F903" t="s">
        <v>1</v>
      </c>
      <c r="G903" t="s">
        <v>655</v>
      </c>
      <c r="H903" t="s">
        <v>419</v>
      </c>
      <c r="I903" t="s">
        <v>1</v>
      </c>
      <c r="J903">
        <v>14110.67</v>
      </c>
      <c r="K903">
        <v>17098.100066543499</v>
      </c>
      <c r="L903">
        <v>3378.16</v>
      </c>
      <c r="M903">
        <v>6812.3116022099448</v>
      </c>
      <c r="N903">
        <v>6417.3499999999995</v>
      </c>
      <c r="O903">
        <v>6793.4426373626002</v>
      </c>
      <c r="P903">
        <v>0</v>
      </c>
      <c r="Q903">
        <f t="shared" si="185"/>
        <v>6793.4426373626002</v>
      </c>
      <c r="R903">
        <v>6793.4426373626002</v>
      </c>
      <c r="S903">
        <f t="shared" si="186"/>
        <v>0</v>
      </c>
      <c r="T903">
        <v>0.02</v>
      </c>
      <c r="U903">
        <f t="shared" si="187"/>
        <v>135.86885274725199</v>
      </c>
      <c r="V903">
        <f t="shared" si="188"/>
        <v>6929.3114901098525</v>
      </c>
      <c r="W903">
        <f t="shared" si="189"/>
        <v>135.86885274725228</v>
      </c>
      <c r="X903">
        <v>0</v>
      </c>
    </row>
    <row r="904" spans="1:24" x14ac:dyDescent="0.25">
      <c r="A904" t="s">
        <v>1928</v>
      </c>
      <c r="B904" t="s">
        <v>1934</v>
      </c>
      <c r="C904" t="s">
        <v>2019</v>
      </c>
      <c r="D904" t="s">
        <v>146</v>
      </c>
      <c r="E904" t="s">
        <v>74</v>
      </c>
      <c r="F904" t="s">
        <v>1</v>
      </c>
      <c r="G904" t="s">
        <v>655</v>
      </c>
      <c r="H904" t="s">
        <v>491</v>
      </c>
      <c r="I904" t="s">
        <v>1</v>
      </c>
      <c r="J904">
        <v>34213.58</v>
      </c>
      <c r="K904">
        <v>32384.8071482177</v>
      </c>
      <c r="L904">
        <v>18613.91</v>
      </c>
      <c r="M904">
        <v>37536.337845303868</v>
      </c>
      <c r="N904">
        <v>37164.32</v>
      </c>
      <c r="O904">
        <v>37432.368461538499</v>
      </c>
      <c r="P904">
        <v>0</v>
      </c>
      <c r="Q904">
        <f t="shared" si="185"/>
        <v>37432.368461538499</v>
      </c>
      <c r="R904">
        <v>37432.368461538499</v>
      </c>
      <c r="S904">
        <f t="shared" si="186"/>
        <v>0</v>
      </c>
      <c r="T904">
        <v>3.5000000000000003E-2</v>
      </c>
      <c r="U904">
        <f t="shared" si="187"/>
        <v>1310.1328961538477</v>
      </c>
      <c r="V904">
        <f t="shared" si="188"/>
        <v>38742.501357692345</v>
      </c>
      <c r="W904">
        <f t="shared" si="189"/>
        <v>1310.1328961538456</v>
      </c>
      <c r="X904">
        <v>0</v>
      </c>
    </row>
    <row r="905" spans="1:24" x14ac:dyDescent="0.25">
      <c r="A905" t="s">
        <v>1928</v>
      </c>
      <c r="B905" t="s">
        <v>1934</v>
      </c>
      <c r="C905" t="s">
        <v>2019</v>
      </c>
      <c r="D905" t="s">
        <v>146</v>
      </c>
      <c r="E905" t="s">
        <v>85</v>
      </c>
      <c r="F905" t="s">
        <v>1</v>
      </c>
      <c r="G905" t="s">
        <v>655</v>
      </c>
      <c r="H905" t="s">
        <v>510</v>
      </c>
      <c r="I905" t="s">
        <v>1</v>
      </c>
      <c r="J905">
        <v>3021.58</v>
      </c>
      <c r="K905">
        <v>2235.6563603407999</v>
      </c>
      <c r="L905">
        <v>2840.8</v>
      </c>
      <c r="M905">
        <v>5728.6850828729284</v>
      </c>
      <c r="N905">
        <v>4641.0700000000006</v>
      </c>
      <c r="O905">
        <v>5712.8175824175996</v>
      </c>
      <c r="P905">
        <v>0</v>
      </c>
      <c r="Q905">
        <f t="shared" si="185"/>
        <v>5712.8175824175996</v>
      </c>
      <c r="R905">
        <v>5712.8175824175996</v>
      </c>
      <c r="S905">
        <f t="shared" si="186"/>
        <v>0</v>
      </c>
      <c r="T905">
        <v>0.02</v>
      </c>
      <c r="U905">
        <f t="shared" si="187"/>
        <v>114.25635164835199</v>
      </c>
      <c r="V905">
        <f t="shared" si="188"/>
        <v>5827.073934065952</v>
      </c>
      <c r="W905">
        <f t="shared" si="189"/>
        <v>114.25635164835239</v>
      </c>
      <c r="X905">
        <v>0</v>
      </c>
    </row>
    <row r="906" spans="1:24" x14ac:dyDescent="0.25">
      <c r="A906" t="s">
        <v>1928</v>
      </c>
      <c r="B906" t="s">
        <v>1934</v>
      </c>
      <c r="C906" t="s">
        <v>2019</v>
      </c>
      <c r="D906" t="s">
        <v>146</v>
      </c>
      <c r="E906" t="s">
        <v>119</v>
      </c>
      <c r="F906" t="s">
        <v>1</v>
      </c>
      <c r="G906" t="s">
        <v>655</v>
      </c>
      <c r="H906" t="s">
        <v>588</v>
      </c>
      <c r="I906" t="s">
        <v>1</v>
      </c>
      <c r="J906">
        <v>8457.32</v>
      </c>
      <c r="K906">
        <v>8751.9389274197001</v>
      </c>
      <c r="L906">
        <v>9537.98</v>
      </c>
      <c r="M906">
        <v>19234.048066298343</v>
      </c>
      <c r="N906">
        <v>15480.3</v>
      </c>
      <c r="O906">
        <v>19180.772967033001</v>
      </c>
      <c r="P906">
        <v>0</v>
      </c>
      <c r="Q906">
        <f t="shared" si="185"/>
        <v>19180.772967033001</v>
      </c>
      <c r="R906">
        <v>19180.772967033001</v>
      </c>
      <c r="S906">
        <f t="shared" si="186"/>
        <v>0</v>
      </c>
      <c r="T906">
        <v>1.4999999999999999E-2</v>
      </c>
      <c r="U906">
        <f t="shared" si="187"/>
        <v>287.71159450549499</v>
      </c>
      <c r="V906">
        <f t="shared" si="188"/>
        <v>19468.484561538495</v>
      </c>
      <c r="W906">
        <f t="shared" si="189"/>
        <v>287.71159450549385</v>
      </c>
      <c r="X906">
        <v>0</v>
      </c>
    </row>
    <row r="907" spans="1:24" x14ac:dyDescent="0.25">
      <c r="A907" t="s">
        <v>1928</v>
      </c>
      <c r="B907" t="s">
        <v>1934</v>
      </c>
      <c r="C907" t="s">
        <v>2019</v>
      </c>
      <c r="D907" t="s">
        <v>146</v>
      </c>
      <c r="E907" t="s">
        <v>136</v>
      </c>
      <c r="F907" t="s">
        <v>1</v>
      </c>
      <c r="G907" t="s">
        <v>655</v>
      </c>
      <c r="H907" t="s">
        <v>627</v>
      </c>
      <c r="I907" t="s">
        <v>1</v>
      </c>
      <c r="J907">
        <v>1113</v>
      </c>
      <c r="K907">
        <v>1806.5563891075999</v>
      </c>
      <c r="L907">
        <v>0</v>
      </c>
      <c r="M907">
        <v>0</v>
      </c>
      <c r="N907">
        <v>1113</v>
      </c>
      <c r="O907"/>
      <c r="P907">
        <v>0</v>
      </c>
      <c r="Q907">
        <f t="shared" si="185"/>
        <v>0</v>
      </c>
      <c r="R907">
        <v>0</v>
      </c>
      <c r="S907">
        <f t="shared" si="186"/>
        <v>0</v>
      </c>
      <c r="T907">
        <v>0.03</v>
      </c>
      <c r="U907">
        <f t="shared" si="187"/>
        <v>0</v>
      </c>
      <c r="V907">
        <f t="shared" si="188"/>
        <v>0</v>
      </c>
      <c r="W907">
        <f t="shared" si="189"/>
        <v>0</v>
      </c>
      <c r="X907">
        <v>0</v>
      </c>
    </row>
    <row r="908" spans="1:24" x14ac:dyDescent="0.25">
      <c r="A908" t="s">
        <v>1928</v>
      </c>
      <c r="B908" t="s">
        <v>1934</v>
      </c>
      <c r="C908" t="s">
        <v>2019</v>
      </c>
      <c r="D908" t="s">
        <v>146</v>
      </c>
      <c r="E908" t="s">
        <v>147</v>
      </c>
      <c r="F908" t="s">
        <v>1</v>
      </c>
      <c r="G908" t="s">
        <v>655</v>
      </c>
      <c r="H908" t="s">
        <v>656</v>
      </c>
      <c r="I908" t="s">
        <v>1</v>
      </c>
      <c r="J908">
        <v>1430.67</v>
      </c>
      <c r="K908">
        <v>1314.8390938649</v>
      </c>
      <c r="L908">
        <v>826.68</v>
      </c>
      <c r="M908">
        <v>1667.0618784530386</v>
      </c>
      <c r="N908">
        <v>1441.35</v>
      </c>
      <c r="O908">
        <v>1662.4443956043999</v>
      </c>
      <c r="P908">
        <v>0</v>
      </c>
      <c r="Q908">
        <f t="shared" si="185"/>
        <v>1662.4443956043999</v>
      </c>
      <c r="R908">
        <v>1662.4443956043999</v>
      </c>
      <c r="S908">
        <f t="shared" si="186"/>
        <v>0</v>
      </c>
      <c r="T908">
        <v>2.2499999999999999E-2</v>
      </c>
      <c r="U908">
        <f t="shared" si="187"/>
        <v>37.404998901098999</v>
      </c>
      <c r="V908">
        <f t="shared" si="188"/>
        <v>1699.8493945054988</v>
      </c>
      <c r="W908">
        <f t="shared" si="189"/>
        <v>37.404998901098907</v>
      </c>
      <c r="X908">
        <v>0</v>
      </c>
    </row>
    <row r="909" spans="1:24" x14ac:dyDescent="0.25">
      <c r="A909" t="s">
        <v>1928</v>
      </c>
      <c r="B909" t="s">
        <v>1934</v>
      </c>
      <c r="C909" t="s">
        <v>2019</v>
      </c>
      <c r="D909" t="s">
        <v>146</v>
      </c>
      <c r="E909" t="s">
        <v>120</v>
      </c>
      <c r="F909" t="s">
        <v>1</v>
      </c>
      <c r="G909" t="s">
        <v>655</v>
      </c>
      <c r="H909" t="s">
        <v>589</v>
      </c>
      <c r="I909" t="s">
        <v>1</v>
      </c>
      <c r="J909">
        <v>4223.6899999999996</v>
      </c>
      <c r="K909">
        <v>4004.0718458882998</v>
      </c>
      <c r="L909">
        <v>2457.59</v>
      </c>
      <c r="M909">
        <v>4955.9135359116026</v>
      </c>
      <c r="N909">
        <v>4819.83</v>
      </c>
      <c r="O909">
        <v>4942.1864835164997</v>
      </c>
      <c r="P909">
        <v>0</v>
      </c>
      <c r="Q909">
        <f t="shared" si="185"/>
        <v>4942.1864835164997</v>
      </c>
      <c r="R909">
        <v>4942.1864835164997</v>
      </c>
      <c r="S909">
        <f t="shared" si="186"/>
        <v>0</v>
      </c>
      <c r="T909">
        <v>3.5000000000000003E-2</v>
      </c>
      <c r="U909">
        <f t="shared" si="187"/>
        <v>172.9765269230775</v>
      </c>
      <c r="V909">
        <f t="shared" si="188"/>
        <v>5115.1630104395772</v>
      </c>
      <c r="W909">
        <f t="shared" si="189"/>
        <v>172.97652692307747</v>
      </c>
      <c r="X909">
        <v>0</v>
      </c>
    </row>
    <row r="910" spans="1:24" x14ac:dyDescent="0.25">
      <c r="A910" t="s">
        <v>1928</v>
      </c>
      <c r="B910" t="s">
        <v>1934</v>
      </c>
      <c r="C910" t="s">
        <v>2019</v>
      </c>
      <c r="D910" t="s">
        <v>146</v>
      </c>
      <c r="E910" t="s">
        <v>20</v>
      </c>
      <c r="F910" t="s">
        <v>1</v>
      </c>
      <c r="G910" t="s">
        <v>655</v>
      </c>
      <c r="H910" t="s">
        <v>420</v>
      </c>
      <c r="I910" t="s">
        <v>1</v>
      </c>
      <c r="J910">
        <v>30937.17</v>
      </c>
      <c r="K910">
        <v>31201.946433436598</v>
      </c>
      <c r="L910">
        <v>28635.38</v>
      </c>
      <c r="M910">
        <v>57745.379558011053</v>
      </c>
      <c r="N910">
        <v>45271.170000000006</v>
      </c>
      <c r="O910">
        <v>57585.434505494501</v>
      </c>
      <c r="P910">
        <v>0</v>
      </c>
      <c r="Q910">
        <f t="shared" si="185"/>
        <v>57585.434505494501</v>
      </c>
      <c r="R910">
        <v>57585.434505494501</v>
      </c>
      <c r="S910">
        <f t="shared" si="186"/>
        <v>0</v>
      </c>
      <c r="T910">
        <v>0.04</v>
      </c>
      <c r="U910">
        <f t="shared" si="187"/>
        <v>2303.4173802197802</v>
      </c>
      <c r="V910">
        <f t="shared" si="188"/>
        <v>59888.851885714277</v>
      </c>
      <c r="W910">
        <f t="shared" si="189"/>
        <v>2303.4173802197765</v>
      </c>
      <c r="X910">
        <v>0</v>
      </c>
    </row>
    <row r="911" spans="1:24" x14ac:dyDescent="0.25">
      <c r="A911" t="s">
        <v>1928</v>
      </c>
      <c r="B911" t="s">
        <v>1934</v>
      </c>
      <c r="C911" t="s">
        <v>2019</v>
      </c>
      <c r="D911" t="s">
        <v>146</v>
      </c>
      <c r="E911" t="s">
        <v>21</v>
      </c>
      <c r="F911" t="s">
        <v>1</v>
      </c>
      <c r="G911" t="s">
        <v>655</v>
      </c>
      <c r="H911" t="s">
        <v>421</v>
      </c>
      <c r="I911" t="s">
        <v>1</v>
      </c>
      <c r="J911">
        <v>7177.42</v>
      </c>
      <c r="K911">
        <v>7546.7499999996999</v>
      </c>
      <c r="L911">
        <v>4002.92</v>
      </c>
      <c r="M911">
        <v>8072.1867403314918</v>
      </c>
      <c r="N911">
        <v>7381.4500000000007</v>
      </c>
      <c r="O911">
        <v>8072.1867403315</v>
      </c>
      <c r="P911">
        <v>0</v>
      </c>
      <c r="Q911">
        <f t="shared" si="185"/>
        <v>8072.1867403315</v>
      </c>
      <c r="R911">
        <v>8072.1867403315</v>
      </c>
      <c r="S911">
        <f t="shared" si="186"/>
        <v>0</v>
      </c>
      <c r="T911">
        <v>0.03</v>
      </c>
      <c r="U911">
        <f t="shared" si="187"/>
        <v>242.16560220994498</v>
      </c>
      <c r="V911">
        <f t="shared" si="188"/>
        <v>8314.3523425414442</v>
      </c>
      <c r="W911">
        <f t="shared" si="189"/>
        <v>242.16560220994415</v>
      </c>
      <c r="X911">
        <v>0</v>
      </c>
    </row>
    <row r="912" spans="1:24" x14ac:dyDescent="0.25">
      <c r="A912" t="s">
        <v>1928</v>
      </c>
      <c r="B912" t="s">
        <v>1934</v>
      </c>
      <c r="C912" t="s">
        <v>2019</v>
      </c>
      <c r="D912" t="s">
        <v>146</v>
      </c>
      <c r="E912" t="s">
        <v>66</v>
      </c>
      <c r="F912" t="s">
        <v>1</v>
      </c>
      <c r="G912" t="s">
        <v>655</v>
      </c>
      <c r="H912" t="s">
        <v>477</v>
      </c>
      <c r="I912" t="s">
        <v>1</v>
      </c>
      <c r="J912">
        <v>93.75</v>
      </c>
      <c r="K912">
        <v>82.8</v>
      </c>
      <c r="L912">
        <v>242.57</v>
      </c>
      <c r="M912">
        <v>489.16049723756907</v>
      </c>
      <c r="N912">
        <v>298.82</v>
      </c>
      <c r="O912">
        <v>489.1604972376</v>
      </c>
      <c r="P912">
        <v>0</v>
      </c>
      <c r="Q912">
        <f t="shared" si="185"/>
        <v>489.1604972376</v>
      </c>
      <c r="R912">
        <v>489.1604972376</v>
      </c>
      <c r="S912">
        <f t="shared" si="186"/>
        <v>0</v>
      </c>
      <c r="T912">
        <v>3.5000000000000003E-2</v>
      </c>
      <c r="U912">
        <f t="shared" si="187"/>
        <v>17.120617403316</v>
      </c>
      <c r="V912">
        <f t="shared" si="188"/>
        <v>506.28111464091597</v>
      </c>
      <c r="W912">
        <f t="shared" si="189"/>
        <v>17.120617403315975</v>
      </c>
      <c r="X912">
        <v>0</v>
      </c>
    </row>
    <row r="913" spans="1:24" x14ac:dyDescent="0.25">
      <c r="A913" t="s">
        <v>1928</v>
      </c>
      <c r="B913" t="s">
        <v>1934</v>
      </c>
      <c r="C913" t="s">
        <v>2019</v>
      </c>
      <c r="D913" t="s">
        <v>146</v>
      </c>
      <c r="E913" t="s">
        <v>22</v>
      </c>
      <c r="F913" t="s">
        <v>1</v>
      </c>
      <c r="G913" t="s">
        <v>655</v>
      </c>
      <c r="H913" t="s">
        <v>422</v>
      </c>
      <c r="I913" t="s">
        <v>1</v>
      </c>
      <c r="J913">
        <v>5223.12</v>
      </c>
      <c r="K913">
        <v>5816.7</v>
      </c>
      <c r="L913">
        <v>3182.21</v>
      </c>
      <c r="M913">
        <v>6417.1638121546966</v>
      </c>
      <c r="N913">
        <v>5597.08</v>
      </c>
      <c r="O913">
        <v>6417.1638121547003</v>
      </c>
      <c r="P913">
        <v>0</v>
      </c>
      <c r="Q913">
        <f t="shared" si="185"/>
        <v>6417.1638121547003</v>
      </c>
      <c r="R913">
        <v>6417.1638121547003</v>
      </c>
      <c r="S913">
        <f t="shared" si="186"/>
        <v>0</v>
      </c>
      <c r="T913">
        <v>3.5000000000000003E-2</v>
      </c>
      <c r="U913">
        <f t="shared" si="187"/>
        <v>224.60073342541452</v>
      </c>
      <c r="V913">
        <f t="shared" si="188"/>
        <v>6641.7645455801148</v>
      </c>
      <c r="W913">
        <f t="shared" si="189"/>
        <v>224.60073342541455</v>
      </c>
      <c r="X913">
        <v>0</v>
      </c>
    </row>
    <row r="914" spans="1:24" x14ac:dyDescent="0.25">
      <c r="A914" t="s">
        <v>1928</v>
      </c>
      <c r="B914" t="s">
        <v>1934</v>
      </c>
      <c r="C914" t="s">
        <v>2019</v>
      </c>
      <c r="D914" t="s">
        <v>146</v>
      </c>
      <c r="E914" t="s">
        <v>23</v>
      </c>
      <c r="F914" t="s">
        <v>1</v>
      </c>
      <c r="G914" t="s">
        <v>655</v>
      </c>
      <c r="H914" t="s">
        <v>423</v>
      </c>
      <c r="I914" t="s">
        <v>1</v>
      </c>
      <c r="J914">
        <v>3316.13</v>
      </c>
      <c r="K914">
        <v>320.85000000000002</v>
      </c>
      <c r="L914">
        <v>2493.0100000000002</v>
      </c>
      <c r="M914">
        <v>5027.3406077348072</v>
      </c>
      <c r="N914">
        <v>5655.9</v>
      </c>
      <c r="O914">
        <v>5027.3406077348</v>
      </c>
      <c r="P914">
        <v>0</v>
      </c>
      <c r="Q914">
        <f t="shared" si="185"/>
        <v>5027.3406077348</v>
      </c>
      <c r="R914">
        <v>5027.3406077348</v>
      </c>
      <c r="S914">
        <f t="shared" si="186"/>
        <v>0</v>
      </c>
      <c r="T914">
        <v>3.5000000000000003E-2</v>
      </c>
      <c r="U914">
        <f t="shared" si="187"/>
        <v>175.95692127071803</v>
      </c>
      <c r="V914">
        <f t="shared" si="188"/>
        <v>5203.2975290055183</v>
      </c>
      <c r="W914">
        <f t="shared" si="189"/>
        <v>175.95692127071834</v>
      </c>
      <c r="X914">
        <v>0</v>
      </c>
    </row>
    <row r="915" spans="1:24" x14ac:dyDescent="0.25">
      <c r="A915" t="s">
        <v>1928</v>
      </c>
      <c r="B915" t="s">
        <v>1934</v>
      </c>
      <c r="C915" t="s">
        <v>2019</v>
      </c>
      <c r="D915" t="s">
        <v>146</v>
      </c>
      <c r="E915" t="s">
        <v>26</v>
      </c>
      <c r="F915" t="s">
        <v>1</v>
      </c>
      <c r="G915" t="s">
        <v>655</v>
      </c>
      <c r="H915" t="s">
        <v>426</v>
      </c>
      <c r="I915" t="s">
        <v>1</v>
      </c>
      <c r="J915">
        <v>254.49</v>
      </c>
      <c r="K915">
        <v>4199.7002163012003</v>
      </c>
      <c r="L915">
        <v>74.42</v>
      </c>
      <c r="M915">
        <v>150.07348066298343</v>
      </c>
      <c r="N915">
        <v>74.42</v>
      </c>
      <c r="O915">
        <v>148.84</v>
      </c>
      <c r="P915">
        <v>851</v>
      </c>
      <c r="Q915">
        <f t="shared" si="185"/>
        <v>999.84</v>
      </c>
      <c r="R915">
        <v>1000</v>
      </c>
      <c r="S915">
        <f t="shared" si="186"/>
        <v>0.15999999999996817</v>
      </c>
      <c r="T915"/>
      <c r="U915">
        <f t="shared" si="187"/>
        <v>0</v>
      </c>
      <c r="V915">
        <f t="shared" si="188"/>
        <v>1000</v>
      </c>
      <c r="W915">
        <f t="shared" si="189"/>
        <v>0.15999999999996817</v>
      </c>
      <c r="X915" t="s">
        <v>1460</v>
      </c>
    </row>
    <row r="916" spans="1:24" x14ac:dyDescent="0.25">
      <c r="A916" t="s">
        <v>1928</v>
      </c>
      <c r="B916" t="s">
        <v>1934</v>
      </c>
      <c r="C916" t="s">
        <v>2019</v>
      </c>
      <c r="D916" t="s">
        <v>146</v>
      </c>
      <c r="E916" t="s">
        <v>27</v>
      </c>
      <c r="F916" t="s">
        <v>1</v>
      </c>
      <c r="G916" t="s">
        <v>655</v>
      </c>
      <c r="H916" t="s">
        <v>427</v>
      </c>
      <c r="I916" t="s">
        <v>1</v>
      </c>
      <c r="J916"/>
      <c r="K916">
        <v>609.99999999960005</v>
      </c>
      <c r="L916">
        <v>0</v>
      </c>
      <c r="M916">
        <v>0</v>
      </c>
      <c r="N916">
        <v>0</v>
      </c>
      <c r="O916"/>
      <c r="P916">
        <v>0</v>
      </c>
      <c r="Q916">
        <f t="shared" si="185"/>
        <v>0</v>
      </c>
      <c r="R916">
        <v>0</v>
      </c>
      <c r="S916">
        <f t="shared" si="186"/>
        <v>0</v>
      </c>
      <c r="T916"/>
      <c r="U916">
        <f t="shared" si="187"/>
        <v>0</v>
      </c>
      <c r="V916">
        <f t="shared" si="188"/>
        <v>0</v>
      </c>
      <c r="W916">
        <f t="shared" si="189"/>
        <v>0</v>
      </c>
      <c r="X916">
        <v>0</v>
      </c>
    </row>
    <row r="917" spans="1:24" x14ac:dyDescent="0.25">
      <c r="A917" t="s">
        <v>1928</v>
      </c>
      <c r="B917" t="s">
        <v>1934</v>
      </c>
      <c r="C917" t="s">
        <v>2019</v>
      </c>
      <c r="D917" t="s">
        <v>146</v>
      </c>
      <c r="E917" t="s">
        <v>28</v>
      </c>
      <c r="F917" t="s">
        <v>1</v>
      </c>
      <c r="G917" t="s">
        <v>655</v>
      </c>
      <c r="H917" t="s">
        <v>428</v>
      </c>
      <c r="I917" t="s">
        <v>1</v>
      </c>
      <c r="J917">
        <v>2800.04</v>
      </c>
      <c r="K917">
        <v>3560.0000000004002</v>
      </c>
      <c r="L917">
        <v>1412.63</v>
      </c>
      <c r="M917">
        <v>2848.6737569060774</v>
      </c>
      <c r="N917">
        <v>3512.619999999999</v>
      </c>
      <c r="O917">
        <v>2825.26</v>
      </c>
      <c r="P917">
        <v>688</v>
      </c>
      <c r="Q917">
        <f t="shared" si="185"/>
        <v>3513.26</v>
      </c>
      <c r="R917">
        <v>3513</v>
      </c>
      <c r="S917">
        <f t="shared" si="186"/>
        <v>-0.26000000000021828</v>
      </c>
      <c r="T917"/>
      <c r="U917">
        <f t="shared" si="187"/>
        <v>0</v>
      </c>
      <c r="V917">
        <f t="shared" si="188"/>
        <v>3513</v>
      </c>
      <c r="W917">
        <f t="shared" si="189"/>
        <v>-0.26000000000021828</v>
      </c>
      <c r="X917" t="s">
        <v>1421</v>
      </c>
    </row>
    <row r="918" spans="1:24" x14ac:dyDescent="0.25">
      <c r="A918" t="s">
        <v>1928</v>
      </c>
      <c r="B918" t="s">
        <v>1934</v>
      </c>
      <c r="C918" t="s">
        <v>2019</v>
      </c>
      <c r="D918" t="s">
        <v>146</v>
      </c>
      <c r="E918" t="s">
        <v>29</v>
      </c>
      <c r="F918" t="s">
        <v>1</v>
      </c>
      <c r="G918" t="s">
        <v>655</v>
      </c>
      <c r="H918" t="s">
        <v>429</v>
      </c>
      <c r="I918" t="s">
        <v>1</v>
      </c>
      <c r="J918">
        <v>1016.5</v>
      </c>
      <c r="K918">
        <v>1149.9999999996</v>
      </c>
      <c r="L918">
        <v>52.5</v>
      </c>
      <c r="M918">
        <v>105.87016574585634</v>
      </c>
      <c r="N918">
        <v>492</v>
      </c>
      <c r="O918">
        <v>105</v>
      </c>
      <c r="P918">
        <v>0</v>
      </c>
      <c r="Q918">
        <f t="shared" si="185"/>
        <v>105</v>
      </c>
      <c r="R918">
        <v>105</v>
      </c>
      <c r="S918">
        <f t="shared" si="186"/>
        <v>0</v>
      </c>
      <c r="T918"/>
      <c r="U918">
        <f t="shared" si="187"/>
        <v>0</v>
      </c>
      <c r="V918">
        <f t="shared" si="188"/>
        <v>105</v>
      </c>
      <c r="W918">
        <f t="shared" si="189"/>
        <v>0</v>
      </c>
      <c r="X918">
        <v>0</v>
      </c>
    </row>
    <row r="919" spans="1:24" x14ac:dyDescent="0.25">
      <c r="A919" t="s">
        <v>1928</v>
      </c>
      <c r="B919" t="s">
        <v>1934</v>
      </c>
      <c r="C919" t="s">
        <v>2019</v>
      </c>
      <c r="D919" t="s">
        <v>146</v>
      </c>
      <c r="E919" t="s">
        <v>33</v>
      </c>
      <c r="F919" t="s">
        <v>1</v>
      </c>
      <c r="G919" t="s">
        <v>655</v>
      </c>
      <c r="H919" t="s">
        <v>433</v>
      </c>
      <c r="I919" t="s">
        <v>1</v>
      </c>
      <c r="J919"/>
      <c r="K919">
        <v>245.30959207320001</v>
      </c>
      <c r="L919">
        <v>0</v>
      </c>
      <c r="M919">
        <v>0</v>
      </c>
      <c r="N919">
        <v>0</v>
      </c>
      <c r="O919"/>
      <c r="P919">
        <v>500</v>
      </c>
      <c r="Q919">
        <f t="shared" si="185"/>
        <v>500</v>
      </c>
      <c r="R919">
        <v>500</v>
      </c>
      <c r="S919">
        <f t="shared" si="186"/>
        <v>0</v>
      </c>
      <c r="T919"/>
      <c r="U919">
        <f t="shared" si="187"/>
        <v>0</v>
      </c>
      <c r="V919">
        <f t="shared" si="188"/>
        <v>500</v>
      </c>
      <c r="W919">
        <f t="shared" si="189"/>
        <v>0</v>
      </c>
      <c r="X919" t="s">
        <v>1422</v>
      </c>
    </row>
    <row r="920" spans="1:24" x14ac:dyDescent="0.25">
      <c r="A920" t="s">
        <v>1928</v>
      </c>
      <c r="B920" t="s">
        <v>1934</v>
      </c>
      <c r="C920" t="s">
        <v>2019</v>
      </c>
      <c r="D920" t="s">
        <v>146</v>
      </c>
      <c r="E920" t="s">
        <v>37</v>
      </c>
      <c r="F920" t="s">
        <v>1</v>
      </c>
      <c r="G920" t="s">
        <v>655</v>
      </c>
      <c r="H920" t="s">
        <v>437</v>
      </c>
      <c r="I920" t="s">
        <v>1</v>
      </c>
      <c r="J920">
        <v>906.81</v>
      </c>
      <c r="K920">
        <v>1471.8575524416001</v>
      </c>
      <c r="L920">
        <v>55.94</v>
      </c>
      <c r="M920">
        <v>112.80718232044198</v>
      </c>
      <c r="N920">
        <v>55.94</v>
      </c>
      <c r="O920">
        <v>111.88</v>
      </c>
      <c r="P920">
        <v>1388</v>
      </c>
      <c r="Q920">
        <f t="shared" si="185"/>
        <v>1499.88</v>
      </c>
      <c r="R920">
        <v>1500</v>
      </c>
      <c r="S920">
        <f t="shared" si="186"/>
        <v>0.11999999999989086</v>
      </c>
      <c r="T920"/>
      <c r="U920">
        <f t="shared" si="187"/>
        <v>0</v>
      </c>
      <c r="V920">
        <f t="shared" si="188"/>
        <v>1500</v>
      </c>
      <c r="W920">
        <f t="shared" si="189"/>
        <v>0.11999999999989086</v>
      </c>
      <c r="X920" t="s">
        <v>1423</v>
      </c>
    </row>
    <row r="921" spans="1:24" x14ac:dyDescent="0.25">
      <c r="A921" t="s">
        <v>1928</v>
      </c>
      <c r="B921" t="s">
        <v>1934</v>
      </c>
      <c r="C921" t="s">
        <v>2019</v>
      </c>
      <c r="D921" t="s">
        <v>146</v>
      </c>
      <c r="E921" t="s">
        <v>121</v>
      </c>
      <c r="F921" t="s">
        <v>1</v>
      </c>
      <c r="G921" t="s">
        <v>655</v>
      </c>
      <c r="H921" t="s">
        <v>590</v>
      </c>
      <c r="I921" t="s">
        <v>1</v>
      </c>
      <c r="J921"/>
      <c r="K921">
        <v>73456.733411972396</v>
      </c>
      <c r="L921">
        <v>1463</v>
      </c>
      <c r="M921">
        <v>2950.2486187845307</v>
      </c>
      <c r="N921">
        <v>1463</v>
      </c>
      <c r="O921">
        <v>2926</v>
      </c>
      <c r="P921">
        <v>-2926</v>
      </c>
      <c r="Q921">
        <f t="shared" si="185"/>
        <v>0</v>
      </c>
      <c r="R921">
        <v>0</v>
      </c>
      <c r="S921">
        <f t="shared" si="186"/>
        <v>0</v>
      </c>
      <c r="T921"/>
      <c r="U921">
        <f t="shared" si="187"/>
        <v>0</v>
      </c>
      <c r="V921">
        <f t="shared" si="188"/>
        <v>0</v>
      </c>
      <c r="W921">
        <f t="shared" si="189"/>
        <v>0</v>
      </c>
      <c r="X921">
        <v>0</v>
      </c>
    </row>
    <row r="922" spans="1:24" x14ac:dyDescent="0.25">
      <c r="A922" t="s">
        <v>1928</v>
      </c>
      <c r="B922" t="s">
        <v>1934</v>
      </c>
      <c r="C922" t="s">
        <v>2019</v>
      </c>
      <c r="D922" t="s">
        <v>146</v>
      </c>
      <c r="E922" t="s">
        <v>76</v>
      </c>
      <c r="F922" t="s">
        <v>1</v>
      </c>
      <c r="G922" t="s">
        <v>655</v>
      </c>
      <c r="H922" t="s">
        <v>493</v>
      </c>
      <c r="I922" t="s">
        <v>1</v>
      </c>
      <c r="J922"/>
      <c r="K922">
        <v>10260</v>
      </c>
      <c r="L922">
        <v>0</v>
      </c>
      <c r="M922">
        <v>0</v>
      </c>
      <c r="N922">
        <v>0</v>
      </c>
      <c r="O922"/>
      <c r="P922">
        <v>0</v>
      </c>
      <c r="Q922">
        <f t="shared" si="185"/>
        <v>0</v>
      </c>
      <c r="R922">
        <v>0</v>
      </c>
      <c r="S922">
        <f t="shared" si="186"/>
        <v>0</v>
      </c>
      <c r="T922">
        <v>0.03</v>
      </c>
      <c r="U922">
        <f t="shared" si="187"/>
        <v>0</v>
      </c>
      <c r="V922">
        <f t="shared" si="188"/>
        <v>0</v>
      </c>
      <c r="W922">
        <f t="shared" si="189"/>
        <v>0</v>
      </c>
      <c r="X922">
        <v>0</v>
      </c>
    </row>
    <row r="923" spans="1:24" x14ac:dyDescent="0.25">
      <c r="A923" t="s">
        <v>1928</v>
      </c>
      <c r="B923" t="s">
        <v>1934</v>
      </c>
      <c r="C923" t="s">
        <v>2019</v>
      </c>
      <c r="D923" t="s">
        <v>146</v>
      </c>
      <c r="E923" t="s">
        <v>41</v>
      </c>
      <c r="F923" t="s">
        <v>1</v>
      </c>
      <c r="G923" t="s">
        <v>655</v>
      </c>
      <c r="H923" t="s">
        <v>441</v>
      </c>
      <c r="I923" t="s">
        <v>1</v>
      </c>
      <c r="J923">
        <v>16009.39</v>
      </c>
      <c r="K923">
        <v>18737.629999999201</v>
      </c>
      <c r="L923">
        <v>7556.36</v>
      </c>
      <c r="M923">
        <v>15237.963535911602</v>
      </c>
      <c r="N923">
        <v>14674.92</v>
      </c>
      <c r="O923">
        <v>15112.72</v>
      </c>
      <c r="P923">
        <v>0</v>
      </c>
      <c r="Q923">
        <f t="shared" si="185"/>
        <v>15112.72</v>
      </c>
      <c r="R923">
        <v>15112.72</v>
      </c>
      <c r="S923">
        <f t="shared" si="186"/>
        <v>0</v>
      </c>
      <c r="T923">
        <v>0.03</v>
      </c>
      <c r="U923">
        <f t="shared" si="187"/>
        <v>453.38159999999999</v>
      </c>
      <c r="V923">
        <f t="shared" si="188"/>
        <v>15566.1016</v>
      </c>
      <c r="W923">
        <f t="shared" si="189"/>
        <v>453.38160000000062</v>
      </c>
      <c r="X923">
        <v>0</v>
      </c>
    </row>
    <row r="924" spans="1:24" x14ac:dyDescent="0.25">
      <c r="A924" t="s">
        <v>1928</v>
      </c>
      <c r="B924" t="s">
        <v>1934</v>
      </c>
      <c r="C924" t="s">
        <v>2019</v>
      </c>
      <c r="D924" t="s">
        <v>146</v>
      </c>
      <c r="E924" t="s">
        <v>42</v>
      </c>
      <c r="F924" t="s">
        <v>1</v>
      </c>
      <c r="G924" t="s">
        <v>655</v>
      </c>
      <c r="H924" t="s">
        <v>442</v>
      </c>
      <c r="I924" t="s">
        <v>1</v>
      </c>
      <c r="J924">
        <v>168.62</v>
      </c>
      <c r="K924"/>
      <c r="L924">
        <v>0</v>
      </c>
      <c r="M924">
        <v>0</v>
      </c>
      <c r="N924">
        <v>168.62</v>
      </c>
      <c r="O924"/>
      <c r="P924">
        <v>0</v>
      </c>
      <c r="Q924">
        <f t="shared" si="185"/>
        <v>0</v>
      </c>
      <c r="R924">
        <v>0</v>
      </c>
      <c r="S924">
        <f t="shared" si="186"/>
        <v>0</v>
      </c>
      <c r="T924">
        <v>0.03</v>
      </c>
      <c r="U924">
        <f t="shared" si="187"/>
        <v>0</v>
      </c>
      <c r="V924">
        <f t="shared" si="188"/>
        <v>0</v>
      </c>
      <c r="W924">
        <f t="shared" si="189"/>
        <v>0</v>
      </c>
      <c r="X924">
        <v>0</v>
      </c>
    </row>
    <row r="925" spans="1:24" x14ac:dyDescent="0.25">
      <c r="A925" t="s">
        <v>1928</v>
      </c>
      <c r="B925" t="s">
        <v>1934</v>
      </c>
      <c r="C925" t="s">
        <v>2019</v>
      </c>
      <c r="D925" t="s">
        <v>146</v>
      </c>
      <c r="E925" t="s">
        <v>43</v>
      </c>
      <c r="F925" t="s">
        <v>1</v>
      </c>
      <c r="G925" t="s">
        <v>655</v>
      </c>
      <c r="H925" t="s">
        <v>443</v>
      </c>
      <c r="I925" t="s">
        <v>1</v>
      </c>
      <c r="J925">
        <v>1350</v>
      </c>
      <c r="K925"/>
      <c r="L925">
        <v>0</v>
      </c>
      <c r="M925">
        <v>0</v>
      </c>
      <c r="N925">
        <v>1350</v>
      </c>
      <c r="O925"/>
      <c r="P925">
        <v>0</v>
      </c>
      <c r="Q925">
        <f t="shared" si="185"/>
        <v>0</v>
      </c>
      <c r="R925">
        <v>0</v>
      </c>
      <c r="S925">
        <f t="shared" si="186"/>
        <v>0</v>
      </c>
      <c r="T925">
        <v>0.03</v>
      </c>
      <c r="U925">
        <f t="shared" si="187"/>
        <v>0</v>
      </c>
      <c r="V925">
        <f t="shared" si="188"/>
        <v>0</v>
      </c>
      <c r="W925">
        <f t="shared" si="189"/>
        <v>0</v>
      </c>
      <c r="X925">
        <v>0</v>
      </c>
    </row>
    <row r="926" spans="1:24" x14ac:dyDescent="0.25">
      <c r="A926" t="s">
        <v>1928</v>
      </c>
      <c r="B926" t="s">
        <v>1934</v>
      </c>
      <c r="C926" t="s">
        <v>2019</v>
      </c>
      <c r="D926" t="s">
        <v>146</v>
      </c>
      <c r="E926" t="s">
        <v>134</v>
      </c>
      <c r="F926" t="s">
        <v>1</v>
      </c>
      <c r="G926" t="s">
        <v>655</v>
      </c>
      <c r="H926" t="s">
        <v>623</v>
      </c>
      <c r="I926" t="s">
        <v>1</v>
      </c>
      <c r="J926">
        <v>3859.18</v>
      </c>
      <c r="K926">
        <v>6528</v>
      </c>
      <c r="L926">
        <v>3989.21</v>
      </c>
      <c r="M926">
        <v>8044.5395027624309</v>
      </c>
      <c r="N926">
        <v>4836.3999999999996</v>
      </c>
      <c r="O926">
        <v>7978.42</v>
      </c>
      <c r="P926">
        <v>0</v>
      </c>
      <c r="Q926">
        <f t="shared" si="185"/>
        <v>7978.42</v>
      </c>
      <c r="R926">
        <v>7978.42</v>
      </c>
      <c r="S926">
        <f t="shared" si="186"/>
        <v>0</v>
      </c>
      <c r="T926">
        <v>0.03</v>
      </c>
      <c r="U926">
        <f t="shared" si="187"/>
        <v>239.3526</v>
      </c>
      <c r="V926">
        <f t="shared" si="188"/>
        <v>8217.7726000000002</v>
      </c>
      <c r="W926">
        <f t="shared" si="189"/>
        <v>239.35260000000017</v>
      </c>
      <c r="X926">
        <v>0</v>
      </c>
    </row>
    <row r="927" spans="1:24" x14ac:dyDescent="0.25">
      <c r="A927" t="s">
        <v>1928</v>
      </c>
      <c r="B927" t="s">
        <v>1934</v>
      </c>
      <c r="C927" t="s">
        <v>2019</v>
      </c>
      <c r="D927" t="s">
        <v>146</v>
      </c>
      <c r="E927" t="s">
        <v>46</v>
      </c>
      <c r="F927" t="s">
        <v>1</v>
      </c>
      <c r="G927" t="s">
        <v>655</v>
      </c>
      <c r="H927" t="s">
        <v>446</v>
      </c>
      <c r="I927" t="s">
        <v>1</v>
      </c>
      <c r="J927">
        <v>1542.14</v>
      </c>
      <c r="K927"/>
      <c r="L927">
        <v>0</v>
      </c>
      <c r="M927">
        <v>0</v>
      </c>
      <c r="N927">
        <v>1542.14</v>
      </c>
      <c r="O927"/>
      <c r="P927">
        <v>0</v>
      </c>
      <c r="Q927">
        <f t="shared" si="185"/>
        <v>0</v>
      </c>
      <c r="R927">
        <v>0</v>
      </c>
      <c r="S927">
        <f t="shared" si="186"/>
        <v>0</v>
      </c>
      <c r="T927">
        <v>0.03</v>
      </c>
      <c r="U927">
        <f t="shared" si="187"/>
        <v>0</v>
      </c>
      <c r="V927">
        <f t="shared" si="188"/>
        <v>0</v>
      </c>
      <c r="W927">
        <f t="shared" si="189"/>
        <v>0</v>
      </c>
      <c r="X927">
        <v>0</v>
      </c>
    </row>
    <row r="928" spans="1:24" x14ac:dyDescent="0.25">
      <c r="A928" t="s">
        <v>1928</v>
      </c>
      <c r="B928" t="s">
        <v>1934</v>
      </c>
      <c r="C928" t="s">
        <v>2019</v>
      </c>
      <c r="D928" t="s">
        <v>146</v>
      </c>
      <c r="E928" t="s">
        <v>47</v>
      </c>
      <c r="F928" t="s">
        <v>1</v>
      </c>
      <c r="G928" t="s">
        <v>655</v>
      </c>
      <c r="H928" t="s">
        <v>447</v>
      </c>
      <c r="I928" t="s">
        <v>1</v>
      </c>
      <c r="J928">
        <v>210</v>
      </c>
      <c r="K928">
        <v>174.99999999959999</v>
      </c>
      <c r="L928">
        <v>0</v>
      </c>
      <c r="M928">
        <v>0</v>
      </c>
      <c r="N928">
        <v>0</v>
      </c>
      <c r="O928"/>
      <c r="P928">
        <v>0</v>
      </c>
      <c r="Q928">
        <f t="shared" si="185"/>
        <v>0</v>
      </c>
      <c r="R928">
        <v>0</v>
      </c>
      <c r="S928">
        <f t="shared" si="186"/>
        <v>0</v>
      </c>
      <c r="T928">
        <v>0.03</v>
      </c>
      <c r="U928">
        <f t="shared" si="187"/>
        <v>0</v>
      </c>
      <c r="V928">
        <f t="shared" si="188"/>
        <v>0</v>
      </c>
      <c r="W928">
        <f t="shared" si="189"/>
        <v>0</v>
      </c>
      <c r="X928">
        <v>0</v>
      </c>
    </row>
    <row r="929" spans="1:24" x14ac:dyDescent="0.25">
      <c r="A929" t="s">
        <v>1928</v>
      </c>
      <c r="B929" t="s">
        <v>1934</v>
      </c>
      <c r="C929" t="s">
        <v>2019</v>
      </c>
      <c r="D929" t="s">
        <v>146</v>
      </c>
      <c r="E929" t="s">
        <v>50</v>
      </c>
      <c r="F929" t="s">
        <v>1</v>
      </c>
      <c r="G929" t="s">
        <v>655</v>
      </c>
      <c r="H929" t="s">
        <v>450</v>
      </c>
      <c r="I929" t="s">
        <v>1</v>
      </c>
      <c r="J929">
        <v>2716.56</v>
      </c>
      <c r="K929">
        <v>2409.9999999999</v>
      </c>
      <c r="L929">
        <v>1163.28</v>
      </c>
      <c r="M929">
        <v>2345.8408839779004</v>
      </c>
      <c r="N929">
        <v>2733.0299999999993</v>
      </c>
      <c r="O929">
        <v>2345.8408839778999</v>
      </c>
      <c r="P929">
        <v>0</v>
      </c>
      <c r="Q929">
        <f t="shared" si="185"/>
        <v>2345.8408839778999</v>
      </c>
      <c r="R929">
        <v>2345.8408839778999</v>
      </c>
      <c r="S929">
        <f t="shared" si="186"/>
        <v>0</v>
      </c>
      <c r="T929"/>
      <c r="U929">
        <f t="shared" si="187"/>
        <v>0</v>
      </c>
      <c r="V929">
        <f t="shared" si="188"/>
        <v>2345.8408839778999</v>
      </c>
      <c r="W929">
        <f t="shared" si="189"/>
        <v>0</v>
      </c>
      <c r="X929">
        <v>0</v>
      </c>
    </row>
    <row r="930" spans="1:24" x14ac:dyDescent="0.25">
      <c r="A930" t="s">
        <v>1928</v>
      </c>
      <c r="B930" t="s">
        <v>1934</v>
      </c>
      <c r="C930" t="s">
        <v>2019</v>
      </c>
      <c r="D930" t="s">
        <v>146</v>
      </c>
      <c r="E930" t="s">
        <v>51</v>
      </c>
      <c r="F930" t="s">
        <v>51</v>
      </c>
      <c r="G930" t="s">
        <v>657</v>
      </c>
      <c r="H930"/>
      <c r="I930"/>
      <c r="J930">
        <v>1053667.21</v>
      </c>
      <c r="K930">
        <v>1365026.3730380712</v>
      </c>
      <c r="L930">
        <v>405025.99</v>
      </c>
      <c r="M930">
        <v>816765.11795580108</v>
      </c>
      <c r="N930">
        <v>815068.54999999981</v>
      </c>
      <c r="O930">
        <v>814766.42075830302</v>
      </c>
      <c r="P930">
        <f>SUMIF($F$892:$F$929,"&lt;&gt;EV_*",$P$892:$P$929)</f>
        <v>55981</v>
      </c>
      <c r="Q930">
        <f>SUMIF($F$892:$F$929,"&lt;&gt;EV_*",$Q$892:$Q$929)</f>
        <v>870747.42075830302</v>
      </c>
      <c r="R930">
        <f>SUMIF($F$892:$F$929,"&lt;&gt;EV_*",$R$892:$R$929)</f>
        <v>871193.30737660138</v>
      </c>
      <c r="S930">
        <f>SUMIF($F$892:$F$929,"&lt;&gt;EV_*",$S$892:$S$929)</f>
        <v>445.88661829829596</v>
      </c>
      <c r="T930">
        <v>0</v>
      </c>
      <c r="U930">
        <f>SUMIF($F$892:$F$929,"&lt;&gt;EV_*",$U$892:$U$929)</f>
        <v>19501.191230078628</v>
      </c>
      <c r="V930">
        <f>SUMIF($F$892:$F$929,"&lt;&gt;EV_*",$V$892:$V$929)</f>
        <v>890694.49860668008</v>
      </c>
      <c r="W930">
        <f>SUMIF($F$892:$F$929,"&lt;&gt;EV_*",$W$892:$W$929)</f>
        <v>19947.077848376946</v>
      </c>
      <c r="X930">
        <f>SUMIF($F$892:$F$929,"&lt;&gt;EV_*",$X$892:$X$929)</f>
        <v>0</v>
      </c>
    </row>
    <row r="931" spans="1:24" x14ac:dyDescent="0.25">
      <c r="A931" t="s">
        <v>1928</v>
      </c>
      <c r="B931" t="s">
        <v>1932</v>
      </c>
      <c r="C931" t="s">
        <v>2020</v>
      </c>
      <c r="D931" t="s">
        <v>148</v>
      </c>
      <c r="E931" t="s">
        <v>5</v>
      </c>
      <c r="F931" t="s">
        <v>5</v>
      </c>
      <c r="G931" t="s">
        <v>658</v>
      </c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</row>
    <row r="932" spans="1:24" x14ac:dyDescent="0.25">
      <c r="A932" t="s">
        <v>1928</v>
      </c>
      <c r="B932" t="s">
        <v>1932</v>
      </c>
      <c r="C932" t="s">
        <v>2020</v>
      </c>
      <c r="D932" t="s">
        <v>148</v>
      </c>
      <c r="E932" t="s">
        <v>149</v>
      </c>
      <c r="F932" t="s">
        <v>1</v>
      </c>
      <c r="G932" t="s">
        <v>659</v>
      </c>
      <c r="H932" t="s">
        <v>660</v>
      </c>
      <c r="I932" t="s">
        <v>1</v>
      </c>
      <c r="J932">
        <v>39.200000000000003</v>
      </c>
      <c r="K932"/>
      <c r="L932">
        <v>0</v>
      </c>
      <c r="M932">
        <v>0</v>
      </c>
      <c r="N932">
        <v>39.200000000000003</v>
      </c>
      <c r="O932"/>
      <c r="P932">
        <v>0</v>
      </c>
      <c r="Q932">
        <f t="shared" ref="Q932:Q951" si="190">O932+P932</f>
        <v>0</v>
      </c>
      <c r="R932">
        <v>0</v>
      </c>
      <c r="S932">
        <f t="shared" ref="S932:S951" si="191">IF(OR(LEFT(E932,2)="A_",LEFT(D932,5)="Total"),R932-Q932,"")</f>
        <v>0</v>
      </c>
      <c r="T932">
        <v>0.02</v>
      </c>
      <c r="U932">
        <f t="shared" ref="U932:U951" si="192">IFERROR(R932*T932,R932*0)</f>
        <v>0</v>
      </c>
      <c r="V932">
        <f t="shared" ref="V932:V951" si="193">IF(OR(LEFT(E932,2)="A_",LEFT(D932,5)="Total"),R932+U932,"")</f>
        <v>0</v>
      </c>
      <c r="W932">
        <f t="shared" ref="W932:W951" si="194">IF(OR(LEFT(E932,2)="A_",LEFT(D932,5)="Total"),V932-Q932,"")</f>
        <v>0</v>
      </c>
      <c r="X932">
        <v>0</v>
      </c>
    </row>
    <row r="933" spans="1:24" x14ac:dyDescent="0.25">
      <c r="A933" t="s">
        <v>1928</v>
      </c>
      <c r="B933" t="s">
        <v>1932</v>
      </c>
      <c r="C933" t="s">
        <v>2020</v>
      </c>
      <c r="D933" t="s">
        <v>148</v>
      </c>
      <c r="E933" t="s">
        <v>8</v>
      </c>
      <c r="F933" t="s">
        <v>1</v>
      </c>
      <c r="G933" t="s">
        <v>659</v>
      </c>
      <c r="H933" t="s">
        <v>408</v>
      </c>
      <c r="I933" t="s">
        <v>1</v>
      </c>
      <c r="J933"/>
      <c r="K933"/>
      <c r="L933">
        <v>630.05999999999995</v>
      </c>
      <c r="M933">
        <v>1270.5629834254141</v>
      </c>
      <c r="N933">
        <v>630.05999999999995</v>
      </c>
      <c r="O933">
        <v>1270.5629834254</v>
      </c>
      <c r="P933">
        <v>-1271</v>
      </c>
      <c r="Q933">
        <f t="shared" si="190"/>
        <v>-0.43701657459996568</v>
      </c>
      <c r="R933">
        <v>0</v>
      </c>
      <c r="S933">
        <f t="shared" si="191"/>
        <v>0.43701657459996568</v>
      </c>
      <c r="T933"/>
      <c r="U933">
        <f t="shared" si="192"/>
        <v>0</v>
      </c>
      <c r="V933">
        <f t="shared" si="193"/>
        <v>0</v>
      </c>
      <c r="W933">
        <f t="shared" si="194"/>
        <v>0.43701657459996568</v>
      </c>
      <c r="X933">
        <v>0</v>
      </c>
    </row>
    <row r="934" spans="1:24" x14ac:dyDescent="0.25">
      <c r="A934" t="s">
        <v>1928</v>
      </c>
      <c r="B934" t="s">
        <v>1932</v>
      </c>
      <c r="C934" t="s">
        <v>2020</v>
      </c>
      <c r="D934" t="s">
        <v>148</v>
      </c>
      <c r="E934" t="s">
        <v>11</v>
      </c>
      <c r="F934" t="s">
        <v>1</v>
      </c>
      <c r="G934" t="s">
        <v>659</v>
      </c>
      <c r="H934" t="s">
        <v>411</v>
      </c>
      <c r="I934" t="s">
        <v>1</v>
      </c>
      <c r="J934">
        <v>3559.65</v>
      </c>
      <c r="K934">
        <v>3900.9999999995998</v>
      </c>
      <c r="L934">
        <v>317.64999999999998</v>
      </c>
      <c r="M934">
        <v>640.56491712707179</v>
      </c>
      <c r="N934">
        <v>2033.1699999999998</v>
      </c>
      <c r="O934">
        <v>635.29999999999995</v>
      </c>
      <c r="P934">
        <v>0</v>
      </c>
      <c r="Q934">
        <f t="shared" si="190"/>
        <v>635.29999999999995</v>
      </c>
      <c r="R934">
        <v>635.29999999999995</v>
      </c>
      <c r="S934">
        <f t="shared" si="191"/>
        <v>0</v>
      </c>
      <c r="T934"/>
      <c r="U934">
        <f t="shared" si="192"/>
        <v>0</v>
      </c>
      <c r="V934">
        <f t="shared" si="193"/>
        <v>635.29999999999995</v>
      </c>
      <c r="W934">
        <f t="shared" si="194"/>
        <v>0</v>
      </c>
      <c r="X934">
        <v>0</v>
      </c>
    </row>
    <row r="935" spans="1:24" x14ac:dyDescent="0.25">
      <c r="A935" t="s">
        <v>1928</v>
      </c>
      <c r="B935" t="s">
        <v>1932</v>
      </c>
      <c r="C935" t="s">
        <v>2020</v>
      </c>
      <c r="D935" t="s">
        <v>148</v>
      </c>
      <c r="E935" t="s">
        <v>17</v>
      </c>
      <c r="F935" t="s">
        <v>1</v>
      </c>
      <c r="G935" t="s">
        <v>659</v>
      </c>
      <c r="H935" t="s">
        <v>417</v>
      </c>
      <c r="I935" t="s">
        <v>1</v>
      </c>
      <c r="J935">
        <v>-9.4700000000000006</v>
      </c>
      <c r="K935"/>
      <c r="L935">
        <v>-234.1</v>
      </c>
      <c r="M935">
        <v>-472.08011049723757</v>
      </c>
      <c r="N935">
        <v>-243.57</v>
      </c>
      <c r="O935">
        <v>-470.77252747249997</v>
      </c>
      <c r="P935">
        <v>0</v>
      </c>
      <c r="Q935">
        <f t="shared" si="190"/>
        <v>-470.77252747249997</v>
      </c>
      <c r="R935">
        <v>-470.77252747249997</v>
      </c>
      <c r="S935">
        <f t="shared" si="191"/>
        <v>0</v>
      </c>
      <c r="T935"/>
      <c r="U935">
        <f t="shared" si="192"/>
        <v>0</v>
      </c>
      <c r="V935">
        <f t="shared" si="193"/>
        <v>-470.77252747249997</v>
      </c>
      <c r="W935">
        <f t="shared" si="194"/>
        <v>0</v>
      </c>
      <c r="X935">
        <v>0</v>
      </c>
    </row>
    <row r="936" spans="1:24" x14ac:dyDescent="0.25">
      <c r="A936" t="s">
        <v>1928</v>
      </c>
      <c r="B936" t="s">
        <v>1932</v>
      </c>
      <c r="C936" t="s">
        <v>2020</v>
      </c>
      <c r="D936" t="s">
        <v>148</v>
      </c>
      <c r="E936" t="s">
        <v>82</v>
      </c>
      <c r="F936" t="s">
        <v>1</v>
      </c>
      <c r="G936" t="s">
        <v>659</v>
      </c>
      <c r="H936" t="s">
        <v>507</v>
      </c>
      <c r="I936" t="s">
        <v>1</v>
      </c>
      <c r="J936">
        <v>44</v>
      </c>
      <c r="K936"/>
      <c r="L936">
        <v>0</v>
      </c>
      <c r="M936">
        <v>0</v>
      </c>
      <c r="N936">
        <v>0</v>
      </c>
      <c r="O936"/>
      <c r="P936">
        <v>0</v>
      </c>
      <c r="Q936">
        <f t="shared" si="190"/>
        <v>0</v>
      </c>
      <c r="R936">
        <v>0</v>
      </c>
      <c r="S936">
        <f t="shared" si="191"/>
        <v>0</v>
      </c>
      <c r="T936">
        <v>2.75E-2</v>
      </c>
      <c r="U936">
        <f t="shared" si="192"/>
        <v>0</v>
      </c>
      <c r="V936">
        <f t="shared" si="193"/>
        <v>0</v>
      </c>
      <c r="W936">
        <f t="shared" si="194"/>
        <v>0</v>
      </c>
      <c r="X936">
        <v>0</v>
      </c>
    </row>
    <row r="937" spans="1:24" x14ac:dyDescent="0.25">
      <c r="A937" t="s">
        <v>1928</v>
      </c>
      <c r="B937" t="s">
        <v>1932</v>
      </c>
      <c r="C937" t="s">
        <v>2020</v>
      </c>
      <c r="D937" t="s">
        <v>148</v>
      </c>
      <c r="E937" t="s">
        <v>18</v>
      </c>
      <c r="F937" t="s">
        <v>1</v>
      </c>
      <c r="G937" t="s">
        <v>659</v>
      </c>
      <c r="H937" t="s">
        <v>418</v>
      </c>
      <c r="I937" t="s">
        <v>1</v>
      </c>
      <c r="J937">
        <v>8706.99</v>
      </c>
      <c r="K937">
        <v>11819.8863827163</v>
      </c>
      <c r="L937">
        <v>893.88</v>
      </c>
      <c r="M937">
        <v>1802.5756906077349</v>
      </c>
      <c r="N937">
        <v>2619.7300000000005</v>
      </c>
      <c r="O937">
        <v>1797.5828571428999</v>
      </c>
      <c r="P937">
        <v>0</v>
      </c>
      <c r="Q937">
        <f t="shared" si="190"/>
        <v>1797.5828571428999</v>
      </c>
      <c r="R937">
        <v>1797.5828571428999</v>
      </c>
      <c r="S937">
        <f t="shared" si="191"/>
        <v>0</v>
      </c>
      <c r="T937">
        <v>0.02</v>
      </c>
      <c r="U937">
        <f t="shared" si="192"/>
        <v>35.951657142857997</v>
      </c>
      <c r="V937">
        <f t="shared" si="193"/>
        <v>1833.534514285758</v>
      </c>
      <c r="W937">
        <f t="shared" si="194"/>
        <v>35.951657142858039</v>
      </c>
      <c r="X937">
        <v>0</v>
      </c>
    </row>
    <row r="938" spans="1:24" x14ac:dyDescent="0.25">
      <c r="A938" t="s">
        <v>1928</v>
      </c>
      <c r="B938" t="s">
        <v>1932</v>
      </c>
      <c r="C938" t="s">
        <v>2020</v>
      </c>
      <c r="D938" t="s">
        <v>148</v>
      </c>
      <c r="E938" t="s">
        <v>74</v>
      </c>
      <c r="F938" t="s">
        <v>1</v>
      </c>
      <c r="G938" t="s">
        <v>659</v>
      </c>
      <c r="H938" t="s">
        <v>491</v>
      </c>
      <c r="I938" t="s">
        <v>1</v>
      </c>
      <c r="J938">
        <v>12575</v>
      </c>
      <c r="K938">
        <v>16421.552777777699</v>
      </c>
      <c r="L938">
        <v>11324.96</v>
      </c>
      <c r="M938">
        <v>22837.626519337016</v>
      </c>
      <c r="N938">
        <v>14342.96</v>
      </c>
      <c r="O938">
        <v>22774.3701098901</v>
      </c>
      <c r="P938">
        <v>0</v>
      </c>
      <c r="Q938">
        <f t="shared" si="190"/>
        <v>22774.3701098901</v>
      </c>
      <c r="R938">
        <v>22774.3701098901</v>
      </c>
      <c r="S938">
        <f t="shared" si="191"/>
        <v>0</v>
      </c>
      <c r="T938">
        <v>3.5000000000000003E-2</v>
      </c>
      <c r="U938">
        <f t="shared" si="192"/>
        <v>797.10295384615358</v>
      </c>
      <c r="V938">
        <f t="shared" si="193"/>
        <v>23571.473063736255</v>
      </c>
      <c r="W938">
        <f t="shared" si="194"/>
        <v>797.10295384615529</v>
      </c>
      <c r="X938">
        <v>0</v>
      </c>
    </row>
    <row r="939" spans="1:24" x14ac:dyDescent="0.25">
      <c r="A939" t="s">
        <v>1928</v>
      </c>
      <c r="B939" t="s">
        <v>1932</v>
      </c>
      <c r="C939" t="s">
        <v>2020</v>
      </c>
      <c r="D939" t="s">
        <v>148</v>
      </c>
      <c r="E939" t="s">
        <v>20</v>
      </c>
      <c r="F939" t="s">
        <v>1</v>
      </c>
      <c r="G939" t="s">
        <v>659</v>
      </c>
      <c r="H939" t="s">
        <v>420</v>
      </c>
      <c r="I939" t="s">
        <v>1</v>
      </c>
      <c r="J939">
        <v>12.06</v>
      </c>
      <c r="K939"/>
      <c r="L939">
        <v>0</v>
      </c>
      <c r="M939">
        <v>0</v>
      </c>
      <c r="N939">
        <v>12.06</v>
      </c>
      <c r="O939"/>
      <c r="P939">
        <v>0</v>
      </c>
      <c r="Q939">
        <f t="shared" si="190"/>
        <v>0</v>
      </c>
      <c r="R939">
        <v>0</v>
      </c>
      <c r="S939">
        <f t="shared" si="191"/>
        <v>0</v>
      </c>
      <c r="T939">
        <v>0.04</v>
      </c>
      <c r="U939">
        <f t="shared" si="192"/>
        <v>0</v>
      </c>
      <c r="V939">
        <f t="shared" si="193"/>
        <v>0</v>
      </c>
      <c r="W939">
        <f t="shared" si="194"/>
        <v>0</v>
      </c>
      <c r="X939">
        <v>0</v>
      </c>
    </row>
    <row r="940" spans="1:24" x14ac:dyDescent="0.25">
      <c r="A940" t="s">
        <v>1928</v>
      </c>
      <c r="B940" t="s">
        <v>1932</v>
      </c>
      <c r="C940" t="s">
        <v>2020</v>
      </c>
      <c r="D940" t="s">
        <v>148</v>
      </c>
      <c r="E940" t="s">
        <v>21</v>
      </c>
      <c r="F940" t="s">
        <v>1</v>
      </c>
      <c r="G940" t="s">
        <v>659</v>
      </c>
      <c r="H940" t="s">
        <v>421</v>
      </c>
      <c r="I940" t="s">
        <v>1</v>
      </c>
      <c r="J940">
        <v>1511.87</v>
      </c>
      <c r="K940">
        <v>1812.7999999998999</v>
      </c>
      <c r="L940">
        <v>4.6500000000000004</v>
      </c>
      <c r="M940">
        <v>9.377071823204421</v>
      </c>
      <c r="N940">
        <v>635.41</v>
      </c>
      <c r="O940">
        <v>9.3770718231999997</v>
      </c>
      <c r="P940">
        <v>0</v>
      </c>
      <c r="Q940">
        <f t="shared" si="190"/>
        <v>9.3770718231999997</v>
      </c>
      <c r="R940">
        <v>9.3770718231999997</v>
      </c>
      <c r="S940">
        <f t="shared" si="191"/>
        <v>0</v>
      </c>
      <c r="T940">
        <v>0.03</v>
      </c>
      <c r="U940">
        <f t="shared" si="192"/>
        <v>0.28131215469599996</v>
      </c>
      <c r="V940">
        <f t="shared" si="193"/>
        <v>9.6583839778959995</v>
      </c>
      <c r="W940">
        <f t="shared" si="194"/>
        <v>0.28131215469599979</v>
      </c>
      <c r="X940">
        <v>0</v>
      </c>
    </row>
    <row r="941" spans="1:24" x14ac:dyDescent="0.25">
      <c r="A941" t="s">
        <v>1928</v>
      </c>
      <c r="B941" t="s">
        <v>1932</v>
      </c>
      <c r="C941" t="s">
        <v>2020</v>
      </c>
      <c r="D941" t="s">
        <v>148</v>
      </c>
      <c r="E941" t="s">
        <v>22</v>
      </c>
      <c r="F941" t="s">
        <v>1</v>
      </c>
      <c r="G941" t="s">
        <v>659</v>
      </c>
      <c r="H941" t="s">
        <v>422</v>
      </c>
      <c r="I941" t="s">
        <v>1</v>
      </c>
      <c r="J941">
        <v>3310.49</v>
      </c>
      <c r="K941">
        <v>3922.6500000001001</v>
      </c>
      <c r="L941">
        <v>1380.7</v>
      </c>
      <c r="M941">
        <v>2784.2845303867407</v>
      </c>
      <c r="N941">
        <v>2797.13</v>
      </c>
      <c r="O941">
        <v>2784.2845303867002</v>
      </c>
      <c r="P941">
        <v>0</v>
      </c>
      <c r="Q941">
        <f t="shared" si="190"/>
        <v>2784.2845303867002</v>
      </c>
      <c r="R941">
        <v>2784.2845303867002</v>
      </c>
      <c r="S941">
        <f t="shared" si="191"/>
        <v>0</v>
      </c>
      <c r="T941">
        <v>3.5000000000000003E-2</v>
      </c>
      <c r="U941">
        <f t="shared" si="192"/>
        <v>97.449958563534523</v>
      </c>
      <c r="V941">
        <f t="shared" si="193"/>
        <v>2881.7344889502347</v>
      </c>
      <c r="W941">
        <f t="shared" si="194"/>
        <v>97.449958563534437</v>
      </c>
      <c r="X941">
        <v>0</v>
      </c>
    </row>
    <row r="942" spans="1:24" x14ac:dyDescent="0.25">
      <c r="A942" t="s">
        <v>1928</v>
      </c>
      <c r="B942" t="s">
        <v>1932</v>
      </c>
      <c r="C942" t="s">
        <v>2020</v>
      </c>
      <c r="D942" t="s">
        <v>148</v>
      </c>
      <c r="E942" t="s">
        <v>23</v>
      </c>
      <c r="F942" t="s">
        <v>1</v>
      </c>
      <c r="G942" t="s">
        <v>659</v>
      </c>
      <c r="H942" t="s">
        <v>423</v>
      </c>
      <c r="I942" t="s">
        <v>1</v>
      </c>
      <c r="J942">
        <v>2365.79</v>
      </c>
      <c r="K942">
        <v>3539.7000000001999</v>
      </c>
      <c r="L942">
        <v>3.19</v>
      </c>
      <c r="M942">
        <v>6.4328729281767956</v>
      </c>
      <c r="N942">
        <v>660.5100000000001</v>
      </c>
      <c r="O942">
        <v>6.4328729282000001</v>
      </c>
      <c r="P942">
        <v>0</v>
      </c>
      <c r="Q942">
        <f t="shared" si="190"/>
        <v>6.4328729282000001</v>
      </c>
      <c r="R942">
        <v>6.4328729282000001</v>
      </c>
      <c r="S942">
        <f t="shared" si="191"/>
        <v>0</v>
      </c>
      <c r="T942">
        <v>3.5000000000000003E-2</v>
      </c>
      <c r="U942">
        <f t="shared" si="192"/>
        <v>0.22515055248700003</v>
      </c>
      <c r="V942">
        <f t="shared" si="193"/>
        <v>6.6580234806870005</v>
      </c>
      <c r="W942">
        <f t="shared" si="194"/>
        <v>0.22515055248700033</v>
      </c>
      <c r="X942">
        <v>0</v>
      </c>
    </row>
    <row r="943" spans="1:24" x14ac:dyDescent="0.25">
      <c r="A943" t="s">
        <v>1928</v>
      </c>
      <c r="B943" t="s">
        <v>1932</v>
      </c>
      <c r="C943" t="s">
        <v>2020</v>
      </c>
      <c r="D943" t="s">
        <v>148</v>
      </c>
      <c r="E943" t="s">
        <v>26</v>
      </c>
      <c r="F943" t="s">
        <v>1</v>
      </c>
      <c r="G943" t="s">
        <v>659</v>
      </c>
      <c r="H943" t="s">
        <v>426</v>
      </c>
      <c r="I943" t="s">
        <v>1</v>
      </c>
      <c r="J943">
        <v>29</v>
      </c>
      <c r="K943">
        <v>29.437151048400001</v>
      </c>
      <c r="L943">
        <v>0</v>
      </c>
      <c r="M943">
        <v>0</v>
      </c>
      <c r="N943">
        <v>0</v>
      </c>
      <c r="O943"/>
      <c r="P943">
        <v>1000</v>
      </c>
      <c r="Q943">
        <f t="shared" si="190"/>
        <v>1000</v>
      </c>
      <c r="R943">
        <v>1000</v>
      </c>
      <c r="S943">
        <f t="shared" si="191"/>
        <v>0</v>
      </c>
      <c r="T943"/>
      <c r="U943">
        <f t="shared" si="192"/>
        <v>0</v>
      </c>
      <c r="V943">
        <f t="shared" si="193"/>
        <v>1000</v>
      </c>
      <c r="W943">
        <f t="shared" si="194"/>
        <v>0</v>
      </c>
      <c r="X943" t="s">
        <v>1460</v>
      </c>
    </row>
    <row r="944" spans="1:24" x14ac:dyDescent="0.25">
      <c r="A944" t="s">
        <v>1928</v>
      </c>
      <c r="B944" t="s">
        <v>1932</v>
      </c>
      <c r="C944" t="s">
        <v>2020</v>
      </c>
      <c r="D944" t="s">
        <v>148</v>
      </c>
      <c r="E944" t="s">
        <v>28</v>
      </c>
      <c r="F944" t="s">
        <v>1</v>
      </c>
      <c r="G944" t="s">
        <v>659</v>
      </c>
      <c r="H944" t="s">
        <v>428</v>
      </c>
      <c r="I944" t="s">
        <v>1</v>
      </c>
      <c r="J944">
        <v>9316.9599999999991</v>
      </c>
      <c r="K944">
        <v>14030.0000000004</v>
      </c>
      <c r="L944">
        <v>1117.5</v>
      </c>
      <c r="M944">
        <v>2253.5220994475139</v>
      </c>
      <c r="N944">
        <v>4023.58</v>
      </c>
      <c r="O944">
        <v>2235</v>
      </c>
      <c r="P944">
        <v>1789</v>
      </c>
      <c r="Q944">
        <f t="shared" si="190"/>
        <v>4024</v>
      </c>
      <c r="R944">
        <v>4024</v>
      </c>
      <c r="S944">
        <f t="shared" si="191"/>
        <v>0</v>
      </c>
      <c r="T944"/>
      <c r="U944">
        <f t="shared" si="192"/>
        <v>0</v>
      </c>
      <c r="V944">
        <f t="shared" si="193"/>
        <v>4024</v>
      </c>
      <c r="W944">
        <f t="shared" si="194"/>
        <v>0</v>
      </c>
      <c r="X944" t="s">
        <v>1421</v>
      </c>
    </row>
    <row r="945" spans="1:24" x14ac:dyDescent="0.25">
      <c r="A945" t="s">
        <v>1928</v>
      </c>
      <c r="B945" t="s">
        <v>1932</v>
      </c>
      <c r="C945" t="s">
        <v>2020</v>
      </c>
      <c r="D945" t="s">
        <v>148</v>
      </c>
      <c r="E945" t="s">
        <v>31</v>
      </c>
      <c r="F945" t="s">
        <v>1</v>
      </c>
      <c r="G945" t="s">
        <v>659</v>
      </c>
      <c r="H945" t="s">
        <v>431</v>
      </c>
      <c r="I945" t="s">
        <v>1</v>
      </c>
      <c r="J945">
        <v>3931.5</v>
      </c>
      <c r="K945"/>
      <c r="L945">
        <v>0</v>
      </c>
      <c r="M945">
        <v>0</v>
      </c>
      <c r="N945">
        <v>0</v>
      </c>
      <c r="O945"/>
      <c r="P945">
        <v>0</v>
      </c>
      <c r="Q945">
        <f t="shared" si="190"/>
        <v>0</v>
      </c>
      <c r="R945">
        <v>0</v>
      </c>
      <c r="S945">
        <f t="shared" si="191"/>
        <v>0</v>
      </c>
      <c r="T945"/>
      <c r="U945">
        <f t="shared" si="192"/>
        <v>0</v>
      </c>
      <c r="V945">
        <f t="shared" si="193"/>
        <v>0</v>
      </c>
      <c r="W945">
        <f t="shared" si="194"/>
        <v>0</v>
      </c>
      <c r="X945">
        <v>0</v>
      </c>
    </row>
    <row r="946" spans="1:24" x14ac:dyDescent="0.25">
      <c r="A946" t="s">
        <v>1928</v>
      </c>
      <c r="B946" t="s">
        <v>1932</v>
      </c>
      <c r="C946" t="s">
        <v>2020</v>
      </c>
      <c r="D946" t="s">
        <v>148</v>
      </c>
      <c r="E946" t="s">
        <v>33</v>
      </c>
      <c r="F946" t="s">
        <v>1</v>
      </c>
      <c r="G946" t="s">
        <v>659</v>
      </c>
      <c r="H946" t="s">
        <v>433</v>
      </c>
      <c r="I946" t="s">
        <v>1</v>
      </c>
      <c r="J946"/>
      <c r="K946">
        <v>245.30959207320001</v>
      </c>
      <c r="L946">
        <v>0</v>
      </c>
      <c r="M946">
        <v>0</v>
      </c>
      <c r="N946">
        <v>0</v>
      </c>
      <c r="O946"/>
      <c r="P946">
        <v>500</v>
      </c>
      <c r="Q946">
        <f t="shared" si="190"/>
        <v>500</v>
      </c>
      <c r="R946">
        <v>500</v>
      </c>
      <c r="S946">
        <f t="shared" si="191"/>
        <v>0</v>
      </c>
      <c r="T946"/>
      <c r="U946">
        <f t="shared" si="192"/>
        <v>0</v>
      </c>
      <c r="V946">
        <f t="shared" si="193"/>
        <v>500</v>
      </c>
      <c r="W946">
        <f t="shared" si="194"/>
        <v>0</v>
      </c>
      <c r="X946" t="s">
        <v>1422</v>
      </c>
    </row>
    <row r="947" spans="1:24" x14ac:dyDescent="0.25">
      <c r="A947" t="s">
        <v>1928</v>
      </c>
      <c r="B947" t="s">
        <v>1932</v>
      </c>
      <c r="C947" t="s">
        <v>2020</v>
      </c>
      <c r="D947" t="s">
        <v>148</v>
      </c>
      <c r="E947" t="s">
        <v>37</v>
      </c>
      <c r="F947" t="s">
        <v>1</v>
      </c>
      <c r="G947" t="s">
        <v>659</v>
      </c>
      <c r="H947" t="s">
        <v>437</v>
      </c>
      <c r="I947" t="s">
        <v>1</v>
      </c>
      <c r="J947">
        <v>1116.31</v>
      </c>
      <c r="K947"/>
      <c r="L947">
        <v>0</v>
      </c>
      <c r="M947">
        <v>0</v>
      </c>
      <c r="N947">
        <v>1116.31</v>
      </c>
      <c r="O947"/>
      <c r="P947">
        <v>1500</v>
      </c>
      <c r="Q947">
        <f t="shared" si="190"/>
        <v>1500</v>
      </c>
      <c r="R947">
        <v>1500</v>
      </c>
      <c r="S947">
        <f t="shared" si="191"/>
        <v>0</v>
      </c>
      <c r="T947"/>
      <c r="U947">
        <f t="shared" si="192"/>
        <v>0</v>
      </c>
      <c r="V947">
        <f t="shared" si="193"/>
        <v>1500</v>
      </c>
      <c r="W947">
        <f t="shared" si="194"/>
        <v>0</v>
      </c>
      <c r="X947" t="s">
        <v>1423</v>
      </c>
    </row>
    <row r="948" spans="1:24" x14ac:dyDescent="0.25">
      <c r="A948" t="s">
        <v>1928</v>
      </c>
      <c r="B948" t="s">
        <v>1932</v>
      </c>
      <c r="C948" t="s">
        <v>2020</v>
      </c>
      <c r="D948" t="s">
        <v>148</v>
      </c>
      <c r="E948" t="s">
        <v>121</v>
      </c>
      <c r="F948" t="s">
        <v>1</v>
      </c>
      <c r="G948" t="s">
        <v>659</v>
      </c>
      <c r="H948" t="s">
        <v>590</v>
      </c>
      <c r="I948" t="s">
        <v>1</v>
      </c>
      <c r="J948">
        <v>3794</v>
      </c>
      <c r="K948">
        <v>25709.856694190399</v>
      </c>
      <c r="L948">
        <v>0</v>
      </c>
      <c r="M948">
        <v>0</v>
      </c>
      <c r="N948">
        <v>0</v>
      </c>
      <c r="O948"/>
      <c r="P948">
        <v>0</v>
      </c>
      <c r="Q948">
        <f t="shared" si="190"/>
        <v>0</v>
      </c>
      <c r="R948">
        <v>0</v>
      </c>
      <c r="S948">
        <f t="shared" si="191"/>
        <v>0</v>
      </c>
      <c r="T948"/>
      <c r="U948">
        <f t="shared" si="192"/>
        <v>0</v>
      </c>
      <c r="V948">
        <f t="shared" si="193"/>
        <v>0</v>
      </c>
      <c r="W948">
        <f t="shared" si="194"/>
        <v>0</v>
      </c>
      <c r="X948">
        <v>0</v>
      </c>
    </row>
    <row r="949" spans="1:24" x14ac:dyDescent="0.25">
      <c r="A949" t="s">
        <v>1928</v>
      </c>
      <c r="B949" t="s">
        <v>1932</v>
      </c>
      <c r="C949" t="s">
        <v>2020</v>
      </c>
      <c r="D949" t="s">
        <v>148</v>
      </c>
      <c r="E949" t="s">
        <v>41</v>
      </c>
      <c r="F949" t="s">
        <v>1</v>
      </c>
      <c r="G949" t="s">
        <v>659</v>
      </c>
      <c r="H949" t="s">
        <v>441</v>
      </c>
      <c r="I949" t="s">
        <v>1</v>
      </c>
      <c r="J949">
        <v>924.46</v>
      </c>
      <c r="K949">
        <v>1033.4199999995999</v>
      </c>
      <c r="L949">
        <v>319.25</v>
      </c>
      <c r="M949">
        <v>643.79143646408841</v>
      </c>
      <c r="N949">
        <v>387.28999999999996</v>
      </c>
      <c r="O949">
        <v>638.5</v>
      </c>
      <c r="P949">
        <v>-251.5</v>
      </c>
      <c r="Q949">
        <f t="shared" si="190"/>
        <v>387</v>
      </c>
      <c r="R949">
        <v>387</v>
      </c>
      <c r="S949">
        <f t="shared" si="191"/>
        <v>0</v>
      </c>
      <c r="T949">
        <v>0.03</v>
      </c>
      <c r="U949">
        <f t="shared" si="192"/>
        <v>11.61</v>
      </c>
      <c r="V949">
        <f t="shared" si="193"/>
        <v>398.61</v>
      </c>
      <c r="W949">
        <f t="shared" si="194"/>
        <v>11.610000000000014</v>
      </c>
      <c r="X949" t="s">
        <v>1421</v>
      </c>
    </row>
    <row r="950" spans="1:24" x14ac:dyDescent="0.25">
      <c r="A950" t="s">
        <v>1928</v>
      </c>
      <c r="B950" t="s">
        <v>1932</v>
      </c>
      <c r="C950" t="s">
        <v>2020</v>
      </c>
      <c r="D950" t="s">
        <v>148</v>
      </c>
      <c r="E950" t="s">
        <v>134</v>
      </c>
      <c r="F950" t="s">
        <v>1</v>
      </c>
      <c r="G950" t="s">
        <v>659</v>
      </c>
      <c r="H950" t="s">
        <v>623</v>
      </c>
      <c r="I950" t="s">
        <v>1</v>
      </c>
      <c r="J950">
        <v>5924.8</v>
      </c>
      <c r="K950">
        <v>2353.0977098796002</v>
      </c>
      <c r="L950">
        <v>-1280</v>
      </c>
      <c r="M950">
        <v>-2581.2154696132598</v>
      </c>
      <c r="N950">
        <v>2880</v>
      </c>
      <c r="O950">
        <v>-2560</v>
      </c>
      <c r="P950">
        <v>2560</v>
      </c>
      <c r="Q950">
        <f t="shared" si="190"/>
        <v>0</v>
      </c>
      <c r="R950">
        <v>0</v>
      </c>
      <c r="S950">
        <f t="shared" si="191"/>
        <v>0</v>
      </c>
      <c r="T950">
        <v>0.03</v>
      </c>
      <c r="U950">
        <f t="shared" si="192"/>
        <v>0</v>
      </c>
      <c r="V950">
        <f t="shared" si="193"/>
        <v>0</v>
      </c>
      <c r="W950">
        <f t="shared" si="194"/>
        <v>0</v>
      </c>
      <c r="X950">
        <v>0</v>
      </c>
    </row>
    <row r="951" spans="1:24" x14ac:dyDescent="0.25">
      <c r="A951" t="s">
        <v>1928</v>
      </c>
      <c r="B951" t="s">
        <v>1932</v>
      </c>
      <c r="C951" t="s">
        <v>2020</v>
      </c>
      <c r="D951" t="s">
        <v>148</v>
      </c>
      <c r="E951" t="s">
        <v>50</v>
      </c>
      <c r="F951" t="s">
        <v>1</v>
      </c>
      <c r="G951" t="s">
        <v>659</v>
      </c>
      <c r="H951" t="s">
        <v>450</v>
      </c>
      <c r="I951" t="s">
        <v>1</v>
      </c>
      <c r="J951">
        <v>518.17999999999995</v>
      </c>
      <c r="K951">
        <v>580.00000000030002</v>
      </c>
      <c r="L951">
        <v>196.59</v>
      </c>
      <c r="M951">
        <v>396.43839779005532</v>
      </c>
      <c r="N951">
        <v>387.10999999999996</v>
      </c>
      <c r="O951">
        <v>396.4383977901</v>
      </c>
      <c r="P951">
        <v>0</v>
      </c>
      <c r="Q951">
        <f t="shared" si="190"/>
        <v>396.4383977901</v>
      </c>
      <c r="R951">
        <v>396.4383977901</v>
      </c>
      <c r="S951">
        <f t="shared" si="191"/>
        <v>0</v>
      </c>
      <c r="T951"/>
      <c r="U951">
        <f t="shared" si="192"/>
        <v>0</v>
      </c>
      <c r="V951">
        <f t="shared" si="193"/>
        <v>396.4383977901</v>
      </c>
      <c r="W951">
        <f t="shared" si="194"/>
        <v>0</v>
      </c>
      <c r="X951">
        <v>0</v>
      </c>
    </row>
    <row r="952" spans="1:24" x14ac:dyDescent="0.25">
      <c r="A952" t="s">
        <v>1928</v>
      </c>
      <c r="B952" t="s">
        <v>1932</v>
      </c>
      <c r="C952" t="s">
        <v>2020</v>
      </c>
      <c r="D952" t="s">
        <v>148</v>
      </c>
      <c r="E952" t="s">
        <v>51</v>
      </c>
      <c r="F952" t="s">
        <v>51</v>
      </c>
      <c r="G952" t="s">
        <v>661</v>
      </c>
      <c r="H952"/>
      <c r="I952"/>
      <c r="J952">
        <v>57670.79</v>
      </c>
      <c r="K952">
        <v>85398.710307685702</v>
      </c>
      <c r="L952">
        <v>14674.33</v>
      </c>
      <c r="M952">
        <v>29591.880939226518</v>
      </c>
      <c r="N952">
        <v>32320.95</v>
      </c>
      <c r="O952">
        <v>29517.076295914103</v>
      </c>
      <c r="P952">
        <f>SUMIF($F$931:$F$951,"&lt;&gt;EV_*",$P$931:$P$951)</f>
        <v>5826.5</v>
      </c>
      <c r="Q952">
        <f>SUMIF($F$931:$F$951,"&lt;&gt;EV_*",$Q$931:$Q$951)</f>
        <v>35343.576295914099</v>
      </c>
      <c r="R952">
        <f>SUMIF($F$931:$F$951,"&lt;&gt;EV_*",$R$931:$R$951)</f>
        <v>35344.0133124887</v>
      </c>
      <c r="S952">
        <f>SUMIF($F$931:$F$951,"&lt;&gt;EV_*",$S$931:$S$951)</f>
        <v>0.43701657459996568</v>
      </c>
      <c r="T952">
        <v>0</v>
      </c>
      <c r="U952">
        <f>SUMIF($F$931:$F$951,"&lt;&gt;EV_*",$U$931:$U$951)</f>
        <v>942.62103225972919</v>
      </c>
      <c r="V952">
        <f>SUMIF($F$931:$F$951,"&lt;&gt;EV_*",$V$931:$V$951)</f>
        <v>36286.63434474844</v>
      </c>
      <c r="W952">
        <f>SUMIF($F$931:$F$951,"&lt;&gt;EV_*",$W$931:$W$951)</f>
        <v>943.05804883433075</v>
      </c>
      <c r="X952">
        <f>SUMIF($F$931:$F$951,"&lt;&gt;EV_*",$X$931:$X$951)</f>
        <v>0</v>
      </c>
    </row>
    <row r="953" spans="1:24" x14ac:dyDescent="0.25">
      <c r="A953" t="s">
        <v>1928</v>
      </c>
      <c r="B953" t="s">
        <v>1929</v>
      </c>
      <c r="C953" t="s">
        <v>2021</v>
      </c>
      <c r="D953" t="s">
        <v>150</v>
      </c>
      <c r="E953" t="s">
        <v>5</v>
      </c>
      <c r="F953" t="s">
        <v>5</v>
      </c>
      <c r="G953" t="s">
        <v>662</v>
      </c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</row>
    <row r="954" spans="1:24" x14ac:dyDescent="0.25">
      <c r="A954" t="s">
        <v>1928</v>
      </c>
      <c r="B954" t="s">
        <v>1929</v>
      </c>
      <c r="C954" t="s">
        <v>2021</v>
      </c>
      <c r="D954" t="s">
        <v>150</v>
      </c>
      <c r="E954" t="s">
        <v>11</v>
      </c>
      <c r="F954" t="s">
        <v>1</v>
      </c>
      <c r="G954" t="s">
        <v>663</v>
      </c>
      <c r="H954" t="s">
        <v>411</v>
      </c>
      <c r="I954" t="s">
        <v>1</v>
      </c>
      <c r="J954">
        <v>293.68</v>
      </c>
      <c r="K954"/>
      <c r="L954">
        <v>448.45</v>
      </c>
      <c r="M954">
        <v>904.33287292817681</v>
      </c>
      <c r="N954">
        <v>742.13</v>
      </c>
      <c r="O954">
        <v>896.9</v>
      </c>
      <c r="P954">
        <v>0</v>
      </c>
      <c r="Q954">
        <f>O954+P954</f>
        <v>896.9</v>
      </c>
      <c r="R954">
        <v>897</v>
      </c>
      <c r="S954">
        <f>IF(OR(LEFT(E954,2)="A_",LEFT(D954,5)="Total"),R954-Q954,"")</f>
        <v>0.10000000000002274</v>
      </c>
      <c r="T954"/>
      <c r="U954">
        <f>IFERROR(R954*T954,R954*0)</f>
        <v>0</v>
      </c>
      <c r="V954">
        <f>IF(OR(LEFT(E954,2)="A_",LEFT(D954,5)="Total"),R954+U954,"")</f>
        <v>897</v>
      </c>
      <c r="W954">
        <f>IF(OR(LEFT(E954,2)="A_",LEFT(D954,5)="Total"),V954-Q954,"")</f>
        <v>0.10000000000002274</v>
      </c>
      <c r="X954">
        <v>0</v>
      </c>
    </row>
    <row r="955" spans="1:24" x14ac:dyDescent="0.25">
      <c r="A955" t="s">
        <v>1928</v>
      </c>
      <c r="B955" t="s">
        <v>1929</v>
      </c>
      <c r="C955" t="s">
        <v>2021</v>
      </c>
      <c r="D955" t="s">
        <v>150</v>
      </c>
      <c r="E955" t="s">
        <v>17</v>
      </c>
      <c r="F955" t="s">
        <v>1</v>
      </c>
      <c r="G955" t="s">
        <v>663</v>
      </c>
      <c r="H955" t="s">
        <v>417</v>
      </c>
      <c r="I955" t="s">
        <v>1</v>
      </c>
      <c r="J955">
        <v>-57</v>
      </c>
      <c r="K955">
        <v>-50</v>
      </c>
      <c r="L955">
        <v>0</v>
      </c>
      <c r="M955">
        <v>0</v>
      </c>
      <c r="N955">
        <v>0</v>
      </c>
      <c r="O955"/>
      <c r="P955">
        <v>0</v>
      </c>
      <c r="Q955">
        <f>O955+P955</f>
        <v>0</v>
      </c>
      <c r="R955">
        <v>0</v>
      </c>
      <c r="S955">
        <f>IF(OR(LEFT(E955,2)="A_",LEFT(D955,5)="Total"),R955-Q955,"")</f>
        <v>0</v>
      </c>
      <c r="T955"/>
      <c r="U955">
        <f>IFERROR(R955*T955,R955*0)</f>
        <v>0</v>
      </c>
      <c r="V955">
        <f>IF(OR(LEFT(E955,2)="A_",LEFT(D955,5)="Total"),R955+U955,"")</f>
        <v>0</v>
      </c>
      <c r="W955">
        <f>IF(OR(LEFT(E955,2)="A_",LEFT(D955,5)="Total"),V955-Q955,"")</f>
        <v>0</v>
      </c>
      <c r="X955">
        <v>0</v>
      </c>
    </row>
    <row r="956" spans="1:24" x14ac:dyDescent="0.25">
      <c r="A956" t="s">
        <v>1928</v>
      </c>
      <c r="B956" t="s">
        <v>1929</v>
      </c>
      <c r="C956" t="s">
        <v>2021</v>
      </c>
      <c r="D956" t="s">
        <v>150</v>
      </c>
      <c r="E956" t="s">
        <v>51</v>
      </c>
      <c r="F956" t="s">
        <v>51</v>
      </c>
      <c r="G956" t="s">
        <v>664</v>
      </c>
      <c r="H956"/>
      <c r="I956"/>
      <c r="J956">
        <v>236.68</v>
      </c>
      <c r="K956">
        <v>-50</v>
      </c>
      <c r="L956">
        <v>448.45</v>
      </c>
      <c r="M956">
        <v>904.33287292817681</v>
      </c>
      <c r="N956">
        <v>742.13</v>
      </c>
      <c r="O956">
        <v>896.9</v>
      </c>
      <c r="P956">
        <f>SUMIF($F$953:$F$955,"&lt;&gt;EV_*",$P$953:$P$955)</f>
        <v>0</v>
      </c>
      <c r="Q956">
        <f>SUMIF($F$953:$F$955,"&lt;&gt;EV_*",$Q$953:$Q$955)</f>
        <v>896.9</v>
      </c>
      <c r="R956">
        <f>SUMIF($F$953:$F$955,"&lt;&gt;EV_*",$R$953:$R$955)</f>
        <v>897</v>
      </c>
      <c r="S956">
        <f>SUMIF($F$953:$F$955,"&lt;&gt;EV_*",$S$953:$S$955)</f>
        <v>0.10000000000002274</v>
      </c>
      <c r="T956">
        <v>0</v>
      </c>
      <c r="U956">
        <f>SUMIF($F$953:$F$955,"&lt;&gt;EV_*",$U$953:$U$955)</f>
        <v>0</v>
      </c>
      <c r="V956">
        <f>SUMIF($F$953:$F$955,"&lt;&gt;EV_*",$V$953:$V$955)</f>
        <v>897</v>
      </c>
      <c r="W956">
        <f>SUMIF($F$953:$F$955,"&lt;&gt;EV_*",$W$953:$W$955)</f>
        <v>0.10000000000002274</v>
      </c>
      <c r="X956">
        <f>SUMIF($F$953:$F$955,"&lt;&gt;EV_*",$X$953:$X$955)</f>
        <v>0</v>
      </c>
    </row>
    <row r="957" spans="1:24" x14ac:dyDescent="0.25">
      <c r="A957" t="s">
        <v>1928</v>
      </c>
      <c r="B957" t="s">
        <v>1929</v>
      </c>
      <c r="C957" t="s">
        <v>2022</v>
      </c>
      <c r="D957" t="s">
        <v>151</v>
      </c>
      <c r="E957" t="s">
        <v>5</v>
      </c>
      <c r="F957" t="s">
        <v>5</v>
      </c>
      <c r="G957" t="s">
        <v>665</v>
      </c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</row>
    <row r="958" spans="1:24" x14ac:dyDescent="0.25">
      <c r="A958" t="s">
        <v>1928</v>
      </c>
      <c r="B958" t="s">
        <v>1929</v>
      </c>
      <c r="C958" t="s">
        <v>2022</v>
      </c>
      <c r="D958" t="s">
        <v>151</v>
      </c>
      <c r="E958" t="s">
        <v>65</v>
      </c>
      <c r="F958" t="s">
        <v>1</v>
      </c>
      <c r="G958" t="s">
        <v>666</v>
      </c>
      <c r="H958" t="s">
        <v>476</v>
      </c>
      <c r="I958" t="s">
        <v>1</v>
      </c>
      <c r="J958">
        <v>-2</v>
      </c>
      <c r="K958"/>
      <c r="L958">
        <v>0</v>
      </c>
      <c r="M958">
        <v>0</v>
      </c>
      <c r="N958">
        <v>0</v>
      </c>
      <c r="O958"/>
      <c r="P958">
        <v>0</v>
      </c>
      <c r="Q958">
        <f>O958+P958</f>
        <v>0</v>
      </c>
      <c r="R958">
        <v>0</v>
      </c>
      <c r="S958">
        <f>IF(OR(LEFT(E958,2)="A_",LEFT(D958,5)="Total"),R958-Q958,"")</f>
        <v>0</v>
      </c>
      <c r="T958"/>
      <c r="U958">
        <f>IFERROR(R958*T958,R958*0)</f>
        <v>0</v>
      </c>
      <c r="V958">
        <f>IF(OR(LEFT(E958,2)="A_",LEFT(D958,5)="Total"),R958+U958,"")</f>
        <v>0</v>
      </c>
      <c r="W958">
        <f>IF(OR(LEFT(E958,2)="A_",LEFT(D958,5)="Total"),V958-Q958,"")</f>
        <v>0</v>
      </c>
      <c r="X958">
        <v>0</v>
      </c>
    </row>
    <row r="959" spans="1:24" x14ac:dyDescent="0.25">
      <c r="A959" t="s">
        <v>1928</v>
      </c>
      <c r="B959" t="s">
        <v>1929</v>
      </c>
      <c r="C959" t="s">
        <v>2022</v>
      </c>
      <c r="D959" t="s">
        <v>151</v>
      </c>
      <c r="E959" t="s">
        <v>17</v>
      </c>
      <c r="F959" t="s">
        <v>1</v>
      </c>
      <c r="G959" t="s">
        <v>666</v>
      </c>
      <c r="H959" t="s">
        <v>417</v>
      </c>
      <c r="I959" t="s">
        <v>1</v>
      </c>
      <c r="J959">
        <v>-91.68</v>
      </c>
      <c r="K959">
        <v>-189.99999999990001</v>
      </c>
      <c r="L959">
        <v>0</v>
      </c>
      <c r="M959">
        <v>0</v>
      </c>
      <c r="N959">
        <v>0</v>
      </c>
      <c r="O959"/>
      <c r="P959">
        <v>0</v>
      </c>
      <c r="Q959">
        <f>O959+P959</f>
        <v>0</v>
      </c>
      <c r="R959">
        <v>0</v>
      </c>
      <c r="S959">
        <f>IF(OR(LEFT(E959,2)="A_",LEFT(D959,5)="Total"),R959-Q959,"")</f>
        <v>0</v>
      </c>
      <c r="T959"/>
      <c r="U959">
        <f>IFERROR(R959*T959,R959*0)</f>
        <v>0</v>
      </c>
      <c r="V959">
        <f>IF(OR(LEFT(E959,2)="A_",LEFT(D959,5)="Total"),R959+U959,"")</f>
        <v>0</v>
      </c>
      <c r="W959">
        <f>IF(OR(LEFT(E959,2)="A_",LEFT(D959,5)="Total"),V959-Q959,"")</f>
        <v>0</v>
      </c>
      <c r="X959">
        <v>0</v>
      </c>
    </row>
    <row r="960" spans="1:24" x14ac:dyDescent="0.25">
      <c r="A960" t="s">
        <v>1928</v>
      </c>
      <c r="B960" t="s">
        <v>1929</v>
      </c>
      <c r="C960" t="s">
        <v>2022</v>
      </c>
      <c r="D960" t="s">
        <v>151</v>
      </c>
      <c r="E960" t="s">
        <v>51</v>
      </c>
      <c r="F960" t="s">
        <v>51</v>
      </c>
      <c r="G960" t="s">
        <v>667</v>
      </c>
      <c r="H960"/>
      <c r="I960"/>
      <c r="J960">
        <v>-93.68</v>
      </c>
      <c r="K960">
        <v>-189.99999999990001</v>
      </c>
      <c r="L960">
        <v>0</v>
      </c>
      <c r="M960">
        <v>0</v>
      </c>
      <c r="N960">
        <v>0</v>
      </c>
      <c r="O960">
        <v>0</v>
      </c>
      <c r="P960">
        <f>SUMIF($F$957:$F$959,"&lt;&gt;EV_*",$P$957:$P$959)</f>
        <v>0</v>
      </c>
      <c r="Q960">
        <f>SUMIF($F$957:$F$959,"&lt;&gt;EV_*",$Q$957:$Q$959)</f>
        <v>0</v>
      </c>
      <c r="R960">
        <f>SUMIF($F$957:$F$959,"&lt;&gt;EV_*",$R$957:$R$959)</f>
        <v>0</v>
      </c>
      <c r="S960">
        <f>SUMIF($F$957:$F$959,"&lt;&gt;EV_*",$S$957:$S$959)</f>
        <v>0</v>
      </c>
      <c r="T960">
        <v>0</v>
      </c>
      <c r="U960">
        <f>SUMIF($F$957:$F$959,"&lt;&gt;EV_*",$U$957:$U$959)</f>
        <v>0</v>
      </c>
      <c r="V960">
        <f>SUMIF($F$957:$F$959,"&lt;&gt;EV_*",$V$957:$V$959)</f>
        <v>0</v>
      </c>
      <c r="W960">
        <f>SUMIF($F$957:$F$959,"&lt;&gt;EV_*",$W$957:$W$959)</f>
        <v>0</v>
      </c>
      <c r="X960">
        <f>SUMIF($F$957:$F$959,"&lt;&gt;EV_*",$X$957:$X$959)</f>
        <v>0</v>
      </c>
    </row>
    <row r="961" spans="1:24" x14ac:dyDescent="0.25">
      <c r="A961" t="s">
        <v>1928</v>
      </c>
      <c r="B961" t="s">
        <v>1932</v>
      </c>
      <c r="C961" t="s">
        <v>2023</v>
      </c>
      <c r="D961" t="s">
        <v>152</v>
      </c>
      <c r="E961" t="s">
        <v>5</v>
      </c>
      <c r="F961" t="s">
        <v>5</v>
      </c>
      <c r="G961" t="s">
        <v>668</v>
      </c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</row>
    <row r="962" spans="1:24" x14ac:dyDescent="0.25">
      <c r="A962" t="s">
        <v>1928</v>
      </c>
      <c r="B962" t="s">
        <v>1932</v>
      </c>
      <c r="C962" t="s">
        <v>2023</v>
      </c>
      <c r="D962" t="s">
        <v>152</v>
      </c>
      <c r="E962" t="s">
        <v>133</v>
      </c>
      <c r="F962" t="s">
        <v>1</v>
      </c>
      <c r="G962" t="s">
        <v>669</v>
      </c>
      <c r="H962" t="s">
        <v>622</v>
      </c>
      <c r="I962" t="s">
        <v>1</v>
      </c>
      <c r="J962">
        <v>0.17</v>
      </c>
      <c r="K962"/>
      <c r="L962">
        <v>0</v>
      </c>
      <c r="M962">
        <v>0</v>
      </c>
      <c r="N962">
        <v>0.17</v>
      </c>
      <c r="O962"/>
      <c r="P962">
        <v>0</v>
      </c>
      <c r="Q962">
        <f t="shared" ref="Q962:Q992" si="195">O962+P962</f>
        <v>0</v>
      </c>
      <c r="R962">
        <v>0</v>
      </c>
      <c r="S962">
        <f t="shared" ref="S962:S992" si="196">IF(OR(LEFT(E962,2)="A_",LEFT(D962,5)="Total"),R962-Q962,"")</f>
        <v>0</v>
      </c>
      <c r="T962">
        <v>0.02</v>
      </c>
      <c r="U962">
        <f t="shared" ref="U962:U992" si="197">IFERROR(R962*T962,R962*0)</f>
        <v>0</v>
      </c>
      <c r="V962">
        <f t="shared" ref="V962:V992" si="198">IF(OR(LEFT(E962,2)="A_",LEFT(D962,5)="Total"),R962+U962,"")</f>
        <v>0</v>
      </c>
      <c r="W962">
        <f t="shared" ref="W962:W992" si="199">IF(OR(LEFT(E962,2)="A_",LEFT(D962,5)="Total"),V962-Q962,"")</f>
        <v>0</v>
      </c>
      <c r="X962">
        <v>0</v>
      </c>
    </row>
    <row r="963" spans="1:24" x14ac:dyDescent="0.25">
      <c r="A963" t="s">
        <v>1928</v>
      </c>
      <c r="B963" t="s">
        <v>1932</v>
      </c>
      <c r="C963" t="s">
        <v>2023</v>
      </c>
      <c r="D963" t="s">
        <v>152</v>
      </c>
      <c r="E963" t="s">
        <v>8</v>
      </c>
      <c r="F963" t="s">
        <v>1</v>
      </c>
      <c r="G963" t="s">
        <v>669</v>
      </c>
      <c r="H963" t="s">
        <v>408</v>
      </c>
      <c r="I963" t="s">
        <v>1</v>
      </c>
      <c r="J963">
        <v>34783.24</v>
      </c>
      <c r="K963">
        <v>32807.248618784499</v>
      </c>
      <c r="L963">
        <v>9960.92</v>
      </c>
      <c r="M963">
        <v>20086.938121546962</v>
      </c>
      <c r="N963">
        <v>28475.359999999997</v>
      </c>
      <c r="O963">
        <v>20086.938121546998</v>
      </c>
      <c r="P963">
        <v>-20087</v>
      </c>
      <c r="Q963">
        <f t="shared" si="195"/>
        <v>-6.187845300155459E-2</v>
      </c>
      <c r="R963">
        <v>0</v>
      </c>
      <c r="S963">
        <f t="shared" si="196"/>
        <v>6.187845300155459E-2</v>
      </c>
      <c r="T963"/>
      <c r="U963">
        <f t="shared" si="197"/>
        <v>0</v>
      </c>
      <c r="V963">
        <f t="shared" si="198"/>
        <v>0</v>
      </c>
      <c r="W963">
        <f t="shared" si="199"/>
        <v>6.187845300155459E-2</v>
      </c>
      <c r="X963">
        <v>0</v>
      </c>
    </row>
    <row r="964" spans="1:24" x14ac:dyDescent="0.25">
      <c r="A964" t="s">
        <v>1928</v>
      </c>
      <c r="B964" t="s">
        <v>1932</v>
      </c>
      <c r="C964" t="s">
        <v>2023</v>
      </c>
      <c r="D964" t="s">
        <v>152</v>
      </c>
      <c r="E964" t="s">
        <v>11</v>
      </c>
      <c r="F964" t="s">
        <v>1</v>
      </c>
      <c r="G964" t="s">
        <v>669</v>
      </c>
      <c r="H964" t="s">
        <v>411</v>
      </c>
      <c r="I964" t="s">
        <v>1</v>
      </c>
      <c r="J964">
        <v>722.9</v>
      </c>
      <c r="K964">
        <v>875.31</v>
      </c>
      <c r="L964">
        <v>0</v>
      </c>
      <c r="M964">
        <v>0</v>
      </c>
      <c r="N964">
        <v>177.28</v>
      </c>
      <c r="O964"/>
      <c r="P964">
        <v>0</v>
      </c>
      <c r="Q964">
        <f t="shared" si="195"/>
        <v>0</v>
      </c>
      <c r="R964">
        <v>0</v>
      </c>
      <c r="S964">
        <f t="shared" si="196"/>
        <v>0</v>
      </c>
      <c r="T964"/>
      <c r="U964">
        <f t="shared" si="197"/>
        <v>0</v>
      </c>
      <c r="V964">
        <f t="shared" si="198"/>
        <v>0</v>
      </c>
      <c r="W964">
        <f t="shared" si="199"/>
        <v>0</v>
      </c>
      <c r="X964">
        <v>0</v>
      </c>
    </row>
    <row r="965" spans="1:24" x14ac:dyDescent="0.25">
      <c r="A965" t="s">
        <v>1928</v>
      </c>
      <c r="B965" t="s">
        <v>1932</v>
      </c>
      <c r="C965" t="s">
        <v>2023</v>
      </c>
      <c r="D965" t="s">
        <v>152</v>
      </c>
      <c r="E965" t="s">
        <v>13</v>
      </c>
      <c r="F965" t="s">
        <v>1</v>
      </c>
      <c r="G965" t="s">
        <v>669</v>
      </c>
      <c r="H965" t="s">
        <v>413</v>
      </c>
      <c r="I965" t="s">
        <v>1</v>
      </c>
      <c r="J965">
        <v>72.86</v>
      </c>
      <c r="K965"/>
      <c r="L965">
        <v>-36.43</v>
      </c>
      <c r="M965">
        <v>-73.463812154696129</v>
      </c>
      <c r="N965">
        <v>36.43</v>
      </c>
      <c r="O965">
        <v>-72.86</v>
      </c>
      <c r="P965">
        <v>73</v>
      </c>
      <c r="Q965">
        <f t="shared" si="195"/>
        <v>0.14000000000000057</v>
      </c>
      <c r="R965">
        <v>0</v>
      </c>
      <c r="S965">
        <f t="shared" si="196"/>
        <v>-0.14000000000000057</v>
      </c>
      <c r="T965"/>
      <c r="U965">
        <f t="shared" si="197"/>
        <v>0</v>
      </c>
      <c r="V965">
        <f t="shared" si="198"/>
        <v>0</v>
      </c>
      <c r="W965">
        <f t="shared" si="199"/>
        <v>-0.14000000000000057</v>
      </c>
      <c r="X965">
        <v>0</v>
      </c>
    </row>
    <row r="966" spans="1:24" x14ac:dyDescent="0.25">
      <c r="A966" t="s">
        <v>1928</v>
      </c>
      <c r="B966" t="s">
        <v>1932</v>
      </c>
      <c r="C966" t="s">
        <v>2023</v>
      </c>
      <c r="D966" t="s">
        <v>152</v>
      </c>
      <c r="E966" t="s">
        <v>65</v>
      </c>
      <c r="F966" t="s">
        <v>1</v>
      </c>
      <c r="G966" t="s">
        <v>669</v>
      </c>
      <c r="H966" t="s">
        <v>476</v>
      </c>
      <c r="I966" t="s">
        <v>1</v>
      </c>
      <c r="J966">
        <v>-946.85</v>
      </c>
      <c r="K966"/>
      <c r="L966">
        <v>-742.32</v>
      </c>
      <c r="M966">
        <v>-1496.9436464088399</v>
      </c>
      <c r="N966">
        <v>-1208.4399999999998</v>
      </c>
      <c r="O966">
        <v>-1492.7973626374001</v>
      </c>
      <c r="P966">
        <v>0</v>
      </c>
      <c r="Q966">
        <f t="shared" si="195"/>
        <v>-1492.7973626374001</v>
      </c>
      <c r="R966">
        <v>0</v>
      </c>
      <c r="S966">
        <f t="shared" si="196"/>
        <v>1492.7973626374001</v>
      </c>
      <c r="T966"/>
      <c r="U966">
        <f t="shared" si="197"/>
        <v>0</v>
      </c>
      <c r="V966">
        <f t="shared" si="198"/>
        <v>0</v>
      </c>
      <c r="W966">
        <f t="shared" si="199"/>
        <v>1492.7973626374001</v>
      </c>
      <c r="X966">
        <v>0</v>
      </c>
    </row>
    <row r="967" spans="1:24" x14ac:dyDescent="0.25">
      <c r="A967" t="s">
        <v>1928</v>
      </c>
      <c r="B967" t="s">
        <v>1932</v>
      </c>
      <c r="C967" t="s">
        <v>2023</v>
      </c>
      <c r="D967" t="s">
        <v>152</v>
      </c>
      <c r="E967" t="s">
        <v>17</v>
      </c>
      <c r="F967" t="s">
        <v>1</v>
      </c>
      <c r="G967" t="s">
        <v>669</v>
      </c>
      <c r="H967" t="s">
        <v>417</v>
      </c>
      <c r="I967" t="s">
        <v>1</v>
      </c>
      <c r="J967">
        <v>-13158.87</v>
      </c>
      <c r="K967">
        <v>-13500.0000000002</v>
      </c>
      <c r="L967">
        <v>-5477.75</v>
      </c>
      <c r="M967">
        <v>-11046.291436464089</v>
      </c>
      <c r="N967">
        <v>-12768.319999999998</v>
      </c>
      <c r="O967">
        <v>-11015.695054945099</v>
      </c>
      <c r="P967">
        <v>0</v>
      </c>
      <c r="Q967">
        <f t="shared" si="195"/>
        <v>-11015.695054945099</v>
      </c>
      <c r="R967">
        <v>-11015.695054945099</v>
      </c>
      <c r="S967">
        <f t="shared" si="196"/>
        <v>0</v>
      </c>
      <c r="T967"/>
      <c r="U967">
        <f t="shared" si="197"/>
        <v>0</v>
      </c>
      <c r="V967">
        <f t="shared" si="198"/>
        <v>-11015.695054945099</v>
      </c>
      <c r="W967">
        <f t="shared" si="199"/>
        <v>0</v>
      </c>
      <c r="X967">
        <v>0</v>
      </c>
    </row>
    <row r="968" spans="1:24" x14ac:dyDescent="0.25">
      <c r="A968" t="s">
        <v>1928</v>
      </c>
      <c r="B968" t="s">
        <v>1932</v>
      </c>
      <c r="C968" t="s">
        <v>2023</v>
      </c>
      <c r="D968" t="s">
        <v>152</v>
      </c>
      <c r="E968" t="s">
        <v>82</v>
      </c>
      <c r="F968" t="s">
        <v>1</v>
      </c>
      <c r="G968" t="s">
        <v>669</v>
      </c>
      <c r="H968" t="s">
        <v>507</v>
      </c>
      <c r="I968" t="s">
        <v>1</v>
      </c>
      <c r="J968">
        <v>7370.93</v>
      </c>
      <c r="K968">
        <v>7089.5890244266002</v>
      </c>
      <c r="L968">
        <v>3072.15</v>
      </c>
      <c r="M968">
        <v>6195.2196132596682</v>
      </c>
      <c r="N968">
        <v>6978.0800000000008</v>
      </c>
      <c r="O968">
        <v>6178.0598901099002</v>
      </c>
      <c r="P968">
        <v>0</v>
      </c>
      <c r="Q968">
        <f t="shared" si="195"/>
        <v>6178.0598901099002</v>
      </c>
      <c r="R968">
        <v>6178.0598901099002</v>
      </c>
      <c r="S968">
        <f t="shared" si="196"/>
        <v>0</v>
      </c>
      <c r="T968">
        <v>2.75E-2</v>
      </c>
      <c r="U968">
        <f t="shared" si="197"/>
        <v>169.89664697802226</v>
      </c>
      <c r="V968">
        <f t="shared" si="198"/>
        <v>6347.9565370879227</v>
      </c>
      <c r="W968">
        <f t="shared" si="199"/>
        <v>169.89664697802255</v>
      </c>
      <c r="X968">
        <v>0</v>
      </c>
    </row>
    <row r="969" spans="1:24" x14ac:dyDescent="0.25">
      <c r="A969" t="s">
        <v>1928</v>
      </c>
      <c r="B969" t="s">
        <v>1932</v>
      </c>
      <c r="C969" t="s">
        <v>2023</v>
      </c>
      <c r="D969" t="s">
        <v>152</v>
      </c>
      <c r="E969" t="s">
        <v>72</v>
      </c>
      <c r="F969" t="s">
        <v>1</v>
      </c>
      <c r="G969" t="s">
        <v>669</v>
      </c>
      <c r="H969" t="s">
        <v>489</v>
      </c>
      <c r="I969" t="s">
        <v>1</v>
      </c>
      <c r="J969">
        <v>5798.5</v>
      </c>
      <c r="K969">
        <v>5391.9771867361997</v>
      </c>
      <c r="L969">
        <v>2902.81</v>
      </c>
      <c r="M969">
        <v>5853.7328729281762</v>
      </c>
      <c r="N969">
        <v>5889.3</v>
      </c>
      <c r="O969">
        <v>5837.519010989</v>
      </c>
      <c r="P969">
        <v>0</v>
      </c>
      <c r="Q969">
        <f t="shared" si="195"/>
        <v>5837.519010989</v>
      </c>
      <c r="R969">
        <v>5837.519010989</v>
      </c>
      <c r="S969">
        <f t="shared" si="196"/>
        <v>0</v>
      </c>
      <c r="T969">
        <v>2.2499999999999999E-2</v>
      </c>
      <c r="U969">
        <f t="shared" si="197"/>
        <v>131.3441777472525</v>
      </c>
      <c r="V969">
        <f t="shared" si="198"/>
        <v>5968.8631887362526</v>
      </c>
      <c r="W969">
        <f t="shared" si="199"/>
        <v>131.34417774725262</v>
      </c>
      <c r="X969">
        <v>0</v>
      </c>
    </row>
    <row r="970" spans="1:24" x14ac:dyDescent="0.25">
      <c r="A970" t="s">
        <v>1928</v>
      </c>
      <c r="B970" t="s">
        <v>1932</v>
      </c>
      <c r="C970" t="s">
        <v>2023</v>
      </c>
      <c r="D970" t="s">
        <v>152</v>
      </c>
      <c r="E970" t="s">
        <v>118</v>
      </c>
      <c r="F970" t="s">
        <v>1</v>
      </c>
      <c r="G970" t="s">
        <v>669</v>
      </c>
      <c r="H970" t="s">
        <v>587</v>
      </c>
      <c r="I970" t="s">
        <v>1</v>
      </c>
      <c r="J970">
        <v>11.13</v>
      </c>
      <c r="K970"/>
      <c r="L970">
        <v>1.59</v>
      </c>
      <c r="M970">
        <v>3.2063535911602208</v>
      </c>
      <c r="N970">
        <v>9.5400000000000009</v>
      </c>
      <c r="O970">
        <v>3.1974725275</v>
      </c>
      <c r="P970">
        <v>-3</v>
      </c>
      <c r="Q970">
        <f t="shared" si="195"/>
        <v>0.19747252749999999</v>
      </c>
      <c r="R970">
        <v>0</v>
      </c>
      <c r="S970">
        <f t="shared" si="196"/>
        <v>-0.19747252749999999</v>
      </c>
      <c r="T970">
        <v>3.2500000000000001E-2</v>
      </c>
      <c r="U970">
        <f t="shared" si="197"/>
        <v>0</v>
      </c>
      <c r="V970">
        <f t="shared" si="198"/>
        <v>0</v>
      </c>
      <c r="W970">
        <f t="shared" si="199"/>
        <v>-0.19747252749999999</v>
      </c>
      <c r="X970">
        <v>0</v>
      </c>
    </row>
    <row r="971" spans="1:24" x14ac:dyDescent="0.25">
      <c r="A971" t="s">
        <v>1928</v>
      </c>
      <c r="B971" t="s">
        <v>1932</v>
      </c>
      <c r="C971" t="s">
        <v>2023</v>
      </c>
      <c r="D971" t="s">
        <v>152</v>
      </c>
      <c r="E971" t="s">
        <v>18</v>
      </c>
      <c r="F971" t="s">
        <v>1</v>
      </c>
      <c r="G971" t="s">
        <v>669</v>
      </c>
      <c r="H971" t="s">
        <v>418</v>
      </c>
      <c r="I971" t="s">
        <v>1</v>
      </c>
      <c r="J971">
        <v>203408.7</v>
      </c>
      <c r="K971">
        <v>194958.21040621999</v>
      </c>
      <c r="L971">
        <v>82131.45</v>
      </c>
      <c r="M971">
        <v>165624.1947513812</v>
      </c>
      <c r="N971">
        <v>168217.89</v>
      </c>
      <c r="O971">
        <v>165165.443406593</v>
      </c>
      <c r="P971">
        <v>0</v>
      </c>
      <c r="Q971">
        <f t="shared" si="195"/>
        <v>165165.443406593</v>
      </c>
      <c r="R971">
        <v>165165.443406593</v>
      </c>
      <c r="S971">
        <f t="shared" si="196"/>
        <v>0</v>
      </c>
      <c r="T971">
        <v>0.02</v>
      </c>
      <c r="U971">
        <f t="shared" si="197"/>
        <v>3303.30886813186</v>
      </c>
      <c r="V971">
        <f t="shared" si="198"/>
        <v>168468.75227472486</v>
      </c>
      <c r="W971">
        <f t="shared" si="199"/>
        <v>3303.3088681318623</v>
      </c>
      <c r="X971">
        <v>0</v>
      </c>
    </row>
    <row r="972" spans="1:24" x14ac:dyDescent="0.25">
      <c r="A972" t="s">
        <v>1928</v>
      </c>
      <c r="B972" t="s">
        <v>1932</v>
      </c>
      <c r="C972" t="s">
        <v>2023</v>
      </c>
      <c r="D972" t="s">
        <v>152</v>
      </c>
      <c r="E972" t="s">
        <v>57</v>
      </c>
      <c r="F972" t="s">
        <v>1</v>
      </c>
      <c r="G972" t="s">
        <v>669</v>
      </c>
      <c r="H972" t="s">
        <v>462</v>
      </c>
      <c r="I972" t="s">
        <v>1</v>
      </c>
      <c r="J972">
        <v>27475.69</v>
      </c>
      <c r="K972">
        <v>31324.5913477912</v>
      </c>
      <c r="L972">
        <v>8647.48</v>
      </c>
      <c r="M972">
        <v>17438.288397790053</v>
      </c>
      <c r="N972">
        <v>17213.939999999999</v>
      </c>
      <c r="O972">
        <v>17389.9872527472</v>
      </c>
      <c r="P972">
        <v>0</v>
      </c>
      <c r="Q972">
        <f t="shared" si="195"/>
        <v>17389.9872527472</v>
      </c>
      <c r="R972">
        <v>17389.9872527472</v>
      </c>
      <c r="S972">
        <f t="shared" si="196"/>
        <v>0</v>
      </c>
      <c r="T972">
        <v>0.04</v>
      </c>
      <c r="U972">
        <f t="shared" si="197"/>
        <v>695.59949010988805</v>
      </c>
      <c r="V972">
        <f t="shared" si="198"/>
        <v>18085.586742857089</v>
      </c>
      <c r="W972">
        <f t="shared" si="199"/>
        <v>695.5994901098893</v>
      </c>
      <c r="X972">
        <v>0</v>
      </c>
    </row>
    <row r="973" spans="1:24" x14ac:dyDescent="0.25">
      <c r="A973" t="s">
        <v>1928</v>
      </c>
      <c r="B973" t="s">
        <v>1932</v>
      </c>
      <c r="C973" t="s">
        <v>2023</v>
      </c>
      <c r="D973" t="s">
        <v>152</v>
      </c>
      <c r="E973" t="s">
        <v>73</v>
      </c>
      <c r="F973" t="s">
        <v>1</v>
      </c>
      <c r="G973" t="s">
        <v>669</v>
      </c>
      <c r="H973" t="s">
        <v>490</v>
      </c>
      <c r="I973" t="s">
        <v>1</v>
      </c>
      <c r="J973">
        <v>175</v>
      </c>
      <c r="K973"/>
      <c r="L973">
        <v>0</v>
      </c>
      <c r="M973">
        <v>0</v>
      </c>
      <c r="N973">
        <v>0</v>
      </c>
      <c r="O973"/>
      <c r="P973">
        <v>0</v>
      </c>
      <c r="Q973">
        <f t="shared" si="195"/>
        <v>0</v>
      </c>
      <c r="R973">
        <v>0</v>
      </c>
      <c r="S973">
        <f t="shared" si="196"/>
        <v>0</v>
      </c>
      <c r="T973">
        <v>3.5000000000000003E-2</v>
      </c>
      <c r="U973">
        <f t="shared" si="197"/>
        <v>0</v>
      </c>
      <c r="V973">
        <f t="shared" si="198"/>
        <v>0</v>
      </c>
      <c r="W973">
        <f t="shared" si="199"/>
        <v>0</v>
      </c>
      <c r="X973">
        <v>0</v>
      </c>
    </row>
    <row r="974" spans="1:24" x14ac:dyDescent="0.25">
      <c r="A974" t="s">
        <v>1928</v>
      </c>
      <c r="B974" t="s">
        <v>1932</v>
      </c>
      <c r="C974" t="s">
        <v>2023</v>
      </c>
      <c r="D974" t="s">
        <v>152</v>
      </c>
      <c r="E974" t="s">
        <v>74</v>
      </c>
      <c r="F974" t="s">
        <v>1</v>
      </c>
      <c r="G974" t="s">
        <v>669</v>
      </c>
      <c r="H974" t="s">
        <v>491</v>
      </c>
      <c r="I974" t="s">
        <v>1</v>
      </c>
      <c r="J974">
        <v>82799.69</v>
      </c>
      <c r="K974">
        <v>78691.731698825097</v>
      </c>
      <c r="L974">
        <v>41130.199999999997</v>
      </c>
      <c r="M974">
        <v>82942.116022099435</v>
      </c>
      <c r="N974">
        <v>81349.539999999994</v>
      </c>
      <c r="O974">
        <v>82712.3802197802</v>
      </c>
      <c r="P974">
        <v>0</v>
      </c>
      <c r="Q974">
        <f t="shared" si="195"/>
        <v>82712.3802197802</v>
      </c>
      <c r="R974">
        <v>82712.3802197802</v>
      </c>
      <c r="S974">
        <f t="shared" si="196"/>
        <v>0</v>
      </c>
      <c r="T974">
        <v>3.5000000000000003E-2</v>
      </c>
      <c r="U974">
        <f t="shared" si="197"/>
        <v>2894.9333076923072</v>
      </c>
      <c r="V974">
        <f t="shared" si="198"/>
        <v>85607.313527472506</v>
      </c>
      <c r="W974">
        <f t="shared" si="199"/>
        <v>2894.9333076923067</v>
      </c>
      <c r="X974">
        <v>0</v>
      </c>
    </row>
    <row r="975" spans="1:24" x14ac:dyDescent="0.25">
      <c r="A975" t="s">
        <v>1928</v>
      </c>
      <c r="B975" t="s">
        <v>1932</v>
      </c>
      <c r="C975" t="s">
        <v>2023</v>
      </c>
      <c r="D975" t="s">
        <v>152</v>
      </c>
      <c r="E975" t="s">
        <v>85</v>
      </c>
      <c r="F975" t="s">
        <v>1</v>
      </c>
      <c r="G975" t="s">
        <v>669</v>
      </c>
      <c r="H975" t="s">
        <v>510</v>
      </c>
      <c r="I975" t="s">
        <v>1</v>
      </c>
      <c r="J975">
        <v>3369.06</v>
      </c>
      <c r="K975">
        <v>3884.1024626085</v>
      </c>
      <c r="L975">
        <v>720.89</v>
      </c>
      <c r="M975">
        <v>1453.7284530386739</v>
      </c>
      <c r="N975">
        <v>1714.39</v>
      </c>
      <c r="O975">
        <v>1449.7018681319</v>
      </c>
      <c r="P975">
        <v>0</v>
      </c>
      <c r="Q975">
        <f t="shared" si="195"/>
        <v>1449.7018681319</v>
      </c>
      <c r="R975">
        <v>1449.7018681319</v>
      </c>
      <c r="S975">
        <f t="shared" si="196"/>
        <v>0</v>
      </c>
      <c r="T975">
        <v>0.02</v>
      </c>
      <c r="U975">
        <f t="shared" si="197"/>
        <v>28.994037362638</v>
      </c>
      <c r="V975">
        <f t="shared" si="198"/>
        <v>1478.695905494538</v>
      </c>
      <c r="W975">
        <f t="shared" si="199"/>
        <v>28.994037362637982</v>
      </c>
      <c r="X975">
        <v>0</v>
      </c>
    </row>
    <row r="976" spans="1:24" x14ac:dyDescent="0.25">
      <c r="A976" t="s">
        <v>1928</v>
      </c>
      <c r="B976" t="s">
        <v>1932</v>
      </c>
      <c r="C976" t="s">
        <v>2023</v>
      </c>
      <c r="D976" t="s">
        <v>152</v>
      </c>
      <c r="E976" t="s">
        <v>119</v>
      </c>
      <c r="F976" t="s">
        <v>1</v>
      </c>
      <c r="G976" t="s">
        <v>669</v>
      </c>
      <c r="H976" t="s">
        <v>588</v>
      </c>
      <c r="I976" t="s">
        <v>1</v>
      </c>
      <c r="J976"/>
      <c r="K976"/>
      <c r="L976">
        <v>176.4</v>
      </c>
      <c r="M976">
        <v>355.72375690607737</v>
      </c>
      <c r="N976">
        <v>176.4</v>
      </c>
      <c r="O976">
        <v>354.73846153850002</v>
      </c>
      <c r="P976">
        <v>0</v>
      </c>
      <c r="Q976">
        <f t="shared" si="195"/>
        <v>354.73846153850002</v>
      </c>
      <c r="R976">
        <v>354.73846153850002</v>
      </c>
      <c r="S976">
        <f t="shared" si="196"/>
        <v>0</v>
      </c>
      <c r="T976">
        <v>1.4999999999999999E-2</v>
      </c>
      <c r="U976">
        <f t="shared" si="197"/>
        <v>5.3210769230775004</v>
      </c>
      <c r="V976">
        <f t="shared" si="198"/>
        <v>360.05953846157752</v>
      </c>
      <c r="W976">
        <f t="shared" si="199"/>
        <v>5.3210769230774986</v>
      </c>
      <c r="X976">
        <v>0</v>
      </c>
    </row>
    <row r="977" spans="1:24" x14ac:dyDescent="0.25">
      <c r="A977" t="s">
        <v>1928</v>
      </c>
      <c r="B977" t="s">
        <v>1932</v>
      </c>
      <c r="C977" t="s">
        <v>2023</v>
      </c>
      <c r="D977" t="s">
        <v>152</v>
      </c>
      <c r="E977" t="s">
        <v>120</v>
      </c>
      <c r="F977" t="s">
        <v>1</v>
      </c>
      <c r="G977" t="s">
        <v>669</v>
      </c>
      <c r="H977" t="s">
        <v>589</v>
      </c>
      <c r="I977" t="s">
        <v>1</v>
      </c>
      <c r="J977">
        <v>2034.94</v>
      </c>
      <c r="K977">
        <v>2153.7100916216</v>
      </c>
      <c r="L977">
        <v>1146.78</v>
      </c>
      <c r="M977">
        <v>2312.5674033149171</v>
      </c>
      <c r="N977">
        <v>1954.3700000000003</v>
      </c>
      <c r="O977">
        <v>2306.1619780219999</v>
      </c>
      <c r="P977">
        <v>0</v>
      </c>
      <c r="Q977">
        <f t="shared" si="195"/>
        <v>2306.1619780219999</v>
      </c>
      <c r="R977">
        <v>2306.1619780219999</v>
      </c>
      <c r="S977">
        <f t="shared" si="196"/>
        <v>0</v>
      </c>
      <c r="T977">
        <v>3.5000000000000003E-2</v>
      </c>
      <c r="U977">
        <f t="shared" si="197"/>
        <v>80.715669230770004</v>
      </c>
      <c r="V977">
        <f t="shared" si="198"/>
        <v>2386.8776472527697</v>
      </c>
      <c r="W977">
        <f t="shared" si="199"/>
        <v>80.71566923076989</v>
      </c>
      <c r="X977">
        <v>0</v>
      </c>
    </row>
    <row r="978" spans="1:24" x14ac:dyDescent="0.25">
      <c r="A978" t="s">
        <v>1928</v>
      </c>
      <c r="B978" t="s">
        <v>1932</v>
      </c>
      <c r="C978" t="s">
        <v>2023</v>
      </c>
      <c r="D978" t="s">
        <v>152</v>
      </c>
      <c r="E978" t="s">
        <v>20</v>
      </c>
      <c r="F978" t="s">
        <v>1</v>
      </c>
      <c r="G978" t="s">
        <v>669</v>
      </c>
      <c r="H978" t="s">
        <v>420</v>
      </c>
      <c r="I978" t="s">
        <v>1</v>
      </c>
      <c r="J978">
        <v>57714.97</v>
      </c>
      <c r="K978">
        <v>47747.464091989001</v>
      </c>
      <c r="L978">
        <v>26758.16</v>
      </c>
      <c r="M978">
        <v>53959.825414364634</v>
      </c>
      <c r="N978">
        <v>53999.880000000005</v>
      </c>
      <c r="O978">
        <v>53810.365714285697</v>
      </c>
      <c r="P978">
        <v>0</v>
      </c>
      <c r="Q978">
        <f t="shared" si="195"/>
        <v>53810.365714285697</v>
      </c>
      <c r="R978">
        <v>53810.365714285697</v>
      </c>
      <c r="S978">
        <f t="shared" si="196"/>
        <v>0</v>
      </c>
      <c r="T978">
        <v>0.04</v>
      </c>
      <c r="U978">
        <f t="shared" si="197"/>
        <v>2152.4146285714278</v>
      </c>
      <c r="V978">
        <f t="shared" si="198"/>
        <v>55962.780342857128</v>
      </c>
      <c r="W978">
        <f t="shared" si="199"/>
        <v>2152.4146285714305</v>
      </c>
      <c r="X978">
        <v>0</v>
      </c>
    </row>
    <row r="979" spans="1:24" x14ac:dyDescent="0.25">
      <c r="A979" t="s">
        <v>1928</v>
      </c>
      <c r="B979" t="s">
        <v>1932</v>
      </c>
      <c r="C979" t="s">
        <v>2023</v>
      </c>
      <c r="D979" t="s">
        <v>152</v>
      </c>
      <c r="E979" t="s">
        <v>21</v>
      </c>
      <c r="F979" t="s">
        <v>1</v>
      </c>
      <c r="G979" t="s">
        <v>669</v>
      </c>
      <c r="H979" t="s">
        <v>421</v>
      </c>
      <c r="I979" t="s">
        <v>1</v>
      </c>
      <c r="J979">
        <v>9701.2800000000007</v>
      </c>
      <c r="K979">
        <v>9781.9099999998998</v>
      </c>
      <c r="L979">
        <v>4523.32</v>
      </c>
      <c r="M979">
        <v>9121.6121546961331</v>
      </c>
      <c r="N979">
        <v>9340.84</v>
      </c>
      <c r="O979">
        <v>9121.6121546961003</v>
      </c>
      <c r="P979">
        <v>0</v>
      </c>
      <c r="Q979">
        <f t="shared" si="195"/>
        <v>9121.6121546961003</v>
      </c>
      <c r="R979">
        <v>9121.6121546961003</v>
      </c>
      <c r="S979">
        <f t="shared" si="196"/>
        <v>0</v>
      </c>
      <c r="T979">
        <v>0.03</v>
      </c>
      <c r="U979">
        <f t="shared" si="197"/>
        <v>273.64836464088302</v>
      </c>
      <c r="V979">
        <f t="shared" si="198"/>
        <v>9395.2605193369836</v>
      </c>
      <c r="W979">
        <f t="shared" si="199"/>
        <v>273.6483646408833</v>
      </c>
      <c r="X979">
        <v>0</v>
      </c>
    </row>
    <row r="980" spans="1:24" x14ac:dyDescent="0.25">
      <c r="A980" t="s">
        <v>1928</v>
      </c>
      <c r="B980" t="s">
        <v>1932</v>
      </c>
      <c r="C980" t="s">
        <v>2023</v>
      </c>
      <c r="D980" t="s">
        <v>152</v>
      </c>
      <c r="E980" t="s">
        <v>22</v>
      </c>
      <c r="F980" t="s">
        <v>1</v>
      </c>
      <c r="G980" t="s">
        <v>669</v>
      </c>
      <c r="H980" t="s">
        <v>422</v>
      </c>
      <c r="I980" t="s">
        <v>1</v>
      </c>
      <c r="J980">
        <v>6121.92</v>
      </c>
      <c r="K980">
        <v>5713.1999999998998</v>
      </c>
      <c r="L980">
        <v>5735.04</v>
      </c>
      <c r="M980">
        <v>11565.135911602209</v>
      </c>
      <c r="N980">
        <v>9095.07</v>
      </c>
      <c r="O980">
        <v>11565.135911602199</v>
      </c>
      <c r="P980">
        <v>0</v>
      </c>
      <c r="Q980">
        <f t="shared" si="195"/>
        <v>11565.135911602199</v>
      </c>
      <c r="R980">
        <v>11565.135911602199</v>
      </c>
      <c r="S980">
        <f t="shared" si="196"/>
        <v>0</v>
      </c>
      <c r="T980">
        <v>3.5000000000000003E-2</v>
      </c>
      <c r="U980">
        <f t="shared" si="197"/>
        <v>404.77975690607701</v>
      </c>
      <c r="V980">
        <f t="shared" si="198"/>
        <v>11969.915668508276</v>
      </c>
      <c r="W980">
        <f t="shared" si="199"/>
        <v>404.77975690607673</v>
      </c>
      <c r="X980">
        <v>0</v>
      </c>
    </row>
    <row r="981" spans="1:24" x14ac:dyDescent="0.25">
      <c r="A981" t="s">
        <v>1928</v>
      </c>
      <c r="B981" t="s">
        <v>1932</v>
      </c>
      <c r="C981" t="s">
        <v>2023</v>
      </c>
      <c r="D981" t="s">
        <v>152</v>
      </c>
      <c r="E981" t="s">
        <v>23</v>
      </c>
      <c r="F981" t="s">
        <v>1</v>
      </c>
      <c r="G981" t="s">
        <v>669</v>
      </c>
      <c r="H981" t="s">
        <v>423</v>
      </c>
      <c r="I981" t="s">
        <v>1</v>
      </c>
      <c r="J981">
        <v>10946.68</v>
      </c>
      <c r="K981">
        <v>15421.5000000001</v>
      </c>
      <c r="L981">
        <v>791.67</v>
      </c>
      <c r="M981">
        <v>1596.4616022099449</v>
      </c>
      <c r="N981">
        <v>4288.9399999999996</v>
      </c>
      <c r="O981">
        <v>1596.4616022099001</v>
      </c>
      <c r="P981">
        <v>0</v>
      </c>
      <c r="Q981">
        <f t="shared" si="195"/>
        <v>1596.4616022099001</v>
      </c>
      <c r="R981">
        <v>1596.4616022099001</v>
      </c>
      <c r="S981">
        <f t="shared" si="196"/>
        <v>0</v>
      </c>
      <c r="T981">
        <v>3.5000000000000003E-2</v>
      </c>
      <c r="U981">
        <f t="shared" si="197"/>
        <v>55.876156077346508</v>
      </c>
      <c r="V981">
        <f t="shared" si="198"/>
        <v>1652.3377582872465</v>
      </c>
      <c r="W981">
        <f t="shared" si="199"/>
        <v>55.876156077346423</v>
      </c>
      <c r="X981">
        <v>0</v>
      </c>
    </row>
    <row r="982" spans="1:24" x14ac:dyDescent="0.25">
      <c r="A982" t="s">
        <v>1928</v>
      </c>
      <c r="B982" t="s">
        <v>1932</v>
      </c>
      <c r="C982" t="s">
        <v>2023</v>
      </c>
      <c r="D982" t="s">
        <v>152</v>
      </c>
      <c r="E982" t="s">
        <v>26</v>
      </c>
      <c r="F982" t="s">
        <v>1</v>
      </c>
      <c r="G982" t="s">
        <v>669</v>
      </c>
      <c r="H982" t="s">
        <v>426</v>
      </c>
      <c r="I982" t="s">
        <v>1</v>
      </c>
      <c r="J982"/>
      <c r="K982">
        <v>981.23836829519996</v>
      </c>
      <c r="L982">
        <v>0</v>
      </c>
      <c r="M982">
        <v>0</v>
      </c>
      <c r="N982">
        <v>0</v>
      </c>
      <c r="O982"/>
      <c r="P982">
        <v>1000</v>
      </c>
      <c r="Q982">
        <f t="shared" si="195"/>
        <v>1000</v>
      </c>
      <c r="R982">
        <v>1000</v>
      </c>
      <c r="S982">
        <f t="shared" si="196"/>
        <v>0</v>
      </c>
      <c r="T982"/>
      <c r="U982">
        <f t="shared" si="197"/>
        <v>0</v>
      </c>
      <c r="V982">
        <f t="shared" si="198"/>
        <v>1000</v>
      </c>
      <c r="W982">
        <f t="shared" si="199"/>
        <v>0</v>
      </c>
      <c r="X982" t="s">
        <v>1460</v>
      </c>
    </row>
    <row r="983" spans="1:24" x14ac:dyDescent="0.25">
      <c r="A983" t="s">
        <v>1928</v>
      </c>
      <c r="B983" t="s">
        <v>1932</v>
      </c>
      <c r="C983" t="s">
        <v>2023</v>
      </c>
      <c r="D983" t="s">
        <v>152</v>
      </c>
      <c r="E983" t="s">
        <v>28</v>
      </c>
      <c r="F983" t="s">
        <v>1</v>
      </c>
      <c r="G983" t="s">
        <v>669</v>
      </c>
      <c r="H983" t="s">
        <v>428</v>
      </c>
      <c r="I983" t="s">
        <v>1</v>
      </c>
      <c r="J983">
        <v>7552.11</v>
      </c>
      <c r="K983">
        <v>8730</v>
      </c>
      <c r="L983">
        <v>1973.76</v>
      </c>
      <c r="M983">
        <v>3980.234254143646</v>
      </c>
      <c r="N983">
        <v>5376</v>
      </c>
      <c r="O983">
        <v>3947.52</v>
      </c>
      <c r="P983">
        <v>0</v>
      </c>
      <c r="Q983">
        <f t="shared" si="195"/>
        <v>3947.52</v>
      </c>
      <c r="R983">
        <v>3947.52</v>
      </c>
      <c r="S983">
        <f t="shared" si="196"/>
        <v>0</v>
      </c>
      <c r="T983"/>
      <c r="U983">
        <f t="shared" si="197"/>
        <v>0</v>
      </c>
      <c r="V983">
        <f t="shared" si="198"/>
        <v>3947.52</v>
      </c>
      <c r="W983">
        <f t="shared" si="199"/>
        <v>0</v>
      </c>
      <c r="X983">
        <v>0</v>
      </c>
    </row>
    <row r="984" spans="1:24" x14ac:dyDescent="0.25">
      <c r="A984" t="s">
        <v>1928</v>
      </c>
      <c r="B984" t="s">
        <v>1932</v>
      </c>
      <c r="C984" t="s">
        <v>2023</v>
      </c>
      <c r="D984" t="s">
        <v>152</v>
      </c>
      <c r="E984" t="s">
        <v>29</v>
      </c>
      <c r="F984" t="s">
        <v>1</v>
      </c>
      <c r="G984" t="s">
        <v>669</v>
      </c>
      <c r="H984" t="s">
        <v>429</v>
      </c>
      <c r="I984" t="s">
        <v>1</v>
      </c>
      <c r="J984">
        <v>437.5</v>
      </c>
      <c r="K984"/>
      <c r="L984">
        <v>290</v>
      </c>
      <c r="M984">
        <v>584.80662983425407</v>
      </c>
      <c r="N984">
        <v>727.5</v>
      </c>
      <c r="O984">
        <v>580</v>
      </c>
      <c r="P984">
        <v>0</v>
      </c>
      <c r="Q984">
        <f t="shared" si="195"/>
        <v>580</v>
      </c>
      <c r="R984">
        <v>580</v>
      </c>
      <c r="S984">
        <f t="shared" si="196"/>
        <v>0</v>
      </c>
      <c r="T984"/>
      <c r="U984">
        <f t="shared" si="197"/>
        <v>0</v>
      </c>
      <c r="V984">
        <f t="shared" si="198"/>
        <v>580</v>
      </c>
      <c r="W984">
        <f t="shared" si="199"/>
        <v>0</v>
      </c>
      <c r="X984">
        <v>0</v>
      </c>
    </row>
    <row r="985" spans="1:24" x14ac:dyDescent="0.25">
      <c r="A985" t="s">
        <v>1928</v>
      </c>
      <c r="B985" t="s">
        <v>1932</v>
      </c>
      <c r="C985" t="s">
        <v>2023</v>
      </c>
      <c r="D985" t="s">
        <v>152</v>
      </c>
      <c r="E985" t="s">
        <v>33</v>
      </c>
      <c r="F985" t="s">
        <v>1</v>
      </c>
      <c r="G985" t="s">
        <v>669</v>
      </c>
      <c r="H985" t="s">
        <v>433</v>
      </c>
      <c r="I985" t="s">
        <v>1</v>
      </c>
      <c r="J985"/>
      <c r="K985">
        <v>245.30959207320001</v>
      </c>
      <c r="L985">
        <v>115.92</v>
      </c>
      <c r="M985">
        <v>233.76132596685085</v>
      </c>
      <c r="N985">
        <v>115.92</v>
      </c>
      <c r="O985">
        <v>231.84</v>
      </c>
      <c r="P985">
        <v>268</v>
      </c>
      <c r="Q985">
        <f t="shared" si="195"/>
        <v>499.84000000000003</v>
      </c>
      <c r="R985">
        <v>500</v>
      </c>
      <c r="S985">
        <f t="shared" si="196"/>
        <v>0.15999999999996817</v>
      </c>
      <c r="T985"/>
      <c r="U985">
        <f t="shared" si="197"/>
        <v>0</v>
      </c>
      <c r="V985">
        <f t="shared" si="198"/>
        <v>500</v>
      </c>
      <c r="W985">
        <f t="shared" si="199"/>
        <v>0.15999999999996817</v>
      </c>
      <c r="X985" t="s">
        <v>1422</v>
      </c>
    </row>
    <row r="986" spans="1:24" x14ac:dyDescent="0.25">
      <c r="A986" t="s">
        <v>1928</v>
      </c>
      <c r="B986" t="s">
        <v>1932</v>
      </c>
      <c r="C986" t="s">
        <v>2023</v>
      </c>
      <c r="D986" t="s">
        <v>152</v>
      </c>
      <c r="E986" t="s">
        <v>35</v>
      </c>
      <c r="F986" t="s">
        <v>1</v>
      </c>
      <c r="G986" t="s">
        <v>669</v>
      </c>
      <c r="H986" t="s">
        <v>435</v>
      </c>
      <c r="I986" t="s">
        <v>1</v>
      </c>
      <c r="J986">
        <v>64.319999999999993</v>
      </c>
      <c r="K986">
        <v>60</v>
      </c>
      <c r="L986">
        <v>0</v>
      </c>
      <c r="M986">
        <v>0</v>
      </c>
      <c r="N986">
        <v>0</v>
      </c>
      <c r="O986"/>
      <c r="P986">
        <v>0</v>
      </c>
      <c r="Q986">
        <f t="shared" si="195"/>
        <v>0</v>
      </c>
      <c r="R986">
        <v>0</v>
      </c>
      <c r="S986">
        <f t="shared" si="196"/>
        <v>0</v>
      </c>
      <c r="T986"/>
      <c r="U986">
        <f t="shared" si="197"/>
        <v>0</v>
      </c>
      <c r="V986">
        <f t="shared" si="198"/>
        <v>0</v>
      </c>
      <c r="W986">
        <f t="shared" si="199"/>
        <v>0</v>
      </c>
      <c r="X986">
        <v>0</v>
      </c>
    </row>
    <row r="987" spans="1:24" x14ac:dyDescent="0.25">
      <c r="A987" t="s">
        <v>1928</v>
      </c>
      <c r="B987" t="s">
        <v>1932</v>
      </c>
      <c r="C987" t="s">
        <v>2023</v>
      </c>
      <c r="D987" t="s">
        <v>152</v>
      </c>
      <c r="E987" t="s">
        <v>37</v>
      </c>
      <c r="F987" t="s">
        <v>1</v>
      </c>
      <c r="G987" t="s">
        <v>669</v>
      </c>
      <c r="H987" t="s">
        <v>437</v>
      </c>
      <c r="I987" t="s">
        <v>1</v>
      </c>
      <c r="J987">
        <v>1310.3800000000001</v>
      </c>
      <c r="K987">
        <v>1471.8575524416001</v>
      </c>
      <c r="L987">
        <v>0</v>
      </c>
      <c r="M987">
        <v>0</v>
      </c>
      <c r="N987">
        <v>729.43999999999994</v>
      </c>
      <c r="O987"/>
      <c r="P987">
        <v>1500</v>
      </c>
      <c r="Q987">
        <f t="shared" si="195"/>
        <v>1500</v>
      </c>
      <c r="R987">
        <v>1500</v>
      </c>
      <c r="S987">
        <f t="shared" si="196"/>
        <v>0</v>
      </c>
      <c r="T987"/>
      <c r="U987">
        <f t="shared" si="197"/>
        <v>0</v>
      </c>
      <c r="V987">
        <f t="shared" si="198"/>
        <v>1500</v>
      </c>
      <c r="W987">
        <f t="shared" si="199"/>
        <v>0</v>
      </c>
      <c r="X987" t="s">
        <v>1423</v>
      </c>
    </row>
    <row r="988" spans="1:24" x14ac:dyDescent="0.25">
      <c r="A988" t="s">
        <v>1928</v>
      </c>
      <c r="B988" t="s">
        <v>1932</v>
      </c>
      <c r="C988" t="s">
        <v>2023</v>
      </c>
      <c r="D988" t="s">
        <v>152</v>
      </c>
      <c r="E988" t="s">
        <v>121</v>
      </c>
      <c r="F988" t="s">
        <v>1</v>
      </c>
      <c r="G988" t="s">
        <v>669</v>
      </c>
      <c r="H988" t="s">
        <v>590</v>
      </c>
      <c r="I988" t="s">
        <v>1</v>
      </c>
      <c r="J988">
        <v>1254</v>
      </c>
      <c r="K988">
        <v>73456.733411972396</v>
      </c>
      <c r="L988">
        <v>0</v>
      </c>
      <c r="M988">
        <v>0</v>
      </c>
      <c r="N988">
        <v>1254</v>
      </c>
      <c r="O988"/>
      <c r="P988">
        <v>0</v>
      </c>
      <c r="Q988">
        <f t="shared" si="195"/>
        <v>0</v>
      </c>
      <c r="R988">
        <v>0</v>
      </c>
      <c r="S988">
        <f t="shared" si="196"/>
        <v>0</v>
      </c>
      <c r="T988"/>
      <c r="U988">
        <f t="shared" si="197"/>
        <v>0</v>
      </c>
      <c r="V988">
        <f t="shared" si="198"/>
        <v>0</v>
      </c>
      <c r="W988">
        <f t="shared" si="199"/>
        <v>0</v>
      </c>
      <c r="X988">
        <v>0</v>
      </c>
    </row>
    <row r="989" spans="1:24" x14ac:dyDescent="0.25">
      <c r="A989" t="s">
        <v>1928</v>
      </c>
      <c r="B989" t="s">
        <v>1932</v>
      </c>
      <c r="C989" t="s">
        <v>2023</v>
      </c>
      <c r="D989" t="s">
        <v>152</v>
      </c>
      <c r="E989" t="s">
        <v>41</v>
      </c>
      <c r="F989" t="s">
        <v>1</v>
      </c>
      <c r="G989" t="s">
        <v>669</v>
      </c>
      <c r="H989" t="s">
        <v>441</v>
      </c>
      <c r="I989" t="s">
        <v>1</v>
      </c>
      <c r="J989">
        <v>655.42</v>
      </c>
      <c r="K989">
        <v>527.42999999999995</v>
      </c>
      <c r="L989">
        <v>79.61</v>
      </c>
      <c r="M989">
        <v>160.53950276243094</v>
      </c>
      <c r="N989">
        <v>257.38</v>
      </c>
      <c r="O989">
        <v>159.22</v>
      </c>
      <c r="P989">
        <v>0</v>
      </c>
      <c r="Q989">
        <f t="shared" si="195"/>
        <v>159.22</v>
      </c>
      <c r="R989">
        <v>159.22</v>
      </c>
      <c r="S989">
        <f t="shared" si="196"/>
        <v>0</v>
      </c>
      <c r="T989">
        <v>0.03</v>
      </c>
      <c r="U989">
        <f t="shared" si="197"/>
        <v>4.7766000000000002</v>
      </c>
      <c r="V989">
        <f t="shared" si="198"/>
        <v>163.9966</v>
      </c>
      <c r="W989">
        <f t="shared" si="199"/>
        <v>4.776600000000002</v>
      </c>
      <c r="X989">
        <v>0</v>
      </c>
    </row>
    <row r="990" spans="1:24" x14ac:dyDescent="0.25">
      <c r="A990" t="s">
        <v>1928</v>
      </c>
      <c r="B990" t="s">
        <v>1932</v>
      </c>
      <c r="C990" t="s">
        <v>2023</v>
      </c>
      <c r="D990" t="s">
        <v>152</v>
      </c>
      <c r="E990" t="s">
        <v>134</v>
      </c>
      <c r="F990" t="s">
        <v>1</v>
      </c>
      <c r="G990" t="s">
        <v>669</v>
      </c>
      <c r="H990" t="s">
        <v>623</v>
      </c>
      <c r="I990" t="s">
        <v>1</v>
      </c>
      <c r="J990">
        <v>2075.75</v>
      </c>
      <c r="K990">
        <v>4982.0000000004002</v>
      </c>
      <c r="L990">
        <v>0</v>
      </c>
      <c r="M990">
        <v>0</v>
      </c>
      <c r="N990">
        <v>0</v>
      </c>
      <c r="O990"/>
      <c r="P990">
        <v>0</v>
      </c>
      <c r="Q990">
        <f t="shared" si="195"/>
        <v>0</v>
      </c>
      <c r="R990">
        <v>0</v>
      </c>
      <c r="S990">
        <f t="shared" si="196"/>
        <v>0</v>
      </c>
      <c r="T990">
        <v>0.03</v>
      </c>
      <c r="U990">
        <f t="shared" si="197"/>
        <v>0</v>
      </c>
      <c r="V990">
        <f t="shared" si="198"/>
        <v>0</v>
      </c>
      <c r="W990">
        <f t="shared" si="199"/>
        <v>0</v>
      </c>
      <c r="X990">
        <v>0</v>
      </c>
    </row>
    <row r="991" spans="1:24" x14ac:dyDescent="0.25">
      <c r="A991" t="s">
        <v>1928</v>
      </c>
      <c r="B991" t="s">
        <v>1932</v>
      </c>
      <c r="C991" t="s">
        <v>2023</v>
      </c>
      <c r="D991" t="s">
        <v>152</v>
      </c>
      <c r="E991" t="s">
        <v>46</v>
      </c>
      <c r="F991" t="s">
        <v>1</v>
      </c>
      <c r="G991" t="s">
        <v>669</v>
      </c>
      <c r="H991" t="s">
        <v>446</v>
      </c>
      <c r="I991" t="s">
        <v>1</v>
      </c>
      <c r="J991">
        <v>3059</v>
      </c>
      <c r="K991"/>
      <c r="L991">
        <v>0</v>
      </c>
      <c r="M991">
        <v>0</v>
      </c>
      <c r="N991">
        <v>3059</v>
      </c>
      <c r="O991"/>
      <c r="P991">
        <v>0</v>
      </c>
      <c r="Q991">
        <f t="shared" si="195"/>
        <v>0</v>
      </c>
      <c r="R991">
        <v>0</v>
      </c>
      <c r="S991">
        <f t="shared" si="196"/>
        <v>0</v>
      </c>
      <c r="T991">
        <v>0.03</v>
      </c>
      <c r="U991">
        <f t="shared" si="197"/>
        <v>0</v>
      </c>
      <c r="V991">
        <f t="shared" si="198"/>
        <v>0</v>
      </c>
      <c r="W991">
        <f t="shared" si="199"/>
        <v>0</v>
      </c>
      <c r="X991">
        <v>0</v>
      </c>
    </row>
    <row r="992" spans="1:24" x14ac:dyDescent="0.25">
      <c r="A992" t="s">
        <v>1928</v>
      </c>
      <c r="B992" t="s">
        <v>1932</v>
      </c>
      <c r="C992" t="s">
        <v>2023</v>
      </c>
      <c r="D992" t="s">
        <v>152</v>
      </c>
      <c r="E992" t="s">
        <v>50</v>
      </c>
      <c r="F992" t="s">
        <v>1</v>
      </c>
      <c r="G992" t="s">
        <v>669</v>
      </c>
      <c r="H992" t="s">
        <v>450</v>
      </c>
      <c r="I992" t="s">
        <v>1</v>
      </c>
      <c r="J992">
        <v>1848.65</v>
      </c>
      <c r="K992">
        <v>1840.0000000006</v>
      </c>
      <c r="L992">
        <v>786.67</v>
      </c>
      <c r="M992">
        <v>1586.3787292817676</v>
      </c>
      <c r="N992">
        <v>1736.1000000000001</v>
      </c>
      <c r="O992">
        <v>1586.3787292817999</v>
      </c>
      <c r="P992">
        <v>0</v>
      </c>
      <c r="Q992">
        <f t="shared" si="195"/>
        <v>1586.3787292817999</v>
      </c>
      <c r="R992">
        <v>1586.3787292817999</v>
      </c>
      <c r="S992">
        <f t="shared" si="196"/>
        <v>0</v>
      </c>
      <c r="T992"/>
      <c r="U992">
        <f t="shared" si="197"/>
        <v>0</v>
      </c>
      <c r="V992">
        <f t="shared" si="198"/>
        <v>1586.3787292817999</v>
      </c>
      <c r="W992">
        <f t="shared" si="199"/>
        <v>0</v>
      </c>
      <c r="X992">
        <v>0</v>
      </c>
    </row>
    <row r="993" spans="1:24" x14ac:dyDescent="0.25">
      <c r="A993" t="s">
        <v>1928</v>
      </c>
      <c r="B993" t="s">
        <v>1932</v>
      </c>
      <c r="C993" t="s">
        <v>2023</v>
      </c>
      <c r="D993" t="s">
        <v>152</v>
      </c>
      <c r="E993" t="s">
        <v>51</v>
      </c>
      <c r="F993" t="s">
        <v>51</v>
      </c>
      <c r="G993" t="s">
        <v>670</v>
      </c>
      <c r="H993"/>
      <c r="I993"/>
      <c r="J993">
        <v>456659.07000000007</v>
      </c>
      <c r="K993">
        <v>514635.11385378579</v>
      </c>
      <c r="L993">
        <v>184688.32000000004</v>
      </c>
      <c r="M993">
        <v>372437.77237569058</v>
      </c>
      <c r="N993">
        <v>388196.00000000006</v>
      </c>
      <c r="O993">
        <v>371501.3093764793</v>
      </c>
      <c r="P993">
        <f>SUMIF($F$961:$F$992,"&lt;&gt;EV_*",$P$961:$P$992)</f>
        <v>-17249</v>
      </c>
      <c r="Q993">
        <f>SUMIF($F$961:$F$992,"&lt;&gt;EV_*",$Q$961:$Q$992)</f>
        <v>354252.3093764793</v>
      </c>
      <c r="R993">
        <f>SUMIF($F$961:$F$992,"&lt;&gt;EV_*",$R$961:$R$992)</f>
        <v>355744.99114504224</v>
      </c>
      <c r="S993">
        <f>SUMIF($F$961:$F$992,"&lt;&gt;EV_*",$S$961:$S$992)</f>
        <v>1492.6817685629017</v>
      </c>
      <c r="T993">
        <v>0</v>
      </c>
      <c r="U993">
        <f>SUMIF($F$961:$F$992,"&lt;&gt;EV_*",$U$961:$U$992)</f>
        <v>10201.608780371549</v>
      </c>
      <c r="V993">
        <f>SUMIF($F$961:$F$992,"&lt;&gt;EV_*",$V$961:$V$992)</f>
        <v>365946.59992541384</v>
      </c>
      <c r="W993">
        <f>SUMIF($F$961:$F$992,"&lt;&gt;EV_*",$W$961:$W$992)</f>
        <v>11694.290548934454</v>
      </c>
      <c r="X993">
        <f>SUMIF($F$961:$F$992,"&lt;&gt;EV_*",$X$961:$X$992)</f>
        <v>0</v>
      </c>
    </row>
    <row r="994" spans="1:24" x14ac:dyDescent="0.25">
      <c r="A994" t="s">
        <v>1928</v>
      </c>
      <c r="B994" t="s">
        <v>1934</v>
      </c>
      <c r="C994" t="s">
        <v>2024</v>
      </c>
      <c r="D994" t="s">
        <v>153</v>
      </c>
      <c r="E994" t="s">
        <v>5</v>
      </c>
      <c r="F994" t="s">
        <v>5</v>
      </c>
      <c r="G994" t="s">
        <v>671</v>
      </c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</row>
    <row r="995" spans="1:24" x14ac:dyDescent="0.25">
      <c r="A995" t="s">
        <v>1928</v>
      </c>
      <c r="B995" t="s">
        <v>1934</v>
      </c>
      <c r="C995" t="s">
        <v>2024</v>
      </c>
      <c r="D995" t="s">
        <v>153</v>
      </c>
      <c r="E995" t="s">
        <v>133</v>
      </c>
      <c r="F995" t="s">
        <v>1</v>
      </c>
      <c r="G995" t="s">
        <v>672</v>
      </c>
      <c r="H995" t="s">
        <v>622</v>
      </c>
      <c r="I995" t="s">
        <v>1</v>
      </c>
      <c r="J995">
        <v>1.85</v>
      </c>
      <c r="K995"/>
      <c r="L995">
        <v>0.22</v>
      </c>
      <c r="M995">
        <v>0.44364640883977902</v>
      </c>
      <c r="N995">
        <v>1.24</v>
      </c>
      <c r="O995">
        <v>0.4436464088</v>
      </c>
      <c r="P995">
        <v>0</v>
      </c>
      <c r="Q995">
        <f t="shared" ref="Q995:Q1024" si="200">O995+P995</f>
        <v>0.4436464088</v>
      </c>
      <c r="R995">
        <v>0</v>
      </c>
      <c r="S995">
        <f t="shared" ref="S995:S1024" si="201">IF(OR(LEFT(E995,2)="A_",LEFT(D995,5)="Total"),R995-Q995,"")</f>
        <v>-0.4436464088</v>
      </c>
      <c r="T995">
        <v>0.02</v>
      </c>
      <c r="U995">
        <f t="shared" ref="U995:U1024" si="202">IFERROR(R995*T995,R995*0)</f>
        <v>0</v>
      </c>
      <c r="V995">
        <f t="shared" ref="V995:V1024" si="203">IF(OR(LEFT(E995,2)="A_",LEFT(D995,5)="Total"),R995+U995,"")</f>
        <v>0</v>
      </c>
      <c r="W995">
        <f t="shared" ref="W995:W1024" si="204">IF(OR(LEFT(E995,2)="A_",LEFT(D995,5)="Total"),V995-Q995,"")</f>
        <v>-0.4436464088</v>
      </c>
      <c r="X995">
        <v>0</v>
      </c>
    </row>
    <row r="996" spans="1:24" x14ac:dyDescent="0.25">
      <c r="A996" t="s">
        <v>1928</v>
      </c>
      <c r="B996" t="s">
        <v>1934</v>
      </c>
      <c r="C996" t="s">
        <v>2024</v>
      </c>
      <c r="D996" t="s">
        <v>153</v>
      </c>
      <c r="E996" t="s">
        <v>8</v>
      </c>
      <c r="F996" t="s">
        <v>1</v>
      </c>
      <c r="G996" t="s">
        <v>672</v>
      </c>
      <c r="H996" t="s">
        <v>408</v>
      </c>
      <c r="I996" t="s">
        <v>1</v>
      </c>
      <c r="J996">
        <v>889.43</v>
      </c>
      <c r="K996">
        <v>1793.6019337016</v>
      </c>
      <c r="L996">
        <v>0</v>
      </c>
      <c r="M996">
        <v>0</v>
      </c>
      <c r="N996">
        <v>0</v>
      </c>
      <c r="O996"/>
      <c r="P996">
        <v>0</v>
      </c>
      <c r="Q996">
        <f t="shared" si="200"/>
        <v>0</v>
      </c>
      <c r="R996">
        <v>0</v>
      </c>
      <c r="S996">
        <f t="shared" si="201"/>
        <v>0</v>
      </c>
      <c r="T996"/>
      <c r="U996">
        <f t="shared" si="202"/>
        <v>0</v>
      </c>
      <c r="V996">
        <f t="shared" si="203"/>
        <v>0</v>
      </c>
      <c r="W996">
        <f t="shared" si="204"/>
        <v>0</v>
      </c>
      <c r="X996">
        <v>0</v>
      </c>
    </row>
    <row r="997" spans="1:24" x14ac:dyDescent="0.25">
      <c r="A997" t="s">
        <v>1928</v>
      </c>
      <c r="B997" t="s">
        <v>1934</v>
      </c>
      <c r="C997" t="s">
        <v>2024</v>
      </c>
      <c r="D997" t="s">
        <v>153</v>
      </c>
      <c r="E997" t="s">
        <v>12</v>
      </c>
      <c r="F997" t="s">
        <v>1</v>
      </c>
      <c r="G997" t="s">
        <v>672</v>
      </c>
      <c r="H997" t="s">
        <v>412</v>
      </c>
      <c r="I997" t="s">
        <v>1</v>
      </c>
      <c r="J997"/>
      <c r="K997"/>
      <c r="L997">
        <v>346.32</v>
      </c>
      <c r="M997">
        <v>698.38011049723764</v>
      </c>
      <c r="N997">
        <v>346.32</v>
      </c>
      <c r="O997">
        <v>692.64</v>
      </c>
      <c r="P997">
        <v>0</v>
      </c>
      <c r="Q997">
        <f t="shared" si="200"/>
        <v>692.64</v>
      </c>
      <c r="R997">
        <v>692.64</v>
      </c>
      <c r="S997">
        <f t="shared" si="201"/>
        <v>0</v>
      </c>
      <c r="T997"/>
      <c r="U997">
        <f t="shared" si="202"/>
        <v>0</v>
      </c>
      <c r="V997">
        <f t="shared" si="203"/>
        <v>692.64</v>
      </c>
      <c r="W997">
        <f t="shared" si="204"/>
        <v>0</v>
      </c>
      <c r="X997">
        <v>0</v>
      </c>
    </row>
    <row r="998" spans="1:24" x14ac:dyDescent="0.25">
      <c r="A998" t="s">
        <v>1928</v>
      </c>
      <c r="B998" t="s">
        <v>1934</v>
      </c>
      <c r="C998" t="s">
        <v>2024</v>
      </c>
      <c r="D998" t="s">
        <v>153</v>
      </c>
      <c r="E998" t="s">
        <v>65</v>
      </c>
      <c r="F998" t="s">
        <v>1</v>
      </c>
      <c r="G998" t="s">
        <v>672</v>
      </c>
      <c r="H998" t="s">
        <v>476</v>
      </c>
      <c r="I998" t="s">
        <v>1</v>
      </c>
      <c r="J998">
        <v>-235.21</v>
      </c>
      <c r="K998"/>
      <c r="L998">
        <v>-319.61</v>
      </c>
      <c r="M998">
        <v>-644.51740331491715</v>
      </c>
      <c r="N998">
        <v>-424.53999999999996</v>
      </c>
      <c r="O998">
        <v>-642.73219780219995</v>
      </c>
      <c r="P998">
        <v>0</v>
      </c>
      <c r="Q998">
        <f t="shared" si="200"/>
        <v>-642.73219780219995</v>
      </c>
      <c r="R998">
        <v>0</v>
      </c>
      <c r="S998">
        <f t="shared" si="201"/>
        <v>642.73219780219995</v>
      </c>
      <c r="T998"/>
      <c r="U998">
        <f t="shared" si="202"/>
        <v>0</v>
      </c>
      <c r="V998">
        <f t="shared" si="203"/>
        <v>0</v>
      </c>
      <c r="W998">
        <f t="shared" si="204"/>
        <v>642.73219780219995</v>
      </c>
      <c r="X998">
        <v>0</v>
      </c>
    </row>
    <row r="999" spans="1:24" x14ac:dyDescent="0.25">
      <c r="A999" t="s">
        <v>1928</v>
      </c>
      <c r="B999" t="s">
        <v>1934</v>
      </c>
      <c r="C999" t="s">
        <v>2024</v>
      </c>
      <c r="D999" t="s">
        <v>153</v>
      </c>
      <c r="E999" t="s">
        <v>17</v>
      </c>
      <c r="F999" t="s">
        <v>1</v>
      </c>
      <c r="G999" t="s">
        <v>672</v>
      </c>
      <c r="H999" t="s">
        <v>417</v>
      </c>
      <c r="I999" t="s">
        <v>1</v>
      </c>
      <c r="J999">
        <v>-5088.84</v>
      </c>
      <c r="K999">
        <v>-4789.9999999999</v>
      </c>
      <c r="L999">
        <v>-4389.34</v>
      </c>
      <c r="M999">
        <v>-8851.4314917127067</v>
      </c>
      <c r="N999">
        <v>-9287.34</v>
      </c>
      <c r="O999">
        <v>-8826.9145054945002</v>
      </c>
      <c r="P999">
        <v>0</v>
      </c>
      <c r="Q999">
        <f t="shared" si="200"/>
        <v>-8826.9145054945002</v>
      </c>
      <c r="R999">
        <v>-8826.9145054945002</v>
      </c>
      <c r="S999">
        <f t="shared" si="201"/>
        <v>0</v>
      </c>
      <c r="T999"/>
      <c r="U999">
        <f t="shared" si="202"/>
        <v>0</v>
      </c>
      <c r="V999">
        <f t="shared" si="203"/>
        <v>-8826.9145054945002</v>
      </c>
      <c r="W999">
        <f t="shared" si="204"/>
        <v>0</v>
      </c>
      <c r="X999">
        <v>0</v>
      </c>
    </row>
    <row r="1000" spans="1:24" x14ac:dyDescent="0.25">
      <c r="A1000" t="s">
        <v>1928</v>
      </c>
      <c r="B1000" t="s">
        <v>1934</v>
      </c>
      <c r="C1000" t="s">
        <v>2024</v>
      </c>
      <c r="D1000" t="s">
        <v>153</v>
      </c>
      <c r="E1000" t="s">
        <v>82</v>
      </c>
      <c r="F1000" t="s">
        <v>1</v>
      </c>
      <c r="G1000" t="s">
        <v>672</v>
      </c>
      <c r="H1000" t="s">
        <v>507</v>
      </c>
      <c r="I1000" t="s">
        <v>1</v>
      </c>
      <c r="J1000">
        <v>6499.76</v>
      </c>
      <c r="K1000">
        <v>6508.4567156378998</v>
      </c>
      <c r="L1000">
        <v>3904</v>
      </c>
      <c r="M1000">
        <v>7872.7071823204424</v>
      </c>
      <c r="N1000">
        <v>7804.4900000000007</v>
      </c>
      <c r="O1000">
        <v>7850.9010989011003</v>
      </c>
      <c r="P1000">
        <v>0</v>
      </c>
      <c r="Q1000">
        <f t="shared" si="200"/>
        <v>7850.9010989011003</v>
      </c>
      <c r="R1000">
        <v>7850.9010989011003</v>
      </c>
      <c r="S1000">
        <f t="shared" si="201"/>
        <v>0</v>
      </c>
      <c r="T1000">
        <v>2.75E-2</v>
      </c>
      <c r="U1000">
        <f t="shared" si="202"/>
        <v>215.89978021978027</v>
      </c>
      <c r="V1000">
        <f t="shared" si="203"/>
        <v>8066.8008791208804</v>
      </c>
      <c r="W1000">
        <f t="shared" si="204"/>
        <v>215.89978021978004</v>
      </c>
      <c r="X1000">
        <v>0</v>
      </c>
    </row>
    <row r="1001" spans="1:24" x14ac:dyDescent="0.25">
      <c r="A1001" t="s">
        <v>1928</v>
      </c>
      <c r="B1001" t="s">
        <v>1934</v>
      </c>
      <c r="C1001" t="s">
        <v>2024</v>
      </c>
      <c r="D1001" t="s">
        <v>153</v>
      </c>
      <c r="E1001" t="s">
        <v>72</v>
      </c>
      <c r="F1001" t="s">
        <v>1</v>
      </c>
      <c r="G1001" t="s">
        <v>672</v>
      </c>
      <c r="H1001" t="s">
        <v>489</v>
      </c>
      <c r="I1001" t="s">
        <v>1</v>
      </c>
      <c r="J1001">
        <v>1309.8399999999999</v>
      </c>
      <c r="K1001">
        <v>1399.5302002051001</v>
      </c>
      <c r="L1001">
        <v>504.14</v>
      </c>
      <c r="M1001">
        <v>1016.6359116022099</v>
      </c>
      <c r="N1001">
        <v>1542.6599999999996</v>
      </c>
      <c r="O1001">
        <v>1013.82</v>
      </c>
      <c r="P1001">
        <v>0</v>
      </c>
      <c r="Q1001">
        <f t="shared" si="200"/>
        <v>1013.82</v>
      </c>
      <c r="R1001">
        <v>1013.82</v>
      </c>
      <c r="S1001">
        <f t="shared" si="201"/>
        <v>0</v>
      </c>
      <c r="T1001">
        <v>2.2499999999999999E-2</v>
      </c>
      <c r="U1001">
        <f t="shared" si="202"/>
        <v>22.810950000000002</v>
      </c>
      <c r="V1001">
        <f t="shared" si="203"/>
        <v>1036.63095</v>
      </c>
      <c r="W1001">
        <f t="shared" si="204"/>
        <v>22.810949999999934</v>
      </c>
      <c r="X1001">
        <v>0</v>
      </c>
    </row>
    <row r="1002" spans="1:24" x14ac:dyDescent="0.25">
      <c r="A1002" t="s">
        <v>1928</v>
      </c>
      <c r="B1002" t="s">
        <v>1934</v>
      </c>
      <c r="C1002" t="s">
        <v>2024</v>
      </c>
      <c r="D1002" t="s">
        <v>153</v>
      </c>
      <c r="E1002" t="s">
        <v>118</v>
      </c>
      <c r="F1002" t="s">
        <v>1</v>
      </c>
      <c r="G1002" t="s">
        <v>672</v>
      </c>
      <c r="H1002" t="s">
        <v>587</v>
      </c>
      <c r="I1002" t="s">
        <v>1</v>
      </c>
      <c r="J1002">
        <v>3.18</v>
      </c>
      <c r="K1002"/>
      <c r="L1002">
        <v>38.54</v>
      </c>
      <c r="M1002">
        <v>77.718784530386742</v>
      </c>
      <c r="N1002">
        <v>38.54</v>
      </c>
      <c r="O1002">
        <v>77.503516483499993</v>
      </c>
      <c r="P1002">
        <v>0</v>
      </c>
      <c r="Q1002">
        <f t="shared" si="200"/>
        <v>77.503516483499993</v>
      </c>
      <c r="R1002">
        <v>77.503516483499993</v>
      </c>
      <c r="S1002">
        <f t="shared" si="201"/>
        <v>0</v>
      </c>
      <c r="T1002">
        <v>3.2500000000000001E-2</v>
      </c>
      <c r="U1002">
        <f t="shared" si="202"/>
        <v>2.5188642857137498</v>
      </c>
      <c r="V1002">
        <f t="shared" si="203"/>
        <v>80.02238076921374</v>
      </c>
      <c r="W1002">
        <f t="shared" si="204"/>
        <v>2.5188642857137467</v>
      </c>
      <c r="X1002">
        <v>0</v>
      </c>
    </row>
    <row r="1003" spans="1:24" x14ac:dyDescent="0.25">
      <c r="A1003" t="s">
        <v>1928</v>
      </c>
      <c r="B1003" t="s">
        <v>1934</v>
      </c>
      <c r="C1003" t="s">
        <v>2024</v>
      </c>
      <c r="D1003" t="s">
        <v>153</v>
      </c>
      <c r="E1003" t="s">
        <v>18</v>
      </c>
      <c r="F1003" t="s">
        <v>1</v>
      </c>
      <c r="G1003" t="s">
        <v>672</v>
      </c>
      <c r="H1003" t="s">
        <v>418</v>
      </c>
      <c r="I1003" t="s">
        <v>1</v>
      </c>
      <c r="J1003">
        <v>207852.96</v>
      </c>
      <c r="K1003">
        <v>200229.174967876</v>
      </c>
      <c r="L1003">
        <v>117703.27</v>
      </c>
      <c r="M1003">
        <v>237357.42292817679</v>
      </c>
      <c r="N1003">
        <v>238852.50000000003</v>
      </c>
      <c r="O1003">
        <v>236699.98252747199</v>
      </c>
      <c r="P1003">
        <v>2153</v>
      </c>
      <c r="Q1003">
        <f t="shared" si="200"/>
        <v>238852.98252747199</v>
      </c>
      <c r="R1003">
        <v>238853</v>
      </c>
      <c r="S1003">
        <f t="shared" si="201"/>
        <v>1.747252800851129E-2</v>
      </c>
      <c r="T1003">
        <v>0.02</v>
      </c>
      <c r="U1003">
        <f t="shared" si="202"/>
        <v>4777.0600000000004</v>
      </c>
      <c r="V1003">
        <f t="shared" si="203"/>
        <v>243630.06</v>
      </c>
      <c r="W1003">
        <f t="shared" si="204"/>
        <v>4777.0774725280062</v>
      </c>
      <c r="X1003" t="s">
        <v>1482</v>
      </c>
    </row>
    <row r="1004" spans="1:24" x14ac:dyDescent="0.25">
      <c r="A1004" t="s">
        <v>1928</v>
      </c>
      <c r="B1004" t="s">
        <v>1934</v>
      </c>
      <c r="C1004" t="s">
        <v>2024</v>
      </c>
      <c r="D1004" t="s">
        <v>153</v>
      </c>
      <c r="E1004" t="s">
        <v>57</v>
      </c>
      <c r="F1004" t="s">
        <v>1</v>
      </c>
      <c r="G1004" t="s">
        <v>672</v>
      </c>
      <c r="H1004" t="s">
        <v>462</v>
      </c>
      <c r="I1004" t="s">
        <v>1</v>
      </c>
      <c r="J1004">
        <v>36.18</v>
      </c>
      <c r="K1004"/>
      <c r="L1004">
        <v>7.73</v>
      </c>
      <c r="M1004">
        <v>15.588121546961325</v>
      </c>
      <c r="N1004">
        <v>15.46</v>
      </c>
      <c r="O1004">
        <v>15.544945054899999</v>
      </c>
      <c r="P1004">
        <v>-16</v>
      </c>
      <c r="Q1004">
        <f t="shared" si="200"/>
        <v>-0.45505494510000055</v>
      </c>
      <c r="R1004">
        <v>0</v>
      </c>
      <c r="S1004">
        <f t="shared" si="201"/>
        <v>0.45505494510000055</v>
      </c>
      <c r="T1004">
        <v>0.04</v>
      </c>
      <c r="U1004">
        <f t="shared" si="202"/>
        <v>0</v>
      </c>
      <c r="V1004">
        <f t="shared" si="203"/>
        <v>0</v>
      </c>
      <c r="W1004">
        <f t="shared" si="204"/>
        <v>0.45505494510000055</v>
      </c>
      <c r="X1004">
        <v>0</v>
      </c>
    </row>
    <row r="1005" spans="1:24" x14ac:dyDescent="0.25">
      <c r="A1005" t="s">
        <v>1928</v>
      </c>
      <c r="B1005" t="s">
        <v>1934</v>
      </c>
      <c r="C1005" t="s">
        <v>2024</v>
      </c>
      <c r="D1005" t="s">
        <v>153</v>
      </c>
      <c r="E1005" t="s">
        <v>19</v>
      </c>
      <c r="F1005" t="s">
        <v>1</v>
      </c>
      <c r="G1005" t="s">
        <v>672</v>
      </c>
      <c r="H1005" t="s">
        <v>419</v>
      </c>
      <c r="I1005" t="s">
        <v>1</v>
      </c>
      <c r="J1005">
        <v>2384.9</v>
      </c>
      <c r="K1005">
        <v>2275.0134567902001</v>
      </c>
      <c r="L1005">
        <v>0</v>
      </c>
      <c r="M1005">
        <v>0</v>
      </c>
      <c r="N1005">
        <v>900</v>
      </c>
      <c r="O1005"/>
      <c r="P1005">
        <v>0</v>
      </c>
      <c r="Q1005">
        <f t="shared" si="200"/>
        <v>0</v>
      </c>
      <c r="R1005">
        <v>0</v>
      </c>
      <c r="S1005">
        <f t="shared" si="201"/>
        <v>0</v>
      </c>
      <c r="T1005">
        <v>0.02</v>
      </c>
      <c r="U1005">
        <f t="shared" si="202"/>
        <v>0</v>
      </c>
      <c r="V1005">
        <f t="shared" si="203"/>
        <v>0</v>
      </c>
      <c r="W1005">
        <f t="shared" si="204"/>
        <v>0</v>
      </c>
      <c r="X1005">
        <v>0</v>
      </c>
    </row>
    <row r="1006" spans="1:24" x14ac:dyDescent="0.25">
      <c r="A1006" t="s">
        <v>1928</v>
      </c>
      <c r="B1006" t="s">
        <v>1934</v>
      </c>
      <c r="C1006" t="s">
        <v>2024</v>
      </c>
      <c r="D1006" t="s">
        <v>153</v>
      </c>
      <c r="E1006" t="s">
        <v>74</v>
      </c>
      <c r="F1006" t="s">
        <v>1</v>
      </c>
      <c r="G1006" t="s">
        <v>672</v>
      </c>
      <c r="H1006" t="s">
        <v>491</v>
      </c>
      <c r="I1006" t="s">
        <v>1</v>
      </c>
      <c r="J1006">
        <v>7355.76</v>
      </c>
      <c r="K1006">
        <v>8430.4953101552001</v>
      </c>
      <c r="L1006">
        <v>3894.46</v>
      </c>
      <c r="M1006">
        <v>7853.469060773481</v>
      </c>
      <c r="N1006">
        <v>8107.0099999999993</v>
      </c>
      <c r="O1006">
        <v>7831.7162637362999</v>
      </c>
      <c r="P1006">
        <v>275</v>
      </c>
      <c r="Q1006">
        <f t="shared" si="200"/>
        <v>8106.7162637362999</v>
      </c>
      <c r="R1006">
        <v>8107</v>
      </c>
      <c r="S1006">
        <f t="shared" si="201"/>
        <v>0.28373626370012062</v>
      </c>
      <c r="T1006">
        <v>3.5000000000000003E-2</v>
      </c>
      <c r="U1006">
        <f t="shared" si="202"/>
        <v>283.745</v>
      </c>
      <c r="V1006">
        <f t="shared" si="203"/>
        <v>8390.7450000000008</v>
      </c>
      <c r="W1006">
        <f t="shared" si="204"/>
        <v>284.02873626370092</v>
      </c>
      <c r="X1006" t="s">
        <v>1482</v>
      </c>
    </row>
    <row r="1007" spans="1:24" x14ac:dyDescent="0.25">
      <c r="A1007" t="s">
        <v>1928</v>
      </c>
      <c r="B1007" t="s">
        <v>1934</v>
      </c>
      <c r="C1007" t="s">
        <v>2024</v>
      </c>
      <c r="D1007" t="s">
        <v>153</v>
      </c>
      <c r="E1007" t="s">
        <v>85</v>
      </c>
      <c r="F1007" t="s">
        <v>1</v>
      </c>
      <c r="G1007" t="s">
        <v>672</v>
      </c>
      <c r="H1007" t="s">
        <v>510</v>
      </c>
      <c r="I1007" t="s">
        <v>1</v>
      </c>
      <c r="J1007">
        <v>246.3</v>
      </c>
      <c r="K1007"/>
      <c r="L1007">
        <v>0</v>
      </c>
      <c r="M1007">
        <v>0</v>
      </c>
      <c r="N1007">
        <v>20.51</v>
      </c>
      <c r="O1007"/>
      <c r="P1007">
        <v>0</v>
      </c>
      <c r="Q1007">
        <f t="shared" si="200"/>
        <v>0</v>
      </c>
      <c r="R1007">
        <v>0</v>
      </c>
      <c r="S1007">
        <f t="shared" si="201"/>
        <v>0</v>
      </c>
      <c r="T1007">
        <v>0.02</v>
      </c>
      <c r="U1007">
        <f t="shared" si="202"/>
        <v>0</v>
      </c>
      <c r="V1007">
        <f t="shared" si="203"/>
        <v>0</v>
      </c>
      <c r="W1007">
        <f t="shared" si="204"/>
        <v>0</v>
      </c>
      <c r="X1007">
        <v>0</v>
      </c>
    </row>
    <row r="1008" spans="1:24" x14ac:dyDescent="0.25">
      <c r="A1008" t="s">
        <v>1928</v>
      </c>
      <c r="B1008" t="s">
        <v>1934</v>
      </c>
      <c r="C1008" t="s">
        <v>2024</v>
      </c>
      <c r="D1008" t="s">
        <v>153</v>
      </c>
      <c r="E1008" t="s">
        <v>120</v>
      </c>
      <c r="F1008" t="s">
        <v>1</v>
      </c>
      <c r="G1008" t="s">
        <v>672</v>
      </c>
      <c r="H1008" t="s">
        <v>589</v>
      </c>
      <c r="I1008" t="s">
        <v>1</v>
      </c>
      <c r="J1008">
        <v>494</v>
      </c>
      <c r="K1008"/>
      <c r="L1008">
        <v>0</v>
      </c>
      <c r="M1008">
        <v>0</v>
      </c>
      <c r="N1008">
        <v>0</v>
      </c>
      <c r="O1008"/>
      <c r="P1008">
        <v>0</v>
      </c>
      <c r="Q1008">
        <f t="shared" si="200"/>
        <v>0</v>
      </c>
      <c r="R1008">
        <v>0</v>
      </c>
      <c r="S1008">
        <f t="shared" si="201"/>
        <v>0</v>
      </c>
      <c r="T1008">
        <v>3.5000000000000003E-2</v>
      </c>
      <c r="U1008">
        <f t="shared" si="202"/>
        <v>0</v>
      </c>
      <c r="V1008">
        <f t="shared" si="203"/>
        <v>0</v>
      </c>
      <c r="W1008">
        <f t="shared" si="204"/>
        <v>0</v>
      </c>
      <c r="X1008">
        <v>0</v>
      </c>
    </row>
    <row r="1009" spans="1:24" x14ac:dyDescent="0.25">
      <c r="A1009" t="s">
        <v>1928</v>
      </c>
      <c r="B1009" t="s">
        <v>1934</v>
      </c>
      <c r="C1009" t="s">
        <v>2024</v>
      </c>
      <c r="D1009" t="s">
        <v>153</v>
      </c>
      <c r="E1009" t="s">
        <v>20</v>
      </c>
      <c r="F1009" t="s">
        <v>1</v>
      </c>
      <c r="G1009" t="s">
        <v>672</v>
      </c>
      <c r="H1009" t="s">
        <v>420</v>
      </c>
      <c r="I1009" t="s">
        <v>1</v>
      </c>
      <c r="J1009">
        <v>12290.08</v>
      </c>
      <c r="K1009">
        <v>12537.4783541087</v>
      </c>
      <c r="L1009">
        <v>9665.49</v>
      </c>
      <c r="M1009">
        <v>19491.181491712709</v>
      </c>
      <c r="N1009">
        <v>16527.260000000002</v>
      </c>
      <c r="O1009">
        <v>19437.194175824199</v>
      </c>
      <c r="P1009">
        <v>0</v>
      </c>
      <c r="Q1009">
        <f t="shared" si="200"/>
        <v>19437.194175824199</v>
      </c>
      <c r="R1009">
        <v>19437.194175824199</v>
      </c>
      <c r="S1009">
        <f t="shared" si="201"/>
        <v>0</v>
      </c>
      <c r="T1009">
        <v>0.04</v>
      </c>
      <c r="U1009">
        <f t="shared" si="202"/>
        <v>777.48776703296801</v>
      </c>
      <c r="V1009">
        <f t="shared" si="203"/>
        <v>20214.681942857169</v>
      </c>
      <c r="W1009">
        <f t="shared" si="204"/>
        <v>777.48776703296971</v>
      </c>
      <c r="X1009">
        <v>0</v>
      </c>
    </row>
    <row r="1010" spans="1:24" x14ac:dyDescent="0.25">
      <c r="A1010" t="s">
        <v>1928</v>
      </c>
      <c r="B1010" t="s">
        <v>1934</v>
      </c>
      <c r="C1010" t="s">
        <v>2024</v>
      </c>
      <c r="D1010" t="s">
        <v>153</v>
      </c>
      <c r="E1010" t="s">
        <v>21</v>
      </c>
      <c r="F1010" t="s">
        <v>1</v>
      </c>
      <c r="G1010" t="s">
        <v>672</v>
      </c>
      <c r="H1010" t="s">
        <v>421</v>
      </c>
      <c r="I1010" t="s">
        <v>1</v>
      </c>
      <c r="J1010">
        <v>9598.8700000000008</v>
      </c>
      <c r="K1010">
        <v>7935.9299972377003</v>
      </c>
      <c r="L1010">
        <v>6019.65</v>
      </c>
      <c r="M1010">
        <v>12139.07320441989</v>
      </c>
      <c r="N1010">
        <v>11786.510000000002</v>
      </c>
      <c r="O1010">
        <v>12139.073204419899</v>
      </c>
      <c r="P1010">
        <v>0</v>
      </c>
      <c r="Q1010">
        <f t="shared" si="200"/>
        <v>12139.073204419899</v>
      </c>
      <c r="R1010">
        <v>12139.073204419899</v>
      </c>
      <c r="S1010">
        <f t="shared" si="201"/>
        <v>0</v>
      </c>
      <c r="T1010">
        <v>0.03</v>
      </c>
      <c r="U1010">
        <f t="shared" si="202"/>
        <v>364.17219613259698</v>
      </c>
      <c r="V1010">
        <f t="shared" si="203"/>
        <v>12503.245400552496</v>
      </c>
      <c r="W1010">
        <f t="shared" si="204"/>
        <v>364.17219613259658</v>
      </c>
      <c r="X1010">
        <v>0</v>
      </c>
    </row>
    <row r="1011" spans="1:24" x14ac:dyDescent="0.25">
      <c r="A1011" t="s">
        <v>1928</v>
      </c>
      <c r="B1011" t="s">
        <v>1934</v>
      </c>
      <c r="C1011" t="s">
        <v>2024</v>
      </c>
      <c r="D1011" t="s">
        <v>153</v>
      </c>
      <c r="E1011" t="s">
        <v>66</v>
      </c>
      <c r="F1011" t="s">
        <v>1</v>
      </c>
      <c r="G1011" t="s">
        <v>672</v>
      </c>
      <c r="H1011" t="s">
        <v>477</v>
      </c>
      <c r="I1011" t="s">
        <v>1</v>
      </c>
      <c r="J1011">
        <v>242.3</v>
      </c>
      <c r="K1011">
        <v>39.134150552400001</v>
      </c>
      <c r="L1011">
        <v>131.25</v>
      </c>
      <c r="M1011">
        <v>264.67541436464091</v>
      </c>
      <c r="N1011">
        <v>354.8</v>
      </c>
      <c r="O1011">
        <v>264.67541436459999</v>
      </c>
      <c r="P1011">
        <v>90</v>
      </c>
      <c r="Q1011">
        <f t="shared" si="200"/>
        <v>354.67541436459999</v>
      </c>
      <c r="R1011">
        <v>355</v>
      </c>
      <c r="S1011">
        <f t="shared" si="201"/>
        <v>0.32458563540001251</v>
      </c>
      <c r="T1011">
        <v>3.5000000000000003E-2</v>
      </c>
      <c r="U1011">
        <f t="shared" si="202"/>
        <v>12.425000000000001</v>
      </c>
      <c r="V1011">
        <f t="shared" si="203"/>
        <v>367.42500000000001</v>
      </c>
      <c r="W1011">
        <f t="shared" si="204"/>
        <v>12.749585635400024</v>
      </c>
      <c r="X1011" t="s">
        <v>1482</v>
      </c>
    </row>
    <row r="1012" spans="1:24" x14ac:dyDescent="0.25">
      <c r="A1012" t="s">
        <v>1928</v>
      </c>
      <c r="B1012" t="s">
        <v>1934</v>
      </c>
      <c r="C1012" t="s">
        <v>2024</v>
      </c>
      <c r="D1012" t="s">
        <v>153</v>
      </c>
      <c r="E1012" t="s">
        <v>22</v>
      </c>
      <c r="F1012" t="s">
        <v>1</v>
      </c>
      <c r="G1012" t="s">
        <v>672</v>
      </c>
      <c r="H1012" t="s">
        <v>422</v>
      </c>
      <c r="I1012" t="s">
        <v>1</v>
      </c>
      <c r="J1012">
        <v>47.07</v>
      </c>
      <c r="K1012"/>
      <c r="L1012">
        <v>28.89</v>
      </c>
      <c r="M1012">
        <v>58.258839779005527</v>
      </c>
      <c r="N1012">
        <v>75.960000000000008</v>
      </c>
      <c r="O1012">
        <v>58.258839778999999</v>
      </c>
      <c r="P1012">
        <v>0</v>
      </c>
      <c r="Q1012">
        <f t="shared" si="200"/>
        <v>58.258839778999999</v>
      </c>
      <c r="R1012">
        <v>58.258839778999999</v>
      </c>
      <c r="S1012">
        <f t="shared" si="201"/>
        <v>0</v>
      </c>
      <c r="T1012">
        <v>3.5000000000000003E-2</v>
      </c>
      <c r="U1012">
        <f t="shared" si="202"/>
        <v>2.039059392265</v>
      </c>
      <c r="V1012">
        <f t="shared" si="203"/>
        <v>60.297899171265001</v>
      </c>
      <c r="W1012">
        <f t="shared" si="204"/>
        <v>2.0390593922650027</v>
      </c>
      <c r="X1012">
        <v>0</v>
      </c>
    </row>
    <row r="1013" spans="1:24" x14ac:dyDescent="0.25">
      <c r="A1013" t="s">
        <v>1928</v>
      </c>
      <c r="B1013" t="s">
        <v>1934</v>
      </c>
      <c r="C1013" t="s">
        <v>2024</v>
      </c>
      <c r="D1013" t="s">
        <v>153</v>
      </c>
      <c r="E1013" t="s">
        <v>23</v>
      </c>
      <c r="F1013" t="s">
        <v>1</v>
      </c>
      <c r="G1013" t="s">
        <v>672</v>
      </c>
      <c r="H1013" t="s">
        <v>423</v>
      </c>
      <c r="I1013" t="s">
        <v>1</v>
      </c>
      <c r="J1013">
        <v>22941.360000000001</v>
      </c>
      <c r="K1013">
        <v>46385.030324585598</v>
      </c>
      <c r="L1013">
        <v>2449.09</v>
      </c>
      <c r="M1013">
        <v>4938.772651933702</v>
      </c>
      <c r="N1013">
        <v>3166.3999999999996</v>
      </c>
      <c r="O1013">
        <v>4938.7726519337002</v>
      </c>
      <c r="P1013">
        <v>0</v>
      </c>
      <c r="Q1013">
        <f t="shared" si="200"/>
        <v>4938.7726519337002</v>
      </c>
      <c r="R1013">
        <v>4938.7726519337002</v>
      </c>
      <c r="S1013">
        <f t="shared" si="201"/>
        <v>0</v>
      </c>
      <c r="T1013">
        <v>3.5000000000000003E-2</v>
      </c>
      <c r="U1013">
        <f t="shared" si="202"/>
        <v>172.85704281767951</v>
      </c>
      <c r="V1013">
        <f t="shared" si="203"/>
        <v>5111.6296947513802</v>
      </c>
      <c r="W1013">
        <f t="shared" si="204"/>
        <v>172.85704281767994</v>
      </c>
      <c r="X1013">
        <v>0</v>
      </c>
    </row>
    <row r="1014" spans="1:24" x14ac:dyDescent="0.25">
      <c r="A1014" t="s">
        <v>1928</v>
      </c>
      <c r="B1014" t="s">
        <v>1934</v>
      </c>
      <c r="C1014" t="s">
        <v>2024</v>
      </c>
      <c r="D1014" t="s">
        <v>153</v>
      </c>
      <c r="E1014" t="s">
        <v>26</v>
      </c>
      <c r="F1014" t="s">
        <v>1</v>
      </c>
      <c r="G1014" t="s">
        <v>672</v>
      </c>
      <c r="H1014" t="s">
        <v>426</v>
      </c>
      <c r="I1014" t="s">
        <v>1</v>
      </c>
      <c r="J1014">
        <v>3980</v>
      </c>
      <c r="K1014">
        <v>1471.8575524416001</v>
      </c>
      <c r="L1014">
        <v>0</v>
      </c>
      <c r="M1014">
        <v>0</v>
      </c>
      <c r="N1014">
        <v>0</v>
      </c>
      <c r="O1014"/>
      <c r="P1014">
        <v>1000</v>
      </c>
      <c r="Q1014">
        <f t="shared" si="200"/>
        <v>1000</v>
      </c>
      <c r="R1014">
        <v>1000</v>
      </c>
      <c r="S1014">
        <f t="shared" si="201"/>
        <v>0</v>
      </c>
      <c r="T1014"/>
      <c r="U1014">
        <f t="shared" si="202"/>
        <v>0</v>
      </c>
      <c r="V1014">
        <f t="shared" si="203"/>
        <v>1000</v>
      </c>
      <c r="W1014">
        <f t="shared" si="204"/>
        <v>0</v>
      </c>
      <c r="X1014" t="s">
        <v>1460</v>
      </c>
    </row>
    <row r="1015" spans="1:24" x14ac:dyDescent="0.25">
      <c r="A1015" t="s">
        <v>1928</v>
      </c>
      <c r="B1015" t="s">
        <v>1934</v>
      </c>
      <c r="C1015" t="s">
        <v>2024</v>
      </c>
      <c r="D1015" t="s">
        <v>153</v>
      </c>
      <c r="E1015" t="s">
        <v>28</v>
      </c>
      <c r="F1015" t="s">
        <v>1</v>
      </c>
      <c r="G1015" t="s">
        <v>672</v>
      </c>
      <c r="H1015" t="s">
        <v>428</v>
      </c>
      <c r="I1015" t="s">
        <v>1</v>
      </c>
      <c r="J1015">
        <v>3873.38</v>
      </c>
      <c r="K1015">
        <v>3848.6723999999999</v>
      </c>
      <c r="L1015">
        <v>327.63</v>
      </c>
      <c r="M1015">
        <v>660.69033149171264</v>
      </c>
      <c r="N1015">
        <v>2292.4900000000002</v>
      </c>
      <c r="O1015">
        <v>655.26</v>
      </c>
      <c r="P1015">
        <v>21437</v>
      </c>
      <c r="Q1015">
        <f t="shared" si="200"/>
        <v>22092.26</v>
      </c>
      <c r="R1015">
        <v>22092</v>
      </c>
      <c r="S1015">
        <f t="shared" si="201"/>
        <v>-0.25999999999839929</v>
      </c>
      <c r="T1015"/>
      <c r="U1015">
        <f t="shared" si="202"/>
        <v>0</v>
      </c>
      <c r="V1015">
        <f t="shared" si="203"/>
        <v>22092</v>
      </c>
      <c r="W1015">
        <f t="shared" si="204"/>
        <v>-0.25999999999839929</v>
      </c>
      <c r="X1015" t="s">
        <v>1483</v>
      </c>
    </row>
    <row r="1016" spans="1:24" x14ac:dyDescent="0.25">
      <c r="A1016" t="s">
        <v>1928</v>
      </c>
      <c r="B1016" t="s">
        <v>1934</v>
      </c>
      <c r="C1016" t="s">
        <v>2024</v>
      </c>
      <c r="D1016" t="s">
        <v>153</v>
      </c>
      <c r="E1016" t="s">
        <v>29</v>
      </c>
      <c r="F1016" t="s">
        <v>1</v>
      </c>
      <c r="G1016" t="s">
        <v>672</v>
      </c>
      <c r="H1016" t="s">
        <v>429</v>
      </c>
      <c r="I1016" t="s">
        <v>1</v>
      </c>
      <c r="J1016">
        <v>13748.5</v>
      </c>
      <c r="K1016"/>
      <c r="L1016">
        <v>0</v>
      </c>
      <c r="M1016">
        <v>0</v>
      </c>
      <c r="N1016">
        <v>13748.5</v>
      </c>
      <c r="O1016"/>
      <c r="P1016">
        <v>0</v>
      </c>
      <c r="Q1016">
        <f t="shared" si="200"/>
        <v>0</v>
      </c>
      <c r="R1016">
        <v>0</v>
      </c>
      <c r="S1016">
        <f t="shared" si="201"/>
        <v>0</v>
      </c>
      <c r="T1016"/>
      <c r="U1016">
        <f t="shared" si="202"/>
        <v>0</v>
      </c>
      <c r="V1016">
        <f t="shared" si="203"/>
        <v>0</v>
      </c>
      <c r="W1016">
        <f t="shared" si="204"/>
        <v>0</v>
      </c>
      <c r="X1016">
        <v>0</v>
      </c>
    </row>
    <row r="1017" spans="1:24" x14ac:dyDescent="0.25">
      <c r="A1017" t="s">
        <v>1928</v>
      </c>
      <c r="B1017" t="s">
        <v>1934</v>
      </c>
      <c r="C1017" t="s">
        <v>2024</v>
      </c>
      <c r="D1017" t="s">
        <v>153</v>
      </c>
      <c r="E1017" t="s">
        <v>31</v>
      </c>
      <c r="F1017" t="s">
        <v>1</v>
      </c>
      <c r="G1017" t="s">
        <v>672</v>
      </c>
      <c r="H1017" t="s">
        <v>431</v>
      </c>
      <c r="I1017" t="s">
        <v>1</v>
      </c>
      <c r="J1017">
        <v>7000</v>
      </c>
      <c r="K1017"/>
      <c r="L1017">
        <v>0</v>
      </c>
      <c r="M1017">
        <v>0</v>
      </c>
      <c r="N1017">
        <v>7000</v>
      </c>
      <c r="O1017"/>
      <c r="P1017">
        <v>0</v>
      </c>
      <c r="Q1017">
        <f t="shared" si="200"/>
        <v>0</v>
      </c>
      <c r="R1017">
        <v>0</v>
      </c>
      <c r="S1017">
        <f t="shared" si="201"/>
        <v>0</v>
      </c>
      <c r="T1017"/>
      <c r="U1017">
        <f t="shared" si="202"/>
        <v>0</v>
      </c>
      <c r="V1017">
        <f t="shared" si="203"/>
        <v>0</v>
      </c>
      <c r="W1017">
        <f t="shared" si="204"/>
        <v>0</v>
      </c>
      <c r="X1017">
        <v>0</v>
      </c>
    </row>
    <row r="1018" spans="1:24" x14ac:dyDescent="0.25">
      <c r="A1018" t="s">
        <v>1928</v>
      </c>
      <c r="B1018" t="s">
        <v>1934</v>
      </c>
      <c r="C1018" t="s">
        <v>2024</v>
      </c>
      <c r="D1018" t="s">
        <v>153</v>
      </c>
      <c r="E1018" t="s">
        <v>33</v>
      </c>
      <c r="F1018" t="s">
        <v>1</v>
      </c>
      <c r="G1018" t="s">
        <v>672</v>
      </c>
      <c r="H1018" t="s">
        <v>433</v>
      </c>
      <c r="I1018" t="s">
        <v>1</v>
      </c>
      <c r="J1018"/>
      <c r="K1018">
        <v>245.30959957799999</v>
      </c>
      <c r="L1018">
        <v>0</v>
      </c>
      <c r="M1018">
        <v>0</v>
      </c>
      <c r="N1018">
        <v>0</v>
      </c>
      <c r="O1018"/>
      <c r="P1018">
        <v>500</v>
      </c>
      <c r="Q1018">
        <f t="shared" si="200"/>
        <v>500</v>
      </c>
      <c r="R1018">
        <v>500</v>
      </c>
      <c r="S1018">
        <f t="shared" si="201"/>
        <v>0</v>
      </c>
      <c r="T1018"/>
      <c r="U1018">
        <f t="shared" si="202"/>
        <v>0</v>
      </c>
      <c r="V1018">
        <f t="shared" si="203"/>
        <v>500</v>
      </c>
      <c r="W1018">
        <f t="shared" si="204"/>
        <v>0</v>
      </c>
      <c r="X1018" t="s">
        <v>1422</v>
      </c>
    </row>
    <row r="1019" spans="1:24" x14ac:dyDescent="0.25">
      <c r="A1019" t="s">
        <v>1928</v>
      </c>
      <c r="B1019" t="s">
        <v>1934</v>
      </c>
      <c r="C1019" t="s">
        <v>2024</v>
      </c>
      <c r="D1019" t="s">
        <v>153</v>
      </c>
      <c r="E1019" t="s">
        <v>37</v>
      </c>
      <c r="F1019" t="s">
        <v>1</v>
      </c>
      <c r="G1019" t="s">
        <v>672</v>
      </c>
      <c r="H1019" t="s">
        <v>437</v>
      </c>
      <c r="I1019" t="s">
        <v>1</v>
      </c>
      <c r="J1019"/>
      <c r="K1019">
        <v>1471.8575524416001</v>
      </c>
      <c r="L1019">
        <v>0</v>
      </c>
      <c r="M1019">
        <v>0</v>
      </c>
      <c r="N1019">
        <v>0</v>
      </c>
      <c r="O1019"/>
      <c r="P1019">
        <v>1500</v>
      </c>
      <c r="Q1019">
        <f t="shared" si="200"/>
        <v>1500</v>
      </c>
      <c r="R1019">
        <v>1500</v>
      </c>
      <c r="S1019">
        <f t="shared" si="201"/>
        <v>0</v>
      </c>
      <c r="T1019"/>
      <c r="U1019">
        <f t="shared" si="202"/>
        <v>0</v>
      </c>
      <c r="V1019">
        <f t="shared" si="203"/>
        <v>1500</v>
      </c>
      <c r="W1019">
        <f t="shared" si="204"/>
        <v>0</v>
      </c>
      <c r="X1019" t="s">
        <v>1423</v>
      </c>
    </row>
    <row r="1020" spans="1:24" x14ac:dyDescent="0.25">
      <c r="A1020" t="s">
        <v>1928</v>
      </c>
      <c r="B1020" t="s">
        <v>1934</v>
      </c>
      <c r="C1020" t="s">
        <v>2024</v>
      </c>
      <c r="D1020" t="s">
        <v>153</v>
      </c>
      <c r="E1020" t="s">
        <v>41</v>
      </c>
      <c r="F1020" t="s">
        <v>1</v>
      </c>
      <c r="G1020" t="s">
        <v>672</v>
      </c>
      <c r="H1020" t="s">
        <v>441</v>
      </c>
      <c r="I1020" t="s">
        <v>1</v>
      </c>
      <c r="J1020">
        <v>2888.11</v>
      </c>
      <c r="K1020">
        <v>366.40199999999999</v>
      </c>
      <c r="L1020">
        <v>989.53</v>
      </c>
      <c r="M1020">
        <v>1995.4610497237568</v>
      </c>
      <c r="N1020">
        <v>3634.95</v>
      </c>
      <c r="O1020">
        <v>1979.06</v>
      </c>
      <c r="P1020">
        <v>0</v>
      </c>
      <c r="Q1020">
        <f t="shared" si="200"/>
        <v>1979.06</v>
      </c>
      <c r="R1020">
        <v>1979.06</v>
      </c>
      <c r="S1020">
        <f t="shared" si="201"/>
        <v>0</v>
      </c>
      <c r="T1020">
        <v>0.03</v>
      </c>
      <c r="U1020">
        <f t="shared" si="202"/>
        <v>59.371799999999993</v>
      </c>
      <c r="V1020">
        <f t="shared" si="203"/>
        <v>2038.4317999999998</v>
      </c>
      <c r="W1020">
        <f t="shared" si="204"/>
        <v>59.371799999999894</v>
      </c>
      <c r="X1020">
        <v>0</v>
      </c>
    </row>
    <row r="1021" spans="1:24" x14ac:dyDescent="0.25">
      <c r="A1021" t="s">
        <v>1928</v>
      </c>
      <c r="B1021" t="s">
        <v>1934</v>
      </c>
      <c r="C1021" t="s">
        <v>2024</v>
      </c>
      <c r="D1021" t="s">
        <v>153</v>
      </c>
      <c r="E1021" t="s">
        <v>107</v>
      </c>
      <c r="F1021" t="s">
        <v>1</v>
      </c>
      <c r="G1021" t="s">
        <v>672</v>
      </c>
      <c r="H1021" t="s">
        <v>564</v>
      </c>
      <c r="I1021" t="s">
        <v>1</v>
      </c>
      <c r="J1021">
        <v>432.9</v>
      </c>
      <c r="K1021">
        <v>174.59520000000001</v>
      </c>
      <c r="L1021">
        <v>346.32</v>
      </c>
      <c r="M1021">
        <v>698.38011049723764</v>
      </c>
      <c r="N1021">
        <v>692.64</v>
      </c>
      <c r="O1021">
        <v>692.64</v>
      </c>
      <c r="P1021">
        <v>0</v>
      </c>
      <c r="Q1021">
        <f t="shared" si="200"/>
        <v>692.64</v>
      </c>
      <c r="R1021">
        <v>692.64</v>
      </c>
      <c r="S1021">
        <f t="shared" si="201"/>
        <v>0</v>
      </c>
      <c r="T1021">
        <v>0.03</v>
      </c>
      <c r="U1021">
        <f t="shared" si="202"/>
        <v>20.779199999999999</v>
      </c>
      <c r="V1021">
        <f t="shared" si="203"/>
        <v>713.41919999999993</v>
      </c>
      <c r="W1021">
        <f t="shared" si="204"/>
        <v>20.779199999999946</v>
      </c>
      <c r="X1021">
        <v>0</v>
      </c>
    </row>
    <row r="1022" spans="1:24" x14ac:dyDescent="0.25">
      <c r="A1022" t="s">
        <v>1928</v>
      </c>
      <c r="B1022" t="s">
        <v>1934</v>
      </c>
      <c r="C1022" t="s">
        <v>2024</v>
      </c>
      <c r="D1022" t="s">
        <v>153</v>
      </c>
      <c r="E1022" t="s">
        <v>134</v>
      </c>
      <c r="F1022" t="s">
        <v>1</v>
      </c>
      <c r="G1022" t="s">
        <v>672</v>
      </c>
      <c r="H1022" t="s">
        <v>623</v>
      </c>
      <c r="I1022" t="s">
        <v>1</v>
      </c>
      <c r="J1022">
        <v>-250</v>
      </c>
      <c r="K1022"/>
      <c r="L1022">
        <v>2481</v>
      </c>
      <c r="M1022">
        <v>5003.1215469613262</v>
      </c>
      <c r="N1022">
        <v>2481</v>
      </c>
      <c r="O1022">
        <v>4962</v>
      </c>
      <c r="P1022">
        <v>-2462</v>
      </c>
      <c r="Q1022">
        <f t="shared" si="200"/>
        <v>2500</v>
      </c>
      <c r="R1022">
        <v>2500</v>
      </c>
      <c r="S1022">
        <f t="shared" si="201"/>
        <v>0</v>
      </c>
      <c r="T1022">
        <v>0.03</v>
      </c>
      <c r="U1022">
        <f t="shared" si="202"/>
        <v>75</v>
      </c>
      <c r="V1022">
        <f t="shared" si="203"/>
        <v>2575</v>
      </c>
      <c r="W1022">
        <f t="shared" si="204"/>
        <v>75</v>
      </c>
      <c r="X1022" t="s">
        <v>1484</v>
      </c>
    </row>
    <row r="1023" spans="1:24" x14ac:dyDescent="0.25">
      <c r="A1023" t="s">
        <v>1928</v>
      </c>
      <c r="B1023" t="s">
        <v>1934</v>
      </c>
      <c r="C1023" t="s">
        <v>2024</v>
      </c>
      <c r="D1023" t="s">
        <v>153</v>
      </c>
      <c r="E1023" t="s">
        <v>46</v>
      </c>
      <c r="F1023" t="s">
        <v>1</v>
      </c>
      <c r="G1023" t="s">
        <v>672</v>
      </c>
      <c r="H1023" t="s">
        <v>446</v>
      </c>
      <c r="I1023" t="s">
        <v>1</v>
      </c>
      <c r="J1023">
        <v>1001.08</v>
      </c>
      <c r="K1023">
        <v>341.00040000000001</v>
      </c>
      <c r="L1023">
        <v>0</v>
      </c>
      <c r="M1023">
        <v>0</v>
      </c>
      <c r="N1023">
        <v>660</v>
      </c>
      <c r="O1023"/>
      <c r="P1023">
        <v>0</v>
      </c>
      <c r="Q1023">
        <f t="shared" si="200"/>
        <v>0</v>
      </c>
      <c r="R1023">
        <v>0</v>
      </c>
      <c r="S1023">
        <f t="shared" si="201"/>
        <v>0</v>
      </c>
      <c r="T1023">
        <v>0.03</v>
      </c>
      <c r="U1023">
        <f t="shared" si="202"/>
        <v>0</v>
      </c>
      <c r="V1023">
        <f t="shared" si="203"/>
        <v>0</v>
      </c>
      <c r="W1023">
        <f t="shared" si="204"/>
        <v>0</v>
      </c>
      <c r="X1023">
        <v>0</v>
      </c>
    </row>
    <row r="1024" spans="1:24" x14ac:dyDescent="0.25">
      <c r="A1024" t="s">
        <v>1928</v>
      </c>
      <c r="B1024" t="s">
        <v>1934</v>
      </c>
      <c r="C1024" t="s">
        <v>2024</v>
      </c>
      <c r="D1024" t="s">
        <v>153</v>
      </c>
      <c r="E1024" t="s">
        <v>50</v>
      </c>
      <c r="F1024" t="s">
        <v>1</v>
      </c>
      <c r="G1024" t="s">
        <v>672</v>
      </c>
      <c r="H1024" t="s">
        <v>450</v>
      </c>
      <c r="I1024" t="s">
        <v>1</v>
      </c>
      <c r="J1024"/>
      <c r="K1024">
        <v>777.00009999999997</v>
      </c>
      <c r="L1024">
        <v>0</v>
      </c>
      <c r="M1024">
        <v>0</v>
      </c>
      <c r="N1024">
        <v>0</v>
      </c>
      <c r="O1024"/>
      <c r="P1024">
        <v>600</v>
      </c>
      <c r="Q1024">
        <f t="shared" si="200"/>
        <v>600</v>
      </c>
      <c r="R1024">
        <v>600</v>
      </c>
      <c r="S1024">
        <f t="shared" si="201"/>
        <v>0</v>
      </c>
      <c r="T1024"/>
      <c r="U1024">
        <f t="shared" si="202"/>
        <v>0</v>
      </c>
      <c r="V1024">
        <f t="shared" si="203"/>
        <v>600</v>
      </c>
      <c r="W1024">
        <f t="shared" si="204"/>
        <v>0</v>
      </c>
      <c r="X1024" t="s">
        <v>1485</v>
      </c>
    </row>
    <row r="1025" spans="1:24" x14ac:dyDescent="0.25">
      <c r="A1025" t="s">
        <v>1928</v>
      </c>
      <c r="B1025" t="s">
        <v>1934</v>
      </c>
      <c r="C1025" t="s">
        <v>2024</v>
      </c>
      <c r="D1025" t="s">
        <v>153</v>
      </c>
      <c r="E1025" t="s">
        <v>51</v>
      </c>
      <c r="F1025" t="s">
        <v>51</v>
      </c>
      <c r="G1025" t="s">
        <v>673</v>
      </c>
      <c r="H1025"/>
      <c r="I1025"/>
      <c r="J1025">
        <v>299543.76</v>
      </c>
      <c r="K1025">
        <v>291440.54021531163</v>
      </c>
      <c r="L1025">
        <v>144128.58000000002</v>
      </c>
      <c r="M1025">
        <v>290646.03149171267</v>
      </c>
      <c r="N1025">
        <v>310337.3600000001</v>
      </c>
      <c r="O1025">
        <v>289839.83958108135</v>
      </c>
      <c r="P1025">
        <f>SUMIF($F$994:$F$1024,"&lt;&gt;EV_*",$P$994:$P$1024)</f>
        <v>25077</v>
      </c>
      <c r="Q1025">
        <f>SUMIF($F$994:$F$1024,"&lt;&gt;EV_*",$Q$994:$Q$1024)</f>
        <v>314916.83958108135</v>
      </c>
      <c r="R1025">
        <f>SUMIF($F$994:$F$1024,"&lt;&gt;EV_*",$R$994:$R$1024)</f>
        <v>315559.94898184697</v>
      </c>
      <c r="S1025">
        <f>SUMIF($F$994:$F$1024,"&lt;&gt;EV_*",$S$994:$S$1024)</f>
        <v>643.10940076561019</v>
      </c>
      <c r="T1025">
        <v>0</v>
      </c>
      <c r="U1025">
        <f>SUMIF($F$994:$F$1024,"&lt;&gt;EV_*",$U$994:$U$1024)</f>
        <v>6786.1666598810034</v>
      </c>
      <c r="V1025">
        <f>SUMIF($F$994:$F$1024,"&lt;&gt;EV_*",$V$994:$V$1024)</f>
        <v>322346.11564172793</v>
      </c>
      <c r="W1025">
        <f>SUMIF($F$994:$F$1024,"&lt;&gt;EV_*",$W$994:$W$1024)</f>
        <v>7429.2760606466127</v>
      </c>
      <c r="X1025">
        <f>SUMIF($F$994:$F$1024,"&lt;&gt;EV_*",$X$994:$X$1024)</f>
        <v>0</v>
      </c>
    </row>
    <row r="1026" spans="1:24" x14ac:dyDescent="0.25">
      <c r="A1026" t="s">
        <v>2025</v>
      </c>
      <c r="B1026" t="s">
        <v>2026</v>
      </c>
      <c r="C1026" t="s">
        <v>2027</v>
      </c>
      <c r="D1026" t="s">
        <v>154</v>
      </c>
      <c r="E1026" t="s">
        <v>5</v>
      </c>
      <c r="F1026" t="s">
        <v>5</v>
      </c>
      <c r="G1026" t="s">
        <v>674</v>
      </c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</row>
    <row r="1027" spans="1:24" x14ac:dyDescent="0.25">
      <c r="A1027" t="s">
        <v>2025</v>
      </c>
      <c r="B1027" t="s">
        <v>2026</v>
      </c>
      <c r="C1027" t="s">
        <v>2027</v>
      </c>
      <c r="D1027" t="s">
        <v>154</v>
      </c>
      <c r="E1027" t="s">
        <v>133</v>
      </c>
      <c r="F1027" t="s">
        <v>1</v>
      </c>
      <c r="G1027" t="s">
        <v>675</v>
      </c>
      <c r="H1027" t="s">
        <v>622</v>
      </c>
      <c r="I1027" t="s">
        <v>1</v>
      </c>
      <c r="J1027">
        <v>0.93</v>
      </c>
      <c r="K1027"/>
      <c r="L1027">
        <v>0.02</v>
      </c>
      <c r="M1027">
        <v>4.0331491712707182E-2</v>
      </c>
      <c r="N1027">
        <v>0.62</v>
      </c>
      <c r="O1027">
        <v>4.03314917E-2</v>
      </c>
      <c r="P1027">
        <v>0</v>
      </c>
      <c r="Q1027">
        <f t="shared" ref="Q1027:Q1051" si="205">O1027+P1027</f>
        <v>4.03314917E-2</v>
      </c>
      <c r="R1027">
        <v>0</v>
      </c>
      <c r="S1027">
        <f t="shared" ref="S1027:S1051" si="206">IF(OR(LEFT(E1027,2)="A_",LEFT(D1027,5)="Total"),R1027-Q1027,"")</f>
        <v>-4.03314917E-2</v>
      </c>
      <c r="T1027">
        <v>0.02</v>
      </c>
      <c r="U1027">
        <f t="shared" ref="U1027:U1051" si="207">IFERROR(R1027*T1027,R1027*0)</f>
        <v>0</v>
      </c>
      <c r="V1027">
        <f t="shared" ref="V1027:V1051" si="208">IF(OR(LEFT(E1027,2)="A_",LEFT(D1027,5)="Total"),R1027+U1027,"")</f>
        <v>0</v>
      </c>
      <c r="W1027">
        <f t="shared" ref="W1027:W1051" si="209">IF(OR(LEFT(E1027,2)="A_",LEFT(D1027,5)="Total"),V1027-Q1027,"")</f>
        <v>-4.03314917E-2</v>
      </c>
      <c r="X1027">
        <v>0</v>
      </c>
    </row>
    <row r="1028" spans="1:24" x14ac:dyDescent="0.25">
      <c r="A1028" t="s">
        <v>2025</v>
      </c>
      <c r="B1028" t="s">
        <v>2026</v>
      </c>
      <c r="C1028" t="s">
        <v>2027</v>
      </c>
      <c r="D1028" t="s">
        <v>154</v>
      </c>
      <c r="E1028" t="s">
        <v>8</v>
      </c>
      <c r="F1028" t="s">
        <v>1</v>
      </c>
      <c r="G1028" t="s">
        <v>675</v>
      </c>
      <c r="H1028" t="s">
        <v>408</v>
      </c>
      <c r="I1028" t="s">
        <v>1</v>
      </c>
      <c r="J1028">
        <v>1217.3599999999999</v>
      </c>
      <c r="K1028">
        <v>1092.1162983424999</v>
      </c>
      <c r="L1028">
        <v>535.22</v>
      </c>
      <c r="M1028">
        <v>1079.3110497237569</v>
      </c>
      <c r="N1028">
        <v>1211.01</v>
      </c>
      <c r="O1028">
        <v>1079.3110497237999</v>
      </c>
      <c r="P1028">
        <v>0</v>
      </c>
      <c r="Q1028">
        <f t="shared" si="205"/>
        <v>1079.3110497237999</v>
      </c>
      <c r="R1028">
        <v>1079.3110497237999</v>
      </c>
      <c r="S1028">
        <f t="shared" si="206"/>
        <v>0</v>
      </c>
      <c r="T1028"/>
      <c r="U1028">
        <f t="shared" si="207"/>
        <v>0</v>
      </c>
      <c r="V1028">
        <f t="shared" si="208"/>
        <v>1079.3110497237999</v>
      </c>
      <c r="W1028">
        <f t="shared" si="209"/>
        <v>0</v>
      </c>
      <c r="X1028" t="s">
        <v>1486</v>
      </c>
    </row>
    <row r="1029" spans="1:24" x14ac:dyDescent="0.25">
      <c r="A1029" t="s">
        <v>2025</v>
      </c>
      <c r="B1029" t="s">
        <v>2026</v>
      </c>
      <c r="C1029" t="s">
        <v>2027</v>
      </c>
      <c r="D1029" t="s">
        <v>154</v>
      </c>
      <c r="E1029" t="s">
        <v>10</v>
      </c>
      <c r="F1029" t="s">
        <v>1</v>
      </c>
      <c r="G1029" t="s">
        <v>675</v>
      </c>
      <c r="H1029" t="s">
        <v>410</v>
      </c>
      <c r="I1029" t="s">
        <v>1</v>
      </c>
      <c r="J1029">
        <v>59637</v>
      </c>
      <c r="K1029">
        <v>62571.9999999996</v>
      </c>
      <c r="L1029">
        <v>33984</v>
      </c>
      <c r="M1029">
        <v>68531.270718232045</v>
      </c>
      <c r="N1029">
        <v>63720</v>
      </c>
      <c r="O1029">
        <v>67968</v>
      </c>
      <c r="P1029">
        <v>0</v>
      </c>
      <c r="Q1029">
        <f t="shared" si="205"/>
        <v>67968</v>
      </c>
      <c r="R1029">
        <v>67968</v>
      </c>
      <c r="S1029">
        <f t="shared" si="206"/>
        <v>0</v>
      </c>
      <c r="T1029"/>
      <c r="U1029">
        <f t="shared" si="207"/>
        <v>0</v>
      </c>
      <c r="V1029">
        <f t="shared" si="208"/>
        <v>67968</v>
      </c>
      <c r="W1029">
        <f t="shared" si="209"/>
        <v>0</v>
      </c>
      <c r="X1029" t="s">
        <v>1487</v>
      </c>
    </row>
    <row r="1030" spans="1:24" x14ac:dyDescent="0.25">
      <c r="A1030" t="s">
        <v>2025</v>
      </c>
      <c r="B1030" t="s">
        <v>2026</v>
      </c>
      <c r="C1030" t="s">
        <v>2027</v>
      </c>
      <c r="D1030" t="s">
        <v>154</v>
      </c>
      <c r="E1030" t="s">
        <v>11</v>
      </c>
      <c r="F1030" t="s">
        <v>1</v>
      </c>
      <c r="G1030" t="s">
        <v>675</v>
      </c>
      <c r="H1030" t="s">
        <v>411</v>
      </c>
      <c r="I1030" t="s">
        <v>1</v>
      </c>
      <c r="J1030">
        <v>717</v>
      </c>
      <c r="K1030">
        <v>22.5699999996</v>
      </c>
      <c r="L1030">
        <v>358.5</v>
      </c>
      <c r="M1030">
        <v>722.94198895027625</v>
      </c>
      <c r="N1030">
        <v>717</v>
      </c>
      <c r="O1030">
        <v>717</v>
      </c>
      <c r="P1030">
        <v>0</v>
      </c>
      <c r="Q1030">
        <f t="shared" si="205"/>
        <v>717</v>
      </c>
      <c r="R1030">
        <v>717</v>
      </c>
      <c r="S1030">
        <f t="shared" si="206"/>
        <v>0</v>
      </c>
      <c r="T1030"/>
      <c r="U1030">
        <f t="shared" si="207"/>
        <v>0</v>
      </c>
      <c r="V1030">
        <f t="shared" si="208"/>
        <v>717</v>
      </c>
      <c r="W1030">
        <f t="shared" si="209"/>
        <v>0</v>
      </c>
      <c r="X1030" t="s">
        <v>1488</v>
      </c>
    </row>
    <row r="1031" spans="1:24" x14ac:dyDescent="0.25">
      <c r="A1031" t="s">
        <v>2025</v>
      </c>
      <c r="B1031" t="s">
        <v>2026</v>
      </c>
      <c r="C1031" t="s">
        <v>2027</v>
      </c>
      <c r="D1031" t="s">
        <v>154</v>
      </c>
      <c r="E1031" t="s">
        <v>65</v>
      </c>
      <c r="F1031" t="s">
        <v>1</v>
      </c>
      <c r="G1031" t="s">
        <v>675</v>
      </c>
      <c r="H1031" t="s">
        <v>476</v>
      </c>
      <c r="I1031" t="s">
        <v>1</v>
      </c>
      <c r="J1031">
        <v>-49</v>
      </c>
      <c r="K1031"/>
      <c r="L1031">
        <v>-24.73</v>
      </c>
      <c r="M1031">
        <v>-49.869889502762433</v>
      </c>
      <c r="N1031">
        <v>-42.730000000000004</v>
      </c>
      <c r="O1031">
        <v>-49.731758241800001</v>
      </c>
      <c r="P1031">
        <v>0</v>
      </c>
      <c r="Q1031">
        <f t="shared" si="205"/>
        <v>-49.731758241800001</v>
      </c>
      <c r="R1031">
        <v>-49.731758241800001</v>
      </c>
      <c r="S1031">
        <f t="shared" si="206"/>
        <v>0</v>
      </c>
      <c r="T1031"/>
      <c r="U1031">
        <f t="shared" si="207"/>
        <v>0</v>
      </c>
      <c r="V1031">
        <f t="shared" si="208"/>
        <v>-49.731758241800001</v>
      </c>
      <c r="W1031">
        <f t="shared" si="209"/>
        <v>0</v>
      </c>
      <c r="X1031">
        <v>0</v>
      </c>
    </row>
    <row r="1032" spans="1:24" x14ac:dyDescent="0.25">
      <c r="A1032" t="s">
        <v>2025</v>
      </c>
      <c r="B1032" t="s">
        <v>2026</v>
      </c>
      <c r="C1032" t="s">
        <v>2027</v>
      </c>
      <c r="D1032" t="s">
        <v>154</v>
      </c>
      <c r="E1032" t="s">
        <v>17</v>
      </c>
      <c r="F1032" t="s">
        <v>1</v>
      </c>
      <c r="G1032" t="s">
        <v>675</v>
      </c>
      <c r="H1032" t="s">
        <v>417</v>
      </c>
      <c r="I1032" t="s">
        <v>1</v>
      </c>
      <c r="J1032">
        <v>-339</v>
      </c>
      <c r="K1032">
        <v>-20.000000000099998</v>
      </c>
      <c r="L1032">
        <v>-212.77</v>
      </c>
      <c r="M1032">
        <v>-429.06657458563535</v>
      </c>
      <c r="N1032">
        <v>-368.21</v>
      </c>
      <c r="O1032">
        <v>-427.87813186810001</v>
      </c>
      <c r="P1032">
        <v>0</v>
      </c>
      <c r="Q1032">
        <f t="shared" si="205"/>
        <v>-427.87813186810001</v>
      </c>
      <c r="R1032">
        <v>-427.87813186810001</v>
      </c>
      <c r="S1032">
        <f t="shared" si="206"/>
        <v>0</v>
      </c>
      <c r="T1032"/>
      <c r="U1032">
        <f t="shared" si="207"/>
        <v>0</v>
      </c>
      <c r="V1032">
        <f t="shared" si="208"/>
        <v>-427.87813186810001</v>
      </c>
      <c r="W1032">
        <f t="shared" si="209"/>
        <v>0</v>
      </c>
      <c r="X1032">
        <v>0</v>
      </c>
    </row>
    <row r="1033" spans="1:24" x14ac:dyDescent="0.25">
      <c r="A1033" t="s">
        <v>2025</v>
      </c>
      <c r="B1033" t="s">
        <v>2026</v>
      </c>
      <c r="C1033" t="s">
        <v>2027</v>
      </c>
      <c r="D1033" t="s">
        <v>154</v>
      </c>
      <c r="E1033" t="s">
        <v>82</v>
      </c>
      <c r="F1033" t="s">
        <v>1</v>
      </c>
      <c r="G1033" t="s">
        <v>675</v>
      </c>
      <c r="H1033" t="s">
        <v>507</v>
      </c>
      <c r="I1033" t="s">
        <v>1</v>
      </c>
      <c r="J1033">
        <v>148033.59</v>
      </c>
      <c r="K1033">
        <v>159120.86419907401</v>
      </c>
      <c r="L1033">
        <v>77130.600000000006</v>
      </c>
      <c r="M1033">
        <v>155539.60773480666</v>
      </c>
      <c r="N1033">
        <v>152041.59</v>
      </c>
      <c r="O1033">
        <v>155108.78901098901</v>
      </c>
      <c r="P1033">
        <v>0</v>
      </c>
      <c r="Q1033">
        <f t="shared" si="205"/>
        <v>155108.78901098901</v>
      </c>
      <c r="R1033">
        <v>155108.78901098901</v>
      </c>
      <c r="S1033">
        <f t="shared" si="206"/>
        <v>0</v>
      </c>
      <c r="T1033">
        <v>2.75E-2</v>
      </c>
      <c r="U1033">
        <f t="shared" si="207"/>
        <v>4265.4916978021984</v>
      </c>
      <c r="V1033">
        <f t="shared" si="208"/>
        <v>159374.28070879122</v>
      </c>
      <c r="W1033">
        <f t="shared" si="209"/>
        <v>4265.4916978022084</v>
      </c>
      <c r="X1033" t="s">
        <v>1489</v>
      </c>
    </row>
    <row r="1034" spans="1:24" x14ac:dyDescent="0.25">
      <c r="A1034" t="s">
        <v>2025</v>
      </c>
      <c r="B1034" t="s">
        <v>2026</v>
      </c>
      <c r="C1034" t="s">
        <v>2027</v>
      </c>
      <c r="D1034" t="s">
        <v>154</v>
      </c>
      <c r="E1034" t="s">
        <v>18</v>
      </c>
      <c r="F1034" t="s">
        <v>1</v>
      </c>
      <c r="G1034" t="s">
        <v>675</v>
      </c>
      <c r="H1034" t="s">
        <v>418</v>
      </c>
      <c r="I1034" t="s">
        <v>1</v>
      </c>
      <c r="J1034">
        <v>10663.63</v>
      </c>
      <c r="K1034">
        <v>10386.861412857501</v>
      </c>
      <c r="L1034">
        <v>5352.38</v>
      </c>
      <c r="M1034">
        <v>10793.473480662984</v>
      </c>
      <c r="N1034">
        <v>9242.2900000000009</v>
      </c>
      <c r="O1034">
        <v>10763.577362637399</v>
      </c>
      <c r="P1034">
        <v>0</v>
      </c>
      <c r="Q1034">
        <f t="shared" si="205"/>
        <v>10763.577362637399</v>
      </c>
      <c r="R1034">
        <v>10763.577362637399</v>
      </c>
      <c r="S1034">
        <f t="shared" si="206"/>
        <v>0</v>
      </c>
      <c r="T1034">
        <v>0.02</v>
      </c>
      <c r="U1034">
        <f t="shared" si="207"/>
        <v>215.27154725274798</v>
      </c>
      <c r="V1034">
        <f t="shared" si="208"/>
        <v>10978.848909890148</v>
      </c>
      <c r="W1034">
        <f t="shared" si="209"/>
        <v>215.27154725274886</v>
      </c>
      <c r="X1034" t="s">
        <v>1490</v>
      </c>
    </row>
    <row r="1035" spans="1:24" x14ac:dyDescent="0.25">
      <c r="A1035" t="s">
        <v>2025</v>
      </c>
      <c r="B1035" t="s">
        <v>2026</v>
      </c>
      <c r="C1035" t="s">
        <v>2027</v>
      </c>
      <c r="D1035" t="s">
        <v>154</v>
      </c>
      <c r="E1035" t="s">
        <v>57</v>
      </c>
      <c r="F1035" t="s">
        <v>1</v>
      </c>
      <c r="G1035" t="s">
        <v>675</v>
      </c>
      <c r="H1035" t="s">
        <v>462</v>
      </c>
      <c r="I1035" t="s">
        <v>1</v>
      </c>
      <c r="J1035">
        <v>519.01</v>
      </c>
      <c r="K1035"/>
      <c r="L1035">
        <v>685</v>
      </c>
      <c r="M1035">
        <v>1381.353591160221</v>
      </c>
      <c r="N1035">
        <v>1132.01</v>
      </c>
      <c r="O1035">
        <v>1377.5274725275001</v>
      </c>
      <c r="P1035">
        <v>0</v>
      </c>
      <c r="Q1035">
        <f t="shared" si="205"/>
        <v>1377.5274725275001</v>
      </c>
      <c r="R1035">
        <v>685</v>
      </c>
      <c r="S1035">
        <f t="shared" si="206"/>
        <v>-692.52747252750009</v>
      </c>
      <c r="T1035">
        <v>0.04</v>
      </c>
      <c r="U1035">
        <f t="shared" si="207"/>
        <v>27.400000000000002</v>
      </c>
      <c r="V1035">
        <f t="shared" si="208"/>
        <v>712.4</v>
      </c>
      <c r="W1035">
        <f t="shared" si="209"/>
        <v>-665.12747252750012</v>
      </c>
      <c r="X1035">
        <v>0</v>
      </c>
    </row>
    <row r="1036" spans="1:24" x14ac:dyDescent="0.25">
      <c r="A1036" t="s">
        <v>2025</v>
      </c>
      <c r="B1036" t="s">
        <v>2026</v>
      </c>
      <c r="C1036" t="s">
        <v>2027</v>
      </c>
      <c r="D1036" t="s">
        <v>154</v>
      </c>
      <c r="E1036" t="s">
        <v>74</v>
      </c>
      <c r="F1036" t="s">
        <v>1</v>
      </c>
      <c r="G1036" t="s">
        <v>675</v>
      </c>
      <c r="H1036" t="s">
        <v>491</v>
      </c>
      <c r="I1036" t="s">
        <v>1</v>
      </c>
      <c r="J1036">
        <v>297.92</v>
      </c>
      <c r="K1036"/>
      <c r="L1036">
        <v>0</v>
      </c>
      <c r="M1036">
        <v>0</v>
      </c>
      <c r="N1036">
        <v>110</v>
      </c>
      <c r="O1036"/>
      <c r="P1036">
        <v>0</v>
      </c>
      <c r="Q1036">
        <f t="shared" si="205"/>
        <v>0</v>
      </c>
      <c r="R1036">
        <v>0</v>
      </c>
      <c r="S1036">
        <f t="shared" si="206"/>
        <v>0</v>
      </c>
      <c r="T1036">
        <v>3.5000000000000003E-2</v>
      </c>
      <c r="U1036">
        <f t="shared" si="207"/>
        <v>0</v>
      </c>
      <c r="V1036">
        <f t="shared" si="208"/>
        <v>0</v>
      </c>
      <c r="W1036">
        <f t="shared" si="209"/>
        <v>0</v>
      </c>
      <c r="X1036">
        <v>0</v>
      </c>
    </row>
    <row r="1037" spans="1:24" x14ac:dyDescent="0.25">
      <c r="A1037" t="s">
        <v>2025</v>
      </c>
      <c r="B1037" t="s">
        <v>2026</v>
      </c>
      <c r="C1037" t="s">
        <v>2027</v>
      </c>
      <c r="D1037" t="s">
        <v>154</v>
      </c>
      <c r="E1037" t="s">
        <v>21</v>
      </c>
      <c r="F1037" t="s">
        <v>1</v>
      </c>
      <c r="G1037" t="s">
        <v>675</v>
      </c>
      <c r="H1037" t="s">
        <v>421</v>
      </c>
      <c r="I1037" t="s">
        <v>1</v>
      </c>
      <c r="J1037">
        <v>1888.09</v>
      </c>
      <c r="K1037">
        <v>2070.3000000001002</v>
      </c>
      <c r="L1037">
        <v>869.58</v>
      </c>
      <c r="M1037">
        <v>1753.5729281767956</v>
      </c>
      <c r="N1037">
        <v>1752.5099999999998</v>
      </c>
      <c r="O1037">
        <v>1753.5729281767999</v>
      </c>
      <c r="P1037">
        <v>0</v>
      </c>
      <c r="Q1037">
        <f t="shared" si="205"/>
        <v>1753.5729281767999</v>
      </c>
      <c r="R1037">
        <v>1753.5729281767999</v>
      </c>
      <c r="S1037">
        <f t="shared" si="206"/>
        <v>0</v>
      </c>
      <c r="T1037">
        <v>0.03</v>
      </c>
      <c r="U1037">
        <f t="shared" si="207"/>
        <v>52.607187845303997</v>
      </c>
      <c r="V1037">
        <f t="shared" si="208"/>
        <v>1806.1801160221039</v>
      </c>
      <c r="W1037">
        <f t="shared" si="209"/>
        <v>52.607187845303997</v>
      </c>
      <c r="X1037">
        <v>0</v>
      </c>
    </row>
    <row r="1038" spans="1:24" x14ac:dyDescent="0.25">
      <c r="A1038" t="s">
        <v>2025</v>
      </c>
      <c r="B1038" t="s">
        <v>2026</v>
      </c>
      <c r="C1038" t="s">
        <v>2027</v>
      </c>
      <c r="D1038" t="s">
        <v>154</v>
      </c>
      <c r="E1038" t="s">
        <v>66</v>
      </c>
      <c r="F1038" t="s">
        <v>1</v>
      </c>
      <c r="G1038" t="s">
        <v>675</v>
      </c>
      <c r="H1038" t="s">
        <v>477</v>
      </c>
      <c r="I1038" t="s">
        <v>1</v>
      </c>
      <c r="J1038">
        <v>184.32</v>
      </c>
      <c r="K1038">
        <v>382.95000000020002</v>
      </c>
      <c r="L1038">
        <v>92.16</v>
      </c>
      <c r="M1038">
        <v>185.84751381215469</v>
      </c>
      <c r="N1038">
        <v>92.16</v>
      </c>
      <c r="O1038">
        <v>185.84751381219999</v>
      </c>
      <c r="P1038">
        <v>0</v>
      </c>
      <c r="Q1038">
        <f t="shared" si="205"/>
        <v>185.84751381219999</v>
      </c>
      <c r="R1038">
        <v>185.84751381219999</v>
      </c>
      <c r="S1038">
        <f t="shared" si="206"/>
        <v>0</v>
      </c>
      <c r="T1038">
        <v>3.5000000000000003E-2</v>
      </c>
      <c r="U1038">
        <f t="shared" si="207"/>
        <v>6.504662983427</v>
      </c>
      <c r="V1038">
        <f t="shared" si="208"/>
        <v>192.352176795627</v>
      </c>
      <c r="W1038">
        <f t="shared" si="209"/>
        <v>6.5046629834270107</v>
      </c>
      <c r="X1038">
        <v>0</v>
      </c>
    </row>
    <row r="1039" spans="1:24" x14ac:dyDescent="0.25">
      <c r="A1039" t="s">
        <v>2025</v>
      </c>
      <c r="B1039" t="s">
        <v>2026</v>
      </c>
      <c r="C1039" t="s">
        <v>2027</v>
      </c>
      <c r="D1039" t="s">
        <v>154</v>
      </c>
      <c r="E1039" t="s">
        <v>22</v>
      </c>
      <c r="F1039" t="s">
        <v>1</v>
      </c>
      <c r="G1039" t="s">
        <v>675</v>
      </c>
      <c r="H1039" t="s">
        <v>422</v>
      </c>
      <c r="I1039" t="s">
        <v>1</v>
      </c>
      <c r="J1039">
        <v>1836.16</v>
      </c>
      <c r="K1039">
        <v>2649.5999999998999</v>
      </c>
      <c r="L1039">
        <v>93.83</v>
      </c>
      <c r="M1039">
        <v>189.21519337016576</v>
      </c>
      <c r="N1039">
        <v>647.83999999999992</v>
      </c>
      <c r="O1039">
        <v>189.21519337020001</v>
      </c>
      <c r="P1039">
        <v>0</v>
      </c>
      <c r="Q1039">
        <f t="shared" si="205"/>
        <v>189.21519337020001</v>
      </c>
      <c r="R1039">
        <v>189.21519337020001</v>
      </c>
      <c r="S1039">
        <f t="shared" si="206"/>
        <v>0</v>
      </c>
      <c r="T1039">
        <v>3.5000000000000003E-2</v>
      </c>
      <c r="U1039">
        <f t="shared" si="207"/>
        <v>6.6225317679570015</v>
      </c>
      <c r="V1039">
        <f t="shared" si="208"/>
        <v>195.83772513815703</v>
      </c>
      <c r="W1039">
        <f t="shared" si="209"/>
        <v>6.6225317679570139</v>
      </c>
      <c r="X1039">
        <v>0</v>
      </c>
    </row>
    <row r="1040" spans="1:24" x14ac:dyDescent="0.25">
      <c r="A1040" t="s">
        <v>2025</v>
      </c>
      <c r="B1040" t="s">
        <v>2026</v>
      </c>
      <c r="C1040" t="s">
        <v>2027</v>
      </c>
      <c r="D1040" t="s">
        <v>154</v>
      </c>
      <c r="E1040" t="s">
        <v>23</v>
      </c>
      <c r="F1040" t="s">
        <v>1</v>
      </c>
      <c r="G1040" t="s">
        <v>675</v>
      </c>
      <c r="H1040" t="s">
        <v>423</v>
      </c>
      <c r="I1040" t="s">
        <v>1</v>
      </c>
      <c r="J1040">
        <v>7263.54</v>
      </c>
      <c r="K1040">
        <v>15038.549999999899</v>
      </c>
      <c r="L1040">
        <v>10.08</v>
      </c>
      <c r="M1040">
        <v>20.32707182320442</v>
      </c>
      <c r="N1040">
        <v>10.08</v>
      </c>
      <c r="O1040">
        <v>20.327071823200001</v>
      </c>
      <c r="P1040">
        <v>0</v>
      </c>
      <c r="Q1040">
        <f t="shared" si="205"/>
        <v>20.327071823200001</v>
      </c>
      <c r="R1040">
        <v>20.327071823200001</v>
      </c>
      <c r="S1040">
        <f t="shared" si="206"/>
        <v>0</v>
      </c>
      <c r="T1040">
        <v>3.5000000000000003E-2</v>
      </c>
      <c r="U1040">
        <f t="shared" si="207"/>
        <v>0.71144751381200011</v>
      </c>
      <c r="V1040">
        <f t="shared" si="208"/>
        <v>21.038519337012001</v>
      </c>
      <c r="W1040">
        <f t="shared" si="209"/>
        <v>0.71144751381200066</v>
      </c>
      <c r="X1040">
        <v>0</v>
      </c>
    </row>
    <row r="1041" spans="1:24" x14ac:dyDescent="0.25">
      <c r="A1041" t="s">
        <v>2025</v>
      </c>
      <c r="B1041" t="s">
        <v>2026</v>
      </c>
      <c r="C1041" t="s">
        <v>2027</v>
      </c>
      <c r="D1041" t="s">
        <v>154</v>
      </c>
      <c r="E1041" t="s">
        <v>24</v>
      </c>
      <c r="F1041" t="s">
        <v>1</v>
      </c>
      <c r="G1041" t="s">
        <v>675</v>
      </c>
      <c r="H1041" t="s">
        <v>424</v>
      </c>
      <c r="I1041" t="s">
        <v>1</v>
      </c>
      <c r="J1041">
        <v>1732.5</v>
      </c>
      <c r="K1041">
        <v>1839.9999999996</v>
      </c>
      <c r="L1041">
        <v>0</v>
      </c>
      <c r="M1041">
        <v>0</v>
      </c>
      <c r="N1041">
        <v>1732.5</v>
      </c>
      <c r="O1041"/>
      <c r="P1041">
        <v>0</v>
      </c>
      <c r="Q1041">
        <f t="shared" si="205"/>
        <v>0</v>
      </c>
      <c r="R1041">
        <v>1839.9999999996</v>
      </c>
      <c r="S1041">
        <f t="shared" si="206"/>
        <v>1839.9999999996</v>
      </c>
      <c r="T1041"/>
      <c r="U1041">
        <f t="shared" si="207"/>
        <v>0</v>
      </c>
      <c r="V1041">
        <f t="shared" si="208"/>
        <v>1839.9999999996</v>
      </c>
      <c r="W1041">
        <f t="shared" si="209"/>
        <v>1839.9999999996</v>
      </c>
      <c r="X1041">
        <v>0</v>
      </c>
    </row>
    <row r="1042" spans="1:24" x14ac:dyDescent="0.25">
      <c r="A1042" t="s">
        <v>2025</v>
      </c>
      <c r="B1042" t="s">
        <v>2026</v>
      </c>
      <c r="C1042" t="s">
        <v>2027</v>
      </c>
      <c r="D1042" t="s">
        <v>154</v>
      </c>
      <c r="E1042" t="s">
        <v>26</v>
      </c>
      <c r="F1042" t="s">
        <v>1</v>
      </c>
      <c r="G1042" t="s">
        <v>675</v>
      </c>
      <c r="H1042" t="s">
        <v>426</v>
      </c>
      <c r="I1042" t="s">
        <v>1</v>
      </c>
      <c r="J1042">
        <v>405</v>
      </c>
      <c r="K1042">
        <v>304.1838941712</v>
      </c>
      <c r="L1042">
        <v>0</v>
      </c>
      <c r="M1042">
        <v>0</v>
      </c>
      <c r="N1042">
        <v>405</v>
      </c>
      <c r="O1042"/>
      <c r="P1042">
        <v>0</v>
      </c>
      <c r="Q1042">
        <f t="shared" si="205"/>
        <v>0</v>
      </c>
      <c r="R1042">
        <v>304.1838941712</v>
      </c>
      <c r="S1042">
        <f t="shared" si="206"/>
        <v>304.1838941712</v>
      </c>
      <c r="T1042"/>
      <c r="U1042">
        <f t="shared" si="207"/>
        <v>0</v>
      </c>
      <c r="V1042">
        <f t="shared" si="208"/>
        <v>304.1838941712</v>
      </c>
      <c r="W1042">
        <f t="shared" si="209"/>
        <v>304.1838941712</v>
      </c>
      <c r="X1042">
        <v>0</v>
      </c>
    </row>
    <row r="1043" spans="1:24" x14ac:dyDescent="0.25">
      <c r="A1043" t="s">
        <v>2025</v>
      </c>
      <c r="B1043" t="s">
        <v>2026</v>
      </c>
      <c r="C1043" t="s">
        <v>2027</v>
      </c>
      <c r="D1043" t="s">
        <v>154</v>
      </c>
      <c r="E1043" t="s">
        <v>28</v>
      </c>
      <c r="F1043" t="s">
        <v>1</v>
      </c>
      <c r="G1043" t="s">
        <v>675</v>
      </c>
      <c r="H1043" t="s">
        <v>428</v>
      </c>
      <c r="I1043" t="s">
        <v>1</v>
      </c>
      <c r="J1043">
        <v>6640</v>
      </c>
      <c r="K1043">
        <v>13280.0000000004</v>
      </c>
      <c r="L1043">
        <v>49.04</v>
      </c>
      <c r="M1043">
        <v>98.892817679558007</v>
      </c>
      <c r="N1043">
        <v>49.04</v>
      </c>
      <c r="O1043">
        <v>98.08</v>
      </c>
      <c r="P1043">
        <v>0</v>
      </c>
      <c r="Q1043">
        <f t="shared" si="205"/>
        <v>98.08</v>
      </c>
      <c r="R1043">
        <v>98.08</v>
      </c>
      <c r="S1043">
        <f t="shared" si="206"/>
        <v>0</v>
      </c>
      <c r="T1043"/>
      <c r="U1043">
        <f t="shared" si="207"/>
        <v>0</v>
      </c>
      <c r="V1043">
        <f t="shared" si="208"/>
        <v>98.08</v>
      </c>
      <c r="W1043">
        <f t="shared" si="209"/>
        <v>0</v>
      </c>
      <c r="X1043">
        <v>0</v>
      </c>
    </row>
    <row r="1044" spans="1:24" x14ac:dyDescent="0.25">
      <c r="A1044" t="s">
        <v>2025</v>
      </c>
      <c r="B1044" t="s">
        <v>2026</v>
      </c>
      <c r="C1044" t="s">
        <v>2027</v>
      </c>
      <c r="D1044" t="s">
        <v>154</v>
      </c>
      <c r="E1044" t="s">
        <v>34</v>
      </c>
      <c r="F1044" t="s">
        <v>1</v>
      </c>
      <c r="G1044" t="s">
        <v>675</v>
      </c>
      <c r="H1044" t="s">
        <v>434</v>
      </c>
      <c r="I1044" t="s">
        <v>1</v>
      </c>
      <c r="J1044">
        <v>93.86</v>
      </c>
      <c r="K1044"/>
      <c r="L1044">
        <v>0</v>
      </c>
      <c r="M1044">
        <v>0</v>
      </c>
      <c r="N1044">
        <v>93.86</v>
      </c>
      <c r="O1044"/>
      <c r="P1044">
        <v>0</v>
      </c>
      <c r="Q1044">
        <f t="shared" si="205"/>
        <v>0</v>
      </c>
      <c r="R1044">
        <v>0</v>
      </c>
      <c r="S1044">
        <f t="shared" si="206"/>
        <v>0</v>
      </c>
      <c r="T1044"/>
      <c r="U1044">
        <f t="shared" si="207"/>
        <v>0</v>
      </c>
      <c r="V1044">
        <f t="shared" si="208"/>
        <v>0</v>
      </c>
      <c r="W1044">
        <f t="shared" si="209"/>
        <v>0</v>
      </c>
      <c r="X1044">
        <v>0</v>
      </c>
    </row>
    <row r="1045" spans="1:24" x14ac:dyDescent="0.25">
      <c r="A1045" t="s">
        <v>2025</v>
      </c>
      <c r="B1045" t="s">
        <v>2026</v>
      </c>
      <c r="C1045" t="s">
        <v>2027</v>
      </c>
      <c r="D1045" t="s">
        <v>154</v>
      </c>
      <c r="E1045" t="s">
        <v>37</v>
      </c>
      <c r="F1045" t="s">
        <v>1</v>
      </c>
      <c r="G1045" t="s">
        <v>675</v>
      </c>
      <c r="H1045" t="s">
        <v>437</v>
      </c>
      <c r="I1045" t="s">
        <v>1</v>
      </c>
      <c r="J1045">
        <v>2376.23</v>
      </c>
      <c r="K1045"/>
      <c r="L1045">
        <v>0</v>
      </c>
      <c r="M1045">
        <v>0</v>
      </c>
      <c r="N1045">
        <v>2376.23</v>
      </c>
      <c r="O1045"/>
      <c r="P1045">
        <v>0</v>
      </c>
      <c r="Q1045">
        <f t="shared" si="205"/>
        <v>0</v>
      </c>
      <c r="R1045">
        <v>0</v>
      </c>
      <c r="S1045">
        <f t="shared" si="206"/>
        <v>0</v>
      </c>
      <c r="T1045"/>
      <c r="U1045">
        <f t="shared" si="207"/>
        <v>0</v>
      </c>
      <c r="V1045">
        <f t="shared" si="208"/>
        <v>0</v>
      </c>
      <c r="W1045">
        <f t="shared" si="209"/>
        <v>0</v>
      </c>
      <c r="X1045">
        <v>0</v>
      </c>
    </row>
    <row r="1046" spans="1:24" x14ac:dyDescent="0.25">
      <c r="A1046" t="s">
        <v>2025</v>
      </c>
      <c r="B1046" t="s">
        <v>2026</v>
      </c>
      <c r="C1046" t="s">
        <v>2027</v>
      </c>
      <c r="D1046" t="s">
        <v>154</v>
      </c>
      <c r="E1046" t="s">
        <v>76</v>
      </c>
      <c r="F1046" t="s">
        <v>1</v>
      </c>
      <c r="G1046" t="s">
        <v>675</v>
      </c>
      <c r="H1046" t="s">
        <v>493</v>
      </c>
      <c r="I1046" t="s">
        <v>1</v>
      </c>
      <c r="J1046">
        <v>12924.8</v>
      </c>
      <c r="K1046">
        <v>6462</v>
      </c>
      <c r="L1046">
        <v>0</v>
      </c>
      <c r="M1046">
        <v>0</v>
      </c>
      <c r="N1046">
        <v>12924.8</v>
      </c>
      <c r="O1046"/>
      <c r="P1046">
        <v>0</v>
      </c>
      <c r="Q1046">
        <f t="shared" si="205"/>
        <v>0</v>
      </c>
      <c r="R1046">
        <v>12924.8</v>
      </c>
      <c r="S1046">
        <f t="shared" si="206"/>
        <v>12924.8</v>
      </c>
      <c r="T1046">
        <v>0.03</v>
      </c>
      <c r="U1046">
        <f t="shared" si="207"/>
        <v>387.74399999999997</v>
      </c>
      <c r="V1046">
        <f t="shared" si="208"/>
        <v>13312.544</v>
      </c>
      <c r="W1046">
        <f t="shared" si="209"/>
        <v>13312.544</v>
      </c>
      <c r="X1046" t="s">
        <v>1491</v>
      </c>
    </row>
    <row r="1047" spans="1:24" x14ac:dyDescent="0.25">
      <c r="A1047" t="s">
        <v>2025</v>
      </c>
      <c r="B1047" t="s">
        <v>2026</v>
      </c>
      <c r="C1047" t="s">
        <v>2027</v>
      </c>
      <c r="D1047" t="s">
        <v>154</v>
      </c>
      <c r="E1047" t="s">
        <v>41</v>
      </c>
      <c r="F1047" t="s">
        <v>1</v>
      </c>
      <c r="G1047" t="s">
        <v>675</v>
      </c>
      <c r="H1047" t="s">
        <v>441</v>
      </c>
      <c r="I1047" t="s">
        <v>1</v>
      </c>
      <c r="J1047">
        <v>2537.63</v>
      </c>
      <c r="K1047">
        <v>2076.8736044615998</v>
      </c>
      <c r="L1047">
        <v>889.69</v>
      </c>
      <c r="M1047">
        <v>1794.1262430939225</v>
      </c>
      <c r="N1047">
        <v>2370.04</v>
      </c>
      <c r="O1047">
        <v>1779.38</v>
      </c>
      <c r="P1047">
        <v>0</v>
      </c>
      <c r="Q1047">
        <f t="shared" si="205"/>
        <v>1779.38</v>
      </c>
      <c r="R1047">
        <v>1779.38</v>
      </c>
      <c r="S1047">
        <f t="shared" si="206"/>
        <v>0</v>
      </c>
      <c r="T1047">
        <v>0.03</v>
      </c>
      <c r="U1047">
        <f t="shared" si="207"/>
        <v>53.381399999999999</v>
      </c>
      <c r="V1047">
        <f t="shared" si="208"/>
        <v>1832.7614000000001</v>
      </c>
      <c r="W1047">
        <f t="shared" si="209"/>
        <v>53.381399999999985</v>
      </c>
      <c r="X1047">
        <v>0</v>
      </c>
    </row>
    <row r="1048" spans="1:24" x14ac:dyDescent="0.25">
      <c r="A1048" t="s">
        <v>2025</v>
      </c>
      <c r="B1048" t="s">
        <v>2026</v>
      </c>
      <c r="C1048" t="s">
        <v>2027</v>
      </c>
      <c r="D1048" t="s">
        <v>154</v>
      </c>
      <c r="E1048" t="s">
        <v>42</v>
      </c>
      <c r="F1048" t="s">
        <v>1</v>
      </c>
      <c r="G1048" t="s">
        <v>675</v>
      </c>
      <c r="H1048" t="s">
        <v>442</v>
      </c>
      <c r="I1048" t="s">
        <v>1</v>
      </c>
      <c r="J1048">
        <v>12538</v>
      </c>
      <c r="K1048">
        <v>24546</v>
      </c>
      <c r="L1048">
        <v>0</v>
      </c>
      <c r="M1048">
        <v>0</v>
      </c>
      <c r="N1048">
        <v>6341.5</v>
      </c>
      <c r="O1048"/>
      <c r="P1048">
        <v>0</v>
      </c>
      <c r="Q1048">
        <f t="shared" si="205"/>
        <v>0</v>
      </c>
      <c r="R1048">
        <v>12538</v>
      </c>
      <c r="S1048">
        <f t="shared" si="206"/>
        <v>12538</v>
      </c>
      <c r="T1048">
        <v>0.03</v>
      </c>
      <c r="U1048">
        <f t="shared" si="207"/>
        <v>376.14</v>
      </c>
      <c r="V1048">
        <f t="shared" si="208"/>
        <v>12914.14</v>
      </c>
      <c r="W1048">
        <f t="shared" si="209"/>
        <v>12914.14</v>
      </c>
      <c r="X1048" t="s">
        <v>1492</v>
      </c>
    </row>
    <row r="1049" spans="1:24" x14ac:dyDescent="0.25">
      <c r="A1049" t="s">
        <v>2025</v>
      </c>
      <c r="B1049" t="s">
        <v>2026</v>
      </c>
      <c r="C1049" t="s">
        <v>2027</v>
      </c>
      <c r="D1049" t="s">
        <v>154</v>
      </c>
      <c r="E1049" t="s">
        <v>46</v>
      </c>
      <c r="F1049" t="s">
        <v>1</v>
      </c>
      <c r="G1049" t="s">
        <v>675</v>
      </c>
      <c r="H1049" t="s">
        <v>446</v>
      </c>
      <c r="I1049" t="s">
        <v>1</v>
      </c>
      <c r="J1049">
        <v>1959</v>
      </c>
      <c r="K1049"/>
      <c r="L1049">
        <v>7812</v>
      </c>
      <c r="M1049">
        <v>15753.480662983426</v>
      </c>
      <c r="N1049">
        <v>9771</v>
      </c>
      <c r="O1049">
        <v>15624</v>
      </c>
      <c r="P1049">
        <v>0</v>
      </c>
      <c r="Q1049">
        <f t="shared" si="205"/>
        <v>15624</v>
      </c>
      <c r="R1049">
        <v>15624</v>
      </c>
      <c r="S1049">
        <f t="shared" si="206"/>
        <v>0</v>
      </c>
      <c r="T1049">
        <v>0.03</v>
      </c>
      <c r="U1049">
        <f t="shared" si="207"/>
        <v>468.71999999999997</v>
      </c>
      <c r="V1049">
        <f t="shared" si="208"/>
        <v>16092.72</v>
      </c>
      <c r="W1049">
        <f t="shared" si="209"/>
        <v>468.71999999999935</v>
      </c>
      <c r="X1049" t="s">
        <v>1493</v>
      </c>
    </row>
    <row r="1050" spans="1:24" x14ac:dyDescent="0.25">
      <c r="A1050" t="s">
        <v>2025</v>
      </c>
      <c r="B1050" t="s">
        <v>2026</v>
      </c>
      <c r="C1050" t="s">
        <v>2027</v>
      </c>
      <c r="D1050" t="s">
        <v>154</v>
      </c>
      <c r="E1050" t="s">
        <v>48</v>
      </c>
      <c r="F1050" t="s">
        <v>1</v>
      </c>
      <c r="G1050" t="s">
        <v>675</v>
      </c>
      <c r="H1050" t="s">
        <v>448</v>
      </c>
      <c r="I1050" t="s">
        <v>1</v>
      </c>
      <c r="J1050">
        <v>24785.55</v>
      </c>
      <c r="K1050">
        <v>23448.9999999996</v>
      </c>
      <c r="L1050">
        <v>19006.099999999999</v>
      </c>
      <c r="M1050">
        <v>38327.218232044193</v>
      </c>
      <c r="N1050">
        <v>31710.86</v>
      </c>
      <c r="O1050">
        <v>38012.199999999997</v>
      </c>
      <c r="P1050">
        <v>0</v>
      </c>
      <c r="Q1050">
        <f t="shared" si="205"/>
        <v>38012.199999999997</v>
      </c>
      <c r="R1050">
        <v>31710.86</v>
      </c>
      <c r="S1050">
        <f t="shared" si="206"/>
        <v>-6301.3399999999965</v>
      </c>
      <c r="T1050">
        <v>0.03</v>
      </c>
      <c r="U1050">
        <f t="shared" si="207"/>
        <v>951.32579999999996</v>
      </c>
      <c r="V1050">
        <f t="shared" si="208"/>
        <v>32662.185799999999</v>
      </c>
      <c r="W1050">
        <f t="shared" si="209"/>
        <v>-5350.0141999999978</v>
      </c>
      <c r="X1050" t="s">
        <v>1494</v>
      </c>
    </row>
    <row r="1051" spans="1:24" x14ac:dyDescent="0.25">
      <c r="A1051" t="s">
        <v>2025</v>
      </c>
      <c r="B1051" t="s">
        <v>2026</v>
      </c>
      <c r="C1051" t="s">
        <v>2027</v>
      </c>
      <c r="D1051" t="s">
        <v>154</v>
      </c>
      <c r="E1051" t="s">
        <v>50</v>
      </c>
      <c r="F1051" t="s">
        <v>1</v>
      </c>
      <c r="G1051" t="s">
        <v>675</v>
      </c>
      <c r="H1051" t="s">
        <v>450</v>
      </c>
      <c r="I1051" t="s">
        <v>1</v>
      </c>
      <c r="J1051">
        <v>820.86</v>
      </c>
      <c r="K1051">
        <v>780</v>
      </c>
      <c r="L1051">
        <v>420.46</v>
      </c>
      <c r="M1051">
        <v>847.88895027624301</v>
      </c>
      <c r="N1051">
        <v>868.18999999999994</v>
      </c>
      <c r="O1051">
        <v>847.88895027620003</v>
      </c>
      <c r="P1051">
        <v>0</v>
      </c>
      <c r="Q1051">
        <f t="shared" si="205"/>
        <v>847.88895027620003</v>
      </c>
      <c r="R1051">
        <v>848</v>
      </c>
      <c r="S1051">
        <f t="shared" si="206"/>
        <v>0.11104972379996525</v>
      </c>
      <c r="T1051"/>
      <c r="U1051">
        <f t="shared" si="207"/>
        <v>0</v>
      </c>
      <c r="V1051">
        <f t="shared" si="208"/>
        <v>848</v>
      </c>
      <c r="W1051">
        <f t="shared" si="209"/>
        <v>0.11104972379996525</v>
      </c>
      <c r="X1051" t="s">
        <v>1495</v>
      </c>
    </row>
    <row r="1052" spans="1:24" x14ac:dyDescent="0.25">
      <c r="A1052" t="s">
        <v>2025</v>
      </c>
      <c r="B1052" t="s">
        <v>2026</v>
      </c>
      <c r="C1052" t="s">
        <v>2027</v>
      </c>
      <c r="D1052" t="s">
        <v>154</v>
      </c>
      <c r="E1052" t="s">
        <v>51</v>
      </c>
      <c r="F1052" t="s">
        <v>51</v>
      </c>
      <c r="G1052" t="s">
        <v>676</v>
      </c>
      <c r="H1052"/>
      <c r="I1052"/>
      <c r="J1052">
        <v>298683.98000000004</v>
      </c>
      <c r="K1052">
        <v>326053.86940890562</v>
      </c>
      <c r="L1052">
        <v>147051.16</v>
      </c>
      <c r="M1052">
        <v>296539.63204419886</v>
      </c>
      <c r="N1052">
        <v>298909.19</v>
      </c>
      <c r="O1052">
        <v>295047.14699471806</v>
      </c>
      <c r="P1052">
        <f>SUMIF($F$1026:$F$1051,"&lt;&gt;EV_*",$P$1026:$P$1051)</f>
        <v>0</v>
      </c>
      <c r="Q1052">
        <f>SUMIF($F$1026:$F$1051,"&lt;&gt;EV_*",$Q$1026:$Q$1051)</f>
        <v>295047.14699471806</v>
      </c>
      <c r="R1052">
        <f>SUMIF($F$1026:$F$1051,"&lt;&gt;EV_*",$R$1026:$R$1051)</f>
        <v>315660.33413459349</v>
      </c>
      <c r="S1052">
        <f>SUMIF($F$1026:$F$1051,"&lt;&gt;EV_*",$S$1026:$S$1051)</f>
        <v>20613.187139875405</v>
      </c>
      <c r="T1052">
        <v>0</v>
      </c>
      <c r="U1052">
        <f>SUMIF($F$1026:$F$1051,"&lt;&gt;EV_*",$U$1026:$U$1051)</f>
        <v>6811.9202751654466</v>
      </c>
      <c r="V1052">
        <f>SUMIF($F$1026:$F$1051,"&lt;&gt;EV_*",$V$1026:$V$1051)</f>
        <v>322472.2544097589</v>
      </c>
      <c r="W1052">
        <f>SUMIF($F$1026:$F$1051,"&lt;&gt;EV_*",$W$1026:$W$1051)</f>
        <v>27425.107415040857</v>
      </c>
      <c r="X1052">
        <f>SUMIF($F$1026:$F$1051,"&lt;&gt;EV_*",$X$1026:$X$1051)</f>
        <v>0</v>
      </c>
    </row>
    <row r="1053" spans="1:24" x14ac:dyDescent="0.25">
      <c r="A1053" t="s">
        <v>1928</v>
      </c>
      <c r="B1053" t="s">
        <v>1936</v>
      </c>
      <c r="C1053" t="s">
        <v>2028</v>
      </c>
      <c r="D1053" t="s">
        <v>155</v>
      </c>
      <c r="E1053" t="s">
        <v>5</v>
      </c>
      <c r="F1053" t="s">
        <v>5</v>
      </c>
      <c r="G1053" t="s">
        <v>677</v>
      </c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</row>
    <row r="1054" spans="1:24" x14ac:dyDescent="0.25">
      <c r="A1054" t="s">
        <v>1928</v>
      </c>
      <c r="B1054" t="s">
        <v>1936</v>
      </c>
      <c r="C1054" t="s">
        <v>2028</v>
      </c>
      <c r="D1054" t="s">
        <v>155</v>
      </c>
      <c r="E1054" t="s">
        <v>8</v>
      </c>
      <c r="F1054" t="s">
        <v>1</v>
      </c>
      <c r="G1054" t="s">
        <v>678</v>
      </c>
      <c r="H1054" t="s">
        <v>408</v>
      </c>
      <c r="I1054" t="s">
        <v>1</v>
      </c>
      <c r="J1054">
        <v>39582.78</v>
      </c>
      <c r="K1054">
        <v>40712.704972375803</v>
      </c>
      <c r="L1054">
        <v>6170.19</v>
      </c>
      <c r="M1054">
        <v>12442.648342541435</v>
      </c>
      <c r="N1054">
        <v>25563.93</v>
      </c>
      <c r="O1054">
        <v>12442.648342541401</v>
      </c>
      <c r="P1054">
        <v>-12443</v>
      </c>
      <c r="Q1054">
        <f t="shared" ref="Q1054:Q1079" si="210">O1054+P1054</f>
        <v>-0.35165745859922026</v>
      </c>
      <c r="R1054">
        <v>0</v>
      </c>
      <c r="S1054">
        <f t="shared" ref="S1054:S1079" si="211">IF(OR(LEFT(E1054,2)="A_",LEFT(D1054,5)="Total"),R1054-Q1054,"")</f>
        <v>0.35165745859922026</v>
      </c>
      <c r="T1054"/>
      <c r="U1054">
        <f t="shared" ref="U1054:U1079" si="212">IFERROR(R1054*T1054,R1054*0)</f>
        <v>0</v>
      </c>
      <c r="V1054">
        <f t="shared" ref="V1054:V1079" si="213">IF(OR(LEFT(E1054,2)="A_",LEFT(D1054,5)="Total"),R1054+U1054,"")</f>
        <v>0</v>
      </c>
      <c r="W1054">
        <f t="shared" ref="W1054:W1079" si="214">IF(OR(LEFT(E1054,2)="A_",LEFT(D1054,5)="Total"),V1054-Q1054,"")</f>
        <v>0.35165745859922026</v>
      </c>
      <c r="X1054">
        <v>0</v>
      </c>
    </row>
    <row r="1055" spans="1:24" x14ac:dyDescent="0.25">
      <c r="A1055" t="s">
        <v>1928</v>
      </c>
      <c r="B1055" t="s">
        <v>1936</v>
      </c>
      <c r="C1055" t="s">
        <v>2028</v>
      </c>
      <c r="D1055" t="s">
        <v>155</v>
      </c>
      <c r="E1055" t="s">
        <v>65</v>
      </c>
      <c r="F1055" t="s">
        <v>1</v>
      </c>
      <c r="G1055" t="s">
        <v>678</v>
      </c>
      <c r="H1055" t="s">
        <v>476</v>
      </c>
      <c r="I1055" t="s">
        <v>1</v>
      </c>
      <c r="J1055">
        <v>-920.48</v>
      </c>
      <c r="K1055"/>
      <c r="L1055">
        <v>-654.37</v>
      </c>
      <c r="M1055">
        <v>-1319.58591160221</v>
      </c>
      <c r="N1055">
        <v>-1074.1000000000001</v>
      </c>
      <c r="O1055">
        <v>-1315.9308791209</v>
      </c>
      <c r="P1055">
        <v>0</v>
      </c>
      <c r="Q1055">
        <f t="shared" si="210"/>
        <v>-1315.9308791209</v>
      </c>
      <c r="R1055">
        <v>0</v>
      </c>
      <c r="S1055">
        <f t="shared" si="211"/>
        <v>1315.9308791209</v>
      </c>
      <c r="T1055"/>
      <c r="U1055">
        <f t="shared" si="212"/>
        <v>0</v>
      </c>
      <c r="V1055">
        <f t="shared" si="213"/>
        <v>0</v>
      </c>
      <c r="W1055">
        <f t="shared" si="214"/>
        <v>1315.9308791209</v>
      </c>
      <c r="X1055">
        <v>0</v>
      </c>
    </row>
    <row r="1056" spans="1:24" x14ac:dyDescent="0.25">
      <c r="A1056" t="s">
        <v>1928</v>
      </c>
      <c r="B1056" t="s">
        <v>1936</v>
      </c>
      <c r="C1056" t="s">
        <v>2028</v>
      </c>
      <c r="D1056" t="s">
        <v>155</v>
      </c>
      <c r="E1056" t="s">
        <v>17</v>
      </c>
      <c r="F1056" t="s">
        <v>1</v>
      </c>
      <c r="G1056" t="s">
        <v>678</v>
      </c>
      <c r="H1056" t="s">
        <v>417</v>
      </c>
      <c r="I1056" t="s">
        <v>1</v>
      </c>
      <c r="J1056">
        <v>-13589.07</v>
      </c>
      <c r="K1056">
        <v>-13940.0000000002</v>
      </c>
      <c r="L1056">
        <v>-5509.39</v>
      </c>
      <c r="M1056">
        <v>-11110.095856353591</v>
      </c>
      <c r="N1056">
        <v>-13173.929999999998</v>
      </c>
      <c r="O1056">
        <v>-11079.3227472527</v>
      </c>
      <c r="P1056">
        <v>0</v>
      </c>
      <c r="Q1056">
        <f t="shared" si="210"/>
        <v>-11079.3227472527</v>
      </c>
      <c r="R1056">
        <v>-11079.3227472527</v>
      </c>
      <c r="S1056">
        <f t="shared" si="211"/>
        <v>0</v>
      </c>
      <c r="T1056"/>
      <c r="U1056">
        <f t="shared" si="212"/>
        <v>0</v>
      </c>
      <c r="V1056">
        <f t="shared" si="213"/>
        <v>-11079.3227472527</v>
      </c>
      <c r="W1056">
        <f t="shared" si="214"/>
        <v>0</v>
      </c>
      <c r="X1056">
        <v>0</v>
      </c>
    </row>
    <row r="1057" spans="1:24" x14ac:dyDescent="0.25">
      <c r="A1057" t="s">
        <v>1928</v>
      </c>
      <c r="B1057" t="s">
        <v>1936</v>
      </c>
      <c r="C1057" t="s">
        <v>2028</v>
      </c>
      <c r="D1057" t="s">
        <v>155</v>
      </c>
      <c r="E1057" t="s">
        <v>82</v>
      </c>
      <c r="F1057" t="s">
        <v>1</v>
      </c>
      <c r="G1057" t="s">
        <v>678</v>
      </c>
      <c r="H1057" t="s">
        <v>507</v>
      </c>
      <c r="I1057" t="s">
        <v>1</v>
      </c>
      <c r="J1057">
        <v>9325.09</v>
      </c>
      <c r="K1057">
        <v>9131.0877399288001</v>
      </c>
      <c r="L1057">
        <v>3433.93</v>
      </c>
      <c r="M1057">
        <v>6924.7759668508279</v>
      </c>
      <c r="N1057">
        <v>7790.0199999999995</v>
      </c>
      <c r="O1057">
        <v>6905.5954945055</v>
      </c>
      <c r="P1057">
        <v>0</v>
      </c>
      <c r="Q1057">
        <f t="shared" si="210"/>
        <v>6905.5954945055</v>
      </c>
      <c r="R1057">
        <v>6905.5954945055</v>
      </c>
      <c r="S1057">
        <f t="shared" si="211"/>
        <v>0</v>
      </c>
      <c r="T1057">
        <v>2.75E-2</v>
      </c>
      <c r="U1057">
        <f t="shared" si="212"/>
        <v>189.90387609890126</v>
      </c>
      <c r="V1057">
        <f t="shared" si="213"/>
        <v>7095.4993706044015</v>
      </c>
      <c r="W1057">
        <f t="shared" si="214"/>
        <v>189.90387609890149</v>
      </c>
      <c r="X1057">
        <v>0</v>
      </c>
    </row>
    <row r="1058" spans="1:24" x14ac:dyDescent="0.25">
      <c r="A1058" t="s">
        <v>1928</v>
      </c>
      <c r="B1058" t="s">
        <v>1936</v>
      </c>
      <c r="C1058" t="s">
        <v>2028</v>
      </c>
      <c r="D1058" t="s">
        <v>155</v>
      </c>
      <c r="E1058" t="s">
        <v>72</v>
      </c>
      <c r="F1058" t="s">
        <v>1</v>
      </c>
      <c r="G1058" t="s">
        <v>678</v>
      </c>
      <c r="H1058" t="s">
        <v>489</v>
      </c>
      <c r="I1058" t="s">
        <v>1</v>
      </c>
      <c r="J1058">
        <v>5944.4</v>
      </c>
      <c r="K1058">
        <v>5406.0259219342997</v>
      </c>
      <c r="L1058">
        <v>3277.4</v>
      </c>
      <c r="M1058">
        <v>6609.1215469613262</v>
      </c>
      <c r="N1058">
        <v>6171.4800000000005</v>
      </c>
      <c r="O1058">
        <v>6590.8153846154</v>
      </c>
      <c r="P1058">
        <v>0</v>
      </c>
      <c r="Q1058">
        <f t="shared" si="210"/>
        <v>6590.8153846154</v>
      </c>
      <c r="R1058">
        <v>6590.8153846154</v>
      </c>
      <c r="S1058">
        <f t="shared" si="211"/>
        <v>0</v>
      </c>
      <c r="T1058">
        <v>2.2499999999999999E-2</v>
      </c>
      <c r="U1058">
        <f t="shared" si="212"/>
        <v>148.2933461538465</v>
      </c>
      <c r="V1058">
        <f t="shared" si="213"/>
        <v>6739.1087307692469</v>
      </c>
      <c r="W1058">
        <f t="shared" si="214"/>
        <v>148.29334615384687</v>
      </c>
      <c r="X1058">
        <v>0</v>
      </c>
    </row>
    <row r="1059" spans="1:24" x14ac:dyDescent="0.25">
      <c r="A1059" t="s">
        <v>1928</v>
      </c>
      <c r="B1059" t="s">
        <v>1936</v>
      </c>
      <c r="C1059" t="s">
        <v>2028</v>
      </c>
      <c r="D1059" t="s">
        <v>155</v>
      </c>
      <c r="E1059" t="s">
        <v>18</v>
      </c>
      <c r="F1059" t="s">
        <v>1</v>
      </c>
      <c r="G1059" t="s">
        <v>678</v>
      </c>
      <c r="H1059" t="s">
        <v>418</v>
      </c>
      <c r="I1059" t="s">
        <v>1</v>
      </c>
      <c r="J1059">
        <v>200152.2</v>
      </c>
      <c r="K1059">
        <v>183903.71035633399</v>
      </c>
      <c r="L1059">
        <v>95253.07</v>
      </c>
      <c r="M1059">
        <v>192084.92016574589</v>
      </c>
      <c r="N1059">
        <v>193061.15</v>
      </c>
      <c r="O1059">
        <v>191552.87703296699</v>
      </c>
      <c r="P1059">
        <v>0</v>
      </c>
      <c r="Q1059">
        <f t="shared" si="210"/>
        <v>191552.87703296699</v>
      </c>
      <c r="R1059">
        <v>191552.87703296699</v>
      </c>
      <c r="S1059">
        <f t="shared" si="211"/>
        <v>0</v>
      </c>
      <c r="T1059">
        <v>0.02</v>
      </c>
      <c r="U1059">
        <f t="shared" si="212"/>
        <v>3831.0575406593398</v>
      </c>
      <c r="V1059">
        <f t="shared" si="213"/>
        <v>195383.93457362632</v>
      </c>
      <c r="W1059">
        <f t="shared" si="214"/>
        <v>3831.0575406593271</v>
      </c>
      <c r="X1059">
        <v>0</v>
      </c>
    </row>
    <row r="1060" spans="1:24" x14ac:dyDescent="0.25">
      <c r="A1060" t="s">
        <v>1928</v>
      </c>
      <c r="B1060" t="s">
        <v>1936</v>
      </c>
      <c r="C1060" t="s">
        <v>2028</v>
      </c>
      <c r="D1060" t="s">
        <v>155</v>
      </c>
      <c r="E1060" t="s">
        <v>57</v>
      </c>
      <c r="F1060" t="s">
        <v>1</v>
      </c>
      <c r="G1060" t="s">
        <v>678</v>
      </c>
      <c r="H1060" t="s">
        <v>462</v>
      </c>
      <c r="I1060" t="s">
        <v>1</v>
      </c>
      <c r="J1060">
        <v>22416.25</v>
      </c>
      <c r="K1060">
        <v>25510.5293163444</v>
      </c>
      <c r="L1060">
        <v>6251.94</v>
      </c>
      <c r="M1060">
        <v>12607.503314917127</v>
      </c>
      <c r="N1060">
        <v>12913.22</v>
      </c>
      <c r="O1060">
        <v>12572.582637362601</v>
      </c>
      <c r="P1060">
        <v>0</v>
      </c>
      <c r="Q1060">
        <f t="shared" si="210"/>
        <v>12572.582637362601</v>
      </c>
      <c r="R1060">
        <v>12572.582637362601</v>
      </c>
      <c r="S1060">
        <f t="shared" si="211"/>
        <v>0</v>
      </c>
      <c r="T1060">
        <v>0.04</v>
      </c>
      <c r="U1060">
        <f t="shared" si="212"/>
        <v>502.90330549450402</v>
      </c>
      <c r="V1060">
        <f t="shared" si="213"/>
        <v>13075.485942857105</v>
      </c>
      <c r="W1060">
        <f t="shared" si="214"/>
        <v>502.90330549450482</v>
      </c>
      <c r="X1060">
        <v>0</v>
      </c>
    </row>
    <row r="1061" spans="1:24" x14ac:dyDescent="0.25">
      <c r="A1061" t="s">
        <v>1928</v>
      </c>
      <c r="B1061" t="s">
        <v>1936</v>
      </c>
      <c r="C1061" t="s">
        <v>2028</v>
      </c>
      <c r="D1061" t="s">
        <v>155</v>
      </c>
      <c r="E1061" t="s">
        <v>19</v>
      </c>
      <c r="F1061" t="s">
        <v>1</v>
      </c>
      <c r="G1061" t="s">
        <v>678</v>
      </c>
      <c r="H1061" t="s">
        <v>419</v>
      </c>
      <c r="I1061" t="s">
        <v>1</v>
      </c>
      <c r="J1061">
        <v>1356</v>
      </c>
      <c r="K1061">
        <v>2077.5259259259001</v>
      </c>
      <c r="L1061">
        <v>151.54</v>
      </c>
      <c r="M1061">
        <v>305.5917127071823</v>
      </c>
      <c r="N1061">
        <v>1507.54</v>
      </c>
      <c r="O1061">
        <v>304.74527472530002</v>
      </c>
      <c r="P1061">
        <v>0</v>
      </c>
      <c r="Q1061">
        <f t="shared" si="210"/>
        <v>304.74527472530002</v>
      </c>
      <c r="R1061">
        <v>304.74527472530002</v>
      </c>
      <c r="S1061">
        <f t="shared" si="211"/>
        <v>0</v>
      </c>
      <c r="T1061">
        <v>0.02</v>
      </c>
      <c r="U1061">
        <f t="shared" si="212"/>
        <v>6.0949054945060004</v>
      </c>
      <c r="V1061">
        <f t="shared" si="213"/>
        <v>310.84018021980603</v>
      </c>
      <c r="W1061">
        <f t="shared" si="214"/>
        <v>6.0949054945060084</v>
      </c>
      <c r="X1061">
        <v>0</v>
      </c>
    </row>
    <row r="1062" spans="1:24" x14ac:dyDescent="0.25">
      <c r="A1062" t="s">
        <v>1928</v>
      </c>
      <c r="B1062" t="s">
        <v>1936</v>
      </c>
      <c r="C1062" t="s">
        <v>2028</v>
      </c>
      <c r="D1062" t="s">
        <v>155</v>
      </c>
      <c r="E1062" t="s">
        <v>74</v>
      </c>
      <c r="F1062" t="s">
        <v>1</v>
      </c>
      <c r="G1062" t="s">
        <v>678</v>
      </c>
      <c r="H1062" t="s">
        <v>491</v>
      </c>
      <c r="I1062" t="s">
        <v>1</v>
      </c>
      <c r="J1062">
        <v>81757.05</v>
      </c>
      <c r="K1062">
        <v>76644.991313133505</v>
      </c>
      <c r="L1062">
        <v>42918.45</v>
      </c>
      <c r="M1062">
        <v>86548.255524861874</v>
      </c>
      <c r="N1062">
        <v>85085.8</v>
      </c>
      <c r="O1062">
        <v>86308.5313186813</v>
      </c>
      <c r="P1062">
        <v>0</v>
      </c>
      <c r="Q1062">
        <f t="shared" si="210"/>
        <v>86308.5313186813</v>
      </c>
      <c r="R1062">
        <v>86308.5313186813</v>
      </c>
      <c r="S1062">
        <f t="shared" si="211"/>
        <v>0</v>
      </c>
      <c r="T1062">
        <v>3.5000000000000003E-2</v>
      </c>
      <c r="U1062">
        <f t="shared" si="212"/>
        <v>3020.7985961538457</v>
      </c>
      <c r="V1062">
        <f t="shared" si="213"/>
        <v>89329.329914835151</v>
      </c>
      <c r="W1062">
        <f t="shared" si="214"/>
        <v>3020.7985961538507</v>
      </c>
      <c r="X1062">
        <v>0</v>
      </c>
    </row>
    <row r="1063" spans="1:24" x14ac:dyDescent="0.25">
      <c r="A1063" t="s">
        <v>1928</v>
      </c>
      <c r="B1063" t="s">
        <v>1936</v>
      </c>
      <c r="C1063" t="s">
        <v>2028</v>
      </c>
      <c r="D1063" t="s">
        <v>155</v>
      </c>
      <c r="E1063" t="s">
        <v>85</v>
      </c>
      <c r="F1063" t="s">
        <v>1</v>
      </c>
      <c r="G1063" t="s">
        <v>678</v>
      </c>
      <c r="H1063" t="s">
        <v>510</v>
      </c>
      <c r="I1063" t="s">
        <v>1</v>
      </c>
      <c r="J1063">
        <v>1612.27</v>
      </c>
      <c r="K1063">
        <v>2246.0213179358002</v>
      </c>
      <c r="L1063">
        <v>0</v>
      </c>
      <c r="M1063">
        <v>0</v>
      </c>
      <c r="N1063">
        <v>173.03</v>
      </c>
      <c r="O1063"/>
      <c r="P1063">
        <v>0</v>
      </c>
      <c r="Q1063">
        <f t="shared" si="210"/>
        <v>0</v>
      </c>
      <c r="R1063">
        <v>0</v>
      </c>
      <c r="S1063">
        <f t="shared" si="211"/>
        <v>0</v>
      </c>
      <c r="T1063">
        <v>0.02</v>
      </c>
      <c r="U1063">
        <f t="shared" si="212"/>
        <v>0</v>
      </c>
      <c r="V1063">
        <f t="shared" si="213"/>
        <v>0</v>
      </c>
      <c r="W1063">
        <f t="shared" si="214"/>
        <v>0</v>
      </c>
      <c r="X1063">
        <v>0</v>
      </c>
    </row>
    <row r="1064" spans="1:24" x14ac:dyDescent="0.25">
      <c r="A1064" t="s">
        <v>1928</v>
      </c>
      <c r="B1064" t="s">
        <v>1936</v>
      </c>
      <c r="C1064" t="s">
        <v>2028</v>
      </c>
      <c r="D1064" t="s">
        <v>155</v>
      </c>
      <c r="E1064" t="s">
        <v>120</v>
      </c>
      <c r="F1064" t="s">
        <v>1</v>
      </c>
      <c r="G1064" t="s">
        <v>678</v>
      </c>
      <c r="H1064" t="s">
        <v>589</v>
      </c>
      <c r="I1064" t="s">
        <v>1</v>
      </c>
      <c r="J1064">
        <v>53.8</v>
      </c>
      <c r="K1064"/>
      <c r="L1064">
        <v>0</v>
      </c>
      <c r="M1064">
        <v>0</v>
      </c>
      <c r="N1064">
        <v>0</v>
      </c>
      <c r="O1064"/>
      <c r="P1064">
        <v>0</v>
      </c>
      <c r="Q1064">
        <f t="shared" si="210"/>
        <v>0</v>
      </c>
      <c r="R1064">
        <v>0</v>
      </c>
      <c r="S1064">
        <f t="shared" si="211"/>
        <v>0</v>
      </c>
      <c r="T1064">
        <v>3.5000000000000003E-2</v>
      </c>
      <c r="U1064">
        <f t="shared" si="212"/>
        <v>0</v>
      </c>
      <c r="V1064">
        <f t="shared" si="213"/>
        <v>0</v>
      </c>
      <c r="W1064">
        <f t="shared" si="214"/>
        <v>0</v>
      </c>
      <c r="X1064">
        <v>0</v>
      </c>
    </row>
    <row r="1065" spans="1:24" x14ac:dyDescent="0.25">
      <c r="A1065" t="s">
        <v>1928</v>
      </c>
      <c r="B1065" t="s">
        <v>1936</v>
      </c>
      <c r="C1065" t="s">
        <v>2028</v>
      </c>
      <c r="D1065" t="s">
        <v>155</v>
      </c>
      <c r="E1065" t="s">
        <v>20</v>
      </c>
      <c r="F1065" t="s">
        <v>1</v>
      </c>
      <c r="G1065" t="s">
        <v>678</v>
      </c>
      <c r="H1065" t="s">
        <v>420</v>
      </c>
      <c r="I1065" t="s">
        <v>1</v>
      </c>
      <c r="J1065">
        <v>75841.14</v>
      </c>
      <c r="K1065">
        <v>62920.202451274898</v>
      </c>
      <c r="L1065">
        <v>30177.11</v>
      </c>
      <c r="M1065">
        <v>60854.393093922648</v>
      </c>
      <c r="N1065">
        <v>68567.710000000021</v>
      </c>
      <c r="O1065">
        <v>60685.836593406602</v>
      </c>
      <c r="P1065">
        <v>0</v>
      </c>
      <c r="Q1065">
        <f t="shared" si="210"/>
        <v>60685.836593406602</v>
      </c>
      <c r="R1065">
        <v>60685.836593406602</v>
      </c>
      <c r="S1065">
        <f t="shared" si="211"/>
        <v>0</v>
      </c>
      <c r="T1065">
        <v>0.04</v>
      </c>
      <c r="U1065">
        <f t="shared" si="212"/>
        <v>2427.433463736264</v>
      </c>
      <c r="V1065">
        <f t="shared" si="213"/>
        <v>63113.270057142865</v>
      </c>
      <c r="W1065">
        <f t="shared" si="214"/>
        <v>2427.4334637362626</v>
      </c>
      <c r="X1065">
        <v>0</v>
      </c>
    </row>
    <row r="1066" spans="1:24" x14ac:dyDescent="0.25">
      <c r="A1066" t="s">
        <v>1928</v>
      </c>
      <c r="B1066" t="s">
        <v>1936</v>
      </c>
      <c r="C1066" t="s">
        <v>2028</v>
      </c>
      <c r="D1066" t="s">
        <v>155</v>
      </c>
      <c r="E1066" t="s">
        <v>21</v>
      </c>
      <c r="F1066" t="s">
        <v>1</v>
      </c>
      <c r="G1066" t="s">
        <v>678</v>
      </c>
      <c r="H1066" t="s">
        <v>421</v>
      </c>
      <c r="I1066" t="s">
        <v>1</v>
      </c>
      <c r="J1066">
        <v>17591.669999999998</v>
      </c>
      <c r="K1066">
        <v>17548.830000000002</v>
      </c>
      <c r="L1066">
        <v>8000.16</v>
      </c>
      <c r="M1066">
        <v>16132.919337016574</v>
      </c>
      <c r="N1066">
        <v>16382.130000000001</v>
      </c>
      <c r="O1066">
        <v>16132.919337016599</v>
      </c>
      <c r="P1066">
        <v>0</v>
      </c>
      <c r="Q1066">
        <f t="shared" si="210"/>
        <v>16132.919337016599</v>
      </c>
      <c r="R1066">
        <v>16132.919337016599</v>
      </c>
      <c r="S1066">
        <f t="shared" si="211"/>
        <v>0</v>
      </c>
      <c r="T1066">
        <v>0.03</v>
      </c>
      <c r="U1066">
        <f t="shared" si="212"/>
        <v>483.98758011049796</v>
      </c>
      <c r="V1066">
        <f t="shared" si="213"/>
        <v>16616.906917127097</v>
      </c>
      <c r="W1066">
        <f t="shared" si="214"/>
        <v>483.98758011049722</v>
      </c>
      <c r="X1066">
        <v>0</v>
      </c>
    </row>
    <row r="1067" spans="1:24" x14ac:dyDescent="0.25">
      <c r="A1067" t="s">
        <v>1928</v>
      </c>
      <c r="B1067" t="s">
        <v>1936</v>
      </c>
      <c r="C1067" t="s">
        <v>2028</v>
      </c>
      <c r="D1067" t="s">
        <v>155</v>
      </c>
      <c r="E1067" t="s">
        <v>22</v>
      </c>
      <c r="F1067" t="s">
        <v>1</v>
      </c>
      <c r="G1067" t="s">
        <v>678</v>
      </c>
      <c r="H1067" t="s">
        <v>422</v>
      </c>
      <c r="I1067" t="s">
        <v>1</v>
      </c>
      <c r="J1067">
        <v>8192.43</v>
      </c>
      <c r="K1067">
        <v>8776.7999999997992</v>
      </c>
      <c r="L1067">
        <v>2770.29</v>
      </c>
      <c r="M1067">
        <v>5586.4964088397783</v>
      </c>
      <c r="N1067">
        <v>6720.63</v>
      </c>
      <c r="O1067">
        <v>5586.4964088398001</v>
      </c>
      <c r="P1067">
        <v>0</v>
      </c>
      <c r="Q1067">
        <f t="shared" si="210"/>
        <v>5586.4964088398001</v>
      </c>
      <c r="R1067">
        <v>5586.4964088398001</v>
      </c>
      <c r="S1067">
        <f t="shared" si="211"/>
        <v>0</v>
      </c>
      <c r="T1067">
        <v>3.5000000000000003E-2</v>
      </c>
      <c r="U1067">
        <f t="shared" si="212"/>
        <v>195.52737430939302</v>
      </c>
      <c r="V1067">
        <f t="shared" si="213"/>
        <v>5782.0237831491932</v>
      </c>
      <c r="W1067">
        <f t="shared" si="214"/>
        <v>195.52737430939305</v>
      </c>
      <c r="X1067">
        <v>0</v>
      </c>
    </row>
    <row r="1068" spans="1:24" x14ac:dyDescent="0.25">
      <c r="A1068" t="s">
        <v>1928</v>
      </c>
      <c r="B1068" t="s">
        <v>1936</v>
      </c>
      <c r="C1068" t="s">
        <v>2028</v>
      </c>
      <c r="D1068" t="s">
        <v>155</v>
      </c>
      <c r="E1068" t="s">
        <v>23</v>
      </c>
      <c r="F1068" t="s">
        <v>1</v>
      </c>
      <c r="G1068" t="s">
        <v>678</v>
      </c>
      <c r="H1068" t="s">
        <v>423</v>
      </c>
      <c r="I1068" t="s">
        <v>1</v>
      </c>
      <c r="J1068">
        <v>10912.72</v>
      </c>
      <c r="K1068">
        <v>17812.349999999999</v>
      </c>
      <c r="L1068">
        <v>460.32</v>
      </c>
      <c r="M1068">
        <v>928.2696132596684</v>
      </c>
      <c r="N1068">
        <v>2766.83</v>
      </c>
      <c r="O1068">
        <v>928.26961325970001</v>
      </c>
      <c r="P1068">
        <v>0</v>
      </c>
      <c r="Q1068">
        <f t="shared" si="210"/>
        <v>928.26961325970001</v>
      </c>
      <c r="R1068">
        <v>928.26961325970001</v>
      </c>
      <c r="S1068">
        <f t="shared" si="211"/>
        <v>0</v>
      </c>
      <c r="T1068">
        <v>3.5000000000000003E-2</v>
      </c>
      <c r="U1068">
        <f t="shared" si="212"/>
        <v>32.489436464089501</v>
      </c>
      <c r="V1068">
        <f t="shared" si="213"/>
        <v>960.75904972378953</v>
      </c>
      <c r="W1068">
        <f t="shared" si="214"/>
        <v>32.489436464089522</v>
      </c>
      <c r="X1068">
        <v>0</v>
      </c>
    </row>
    <row r="1069" spans="1:24" x14ac:dyDescent="0.25">
      <c r="A1069" t="s">
        <v>1928</v>
      </c>
      <c r="B1069" t="s">
        <v>1936</v>
      </c>
      <c r="C1069" t="s">
        <v>2028</v>
      </c>
      <c r="D1069" t="s">
        <v>155</v>
      </c>
      <c r="E1069" t="s">
        <v>28</v>
      </c>
      <c r="F1069" t="s">
        <v>1</v>
      </c>
      <c r="G1069" t="s">
        <v>678</v>
      </c>
      <c r="H1069" t="s">
        <v>428</v>
      </c>
      <c r="I1069" t="s">
        <v>1</v>
      </c>
      <c r="J1069">
        <v>13073.98</v>
      </c>
      <c r="K1069">
        <v>11670</v>
      </c>
      <c r="L1069">
        <v>3463.9</v>
      </c>
      <c r="M1069">
        <v>6985.2127071823197</v>
      </c>
      <c r="N1069">
        <v>10801.840000000002</v>
      </c>
      <c r="O1069">
        <v>6927.8</v>
      </c>
      <c r="P1069">
        <v>0</v>
      </c>
      <c r="Q1069">
        <f t="shared" si="210"/>
        <v>6927.8</v>
      </c>
      <c r="R1069">
        <v>6927.8</v>
      </c>
      <c r="S1069">
        <f t="shared" si="211"/>
        <v>0</v>
      </c>
      <c r="T1069"/>
      <c r="U1069">
        <f t="shared" si="212"/>
        <v>0</v>
      </c>
      <c r="V1069">
        <f t="shared" si="213"/>
        <v>6927.8</v>
      </c>
      <c r="W1069">
        <f t="shared" si="214"/>
        <v>0</v>
      </c>
      <c r="X1069">
        <v>0</v>
      </c>
    </row>
    <row r="1070" spans="1:24" x14ac:dyDescent="0.25">
      <c r="A1070" t="s">
        <v>1928</v>
      </c>
      <c r="B1070" t="s">
        <v>1936</v>
      </c>
      <c r="C1070" t="s">
        <v>2028</v>
      </c>
      <c r="D1070" t="s">
        <v>155</v>
      </c>
      <c r="E1070" t="s">
        <v>29</v>
      </c>
      <c r="F1070" t="s">
        <v>1</v>
      </c>
      <c r="G1070" t="s">
        <v>678</v>
      </c>
      <c r="H1070" t="s">
        <v>429</v>
      </c>
      <c r="I1070" t="s">
        <v>1</v>
      </c>
      <c r="J1070">
        <v>2039.5</v>
      </c>
      <c r="K1070">
        <v>309.99999999959999</v>
      </c>
      <c r="L1070">
        <v>0</v>
      </c>
      <c r="M1070">
        <v>0</v>
      </c>
      <c r="N1070">
        <v>1884.5</v>
      </c>
      <c r="O1070"/>
      <c r="P1070">
        <v>0</v>
      </c>
      <c r="Q1070">
        <f t="shared" si="210"/>
        <v>0</v>
      </c>
      <c r="R1070">
        <v>0</v>
      </c>
      <c r="S1070">
        <f t="shared" si="211"/>
        <v>0</v>
      </c>
      <c r="T1070"/>
      <c r="U1070">
        <f t="shared" si="212"/>
        <v>0</v>
      </c>
      <c r="V1070">
        <f t="shared" si="213"/>
        <v>0</v>
      </c>
      <c r="W1070">
        <f t="shared" si="214"/>
        <v>0</v>
      </c>
      <c r="X1070">
        <v>0</v>
      </c>
    </row>
    <row r="1071" spans="1:24" x14ac:dyDescent="0.25">
      <c r="A1071" t="s">
        <v>1928</v>
      </c>
      <c r="B1071" t="s">
        <v>1936</v>
      </c>
      <c r="C1071" t="s">
        <v>2028</v>
      </c>
      <c r="D1071" t="s">
        <v>155</v>
      </c>
      <c r="E1071" t="s">
        <v>31</v>
      </c>
      <c r="F1071" t="s">
        <v>1</v>
      </c>
      <c r="G1071" t="s">
        <v>678</v>
      </c>
      <c r="H1071" t="s">
        <v>431</v>
      </c>
      <c r="I1071" t="s">
        <v>1</v>
      </c>
      <c r="J1071">
        <v>210.78</v>
      </c>
      <c r="K1071">
        <v>161.00000000040001</v>
      </c>
      <c r="L1071">
        <v>0</v>
      </c>
      <c r="M1071">
        <v>0</v>
      </c>
      <c r="N1071">
        <v>0</v>
      </c>
      <c r="O1071"/>
      <c r="P1071">
        <v>0</v>
      </c>
      <c r="Q1071">
        <f t="shared" si="210"/>
        <v>0</v>
      </c>
      <c r="R1071">
        <v>0</v>
      </c>
      <c r="S1071">
        <f t="shared" si="211"/>
        <v>0</v>
      </c>
      <c r="T1071"/>
      <c r="U1071">
        <f t="shared" si="212"/>
        <v>0</v>
      </c>
      <c r="V1071">
        <f t="shared" si="213"/>
        <v>0</v>
      </c>
      <c r="W1071">
        <f t="shared" si="214"/>
        <v>0</v>
      </c>
      <c r="X1071">
        <v>0</v>
      </c>
    </row>
    <row r="1072" spans="1:24" x14ac:dyDescent="0.25">
      <c r="A1072" t="s">
        <v>1928</v>
      </c>
      <c r="B1072" t="s">
        <v>1936</v>
      </c>
      <c r="C1072" t="s">
        <v>2028</v>
      </c>
      <c r="D1072" t="s">
        <v>155</v>
      </c>
      <c r="E1072" t="s">
        <v>33</v>
      </c>
      <c r="F1072" t="s">
        <v>1</v>
      </c>
      <c r="G1072" t="s">
        <v>678</v>
      </c>
      <c r="H1072" t="s">
        <v>433</v>
      </c>
      <c r="I1072" t="s">
        <v>1</v>
      </c>
      <c r="J1072"/>
      <c r="K1072">
        <v>245.30959207320001</v>
      </c>
      <c r="L1072">
        <v>0</v>
      </c>
      <c r="M1072">
        <v>0</v>
      </c>
      <c r="N1072">
        <v>0</v>
      </c>
      <c r="O1072"/>
      <c r="P1072">
        <v>500</v>
      </c>
      <c r="Q1072">
        <f t="shared" si="210"/>
        <v>500</v>
      </c>
      <c r="R1072">
        <v>500</v>
      </c>
      <c r="S1072">
        <f t="shared" si="211"/>
        <v>0</v>
      </c>
      <c r="T1072"/>
      <c r="U1072">
        <f t="shared" si="212"/>
        <v>0</v>
      </c>
      <c r="V1072">
        <f t="shared" si="213"/>
        <v>500</v>
      </c>
      <c r="W1072">
        <f t="shared" si="214"/>
        <v>0</v>
      </c>
      <c r="X1072" t="s">
        <v>1422</v>
      </c>
    </row>
    <row r="1073" spans="1:24" x14ac:dyDescent="0.25">
      <c r="A1073" t="s">
        <v>1928</v>
      </c>
      <c r="B1073" t="s">
        <v>1936</v>
      </c>
      <c r="C1073" t="s">
        <v>2028</v>
      </c>
      <c r="D1073" t="s">
        <v>155</v>
      </c>
      <c r="E1073" t="s">
        <v>35</v>
      </c>
      <c r="F1073" t="s">
        <v>1</v>
      </c>
      <c r="G1073" t="s">
        <v>678</v>
      </c>
      <c r="H1073" t="s">
        <v>435</v>
      </c>
      <c r="I1073" t="s">
        <v>1</v>
      </c>
      <c r="J1073">
        <v>120.73</v>
      </c>
      <c r="K1073">
        <v>440.00000000040001</v>
      </c>
      <c r="L1073">
        <v>111.25</v>
      </c>
      <c r="M1073">
        <v>224.3439226519337</v>
      </c>
      <c r="N1073">
        <v>181.32999999999998</v>
      </c>
      <c r="O1073">
        <v>222.5</v>
      </c>
      <c r="P1073">
        <v>0</v>
      </c>
      <c r="Q1073">
        <f t="shared" si="210"/>
        <v>222.5</v>
      </c>
      <c r="R1073">
        <v>222.5</v>
      </c>
      <c r="S1073">
        <f t="shared" si="211"/>
        <v>0</v>
      </c>
      <c r="T1073"/>
      <c r="U1073">
        <f t="shared" si="212"/>
        <v>0</v>
      </c>
      <c r="V1073">
        <f t="shared" si="213"/>
        <v>222.5</v>
      </c>
      <c r="W1073">
        <f t="shared" si="214"/>
        <v>0</v>
      </c>
      <c r="X1073">
        <v>0</v>
      </c>
    </row>
    <row r="1074" spans="1:24" x14ac:dyDescent="0.25">
      <c r="A1074" t="s">
        <v>1928</v>
      </c>
      <c r="B1074" t="s">
        <v>1936</v>
      </c>
      <c r="C1074" t="s">
        <v>2028</v>
      </c>
      <c r="D1074" t="s">
        <v>155</v>
      </c>
      <c r="E1074" t="s">
        <v>37</v>
      </c>
      <c r="F1074" t="s">
        <v>1</v>
      </c>
      <c r="G1074" t="s">
        <v>678</v>
      </c>
      <c r="H1074" t="s">
        <v>437</v>
      </c>
      <c r="I1074" t="s">
        <v>1</v>
      </c>
      <c r="J1074">
        <v>342.79</v>
      </c>
      <c r="K1074">
        <v>1471.8575524416001</v>
      </c>
      <c r="L1074">
        <v>133.91</v>
      </c>
      <c r="M1074">
        <v>270.03950276243091</v>
      </c>
      <c r="N1074">
        <v>447.43999999999994</v>
      </c>
      <c r="O1074">
        <v>267.82</v>
      </c>
      <c r="P1074">
        <v>1232</v>
      </c>
      <c r="Q1074">
        <f t="shared" si="210"/>
        <v>1499.82</v>
      </c>
      <c r="R1074">
        <v>1500</v>
      </c>
      <c r="S1074">
        <f t="shared" si="211"/>
        <v>0.18000000000006366</v>
      </c>
      <c r="T1074"/>
      <c r="U1074">
        <f t="shared" si="212"/>
        <v>0</v>
      </c>
      <c r="V1074">
        <f t="shared" si="213"/>
        <v>1500</v>
      </c>
      <c r="W1074">
        <f t="shared" si="214"/>
        <v>0.18000000000006366</v>
      </c>
      <c r="X1074" t="s">
        <v>1423</v>
      </c>
    </row>
    <row r="1075" spans="1:24" x14ac:dyDescent="0.25">
      <c r="A1075" t="s">
        <v>1928</v>
      </c>
      <c r="B1075" t="s">
        <v>1936</v>
      </c>
      <c r="C1075" t="s">
        <v>2028</v>
      </c>
      <c r="D1075" t="s">
        <v>155</v>
      </c>
      <c r="E1075" t="s">
        <v>121</v>
      </c>
      <c r="F1075" t="s">
        <v>1</v>
      </c>
      <c r="G1075" t="s">
        <v>678</v>
      </c>
      <c r="H1075" t="s">
        <v>590</v>
      </c>
      <c r="I1075" t="s">
        <v>1</v>
      </c>
      <c r="J1075"/>
      <c r="K1075">
        <v>55092.550058979599</v>
      </c>
      <c r="L1075">
        <v>0</v>
      </c>
      <c r="M1075">
        <v>0</v>
      </c>
      <c r="N1075">
        <v>0</v>
      </c>
      <c r="O1075"/>
      <c r="P1075">
        <v>0</v>
      </c>
      <c r="Q1075">
        <f t="shared" si="210"/>
        <v>0</v>
      </c>
      <c r="R1075">
        <v>0</v>
      </c>
      <c r="S1075">
        <f t="shared" si="211"/>
        <v>0</v>
      </c>
      <c r="T1075"/>
      <c r="U1075">
        <f t="shared" si="212"/>
        <v>0</v>
      </c>
      <c r="V1075">
        <f t="shared" si="213"/>
        <v>0</v>
      </c>
      <c r="W1075">
        <f t="shared" si="214"/>
        <v>0</v>
      </c>
      <c r="X1075">
        <v>0</v>
      </c>
    </row>
    <row r="1076" spans="1:24" x14ac:dyDescent="0.25">
      <c r="A1076" t="s">
        <v>1928</v>
      </c>
      <c r="B1076" t="s">
        <v>1936</v>
      </c>
      <c r="C1076" t="s">
        <v>2028</v>
      </c>
      <c r="D1076" t="s">
        <v>155</v>
      </c>
      <c r="E1076" t="s">
        <v>41</v>
      </c>
      <c r="F1076" t="s">
        <v>1</v>
      </c>
      <c r="G1076" t="s">
        <v>678</v>
      </c>
      <c r="H1076" t="s">
        <v>441</v>
      </c>
      <c r="I1076" t="s">
        <v>1</v>
      </c>
      <c r="J1076">
        <v>1028.6500000000001</v>
      </c>
      <c r="K1076">
        <v>605.60000000039997</v>
      </c>
      <c r="L1076">
        <v>55.59</v>
      </c>
      <c r="M1076">
        <v>112.10138121546962</v>
      </c>
      <c r="N1076">
        <v>652.93999999999983</v>
      </c>
      <c r="O1076">
        <v>111.18</v>
      </c>
      <c r="P1076">
        <v>0</v>
      </c>
      <c r="Q1076">
        <f t="shared" si="210"/>
        <v>111.18</v>
      </c>
      <c r="R1076">
        <v>111.18</v>
      </c>
      <c r="S1076">
        <f t="shared" si="211"/>
        <v>0</v>
      </c>
      <c r="T1076">
        <v>0.03</v>
      </c>
      <c r="U1076">
        <f t="shared" si="212"/>
        <v>3.3353999999999999</v>
      </c>
      <c r="V1076">
        <f t="shared" si="213"/>
        <v>114.5154</v>
      </c>
      <c r="W1076">
        <f t="shared" si="214"/>
        <v>3.3353999999999928</v>
      </c>
      <c r="X1076">
        <v>0</v>
      </c>
    </row>
    <row r="1077" spans="1:24" x14ac:dyDescent="0.25">
      <c r="A1077" t="s">
        <v>1928</v>
      </c>
      <c r="B1077" t="s">
        <v>1936</v>
      </c>
      <c r="C1077" t="s">
        <v>2028</v>
      </c>
      <c r="D1077" t="s">
        <v>155</v>
      </c>
      <c r="E1077" t="s">
        <v>43</v>
      </c>
      <c r="F1077" t="s">
        <v>1</v>
      </c>
      <c r="G1077" t="s">
        <v>678</v>
      </c>
      <c r="H1077" t="s">
        <v>443</v>
      </c>
      <c r="I1077" t="s">
        <v>1</v>
      </c>
      <c r="J1077">
        <v>1097.6500000000001</v>
      </c>
      <c r="K1077"/>
      <c r="L1077">
        <v>0</v>
      </c>
      <c r="M1077">
        <v>0</v>
      </c>
      <c r="N1077">
        <v>1097.6499999999999</v>
      </c>
      <c r="O1077"/>
      <c r="P1077">
        <v>0</v>
      </c>
      <c r="Q1077">
        <f t="shared" si="210"/>
        <v>0</v>
      </c>
      <c r="R1077">
        <v>0</v>
      </c>
      <c r="S1077">
        <f t="shared" si="211"/>
        <v>0</v>
      </c>
      <c r="T1077">
        <v>0.03</v>
      </c>
      <c r="U1077">
        <f t="shared" si="212"/>
        <v>0</v>
      </c>
      <c r="V1077">
        <f t="shared" si="213"/>
        <v>0</v>
      </c>
      <c r="W1077">
        <f t="shared" si="214"/>
        <v>0</v>
      </c>
      <c r="X1077">
        <v>0</v>
      </c>
    </row>
    <row r="1078" spans="1:24" x14ac:dyDescent="0.25">
      <c r="A1078" t="s">
        <v>1928</v>
      </c>
      <c r="B1078" t="s">
        <v>1936</v>
      </c>
      <c r="C1078" t="s">
        <v>2028</v>
      </c>
      <c r="D1078" t="s">
        <v>155</v>
      </c>
      <c r="E1078" t="s">
        <v>47</v>
      </c>
      <c r="F1078" t="s">
        <v>1</v>
      </c>
      <c r="G1078" t="s">
        <v>678</v>
      </c>
      <c r="H1078" t="s">
        <v>447</v>
      </c>
      <c r="I1078" t="s">
        <v>1</v>
      </c>
      <c r="J1078">
        <v>227.07</v>
      </c>
      <c r="K1078"/>
      <c r="L1078">
        <v>0</v>
      </c>
      <c r="M1078">
        <v>0</v>
      </c>
      <c r="N1078">
        <v>227.07</v>
      </c>
      <c r="O1078"/>
      <c r="P1078">
        <v>0</v>
      </c>
      <c r="Q1078">
        <f t="shared" si="210"/>
        <v>0</v>
      </c>
      <c r="R1078">
        <v>0</v>
      </c>
      <c r="S1078">
        <f t="shared" si="211"/>
        <v>0</v>
      </c>
      <c r="T1078">
        <v>0.03</v>
      </c>
      <c r="U1078">
        <f t="shared" si="212"/>
        <v>0</v>
      </c>
      <c r="V1078">
        <f t="shared" si="213"/>
        <v>0</v>
      </c>
      <c r="W1078">
        <f t="shared" si="214"/>
        <v>0</v>
      </c>
      <c r="X1078">
        <v>0</v>
      </c>
    </row>
    <row r="1079" spans="1:24" x14ac:dyDescent="0.25">
      <c r="A1079" t="s">
        <v>1928</v>
      </c>
      <c r="B1079" t="s">
        <v>1936</v>
      </c>
      <c r="C1079" t="s">
        <v>2028</v>
      </c>
      <c r="D1079" t="s">
        <v>155</v>
      </c>
      <c r="E1079" t="s">
        <v>50</v>
      </c>
      <c r="F1079" t="s">
        <v>1</v>
      </c>
      <c r="G1079" t="s">
        <v>678</v>
      </c>
      <c r="H1079" t="s">
        <v>450</v>
      </c>
      <c r="I1079" t="s">
        <v>1</v>
      </c>
      <c r="J1079">
        <v>1499.36</v>
      </c>
      <c r="K1079">
        <v>1460.0000000001</v>
      </c>
      <c r="L1079">
        <v>642.20000000000005</v>
      </c>
      <c r="M1079">
        <v>1295.0441988950276</v>
      </c>
      <c r="N1079">
        <v>1428.52</v>
      </c>
      <c r="O1079">
        <v>1295.0441988949999</v>
      </c>
      <c r="P1079">
        <v>0</v>
      </c>
      <c r="Q1079">
        <f t="shared" si="210"/>
        <v>1295.0441988949999</v>
      </c>
      <c r="R1079">
        <v>1295.0441988949999</v>
      </c>
      <c r="S1079">
        <f t="shared" si="211"/>
        <v>0</v>
      </c>
      <c r="T1079"/>
      <c r="U1079">
        <f t="shared" si="212"/>
        <v>0</v>
      </c>
      <c r="V1079">
        <f t="shared" si="213"/>
        <v>1295.0441988949999</v>
      </c>
      <c r="W1079">
        <f t="shared" si="214"/>
        <v>0</v>
      </c>
      <c r="X1079">
        <v>0</v>
      </c>
    </row>
    <row r="1080" spans="1:24" x14ac:dyDescent="0.25">
      <c r="A1080" t="s">
        <v>1928</v>
      </c>
      <c r="B1080" t="s">
        <v>1936</v>
      </c>
      <c r="C1080" t="s">
        <v>2028</v>
      </c>
      <c r="D1080" t="s">
        <v>155</v>
      </c>
      <c r="E1080" t="s">
        <v>51</v>
      </c>
      <c r="F1080" t="s">
        <v>51</v>
      </c>
      <c r="G1080" t="s">
        <v>679</v>
      </c>
      <c r="H1080"/>
      <c r="I1080"/>
      <c r="J1080">
        <v>479868.76</v>
      </c>
      <c r="K1080">
        <v>510207.09651868232</v>
      </c>
      <c r="L1080">
        <v>197107.49000000002</v>
      </c>
      <c r="M1080">
        <v>397481.95497237571</v>
      </c>
      <c r="N1080">
        <v>429176.73000000016</v>
      </c>
      <c r="O1080">
        <v>396440.40801044262</v>
      </c>
      <c r="P1080">
        <f>SUMIF($F$1053:$F$1079,"&lt;&gt;EV_*",$P$1053:$P$1079)</f>
        <v>-10711</v>
      </c>
      <c r="Q1080">
        <f>SUMIF($F$1053:$F$1079,"&lt;&gt;EV_*",$Q$1053:$Q$1079)</f>
        <v>385729.40801044262</v>
      </c>
      <c r="R1080">
        <f>SUMIF($F$1053:$F$1079,"&lt;&gt;EV_*",$R$1053:$R$1079)</f>
        <v>387045.87054702209</v>
      </c>
      <c r="S1080">
        <f>SUMIF($F$1053:$F$1079,"&lt;&gt;EV_*",$S$1053:$S$1079)</f>
        <v>1316.4625365794993</v>
      </c>
      <c r="T1080">
        <v>0</v>
      </c>
      <c r="U1080">
        <f>SUMIF($F$1053:$F$1079,"&lt;&gt;EV_*",$U$1053:$U$1079)</f>
        <v>10841.824824675186</v>
      </c>
      <c r="V1080">
        <f>SUMIF($F$1053:$F$1079,"&lt;&gt;EV_*",$V$1053:$V$1079)</f>
        <v>397887.69537169725</v>
      </c>
      <c r="W1080">
        <f>SUMIF($F$1053:$F$1079,"&lt;&gt;EV_*",$W$1053:$W$1079)</f>
        <v>12158.287361254679</v>
      </c>
      <c r="X1080">
        <f>SUMIF($F$1053:$F$1079,"&lt;&gt;EV_*",$X$1053:$X$1079)</f>
        <v>0</v>
      </c>
    </row>
    <row r="1081" spans="1:24" x14ac:dyDescent="0.25">
      <c r="A1081" t="s">
        <v>1928</v>
      </c>
      <c r="B1081" t="s">
        <v>1929</v>
      </c>
      <c r="C1081" t="s">
        <v>2029</v>
      </c>
      <c r="D1081" t="s">
        <v>156</v>
      </c>
      <c r="E1081" t="s">
        <v>5</v>
      </c>
      <c r="F1081" t="s">
        <v>5</v>
      </c>
      <c r="G1081" t="s">
        <v>680</v>
      </c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</row>
    <row r="1082" spans="1:24" x14ac:dyDescent="0.25">
      <c r="A1082" t="s">
        <v>1928</v>
      </c>
      <c r="B1082" t="s">
        <v>1929</v>
      </c>
      <c r="C1082" t="s">
        <v>2029</v>
      </c>
      <c r="D1082" t="s">
        <v>156</v>
      </c>
      <c r="E1082" t="s">
        <v>133</v>
      </c>
      <c r="F1082" t="s">
        <v>1</v>
      </c>
      <c r="G1082" t="s">
        <v>681</v>
      </c>
      <c r="H1082" t="s">
        <v>622</v>
      </c>
      <c r="I1082" t="s">
        <v>1</v>
      </c>
      <c r="J1082"/>
      <c r="K1082"/>
      <c r="L1082">
        <v>0.02</v>
      </c>
      <c r="M1082">
        <v>4.0331491712707182E-2</v>
      </c>
      <c r="N1082">
        <v>0.02</v>
      </c>
      <c r="O1082">
        <v>4.03314917E-2</v>
      </c>
      <c r="P1082">
        <v>0</v>
      </c>
      <c r="Q1082">
        <f>O1082+P1082</f>
        <v>4.03314917E-2</v>
      </c>
      <c r="R1082">
        <v>0</v>
      </c>
      <c r="S1082">
        <f>IF(OR(LEFT(E1082,2)="A_",LEFT(D1082,5)="Total"),R1082-Q1082,"")</f>
        <v>-4.03314917E-2</v>
      </c>
      <c r="T1082">
        <v>0.02</v>
      </c>
      <c r="U1082">
        <f>IFERROR(R1082*T1082,R1082*0)</f>
        <v>0</v>
      </c>
      <c r="V1082">
        <f>IF(OR(LEFT(E1082,2)="A_",LEFT(D1082,5)="Total"),R1082+U1082,"")</f>
        <v>0</v>
      </c>
      <c r="W1082">
        <f>IF(OR(LEFT(E1082,2)="A_",LEFT(D1082,5)="Total"),V1082-Q1082,"")</f>
        <v>-4.03314917E-2</v>
      </c>
      <c r="X1082" t="s">
        <v>1496</v>
      </c>
    </row>
    <row r="1083" spans="1:24" x14ac:dyDescent="0.25">
      <c r="A1083" t="s">
        <v>1928</v>
      </c>
      <c r="B1083" t="s">
        <v>1929</v>
      </c>
      <c r="C1083" t="s">
        <v>2029</v>
      </c>
      <c r="D1083" t="s">
        <v>156</v>
      </c>
      <c r="E1083" t="s">
        <v>17</v>
      </c>
      <c r="F1083" t="s">
        <v>1</v>
      </c>
      <c r="G1083" t="s">
        <v>681</v>
      </c>
      <c r="H1083" t="s">
        <v>417</v>
      </c>
      <c r="I1083" t="s">
        <v>1</v>
      </c>
      <c r="J1083">
        <v>-10.54</v>
      </c>
      <c r="K1083"/>
      <c r="L1083">
        <v>0</v>
      </c>
      <c r="M1083">
        <v>0</v>
      </c>
      <c r="N1083">
        <v>-8.5399999999999991</v>
      </c>
      <c r="O1083"/>
      <c r="P1083">
        <v>0</v>
      </c>
      <c r="Q1083">
        <f>O1083+P1083</f>
        <v>0</v>
      </c>
      <c r="R1083">
        <v>0</v>
      </c>
      <c r="S1083">
        <f>IF(OR(LEFT(E1083,2)="A_",LEFT(D1083,5)="Total"),R1083-Q1083,"")</f>
        <v>0</v>
      </c>
      <c r="T1083"/>
      <c r="U1083">
        <f>IFERROR(R1083*T1083,R1083*0)</f>
        <v>0</v>
      </c>
      <c r="V1083">
        <f>IF(OR(LEFT(E1083,2)="A_",LEFT(D1083,5)="Total"),R1083+U1083,"")</f>
        <v>0</v>
      </c>
      <c r="W1083">
        <f>IF(OR(LEFT(E1083,2)="A_",LEFT(D1083,5)="Total"),V1083-Q1083,"")</f>
        <v>0</v>
      </c>
      <c r="X1083" t="s">
        <v>1496</v>
      </c>
    </row>
    <row r="1084" spans="1:24" x14ac:dyDescent="0.25">
      <c r="A1084" t="s">
        <v>1928</v>
      </c>
      <c r="B1084" t="s">
        <v>1929</v>
      </c>
      <c r="C1084" t="s">
        <v>2029</v>
      </c>
      <c r="D1084" t="s">
        <v>156</v>
      </c>
      <c r="E1084" t="s">
        <v>18</v>
      </c>
      <c r="F1084" t="s">
        <v>1</v>
      </c>
      <c r="G1084" t="s">
        <v>681</v>
      </c>
      <c r="H1084" t="s">
        <v>418</v>
      </c>
      <c r="I1084" t="s">
        <v>1</v>
      </c>
      <c r="J1084">
        <v>7704.77</v>
      </c>
      <c r="K1084">
        <v>9312.2183322296005</v>
      </c>
      <c r="L1084">
        <v>1763.81</v>
      </c>
      <c r="M1084">
        <v>3556.8544198895029</v>
      </c>
      <c r="N1084">
        <v>3336.14</v>
      </c>
      <c r="O1084">
        <v>3547.0025274724999</v>
      </c>
      <c r="P1084">
        <v>-3547</v>
      </c>
      <c r="Q1084">
        <f>O1084+P1084</f>
        <v>2.5274724998780584E-3</v>
      </c>
      <c r="R1084">
        <v>0</v>
      </c>
      <c r="S1084">
        <f>IF(OR(LEFT(E1084,2)="A_",LEFT(D1084,5)="Total"),R1084-Q1084,"")</f>
        <v>-2.5274724998780584E-3</v>
      </c>
      <c r="T1084">
        <v>0.02</v>
      </c>
      <c r="U1084">
        <f>IFERROR(R1084*T1084,R1084*0)</f>
        <v>0</v>
      </c>
      <c r="V1084">
        <f>IF(OR(LEFT(E1084,2)="A_",LEFT(D1084,5)="Total"),R1084+U1084,"")</f>
        <v>0</v>
      </c>
      <c r="W1084">
        <f>IF(OR(LEFT(E1084,2)="A_",LEFT(D1084,5)="Total"),V1084-Q1084,"")</f>
        <v>-2.5274724998780584E-3</v>
      </c>
      <c r="X1084" t="s">
        <v>1497</v>
      </c>
    </row>
    <row r="1085" spans="1:24" x14ac:dyDescent="0.25">
      <c r="A1085" t="s">
        <v>1928</v>
      </c>
      <c r="B1085" t="s">
        <v>1929</v>
      </c>
      <c r="C1085" t="s">
        <v>2029</v>
      </c>
      <c r="D1085" t="s">
        <v>156</v>
      </c>
      <c r="E1085" t="s">
        <v>74</v>
      </c>
      <c r="F1085" t="s">
        <v>1</v>
      </c>
      <c r="G1085" t="s">
        <v>681</v>
      </c>
      <c r="H1085" t="s">
        <v>491</v>
      </c>
      <c r="I1085" t="s">
        <v>1</v>
      </c>
      <c r="J1085">
        <v>383.6</v>
      </c>
      <c r="K1085"/>
      <c r="L1085">
        <v>0</v>
      </c>
      <c r="M1085">
        <v>0</v>
      </c>
      <c r="N1085">
        <v>110</v>
      </c>
      <c r="O1085"/>
      <c r="P1085">
        <v>0</v>
      </c>
      <c r="Q1085">
        <f>O1085+P1085</f>
        <v>0</v>
      </c>
      <c r="R1085">
        <v>0</v>
      </c>
      <c r="S1085">
        <f>IF(OR(LEFT(E1085,2)="A_",LEFT(D1085,5)="Total"),R1085-Q1085,"")</f>
        <v>0</v>
      </c>
      <c r="T1085">
        <v>3.5000000000000003E-2</v>
      </c>
      <c r="U1085">
        <f>IFERROR(R1085*T1085,R1085*0)</f>
        <v>0</v>
      </c>
      <c r="V1085">
        <f>IF(OR(LEFT(E1085,2)="A_",LEFT(D1085,5)="Total"),R1085+U1085,"")</f>
        <v>0</v>
      </c>
      <c r="W1085">
        <f>IF(OR(LEFT(E1085,2)="A_",LEFT(D1085,5)="Total"),V1085-Q1085,"")</f>
        <v>0</v>
      </c>
      <c r="X1085" t="s">
        <v>1496</v>
      </c>
    </row>
    <row r="1086" spans="1:24" x14ac:dyDescent="0.25">
      <c r="A1086" t="s">
        <v>1928</v>
      </c>
      <c r="B1086" t="s">
        <v>1929</v>
      </c>
      <c r="C1086" t="s">
        <v>2029</v>
      </c>
      <c r="D1086" t="s">
        <v>156</v>
      </c>
      <c r="E1086" t="s">
        <v>20</v>
      </c>
      <c r="F1086" t="s">
        <v>1</v>
      </c>
      <c r="G1086" t="s">
        <v>681</v>
      </c>
      <c r="H1086" t="s">
        <v>420</v>
      </c>
      <c r="I1086" t="s">
        <v>1</v>
      </c>
      <c r="J1086">
        <v>5853.94</v>
      </c>
      <c r="K1086">
        <v>9064.1762798353993</v>
      </c>
      <c r="L1086">
        <v>184.05</v>
      </c>
      <c r="M1086">
        <v>371.15055248618791</v>
      </c>
      <c r="N1086">
        <v>235.58</v>
      </c>
      <c r="O1086">
        <v>370.1225274725</v>
      </c>
      <c r="P1086">
        <v>0</v>
      </c>
      <c r="Q1086">
        <f>O1086+P1086</f>
        <v>370.1225274725</v>
      </c>
      <c r="R1086">
        <v>0</v>
      </c>
      <c r="S1086">
        <f>IF(OR(LEFT(E1086,2)="A_",LEFT(D1086,5)="Total"),R1086-Q1086,"")</f>
        <v>-370.1225274725</v>
      </c>
      <c r="T1086">
        <v>0.04</v>
      </c>
      <c r="U1086">
        <f>IFERROR(R1086*T1086,R1086*0)</f>
        <v>0</v>
      </c>
      <c r="V1086">
        <f>IF(OR(LEFT(E1086,2)="A_",LEFT(D1086,5)="Total"),R1086+U1086,"")</f>
        <v>0</v>
      </c>
      <c r="W1086">
        <f>IF(OR(LEFT(E1086,2)="A_",LEFT(D1086,5)="Total"),V1086-Q1086,"")</f>
        <v>-370.1225274725</v>
      </c>
      <c r="X1086" t="s">
        <v>1496</v>
      </c>
    </row>
    <row r="1087" spans="1:24" x14ac:dyDescent="0.25">
      <c r="A1087" t="s">
        <v>1928</v>
      </c>
      <c r="B1087" t="s">
        <v>1929</v>
      </c>
      <c r="C1087" t="s">
        <v>2029</v>
      </c>
      <c r="D1087" t="s">
        <v>156</v>
      </c>
      <c r="E1087" t="s">
        <v>51</v>
      </c>
      <c r="F1087" t="s">
        <v>51</v>
      </c>
      <c r="G1087" t="s">
        <v>682</v>
      </c>
      <c r="H1087"/>
      <c r="I1087"/>
      <c r="J1087">
        <v>13931.77</v>
      </c>
      <c r="K1087">
        <v>18376.394612065</v>
      </c>
      <c r="L1087">
        <v>1947.8799999999999</v>
      </c>
      <c r="M1087">
        <v>3928.0453038674032</v>
      </c>
      <c r="N1087">
        <v>3673.2</v>
      </c>
      <c r="O1087">
        <v>3917.1653864366999</v>
      </c>
      <c r="P1087">
        <f>SUMIF($F$1081:$F$1086,"&lt;&gt;EV_*",$P$1081:$P$1086)</f>
        <v>-3547</v>
      </c>
      <c r="Q1087">
        <f>SUMIF($F$1081:$F$1086,"&lt;&gt;EV_*",$Q$1081:$Q$1086)</f>
        <v>370.16538643669986</v>
      </c>
      <c r="R1087">
        <f>SUMIF($F$1081:$F$1086,"&lt;&gt;EV_*",$R$1081:$R$1086)</f>
        <v>0</v>
      </c>
      <c r="S1087">
        <f>SUMIF($F$1081:$F$1086,"&lt;&gt;EV_*",$S$1081:$S$1086)</f>
        <v>-370.16538643669986</v>
      </c>
      <c r="T1087">
        <v>0</v>
      </c>
      <c r="U1087">
        <f>SUMIF($F$1081:$F$1086,"&lt;&gt;EV_*",$U$1081:$U$1086)</f>
        <v>0</v>
      </c>
      <c r="V1087">
        <f>SUMIF($F$1081:$F$1086,"&lt;&gt;EV_*",$V$1081:$V$1086)</f>
        <v>0</v>
      </c>
      <c r="W1087">
        <f>SUMIF($F$1081:$F$1086,"&lt;&gt;EV_*",$W$1081:$W$1086)</f>
        <v>-370.16538643669986</v>
      </c>
      <c r="X1087">
        <f>SUMIF($F$1081:$F$1086,"&lt;&gt;EV_*",$X$1081:$X$1086)</f>
        <v>0</v>
      </c>
    </row>
    <row r="1088" spans="1:24" x14ac:dyDescent="0.25">
      <c r="A1088" t="s">
        <v>1928</v>
      </c>
      <c r="B1088" t="s">
        <v>2030</v>
      </c>
      <c r="C1088" t="s">
        <v>2031</v>
      </c>
      <c r="D1088" t="s">
        <v>157</v>
      </c>
      <c r="E1088" t="s">
        <v>5</v>
      </c>
      <c r="F1088" t="s">
        <v>5</v>
      </c>
      <c r="G1088" t="s">
        <v>683</v>
      </c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</row>
    <row r="1089" spans="1:24" x14ac:dyDescent="0.25">
      <c r="A1089" t="s">
        <v>1928</v>
      </c>
      <c r="B1089" t="s">
        <v>2030</v>
      </c>
      <c r="C1089" t="s">
        <v>2031</v>
      </c>
      <c r="D1089" t="s">
        <v>157</v>
      </c>
      <c r="E1089" t="s">
        <v>11</v>
      </c>
      <c r="F1089" t="s">
        <v>1</v>
      </c>
      <c r="G1089" t="s">
        <v>684</v>
      </c>
      <c r="H1089" t="s">
        <v>411</v>
      </c>
      <c r="I1089" t="s">
        <v>1</v>
      </c>
      <c r="J1089">
        <v>3788.69</v>
      </c>
      <c r="K1089">
        <v>3246.2900000004001</v>
      </c>
      <c r="L1089">
        <v>1585.99</v>
      </c>
      <c r="M1089">
        <v>3198.2671270718233</v>
      </c>
      <c r="N1089">
        <v>3344.6299999999997</v>
      </c>
      <c r="O1089">
        <v>3171.98</v>
      </c>
      <c r="P1089">
        <v>0</v>
      </c>
      <c r="Q1089">
        <f t="shared" ref="Q1089:Q1117" si="215">O1089+P1089</f>
        <v>3171.98</v>
      </c>
      <c r="R1089">
        <v>3198.2671270718233</v>
      </c>
      <c r="S1089">
        <f t="shared" ref="S1089:S1117" si="216">IF(OR(LEFT(E1089,2)="A_",LEFT(D1089,5)="Total"),R1089-Q1089,"")</f>
        <v>26.287127071823306</v>
      </c>
      <c r="T1089"/>
      <c r="U1089">
        <f t="shared" ref="U1089:U1117" si="217">IFERROR(R1089*T1089,R1089*0)</f>
        <v>0</v>
      </c>
      <c r="V1089">
        <f t="shared" ref="V1089:V1117" si="218">IF(OR(LEFT(E1089,2)="A_",LEFT(D1089,5)="Total"),R1089+U1089,"")</f>
        <v>3198.2671270718233</v>
      </c>
      <c r="W1089">
        <f t="shared" ref="W1089:W1117" si="219">IF(OR(LEFT(E1089,2)="A_",LEFT(D1089,5)="Total"),V1089-Q1089,"")</f>
        <v>26.287127071823306</v>
      </c>
      <c r="X1089">
        <v>0</v>
      </c>
    </row>
    <row r="1090" spans="1:24" x14ac:dyDescent="0.25">
      <c r="A1090" t="s">
        <v>1928</v>
      </c>
      <c r="B1090" t="s">
        <v>2030</v>
      </c>
      <c r="C1090" t="s">
        <v>2031</v>
      </c>
      <c r="D1090" t="s">
        <v>157</v>
      </c>
      <c r="E1090" t="s">
        <v>65</v>
      </c>
      <c r="F1090" t="s">
        <v>1</v>
      </c>
      <c r="G1090" t="s">
        <v>684</v>
      </c>
      <c r="H1090" t="s">
        <v>476</v>
      </c>
      <c r="I1090" t="s">
        <v>1</v>
      </c>
      <c r="J1090">
        <v>-1587.56</v>
      </c>
      <c r="K1090"/>
      <c r="L1090">
        <v>-1071.6600000000001</v>
      </c>
      <c r="M1090">
        <v>-2161.0823204419889</v>
      </c>
      <c r="N1090">
        <v>-1624.0700000000002</v>
      </c>
      <c r="O1090">
        <v>-2155.0964835165</v>
      </c>
      <c r="P1090">
        <v>0</v>
      </c>
      <c r="Q1090">
        <f t="shared" si="215"/>
        <v>-2155.0964835165</v>
      </c>
      <c r="R1090">
        <v>0</v>
      </c>
      <c r="S1090">
        <f t="shared" si="216"/>
        <v>2155.0964835165</v>
      </c>
      <c r="T1090"/>
      <c r="U1090">
        <f t="shared" si="217"/>
        <v>0</v>
      </c>
      <c r="V1090">
        <f t="shared" si="218"/>
        <v>0</v>
      </c>
      <c r="W1090">
        <f t="shared" si="219"/>
        <v>2155.0964835165</v>
      </c>
      <c r="X1090">
        <v>0</v>
      </c>
    </row>
    <row r="1091" spans="1:24" x14ac:dyDescent="0.25">
      <c r="A1091" t="s">
        <v>1928</v>
      </c>
      <c r="B1091" t="s">
        <v>2030</v>
      </c>
      <c r="C1091" t="s">
        <v>2031</v>
      </c>
      <c r="D1091" t="s">
        <v>157</v>
      </c>
      <c r="E1091" t="s">
        <v>17</v>
      </c>
      <c r="F1091" t="s">
        <v>1</v>
      </c>
      <c r="G1091" t="s">
        <v>684</v>
      </c>
      <c r="H1091" t="s">
        <v>417</v>
      </c>
      <c r="I1091" t="s">
        <v>1</v>
      </c>
      <c r="J1091">
        <v>-33268.080000000002</v>
      </c>
      <c r="K1091">
        <v>-18690.000000000098</v>
      </c>
      <c r="L1091">
        <v>-14885.09</v>
      </c>
      <c r="M1091">
        <v>-30016.894198895028</v>
      </c>
      <c r="N1091">
        <v>-35551</v>
      </c>
      <c r="O1091">
        <v>-29933.7524175824</v>
      </c>
      <c r="P1091">
        <v>0</v>
      </c>
      <c r="Q1091">
        <f t="shared" si="215"/>
        <v>-29933.7524175824</v>
      </c>
      <c r="R1091">
        <v>-29933.7524175824</v>
      </c>
      <c r="S1091">
        <f t="shared" si="216"/>
        <v>0</v>
      </c>
      <c r="T1091"/>
      <c r="U1091">
        <f t="shared" si="217"/>
        <v>0</v>
      </c>
      <c r="V1091">
        <f t="shared" si="218"/>
        <v>-29933.7524175824</v>
      </c>
      <c r="W1091">
        <f t="shared" si="219"/>
        <v>0</v>
      </c>
      <c r="X1091">
        <v>0</v>
      </c>
    </row>
    <row r="1092" spans="1:24" x14ac:dyDescent="0.25">
      <c r="A1092" t="s">
        <v>1928</v>
      </c>
      <c r="B1092" t="s">
        <v>2030</v>
      </c>
      <c r="C1092" t="s">
        <v>2031</v>
      </c>
      <c r="D1092" t="s">
        <v>157</v>
      </c>
      <c r="E1092" t="s">
        <v>82</v>
      </c>
      <c r="F1092" t="s">
        <v>1</v>
      </c>
      <c r="G1092" t="s">
        <v>684</v>
      </c>
      <c r="H1092" t="s">
        <v>507</v>
      </c>
      <c r="I1092" t="s">
        <v>1</v>
      </c>
      <c r="J1092">
        <v>21827.7</v>
      </c>
      <c r="K1092">
        <v>22231.569632177499</v>
      </c>
      <c r="L1092">
        <v>10124.83</v>
      </c>
      <c r="M1092">
        <v>20417.474861878451</v>
      </c>
      <c r="N1092">
        <v>20409.589999999997</v>
      </c>
      <c r="O1092">
        <v>20360.9218681319</v>
      </c>
      <c r="P1092">
        <v>57</v>
      </c>
      <c r="Q1092">
        <f t="shared" si="215"/>
        <v>20417.9218681319</v>
      </c>
      <c r="R1092">
        <v>20417.474861878451</v>
      </c>
      <c r="S1092">
        <f t="shared" si="216"/>
        <v>-0.44700625344921718</v>
      </c>
      <c r="T1092">
        <v>2.75E-2</v>
      </c>
      <c r="U1092">
        <f t="shared" si="217"/>
        <v>561.4805587016574</v>
      </c>
      <c r="V1092">
        <f t="shared" si="218"/>
        <v>20978.955420580107</v>
      </c>
      <c r="W1092">
        <f t="shared" si="219"/>
        <v>561.03355244820705</v>
      </c>
      <c r="X1092">
        <v>0</v>
      </c>
    </row>
    <row r="1093" spans="1:24" x14ac:dyDescent="0.25">
      <c r="A1093" t="s">
        <v>1928</v>
      </c>
      <c r="B1093" t="s">
        <v>2030</v>
      </c>
      <c r="C1093" t="s">
        <v>2031</v>
      </c>
      <c r="D1093" t="s">
        <v>157</v>
      </c>
      <c r="E1093" t="s">
        <v>72</v>
      </c>
      <c r="F1093" t="s">
        <v>1</v>
      </c>
      <c r="G1093" t="s">
        <v>684</v>
      </c>
      <c r="H1093" t="s">
        <v>489</v>
      </c>
      <c r="I1093" t="s">
        <v>1</v>
      </c>
      <c r="J1093">
        <v>42529.45</v>
      </c>
      <c r="K1093">
        <v>54009.937304593601</v>
      </c>
      <c r="L1093">
        <v>18459.650000000001</v>
      </c>
      <c r="M1093">
        <v>37225.261049723755</v>
      </c>
      <c r="N1093">
        <v>32584.58</v>
      </c>
      <c r="O1093">
        <v>37122.153296703298</v>
      </c>
      <c r="P1093">
        <v>103</v>
      </c>
      <c r="Q1093">
        <f t="shared" si="215"/>
        <v>37225.153296703298</v>
      </c>
      <c r="R1093">
        <v>37225.261049723755</v>
      </c>
      <c r="S1093">
        <f t="shared" si="216"/>
        <v>0.10775302045658464</v>
      </c>
      <c r="T1093">
        <v>2.2499999999999999E-2</v>
      </c>
      <c r="U1093">
        <f t="shared" si="217"/>
        <v>837.56837361878445</v>
      </c>
      <c r="V1093">
        <f t="shared" si="218"/>
        <v>38062.82942334254</v>
      </c>
      <c r="W1093">
        <f t="shared" si="219"/>
        <v>837.67612663924228</v>
      </c>
      <c r="X1093">
        <v>0</v>
      </c>
    </row>
    <row r="1094" spans="1:24" x14ac:dyDescent="0.25">
      <c r="A1094" t="s">
        <v>1928</v>
      </c>
      <c r="B1094" t="s">
        <v>2030</v>
      </c>
      <c r="C1094" t="s">
        <v>2031</v>
      </c>
      <c r="D1094" t="s">
        <v>157</v>
      </c>
      <c r="E1094" t="s">
        <v>118</v>
      </c>
      <c r="F1094" t="s">
        <v>1</v>
      </c>
      <c r="G1094" t="s">
        <v>684</v>
      </c>
      <c r="H1094" t="s">
        <v>587</v>
      </c>
      <c r="I1094" t="s">
        <v>1</v>
      </c>
      <c r="J1094">
        <v>1637.93</v>
      </c>
      <c r="K1094">
        <v>1725.9160048034</v>
      </c>
      <c r="L1094">
        <v>879.99</v>
      </c>
      <c r="M1094">
        <v>1774.5654696132597</v>
      </c>
      <c r="N1094">
        <v>2058.92</v>
      </c>
      <c r="O1094">
        <v>1769.6502197801999</v>
      </c>
      <c r="P1094">
        <v>5</v>
      </c>
      <c r="Q1094">
        <f t="shared" si="215"/>
        <v>1774.6502197801999</v>
      </c>
      <c r="R1094">
        <v>1774.5654696132597</v>
      </c>
      <c r="S1094">
        <f t="shared" si="216"/>
        <v>-8.4750166940239069E-2</v>
      </c>
      <c r="T1094">
        <v>3.2500000000000001E-2</v>
      </c>
      <c r="U1094">
        <f t="shared" si="217"/>
        <v>57.673377762430938</v>
      </c>
      <c r="V1094">
        <f t="shared" si="218"/>
        <v>1832.2388473756905</v>
      </c>
      <c r="W1094">
        <f t="shared" si="219"/>
        <v>57.588627595490607</v>
      </c>
      <c r="X1094">
        <v>0</v>
      </c>
    </row>
    <row r="1095" spans="1:24" x14ac:dyDescent="0.25">
      <c r="A1095" t="s">
        <v>1928</v>
      </c>
      <c r="B1095" t="s">
        <v>2030</v>
      </c>
      <c r="C1095" t="s">
        <v>2031</v>
      </c>
      <c r="D1095" t="s">
        <v>157</v>
      </c>
      <c r="E1095" t="s">
        <v>18</v>
      </c>
      <c r="F1095" t="s">
        <v>1</v>
      </c>
      <c r="G1095" t="s">
        <v>684</v>
      </c>
      <c r="H1095" t="s">
        <v>418</v>
      </c>
      <c r="I1095" t="s">
        <v>1</v>
      </c>
      <c r="J1095">
        <v>601644.43000000005</v>
      </c>
      <c r="K1095">
        <v>686854.11839044804</v>
      </c>
      <c r="L1095">
        <v>235773.59</v>
      </c>
      <c r="M1095">
        <v>475455.02955801104</v>
      </c>
      <c r="N1095">
        <v>501679.71</v>
      </c>
      <c r="O1095">
        <v>474138.09857142897</v>
      </c>
      <c r="P1095">
        <v>1317</v>
      </c>
      <c r="Q1095">
        <f t="shared" si="215"/>
        <v>475455.09857142897</v>
      </c>
      <c r="R1095">
        <v>475455.02955801104</v>
      </c>
      <c r="S1095">
        <f t="shared" si="216"/>
        <v>-6.901341793127358E-2</v>
      </c>
      <c r="T1095">
        <v>0.02</v>
      </c>
      <c r="U1095">
        <f t="shared" si="217"/>
        <v>9509.1005911602206</v>
      </c>
      <c r="V1095">
        <f t="shared" si="218"/>
        <v>484964.13014917128</v>
      </c>
      <c r="W1095">
        <f t="shared" si="219"/>
        <v>9509.0315777423093</v>
      </c>
      <c r="X1095">
        <v>0</v>
      </c>
    </row>
    <row r="1096" spans="1:24" x14ac:dyDescent="0.25">
      <c r="A1096" t="s">
        <v>1928</v>
      </c>
      <c r="B1096" t="s">
        <v>2030</v>
      </c>
      <c r="C1096" t="s">
        <v>2031</v>
      </c>
      <c r="D1096" t="s">
        <v>157</v>
      </c>
      <c r="E1096" t="s">
        <v>57</v>
      </c>
      <c r="F1096" t="s">
        <v>1</v>
      </c>
      <c r="G1096" t="s">
        <v>684</v>
      </c>
      <c r="H1096" t="s">
        <v>462</v>
      </c>
      <c r="I1096" t="s">
        <v>1</v>
      </c>
      <c r="J1096">
        <v>3020.26</v>
      </c>
      <c r="K1096">
        <v>3656.5165267491002</v>
      </c>
      <c r="L1096">
        <v>1360.11</v>
      </c>
      <c r="M1096">
        <v>2742.7632596685085</v>
      </c>
      <c r="N1096">
        <v>2647.5699999999997</v>
      </c>
      <c r="O1096">
        <v>2735.1662637363002</v>
      </c>
      <c r="P1096">
        <v>8</v>
      </c>
      <c r="Q1096">
        <f t="shared" si="215"/>
        <v>2743.1662637363002</v>
      </c>
      <c r="R1096">
        <v>2742.7632596685085</v>
      </c>
      <c r="S1096">
        <f t="shared" si="216"/>
        <v>-0.40300406779169862</v>
      </c>
      <c r="T1096">
        <v>0.04</v>
      </c>
      <c r="U1096">
        <f t="shared" si="217"/>
        <v>109.71053038674034</v>
      </c>
      <c r="V1096">
        <f t="shared" si="218"/>
        <v>2852.4737900552486</v>
      </c>
      <c r="W1096">
        <f t="shared" si="219"/>
        <v>109.30752631894848</v>
      </c>
      <c r="X1096">
        <v>0</v>
      </c>
    </row>
    <row r="1097" spans="1:24" x14ac:dyDescent="0.25">
      <c r="A1097" t="s">
        <v>1928</v>
      </c>
      <c r="B1097" t="s">
        <v>2030</v>
      </c>
      <c r="C1097" t="s">
        <v>2031</v>
      </c>
      <c r="D1097" t="s">
        <v>157</v>
      </c>
      <c r="E1097" t="s">
        <v>19</v>
      </c>
      <c r="F1097" t="s">
        <v>1</v>
      </c>
      <c r="G1097" t="s">
        <v>684</v>
      </c>
      <c r="H1097" t="s">
        <v>419</v>
      </c>
      <c r="I1097" t="s">
        <v>1</v>
      </c>
      <c r="J1097">
        <v>6545.08</v>
      </c>
      <c r="K1097">
        <v>8365.6757189465006</v>
      </c>
      <c r="L1097">
        <v>-317.02</v>
      </c>
      <c r="M1097">
        <v>-639.29447513812158</v>
      </c>
      <c r="N1097">
        <v>3480.7200000000003</v>
      </c>
      <c r="O1097">
        <v>-637.52373626370002</v>
      </c>
      <c r="P1097">
        <v>-2</v>
      </c>
      <c r="Q1097">
        <f t="shared" si="215"/>
        <v>-639.52373626370002</v>
      </c>
      <c r="R1097">
        <v>-639.29447513812158</v>
      </c>
      <c r="S1097">
        <f t="shared" si="216"/>
        <v>0.22926112557843226</v>
      </c>
      <c r="T1097">
        <v>0.02</v>
      </c>
      <c r="U1097">
        <f t="shared" si="217"/>
        <v>-12.785889502762432</v>
      </c>
      <c r="V1097">
        <f t="shared" si="218"/>
        <v>-652.080364640884</v>
      </c>
      <c r="W1097">
        <f t="shared" si="219"/>
        <v>-12.556628377183984</v>
      </c>
      <c r="X1097">
        <v>0</v>
      </c>
    </row>
    <row r="1098" spans="1:24" x14ac:dyDescent="0.25">
      <c r="A1098" t="s">
        <v>1928</v>
      </c>
      <c r="B1098" t="s">
        <v>2030</v>
      </c>
      <c r="C1098" t="s">
        <v>2031</v>
      </c>
      <c r="D1098" t="s">
        <v>157</v>
      </c>
      <c r="E1098" t="s">
        <v>74</v>
      </c>
      <c r="F1098" t="s">
        <v>1</v>
      </c>
      <c r="G1098" t="s">
        <v>684</v>
      </c>
      <c r="H1098" t="s">
        <v>491</v>
      </c>
      <c r="I1098" t="s">
        <v>1</v>
      </c>
      <c r="J1098">
        <v>110905.31</v>
      </c>
      <c r="K1098">
        <v>126272.25447519901</v>
      </c>
      <c r="L1098">
        <v>46433.17</v>
      </c>
      <c r="M1098">
        <v>93635.950552486174</v>
      </c>
      <c r="N1098">
        <v>99375.76</v>
      </c>
      <c r="O1098">
        <v>93376.594615384602</v>
      </c>
      <c r="P1098">
        <v>259</v>
      </c>
      <c r="Q1098">
        <f t="shared" si="215"/>
        <v>93635.594615384602</v>
      </c>
      <c r="R1098">
        <v>93635.950552486174</v>
      </c>
      <c r="S1098">
        <f t="shared" si="216"/>
        <v>0.35593710157263558</v>
      </c>
      <c r="T1098">
        <v>3.5000000000000003E-2</v>
      </c>
      <c r="U1098">
        <f t="shared" si="217"/>
        <v>3277.2582693370164</v>
      </c>
      <c r="V1098">
        <f t="shared" si="218"/>
        <v>96913.208821823195</v>
      </c>
      <c r="W1098">
        <f t="shared" si="219"/>
        <v>3277.6142064385931</v>
      </c>
      <c r="X1098">
        <v>0</v>
      </c>
    </row>
    <row r="1099" spans="1:24" x14ac:dyDescent="0.25">
      <c r="A1099" t="s">
        <v>1928</v>
      </c>
      <c r="B1099" t="s">
        <v>2030</v>
      </c>
      <c r="C1099" t="s">
        <v>2031</v>
      </c>
      <c r="D1099" t="s">
        <v>157</v>
      </c>
      <c r="E1099" t="s">
        <v>85</v>
      </c>
      <c r="F1099" t="s">
        <v>1</v>
      </c>
      <c r="G1099" t="s">
        <v>684</v>
      </c>
      <c r="H1099" t="s">
        <v>510</v>
      </c>
      <c r="I1099" t="s">
        <v>1</v>
      </c>
      <c r="J1099">
        <v>7215.92</v>
      </c>
      <c r="K1099">
        <v>9054.8945030810992</v>
      </c>
      <c r="L1099">
        <v>964.5</v>
      </c>
      <c r="M1099">
        <v>1944.9861878453039</v>
      </c>
      <c r="N1099">
        <v>4016.9599999999996</v>
      </c>
      <c r="O1099">
        <v>1939.5989010988999</v>
      </c>
      <c r="P1099">
        <v>5</v>
      </c>
      <c r="Q1099">
        <f t="shared" si="215"/>
        <v>1944.5989010988999</v>
      </c>
      <c r="R1099">
        <v>1944.9861878453039</v>
      </c>
      <c r="S1099">
        <f t="shared" si="216"/>
        <v>0.3872867464040155</v>
      </c>
      <c r="T1099">
        <v>0.02</v>
      </c>
      <c r="U1099">
        <f t="shared" si="217"/>
        <v>38.899723756906077</v>
      </c>
      <c r="V1099">
        <f t="shared" si="218"/>
        <v>1983.8859116022099</v>
      </c>
      <c r="W1099">
        <f t="shared" si="219"/>
        <v>39.287010503310057</v>
      </c>
      <c r="X1099">
        <v>0</v>
      </c>
    </row>
    <row r="1100" spans="1:24" x14ac:dyDescent="0.25">
      <c r="A1100" t="s">
        <v>1928</v>
      </c>
      <c r="B1100" t="s">
        <v>2030</v>
      </c>
      <c r="C1100" t="s">
        <v>2031</v>
      </c>
      <c r="D1100" t="s">
        <v>157</v>
      </c>
      <c r="E1100" t="s">
        <v>119</v>
      </c>
      <c r="F1100" t="s">
        <v>1</v>
      </c>
      <c r="G1100" t="s">
        <v>684</v>
      </c>
      <c r="H1100" t="s">
        <v>588</v>
      </c>
      <c r="I1100" t="s">
        <v>1</v>
      </c>
      <c r="J1100">
        <v>176286.84</v>
      </c>
      <c r="K1100">
        <v>241510.274971148</v>
      </c>
      <c r="L1100">
        <v>24975.88</v>
      </c>
      <c r="M1100">
        <v>50365.724861878458</v>
      </c>
      <c r="N1100">
        <v>92048.909999999989</v>
      </c>
      <c r="O1100">
        <v>50226.220219780203</v>
      </c>
      <c r="P1100">
        <v>140</v>
      </c>
      <c r="Q1100">
        <f t="shared" si="215"/>
        <v>50366.220219780203</v>
      </c>
      <c r="R1100">
        <v>50365.724861878458</v>
      </c>
      <c r="S1100">
        <f t="shared" si="216"/>
        <v>-0.49535790174559224</v>
      </c>
      <c r="T1100">
        <v>1.4999999999999999E-2</v>
      </c>
      <c r="U1100">
        <f t="shared" si="217"/>
        <v>755.48587292817683</v>
      </c>
      <c r="V1100">
        <f t="shared" si="218"/>
        <v>51121.210734806635</v>
      </c>
      <c r="W1100">
        <f t="shared" si="219"/>
        <v>754.99051502643124</v>
      </c>
      <c r="X1100">
        <v>0</v>
      </c>
    </row>
    <row r="1101" spans="1:24" x14ac:dyDescent="0.25">
      <c r="A1101" t="s">
        <v>1928</v>
      </c>
      <c r="B1101" t="s">
        <v>2030</v>
      </c>
      <c r="C1101" t="s">
        <v>2031</v>
      </c>
      <c r="D1101" t="s">
        <v>157</v>
      </c>
      <c r="E1101" t="s">
        <v>136</v>
      </c>
      <c r="F1101" t="s">
        <v>1</v>
      </c>
      <c r="G1101" t="s">
        <v>684</v>
      </c>
      <c r="H1101" t="s">
        <v>627</v>
      </c>
      <c r="I1101" t="s">
        <v>1</v>
      </c>
      <c r="J1101">
        <v>14950.45</v>
      </c>
      <c r="K1101">
        <v>17056.649848129098</v>
      </c>
      <c r="L1101">
        <v>3069.39</v>
      </c>
      <c r="M1101">
        <v>6189.6538674033154</v>
      </c>
      <c r="N1101">
        <v>14000.499999999998</v>
      </c>
      <c r="O1101">
        <v>6172.5095604396001</v>
      </c>
      <c r="P1101">
        <v>17</v>
      </c>
      <c r="Q1101">
        <f t="shared" si="215"/>
        <v>6189.5095604396001</v>
      </c>
      <c r="R1101">
        <v>6189.6538674033154</v>
      </c>
      <c r="S1101">
        <f t="shared" si="216"/>
        <v>0.14430696371528029</v>
      </c>
      <c r="T1101">
        <v>0.03</v>
      </c>
      <c r="U1101">
        <f t="shared" si="217"/>
        <v>185.68961602209944</v>
      </c>
      <c r="V1101">
        <f t="shared" si="218"/>
        <v>6375.3434834254149</v>
      </c>
      <c r="W1101">
        <f t="shared" si="219"/>
        <v>185.83392298581475</v>
      </c>
      <c r="X1101">
        <v>0</v>
      </c>
    </row>
    <row r="1102" spans="1:24" x14ac:dyDescent="0.25">
      <c r="A1102" t="s">
        <v>1928</v>
      </c>
      <c r="B1102" t="s">
        <v>2030</v>
      </c>
      <c r="C1102" t="s">
        <v>2031</v>
      </c>
      <c r="D1102" t="s">
        <v>157</v>
      </c>
      <c r="E1102" t="s">
        <v>120</v>
      </c>
      <c r="F1102" t="s">
        <v>1</v>
      </c>
      <c r="G1102" t="s">
        <v>684</v>
      </c>
      <c r="H1102" t="s">
        <v>589</v>
      </c>
      <c r="I1102" t="s">
        <v>1</v>
      </c>
      <c r="J1102">
        <v>169015.78</v>
      </c>
      <c r="K1102">
        <v>195139.96985736501</v>
      </c>
      <c r="L1102">
        <v>61946.27</v>
      </c>
      <c r="M1102">
        <v>124919.27375690607</v>
      </c>
      <c r="N1102">
        <v>155255.82</v>
      </c>
      <c r="O1102">
        <v>124573.26824175801</v>
      </c>
      <c r="P1102">
        <v>346</v>
      </c>
      <c r="Q1102">
        <f t="shared" si="215"/>
        <v>124919.26824175801</v>
      </c>
      <c r="R1102">
        <v>124919.27375690607</v>
      </c>
      <c r="S1102">
        <f t="shared" si="216"/>
        <v>5.5151480628410354E-3</v>
      </c>
      <c r="T1102">
        <v>3.5000000000000003E-2</v>
      </c>
      <c r="U1102">
        <f t="shared" si="217"/>
        <v>4372.1745814917131</v>
      </c>
      <c r="V1102">
        <f t="shared" si="218"/>
        <v>129291.44833839778</v>
      </c>
      <c r="W1102">
        <f t="shared" si="219"/>
        <v>4372.1800966397714</v>
      </c>
      <c r="X1102">
        <v>0</v>
      </c>
    </row>
    <row r="1103" spans="1:24" x14ac:dyDescent="0.25">
      <c r="A1103" t="s">
        <v>1928</v>
      </c>
      <c r="B1103" t="s">
        <v>2030</v>
      </c>
      <c r="C1103" t="s">
        <v>2031</v>
      </c>
      <c r="D1103" t="s">
        <v>157</v>
      </c>
      <c r="E1103" t="s">
        <v>20</v>
      </c>
      <c r="F1103" t="s">
        <v>1</v>
      </c>
      <c r="G1103" t="s">
        <v>684</v>
      </c>
      <c r="H1103" t="s">
        <v>420</v>
      </c>
      <c r="I1103" t="s">
        <v>1</v>
      </c>
      <c r="J1103">
        <v>149382.82999999999</v>
      </c>
      <c r="K1103">
        <v>153948.30763595301</v>
      </c>
      <c r="L1103">
        <v>71767.399999999994</v>
      </c>
      <c r="M1103">
        <v>144724.31491712705</v>
      </c>
      <c r="N1103">
        <v>156417.39000000001</v>
      </c>
      <c r="O1103">
        <v>144323.452747253</v>
      </c>
      <c r="P1103">
        <v>401</v>
      </c>
      <c r="Q1103">
        <f t="shared" si="215"/>
        <v>144724.452747253</v>
      </c>
      <c r="R1103">
        <v>144724.31491712705</v>
      </c>
      <c r="S1103">
        <f t="shared" si="216"/>
        <v>-0.13783012595376931</v>
      </c>
      <c r="T1103">
        <v>0.04</v>
      </c>
      <c r="U1103">
        <f t="shared" si="217"/>
        <v>5788.972596685082</v>
      </c>
      <c r="V1103">
        <f t="shared" si="218"/>
        <v>150513.28751381213</v>
      </c>
      <c r="W1103">
        <f t="shared" si="219"/>
        <v>5788.8347665591282</v>
      </c>
      <c r="X1103">
        <v>0</v>
      </c>
    </row>
    <row r="1104" spans="1:24" x14ac:dyDescent="0.25">
      <c r="A1104" t="s">
        <v>1928</v>
      </c>
      <c r="B1104" t="s">
        <v>2030</v>
      </c>
      <c r="C1104" t="s">
        <v>2031</v>
      </c>
      <c r="D1104" t="s">
        <v>157</v>
      </c>
      <c r="E1104" t="s">
        <v>21</v>
      </c>
      <c r="F1104" t="s">
        <v>1</v>
      </c>
      <c r="G1104" t="s">
        <v>684</v>
      </c>
      <c r="H1104" t="s">
        <v>421</v>
      </c>
      <c r="I1104" t="s">
        <v>1</v>
      </c>
      <c r="J1104">
        <v>5379.09</v>
      </c>
      <c r="K1104">
        <v>5419.3100000001004</v>
      </c>
      <c r="L1104">
        <v>2513.04</v>
      </c>
      <c r="M1104">
        <v>5067.7325966850831</v>
      </c>
      <c r="N1104">
        <v>5127.78</v>
      </c>
      <c r="O1104">
        <v>5067.7325966851004</v>
      </c>
      <c r="P1104">
        <v>0</v>
      </c>
      <c r="Q1104">
        <f t="shared" si="215"/>
        <v>5067.7325966851004</v>
      </c>
      <c r="R1104">
        <v>5067.7325966850831</v>
      </c>
      <c r="S1104">
        <f t="shared" si="216"/>
        <v>-1.7280399333685637E-11</v>
      </c>
      <c r="T1104">
        <v>0.03</v>
      </c>
      <c r="U1104">
        <f t="shared" si="217"/>
        <v>152.03197790055248</v>
      </c>
      <c r="V1104">
        <f t="shared" si="218"/>
        <v>5219.7645745856353</v>
      </c>
      <c r="W1104">
        <f t="shared" si="219"/>
        <v>152.03197790053491</v>
      </c>
      <c r="X1104">
        <v>0</v>
      </c>
    </row>
    <row r="1105" spans="1:24" x14ac:dyDescent="0.25">
      <c r="A1105" t="s">
        <v>1928</v>
      </c>
      <c r="B1105" t="s">
        <v>2030</v>
      </c>
      <c r="C1105" t="s">
        <v>2031</v>
      </c>
      <c r="D1105" t="s">
        <v>157</v>
      </c>
      <c r="E1105" t="s">
        <v>22</v>
      </c>
      <c r="F1105" t="s">
        <v>1</v>
      </c>
      <c r="G1105" t="s">
        <v>684</v>
      </c>
      <c r="H1105" t="s">
        <v>422</v>
      </c>
      <c r="I1105" t="s">
        <v>1</v>
      </c>
      <c r="J1105">
        <v>8740.85</v>
      </c>
      <c r="K1105">
        <v>8342.0999999999003</v>
      </c>
      <c r="L1105">
        <v>3269.53</v>
      </c>
      <c r="M1105">
        <v>6593.2511049723762</v>
      </c>
      <c r="N1105">
        <v>7978.33</v>
      </c>
      <c r="O1105">
        <v>6593.2511049723998</v>
      </c>
      <c r="P1105">
        <v>0</v>
      </c>
      <c r="Q1105">
        <f t="shared" si="215"/>
        <v>6593.2511049723998</v>
      </c>
      <c r="R1105">
        <v>6593.2511049723762</v>
      </c>
      <c r="S1105">
        <f t="shared" si="216"/>
        <v>-2.3646862246096134E-11</v>
      </c>
      <c r="T1105">
        <v>3.5000000000000003E-2</v>
      </c>
      <c r="U1105">
        <f t="shared" si="217"/>
        <v>230.76378867403318</v>
      </c>
      <c r="V1105">
        <f t="shared" si="218"/>
        <v>6824.0148936464093</v>
      </c>
      <c r="W1105">
        <f t="shared" si="219"/>
        <v>230.76378867400945</v>
      </c>
      <c r="X1105">
        <v>0</v>
      </c>
    </row>
    <row r="1106" spans="1:24" x14ac:dyDescent="0.25">
      <c r="A1106" t="s">
        <v>1928</v>
      </c>
      <c r="B1106" t="s">
        <v>2030</v>
      </c>
      <c r="C1106" t="s">
        <v>2031</v>
      </c>
      <c r="D1106" t="s">
        <v>157</v>
      </c>
      <c r="E1106" t="s">
        <v>23</v>
      </c>
      <c r="F1106" t="s">
        <v>1</v>
      </c>
      <c r="G1106" t="s">
        <v>684</v>
      </c>
      <c r="H1106" t="s">
        <v>423</v>
      </c>
      <c r="I1106" t="s">
        <v>1</v>
      </c>
      <c r="J1106">
        <v>7760.9</v>
      </c>
      <c r="K1106">
        <v>12223.35</v>
      </c>
      <c r="L1106">
        <v>3522.28</v>
      </c>
      <c r="M1106">
        <v>7102.9403314917126</v>
      </c>
      <c r="N1106">
        <v>5378.0800000000008</v>
      </c>
      <c r="O1106">
        <v>7102.9403314916999</v>
      </c>
      <c r="P1106">
        <v>0</v>
      </c>
      <c r="Q1106">
        <f t="shared" si="215"/>
        <v>7102.9403314916999</v>
      </c>
      <c r="R1106">
        <v>7102.9403314917126</v>
      </c>
      <c r="S1106">
        <f t="shared" si="216"/>
        <v>1.2732925824820995E-11</v>
      </c>
      <c r="T1106">
        <v>3.5000000000000003E-2</v>
      </c>
      <c r="U1106">
        <f t="shared" si="217"/>
        <v>248.60291160220996</v>
      </c>
      <c r="V1106">
        <f t="shared" si="218"/>
        <v>7351.5432430939227</v>
      </c>
      <c r="W1106">
        <f t="shared" si="219"/>
        <v>248.60291160222278</v>
      </c>
      <c r="X1106">
        <v>0</v>
      </c>
    </row>
    <row r="1107" spans="1:24" x14ac:dyDescent="0.25">
      <c r="A1107" t="s">
        <v>1928</v>
      </c>
      <c r="B1107" t="s">
        <v>2030</v>
      </c>
      <c r="C1107" t="s">
        <v>2031</v>
      </c>
      <c r="D1107" t="s">
        <v>157</v>
      </c>
      <c r="E1107" t="s">
        <v>26</v>
      </c>
      <c r="F1107" t="s">
        <v>1</v>
      </c>
      <c r="G1107" t="s">
        <v>684</v>
      </c>
      <c r="H1107" t="s">
        <v>426</v>
      </c>
      <c r="I1107" t="s">
        <v>1</v>
      </c>
      <c r="J1107"/>
      <c r="K1107">
        <v>981.23836829519996</v>
      </c>
      <c r="L1107">
        <v>0</v>
      </c>
      <c r="M1107">
        <v>0</v>
      </c>
      <c r="N1107">
        <v>0</v>
      </c>
      <c r="O1107"/>
      <c r="P1107">
        <v>1000</v>
      </c>
      <c r="Q1107">
        <f t="shared" si="215"/>
        <v>1000</v>
      </c>
      <c r="R1107">
        <v>1000</v>
      </c>
      <c r="S1107">
        <f t="shared" si="216"/>
        <v>0</v>
      </c>
      <c r="T1107"/>
      <c r="U1107">
        <f t="shared" si="217"/>
        <v>0</v>
      </c>
      <c r="V1107">
        <f t="shared" si="218"/>
        <v>1000</v>
      </c>
      <c r="W1107">
        <f t="shared" si="219"/>
        <v>0</v>
      </c>
      <c r="X1107" t="s">
        <v>1460</v>
      </c>
    </row>
    <row r="1108" spans="1:24" x14ac:dyDescent="0.25">
      <c r="A1108" t="s">
        <v>1928</v>
      </c>
      <c r="B1108" t="s">
        <v>2030</v>
      </c>
      <c r="C1108" t="s">
        <v>2031</v>
      </c>
      <c r="D1108" t="s">
        <v>157</v>
      </c>
      <c r="E1108" t="s">
        <v>27</v>
      </c>
      <c r="F1108" t="s">
        <v>1</v>
      </c>
      <c r="G1108" t="s">
        <v>684</v>
      </c>
      <c r="H1108" t="s">
        <v>427</v>
      </c>
      <c r="I1108" t="s">
        <v>1</v>
      </c>
      <c r="J1108">
        <v>799.5</v>
      </c>
      <c r="K1108"/>
      <c r="L1108">
        <v>0</v>
      </c>
      <c r="M1108">
        <v>0</v>
      </c>
      <c r="N1108">
        <v>0</v>
      </c>
      <c r="O1108"/>
      <c r="P1108">
        <v>0</v>
      </c>
      <c r="Q1108">
        <f t="shared" si="215"/>
        <v>0</v>
      </c>
      <c r="R1108">
        <v>0</v>
      </c>
      <c r="S1108">
        <f t="shared" si="216"/>
        <v>0</v>
      </c>
      <c r="T1108"/>
      <c r="U1108">
        <f t="shared" si="217"/>
        <v>0</v>
      </c>
      <c r="V1108">
        <f t="shared" si="218"/>
        <v>0</v>
      </c>
      <c r="W1108">
        <f t="shared" si="219"/>
        <v>0</v>
      </c>
      <c r="X1108">
        <v>0</v>
      </c>
    </row>
    <row r="1109" spans="1:24" x14ac:dyDescent="0.25">
      <c r="A1109" t="s">
        <v>1928</v>
      </c>
      <c r="B1109" t="s">
        <v>2030</v>
      </c>
      <c r="C1109" t="s">
        <v>2031</v>
      </c>
      <c r="D1109" t="s">
        <v>157</v>
      </c>
      <c r="E1109" t="s">
        <v>28</v>
      </c>
      <c r="F1109" t="s">
        <v>1</v>
      </c>
      <c r="G1109" t="s">
        <v>684</v>
      </c>
      <c r="H1109" t="s">
        <v>428</v>
      </c>
      <c r="I1109" t="s">
        <v>1</v>
      </c>
      <c r="J1109">
        <v>23530.47</v>
      </c>
      <c r="K1109">
        <v>23799.9999999996</v>
      </c>
      <c r="L1109">
        <v>12657.32</v>
      </c>
      <c r="M1109">
        <v>25524.429834254144</v>
      </c>
      <c r="N1109">
        <v>23914.690000000002</v>
      </c>
      <c r="O1109">
        <v>25314.639999999999</v>
      </c>
      <c r="P1109">
        <v>210</v>
      </c>
      <c r="Q1109">
        <f t="shared" si="215"/>
        <v>25524.639999999999</v>
      </c>
      <c r="R1109">
        <v>25524.429834254144</v>
      </c>
      <c r="S1109">
        <f t="shared" si="216"/>
        <v>-0.21016574585519265</v>
      </c>
      <c r="T1109"/>
      <c r="U1109">
        <f t="shared" si="217"/>
        <v>0</v>
      </c>
      <c r="V1109">
        <f t="shared" si="218"/>
        <v>25524.429834254144</v>
      </c>
      <c r="W1109">
        <f t="shared" si="219"/>
        <v>-0.21016574585519265</v>
      </c>
      <c r="X1109">
        <v>0</v>
      </c>
    </row>
    <row r="1110" spans="1:24" x14ac:dyDescent="0.25">
      <c r="A1110" t="s">
        <v>1928</v>
      </c>
      <c r="B1110" t="s">
        <v>2030</v>
      </c>
      <c r="C1110" t="s">
        <v>2031</v>
      </c>
      <c r="D1110" t="s">
        <v>157</v>
      </c>
      <c r="E1110" t="s">
        <v>29</v>
      </c>
      <c r="F1110" t="s">
        <v>1</v>
      </c>
      <c r="G1110" t="s">
        <v>684</v>
      </c>
      <c r="H1110" t="s">
        <v>429</v>
      </c>
      <c r="I1110" t="s">
        <v>1</v>
      </c>
      <c r="J1110">
        <v>67.5</v>
      </c>
      <c r="K1110"/>
      <c r="L1110">
        <v>0</v>
      </c>
      <c r="M1110">
        <v>0</v>
      </c>
      <c r="N1110">
        <v>67.5</v>
      </c>
      <c r="O1110"/>
      <c r="P1110">
        <v>3500</v>
      </c>
      <c r="Q1110">
        <f t="shared" si="215"/>
        <v>3500</v>
      </c>
      <c r="R1110">
        <v>3500</v>
      </c>
      <c r="S1110">
        <f t="shared" si="216"/>
        <v>0</v>
      </c>
      <c r="T1110"/>
      <c r="U1110">
        <f t="shared" si="217"/>
        <v>0</v>
      </c>
      <c r="V1110">
        <f t="shared" si="218"/>
        <v>3500</v>
      </c>
      <c r="W1110">
        <f t="shared" si="219"/>
        <v>0</v>
      </c>
      <c r="X1110" t="s">
        <v>1498</v>
      </c>
    </row>
    <row r="1111" spans="1:24" x14ac:dyDescent="0.25">
      <c r="A1111" t="s">
        <v>1928</v>
      </c>
      <c r="B1111" t="s">
        <v>2030</v>
      </c>
      <c r="C1111" t="s">
        <v>2031</v>
      </c>
      <c r="D1111" t="s">
        <v>157</v>
      </c>
      <c r="E1111" t="s">
        <v>37</v>
      </c>
      <c r="F1111" t="s">
        <v>1</v>
      </c>
      <c r="G1111" t="s">
        <v>684</v>
      </c>
      <c r="H1111" t="s">
        <v>437</v>
      </c>
      <c r="I1111" t="s">
        <v>1</v>
      </c>
      <c r="J1111"/>
      <c r="K1111">
        <v>1471.8575524416001</v>
      </c>
      <c r="L1111">
        <v>0</v>
      </c>
      <c r="M1111">
        <v>0</v>
      </c>
      <c r="N1111">
        <v>0</v>
      </c>
      <c r="O1111"/>
      <c r="P1111">
        <v>1500</v>
      </c>
      <c r="Q1111">
        <f t="shared" si="215"/>
        <v>1500</v>
      </c>
      <c r="R1111">
        <v>1500</v>
      </c>
      <c r="S1111">
        <f t="shared" si="216"/>
        <v>0</v>
      </c>
      <c r="T1111"/>
      <c r="U1111">
        <f t="shared" si="217"/>
        <v>0</v>
      </c>
      <c r="V1111">
        <f t="shared" si="218"/>
        <v>1500</v>
      </c>
      <c r="W1111">
        <f t="shared" si="219"/>
        <v>0</v>
      </c>
      <c r="X1111" t="s">
        <v>1423</v>
      </c>
    </row>
    <row r="1112" spans="1:24" x14ac:dyDescent="0.25">
      <c r="A1112" t="s">
        <v>1928</v>
      </c>
      <c r="B1112" t="s">
        <v>2030</v>
      </c>
      <c r="C1112" t="s">
        <v>2031</v>
      </c>
      <c r="D1112" t="s">
        <v>157</v>
      </c>
      <c r="E1112" t="s">
        <v>121</v>
      </c>
      <c r="F1112" t="s">
        <v>1</v>
      </c>
      <c r="G1112" t="s">
        <v>684</v>
      </c>
      <c r="H1112" t="s">
        <v>590</v>
      </c>
      <c r="I1112" t="s">
        <v>1</v>
      </c>
      <c r="J1112"/>
      <c r="K1112">
        <v>84475.243423767606</v>
      </c>
      <c r="L1112">
        <v>0</v>
      </c>
      <c r="M1112">
        <v>0</v>
      </c>
      <c r="N1112">
        <v>0</v>
      </c>
      <c r="O1112"/>
      <c r="P1112">
        <v>0</v>
      </c>
      <c r="Q1112">
        <f t="shared" si="215"/>
        <v>0</v>
      </c>
      <c r="R1112">
        <v>0</v>
      </c>
      <c r="S1112">
        <f t="shared" si="216"/>
        <v>0</v>
      </c>
      <c r="T1112"/>
      <c r="U1112">
        <f t="shared" si="217"/>
        <v>0</v>
      </c>
      <c r="V1112">
        <f t="shared" si="218"/>
        <v>0</v>
      </c>
      <c r="W1112">
        <f t="shared" si="219"/>
        <v>0</v>
      </c>
      <c r="X1112">
        <v>0</v>
      </c>
    </row>
    <row r="1113" spans="1:24" x14ac:dyDescent="0.25">
      <c r="A1113" t="s">
        <v>1928</v>
      </c>
      <c r="B1113" t="s">
        <v>2030</v>
      </c>
      <c r="C1113" t="s">
        <v>2031</v>
      </c>
      <c r="D1113" t="s">
        <v>157</v>
      </c>
      <c r="E1113" t="s">
        <v>41</v>
      </c>
      <c r="F1113" t="s">
        <v>1</v>
      </c>
      <c r="G1113" t="s">
        <v>684</v>
      </c>
      <c r="H1113" t="s">
        <v>441</v>
      </c>
      <c r="I1113" t="s">
        <v>1</v>
      </c>
      <c r="J1113">
        <v>7343.22</v>
      </c>
      <c r="K1113">
        <v>4892.8299999995997</v>
      </c>
      <c r="L1113">
        <v>2482.25</v>
      </c>
      <c r="M1113">
        <v>5005.6422651933699</v>
      </c>
      <c r="N1113">
        <v>6740.02</v>
      </c>
      <c r="O1113">
        <v>4964.5</v>
      </c>
      <c r="P1113">
        <v>41</v>
      </c>
      <c r="Q1113">
        <f t="shared" si="215"/>
        <v>5005.5</v>
      </c>
      <c r="R1113">
        <v>5005.6422651933699</v>
      </c>
      <c r="S1113">
        <f t="shared" si="216"/>
        <v>0.1422651933698944</v>
      </c>
      <c r="T1113">
        <v>0.03</v>
      </c>
      <c r="U1113">
        <f t="shared" si="217"/>
        <v>150.1692679558011</v>
      </c>
      <c r="V1113">
        <f t="shared" si="218"/>
        <v>5155.8115331491708</v>
      </c>
      <c r="W1113">
        <f t="shared" si="219"/>
        <v>150.31153314917083</v>
      </c>
      <c r="X1113">
        <v>0</v>
      </c>
    </row>
    <row r="1114" spans="1:24" x14ac:dyDescent="0.25">
      <c r="A1114" t="s">
        <v>1928</v>
      </c>
      <c r="B1114" t="s">
        <v>2030</v>
      </c>
      <c r="C1114" t="s">
        <v>2031</v>
      </c>
      <c r="D1114" t="s">
        <v>157</v>
      </c>
      <c r="E1114" t="s">
        <v>43</v>
      </c>
      <c r="F1114" t="s">
        <v>1</v>
      </c>
      <c r="G1114" t="s">
        <v>684</v>
      </c>
      <c r="H1114" t="s">
        <v>443</v>
      </c>
      <c r="I1114" t="s">
        <v>1</v>
      </c>
      <c r="J1114">
        <v>3831</v>
      </c>
      <c r="K1114"/>
      <c r="L1114">
        <v>0</v>
      </c>
      <c r="M1114">
        <v>0</v>
      </c>
      <c r="N1114">
        <v>0</v>
      </c>
      <c r="O1114"/>
      <c r="P1114">
        <v>0</v>
      </c>
      <c r="Q1114">
        <f t="shared" si="215"/>
        <v>0</v>
      </c>
      <c r="R1114">
        <v>0</v>
      </c>
      <c r="S1114">
        <f t="shared" si="216"/>
        <v>0</v>
      </c>
      <c r="T1114">
        <v>0.03</v>
      </c>
      <c r="U1114">
        <f t="shared" si="217"/>
        <v>0</v>
      </c>
      <c r="V1114">
        <f t="shared" si="218"/>
        <v>0</v>
      </c>
      <c r="W1114">
        <f t="shared" si="219"/>
        <v>0</v>
      </c>
      <c r="X1114">
        <v>0</v>
      </c>
    </row>
    <row r="1115" spans="1:24" x14ac:dyDescent="0.25">
      <c r="A1115" t="s">
        <v>1928</v>
      </c>
      <c r="B1115" t="s">
        <v>2030</v>
      </c>
      <c r="C1115" t="s">
        <v>2031</v>
      </c>
      <c r="D1115" t="s">
        <v>157</v>
      </c>
      <c r="E1115" t="s">
        <v>134</v>
      </c>
      <c r="F1115" t="s">
        <v>1</v>
      </c>
      <c r="G1115" t="s">
        <v>684</v>
      </c>
      <c r="H1115" t="s">
        <v>623</v>
      </c>
      <c r="I1115" t="s">
        <v>1</v>
      </c>
      <c r="J1115">
        <v>564</v>
      </c>
      <c r="K1115">
        <v>1353.9999999996</v>
      </c>
      <c r="L1115">
        <v>0</v>
      </c>
      <c r="M1115">
        <v>0</v>
      </c>
      <c r="N1115">
        <v>0</v>
      </c>
      <c r="O1115"/>
      <c r="P1115">
        <v>0</v>
      </c>
      <c r="Q1115">
        <f t="shared" si="215"/>
        <v>0</v>
      </c>
      <c r="R1115">
        <v>0</v>
      </c>
      <c r="S1115">
        <f t="shared" si="216"/>
        <v>0</v>
      </c>
      <c r="T1115">
        <v>0.03</v>
      </c>
      <c r="U1115">
        <f t="shared" si="217"/>
        <v>0</v>
      </c>
      <c r="V1115">
        <f t="shared" si="218"/>
        <v>0</v>
      </c>
      <c r="W1115">
        <f t="shared" si="219"/>
        <v>0</v>
      </c>
      <c r="X1115">
        <v>0</v>
      </c>
    </row>
    <row r="1116" spans="1:24" x14ac:dyDescent="0.25">
      <c r="A1116" t="s">
        <v>1928</v>
      </c>
      <c r="B1116" t="s">
        <v>2030</v>
      </c>
      <c r="C1116" t="s">
        <v>2031</v>
      </c>
      <c r="D1116" t="s">
        <v>157</v>
      </c>
      <c r="E1116" t="s">
        <v>46</v>
      </c>
      <c r="F1116" t="s">
        <v>1</v>
      </c>
      <c r="G1116" t="s">
        <v>684</v>
      </c>
      <c r="H1116" t="s">
        <v>446</v>
      </c>
      <c r="I1116" t="s">
        <v>1</v>
      </c>
      <c r="J1116">
        <v>29</v>
      </c>
      <c r="K1116"/>
      <c r="L1116">
        <v>0</v>
      </c>
      <c r="M1116">
        <v>0</v>
      </c>
      <c r="N1116">
        <v>0</v>
      </c>
      <c r="O1116"/>
      <c r="P1116">
        <v>0</v>
      </c>
      <c r="Q1116">
        <f t="shared" si="215"/>
        <v>0</v>
      </c>
      <c r="R1116">
        <v>0</v>
      </c>
      <c r="S1116">
        <f t="shared" si="216"/>
        <v>0</v>
      </c>
      <c r="T1116">
        <v>0.03</v>
      </c>
      <c r="U1116">
        <f t="shared" si="217"/>
        <v>0</v>
      </c>
      <c r="V1116">
        <f t="shared" si="218"/>
        <v>0</v>
      </c>
      <c r="W1116">
        <f t="shared" si="219"/>
        <v>0</v>
      </c>
      <c r="X1116">
        <v>0</v>
      </c>
    </row>
    <row r="1117" spans="1:24" x14ac:dyDescent="0.25">
      <c r="A1117" t="s">
        <v>1928</v>
      </c>
      <c r="B1117" t="s">
        <v>2030</v>
      </c>
      <c r="C1117" t="s">
        <v>2031</v>
      </c>
      <c r="D1117" t="s">
        <v>157</v>
      </c>
      <c r="E1117" t="s">
        <v>47</v>
      </c>
      <c r="F1117" t="s">
        <v>1</v>
      </c>
      <c r="G1117" t="s">
        <v>684</v>
      </c>
      <c r="H1117" t="s">
        <v>447</v>
      </c>
      <c r="I1117" t="s">
        <v>1</v>
      </c>
      <c r="J1117">
        <v>250</v>
      </c>
      <c r="K1117">
        <v>1170.9999999996</v>
      </c>
      <c r="L1117">
        <v>0</v>
      </c>
      <c r="M1117">
        <v>0</v>
      </c>
      <c r="N1117">
        <v>0</v>
      </c>
      <c r="O1117"/>
      <c r="P1117">
        <v>0</v>
      </c>
      <c r="Q1117">
        <f t="shared" si="215"/>
        <v>0</v>
      </c>
      <c r="R1117">
        <v>0</v>
      </c>
      <c r="S1117">
        <f t="shared" si="216"/>
        <v>0</v>
      </c>
      <c r="T1117">
        <v>0.03</v>
      </c>
      <c r="U1117">
        <f t="shared" si="217"/>
        <v>0</v>
      </c>
      <c r="V1117">
        <f t="shared" si="218"/>
        <v>0</v>
      </c>
      <c r="W1117">
        <f t="shared" si="219"/>
        <v>0</v>
      </c>
      <c r="X1117">
        <v>0</v>
      </c>
    </row>
    <row r="1118" spans="1:24" x14ac:dyDescent="0.25">
      <c r="A1118" t="s">
        <v>1928</v>
      </c>
      <c r="B1118" t="s">
        <v>2030</v>
      </c>
      <c r="C1118" t="s">
        <v>2031</v>
      </c>
      <c r="D1118" t="s">
        <v>157</v>
      </c>
      <c r="E1118" t="s">
        <v>51</v>
      </c>
      <c r="F1118" t="s">
        <v>51</v>
      </c>
      <c r="G1118" t="s">
        <v>685</v>
      </c>
      <c r="H1118"/>
      <c r="I1118"/>
      <c r="J1118">
        <v>1332190.56</v>
      </c>
      <c r="K1118">
        <v>1648513.3042130959</v>
      </c>
      <c r="L1118">
        <v>485511.42000000004</v>
      </c>
      <c r="M1118">
        <v>979069.99060773477</v>
      </c>
      <c r="N1118">
        <v>1099352.3899999999</v>
      </c>
      <c r="O1118">
        <v>976226.30590128165</v>
      </c>
      <c r="P1118">
        <f>SUMIF($F$1088:$F$1117,"&lt;&gt;EV_*",$P$1088:$P$1117)</f>
        <v>8907</v>
      </c>
      <c r="Q1118">
        <f>SUMIF($F$1088:$F$1117,"&lt;&gt;EV_*",$Q$1088:$Q$1117)</f>
        <v>985133.30590128165</v>
      </c>
      <c r="R1118">
        <f>SUMIF($F$1088:$F$1117,"&lt;&gt;EV_*",$R$1088:$R$1117)</f>
        <v>987314.21470948937</v>
      </c>
      <c r="S1118">
        <f>SUMIF($F$1088:$F$1117,"&lt;&gt;EV_*",$S$1088:$S$1117)</f>
        <v>2180.9088082077878</v>
      </c>
      <c r="T1118">
        <v>0</v>
      </c>
      <c r="U1118">
        <f>SUMIF($F$1088:$F$1117,"&lt;&gt;EV_*",$U$1088:$U$1117)</f>
        <v>26262.796148480662</v>
      </c>
      <c r="V1118">
        <f>SUMIF($F$1088:$F$1117,"&lt;&gt;EV_*",$V$1088:$V$1117)</f>
        <v>1013577.0108579701</v>
      </c>
      <c r="W1118">
        <f>SUMIF($F$1088:$F$1117,"&lt;&gt;EV_*",$W$1088:$W$1117)</f>
        <v>28443.704956688467</v>
      </c>
      <c r="X1118">
        <f>SUMIF($F$1088:$F$1117,"&lt;&gt;EV_*",$X$1088:$X$1117)</f>
        <v>0</v>
      </c>
    </row>
    <row r="1119" spans="1:24" x14ac:dyDescent="0.25">
      <c r="A1119" t="s">
        <v>1928</v>
      </c>
      <c r="B1119" t="s">
        <v>2030</v>
      </c>
      <c r="C1119" t="s">
        <v>2032</v>
      </c>
      <c r="D1119" t="s">
        <v>158</v>
      </c>
      <c r="E1119" t="s">
        <v>5</v>
      </c>
      <c r="F1119" t="s">
        <v>5</v>
      </c>
      <c r="G1119" t="s">
        <v>686</v>
      </c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</row>
    <row r="1120" spans="1:24" x14ac:dyDescent="0.25">
      <c r="A1120" t="s">
        <v>1928</v>
      </c>
      <c r="B1120" t="s">
        <v>2030</v>
      </c>
      <c r="C1120" t="s">
        <v>2032</v>
      </c>
      <c r="D1120" t="s">
        <v>158</v>
      </c>
      <c r="E1120" t="s">
        <v>8</v>
      </c>
      <c r="F1120" t="s">
        <v>1</v>
      </c>
      <c r="G1120" t="s">
        <v>687</v>
      </c>
      <c r="H1120" t="s">
        <v>408</v>
      </c>
      <c r="I1120" t="s">
        <v>1</v>
      </c>
      <c r="J1120">
        <v>11121.82</v>
      </c>
      <c r="K1120">
        <v>22427.979558011</v>
      </c>
      <c r="L1120">
        <v>0</v>
      </c>
      <c r="M1120">
        <v>0</v>
      </c>
      <c r="N1120">
        <v>0</v>
      </c>
      <c r="O1120"/>
      <c r="P1120">
        <v>0</v>
      </c>
      <c r="Q1120">
        <f t="shared" ref="Q1120:Q1142" si="220">O1120+P1120</f>
        <v>0</v>
      </c>
      <c r="R1120">
        <v>0</v>
      </c>
      <c r="S1120">
        <f t="shared" ref="S1120:S1142" si="221">IF(OR(LEFT(E1120,2)="A_",LEFT(D1120,5)="Total"),R1120-Q1120,"")</f>
        <v>0</v>
      </c>
      <c r="T1120"/>
      <c r="U1120">
        <f t="shared" ref="U1120:U1142" si="222">IFERROR(R1120*T1120,R1120*0)</f>
        <v>0</v>
      </c>
      <c r="V1120">
        <f t="shared" ref="V1120:V1142" si="223">IF(OR(LEFT(E1120,2)="A_",LEFT(D1120,5)="Total"),R1120+U1120,"")</f>
        <v>0</v>
      </c>
      <c r="W1120">
        <f t="shared" ref="W1120:W1142" si="224">IF(OR(LEFT(E1120,2)="A_",LEFT(D1120,5)="Total"),V1120-Q1120,"")</f>
        <v>0</v>
      </c>
      <c r="X1120">
        <v>0</v>
      </c>
    </row>
    <row r="1121" spans="1:24" x14ac:dyDescent="0.25">
      <c r="A1121" t="s">
        <v>1928</v>
      </c>
      <c r="B1121" t="s">
        <v>2030</v>
      </c>
      <c r="C1121" t="s">
        <v>2032</v>
      </c>
      <c r="D1121" t="s">
        <v>158</v>
      </c>
      <c r="E1121" t="s">
        <v>65</v>
      </c>
      <c r="F1121" t="s">
        <v>1</v>
      </c>
      <c r="G1121" t="s">
        <v>687</v>
      </c>
      <c r="H1121" t="s">
        <v>476</v>
      </c>
      <c r="I1121" t="s">
        <v>1</v>
      </c>
      <c r="J1121">
        <v>-1232.6300000000001</v>
      </c>
      <c r="K1121"/>
      <c r="L1121">
        <v>-937.45</v>
      </c>
      <c r="M1121">
        <v>-1890.4378453038676</v>
      </c>
      <c r="N1121">
        <v>-1512.77</v>
      </c>
      <c r="O1121">
        <v>-1885.2016483517</v>
      </c>
      <c r="P1121">
        <v>0</v>
      </c>
      <c r="Q1121">
        <f t="shared" si="220"/>
        <v>-1885.2016483517</v>
      </c>
      <c r="R1121">
        <v>0</v>
      </c>
      <c r="S1121">
        <f t="shared" si="221"/>
        <v>1885.2016483517</v>
      </c>
      <c r="T1121"/>
      <c r="U1121">
        <f t="shared" si="222"/>
        <v>0</v>
      </c>
      <c r="V1121">
        <f t="shared" si="223"/>
        <v>0</v>
      </c>
      <c r="W1121">
        <f t="shared" si="224"/>
        <v>1885.2016483517</v>
      </c>
      <c r="X1121">
        <v>0</v>
      </c>
    </row>
    <row r="1122" spans="1:24" x14ac:dyDescent="0.25">
      <c r="A1122" t="s">
        <v>1928</v>
      </c>
      <c r="B1122" t="s">
        <v>2030</v>
      </c>
      <c r="C1122" t="s">
        <v>2032</v>
      </c>
      <c r="D1122" t="s">
        <v>158</v>
      </c>
      <c r="E1122" t="s">
        <v>17</v>
      </c>
      <c r="F1122" t="s">
        <v>1</v>
      </c>
      <c r="G1122" t="s">
        <v>687</v>
      </c>
      <c r="H1122" t="s">
        <v>417</v>
      </c>
      <c r="I1122" t="s">
        <v>1</v>
      </c>
      <c r="J1122">
        <v>-10137.49</v>
      </c>
      <c r="K1122">
        <v>-11320</v>
      </c>
      <c r="L1122">
        <v>-4185.6899999999996</v>
      </c>
      <c r="M1122">
        <v>-8440.7560773480654</v>
      </c>
      <c r="N1122">
        <v>-9904.5</v>
      </c>
      <c r="O1122">
        <v>-8417.3765934065996</v>
      </c>
      <c r="P1122">
        <v>0</v>
      </c>
      <c r="Q1122">
        <f t="shared" si="220"/>
        <v>-8417.3765934065996</v>
      </c>
      <c r="R1122">
        <v>-8417.3765934065996</v>
      </c>
      <c r="S1122">
        <f t="shared" si="221"/>
        <v>0</v>
      </c>
      <c r="T1122"/>
      <c r="U1122">
        <f t="shared" si="222"/>
        <v>0</v>
      </c>
      <c r="V1122">
        <f t="shared" si="223"/>
        <v>-8417.3765934065996</v>
      </c>
      <c r="W1122">
        <f t="shared" si="224"/>
        <v>0</v>
      </c>
      <c r="X1122">
        <v>0</v>
      </c>
    </row>
    <row r="1123" spans="1:24" x14ac:dyDescent="0.25">
      <c r="A1123" t="s">
        <v>1928</v>
      </c>
      <c r="B1123" t="s">
        <v>2030</v>
      </c>
      <c r="C1123" t="s">
        <v>2032</v>
      </c>
      <c r="D1123" t="s">
        <v>158</v>
      </c>
      <c r="E1123" t="s">
        <v>82</v>
      </c>
      <c r="F1123" t="s">
        <v>1</v>
      </c>
      <c r="G1123" t="s">
        <v>687</v>
      </c>
      <c r="H1123" t="s">
        <v>507</v>
      </c>
      <c r="I1123" t="s">
        <v>1</v>
      </c>
      <c r="J1123">
        <v>4573.5</v>
      </c>
      <c r="K1123">
        <v>4124.3019793287003</v>
      </c>
      <c r="L1123">
        <v>2800.81</v>
      </c>
      <c r="M1123">
        <v>5648.0422651933704</v>
      </c>
      <c r="N1123">
        <v>4909.87</v>
      </c>
      <c r="O1123">
        <v>5632.3981318680999</v>
      </c>
      <c r="P1123">
        <v>16</v>
      </c>
      <c r="Q1123">
        <f t="shared" si="220"/>
        <v>5648.3981318680999</v>
      </c>
      <c r="R1123">
        <v>5648.0422651933704</v>
      </c>
      <c r="S1123">
        <f t="shared" si="221"/>
        <v>-0.355866674729441</v>
      </c>
      <c r="T1123">
        <v>2.75E-2</v>
      </c>
      <c r="U1123">
        <f t="shared" si="222"/>
        <v>155.32116229281769</v>
      </c>
      <c r="V1123">
        <f t="shared" si="223"/>
        <v>5803.3634274861879</v>
      </c>
      <c r="W1123">
        <f t="shared" si="224"/>
        <v>154.96529561808802</v>
      </c>
      <c r="X1123">
        <v>0</v>
      </c>
    </row>
    <row r="1124" spans="1:24" x14ac:dyDescent="0.25">
      <c r="A1124" t="s">
        <v>1928</v>
      </c>
      <c r="B1124" t="s">
        <v>2030</v>
      </c>
      <c r="C1124" t="s">
        <v>2032</v>
      </c>
      <c r="D1124" t="s">
        <v>158</v>
      </c>
      <c r="E1124" t="s">
        <v>72</v>
      </c>
      <c r="F1124" t="s">
        <v>1</v>
      </c>
      <c r="G1124" t="s">
        <v>687</v>
      </c>
      <c r="H1124" t="s">
        <v>489</v>
      </c>
      <c r="I1124" t="s">
        <v>1</v>
      </c>
      <c r="J1124">
        <v>4907.84</v>
      </c>
      <c r="K1124">
        <v>4213.4195741062003</v>
      </c>
      <c r="L1124">
        <v>2442.02</v>
      </c>
      <c r="M1124">
        <v>4924.5154696132595</v>
      </c>
      <c r="N1124">
        <v>5460.28</v>
      </c>
      <c r="O1124">
        <v>4910.8753846154004</v>
      </c>
      <c r="P1124">
        <v>14</v>
      </c>
      <c r="Q1124">
        <f t="shared" si="220"/>
        <v>4924.8753846154004</v>
      </c>
      <c r="R1124">
        <v>4924.5154696132595</v>
      </c>
      <c r="S1124">
        <f t="shared" si="221"/>
        <v>-0.3599150021409514</v>
      </c>
      <c r="T1124">
        <v>2.2499999999999999E-2</v>
      </c>
      <c r="U1124">
        <f t="shared" si="222"/>
        <v>110.80159806629834</v>
      </c>
      <c r="V1124">
        <f t="shared" si="223"/>
        <v>5035.317067679558</v>
      </c>
      <c r="W1124">
        <f t="shared" si="224"/>
        <v>110.44168306415759</v>
      </c>
      <c r="X1124">
        <v>0</v>
      </c>
    </row>
    <row r="1125" spans="1:24" x14ac:dyDescent="0.25">
      <c r="A1125" t="s">
        <v>1928</v>
      </c>
      <c r="B1125" t="s">
        <v>2030</v>
      </c>
      <c r="C1125" t="s">
        <v>2032</v>
      </c>
      <c r="D1125" t="s">
        <v>158</v>
      </c>
      <c r="E1125" t="s">
        <v>18</v>
      </c>
      <c r="F1125" t="s">
        <v>1</v>
      </c>
      <c r="G1125" t="s">
        <v>687</v>
      </c>
      <c r="H1125" t="s">
        <v>418</v>
      </c>
      <c r="I1125" t="s">
        <v>1</v>
      </c>
      <c r="J1125">
        <v>220456.47</v>
      </c>
      <c r="K1125">
        <v>199629.153547633</v>
      </c>
      <c r="L1125">
        <v>101646.76</v>
      </c>
      <c r="M1125">
        <v>204978.27292817677</v>
      </c>
      <c r="N1125">
        <v>209273.11</v>
      </c>
      <c r="O1125">
        <v>204410.51736263701</v>
      </c>
      <c r="P1125">
        <v>568</v>
      </c>
      <c r="Q1125">
        <f t="shared" si="220"/>
        <v>204978.51736263701</v>
      </c>
      <c r="R1125">
        <v>204978.27292817677</v>
      </c>
      <c r="S1125">
        <f t="shared" si="221"/>
        <v>-0.24443446024088189</v>
      </c>
      <c r="T1125">
        <v>0.02</v>
      </c>
      <c r="U1125">
        <f t="shared" si="222"/>
        <v>4099.5654585635357</v>
      </c>
      <c r="V1125">
        <f t="shared" si="223"/>
        <v>209077.8383867403</v>
      </c>
      <c r="W1125">
        <f t="shared" si="224"/>
        <v>4099.3210241032939</v>
      </c>
      <c r="X1125">
        <v>0</v>
      </c>
    </row>
    <row r="1126" spans="1:24" x14ac:dyDescent="0.25">
      <c r="A1126" t="s">
        <v>1928</v>
      </c>
      <c r="B1126" t="s">
        <v>2030</v>
      </c>
      <c r="C1126" t="s">
        <v>2032</v>
      </c>
      <c r="D1126" t="s">
        <v>158</v>
      </c>
      <c r="E1126" t="s">
        <v>57</v>
      </c>
      <c r="F1126" t="s">
        <v>1</v>
      </c>
      <c r="G1126" t="s">
        <v>687</v>
      </c>
      <c r="H1126" t="s">
        <v>462</v>
      </c>
      <c r="I1126" t="s">
        <v>1</v>
      </c>
      <c r="J1126">
        <v>20919.5</v>
      </c>
      <c r="K1126">
        <v>22769.237142217</v>
      </c>
      <c r="L1126">
        <v>5610.46</v>
      </c>
      <c r="M1126">
        <v>11313.911049723758</v>
      </c>
      <c r="N1126">
        <v>13446.960000000001</v>
      </c>
      <c r="O1126">
        <v>11282.573406593399</v>
      </c>
      <c r="P1126">
        <v>31</v>
      </c>
      <c r="Q1126">
        <f t="shared" si="220"/>
        <v>11313.573406593399</v>
      </c>
      <c r="R1126">
        <v>11313.911049723758</v>
      </c>
      <c r="S1126">
        <f t="shared" si="221"/>
        <v>0.3376431303586287</v>
      </c>
      <c r="T1126">
        <v>0.04</v>
      </c>
      <c r="U1126">
        <f t="shared" si="222"/>
        <v>452.55644198895033</v>
      </c>
      <c r="V1126">
        <f t="shared" si="223"/>
        <v>11766.467491712709</v>
      </c>
      <c r="W1126">
        <f t="shared" si="224"/>
        <v>452.89408511930924</v>
      </c>
      <c r="X1126">
        <v>0</v>
      </c>
    </row>
    <row r="1127" spans="1:24" x14ac:dyDescent="0.25">
      <c r="A1127" t="s">
        <v>1928</v>
      </c>
      <c r="B1127" t="s">
        <v>2030</v>
      </c>
      <c r="C1127" t="s">
        <v>2032</v>
      </c>
      <c r="D1127" t="s">
        <v>158</v>
      </c>
      <c r="E1127" t="s">
        <v>19</v>
      </c>
      <c r="F1127" t="s">
        <v>1</v>
      </c>
      <c r="G1127" t="s">
        <v>687</v>
      </c>
      <c r="H1127" t="s">
        <v>419</v>
      </c>
      <c r="I1127" t="s">
        <v>1</v>
      </c>
      <c r="J1127">
        <v>1117.19</v>
      </c>
      <c r="K1127">
        <v>1711.6454197531</v>
      </c>
      <c r="L1127">
        <v>0</v>
      </c>
      <c r="M1127">
        <v>0</v>
      </c>
      <c r="N1127">
        <v>0</v>
      </c>
      <c r="O1127"/>
      <c r="P1127">
        <v>0</v>
      </c>
      <c r="Q1127">
        <f t="shared" si="220"/>
        <v>0</v>
      </c>
      <c r="R1127">
        <v>0</v>
      </c>
      <c r="S1127">
        <f t="shared" si="221"/>
        <v>0</v>
      </c>
      <c r="T1127">
        <v>0.02</v>
      </c>
      <c r="U1127">
        <f t="shared" si="222"/>
        <v>0</v>
      </c>
      <c r="V1127">
        <f t="shared" si="223"/>
        <v>0</v>
      </c>
      <c r="W1127">
        <f t="shared" si="224"/>
        <v>0</v>
      </c>
      <c r="X1127">
        <v>0</v>
      </c>
    </row>
    <row r="1128" spans="1:24" x14ac:dyDescent="0.25">
      <c r="A1128" t="s">
        <v>1928</v>
      </c>
      <c r="B1128" t="s">
        <v>2030</v>
      </c>
      <c r="C1128" t="s">
        <v>2032</v>
      </c>
      <c r="D1128" t="s">
        <v>158</v>
      </c>
      <c r="E1128" t="s">
        <v>74</v>
      </c>
      <c r="F1128" t="s">
        <v>1</v>
      </c>
      <c r="G1128" t="s">
        <v>687</v>
      </c>
      <c r="H1128" t="s">
        <v>491</v>
      </c>
      <c r="I1128" t="s">
        <v>1</v>
      </c>
      <c r="J1128">
        <v>56836.52</v>
      </c>
      <c r="K1128">
        <v>52535.7633950378</v>
      </c>
      <c r="L1128">
        <v>31311.19</v>
      </c>
      <c r="M1128">
        <v>63141.349999999991</v>
      </c>
      <c r="N1128">
        <v>59667.8</v>
      </c>
      <c r="O1128">
        <v>62966.459010988998</v>
      </c>
      <c r="P1128">
        <v>175</v>
      </c>
      <c r="Q1128">
        <f t="shared" si="220"/>
        <v>63141.459010988998</v>
      </c>
      <c r="R1128">
        <v>63141.349999999991</v>
      </c>
      <c r="S1128">
        <f t="shared" si="221"/>
        <v>-0.10901098900649231</v>
      </c>
      <c r="T1128">
        <v>3.5000000000000003E-2</v>
      </c>
      <c r="U1128">
        <f t="shared" si="222"/>
        <v>2209.9472499999997</v>
      </c>
      <c r="V1128">
        <f t="shared" si="223"/>
        <v>65351.297249999989</v>
      </c>
      <c r="W1128">
        <f t="shared" si="224"/>
        <v>2209.8382390109909</v>
      </c>
      <c r="X1128">
        <v>0</v>
      </c>
    </row>
    <row r="1129" spans="1:24" x14ac:dyDescent="0.25">
      <c r="A1129" t="s">
        <v>1928</v>
      </c>
      <c r="B1129" t="s">
        <v>2030</v>
      </c>
      <c r="C1129" t="s">
        <v>2032</v>
      </c>
      <c r="D1129" t="s">
        <v>158</v>
      </c>
      <c r="E1129" t="s">
        <v>85</v>
      </c>
      <c r="F1129" t="s">
        <v>1</v>
      </c>
      <c r="G1129" t="s">
        <v>687</v>
      </c>
      <c r="H1129" t="s">
        <v>510</v>
      </c>
      <c r="I1129" t="s">
        <v>1</v>
      </c>
      <c r="J1129">
        <v>804.93</v>
      </c>
      <c r="K1129"/>
      <c r="L1129">
        <v>217.15</v>
      </c>
      <c r="M1129">
        <v>437.89917127071828</v>
      </c>
      <c r="N1129">
        <v>502.67</v>
      </c>
      <c r="O1129">
        <v>436.68626373630002</v>
      </c>
      <c r="P1129">
        <v>1</v>
      </c>
      <c r="Q1129">
        <f t="shared" si="220"/>
        <v>437.68626373630002</v>
      </c>
      <c r="R1129">
        <v>437.89917127071828</v>
      </c>
      <c r="S1129">
        <f t="shared" si="221"/>
        <v>0.21290753441826382</v>
      </c>
      <c r="T1129">
        <v>0.02</v>
      </c>
      <c r="U1129">
        <f t="shared" si="222"/>
        <v>8.7579834254143663</v>
      </c>
      <c r="V1129">
        <f t="shared" si="223"/>
        <v>446.65715469613264</v>
      </c>
      <c r="W1129">
        <f t="shared" si="224"/>
        <v>8.9708909598326159</v>
      </c>
      <c r="X1129">
        <v>0</v>
      </c>
    </row>
    <row r="1130" spans="1:24" x14ac:dyDescent="0.25">
      <c r="A1130" t="s">
        <v>1928</v>
      </c>
      <c r="B1130" t="s">
        <v>2030</v>
      </c>
      <c r="C1130" t="s">
        <v>2032</v>
      </c>
      <c r="D1130" t="s">
        <v>158</v>
      </c>
      <c r="E1130" t="s">
        <v>119</v>
      </c>
      <c r="F1130" t="s">
        <v>1</v>
      </c>
      <c r="G1130" t="s">
        <v>687</v>
      </c>
      <c r="H1130" t="s">
        <v>588</v>
      </c>
      <c r="I1130" t="s">
        <v>1</v>
      </c>
      <c r="J1130">
        <v>587.74</v>
      </c>
      <c r="K1130"/>
      <c r="L1130">
        <v>0</v>
      </c>
      <c r="M1130">
        <v>0</v>
      </c>
      <c r="N1130">
        <v>176.4</v>
      </c>
      <c r="O1130"/>
      <c r="P1130">
        <v>0</v>
      </c>
      <c r="Q1130">
        <f t="shared" si="220"/>
        <v>0</v>
      </c>
      <c r="R1130">
        <v>0</v>
      </c>
      <c r="S1130">
        <f t="shared" si="221"/>
        <v>0</v>
      </c>
      <c r="T1130">
        <v>1.4999999999999999E-2</v>
      </c>
      <c r="U1130">
        <f t="shared" si="222"/>
        <v>0</v>
      </c>
      <c r="V1130">
        <f t="shared" si="223"/>
        <v>0</v>
      </c>
      <c r="W1130">
        <f t="shared" si="224"/>
        <v>0</v>
      </c>
      <c r="X1130">
        <v>0</v>
      </c>
    </row>
    <row r="1131" spans="1:24" x14ac:dyDescent="0.25">
      <c r="A1131" t="s">
        <v>1928</v>
      </c>
      <c r="B1131" t="s">
        <v>2030</v>
      </c>
      <c r="C1131" t="s">
        <v>2032</v>
      </c>
      <c r="D1131" t="s">
        <v>158</v>
      </c>
      <c r="E1131" t="s">
        <v>120</v>
      </c>
      <c r="F1131" t="s">
        <v>1</v>
      </c>
      <c r="G1131" t="s">
        <v>687</v>
      </c>
      <c r="H1131" t="s">
        <v>589</v>
      </c>
      <c r="I1131" t="s">
        <v>1</v>
      </c>
      <c r="J1131">
        <v>1589.66</v>
      </c>
      <c r="K1131">
        <v>1687.4310086457999</v>
      </c>
      <c r="L1131">
        <v>852.99</v>
      </c>
      <c r="M1131">
        <v>1720.1179558011049</v>
      </c>
      <c r="N1131">
        <v>1489.06</v>
      </c>
      <c r="O1131">
        <v>1715.3535164835</v>
      </c>
      <c r="P1131">
        <v>5</v>
      </c>
      <c r="Q1131">
        <f t="shared" si="220"/>
        <v>1720.3535164835</v>
      </c>
      <c r="R1131">
        <v>1720.1179558011049</v>
      </c>
      <c r="S1131">
        <f t="shared" si="221"/>
        <v>-0.23556068239508932</v>
      </c>
      <c r="T1131">
        <v>3.5000000000000003E-2</v>
      </c>
      <c r="U1131">
        <f t="shared" si="222"/>
        <v>60.204128453038678</v>
      </c>
      <c r="V1131">
        <f t="shared" si="223"/>
        <v>1780.3220842541436</v>
      </c>
      <c r="W1131">
        <f t="shared" si="224"/>
        <v>59.968567770643631</v>
      </c>
      <c r="X1131">
        <v>0</v>
      </c>
    </row>
    <row r="1132" spans="1:24" x14ac:dyDescent="0.25">
      <c r="A1132" t="s">
        <v>1928</v>
      </c>
      <c r="B1132" t="s">
        <v>2030</v>
      </c>
      <c r="C1132" t="s">
        <v>2032</v>
      </c>
      <c r="D1132" t="s">
        <v>158</v>
      </c>
      <c r="E1132" t="s">
        <v>20</v>
      </c>
      <c r="F1132" t="s">
        <v>1</v>
      </c>
      <c r="G1132" t="s">
        <v>687</v>
      </c>
      <c r="H1132" t="s">
        <v>420</v>
      </c>
      <c r="I1132" t="s">
        <v>1</v>
      </c>
      <c r="J1132">
        <v>43582.95</v>
      </c>
      <c r="K1132">
        <v>36072.764298458802</v>
      </c>
      <c r="L1132">
        <v>24075.75</v>
      </c>
      <c r="M1132">
        <v>48550.545580110498</v>
      </c>
      <c r="N1132">
        <v>47411.549999999996</v>
      </c>
      <c r="O1132">
        <v>48416.068681318699</v>
      </c>
      <c r="P1132">
        <v>134</v>
      </c>
      <c r="Q1132">
        <f t="shared" si="220"/>
        <v>48550.068681318699</v>
      </c>
      <c r="R1132">
        <v>48550.545580110498</v>
      </c>
      <c r="S1132">
        <f t="shared" si="221"/>
        <v>0.47689879179961281</v>
      </c>
      <c r="T1132">
        <v>0.04</v>
      </c>
      <c r="U1132">
        <f t="shared" si="222"/>
        <v>1942.0218232044199</v>
      </c>
      <c r="V1132">
        <f t="shared" si="223"/>
        <v>50492.567403314919</v>
      </c>
      <c r="W1132">
        <f t="shared" si="224"/>
        <v>1942.4987219962204</v>
      </c>
      <c r="X1132">
        <v>0</v>
      </c>
    </row>
    <row r="1133" spans="1:24" x14ac:dyDescent="0.25">
      <c r="A1133" t="s">
        <v>1928</v>
      </c>
      <c r="B1133" t="s">
        <v>2030</v>
      </c>
      <c r="C1133" t="s">
        <v>2032</v>
      </c>
      <c r="D1133" t="s">
        <v>158</v>
      </c>
      <c r="E1133" t="s">
        <v>21</v>
      </c>
      <c r="F1133" t="s">
        <v>1</v>
      </c>
      <c r="G1133" t="s">
        <v>687</v>
      </c>
      <c r="H1133" t="s">
        <v>421</v>
      </c>
      <c r="I1133" t="s">
        <v>1</v>
      </c>
      <c r="J1133">
        <v>10045.66</v>
      </c>
      <c r="K1133">
        <v>10170.4199999999</v>
      </c>
      <c r="L1133">
        <v>2520.23</v>
      </c>
      <c r="M1133">
        <v>5082.2317679558009</v>
      </c>
      <c r="N1133">
        <v>6997.6600000000008</v>
      </c>
      <c r="O1133">
        <v>5082.2317679558</v>
      </c>
      <c r="P1133">
        <v>0</v>
      </c>
      <c r="Q1133">
        <f t="shared" si="220"/>
        <v>5082.2317679558</v>
      </c>
      <c r="R1133">
        <v>5082.2317679558009</v>
      </c>
      <c r="S1133">
        <f t="shared" si="221"/>
        <v>9.0949470177292824E-13</v>
      </c>
      <c r="T1133">
        <v>0.03</v>
      </c>
      <c r="U1133">
        <f t="shared" si="222"/>
        <v>152.46695303867403</v>
      </c>
      <c r="V1133">
        <f t="shared" si="223"/>
        <v>5234.6987209944746</v>
      </c>
      <c r="W1133">
        <f t="shared" si="224"/>
        <v>152.46695303867455</v>
      </c>
      <c r="X1133">
        <v>0</v>
      </c>
    </row>
    <row r="1134" spans="1:24" x14ac:dyDescent="0.25">
      <c r="A1134" t="s">
        <v>1928</v>
      </c>
      <c r="B1134" t="s">
        <v>2030</v>
      </c>
      <c r="C1134" t="s">
        <v>2032</v>
      </c>
      <c r="D1134" t="s">
        <v>158</v>
      </c>
      <c r="E1134" t="s">
        <v>66</v>
      </c>
      <c r="F1134" t="s">
        <v>1</v>
      </c>
      <c r="G1134" t="s">
        <v>687</v>
      </c>
      <c r="H1134" t="s">
        <v>477</v>
      </c>
      <c r="I1134" t="s">
        <v>1</v>
      </c>
      <c r="J1134">
        <v>111.05</v>
      </c>
      <c r="K1134">
        <v>227.69999999980001</v>
      </c>
      <c r="L1134">
        <v>0</v>
      </c>
      <c r="M1134">
        <v>0</v>
      </c>
      <c r="N1134">
        <v>0</v>
      </c>
      <c r="O1134"/>
      <c r="P1134">
        <v>0</v>
      </c>
      <c r="Q1134">
        <f t="shared" si="220"/>
        <v>0</v>
      </c>
      <c r="R1134">
        <v>0</v>
      </c>
      <c r="S1134">
        <f t="shared" si="221"/>
        <v>0</v>
      </c>
      <c r="T1134">
        <v>3.5000000000000003E-2</v>
      </c>
      <c r="U1134">
        <f t="shared" si="222"/>
        <v>0</v>
      </c>
      <c r="V1134">
        <f t="shared" si="223"/>
        <v>0</v>
      </c>
      <c r="W1134">
        <f t="shared" si="224"/>
        <v>0</v>
      </c>
      <c r="X1134">
        <v>0</v>
      </c>
    </row>
    <row r="1135" spans="1:24" x14ac:dyDescent="0.25">
      <c r="A1135" t="s">
        <v>1928</v>
      </c>
      <c r="B1135" t="s">
        <v>2030</v>
      </c>
      <c r="C1135" t="s">
        <v>2032</v>
      </c>
      <c r="D1135" t="s">
        <v>158</v>
      </c>
      <c r="E1135" t="s">
        <v>22</v>
      </c>
      <c r="F1135" t="s">
        <v>1</v>
      </c>
      <c r="G1135" t="s">
        <v>687</v>
      </c>
      <c r="H1135" t="s">
        <v>422</v>
      </c>
      <c r="I1135" t="s">
        <v>1</v>
      </c>
      <c r="J1135">
        <v>4696.8900000000003</v>
      </c>
      <c r="K1135">
        <v>5175.0000000001</v>
      </c>
      <c r="L1135">
        <v>1056.2</v>
      </c>
      <c r="M1135">
        <v>2129.9060773480664</v>
      </c>
      <c r="N1135">
        <v>3254.1299999999997</v>
      </c>
      <c r="O1135">
        <v>2129.9060773481001</v>
      </c>
      <c r="P1135">
        <v>0</v>
      </c>
      <c r="Q1135">
        <f t="shared" si="220"/>
        <v>2129.9060773481001</v>
      </c>
      <c r="R1135">
        <v>2129.9060773480664</v>
      </c>
      <c r="S1135">
        <f t="shared" si="221"/>
        <v>-3.3651303965598345E-11</v>
      </c>
      <c r="T1135">
        <v>3.5000000000000003E-2</v>
      </c>
      <c r="U1135">
        <f t="shared" si="222"/>
        <v>74.546712707182337</v>
      </c>
      <c r="V1135">
        <f t="shared" si="223"/>
        <v>2204.4527900552489</v>
      </c>
      <c r="W1135">
        <f t="shared" si="224"/>
        <v>74.546712707148799</v>
      </c>
      <c r="X1135">
        <v>0</v>
      </c>
    </row>
    <row r="1136" spans="1:24" x14ac:dyDescent="0.25">
      <c r="A1136" t="s">
        <v>1928</v>
      </c>
      <c r="B1136" t="s">
        <v>2030</v>
      </c>
      <c r="C1136" t="s">
        <v>2032</v>
      </c>
      <c r="D1136" t="s">
        <v>158</v>
      </c>
      <c r="E1136" t="s">
        <v>23</v>
      </c>
      <c r="F1136" t="s">
        <v>1</v>
      </c>
      <c r="G1136" t="s">
        <v>687</v>
      </c>
      <c r="H1136" t="s">
        <v>423</v>
      </c>
      <c r="I1136" t="s">
        <v>1</v>
      </c>
      <c r="J1136">
        <v>4871.0600000000004</v>
      </c>
      <c r="K1136">
        <v>9832.5000000003001</v>
      </c>
      <c r="L1136">
        <v>187.79</v>
      </c>
      <c r="M1136">
        <v>378.69254143646407</v>
      </c>
      <c r="N1136">
        <v>307.22999999999996</v>
      </c>
      <c r="O1136">
        <v>378.69254143649999</v>
      </c>
      <c r="P1136">
        <v>0</v>
      </c>
      <c r="Q1136">
        <f t="shared" si="220"/>
        <v>378.69254143649999</v>
      </c>
      <c r="R1136">
        <v>378.69254143646407</v>
      </c>
      <c r="S1136">
        <f t="shared" si="221"/>
        <v>-3.5925040720030665E-11</v>
      </c>
      <c r="T1136">
        <v>3.5000000000000003E-2</v>
      </c>
      <c r="U1136">
        <f t="shared" si="222"/>
        <v>13.254238950276244</v>
      </c>
      <c r="V1136">
        <f t="shared" si="223"/>
        <v>391.94678038674033</v>
      </c>
      <c r="W1136">
        <f t="shared" si="224"/>
        <v>13.254238950240335</v>
      </c>
      <c r="X1136">
        <v>0</v>
      </c>
    </row>
    <row r="1137" spans="1:24" x14ac:dyDescent="0.25">
      <c r="A1137" t="s">
        <v>1928</v>
      </c>
      <c r="B1137" t="s">
        <v>2030</v>
      </c>
      <c r="C1137" t="s">
        <v>2032</v>
      </c>
      <c r="D1137" t="s">
        <v>158</v>
      </c>
      <c r="E1137" t="s">
        <v>28</v>
      </c>
      <c r="F1137" t="s">
        <v>1</v>
      </c>
      <c r="G1137" t="s">
        <v>687</v>
      </c>
      <c r="H1137" t="s">
        <v>428</v>
      </c>
      <c r="I1137" t="s">
        <v>1</v>
      </c>
      <c r="J1137">
        <v>5236.79</v>
      </c>
      <c r="K1137">
        <v>5900.0000000004002</v>
      </c>
      <c r="L1137">
        <v>2478</v>
      </c>
      <c r="M1137">
        <v>4997.0718232044201</v>
      </c>
      <c r="N1137">
        <v>4641.1400000000003</v>
      </c>
      <c r="O1137">
        <v>4956</v>
      </c>
      <c r="P1137">
        <v>41</v>
      </c>
      <c r="Q1137">
        <f t="shared" si="220"/>
        <v>4997</v>
      </c>
      <c r="R1137">
        <v>4997.0718232044201</v>
      </c>
      <c r="S1137">
        <f t="shared" si="221"/>
        <v>7.1823204420070397E-2</v>
      </c>
      <c r="T1137"/>
      <c r="U1137">
        <f t="shared" si="222"/>
        <v>0</v>
      </c>
      <c r="V1137">
        <f t="shared" si="223"/>
        <v>4997.0718232044201</v>
      </c>
      <c r="W1137">
        <f t="shared" si="224"/>
        <v>7.1823204420070397E-2</v>
      </c>
      <c r="X1137">
        <v>0</v>
      </c>
    </row>
    <row r="1138" spans="1:24" x14ac:dyDescent="0.25">
      <c r="A1138" t="s">
        <v>1928</v>
      </c>
      <c r="B1138" t="s">
        <v>2030</v>
      </c>
      <c r="C1138" t="s">
        <v>2032</v>
      </c>
      <c r="D1138" t="s">
        <v>158</v>
      </c>
      <c r="E1138" t="s">
        <v>35</v>
      </c>
      <c r="F1138" t="s">
        <v>1</v>
      </c>
      <c r="G1138" t="s">
        <v>687</v>
      </c>
      <c r="H1138" t="s">
        <v>435</v>
      </c>
      <c r="I1138" t="s">
        <v>1</v>
      </c>
      <c r="J1138"/>
      <c r="K1138">
        <v>90</v>
      </c>
      <c r="L1138">
        <v>0</v>
      </c>
      <c r="M1138">
        <v>0</v>
      </c>
      <c r="N1138">
        <v>0</v>
      </c>
      <c r="O1138"/>
      <c r="P1138">
        <v>0</v>
      </c>
      <c r="Q1138">
        <f t="shared" si="220"/>
        <v>0</v>
      </c>
      <c r="R1138">
        <v>0</v>
      </c>
      <c r="S1138">
        <f t="shared" si="221"/>
        <v>0</v>
      </c>
      <c r="T1138"/>
      <c r="U1138">
        <f t="shared" si="222"/>
        <v>0</v>
      </c>
      <c r="V1138">
        <f t="shared" si="223"/>
        <v>0</v>
      </c>
      <c r="W1138">
        <f t="shared" si="224"/>
        <v>0</v>
      </c>
      <c r="X1138">
        <v>0</v>
      </c>
    </row>
    <row r="1139" spans="1:24" x14ac:dyDescent="0.25">
      <c r="A1139" t="s">
        <v>1928</v>
      </c>
      <c r="B1139" t="s">
        <v>2030</v>
      </c>
      <c r="C1139" t="s">
        <v>2032</v>
      </c>
      <c r="D1139" t="s">
        <v>158</v>
      </c>
      <c r="E1139" t="s">
        <v>37</v>
      </c>
      <c r="F1139" t="s">
        <v>1</v>
      </c>
      <c r="G1139" t="s">
        <v>687</v>
      </c>
      <c r="H1139" t="s">
        <v>437</v>
      </c>
      <c r="I1139" t="s">
        <v>1</v>
      </c>
      <c r="J1139">
        <v>1142.17</v>
      </c>
      <c r="K1139"/>
      <c r="L1139">
        <v>0</v>
      </c>
      <c r="M1139">
        <v>0</v>
      </c>
      <c r="N1139">
        <v>1013.75</v>
      </c>
      <c r="O1139"/>
      <c r="P1139">
        <v>0</v>
      </c>
      <c r="Q1139">
        <f t="shared" si="220"/>
        <v>0</v>
      </c>
      <c r="R1139">
        <v>0</v>
      </c>
      <c r="S1139">
        <f t="shared" si="221"/>
        <v>0</v>
      </c>
      <c r="T1139"/>
      <c r="U1139">
        <f t="shared" si="222"/>
        <v>0</v>
      </c>
      <c r="V1139">
        <f t="shared" si="223"/>
        <v>0</v>
      </c>
      <c r="W1139">
        <f t="shared" si="224"/>
        <v>0</v>
      </c>
      <c r="X1139">
        <v>0</v>
      </c>
    </row>
    <row r="1140" spans="1:24" x14ac:dyDescent="0.25">
      <c r="A1140" t="s">
        <v>1928</v>
      </c>
      <c r="B1140" t="s">
        <v>2030</v>
      </c>
      <c r="C1140" t="s">
        <v>2032</v>
      </c>
      <c r="D1140" t="s">
        <v>158</v>
      </c>
      <c r="E1140" t="s">
        <v>121</v>
      </c>
      <c r="F1140" t="s">
        <v>1</v>
      </c>
      <c r="G1140" t="s">
        <v>687</v>
      </c>
      <c r="H1140" t="s">
        <v>590</v>
      </c>
      <c r="I1140" t="s">
        <v>1</v>
      </c>
      <c r="J1140"/>
      <c r="K1140">
        <v>36728.366705985602</v>
      </c>
      <c r="L1140">
        <v>0</v>
      </c>
      <c r="M1140">
        <v>0</v>
      </c>
      <c r="N1140">
        <v>0</v>
      </c>
      <c r="O1140"/>
      <c r="P1140">
        <v>0</v>
      </c>
      <c r="Q1140">
        <f t="shared" si="220"/>
        <v>0</v>
      </c>
      <c r="R1140">
        <v>0</v>
      </c>
      <c r="S1140">
        <f t="shared" si="221"/>
        <v>0</v>
      </c>
      <c r="T1140"/>
      <c r="U1140">
        <f t="shared" si="222"/>
        <v>0</v>
      </c>
      <c r="V1140">
        <f t="shared" si="223"/>
        <v>0</v>
      </c>
      <c r="W1140">
        <f t="shared" si="224"/>
        <v>0</v>
      </c>
      <c r="X1140">
        <v>0</v>
      </c>
    </row>
    <row r="1141" spans="1:24" x14ac:dyDescent="0.25">
      <c r="A1141" t="s">
        <v>1928</v>
      </c>
      <c r="B1141" t="s">
        <v>2030</v>
      </c>
      <c r="C1141" t="s">
        <v>2032</v>
      </c>
      <c r="D1141" t="s">
        <v>158</v>
      </c>
      <c r="E1141" t="s">
        <v>41</v>
      </c>
      <c r="F1141" t="s">
        <v>1</v>
      </c>
      <c r="G1141" t="s">
        <v>687</v>
      </c>
      <c r="H1141" t="s">
        <v>441</v>
      </c>
      <c r="I1141" t="s">
        <v>1</v>
      </c>
      <c r="J1141">
        <v>290.57</v>
      </c>
      <c r="K1141">
        <v>254.29000000080001</v>
      </c>
      <c r="L1141">
        <v>-29.89</v>
      </c>
      <c r="M1141">
        <v>-60.275414364640888</v>
      </c>
      <c r="N1141">
        <v>18.149999999999999</v>
      </c>
      <c r="O1141">
        <v>-59.78</v>
      </c>
      <c r="P1141">
        <v>60</v>
      </c>
      <c r="Q1141">
        <f t="shared" si="220"/>
        <v>0.21999999999999886</v>
      </c>
      <c r="R1141">
        <v>0</v>
      </c>
      <c r="S1141">
        <f t="shared" si="221"/>
        <v>-0.21999999999999886</v>
      </c>
      <c r="T1141">
        <v>0.03</v>
      </c>
      <c r="U1141">
        <f t="shared" si="222"/>
        <v>0</v>
      </c>
      <c r="V1141">
        <f t="shared" si="223"/>
        <v>0</v>
      </c>
      <c r="W1141">
        <f t="shared" si="224"/>
        <v>-0.21999999999999886</v>
      </c>
      <c r="X1141">
        <v>0</v>
      </c>
    </row>
    <row r="1142" spans="1:24" x14ac:dyDescent="0.25">
      <c r="A1142" t="s">
        <v>1928</v>
      </c>
      <c r="B1142" t="s">
        <v>2030</v>
      </c>
      <c r="C1142" t="s">
        <v>2032</v>
      </c>
      <c r="D1142" t="s">
        <v>158</v>
      </c>
      <c r="E1142" t="s">
        <v>46</v>
      </c>
      <c r="F1142" t="s">
        <v>1</v>
      </c>
      <c r="G1142" t="s">
        <v>687</v>
      </c>
      <c r="H1142" t="s">
        <v>446</v>
      </c>
      <c r="I1142" t="s">
        <v>1</v>
      </c>
      <c r="J1142">
        <v>317.44</v>
      </c>
      <c r="K1142"/>
      <c r="L1142">
        <v>0</v>
      </c>
      <c r="M1142">
        <v>0</v>
      </c>
      <c r="N1142">
        <v>0</v>
      </c>
      <c r="O1142"/>
      <c r="P1142">
        <v>0</v>
      </c>
      <c r="Q1142">
        <f t="shared" si="220"/>
        <v>0</v>
      </c>
      <c r="R1142">
        <v>0</v>
      </c>
      <c r="S1142">
        <f t="shared" si="221"/>
        <v>0</v>
      </c>
      <c r="T1142">
        <v>0.03</v>
      </c>
      <c r="U1142">
        <f t="shared" si="222"/>
        <v>0</v>
      </c>
      <c r="V1142">
        <f t="shared" si="223"/>
        <v>0</v>
      </c>
      <c r="W1142">
        <f t="shared" si="224"/>
        <v>0</v>
      </c>
      <c r="X1142">
        <v>0</v>
      </c>
    </row>
    <row r="1143" spans="1:24" x14ac:dyDescent="0.25">
      <c r="A1143" t="s">
        <v>1928</v>
      </c>
      <c r="B1143" t="s">
        <v>2030</v>
      </c>
      <c r="C1143" t="s">
        <v>2032</v>
      </c>
      <c r="D1143" t="s">
        <v>158</v>
      </c>
      <c r="E1143" t="s">
        <v>51</v>
      </c>
      <c r="F1143" t="s">
        <v>51</v>
      </c>
      <c r="G1143" t="s">
        <v>688</v>
      </c>
      <c r="H1143"/>
      <c r="I1143"/>
      <c r="J1143">
        <v>381839.62999999995</v>
      </c>
      <c r="K1143">
        <v>402229.97262917837</v>
      </c>
      <c r="L1143">
        <v>170046.32</v>
      </c>
      <c r="M1143">
        <v>342911.0872928176</v>
      </c>
      <c r="N1143">
        <v>347152.49</v>
      </c>
      <c r="O1143">
        <v>341955.40390322357</v>
      </c>
      <c r="P1143">
        <f>SUMIF($F$1119:$F$1142,"&lt;&gt;EV_*",$P$1119:$P$1142)</f>
        <v>1045</v>
      </c>
      <c r="Q1143">
        <f>SUMIF($F$1119:$F$1142,"&lt;&gt;EV_*",$Q$1119:$Q$1142)</f>
        <v>343000.40390322357</v>
      </c>
      <c r="R1143">
        <f>SUMIF($F$1119:$F$1142,"&lt;&gt;EV_*",$R$1119:$R$1142)</f>
        <v>344885.18003642763</v>
      </c>
      <c r="S1143">
        <f>SUMIF($F$1119:$F$1142,"&lt;&gt;EV_*",$S$1119:$S$1142)</f>
        <v>1884.776133204115</v>
      </c>
      <c r="T1143">
        <v>0</v>
      </c>
      <c r="U1143">
        <f>SUMIF($F$1119:$F$1142,"&lt;&gt;EV_*",$U$1119:$U$1142)</f>
        <v>9279.4437506906088</v>
      </c>
      <c r="V1143">
        <f>SUMIF($F$1119:$F$1142,"&lt;&gt;EV_*",$V$1119:$V$1142)</f>
        <v>354164.62378711818</v>
      </c>
      <c r="W1143">
        <f>SUMIF($F$1119:$F$1142,"&lt;&gt;EV_*",$W$1119:$W$1142)</f>
        <v>11164.219883894719</v>
      </c>
      <c r="X1143">
        <f>SUMIF($F$1119:$F$1142,"&lt;&gt;EV_*",$X$1119:$X$1142)</f>
        <v>0</v>
      </c>
    </row>
    <row r="1144" spans="1:24" x14ac:dyDescent="0.25">
      <c r="A1144" t="s">
        <v>1928</v>
      </c>
      <c r="B1144" t="s">
        <v>2030</v>
      </c>
      <c r="C1144" t="s">
        <v>2033</v>
      </c>
      <c r="D1144" t="s">
        <v>159</v>
      </c>
      <c r="E1144" t="s">
        <v>5</v>
      </c>
      <c r="F1144" t="s">
        <v>5</v>
      </c>
      <c r="G1144" t="s">
        <v>689</v>
      </c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</row>
    <row r="1145" spans="1:24" x14ac:dyDescent="0.25">
      <c r="A1145" t="s">
        <v>1928</v>
      </c>
      <c r="B1145" t="s">
        <v>2030</v>
      </c>
      <c r="C1145" t="s">
        <v>2033</v>
      </c>
      <c r="D1145" t="s">
        <v>159</v>
      </c>
      <c r="E1145" t="s">
        <v>8</v>
      </c>
      <c r="F1145" t="s">
        <v>1</v>
      </c>
      <c r="G1145" t="s">
        <v>690</v>
      </c>
      <c r="H1145" t="s">
        <v>408</v>
      </c>
      <c r="I1145" t="s">
        <v>1</v>
      </c>
      <c r="J1145">
        <v>127274.2</v>
      </c>
      <c r="K1145">
        <v>104051.69944751399</v>
      </c>
      <c r="L1145">
        <v>25475.18</v>
      </c>
      <c r="M1145">
        <v>51372.60055248619</v>
      </c>
      <c r="N1145">
        <v>101151.14</v>
      </c>
      <c r="O1145">
        <v>51372.600552486198</v>
      </c>
      <c r="P1145">
        <v>-51373</v>
      </c>
      <c r="Q1145">
        <f t="shared" ref="Q1145:Q1176" si="225">O1145+P1145</f>
        <v>-0.3994475138024427</v>
      </c>
      <c r="R1145">
        <v>0</v>
      </c>
      <c r="S1145">
        <f t="shared" ref="S1145:S1176" si="226">IF(OR(LEFT(E1145,2)="A_",LEFT(D1145,5)="Total"),R1145-Q1145,"")</f>
        <v>0.3994475138024427</v>
      </c>
      <c r="T1145"/>
      <c r="U1145">
        <f t="shared" ref="U1145:U1176" si="227">IFERROR(R1145*T1145,R1145*0)</f>
        <v>0</v>
      </c>
      <c r="V1145">
        <f t="shared" ref="V1145:V1176" si="228">IF(OR(LEFT(E1145,2)="A_",LEFT(D1145,5)="Total"),R1145+U1145,"")</f>
        <v>0</v>
      </c>
      <c r="W1145">
        <f t="shared" ref="W1145:W1176" si="229">IF(OR(LEFT(E1145,2)="A_",LEFT(D1145,5)="Total"),V1145-Q1145,"")</f>
        <v>0.3994475138024427</v>
      </c>
      <c r="X1145">
        <v>0</v>
      </c>
    </row>
    <row r="1146" spans="1:24" x14ac:dyDescent="0.25">
      <c r="A1146" t="s">
        <v>1928</v>
      </c>
      <c r="B1146" t="s">
        <v>2030</v>
      </c>
      <c r="C1146" t="s">
        <v>2033</v>
      </c>
      <c r="D1146" t="s">
        <v>159</v>
      </c>
      <c r="E1146" t="s">
        <v>11</v>
      </c>
      <c r="F1146" t="s">
        <v>1</v>
      </c>
      <c r="G1146" t="s">
        <v>690</v>
      </c>
      <c r="H1146" t="s">
        <v>411</v>
      </c>
      <c r="I1146" t="s">
        <v>1</v>
      </c>
      <c r="J1146">
        <v>2202.31</v>
      </c>
      <c r="K1146">
        <v>1751.6899999991999</v>
      </c>
      <c r="L1146">
        <v>871.35</v>
      </c>
      <c r="M1146">
        <v>1757.1422651933701</v>
      </c>
      <c r="N1146">
        <v>1851.8000000000002</v>
      </c>
      <c r="O1146">
        <v>1742.7</v>
      </c>
      <c r="P1146">
        <v>14</v>
      </c>
      <c r="Q1146">
        <f t="shared" si="225"/>
        <v>1756.7</v>
      </c>
      <c r="R1146">
        <v>1757.1422651933701</v>
      </c>
      <c r="S1146">
        <f t="shared" si="226"/>
        <v>0.4422651933700763</v>
      </c>
      <c r="T1146"/>
      <c r="U1146">
        <f t="shared" si="227"/>
        <v>0</v>
      </c>
      <c r="V1146">
        <f t="shared" si="228"/>
        <v>1757.1422651933701</v>
      </c>
      <c r="W1146">
        <f t="shared" si="229"/>
        <v>0.4422651933700763</v>
      </c>
      <c r="X1146">
        <v>0</v>
      </c>
    </row>
    <row r="1147" spans="1:24" x14ac:dyDescent="0.25">
      <c r="A1147" t="s">
        <v>1928</v>
      </c>
      <c r="B1147" t="s">
        <v>2030</v>
      </c>
      <c r="C1147" t="s">
        <v>2033</v>
      </c>
      <c r="D1147" t="s">
        <v>159</v>
      </c>
      <c r="E1147" t="s">
        <v>65</v>
      </c>
      <c r="F1147" t="s">
        <v>1</v>
      </c>
      <c r="G1147" t="s">
        <v>690</v>
      </c>
      <c r="H1147" t="s">
        <v>476</v>
      </c>
      <c r="I1147" t="s">
        <v>1</v>
      </c>
      <c r="J1147">
        <v>-1987.69</v>
      </c>
      <c r="K1147"/>
      <c r="L1147">
        <v>-1463.67</v>
      </c>
      <c r="M1147">
        <v>-2951.5997237569063</v>
      </c>
      <c r="N1147">
        <v>-2335.98</v>
      </c>
      <c r="O1147">
        <v>-2943.4242857142999</v>
      </c>
      <c r="P1147">
        <v>0</v>
      </c>
      <c r="Q1147">
        <f t="shared" si="225"/>
        <v>-2943.4242857142999</v>
      </c>
      <c r="R1147">
        <v>0</v>
      </c>
      <c r="S1147">
        <f t="shared" si="226"/>
        <v>2943.4242857142999</v>
      </c>
      <c r="T1147"/>
      <c r="U1147">
        <f t="shared" si="227"/>
        <v>0</v>
      </c>
      <c r="V1147">
        <f t="shared" si="228"/>
        <v>0</v>
      </c>
      <c r="W1147">
        <f t="shared" si="229"/>
        <v>2943.4242857142999</v>
      </c>
      <c r="X1147">
        <v>0</v>
      </c>
    </row>
    <row r="1148" spans="1:24" x14ac:dyDescent="0.25">
      <c r="A1148" t="s">
        <v>1928</v>
      </c>
      <c r="B1148" t="s">
        <v>2030</v>
      </c>
      <c r="C1148" t="s">
        <v>2033</v>
      </c>
      <c r="D1148" t="s">
        <v>159</v>
      </c>
      <c r="E1148" t="s">
        <v>17</v>
      </c>
      <c r="F1148" t="s">
        <v>1</v>
      </c>
      <c r="G1148" t="s">
        <v>690</v>
      </c>
      <c r="H1148" t="s">
        <v>417</v>
      </c>
      <c r="I1148" t="s">
        <v>1</v>
      </c>
      <c r="J1148">
        <v>-23329.21</v>
      </c>
      <c r="K1148">
        <v>-17950.000000000098</v>
      </c>
      <c r="L1148">
        <v>-11308.67</v>
      </c>
      <c r="M1148">
        <v>-22804.776519337018</v>
      </c>
      <c r="N1148">
        <v>-26019.41</v>
      </c>
      <c r="O1148">
        <v>-22741.611098901099</v>
      </c>
      <c r="P1148">
        <v>0</v>
      </c>
      <c r="Q1148">
        <f t="shared" si="225"/>
        <v>-22741.611098901099</v>
      </c>
      <c r="R1148">
        <v>-22741.611098901099</v>
      </c>
      <c r="S1148">
        <f t="shared" si="226"/>
        <v>0</v>
      </c>
      <c r="T1148"/>
      <c r="U1148">
        <f t="shared" si="227"/>
        <v>0</v>
      </c>
      <c r="V1148">
        <f t="shared" si="228"/>
        <v>-22741.611098901099</v>
      </c>
      <c r="W1148">
        <f t="shared" si="229"/>
        <v>0</v>
      </c>
      <c r="X1148">
        <v>0</v>
      </c>
    </row>
    <row r="1149" spans="1:24" x14ac:dyDescent="0.25">
      <c r="A1149" t="s">
        <v>1928</v>
      </c>
      <c r="B1149" t="s">
        <v>2030</v>
      </c>
      <c r="C1149" t="s">
        <v>2033</v>
      </c>
      <c r="D1149" t="s">
        <v>159</v>
      </c>
      <c r="E1149" t="s">
        <v>82</v>
      </c>
      <c r="F1149" t="s">
        <v>1</v>
      </c>
      <c r="G1149" t="s">
        <v>690</v>
      </c>
      <c r="H1149" t="s">
        <v>507</v>
      </c>
      <c r="I1149" t="s">
        <v>1</v>
      </c>
      <c r="J1149">
        <v>27587.65</v>
      </c>
      <c r="K1149">
        <v>24889.729633705301</v>
      </c>
      <c r="L1149">
        <v>12929.4</v>
      </c>
      <c r="M1149">
        <v>26073.09944751381</v>
      </c>
      <c r="N1149">
        <v>27235.46</v>
      </c>
      <c r="O1149">
        <v>26000.881318681299</v>
      </c>
      <c r="P1149">
        <v>72</v>
      </c>
      <c r="Q1149">
        <f t="shared" si="225"/>
        <v>26072.881318681299</v>
      </c>
      <c r="R1149">
        <v>26073.09944751381</v>
      </c>
      <c r="S1149">
        <f t="shared" si="226"/>
        <v>0.21812883251186577</v>
      </c>
      <c r="T1149">
        <v>2.75E-2</v>
      </c>
      <c r="U1149">
        <f t="shared" si="227"/>
        <v>717.0102348066298</v>
      </c>
      <c r="V1149">
        <f t="shared" si="228"/>
        <v>26790.109682320439</v>
      </c>
      <c r="W1149">
        <f t="shared" si="229"/>
        <v>717.2283636391403</v>
      </c>
      <c r="X1149">
        <v>0</v>
      </c>
    </row>
    <row r="1150" spans="1:24" x14ac:dyDescent="0.25">
      <c r="A1150" t="s">
        <v>1928</v>
      </c>
      <c r="B1150" t="s">
        <v>2030</v>
      </c>
      <c r="C1150" t="s">
        <v>2033</v>
      </c>
      <c r="D1150" t="s">
        <v>159</v>
      </c>
      <c r="E1150" t="s">
        <v>72</v>
      </c>
      <c r="F1150" t="s">
        <v>1</v>
      </c>
      <c r="G1150" t="s">
        <v>690</v>
      </c>
      <c r="H1150" t="s">
        <v>489</v>
      </c>
      <c r="I1150" t="s">
        <v>1</v>
      </c>
      <c r="J1150">
        <v>5049.92</v>
      </c>
      <c r="K1150">
        <v>4396.3045007005003</v>
      </c>
      <c r="L1150">
        <v>2829.97</v>
      </c>
      <c r="M1150">
        <v>5706.8455801104965</v>
      </c>
      <c r="N1150">
        <v>5717.5599999999995</v>
      </c>
      <c r="O1150">
        <v>5691.0385714286003</v>
      </c>
      <c r="P1150">
        <v>16</v>
      </c>
      <c r="Q1150">
        <f t="shared" si="225"/>
        <v>5707.0385714286003</v>
      </c>
      <c r="R1150">
        <v>5706.8455801104965</v>
      </c>
      <c r="S1150">
        <f t="shared" si="226"/>
        <v>-0.19299131810385006</v>
      </c>
      <c r="T1150">
        <v>2.2499999999999999E-2</v>
      </c>
      <c r="U1150">
        <f t="shared" si="227"/>
        <v>128.40402555248616</v>
      </c>
      <c r="V1150">
        <f t="shared" si="228"/>
        <v>5835.2496056629825</v>
      </c>
      <c r="W1150">
        <f t="shared" si="229"/>
        <v>128.21103423438217</v>
      </c>
      <c r="X1150">
        <v>0</v>
      </c>
    </row>
    <row r="1151" spans="1:24" x14ac:dyDescent="0.25">
      <c r="A1151" t="s">
        <v>1928</v>
      </c>
      <c r="B1151" t="s">
        <v>2030</v>
      </c>
      <c r="C1151" t="s">
        <v>2033</v>
      </c>
      <c r="D1151" t="s">
        <v>159</v>
      </c>
      <c r="E1151" t="s">
        <v>118</v>
      </c>
      <c r="F1151" t="s">
        <v>1</v>
      </c>
      <c r="G1151" t="s">
        <v>690</v>
      </c>
      <c r="H1151" t="s">
        <v>587</v>
      </c>
      <c r="I1151" t="s">
        <v>1</v>
      </c>
      <c r="J1151">
        <v>205.6</v>
      </c>
      <c r="K1151"/>
      <c r="L1151">
        <v>102.8</v>
      </c>
      <c r="M1151">
        <v>207.30386740331491</v>
      </c>
      <c r="N1151">
        <v>257</v>
      </c>
      <c r="O1151">
        <v>206.72967032970001</v>
      </c>
      <c r="P1151">
        <v>1</v>
      </c>
      <c r="Q1151">
        <f t="shared" si="225"/>
        <v>207.72967032970001</v>
      </c>
      <c r="R1151">
        <v>207.30386740331491</v>
      </c>
      <c r="S1151">
        <f t="shared" si="226"/>
        <v>-0.42580292638510286</v>
      </c>
      <c r="T1151">
        <v>3.2500000000000001E-2</v>
      </c>
      <c r="U1151">
        <f t="shared" si="227"/>
        <v>6.7373756906077347</v>
      </c>
      <c r="V1151">
        <f t="shared" si="228"/>
        <v>214.04124309392265</v>
      </c>
      <c r="W1151">
        <f t="shared" si="229"/>
        <v>6.3115727642226318</v>
      </c>
      <c r="X1151">
        <v>0</v>
      </c>
    </row>
    <row r="1152" spans="1:24" x14ac:dyDescent="0.25">
      <c r="A1152" t="s">
        <v>1928</v>
      </c>
      <c r="B1152" t="s">
        <v>2030</v>
      </c>
      <c r="C1152" t="s">
        <v>2033</v>
      </c>
      <c r="D1152" t="s">
        <v>159</v>
      </c>
      <c r="E1152" t="s">
        <v>18</v>
      </c>
      <c r="F1152" t="s">
        <v>1</v>
      </c>
      <c r="G1152" t="s">
        <v>690</v>
      </c>
      <c r="H1152" t="s">
        <v>418</v>
      </c>
      <c r="I1152" t="s">
        <v>1</v>
      </c>
      <c r="J1152">
        <v>465609.6</v>
      </c>
      <c r="K1152">
        <v>432729.71116028703</v>
      </c>
      <c r="L1152">
        <v>224072.33</v>
      </c>
      <c r="M1152">
        <v>451858.5660220994</v>
      </c>
      <c r="N1152">
        <v>446405.17000000004</v>
      </c>
      <c r="O1152">
        <v>450606.99329670297</v>
      </c>
      <c r="P1152">
        <v>1252</v>
      </c>
      <c r="Q1152">
        <f t="shared" si="225"/>
        <v>451858.99329670297</v>
      </c>
      <c r="R1152">
        <v>451858.5660220994</v>
      </c>
      <c r="S1152">
        <f t="shared" si="226"/>
        <v>-0.42727460357127711</v>
      </c>
      <c r="T1152">
        <v>0.02</v>
      </c>
      <c r="U1152">
        <f t="shared" si="227"/>
        <v>9037.1713204419884</v>
      </c>
      <c r="V1152">
        <f t="shared" si="228"/>
        <v>460895.7373425414</v>
      </c>
      <c r="W1152">
        <f t="shared" si="229"/>
        <v>9036.7440458384226</v>
      </c>
      <c r="X1152">
        <v>0</v>
      </c>
    </row>
    <row r="1153" spans="1:24" x14ac:dyDescent="0.25">
      <c r="A1153" t="s">
        <v>1928</v>
      </c>
      <c r="B1153" t="s">
        <v>2030</v>
      </c>
      <c r="C1153" t="s">
        <v>2033</v>
      </c>
      <c r="D1153" t="s">
        <v>159</v>
      </c>
      <c r="E1153" t="s">
        <v>57</v>
      </c>
      <c r="F1153" t="s">
        <v>1</v>
      </c>
      <c r="G1153" t="s">
        <v>690</v>
      </c>
      <c r="H1153" t="s">
        <v>462</v>
      </c>
      <c r="I1153" t="s">
        <v>1</v>
      </c>
      <c r="J1153">
        <v>34936.01</v>
      </c>
      <c r="K1153">
        <v>39560.953146067601</v>
      </c>
      <c r="L1153">
        <v>9420.35</v>
      </c>
      <c r="M1153">
        <v>18996.838397790056</v>
      </c>
      <c r="N1153">
        <v>19569.53</v>
      </c>
      <c r="O1153">
        <v>18944.220329670301</v>
      </c>
      <c r="P1153">
        <v>53</v>
      </c>
      <c r="Q1153">
        <f t="shared" si="225"/>
        <v>18997.220329670301</v>
      </c>
      <c r="R1153">
        <v>18996.838397790056</v>
      </c>
      <c r="S1153">
        <f t="shared" si="226"/>
        <v>-0.38193188024524716</v>
      </c>
      <c r="T1153">
        <v>0.04</v>
      </c>
      <c r="U1153">
        <f t="shared" si="227"/>
        <v>759.87353591160229</v>
      </c>
      <c r="V1153">
        <f t="shared" si="228"/>
        <v>19756.711933701659</v>
      </c>
      <c r="W1153">
        <f t="shared" si="229"/>
        <v>759.49160403135829</v>
      </c>
      <c r="X1153">
        <v>0</v>
      </c>
    </row>
    <row r="1154" spans="1:24" x14ac:dyDescent="0.25">
      <c r="A1154" t="s">
        <v>1928</v>
      </c>
      <c r="B1154" t="s">
        <v>2030</v>
      </c>
      <c r="C1154" t="s">
        <v>2033</v>
      </c>
      <c r="D1154" t="s">
        <v>159</v>
      </c>
      <c r="E1154" t="s">
        <v>73</v>
      </c>
      <c r="F1154" t="s">
        <v>1</v>
      </c>
      <c r="G1154" t="s">
        <v>690</v>
      </c>
      <c r="H1154" t="s">
        <v>490</v>
      </c>
      <c r="I1154" t="s">
        <v>1</v>
      </c>
      <c r="J1154">
        <v>185</v>
      </c>
      <c r="K1154"/>
      <c r="L1154">
        <v>0</v>
      </c>
      <c r="M1154">
        <v>0</v>
      </c>
      <c r="N1154">
        <v>185</v>
      </c>
      <c r="O1154"/>
      <c r="P1154">
        <v>0</v>
      </c>
      <c r="Q1154">
        <f t="shared" si="225"/>
        <v>0</v>
      </c>
      <c r="R1154">
        <v>0</v>
      </c>
      <c r="S1154">
        <f t="shared" si="226"/>
        <v>0</v>
      </c>
      <c r="T1154">
        <v>3.5000000000000003E-2</v>
      </c>
      <c r="U1154">
        <f t="shared" si="227"/>
        <v>0</v>
      </c>
      <c r="V1154">
        <f t="shared" si="228"/>
        <v>0</v>
      </c>
      <c r="W1154">
        <f t="shared" si="229"/>
        <v>0</v>
      </c>
      <c r="X1154">
        <v>0</v>
      </c>
    </row>
    <row r="1155" spans="1:24" x14ac:dyDescent="0.25">
      <c r="A1155" t="s">
        <v>1928</v>
      </c>
      <c r="B1155" t="s">
        <v>2030</v>
      </c>
      <c r="C1155" t="s">
        <v>2033</v>
      </c>
      <c r="D1155" t="s">
        <v>159</v>
      </c>
      <c r="E1155" t="s">
        <v>19</v>
      </c>
      <c r="F1155" t="s">
        <v>1</v>
      </c>
      <c r="G1155" t="s">
        <v>690</v>
      </c>
      <c r="H1155" t="s">
        <v>419</v>
      </c>
      <c r="I1155" t="s">
        <v>1</v>
      </c>
      <c r="J1155">
        <v>204.02</v>
      </c>
      <c r="K1155"/>
      <c r="L1155">
        <v>443.88</v>
      </c>
      <c r="M1155">
        <v>895.11712707182323</v>
      </c>
      <c r="N1155">
        <v>538.22</v>
      </c>
      <c r="O1155">
        <v>892.63780219780006</v>
      </c>
      <c r="P1155">
        <v>2</v>
      </c>
      <c r="Q1155">
        <f t="shared" si="225"/>
        <v>894.63780219780006</v>
      </c>
      <c r="R1155">
        <v>895.11712707182323</v>
      </c>
      <c r="S1155">
        <f t="shared" si="226"/>
        <v>0.47932487402317747</v>
      </c>
      <c r="T1155">
        <v>0.02</v>
      </c>
      <c r="U1155">
        <f t="shared" si="227"/>
        <v>17.902342541436465</v>
      </c>
      <c r="V1155">
        <f t="shared" si="228"/>
        <v>913.01946961325973</v>
      </c>
      <c r="W1155">
        <f t="shared" si="229"/>
        <v>18.381667415459674</v>
      </c>
      <c r="X1155">
        <v>0</v>
      </c>
    </row>
    <row r="1156" spans="1:24" x14ac:dyDescent="0.25">
      <c r="A1156" t="s">
        <v>1928</v>
      </c>
      <c r="B1156" t="s">
        <v>2030</v>
      </c>
      <c r="C1156" t="s">
        <v>2033</v>
      </c>
      <c r="D1156" t="s">
        <v>159</v>
      </c>
      <c r="E1156" t="s">
        <v>74</v>
      </c>
      <c r="F1156" t="s">
        <v>1</v>
      </c>
      <c r="G1156" t="s">
        <v>690</v>
      </c>
      <c r="H1156" t="s">
        <v>491</v>
      </c>
      <c r="I1156" t="s">
        <v>1</v>
      </c>
      <c r="J1156">
        <v>119104.51</v>
      </c>
      <c r="K1156">
        <v>118175.22516650701</v>
      </c>
      <c r="L1156">
        <v>51766.96</v>
      </c>
      <c r="M1156">
        <v>104391.93591160221</v>
      </c>
      <c r="N1156">
        <v>110724.1</v>
      </c>
      <c r="O1156">
        <v>104102.787692308</v>
      </c>
      <c r="P1156">
        <v>289</v>
      </c>
      <c r="Q1156">
        <f t="shared" si="225"/>
        <v>104391.787692308</v>
      </c>
      <c r="R1156">
        <v>104391.93591160221</v>
      </c>
      <c r="S1156">
        <f t="shared" si="226"/>
        <v>0.14821929420577362</v>
      </c>
      <c r="T1156">
        <v>3.5000000000000003E-2</v>
      </c>
      <c r="U1156">
        <f t="shared" si="227"/>
        <v>3653.7177569060777</v>
      </c>
      <c r="V1156">
        <f t="shared" si="228"/>
        <v>108045.65366850828</v>
      </c>
      <c r="W1156">
        <f t="shared" si="229"/>
        <v>3653.865976200279</v>
      </c>
      <c r="X1156">
        <v>0</v>
      </c>
    </row>
    <row r="1157" spans="1:24" x14ac:dyDescent="0.25">
      <c r="A1157" t="s">
        <v>1928</v>
      </c>
      <c r="B1157" t="s">
        <v>2030</v>
      </c>
      <c r="C1157" t="s">
        <v>2033</v>
      </c>
      <c r="D1157" t="s">
        <v>159</v>
      </c>
      <c r="E1157" t="s">
        <v>85</v>
      </c>
      <c r="F1157" t="s">
        <v>1</v>
      </c>
      <c r="G1157" t="s">
        <v>690</v>
      </c>
      <c r="H1157" t="s">
        <v>510</v>
      </c>
      <c r="I1157" t="s">
        <v>1</v>
      </c>
      <c r="J1157">
        <v>4513.1099999999997</v>
      </c>
      <c r="K1157">
        <v>4316.7513618073999</v>
      </c>
      <c r="L1157">
        <v>1963.99</v>
      </c>
      <c r="M1157">
        <v>3960.5323204419888</v>
      </c>
      <c r="N1157">
        <v>4047.8500000000004</v>
      </c>
      <c r="O1157">
        <v>3949.5623076922998</v>
      </c>
      <c r="P1157">
        <v>11</v>
      </c>
      <c r="Q1157">
        <f t="shared" si="225"/>
        <v>3960.5623076922998</v>
      </c>
      <c r="R1157">
        <v>3960.5323204419888</v>
      </c>
      <c r="S1157">
        <f t="shared" si="226"/>
        <v>-2.9987250311023672E-2</v>
      </c>
      <c r="T1157">
        <v>0.02</v>
      </c>
      <c r="U1157">
        <f t="shared" si="227"/>
        <v>79.210646408839779</v>
      </c>
      <c r="V1157">
        <f t="shared" si="228"/>
        <v>4039.7429668508285</v>
      </c>
      <c r="W1157">
        <f t="shared" si="229"/>
        <v>79.18065915852867</v>
      </c>
      <c r="X1157">
        <v>0</v>
      </c>
    </row>
    <row r="1158" spans="1:24" x14ac:dyDescent="0.25">
      <c r="A1158" t="s">
        <v>1928</v>
      </c>
      <c r="B1158" t="s">
        <v>2030</v>
      </c>
      <c r="C1158" t="s">
        <v>2033</v>
      </c>
      <c r="D1158" t="s">
        <v>159</v>
      </c>
      <c r="E1158" t="s">
        <v>119</v>
      </c>
      <c r="F1158" t="s">
        <v>1</v>
      </c>
      <c r="G1158" t="s">
        <v>690</v>
      </c>
      <c r="H1158" t="s">
        <v>588</v>
      </c>
      <c r="I1158" t="s">
        <v>1</v>
      </c>
      <c r="J1158">
        <v>39352.410000000003</v>
      </c>
      <c r="K1158">
        <v>33962.949308363597</v>
      </c>
      <c r="L1158">
        <v>16190.9</v>
      </c>
      <c r="M1158">
        <v>32650.157458563532</v>
      </c>
      <c r="N1158">
        <v>36647.160000000003</v>
      </c>
      <c r="O1158">
        <v>32559.721978022</v>
      </c>
      <c r="P1158">
        <v>90</v>
      </c>
      <c r="Q1158">
        <f t="shared" si="225"/>
        <v>32649.721978022</v>
      </c>
      <c r="R1158">
        <v>32650.157458563532</v>
      </c>
      <c r="S1158">
        <f t="shared" si="226"/>
        <v>0.43548054153143312</v>
      </c>
      <c r="T1158">
        <v>1.4999999999999999E-2</v>
      </c>
      <c r="U1158">
        <f t="shared" si="227"/>
        <v>489.75236187845297</v>
      </c>
      <c r="V1158">
        <f t="shared" si="228"/>
        <v>33139.909820441986</v>
      </c>
      <c r="W1158">
        <f t="shared" si="229"/>
        <v>490.18784241998583</v>
      </c>
      <c r="X1158">
        <v>0</v>
      </c>
    </row>
    <row r="1159" spans="1:24" x14ac:dyDescent="0.25">
      <c r="A1159" t="s">
        <v>1928</v>
      </c>
      <c r="B1159" t="s">
        <v>2030</v>
      </c>
      <c r="C1159" t="s">
        <v>2033</v>
      </c>
      <c r="D1159" t="s">
        <v>159</v>
      </c>
      <c r="E1159" t="s">
        <v>120</v>
      </c>
      <c r="F1159" t="s">
        <v>1</v>
      </c>
      <c r="G1159" t="s">
        <v>690</v>
      </c>
      <c r="H1159" t="s">
        <v>589</v>
      </c>
      <c r="I1159" t="s">
        <v>1</v>
      </c>
      <c r="J1159">
        <v>64693.760000000002</v>
      </c>
      <c r="K1159">
        <v>48205.180060097897</v>
      </c>
      <c r="L1159">
        <v>36854.47</v>
      </c>
      <c r="M1159">
        <v>74319.787569060776</v>
      </c>
      <c r="N1159">
        <v>79519.259999999995</v>
      </c>
      <c r="O1159">
        <v>74113.934175824194</v>
      </c>
      <c r="P1159">
        <v>206</v>
      </c>
      <c r="Q1159">
        <f t="shared" si="225"/>
        <v>74319.934175824194</v>
      </c>
      <c r="R1159">
        <v>74319.787569060776</v>
      </c>
      <c r="S1159">
        <f t="shared" si="226"/>
        <v>-0.14660676341736689</v>
      </c>
      <c r="T1159">
        <v>3.5000000000000003E-2</v>
      </c>
      <c r="U1159">
        <f t="shared" si="227"/>
        <v>2601.1925649171276</v>
      </c>
      <c r="V1159">
        <f t="shared" si="228"/>
        <v>76920.980133977908</v>
      </c>
      <c r="W1159">
        <f t="shared" si="229"/>
        <v>2601.0459581537143</v>
      </c>
      <c r="X1159">
        <v>0</v>
      </c>
    </row>
    <row r="1160" spans="1:24" x14ac:dyDescent="0.25">
      <c r="A1160" t="s">
        <v>1928</v>
      </c>
      <c r="B1160" t="s">
        <v>2030</v>
      </c>
      <c r="C1160" t="s">
        <v>2033</v>
      </c>
      <c r="D1160" t="s">
        <v>159</v>
      </c>
      <c r="E1160" t="s">
        <v>20</v>
      </c>
      <c r="F1160" t="s">
        <v>1</v>
      </c>
      <c r="G1160" t="s">
        <v>690</v>
      </c>
      <c r="H1160" t="s">
        <v>420</v>
      </c>
      <c r="I1160" t="s">
        <v>1</v>
      </c>
      <c r="J1160">
        <v>173981.86</v>
      </c>
      <c r="K1160">
        <v>172491.913424167</v>
      </c>
      <c r="L1160">
        <v>62445.67</v>
      </c>
      <c r="M1160">
        <v>125926.35110497237</v>
      </c>
      <c r="N1160">
        <v>138798.31</v>
      </c>
      <c r="O1160">
        <v>125577.556153846</v>
      </c>
      <c r="P1160">
        <v>349</v>
      </c>
      <c r="Q1160">
        <f t="shared" si="225"/>
        <v>125926.556153846</v>
      </c>
      <c r="R1160">
        <v>125926.35110497237</v>
      </c>
      <c r="S1160">
        <f t="shared" si="226"/>
        <v>-0.20504887362767477</v>
      </c>
      <c r="T1160">
        <v>0.04</v>
      </c>
      <c r="U1160">
        <f t="shared" si="227"/>
        <v>5037.0540441988951</v>
      </c>
      <c r="V1160">
        <f t="shared" si="228"/>
        <v>130963.40514917127</v>
      </c>
      <c r="W1160">
        <f t="shared" si="229"/>
        <v>5036.848995325272</v>
      </c>
      <c r="X1160">
        <v>0</v>
      </c>
    </row>
    <row r="1161" spans="1:24" x14ac:dyDescent="0.25">
      <c r="A1161" t="s">
        <v>1928</v>
      </c>
      <c r="B1161" t="s">
        <v>2030</v>
      </c>
      <c r="C1161" t="s">
        <v>2033</v>
      </c>
      <c r="D1161" t="s">
        <v>159</v>
      </c>
      <c r="E1161" t="s">
        <v>21</v>
      </c>
      <c r="F1161" t="s">
        <v>1</v>
      </c>
      <c r="G1161" t="s">
        <v>690</v>
      </c>
      <c r="H1161" t="s">
        <v>421</v>
      </c>
      <c r="I1161" t="s">
        <v>1</v>
      </c>
      <c r="J1161">
        <v>3814.26</v>
      </c>
      <c r="K1161">
        <v>3806.4200000003002</v>
      </c>
      <c r="L1161">
        <v>3171.9</v>
      </c>
      <c r="M1161">
        <v>6396.3729281767964</v>
      </c>
      <c r="N1161">
        <v>5117.74</v>
      </c>
      <c r="O1161">
        <v>6396.3729281768001</v>
      </c>
      <c r="P1161">
        <v>0</v>
      </c>
      <c r="Q1161">
        <f t="shared" si="225"/>
        <v>6396.3729281768001</v>
      </c>
      <c r="R1161">
        <v>6396.3729281767964</v>
      </c>
      <c r="S1161">
        <f t="shared" si="226"/>
        <v>-3.637978807091713E-12</v>
      </c>
      <c r="T1161">
        <v>0.03</v>
      </c>
      <c r="U1161">
        <f t="shared" si="227"/>
        <v>191.89118784530388</v>
      </c>
      <c r="V1161">
        <f t="shared" si="228"/>
        <v>6588.2641160221001</v>
      </c>
      <c r="W1161">
        <f t="shared" si="229"/>
        <v>191.89118784530001</v>
      </c>
      <c r="X1161">
        <v>0</v>
      </c>
    </row>
    <row r="1162" spans="1:24" x14ac:dyDescent="0.25">
      <c r="A1162" t="s">
        <v>1928</v>
      </c>
      <c r="B1162" t="s">
        <v>2030</v>
      </c>
      <c r="C1162" t="s">
        <v>2033</v>
      </c>
      <c r="D1162" t="s">
        <v>159</v>
      </c>
      <c r="E1162" t="s">
        <v>22</v>
      </c>
      <c r="F1162" t="s">
        <v>1</v>
      </c>
      <c r="G1162" t="s">
        <v>690</v>
      </c>
      <c r="H1162" t="s">
        <v>422</v>
      </c>
      <c r="I1162" t="s">
        <v>1</v>
      </c>
      <c r="J1162">
        <v>2312.62</v>
      </c>
      <c r="K1162">
        <v>1863.0000000001</v>
      </c>
      <c r="L1162">
        <v>858.3</v>
      </c>
      <c r="M1162">
        <v>1730.8259668508285</v>
      </c>
      <c r="N1162">
        <v>2271.5500000000002</v>
      </c>
      <c r="O1162">
        <v>1730.8259668507999</v>
      </c>
      <c r="P1162">
        <v>0</v>
      </c>
      <c r="Q1162">
        <f t="shared" si="225"/>
        <v>1730.8259668507999</v>
      </c>
      <c r="R1162">
        <v>1730.8259668508285</v>
      </c>
      <c r="S1162">
        <f t="shared" si="226"/>
        <v>2.8649083105847239E-11</v>
      </c>
      <c r="T1162">
        <v>3.5000000000000003E-2</v>
      </c>
      <c r="U1162">
        <f t="shared" si="227"/>
        <v>60.578908839779004</v>
      </c>
      <c r="V1162">
        <f t="shared" si="228"/>
        <v>1791.4048756906075</v>
      </c>
      <c r="W1162">
        <f t="shared" si="229"/>
        <v>60.578908839807582</v>
      </c>
      <c r="X1162">
        <v>0</v>
      </c>
    </row>
    <row r="1163" spans="1:24" x14ac:dyDescent="0.25">
      <c r="A1163" t="s">
        <v>1928</v>
      </c>
      <c r="B1163" t="s">
        <v>2030</v>
      </c>
      <c r="C1163" t="s">
        <v>2033</v>
      </c>
      <c r="D1163" t="s">
        <v>159</v>
      </c>
      <c r="E1163" t="s">
        <v>23</v>
      </c>
      <c r="F1163" t="s">
        <v>1</v>
      </c>
      <c r="G1163" t="s">
        <v>690</v>
      </c>
      <c r="H1163" t="s">
        <v>423</v>
      </c>
      <c r="I1163" t="s">
        <v>1</v>
      </c>
      <c r="J1163">
        <v>7286.2</v>
      </c>
      <c r="K1163">
        <v>8114.3999999998996</v>
      </c>
      <c r="L1163">
        <v>1644.3</v>
      </c>
      <c r="M1163">
        <v>3315.8535911602207</v>
      </c>
      <c r="N1163">
        <v>5010.1899999999996</v>
      </c>
      <c r="O1163">
        <v>3315.8535911601998</v>
      </c>
      <c r="P1163">
        <v>0</v>
      </c>
      <c r="Q1163">
        <f t="shared" si="225"/>
        <v>3315.8535911601998</v>
      </c>
      <c r="R1163">
        <v>3315.8535911602207</v>
      </c>
      <c r="S1163">
        <f t="shared" si="226"/>
        <v>2.0918378140777349E-11</v>
      </c>
      <c r="T1163">
        <v>3.5000000000000003E-2</v>
      </c>
      <c r="U1163">
        <f t="shared" si="227"/>
        <v>116.05487569060773</v>
      </c>
      <c r="V1163">
        <f t="shared" si="228"/>
        <v>3431.9084668508285</v>
      </c>
      <c r="W1163">
        <f t="shared" si="229"/>
        <v>116.05487569062871</v>
      </c>
      <c r="X1163">
        <v>0</v>
      </c>
    </row>
    <row r="1164" spans="1:24" x14ac:dyDescent="0.25">
      <c r="A1164" t="s">
        <v>1928</v>
      </c>
      <c r="B1164" t="s">
        <v>2030</v>
      </c>
      <c r="C1164" t="s">
        <v>2033</v>
      </c>
      <c r="D1164" t="s">
        <v>159</v>
      </c>
      <c r="E1164" t="s">
        <v>26</v>
      </c>
      <c r="F1164" t="s">
        <v>1</v>
      </c>
      <c r="G1164" t="s">
        <v>690</v>
      </c>
      <c r="H1164" t="s">
        <v>426</v>
      </c>
      <c r="I1164" t="s">
        <v>1</v>
      </c>
      <c r="J1164"/>
      <c r="K1164">
        <v>1363.9213319292001</v>
      </c>
      <c r="L1164">
        <v>0</v>
      </c>
      <c r="M1164">
        <v>0</v>
      </c>
      <c r="N1164">
        <v>0</v>
      </c>
      <c r="O1164"/>
      <c r="P1164">
        <v>1000</v>
      </c>
      <c r="Q1164">
        <f t="shared" si="225"/>
        <v>1000</v>
      </c>
      <c r="R1164">
        <v>1000</v>
      </c>
      <c r="S1164">
        <f t="shared" si="226"/>
        <v>0</v>
      </c>
      <c r="T1164"/>
      <c r="U1164">
        <f t="shared" si="227"/>
        <v>0</v>
      </c>
      <c r="V1164">
        <f t="shared" si="228"/>
        <v>1000</v>
      </c>
      <c r="W1164">
        <f t="shared" si="229"/>
        <v>0</v>
      </c>
      <c r="X1164" t="s">
        <v>1460</v>
      </c>
    </row>
    <row r="1165" spans="1:24" x14ac:dyDescent="0.25">
      <c r="A1165" t="s">
        <v>1928</v>
      </c>
      <c r="B1165" t="s">
        <v>2030</v>
      </c>
      <c r="C1165" t="s">
        <v>2033</v>
      </c>
      <c r="D1165" t="s">
        <v>159</v>
      </c>
      <c r="E1165" t="s">
        <v>28</v>
      </c>
      <c r="F1165" t="s">
        <v>1</v>
      </c>
      <c r="G1165" t="s">
        <v>690</v>
      </c>
      <c r="H1165" t="s">
        <v>428</v>
      </c>
      <c r="I1165" t="s">
        <v>1</v>
      </c>
      <c r="J1165">
        <v>9595.7900000000009</v>
      </c>
      <c r="K1165">
        <v>9740.0000000004002</v>
      </c>
      <c r="L1165">
        <v>1720.99</v>
      </c>
      <c r="M1165">
        <v>3470.5046961325966</v>
      </c>
      <c r="N1165">
        <v>6517.64</v>
      </c>
      <c r="O1165">
        <v>3441.98</v>
      </c>
      <c r="P1165">
        <v>29</v>
      </c>
      <c r="Q1165">
        <f t="shared" si="225"/>
        <v>3470.98</v>
      </c>
      <c r="R1165">
        <v>3470.5046961325966</v>
      </c>
      <c r="S1165">
        <f t="shared" si="226"/>
        <v>-0.47530386740345421</v>
      </c>
      <c r="T1165"/>
      <c r="U1165">
        <f t="shared" si="227"/>
        <v>0</v>
      </c>
      <c r="V1165">
        <f t="shared" si="228"/>
        <v>3470.5046961325966</v>
      </c>
      <c r="W1165">
        <f t="shared" si="229"/>
        <v>-0.47530386740345421</v>
      </c>
      <c r="X1165">
        <v>0</v>
      </c>
    </row>
    <row r="1166" spans="1:24" x14ac:dyDescent="0.25">
      <c r="A1166" t="s">
        <v>1928</v>
      </c>
      <c r="B1166" t="s">
        <v>2030</v>
      </c>
      <c r="C1166" t="s">
        <v>2033</v>
      </c>
      <c r="D1166" t="s">
        <v>159</v>
      </c>
      <c r="E1166" t="s">
        <v>29</v>
      </c>
      <c r="F1166" t="s">
        <v>1</v>
      </c>
      <c r="G1166" t="s">
        <v>690</v>
      </c>
      <c r="H1166" t="s">
        <v>429</v>
      </c>
      <c r="I1166" t="s">
        <v>1</v>
      </c>
      <c r="J1166">
        <v>472.5</v>
      </c>
      <c r="K1166">
        <v>590.00000000039995</v>
      </c>
      <c r="L1166">
        <v>110</v>
      </c>
      <c r="M1166">
        <v>221.82320441988949</v>
      </c>
      <c r="N1166">
        <v>290</v>
      </c>
      <c r="O1166">
        <v>220</v>
      </c>
      <c r="P1166">
        <v>3280</v>
      </c>
      <c r="Q1166">
        <f t="shared" si="225"/>
        <v>3500</v>
      </c>
      <c r="R1166">
        <v>3500</v>
      </c>
      <c r="S1166">
        <f t="shared" si="226"/>
        <v>0</v>
      </c>
      <c r="T1166"/>
      <c r="U1166">
        <f t="shared" si="227"/>
        <v>0</v>
      </c>
      <c r="V1166">
        <f t="shared" si="228"/>
        <v>3500</v>
      </c>
      <c r="W1166">
        <f t="shared" si="229"/>
        <v>0</v>
      </c>
      <c r="X1166" t="s">
        <v>1498</v>
      </c>
    </row>
    <row r="1167" spans="1:24" x14ac:dyDescent="0.25">
      <c r="A1167" t="s">
        <v>1928</v>
      </c>
      <c r="B1167" t="s">
        <v>2030</v>
      </c>
      <c r="C1167" t="s">
        <v>2033</v>
      </c>
      <c r="D1167" t="s">
        <v>159</v>
      </c>
      <c r="E1167" t="s">
        <v>33</v>
      </c>
      <c r="F1167" t="s">
        <v>1</v>
      </c>
      <c r="G1167" t="s">
        <v>690</v>
      </c>
      <c r="H1167" t="s">
        <v>433</v>
      </c>
      <c r="I1167" t="s">
        <v>1</v>
      </c>
      <c r="J1167"/>
      <c r="K1167">
        <v>245.30959207320001</v>
      </c>
      <c r="L1167">
        <v>0</v>
      </c>
      <c r="M1167">
        <v>0</v>
      </c>
      <c r="N1167">
        <v>0</v>
      </c>
      <c r="O1167"/>
      <c r="P1167">
        <v>500</v>
      </c>
      <c r="Q1167">
        <f t="shared" si="225"/>
        <v>500</v>
      </c>
      <c r="R1167">
        <v>500</v>
      </c>
      <c r="S1167">
        <f t="shared" si="226"/>
        <v>0</v>
      </c>
      <c r="T1167"/>
      <c r="U1167">
        <f t="shared" si="227"/>
        <v>0</v>
      </c>
      <c r="V1167">
        <f t="shared" si="228"/>
        <v>500</v>
      </c>
      <c r="W1167">
        <f t="shared" si="229"/>
        <v>0</v>
      </c>
      <c r="X1167" t="s">
        <v>1422</v>
      </c>
    </row>
    <row r="1168" spans="1:24" x14ac:dyDescent="0.25">
      <c r="A1168" t="s">
        <v>1928</v>
      </c>
      <c r="B1168" t="s">
        <v>2030</v>
      </c>
      <c r="C1168" t="s">
        <v>2033</v>
      </c>
      <c r="D1168" t="s">
        <v>159</v>
      </c>
      <c r="E1168" t="s">
        <v>34</v>
      </c>
      <c r="F1168" t="s">
        <v>1</v>
      </c>
      <c r="G1168" t="s">
        <v>690</v>
      </c>
      <c r="H1168" t="s">
        <v>434</v>
      </c>
      <c r="I1168" t="s">
        <v>1</v>
      </c>
      <c r="J1168">
        <v>46.5</v>
      </c>
      <c r="K1168">
        <v>98.123836830000002</v>
      </c>
      <c r="L1168">
        <v>0</v>
      </c>
      <c r="M1168">
        <v>0</v>
      </c>
      <c r="N1168">
        <v>0</v>
      </c>
      <c r="O1168"/>
      <c r="P1168">
        <v>0</v>
      </c>
      <c r="Q1168">
        <f t="shared" si="225"/>
        <v>0</v>
      </c>
      <c r="R1168">
        <v>0</v>
      </c>
      <c r="S1168">
        <f t="shared" si="226"/>
        <v>0</v>
      </c>
      <c r="T1168"/>
      <c r="U1168">
        <f t="shared" si="227"/>
        <v>0</v>
      </c>
      <c r="V1168">
        <f t="shared" si="228"/>
        <v>0</v>
      </c>
      <c r="W1168">
        <f t="shared" si="229"/>
        <v>0</v>
      </c>
      <c r="X1168">
        <v>0</v>
      </c>
    </row>
    <row r="1169" spans="1:24" x14ac:dyDescent="0.25">
      <c r="A1169" t="s">
        <v>1928</v>
      </c>
      <c r="B1169" t="s">
        <v>2030</v>
      </c>
      <c r="C1169" t="s">
        <v>2033</v>
      </c>
      <c r="D1169" t="s">
        <v>159</v>
      </c>
      <c r="E1169" t="s">
        <v>37</v>
      </c>
      <c r="F1169" t="s">
        <v>1</v>
      </c>
      <c r="G1169" t="s">
        <v>690</v>
      </c>
      <c r="H1169" t="s">
        <v>437</v>
      </c>
      <c r="I1169" t="s">
        <v>1</v>
      </c>
      <c r="J1169">
        <v>1204.98</v>
      </c>
      <c r="K1169">
        <v>1471.8575524416001</v>
      </c>
      <c r="L1169">
        <v>0</v>
      </c>
      <c r="M1169">
        <v>0</v>
      </c>
      <c r="N1169">
        <v>0</v>
      </c>
      <c r="O1169"/>
      <c r="P1169">
        <v>1500</v>
      </c>
      <c r="Q1169">
        <f t="shared" si="225"/>
        <v>1500</v>
      </c>
      <c r="R1169">
        <v>1500</v>
      </c>
      <c r="S1169">
        <f t="shared" si="226"/>
        <v>0</v>
      </c>
      <c r="T1169"/>
      <c r="U1169">
        <f t="shared" si="227"/>
        <v>0</v>
      </c>
      <c r="V1169">
        <f t="shared" si="228"/>
        <v>1500</v>
      </c>
      <c r="W1169">
        <f t="shared" si="229"/>
        <v>0</v>
      </c>
      <c r="X1169" t="s">
        <v>1423</v>
      </c>
    </row>
    <row r="1170" spans="1:24" x14ac:dyDescent="0.25">
      <c r="A1170" t="s">
        <v>1928</v>
      </c>
      <c r="B1170" t="s">
        <v>2030</v>
      </c>
      <c r="C1170" t="s">
        <v>2033</v>
      </c>
      <c r="D1170" t="s">
        <v>159</v>
      </c>
      <c r="E1170" t="s">
        <v>121</v>
      </c>
      <c r="F1170" t="s">
        <v>1</v>
      </c>
      <c r="G1170" t="s">
        <v>690</v>
      </c>
      <c r="H1170" t="s">
        <v>590</v>
      </c>
      <c r="I1170" t="s">
        <v>1</v>
      </c>
      <c r="J1170"/>
      <c r="K1170">
        <v>18364.183352992801</v>
      </c>
      <c r="L1170">
        <v>0</v>
      </c>
      <c r="M1170">
        <v>0</v>
      </c>
      <c r="N1170">
        <v>0</v>
      </c>
      <c r="O1170"/>
      <c r="P1170">
        <v>0</v>
      </c>
      <c r="Q1170">
        <f t="shared" si="225"/>
        <v>0</v>
      </c>
      <c r="R1170">
        <v>0</v>
      </c>
      <c r="S1170">
        <f t="shared" si="226"/>
        <v>0</v>
      </c>
      <c r="T1170"/>
      <c r="U1170">
        <f t="shared" si="227"/>
        <v>0</v>
      </c>
      <c r="V1170">
        <f t="shared" si="228"/>
        <v>0</v>
      </c>
      <c r="W1170">
        <f t="shared" si="229"/>
        <v>0</v>
      </c>
      <c r="X1170">
        <v>0</v>
      </c>
    </row>
    <row r="1171" spans="1:24" x14ac:dyDescent="0.25">
      <c r="A1171" t="s">
        <v>1928</v>
      </c>
      <c r="B1171" t="s">
        <v>2030</v>
      </c>
      <c r="C1171" t="s">
        <v>2033</v>
      </c>
      <c r="D1171" t="s">
        <v>159</v>
      </c>
      <c r="E1171" t="s">
        <v>41</v>
      </c>
      <c r="F1171" t="s">
        <v>1</v>
      </c>
      <c r="G1171" t="s">
        <v>690</v>
      </c>
      <c r="H1171" t="s">
        <v>441</v>
      </c>
      <c r="I1171" t="s">
        <v>1</v>
      </c>
      <c r="J1171">
        <v>2172.15</v>
      </c>
      <c r="K1171">
        <v>1881.8900000004001</v>
      </c>
      <c r="L1171">
        <v>1223.52</v>
      </c>
      <c r="M1171">
        <v>2467.3193370165745</v>
      </c>
      <c r="N1171">
        <v>2273.7199999999998</v>
      </c>
      <c r="O1171">
        <v>2447.04</v>
      </c>
      <c r="P1171">
        <v>20</v>
      </c>
      <c r="Q1171">
        <f t="shared" si="225"/>
        <v>2467.04</v>
      </c>
      <c r="R1171">
        <v>2467.3193370165745</v>
      </c>
      <c r="S1171">
        <f t="shared" si="226"/>
        <v>0.27933701657457277</v>
      </c>
      <c r="T1171">
        <v>0.03</v>
      </c>
      <c r="U1171">
        <f t="shared" si="227"/>
        <v>74.01958011049723</v>
      </c>
      <c r="V1171">
        <f t="shared" si="228"/>
        <v>2541.3389171270719</v>
      </c>
      <c r="W1171">
        <f t="shared" si="229"/>
        <v>74.298917127071945</v>
      </c>
      <c r="X1171">
        <v>0</v>
      </c>
    </row>
    <row r="1172" spans="1:24" x14ac:dyDescent="0.25">
      <c r="A1172" t="s">
        <v>1928</v>
      </c>
      <c r="B1172" t="s">
        <v>2030</v>
      </c>
      <c r="C1172" t="s">
        <v>2033</v>
      </c>
      <c r="D1172" t="s">
        <v>159</v>
      </c>
      <c r="E1172" t="s">
        <v>140</v>
      </c>
      <c r="F1172" t="s">
        <v>1</v>
      </c>
      <c r="G1172" t="s">
        <v>690</v>
      </c>
      <c r="H1172" t="s">
        <v>637</v>
      </c>
      <c r="I1172" t="s">
        <v>1</v>
      </c>
      <c r="J1172">
        <v>288.17</v>
      </c>
      <c r="K1172">
        <v>1728.9999999996</v>
      </c>
      <c r="L1172">
        <v>0</v>
      </c>
      <c r="M1172">
        <v>0</v>
      </c>
      <c r="N1172">
        <v>0</v>
      </c>
      <c r="O1172"/>
      <c r="P1172">
        <v>0</v>
      </c>
      <c r="Q1172">
        <f t="shared" si="225"/>
        <v>0</v>
      </c>
      <c r="R1172">
        <v>0</v>
      </c>
      <c r="S1172">
        <f t="shared" si="226"/>
        <v>0</v>
      </c>
      <c r="T1172">
        <v>0.03</v>
      </c>
      <c r="U1172">
        <f t="shared" si="227"/>
        <v>0</v>
      </c>
      <c r="V1172">
        <f t="shared" si="228"/>
        <v>0</v>
      </c>
      <c r="W1172">
        <f t="shared" si="229"/>
        <v>0</v>
      </c>
      <c r="X1172">
        <v>0</v>
      </c>
    </row>
    <row r="1173" spans="1:24" x14ac:dyDescent="0.25">
      <c r="A1173" t="s">
        <v>1928</v>
      </c>
      <c r="B1173" t="s">
        <v>2030</v>
      </c>
      <c r="C1173" t="s">
        <v>2033</v>
      </c>
      <c r="D1173" t="s">
        <v>159</v>
      </c>
      <c r="E1173" t="s">
        <v>42</v>
      </c>
      <c r="F1173" t="s">
        <v>1</v>
      </c>
      <c r="G1173" t="s">
        <v>690</v>
      </c>
      <c r="H1173" t="s">
        <v>442</v>
      </c>
      <c r="I1173" t="s">
        <v>1</v>
      </c>
      <c r="J1173"/>
      <c r="K1173">
        <v>3999.9999999995998</v>
      </c>
      <c r="L1173">
        <v>0</v>
      </c>
      <c r="M1173">
        <v>0</v>
      </c>
      <c r="N1173">
        <v>0</v>
      </c>
      <c r="O1173"/>
      <c r="P1173">
        <v>0</v>
      </c>
      <c r="Q1173">
        <f t="shared" si="225"/>
        <v>0</v>
      </c>
      <c r="R1173">
        <v>0</v>
      </c>
      <c r="S1173">
        <f t="shared" si="226"/>
        <v>0</v>
      </c>
      <c r="T1173">
        <v>0.03</v>
      </c>
      <c r="U1173">
        <f t="shared" si="227"/>
        <v>0</v>
      </c>
      <c r="V1173">
        <f t="shared" si="228"/>
        <v>0</v>
      </c>
      <c r="W1173">
        <f t="shared" si="229"/>
        <v>0</v>
      </c>
      <c r="X1173">
        <v>0</v>
      </c>
    </row>
    <row r="1174" spans="1:24" x14ac:dyDescent="0.25">
      <c r="A1174" t="s">
        <v>1928</v>
      </c>
      <c r="B1174" t="s">
        <v>2030</v>
      </c>
      <c r="C1174" t="s">
        <v>2033</v>
      </c>
      <c r="D1174" t="s">
        <v>159</v>
      </c>
      <c r="E1174" t="s">
        <v>134</v>
      </c>
      <c r="F1174" t="s">
        <v>1</v>
      </c>
      <c r="G1174" t="s">
        <v>690</v>
      </c>
      <c r="H1174" t="s">
        <v>623</v>
      </c>
      <c r="I1174" t="s">
        <v>1</v>
      </c>
      <c r="J1174">
        <v>1000</v>
      </c>
      <c r="K1174"/>
      <c r="L1174">
        <v>0</v>
      </c>
      <c r="M1174">
        <v>0</v>
      </c>
      <c r="N1174">
        <v>0</v>
      </c>
      <c r="O1174"/>
      <c r="P1174">
        <v>0</v>
      </c>
      <c r="Q1174">
        <f t="shared" si="225"/>
        <v>0</v>
      </c>
      <c r="R1174">
        <v>0</v>
      </c>
      <c r="S1174">
        <f t="shared" si="226"/>
        <v>0</v>
      </c>
      <c r="T1174">
        <v>0.03</v>
      </c>
      <c r="U1174">
        <f t="shared" si="227"/>
        <v>0</v>
      </c>
      <c r="V1174">
        <f t="shared" si="228"/>
        <v>0</v>
      </c>
      <c r="W1174">
        <f t="shared" si="229"/>
        <v>0</v>
      </c>
      <c r="X1174">
        <v>0</v>
      </c>
    </row>
    <row r="1175" spans="1:24" x14ac:dyDescent="0.25">
      <c r="A1175" t="s">
        <v>1928</v>
      </c>
      <c r="B1175" t="s">
        <v>2030</v>
      </c>
      <c r="C1175" t="s">
        <v>2033</v>
      </c>
      <c r="D1175" t="s">
        <v>159</v>
      </c>
      <c r="E1175" t="s">
        <v>46</v>
      </c>
      <c r="F1175" t="s">
        <v>1</v>
      </c>
      <c r="G1175" t="s">
        <v>690</v>
      </c>
      <c r="H1175" t="s">
        <v>446</v>
      </c>
      <c r="I1175" t="s">
        <v>1</v>
      </c>
      <c r="J1175">
        <v>1945.14</v>
      </c>
      <c r="K1175"/>
      <c r="L1175">
        <v>0</v>
      </c>
      <c r="M1175">
        <v>0</v>
      </c>
      <c r="N1175">
        <v>0</v>
      </c>
      <c r="O1175"/>
      <c r="P1175">
        <v>0</v>
      </c>
      <c r="Q1175">
        <f t="shared" si="225"/>
        <v>0</v>
      </c>
      <c r="R1175">
        <v>0</v>
      </c>
      <c r="S1175">
        <f t="shared" si="226"/>
        <v>0</v>
      </c>
      <c r="T1175">
        <v>0.03</v>
      </c>
      <c r="U1175">
        <f t="shared" si="227"/>
        <v>0</v>
      </c>
      <c r="V1175">
        <f t="shared" si="228"/>
        <v>0</v>
      </c>
      <c r="W1175">
        <f t="shared" si="229"/>
        <v>0</v>
      </c>
      <c r="X1175">
        <v>0</v>
      </c>
    </row>
    <row r="1176" spans="1:24" x14ac:dyDescent="0.25">
      <c r="A1176" t="s">
        <v>1928</v>
      </c>
      <c r="B1176" t="s">
        <v>2030</v>
      </c>
      <c r="C1176" t="s">
        <v>2033</v>
      </c>
      <c r="D1176" t="s">
        <v>159</v>
      </c>
      <c r="E1176" t="s">
        <v>50</v>
      </c>
      <c r="F1176" t="s">
        <v>1</v>
      </c>
      <c r="G1176" t="s">
        <v>690</v>
      </c>
      <c r="H1176" t="s">
        <v>450</v>
      </c>
      <c r="I1176" t="s">
        <v>1</v>
      </c>
      <c r="J1176">
        <v>1565.63</v>
      </c>
      <c r="K1176">
        <v>1609.9999999996</v>
      </c>
      <c r="L1176">
        <v>589.77</v>
      </c>
      <c r="M1176">
        <v>1189.3151933701656</v>
      </c>
      <c r="N1176">
        <v>1336.2499999999998</v>
      </c>
      <c r="O1176">
        <v>1189.3151933701999</v>
      </c>
      <c r="P1176">
        <v>0</v>
      </c>
      <c r="Q1176">
        <f t="shared" si="225"/>
        <v>1189.3151933701999</v>
      </c>
      <c r="R1176">
        <v>1189.3151933701656</v>
      </c>
      <c r="S1176">
        <f t="shared" si="226"/>
        <v>-3.4333424991928041E-11</v>
      </c>
      <c r="T1176"/>
      <c r="U1176">
        <f t="shared" si="227"/>
        <v>0</v>
      </c>
      <c r="V1176">
        <f t="shared" si="228"/>
        <v>1189.3151933701656</v>
      </c>
      <c r="W1176">
        <f t="shared" si="229"/>
        <v>-3.4333424991928041E-11</v>
      </c>
      <c r="X1176">
        <v>0</v>
      </c>
    </row>
    <row r="1177" spans="1:24" x14ac:dyDescent="0.25">
      <c r="A1177" t="s">
        <v>1928</v>
      </c>
      <c r="B1177" t="s">
        <v>2030</v>
      </c>
      <c r="C1177" t="s">
        <v>2033</v>
      </c>
      <c r="D1177" t="s">
        <v>159</v>
      </c>
      <c r="E1177" t="s">
        <v>51</v>
      </c>
      <c r="F1177" t="s">
        <v>51</v>
      </c>
      <c r="G1177" t="s">
        <v>691</v>
      </c>
      <c r="H1177"/>
      <c r="I1177"/>
      <c r="J1177">
        <v>1071286.9999999998</v>
      </c>
      <c r="K1177">
        <v>1021460.2128754834</v>
      </c>
      <c r="L1177">
        <v>441913.69</v>
      </c>
      <c r="M1177">
        <v>891151.91629834287</v>
      </c>
      <c r="N1177">
        <v>967109.25999999989</v>
      </c>
      <c r="O1177">
        <v>888817.71614413196</v>
      </c>
      <c r="P1177">
        <f>SUMIF($F$1144:$F$1176,"&lt;&gt;EV_*",$P$1144:$P$1176)</f>
        <v>-42689</v>
      </c>
      <c r="Q1177">
        <f>SUMIF($F$1144:$F$1176,"&lt;&gt;EV_*",$Q$1144:$Q$1176)</f>
        <v>846128.71614413185</v>
      </c>
      <c r="R1177">
        <f>SUMIF($F$1144:$F$1176,"&lt;&gt;EV_*",$R$1144:$R$1176)</f>
        <v>849072.25768562942</v>
      </c>
      <c r="S1177">
        <f>SUMIF($F$1144:$F$1176,"&lt;&gt;EV_*",$S$1144:$S$1176)</f>
        <v>2943.5415414972658</v>
      </c>
      <c r="T1177">
        <v>0</v>
      </c>
      <c r="U1177">
        <f>SUMIF($F$1144:$F$1176,"&lt;&gt;EV_*",$U$1144:$U$1176)</f>
        <v>22970.570761740328</v>
      </c>
      <c r="V1177">
        <f>SUMIF($F$1144:$F$1176,"&lt;&gt;EV_*",$V$1144:$V$1176)</f>
        <v>872042.82844736986</v>
      </c>
      <c r="W1177">
        <f>SUMIF($F$1144:$F$1176,"&lt;&gt;EV_*",$W$1144:$W$1176)</f>
        <v>25914.112303237613</v>
      </c>
      <c r="X1177">
        <f>SUMIF($F$1144:$F$1176,"&lt;&gt;EV_*",$X$1144:$X$1176)</f>
        <v>0</v>
      </c>
    </row>
    <row r="1178" spans="1:24" x14ac:dyDescent="0.25">
      <c r="A1178" t="s">
        <v>1928</v>
      </c>
      <c r="B1178" t="s">
        <v>2030</v>
      </c>
      <c r="C1178" t="s">
        <v>2034</v>
      </c>
      <c r="D1178" t="s">
        <v>160</v>
      </c>
      <c r="E1178" t="s">
        <v>5</v>
      </c>
      <c r="F1178" t="s">
        <v>5</v>
      </c>
      <c r="G1178" t="s">
        <v>692</v>
      </c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</row>
    <row r="1179" spans="1:24" x14ac:dyDescent="0.25">
      <c r="A1179" t="s">
        <v>1928</v>
      </c>
      <c r="B1179" t="s">
        <v>2030</v>
      </c>
      <c r="C1179" t="s">
        <v>2034</v>
      </c>
      <c r="D1179" t="s">
        <v>160</v>
      </c>
      <c r="E1179" t="s">
        <v>8</v>
      </c>
      <c r="F1179" t="s">
        <v>1</v>
      </c>
      <c r="G1179" t="s">
        <v>693</v>
      </c>
      <c r="H1179" t="s">
        <v>408</v>
      </c>
      <c r="I1179" t="s">
        <v>1</v>
      </c>
      <c r="J1179">
        <v>48265.599999999999</v>
      </c>
      <c r="K1179">
        <v>43101.095580110603</v>
      </c>
      <c r="L1179">
        <v>6336.44</v>
      </c>
      <c r="M1179">
        <v>12777.903867403315</v>
      </c>
      <c r="N1179">
        <v>33228.619999999995</v>
      </c>
      <c r="O1179">
        <v>12777.9038674033</v>
      </c>
      <c r="P1179">
        <v>-12778</v>
      </c>
      <c r="Q1179">
        <f t="shared" ref="Q1179:Q1201" si="230">O1179+P1179</f>
        <v>-9.6132596700044814E-2</v>
      </c>
      <c r="R1179">
        <v>0</v>
      </c>
      <c r="S1179">
        <f t="shared" ref="S1179:S1201" si="231">IF(OR(LEFT(E1179,2)="A_",LEFT(D1179,5)="Total"),R1179-Q1179,"")</f>
        <v>9.6132596700044814E-2</v>
      </c>
      <c r="T1179"/>
      <c r="U1179">
        <f t="shared" ref="U1179:U1201" si="232">IFERROR(R1179*T1179,R1179*0)</f>
        <v>0</v>
      </c>
      <c r="V1179">
        <f t="shared" ref="V1179:V1201" si="233">IF(OR(LEFT(E1179,2)="A_",LEFT(D1179,5)="Total"),R1179+U1179,"")</f>
        <v>0</v>
      </c>
      <c r="W1179">
        <f t="shared" ref="W1179:W1201" si="234">IF(OR(LEFT(E1179,2)="A_",LEFT(D1179,5)="Total"),V1179-Q1179,"")</f>
        <v>9.6132596700044814E-2</v>
      </c>
      <c r="X1179">
        <v>0</v>
      </c>
    </row>
    <row r="1180" spans="1:24" x14ac:dyDescent="0.25">
      <c r="A1180" t="s">
        <v>1928</v>
      </c>
      <c r="B1180" t="s">
        <v>2030</v>
      </c>
      <c r="C1180" t="s">
        <v>2034</v>
      </c>
      <c r="D1180" t="s">
        <v>160</v>
      </c>
      <c r="E1180" t="s">
        <v>10</v>
      </c>
      <c r="F1180" t="s">
        <v>1</v>
      </c>
      <c r="G1180" t="s">
        <v>693</v>
      </c>
      <c r="H1180" t="s">
        <v>410</v>
      </c>
      <c r="I1180" t="s">
        <v>1</v>
      </c>
      <c r="J1180">
        <v>247.5</v>
      </c>
      <c r="K1180">
        <v>1590</v>
      </c>
      <c r="L1180">
        <v>165</v>
      </c>
      <c r="M1180">
        <v>332.73480662983428</v>
      </c>
      <c r="N1180">
        <v>330</v>
      </c>
      <c r="O1180">
        <v>330</v>
      </c>
      <c r="P1180">
        <v>3</v>
      </c>
      <c r="Q1180">
        <f t="shared" si="230"/>
        <v>333</v>
      </c>
      <c r="R1180">
        <v>332.73480662983428</v>
      </c>
      <c r="S1180">
        <f t="shared" si="231"/>
        <v>-0.26519337016571853</v>
      </c>
      <c r="T1180"/>
      <c r="U1180">
        <f t="shared" si="232"/>
        <v>0</v>
      </c>
      <c r="V1180">
        <f t="shared" si="233"/>
        <v>332.73480662983428</v>
      </c>
      <c r="W1180">
        <f t="shared" si="234"/>
        <v>-0.26519337016571853</v>
      </c>
      <c r="X1180">
        <v>0</v>
      </c>
    </row>
    <row r="1181" spans="1:24" x14ac:dyDescent="0.25">
      <c r="A1181" t="s">
        <v>1928</v>
      </c>
      <c r="B1181" t="s">
        <v>2030</v>
      </c>
      <c r="C1181" t="s">
        <v>2034</v>
      </c>
      <c r="D1181" t="s">
        <v>160</v>
      </c>
      <c r="E1181" t="s">
        <v>65</v>
      </c>
      <c r="F1181" t="s">
        <v>1</v>
      </c>
      <c r="G1181" t="s">
        <v>693</v>
      </c>
      <c r="H1181" t="s">
        <v>476</v>
      </c>
      <c r="I1181" t="s">
        <v>1</v>
      </c>
      <c r="J1181">
        <v>-633.54</v>
      </c>
      <c r="K1181"/>
      <c r="L1181">
        <v>-419.21</v>
      </c>
      <c r="M1181">
        <v>-845.36823204419886</v>
      </c>
      <c r="N1181">
        <v>-649.90000000000009</v>
      </c>
      <c r="O1181">
        <v>-843.02670329670002</v>
      </c>
      <c r="P1181">
        <v>-2</v>
      </c>
      <c r="Q1181">
        <f t="shared" si="230"/>
        <v>-845.02670329670002</v>
      </c>
      <c r="R1181">
        <v>-845.36823204419886</v>
      </c>
      <c r="S1181">
        <f t="shared" si="231"/>
        <v>-0.34152874749884177</v>
      </c>
      <c r="T1181"/>
      <c r="U1181">
        <f t="shared" si="232"/>
        <v>0</v>
      </c>
      <c r="V1181">
        <f t="shared" si="233"/>
        <v>-845.36823204419886</v>
      </c>
      <c r="W1181">
        <f t="shared" si="234"/>
        <v>-0.34152874749884177</v>
      </c>
      <c r="X1181">
        <v>0</v>
      </c>
    </row>
    <row r="1182" spans="1:24" x14ac:dyDescent="0.25">
      <c r="A1182" t="s">
        <v>1928</v>
      </c>
      <c r="B1182" t="s">
        <v>2030</v>
      </c>
      <c r="C1182" t="s">
        <v>2034</v>
      </c>
      <c r="D1182" t="s">
        <v>160</v>
      </c>
      <c r="E1182" t="s">
        <v>17</v>
      </c>
      <c r="F1182" t="s">
        <v>1</v>
      </c>
      <c r="G1182" t="s">
        <v>693</v>
      </c>
      <c r="H1182" t="s">
        <v>417</v>
      </c>
      <c r="I1182" t="s">
        <v>1</v>
      </c>
      <c r="J1182">
        <v>-7854.42</v>
      </c>
      <c r="K1182">
        <v>-5590</v>
      </c>
      <c r="L1182">
        <v>-2790.23</v>
      </c>
      <c r="M1182">
        <v>-5626.7069060773483</v>
      </c>
      <c r="N1182">
        <v>-7193.630000000001</v>
      </c>
      <c r="O1182">
        <v>-5611.1218681318996</v>
      </c>
      <c r="P1182">
        <v>-16</v>
      </c>
      <c r="Q1182">
        <f t="shared" si="230"/>
        <v>-5627.1218681318996</v>
      </c>
      <c r="R1182">
        <v>-5626.7069060773483</v>
      </c>
      <c r="S1182">
        <f t="shared" si="231"/>
        <v>0.4149620545513244</v>
      </c>
      <c r="T1182"/>
      <c r="U1182">
        <f t="shared" si="232"/>
        <v>0</v>
      </c>
      <c r="V1182">
        <f t="shared" si="233"/>
        <v>-5626.7069060773483</v>
      </c>
      <c r="W1182">
        <f t="shared" si="234"/>
        <v>0.4149620545513244</v>
      </c>
      <c r="X1182">
        <v>0</v>
      </c>
    </row>
    <row r="1183" spans="1:24" x14ac:dyDescent="0.25">
      <c r="A1183" t="s">
        <v>1928</v>
      </c>
      <c r="B1183" t="s">
        <v>2030</v>
      </c>
      <c r="C1183" t="s">
        <v>2034</v>
      </c>
      <c r="D1183" t="s">
        <v>160</v>
      </c>
      <c r="E1183" t="s">
        <v>82</v>
      </c>
      <c r="F1183" t="s">
        <v>1</v>
      </c>
      <c r="G1183" t="s">
        <v>693</v>
      </c>
      <c r="H1183" t="s">
        <v>507</v>
      </c>
      <c r="I1183" t="s">
        <v>1</v>
      </c>
      <c r="J1183">
        <v>6728.88</v>
      </c>
      <c r="K1183">
        <v>6829.3680037643999</v>
      </c>
      <c r="L1183">
        <v>3288.14</v>
      </c>
      <c r="M1183">
        <v>6630.7795580110496</v>
      </c>
      <c r="N1183">
        <v>6940.0399999999991</v>
      </c>
      <c r="O1183">
        <v>6612.4134065934004</v>
      </c>
      <c r="P1183">
        <v>18</v>
      </c>
      <c r="Q1183">
        <f t="shared" si="230"/>
        <v>6630.4134065934004</v>
      </c>
      <c r="R1183">
        <v>6630.7795580110496</v>
      </c>
      <c r="S1183">
        <f t="shared" si="231"/>
        <v>0.36615141764923465</v>
      </c>
      <c r="T1183">
        <v>2.75E-2</v>
      </c>
      <c r="U1183">
        <f t="shared" si="232"/>
        <v>182.34643784530385</v>
      </c>
      <c r="V1183">
        <f t="shared" si="233"/>
        <v>6813.1259958563533</v>
      </c>
      <c r="W1183">
        <f t="shared" si="234"/>
        <v>182.71258926295286</v>
      </c>
      <c r="X1183">
        <v>0</v>
      </c>
    </row>
    <row r="1184" spans="1:24" x14ac:dyDescent="0.25">
      <c r="A1184" t="s">
        <v>1928</v>
      </c>
      <c r="B1184" t="s">
        <v>2030</v>
      </c>
      <c r="C1184" t="s">
        <v>2034</v>
      </c>
      <c r="D1184" t="s">
        <v>160</v>
      </c>
      <c r="E1184" t="s">
        <v>72</v>
      </c>
      <c r="F1184" t="s">
        <v>1</v>
      </c>
      <c r="G1184" t="s">
        <v>693</v>
      </c>
      <c r="H1184" t="s">
        <v>489</v>
      </c>
      <c r="I1184" t="s">
        <v>1</v>
      </c>
      <c r="J1184">
        <v>3593.38</v>
      </c>
      <c r="K1184">
        <v>3977.2157458752999</v>
      </c>
      <c r="L1184">
        <v>894.18</v>
      </c>
      <c r="M1184">
        <v>1803.1806629834252</v>
      </c>
      <c r="N1184">
        <v>2652.1599999999994</v>
      </c>
      <c r="O1184">
        <v>1798.1861538462001</v>
      </c>
      <c r="P1184">
        <v>5</v>
      </c>
      <c r="Q1184">
        <f t="shared" si="230"/>
        <v>1803.1861538462001</v>
      </c>
      <c r="R1184">
        <v>1803.1806629834252</v>
      </c>
      <c r="S1184">
        <f t="shared" si="231"/>
        <v>-5.4908627748773142E-3</v>
      </c>
      <c r="T1184">
        <v>2.2499999999999999E-2</v>
      </c>
      <c r="U1184">
        <f t="shared" si="232"/>
        <v>40.57156491712707</v>
      </c>
      <c r="V1184">
        <f t="shared" si="233"/>
        <v>1843.7522279005523</v>
      </c>
      <c r="W1184">
        <f t="shared" si="234"/>
        <v>40.566074054352157</v>
      </c>
      <c r="X1184">
        <v>0</v>
      </c>
    </row>
    <row r="1185" spans="1:24" x14ac:dyDescent="0.25">
      <c r="A1185" t="s">
        <v>1928</v>
      </c>
      <c r="B1185" t="s">
        <v>2030</v>
      </c>
      <c r="C1185" t="s">
        <v>2034</v>
      </c>
      <c r="D1185" t="s">
        <v>160</v>
      </c>
      <c r="E1185" t="s">
        <v>118</v>
      </c>
      <c r="F1185" t="s">
        <v>1</v>
      </c>
      <c r="G1185" t="s">
        <v>693</v>
      </c>
      <c r="H1185" t="s">
        <v>587</v>
      </c>
      <c r="I1185" t="s">
        <v>1</v>
      </c>
      <c r="J1185">
        <v>31.41</v>
      </c>
      <c r="K1185"/>
      <c r="L1185">
        <v>12.48</v>
      </c>
      <c r="M1185">
        <v>25.166850828729281</v>
      </c>
      <c r="N1185">
        <v>29.66</v>
      </c>
      <c r="O1185">
        <v>25.0971428571</v>
      </c>
      <c r="P1185">
        <v>0</v>
      </c>
      <c r="Q1185">
        <f t="shared" si="230"/>
        <v>25.0971428571</v>
      </c>
      <c r="R1185">
        <v>25.166850828729281</v>
      </c>
      <c r="S1185">
        <f t="shared" si="231"/>
        <v>6.9707971629281218E-2</v>
      </c>
      <c r="T1185">
        <v>3.2500000000000001E-2</v>
      </c>
      <c r="U1185">
        <f t="shared" si="232"/>
        <v>0.81792265193370162</v>
      </c>
      <c r="V1185">
        <f t="shared" si="233"/>
        <v>25.984773480662984</v>
      </c>
      <c r="W1185">
        <f t="shared" si="234"/>
        <v>0.88763062356298406</v>
      </c>
      <c r="X1185">
        <v>0</v>
      </c>
    </row>
    <row r="1186" spans="1:24" x14ac:dyDescent="0.25">
      <c r="A1186" t="s">
        <v>1928</v>
      </c>
      <c r="B1186" t="s">
        <v>2030</v>
      </c>
      <c r="C1186" t="s">
        <v>2034</v>
      </c>
      <c r="D1186" t="s">
        <v>160</v>
      </c>
      <c r="E1186" t="s">
        <v>18</v>
      </c>
      <c r="F1186" t="s">
        <v>1</v>
      </c>
      <c r="G1186" t="s">
        <v>693</v>
      </c>
      <c r="H1186" t="s">
        <v>418</v>
      </c>
      <c r="I1186" t="s">
        <v>1</v>
      </c>
      <c r="J1186">
        <v>158564.71</v>
      </c>
      <c r="K1186">
        <v>164360.944717059</v>
      </c>
      <c r="L1186">
        <v>71350.080000000002</v>
      </c>
      <c r="M1186">
        <v>143882.75801104974</v>
      </c>
      <c r="N1186">
        <v>152508.79</v>
      </c>
      <c r="O1186">
        <v>143484.22681318701</v>
      </c>
      <c r="P1186">
        <v>399</v>
      </c>
      <c r="Q1186">
        <f t="shared" si="230"/>
        <v>143883.22681318701</v>
      </c>
      <c r="R1186">
        <v>143882.75801104974</v>
      </c>
      <c r="S1186">
        <f t="shared" si="231"/>
        <v>-0.46880213727126829</v>
      </c>
      <c r="T1186">
        <v>0.02</v>
      </c>
      <c r="U1186">
        <f t="shared" si="232"/>
        <v>2877.6551602209947</v>
      </c>
      <c r="V1186">
        <f t="shared" si="233"/>
        <v>146760.41317127075</v>
      </c>
      <c r="W1186">
        <f t="shared" si="234"/>
        <v>2877.186358083738</v>
      </c>
      <c r="X1186">
        <v>0</v>
      </c>
    </row>
    <row r="1187" spans="1:24" x14ac:dyDescent="0.25">
      <c r="A1187" t="s">
        <v>1928</v>
      </c>
      <c r="B1187" t="s">
        <v>2030</v>
      </c>
      <c r="C1187" t="s">
        <v>2034</v>
      </c>
      <c r="D1187" t="s">
        <v>160</v>
      </c>
      <c r="E1187" t="s">
        <v>57</v>
      </c>
      <c r="F1187" t="s">
        <v>1</v>
      </c>
      <c r="G1187" t="s">
        <v>693</v>
      </c>
      <c r="H1187" t="s">
        <v>462</v>
      </c>
      <c r="I1187" t="s">
        <v>1</v>
      </c>
      <c r="J1187">
        <v>1630.47</v>
      </c>
      <c r="K1187">
        <v>1847.1054814816</v>
      </c>
      <c r="L1187">
        <v>463.63</v>
      </c>
      <c r="M1187">
        <v>934.94447513812156</v>
      </c>
      <c r="N1187">
        <v>1150.1599999999999</v>
      </c>
      <c r="O1187">
        <v>932.35483516479997</v>
      </c>
      <c r="P1187">
        <v>3</v>
      </c>
      <c r="Q1187">
        <f t="shared" si="230"/>
        <v>935.35483516479997</v>
      </c>
      <c r="R1187">
        <v>934.94447513812156</v>
      </c>
      <c r="S1187">
        <f t="shared" si="231"/>
        <v>-0.41036002667840421</v>
      </c>
      <c r="T1187">
        <v>0.04</v>
      </c>
      <c r="U1187">
        <f t="shared" si="232"/>
        <v>37.39777900552486</v>
      </c>
      <c r="V1187">
        <f t="shared" si="233"/>
        <v>972.34225414364641</v>
      </c>
      <c r="W1187">
        <f t="shared" si="234"/>
        <v>36.987418978846449</v>
      </c>
      <c r="X1187">
        <v>0</v>
      </c>
    </row>
    <row r="1188" spans="1:24" x14ac:dyDescent="0.25">
      <c r="A1188" t="s">
        <v>1928</v>
      </c>
      <c r="B1188" t="s">
        <v>2030</v>
      </c>
      <c r="C1188" t="s">
        <v>2034</v>
      </c>
      <c r="D1188" t="s">
        <v>160</v>
      </c>
      <c r="E1188" t="s">
        <v>73</v>
      </c>
      <c r="F1188" t="s">
        <v>1</v>
      </c>
      <c r="G1188" t="s">
        <v>693</v>
      </c>
      <c r="H1188" t="s">
        <v>490</v>
      </c>
      <c r="I1188" t="s">
        <v>1</v>
      </c>
      <c r="J1188">
        <v>185</v>
      </c>
      <c r="K1188"/>
      <c r="L1188">
        <v>0</v>
      </c>
      <c r="M1188">
        <v>0</v>
      </c>
      <c r="N1188">
        <v>185</v>
      </c>
      <c r="O1188"/>
      <c r="P1188">
        <v>0</v>
      </c>
      <c r="Q1188">
        <f t="shared" si="230"/>
        <v>0</v>
      </c>
      <c r="R1188">
        <v>0</v>
      </c>
      <c r="S1188">
        <f t="shared" si="231"/>
        <v>0</v>
      </c>
      <c r="T1188">
        <v>3.5000000000000003E-2</v>
      </c>
      <c r="U1188">
        <f t="shared" si="232"/>
        <v>0</v>
      </c>
      <c r="V1188">
        <f t="shared" si="233"/>
        <v>0</v>
      </c>
      <c r="W1188">
        <f t="shared" si="234"/>
        <v>0</v>
      </c>
      <c r="X1188">
        <v>0</v>
      </c>
    </row>
    <row r="1189" spans="1:24" x14ac:dyDescent="0.25">
      <c r="A1189" t="s">
        <v>1928</v>
      </c>
      <c r="B1189" t="s">
        <v>2030</v>
      </c>
      <c r="C1189" t="s">
        <v>2034</v>
      </c>
      <c r="D1189" t="s">
        <v>160</v>
      </c>
      <c r="E1189" t="s">
        <v>19</v>
      </c>
      <c r="F1189" t="s">
        <v>1</v>
      </c>
      <c r="G1189" t="s">
        <v>693</v>
      </c>
      <c r="H1189" t="s">
        <v>419</v>
      </c>
      <c r="I1189" t="s">
        <v>1</v>
      </c>
      <c r="J1189"/>
      <c r="K1189"/>
      <c r="L1189">
        <v>924</v>
      </c>
      <c r="M1189">
        <v>1863.3149171270718</v>
      </c>
      <c r="N1189">
        <v>924</v>
      </c>
      <c r="O1189">
        <v>1858.1538461539001</v>
      </c>
      <c r="P1189">
        <v>5</v>
      </c>
      <c r="Q1189">
        <f t="shared" si="230"/>
        <v>1863.1538461539001</v>
      </c>
      <c r="R1189">
        <v>1863.3149171270718</v>
      </c>
      <c r="S1189">
        <f t="shared" si="231"/>
        <v>0.16107097317171792</v>
      </c>
      <c r="T1189">
        <v>0.02</v>
      </c>
      <c r="U1189">
        <f t="shared" si="232"/>
        <v>37.26629834254144</v>
      </c>
      <c r="V1189">
        <f t="shared" si="233"/>
        <v>1900.5812154696132</v>
      </c>
      <c r="W1189">
        <f t="shared" si="234"/>
        <v>37.427369315713122</v>
      </c>
      <c r="X1189">
        <v>0</v>
      </c>
    </row>
    <row r="1190" spans="1:24" x14ac:dyDescent="0.25">
      <c r="A1190" t="s">
        <v>1928</v>
      </c>
      <c r="B1190" t="s">
        <v>2030</v>
      </c>
      <c r="C1190" t="s">
        <v>2034</v>
      </c>
      <c r="D1190" t="s">
        <v>160</v>
      </c>
      <c r="E1190" t="s">
        <v>74</v>
      </c>
      <c r="F1190" t="s">
        <v>1</v>
      </c>
      <c r="G1190" t="s">
        <v>693</v>
      </c>
      <c r="H1190" t="s">
        <v>491</v>
      </c>
      <c r="I1190" t="s">
        <v>1</v>
      </c>
      <c r="J1190">
        <v>35500.86</v>
      </c>
      <c r="K1190">
        <v>37849.2576528145</v>
      </c>
      <c r="L1190">
        <v>18338.39</v>
      </c>
      <c r="M1190">
        <v>36980.731215469612</v>
      </c>
      <c r="N1190">
        <v>36278.490000000005</v>
      </c>
      <c r="O1190">
        <v>36878.300769230802</v>
      </c>
      <c r="P1190">
        <v>102</v>
      </c>
      <c r="Q1190">
        <f t="shared" si="230"/>
        <v>36980.300769230802</v>
      </c>
      <c r="R1190">
        <v>36980.731215469612</v>
      </c>
      <c r="S1190">
        <f t="shared" si="231"/>
        <v>0.43044623880996369</v>
      </c>
      <c r="T1190">
        <v>3.5000000000000003E-2</v>
      </c>
      <c r="U1190">
        <f t="shared" si="232"/>
        <v>1294.3255925414364</v>
      </c>
      <c r="V1190">
        <f t="shared" si="233"/>
        <v>38275.056808011046</v>
      </c>
      <c r="W1190">
        <f t="shared" si="234"/>
        <v>1294.7560387802441</v>
      </c>
      <c r="X1190">
        <v>0</v>
      </c>
    </row>
    <row r="1191" spans="1:24" x14ac:dyDescent="0.25">
      <c r="A1191" t="s">
        <v>1928</v>
      </c>
      <c r="B1191" t="s">
        <v>2030</v>
      </c>
      <c r="C1191" t="s">
        <v>2034</v>
      </c>
      <c r="D1191" t="s">
        <v>160</v>
      </c>
      <c r="E1191" t="s">
        <v>85</v>
      </c>
      <c r="F1191" t="s">
        <v>1</v>
      </c>
      <c r="G1191" t="s">
        <v>693</v>
      </c>
      <c r="H1191" t="s">
        <v>510</v>
      </c>
      <c r="I1191" t="s">
        <v>1</v>
      </c>
      <c r="J1191">
        <v>975.1</v>
      </c>
      <c r="K1191">
        <v>1548.0996252892</v>
      </c>
      <c r="L1191">
        <v>0</v>
      </c>
      <c r="M1191">
        <v>0</v>
      </c>
      <c r="N1191">
        <v>109.91</v>
      </c>
      <c r="O1191"/>
      <c r="P1191">
        <v>0</v>
      </c>
      <c r="Q1191">
        <f t="shared" si="230"/>
        <v>0</v>
      </c>
      <c r="R1191">
        <v>0</v>
      </c>
      <c r="S1191">
        <f t="shared" si="231"/>
        <v>0</v>
      </c>
      <c r="T1191">
        <v>0.02</v>
      </c>
      <c r="U1191">
        <f t="shared" si="232"/>
        <v>0</v>
      </c>
      <c r="V1191">
        <f t="shared" si="233"/>
        <v>0</v>
      </c>
      <c r="W1191">
        <f t="shared" si="234"/>
        <v>0</v>
      </c>
      <c r="X1191">
        <v>0</v>
      </c>
    </row>
    <row r="1192" spans="1:24" x14ac:dyDescent="0.25">
      <c r="A1192" t="s">
        <v>1928</v>
      </c>
      <c r="B1192" t="s">
        <v>2030</v>
      </c>
      <c r="C1192" t="s">
        <v>2034</v>
      </c>
      <c r="D1192" t="s">
        <v>160</v>
      </c>
      <c r="E1192" t="s">
        <v>119</v>
      </c>
      <c r="F1192" t="s">
        <v>1</v>
      </c>
      <c r="G1192" t="s">
        <v>693</v>
      </c>
      <c r="H1192" t="s">
        <v>588</v>
      </c>
      <c r="I1192" t="s">
        <v>1</v>
      </c>
      <c r="J1192">
        <v>529.16999999999996</v>
      </c>
      <c r="K1192"/>
      <c r="L1192">
        <v>0</v>
      </c>
      <c r="M1192">
        <v>0</v>
      </c>
      <c r="N1192">
        <v>58.8</v>
      </c>
      <c r="O1192"/>
      <c r="P1192">
        <v>0</v>
      </c>
      <c r="Q1192">
        <f t="shared" si="230"/>
        <v>0</v>
      </c>
      <c r="R1192">
        <v>0</v>
      </c>
      <c r="S1192">
        <f t="shared" si="231"/>
        <v>0</v>
      </c>
      <c r="T1192">
        <v>1.4999999999999999E-2</v>
      </c>
      <c r="U1192">
        <f t="shared" si="232"/>
        <v>0</v>
      </c>
      <c r="V1192">
        <f t="shared" si="233"/>
        <v>0</v>
      </c>
      <c r="W1192">
        <f t="shared" si="234"/>
        <v>0</v>
      </c>
      <c r="X1192">
        <v>0</v>
      </c>
    </row>
    <row r="1193" spans="1:24" x14ac:dyDescent="0.25">
      <c r="A1193" t="s">
        <v>1928</v>
      </c>
      <c r="B1193" t="s">
        <v>2030</v>
      </c>
      <c r="C1193" t="s">
        <v>2034</v>
      </c>
      <c r="D1193" t="s">
        <v>160</v>
      </c>
      <c r="E1193" t="s">
        <v>20</v>
      </c>
      <c r="F1193" t="s">
        <v>1</v>
      </c>
      <c r="G1193" t="s">
        <v>693</v>
      </c>
      <c r="H1193" t="s">
        <v>420</v>
      </c>
      <c r="I1193" t="s">
        <v>1</v>
      </c>
      <c r="J1193">
        <v>49117.11</v>
      </c>
      <c r="K1193">
        <v>47916.063638352403</v>
      </c>
      <c r="L1193">
        <v>23377.01</v>
      </c>
      <c r="M1193">
        <v>47141.484254143637</v>
      </c>
      <c r="N1193">
        <v>48303.539999999994</v>
      </c>
      <c r="O1193">
        <v>47010.910219780199</v>
      </c>
      <c r="P1193">
        <v>131</v>
      </c>
      <c r="Q1193">
        <f t="shared" si="230"/>
        <v>47141.910219780199</v>
      </c>
      <c r="R1193">
        <v>47141.484254143637</v>
      </c>
      <c r="S1193">
        <f t="shared" si="231"/>
        <v>-0.42596563656115904</v>
      </c>
      <c r="T1193">
        <v>0.04</v>
      </c>
      <c r="U1193">
        <f t="shared" si="232"/>
        <v>1885.6593701657455</v>
      </c>
      <c r="V1193">
        <f t="shared" si="233"/>
        <v>49027.143624309385</v>
      </c>
      <c r="W1193">
        <f t="shared" si="234"/>
        <v>1885.2334045291864</v>
      </c>
      <c r="X1193">
        <v>0</v>
      </c>
    </row>
    <row r="1194" spans="1:24" x14ac:dyDescent="0.25">
      <c r="A1194" t="s">
        <v>1928</v>
      </c>
      <c r="B1194" t="s">
        <v>2030</v>
      </c>
      <c r="C1194" t="s">
        <v>2034</v>
      </c>
      <c r="D1194" t="s">
        <v>160</v>
      </c>
      <c r="E1194" t="s">
        <v>21</v>
      </c>
      <c r="F1194" t="s">
        <v>1</v>
      </c>
      <c r="G1194" t="s">
        <v>693</v>
      </c>
      <c r="H1194" t="s">
        <v>421</v>
      </c>
      <c r="I1194" t="s">
        <v>1</v>
      </c>
      <c r="J1194">
        <v>9758.01</v>
      </c>
      <c r="K1194">
        <v>8228.39</v>
      </c>
      <c r="L1194">
        <v>6311.61</v>
      </c>
      <c r="M1194">
        <v>12727.832320441988</v>
      </c>
      <c r="N1194">
        <v>11831.450000000003</v>
      </c>
      <c r="O1194">
        <v>12727.832320441999</v>
      </c>
      <c r="P1194">
        <v>0</v>
      </c>
      <c r="Q1194">
        <f t="shared" si="230"/>
        <v>12727.832320441999</v>
      </c>
      <c r="R1194">
        <v>12727.832320441988</v>
      </c>
      <c r="S1194">
        <f t="shared" si="231"/>
        <v>-1.0913936421275139E-11</v>
      </c>
      <c r="T1194">
        <v>0.03</v>
      </c>
      <c r="U1194">
        <f t="shared" si="232"/>
        <v>381.83496961325966</v>
      </c>
      <c r="V1194">
        <f t="shared" si="233"/>
        <v>13109.667290055248</v>
      </c>
      <c r="W1194">
        <f t="shared" si="234"/>
        <v>381.83496961324818</v>
      </c>
      <c r="X1194">
        <v>0</v>
      </c>
    </row>
    <row r="1195" spans="1:24" x14ac:dyDescent="0.25">
      <c r="A1195" t="s">
        <v>1928</v>
      </c>
      <c r="B1195" t="s">
        <v>2030</v>
      </c>
      <c r="C1195" t="s">
        <v>2034</v>
      </c>
      <c r="D1195" t="s">
        <v>160</v>
      </c>
      <c r="E1195" t="s">
        <v>22</v>
      </c>
      <c r="F1195" t="s">
        <v>1</v>
      </c>
      <c r="G1195" t="s">
        <v>693</v>
      </c>
      <c r="H1195" t="s">
        <v>422</v>
      </c>
      <c r="I1195" t="s">
        <v>1</v>
      </c>
      <c r="J1195">
        <v>275.04000000000002</v>
      </c>
      <c r="K1195">
        <v>238.04999999980001</v>
      </c>
      <c r="L1195">
        <v>179.15</v>
      </c>
      <c r="M1195">
        <v>361.26933701657458</v>
      </c>
      <c r="N1195">
        <v>339.03</v>
      </c>
      <c r="O1195">
        <v>361.26933701659999</v>
      </c>
      <c r="P1195">
        <v>0</v>
      </c>
      <c r="Q1195">
        <f t="shared" si="230"/>
        <v>361.26933701659999</v>
      </c>
      <c r="R1195">
        <v>361.26933701657458</v>
      </c>
      <c r="S1195">
        <f t="shared" si="231"/>
        <v>-2.5409008230781183E-11</v>
      </c>
      <c r="T1195">
        <v>3.5000000000000003E-2</v>
      </c>
      <c r="U1195">
        <f t="shared" si="232"/>
        <v>12.644426795580111</v>
      </c>
      <c r="V1195">
        <f t="shared" si="233"/>
        <v>373.91376381215468</v>
      </c>
      <c r="W1195">
        <f t="shared" si="234"/>
        <v>12.644426795554693</v>
      </c>
      <c r="X1195">
        <v>0</v>
      </c>
    </row>
    <row r="1196" spans="1:24" x14ac:dyDescent="0.25">
      <c r="A1196" t="s">
        <v>1928</v>
      </c>
      <c r="B1196" t="s">
        <v>2030</v>
      </c>
      <c r="C1196" t="s">
        <v>2034</v>
      </c>
      <c r="D1196" t="s">
        <v>160</v>
      </c>
      <c r="E1196" t="s">
        <v>23</v>
      </c>
      <c r="F1196" t="s">
        <v>1</v>
      </c>
      <c r="G1196" t="s">
        <v>693</v>
      </c>
      <c r="H1196" t="s">
        <v>423</v>
      </c>
      <c r="I1196" t="s">
        <v>1</v>
      </c>
      <c r="J1196">
        <v>3443.48</v>
      </c>
      <c r="K1196">
        <v>6582.6</v>
      </c>
      <c r="L1196">
        <v>167.26</v>
      </c>
      <c r="M1196">
        <v>337.29226519337016</v>
      </c>
      <c r="N1196">
        <v>429.1</v>
      </c>
      <c r="O1196">
        <v>337.2922651934</v>
      </c>
      <c r="P1196">
        <v>0</v>
      </c>
      <c r="Q1196">
        <f t="shared" si="230"/>
        <v>337.2922651934</v>
      </c>
      <c r="R1196">
        <v>337.29226519337016</v>
      </c>
      <c r="S1196">
        <f t="shared" si="231"/>
        <v>-2.9842794901924208E-11</v>
      </c>
      <c r="T1196">
        <v>3.5000000000000003E-2</v>
      </c>
      <c r="U1196">
        <f t="shared" si="232"/>
        <v>11.805229281767957</v>
      </c>
      <c r="V1196">
        <f t="shared" si="233"/>
        <v>349.09749447513809</v>
      </c>
      <c r="W1196">
        <f t="shared" si="234"/>
        <v>11.805229281738093</v>
      </c>
      <c r="X1196">
        <v>0</v>
      </c>
    </row>
    <row r="1197" spans="1:24" x14ac:dyDescent="0.25">
      <c r="A1197" t="s">
        <v>1928</v>
      </c>
      <c r="B1197" t="s">
        <v>2030</v>
      </c>
      <c r="C1197" t="s">
        <v>2034</v>
      </c>
      <c r="D1197" t="s">
        <v>160</v>
      </c>
      <c r="E1197" t="s">
        <v>28</v>
      </c>
      <c r="F1197" t="s">
        <v>1</v>
      </c>
      <c r="G1197" t="s">
        <v>693</v>
      </c>
      <c r="H1197" t="s">
        <v>428</v>
      </c>
      <c r="I1197" t="s">
        <v>1</v>
      </c>
      <c r="J1197">
        <v>548.49</v>
      </c>
      <c r="K1197">
        <v>150</v>
      </c>
      <c r="L1197">
        <v>414.45</v>
      </c>
      <c r="M1197">
        <v>835.76933701657447</v>
      </c>
      <c r="N1197">
        <v>838.55000000000007</v>
      </c>
      <c r="O1197">
        <v>828.9</v>
      </c>
      <c r="P1197">
        <v>7</v>
      </c>
      <c r="Q1197">
        <f t="shared" si="230"/>
        <v>835.9</v>
      </c>
      <c r="R1197">
        <v>835.76933701657447</v>
      </c>
      <c r="S1197">
        <f t="shared" si="231"/>
        <v>-0.13066298342550908</v>
      </c>
      <c r="T1197"/>
      <c r="U1197">
        <f t="shared" si="232"/>
        <v>0</v>
      </c>
      <c r="V1197">
        <f t="shared" si="233"/>
        <v>835.76933701657447</v>
      </c>
      <c r="W1197">
        <f t="shared" si="234"/>
        <v>-0.13066298342550908</v>
      </c>
      <c r="X1197">
        <v>0</v>
      </c>
    </row>
    <row r="1198" spans="1:24" x14ac:dyDescent="0.25">
      <c r="A1198" t="s">
        <v>1928</v>
      </c>
      <c r="B1198" t="s">
        <v>2030</v>
      </c>
      <c r="C1198" t="s">
        <v>2034</v>
      </c>
      <c r="D1198" t="s">
        <v>160</v>
      </c>
      <c r="E1198" t="s">
        <v>33</v>
      </c>
      <c r="F1198" t="s">
        <v>1</v>
      </c>
      <c r="G1198" t="s">
        <v>693</v>
      </c>
      <c r="H1198" t="s">
        <v>433</v>
      </c>
      <c r="I1198" t="s">
        <v>1</v>
      </c>
      <c r="J1198"/>
      <c r="K1198">
        <v>245.30959207320001</v>
      </c>
      <c r="L1198">
        <v>0</v>
      </c>
      <c r="M1198">
        <v>0</v>
      </c>
      <c r="N1198">
        <v>0</v>
      </c>
      <c r="O1198"/>
      <c r="P1198">
        <v>500</v>
      </c>
      <c r="Q1198">
        <f t="shared" si="230"/>
        <v>500</v>
      </c>
      <c r="R1198">
        <v>500</v>
      </c>
      <c r="S1198">
        <f t="shared" si="231"/>
        <v>0</v>
      </c>
      <c r="T1198"/>
      <c r="U1198">
        <f t="shared" si="232"/>
        <v>0</v>
      </c>
      <c r="V1198">
        <f t="shared" si="233"/>
        <v>500</v>
      </c>
      <c r="W1198">
        <f t="shared" si="234"/>
        <v>0</v>
      </c>
      <c r="X1198" t="s">
        <v>1422</v>
      </c>
    </row>
    <row r="1199" spans="1:24" x14ac:dyDescent="0.25">
      <c r="A1199" t="s">
        <v>1928</v>
      </c>
      <c r="B1199" t="s">
        <v>2030</v>
      </c>
      <c r="C1199" t="s">
        <v>2034</v>
      </c>
      <c r="D1199" t="s">
        <v>160</v>
      </c>
      <c r="E1199" t="s">
        <v>41</v>
      </c>
      <c r="F1199" t="s">
        <v>1</v>
      </c>
      <c r="G1199" t="s">
        <v>693</v>
      </c>
      <c r="H1199" t="s">
        <v>441</v>
      </c>
      <c r="I1199" t="s">
        <v>1</v>
      </c>
      <c r="J1199">
        <v>446.9</v>
      </c>
      <c r="K1199">
        <v>369.84</v>
      </c>
      <c r="L1199">
        <v>1.22</v>
      </c>
      <c r="M1199">
        <v>2.4602209944751383</v>
      </c>
      <c r="N1199">
        <v>147.14000000000001</v>
      </c>
      <c r="O1199">
        <v>2.44</v>
      </c>
      <c r="P1199">
        <v>0</v>
      </c>
      <c r="Q1199">
        <f t="shared" si="230"/>
        <v>2.44</v>
      </c>
      <c r="R1199">
        <v>0</v>
      </c>
      <c r="S1199">
        <f t="shared" si="231"/>
        <v>-2.44</v>
      </c>
      <c r="T1199">
        <v>0.03</v>
      </c>
      <c r="U1199">
        <f t="shared" si="232"/>
        <v>0</v>
      </c>
      <c r="V1199">
        <f t="shared" si="233"/>
        <v>0</v>
      </c>
      <c r="W1199">
        <f t="shared" si="234"/>
        <v>-2.44</v>
      </c>
      <c r="X1199">
        <v>0</v>
      </c>
    </row>
    <row r="1200" spans="1:24" x14ac:dyDescent="0.25">
      <c r="A1200" t="s">
        <v>1928</v>
      </c>
      <c r="B1200" t="s">
        <v>2030</v>
      </c>
      <c r="C1200" t="s">
        <v>2034</v>
      </c>
      <c r="D1200" t="s">
        <v>160</v>
      </c>
      <c r="E1200" t="s">
        <v>43</v>
      </c>
      <c r="F1200" t="s">
        <v>1</v>
      </c>
      <c r="G1200" t="s">
        <v>693</v>
      </c>
      <c r="H1200" t="s">
        <v>443</v>
      </c>
      <c r="I1200" t="s">
        <v>1</v>
      </c>
      <c r="J1200"/>
      <c r="K1200"/>
      <c r="L1200">
        <v>3084</v>
      </c>
      <c r="M1200">
        <v>6219.116022099447</v>
      </c>
      <c r="N1200">
        <v>3084</v>
      </c>
      <c r="O1200">
        <v>6168</v>
      </c>
      <c r="P1200">
        <v>-3084</v>
      </c>
      <c r="Q1200">
        <f t="shared" si="230"/>
        <v>3084</v>
      </c>
      <c r="R1200">
        <v>3084</v>
      </c>
      <c r="S1200">
        <f t="shared" si="231"/>
        <v>0</v>
      </c>
      <c r="T1200">
        <v>0.03</v>
      </c>
      <c r="U1200">
        <f t="shared" si="232"/>
        <v>92.52</v>
      </c>
      <c r="V1200">
        <f t="shared" si="233"/>
        <v>3176.52</v>
      </c>
      <c r="W1200">
        <f t="shared" si="234"/>
        <v>92.519999999999982</v>
      </c>
      <c r="X1200">
        <v>0</v>
      </c>
    </row>
    <row r="1201" spans="1:24" x14ac:dyDescent="0.25">
      <c r="A1201" t="s">
        <v>1928</v>
      </c>
      <c r="B1201" t="s">
        <v>2030</v>
      </c>
      <c r="C1201" t="s">
        <v>2034</v>
      </c>
      <c r="D1201" t="s">
        <v>160</v>
      </c>
      <c r="E1201" t="s">
        <v>46</v>
      </c>
      <c r="F1201" t="s">
        <v>1</v>
      </c>
      <c r="G1201" t="s">
        <v>693</v>
      </c>
      <c r="H1201" t="s">
        <v>446</v>
      </c>
      <c r="I1201" t="s">
        <v>1</v>
      </c>
      <c r="J1201">
        <v>149.99</v>
      </c>
      <c r="K1201"/>
      <c r="L1201">
        <v>0</v>
      </c>
      <c r="M1201">
        <v>0</v>
      </c>
      <c r="N1201">
        <v>0</v>
      </c>
      <c r="O1201"/>
      <c r="P1201">
        <v>0</v>
      </c>
      <c r="Q1201">
        <f t="shared" si="230"/>
        <v>0</v>
      </c>
      <c r="R1201">
        <v>0</v>
      </c>
      <c r="S1201">
        <f t="shared" si="231"/>
        <v>0</v>
      </c>
      <c r="T1201">
        <v>0.03</v>
      </c>
      <c r="U1201">
        <f t="shared" si="232"/>
        <v>0</v>
      </c>
      <c r="V1201">
        <f t="shared" si="233"/>
        <v>0</v>
      </c>
      <c r="W1201">
        <f t="shared" si="234"/>
        <v>0</v>
      </c>
      <c r="X1201">
        <v>0</v>
      </c>
    </row>
    <row r="1202" spans="1:24" x14ac:dyDescent="0.25">
      <c r="A1202" t="s">
        <v>1928</v>
      </c>
      <c r="B1202" t="s">
        <v>2030</v>
      </c>
      <c r="C1202" t="s">
        <v>2034</v>
      </c>
      <c r="D1202" t="s">
        <v>160</v>
      </c>
      <c r="E1202" t="s">
        <v>51</v>
      </c>
      <c r="F1202" t="s">
        <v>51</v>
      </c>
      <c r="G1202" t="s">
        <v>694</v>
      </c>
      <c r="H1202"/>
      <c r="I1202"/>
      <c r="J1202">
        <v>311503.13999999996</v>
      </c>
      <c r="K1202">
        <v>319243.34003682004</v>
      </c>
      <c r="L1202">
        <v>132097.59999999998</v>
      </c>
      <c r="M1202">
        <v>266384.66298342543</v>
      </c>
      <c r="N1202">
        <v>291524.91000000003</v>
      </c>
      <c r="O1202">
        <v>265679.13240544009</v>
      </c>
      <c r="P1202">
        <f>SUMIF($F$1178:$F$1201,"&lt;&gt;EV_*",$P$1178:$P$1201)</f>
        <v>-14707</v>
      </c>
      <c r="Q1202">
        <f>SUMIF($F$1178:$F$1201,"&lt;&gt;EV_*",$Q$1178:$Q$1201)</f>
        <v>250972.13240544006</v>
      </c>
      <c r="R1202">
        <f>SUMIF($F$1178:$F$1201,"&lt;&gt;EV_*",$R$1178:$R$1201)</f>
        <v>250969.18287292816</v>
      </c>
      <c r="S1202">
        <f>SUMIF($F$1178:$F$1201,"&lt;&gt;EV_*",$S$1178:$S$1201)</f>
        <v>-2.9495325119303772</v>
      </c>
      <c r="T1202">
        <v>0</v>
      </c>
      <c r="U1202">
        <f>SUMIF($F$1178:$F$1201,"&lt;&gt;EV_*",$U$1178:$U$1201)</f>
        <v>6854.8447513812171</v>
      </c>
      <c r="V1202">
        <f>SUMIF($F$1178:$F$1201,"&lt;&gt;EV_*",$V$1178:$V$1201)</f>
        <v>257824.02762430941</v>
      </c>
      <c r="W1202">
        <f>SUMIF($F$1178:$F$1201,"&lt;&gt;EV_*",$W$1178:$W$1201)</f>
        <v>6851.8952188693002</v>
      </c>
      <c r="X1202">
        <f>SUMIF($F$1178:$F$1201,"&lt;&gt;EV_*",$X$1178:$X$1201)</f>
        <v>0</v>
      </c>
    </row>
    <row r="1203" spans="1:24" x14ac:dyDescent="0.25">
      <c r="A1203" t="s">
        <v>1928</v>
      </c>
      <c r="B1203" t="s">
        <v>1929</v>
      </c>
      <c r="C1203" t="s">
        <v>2035</v>
      </c>
      <c r="D1203" t="s">
        <v>161</v>
      </c>
      <c r="E1203" t="s">
        <v>5</v>
      </c>
      <c r="F1203" t="s">
        <v>5</v>
      </c>
      <c r="G1203" t="s">
        <v>695</v>
      </c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</row>
    <row r="1204" spans="1:24" x14ac:dyDescent="0.25">
      <c r="A1204" t="s">
        <v>1928</v>
      </c>
      <c r="B1204" t="s">
        <v>1929</v>
      </c>
      <c r="C1204" t="s">
        <v>2035</v>
      </c>
      <c r="D1204" t="s">
        <v>161</v>
      </c>
      <c r="E1204" t="s">
        <v>18</v>
      </c>
      <c r="F1204" t="s">
        <v>1</v>
      </c>
      <c r="G1204" t="s">
        <v>696</v>
      </c>
      <c r="H1204" t="s">
        <v>418</v>
      </c>
      <c r="I1204" t="s">
        <v>1</v>
      </c>
      <c r="J1204">
        <v>830.68</v>
      </c>
      <c r="K1204"/>
      <c r="L1204">
        <v>0</v>
      </c>
      <c r="M1204">
        <v>0</v>
      </c>
      <c r="N1204">
        <v>830.68000000000006</v>
      </c>
      <c r="O1204"/>
      <c r="P1204">
        <v>0</v>
      </c>
      <c r="Q1204">
        <f>O1204+P1204</f>
        <v>0</v>
      </c>
      <c r="R1204">
        <v>0</v>
      </c>
      <c r="S1204">
        <f>IF(OR(LEFT(E1204,2)="A_",LEFT(D1204,5)="Total"),R1204-Q1204,"")</f>
        <v>0</v>
      </c>
      <c r="T1204">
        <v>0.02</v>
      </c>
      <c r="U1204">
        <f>IFERROR(R1204*T1204,R1204*0)</f>
        <v>0</v>
      </c>
      <c r="V1204">
        <f>IF(OR(LEFT(E1204,2)="A_",LEFT(D1204,5)="Total"),R1204+U1204,"")</f>
        <v>0</v>
      </c>
      <c r="W1204">
        <f>IF(OR(LEFT(E1204,2)="A_",LEFT(D1204,5)="Total"),V1204-Q1204,"")</f>
        <v>0</v>
      </c>
      <c r="X1204">
        <v>0</v>
      </c>
    </row>
    <row r="1205" spans="1:24" x14ac:dyDescent="0.25">
      <c r="A1205" t="s">
        <v>1928</v>
      </c>
      <c r="B1205" t="s">
        <v>1929</v>
      </c>
      <c r="C1205" t="s">
        <v>2035</v>
      </c>
      <c r="D1205" t="s">
        <v>161</v>
      </c>
      <c r="E1205" t="s">
        <v>51</v>
      </c>
      <c r="F1205" t="s">
        <v>51</v>
      </c>
      <c r="G1205" t="s">
        <v>697</v>
      </c>
      <c r="H1205"/>
      <c r="I1205"/>
      <c r="J1205">
        <v>830.68</v>
      </c>
      <c r="K1205">
        <v>0</v>
      </c>
      <c r="L1205">
        <v>0</v>
      </c>
      <c r="M1205">
        <v>0</v>
      </c>
      <c r="N1205">
        <v>830.68000000000006</v>
      </c>
      <c r="O1205">
        <v>0</v>
      </c>
      <c r="P1205">
        <f>SUMIF($F$1203:$F$1204,"&lt;&gt;EV_*",$P$1203:$P$1204)</f>
        <v>0</v>
      </c>
      <c r="Q1205">
        <f>SUMIF($F$1203:$F$1204,"&lt;&gt;EV_*",$Q$1203:$Q$1204)</f>
        <v>0</v>
      </c>
      <c r="R1205">
        <f>SUMIF($F$1203:$F$1204,"&lt;&gt;EV_*",$R$1203:$R$1204)</f>
        <v>0</v>
      </c>
      <c r="S1205">
        <f>SUMIF($F$1203:$F$1204,"&lt;&gt;EV_*",$S$1203:$S$1204)</f>
        <v>0</v>
      </c>
      <c r="T1205">
        <v>0</v>
      </c>
      <c r="U1205">
        <f>SUMIF($F$1203:$F$1204,"&lt;&gt;EV_*",$U$1203:$U$1204)</f>
        <v>0</v>
      </c>
      <c r="V1205">
        <f>SUMIF($F$1203:$F$1204,"&lt;&gt;EV_*",$V$1203:$V$1204)</f>
        <v>0</v>
      </c>
      <c r="W1205">
        <f>SUMIF($F$1203:$F$1204,"&lt;&gt;EV_*",$W$1203:$W$1204)</f>
        <v>0</v>
      </c>
      <c r="X1205">
        <f>SUMIF($F$1203:$F$1204,"&lt;&gt;EV_*",$X$1203:$X$1204)</f>
        <v>0</v>
      </c>
    </row>
    <row r="1206" spans="1:24" x14ac:dyDescent="0.25">
      <c r="A1206" t="s">
        <v>1928</v>
      </c>
      <c r="B1206" t="s">
        <v>1929</v>
      </c>
      <c r="C1206" t="s">
        <v>2036</v>
      </c>
      <c r="D1206" t="s">
        <v>162</v>
      </c>
      <c r="E1206" t="s">
        <v>5</v>
      </c>
      <c r="F1206" t="s">
        <v>5</v>
      </c>
      <c r="G1206" t="s">
        <v>698</v>
      </c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</row>
    <row r="1207" spans="1:24" x14ac:dyDescent="0.25">
      <c r="A1207" t="s">
        <v>1928</v>
      </c>
      <c r="B1207" t="s">
        <v>1929</v>
      </c>
      <c r="C1207" t="s">
        <v>2036</v>
      </c>
      <c r="D1207" t="s">
        <v>162</v>
      </c>
      <c r="E1207" t="s">
        <v>18</v>
      </c>
      <c r="F1207" t="s">
        <v>1</v>
      </c>
      <c r="G1207" t="s">
        <v>699</v>
      </c>
      <c r="H1207" t="s">
        <v>418</v>
      </c>
      <c r="I1207" t="s">
        <v>1</v>
      </c>
      <c r="J1207">
        <v>617.51</v>
      </c>
      <c r="K1207"/>
      <c r="L1207">
        <v>0</v>
      </c>
      <c r="M1207">
        <v>0</v>
      </c>
      <c r="N1207">
        <v>0</v>
      </c>
      <c r="O1207"/>
      <c r="P1207">
        <v>0</v>
      </c>
      <c r="Q1207">
        <f>O1207+P1207</f>
        <v>0</v>
      </c>
      <c r="R1207">
        <v>0</v>
      </c>
      <c r="S1207">
        <f>IF(OR(LEFT(E1207,2)="A_",LEFT(D1207,5)="Total"),R1207-Q1207,"")</f>
        <v>0</v>
      </c>
      <c r="T1207">
        <v>0.02</v>
      </c>
      <c r="U1207">
        <f>IFERROR(R1207*T1207,R1207*0)</f>
        <v>0</v>
      </c>
      <c r="V1207">
        <f>IF(OR(LEFT(E1207,2)="A_",LEFT(D1207,5)="Total"),R1207+U1207,"")</f>
        <v>0</v>
      </c>
      <c r="W1207">
        <f>IF(OR(LEFT(E1207,2)="A_",LEFT(D1207,5)="Total"),V1207-Q1207,"")</f>
        <v>0</v>
      </c>
      <c r="X1207">
        <v>0</v>
      </c>
    </row>
    <row r="1208" spans="1:24" x14ac:dyDescent="0.25">
      <c r="A1208" t="s">
        <v>1928</v>
      </c>
      <c r="B1208" t="s">
        <v>1929</v>
      </c>
      <c r="C1208" t="s">
        <v>2036</v>
      </c>
      <c r="D1208" t="s">
        <v>162</v>
      </c>
      <c r="E1208" t="s">
        <v>51</v>
      </c>
      <c r="F1208" t="s">
        <v>51</v>
      </c>
      <c r="G1208" t="s">
        <v>700</v>
      </c>
      <c r="H1208"/>
      <c r="I1208"/>
      <c r="J1208">
        <v>617.51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f>SUMIF($F$1206:$F$1207,"&lt;&gt;EV_*",$P$1206:$P$1207)</f>
        <v>0</v>
      </c>
      <c r="Q1208">
        <f>SUMIF($F$1206:$F$1207,"&lt;&gt;EV_*",$Q$1206:$Q$1207)</f>
        <v>0</v>
      </c>
      <c r="R1208">
        <f>SUMIF($F$1206:$F$1207,"&lt;&gt;EV_*",$R$1206:$R$1207)</f>
        <v>0</v>
      </c>
      <c r="S1208">
        <f>SUMIF($F$1206:$F$1207,"&lt;&gt;EV_*",$S$1206:$S$1207)</f>
        <v>0</v>
      </c>
      <c r="T1208">
        <v>0</v>
      </c>
      <c r="U1208">
        <f>SUMIF($F$1206:$F$1207,"&lt;&gt;EV_*",$U$1206:$U$1207)</f>
        <v>0</v>
      </c>
      <c r="V1208">
        <f>SUMIF($F$1206:$F$1207,"&lt;&gt;EV_*",$V$1206:$V$1207)</f>
        <v>0</v>
      </c>
      <c r="W1208">
        <f>SUMIF($F$1206:$F$1207,"&lt;&gt;EV_*",$W$1206:$W$1207)</f>
        <v>0</v>
      </c>
      <c r="X1208">
        <f>SUMIF($F$1206:$F$1207,"&lt;&gt;EV_*",$X$1206:$X$1207)</f>
        <v>0</v>
      </c>
    </row>
    <row r="1209" spans="1:24" x14ac:dyDescent="0.25">
      <c r="A1209" t="s">
        <v>1928</v>
      </c>
      <c r="B1209" t="s">
        <v>1929</v>
      </c>
      <c r="C1209" t="s">
        <v>2037</v>
      </c>
      <c r="D1209" t="s">
        <v>163</v>
      </c>
      <c r="E1209" t="s">
        <v>5</v>
      </c>
      <c r="F1209" t="s">
        <v>5</v>
      </c>
      <c r="G1209" t="s">
        <v>701</v>
      </c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</row>
    <row r="1210" spans="1:24" x14ac:dyDescent="0.25">
      <c r="A1210" t="s">
        <v>1928</v>
      </c>
      <c r="B1210" t="s">
        <v>1929</v>
      </c>
      <c r="C1210" t="s">
        <v>2037</v>
      </c>
      <c r="D1210" t="s">
        <v>163</v>
      </c>
      <c r="E1210" t="s">
        <v>18</v>
      </c>
      <c r="F1210" t="s">
        <v>1</v>
      </c>
      <c r="G1210" t="s">
        <v>702</v>
      </c>
      <c r="H1210" t="s">
        <v>418</v>
      </c>
      <c r="I1210" t="s">
        <v>1</v>
      </c>
      <c r="J1210"/>
      <c r="K1210"/>
      <c r="L1210">
        <v>611.97</v>
      </c>
      <c r="M1210">
        <v>1234.0831491712709</v>
      </c>
      <c r="N1210">
        <v>611.97</v>
      </c>
      <c r="O1210">
        <v>1230.6649450549</v>
      </c>
      <c r="P1210">
        <v>0</v>
      </c>
      <c r="Q1210">
        <f>O1210+P1210</f>
        <v>1230.6649450549</v>
      </c>
      <c r="R1210">
        <v>1231</v>
      </c>
      <c r="S1210">
        <f>IF(OR(LEFT(E1210,2)="A_",LEFT(D1210,5)="Total"),R1210-Q1210,"")</f>
        <v>0.33505494509995515</v>
      </c>
      <c r="T1210">
        <v>0.02</v>
      </c>
      <c r="U1210">
        <f>IFERROR(R1210*T1210,R1210*0)</f>
        <v>24.62</v>
      </c>
      <c r="V1210">
        <f>IF(OR(LEFT(E1210,2)="A_",LEFT(D1210,5)="Total"),R1210+U1210,"")</f>
        <v>1255.6199999999999</v>
      </c>
      <c r="W1210">
        <f>IF(OR(LEFT(E1210,2)="A_",LEFT(D1210,5)="Total"),V1210-Q1210,"")</f>
        <v>24.955054945099846</v>
      </c>
      <c r="X1210">
        <v>0</v>
      </c>
    </row>
    <row r="1211" spans="1:24" x14ac:dyDescent="0.25">
      <c r="A1211" t="s">
        <v>1928</v>
      </c>
      <c r="B1211" t="s">
        <v>1929</v>
      </c>
      <c r="C1211" t="s">
        <v>2037</v>
      </c>
      <c r="D1211" t="s">
        <v>163</v>
      </c>
      <c r="E1211" t="s">
        <v>23</v>
      </c>
      <c r="F1211" t="s">
        <v>1</v>
      </c>
      <c r="G1211" t="s">
        <v>702</v>
      </c>
      <c r="H1211" t="s">
        <v>423</v>
      </c>
      <c r="I1211" t="s">
        <v>1</v>
      </c>
      <c r="J1211">
        <v>60.32</v>
      </c>
      <c r="K1211"/>
      <c r="L1211">
        <v>0</v>
      </c>
      <c r="M1211">
        <v>0</v>
      </c>
      <c r="N1211">
        <v>60.32</v>
      </c>
      <c r="O1211"/>
      <c r="P1211">
        <v>0</v>
      </c>
      <c r="Q1211">
        <f>O1211+P1211</f>
        <v>0</v>
      </c>
      <c r="R1211">
        <v>0</v>
      </c>
      <c r="S1211">
        <f>IF(OR(LEFT(E1211,2)="A_",LEFT(D1211,5)="Total"),R1211-Q1211,"")</f>
        <v>0</v>
      </c>
      <c r="T1211">
        <v>3.5000000000000003E-2</v>
      </c>
      <c r="U1211">
        <f>IFERROR(R1211*T1211,R1211*0)</f>
        <v>0</v>
      </c>
      <c r="V1211">
        <f>IF(OR(LEFT(E1211,2)="A_",LEFT(D1211,5)="Total"),R1211+U1211,"")</f>
        <v>0</v>
      </c>
      <c r="W1211">
        <f>IF(OR(LEFT(E1211,2)="A_",LEFT(D1211,5)="Total"),V1211-Q1211,"")</f>
        <v>0</v>
      </c>
      <c r="X1211">
        <v>0</v>
      </c>
    </row>
    <row r="1212" spans="1:24" x14ac:dyDescent="0.25">
      <c r="A1212" t="s">
        <v>1928</v>
      </c>
      <c r="B1212" t="s">
        <v>1929</v>
      </c>
      <c r="C1212" t="s">
        <v>2037</v>
      </c>
      <c r="D1212" t="s">
        <v>163</v>
      </c>
      <c r="E1212" t="s">
        <v>41</v>
      </c>
      <c r="F1212" t="s">
        <v>1</v>
      </c>
      <c r="G1212" t="s">
        <v>702</v>
      </c>
      <c r="H1212" t="s">
        <v>441</v>
      </c>
      <c r="I1212" t="s">
        <v>1</v>
      </c>
      <c r="J1212">
        <v>0.6</v>
      </c>
      <c r="K1212"/>
      <c r="L1212">
        <v>0</v>
      </c>
      <c r="M1212">
        <v>0</v>
      </c>
      <c r="N1212">
        <v>0.6</v>
      </c>
      <c r="O1212"/>
      <c r="P1212">
        <v>0</v>
      </c>
      <c r="Q1212">
        <f>O1212+P1212</f>
        <v>0</v>
      </c>
      <c r="R1212">
        <v>0</v>
      </c>
      <c r="S1212">
        <f>IF(OR(LEFT(E1212,2)="A_",LEFT(D1212,5)="Total"),R1212-Q1212,"")</f>
        <v>0</v>
      </c>
      <c r="T1212">
        <v>0.03</v>
      </c>
      <c r="U1212">
        <f>IFERROR(R1212*T1212,R1212*0)</f>
        <v>0</v>
      </c>
      <c r="V1212">
        <f>IF(OR(LEFT(E1212,2)="A_",LEFT(D1212,5)="Total"),R1212+U1212,"")</f>
        <v>0</v>
      </c>
      <c r="W1212">
        <f>IF(OR(LEFT(E1212,2)="A_",LEFT(D1212,5)="Total"),V1212-Q1212,"")</f>
        <v>0</v>
      </c>
      <c r="X1212">
        <v>0</v>
      </c>
    </row>
    <row r="1213" spans="1:24" x14ac:dyDescent="0.25">
      <c r="A1213" t="s">
        <v>1928</v>
      </c>
      <c r="B1213" t="s">
        <v>1929</v>
      </c>
      <c r="C1213" t="s">
        <v>2037</v>
      </c>
      <c r="D1213" t="s">
        <v>163</v>
      </c>
      <c r="E1213" t="s">
        <v>51</v>
      </c>
      <c r="F1213" t="s">
        <v>51</v>
      </c>
      <c r="G1213" t="s">
        <v>703</v>
      </c>
      <c r="H1213"/>
      <c r="I1213"/>
      <c r="J1213">
        <v>60.92</v>
      </c>
      <c r="K1213">
        <v>0</v>
      </c>
      <c r="L1213">
        <v>611.97</v>
      </c>
      <c r="M1213">
        <v>1234.0831491712709</v>
      </c>
      <c r="N1213">
        <v>672.8900000000001</v>
      </c>
      <c r="O1213">
        <v>1230.6649450549</v>
      </c>
      <c r="P1213">
        <f>SUMIF($F$1209:$F$1212,"&lt;&gt;EV_*",$P$1209:$P$1212)</f>
        <v>0</v>
      </c>
      <c r="Q1213">
        <f>SUMIF($F$1209:$F$1212,"&lt;&gt;EV_*",$Q$1209:$Q$1212)</f>
        <v>1230.6649450549</v>
      </c>
      <c r="R1213">
        <f>SUMIF($F$1209:$F$1212,"&lt;&gt;EV_*",$R$1209:$R$1212)</f>
        <v>1231</v>
      </c>
      <c r="S1213">
        <f>SUMIF($F$1209:$F$1212,"&lt;&gt;EV_*",$S$1209:$S$1212)</f>
        <v>0.33505494509995515</v>
      </c>
      <c r="T1213">
        <v>0</v>
      </c>
      <c r="U1213">
        <f>SUMIF($F$1209:$F$1212,"&lt;&gt;EV_*",$U$1209:$U$1212)</f>
        <v>24.62</v>
      </c>
      <c r="V1213">
        <f>SUMIF($F$1209:$F$1212,"&lt;&gt;EV_*",$V$1209:$V$1212)</f>
        <v>1255.6199999999999</v>
      </c>
      <c r="W1213">
        <f>SUMIF($F$1209:$F$1212,"&lt;&gt;EV_*",$W$1209:$W$1212)</f>
        <v>24.955054945099846</v>
      </c>
      <c r="X1213">
        <f>SUMIF($F$1209:$F$1212,"&lt;&gt;EV_*",$X$1209:$X$1212)</f>
        <v>0</v>
      </c>
    </row>
    <row r="1214" spans="1:24" x14ac:dyDescent="0.25">
      <c r="A1214" t="s">
        <v>1928</v>
      </c>
      <c r="B1214" t="s">
        <v>1929</v>
      </c>
      <c r="C1214" t="s">
        <v>2038</v>
      </c>
      <c r="D1214" t="s">
        <v>164</v>
      </c>
      <c r="E1214" t="s">
        <v>5</v>
      </c>
      <c r="F1214" t="s">
        <v>5</v>
      </c>
      <c r="G1214" t="s">
        <v>704</v>
      </c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</row>
    <row r="1215" spans="1:24" x14ac:dyDescent="0.25">
      <c r="A1215" t="s">
        <v>1928</v>
      </c>
      <c r="B1215" t="s">
        <v>1929</v>
      </c>
      <c r="C1215" t="s">
        <v>2038</v>
      </c>
      <c r="D1215" t="s">
        <v>164</v>
      </c>
      <c r="E1215" t="s">
        <v>133</v>
      </c>
      <c r="F1215" t="s">
        <v>1</v>
      </c>
      <c r="G1215" t="s">
        <v>705</v>
      </c>
      <c r="H1215" t="s">
        <v>622</v>
      </c>
      <c r="I1215" t="s">
        <v>1</v>
      </c>
      <c r="J1215">
        <v>0.02</v>
      </c>
      <c r="K1215"/>
      <c r="L1215">
        <v>0</v>
      </c>
      <c r="M1215">
        <v>0</v>
      </c>
      <c r="N1215">
        <v>0.02</v>
      </c>
      <c r="O1215"/>
      <c r="P1215">
        <v>0</v>
      </c>
      <c r="Q1215">
        <f t="shared" ref="Q1215:Q1243" si="235">O1215+P1215</f>
        <v>0</v>
      </c>
      <c r="R1215">
        <v>0</v>
      </c>
      <c r="S1215">
        <f t="shared" ref="S1215:S1243" si="236">IF(OR(LEFT(E1215,2)="A_",LEFT(D1215,5)="Total"),R1215-Q1215,"")</f>
        <v>0</v>
      </c>
      <c r="T1215">
        <v>0.02</v>
      </c>
      <c r="U1215">
        <f t="shared" ref="U1215:U1243" si="237">IFERROR(R1215*T1215,R1215*0)</f>
        <v>0</v>
      </c>
      <c r="V1215">
        <f t="shared" ref="V1215:V1243" si="238">IF(OR(LEFT(E1215,2)="A_",LEFT(D1215,5)="Total"),R1215+U1215,"")</f>
        <v>0</v>
      </c>
      <c r="W1215">
        <f t="shared" ref="W1215:W1243" si="239">IF(OR(LEFT(E1215,2)="A_",LEFT(D1215,5)="Total"),V1215-Q1215,"")</f>
        <v>0</v>
      </c>
      <c r="X1215">
        <v>0</v>
      </c>
    </row>
    <row r="1216" spans="1:24" x14ac:dyDescent="0.25">
      <c r="A1216" t="s">
        <v>1928</v>
      </c>
      <c r="B1216" t="s">
        <v>1929</v>
      </c>
      <c r="C1216" t="s">
        <v>2038</v>
      </c>
      <c r="D1216" t="s">
        <v>164</v>
      </c>
      <c r="E1216" t="s">
        <v>8</v>
      </c>
      <c r="F1216" t="s">
        <v>1</v>
      </c>
      <c r="G1216" t="s">
        <v>705</v>
      </c>
      <c r="H1216" t="s">
        <v>408</v>
      </c>
      <c r="I1216" t="s">
        <v>1</v>
      </c>
      <c r="J1216">
        <v>43917.919999999998</v>
      </c>
      <c r="K1216">
        <v>45264.799447513898</v>
      </c>
      <c r="L1216">
        <v>6462.27</v>
      </c>
      <c r="M1216">
        <v>13031.649447513813</v>
      </c>
      <c r="N1216">
        <v>27933.81</v>
      </c>
      <c r="O1216">
        <v>13031.649447513801</v>
      </c>
      <c r="P1216">
        <v>-13032</v>
      </c>
      <c r="Q1216">
        <f t="shared" si="235"/>
        <v>-0.35055248619937629</v>
      </c>
      <c r="R1216">
        <v>0</v>
      </c>
      <c r="S1216">
        <f t="shared" si="236"/>
        <v>0.35055248619937629</v>
      </c>
      <c r="T1216"/>
      <c r="U1216">
        <f t="shared" si="237"/>
        <v>0</v>
      </c>
      <c r="V1216">
        <f t="shared" si="238"/>
        <v>0</v>
      </c>
      <c r="W1216">
        <f t="shared" si="239"/>
        <v>0.35055248619937629</v>
      </c>
      <c r="X1216">
        <v>0</v>
      </c>
    </row>
    <row r="1217" spans="1:24" x14ac:dyDescent="0.25">
      <c r="A1217" t="s">
        <v>1928</v>
      </c>
      <c r="B1217" t="s">
        <v>1929</v>
      </c>
      <c r="C1217" t="s">
        <v>2038</v>
      </c>
      <c r="D1217" t="s">
        <v>164</v>
      </c>
      <c r="E1217" t="s">
        <v>11</v>
      </c>
      <c r="F1217" t="s">
        <v>1</v>
      </c>
      <c r="G1217" t="s">
        <v>705</v>
      </c>
      <c r="H1217" t="s">
        <v>411</v>
      </c>
      <c r="I1217" t="s">
        <v>1</v>
      </c>
      <c r="J1217">
        <v>1028.77</v>
      </c>
      <c r="K1217">
        <v>871.31000000040001</v>
      </c>
      <c r="L1217">
        <v>482.68</v>
      </c>
      <c r="M1217">
        <v>973.36022099447507</v>
      </c>
      <c r="N1217">
        <v>967.36</v>
      </c>
      <c r="O1217">
        <v>965.36</v>
      </c>
      <c r="P1217">
        <v>0</v>
      </c>
      <c r="Q1217">
        <f t="shared" si="235"/>
        <v>965.36</v>
      </c>
      <c r="R1217">
        <v>965.36</v>
      </c>
      <c r="S1217">
        <f t="shared" si="236"/>
        <v>0</v>
      </c>
      <c r="T1217"/>
      <c r="U1217">
        <f t="shared" si="237"/>
        <v>0</v>
      </c>
      <c r="V1217">
        <f t="shared" si="238"/>
        <v>965.36</v>
      </c>
      <c r="W1217">
        <f t="shared" si="239"/>
        <v>0</v>
      </c>
      <c r="X1217">
        <v>0</v>
      </c>
    </row>
    <row r="1218" spans="1:24" x14ac:dyDescent="0.25">
      <c r="A1218" t="s">
        <v>1928</v>
      </c>
      <c r="B1218" t="s">
        <v>1929</v>
      </c>
      <c r="C1218" t="s">
        <v>2038</v>
      </c>
      <c r="D1218" t="s">
        <v>164</v>
      </c>
      <c r="E1218" t="s">
        <v>65</v>
      </c>
      <c r="F1218" t="s">
        <v>1</v>
      </c>
      <c r="G1218" t="s">
        <v>705</v>
      </c>
      <c r="H1218" t="s">
        <v>476</v>
      </c>
      <c r="I1218" t="s">
        <v>1</v>
      </c>
      <c r="J1218">
        <v>-968.37</v>
      </c>
      <c r="K1218"/>
      <c r="L1218">
        <v>-594.39</v>
      </c>
      <c r="M1218">
        <v>-1198.631767955801</v>
      </c>
      <c r="N1218">
        <v>-1033.9000000000001</v>
      </c>
      <c r="O1218">
        <v>-1195.3117582417999</v>
      </c>
      <c r="P1218">
        <v>0</v>
      </c>
      <c r="Q1218">
        <f t="shared" si="235"/>
        <v>-1195.3117582417999</v>
      </c>
      <c r="R1218">
        <v>0</v>
      </c>
      <c r="S1218">
        <f t="shared" si="236"/>
        <v>1195.3117582417999</v>
      </c>
      <c r="T1218"/>
      <c r="U1218">
        <f t="shared" si="237"/>
        <v>0</v>
      </c>
      <c r="V1218">
        <f t="shared" si="238"/>
        <v>0</v>
      </c>
      <c r="W1218">
        <f t="shared" si="239"/>
        <v>1195.3117582417999</v>
      </c>
      <c r="X1218">
        <v>0</v>
      </c>
    </row>
    <row r="1219" spans="1:24" x14ac:dyDescent="0.25">
      <c r="A1219" t="s">
        <v>1928</v>
      </c>
      <c r="B1219" t="s">
        <v>1929</v>
      </c>
      <c r="C1219" t="s">
        <v>2038</v>
      </c>
      <c r="D1219" t="s">
        <v>164</v>
      </c>
      <c r="E1219" t="s">
        <v>17</v>
      </c>
      <c r="F1219" t="s">
        <v>1</v>
      </c>
      <c r="G1219" t="s">
        <v>705</v>
      </c>
      <c r="H1219" t="s">
        <v>417</v>
      </c>
      <c r="I1219" t="s">
        <v>1</v>
      </c>
      <c r="J1219">
        <v>-8940.0300000000007</v>
      </c>
      <c r="K1219">
        <v>-7279.9999999999</v>
      </c>
      <c r="L1219">
        <v>-3813.1</v>
      </c>
      <c r="M1219">
        <v>-7689.4005524861868</v>
      </c>
      <c r="N1219">
        <v>-8990.1299999999992</v>
      </c>
      <c r="O1219">
        <v>-7668.1021978022</v>
      </c>
      <c r="P1219">
        <v>0</v>
      </c>
      <c r="Q1219">
        <f t="shared" si="235"/>
        <v>-7668.1021978022</v>
      </c>
      <c r="R1219">
        <v>-7668.1021978022</v>
      </c>
      <c r="S1219">
        <f t="shared" si="236"/>
        <v>0</v>
      </c>
      <c r="T1219"/>
      <c r="U1219">
        <f t="shared" si="237"/>
        <v>0</v>
      </c>
      <c r="V1219">
        <f t="shared" si="238"/>
        <v>-7668.1021978022</v>
      </c>
      <c r="W1219">
        <f t="shared" si="239"/>
        <v>0</v>
      </c>
      <c r="X1219">
        <v>0</v>
      </c>
    </row>
    <row r="1220" spans="1:24" x14ac:dyDescent="0.25">
      <c r="A1220" t="s">
        <v>1928</v>
      </c>
      <c r="B1220" t="s">
        <v>1929</v>
      </c>
      <c r="C1220" t="s">
        <v>2038</v>
      </c>
      <c r="D1220" t="s">
        <v>164</v>
      </c>
      <c r="E1220" t="s">
        <v>82</v>
      </c>
      <c r="F1220" t="s">
        <v>1</v>
      </c>
      <c r="G1220" t="s">
        <v>705</v>
      </c>
      <c r="H1220" t="s">
        <v>507</v>
      </c>
      <c r="I1220" t="s">
        <v>1</v>
      </c>
      <c r="J1220">
        <v>5813.58</v>
      </c>
      <c r="K1220">
        <v>6570.8580684365998</v>
      </c>
      <c r="L1220">
        <v>2348.38</v>
      </c>
      <c r="M1220">
        <v>4735.683425414365</v>
      </c>
      <c r="N1220">
        <v>4775.0300000000007</v>
      </c>
      <c r="O1220">
        <v>4722.5663736263996</v>
      </c>
      <c r="P1220">
        <v>0</v>
      </c>
      <c r="Q1220">
        <f t="shared" si="235"/>
        <v>4722.5663736263996</v>
      </c>
      <c r="R1220">
        <v>4722.5663736263996</v>
      </c>
      <c r="S1220">
        <f t="shared" si="236"/>
        <v>0</v>
      </c>
      <c r="T1220">
        <v>2.75E-2</v>
      </c>
      <c r="U1220">
        <f t="shared" si="237"/>
        <v>129.87057527472598</v>
      </c>
      <c r="V1220">
        <f t="shared" si="238"/>
        <v>4852.436948901126</v>
      </c>
      <c r="W1220">
        <f t="shared" si="239"/>
        <v>129.87057527472643</v>
      </c>
      <c r="X1220">
        <v>0</v>
      </c>
    </row>
    <row r="1221" spans="1:24" x14ac:dyDescent="0.25">
      <c r="A1221" t="s">
        <v>1928</v>
      </c>
      <c r="B1221" t="s">
        <v>1929</v>
      </c>
      <c r="C1221" t="s">
        <v>2038</v>
      </c>
      <c r="D1221" t="s">
        <v>164</v>
      </c>
      <c r="E1221" t="s">
        <v>72</v>
      </c>
      <c r="F1221" t="s">
        <v>1</v>
      </c>
      <c r="G1221" t="s">
        <v>705</v>
      </c>
      <c r="H1221" t="s">
        <v>489</v>
      </c>
      <c r="I1221" t="s">
        <v>1</v>
      </c>
      <c r="J1221">
        <v>2794.96</v>
      </c>
      <c r="K1221">
        <v>3115.6736207201002</v>
      </c>
      <c r="L1221">
        <v>1232.56</v>
      </c>
      <c r="M1221">
        <v>2485.549171270718</v>
      </c>
      <c r="N1221">
        <v>2607.0799999999995</v>
      </c>
      <c r="O1221">
        <v>2478.6646153846</v>
      </c>
      <c r="P1221">
        <v>0</v>
      </c>
      <c r="Q1221">
        <f t="shared" si="235"/>
        <v>2478.6646153846</v>
      </c>
      <c r="R1221">
        <v>2478.6646153846</v>
      </c>
      <c r="S1221">
        <f t="shared" si="236"/>
        <v>0</v>
      </c>
      <c r="T1221">
        <v>2.2499999999999999E-2</v>
      </c>
      <c r="U1221">
        <f t="shared" si="237"/>
        <v>55.769953846153498</v>
      </c>
      <c r="V1221">
        <f t="shared" si="238"/>
        <v>2534.4345692307534</v>
      </c>
      <c r="W1221">
        <f t="shared" si="239"/>
        <v>55.769953846153385</v>
      </c>
      <c r="X1221">
        <v>0</v>
      </c>
    </row>
    <row r="1222" spans="1:24" x14ac:dyDescent="0.25">
      <c r="A1222" t="s">
        <v>1928</v>
      </c>
      <c r="B1222" t="s">
        <v>1929</v>
      </c>
      <c r="C1222" t="s">
        <v>2038</v>
      </c>
      <c r="D1222" t="s">
        <v>164</v>
      </c>
      <c r="E1222" t="s">
        <v>118</v>
      </c>
      <c r="F1222" t="s">
        <v>1</v>
      </c>
      <c r="G1222" t="s">
        <v>705</v>
      </c>
      <c r="H1222" t="s">
        <v>587</v>
      </c>
      <c r="I1222" t="s">
        <v>1</v>
      </c>
      <c r="J1222">
        <v>99.17</v>
      </c>
      <c r="K1222"/>
      <c r="L1222">
        <v>42.84</v>
      </c>
      <c r="M1222">
        <v>86.390055248618793</v>
      </c>
      <c r="N1222">
        <v>89.65</v>
      </c>
      <c r="O1222">
        <v>86.150769230799995</v>
      </c>
      <c r="P1222">
        <v>0</v>
      </c>
      <c r="Q1222">
        <f t="shared" si="235"/>
        <v>86.150769230799995</v>
      </c>
      <c r="R1222">
        <v>86.150769230799995</v>
      </c>
      <c r="S1222">
        <f t="shared" si="236"/>
        <v>0</v>
      </c>
      <c r="T1222">
        <v>3.2500000000000001E-2</v>
      </c>
      <c r="U1222">
        <f t="shared" si="237"/>
        <v>2.7999000000009997</v>
      </c>
      <c r="V1222">
        <f t="shared" si="238"/>
        <v>88.950669230800997</v>
      </c>
      <c r="W1222">
        <f t="shared" si="239"/>
        <v>2.7999000000010028</v>
      </c>
      <c r="X1222">
        <v>0</v>
      </c>
    </row>
    <row r="1223" spans="1:24" x14ac:dyDescent="0.25">
      <c r="A1223" t="s">
        <v>1928</v>
      </c>
      <c r="B1223" t="s">
        <v>1929</v>
      </c>
      <c r="C1223" t="s">
        <v>2038</v>
      </c>
      <c r="D1223" t="s">
        <v>164</v>
      </c>
      <c r="E1223" t="s">
        <v>18</v>
      </c>
      <c r="F1223" t="s">
        <v>1</v>
      </c>
      <c r="G1223" t="s">
        <v>705</v>
      </c>
      <c r="H1223" t="s">
        <v>418</v>
      </c>
      <c r="I1223" t="s">
        <v>1</v>
      </c>
      <c r="J1223">
        <v>282665.68</v>
      </c>
      <c r="K1223">
        <v>313671.83447544102</v>
      </c>
      <c r="L1223">
        <v>136056.35999999999</v>
      </c>
      <c r="M1223">
        <v>274367.79779005522</v>
      </c>
      <c r="N1223">
        <v>262045.33000000002</v>
      </c>
      <c r="O1223">
        <v>273607.84483516501</v>
      </c>
      <c r="P1223">
        <v>0</v>
      </c>
      <c r="Q1223">
        <f t="shared" si="235"/>
        <v>273607.84483516501</v>
      </c>
      <c r="R1223">
        <v>273607.84483516501</v>
      </c>
      <c r="S1223">
        <f t="shared" si="236"/>
        <v>0</v>
      </c>
      <c r="T1223">
        <v>0.02</v>
      </c>
      <c r="U1223">
        <f t="shared" si="237"/>
        <v>5472.1568967033008</v>
      </c>
      <c r="V1223">
        <f t="shared" si="238"/>
        <v>279080.00173186831</v>
      </c>
      <c r="W1223">
        <f t="shared" si="239"/>
        <v>5472.1568967032945</v>
      </c>
      <c r="X1223">
        <v>0</v>
      </c>
    </row>
    <row r="1224" spans="1:24" x14ac:dyDescent="0.25">
      <c r="A1224" t="s">
        <v>1928</v>
      </c>
      <c r="B1224" t="s">
        <v>1929</v>
      </c>
      <c r="C1224" t="s">
        <v>2038</v>
      </c>
      <c r="D1224" t="s">
        <v>164</v>
      </c>
      <c r="E1224" t="s">
        <v>57</v>
      </c>
      <c r="F1224" t="s">
        <v>1</v>
      </c>
      <c r="G1224" t="s">
        <v>705</v>
      </c>
      <c r="H1224" t="s">
        <v>462</v>
      </c>
      <c r="I1224" t="s">
        <v>1</v>
      </c>
      <c r="J1224">
        <v>11080.49</v>
      </c>
      <c r="K1224">
        <v>13183.5548641973</v>
      </c>
      <c r="L1224">
        <v>2287.52</v>
      </c>
      <c r="M1224">
        <v>4612.9546961325968</v>
      </c>
      <c r="N1224">
        <v>6564.6000000000013</v>
      </c>
      <c r="O1224">
        <v>4600.1775824176002</v>
      </c>
      <c r="P1224">
        <v>0</v>
      </c>
      <c r="Q1224">
        <f t="shared" si="235"/>
        <v>4600.1775824176002</v>
      </c>
      <c r="R1224">
        <v>4600.1775824176002</v>
      </c>
      <c r="S1224">
        <f t="shared" si="236"/>
        <v>0</v>
      </c>
      <c r="T1224">
        <v>0.04</v>
      </c>
      <c r="U1224">
        <f t="shared" si="237"/>
        <v>184.007103296704</v>
      </c>
      <c r="V1224">
        <f t="shared" si="238"/>
        <v>4784.1846857143046</v>
      </c>
      <c r="W1224">
        <f t="shared" si="239"/>
        <v>184.00710329670437</v>
      </c>
      <c r="X1224">
        <v>0</v>
      </c>
    </row>
    <row r="1225" spans="1:24" x14ac:dyDescent="0.25">
      <c r="A1225" t="s">
        <v>1928</v>
      </c>
      <c r="B1225" t="s">
        <v>1929</v>
      </c>
      <c r="C1225" t="s">
        <v>2038</v>
      </c>
      <c r="D1225" t="s">
        <v>164</v>
      </c>
      <c r="E1225" t="s">
        <v>19</v>
      </c>
      <c r="F1225" t="s">
        <v>1</v>
      </c>
      <c r="G1225" t="s">
        <v>705</v>
      </c>
      <c r="H1225" t="s">
        <v>419</v>
      </c>
      <c r="I1225" t="s">
        <v>1</v>
      </c>
      <c r="J1225"/>
      <c r="K1225"/>
      <c r="L1225">
        <v>1751.54</v>
      </c>
      <c r="M1225">
        <v>3532.1110497237573</v>
      </c>
      <c r="N1225">
        <v>1751.54</v>
      </c>
      <c r="O1225">
        <v>3522.3276923077001</v>
      </c>
      <c r="P1225">
        <v>0</v>
      </c>
      <c r="Q1225">
        <f t="shared" si="235"/>
        <v>3522.3276923077001</v>
      </c>
      <c r="R1225">
        <v>3522.3276923077001</v>
      </c>
      <c r="S1225">
        <f t="shared" si="236"/>
        <v>0</v>
      </c>
      <c r="T1225">
        <v>0.02</v>
      </c>
      <c r="U1225">
        <f t="shared" si="237"/>
        <v>70.446553846154004</v>
      </c>
      <c r="V1225">
        <f t="shared" si="238"/>
        <v>3592.7742461538542</v>
      </c>
      <c r="W1225">
        <f t="shared" si="239"/>
        <v>70.446553846154075</v>
      </c>
      <c r="X1225">
        <v>0</v>
      </c>
    </row>
    <row r="1226" spans="1:24" x14ac:dyDescent="0.25">
      <c r="A1226" t="s">
        <v>1928</v>
      </c>
      <c r="B1226" t="s">
        <v>1929</v>
      </c>
      <c r="C1226" t="s">
        <v>2038</v>
      </c>
      <c r="D1226" t="s">
        <v>164</v>
      </c>
      <c r="E1226" t="s">
        <v>74</v>
      </c>
      <c r="F1226" t="s">
        <v>1</v>
      </c>
      <c r="G1226" t="s">
        <v>705</v>
      </c>
      <c r="H1226" t="s">
        <v>491</v>
      </c>
      <c r="I1226" t="s">
        <v>1</v>
      </c>
      <c r="J1226">
        <v>56479.3</v>
      </c>
      <c r="K1226">
        <v>61349.2187210255</v>
      </c>
      <c r="L1226">
        <v>25136.61</v>
      </c>
      <c r="M1226">
        <v>50689.84889502763</v>
      </c>
      <c r="N1226">
        <v>52472.06</v>
      </c>
      <c r="O1226">
        <v>50549.446483516498</v>
      </c>
      <c r="P1226">
        <v>0</v>
      </c>
      <c r="Q1226">
        <f t="shared" si="235"/>
        <v>50549.446483516498</v>
      </c>
      <c r="R1226">
        <v>50549.446483516498</v>
      </c>
      <c r="S1226">
        <f t="shared" si="236"/>
        <v>0</v>
      </c>
      <c r="T1226">
        <v>3.5000000000000003E-2</v>
      </c>
      <c r="U1226">
        <f t="shared" si="237"/>
        <v>1769.2306269230776</v>
      </c>
      <c r="V1226">
        <f t="shared" si="238"/>
        <v>52318.677110439574</v>
      </c>
      <c r="W1226">
        <f t="shared" si="239"/>
        <v>1769.2306269230758</v>
      </c>
      <c r="X1226">
        <v>0</v>
      </c>
    </row>
    <row r="1227" spans="1:24" x14ac:dyDescent="0.25">
      <c r="A1227" t="s">
        <v>1928</v>
      </c>
      <c r="B1227" t="s">
        <v>1929</v>
      </c>
      <c r="C1227" t="s">
        <v>2038</v>
      </c>
      <c r="D1227" t="s">
        <v>164</v>
      </c>
      <c r="E1227" t="s">
        <v>85</v>
      </c>
      <c r="F1227" t="s">
        <v>1</v>
      </c>
      <c r="G1227" t="s">
        <v>705</v>
      </c>
      <c r="H1227" t="s">
        <v>510</v>
      </c>
      <c r="I1227" t="s">
        <v>1</v>
      </c>
      <c r="J1227">
        <v>1732.93</v>
      </c>
      <c r="K1227">
        <v>2560.9723105804001</v>
      </c>
      <c r="L1227">
        <v>303.12</v>
      </c>
      <c r="M1227">
        <v>611.26408839779003</v>
      </c>
      <c r="N1227">
        <v>594.64</v>
      </c>
      <c r="O1227">
        <v>609.57098901100005</v>
      </c>
      <c r="P1227">
        <v>0</v>
      </c>
      <c r="Q1227">
        <f t="shared" si="235"/>
        <v>609.57098901100005</v>
      </c>
      <c r="R1227">
        <v>609.57098901100005</v>
      </c>
      <c r="S1227">
        <f t="shared" si="236"/>
        <v>0</v>
      </c>
      <c r="T1227">
        <v>0.02</v>
      </c>
      <c r="U1227">
        <f t="shared" si="237"/>
        <v>12.191419780220002</v>
      </c>
      <c r="V1227">
        <f t="shared" si="238"/>
        <v>621.76240879122008</v>
      </c>
      <c r="W1227">
        <f t="shared" si="239"/>
        <v>12.191419780220031</v>
      </c>
      <c r="X1227">
        <v>0</v>
      </c>
    </row>
    <row r="1228" spans="1:24" x14ac:dyDescent="0.25">
      <c r="A1228" t="s">
        <v>1928</v>
      </c>
      <c r="B1228" t="s">
        <v>1929</v>
      </c>
      <c r="C1228" t="s">
        <v>2038</v>
      </c>
      <c r="D1228" t="s">
        <v>164</v>
      </c>
      <c r="E1228" t="s">
        <v>119</v>
      </c>
      <c r="F1228" t="s">
        <v>1</v>
      </c>
      <c r="G1228" t="s">
        <v>705</v>
      </c>
      <c r="H1228" t="s">
        <v>588</v>
      </c>
      <c r="I1228" t="s">
        <v>1</v>
      </c>
      <c r="J1228">
        <v>705</v>
      </c>
      <c r="K1228"/>
      <c r="L1228">
        <v>0</v>
      </c>
      <c r="M1228">
        <v>0</v>
      </c>
      <c r="N1228">
        <v>470.4</v>
      </c>
      <c r="O1228"/>
      <c r="P1228">
        <v>0</v>
      </c>
      <c r="Q1228">
        <f t="shared" si="235"/>
        <v>0</v>
      </c>
      <c r="R1228">
        <v>0</v>
      </c>
      <c r="S1228">
        <f t="shared" si="236"/>
        <v>0</v>
      </c>
      <c r="T1228">
        <v>1.4999999999999999E-2</v>
      </c>
      <c r="U1228">
        <f t="shared" si="237"/>
        <v>0</v>
      </c>
      <c r="V1228">
        <f t="shared" si="238"/>
        <v>0</v>
      </c>
      <c r="W1228">
        <f t="shared" si="239"/>
        <v>0</v>
      </c>
      <c r="X1228">
        <v>0</v>
      </c>
    </row>
    <row r="1229" spans="1:24" x14ac:dyDescent="0.25">
      <c r="A1229" t="s">
        <v>1928</v>
      </c>
      <c r="B1229" t="s">
        <v>1929</v>
      </c>
      <c r="C1229" t="s">
        <v>2038</v>
      </c>
      <c r="D1229" t="s">
        <v>164</v>
      </c>
      <c r="E1229" t="s">
        <v>20</v>
      </c>
      <c r="F1229" t="s">
        <v>1</v>
      </c>
      <c r="G1229" t="s">
        <v>705</v>
      </c>
      <c r="H1229" t="s">
        <v>420</v>
      </c>
      <c r="I1229" t="s">
        <v>1</v>
      </c>
      <c r="J1229">
        <v>42760.160000000003</v>
      </c>
      <c r="K1229">
        <v>38942.0063664669</v>
      </c>
      <c r="L1229">
        <v>26287.49</v>
      </c>
      <c r="M1229">
        <v>53010.684254143656</v>
      </c>
      <c r="N1229">
        <v>48772.22</v>
      </c>
      <c r="O1229">
        <v>52863.853516483498</v>
      </c>
      <c r="P1229">
        <v>0</v>
      </c>
      <c r="Q1229">
        <f t="shared" si="235"/>
        <v>52863.853516483498</v>
      </c>
      <c r="R1229">
        <v>52863.853516483498</v>
      </c>
      <c r="S1229">
        <f t="shared" si="236"/>
        <v>0</v>
      </c>
      <c r="T1229">
        <v>0.04</v>
      </c>
      <c r="U1229">
        <f t="shared" si="237"/>
        <v>2114.5541406593397</v>
      </c>
      <c r="V1229">
        <f t="shared" si="238"/>
        <v>54978.407657142838</v>
      </c>
      <c r="W1229">
        <f t="shared" si="239"/>
        <v>2114.5541406593402</v>
      </c>
      <c r="X1229">
        <v>0</v>
      </c>
    </row>
    <row r="1230" spans="1:24" x14ac:dyDescent="0.25">
      <c r="A1230" t="s">
        <v>1928</v>
      </c>
      <c r="B1230" t="s">
        <v>1929</v>
      </c>
      <c r="C1230" t="s">
        <v>2038</v>
      </c>
      <c r="D1230" t="s">
        <v>164</v>
      </c>
      <c r="E1230" t="s">
        <v>21</v>
      </c>
      <c r="F1230" t="s">
        <v>1</v>
      </c>
      <c r="G1230" t="s">
        <v>705</v>
      </c>
      <c r="H1230" t="s">
        <v>421</v>
      </c>
      <c r="I1230" t="s">
        <v>1</v>
      </c>
      <c r="J1230">
        <v>6895.91</v>
      </c>
      <c r="K1230">
        <v>7111.1200000000999</v>
      </c>
      <c r="L1230">
        <v>3739.18</v>
      </c>
      <c r="M1230">
        <v>7540.3353591160221</v>
      </c>
      <c r="N1230">
        <v>7010.1900000000005</v>
      </c>
      <c r="O1230">
        <v>7540.3353591160003</v>
      </c>
      <c r="P1230">
        <v>0</v>
      </c>
      <c r="Q1230">
        <f t="shared" si="235"/>
        <v>7540.3353591160003</v>
      </c>
      <c r="R1230">
        <v>7540.3353591160003</v>
      </c>
      <c r="S1230">
        <f t="shared" si="236"/>
        <v>0</v>
      </c>
      <c r="T1230">
        <v>0.03</v>
      </c>
      <c r="U1230">
        <f t="shared" si="237"/>
        <v>226.21006077348</v>
      </c>
      <c r="V1230">
        <f t="shared" si="238"/>
        <v>7766.5454198894804</v>
      </c>
      <c r="W1230">
        <f t="shared" si="239"/>
        <v>226.21006077348011</v>
      </c>
      <c r="X1230">
        <v>0</v>
      </c>
    </row>
    <row r="1231" spans="1:24" x14ac:dyDescent="0.25">
      <c r="A1231" t="s">
        <v>1928</v>
      </c>
      <c r="B1231" t="s">
        <v>1929</v>
      </c>
      <c r="C1231" t="s">
        <v>2038</v>
      </c>
      <c r="D1231" t="s">
        <v>164</v>
      </c>
      <c r="E1231" t="s">
        <v>22</v>
      </c>
      <c r="F1231" t="s">
        <v>1</v>
      </c>
      <c r="G1231" t="s">
        <v>705</v>
      </c>
      <c r="H1231" t="s">
        <v>422</v>
      </c>
      <c r="I1231" t="s">
        <v>1</v>
      </c>
      <c r="J1231">
        <v>461.89</v>
      </c>
      <c r="K1231">
        <v>362.25000000019998</v>
      </c>
      <c r="L1231">
        <v>402.69</v>
      </c>
      <c r="M1231">
        <v>812.05441988950281</v>
      </c>
      <c r="N1231">
        <v>690.67000000000007</v>
      </c>
      <c r="O1231">
        <v>812.05441988949997</v>
      </c>
      <c r="P1231">
        <v>0</v>
      </c>
      <c r="Q1231">
        <f t="shared" si="235"/>
        <v>812.05441988949997</v>
      </c>
      <c r="R1231">
        <v>812.05441988949997</v>
      </c>
      <c r="S1231">
        <f t="shared" si="236"/>
        <v>0</v>
      </c>
      <c r="T1231">
        <v>3.5000000000000003E-2</v>
      </c>
      <c r="U1231">
        <f t="shared" si="237"/>
        <v>28.421904696132501</v>
      </c>
      <c r="V1231">
        <f t="shared" si="238"/>
        <v>840.47632458563248</v>
      </c>
      <c r="W1231">
        <f t="shared" si="239"/>
        <v>28.421904696132515</v>
      </c>
      <c r="X1231">
        <v>0</v>
      </c>
    </row>
    <row r="1232" spans="1:24" x14ac:dyDescent="0.25">
      <c r="A1232" t="s">
        <v>1928</v>
      </c>
      <c r="B1232" t="s">
        <v>1929</v>
      </c>
      <c r="C1232" t="s">
        <v>2038</v>
      </c>
      <c r="D1232" t="s">
        <v>164</v>
      </c>
      <c r="E1232" t="s">
        <v>23</v>
      </c>
      <c r="F1232" t="s">
        <v>1</v>
      </c>
      <c r="G1232" t="s">
        <v>705</v>
      </c>
      <c r="H1232" t="s">
        <v>423</v>
      </c>
      <c r="I1232" t="s">
        <v>1</v>
      </c>
      <c r="J1232">
        <v>9812.77</v>
      </c>
      <c r="K1232">
        <v>16353</v>
      </c>
      <c r="L1232">
        <v>1844.46</v>
      </c>
      <c r="M1232">
        <v>3719.4911602209945</v>
      </c>
      <c r="N1232">
        <v>3759.73</v>
      </c>
      <c r="O1232">
        <v>3719.491160221</v>
      </c>
      <c r="P1232">
        <v>0</v>
      </c>
      <c r="Q1232">
        <f t="shared" si="235"/>
        <v>3719.491160221</v>
      </c>
      <c r="R1232">
        <v>3719.491160221</v>
      </c>
      <c r="S1232">
        <f t="shared" si="236"/>
        <v>0</v>
      </c>
      <c r="T1232">
        <v>3.5000000000000003E-2</v>
      </c>
      <c r="U1232">
        <f t="shared" si="237"/>
        <v>130.18219060773501</v>
      </c>
      <c r="V1232">
        <f t="shared" si="238"/>
        <v>3849.6733508287348</v>
      </c>
      <c r="W1232">
        <f t="shared" si="239"/>
        <v>130.18219060773481</v>
      </c>
      <c r="X1232">
        <v>0</v>
      </c>
    </row>
    <row r="1233" spans="1:24" x14ac:dyDescent="0.25">
      <c r="A1233" t="s">
        <v>1928</v>
      </c>
      <c r="B1233" t="s">
        <v>1929</v>
      </c>
      <c r="C1233" t="s">
        <v>2038</v>
      </c>
      <c r="D1233" t="s">
        <v>164</v>
      </c>
      <c r="E1233" t="s">
        <v>26</v>
      </c>
      <c r="F1233" t="s">
        <v>1</v>
      </c>
      <c r="G1233" t="s">
        <v>705</v>
      </c>
      <c r="H1233" t="s">
        <v>426</v>
      </c>
      <c r="I1233" t="s">
        <v>1</v>
      </c>
      <c r="J1233">
        <v>71.86</v>
      </c>
      <c r="K1233"/>
      <c r="L1233">
        <v>0</v>
      </c>
      <c r="M1233">
        <v>0</v>
      </c>
      <c r="N1233">
        <v>71.86</v>
      </c>
      <c r="O1233"/>
      <c r="P1233">
        <v>1000</v>
      </c>
      <c r="Q1233">
        <f t="shared" si="235"/>
        <v>1000</v>
      </c>
      <c r="R1233">
        <v>1000</v>
      </c>
      <c r="S1233">
        <f t="shared" si="236"/>
        <v>0</v>
      </c>
      <c r="T1233"/>
      <c r="U1233">
        <f t="shared" si="237"/>
        <v>0</v>
      </c>
      <c r="V1233">
        <f t="shared" si="238"/>
        <v>1000</v>
      </c>
      <c r="W1233">
        <f t="shared" si="239"/>
        <v>0</v>
      </c>
      <c r="X1233" t="s">
        <v>1460</v>
      </c>
    </row>
    <row r="1234" spans="1:24" x14ac:dyDescent="0.25">
      <c r="A1234" t="s">
        <v>1928</v>
      </c>
      <c r="B1234" t="s">
        <v>1929</v>
      </c>
      <c r="C1234" t="s">
        <v>2038</v>
      </c>
      <c r="D1234" t="s">
        <v>164</v>
      </c>
      <c r="E1234" t="s">
        <v>28</v>
      </c>
      <c r="F1234" t="s">
        <v>1</v>
      </c>
      <c r="G1234" t="s">
        <v>705</v>
      </c>
      <c r="H1234" t="s">
        <v>428</v>
      </c>
      <c r="I1234" t="s">
        <v>1</v>
      </c>
      <c r="J1234">
        <v>24.79</v>
      </c>
      <c r="K1234"/>
      <c r="L1234">
        <v>150.5</v>
      </c>
      <c r="M1234">
        <v>303.49447513812157</v>
      </c>
      <c r="N1234">
        <v>150.5</v>
      </c>
      <c r="O1234">
        <v>301</v>
      </c>
      <c r="P1234">
        <v>0</v>
      </c>
      <c r="Q1234">
        <f t="shared" si="235"/>
        <v>301</v>
      </c>
      <c r="R1234">
        <v>301</v>
      </c>
      <c r="S1234">
        <f t="shared" si="236"/>
        <v>0</v>
      </c>
      <c r="T1234"/>
      <c r="U1234">
        <f t="shared" si="237"/>
        <v>0</v>
      </c>
      <c r="V1234">
        <f t="shared" si="238"/>
        <v>301</v>
      </c>
      <c r="W1234">
        <f t="shared" si="239"/>
        <v>0</v>
      </c>
      <c r="X1234">
        <v>0</v>
      </c>
    </row>
    <row r="1235" spans="1:24" x14ac:dyDescent="0.25">
      <c r="A1235" t="s">
        <v>1928</v>
      </c>
      <c r="B1235" t="s">
        <v>1929</v>
      </c>
      <c r="C1235" t="s">
        <v>2038</v>
      </c>
      <c r="D1235" t="s">
        <v>164</v>
      </c>
      <c r="E1235" t="s">
        <v>29</v>
      </c>
      <c r="F1235" t="s">
        <v>1</v>
      </c>
      <c r="G1235" t="s">
        <v>705</v>
      </c>
      <c r="H1235" t="s">
        <v>429</v>
      </c>
      <c r="I1235" t="s">
        <v>1</v>
      </c>
      <c r="J1235">
        <v>127.5</v>
      </c>
      <c r="K1235"/>
      <c r="L1235">
        <v>0</v>
      </c>
      <c r="M1235">
        <v>0</v>
      </c>
      <c r="N1235">
        <v>127.5</v>
      </c>
      <c r="O1235"/>
      <c r="P1235">
        <v>0</v>
      </c>
      <c r="Q1235">
        <f t="shared" si="235"/>
        <v>0</v>
      </c>
      <c r="R1235">
        <v>0</v>
      </c>
      <c r="S1235">
        <f t="shared" si="236"/>
        <v>0</v>
      </c>
      <c r="T1235"/>
      <c r="U1235">
        <f t="shared" si="237"/>
        <v>0</v>
      </c>
      <c r="V1235">
        <f t="shared" si="238"/>
        <v>0</v>
      </c>
      <c r="W1235">
        <f t="shared" si="239"/>
        <v>0</v>
      </c>
      <c r="X1235">
        <v>0</v>
      </c>
    </row>
    <row r="1236" spans="1:24" x14ac:dyDescent="0.25">
      <c r="A1236" t="s">
        <v>1928</v>
      </c>
      <c r="B1236" t="s">
        <v>1929</v>
      </c>
      <c r="C1236" t="s">
        <v>2038</v>
      </c>
      <c r="D1236" t="s">
        <v>164</v>
      </c>
      <c r="E1236" t="s">
        <v>33</v>
      </c>
      <c r="F1236" t="s">
        <v>1</v>
      </c>
      <c r="G1236" t="s">
        <v>705</v>
      </c>
      <c r="H1236" t="s">
        <v>433</v>
      </c>
      <c r="I1236" t="s">
        <v>1</v>
      </c>
      <c r="J1236"/>
      <c r="K1236">
        <v>245.30959207320001</v>
      </c>
      <c r="L1236">
        <v>0</v>
      </c>
      <c r="M1236">
        <v>0</v>
      </c>
      <c r="N1236">
        <v>0</v>
      </c>
      <c r="O1236"/>
      <c r="P1236">
        <v>500</v>
      </c>
      <c r="Q1236">
        <f t="shared" si="235"/>
        <v>500</v>
      </c>
      <c r="R1236">
        <v>500</v>
      </c>
      <c r="S1236">
        <f t="shared" si="236"/>
        <v>0</v>
      </c>
      <c r="T1236"/>
      <c r="U1236">
        <f t="shared" si="237"/>
        <v>0</v>
      </c>
      <c r="V1236">
        <f t="shared" si="238"/>
        <v>500</v>
      </c>
      <c r="W1236">
        <f t="shared" si="239"/>
        <v>0</v>
      </c>
      <c r="X1236" t="s">
        <v>1422</v>
      </c>
    </row>
    <row r="1237" spans="1:24" x14ac:dyDescent="0.25">
      <c r="A1237" t="s">
        <v>1928</v>
      </c>
      <c r="B1237" t="s">
        <v>1929</v>
      </c>
      <c r="C1237" t="s">
        <v>2038</v>
      </c>
      <c r="D1237" t="s">
        <v>164</v>
      </c>
      <c r="E1237" t="s">
        <v>37</v>
      </c>
      <c r="F1237" t="s">
        <v>1</v>
      </c>
      <c r="G1237" t="s">
        <v>705</v>
      </c>
      <c r="H1237" t="s">
        <v>437</v>
      </c>
      <c r="I1237" t="s">
        <v>1</v>
      </c>
      <c r="J1237">
        <v>349.22</v>
      </c>
      <c r="K1237">
        <v>1471.8575524416001</v>
      </c>
      <c r="L1237">
        <v>0</v>
      </c>
      <c r="M1237">
        <v>0</v>
      </c>
      <c r="N1237">
        <v>96.09</v>
      </c>
      <c r="O1237"/>
      <c r="P1237">
        <v>1500</v>
      </c>
      <c r="Q1237">
        <f t="shared" si="235"/>
        <v>1500</v>
      </c>
      <c r="R1237">
        <v>1500</v>
      </c>
      <c r="S1237">
        <f t="shared" si="236"/>
        <v>0</v>
      </c>
      <c r="T1237"/>
      <c r="U1237">
        <f t="shared" si="237"/>
        <v>0</v>
      </c>
      <c r="V1237">
        <f t="shared" si="238"/>
        <v>1500</v>
      </c>
      <c r="W1237">
        <f t="shared" si="239"/>
        <v>0</v>
      </c>
      <c r="X1237" t="s">
        <v>1423</v>
      </c>
    </row>
    <row r="1238" spans="1:24" x14ac:dyDescent="0.25">
      <c r="A1238" t="s">
        <v>1928</v>
      </c>
      <c r="B1238" t="s">
        <v>1929</v>
      </c>
      <c r="C1238" t="s">
        <v>2038</v>
      </c>
      <c r="D1238" t="s">
        <v>164</v>
      </c>
      <c r="E1238" t="s">
        <v>121</v>
      </c>
      <c r="F1238" t="s">
        <v>1</v>
      </c>
      <c r="G1238" t="s">
        <v>705</v>
      </c>
      <c r="H1238" t="s">
        <v>590</v>
      </c>
      <c r="I1238" t="s">
        <v>1</v>
      </c>
      <c r="J1238">
        <v>1254</v>
      </c>
      <c r="K1238">
        <v>80802.406753169998</v>
      </c>
      <c r="L1238">
        <v>0</v>
      </c>
      <c r="M1238">
        <v>0</v>
      </c>
      <c r="N1238">
        <v>1254</v>
      </c>
      <c r="O1238"/>
      <c r="P1238">
        <v>0</v>
      </c>
      <c r="Q1238">
        <f t="shared" si="235"/>
        <v>0</v>
      </c>
      <c r="R1238">
        <v>0</v>
      </c>
      <c r="S1238">
        <f t="shared" si="236"/>
        <v>0</v>
      </c>
      <c r="T1238"/>
      <c r="U1238">
        <f t="shared" si="237"/>
        <v>0</v>
      </c>
      <c r="V1238">
        <f t="shared" si="238"/>
        <v>0</v>
      </c>
      <c r="W1238">
        <f t="shared" si="239"/>
        <v>0</v>
      </c>
      <c r="X1238">
        <v>0</v>
      </c>
    </row>
    <row r="1239" spans="1:24" x14ac:dyDescent="0.25">
      <c r="A1239" t="s">
        <v>1928</v>
      </c>
      <c r="B1239" t="s">
        <v>1929</v>
      </c>
      <c r="C1239" t="s">
        <v>2038</v>
      </c>
      <c r="D1239" t="s">
        <v>164</v>
      </c>
      <c r="E1239" t="s">
        <v>41</v>
      </c>
      <c r="F1239" t="s">
        <v>1</v>
      </c>
      <c r="G1239" t="s">
        <v>705</v>
      </c>
      <c r="H1239" t="s">
        <v>441</v>
      </c>
      <c r="I1239" t="s">
        <v>1</v>
      </c>
      <c r="J1239">
        <v>599.47</v>
      </c>
      <c r="K1239">
        <v>1061.6400000000001</v>
      </c>
      <c r="L1239">
        <v>615.01</v>
      </c>
      <c r="M1239">
        <v>1240.2135359116023</v>
      </c>
      <c r="N1239">
        <v>1093.05</v>
      </c>
      <c r="O1239">
        <v>1230.02</v>
      </c>
      <c r="P1239">
        <v>0</v>
      </c>
      <c r="Q1239">
        <f t="shared" si="235"/>
        <v>1230.02</v>
      </c>
      <c r="R1239">
        <v>1230.02</v>
      </c>
      <c r="S1239">
        <f t="shared" si="236"/>
        <v>0</v>
      </c>
      <c r="T1239">
        <v>0.03</v>
      </c>
      <c r="U1239">
        <f t="shared" si="237"/>
        <v>36.900599999999997</v>
      </c>
      <c r="V1239">
        <f t="shared" si="238"/>
        <v>1266.9205999999999</v>
      </c>
      <c r="W1239">
        <f t="shared" si="239"/>
        <v>36.90059999999994</v>
      </c>
      <c r="X1239">
        <v>0</v>
      </c>
    </row>
    <row r="1240" spans="1:24" x14ac:dyDescent="0.25">
      <c r="A1240" t="s">
        <v>1928</v>
      </c>
      <c r="B1240" t="s">
        <v>1929</v>
      </c>
      <c r="C1240" t="s">
        <v>2038</v>
      </c>
      <c r="D1240" t="s">
        <v>164</v>
      </c>
      <c r="E1240" t="s">
        <v>43</v>
      </c>
      <c r="F1240" t="s">
        <v>1</v>
      </c>
      <c r="G1240" t="s">
        <v>705</v>
      </c>
      <c r="H1240" t="s">
        <v>443</v>
      </c>
      <c r="I1240" t="s">
        <v>1</v>
      </c>
      <c r="J1240">
        <v>950</v>
      </c>
      <c r="K1240"/>
      <c r="L1240">
        <v>950</v>
      </c>
      <c r="M1240">
        <v>1915.7458563535913</v>
      </c>
      <c r="N1240">
        <v>1900</v>
      </c>
      <c r="O1240">
        <v>1900</v>
      </c>
      <c r="P1240">
        <v>0</v>
      </c>
      <c r="Q1240">
        <f t="shared" si="235"/>
        <v>1900</v>
      </c>
      <c r="R1240">
        <v>1900</v>
      </c>
      <c r="S1240">
        <f t="shared" si="236"/>
        <v>0</v>
      </c>
      <c r="T1240">
        <v>0.03</v>
      </c>
      <c r="U1240">
        <f t="shared" si="237"/>
        <v>57</v>
      </c>
      <c r="V1240">
        <f t="shared" si="238"/>
        <v>1957</v>
      </c>
      <c r="W1240">
        <f t="shared" si="239"/>
        <v>57</v>
      </c>
      <c r="X1240">
        <v>0</v>
      </c>
    </row>
    <row r="1241" spans="1:24" x14ac:dyDescent="0.25">
      <c r="A1241" t="s">
        <v>1928</v>
      </c>
      <c r="B1241" t="s">
        <v>1929</v>
      </c>
      <c r="C1241" t="s">
        <v>2038</v>
      </c>
      <c r="D1241" t="s">
        <v>164</v>
      </c>
      <c r="E1241" t="s">
        <v>46</v>
      </c>
      <c r="F1241" t="s">
        <v>1</v>
      </c>
      <c r="G1241" t="s">
        <v>705</v>
      </c>
      <c r="H1241" t="s">
        <v>446</v>
      </c>
      <c r="I1241" t="s">
        <v>1</v>
      </c>
      <c r="J1241">
        <v>1148.4000000000001</v>
      </c>
      <c r="K1241"/>
      <c r="L1241">
        <v>0</v>
      </c>
      <c r="M1241">
        <v>0</v>
      </c>
      <c r="N1241">
        <v>0</v>
      </c>
      <c r="O1241"/>
      <c r="P1241">
        <v>0</v>
      </c>
      <c r="Q1241">
        <f t="shared" si="235"/>
        <v>0</v>
      </c>
      <c r="R1241">
        <v>0</v>
      </c>
      <c r="S1241">
        <f t="shared" si="236"/>
        <v>0</v>
      </c>
      <c r="T1241">
        <v>0.03</v>
      </c>
      <c r="U1241">
        <f t="shared" si="237"/>
        <v>0</v>
      </c>
      <c r="V1241">
        <f t="shared" si="238"/>
        <v>0</v>
      </c>
      <c r="W1241">
        <f t="shared" si="239"/>
        <v>0</v>
      </c>
      <c r="X1241">
        <v>0</v>
      </c>
    </row>
    <row r="1242" spans="1:24" x14ac:dyDescent="0.25">
      <c r="A1242" t="s">
        <v>1928</v>
      </c>
      <c r="B1242" t="s">
        <v>1929</v>
      </c>
      <c r="C1242" t="s">
        <v>2038</v>
      </c>
      <c r="D1242" t="s">
        <v>164</v>
      </c>
      <c r="E1242" t="s">
        <v>47</v>
      </c>
      <c r="F1242" t="s">
        <v>1</v>
      </c>
      <c r="G1242" t="s">
        <v>705</v>
      </c>
      <c r="H1242" t="s">
        <v>447</v>
      </c>
      <c r="I1242" t="s">
        <v>1</v>
      </c>
      <c r="J1242"/>
      <c r="K1242">
        <v>243</v>
      </c>
      <c r="L1242">
        <v>0</v>
      </c>
      <c r="M1242">
        <v>0</v>
      </c>
      <c r="N1242">
        <v>0</v>
      </c>
      <c r="O1242"/>
      <c r="P1242">
        <v>0</v>
      </c>
      <c r="Q1242">
        <f t="shared" si="235"/>
        <v>0</v>
      </c>
      <c r="R1242">
        <v>0</v>
      </c>
      <c r="S1242">
        <f t="shared" si="236"/>
        <v>0</v>
      </c>
      <c r="T1242">
        <v>0.03</v>
      </c>
      <c r="U1242">
        <f t="shared" si="237"/>
        <v>0</v>
      </c>
      <c r="V1242">
        <f t="shared" si="238"/>
        <v>0</v>
      </c>
      <c r="W1242">
        <f t="shared" si="239"/>
        <v>0</v>
      </c>
      <c r="X1242">
        <v>0</v>
      </c>
    </row>
    <row r="1243" spans="1:24" x14ac:dyDescent="0.25">
      <c r="A1243" t="s">
        <v>1928</v>
      </c>
      <c r="B1243" t="s">
        <v>1929</v>
      </c>
      <c r="C1243" t="s">
        <v>2038</v>
      </c>
      <c r="D1243" t="s">
        <v>164</v>
      </c>
      <c r="E1243" t="s">
        <v>50</v>
      </c>
      <c r="F1243" t="s">
        <v>1</v>
      </c>
      <c r="G1243" t="s">
        <v>705</v>
      </c>
      <c r="H1243" t="s">
        <v>450</v>
      </c>
      <c r="I1243" t="s">
        <v>1</v>
      </c>
      <c r="J1243">
        <v>687.04</v>
      </c>
      <c r="K1243">
        <v>689.99999999950001</v>
      </c>
      <c r="L1243">
        <v>155.5</v>
      </c>
      <c r="M1243">
        <v>313.57734806629833</v>
      </c>
      <c r="N1243">
        <v>514.87999999999988</v>
      </c>
      <c r="O1243">
        <v>313.57734806629998</v>
      </c>
      <c r="P1243">
        <v>201</v>
      </c>
      <c r="Q1243">
        <f t="shared" si="235"/>
        <v>514.57734806629992</v>
      </c>
      <c r="R1243">
        <v>515</v>
      </c>
      <c r="S1243">
        <f t="shared" si="236"/>
        <v>0.42265193370008092</v>
      </c>
      <c r="T1243"/>
      <c r="U1243">
        <f t="shared" si="237"/>
        <v>0</v>
      </c>
      <c r="V1243">
        <f t="shared" si="238"/>
        <v>515</v>
      </c>
      <c r="W1243">
        <f t="shared" si="239"/>
        <v>0.42265193370008092</v>
      </c>
      <c r="X1243" t="s">
        <v>1421</v>
      </c>
    </row>
    <row r="1244" spans="1:24" x14ac:dyDescent="0.25">
      <c r="A1244" t="s">
        <v>1928</v>
      </c>
      <c r="B1244" t="s">
        <v>1929</v>
      </c>
      <c r="C1244" t="s">
        <v>2038</v>
      </c>
      <c r="D1244" t="s">
        <v>164</v>
      </c>
      <c r="E1244" t="s">
        <v>51</v>
      </c>
      <c r="F1244" t="s">
        <v>51</v>
      </c>
      <c r="G1244" t="s">
        <v>706</v>
      </c>
      <c r="H1244"/>
      <c r="I1244"/>
      <c r="J1244">
        <v>461552.42999999988</v>
      </c>
      <c r="K1244">
        <v>586590.81177206687</v>
      </c>
      <c r="L1244">
        <v>205841.21999999994</v>
      </c>
      <c r="M1244">
        <v>415094.17292817682</v>
      </c>
      <c r="N1244">
        <v>415688.17999999993</v>
      </c>
      <c r="O1244">
        <v>413990.67663590575</v>
      </c>
      <c r="P1244">
        <f>SUMIF($F$1214:$F$1243,"&lt;&gt;EV_*",$P$1214:$P$1243)</f>
        <v>-9831</v>
      </c>
      <c r="Q1244">
        <f>SUMIF($F$1214:$F$1243,"&lt;&gt;EV_*",$Q$1214:$Q$1243)</f>
        <v>404159.67663590575</v>
      </c>
      <c r="R1244">
        <f>SUMIF($F$1214:$F$1243,"&lt;&gt;EV_*",$R$1214:$R$1243)</f>
        <v>405355.76159856748</v>
      </c>
      <c r="S1244">
        <f>SUMIF($F$1214:$F$1243,"&lt;&gt;EV_*",$S$1214:$S$1243)</f>
        <v>1196.0849626616994</v>
      </c>
      <c r="T1244">
        <v>0</v>
      </c>
      <c r="U1244">
        <f>SUMIF($F$1214:$F$1243,"&lt;&gt;EV_*",$U$1214:$U$1243)</f>
        <v>10289.741926407023</v>
      </c>
      <c r="V1244">
        <f>SUMIF($F$1214:$F$1243,"&lt;&gt;EV_*",$V$1214:$V$1243)</f>
        <v>415645.50352497445</v>
      </c>
      <c r="W1244">
        <f>SUMIF($F$1214:$F$1243,"&lt;&gt;EV_*",$W$1214:$W$1243)</f>
        <v>11485.82688906872</v>
      </c>
      <c r="X1244">
        <f>SUMIF($F$1214:$F$1243,"&lt;&gt;EV_*",$X$1214:$X$1243)</f>
        <v>0</v>
      </c>
    </row>
    <row r="1245" spans="1:24" x14ac:dyDescent="0.25">
      <c r="A1245" t="s">
        <v>1928</v>
      </c>
      <c r="B1245" t="s">
        <v>1929</v>
      </c>
      <c r="C1245" t="s">
        <v>2039</v>
      </c>
      <c r="D1245" t="s">
        <v>165</v>
      </c>
      <c r="E1245" t="s">
        <v>5</v>
      </c>
      <c r="F1245" t="s">
        <v>5</v>
      </c>
      <c r="G1245" t="s">
        <v>707</v>
      </c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</row>
    <row r="1246" spans="1:24" x14ac:dyDescent="0.25">
      <c r="A1246" t="s">
        <v>1928</v>
      </c>
      <c r="B1246" t="s">
        <v>1929</v>
      </c>
      <c r="C1246" t="s">
        <v>2039</v>
      </c>
      <c r="D1246" t="s">
        <v>165</v>
      </c>
      <c r="E1246" t="s">
        <v>8</v>
      </c>
      <c r="F1246" t="s">
        <v>1</v>
      </c>
      <c r="G1246" t="s">
        <v>708</v>
      </c>
      <c r="H1246" t="s">
        <v>408</v>
      </c>
      <c r="I1246" t="s">
        <v>1</v>
      </c>
      <c r="J1246">
        <v>3867.92</v>
      </c>
      <c r="K1246">
        <v>7799.9491712707004</v>
      </c>
      <c r="L1246">
        <v>0</v>
      </c>
      <c r="M1246">
        <v>0</v>
      </c>
      <c r="N1246">
        <v>0</v>
      </c>
      <c r="O1246"/>
      <c r="P1246">
        <v>0</v>
      </c>
      <c r="Q1246">
        <f t="shared" ref="Q1246:Q1274" si="240">O1246+P1246</f>
        <v>0</v>
      </c>
      <c r="R1246">
        <v>0</v>
      </c>
      <c r="S1246">
        <f t="shared" ref="S1246:S1274" si="241">IF(OR(LEFT(E1246,2)="A_",LEFT(D1246,5)="Total"),R1246-Q1246,"")</f>
        <v>0</v>
      </c>
      <c r="T1246"/>
      <c r="U1246">
        <f t="shared" ref="U1246:U1274" si="242">IFERROR(R1246*T1246,R1246*0)</f>
        <v>0</v>
      </c>
      <c r="V1246">
        <f t="shared" ref="V1246:V1274" si="243">IF(OR(LEFT(E1246,2)="A_",LEFT(D1246,5)="Total"),R1246+U1246,"")</f>
        <v>0</v>
      </c>
      <c r="W1246">
        <f t="shared" ref="W1246:W1274" si="244">IF(OR(LEFT(E1246,2)="A_",LEFT(D1246,5)="Total"),V1246-Q1246,"")</f>
        <v>0</v>
      </c>
      <c r="X1246">
        <v>0</v>
      </c>
    </row>
    <row r="1247" spans="1:24" x14ac:dyDescent="0.25">
      <c r="A1247" t="s">
        <v>1928</v>
      </c>
      <c r="B1247" t="s">
        <v>1929</v>
      </c>
      <c r="C1247" t="s">
        <v>2039</v>
      </c>
      <c r="D1247" t="s">
        <v>165</v>
      </c>
      <c r="E1247" t="s">
        <v>11</v>
      </c>
      <c r="F1247" t="s">
        <v>1</v>
      </c>
      <c r="G1247" t="s">
        <v>708</v>
      </c>
      <c r="H1247" t="s">
        <v>411</v>
      </c>
      <c r="I1247" t="s">
        <v>1</v>
      </c>
      <c r="J1247">
        <v>1144.5899999999999</v>
      </c>
      <c r="K1247">
        <v>896.84000000039998</v>
      </c>
      <c r="L1247">
        <v>516.54</v>
      </c>
      <c r="M1247">
        <v>1041.6414364640882</v>
      </c>
      <c r="N1247">
        <v>1041.3399999999999</v>
      </c>
      <c r="O1247">
        <v>1033.08</v>
      </c>
      <c r="P1247">
        <v>0</v>
      </c>
      <c r="Q1247">
        <f t="shared" si="240"/>
        <v>1033.08</v>
      </c>
      <c r="R1247">
        <v>1033.08</v>
      </c>
      <c r="S1247">
        <f t="shared" si="241"/>
        <v>0</v>
      </c>
      <c r="T1247"/>
      <c r="U1247">
        <f t="shared" si="242"/>
        <v>0</v>
      </c>
      <c r="V1247">
        <f t="shared" si="243"/>
        <v>1033.08</v>
      </c>
      <c r="W1247">
        <f t="shared" si="244"/>
        <v>0</v>
      </c>
      <c r="X1247">
        <v>0</v>
      </c>
    </row>
    <row r="1248" spans="1:24" x14ac:dyDescent="0.25">
      <c r="A1248" t="s">
        <v>1928</v>
      </c>
      <c r="B1248" t="s">
        <v>1929</v>
      </c>
      <c r="C1248" t="s">
        <v>2039</v>
      </c>
      <c r="D1248" t="s">
        <v>165</v>
      </c>
      <c r="E1248" t="s">
        <v>13</v>
      </c>
      <c r="F1248" t="s">
        <v>1</v>
      </c>
      <c r="G1248" t="s">
        <v>708</v>
      </c>
      <c r="H1248" t="s">
        <v>413</v>
      </c>
      <c r="I1248" t="s">
        <v>1</v>
      </c>
      <c r="J1248">
        <v>163.93</v>
      </c>
      <c r="K1248"/>
      <c r="L1248">
        <v>16.64</v>
      </c>
      <c r="M1248">
        <v>33.555801104972375</v>
      </c>
      <c r="N1248">
        <v>180.57</v>
      </c>
      <c r="O1248">
        <v>33.28</v>
      </c>
      <c r="P1248">
        <v>0</v>
      </c>
      <c r="Q1248">
        <f t="shared" si="240"/>
        <v>33.28</v>
      </c>
      <c r="R1248">
        <v>0</v>
      </c>
      <c r="S1248">
        <f t="shared" si="241"/>
        <v>-33.28</v>
      </c>
      <c r="T1248"/>
      <c r="U1248">
        <f t="shared" si="242"/>
        <v>0</v>
      </c>
      <c r="V1248">
        <f t="shared" si="243"/>
        <v>0</v>
      </c>
      <c r="W1248">
        <f t="shared" si="244"/>
        <v>-33.28</v>
      </c>
      <c r="X1248">
        <v>0</v>
      </c>
    </row>
    <row r="1249" spans="1:24" x14ac:dyDescent="0.25">
      <c r="A1249" t="s">
        <v>1928</v>
      </c>
      <c r="B1249" t="s">
        <v>1929</v>
      </c>
      <c r="C1249" t="s">
        <v>2039</v>
      </c>
      <c r="D1249" t="s">
        <v>165</v>
      </c>
      <c r="E1249" t="s">
        <v>65</v>
      </c>
      <c r="F1249" t="s">
        <v>1</v>
      </c>
      <c r="G1249" t="s">
        <v>708</v>
      </c>
      <c r="H1249" t="s">
        <v>476</v>
      </c>
      <c r="I1249" t="s">
        <v>1</v>
      </c>
      <c r="J1249">
        <v>-770.06</v>
      </c>
      <c r="K1249"/>
      <c r="L1249">
        <v>-619.5</v>
      </c>
      <c r="M1249">
        <v>-1249.267955801105</v>
      </c>
      <c r="N1249">
        <v>-810.93</v>
      </c>
      <c r="O1249">
        <v>-1245.8076923077001</v>
      </c>
      <c r="P1249">
        <v>0</v>
      </c>
      <c r="Q1249">
        <f t="shared" si="240"/>
        <v>-1245.8076923077001</v>
      </c>
      <c r="R1249">
        <v>0</v>
      </c>
      <c r="S1249">
        <f t="shared" si="241"/>
        <v>1245.8076923077001</v>
      </c>
      <c r="T1249"/>
      <c r="U1249">
        <f t="shared" si="242"/>
        <v>0</v>
      </c>
      <c r="V1249">
        <f t="shared" si="243"/>
        <v>0</v>
      </c>
      <c r="W1249">
        <f t="shared" si="244"/>
        <v>1245.8076923077001</v>
      </c>
      <c r="X1249">
        <v>0</v>
      </c>
    </row>
    <row r="1250" spans="1:24" x14ac:dyDescent="0.25">
      <c r="A1250" t="s">
        <v>1928</v>
      </c>
      <c r="B1250" t="s">
        <v>1929</v>
      </c>
      <c r="C1250" t="s">
        <v>2039</v>
      </c>
      <c r="D1250" t="s">
        <v>165</v>
      </c>
      <c r="E1250" t="s">
        <v>17</v>
      </c>
      <c r="F1250" t="s">
        <v>1</v>
      </c>
      <c r="G1250" t="s">
        <v>708</v>
      </c>
      <c r="H1250" t="s">
        <v>417</v>
      </c>
      <c r="I1250" t="s">
        <v>1</v>
      </c>
      <c r="J1250">
        <v>-11975.06</v>
      </c>
      <c r="K1250">
        <v>-12310.0000000002</v>
      </c>
      <c r="L1250">
        <v>-5614.36</v>
      </c>
      <c r="M1250">
        <v>-11321.775690607734</v>
      </c>
      <c r="N1250">
        <v>-11799.93</v>
      </c>
      <c r="O1250">
        <v>-11290.416263736301</v>
      </c>
      <c r="P1250">
        <v>0</v>
      </c>
      <c r="Q1250">
        <f t="shared" si="240"/>
        <v>-11290.416263736301</v>
      </c>
      <c r="R1250">
        <v>-11290.416263736301</v>
      </c>
      <c r="S1250">
        <f t="shared" si="241"/>
        <v>0</v>
      </c>
      <c r="T1250"/>
      <c r="U1250">
        <f t="shared" si="242"/>
        <v>0</v>
      </c>
      <c r="V1250">
        <f t="shared" si="243"/>
        <v>-11290.416263736301</v>
      </c>
      <c r="W1250">
        <f t="shared" si="244"/>
        <v>0</v>
      </c>
      <c r="X1250">
        <v>0</v>
      </c>
    </row>
    <row r="1251" spans="1:24" x14ac:dyDescent="0.25">
      <c r="A1251" t="s">
        <v>1928</v>
      </c>
      <c r="B1251" t="s">
        <v>1929</v>
      </c>
      <c r="C1251" t="s">
        <v>2039</v>
      </c>
      <c r="D1251" t="s">
        <v>165</v>
      </c>
      <c r="E1251" t="s">
        <v>82</v>
      </c>
      <c r="F1251" t="s">
        <v>1</v>
      </c>
      <c r="G1251" t="s">
        <v>708</v>
      </c>
      <c r="H1251" t="s">
        <v>507</v>
      </c>
      <c r="I1251" t="s">
        <v>1</v>
      </c>
      <c r="J1251">
        <v>5958.35</v>
      </c>
      <c r="K1251">
        <v>6706.4738378382999</v>
      </c>
      <c r="L1251">
        <v>2700.27</v>
      </c>
      <c r="M1251">
        <v>5445.2958563535913</v>
      </c>
      <c r="N1251">
        <v>5179.6699999999983</v>
      </c>
      <c r="O1251">
        <v>5430.2132967033003</v>
      </c>
      <c r="P1251">
        <v>0</v>
      </c>
      <c r="Q1251">
        <f t="shared" si="240"/>
        <v>5430.2132967033003</v>
      </c>
      <c r="R1251">
        <v>5430.2132967033003</v>
      </c>
      <c r="S1251">
        <f t="shared" si="241"/>
        <v>0</v>
      </c>
      <c r="T1251">
        <v>2.75E-2</v>
      </c>
      <c r="U1251">
        <f t="shared" si="242"/>
        <v>149.33086565934076</v>
      </c>
      <c r="V1251">
        <f t="shared" si="243"/>
        <v>5579.5441623626411</v>
      </c>
      <c r="W1251">
        <f t="shared" si="244"/>
        <v>149.33086565934082</v>
      </c>
      <c r="X1251">
        <v>0</v>
      </c>
    </row>
    <row r="1252" spans="1:24" x14ac:dyDescent="0.25">
      <c r="A1252" t="s">
        <v>1928</v>
      </c>
      <c r="B1252" t="s">
        <v>1929</v>
      </c>
      <c r="C1252" t="s">
        <v>2039</v>
      </c>
      <c r="D1252" t="s">
        <v>165</v>
      </c>
      <c r="E1252" t="s">
        <v>72</v>
      </c>
      <c r="F1252" t="s">
        <v>1</v>
      </c>
      <c r="G1252" t="s">
        <v>708</v>
      </c>
      <c r="H1252" t="s">
        <v>489</v>
      </c>
      <c r="I1252" t="s">
        <v>1</v>
      </c>
      <c r="J1252">
        <v>2378.6</v>
      </c>
      <c r="K1252">
        <v>2491.6917615044999</v>
      </c>
      <c r="L1252">
        <v>1185.8</v>
      </c>
      <c r="M1252">
        <v>2391.2541436464089</v>
      </c>
      <c r="N1252">
        <v>2360.54</v>
      </c>
      <c r="O1252">
        <v>2384.6307692308001</v>
      </c>
      <c r="P1252">
        <v>0</v>
      </c>
      <c r="Q1252">
        <f t="shared" si="240"/>
        <v>2384.6307692308001</v>
      </c>
      <c r="R1252">
        <v>2384.6307692308001</v>
      </c>
      <c r="S1252">
        <f t="shared" si="241"/>
        <v>0</v>
      </c>
      <c r="T1252">
        <v>2.2499999999999999E-2</v>
      </c>
      <c r="U1252">
        <f t="shared" si="242"/>
        <v>53.654192307693002</v>
      </c>
      <c r="V1252">
        <f t="shared" si="243"/>
        <v>2438.284961538493</v>
      </c>
      <c r="W1252">
        <f t="shared" si="244"/>
        <v>53.654192307692938</v>
      </c>
      <c r="X1252">
        <v>0</v>
      </c>
    </row>
    <row r="1253" spans="1:24" x14ac:dyDescent="0.25">
      <c r="A1253" t="s">
        <v>1928</v>
      </c>
      <c r="B1253" t="s">
        <v>1929</v>
      </c>
      <c r="C1253" t="s">
        <v>2039</v>
      </c>
      <c r="D1253" t="s">
        <v>165</v>
      </c>
      <c r="E1253" t="s">
        <v>118</v>
      </c>
      <c r="F1253" t="s">
        <v>1</v>
      </c>
      <c r="G1253" t="s">
        <v>708</v>
      </c>
      <c r="H1253" t="s">
        <v>587</v>
      </c>
      <c r="I1253" t="s">
        <v>1</v>
      </c>
      <c r="J1253">
        <v>344.79</v>
      </c>
      <c r="K1253"/>
      <c r="L1253">
        <v>150.57</v>
      </c>
      <c r="M1253">
        <v>303.63563535911601</v>
      </c>
      <c r="N1253">
        <v>372.4799999999999</v>
      </c>
      <c r="O1253">
        <v>302.79461538459998</v>
      </c>
      <c r="P1253">
        <v>0</v>
      </c>
      <c r="Q1253">
        <f t="shared" si="240"/>
        <v>302.79461538459998</v>
      </c>
      <c r="R1253">
        <v>302.79461538459998</v>
      </c>
      <c r="S1253">
        <f t="shared" si="241"/>
        <v>0</v>
      </c>
      <c r="T1253">
        <v>3.2500000000000001E-2</v>
      </c>
      <c r="U1253">
        <f t="shared" si="242"/>
        <v>9.8408249999994997</v>
      </c>
      <c r="V1253">
        <f t="shared" si="243"/>
        <v>312.63544038459946</v>
      </c>
      <c r="W1253">
        <f t="shared" si="244"/>
        <v>9.8408249999994837</v>
      </c>
      <c r="X1253">
        <v>0</v>
      </c>
    </row>
    <row r="1254" spans="1:24" x14ac:dyDescent="0.25">
      <c r="A1254" t="s">
        <v>1928</v>
      </c>
      <c r="B1254" t="s">
        <v>1929</v>
      </c>
      <c r="C1254" t="s">
        <v>2039</v>
      </c>
      <c r="D1254" t="s">
        <v>165</v>
      </c>
      <c r="E1254" t="s">
        <v>18</v>
      </c>
      <c r="F1254" t="s">
        <v>1</v>
      </c>
      <c r="G1254" t="s">
        <v>708</v>
      </c>
      <c r="H1254" t="s">
        <v>418</v>
      </c>
      <c r="I1254" t="s">
        <v>1</v>
      </c>
      <c r="J1254">
        <v>196693.81</v>
      </c>
      <c r="K1254">
        <v>202327.70296420599</v>
      </c>
      <c r="L1254">
        <v>98739.92</v>
      </c>
      <c r="M1254">
        <v>199116.41325966851</v>
      </c>
      <c r="N1254">
        <v>198555.14</v>
      </c>
      <c r="O1254">
        <v>198564.894065934</v>
      </c>
      <c r="P1254">
        <v>0</v>
      </c>
      <c r="Q1254">
        <f t="shared" si="240"/>
        <v>198564.894065934</v>
      </c>
      <c r="R1254">
        <v>198564.894065934</v>
      </c>
      <c r="S1254">
        <f t="shared" si="241"/>
        <v>0</v>
      </c>
      <c r="T1254">
        <v>0.02</v>
      </c>
      <c r="U1254">
        <f t="shared" si="242"/>
        <v>3971.2978813186801</v>
      </c>
      <c r="V1254">
        <f t="shared" si="243"/>
        <v>202536.19194725269</v>
      </c>
      <c r="W1254">
        <f t="shared" si="244"/>
        <v>3971.2978813186928</v>
      </c>
      <c r="X1254">
        <v>0</v>
      </c>
    </row>
    <row r="1255" spans="1:24" x14ac:dyDescent="0.25">
      <c r="A1255" t="s">
        <v>1928</v>
      </c>
      <c r="B1255" t="s">
        <v>1929</v>
      </c>
      <c r="C1255" t="s">
        <v>2039</v>
      </c>
      <c r="D1255" t="s">
        <v>165</v>
      </c>
      <c r="E1255" t="s">
        <v>57</v>
      </c>
      <c r="F1255" t="s">
        <v>1</v>
      </c>
      <c r="G1255" t="s">
        <v>708</v>
      </c>
      <c r="H1255" t="s">
        <v>462</v>
      </c>
      <c r="I1255" t="s">
        <v>1</v>
      </c>
      <c r="J1255">
        <v>10935.86</v>
      </c>
      <c r="K1255">
        <v>14851.607868313</v>
      </c>
      <c r="L1255">
        <v>2503.87</v>
      </c>
      <c r="M1255">
        <v>5049.2406077348069</v>
      </c>
      <c r="N1255">
        <v>4977.18</v>
      </c>
      <c r="O1255">
        <v>5035.2550549450998</v>
      </c>
      <c r="P1255">
        <v>0</v>
      </c>
      <c r="Q1255">
        <f t="shared" si="240"/>
        <v>5035.2550549450998</v>
      </c>
      <c r="R1255">
        <v>5035.2550549450998</v>
      </c>
      <c r="S1255">
        <f t="shared" si="241"/>
        <v>0</v>
      </c>
      <c r="T1255">
        <v>0.04</v>
      </c>
      <c r="U1255">
        <f t="shared" si="242"/>
        <v>201.41020219780398</v>
      </c>
      <c r="V1255">
        <f t="shared" si="243"/>
        <v>5236.665257142904</v>
      </c>
      <c r="W1255">
        <f t="shared" si="244"/>
        <v>201.41020219780421</v>
      </c>
      <c r="X1255">
        <v>0</v>
      </c>
    </row>
    <row r="1256" spans="1:24" x14ac:dyDescent="0.25">
      <c r="A1256" t="s">
        <v>1928</v>
      </c>
      <c r="B1256" t="s">
        <v>1929</v>
      </c>
      <c r="C1256" t="s">
        <v>2039</v>
      </c>
      <c r="D1256" t="s">
        <v>165</v>
      </c>
      <c r="E1256" t="s">
        <v>74</v>
      </c>
      <c r="F1256" t="s">
        <v>1</v>
      </c>
      <c r="G1256" t="s">
        <v>708</v>
      </c>
      <c r="H1256" t="s">
        <v>491</v>
      </c>
      <c r="I1256" t="s">
        <v>1</v>
      </c>
      <c r="J1256">
        <v>99003.8</v>
      </c>
      <c r="K1256">
        <v>109691.461432925</v>
      </c>
      <c r="L1256">
        <v>45009.82</v>
      </c>
      <c r="M1256">
        <v>90765.6591160221</v>
      </c>
      <c r="N1256">
        <v>94239.52</v>
      </c>
      <c r="O1256">
        <v>90514.253406593401</v>
      </c>
      <c r="P1256">
        <v>0</v>
      </c>
      <c r="Q1256">
        <f t="shared" si="240"/>
        <v>90514.253406593401</v>
      </c>
      <c r="R1256">
        <v>90514.253406593401</v>
      </c>
      <c r="S1256">
        <f t="shared" si="241"/>
        <v>0</v>
      </c>
      <c r="T1256">
        <v>3.5000000000000003E-2</v>
      </c>
      <c r="U1256">
        <f t="shared" si="242"/>
        <v>3167.9988692307693</v>
      </c>
      <c r="V1256">
        <f t="shared" si="243"/>
        <v>93682.252275824168</v>
      </c>
      <c r="W1256">
        <f t="shared" si="244"/>
        <v>3167.998869230767</v>
      </c>
      <c r="X1256">
        <v>0</v>
      </c>
    </row>
    <row r="1257" spans="1:24" x14ac:dyDescent="0.25">
      <c r="A1257" t="s">
        <v>1928</v>
      </c>
      <c r="B1257" t="s">
        <v>1929</v>
      </c>
      <c r="C1257" t="s">
        <v>2039</v>
      </c>
      <c r="D1257" t="s">
        <v>165</v>
      </c>
      <c r="E1257" t="s">
        <v>85</v>
      </c>
      <c r="F1257" t="s">
        <v>1</v>
      </c>
      <c r="G1257" t="s">
        <v>708</v>
      </c>
      <c r="H1257" t="s">
        <v>510</v>
      </c>
      <c r="I1257" t="s">
        <v>1</v>
      </c>
      <c r="J1257">
        <v>777.1</v>
      </c>
      <c r="K1257">
        <v>1151.1135534685</v>
      </c>
      <c r="L1257">
        <v>79.739999999999995</v>
      </c>
      <c r="M1257">
        <v>160.80165745856351</v>
      </c>
      <c r="N1257">
        <v>205.40999999999997</v>
      </c>
      <c r="O1257">
        <v>160.35626373630001</v>
      </c>
      <c r="P1257">
        <v>0</v>
      </c>
      <c r="Q1257">
        <f t="shared" si="240"/>
        <v>160.35626373630001</v>
      </c>
      <c r="R1257">
        <v>160.35626373630001</v>
      </c>
      <c r="S1257">
        <f t="shared" si="241"/>
        <v>0</v>
      </c>
      <c r="T1257">
        <v>0.02</v>
      </c>
      <c r="U1257">
        <f t="shared" si="242"/>
        <v>3.2071252747260002</v>
      </c>
      <c r="V1257">
        <f t="shared" si="243"/>
        <v>163.563389011026</v>
      </c>
      <c r="W1257">
        <f t="shared" si="244"/>
        <v>3.2071252747259962</v>
      </c>
      <c r="X1257">
        <v>0</v>
      </c>
    </row>
    <row r="1258" spans="1:24" x14ac:dyDescent="0.25">
      <c r="A1258" t="s">
        <v>1928</v>
      </c>
      <c r="B1258" t="s">
        <v>1929</v>
      </c>
      <c r="C1258" t="s">
        <v>2039</v>
      </c>
      <c r="D1258" t="s">
        <v>165</v>
      </c>
      <c r="E1258" t="s">
        <v>120</v>
      </c>
      <c r="F1258" t="s">
        <v>1</v>
      </c>
      <c r="G1258" t="s">
        <v>708</v>
      </c>
      <c r="H1258" t="s">
        <v>589</v>
      </c>
      <c r="I1258" t="s">
        <v>1</v>
      </c>
      <c r="J1258">
        <v>80.7</v>
      </c>
      <c r="K1258"/>
      <c r="L1258">
        <v>0</v>
      </c>
      <c r="M1258">
        <v>0</v>
      </c>
      <c r="N1258">
        <v>0</v>
      </c>
      <c r="O1258"/>
      <c r="P1258">
        <v>0</v>
      </c>
      <c r="Q1258">
        <f t="shared" si="240"/>
        <v>0</v>
      </c>
      <c r="R1258">
        <v>0</v>
      </c>
      <c r="S1258">
        <f t="shared" si="241"/>
        <v>0</v>
      </c>
      <c r="T1258">
        <v>3.5000000000000003E-2</v>
      </c>
      <c r="U1258">
        <f t="shared" si="242"/>
        <v>0</v>
      </c>
      <c r="V1258">
        <f t="shared" si="243"/>
        <v>0</v>
      </c>
      <c r="W1258">
        <f t="shared" si="244"/>
        <v>0</v>
      </c>
      <c r="X1258">
        <v>0</v>
      </c>
    </row>
    <row r="1259" spans="1:24" x14ac:dyDescent="0.25">
      <c r="A1259" t="s">
        <v>1928</v>
      </c>
      <c r="B1259" t="s">
        <v>1929</v>
      </c>
      <c r="C1259" t="s">
        <v>2039</v>
      </c>
      <c r="D1259" t="s">
        <v>165</v>
      </c>
      <c r="E1259" t="s">
        <v>20</v>
      </c>
      <c r="F1259" t="s">
        <v>1</v>
      </c>
      <c r="G1259" t="s">
        <v>708</v>
      </c>
      <c r="H1259" t="s">
        <v>420</v>
      </c>
      <c r="I1259" t="s">
        <v>1</v>
      </c>
      <c r="J1259">
        <v>39324.199999999997</v>
      </c>
      <c r="K1259">
        <v>39663.341838980698</v>
      </c>
      <c r="L1259">
        <v>18025.759999999998</v>
      </c>
      <c r="M1259">
        <v>36350.289502762425</v>
      </c>
      <c r="N1259">
        <v>36492.400000000001</v>
      </c>
      <c r="O1259">
        <v>36249.605274725298</v>
      </c>
      <c r="P1259">
        <v>0</v>
      </c>
      <c r="Q1259">
        <f t="shared" si="240"/>
        <v>36249.605274725298</v>
      </c>
      <c r="R1259">
        <v>36249.605274725298</v>
      </c>
      <c r="S1259">
        <f t="shared" si="241"/>
        <v>0</v>
      </c>
      <c r="T1259">
        <v>0.04</v>
      </c>
      <c r="U1259">
        <f t="shared" si="242"/>
        <v>1449.9842109890119</v>
      </c>
      <c r="V1259">
        <f t="shared" si="243"/>
        <v>37699.589485714307</v>
      </c>
      <c r="W1259">
        <f t="shared" si="244"/>
        <v>1449.9842109890087</v>
      </c>
      <c r="X1259">
        <v>0</v>
      </c>
    </row>
    <row r="1260" spans="1:24" x14ac:dyDescent="0.25">
      <c r="A1260" t="s">
        <v>1928</v>
      </c>
      <c r="B1260" t="s">
        <v>1929</v>
      </c>
      <c r="C1260" t="s">
        <v>2039</v>
      </c>
      <c r="D1260" t="s">
        <v>165</v>
      </c>
      <c r="E1260" t="s">
        <v>21</v>
      </c>
      <c r="F1260" t="s">
        <v>1</v>
      </c>
      <c r="G1260" t="s">
        <v>708</v>
      </c>
      <c r="H1260" t="s">
        <v>421</v>
      </c>
      <c r="I1260" t="s">
        <v>1</v>
      </c>
      <c r="J1260">
        <v>10440.59</v>
      </c>
      <c r="K1260">
        <v>10749.8200000001</v>
      </c>
      <c r="L1260">
        <v>5878.63</v>
      </c>
      <c r="M1260">
        <v>11854.695856353592</v>
      </c>
      <c r="N1260">
        <v>10870.03</v>
      </c>
      <c r="O1260">
        <v>11854.695856353601</v>
      </c>
      <c r="P1260">
        <v>0</v>
      </c>
      <c r="Q1260">
        <f t="shared" si="240"/>
        <v>11854.695856353601</v>
      </c>
      <c r="R1260">
        <v>11854.695856353601</v>
      </c>
      <c r="S1260">
        <f t="shared" si="241"/>
        <v>0</v>
      </c>
      <c r="T1260">
        <v>0.03</v>
      </c>
      <c r="U1260">
        <f t="shared" si="242"/>
        <v>355.64087569060803</v>
      </c>
      <c r="V1260">
        <f t="shared" si="243"/>
        <v>12210.336732044208</v>
      </c>
      <c r="W1260">
        <f t="shared" si="244"/>
        <v>355.64087569060757</v>
      </c>
      <c r="X1260">
        <v>0</v>
      </c>
    </row>
    <row r="1261" spans="1:24" x14ac:dyDescent="0.25">
      <c r="A1261" t="s">
        <v>1928</v>
      </c>
      <c r="B1261" t="s">
        <v>1929</v>
      </c>
      <c r="C1261" t="s">
        <v>2039</v>
      </c>
      <c r="D1261" t="s">
        <v>165</v>
      </c>
      <c r="E1261" t="s">
        <v>22</v>
      </c>
      <c r="F1261" t="s">
        <v>1</v>
      </c>
      <c r="G1261" t="s">
        <v>708</v>
      </c>
      <c r="H1261" t="s">
        <v>422</v>
      </c>
      <c r="I1261" t="s">
        <v>1</v>
      </c>
      <c r="J1261">
        <v>5609.22</v>
      </c>
      <c r="K1261">
        <v>5537.2499999996999</v>
      </c>
      <c r="L1261">
        <v>2729.64</v>
      </c>
      <c r="M1261">
        <v>5504.5226519337011</v>
      </c>
      <c r="N1261">
        <v>5662.4699999999993</v>
      </c>
      <c r="O1261">
        <v>5504.5226519337002</v>
      </c>
      <c r="P1261">
        <v>0</v>
      </c>
      <c r="Q1261">
        <f t="shared" si="240"/>
        <v>5504.5226519337002</v>
      </c>
      <c r="R1261">
        <v>5504.5226519337002</v>
      </c>
      <c r="S1261">
        <f t="shared" si="241"/>
        <v>0</v>
      </c>
      <c r="T1261">
        <v>3.5000000000000003E-2</v>
      </c>
      <c r="U1261">
        <f t="shared" si="242"/>
        <v>192.65829281767952</v>
      </c>
      <c r="V1261">
        <f t="shared" si="243"/>
        <v>5697.1809447513797</v>
      </c>
      <c r="W1261">
        <f t="shared" si="244"/>
        <v>192.65829281767947</v>
      </c>
      <c r="X1261">
        <v>0</v>
      </c>
    </row>
    <row r="1262" spans="1:24" x14ac:dyDescent="0.25">
      <c r="A1262" t="s">
        <v>1928</v>
      </c>
      <c r="B1262" t="s">
        <v>1929</v>
      </c>
      <c r="C1262" t="s">
        <v>2039</v>
      </c>
      <c r="D1262" t="s">
        <v>165</v>
      </c>
      <c r="E1262" t="s">
        <v>23</v>
      </c>
      <c r="F1262" t="s">
        <v>1</v>
      </c>
      <c r="G1262" t="s">
        <v>708</v>
      </c>
      <c r="H1262" t="s">
        <v>423</v>
      </c>
      <c r="I1262" t="s">
        <v>1</v>
      </c>
      <c r="J1262">
        <v>2835.42</v>
      </c>
      <c r="K1262">
        <v>4740.3</v>
      </c>
      <c r="L1262">
        <v>554.72</v>
      </c>
      <c r="M1262">
        <v>1118.6342541436463</v>
      </c>
      <c r="N1262">
        <v>1101.3600000000001</v>
      </c>
      <c r="O1262">
        <v>1118.6342541437</v>
      </c>
      <c r="P1262">
        <v>0</v>
      </c>
      <c r="Q1262">
        <f t="shared" si="240"/>
        <v>1118.6342541437</v>
      </c>
      <c r="R1262">
        <v>1118.6342541437</v>
      </c>
      <c r="S1262">
        <f t="shared" si="241"/>
        <v>0</v>
      </c>
      <c r="T1262">
        <v>3.5000000000000003E-2</v>
      </c>
      <c r="U1262">
        <f t="shared" si="242"/>
        <v>39.152198895029507</v>
      </c>
      <c r="V1262">
        <f t="shared" si="243"/>
        <v>1157.7864530387294</v>
      </c>
      <c r="W1262">
        <f t="shared" si="244"/>
        <v>39.152198895029414</v>
      </c>
      <c r="X1262">
        <v>0</v>
      </c>
    </row>
    <row r="1263" spans="1:24" x14ac:dyDescent="0.25">
      <c r="A1263" t="s">
        <v>1928</v>
      </c>
      <c r="B1263" t="s">
        <v>1929</v>
      </c>
      <c r="C1263" t="s">
        <v>2039</v>
      </c>
      <c r="D1263" t="s">
        <v>165</v>
      </c>
      <c r="E1263" t="s">
        <v>26</v>
      </c>
      <c r="F1263" t="s">
        <v>1</v>
      </c>
      <c r="G1263" t="s">
        <v>708</v>
      </c>
      <c r="H1263" t="s">
        <v>426</v>
      </c>
      <c r="I1263" t="s">
        <v>1</v>
      </c>
      <c r="J1263"/>
      <c r="K1263">
        <v>981.23836829519996</v>
      </c>
      <c r="L1263">
        <v>0</v>
      </c>
      <c r="M1263">
        <v>0</v>
      </c>
      <c r="N1263">
        <v>0</v>
      </c>
      <c r="O1263"/>
      <c r="P1263">
        <v>1000</v>
      </c>
      <c r="Q1263">
        <f t="shared" si="240"/>
        <v>1000</v>
      </c>
      <c r="R1263">
        <v>1000</v>
      </c>
      <c r="S1263">
        <f t="shared" si="241"/>
        <v>0</v>
      </c>
      <c r="T1263"/>
      <c r="U1263">
        <f t="shared" si="242"/>
        <v>0</v>
      </c>
      <c r="V1263">
        <f t="shared" si="243"/>
        <v>1000</v>
      </c>
      <c r="W1263">
        <f t="shared" si="244"/>
        <v>0</v>
      </c>
      <c r="X1263" t="s">
        <v>1460</v>
      </c>
    </row>
    <row r="1264" spans="1:24" x14ac:dyDescent="0.25">
      <c r="A1264" t="s">
        <v>1928</v>
      </c>
      <c r="B1264" t="s">
        <v>1929</v>
      </c>
      <c r="C1264" t="s">
        <v>2039</v>
      </c>
      <c r="D1264" t="s">
        <v>165</v>
      </c>
      <c r="E1264" t="s">
        <v>28</v>
      </c>
      <c r="F1264" t="s">
        <v>1</v>
      </c>
      <c r="G1264" t="s">
        <v>708</v>
      </c>
      <c r="H1264" t="s">
        <v>428</v>
      </c>
      <c r="I1264" t="s">
        <v>1</v>
      </c>
      <c r="J1264">
        <v>10421.76</v>
      </c>
      <c r="K1264">
        <v>9620.0000000004002</v>
      </c>
      <c r="L1264">
        <v>2622.75</v>
      </c>
      <c r="M1264">
        <v>5288.9709944751385</v>
      </c>
      <c r="N1264">
        <v>8437.2099999999991</v>
      </c>
      <c r="O1264">
        <v>5245.5</v>
      </c>
      <c r="P1264">
        <v>3191.5</v>
      </c>
      <c r="Q1264">
        <f t="shared" si="240"/>
        <v>8437</v>
      </c>
      <c r="R1264">
        <v>8437</v>
      </c>
      <c r="S1264">
        <f t="shared" si="241"/>
        <v>0</v>
      </c>
      <c r="T1264"/>
      <c r="U1264">
        <f t="shared" si="242"/>
        <v>0</v>
      </c>
      <c r="V1264">
        <f t="shared" si="243"/>
        <v>8437</v>
      </c>
      <c r="W1264">
        <f t="shared" si="244"/>
        <v>0</v>
      </c>
      <c r="X1264" t="s">
        <v>1421</v>
      </c>
    </row>
    <row r="1265" spans="1:24" x14ac:dyDescent="0.25">
      <c r="A1265" t="s">
        <v>1928</v>
      </c>
      <c r="B1265" t="s">
        <v>1929</v>
      </c>
      <c r="C1265" t="s">
        <v>2039</v>
      </c>
      <c r="D1265" t="s">
        <v>165</v>
      </c>
      <c r="E1265" t="s">
        <v>29</v>
      </c>
      <c r="F1265" t="s">
        <v>1</v>
      </c>
      <c r="G1265" t="s">
        <v>708</v>
      </c>
      <c r="H1265" t="s">
        <v>429</v>
      </c>
      <c r="I1265" t="s">
        <v>1</v>
      </c>
      <c r="J1265">
        <v>155</v>
      </c>
      <c r="K1265">
        <v>309.99999999959999</v>
      </c>
      <c r="L1265">
        <v>110</v>
      </c>
      <c r="M1265">
        <v>221.82320441988949</v>
      </c>
      <c r="N1265">
        <v>110</v>
      </c>
      <c r="O1265">
        <v>220</v>
      </c>
      <c r="P1265">
        <v>-110</v>
      </c>
      <c r="Q1265">
        <f t="shared" si="240"/>
        <v>110</v>
      </c>
      <c r="R1265">
        <v>110</v>
      </c>
      <c r="S1265">
        <f t="shared" si="241"/>
        <v>0</v>
      </c>
      <c r="T1265"/>
      <c r="U1265">
        <f t="shared" si="242"/>
        <v>0</v>
      </c>
      <c r="V1265">
        <f t="shared" si="243"/>
        <v>110</v>
      </c>
      <c r="W1265">
        <f t="shared" si="244"/>
        <v>0</v>
      </c>
      <c r="X1265">
        <v>0</v>
      </c>
    </row>
    <row r="1266" spans="1:24" x14ac:dyDescent="0.25">
      <c r="A1266" t="s">
        <v>1928</v>
      </c>
      <c r="B1266" t="s">
        <v>1929</v>
      </c>
      <c r="C1266" t="s">
        <v>2039</v>
      </c>
      <c r="D1266" t="s">
        <v>165</v>
      </c>
      <c r="E1266" t="s">
        <v>33</v>
      </c>
      <c r="F1266" t="s">
        <v>1</v>
      </c>
      <c r="G1266" t="s">
        <v>708</v>
      </c>
      <c r="H1266" t="s">
        <v>433</v>
      </c>
      <c r="I1266" t="s">
        <v>1</v>
      </c>
      <c r="J1266"/>
      <c r="K1266">
        <v>245.30959207320001</v>
      </c>
      <c r="L1266">
        <v>0</v>
      </c>
      <c r="M1266">
        <v>0</v>
      </c>
      <c r="N1266">
        <v>0</v>
      </c>
      <c r="O1266"/>
      <c r="P1266">
        <v>500</v>
      </c>
      <c r="Q1266">
        <f t="shared" si="240"/>
        <v>500</v>
      </c>
      <c r="R1266">
        <v>500</v>
      </c>
      <c r="S1266">
        <f t="shared" si="241"/>
        <v>0</v>
      </c>
      <c r="T1266"/>
      <c r="U1266">
        <f t="shared" si="242"/>
        <v>0</v>
      </c>
      <c r="V1266">
        <f t="shared" si="243"/>
        <v>500</v>
      </c>
      <c r="W1266">
        <f t="shared" si="244"/>
        <v>0</v>
      </c>
      <c r="X1266" t="s">
        <v>1422</v>
      </c>
    </row>
    <row r="1267" spans="1:24" x14ac:dyDescent="0.25">
      <c r="A1267" t="s">
        <v>1928</v>
      </c>
      <c r="B1267" t="s">
        <v>1929</v>
      </c>
      <c r="C1267" t="s">
        <v>2039</v>
      </c>
      <c r="D1267" t="s">
        <v>165</v>
      </c>
      <c r="E1267" t="s">
        <v>37</v>
      </c>
      <c r="F1267" t="s">
        <v>1</v>
      </c>
      <c r="G1267" t="s">
        <v>708</v>
      </c>
      <c r="H1267" t="s">
        <v>437</v>
      </c>
      <c r="I1267" t="s">
        <v>1</v>
      </c>
      <c r="J1267"/>
      <c r="K1267">
        <v>1471.8575524416001</v>
      </c>
      <c r="L1267">
        <v>0</v>
      </c>
      <c r="M1267">
        <v>0</v>
      </c>
      <c r="N1267">
        <v>0</v>
      </c>
      <c r="O1267"/>
      <c r="P1267">
        <v>1500</v>
      </c>
      <c r="Q1267">
        <f t="shared" si="240"/>
        <v>1500</v>
      </c>
      <c r="R1267">
        <v>1500</v>
      </c>
      <c r="S1267">
        <f t="shared" si="241"/>
        <v>0</v>
      </c>
      <c r="T1267"/>
      <c r="U1267">
        <f t="shared" si="242"/>
        <v>0</v>
      </c>
      <c r="V1267">
        <f t="shared" si="243"/>
        <v>1500</v>
      </c>
      <c r="W1267">
        <f t="shared" si="244"/>
        <v>0</v>
      </c>
      <c r="X1267" t="s">
        <v>1423</v>
      </c>
    </row>
    <row r="1268" spans="1:24" x14ac:dyDescent="0.25">
      <c r="A1268" t="s">
        <v>1928</v>
      </c>
      <c r="B1268" t="s">
        <v>1929</v>
      </c>
      <c r="C1268" t="s">
        <v>2039</v>
      </c>
      <c r="D1268" t="s">
        <v>165</v>
      </c>
      <c r="E1268" t="s">
        <v>121</v>
      </c>
      <c r="F1268" t="s">
        <v>1</v>
      </c>
      <c r="G1268" t="s">
        <v>708</v>
      </c>
      <c r="H1268" t="s">
        <v>590</v>
      </c>
      <c r="I1268" t="s">
        <v>1</v>
      </c>
      <c r="J1268"/>
      <c r="K1268">
        <v>36728.3667023136</v>
      </c>
      <c r="L1268">
        <v>1760</v>
      </c>
      <c r="M1268">
        <v>3549.1712707182319</v>
      </c>
      <c r="N1268">
        <v>1760</v>
      </c>
      <c r="O1268">
        <v>3520</v>
      </c>
      <c r="P1268">
        <v>-3520</v>
      </c>
      <c r="Q1268">
        <f t="shared" si="240"/>
        <v>0</v>
      </c>
      <c r="R1268">
        <v>0</v>
      </c>
      <c r="S1268">
        <f t="shared" si="241"/>
        <v>0</v>
      </c>
      <c r="T1268"/>
      <c r="U1268">
        <f t="shared" si="242"/>
        <v>0</v>
      </c>
      <c r="V1268">
        <f t="shared" si="243"/>
        <v>0</v>
      </c>
      <c r="W1268">
        <f t="shared" si="244"/>
        <v>0</v>
      </c>
      <c r="X1268">
        <v>0</v>
      </c>
    </row>
    <row r="1269" spans="1:24" x14ac:dyDescent="0.25">
      <c r="A1269" t="s">
        <v>1928</v>
      </c>
      <c r="B1269" t="s">
        <v>1929</v>
      </c>
      <c r="C1269" t="s">
        <v>2039</v>
      </c>
      <c r="D1269" t="s">
        <v>165</v>
      </c>
      <c r="E1269" t="s">
        <v>41</v>
      </c>
      <c r="F1269" t="s">
        <v>1</v>
      </c>
      <c r="G1269" t="s">
        <v>708</v>
      </c>
      <c r="H1269" t="s">
        <v>441</v>
      </c>
      <c r="I1269" t="s">
        <v>1</v>
      </c>
      <c r="J1269">
        <v>1517.56</v>
      </c>
      <c r="K1269">
        <v>926.83000000080006</v>
      </c>
      <c r="L1269">
        <v>1126.95</v>
      </c>
      <c r="M1269">
        <v>2272.5787292817681</v>
      </c>
      <c r="N1269">
        <v>1974.14</v>
      </c>
      <c r="O1269">
        <v>2253.9</v>
      </c>
      <c r="P1269">
        <v>-280</v>
      </c>
      <c r="Q1269">
        <f t="shared" si="240"/>
        <v>1973.9</v>
      </c>
      <c r="R1269">
        <v>1974</v>
      </c>
      <c r="S1269">
        <f t="shared" si="241"/>
        <v>9.9999999999909051E-2</v>
      </c>
      <c r="T1269">
        <v>0.03</v>
      </c>
      <c r="U1269">
        <f t="shared" si="242"/>
        <v>59.22</v>
      </c>
      <c r="V1269">
        <f t="shared" si="243"/>
        <v>2033.22</v>
      </c>
      <c r="W1269">
        <f t="shared" si="244"/>
        <v>59.319999999999936</v>
      </c>
      <c r="X1269">
        <v>0</v>
      </c>
    </row>
    <row r="1270" spans="1:24" x14ac:dyDescent="0.25">
      <c r="A1270" t="s">
        <v>1928</v>
      </c>
      <c r="B1270" t="s">
        <v>1929</v>
      </c>
      <c r="C1270" t="s">
        <v>2039</v>
      </c>
      <c r="D1270" t="s">
        <v>165</v>
      </c>
      <c r="E1270" t="s">
        <v>42</v>
      </c>
      <c r="F1270" t="s">
        <v>1</v>
      </c>
      <c r="G1270" t="s">
        <v>708</v>
      </c>
      <c r="H1270" t="s">
        <v>442</v>
      </c>
      <c r="I1270" t="s">
        <v>1</v>
      </c>
      <c r="J1270">
        <v>33.229999999999997</v>
      </c>
      <c r="K1270"/>
      <c r="L1270">
        <v>0</v>
      </c>
      <c r="M1270">
        <v>0</v>
      </c>
      <c r="N1270">
        <v>33.229999999999997</v>
      </c>
      <c r="O1270"/>
      <c r="P1270">
        <v>0</v>
      </c>
      <c r="Q1270">
        <f t="shared" si="240"/>
        <v>0</v>
      </c>
      <c r="R1270">
        <v>0</v>
      </c>
      <c r="S1270">
        <f t="shared" si="241"/>
        <v>0</v>
      </c>
      <c r="T1270">
        <v>0.03</v>
      </c>
      <c r="U1270">
        <f t="shared" si="242"/>
        <v>0</v>
      </c>
      <c r="V1270">
        <f t="shared" si="243"/>
        <v>0</v>
      </c>
      <c r="W1270">
        <f t="shared" si="244"/>
        <v>0</v>
      </c>
      <c r="X1270" t="s">
        <v>1421</v>
      </c>
    </row>
    <row r="1271" spans="1:24" x14ac:dyDescent="0.25">
      <c r="A1271" t="s">
        <v>1928</v>
      </c>
      <c r="B1271" t="s">
        <v>1929</v>
      </c>
      <c r="C1271" t="s">
        <v>2039</v>
      </c>
      <c r="D1271" t="s">
        <v>165</v>
      </c>
      <c r="E1271" t="s">
        <v>43</v>
      </c>
      <c r="F1271" t="s">
        <v>1</v>
      </c>
      <c r="G1271" t="s">
        <v>708</v>
      </c>
      <c r="H1271" t="s">
        <v>443</v>
      </c>
      <c r="I1271" t="s">
        <v>1</v>
      </c>
      <c r="J1271">
        <v>1218.75</v>
      </c>
      <c r="K1271"/>
      <c r="L1271">
        <v>0</v>
      </c>
      <c r="M1271">
        <v>0</v>
      </c>
      <c r="N1271">
        <v>1218.75</v>
      </c>
      <c r="O1271"/>
      <c r="P1271">
        <v>0</v>
      </c>
      <c r="Q1271">
        <f t="shared" si="240"/>
        <v>0</v>
      </c>
      <c r="R1271">
        <v>0</v>
      </c>
      <c r="S1271">
        <f t="shared" si="241"/>
        <v>0</v>
      </c>
      <c r="T1271">
        <v>0.03</v>
      </c>
      <c r="U1271">
        <f t="shared" si="242"/>
        <v>0</v>
      </c>
      <c r="V1271">
        <f t="shared" si="243"/>
        <v>0</v>
      </c>
      <c r="W1271">
        <f t="shared" si="244"/>
        <v>0</v>
      </c>
      <c r="X1271">
        <v>0</v>
      </c>
    </row>
    <row r="1272" spans="1:24" x14ac:dyDescent="0.25">
      <c r="A1272" t="s">
        <v>1928</v>
      </c>
      <c r="B1272" t="s">
        <v>1929</v>
      </c>
      <c r="C1272" t="s">
        <v>2039</v>
      </c>
      <c r="D1272" t="s">
        <v>165</v>
      </c>
      <c r="E1272" t="s">
        <v>44</v>
      </c>
      <c r="F1272" t="s">
        <v>1</v>
      </c>
      <c r="G1272" t="s">
        <v>708</v>
      </c>
      <c r="H1272" t="s">
        <v>444</v>
      </c>
      <c r="I1272" t="s">
        <v>1</v>
      </c>
      <c r="J1272"/>
      <c r="K1272"/>
      <c r="L1272">
        <v>-53.07</v>
      </c>
      <c r="M1272">
        <v>-107.0196132596685</v>
      </c>
      <c r="N1272">
        <v>-53.07</v>
      </c>
      <c r="O1272">
        <v>-106.14</v>
      </c>
      <c r="P1272">
        <v>106</v>
      </c>
      <c r="Q1272">
        <f t="shared" si="240"/>
        <v>-0.14000000000000057</v>
      </c>
      <c r="R1272">
        <v>0</v>
      </c>
      <c r="S1272">
        <f t="shared" si="241"/>
        <v>0.14000000000000057</v>
      </c>
      <c r="T1272">
        <v>0.03</v>
      </c>
      <c r="U1272">
        <f t="shared" si="242"/>
        <v>0</v>
      </c>
      <c r="V1272">
        <f t="shared" si="243"/>
        <v>0</v>
      </c>
      <c r="W1272">
        <f t="shared" si="244"/>
        <v>0.14000000000000057</v>
      </c>
      <c r="X1272">
        <v>0</v>
      </c>
    </row>
    <row r="1273" spans="1:24" x14ac:dyDescent="0.25">
      <c r="A1273" t="s">
        <v>1928</v>
      </c>
      <c r="B1273" t="s">
        <v>1929</v>
      </c>
      <c r="C1273" t="s">
        <v>2039</v>
      </c>
      <c r="D1273" t="s">
        <v>165</v>
      </c>
      <c r="E1273" t="s">
        <v>46</v>
      </c>
      <c r="F1273" t="s">
        <v>1</v>
      </c>
      <c r="G1273" t="s">
        <v>708</v>
      </c>
      <c r="H1273" t="s">
        <v>446</v>
      </c>
      <c r="I1273" t="s">
        <v>1</v>
      </c>
      <c r="J1273">
        <v>1048.6300000000001</v>
      </c>
      <c r="K1273"/>
      <c r="L1273">
        <v>0</v>
      </c>
      <c r="M1273">
        <v>0</v>
      </c>
      <c r="N1273">
        <v>0</v>
      </c>
      <c r="O1273"/>
      <c r="P1273">
        <v>0</v>
      </c>
      <c r="Q1273">
        <f t="shared" si="240"/>
        <v>0</v>
      </c>
      <c r="R1273">
        <v>0</v>
      </c>
      <c r="S1273">
        <f t="shared" si="241"/>
        <v>0</v>
      </c>
      <c r="T1273">
        <v>0.03</v>
      </c>
      <c r="U1273">
        <f t="shared" si="242"/>
        <v>0</v>
      </c>
      <c r="V1273">
        <f t="shared" si="243"/>
        <v>0</v>
      </c>
      <c r="W1273">
        <f t="shared" si="244"/>
        <v>0</v>
      </c>
      <c r="X1273">
        <v>0</v>
      </c>
    </row>
    <row r="1274" spans="1:24" x14ac:dyDescent="0.25">
      <c r="A1274" t="s">
        <v>1928</v>
      </c>
      <c r="B1274" t="s">
        <v>1929</v>
      </c>
      <c r="C1274" t="s">
        <v>2039</v>
      </c>
      <c r="D1274" t="s">
        <v>165</v>
      </c>
      <c r="E1274" t="s">
        <v>50</v>
      </c>
      <c r="F1274" t="s">
        <v>1</v>
      </c>
      <c r="G1274" t="s">
        <v>708</v>
      </c>
      <c r="H1274" t="s">
        <v>450</v>
      </c>
      <c r="I1274" t="s">
        <v>1</v>
      </c>
      <c r="J1274">
        <v>1588.33</v>
      </c>
      <c r="K1274">
        <v>1380.0000000002999</v>
      </c>
      <c r="L1274">
        <v>915.67</v>
      </c>
      <c r="M1274">
        <v>1846.516850828729</v>
      </c>
      <c r="N1274">
        <v>1848.6799999999998</v>
      </c>
      <c r="O1274">
        <v>1846.5168508286999</v>
      </c>
      <c r="P1274">
        <v>0</v>
      </c>
      <c r="Q1274">
        <f t="shared" si="240"/>
        <v>1846.5168508286999</v>
      </c>
      <c r="R1274">
        <v>1846.5168508286999</v>
      </c>
      <c r="S1274">
        <f t="shared" si="241"/>
        <v>0</v>
      </c>
      <c r="T1274"/>
      <c r="U1274">
        <f t="shared" si="242"/>
        <v>0</v>
      </c>
      <c r="V1274">
        <f t="shared" si="243"/>
        <v>1846.5168508286999</v>
      </c>
      <c r="W1274">
        <f t="shared" si="244"/>
        <v>0</v>
      </c>
      <c r="X1274">
        <v>0</v>
      </c>
    </row>
    <row r="1275" spans="1:24" x14ac:dyDescent="0.25">
      <c r="A1275" t="s">
        <v>1928</v>
      </c>
      <c r="B1275" t="s">
        <v>1929</v>
      </c>
      <c r="C1275" t="s">
        <v>2039</v>
      </c>
      <c r="D1275" t="s">
        <v>165</v>
      </c>
      <c r="E1275" t="s">
        <v>51</v>
      </c>
      <c r="F1275" t="s">
        <v>51</v>
      </c>
      <c r="G1275" t="s">
        <v>709</v>
      </c>
      <c r="H1275"/>
      <c r="I1275"/>
      <c r="J1275">
        <v>382797.01999999996</v>
      </c>
      <c r="K1275">
        <v>445961.15464363131</v>
      </c>
      <c r="L1275">
        <v>178340.36000000004</v>
      </c>
      <c r="M1275">
        <v>359636.63756906072</v>
      </c>
      <c r="N1275">
        <v>363956.19</v>
      </c>
      <c r="O1275">
        <v>358629.7684044686</v>
      </c>
      <c r="P1275">
        <f>SUMIF($F$1245:$F$1274,"&lt;&gt;EV_*",$P$1245:$P$1274)</f>
        <v>2387.5</v>
      </c>
      <c r="Q1275">
        <f>SUMIF($F$1245:$F$1274,"&lt;&gt;EV_*",$Q$1245:$Q$1274)</f>
        <v>361017.2684044686</v>
      </c>
      <c r="R1275">
        <f>SUMIF($F$1245:$F$1274,"&lt;&gt;EV_*",$R$1245:$R$1274)</f>
        <v>362230.03609677625</v>
      </c>
      <c r="S1275">
        <f>SUMIF($F$1245:$F$1274,"&lt;&gt;EV_*",$S$1245:$S$1274)</f>
        <v>1212.7676923077001</v>
      </c>
      <c r="T1275">
        <v>0</v>
      </c>
      <c r="U1275">
        <f>SUMIF($F$1245:$F$1274,"&lt;&gt;EV_*",$U$1245:$U$1274)</f>
        <v>9653.3955393813412</v>
      </c>
      <c r="V1275">
        <f>SUMIF($F$1245:$F$1274,"&lt;&gt;EV_*",$V$1245:$V$1274)</f>
        <v>371883.43163615762</v>
      </c>
      <c r="W1275">
        <f>SUMIF($F$1245:$F$1274,"&lt;&gt;EV_*",$W$1245:$W$1274)</f>
        <v>10866.163231689048</v>
      </c>
      <c r="X1275">
        <f>SUMIF($F$1245:$F$1274,"&lt;&gt;EV_*",$X$1245:$X$1274)</f>
        <v>0</v>
      </c>
    </row>
    <row r="1276" spans="1:24" x14ac:dyDescent="0.25">
      <c r="A1276" t="s">
        <v>1928</v>
      </c>
      <c r="B1276" t="s">
        <v>1929</v>
      </c>
      <c r="C1276" t="s">
        <v>2040</v>
      </c>
      <c r="D1276" t="s">
        <v>166</v>
      </c>
      <c r="E1276" t="s">
        <v>5</v>
      </c>
      <c r="F1276" t="s">
        <v>5</v>
      </c>
      <c r="G1276" t="s">
        <v>710</v>
      </c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</row>
    <row r="1277" spans="1:24" x14ac:dyDescent="0.25">
      <c r="A1277" t="s">
        <v>1928</v>
      </c>
      <c r="B1277" t="s">
        <v>1929</v>
      </c>
      <c r="C1277" t="s">
        <v>2040</v>
      </c>
      <c r="D1277" t="s">
        <v>166</v>
      </c>
      <c r="E1277" t="s">
        <v>8</v>
      </c>
      <c r="F1277" t="s">
        <v>1</v>
      </c>
      <c r="G1277" t="s">
        <v>711</v>
      </c>
      <c r="H1277" t="s">
        <v>408</v>
      </c>
      <c r="I1277" t="s">
        <v>1</v>
      </c>
      <c r="J1277">
        <v>9183.9</v>
      </c>
      <c r="K1277">
        <v>17505.420165746</v>
      </c>
      <c r="L1277">
        <v>295.57</v>
      </c>
      <c r="M1277">
        <v>596.0389502762431</v>
      </c>
      <c r="N1277">
        <v>798.7</v>
      </c>
      <c r="O1277">
        <v>596.03895027620001</v>
      </c>
      <c r="P1277">
        <v>-596</v>
      </c>
      <c r="Q1277">
        <f t="shared" ref="Q1277:Q1295" si="245">O1277+P1277</f>
        <v>3.8950276200012013E-2</v>
      </c>
      <c r="R1277">
        <v>0</v>
      </c>
      <c r="S1277">
        <f t="shared" ref="S1277:S1295" si="246">IF(OR(LEFT(E1277,2)="A_",LEFT(D1277,5)="Total"),R1277-Q1277,"")</f>
        <v>-3.8950276200012013E-2</v>
      </c>
      <c r="T1277"/>
      <c r="U1277">
        <f t="shared" ref="U1277:U1295" si="247">IFERROR(R1277*T1277,R1277*0)</f>
        <v>0</v>
      </c>
      <c r="V1277">
        <f t="shared" ref="V1277:V1295" si="248">IF(OR(LEFT(E1277,2)="A_",LEFT(D1277,5)="Total"),R1277+U1277,"")</f>
        <v>0</v>
      </c>
      <c r="W1277">
        <f t="shared" ref="W1277:W1295" si="249">IF(OR(LEFT(E1277,2)="A_",LEFT(D1277,5)="Total"),V1277-Q1277,"")</f>
        <v>-3.8950276200012013E-2</v>
      </c>
      <c r="X1277">
        <v>0</v>
      </c>
    </row>
    <row r="1278" spans="1:24" x14ac:dyDescent="0.25">
      <c r="A1278" t="s">
        <v>1928</v>
      </c>
      <c r="B1278" t="s">
        <v>1929</v>
      </c>
      <c r="C1278" t="s">
        <v>2040</v>
      </c>
      <c r="D1278" t="s">
        <v>166</v>
      </c>
      <c r="E1278" t="s">
        <v>65</v>
      </c>
      <c r="F1278" t="s">
        <v>1</v>
      </c>
      <c r="G1278" t="s">
        <v>711</v>
      </c>
      <c r="H1278" t="s">
        <v>476</v>
      </c>
      <c r="I1278" t="s">
        <v>1</v>
      </c>
      <c r="J1278">
        <v>-44.62</v>
      </c>
      <c r="K1278"/>
      <c r="L1278">
        <v>-18.350000000000001</v>
      </c>
      <c r="M1278">
        <v>-37.004143646408842</v>
      </c>
      <c r="N1278">
        <v>-20.350000000000001</v>
      </c>
      <c r="O1278">
        <v>-36.901648351600002</v>
      </c>
      <c r="P1278">
        <v>0</v>
      </c>
      <c r="Q1278">
        <f t="shared" si="245"/>
        <v>-36.901648351600002</v>
      </c>
      <c r="R1278">
        <v>0</v>
      </c>
      <c r="S1278">
        <f t="shared" si="246"/>
        <v>36.901648351600002</v>
      </c>
      <c r="T1278"/>
      <c r="U1278">
        <f t="shared" si="247"/>
        <v>0</v>
      </c>
      <c r="V1278">
        <f t="shared" si="248"/>
        <v>0</v>
      </c>
      <c r="W1278">
        <f t="shared" si="249"/>
        <v>36.901648351600002</v>
      </c>
      <c r="X1278">
        <v>0</v>
      </c>
    </row>
    <row r="1279" spans="1:24" x14ac:dyDescent="0.25">
      <c r="A1279" t="s">
        <v>1928</v>
      </c>
      <c r="B1279" t="s">
        <v>1929</v>
      </c>
      <c r="C1279" t="s">
        <v>2040</v>
      </c>
      <c r="D1279" t="s">
        <v>166</v>
      </c>
      <c r="E1279" t="s">
        <v>17</v>
      </c>
      <c r="F1279" t="s">
        <v>1</v>
      </c>
      <c r="G1279" t="s">
        <v>711</v>
      </c>
      <c r="H1279" t="s">
        <v>417</v>
      </c>
      <c r="I1279" t="s">
        <v>1</v>
      </c>
      <c r="J1279">
        <v>-414.04</v>
      </c>
      <c r="K1279">
        <v>-1739.9999999999</v>
      </c>
      <c r="L1279">
        <v>-204.94</v>
      </c>
      <c r="M1279">
        <v>-413.2767955801105</v>
      </c>
      <c r="N1279">
        <v>-307.40000000000003</v>
      </c>
      <c r="O1279">
        <v>-412.13208791210002</v>
      </c>
      <c r="P1279">
        <v>0</v>
      </c>
      <c r="Q1279">
        <f t="shared" si="245"/>
        <v>-412.13208791210002</v>
      </c>
      <c r="R1279">
        <v>-412.13208791210002</v>
      </c>
      <c r="S1279">
        <f t="shared" si="246"/>
        <v>0</v>
      </c>
      <c r="T1279"/>
      <c r="U1279">
        <f t="shared" si="247"/>
        <v>0</v>
      </c>
      <c r="V1279">
        <f t="shared" si="248"/>
        <v>-412.13208791210002</v>
      </c>
      <c r="W1279">
        <f t="shared" si="249"/>
        <v>0</v>
      </c>
      <c r="X1279">
        <v>0</v>
      </c>
    </row>
    <row r="1280" spans="1:24" x14ac:dyDescent="0.25">
      <c r="A1280" t="s">
        <v>1928</v>
      </c>
      <c r="B1280" t="s">
        <v>1929</v>
      </c>
      <c r="C1280" t="s">
        <v>2040</v>
      </c>
      <c r="D1280" t="s">
        <v>166</v>
      </c>
      <c r="E1280" t="s">
        <v>82</v>
      </c>
      <c r="F1280" t="s">
        <v>1</v>
      </c>
      <c r="G1280" t="s">
        <v>711</v>
      </c>
      <c r="H1280" t="s">
        <v>507</v>
      </c>
      <c r="I1280" t="s">
        <v>1</v>
      </c>
      <c r="J1280">
        <v>603.37</v>
      </c>
      <c r="K1280"/>
      <c r="L1280">
        <v>1248.4100000000001</v>
      </c>
      <c r="M1280">
        <v>2517.5118784530387</v>
      </c>
      <c r="N1280">
        <v>1489.2599999999998</v>
      </c>
      <c r="O1280">
        <v>2510.5387912087999</v>
      </c>
      <c r="P1280">
        <v>0</v>
      </c>
      <c r="Q1280">
        <f t="shared" si="245"/>
        <v>2510.5387912087999</v>
      </c>
      <c r="R1280">
        <v>2510.5387912087999</v>
      </c>
      <c r="S1280">
        <f t="shared" si="246"/>
        <v>0</v>
      </c>
      <c r="T1280">
        <v>2.75E-2</v>
      </c>
      <c r="U1280">
        <f t="shared" si="247"/>
        <v>69.039816758241997</v>
      </c>
      <c r="V1280">
        <f t="shared" si="248"/>
        <v>2579.578607967042</v>
      </c>
      <c r="W1280">
        <f t="shared" si="249"/>
        <v>69.039816758242068</v>
      </c>
      <c r="X1280">
        <v>0</v>
      </c>
    </row>
    <row r="1281" spans="1:24" x14ac:dyDescent="0.25">
      <c r="A1281" t="s">
        <v>1928</v>
      </c>
      <c r="B1281" t="s">
        <v>1929</v>
      </c>
      <c r="C1281" t="s">
        <v>2040</v>
      </c>
      <c r="D1281" t="s">
        <v>166</v>
      </c>
      <c r="E1281" t="s">
        <v>72</v>
      </c>
      <c r="F1281" t="s">
        <v>1</v>
      </c>
      <c r="G1281" t="s">
        <v>711</v>
      </c>
      <c r="H1281" t="s">
        <v>489</v>
      </c>
      <c r="I1281" t="s">
        <v>1</v>
      </c>
      <c r="J1281">
        <v>176.96</v>
      </c>
      <c r="K1281"/>
      <c r="L1281">
        <v>121.1</v>
      </c>
      <c r="M1281">
        <v>244.20718232044197</v>
      </c>
      <c r="N1281">
        <v>209.58</v>
      </c>
      <c r="O1281">
        <v>243.53076923079999</v>
      </c>
      <c r="P1281">
        <v>0</v>
      </c>
      <c r="Q1281">
        <f t="shared" si="245"/>
        <v>243.53076923079999</v>
      </c>
      <c r="R1281">
        <v>243.53076923079999</v>
      </c>
      <c r="S1281">
        <f t="shared" si="246"/>
        <v>0</v>
      </c>
      <c r="T1281">
        <v>2.2499999999999999E-2</v>
      </c>
      <c r="U1281">
        <f t="shared" si="247"/>
        <v>5.4794423076929997</v>
      </c>
      <c r="V1281">
        <f t="shared" si="248"/>
        <v>249.010211538493</v>
      </c>
      <c r="W1281">
        <f t="shared" si="249"/>
        <v>5.4794423076930059</v>
      </c>
      <c r="X1281">
        <v>0</v>
      </c>
    </row>
    <row r="1282" spans="1:24" x14ac:dyDescent="0.25">
      <c r="A1282" t="s">
        <v>1928</v>
      </c>
      <c r="B1282" t="s">
        <v>1929</v>
      </c>
      <c r="C1282" t="s">
        <v>2040</v>
      </c>
      <c r="D1282" t="s">
        <v>166</v>
      </c>
      <c r="E1282" t="s">
        <v>118</v>
      </c>
      <c r="F1282" t="s">
        <v>1</v>
      </c>
      <c r="G1282" t="s">
        <v>711</v>
      </c>
      <c r="H1282" t="s">
        <v>587</v>
      </c>
      <c r="I1282" t="s">
        <v>1</v>
      </c>
      <c r="J1282"/>
      <c r="K1282"/>
      <c r="L1282">
        <v>38.54</v>
      </c>
      <c r="M1282">
        <v>77.718784530386742</v>
      </c>
      <c r="N1282">
        <v>38.54</v>
      </c>
      <c r="O1282">
        <v>77.503516483499993</v>
      </c>
      <c r="P1282">
        <v>0</v>
      </c>
      <c r="Q1282">
        <f t="shared" si="245"/>
        <v>77.503516483499993</v>
      </c>
      <c r="R1282">
        <v>77.503516483499993</v>
      </c>
      <c r="S1282">
        <f t="shared" si="246"/>
        <v>0</v>
      </c>
      <c r="T1282">
        <v>3.2500000000000001E-2</v>
      </c>
      <c r="U1282">
        <f t="shared" si="247"/>
        <v>2.5188642857137498</v>
      </c>
      <c r="V1282">
        <f t="shared" si="248"/>
        <v>80.02238076921374</v>
      </c>
      <c r="W1282">
        <f t="shared" si="249"/>
        <v>2.5188642857137467</v>
      </c>
      <c r="X1282">
        <v>0</v>
      </c>
    </row>
    <row r="1283" spans="1:24" x14ac:dyDescent="0.25">
      <c r="A1283" t="s">
        <v>1928</v>
      </c>
      <c r="B1283" t="s">
        <v>1929</v>
      </c>
      <c r="C1283" t="s">
        <v>2040</v>
      </c>
      <c r="D1283" t="s">
        <v>166</v>
      </c>
      <c r="E1283" t="s">
        <v>18</v>
      </c>
      <c r="F1283" t="s">
        <v>1</v>
      </c>
      <c r="G1283" t="s">
        <v>711</v>
      </c>
      <c r="H1283" t="s">
        <v>418</v>
      </c>
      <c r="I1283" t="s">
        <v>1</v>
      </c>
      <c r="J1283">
        <v>10783.83</v>
      </c>
      <c r="K1283">
        <v>12974.064849455801</v>
      </c>
      <c r="L1283">
        <v>4274.8100000000004</v>
      </c>
      <c r="M1283">
        <v>8620.47320441989</v>
      </c>
      <c r="N1283">
        <v>7801.4999999999982</v>
      </c>
      <c r="O1283">
        <v>8596.5959340658992</v>
      </c>
      <c r="P1283">
        <v>4377</v>
      </c>
      <c r="Q1283">
        <f t="shared" si="245"/>
        <v>12973.595934065899</v>
      </c>
      <c r="R1283">
        <v>12974</v>
      </c>
      <c r="S1283">
        <f t="shared" si="246"/>
        <v>0.4040659341007995</v>
      </c>
      <c r="T1283">
        <v>0.02</v>
      </c>
      <c r="U1283">
        <f t="shared" si="247"/>
        <v>259.48</v>
      </c>
      <c r="V1283">
        <f t="shared" si="248"/>
        <v>13233.48</v>
      </c>
      <c r="W1283">
        <f t="shared" si="249"/>
        <v>259.88406593410036</v>
      </c>
      <c r="X1283" t="s">
        <v>1499</v>
      </c>
    </row>
    <row r="1284" spans="1:24" x14ac:dyDescent="0.25">
      <c r="A1284" t="s">
        <v>1928</v>
      </c>
      <c r="B1284" t="s">
        <v>1929</v>
      </c>
      <c r="C1284" t="s">
        <v>2040</v>
      </c>
      <c r="D1284" t="s">
        <v>166</v>
      </c>
      <c r="E1284" t="s">
        <v>57</v>
      </c>
      <c r="F1284" t="s">
        <v>1</v>
      </c>
      <c r="G1284" t="s">
        <v>711</v>
      </c>
      <c r="H1284" t="s">
        <v>462</v>
      </c>
      <c r="I1284" t="s">
        <v>1</v>
      </c>
      <c r="J1284">
        <v>139.13</v>
      </c>
      <c r="K1284"/>
      <c r="L1284">
        <v>54.09</v>
      </c>
      <c r="M1284">
        <v>109.07651933701658</v>
      </c>
      <c r="N1284">
        <v>107.88</v>
      </c>
      <c r="O1284">
        <v>108.7743956044</v>
      </c>
      <c r="P1284">
        <v>0</v>
      </c>
      <c r="Q1284">
        <f t="shared" si="245"/>
        <v>108.7743956044</v>
      </c>
      <c r="R1284">
        <v>108.7743956044</v>
      </c>
      <c r="S1284">
        <f t="shared" si="246"/>
        <v>0</v>
      </c>
      <c r="T1284">
        <v>0.04</v>
      </c>
      <c r="U1284">
        <f t="shared" si="247"/>
        <v>4.3509758241760004</v>
      </c>
      <c r="V1284">
        <f t="shared" si="248"/>
        <v>113.125371428576</v>
      </c>
      <c r="W1284">
        <f t="shared" si="249"/>
        <v>4.3509758241760039</v>
      </c>
      <c r="X1284">
        <v>0</v>
      </c>
    </row>
    <row r="1285" spans="1:24" x14ac:dyDescent="0.25">
      <c r="A1285" t="s">
        <v>1928</v>
      </c>
      <c r="B1285" t="s">
        <v>1929</v>
      </c>
      <c r="C1285" t="s">
        <v>2040</v>
      </c>
      <c r="D1285" t="s">
        <v>166</v>
      </c>
      <c r="E1285" t="s">
        <v>19</v>
      </c>
      <c r="F1285" t="s">
        <v>1</v>
      </c>
      <c r="G1285" t="s">
        <v>711</v>
      </c>
      <c r="H1285" t="s">
        <v>419</v>
      </c>
      <c r="I1285" t="s">
        <v>1</v>
      </c>
      <c r="J1285"/>
      <c r="K1285"/>
      <c r="L1285">
        <v>262.49</v>
      </c>
      <c r="M1285">
        <v>529.33066298342544</v>
      </c>
      <c r="N1285">
        <v>262.49</v>
      </c>
      <c r="O1285">
        <v>527.86450549450001</v>
      </c>
      <c r="P1285">
        <v>0</v>
      </c>
      <c r="Q1285">
        <f t="shared" si="245"/>
        <v>527.86450549450001</v>
      </c>
      <c r="R1285">
        <v>527.86450549450001</v>
      </c>
      <c r="S1285">
        <f t="shared" si="246"/>
        <v>0</v>
      </c>
      <c r="T1285">
        <v>0.02</v>
      </c>
      <c r="U1285">
        <f t="shared" si="247"/>
        <v>10.557290109890001</v>
      </c>
      <c r="V1285">
        <f t="shared" si="248"/>
        <v>538.42179560439001</v>
      </c>
      <c r="W1285">
        <f t="shared" si="249"/>
        <v>10.557290109890005</v>
      </c>
      <c r="X1285">
        <v>0</v>
      </c>
    </row>
    <row r="1286" spans="1:24" x14ac:dyDescent="0.25">
      <c r="A1286" t="s">
        <v>1928</v>
      </c>
      <c r="B1286" t="s">
        <v>1929</v>
      </c>
      <c r="C1286" t="s">
        <v>2040</v>
      </c>
      <c r="D1286" t="s">
        <v>166</v>
      </c>
      <c r="E1286" t="s">
        <v>74</v>
      </c>
      <c r="F1286" t="s">
        <v>1</v>
      </c>
      <c r="G1286" t="s">
        <v>711</v>
      </c>
      <c r="H1286" t="s">
        <v>491</v>
      </c>
      <c r="I1286" t="s">
        <v>1</v>
      </c>
      <c r="J1286">
        <v>5333.47</v>
      </c>
      <c r="K1286">
        <v>6036.6488929232</v>
      </c>
      <c r="L1286">
        <v>1396.89</v>
      </c>
      <c r="M1286">
        <v>2816.9328729281769</v>
      </c>
      <c r="N1286">
        <v>3718.0800000000004</v>
      </c>
      <c r="O1286">
        <v>2809.1304395604002</v>
      </c>
      <c r="P1286">
        <v>3228</v>
      </c>
      <c r="Q1286">
        <f t="shared" si="245"/>
        <v>6037.1304395604002</v>
      </c>
      <c r="R1286">
        <v>6037</v>
      </c>
      <c r="S1286">
        <f t="shared" si="246"/>
        <v>-0.13043956040019111</v>
      </c>
      <c r="T1286">
        <v>3.5000000000000003E-2</v>
      </c>
      <c r="U1286">
        <f t="shared" si="247"/>
        <v>211.29500000000002</v>
      </c>
      <c r="V1286">
        <f t="shared" si="248"/>
        <v>6248.2950000000001</v>
      </c>
      <c r="W1286">
        <f t="shared" si="249"/>
        <v>211.16456043959988</v>
      </c>
      <c r="X1286" t="s">
        <v>1499</v>
      </c>
    </row>
    <row r="1287" spans="1:24" x14ac:dyDescent="0.25">
      <c r="A1287" t="s">
        <v>1928</v>
      </c>
      <c r="B1287" t="s">
        <v>1929</v>
      </c>
      <c r="C1287" t="s">
        <v>2040</v>
      </c>
      <c r="D1287" t="s">
        <v>166</v>
      </c>
      <c r="E1287" t="s">
        <v>85</v>
      </c>
      <c r="F1287" t="s">
        <v>1</v>
      </c>
      <c r="G1287" t="s">
        <v>711</v>
      </c>
      <c r="H1287" t="s">
        <v>510</v>
      </c>
      <c r="I1287" t="s">
        <v>1</v>
      </c>
      <c r="J1287">
        <v>29.93</v>
      </c>
      <c r="K1287"/>
      <c r="L1287">
        <v>0</v>
      </c>
      <c r="M1287">
        <v>0</v>
      </c>
      <c r="N1287">
        <v>0</v>
      </c>
      <c r="O1287"/>
      <c r="P1287">
        <v>0</v>
      </c>
      <c r="Q1287">
        <f t="shared" si="245"/>
        <v>0</v>
      </c>
      <c r="R1287">
        <v>0</v>
      </c>
      <c r="S1287">
        <f t="shared" si="246"/>
        <v>0</v>
      </c>
      <c r="T1287">
        <v>0.02</v>
      </c>
      <c r="U1287">
        <f t="shared" si="247"/>
        <v>0</v>
      </c>
      <c r="V1287">
        <f t="shared" si="248"/>
        <v>0</v>
      </c>
      <c r="W1287">
        <f t="shared" si="249"/>
        <v>0</v>
      </c>
      <c r="X1287">
        <v>0</v>
      </c>
    </row>
    <row r="1288" spans="1:24" x14ac:dyDescent="0.25">
      <c r="A1288" t="s">
        <v>1928</v>
      </c>
      <c r="B1288" t="s">
        <v>1929</v>
      </c>
      <c r="C1288" t="s">
        <v>2040</v>
      </c>
      <c r="D1288" t="s">
        <v>166</v>
      </c>
      <c r="E1288" t="s">
        <v>20</v>
      </c>
      <c r="F1288" t="s">
        <v>1</v>
      </c>
      <c r="G1288" t="s">
        <v>711</v>
      </c>
      <c r="H1288" t="s">
        <v>420</v>
      </c>
      <c r="I1288" t="s">
        <v>1</v>
      </c>
      <c r="J1288">
        <v>2004.04</v>
      </c>
      <c r="K1288">
        <v>2371.9707249567</v>
      </c>
      <c r="L1288">
        <v>1027.19</v>
      </c>
      <c r="M1288">
        <v>2071.4052486187848</v>
      </c>
      <c r="N1288">
        <v>2034.7599999999998</v>
      </c>
      <c r="O1288">
        <v>2065.6678021978</v>
      </c>
      <c r="P1288">
        <v>0</v>
      </c>
      <c r="Q1288">
        <f t="shared" si="245"/>
        <v>2065.6678021978</v>
      </c>
      <c r="R1288">
        <v>2065.6678021978</v>
      </c>
      <c r="S1288">
        <f t="shared" si="246"/>
        <v>0</v>
      </c>
      <c r="T1288">
        <v>0.04</v>
      </c>
      <c r="U1288">
        <f t="shared" si="247"/>
        <v>82.626712087911997</v>
      </c>
      <c r="V1288">
        <f t="shared" si="248"/>
        <v>2148.294514285712</v>
      </c>
      <c r="W1288">
        <f t="shared" si="249"/>
        <v>82.626712087911983</v>
      </c>
      <c r="X1288">
        <v>0</v>
      </c>
    </row>
    <row r="1289" spans="1:24" x14ac:dyDescent="0.25">
      <c r="A1289" t="s">
        <v>1928</v>
      </c>
      <c r="B1289" t="s">
        <v>1929</v>
      </c>
      <c r="C1289" t="s">
        <v>2040</v>
      </c>
      <c r="D1289" t="s">
        <v>166</v>
      </c>
      <c r="E1289" t="s">
        <v>21</v>
      </c>
      <c r="F1289" t="s">
        <v>1</v>
      </c>
      <c r="G1289" t="s">
        <v>711</v>
      </c>
      <c r="H1289" t="s">
        <v>421</v>
      </c>
      <c r="I1289" t="s">
        <v>1</v>
      </c>
      <c r="J1289">
        <v>1759.46</v>
      </c>
      <c r="K1289">
        <v>2377.2200000001999</v>
      </c>
      <c r="L1289">
        <v>331.16</v>
      </c>
      <c r="M1289">
        <v>667.80883977900555</v>
      </c>
      <c r="N1289">
        <v>841.38</v>
      </c>
      <c r="O1289">
        <v>667.80883977899998</v>
      </c>
      <c r="P1289">
        <v>1709</v>
      </c>
      <c r="Q1289">
        <f t="shared" si="245"/>
        <v>2376.8088397789998</v>
      </c>
      <c r="R1289">
        <v>2377</v>
      </c>
      <c r="S1289">
        <f t="shared" si="246"/>
        <v>0.19116022100024566</v>
      </c>
      <c r="T1289">
        <v>0.03</v>
      </c>
      <c r="U1289">
        <f t="shared" si="247"/>
        <v>71.31</v>
      </c>
      <c r="V1289">
        <f t="shared" si="248"/>
        <v>2448.31</v>
      </c>
      <c r="W1289">
        <f t="shared" si="249"/>
        <v>71.501160221000191</v>
      </c>
      <c r="X1289" t="s">
        <v>1499</v>
      </c>
    </row>
    <row r="1290" spans="1:24" x14ac:dyDescent="0.25">
      <c r="A1290" t="s">
        <v>1928</v>
      </c>
      <c r="B1290" t="s">
        <v>1929</v>
      </c>
      <c r="C1290" t="s">
        <v>2040</v>
      </c>
      <c r="D1290" t="s">
        <v>166</v>
      </c>
      <c r="E1290" t="s">
        <v>66</v>
      </c>
      <c r="F1290" t="s">
        <v>1</v>
      </c>
      <c r="G1290" t="s">
        <v>711</v>
      </c>
      <c r="H1290" t="s">
        <v>477</v>
      </c>
      <c r="I1290" t="s">
        <v>1</v>
      </c>
      <c r="J1290">
        <v>46.08</v>
      </c>
      <c r="K1290"/>
      <c r="L1290">
        <v>0</v>
      </c>
      <c r="M1290">
        <v>0</v>
      </c>
      <c r="N1290">
        <v>46.08</v>
      </c>
      <c r="O1290"/>
      <c r="P1290">
        <v>0</v>
      </c>
      <c r="Q1290">
        <f t="shared" si="245"/>
        <v>0</v>
      </c>
      <c r="R1290">
        <v>0</v>
      </c>
      <c r="S1290">
        <f t="shared" si="246"/>
        <v>0</v>
      </c>
      <c r="T1290">
        <v>3.5000000000000003E-2</v>
      </c>
      <c r="U1290">
        <f t="shared" si="247"/>
        <v>0</v>
      </c>
      <c r="V1290">
        <f t="shared" si="248"/>
        <v>0</v>
      </c>
      <c r="W1290">
        <f t="shared" si="249"/>
        <v>0</v>
      </c>
      <c r="X1290">
        <v>0</v>
      </c>
    </row>
    <row r="1291" spans="1:24" x14ac:dyDescent="0.25">
      <c r="A1291" t="s">
        <v>1928</v>
      </c>
      <c r="B1291" t="s">
        <v>1929</v>
      </c>
      <c r="C1291" t="s">
        <v>2040</v>
      </c>
      <c r="D1291" t="s">
        <v>166</v>
      </c>
      <c r="E1291" t="s">
        <v>22</v>
      </c>
      <c r="F1291" t="s">
        <v>1</v>
      </c>
      <c r="G1291" t="s">
        <v>711</v>
      </c>
      <c r="H1291" t="s">
        <v>422</v>
      </c>
      <c r="I1291" t="s">
        <v>1</v>
      </c>
      <c r="J1291">
        <v>521.69000000000005</v>
      </c>
      <c r="K1291">
        <v>672.74999999980002</v>
      </c>
      <c r="L1291">
        <v>173.72</v>
      </c>
      <c r="M1291">
        <v>350.31933701657459</v>
      </c>
      <c r="N1291">
        <v>372.36</v>
      </c>
      <c r="O1291">
        <v>350.3193370166</v>
      </c>
      <c r="P1291">
        <v>0</v>
      </c>
      <c r="Q1291">
        <f t="shared" si="245"/>
        <v>350.3193370166</v>
      </c>
      <c r="R1291">
        <v>350.3193370166</v>
      </c>
      <c r="S1291">
        <f t="shared" si="246"/>
        <v>0</v>
      </c>
      <c r="T1291">
        <v>3.5000000000000003E-2</v>
      </c>
      <c r="U1291">
        <f t="shared" si="247"/>
        <v>12.261176795581001</v>
      </c>
      <c r="V1291">
        <f t="shared" si="248"/>
        <v>362.58051381218098</v>
      </c>
      <c r="W1291">
        <f t="shared" si="249"/>
        <v>12.26117679558098</v>
      </c>
      <c r="X1291">
        <v>0</v>
      </c>
    </row>
    <row r="1292" spans="1:24" x14ac:dyDescent="0.25">
      <c r="A1292" t="s">
        <v>1928</v>
      </c>
      <c r="B1292" t="s">
        <v>1929</v>
      </c>
      <c r="C1292" t="s">
        <v>2040</v>
      </c>
      <c r="D1292" t="s">
        <v>166</v>
      </c>
      <c r="E1292" t="s">
        <v>23</v>
      </c>
      <c r="F1292" t="s">
        <v>1</v>
      </c>
      <c r="G1292" t="s">
        <v>711</v>
      </c>
      <c r="H1292" t="s">
        <v>423</v>
      </c>
      <c r="I1292" t="s">
        <v>1</v>
      </c>
      <c r="J1292">
        <v>160.78</v>
      </c>
      <c r="K1292">
        <v>320.85000000000002</v>
      </c>
      <c r="L1292">
        <v>6.36</v>
      </c>
      <c r="M1292">
        <v>12.825414364640883</v>
      </c>
      <c r="N1292">
        <v>13</v>
      </c>
      <c r="O1292">
        <v>12.8254143646</v>
      </c>
      <c r="P1292">
        <v>-13</v>
      </c>
      <c r="Q1292">
        <f t="shared" si="245"/>
        <v>-0.17458563539999972</v>
      </c>
      <c r="R1292">
        <v>0</v>
      </c>
      <c r="S1292">
        <f t="shared" si="246"/>
        <v>0.17458563539999972</v>
      </c>
      <c r="T1292">
        <v>3.5000000000000003E-2</v>
      </c>
      <c r="U1292">
        <f t="shared" si="247"/>
        <v>0</v>
      </c>
      <c r="V1292">
        <f t="shared" si="248"/>
        <v>0</v>
      </c>
      <c r="W1292">
        <f t="shared" si="249"/>
        <v>0.17458563539999972</v>
      </c>
      <c r="X1292">
        <v>0</v>
      </c>
    </row>
    <row r="1293" spans="1:24" x14ac:dyDescent="0.25">
      <c r="A1293" t="s">
        <v>1928</v>
      </c>
      <c r="B1293" t="s">
        <v>1929</v>
      </c>
      <c r="C1293" t="s">
        <v>2040</v>
      </c>
      <c r="D1293" t="s">
        <v>166</v>
      </c>
      <c r="E1293" t="s">
        <v>28</v>
      </c>
      <c r="F1293" t="s">
        <v>1</v>
      </c>
      <c r="G1293" t="s">
        <v>711</v>
      </c>
      <c r="H1293" t="s">
        <v>428</v>
      </c>
      <c r="I1293" t="s">
        <v>1</v>
      </c>
      <c r="J1293">
        <v>507.48</v>
      </c>
      <c r="K1293">
        <v>270</v>
      </c>
      <c r="L1293">
        <v>91.5</v>
      </c>
      <c r="M1293">
        <v>184.51657458563537</v>
      </c>
      <c r="N1293">
        <v>463.53</v>
      </c>
      <c r="O1293">
        <v>183</v>
      </c>
      <c r="P1293">
        <v>0</v>
      </c>
      <c r="Q1293">
        <f t="shared" si="245"/>
        <v>183</v>
      </c>
      <c r="R1293">
        <v>183</v>
      </c>
      <c r="S1293">
        <f t="shared" si="246"/>
        <v>0</v>
      </c>
      <c r="T1293"/>
      <c r="U1293">
        <f t="shared" si="247"/>
        <v>0</v>
      </c>
      <c r="V1293">
        <f t="shared" si="248"/>
        <v>183</v>
      </c>
      <c r="W1293">
        <f t="shared" si="249"/>
        <v>0</v>
      </c>
      <c r="X1293">
        <v>0</v>
      </c>
    </row>
    <row r="1294" spans="1:24" x14ac:dyDescent="0.25">
      <c r="A1294" t="s">
        <v>1928</v>
      </c>
      <c r="B1294" t="s">
        <v>1929</v>
      </c>
      <c r="C1294" t="s">
        <v>2040</v>
      </c>
      <c r="D1294" t="s">
        <v>166</v>
      </c>
      <c r="E1294" t="s">
        <v>37</v>
      </c>
      <c r="F1294" t="s">
        <v>1</v>
      </c>
      <c r="G1294" t="s">
        <v>711</v>
      </c>
      <c r="H1294" t="s">
        <v>437</v>
      </c>
      <c r="I1294" t="s">
        <v>1</v>
      </c>
      <c r="J1294">
        <v>221.35</v>
      </c>
      <c r="K1294"/>
      <c r="L1294">
        <v>0</v>
      </c>
      <c r="M1294">
        <v>0</v>
      </c>
      <c r="N1294">
        <v>17.809999999999999</v>
      </c>
      <c r="O1294"/>
      <c r="P1294">
        <v>0</v>
      </c>
      <c r="Q1294">
        <f t="shared" si="245"/>
        <v>0</v>
      </c>
      <c r="R1294">
        <v>0</v>
      </c>
      <c r="S1294">
        <f t="shared" si="246"/>
        <v>0</v>
      </c>
      <c r="T1294"/>
      <c r="U1294">
        <f t="shared" si="247"/>
        <v>0</v>
      </c>
      <c r="V1294">
        <f t="shared" si="248"/>
        <v>0</v>
      </c>
      <c r="W1294">
        <f t="shared" si="249"/>
        <v>0</v>
      </c>
      <c r="X1294">
        <v>0</v>
      </c>
    </row>
    <row r="1295" spans="1:24" x14ac:dyDescent="0.25">
      <c r="A1295" t="s">
        <v>1928</v>
      </c>
      <c r="B1295" t="s">
        <v>1929</v>
      </c>
      <c r="C1295" t="s">
        <v>2040</v>
      </c>
      <c r="D1295" t="s">
        <v>166</v>
      </c>
      <c r="E1295" t="s">
        <v>41</v>
      </c>
      <c r="F1295" t="s">
        <v>1</v>
      </c>
      <c r="G1295" t="s">
        <v>711</v>
      </c>
      <c r="H1295" t="s">
        <v>441</v>
      </c>
      <c r="I1295" t="s">
        <v>1</v>
      </c>
      <c r="J1295"/>
      <c r="K1295"/>
      <c r="L1295">
        <v>22.5</v>
      </c>
      <c r="M1295">
        <v>45.372928176795583</v>
      </c>
      <c r="N1295">
        <v>22.5</v>
      </c>
      <c r="O1295">
        <v>45</v>
      </c>
      <c r="P1295">
        <v>-22</v>
      </c>
      <c r="Q1295">
        <f t="shared" si="245"/>
        <v>23</v>
      </c>
      <c r="R1295">
        <v>23</v>
      </c>
      <c r="S1295">
        <f t="shared" si="246"/>
        <v>0</v>
      </c>
      <c r="T1295">
        <v>0.03</v>
      </c>
      <c r="U1295">
        <f t="shared" si="247"/>
        <v>0.69</v>
      </c>
      <c r="V1295">
        <f t="shared" si="248"/>
        <v>23.69</v>
      </c>
      <c r="W1295">
        <f t="shared" si="249"/>
        <v>0.69000000000000128</v>
      </c>
      <c r="X1295" t="s">
        <v>1421</v>
      </c>
    </row>
    <row r="1296" spans="1:24" x14ac:dyDescent="0.25">
      <c r="A1296" t="s">
        <v>1928</v>
      </c>
      <c r="B1296" t="s">
        <v>1929</v>
      </c>
      <c r="C1296" t="s">
        <v>2040</v>
      </c>
      <c r="D1296" t="s">
        <v>166</v>
      </c>
      <c r="E1296" t="s">
        <v>51</v>
      </c>
      <c r="F1296" t="s">
        <v>51</v>
      </c>
      <c r="G1296" t="s">
        <v>712</v>
      </c>
      <c r="H1296"/>
      <c r="I1296"/>
      <c r="J1296">
        <v>31012.809999999998</v>
      </c>
      <c r="K1296">
        <v>40788.924633081799</v>
      </c>
      <c r="L1296">
        <v>9121.0400000000009</v>
      </c>
      <c r="M1296">
        <v>18393.257458563538</v>
      </c>
      <c r="N1296">
        <v>17909.7</v>
      </c>
      <c r="O1296">
        <v>18345.5649590188</v>
      </c>
      <c r="P1296">
        <f>SUMIF($F$1276:$F$1295,"&lt;&gt;EV_*",$P$1276:$P$1295)</f>
        <v>8683</v>
      </c>
      <c r="Q1296">
        <f>SUMIF($F$1276:$F$1295,"&lt;&gt;EV_*",$Q$1276:$Q$1295)</f>
        <v>27028.564959018797</v>
      </c>
      <c r="R1296">
        <f>SUMIF($F$1276:$F$1295,"&lt;&gt;EV_*",$R$1276:$R$1295)</f>
        <v>27066.067029324302</v>
      </c>
      <c r="S1296">
        <f>SUMIF($F$1276:$F$1295,"&lt;&gt;EV_*",$S$1276:$S$1295)</f>
        <v>37.502070305500844</v>
      </c>
      <c r="T1296">
        <v>0</v>
      </c>
      <c r="U1296">
        <f>SUMIF($F$1276:$F$1295,"&lt;&gt;EV_*",$U$1276:$U$1295)</f>
        <v>729.60927816920787</v>
      </c>
      <c r="V1296">
        <f>SUMIF($F$1276:$F$1295,"&lt;&gt;EV_*",$V$1276:$V$1295)</f>
        <v>27795.676307493508</v>
      </c>
      <c r="W1296">
        <f>SUMIF($F$1276:$F$1295,"&lt;&gt;EV_*",$W$1276:$W$1295)</f>
        <v>767.11134847470839</v>
      </c>
      <c r="X1296">
        <f>SUMIF($F$1276:$F$1295,"&lt;&gt;EV_*",$X$1276:$X$1295)</f>
        <v>0</v>
      </c>
    </row>
    <row r="1297" spans="1:24" x14ac:dyDescent="0.25">
      <c r="A1297" t="s">
        <v>1928</v>
      </c>
      <c r="B1297" t="s">
        <v>2030</v>
      </c>
      <c r="C1297" t="s">
        <v>2041</v>
      </c>
      <c r="D1297" t="s">
        <v>167</v>
      </c>
      <c r="E1297" t="s">
        <v>5</v>
      </c>
      <c r="F1297" t="s">
        <v>5</v>
      </c>
      <c r="G1297" t="s">
        <v>713</v>
      </c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</row>
    <row r="1298" spans="1:24" x14ac:dyDescent="0.25">
      <c r="A1298" t="s">
        <v>1928</v>
      </c>
      <c r="B1298" t="s">
        <v>2030</v>
      </c>
      <c r="C1298" t="s">
        <v>2041</v>
      </c>
      <c r="D1298" t="s">
        <v>167</v>
      </c>
      <c r="E1298" t="s">
        <v>11</v>
      </c>
      <c r="F1298" t="s">
        <v>1</v>
      </c>
      <c r="G1298" t="s">
        <v>714</v>
      </c>
      <c r="H1298" t="s">
        <v>411</v>
      </c>
      <c r="I1298" t="s">
        <v>1</v>
      </c>
      <c r="J1298">
        <v>1097.3800000000001</v>
      </c>
      <c r="K1298">
        <v>875.84000000039998</v>
      </c>
      <c r="L1298">
        <v>424.82</v>
      </c>
      <c r="M1298">
        <v>856.68121546961322</v>
      </c>
      <c r="N1298">
        <v>911.2700000000001</v>
      </c>
      <c r="O1298">
        <v>849.64</v>
      </c>
      <c r="P1298">
        <v>7</v>
      </c>
      <c r="Q1298">
        <f t="shared" ref="Q1298:Q1325" si="250">O1298+P1298</f>
        <v>856.64</v>
      </c>
      <c r="R1298">
        <v>856.68121546961322</v>
      </c>
      <c r="S1298">
        <f t="shared" ref="S1298:S1325" si="251">IF(OR(LEFT(E1298,2)="A_",LEFT(D1298,5)="Total"),R1298-Q1298,"")</f>
        <v>4.1215469613234745E-2</v>
      </c>
      <c r="T1298"/>
      <c r="U1298">
        <f t="shared" ref="U1298:U1325" si="252">IFERROR(R1298*T1298,R1298*0)</f>
        <v>0</v>
      </c>
      <c r="V1298">
        <f t="shared" ref="V1298:V1325" si="253">IF(OR(LEFT(E1298,2)="A_",LEFT(D1298,5)="Total"),R1298+U1298,"")</f>
        <v>856.68121546961322</v>
      </c>
      <c r="W1298">
        <f t="shared" ref="W1298:W1325" si="254">IF(OR(LEFT(E1298,2)="A_",LEFT(D1298,5)="Total"),V1298-Q1298,"")</f>
        <v>4.1215469613234745E-2</v>
      </c>
      <c r="X1298">
        <v>0</v>
      </c>
    </row>
    <row r="1299" spans="1:24" x14ac:dyDescent="0.25">
      <c r="A1299" t="s">
        <v>1928</v>
      </c>
      <c r="B1299" t="s">
        <v>2030</v>
      </c>
      <c r="C1299" t="s">
        <v>2041</v>
      </c>
      <c r="D1299" t="s">
        <v>167</v>
      </c>
      <c r="E1299" t="s">
        <v>65</v>
      </c>
      <c r="F1299" t="s">
        <v>1</v>
      </c>
      <c r="G1299" t="s">
        <v>714</v>
      </c>
      <c r="H1299" t="s">
        <v>476</v>
      </c>
      <c r="I1299" t="s">
        <v>1</v>
      </c>
      <c r="J1299">
        <v>-1005.54</v>
      </c>
      <c r="K1299"/>
      <c r="L1299">
        <v>-719.29</v>
      </c>
      <c r="M1299">
        <v>-1450.5019337016574</v>
      </c>
      <c r="N1299">
        <v>-1200.6100000000001</v>
      </c>
      <c r="O1299">
        <v>-1446.4842857143001</v>
      </c>
      <c r="P1299">
        <v>0</v>
      </c>
      <c r="Q1299">
        <f t="shared" si="250"/>
        <v>-1446.4842857143001</v>
      </c>
      <c r="R1299">
        <v>0</v>
      </c>
      <c r="S1299">
        <f t="shared" si="251"/>
        <v>1446.4842857143001</v>
      </c>
      <c r="T1299"/>
      <c r="U1299">
        <f t="shared" si="252"/>
        <v>0</v>
      </c>
      <c r="V1299">
        <f t="shared" si="253"/>
        <v>0</v>
      </c>
      <c r="W1299">
        <f t="shared" si="254"/>
        <v>1446.4842857143001</v>
      </c>
      <c r="X1299">
        <v>0</v>
      </c>
    </row>
    <row r="1300" spans="1:24" x14ac:dyDescent="0.25">
      <c r="A1300" t="s">
        <v>1928</v>
      </c>
      <c r="B1300" t="s">
        <v>2030</v>
      </c>
      <c r="C1300" t="s">
        <v>2041</v>
      </c>
      <c r="D1300" t="s">
        <v>167</v>
      </c>
      <c r="E1300" t="s">
        <v>17</v>
      </c>
      <c r="F1300" t="s">
        <v>1</v>
      </c>
      <c r="G1300" t="s">
        <v>714</v>
      </c>
      <c r="H1300" t="s">
        <v>417</v>
      </c>
      <c r="I1300" t="s">
        <v>1</v>
      </c>
      <c r="J1300">
        <v>-10905.13</v>
      </c>
      <c r="K1300">
        <v>-8169.9999999999</v>
      </c>
      <c r="L1300">
        <v>-3637.23</v>
      </c>
      <c r="M1300">
        <v>-7334.745580110497</v>
      </c>
      <c r="N1300">
        <v>-10006.15</v>
      </c>
      <c r="O1300">
        <v>-7314.4295604396002</v>
      </c>
      <c r="P1300">
        <v>0</v>
      </c>
      <c r="Q1300">
        <f t="shared" si="250"/>
        <v>-7314.4295604396002</v>
      </c>
      <c r="R1300">
        <v>-7314.4295604396002</v>
      </c>
      <c r="S1300">
        <f t="shared" si="251"/>
        <v>0</v>
      </c>
      <c r="T1300"/>
      <c r="U1300">
        <f t="shared" si="252"/>
        <v>0</v>
      </c>
      <c r="V1300">
        <f t="shared" si="253"/>
        <v>-7314.4295604396002</v>
      </c>
      <c r="W1300">
        <f t="shared" si="254"/>
        <v>0</v>
      </c>
      <c r="X1300">
        <v>0</v>
      </c>
    </row>
    <row r="1301" spans="1:24" x14ac:dyDescent="0.25">
      <c r="A1301" t="s">
        <v>1928</v>
      </c>
      <c r="B1301" t="s">
        <v>2030</v>
      </c>
      <c r="C1301" t="s">
        <v>2041</v>
      </c>
      <c r="D1301" t="s">
        <v>167</v>
      </c>
      <c r="E1301" t="s">
        <v>82</v>
      </c>
      <c r="F1301" t="s">
        <v>1</v>
      </c>
      <c r="G1301" t="s">
        <v>714</v>
      </c>
      <c r="H1301" t="s">
        <v>507</v>
      </c>
      <c r="I1301" t="s">
        <v>1</v>
      </c>
      <c r="J1301">
        <v>3381.98</v>
      </c>
      <c r="K1301">
        <v>3697.5369266728999</v>
      </c>
      <c r="L1301">
        <v>1922.18</v>
      </c>
      <c r="M1301">
        <v>3876.2193370165746</v>
      </c>
      <c r="N1301">
        <v>3474.29</v>
      </c>
      <c r="O1301">
        <v>3865.4828571428998</v>
      </c>
      <c r="P1301">
        <v>11</v>
      </c>
      <c r="Q1301">
        <f t="shared" si="250"/>
        <v>3876.4828571428998</v>
      </c>
      <c r="R1301">
        <v>3876.2193370165746</v>
      </c>
      <c r="S1301">
        <f t="shared" si="251"/>
        <v>-0.26352012632514743</v>
      </c>
      <c r="T1301">
        <v>2.75E-2</v>
      </c>
      <c r="U1301">
        <f t="shared" si="252"/>
        <v>106.59603176795581</v>
      </c>
      <c r="V1301">
        <f t="shared" si="253"/>
        <v>3982.8153687845306</v>
      </c>
      <c r="W1301">
        <f t="shared" si="254"/>
        <v>106.33251164163084</v>
      </c>
      <c r="X1301">
        <v>0</v>
      </c>
    </row>
    <row r="1302" spans="1:24" x14ac:dyDescent="0.25">
      <c r="A1302" t="s">
        <v>1928</v>
      </c>
      <c r="B1302" t="s">
        <v>2030</v>
      </c>
      <c r="C1302" t="s">
        <v>2041</v>
      </c>
      <c r="D1302" t="s">
        <v>167</v>
      </c>
      <c r="E1302" t="s">
        <v>72</v>
      </c>
      <c r="F1302" t="s">
        <v>1</v>
      </c>
      <c r="G1302" t="s">
        <v>714</v>
      </c>
      <c r="H1302" t="s">
        <v>489</v>
      </c>
      <c r="I1302" t="s">
        <v>1</v>
      </c>
      <c r="J1302">
        <v>2859.26</v>
      </c>
      <c r="K1302">
        <v>2727.9978603856998</v>
      </c>
      <c r="L1302">
        <v>1362.76</v>
      </c>
      <c r="M1302">
        <v>2748.107182320442</v>
      </c>
      <c r="N1302">
        <v>2994.92</v>
      </c>
      <c r="O1302">
        <v>2740.4953846153999</v>
      </c>
      <c r="P1302">
        <v>8</v>
      </c>
      <c r="Q1302">
        <f t="shared" si="250"/>
        <v>2748.4953846153999</v>
      </c>
      <c r="R1302">
        <v>2748.107182320442</v>
      </c>
      <c r="S1302">
        <f t="shared" si="251"/>
        <v>-0.38820229495786407</v>
      </c>
      <c r="T1302">
        <v>2.2499999999999999E-2</v>
      </c>
      <c r="U1302">
        <f t="shared" si="252"/>
        <v>61.832411602209945</v>
      </c>
      <c r="V1302">
        <f t="shared" si="253"/>
        <v>2809.939593922652</v>
      </c>
      <c r="W1302">
        <f t="shared" si="254"/>
        <v>61.444209307252095</v>
      </c>
      <c r="X1302">
        <v>0</v>
      </c>
    </row>
    <row r="1303" spans="1:24" x14ac:dyDescent="0.25">
      <c r="A1303" t="s">
        <v>1928</v>
      </c>
      <c r="B1303" t="s">
        <v>2030</v>
      </c>
      <c r="C1303" t="s">
        <v>2041</v>
      </c>
      <c r="D1303" t="s">
        <v>167</v>
      </c>
      <c r="E1303" t="s">
        <v>168</v>
      </c>
      <c r="F1303" t="s">
        <v>1</v>
      </c>
      <c r="G1303" t="s">
        <v>714</v>
      </c>
      <c r="H1303" t="s">
        <v>715</v>
      </c>
      <c r="I1303" t="s">
        <v>1</v>
      </c>
      <c r="J1303">
        <v>1776.4</v>
      </c>
      <c r="K1303">
        <v>2748.3027983540001</v>
      </c>
      <c r="L1303">
        <v>0</v>
      </c>
      <c r="M1303">
        <v>0</v>
      </c>
      <c r="N1303">
        <v>0</v>
      </c>
      <c r="O1303"/>
      <c r="P1303">
        <v>0</v>
      </c>
      <c r="Q1303">
        <f t="shared" si="250"/>
        <v>0</v>
      </c>
      <c r="R1303">
        <v>0</v>
      </c>
      <c r="S1303">
        <f t="shared" si="251"/>
        <v>0</v>
      </c>
      <c r="T1303">
        <v>0.03</v>
      </c>
      <c r="U1303">
        <f t="shared" si="252"/>
        <v>0</v>
      </c>
      <c r="V1303">
        <f t="shared" si="253"/>
        <v>0</v>
      </c>
      <c r="W1303">
        <f t="shared" si="254"/>
        <v>0</v>
      </c>
      <c r="X1303">
        <v>0</v>
      </c>
    </row>
    <row r="1304" spans="1:24" x14ac:dyDescent="0.25">
      <c r="A1304" t="s">
        <v>1928</v>
      </c>
      <c r="B1304" t="s">
        <v>2030</v>
      </c>
      <c r="C1304" t="s">
        <v>2041</v>
      </c>
      <c r="D1304" t="s">
        <v>167</v>
      </c>
      <c r="E1304" t="s">
        <v>118</v>
      </c>
      <c r="F1304" t="s">
        <v>1</v>
      </c>
      <c r="G1304" t="s">
        <v>714</v>
      </c>
      <c r="H1304" t="s">
        <v>587</v>
      </c>
      <c r="I1304" t="s">
        <v>1</v>
      </c>
      <c r="J1304">
        <v>100.78</v>
      </c>
      <c r="K1304"/>
      <c r="L1304">
        <v>23.8</v>
      </c>
      <c r="M1304">
        <v>47.994475138121551</v>
      </c>
      <c r="N1304">
        <v>77.759999999999991</v>
      </c>
      <c r="O1304">
        <v>47.861538461499997</v>
      </c>
      <c r="P1304">
        <v>0</v>
      </c>
      <c r="Q1304">
        <f t="shared" si="250"/>
        <v>47.861538461499997</v>
      </c>
      <c r="R1304">
        <v>47.994475138121551</v>
      </c>
      <c r="S1304">
        <f t="shared" si="251"/>
        <v>0.13293667662155428</v>
      </c>
      <c r="T1304">
        <v>3.2500000000000001E-2</v>
      </c>
      <c r="U1304">
        <f t="shared" si="252"/>
        <v>1.5598204419889505</v>
      </c>
      <c r="V1304">
        <f t="shared" si="253"/>
        <v>49.554295580110505</v>
      </c>
      <c r="W1304">
        <f t="shared" si="254"/>
        <v>1.6927571186105084</v>
      </c>
      <c r="X1304">
        <v>0</v>
      </c>
    </row>
    <row r="1305" spans="1:24" x14ac:dyDescent="0.25">
      <c r="A1305" t="s">
        <v>1928</v>
      </c>
      <c r="B1305" t="s">
        <v>2030</v>
      </c>
      <c r="C1305" t="s">
        <v>2041</v>
      </c>
      <c r="D1305" t="s">
        <v>167</v>
      </c>
      <c r="E1305" t="s">
        <v>18</v>
      </c>
      <c r="F1305" t="s">
        <v>1</v>
      </c>
      <c r="G1305" t="s">
        <v>714</v>
      </c>
      <c r="H1305" t="s">
        <v>418</v>
      </c>
      <c r="I1305" t="s">
        <v>1</v>
      </c>
      <c r="J1305">
        <v>189392.43</v>
      </c>
      <c r="K1305">
        <v>197841.64838732599</v>
      </c>
      <c r="L1305">
        <v>87758.83</v>
      </c>
      <c r="M1305">
        <v>176972.22624309393</v>
      </c>
      <c r="N1305">
        <v>181920.12999999998</v>
      </c>
      <c r="O1305">
        <v>176482.042747253</v>
      </c>
      <c r="P1305">
        <v>490</v>
      </c>
      <c r="Q1305">
        <f t="shared" si="250"/>
        <v>176972.042747253</v>
      </c>
      <c r="R1305">
        <v>176972.22624309393</v>
      </c>
      <c r="S1305">
        <f t="shared" si="251"/>
        <v>0.18349584093084559</v>
      </c>
      <c r="T1305">
        <v>0.02</v>
      </c>
      <c r="U1305">
        <f t="shared" si="252"/>
        <v>3539.4445248618786</v>
      </c>
      <c r="V1305">
        <f t="shared" si="253"/>
        <v>180511.6707679558</v>
      </c>
      <c r="W1305">
        <f t="shared" si="254"/>
        <v>3539.628020702803</v>
      </c>
      <c r="X1305">
        <v>0</v>
      </c>
    </row>
    <row r="1306" spans="1:24" x14ac:dyDescent="0.25">
      <c r="A1306" t="s">
        <v>1928</v>
      </c>
      <c r="B1306" t="s">
        <v>2030</v>
      </c>
      <c r="C1306" t="s">
        <v>2041</v>
      </c>
      <c r="D1306" t="s">
        <v>167</v>
      </c>
      <c r="E1306" t="s">
        <v>57</v>
      </c>
      <c r="F1306" t="s">
        <v>1</v>
      </c>
      <c r="G1306" t="s">
        <v>714</v>
      </c>
      <c r="H1306" t="s">
        <v>462</v>
      </c>
      <c r="I1306" t="s">
        <v>1</v>
      </c>
      <c r="J1306">
        <v>7500.47</v>
      </c>
      <c r="K1306">
        <v>8020.8261563784999</v>
      </c>
      <c r="L1306">
        <v>4366.29</v>
      </c>
      <c r="M1306">
        <v>8804.9494475138126</v>
      </c>
      <c r="N1306">
        <v>7651</v>
      </c>
      <c r="O1306">
        <v>8780.5612087911995</v>
      </c>
      <c r="P1306">
        <v>24</v>
      </c>
      <c r="Q1306">
        <f t="shared" si="250"/>
        <v>8804.5612087911995</v>
      </c>
      <c r="R1306">
        <v>8804.9494475138126</v>
      </c>
      <c r="S1306">
        <f t="shared" si="251"/>
        <v>0.38823872261309589</v>
      </c>
      <c r="T1306">
        <v>0.04</v>
      </c>
      <c r="U1306">
        <f t="shared" si="252"/>
        <v>352.19797790055253</v>
      </c>
      <c r="V1306">
        <f t="shared" si="253"/>
        <v>9157.147425414365</v>
      </c>
      <c r="W1306">
        <f t="shared" si="254"/>
        <v>352.58621662316546</v>
      </c>
      <c r="X1306">
        <v>0</v>
      </c>
    </row>
    <row r="1307" spans="1:24" x14ac:dyDescent="0.25">
      <c r="A1307" t="s">
        <v>1928</v>
      </c>
      <c r="B1307" t="s">
        <v>2030</v>
      </c>
      <c r="C1307" t="s">
        <v>2041</v>
      </c>
      <c r="D1307" t="s">
        <v>167</v>
      </c>
      <c r="E1307" t="s">
        <v>19</v>
      </c>
      <c r="F1307" t="s">
        <v>1</v>
      </c>
      <c r="G1307" t="s">
        <v>714</v>
      </c>
      <c r="H1307" t="s">
        <v>419</v>
      </c>
      <c r="I1307" t="s">
        <v>1</v>
      </c>
      <c r="J1307"/>
      <c r="K1307"/>
      <c r="L1307">
        <v>1147.9000000000001</v>
      </c>
      <c r="M1307">
        <v>2314.825966850829</v>
      </c>
      <c r="N1307">
        <v>1147.9000000000001</v>
      </c>
      <c r="O1307">
        <v>2308.4142857143001</v>
      </c>
      <c r="P1307">
        <v>6</v>
      </c>
      <c r="Q1307">
        <f t="shared" si="250"/>
        <v>2314.4142857143001</v>
      </c>
      <c r="R1307">
        <v>2314.825966850829</v>
      </c>
      <c r="S1307">
        <f t="shared" si="251"/>
        <v>0.41168113652884131</v>
      </c>
      <c r="T1307">
        <v>0.02</v>
      </c>
      <c r="U1307">
        <f t="shared" si="252"/>
        <v>46.296519337016584</v>
      </c>
      <c r="V1307">
        <f t="shared" si="253"/>
        <v>2361.1224861878454</v>
      </c>
      <c r="W1307">
        <f t="shared" si="254"/>
        <v>46.708200473545276</v>
      </c>
      <c r="X1307">
        <v>0</v>
      </c>
    </row>
    <row r="1308" spans="1:24" x14ac:dyDescent="0.25">
      <c r="A1308" t="s">
        <v>1928</v>
      </c>
      <c r="B1308" t="s">
        <v>2030</v>
      </c>
      <c r="C1308" t="s">
        <v>2041</v>
      </c>
      <c r="D1308" t="s">
        <v>167</v>
      </c>
      <c r="E1308" t="s">
        <v>74</v>
      </c>
      <c r="F1308" t="s">
        <v>1</v>
      </c>
      <c r="G1308" t="s">
        <v>714</v>
      </c>
      <c r="H1308" t="s">
        <v>491</v>
      </c>
      <c r="I1308" t="s">
        <v>1</v>
      </c>
      <c r="J1308">
        <v>61389.41</v>
      </c>
      <c r="K1308">
        <v>64169.597412098003</v>
      </c>
      <c r="L1308">
        <v>28282.85</v>
      </c>
      <c r="M1308">
        <v>57034.476519337011</v>
      </c>
      <c r="N1308">
        <v>60047.969999999987</v>
      </c>
      <c r="O1308">
        <v>56876.500549450597</v>
      </c>
      <c r="P1308">
        <v>158</v>
      </c>
      <c r="Q1308">
        <f t="shared" si="250"/>
        <v>57034.500549450597</v>
      </c>
      <c r="R1308">
        <v>57034.476519337011</v>
      </c>
      <c r="S1308">
        <f t="shared" si="251"/>
        <v>-2.4030113585467916E-2</v>
      </c>
      <c r="T1308">
        <v>3.5000000000000003E-2</v>
      </c>
      <c r="U1308">
        <f t="shared" si="252"/>
        <v>1996.2066781767955</v>
      </c>
      <c r="V1308">
        <f t="shared" si="253"/>
        <v>59030.683197513805</v>
      </c>
      <c r="W1308">
        <f t="shared" si="254"/>
        <v>1996.182648063208</v>
      </c>
      <c r="X1308">
        <v>0</v>
      </c>
    </row>
    <row r="1309" spans="1:24" x14ac:dyDescent="0.25">
      <c r="A1309" t="s">
        <v>1928</v>
      </c>
      <c r="B1309" t="s">
        <v>2030</v>
      </c>
      <c r="C1309" t="s">
        <v>2041</v>
      </c>
      <c r="D1309" t="s">
        <v>167</v>
      </c>
      <c r="E1309" t="s">
        <v>85</v>
      </c>
      <c r="F1309" t="s">
        <v>1</v>
      </c>
      <c r="G1309" t="s">
        <v>714</v>
      </c>
      <c r="H1309" t="s">
        <v>510</v>
      </c>
      <c r="I1309" t="s">
        <v>1</v>
      </c>
      <c r="J1309">
        <v>580.07000000000005</v>
      </c>
      <c r="K1309"/>
      <c r="L1309">
        <v>0</v>
      </c>
      <c r="M1309">
        <v>0</v>
      </c>
      <c r="N1309">
        <v>54.94</v>
      </c>
      <c r="O1309"/>
      <c r="P1309">
        <v>0</v>
      </c>
      <c r="Q1309">
        <f t="shared" si="250"/>
        <v>0</v>
      </c>
      <c r="R1309">
        <v>0</v>
      </c>
      <c r="S1309">
        <f t="shared" si="251"/>
        <v>0</v>
      </c>
      <c r="T1309">
        <v>0.02</v>
      </c>
      <c r="U1309">
        <f t="shared" si="252"/>
        <v>0</v>
      </c>
      <c r="V1309">
        <f t="shared" si="253"/>
        <v>0</v>
      </c>
      <c r="W1309">
        <f t="shared" si="254"/>
        <v>0</v>
      </c>
      <c r="X1309">
        <v>0</v>
      </c>
    </row>
    <row r="1310" spans="1:24" x14ac:dyDescent="0.25">
      <c r="A1310" t="s">
        <v>1928</v>
      </c>
      <c r="B1310" t="s">
        <v>2030</v>
      </c>
      <c r="C1310" t="s">
        <v>2041</v>
      </c>
      <c r="D1310" t="s">
        <v>167</v>
      </c>
      <c r="E1310" t="s">
        <v>120</v>
      </c>
      <c r="F1310" t="s">
        <v>1</v>
      </c>
      <c r="G1310" t="s">
        <v>714</v>
      </c>
      <c r="H1310" t="s">
        <v>589</v>
      </c>
      <c r="I1310" t="s">
        <v>1</v>
      </c>
      <c r="J1310"/>
      <c r="K1310"/>
      <c r="L1310">
        <v>201.66</v>
      </c>
      <c r="M1310">
        <v>406.66243093922645</v>
      </c>
      <c r="N1310">
        <v>201.66</v>
      </c>
      <c r="O1310">
        <v>405.53604395600001</v>
      </c>
      <c r="P1310">
        <v>1</v>
      </c>
      <c r="Q1310">
        <f t="shared" si="250"/>
        <v>406.53604395600001</v>
      </c>
      <c r="R1310">
        <v>406.66243093922645</v>
      </c>
      <c r="S1310">
        <f t="shared" si="251"/>
        <v>0.12638698322643904</v>
      </c>
      <c r="T1310">
        <v>3.5000000000000003E-2</v>
      </c>
      <c r="U1310">
        <f t="shared" si="252"/>
        <v>14.233185082872927</v>
      </c>
      <c r="V1310">
        <f t="shared" si="253"/>
        <v>420.89561602209938</v>
      </c>
      <c r="W1310">
        <f t="shared" si="254"/>
        <v>14.359572066099361</v>
      </c>
      <c r="X1310">
        <v>0</v>
      </c>
    </row>
    <row r="1311" spans="1:24" x14ac:dyDescent="0.25">
      <c r="A1311" t="s">
        <v>1928</v>
      </c>
      <c r="B1311" t="s">
        <v>2030</v>
      </c>
      <c r="C1311" t="s">
        <v>2041</v>
      </c>
      <c r="D1311" t="s">
        <v>167</v>
      </c>
      <c r="E1311" t="s">
        <v>20</v>
      </c>
      <c r="F1311" t="s">
        <v>1</v>
      </c>
      <c r="G1311" t="s">
        <v>714</v>
      </c>
      <c r="H1311" t="s">
        <v>420</v>
      </c>
      <c r="I1311" t="s">
        <v>1</v>
      </c>
      <c r="J1311">
        <v>38260.300000000003</v>
      </c>
      <c r="K1311">
        <v>36226.409253880898</v>
      </c>
      <c r="L1311">
        <v>21911.8</v>
      </c>
      <c r="M1311">
        <v>44186.779005524862</v>
      </c>
      <c r="N1311">
        <v>41207.43</v>
      </c>
      <c r="O1311">
        <v>44064.389010988998</v>
      </c>
      <c r="P1311">
        <v>122</v>
      </c>
      <c r="Q1311">
        <f t="shared" si="250"/>
        <v>44186.389010988998</v>
      </c>
      <c r="R1311">
        <v>44186.779005524862</v>
      </c>
      <c r="S1311">
        <f t="shared" si="251"/>
        <v>0.38999453586438904</v>
      </c>
      <c r="T1311">
        <v>0.04</v>
      </c>
      <c r="U1311">
        <f t="shared" si="252"/>
        <v>1767.4711602209945</v>
      </c>
      <c r="V1311">
        <f t="shared" si="253"/>
        <v>45954.250165745856</v>
      </c>
      <c r="W1311">
        <f t="shared" si="254"/>
        <v>1767.861154756858</v>
      </c>
      <c r="X1311">
        <v>0</v>
      </c>
    </row>
    <row r="1312" spans="1:24" x14ac:dyDescent="0.25">
      <c r="A1312" t="s">
        <v>1928</v>
      </c>
      <c r="B1312" t="s">
        <v>2030</v>
      </c>
      <c r="C1312" t="s">
        <v>2041</v>
      </c>
      <c r="D1312" t="s">
        <v>167</v>
      </c>
      <c r="E1312" t="s">
        <v>21</v>
      </c>
      <c r="F1312" t="s">
        <v>1</v>
      </c>
      <c r="G1312" t="s">
        <v>714</v>
      </c>
      <c r="H1312" t="s">
        <v>421</v>
      </c>
      <c r="I1312" t="s">
        <v>1</v>
      </c>
      <c r="J1312">
        <v>4167.22</v>
      </c>
      <c r="K1312">
        <v>4231.1899999998004</v>
      </c>
      <c r="L1312">
        <v>1856.92</v>
      </c>
      <c r="M1312">
        <v>3744.6176795580113</v>
      </c>
      <c r="N1312">
        <v>3873.8599999999997</v>
      </c>
      <c r="O1312">
        <v>3744.617679558</v>
      </c>
      <c r="P1312">
        <v>0</v>
      </c>
      <c r="Q1312">
        <f t="shared" si="250"/>
        <v>3744.617679558</v>
      </c>
      <c r="R1312">
        <v>3744.6176795580113</v>
      </c>
      <c r="S1312">
        <f t="shared" si="251"/>
        <v>1.1368683772161603E-11</v>
      </c>
      <c r="T1312">
        <v>0.03</v>
      </c>
      <c r="U1312">
        <f t="shared" si="252"/>
        <v>112.33853038674033</v>
      </c>
      <c r="V1312">
        <f t="shared" si="253"/>
        <v>3856.9562099447517</v>
      </c>
      <c r="W1312">
        <f t="shared" si="254"/>
        <v>112.3385303867517</v>
      </c>
      <c r="X1312">
        <v>0</v>
      </c>
    </row>
    <row r="1313" spans="1:24" x14ac:dyDescent="0.25">
      <c r="A1313" t="s">
        <v>1928</v>
      </c>
      <c r="B1313" t="s">
        <v>2030</v>
      </c>
      <c r="C1313" t="s">
        <v>2041</v>
      </c>
      <c r="D1313" t="s">
        <v>167</v>
      </c>
      <c r="E1313" t="s">
        <v>22</v>
      </c>
      <c r="F1313" t="s">
        <v>1</v>
      </c>
      <c r="G1313" t="s">
        <v>714</v>
      </c>
      <c r="H1313" t="s">
        <v>422</v>
      </c>
      <c r="I1313" t="s">
        <v>1</v>
      </c>
      <c r="J1313">
        <v>63.53</v>
      </c>
      <c r="K1313"/>
      <c r="L1313">
        <v>0</v>
      </c>
      <c r="M1313">
        <v>0</v>
      </c>
      <c r="N1313">
        <v>63.53</v>
      </c>
      <c r="O1313"/>
      <c r="P1313">
        <v>0</v>
      </c>
      <c r="Q1313">
        <f t="shared" si="250"/>
        <v>0</v>
      </c>
      <c r="R1313">
        <v>0</v>
      </c>
      <c r="S1313">
        <f t="shared" si="251"/>
        <v>0</v>
      </c>
      <c r="T1313">
        <v>3.5000000000000003E-2</v>
      </c>
      <c r="U1313">
        <f t="shared" si="252"/>
        <v>0</v>
      </c>
      <c r="V1313">
        <f t="shared" si="253"/>
        <v>0</v>
      </c>
      <c r="W1313">
        <f t="shared" si="254"/>
        <v>0</v>
      </c>
      <c r="X1313">
        <v>0</v>
      </c>
    </row>
    <row r="1314" spans="1:24" x14ac:dyDescent="0.25">
      <c r="A1314" t="s">
        <v>1928</v>
      </c>
      <c r="B1314" t="s">
        <v>2030</v>
      </c>
      <c r="C1314" t="s">
        <v>2041</v>
      </c>
      <c r="D1314" t="s">
        <v>167</v>
      </c>
      <c r="E1314" t="s">
        <v>23</v>
      </c>
      <c r="F1314" t="s">
        <v>1</v>
      </c>
      <c r="G1314" t="s">
        <v>714</v>
      </c>
      <c r="H1314" t="s">
        <v>423</v>
      </c>
      <c r="I1314" t="s">
        <v>1</v>
      </c>
      <c r="J1314">
        <v>7172.23</v>
      </c>
      <c r="K1314">
        <v>14189.8500000001</v>
      </c>
      <c r="L1314">
        <v>264.75</v>
      </c>
      <c r="M1314">
        <v>533.88812154696132</v>
      </c>
      <c r="N1314">
        <v>582.62</v>
      </c>
      <c r="O1314">
        <v>533.88812154699997</v>
      </c>
      <c r="P1314">
        <v>0</v>
      </c>
      <c r="Q1314">
        <f t="shared" si="250"/>
        <v>533.88812154699997</v>
      </c>
      <c r="R1314">
        <v>533.88812154696132</v>
      </c>
      <c r="S1314">
        <f t="shared" si="251"/>
        <v>-3.865352482534945E-11</v>
      </c>
      <c r="T1314">
        <v>3.5000000000000003E-2</v>
      </c>
      <c r="U1314">
        <f t="shared" si="252"/>
        <v>18.686084254143648</v>
      </c>
      <c r="V1314">
        <f t="shared" si="253"/>
        <v>552.57420580110499</v>
      </c>
      <c r="W1314">
        <f t="shared" si="254"/>
        <v>18.686084254105026</v>
      </c>
      <c r="X1314">
        <v>0</v>
      </c>
    </row>
    <row r="1315" spans="1:24" x14ac:dyDescent="0.25">
      <c r="A1315" t="s">
        <v>1928</v>
      </c>
      <c r="B1315" t="s">
        <v>2030</v>
      </c>
      <c r="C1315" t="s">
        <v>2041</v>
      </c>
      <c r="D1315" t="s">
        <v>167</v>
      </c>
      <c r="E1315" t="s">
        <v>26</v>
      </c>
      <c r="F1315" t="s">
        <v>1</v>
      </c>
      <c r="G1315" t="s">
        <v>714</v>
      </c>
      <c r="H1315" t="s">
        <v>426</v>
      </c>
      <c r="I1315" t="s">
        <v>1</v>
      </c>
      <c r="J1315"/>
      <c r="K1315">
        <v>755.55354358679995</v>
      </c>
      <c r="L1315">
        <v>0</v>
      </c>
      <c r="M1315">
        <v>0</v>
      </c>
      <c r="N1315">
        <v>0</v>
      </c>
      <c r="O1315"/>
      <c r="P1315">
        <v>0</v>
      </c>
      <c r="Q1315">
        <f t="shared" si="250"/>
        <v>0</v>
      </c>
      <c r="R1315">
        <v>0</v>
      </c>
      <c r="S1315">
        <f t="shared" si="251"/>
        <v>0</v>
      </c>
      <c r="T1315"/>
      <c r="U1315">
        <f t="shared" si="252"/>
        <v>0</v>
      </c>
      <c r="V1315">
        <f t="shared" si="253"/>
        <v>0</v>
      </c>
      <c r="W1315">
        <f t="shared" si="254"/>
        <v>0</v>
      </c>
      <c r="X1315">
        <v>0</v>
      </c>
    </row>
    <row r="1316" spans="1:24" x14ac:dyDescent="0.25">
      <c r="A1316" t="s">
        <v>1928</v>
      </c>
      <c r="B1316" t="s">
        <v>2030</v>
      </c>
      <c r="C1316" t="s">
        <v>2041</v>
      </c>
      <c r="D1316" t="s">
        <v>167</v>
      </c>
      <c r="E1316" t="s">
        <v>28</v>
      </c>
      <c r="F1316" t="s">
        <v>1</v>
      </c>
      <c r="G1316" t="s">
        <v>714</v>
      </c>
      <c r="H1316" t="s">
        <v>428</v>
      </c>
      <c r="I1316" t="s">
        <v>1</v>
      </c>
      <c r="J1316">
        <v>246.68</v>
      </c>
      <c r="K1316">
        <v>110.00000000039999</v>
      </c>
      <c r="L1316">
        <v>150.5</v>
      </c>
      <c r="M1316">
        <v>303.49447513812157</v>
      </c>
      <c r="N1316">
        <v>342.5</v>
      </c>
      <c r="O1316">
        <v>301</v>
      </c>
      <c r="P1316">
        <v>2</v>
      </c>
      <c r="Q1316">
        <f t="shared" si="250"/>
        <v>303</v>
      </c>
      <c r="R1316">
        <v>303.49447513812157</v>
      </c>
      <c r="S1316">
        <f t="shared" si="251"/>
        <v>0.4944751381215724</v>
      </c>
      <c r="T1316"/>
      <c r="U1316">
        <f t="shared" si="252"/>
        <v>0</v>
      </c>
      <c r="V1316">
        <f t="shared" si="253"/>
        <v>303.49447513812157</v>
      </c>
      <c r="W1316">
        <f t="shared" si="254"/>
        <v>0.4944751381215724</v>
      </c>
      <c r="X1316">
        <v>0</v>
      </c>
    </row>
    <row r="1317" spans="1:24" x14ac:dyDescent="0.25">
      <c r="A1317" t="s">
        <v>1928</v>
      </c>
      <c r="B1317" t="s">
        <v>2030</v>
      </c>
      <c r="C1317" t="s">
        <v>2041</v>
      </c>
      <c r="D1317" t="s">
        <v>167</v>
      </c>
      <c r="E1317" t="s">
        <v>29</v>
      </c>
      <c r="F1317" t="s">
        <v>1</v>
      </c>
      <c r="G1317" t="s">
        <v>714</v>
      </c>
      <c r="H1317" t="s">
        <v>429</v>
      </c>
      <c r="I1317" t="s">
        <v>1</v>
      </c>
      <c r="J1317">
        <v>110</v>
      </c>
      <c r="K1317"/>
      <c r="L1317">
        <v>0</v>
      </c>
      <c r="M1317">
        <v>0</v>
      </c>
      <c r="N1317">
        <v>110</v>
      </c>
      <c r="O1317"/>
      <c r="P1317">
        <v>0</v>
      </c>
      <c r="Q1317">
        <f t="shared" si="250"/>
        <v>0</v>
      </c>
      <c r="R1317">
        <v>0</v>
      </c>
      <c r="S1317">
        <f t="shared" si="251"/>
        <v>0</v>
      </c>
      <c r="T1317"/>
      <c r="U1317">
        <f t="shared" si="252"/>
        <v>0</v>
      </c>
      <c r="V1317">
        <f t="shared" si="253"/>
        <v>0</v>
      </c>
      <c r="W1317">
        <f t="shared" si="254"/>
        <v>0</v>
      </c>
      <c r="X1317">
        <v>0</v>
      </c>
    </row>
    <row r="1318" spans="1:24" x14ac:dyDescent="0.25">
      <c r="A1318" t="s">
        <v>1928</v>
      </c>
      <c r="B1318" t="s">
        <v>2030</v>
      </c>
      <c r="C1318" t="s">
        <v>2041</v>
      </c>
      <c r="D1318" t="s">
        <v>167</v>
      </c>
      <c r="E1318" t="s">
        <v>35</v>
      </c>
      <c r="F1318" t="s">
        <v>1</v>
      </c>
      <c r="G1318" t="s">
        <v>714</v>
      </c>
      <c r="H1318" t="s">
        <v>435</v>
      </c>
      <c r="I1318" t="s">
        <v>1</v>
      </c>
      <c r="J1318"/>
      <c r="K1318">
        <v>20.0000000004</v>
      </c>
      <c r="L1318">
        <v>0</v>
      </c>
      <c r="M1318">
        <v>0</v>
      </c>
      <c r="N1318">
        <v>0</v>
      </c>
      <c r="O1318"/>
      <c r="P1318">
        <v>0</v>
      </c>
      <c r="Q1318">
        <f t="shared" si="250"/>
        <v>0</v>
      </c>
      <c r="R1318">
        <v>0</v>
      </c>
      <c r="S1318">
        <f t="shared" si="251"/>
        <v>0</v>
      </c>
      <c r="T1318"/>
      <c r="U1318">
        <f t="shared" si="252"/>
        <v>0</v>
      </c>
      <c r="V1318">
        <f t="shared" si="253"/>
        <v>0</v>
      </c>
      <c r="W1318">
        <f t="shared" si="254"/>
        <v>0</v>
      </c>
      <c r="X1318">
        <v>0</v>
      </c>
    </row>
    <row r="1319" spans="1:24" x14ac:dyDescent="0.25">
      <c r="A1319" t="s">
        <v>1928</v>
      </c>
      <c r="B1319" t="s">
        <v>2030</v>
      </c>
      <c r="C1319" t="s">
        <v>2041</v>
      </c>
      <c r="D1319" t="s">
        <v>167</v>
      </c>
      <c r="E1319" t="s">
        <v>37</v>
      </c>
      <c r="F1319" t="s">
        <v>1</v>
      </c>
      <c r="G1319" t="s">
        <v>714</v>
      </c>
      <c r="H1319" t="s">
        <v>437</v>
      </c>
      <c r="I1319" t="s">
        <v>1</v>
      </c>
      <c r="J1319">
        <v>473.44</v>
      </c>
      <c r="K1319"/>
      <c r="L1319">
        <v>0</v>
      </c>
      <c r="M1319">
        <v>0</v>
      </c>
      <c r="N1319">
        <v>297.82</v>
      </c>
      <c r="O1319"/>
      <c r="P1319">
        <v>0</v>
      </c>
      <c r="Q1319">
        <f t="shared" si="250"/>
        <v>0</v>
      </c>
      <c r="R1319">
        <v>0</v>
      </c>
      <c r="S1319">
        <f t="shared" si="251"/>
        <v>0</v>
      </c>
      <c r="T1319"/>
      <c r="U1319">
        <f t="shared" si="252"/>
        <v>0</v>
      </c>
      <c r="V1319">
        <f t="shared" si="253"/>
        <v>0</v>
      </c>
      <c r="W1319">
        <f t="shared" si="254"/>
        <v>0</v>
      </c>
      <c r="X1319">
        <v>0</v>
      </c>
    </row>
    <row r="1320" spans="1:24" x14ac:dyDescent="0.25">
      <c r="A1320" t="s">
        <v>1928</v>
      </c>
      <c r="B1320" t="s">
        <v>2030</v>
      </c>
      <c r="C1320" t="s">
        <v>2041</v>
      </c>
      <c r="D1320" t="s">
        <v>167</v>
      </c>
      <c r="E1320" t="s">
        <v>121</v>
      </c>
      <c r="F1320" t="s">
        <v>1</v>
      </c>
      <c r="G1320" t="s">
        <v>714</v>
      </c>
      <c r="H1320" t="s">
        <v>590</v>
      </c>
      <c r="I1320" t="s">
        <v>1</v>
      </c>
      <c r="J1320"/>
      <c r="K1320">
        <v>73456.733411972396</v>
      </c>
      <c r="L1320">
        <v>0</v>
      </c>
      <c r="M1320">
        <v>0</v>
      </c>
      <c r="N1320">
        <v>0</v>
      </c>
      <c r="O1320"/>
      <c r="P1320">
        <v>0</v>
      </c>
      <c r="Q1320">
        <f t="shared" si="250"/>
        <v>0</v>
      </c>
      <c r="R1320">
        <v>0</v>
      </c>
      <c r="S1320">
        <f t="shared" si="251"/>
        <v>0</v>
      </c>
      <c r="T1320"/>
      <c r="U1320">
        <f t="shared" si="252"/>
        <v>0</v>
      </c>
      <c r="V1320">
        <f t="shared" si="253"/>
        <v>0</v>
      </c>
      <c r="W1320">
        <f t="shared" si="254"/>
        <v>0</v>
      </c>
      <c r="X1320">
        <v>0</v>
      </c>
    </row>
    <row r="1321" spans="1:24" x14ac:dyDescent="0.25">
      <c r="A1321" t="s">
        <v>1928</v>
      </c>
      <c r="B1321" t="s">
        <v>2030</v>
      </c>
      <c r="C1321" t="s">
        <v>2041</v>
      </c>
      <c r="D1321" t="s">
        <v>167</v>
      </c>
      <c r="E1321" t="s">
        <v>41</v>
      </c>
      <c r="F1321" t="s">
        <v>1</v>
      </c>
      <c r="G1321" t="s">
        <v>714</v>
      </c>
      <c r="H1321" t="s">
        <v>441</v>
      </c>
      <c r="I1321" t="s">
        <v>1</v>
      </c>
      <c r="J1321">
        <v>384.33</v>
      </c>
      <c r="K1321">
        <v>436.74</v>
      </c>
      <c r="L1321">
        <v>0</v>
      </c>
      <c r="M1321">
        <v>0</v>
      </c>
      <c r="N1321">
        <v>86.9</v>
      </c>
      <c r="O1321"/>
      <c r="P1321">
        <v>0</v>
      </c>
      <c r="Q1321">
        <f t="shared" si="250"/>
        <v>0</v>
      </c>
      <c r="R1321">
        <v>0</v>
      </c>
      <c r="S1321">
        <f t="shared" si="251"/>
        <v>0</v>
      </c>
      <c r="T1321">
        <v>0.03</v>
      </c>
      <c r="U1321">
        <f t="shared" si="252"/>
        <v>0</v>
      </c>
      <c r="V1321">
        <f t="shared" si="253"/>
        <v>0</v>
      </c>
      <c r="W1321">
        <f t="shared" si="254"/>
        <v>0</v>
      </c>
      <c r="X1321">
        <v>0</v>
      </c>
    </row>
    <row r="1322" spans="1:24" x14ac:dyDescent="0.25">
      <c r="A1322" t="s">
        <v>1928</v>
      </c>
      <c r="B1322" t="s">
        <v>2030</v>
      </c>
      <c r="C1322" t="s">
        <v>2041</v>
      </c>
      <c r="D1322" t="s">
        <v>167</v>
      </c>
      <c r="E1322" t="s">
        <v>43</v>
      </c>
      <c r="F1322" t="s">
        <v>1</v>
      </c>
      <c r="G1322" t="s">
        <v>714</v>
      </c>
      <c r="H1322" t="s">
        <v>443</v>
      </c>
      <c r="I1322" t="s">
        <v>1</v>
      </c>
      <c r="J1322">
        <v>340</v>
      </c>
      <c r="K1322"/>
      <c r="L1322">
        <v>230.53</v>
      </c>
      <c r="M1322">
        <v>464.88093922651933</v>
      </c>
      <c r="N1322">
        <v>230.53</v>
      </c>
      <c r="O1322">
        <v>461.06</v>
      </c>
      <c r="P1322">
        <v>-230.53</v>
      </c>
      <c r="Q1322">
        <f t="shared" si="250"/>
        <v>230.53</v>
      </c>
      <c r="R1322">
        <v>231</v>
      </c>
      <c r="S1322">
        <f t="shared" si="251"/>
        <v>0.46999999999999886</v>
      </c>
      <c r="T1322">
        <v>0.03</v>
      </c>
      <c r="U1322">
        <f t="shared" si="252"/>
        <v>6.93</v>
      </c>
      <c r="V1322">
        <f t="shared" si="253"/>
        <v>237.93</v>
      </c>
      <c r="W1322">
        <f t="shared" si="254"/>
        <v>7.4000000000000057</v>
      </c>
      <c r="X1322">
        <v>0</v>
      </c>
    </row>
    <row r="1323" spans="1:24" x14ac:dyDescent="0.25">
      <c r="A1323" t="s">
        <v>1928</v>
      </c>
      <c r="B1323" t="s">
        <v>2030</v>
      </c>
      <c r="C1323" t="s">
        <v>2041</v>
      </c>
      <c r="D1323" t="s">
        <v>167</v>
      </c>
      <c r="E1323" t="s">
        <v>46</v>
      </c>
      <c r="F1323" t="s">
        <v>1</v>
      </c>
      <c r="G1323" t="s">
        <v>714</v>
      </c>
      <c r="H1323" t="s">
        <v>446</v>
      </c>
      <c r="I1323" t="s">
        <v>1</v>
      </c>
      <c r="J1323">
        <v>499.3</v>
      </c>
      <c r="K1323"/>
      <c r="L1323">
        <v>0</v>
      </c>
      <c r="M1323">
        <v>0</v>
      </c>
      <c r="N1323">
        <v>0</v>
      </c>
      <c r="O1323"/>
      <c r="P1323">
        <v>0</v>
      </c>
      <c r="Q1323">
        <f t="shared" si="250"/>
        <v>0</v>
      </c>
      <c r="R1323">
        <v>0</v>
      </c>
      <c r="S1323">
        <f t="shared" si="251"/>
        <v>0</v>
      </c>
      <c r="T1323">
        <v>0.03</v>
      </c>
      <c r="U1323">
        <f t="shared" si="252"/>
        <v>0</v>
      </c>
      <c r="V1323">
        <f t="shared" si="253"/>
        <v>0</v>
      </c>
      <c r="W1323">
        <f t="shared" si="254"/>
        <v>0</v>
      </c>
      <c r="X1323">
        <v>0</v>
      </c>
    </row>
    <row r="1324" spans="1:24" x14ac:dyDescent="0.25">
      <c r="A1324" t="s">
        <v>1928</v>
      </c>
      <c r="B1324" t="s">
        <v>2030</v>
      </c>
      <c r="C1324" t="s">
        <v>2041</v>
      </c>
      <c r="D1324" t="s">
        <v>167</v>
      </c>
      <c r="E1324" t="s">
        <v>47</v>
      </c>
      <c r="F1324" t="s">
        <v>1</v>
      </c>
      <c r="G1324" t="s">
        <v>714</v>
      </c>
      <c r="H1324" t="s">
        <v>447</v>
      </c>
      <c r="I1324" t="s">
        <v>1</v>
      </c>
      <c r="J1324"/>
      <c r="K1324">
        <v>150</v>
      </c>
      <c r="L1324">
        <v>0</v>
      </c>
      <c r="M1324">
        <v>0</v>
      </c>
      <c r="N1324">
        <v>0</v>
      </c>
      <c r="O1324"/>
      <c r="P1324">
        <v>0</v>
      </c>
      <c r="Q1324">
        <f t="shared" si="250"/>
        <v>0</v>
      </c>
      <c r="R1324">
        <v>0</v>
      </c>
      <c r="S1324">
        <f t="shared" si="251"/>
        <v>0</v>
      </c>
      <c r="T1324">
        <v>0.03</v>
      </c>
      <c r="U1324">
        <f t="shared" si="252"/>
        <v>0</v>
      </c>
      <c r="V1324">
        <f t="shared" si="253"/>
        <v>0</v>
      </c>
      <c r="W1324">
        <f t="shared" si="254"/>
        <v>0</v>
      </c>
      <c r="X1324">
        <v>0</v>
      </c>
    </row>
    <row r="1325" spans="1:24" x14ac:dyDescent="0.25">
      <c r="A1325" t="s">
        <v>1928</v>
      </c>
      <c r="B1325" t="s">
        <v>2030</v>
      </c>
      <c r="C1325" t="s">
        <v>2041</v>
      </c>
      <c r="D1325" t="s">
        <v>167</v>
      </c>
      <c r="E1325" t="s">
        <v>50</v>
      </c>
      <c r="F1325" t="s">
        <v>1</v>
      </c>
      <c r="G1325" t="s">
        <v>714</v>
      </c>
      <c r="H1325" t="s">
        <v>450</v>
      </c>
      <c r="I1325" t="s">
        <v>1</v>
      </c>
      <c r="J1325">
        <v>360.41</v>
      </c>
      <c r="K1325">
        <v>339.99999999969998</v>
      </c>
      <c r="L1325">
        <v>196.59</v>
      </c>
      <c r="M1325">
        <v>396.43839779005532</v>
      </c>
      <c r="N1325">
        <v>393.16999999999996</v>
      </c>
      <c r="O1325">
        <v>396.4383977901</v>
      </c>
      <c r="P1325">
        <v>0</v>
      </c>
      <c r="Q1325">
        <f t="shared" si="250"/>
        <v>396.4383977901</v>
      </c>
      <c r="R1325">
        <v>396.43839779005532</v>
      </c>
      <c r="S1325">
        <f t="shared" si="251"/>
        <v>-4.46789272245951E-11</v>
      </c>
      <c r="T1325"/>
      <c r="U1325">
        <f t="shared" si="252"/>
        <v>0</v>
      </c>
      <c r="V1325">
        <f t="shared" si="253"/>
        <v>396.43839779005532</v>
      </c>
      <c r="W1325">
        <f t="shared" si="254"/>
        <v>-4.46789272245951E-11</v>
      </c>
      <c r="X1325">
        <v>0</v>
      </c>
    </row>
    <row r="1326" spans="1:24" x14ac:dyDescent="0.25">
      <c r="A1326" t="s">
        <v>1928</v>
      </c>
      <c r="B1326" t="s">
        <v>2030</v>
      </c>
      <c r="C1326" t="s">
        <v>2041</v>
      </c>
      <c r="D1326" t="s">
        <v>167</v>
      </c>
      <c r="E1326" t="s">
        <v>51</v>
      </c>
      <c r="F1326" t="s">
        <v>51</v>
      </c>
      <c r="G1326" t="s">
        <v>716</v>
      </c>
      <c r="H1326"/>
      <c r="I1326"/>
      <c r="J1326">
        <v>308244.94999999995</v>
      </c>
      <c r="K1326">
        <v>401828.22575065616</v>
      </c>
      <c r="L1326">
        <v>145745.65999999997</v>
      </c>
      <c r="M1326">
        <v>293906.99392265198</v>
      </c>
      <c r="N1326">
        <v>294463.44000000006</v>
      </c>
      <c r="O1326">
        <v>293097.01397911506</v>
      </c>
      <c r="P1326">
        <f>SUMIF($F$1297:$F$1325,"&lt;&gt;EV_*",$P$1297:$P$1325)</f>
        <v>598.47</v>
      </c>
      <c r="Q1326">
        <f>SUMIF($F$1297:$F$1325,"&lt;&gt;EV_*",$Q$1297:$Q$1325)</f>
        <v>293695.48397911509</v>
      </c>
      <c r="R1326">
        <f>SUMIF($F$1297:$F$1325,"&lt;&gt;EV_*",$R$1297:$R$1325)</f>
        <v>295143.93093679799</v>
      </c>
      <c r="S1326">
        <f>SUMIF($F$1297:$F$1325,"&lt;&gt;EV_*",$S$1297:$S$1325)</f>
        <v>1448.4469576828797</v>
      </c>
      <c r="T1326">
        <v>0</v>
      </c>
      <c r="U1326">
        <f>SUMIF($F$1297:$F$1325,"&lt;&gt;EV_*",$U$1297:$U$1325)</f>
        <v>8023.7929240331496</v>
      </c>
      <c r="V1326">
        <f>SUMIF($F$1297:$F$1325,"&lt;&gt;EV_*",$V$1297:$V$1325)</f>
        <v>303167.72386083117</v>
      </c>
      <c r="W1326">
        <f>SUMIF($F$1297:$F$1325,"&lt;&gt;EV_*",$W$1297:$W$1325)</f>
        <v>9472.2398817160174</v>
      </c>
      <c r="X1326">
        <f>SUMIF($F$1297:$F$1325,"&lt;&gt;EV_*",$X$1297:$X$1325)</f>
        <v>0</v>
      </c>
    </row>
    <row r="1327" spans="1:24" x14ac:dyDescent="0.25">
      <c r="A1327" t="s">
        <v>2025</v>
      </c>
      <c r="B1327" t="s">
        <v>2026</v>
      </c>
      <c r="C1327" t="s">
        <v>2042</v>
      </c>
      <c r="D1327" t="s">
        <v>169</v>
      </c>
      <c r="E1327" t="s">
        <v>5</v>
      </c>
      <c r="F1327" t="s">
        <v>5</v>
      </c>
      <c r="G1327" t="s">
        <v>717</v>
      </c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</row>
    <row r="1328" spans="1:24" x14ac:dyDescent="0.25">
      <c r="A1328" t="s">
        <v>2025</v>
      </c>
      <c r="B1328" t="s">
        <v>2026</v>
      </c>
      <c r="C1328" t="s">
        <v>2042</v>
      </c>
      <c r="D1328" t="s">
        <v>169</v>
      </c>
      <c r="E1328" t="s">
        <v>11</v>
      </c>
      <c r="F1328" t="s">
        <v>1</v>
      </c>
      <c r="G1328" t="s">
        <v>718</v>
      </c>
      <c r="H1328" t="s">
        <v>411</v>
      </c>
      <c r="I1328" t="s">
        <v>1</v>
      </c>
      <c r="J1328">
        <v>5144.57</v>
      </c>
      <c r="K1328">
        <v>5045.49</v>
      </c>
      <c r="L1328">
        <v>2346.91</v>
      </c>
      <c r="M1328">
        <v>4732.719060773481</v>
      </c>
      <c r="N1328">
        <v>4968.71</v>
      </c>
      <c r="O1328">
        <v>4693.82</v>
      </c>
      <c r="P1328">
        <v>0</v>
      </c>
      <c r="Q1328">
        <f t="shared" ref="Q1328:Q1335" si="255">O1328+P1328</f>
        <v>4693.82</v>
      </c>
      <c r="R1328">
        <v>4693.82</v>
      </c>
      <c r="S1328">
        <f t="shared" ref="S1328:S1335" si="256">IF(OR(LEFT(E1328,2)="A_",LEFT(D1328,5)="Total"),R1328-Q1328,"")</f>
        <v>0</v>
      </c>
      <c r="T1328"/>
      <c r="U1328">
        <f t="shared" ref="U1328:U1335" si="257">IFERROR(R1328*T1328,R1328*0)</f>
        <v>0</v>
      </c>
      <c r="V1328">
        <f t="shared" ref="V1328:V1335" si="258">IF(OR(LEFT(E1328,2)="A_",LEFT(D1328,5)="Total"),R1328+U1328,"")</f>
        <v>4693.82</v>
      </c>
      <c r="W1328">
        <f t="shared" ref="W1328:W1335" si="259">IF(OR(LEFT(E1328,2)="A_",LEFT(D1328,5)="Total"),V1328-Q1328,"")</f>
        <v>0</v>
      </c>
      <c r="X1328" t="s">
        <v>1500</v>
      </c>
    </row>
    <row r="1329" spans="1:24" x14ac:dyDescent="0.25">
      <c r="A1329" t="s">
        <v>2025</v>
      </c>
      <c r="B1329" t="s">
        <v>2026</v>
      </c>
      <c r="C1329" t="s">
        <v>2042</v>
      </c>
      <c r="D1329" t="s">
        <v>169</v>
      </c>
      <c r="E1329" t="s">
        <v>18</v>
      </c>
      <c r="F1329" t="s">
        <v>1</v>
      </c>
      <c r="G1329" t="s">
        <v>718</v>
      </c>
      <c r="H1329" t="s">
        <v>418</v>
      </c>
      <c r="I1329" t="s">
        <v>1</v>
      </c>
      <c r="J1329">
        <v>166.5</v>
      </c>
      <c r="K1329"/>
      <c r="L1329">
        <v>0</v>
      </c>
      <c r="M1329">
        <v>0</v>
      </c>
      <c r="N1329">
        <v>166.5</v>
      </c>
      <c r="O1329"/>
      <c r="P1329">
        <v>0</v>
      </c>
      <c r="Q1329">
        <f t="shared" si="255"/>
        <v>0</v>
      </c>
      <c r="R1329">
        <v>0</v>
      </c>
      <c r="S1329">
        <f t="shared" si="256"/>
        <v>0</v>
      </c>
      <c r="T1329">
        <v>0.02</v>
      </c>
      <c r="U1329">
        <f t="shared" si="257"/>
        <v>0</v>
      </c>
      <c r="V1329">
        <f t="shared" si="258"/>
        <v>0</v>
      </c>
      <c r="W1329">
        <f t="shared" si="259"/>
        <v>0</v>
      </c>
      <c r="X1329">
        <v>0</v>
      </c>
    </row>
    <row r="1330" spans="1:24" x14ac:dyDescent="0.25">
      <c r="A1330" t="s">
        <v>2025</v>
      </c>
      <c r="B1330" t="s">
        <v>2026</v>
      </c>
      <c r="C1330" t="s">
        <v>2042</v>
      </c>
      <c r="D1330" t="s">
        <v>169</v>
      </c>
      <c r="E1330" t="s">
        <v>23</v>
      </c>
      <c r="F1330" t="s">
        <v>1</v>
      </c>
      <c r="G1330" t="s">
        <v>718</v>
      </c>
      <c r="H1330" t="s">
        <v>423</v>
      </c>
      <c r="I1330" t="s">
        <v>1</v>
      </c>
      <c r="J1330">
        <v>23.91</v>
      </c>
      <c r="K1330"/>
      <c r="L1330">
        <v>2619</v>
      </c>
      <c r="M1330">
        <v>5281.4088397790056</v>
      </c>
      <c r="N1330">
        <v>2642.91</v>
      </c>
      <c r="O1330">
        <v>5281.4088397790001</v>
      </c>
      <c r="P1330">
        <v>0</v>
      </c>
      <c r="Q1330">
        <f t="shared" si="255"/>
        <v>5281.4088397790001</v>
      </c>
      <c r="R1330">
        <v>5281.4088397790001</v>
      </c>
      <c r="S1330">
        <f t="shared" si="256"/>
        <v>0</v>
      </c>
      <c r="T1330">
        <v>3.5000000000000003E-2</v>
      </c>
      <c r="U1330">
        <f t="shared" si="257"/>
        <v>184.84930939226501</v>
      </c>
      <c r="V1330">
        <f t="shared" si="258"/>
        <v>5466.2581491712654</v>
      </c>
      <c r="W1330">
        <f t="shared" si="259"/>
        <v>184.84930939226524</v>
      </c>
      <c r="X1330" t="s">
        <v>1501</v>
      </c>
    </row>
    <row r="1331" spans="1:24" x14ac:dyDescent="0.25">
      <c r="A1331" t="s">
        <v>2025</v>
      </c>
      <c r="B1331" t="s">
        <v>2026</v>
      </c>
      <c r="C1331" t="s">
        <v>2042</v>
      </c>
      <c r="D1331" t="s">
        <v>169</v>
      </c>
      <c r="E1331" t="s">
        <v>25</v>
      </c>
      <c r="F1331" t="s">
        <v>1</v>
      </c>
      <c r="G1331" t="s">
        <v>718</v>
      </c>
      <c r="H1331" t="s">
        <v>425</v>
      </c>
      <c r="I1331" t="s">
        <v>1</v>
      </c>
      <c r="J1331">
        <v>142.62</v>
      </c>
      <c r="K1331"/>
      <c r="L1331">
        <v>0</v>
      </c>
      <c r="M1331">
        <v>0</v>
      </c>
      <c r="N1331">
        <v>142.62</v>
      </c>
      <c r="O1331"/>
      <c r="P1331">
        <v>0</v>
      </c>
      <c r="Q1331">
        <f t="shared" si="255"/>
        <v>0</v>
      </c>
      <c r="R1331">
        <v>0</v>
      </c>
      <c r="S1331">
        <f t="shared" si="256"/>
        <v>0</v>
      </c>
      <c r="T1331"/>
      <c r="U1331">
        <f t="shared" si="257"/>
        <v>0</v>
      </c>
      <c r="V1331">
        <f t="shared" si="258"/>
        <v>0</v>
      </c>
      <c r="W1331">
        <f t="shared" si="259"/>
        <v>0</v>
      </c>
      <c r="X1331">
        <v>0</v>
      </c>
    </row>
    <row r="1332" spans="1:24" x14ac:dyDescent="0.25">
      <c r="A1332" t="s">
        <v>2025</v>
      </c>
      <c r="B1332" t="s">
        <v>2026</v>
      </c>
      <c r="C1332" t="s">
        <v>2042</v>
      </c>
      <c r="D1332" t="s">
        <v>169</v>
      </c>
      <c r="E1332" t="s">
        <v>26</v>
      </c>
      <c r="F1332" t="s">
        <v>1</v>
      </c>
      <c r="G1332" t="s">
        <v>718</v>
      </c>
      <c r="H1332" t="s">
        <v>426</v>
      </c>
      <c r="I1332" t="s">
        <v>1</v>
      </c>
      <c r="J1332">
        <v>1485.47</v>
      </c>
      <c r="K1332">
        <v>490.61918414759998</v>
      </c>
      <c r="L1332">
        <v>0</v>
      </c>
      <c r="M1332">
        <v>0</v>
      </c>
      <c r="N1332">
        <v>0</v>
      </c>
      <c r="O1332"/>
      <c r="P1332">
        <v>0</v>
      </c>
      <c r="Q1332">
        <f t="shared" si="255"/>
        <v>0</v>
      </c>
      <c r="R1332">
        <v>0</v>
      </c>
      <c r="S1332">
        <f t="shared" si="256"/>
        <v>0</v>
      </c>
      <c r="T1332"/>
      <c r="U1332">
        <f t="shared" si="257"/>
        <v>0</v>
      </c>
      <c r="V1332">
        <f t="shared" si="258"/>
        <v>0</v>
      </c>
      <c r="W1332">
        <f t="shared" si="259"/>
        <v>0</v>
      </c>
      <c r="X1332">
        <v>0</v>
      </c>
    </row>
    <row r="1333" spans="1:24" x14ac:dyDescent="0.25">
      <c r="A1333" t="s">
        <v>2025</v>
      </c>
      <c r="B1333" t="s">
        <v>2026</v>
      </c>
      <c r="C1333" t="s">
        <v>2042</v>
      </c>
      <c r="D1333" t="s">
        <v>169</v>
      </c>
      <c r="E1333" t="s">
        <v>28</v>
      </c>
      <c r="F1333" t="s">
        <v>1</v>
      </c>
      <c r="G1333" t="s">
        <v>718</v>
      </c>
      <c r="H1333" t="s">
        <v>428</v>
      </c>
      <c r="I1333" t="s">
        <v>1</v>
      </c>
      <c r="J1333">
        <v>590.91999999999996</v>
      </c>
      <c r="K1333"/>
      <c r="L1333">
        <v>0</v>
      </c>
      <c r="M1333">
        <v>0</v>
      </c>
      <c r="N1333">
        <v>590.91999999999996</v>
      </c>
      <c r="O1333"/>
      <c r="P1333">
        <v>0</v>
      </c>
      <c r="Q1333">
        <f t="shared" si="255"/>
        <v>0</v>
      </c>
      <c r="R1333">
        <v>0</v>
      </c>
      <c r="S1333">
        <f t="shared" si="256"/>
        <v>0</v>
      </c>
      <c r="T1333"/>
      <c r="U1333">
        <f t="shared" si="257"/>
        <v>0</v>
      </c>
      <c r="V1333">
        <f t="shared" si="258"/>
        <v>0</v>
      </c>
      <c r="W1333">
        <f t="shared" si="259"/>
        <v>0</v>
      </c>
      <c r="X1333">
        <v>0</v>
      </c>
    </row>
    <row r="1334" spans="1:24" x14ac:dyDescent="0.25">
      <c r="A1334" t="s">
        <v>2025</v>
      </c>
      <c r="B1334" t="s">
        <v>2026</v>
      </c>
      <c r="C1334" t="s">
        <v>2042</v>
      </c>
      <c r="D1334" t="s">
        <v>169</v>
      </c>
      <c r="E1334" t="s">
        <v>33</v>
      </c>
      <c r="F1334" t="s">
        <v>1</v>
      </c>
      <c r="G1334" t="s">
        <v>718</v>
      </c>
      <c r="H1334" t="s">
        <v>433</v>
      </c>
      <c r="I1334" t="s">
        <v>1</v>
      </c>
      <c r="J1334">
        <v>4287.8599999999997</v>
      </c>
      <c r="K1334">
        <v>3190.4612951016002</v>
      </c>
      <c r="L1334">
        <v>1594.74</v>
      </c>
      <c r="M1334">
        <v>3215.9121546961323</v>
      </c>
      <c r="N1334">
        <v>2702.0800000000004</v>
      </c>
      <c r="O1334">
        <v>3189.48</v>
      </c>
      <c r="P1334">
        <v>0</v>
      </c>
      <c r="Q1334">
        <f t="shared" si="255"/>
        <v>3189.48</v>
      </c>
      <c r="R1334">
        <v>3189.48</v>
      </c>
      <c r="S1334">
        <f t="shared" si="256"/>
        <v>0</v>
      </c>
      <c r="T1334"/>
      <c r="U1334">
        <f t="shared" si="257"/>
        <v>0</v>
      </c>
      <c r="V1334">
        <f t="shared" si="258"/>
        <v>3189.48</v>
      </c>
      <c r="W1334">
        <f t="shared" si="259"/>
        <v>0</v>
      </c>
      <c r="X1334">
        <v>0</v>
      </c>
    </row>
    <row r="1335" spans="1:24" x14ac:dyDescent="0.25">
      <c r="A1335" t="s">
        <v>2025</v>
      </c>
      <c r="B1335" t="s">
        <v>2026</v>
      </c>
      <c r="C1335" t="s">
        <v>2042</v>
      </c>
      <c r="D1335" t="s">
        <v>169</v>
      </c>
      <c r="E1335" t="s">
        <v>34</v>
      </c>
      <c r="F1335" t="s">
        <v>1</v>
      </c>
      <c r="G1335" t="s">
        <v>718</v>
      </c>
      <c r="H1335" t="s">
        <v>434</v>
      </c>
      <c r="I1335" t="s">
        <v>1</v>
      </c>
      <c r="J1335">
        <v>1453.22</v>
      </c>
      <c r="K1335">
        <v>588.74302097639998</v>
      </c>
      <c r="L1335">
        <v>224.1</v>
      </c>
      <c r="M1335">
        <v>451.914364640884</v>
      </c>
      <c r="N1335">
        <v>1171.8</v>
      </c>
      <c r="O1335">
        <v>448.2</v>
      </c>
      <c r="P1335">
        <v>0</v>
      </c>
      <c r="Q1335">
        <f t="shared" si="255"/>
        <v>448.2</v>
      </c>
      <c r="R1335">
        <v>448.2</v>
      </c>
      <c r="S1335">
        <f t="shared" si="256"/>
        <v>0</v>
      </c>
      <c r="T1335"/>
      <c r="U1335">
        <f t="shared" si="257"/>
        <v>0</v>
      </c>
      <c r="V1335">
        <f t="shared" si="258"/>
        <v>448.2</v>
      </c>
      <c r="W1335">
        <f t="shared" si="259"/>
        <v>0</v>
      </c>
      <c r="X1335">
        <v>0</v>
      </c>
    </row>
    <row r="1336" spans="1:24" x14ac:dyDescent="0.25">
      <c r="A1336" t="s">
        <v>2025</v>
      </c>
      <c r="B1336" t="s">
        <v>2026</v>
      </c>
      <c r="C1336" t="s">
        <v>2042</v>
      </c>
      <c r="D1336" t="s">
        <v>169</v>
      </c>
      <c r="E1336" t="s">
        <v>51</v>
      </c>
      <c r="F1336" t="s">
        <v>51</v>
      </c>
      <c r="G1336" t="s">
        <v>719</v>
      </c>
      <c r="H1336"/>
      <c r="I1336"/>
      <c r="J1336">
        <v>13295.069999999998</v>
      </c>
      <c r="K1336">
        <v>9315.3135002256004</v>
      </c>
      <c r="L1336">
        <v>6784.75</v>
      </c>
      <c r="M1336">
        <v>13681.954419889504</v>
      </c>
      <c r="N1336">
        <v>12385.539999999999</v>
      </c>
      <c r="O1336">
        <v>13612.908839779</v>
      </c>
      <c r="P1336">
        <f>SUMIF($F$1327:$F$1335,"&lt;&gt;EV_*",$P$1327:$P$1335)</f>
        <v>0</v>
      </c>
      <c r="Q1336">
        <f>SUMIF($F$1327:$F$1335,"&lt;&gt;EV_*",$Q$1327:$Q$1335)</f>
        <v>13612.908839779</v>
      </c>
      <c r="R1336">
        <f>SUMIF($F$1327:$F$1335,"&lt;&gt;EV_*",$R$1327:$R$1335)</f>
        <v>13612.908839779</v>
      </c>
      <c r="S1336">
        <f>SUMIF($F$1327:$F$1335,"&lt;&gt;EV_*",$S$1327:$S$1335)</f>
        <v>0</v>
      </c>
      <c r="T1336">
        <v>0</v>
      </c>
      <c r="U1336">
        <f>SUMIF($F$1327:$F$1335,"&lt;&gt;EV_*",$U$1327:$U$1335)</f>
        <v>184.84930939226501</v>
      </c>
      <c r="V1336">
        <f>SUMIF($F$1327:$F$1335,"&lt;&gt;EV_*",$V$1327:$V$1335)</f>
        <v>13797.758149171266</v>
      </c>
      <c r="W1336">
        <f>SUMIF($F$1327:$F$1335,"&lt;&gt;EV_*",$W$1327:$W$1335)</f>
        <v>184.84930939226524</v>
      </c>
      <c r="X1336">
        <f>SUMIF($F$1327:$F$1335,"&lt;&gt;EV_*",$X$1327:$X$1335)</f>
        <v>0</v>
      </c>
    </row>
    <row r="1337" spans="1:24" x14ac:dyDescent="0.25">
      <c r="A1337" t="s">
        <v>1928</v>
      </c>
      <c r="B1337" t="s">
        <v>1938</v>
      </c>
      <c r="C1337" t="s">
        <v>2043</v>
      </c>
      <c r="D1337" t="s">
        <v>170</v>
      </c>
      <c r="E1337" t="s">
        <v>5</v>
      </c>
      <c r="F1337" t="s">
        <v>5</v>
      </c>
      <c r="G1337" t="s">
        <v>720</v>
      </c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</row>
    <row r="1338" spans="1:24" x14ac:dyDescent="0.25">
      <c r="A1338" t="s">
        <v>1928</v>
      </c>
      <c r="B1338" t="s">
        <v>1938</v>
      </c>
      <c r="C1338" t="s">
        <v>2043</v>
      </c>
      <c r="D1338" t="s">
        <v>170</v>
      </c>
      <c r="E1338" t="s">
        <v>149</v>
      </c>
      <c r="F1338" t="s">
        <v>1</v>
      </c>
      <c r="G1338" t="s">
        <v>721</v>
      </c>
      <c r="H1338" t="s">
        <v>660</v>
      </c>
      <c r="I1338" t="s">
        <v>1</v>
      </c>
      <c r="J1338">
        <v>29.9</v>
      </c>
      <c r="K1338"/>
      <c r="L1338">
        <v>0</v>
      </c>
      <c r="M1338">
        <v>0</v>
      </c>
      <c r="N1338">
        <v>29.9</v>
      </c>
      <c r="O1338"/>
      <c r="P1338">
        <v>0</v>
      </c>
      <c r="Q1338">
        <f t="shared" ref="Q1338:Q1359" si="260">O1338+P1338</f>
        <v>0</v>
      </c>
      <c r="R1338">
        <v>0</v>
      </c>
      <c r="S1338">
        <f t="shared" ref="S1338:S1359" si="261">IF(OR(LEFT(E1338,2)="A_",LEFT(D1338,5)="Total"),R1338-Q1338,"")</f>
        <v>0</v>
      </c>
      <c r="T1338">
        <v>0.02</v>
      </c>
      <c r="U1338">
        <f t="shared" ref="U1338:U1359" si="262">IFERROR(R1338*T1338,R1338*0)</f>
        <v>0</v>
      </c>
      <c r="V1338">
        <f t="shared" ref="V1338:V1359" si="263">IF(OR(LEFT(E1338,2)="A_",LEFT(D1338,5)="Total"),R1338+U1338,"")</f>
        <v>0</v>
      </c>
      <c r="W1338">
        <f t="shared" ref="W1338:W1359" si="264">IF(OR(LEFT(E1338,2)="A_",LEFT(D1338,5)="Total"),V1338-Q1338,"")</f>
        <v>0</v>
      </c>
      <c r="X1338">
        <v>0</v>
      </c>
    </row>
    <row r="1339" spans="1:24" x14ac:dyDescent="0.25">
      <c r="A1339" t="s">
        <v>1928</v>
      </c>
      <c r="B1339" t="s">
        <v>1938</v>
      </c>
      <c r="C1339" t="s">
        <v>2043</v>
      </c>
      <c r="D1339" t="s">
        <v>170</v>
      </c>
      <c r="E1339" t="s">
        <v>8</v>
      </c>
      <c r="F1339" t="s">
        <v>1</v>
      </c>
      <c r="G1339" t="s">
        <v>721</v>
      </c>
      <c r="H1339" t="s">
        <v>408</v>
      </c>
      <c r="I1339" t="s">
        <v>1</v>
      </c>
      <c r="J1339">
        <v>117228.95</v>
      </c>
      <c r="K1339">
        <v>104927.275966851</v>
      </c>
      <c r="L1339">
        <v>50982.85</v>
      </c>
      <c r="M1339">
        <v>102810.71961325966</v>
      </c>
      <c r="N1339">
        <v>116179.37</v>
      </c>
      <c r="O1339">
        <v>102810.71961325999</v>
      </c>
      <c r="P1339">
        <v>-102811</v>
      </c>
      <c r="Q1339">
        <f t="shared" si="260"/>
        <v>-0.28038674000708852</v>
      </c>
      <c r="R1339">
        <v>0</v>
      </c>
      <c r="S1339">
        <f t="shared" si="261"/>
        <v>0.28038674000708852</v>
      </c>
      <c r="T1339"/>
      <c r="U1339">
        <f t="shared" si="262"/>
        <v>0</v>
      </c>
      <c r="V1339">
        <f t="shared" si="263"/>
        <v>0</v>
      </c>
      <c r="W1339">
        <f t="shared" si="264"/>
        <v>0.28038674000708852</v>
      </c>
      <c r="X1339">
        <v>0</v>
      </c>
    </row>
    <row r="1340" spans="1:24" x14ac:dyDescent="0.25">
      <c r="A1340" t="s">
        <v>1928</v>
      </c>
      <c r="B1340" t="s">
        <v>1938</v>
      </c>
      <c r="C1340" t="s">
        <v>2043</v>
      </c>
      <c r="D1340" t="s">
        <v>170</v>
      </c>
      <c r="E1340" t="s">
        <v>11</v>
      </c>
      <c r="F1340" t="s">
        <v>1</v>
      </c>
      <c r="G1340" t="s">
        <v>721</v>
      </c>
      <c r="H1340" t="s">
        <v>411</v>
      </c>
      <c r="I1340" t="s">
        <v>1</v>
      </c>
      <c r="J1340">
        <v>4675.9799999999996</v>
      </c>
      <c r="K1340">
        <v>4478.2599999996</v>
      </c>
      <c r="L1340">
        <v>2207.7600000000002</v>
      </c>
      <c r="M1340">
        <v>4452.1127071823212</v>
      </c>
      <c r="N1340">
        <v>4594.8499999999995</v>
      </c>
      <c r="O1340">
        <v>4415.5200000000004</v>
      </c>
      <c r="P1340">
        <v>0</v>
      </c>
      <c r="Q1340">
        <f t="shared" si="260"/>
        <v>4415.5200000000004</v>
      </c>
      <c r="R1340">
        <v>4415.5200000000004</v>
      </c>
      <c r="S1340">
        <f t="shared" si="261"/>
        <v>0</v>
      </c>
      <c r="T1340"/>
      <c r="U1340">
        <f t="shared" si="262"/>
        <v>0</v>
      </c>
      <c r="V1340">
        <f t="shared" si="263"/>
        <v>4415.5200000000004</v>
      </c>
      <c r="W1340">
        <f t="shared" si="264"/>
        <v>0</v>
      </c>
      <c r="X1340">
        <v>0</v>
      </c>
    </row>
    <row r="1341" spans="1:24" x14ac:dyDescent="0.25">
      <c r="A1341" t="s">
        <v>1928</v>
      </c>
      <c r="B1341" t="s">
        <v>1938</v>
      </c>
      <c r="C1341" t="s">
        <v>2043</v>
      </c>
      <c r="D1341" t="s">
        <v>170</v>
      </c>
      <c r="E1341" t="s">
        <v>65</v>
      </c>
      <c r="F1341" t="s">
        <v>1</v>
      </c>
      <c r="G1341" t="s">
        <v>721</v>
      </c>
      <c r="H1341" t="s">
        <v>476</v>
      </c>
      <c r="I1341" t="s">
        <v>1</v>
      </c>
      <c r="J1341">
        <v>-19.260000000000002</v>
      </c>
      <c r="K1341"/>
      <c r="L1341">
        <v>-6.54</v>
      </c>
      <c r="M1341">
        <v>-13.18839779005525</v>
      </c>
      <c r="N1341">
        <v>-19.8</v>
      </c>
      <c r="O1341">
        <v>-13.151868131900001</v>
      </c>
      <c r="P1341">
        <v>0</v>
      </c>
      <c r="Q1341">
        <f t="shared" si="260"/>
        <v>-13.151868131900001</v>
      </c>
      <c r="R1341">
        <v>0</v>
      </c>
      <c r="S1341">
        <f t="shared" si="261"/>
        <v>13.151868131900001</v>
      </c>
      <c r="T1341"/>
      <c r="U1341">
        <f t="shared" si="262"/>
        <v>0</v>
      </c>
      <c r="V1341">
        <f t="shared" si="263"/>
        <v>0</v>
      </c>
      <c r="W1341">
        <f t="shared" si="264"/>
        <v>13.151868131900001</v>
      </c>
      <c r="X1341">
        <v>0</v>
      </c>
    </row>
    <row r="1342" spans="1:24" x14ac:dyDescent="0.25">
      <c r="A1342" t="s">
        <v>1928</v>
      </c>
      <c r="B1342" t="s">
        <v>1938</v>
      </c>
      <c r="C1342" t="s">
        <v>2043</v>
      </c>
      <c r="D1342" t="s">
        <v>170</v>
      </c>
      <c r="E1342" t="s">
        <v>17</v>
      </c>
      <c r="F1342" t="s">
        <v>1</v>
      </c>
      <c r="G1342" t="s">
        <v>721</v>
      </c>
      <c r="H1342" t="s">
        <v>417</v>
      </c>
      <c r="I1342" t="s">
        <v>1</v>
      </c>
      <c r="J1342">
        <v>-126.98</v>
      </c>
      <c r="K1342">
        <v>-30</v>
      </c>
      <c r="L1342">
        <v>-110.61</v>
      </c>
      <c r="M1342">
        <v>-223.05331491712707</v>
      </c>
      <c r="N1342">
        <v>-208.58999999999997</v>
      </c>
      <c r="O1342">
        <v>-222.4354945055</v>
      </c>
      <c r="P1342">
        <v>0</v>
      </c>
      <c r="Q1342">
        <f t="shared" si="260"/>
        <v>-222.4354945055</v>
      </c>
      <c r="R1342">
        <v>-222.4354945055</v>
      </c>
      <c r="S1342">
        <f t="shared" si="261"/>
        <v>0</v>
      </c>
      <c r="T1342"/>
      <c r="U1342">
        <f t="shared" si="262"/>
        <v>0</v>
      </c>
      <c r="V1342">
        <f t="shared" si="263"/>
        <v>-222.4354945055</v>
      </c>
      <c r="W1342">
        <f t="shared" si="264"/>
        <v>0</v>
      </c>
      <c r="X1342">
        <v>0</v>
      </c>
    </row>
    <row r="1343" spans="1:24" x14ac:dyDescent="0.25">
      <c r="A1343" t="s">
        <v>1928</v>
      </c>
      <c r="B1343" t="s">
        <v>1938</v>
      </c>
      <c r="C1343" t="s">
        <v>2043</v>
      </c>
      <c r="D1343" t="s">
        <v>170</v>
      </c>
      <c r="E1343" t="s">
        <v>82</v>
      </c>
      <c r="F1343" t="s">
        <v>1</v>
      </c>
      <c r="G1343" t="s">
        <v>721</v>
      </c>
      <c r="H1343" t="s">
        <v>507</v>
      </c>
      <c r="I1343" t="s">
        <v>1</v>
      </c>
      <c r="J1343">
        <v>260.63</v>
      </c>
      <c r="K1343"/>
      <c r="L1343">
        <v>205.27</v>
      </c>
      <c r="M1343">
        <v>413.94226519337019</v>
      </c>
      <c r="N1343">
        <v>401.64</v>
      </c>
      <c r="O1343">
        <v>412.7957142857</v>
      </c>
      <c r="P1343">
        <v>0</v>
      </c>
      <c r="Q1343">
        <f t="shared" si="260"/>
        <v>412.7957142857</v>
      </c>
      <c r="R1343">
        <v>412.7957142857</v>
      </c>
      <c r="S1343">
        <f t="shared" si="261"/>
        <v>0</v>
      </c>
      <c r="T1343">
        <v>2.75E-2</v>
      </c>
      <c r="U1343">
        <f t="shared" si="262"/>
        <v>11.35188214285675</v>
      </c>
      <c r="V1343">
        <f t="shared" si="263"/>
        <v>424.14759642855677</v>
      </c>
      <c r="W1343">
        <f t="shared" si="264"/>
        <v>11.351882142856766</v>
      </c>
      <c r="X1343">
        <v>0</v>
      </c>
    </row>
    <row r="1344" spans="1:24" x14ac:dyDescent="0.25">
      <c r="A1344" t="s">
        <v>1928</v>
      </c>
      <c r="B1344" t="s">
        <v>1938</v>
      </c>
      <c r="C1344" t="s">
        <v>2043</v>
      </c>
      <c r="D1344" t="s">
        <v>170</v>
      </c>
      <c r="E1344" t="s">
        <v>72</v>
      </c>
      <c r="F1344" t="s">
        <v>1</v>
      </c>
      <c r="G1344" t="s">
        <v>721</v>
      </c>
      <c r="H1344" t="s">
        <v>489</v>
      </c>
      <c r="I1344" t="s">
        <v>1</v>
      </c>
      <c r="J1344">
        <v>643.29999999999995</v>
      </c>
      <c r="K1344"/>
      <c r="L1344">
        <v>242.2</v>
      </c>
      <c r="M1344">
        <v>488.41436464088395</v>
      </c>
      <c r="N1344">
        <v>487.90000000000003</v>
      </c>
      <c r="O1344">
        <v>487.06153846149999</v>
      </c>
      <c r="P1344">
        <v>0</v>
      </c>
      <c r="Q1344">
        <f t="shared" si="260"/>
        <v>487.06153846149999</v>
      </c>
      <c r="R1344">
        <v>487.06153846149999</v>
      </c>
      <c r="S1344">
        <f t="shared" si="261"/>
        <v>0</v>
      </c>
      <c r="T1344">
        <v>2.2499999999999999E-2</v>
      </c>
      <c r="U1344">
        <f t="shared" si="262"/>
        <v>10.958884615383749</v>
      </c>
      <c r="V1344">
        <f t="shared" si="263"/>
        <v>498.02042307688373</v>
      </c>
      <c r="W1344">
        <f t="shared" si="264"/>
        <v>10.958884615383738</v>
      </c>
      <c r="X1344">
        <v>0</v>
      </c>
    </row>
    <row r="1345" spans="1:24" x14ac:dyDescent="0.25">
      <c r="A1345" t="s">
        <v>1928</v>
      </c>
      <c r="B1345" t="s">
        <v>1938</v>
      </c>
      <c r="C1345" t="s">
        <v>2043</v>
      </c>
      <c r="D1345" t="s">
        <v>170</v>
      </c>
      <c r="E1345" t="s">
        <v>18</v>
      </c>
      <c r="F1345" t="s">
        <v>1</v>
      </c>
      <c r="G1345" t="s">
        <v>721</v>
      </c>
      <c r="H1345" t="s">
        <v>418</v>
      </c>
      <c r="I1345" t="s">
        <v>1</v>
      </c>
      <c r="J1345">
        <v>26132.86</v>
      </c>
      <c r="K1345">
        <v>26116.498681091602</v>
      </c>
      <c r="L1345">
        <v>10120.56</v>
      </c>
      <c r="M1345">
        <v>20408.86408839779</v>
      </c>
      <c r="N1345">
        <v>20931.110000000004</v>
      </c>
      <c r="O1345">
        <v>20352.334945054899</v>
      </c>
      <c r="P1345">
        <v>0</v>
      </c>
      <c r="Q1345">
        <f t="shared" si="260"/>
        <v>20352.334945054899</v>
      </c>
      <c r="R1345">
        <v>20352.334945054899</v>
      </c>
      <c r="S1345">
        <f t="shared" si="261"/>
        <v>0</v>
      </c>
      <c r="T1345">
        <v>0.02</v>
      </c>
      <c r="U1345">
        <f t="shared" si="262"/>
        <v>407.04669890109801</v>
      </c>
      <c r="V1345">
        <f t="shared" si="263"/>
        <v>20759.381643955996</v>
      </c>
      <c r="W1345">
        <f t="shared" si="264"/>
        <v>407.04669890109653</v>
      </c>
      <c r="X1345">
        <v>0</v>
      </c>
    </row>
    <row r="1346" spans="1:24" x14ac:dyDescent="0.25">
      <c r="A1346" t="s">
        <v>1928</v>
      </c>
      <c r="B1346" t="s">
        <v>1938</v>
      </c>
      <c r="C1346" t="s">
        <v>2043</v>
      </c>
      <c r="D1346" t="s">
        <v>170</v>
      </c>
      <c r="E1346" t="s">
        <v>57</v>
      </c>
      <c r="F1346" t="s">
        <v>1</v>
      </c>
      <c r="G1346" t="s">
        <v>721</v>
      </c>
      <c r="H1346" t="s">
        <v>462</v>
      </c>
      <c r="I1346" t="s">
        <v>1</v>
      </c>
      <c r="J1346">
        <v>215.46</v>
      </c>
      <c r="K1346"/>
      <c r="L1346">
        <v>247.28</v>
      </c>
      <c r="M1346">
        <v>498.65856353591158</v>
      </c>
      <c r="N1346">
        <v>247.27999999999997</v>
      </c>
      <c r="O1346">
        <v>497.27736263740002</v>
      </c>
      <c r="P1346">
        <v>0</v>
      </c>
      <c r="Q1346">
        <f t="shared" si="260"/>
        <v>497.27736263740002</v>
      </c>
      <c r="R1346">
        <v>497.27736263740002</v>
      </c>
      <c r="S1346">
        <f t="shared" si="261"/>
        <v>0</v>
      </c>
      <c r="T1346">
        <v>0.04</v>
      </c>
      <c r="U1346">
        <f t="shared" si="262"/>
        <v>19.891094505496</v>
      </c>
      <c r="V1346">
        <f t="shared" si="263"/>
        <v>517.16845714289605</v>
      </c>
      <c r="W1346">
        <f t="shared" si="264"/>
        <v>19.891094505496028</v>
      </c>
      <c r="X1346">
        <v>0</v>
      </c>
    </row>
    <row r="1347" spans="1:24" x14ac:dyDescent="0.25">
      <c r="A1347" t="s">
        <v>1928</v>
      </c>
      <c r="B1347" t="s">
        <v>1938</v>
      </c>
      <c r="C1347" t="s">
        <v>2043</v>
      </c>
      <c r="D1347" t="s">
        <v>170</v>
      </c>
      <c r="E1347" t="s">
        <v>74</v>
      </c>
      <c r="F1347" t="s">
        <v>1</v>
      </c>
      <c r="G1347" t="s">
        <v>721</v>
      </c>
      <c r="H1347" t="s">
        <v>491</v>
      </c>
      <c r="I1347" t="s">
        <v>1</v>
      </c>
      <c r="J1347">
        <v>276.24</v>
      </c>
      <c r="K1347"/>
      <c r="L1347">
        <v>0</v>
      </c>
      <c r="M1347">
        <v>0</v>
      </c>
      <c r="N1347">
        <v>168.08</v>
      </c>
      <c r="O1347"/>
      <c r="P1347">
        <v>0</v>
      </c>
      <c r="Q1347">
        <f t="shared" si="260"/>
        <v>0</v>
      </c>
      <c r="R1347">
        <v>0</v>
      </c>
      <c r="S1347">
        <f t="shared" si="261"/>
        <v>0</v>
      </c>
      <c r="T1347">
        <v>3.5000000000000003E-2</v>
      </c>
      <c r="U1347">
        <f t="shared" si="262"/>
        <v>0</v>
      </c>
      <c r="V1347">
        <f t="shared" si="263"/>
        <v>0</v>
      </c>
      <c r="W1347">
        <f t="shared" si="264"/>
        <v>0</v>
      </c>
      <c r="X1347">
        <v>0</v>
      </c>
    </row>
    <row r="1348" spans="1:24" x14ac:dyDescent="0.25">
      <c r="A1348" t="s">
        <v>1928</v>
      </c>
      <c r="B1348" t="s">
        <v>1938</v>
      </c>
      <c r="C1348" t="s">
        <v>2043</v>
      </c>
      <c r="D1348" t="s">
        <v>170</v>
      </c>
      <c r="E1348" t="s">
        <v>20</v>
      </c>
      <c r="F1348" t="s">
        <v>1</v>
      </c>
      <c r="G1348" t="s">
        <v>721</v>
      </c>
      <c r="H1348" t="s">
        <v>420</v>
      </c>
      <c r="I1348" t="s">
        <v>1</v>
      </c>
      <c r="J1348">
        <v>739.59</v>
      </c>
      <c r="K1348"/>
      <c r="L1348">
        <v>318.98</v>
      </c>
      <c r="M1348">
        <v>643.24696132596694</v>
      </c>
      <c r="N1348">
        <v>634.16</v>
      </c>
      <c r="O1348">
        <v>641.46527472529999</v>
      </c>
      <c r="P1348">
        <v>0</v>
      </c>
      <c r="Q1348">
        <f t="shared" si="260"/>
        <v>641.46527472529999</v>
      </c>
      <c r="R1348">
        <v>641.46527472529999</v>
      </c>
      <c r="S1348">
        <f t="shared" si="261"/>
        <v>0</v>
      </c>
      <c r="T1348">
        <v>0.04</v>
      </c>
      <c r="U1348">
        <f t="shared" si="262"/>
        <v>25.658610989012001</v>
      </c>
      <c r="V1348">
        <f t="shared" si="263"/>
        <v>667.123885714312</v>
      </c>
      <c r="W1348">
        <f t="shared" si="264"/>
        <v>25.658610989012004</v>
      </c>
      <c r="X1348">
        <v>0</v>
      </c>
    </row>
    <row r="1349" spans="1:24" x14ac:dyDescent="0.25">
      <c r="A1349" t="s">
        <v>1928</v>
      </c>
      <c r="B1349" t="s">
        <v>1938</v>
      </c>
      <c r="C1349" t="s">
        <v>2043</v>
      </c>
      <c r="D1349" t="s">
        <v>170</v>
      </c>
      <c r="E1349" t="s">
        <v>21</v>
      </c>
      <c r="F1349" t="s">
        <v>1</v>
      </c>
      <c r="G1349" t="s">
        <v>721</v>
      </c>
      <c r="H1349" t="s">
        <v>421</v>
      </c>
      <c r="I1349" t="s">
        <v>1</v>
      </c>
      <c r="J1349">
        <v>6938.4</v>
      </c>
      <c r="K1349">
        <v>7004.1799999999002</v>
      </c>
      <c r="L1349">
        <v>2925.03</v>
      </c>
      <c r="M1349">
        <v>5898.5411602209952</v>
      </c>
      <c r="N1349">
        <v>6332.15</v>
      </c>
      <c r="O1349">
        <v>5898.5411602209997</v>
      </c>
      <c r="P1349">
        <v>0</v>
      </c>
      <c r="Q1349">
        <f t="shared" si="260"/>
        <v>5898.5411602209997</v>
      </c>
      <c r="R1349">
        <v>5898.5411602209997</v>
      </c>
      <c r="S1349">
        <f t="shared" si="261"/>
        <v>0</v>
      </c>
      <c r="T1349">
        <v>0.03</v>
      </c>
      <c r="U1349">
        <f t="shared" si="262"/>
        <v>176.95623480662999</v>
      </c>
      <c r="V1349">
        <f t="shared" si="263"/>
        <v>6075.4973950276299</v>
      </c>
      <c r="W1349">
        <f t="shared" si="264"/>
        <v>176.95623480663016</v>
      </c>
      <c r="X1349">
        <v>0</v>
      </c>
    </row>
    <row r="1350" spans="1:24" x14ac:dyDescent="0.25">
      <c r="A1350" t="s">
        <v>1928</v>
      </c>
      <c r="B1350" t="s">
        <v>1938</v>
      </c>
      <c r="C1350" t="s">
        <v>2043</v>
      </c>
      <c r="D1350" t="s">
        <v>170</v>
      </c>
      <c r="E1350" t="s">
        <v>66</v>
      </c>
      <c r="F1350" t="s">
        <v>1</v>
      </c>
      <c r="G1350" t="s">
        <v>721</v>
      </c>
      <c r="H1350" t="s">
        <v>477</v>
      </c>
      <c r="I1350" t="s">
        <v>1</v>
      </c>
      <c r="J1350"/>
      <c r="K1350"/>
      <c r="L1350">
        <v>126.95</v>
      </c>
      <c r="M1350">
        <v>256.00414364640886</v>
      </c>
      <c r="N1350">
        <v>126.95</v>
      </c>
      <c r="O1350">
        <v>256.0041436464</v>
      </c>
      <c r="P1350">
        <v>0</v>
      </c>
      <c r="Q1350">
        <f t="shared" si="260"/>
        <v>256.0041436464</v>
      </c>
      <c r="R1350">
        <v>256.0041436464</v>
      </c>
      <c r="S1350">
        <f t="shared" si="261"/>
        <v>0</v>
      </c>
      <c r="T1350">
        <v>3.5000000000000003E-2</v>
      </c>
      <c r="U1350">
        <f t="shared" si="262"/>
        <v>8.9601450276240016</v>
      </c>
      <c r="V1350">
        <f t="shared" si="263"/>
        <v>264.96428867402398</v>
      </c>
      <c r="W1350">
        <f t="shared" si="264"/>
        <v>8.9601450276239802</v>
      </c>
      <c r="X1350">
        <v>0</v>
      </c>
    </row>
    <row r="1351" spans="1:24" x14ac:dyDescent="0.25">
      <c r="A1351" t="s">
        <v>1928</v>
      </c>
      <c r="B1351" t="s">
        <v>1938</v>
      </c>
      <c r="C1351" t="s">
        <v>2043</v>
      </c>
      <c r="D1351" t="s">
        <v>170</v>
      </c>
      <c r="E1351" t="s">
        <v>22</v>
      </c>
      <c r="F1351" t="s">
        <v>1</v>
      </c>
      <c r="G1351" t="s">
        <v>721</v>
      </c>
      <c r="H1351" t="s">
        <v>422</v>
      </c>
      <c r="I1351" t="s">
        <v>1</v>
      </c>
      <c r="J1351">
        <v>3411.65</v>
      </c>
      <c r="K1351">
        <v>2991.1500000001001</v>
      </c>
      <c r="L1351">
        <v>1545.46</v>
      </c>
      <c r="M1351">
        <v>3116.5353591160224</v>
      </c>
      <c r="N1351">
        <v>3510.9799999999996</v>
      </c>
      <c r="O1351">
        <v>3116.5353591160001</v>
      </c>
      <c r="P1351">
        <v>0</v>
      </c>
      <c r="Q1351">
        <f t="shared" si="260"/>
        <v>3116.5353591160001</v>
      </c>
      <c r="R1351">
        <v>3116.5353591160001</v>
      </c>
      <c r="S1351">
        <f t="shared" si="261"/>
        <v>0</v>
      </c>
      <c r="T1351">
        <v>3.5000000000000003E-2</v>
      </c>
      <c r="U1351">
        <f t="shared" si="262"/>
        <v>109.07873756906001</v>
      </c>
      <c r="V1351">
        <f t="shared" si="263"/>
        <v>3225.6140966850603</v>
      </c>
      <c r="W1351">
        <f t="shared" si="264"/>
        <v>109.07873756906019</v>
      </c>
      <c r="X1351">
        <v>0</v>
      </c>
    </row>
    <row r="1352" spans="1:24" x14ac:dyDescent="0.25">
      <c r="A1352" t="s">
        <v>1928</v>
      </c>
      <c r="B1352" t="s">
        <v>1938</v>
      </c>
      <c r="C1352" t="s">
        <v>2043</v>
      </c>
      <c r="D1352" t="s">
        <v>170</v>
      </c>
      <c r="E1352" t="s">
        <v>23</v>
      </c>
      <c r="F1352" t="s">
        <v>1</v>
      </c>
      <c r="G1352" t="s">
        <v>721</v>
      </c>
      <c r="H1352" t="s">
        <v>423</v>
      </c>
      <c r="I1352" t="s">
        <v>1</v>
      </c>
      <c r="J1352">
        <v>1765.81</v>
      </c>
      <c r="K1352">
        <v>10.3499999999</v>
      </c>
      <c r="L1352">
        <v>155.49</v>
      </c>
      <c r="M1352">
        <v>313.557182320442</v>
      </c>
      <c r="N1352">
        <v>1917.98</v>
      </c>
      <c r="O1352">
        <v>313.55718232039999</v>
      </c>
      <c r="P1352">
        <v>0</v>
      </c>
      <c r="Q1352">
        <f t="shared" si="260"/>
        <v>313.55718232039999</v>
      </c>
      <c r="R1352">
        <v>313.55718232039999</v>
      </c>
      <c r="S1352">
        <f t="shared" si="261"/>
        <v>0</v>
      </c>
      <c r="T1352">
        <v>3.5000000000000003E-2</v>
      </c>
      <c r="U1352">
        <f t="shared" si="262"/>
        <v>10.974501381214001</v>
      </c>
      <c r="V1352">
        <f t="shared" si="263"/>
        <v>324.53168370161399</v>
      </c>
      <c r="W1352">
        <f t="shared" si="264"/>
        <v>10.974501381213997</v>
      </c>
      <c r="X1352">
        <v>0</v>
      </c>
    </row>
    <row r="1353" spans="1:24" x14ac:dyDescent="0.25">
      <c r="A1353" t="s">
        <v>1928</v>
      </c>
      <c r="B1353" t="s">
        <v>1938</v>
      </c>
      <c r="C1353" t="s">
        <v>2043</v>
      </c>
      <c r="D1353" t="s">
        <v>170</v>
      </c>
      <c r="E1353" t="s">
        <v>28</v>
      </c>
      <c r="F1353" t="s">
        <v>1</v>
      </c>
      <c r="G1353" t="s">
        <v>721</v>
      </c>
      <c r="H1353" t="s">
        <v>428</v>
      </c>
      <c r="I1353" t="s">
        <v>1</v>
      </c>
      <c r="J1353">
        <v>2421.04</v>
      </c>
      <c r="K1353">
        <v>3530.0000000004002</v>
      </c>
      <c r="L1353">
        <v>382.42</v>
      </c>
      <c r="M1353">
        <v>771.17845303867398</v>
      </c>
      <c r="N1353">
        <v>1152.52</v>
      </c>
      <c r="O1353">
        <v>764.84</v>
      </c>
      <c r="P1353">
        <v>0</v>
      </c>
      <c r="Q1353">
        <f t="shared" si="260"/>
        <v>764.84</v>
      </c>
      <c r="R1353">
        <v>764.84</v>
      </c>
      <c r="S1353">
        <f t="shared" si="261"/>
        <v>0</v>
      </c>
      <c r="T1353"/>
      <c r="U1353">
        <f t="shared" si="262"/>
        <v>0</v>
      </c>
      <c r="V1353">
        <f t="shared" si="263"/>
        <v>764.84</v>
      </c>
      <c r="W1353">
        <f t="shared" si="264"/>
        <v>0</v>
      </c>
      <c r="X1353">
        <v>0</v>
      </c>
    </row>
    <row r="1354" spans="1:24" x14ac:dyDescent="0.25">
      <c r="A1354" t="s">
        <v>1928</v>
      </c>
      <c r="B1354" t="s">
        <v>1938</v>
      </c>
      <c r="C1354" t="s">
        <v>2043</v>
      </c>
      <c r="D1354" t="s">
        <v>170</v>
      </c>
      <c r="E1354" t="s">
        <v>33</v>
      </c>
      <c r="F1354" t="s">
        <v>1</v>
      </c>
      <c r="G1354" t="s">
        <v>721</v>
      </c>
      <c r="H1354" t="s">
        <v>433</v>
      </c>
      <c r="I1354" t="s">
        <v>1</v>
      </c>
      <c r="J1354"/>
      <c r="K1354">
        <v>245.30959207320001</v>
      </c>
      <c r="L1354">
        <v>0</v>
      </c>
      <c r="M1354">
        <v>0</v>
      </c>
      <c r="N1354">
        <v>0</v>
      </c>
      <c r="O1354"/>
      <c r="P1354">
        <v>500</v>
      </c>
      <c r="Q1354">
        <f t="shared" si="260"/>
        <v>500</v>
      </c>
      <c r="R1354">
        <v>500</v>
      </c>
      <c r="S1354">
        <f t="shared" si="261"/>
        <v>0</v>
      </c>
      <c r="T1354"/>
      <c r="U1354">
        <f t="shared" si="262"/>
        <v>0</v>
      </c>
      <c r="V1354">
        <f t="shared" si="263"/>
        <v>500</v>
      </c>
      <c r="W1354">
        <f t="shared" si="264"/>
        <v>0</v>
      </c>
      <c r="X1354" t="s">
        <v>1422</v>
      </c>
    </row>
    <row r="1355" spans="1:24" x14ac:dyDescent="0.25">
      <c r="A1355" t="s">
        <v>1928</v>
      </c>
      <c r="B1355" t="s">
        <v>1938</v>
      </c>
      <c r="C1355" t="s">
        <v>2043</v>
      </c>
      <c r="D1355" t="s">
        <v>170</v>
      </c>
      <c r="E1355" t="s">
        <v>35</v>
      </c>
      <c r="F1355" t="s">
        <v>1</v>
      </c>
      <c r="G1355" t="s">
        <v>721</v>
      </c>
      <c r="H1355" t="s">
        <v>435</v>
      </c>
      <c r="I1355" t="s">
        <v>1</v>
      </c>
      <c r="J1355"/>
      <c r="K1355"/>
      <c r="L1355">
        <v>387.15</v>
      </c>
      <c r="M1355">
        <v>780.71685082872921</v>
      </c>
      <c r="N1355">
        <v>387.15</v>
      </c>
      <c r="O1355">
        <v>774.3</v>
      </c>
      <c r="P1355">
        <v>-774</v>
      </c>
      <c r="Q1355">
        <f t="shared" si="260"/>
        <v>0.29999999999995453</v>
      </c>
      <c r="R1355">
        <v>0</v>
      </c>
      <c r="S1355">
        <f t="shared" si="261"/>
        <v>-0.29999999999995453</v>
      </c>
      <c r="T1355"/>
      <c r="U1355">
        <f t="shared" si="262"/>
        <v>0</v>
      </c>
      <c r="V1355">
        <f t="shared" si="263"/>
        <v>0</v>
      </c>
      <c r="W1355">
        <f t="shared" si="264"/>
        <v>-0.29999999999995453</v>
      </c>
      <c r="X1355" t="s">
        <v>1502</v>
      </c>
    </row>
    <row r="1356" spans="1:24" x14ac:dyDescent="0.25">
      <c r="A1356" t="s">
        <v>1928</v>
      </c>
      <c r="B1356" t="s">
        <v>1938</v>
      </c>
      <c r="C1356" t="s">
        <v>2043</v>
      </c>
      <c r="D1356" t="s">
        <v>170</v>
      </c>
      <c r="E1356" t="s">
        <v>37</v>
      </c>
      <c r="F1356" t="s">
        <v>1</v>
      </c>
      <c r="G1356" t="s">
        <v>721</v>
      </c>
      <c r="H1356" t="s">
        <v>437</v>
      </c>
      <c r="I1356" t="s">
        <v>1</v>
      </c>
      <c r="J1356">
        <v>481.87</v>
      </c>
      <c r="K1356">
        <v>1471.8575524416001</v>
      </c>
      <c r="L1356">
        <v>77.23</v>
      </c>
      <c r="M1356">
        <v>155.7400552486188</v>
      </c>
      <c r="N1356">
        <v>559.1</v>
      </c>
      <c r="O1356">
        <v>154.46</v>
      </c>
      <c r="P1356">
        <v>1346</v>
      </c>
      <c r="Q1356">
        <f t="shared" si="260"/>
        <v>1500.46</v>
      </c>
      <c r="R1356">
        <v>1500</v>
      </c>
      <c r="S1356">
        <f t="shared" si="261"/>
        <v>-0.46000000000003638</v>
      </c>
      <c r="T1356"/>
      <c r="U1356">
        <f t="shared" si="262"/>
        <v>0</v>
      </c>
      <c r="V1356">
        <f t="shared" si="263"/>
        <v>1500</v>
      </c>
      <c r="W1356">
        <f t="shared" si="264"/>
        <v>-0.46000000000003638</v>
      </c>
      <c r="X1356" t="s">
        <v>1423</v>
      </c>
    </row>
    <row r="1357" spans="1:24" x14ac:dyDescent="0.25">
      <c r="A1357" t="s">
        <v>1928</v>
      </c>
      <c r="B1357" t="s">
        <v>1938</v>
      </c>
      <c r="C1357" t="s">
        <v>2043</v>
      </c>
      <c r="D1357" t="s">
        <v>170</v>
      </c>
      <c r="E1357" t="s">
        <v>41</v>
      </c>
      <c r="F1357" t="s">
        <v>1</v>
      </c>
      <c r="G1357" t="s">
        <v>721</v>
      </c>
      <c r="H1357" t="s">
        <v>441</v>
      </c>
      <c r="I1357" t="s">
        <v>1</v>
      </c>
      <c r="J1357">
        <v>203.57</v>
      </c>
      <c r="K1357">
        <v>502.74</v>
      </c>
      <c r="L1357">
        <v>775.99</v>
      </c>
      <c r="M1357">
        <v>1564.8417127071825</v>
      </c>
      <c r="N1357">
        <v>823.53</v>
      </c>
      <c r="O1357">
        <v>1551.98</v>
      </c>
      <c r="P1357">
        <v>0</v>
      </c>
      <c r="Q1357">
        <f t="shared" si="260"/>
        <v>1551.98</v>
      </c>
      <c r="R1357">
        <v>1551.98</v>
      </c>
      <c r="S1357">
        <f t="shared" si="261"/>
        <v>0</v>
      </c>
      <c r="T1357">
        <v>0.03</v>
      </c>
      <c r="U1357">
        <f t="shared" si="262"/>
        <v>46.559399999999997</v>
      </c>
      <c r="V1357">
        <f t="shared" si="263"/>
        <v>1598.5394000000001</v>
      </c>
      <c r="W1357">
        <f t="shared" si="264"/>
        <v>46.559400000000096</v>
      </c>
      <c r="X1357">
        <v>0</v>
      </c>
    </row>
    <row r="1358" spans="1:24" x14ac:dyDescent="0.25">
      <c r="A1358" t="s">
        <v>1928</v>
      </c>
      <c r="B1358" t="s">
        <v>1938</v>
      </c>
      <c r="C1358" t="s">
        <v>2043</v>
      </c>
      <c r="D1358" t="s">
        <v>170</v>
      </c>
      <c r="E1358" t="s">
        <v>43</v>
      </c>
      <c r="F1358" t="s">
        <v>1</v>
      </c>
      <c r="G1358" t="s">
        <v>721</v>
      </c>
      <c r="H1358" t="s">
        <v>443</v>
      </c>
      <c r="I1358" t="s">
        <v>1</v>
      </c>
      <c r="J1358">
        <v>9625</v>
      </c>
      <c r="K1358"/>
      <c r="L1358">
        <v>0</v>
      </c>
      <c r="M1358">
        <v>0</v>
      </c>
      <c r="N1358">
        <v>9625</v>
      </c>
      <c r="O1358"/>
      <c r="P1358">
        <v>0</v>
      </c>
      <c r="Q1358">
        <f t="shared" si="260"/>
        <v>0</v>
      </c>
      <c r="R1358">
        <v>0</v>
      </c>
      <c r="S1358">
        <f t="shared" si="261"/>
        <v>0</v>
      </c>
      <c r="T1358">
        <v>0.03</v>
      </c>
      <c r="U1358">
        <f t="shared" si="262"/>
        <v>0</v>
      </c>
      <c r="V1358">
        <f t="shared" si="263"/>
        <v>0</v>
      </c>
      <c r="W1358">
        <f t="shared" si="264"/>
        <v>0</v>
      </c>
      <c r="X1358">
        <v>0</v>
      </c>
    </row>
    <row r="1359" spans="1:24" x14ac:dyDescent="0.25">
      <c r="A1359" t="s">
        <v>1928</v>
      </c>
      <c r="B1359" t="s">
        <v>1938</v>
      </c>
      <c r="C1359" t="s">
        <v>2043</v>
      </c>
      <c r="D1359" t="s">
        <v>170</v>
      </c>
      <c r="E1359" t="s">
        <v>50</v>
      </c>
      <c r="F1359" t="s">
        <v>1</v>
      </c>
      <c r="G1359" t="s">
        <v>721</v>
      </c>
      <c r="H1359" t="s">
        <v>450</v>
      </c>
      <c r="I1359" t="s">
        <v>1</v>
      </c>
      <c r="J1359">
        <v>607.42999999999995</v>
      </c>
      <c r="K1359">
        <v>519.99999999980002</v>
      </c>
      <c r="L1359">
        <v>393.18</v>
      </c>
      <c r="M1359">
        <v>792.87679558011064</v>
      </c>
      <c r="N1359">
        <v>796.93</v>
      </c>
      <c r="O1359">
        <v>792.87679558009995</v>
      </c>
      <c r="P1359">
        <v>0</v>
      </c>
      <c r="Q1359">
        <f t="shared" si="260"/>
        <v>792.87679558009995</v>
      </c>
      <c r="R1359">
        <v>792.87679558009995</v>
      </c>
      <c r="S1359">
        <f t="shared" si="261"/>
        <v>0</v>
      </c>
      <c r="T1359"/>
      <c r="U1359">
        <f t="shared" si="262"/>
        <v>0</v>
      </c>
      <c r="V1359">
        <f t="shared" si="263"/>
        <v>792.87679558009995</v>
      </c>
      <c r="W1359">
        <f t="shared" si="264"/>
        <v>0</v>
      </c>
      <c r="X1359">
        <v>0</v>
      </c>
    </row>
    <row r="1360" spans="1:24" x14ac:dyDescent="0.25">
      <c r="A1360" t="s">
        <v>1928</v>
      </c>
      <c r="B1360" t="s">
        <v>1938</v>
      </c>
      <c r="C1360" t="s">
        <v>2043</v>
      </c>
      <c r="D1360" t="s">
        <v>170</v>
      </c>
      <c r="E1360" t="s">
        <v>51</v>
      </c>
      <c r="F1360" t="s">
        <v>51</v>
      </c>
      <c r="G1360" t="s">
        <v>722</v>
      </c>
      <c r="H1360"/>
      <c r="I1360"/>
      <c r="J1360">
        <v>175511.43999999997</v>
      </c>
      <c r="K1360">
        <v>151767.6217924571</v>
      </c>
      <c r="L1360">
        <v>70976.649999999994</v>
      </c>
      <c r="M1360">
        <v>143129.70856353588</v>
      </c>
      <c r="N1360">
        <v>168678.19</v>
      </c>
      <c r="O1360">
        <v>143004.68172667126</v>
      </c>
      <c r="P1360">
        <f>SUMIF($F$1337:$F$1359,"&lt;&gt;EV_*",$P$1337:$P$1359)</f>
        <v>-101739</v>
      </c>
      <c r="Q1360">
        <f>SUMIF($F$1337:$F$1359,"&lt;&gt;EV_*",$Q$1337:$Q$1359)</f>
        <v>41265.681726671297</v>
      </c>
      <c r="R1360">
        <f>SUMIF($F$1337:$F$1359,"&lt;&gt;EV_*",$R$1337:$R$1359)</f>
        <v>41278.353981543201</v>
      </c>
      <c r="S1360">
        <f>SUMIF($F$1337:$F$1359,"&lt;&gt;EV_*",$S$1337:$S$1359)</f>
        <v>12.672254871907098</v>
      </c>
      <c r="T1360">
        <v>0</v>
      </c>
      <c r="U1360">
        <f>SUMIF($F$1337:$F$1359,"&lt;&gt;EV_*",$U$1337:$U$1359)</f>
        <v>827.43618993837447</v>
      </c>
      <c r="V1360">
        <f>SUMIF($F$1337:$F$1359,"&lt;&gt;EV_*",$V$1337:$V$1359)</f>
        <v>42105.790171481574</v>
      </c>
      <c r="W1360">
        <f>SUMIF($F$1337:$F$1359,"&lt;&gt;EV_*",$W$1337:$W$1359)</f>
        <v>840.10844481028062</v>
      </c>
      <c r="X1360">
        <f>SUMIF($F$1337:$F$1359,"&lt;&gt;EV_*",$X$1337:$X$1359)</f>
        <v>0</v>
      </c>
    </row>
    <row r="1361" spans="1:24" x14ac:dyDescent="0.25">
      <c r="A1361" t="s">
        <v>1928</v>
      </c>
      <c r="B1361" t="s">
        <v>1932</v>
      </c>
      <c r="C1361" t="s">
        <v>2044</v>
      </c>
      <c r="D1361" t="s">
        <v>171</v>
      </c>
      <c r="E1361" t="s">
        <v>5</v>
      </c>
      <c r="F1361" t="s">
        <v>5</v>
      </c>
      <c r="G1361" t="s">
        <v>723</v>
      </c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</row>
    <row r="1362" spans="1:24" x14ac:dyDescent="0.25">
      <c r="A1362" t="s">
        <v>1928</v>
      </c>
      <c r="B1362" t="s">
        <v>1932</v>
      </c>
      <c r="C1362" t="s">
        <v>2044</v>
      </c>
      <c r="D1362" t="s">
        <v>171</v>
      </c>
      <c r="E1362" t="s">
        <v>8</v>
      </c>
      <c r="F1362" t="s">
        <v>1</v>
      </c>
      <c r="G1362" t="s">
        <v>724</v>
      </c>
      <c r="H1362" t="s">
        <v>408</v>
      </c>
      <c r="I1362" t="s">
        <v>1</v>
      </c>
      <c r="J1362">
        <v>70038.73</v>
      </c>
      <c r="K1362">
        <v>57284.007458563297</v>
      </c>
      <c r="L1362">
        <v>12347.84</v>
      </c>
      <c r="M1362">
        <v>24900.340331491712</v>
      </c>
      <c r="N1362">
        <v>53979.979999999996</v>
      </c>
      <c r="O1362">
        <v>24900.340331491701</v>
      </c>
      <c r="P1362">
        <v>-24900</v>
      </c>
      <c r="Q1362">
        <f t="shared" ref="Q1362:Q1386" si="265">O1362+P1362</f>
        <v>0.34033149170136312</v>
      </c>
      <c r="R1362">
        <v>0</v>
      </c>
      <c r="S1362">
        <f t="shared" ref="S1362:S1386" si="266">IF(OR(LEFT(E1362,2)="A_",LEFT(D1362,5)="Total"),R1362-Q1362,"")</f>
        <v>-0.34033149170136312</v>
      </c>
      <c r="T1362"/>
      <c r="U1362">
        <f t="shared" ref="U1362:U1386" si="267">IFERROR(R1362*T1362,R1362*0)</f>
        <v>0</v>
      </c>
      <c r="V1362">
        <f t="shared" ref="V1362:V1386" si="268">IF(OR(LEFT(E1362,2)="A_",LEFT(D1362,5)="Total"),R1362+U1362,"")</f>
        <v>0</v>
      </c>
      <c r="W1362">
        <f t="shared" ref="W1362:W1386" si="269">IF(OR(LEFT(E1362,2)="A_",LEFT(D1362,5)="Total"),V1362-Q1362,"")</f>
        <v>-0.34033149170136312</v>
      </c>
      <c r="X1362">
        <v>0</v>
      </c>
    </row>
    <row r="1363" spans="1:24" x14ac:dyDescent="0.25">
      <c r="A1363" t="s">
        <v>1928</v>
      </c>
      <c r="B1363" t="s">
        <v>1932</v>
      </c>
      <c r="C1363" t="s">
        <v>2044</v>
      </c>
      <c r="D1363" t="s">
        <v>171</v>
      </c>
      <c r="E1363" t="s">
        <v>11</v>
      </c>
      <c r="F1363" t="s">
        <v>1</v>
      </c>
      <c r="G1363" t="s">
        <v>724</v>
      </c>
      <c r="H1363" t="s">
        <v>411</v>
      </c>
      <c r="I1363" t="s">
        <v>1</v>
      </c>
      <c r="J1363">
        <v>5274.73</v>
      </c>
      <c r="K1363">
        <v>3207.48</v>
      </c>
      <c r="L1363">
        <v>2654.14</v>
      </c>
      <c r="M1363">
        <v>5352.2712707182318</v>
      </c>
      <c r="N1363">
        <v>5311.5199999999995</v>
      </c>
      <c r="O1363">
        <v>5308.28</v>
      </c>
      <c r="P1363">
        <v>0</v>
      </c>
      <c r="Q1363">
        <f t="shared" si="265"/>
        <v>5308.28</v>
      </c>
      <c r="R1363">
        <v>5308.28</v>
      </c>
      <c r="S1363">
        <f t="shared" si="266"/>
        <v>0</v>
      </c>
      <c r="T1363"/>
      <c r="U1363">
        <f t="shared" si="267"/>
        <v>0</v>
      </c>
      <c r="V1363">
        <f t="shared" si="268"/>
        <v>5308.28</v>
      </c>
      <c r="W1363">
        <f t="shared" si="269"/>
        <v>0</v>
      </c>
      <c r="X1363">
        <v>0</v>
      </c>
    </row>
    <row r="1364" spans="1:24" x14ac:dyDescent="0.25">
      <c r="A1364" t="s">
        <v>1928</v>
      </c>
      <c r="B1364" t="s">
        <v>1932</v>
      </c>
      <c r="C1364" t="s">
        <v>2044</v>
      </c>
      <c r="D1364" t="s">
        <v>171</v>
      </c>
      <c r="E1364" t="s">
        <v>65</v>
      </c>
      <c r="F1364" t="s">
        <v>1</v>
      </c>
      <c r="G1364" t="s">
        <v>724</v>
      </c>
      <c r="H1364" t="s">
        <v>476</v>
      </c>
      <c r="I1364" t="s">
        <v>1</v>
      </c>
      <c r="J1364">
        <v>-397.37</v>
      </c>
      <c r="K1364"/>
      <c r="L1364">
        <v>-202.88</v>
      </c>
      <c r="M1364">
        <v>-409.1226519337016</v>
      </c>
      <c r="N1364">
        <v>-397.38</v>
      </c>
      <c r="O1364">
        <v>-407.98945054950002</v>
      </c>
      <c r="P1364">
        <v>0</v>
      </c>
      <c r="Q1364">
        <f t="shared" si="265"/>
        <v>-407.98945054950002</v>
      </c>
      <c r="R1364">
        <v>0</v>
      </c>
      <c r="S1364">
        <f t="shared" si="266"/>
        <v>407.98945054950002</v>
      </c>
      <c r="T1364"/>
      <c r="U1364">
        <f t="shared" si="267"/>
        <v>0</v>
      </c>
      <c r="V1364">
        <f t="shared" si="268"/>
        <v>0</v>
      </c>
      <c r="W1364">
        <f t="shared" si="269"/>
        <v>407.98945054950002</v>
      </c>
      <c r="X1364">
        <v>0</v>
      </c>
    </row>
    <row r="1365" spans="1:24" x14ac:dyDescent="0.25">
      <c r="A1365" t="s">
        <v>1928</v>
      </c>
      <c r="B1365" t="s">
        <v>1932</v>
      </c>
      <c r="C1365" t="s">
        <v>2044</v>
      </c>
      <c r="D1365" t="s">
        <v>171</v>
      </c>
      <c r="E1365" t="s">
        <v>17</v>
      </c>
      <c r="F1365" t="s">
        <v>1</v>
      </c>
      <c r="G1365" t="s">
        <v>724</v>
      </c>
      <c r="H1365" t="s">
        <v>417</v>
      </c>
      <c r="I1365" t="s">
        <v>1</v>
      </c>
      <c r="J1365">
        <v>-7288.32</v>
      </c>
      <c r="K1365">
        <v>-6169.9999999999</v>
      </c>
      <c r="L1365">
        <v>-3139.4</v>
      </c>
      <c r="M1365">
        <v>-6330.8342541436468</v>
      </c>
      <c r="N1365">
        <v>-7373.2800000000007</v>
      </c>
      <c r="O1365">
        <v>-6313.2989010989004</v>
      </c>
      <c r="P1365">
        <v>0</v>
      </c>
      <c r="Q1365">
        <f t="shared" si="265"/>
        <v>-6313.2989010989004</v>
      </c>
      <c r="R1365">
        <v>-6313.2989010989004</v>
      </c>
      <c r="S1365">
        <f t="shared" si="266"/>
        <v>0</v>
      </c>
      <c r="T1365"/>
      <c r="U1365">
        <f t="shared" si="267"/>
        <v>0</v>
      </c>
      <c r="V1365">
        <f t="shared" si="268"/>
        <v>-6313.2989010989004</v>
      </c>
      <c r="W1365">
        <f t="shared" si="269"/>
        <v>0</v>
      </c>
      <c r="X1365">
        <v>0</v>
      </c>
    </row>
    <row r="1366" spans="1:24" x14ac:dyDescent="0.25">
      <c r="A1366" t="s">
        <v>1928</v>
      </c>
      <c r="B1366" t="s">
        <v>1932</v>
      </c>
      <c r="C1366" t="s">
        <v>2044</v>
      </c>
      <c r="D1366" t="s">
        <v>171</v>
      </c>
      <c r="E1366" t="s">
        <v>82</v>
      </c>
      <c r="F1366" t="s">
        <v>1</v>
      </c>
      <c r="G1366" t="s">
        <v>724</v>
      </c>
      <c r="H1366" t="s">
        <v>507</v>
      </c>
      <c r="I1366" t="s">
        <v>1</v>
      </c>
      <c r="J1366">
        <v>4427.75</v>
      </c>
      <c r="K1366">
        <v>3660.1497103958</v>
      </c>
      <c r="L1366">
        <v>2248.9499999999998</v>
      </c>
      <c r="M1366">
        <v>4535.1754143646403</v>
      </c>
      <c r="N1366">
        <v>4647.03</v>
      </c>
      <c r="O1366">
        <v>4522.6137362637</v>
      </c>
      <c r="P1366">
        <v>452</v>
      </c>
      <c r="Q1366">
        <f t="shared" si="265"/>
        <v>4974.6137362637</v>
      </c>
      <c r="R1366">
        <v>4975</v>
      </c>
      <c r="S1366">
        <f t="shared" si="266"/>
        <v>0.38626373629995214</v>
      </c>
      <c r="T1366">
        <v>2.75E-2</v>
      </c>
      <c r="U1366">
        <f t="shared" si="267"/>
        <v>136.8125</v>
      </c>
      <c r="V1366">
        <f t="shared" si="268"/>
        <v>5111.8125</v>
      </c>
      <c r="W1366">
        <f t="shared" si="269"/>
        <v>137.19876373629995</v>
      </c>
      <c r="X1366" t="s">
        <v>1503</v>
      </c>
    </row>
    <row r="1367" spans="1:24" x14ac:dyDescent="0.25">
      <c r="A1367" t="s">
        <v>1928</v>
      </c>
      <c r="B1367" t="s">
        <v>1932</v>
      </c>
      <c r="C1367" t="s">
        <v>2044</v>
      </c>
      <c r="D1367" t="s">
        <v>171</v>
      </c>
      <c r="E1367" t="s">
        <v>72</v>
      </c>
      <c r="F1367" t="s">
        <v>1</v>
      </c>
      <c r="G1367" t="s">
        <v>724</v>
      </c>
      <c r="H1367" t="s">
        <v>489</v>
      </c>
      <c r="I1367" t="s">
        <v>1</v>
      </c>
      <c r="J1367">
        <v>2010.82</v>
      </c>
      <c r="K1367">
        <v>1915.4039983071</v>
      </c>
      <c r="L1367">
        <v>940.8</v>
      </c>
      <c r="M1367">
        <v>1897.1933701657458</v>
      </c>
      <c r="N1367">
        <v>1929.34</v>
      </c>
      <c r="O1367">
        <v>1891.9384615385</v>
      </c>
      <c r="P1367">
        <v>0</v>
      </c>
      <c r="Q1367">
        <f t="shared" si="265"/>
        <v>1891.9384615385</v>
      </c>
      <c r="R1367">
        <v>1891.9384615385</v>
      </c>
      <c r="S1367">
        <f t="shared" si="266"/>
        <v>0</v>
      </c>
      <c r="T1367">
        <v>2.2499999999999999E-2</v>
      </c>
      <c r="U1367">
        <f t="shared" si="267"/>
        <v>42.568615384616244</v>
      </c>
      <c r="V1367">
        <f t="shared" si="268"/>
        <v>1934.5070769231163</v>
      </c>
      <c r="W1367">
        <f t="shared" si="269"/>
        <v>42.568615384616351</v>
      </c>
      <c r="X1367">
        <v>0</v>
      </c>
    </row>
    <row r="1368" spans="1:24" x14ac:dyDescent="0.25">
      <c r="A1368" t="s">
        <v>1928</v>
      </c>
      <c r="B1368" t="s">
        <v>1932</v>
      </c>
      <c r="C1368" t="s">
        <v>2044</v>
      </c>
      <c r="D1368" t="s">
        <v>171</v>
      </c>
      <c r="E1368" t="s">
        <v>18</v>
      </c>
      <c r="F1368" t="s">
        <v>1</v>
      </c>
      <c r="G1368" t="s">
        <v>724</v>
      </c>
      <c r="H1368" t="s">
        <v>418</v>
      </c>
      <c r="I1368" t="s">
        <v>1</v>
      </c>
      <c r="J1368">
        <v>120267.18</v>
      </c>
      <c r="K1368">
        <v>112060.21449186601</v>
      </c>
      <c r="L1368">
        <v>63996.38</v>
      </c>
      <c r="M1368">
        <v>129053.47348066297</v>
      </c>
      <c r="N1368">
        <v>120208.01999999999</v>
      </c>
      <c r="O1368">
        <v>128696.016923077</v>
      </c>
      <c r="P1368">
        <v>12960</v>
      </c>
      <c r="Q1368">
        <f t="shared" si="265"/>
        <v>141656.016923077</v>
      </c>
      <c r="R1368">
        <v>141656</v>
      </c>
      <c r="S1368">
        <f t="shared" si="266"/>
        <v>-1.6923076997045428E-2</v>
      </c>
      <c r="T1368">
        <v>0.02</v>
      </c>
      <c r="U1368">
        <f t="shared" si="267"/>
        <v>2833.12</v>
      </c>
      <c r="V1368">
        <f t="shared" si="268"/>
        <v>144489.12</v>
      </c>
      <c r="W1368">
        <f t="shared" si="269"/>
        <v>2833.1030769229983</v>
      </c>
      <c r="X1368" t="s">
        <v>1503</v>
      </c>
    </row>
    <row r="1369" spans="1:24" x14ac:dyDescent="0.25">
      <c r="A1369" t="s">
        <v>1928</v>
      </c>
      <c r="B1369" t="s">
        <v>1932</v>
      </c>
      <c r="C1369" t="s">
        <v>2044</v>
      </c>
      <c r="D1369" t="s">
        <v>171</v>
      </c>
      <c r="E1369" t="s">
        <v>57</v>
      </c>
      <c r="F1369" t="s">
        <v>1</v>
      </c>
      <c r="G1369" t="s">
        <v>724</v>
      </c>
      <c r="H1369" t="s">
        <v>462</v>
      </c>
      <c r="I1369" t="s">
        <v>1</v>
      </c>
      <c r="J1369">
        <v>5744.59</v>
      </c>
      <c r="K1369">
        <v>7091.5528559672002</v>
      </c>
      <c r="L1369">
        <v>1962.89</v>
      </c>
      <c r="M1369">
        <v>3958.3140883977903</v>
      </c>
      <c r="N1369">
        <v>4167.6499999999996</v>
      </c>
      <c r="O1369">
        <v>3947.3502197802</v>
      </c>
      <c r="P1369">
        <v>0</v>
      </c>
      <c r="Q1369">
        <f t="shared" si="265"/>
        <v>3947.3502197802</v>
      </c>
      <c r="R1369">
        <v>3947.3502197802</v>
      </c>
      <c r="S1369">
        <f t="shared" si="266"/>
        <v>0</v>
      </c>
      <c r="T1369">
        <v>0.04</v>
      </c>
      <c r="U1369">
        <f t="shared" si="267"/>
        <v>157.89400879120799</v>
      </c>
      <c r="V1369">
        <f t="shared" si="268"/>
        <v>4105.2442285714078</v>
      </c>
      <c r="W1369">
        <f t="shared" si="269"/>
        <v>157.89400879120785</v>
      </c>
      <c r="X1369">
        <v>0</v>
      </c>
    </row>
    <row r="1370" spans="1:24" x14ac:dyDescent="0.25">
      <c r="A1370" t="s">
        <v>1928</v>
      </c>
      <c r="B1370" t="s">
        <v>1932</v>
      </c>
      <c r="C1370" t="s">
        <v>2044</v>
      </c>
      <c r="D1370" t="s">
        <v>171</v>
      </c>
      <c r="E1370" t="s">
        <v>74</v>
      </c>
      <c r="F1370" t="s">
        <v>1</v>
      </c>
      <c r="G1370" t="s">
        <v>724</v>
      </c>
      <c r="H1370" t="s">
        <v>491</v>
      </c>
      <c r="I1370" t="s">
        <v>1</v>
      </c>
      <c r="J1370">
        <v>45256.31</v>
      </c>
      <c r="K1370">
        <v>44914.967320409</v>
      </c>
      <c r="L1370">
        <v>23269.919999999998</v>
      </c>
      <c r="M1370">
        <v>46925.529281767951</v>
      </c>
      <c r="N1370">
        <v>43382.150000000009</v>
      </c>
      <c r="O1370">
        <v>46795.553406593397</v>
      </c>
      <c r="P1370">
        <v>0</v>
      </c>
      <c r="Q1370">
        <f t="shared" si="265"/>
        <v>46795.553406593397</v>
      </c>
      <c r="R1370">
        <v>46795.553406593397</v>
      </c>
      <c r="S1370">
        <f t="shared" si="266"/>
        <v>0</v>
      </c>
      <c r="T1370">
        <v>3.5000000000000003E-2</v>
      </c>
      <c r="U1370">
        <f t="shared" si="267"/>
        <v>1637.844369230769</v>
      </c>
      <c r="V1370">
        <f t="shared" si="268"/>
        <v>48433.397775824167</v>
      </c>
      <c r="W1370">
        <f t="shared" si="269"/>
        <v>1637.8443692307701</v>
      </c>
      <c r="X1370">
        <v>0</v>
      </c>
    </row>
    <row r="1371" spans="1:24" x14ac:dyDescent="0.25">
      <c r="A1371" t="s">
        <v>1928</v>
      </c>
      <c r="B1371" t="s">
        <v>1932</v>
      </c>
      <c r="C1371" t="s">
        <v>2044</v>
      </c>
      <c r="D1371" t="s">
        <v>171</v>
      </c>
      <c r="E1371" t="s">
        <v>85</v>
      </c>
      <c r="F1371" t="s">
        <v>1</v>
      </c>
      <c r="G1371" t="s">
        <v>724</v>
      </c>
      <c r="H1371" t="s">
        <v>510</v>
      </c>
      <c r="I1371" t="s">
        <v>1</v>
      </c>
      <c r="J1371">
        <v>1292.75</v>
      </c>
      <c r="K1371">
        <v>1537.9465441816001</v>
      </c>
      <c r="L1371">
        <v>170.15</v>
      </c>
      <c r="M1371">
        <v>343.12016574585635</v>
      </c>
      <c r="N1371">
        <v>628.22</v>
      </c>
      <c r="O1371">
        <v>342.16978021979997</v>
      </c>
      <c r="P1371">
        <v>0</v>
      </c>
      <c r="Q1371">
        <f t="shared" si="265"/>
        <v>342.16978021979997</v>
      </c>
      <c r="R1371">
        <v>342.16978021979997</v>
      </c>
      <c r="S1371">
        <f t="shared" si="266"/>
        <v>0</v>
      </c>
      <c r="T1371">
        <v>0.02</v>
      </c>
      <c r="U1371">
        <f t="shared" si="267"/>
        <v>6.843395604396</v>
      </c>
      <c r="V1371">
        <f t="shared" si="268"/>
        <v>349.01317582419597</v>
      </c>
      <c r="W1371">
        <f t="shared" si="269"/>
        <v>6.8433956043959938</v>
      </c>
      <c r="X1371">
        <v>0</v>
      </c>
    </row>
    <row r="1372" spans="1:24" x14ac:dyDescent="0.25">
      <c r="A1372" t="s">
        <v>1928</v>
      </c>
      <c r="B1372" t="s">
        <v>1932</v>
      </c>
      <c r="C1372" t="s">
        <v>2044</v>
      </c>
      <c r="D1372" t="s">
        <v>171</v>
      </c>
      <c r="E1372" t="s">
        <v>119</v>
      </c>
      <c r="F1372" t="s">
        <v>1</v>
      </c>
      <c r="G1372" t="s">
        <v>724</v>
      </c>
      <c r="H1372" t="s">
        <v>588</v>
      </c>
      <c r="I1372" t="s">
        <v>1</v>
      </c>
      <c r="J1372">
        <v>117.6</v>
      </c>
      <c r="K1372"/>
      <c r="L1372">
        <v>0</v>
      </c>
      <c r="M1372">
        <v>0</v>
      </c>
      <c r="N1372">
        <v>0</v>
      </c>
      <c r="O1372"/>
      <c r="P1372">
        <v>0</v>
      </c>
      <c r="Q1372">
        <f t="shared" si="265"/>
        <v>0</v>
      </c>
      <c r="R1372">
        <v>0</v>
      </c>
      <c r="S1372">
        <f t="shared" si="266"/>
        <v>0</v>
      </c>
      <c r="T1372">
        <v>1.4999999999999999E-2</v>
      </c>
      <c r="U1372">
        <f t="shared" si="267"/>
        <v>0</v>
      </c>
      <c r="V1372">
        <f t="shared" si="268"/>
        <v>0</v>
      </c>
      <c r="W1372">
        <f t="shared" si="269"/>
        <v>0</v>
      </c>
      <c r="X1372">
        <v>0</v>
      </c>
    </row>
    <row r="1373" spans="1:24" x14ac:dyDescent="0.25">
      <c r="A1373" t="s">
        <v>1928</v>
      </c>
      <c r="B1373" t="s">
        <v>1932</v>
      </c>
      <c r="C1373" t="s">
        <v>2044</v>
      </c>
      <c r="D1373" t="s">
        <v>171</v>
      </c>
      <c r="E1373" t="s">
        <v>20</v>
      </c>
      <c r="F1373" t="s">
        <v>1</v>
      </c>
      <c r="G1373" t="s">
        <v>724</v>
      </c>
      <c r="H1373" t="s">
        <v>420</v>
      </c>
      <c r="I1373" t="s">
        <v>1</v>
      </c>
      <c r="J1373">
        <v>54319.98</v>
      </c>
      <c r="K1373">
        <v>51831.824676159398</v>
      </c>
      <c r="L1373">
        <v>20421.080000000002</v>
      </c>
      <c r="M1373">
        <v>41180.630939226525</v>
      </c>
      <c r="N1373">
        <v>44777.110000000008</v>
      </c>
      <c r="O1373">
        <v>41066.567472527502</v>
      </c>
      <c r="P1373">
        <v>4107</v>
      </c>
      <c r="Q1373">
        <f t="shared" si="265"/>
        <v>45173.567472527502</v>
      </c>
      <c r="R1373">
        <v>45174</v>
      </c>
      <c r="S1373">
        <f t="shared" si="266"/>
        <v>0.43252747249789536</v>
      </c>
      <c r="T1373">
        <v>0.04</v>
      </c>
      <c r="U1373">
        <f t="shared" si="267"/>
        <v>1806.96</v>
      </c>
      <c r="V1373">
        <f t="shared" si="268"/>
        <v>46980.959999999999</v>
      </c>
      <c r="W1373">
        <f t="shared" si="269"/>
        <v>1807.392527472497</v>
      </c>
      <c r="X1373" t="s">
        <v>1503</v>
      </c>
    </row>
    <row r="1374" spans="1:24" x14ac:dyDescent="0.25">
      <c r="A1374" t="s">
        <v>1928</v>
      </c>
      <c r="B1374" t="s">
        <v>1932</v>
      </c>
      <c r="C1374" t="s">
        <v>2044</v>
      </c>
      <c r="D1374" t="s">
        <v>171</v>
      </c>
      <c r="E1374" t="s">
        <v>21</v>
      </c>
      <c r="F1374" t="s">
        <v>1</v>
      </c>
      <c r="G1374" t="s">
        <v>724</v>
      </c>
      <c r="H1374" t="s">
        <v>421</v>
      </c>
      <c r="I1374" t="s">
        <v>1</v>
      </c>
      <c r="J1374">
        <v>7767.9</v>
      </c>
      <c r="K1374">
        <v>7453.2300000001997</v>
      </c>
      <c r="L1374">
        <v>4228.59</v>
      </c>
      <c r="M1374">
        <v>8527.2671270718238</v>
      </c>
      <c r="N1374">
        <v>8042.3099999999995</v>
      </c>
      <c r="O1374">
        <v>8527.2671270718001</v>
      </c>
      <c r="P1374">
        <v>0</v>
      </c>
      <c r="Q1374">
        <f t="shared" si="265"/>
        <v>8527.2671270718001</v>
      </c>
      <c r="R1374">
        <v>8527.2671270718001</v>
      </c>
      <c r="S1374">
        <f t="shared" si="266"/>
        <v>0</v>
      </c>
      <c r="T1374">
        <v>0.03</v>
      </c>
      <c r="U1374">
        <f t="shared" si="267"/>
        <v>255.81801381215399</v>
      </c>
      <c r="V1374">
        <f t="shared" si="268"/>
        <v>8783.0851408839535</v>
      </c>
      <c r="W1374">
        <f t="shared" si="269"/>
        <v>255.81801381215337</v>
      </c>
      <c r="X1374">
        <v>0</v>
      </c>
    </row>
    <row r="1375" spans="1:24" x14ac:dyDescent="0.25">
      <c r="A1375" t="s">
        <v>1928</v>
      </c>
      <c r="B1375" t="s">
        <v>1932</v>
      </c>
      <c r="C1375" t="s">
        <v>2044</v>
      </c>
      <c r="D1375" t="s">
        <v>171</v>
      </c>
      <c r="E1375" t="s">
        <v>22</v>
      </c>
      <c r="F1375" t="s">
        <v>1</v>
      </c>
      <c r="G1375" t="s">
        <v>724</v>
      </c>
      <c r="H1375" t="s">
        <v>422</v>
      </c>
      <c r="I1375" t="s">
        <v>1</v>
      </c>
      <c r="J1375">
        <v>4838.63</v>
      </c>
      <c r="K1375">
        <v>4409.1000000002996</v>
      </c>
      <c r="L1375">
        <v>1125.68</v>
      </c>
      <c r="M1375">
        <v>2270.017679558011</v>
      </c>
      <c r="N1375">
        <v>3836.3200000000006</v>
      </c>
      <c r="O1375">
        <v>2270.0176795580001</v>
      </c>
      <c r="P1375">
        <v>0</v>
      </c>
      <c r="Q1375">
        <f t="shared" si="265"/>
        <v>2270.0176795580001</v>
      </c>
      <c r="R1375">
        <v>2270.0176795580001</v>
      </c>
      <c r="S1375">
        <f t="shared" si="266"/>
        <v>0</v>
      </c>
      <c r="T1375">
        <v>3.5000000000000003E-2</v>
      </c>
      <c r="U1375">
        <f t="shared" si="267"/>
        <v>79.450618784530008</v>
      </c>
      <c r="V1375">
        <f t="shared" si="268"/>
        <v>2349.46829834253</v>
      </c>
      <c r="W1375">
        <f t="shared" si="269"/>
        <v>79.450618784529979</v>
      </c>
      <c r="X1375">
        <v>0</v>
      </c>
    </row>
    <row r="1376" spans="1:24" x14ac:dyDescent="0.25">
      <c r="A1376" t="s">
        <v>1928</v>
      </c>
      <c r="B1376" t="s">
        <v>1932</v>
      </c>
      <c r="C1376" t="s">
        <v>2044</v>
      </c>
      <c r="D1376" t="s">
        <v>171</v>
      </c>
      <c r="E1376" t="s">
        <v>23</v>
      </c>
      <c r="F1376" t="s">
        <v>1</v>
      </c>
      <c r="G1376" t="s">
        <v>724</v>
      </c>
      <c r="H1376" t="s">
        <v>423</v>
      </c>
      <c r="I1376" t="s">
        <v>1</v>
      </c>
      <c r="J1376">
        <v>17974.39</v>
      </c>
      <c r="K1376">
        <v>32291.9999999998</v>
      </c>
      <c r="L1376">
        <v>1134.06</v>
      </c>
      <c r="M1376">
        <v>2286.9165745856353</v>
      </c>
      <c r="N1376">
        <v>3510.74</v>
      </c>
      <c r="O1376">
        <v>2286.9165745855998</v>
      </c>
      <c r="P1376">
        <v>0</v>
      </c>
      <c r="Q1376">
        <f t="shared" si="265"/>
        <v>2286.9165745855998</v>
      </c>
      <c r="R1376">
        <v>2286.9165745855998</v>
      </c>
      <c r="S1376">
        <f t="shared" si="266"/>
        <v>0</v>
      </c>
      <c r="T1376">
        <v>3.5000000000000003E-2</v>
      </c>
      <c r="U1376">
        <f t="shared" si="267"/>
        <v>80.042080110496002</v>
      </c>
      <c r="V1376">
        <f t="shared" si="268"/>
        <v>2366.9586546960959</v>
      </c>
      <c r="W1376">
        <f t="shared" si="269"/>
        <v>80.042080110496045</v>
      </c>
      <c r="X1376">
        <v>0</v>
      </c>
    </row>
    <row r="1377" spans="1:24" x14ac:dyDescent="0.25">
      <c r="A1377" t="s">
        <v>1928</v>
      </c>
      <c r="B1377" t="s">
        <v>1932</v>
      </c>
      <c r="C1377" t="s">
        <v>2044</v>
      </c>
      <c r="D1377" t="s">
        <v>171</v>
      </c>
      <c r="E1377" t="s">
        <v>26</v>
      </c>
      <c r="F1377" t="s">
        <v>1</v>
      </c>
      <c r="G1377" t="s">
        <v>724</v>
      </c>
      <c r="H1377" t="s">
        <v>426</v>
      </c>
      <c r="I1377" t="s">
        <v>1</v>
      </c>
      <c r="J1377">
        <v>770.39</v>
      </c>
      <c r="K1377">
        <v>981.23837579880001</v>
      </c>
      <c r="L1377">
        <v>0</v>
      </c>
      <c r="M1377">
        <v>0</v>
      </c>
      <c r="N1377">
        <v>0</v>
      </c>
      <c r="O1377"/>
      <c r="P1377">
        <v>1000</v>
      </c>
      <c r="Q1377">
        <f t="shared" si="265"/>
        <v>1000</v>
      </c>
      <c r="R1377">
        <v>1000</v>
      </c>
      <c r="S1377">
        <f t="shared" si="266"/>
        <v>0</v>
      </c>
      <c r="T1377"/>
      <c r="U1377">
        <f t="shared" si="267"/>
        <v>0</v>
      </c>
      <c r="V1377">
        <f t="shared" si="268"/>
        <v>1000</v>
      </c>
      <c r="W1377">
        <f t="shared" si="269"/>
        <v>0</v>
      </c>
      <c r="X1377" t="s">
        <v>1460</v>
      </c>
    </row>
    <row r="1378" spans="1:24" x14ac:dyDescent="0.25">
      <c r="A1378" t="s">
        <v>1928</v>
      </c>
      <c r="B1378" t="s">
        <v>1932</v>
      </c>
      <c r="C1378" t="s">
        <v>2044</v>
      </c>
      <c r="D1378" t="s">
        <v>171</v>
      </c>
      <c r="E1378" t="s">
        <v>28</v>
      </c>
      <c r="F1378" t="s">
        <v>1</v>
      </c>
      <c r="G1378" t="s">
        <v>724</v>
      </c>
      <c r="H1378" t="s">
        <v>428</v>
      </c>
      <c r="I1378" t="s">
        <v>1</v>
      </c>
      <c r="J1378">
        <v>9200.2999999999993</v>
      </c>
      <c r="K1378">
        <v>11640</v>
      </c>
      <c r="L1378">
        <v>1763.37</v>
      </c>
      <c r="M1378">
        <v>3555.9671270718227</v>
      </c>
      <c r="N1378">
        <v>6819.1899999999987</v>
      </c>
      <c r="O1378">
        <v>3526.74</v>
      </c>
      <c r="P1378">
        <v>0</v>
      </c>
      <c r="Q1378">
        <f t="shared" si="265"/>
        <v>3526.74</v>
      </c>
      <c r="R1378">
        <v>3526.74</v>
      </c>
      <c r="S1378">
        <f t="shared" si="266"/>
        <v>0</v>
      </c>
      <c r="T1378"/>
      <c r="U1378">
        <f t="shared" si="267"/>
        <v>0</v>
      </c>
      <c r="V1378">
        <f t="shared" si="268"/>
        <v>3526.74</v>
      </c>
      <c r="W1378">
        <f t="shared" si="269"/>
        <v>0</v>
      </c>
      <c r="X1378">
        <v>0</v>
      </c>
    </row>
    <row r="1379" spans="1:24" x14ac:dyDescent="0.25">
      <c r="A1379" t="s">
        <v>1928</v>
      </c>
      <c r="B1379" t="s">
        <v>1932</v>
      </c>
      <c r="C1379" t="s">
        <v>2044</v>
      </c>
      <c r="D1379" t="s">
        <v>171</v>
      </c>
      <c r="E1379" t="s">
        <v>29</v>
      </c>
      <c r="F1379" t="s">
        <v>1</v>
      </c>
      <c r="G1379" t="s">
        <v>724</v>
      </c>
      <c r="H1379" t="s">
        <v>429</v>
      </c>
      <c r="I1379" t="s">
        <v>1</v>
      </c>
      <c r="J1379">
        <v>52.5</v>
      </c>
      <c r="K1379"/>
      <c r="L1379">
        <v>103.5</v>
      </c>
      <c r="M1379">
        <v>208.71546961325967</v>
      </c>
      <c r="N1379">
        <v>156</v>
      </c>
      <c r="O1379">
        <v>207</v>
      </c>
      <c r="P1379">
        <v>-51</v>
      </c>
      <c r="Q1379">
        <f t="shared" si="265"/>
        <v>156</v>
      </c>
      <c r="R1379">
        <v>156</v>
      </c>
      <c r="S1379">
        <f t="shared" si="266"/>
        <v>0</v>
      </c>
      <c r="T1379"/>
      <c r="U1379">
        <f t="shared" si="267"/>
        <v>0</v>
      </c>
      <c r="V1379">
        <f t="shared" si="268"/>
        <v>156</v>
      </c>
      <c r="W1379">
        <f t="shared" si="269"/>
        <v>0</v>
      </c>
      <c r="X1379" t="s">
        <v>1421</v>
      </c>
    </row>
    <row r="1380" spans="1:24" x14ac:dyDescent="0.25">
      <c r="A1380" t="s">
        <v>1928</v>
      </c>
      <c r="B1380" t="s">
        <v>1932</v>
      </c>
      <c r="C1380" t="s">
        <v>2044</v>
      </c>
      <c r="D1380" t="s">
        <v>171</v>
      </c>
      <c r="E1380" t="s">
        <v>33</v>
      </c>
      <c r="F1380" t="s">
        <v>1</v>
      </c>
      <c r="G1380" t="s">
        <v>724</v>
      </c>
      <c r="H1380" t="s">
        <v>433</v>
      </c>
      <c r="I1380" t="s">
        <v>1</v>
      </c>
      <c r="J1380"/>
      <c r="K1380">
        <v>245.30959207320001</v>
      </c>
      <c r="L1380">
        <v>0</v>
      </c>
      <c r="M1380">
        <v>0</v>
      </c>
      <c r="N1380">
        <v>0</v>
      </c>
      <c r="O1380"/>
      <c r="P1380">
        <v>500</v>
      </c>
      <c r="Q1380">
        <f t="shared" si="265"/>
        <v>500</v>
      </c>
      <c r="R1380">
        <v>500</v>
      </c>
      <c r="S1380">
        <f t="shared" si="266"/>
        <v>0</v>
      </c>
      <c r="T1380"/>
      <c r="U1380">
        <f t="shared" si="267"/>
        <v>0</v>
      </c>
      <c r="V1380">
        <f t="shared" si="268"/>
        <v>500</v>
      </c>
      <c r="W1380">
        <f t="shared" si="269"/>
        <v>0</v>
      </c>
      <c r="X1380" t="s">
        <v>1422</v>
      </c>
    </row>
    <row r="1381" spans="1:24" x14ac:dyDescent="0.25">
      <c r="A1381" t="s">
        <v>1928</v>
      </c>
      <c r="B1381" t="s">
        <v>1932</v>
      </c>
      <c r="C1381" t="s">
        <v>2044</v>
      </c>
      <c r="D1381" t="s">
        <v>171</v>
      </c>
      <c r="E1381" t="s">
        <v>37</v>
      </c>
      <c r="F1381" t="s">
        <v>1</v>
      </c>
      <c r="G1381" t="s">
        <v>724</v>
      </c>
      <c r="H1381" t="s">
        <v>437</v>
      </c>
      <c r="I1381" t="s">
        <v>1</v>
      </c>
      <c r="J1381"/>
      <c r="K1381">
        <v>1471.8575524416001</v>
      </c>
      <c r="L1381">
        <v>119</v>
      </c>
      <c r="M1381">
        <v>239.97237569060772</v>
      </c>
      <c r="N1381">
        <v>119</v>
      </c>
      <c r="O1381">
        <v>238</v>
      </c>
      <c r="P1381">
        <v>1262</v>
      </c>
      <c r="Q1381">
        <f t="shared" si="265"/>
        <v>1500</v>
      </c>
      <c r="R1381">
        <v>1500</v>
      </c>
      <c r="S1381">
        <f t="shared" si="266"/>
        <v>0</v>
      </c>
      <c r="T1381"/>
      <c r="U1381">
        <f t="shared" si="267"/>
        <v>0</v>
      </c>
      <c r="V1381">
        <f t="shared" si="268"/>
        <v>1500</v>
      </c>
      <c r="W1381">
        <f t="shared" si="269"/>
        <v>0</v>
      </c>
      <c r="X1381" t="s">
        <v>1423</v>
      </c>
    </row>
    <row r="1382" spans="1:24" x14ac:dyDescent="0.25">
      <c r="A1382" t="s">
        <v>1928</v>
      </c>
      <c r="B1382" t="s">
        <v>1932</v>
      </c>
      <c r="C1382" t="s">
        <v>2044</v>
      </c>
      <c r="D1382" t="s">
        <v>171</v>
      </c>
      <c r="E1382" t="s">
        <v>121</v>
      </c>
      <c r="F1382" t="s">
        <v>1</v>
      </c>
      <c r="G1382" t="s">
        <v>724</v>
      </c>
      <c r="H1382" t="s">
        <v>590</v>
      </c>
      <c r="I1382" t="s">
        <v>1</v>
      </c>
      <c r="J1382"/>
      <c r="K1382">
        <v>55092.550058979599</v>
      </c>
      <c r="L1382">
        <v>0</v>
      </c>
      <c r="M1382">
        <v>0</v>
      </c>
      <c r="N1382">
        <v>0</v>
      </c>
      <c r="O1382"/>
      <c r="P1382">
        <v>0</v>
      </c>
      <c r="Q1382">
        <f t="shared" si="265"/>
        <v>0</v>
      </c>
      <c r="R1382">
        <v>0</v>
      </c>
      <c r="S1382">
        <f t="shared" si="266"/>
        <v>0</v>
      </c>
      <c r="T1382"/>
      <c r="U1382">
        <f t="shared" si="267"/>
        <v>0</v>
      </c>
      <c r="V1382">
        <f t="shared" si="268"/>
        <v>0</v>
      </c>
      <c r="W1382">
        <f t="shared" si="269"/>
        <v>0</v>
      </c>
      <c r="X1382">
        <v>0</v>
      </c>
    </row>
    <row r="1383" spans="1:24" x14ac:dyDescent="0.25">
      <c r="A1383" t="s">
        <v>1928</v>
      </c>
      <c r="B1383" t="s">
        <v>1932</v>
      </c>
      <c r="C1383" t="s">
        <v>2044</v>
      </c>
      <c r="D1383" t="s">
        <v>171</v>
      </c>
      <c r="E1383" t="s">
        <v>41</v>
      </c>
      <c r="F1383" t="s">
        <v>1</v>
      </c>
      <c r="G1383" t="s">
        <v>724</v>
      </c>
      <c r="H1383" t="s">
        <v>441</v>
      </c>
      <c r="I1383" t="s">
        <v>1</v>
      </c>
      <c r="J1383">
        <v>1203.52</v>
      </c>
      <c r="K1383">
        <v>906.70999999920002</v>
      </c>
      <c r="L1383">
        <v>242.22</v>
      </c>
      <c r="M1383">
        <v>488.45469613259672</v>
      </c>
      <c r="N1383">
        <v>776.7</v>
      </c>
      <c r="O1383">
        <v>484.44</v>
      </c>
      <c r="P1383">
        <v>0</v>
      </c>
      <c r="Q1383">
        <f t="shared" si="265"/>
        <v>484.44</v>
      </c>
      <c r="R1383">
        <v>484.44</v>
      </c>
      <c r="S1383">
        <f t="shared" si="266"/>
        <v>0</v>
      </c>
      <c r="T1383">
        <v>0.03</v>
      </c>
      <c r="U1383">
        <f t="shared" si="267"/>
        <v>14.533199999999999</v>
      </c>
      <c r="V1383">
        <f t="shared" si="268"/>
        <v>498.97320000000002</v>
      </c>
      <c r="W1383">
        <f t="shared" si="269"/>
        <v>14.533200000000022</v>
      </c>
      <c r="X1383">
        <v>0</v>
      </c>
    </row>
    <row r="1384" spans="1:24" x14ac:dyDescent="0.25">
      <c r="A1384" t="s">
        <v>1928</v>
      </c>
      <c r="B1384" t="s">
        <v>1932</v>
      </c>
      <c r="C1384" t="s">
        <v>2044</v>
      </c>
      <c r="D1384" t="s">
        <v>171</v>
      </c>
      <c r="E1384" t="s">
        <v>46</v>
      </c>
      <c r="F1384" t="s">
        <v>1</v>
      </c>
      <c r="G1384" t="s">
        <v>724</v>
      </c>
      <c r="H1384" t="s">
        <v>446</v>
      </c>
      <c r="I1384" t="s">
        <v>1</v>
      </c>
      <c r="J1384">
        <v>48</v>
      </c>
      <c r="K1384"/>
      <c r="L1384">
        <v>0</v>
      </c>
      <c r="M1384">
        <v>0</v>
      </c>
      <c r="N1384">
        <v>0</v>
      </c>
      <c r="O1384"/>
      <c r="P1384">
        <v>0</v>
      </c>
      <c r="Q1384">
        <f t="shared" si="265"/>
        <v>0</v>
      </c>
      <c r="R1384">
        <v>0</v>
      </c>
      <c r="S1384">
        <f t="shared" si="266"/>
        <v>0</v>
      </c>
      <c r="T1384">
        <v>0.03</v>
      </c>
      <c r="U1384">
        <f t="shared" si="267"/>
        <v>0</v>
      </c>
      <c r="V1384">
        <f t="shared" si="268"/>
        <v>0</v>
      </c>
      <c r="W1384">
        <f t="shared" si="269"/>
        <v>0</v>
      </c>
      <c r="X1384">
        <v>0</v>
      </c>
    </row>
    <row r="1385" spans="1:24" x14ac:dyDescent="0.25">
      <c r="A1385" t="s">
        <v>1928</v>
      </c>
      <c r="B1385" t="s">
        <v>1932</v>
      </c>
      <c r="C1385" t="s">
        <v>2044</v>
      </c>
      <c r="D1385" t="s">
        <v>171</v>
      </c>
      <c r="E1385" t="s">
        <v>47</v>
      </c>
      <c r="F1385" t="s">
        <v>1</v>
      </c>
      <c r="G1385" t="s">
        <v>724</v>
      </c>
      <c r="H1385" t="s">
        <v>447</v>
      </c>
      <c r="I1385" t="s">
        <v>1</v>
      </c>
      <c r="J1385">
        <v>728.75</v>
      </c>
      <c r="K1385">
        <v>2103</v>
      </c>
      <c r="L1385">
        <v>0</v>
      </c>
      <c r="M1385">
        <v>0</v>
      </c>
      <c r="N1385">
        <v>234</v>
      </c>
      <c r="O1385"/>
      <c r="P1385">
        <v>0</v>
      </c>
      <c r="Q1385">
        <f t="shared" si="265"/>
        <v>0</v>
      </c>
      <c r="R1385">
        <v>0</v>
      </c>
      <c r="S1385">
        <f t="shared" si="266"/>
        <v>0</v>
      </c>
      <c r="T1385">
        <v>0.03</v>
      </c>
      <c r="U1385">
        <f t="shared" si="267"/>
        <v>0</v>
      </c>
      <c r="V1385">
        <f t="shared" si="268"/>
        <v>0</v>
      </c>
      <c r="W1385">
        <f t="shared" si="269"/>
        <v>0</v>
      </c>
      <c r="X1385">
        <v>0</v>
      </c>
    </row>
    <row r="1386" spans="1:24" x14ac:dyDescent="0.25">
      <c r="A1386" t="s">
        <v>1928</v>
      </c>
      <c r="B1386" t="s">
        <v>1932</v>
      </c>
      <c r="C1386" t="s">
        <v>2044</v>
      </c>
      <c r="D1386" t="s">
        <v>171</v>
      </c>
      <c r="E1386" t="s">
        <v>50</v>
      </c>
      <c r="F1386" t="s">
        <v>1</v>
      </c>
      <c r="G1386" t="s">
        <v>724</v>
      </c>
      <c r="H1386" t="s">
        <v>450</v>
      </c>
      <c r="I1386" t="s">
        <v>1</v>
      </c>
      <c r="J1386">
        <v>1441.64</v>
      </c>
      <c r="K1386">
        <v>1380.0000000002999</v>
      </c>
      <c r="L1386">
        <v>786.36</v>
      </c>
      <c r="M1386">
        <v>1585.7535911602213</v>
      </c>
      <c r="N1386">
        <v>1572.6799999999998</v>
      </c>
      <c r="O1386">
        <v>1585.7535911601999</v>
      </c>
      <c r="P1386">
        <v>0</v>
      </c>
      <c r="Q1386">
        <f t="shared" si="265"/>
        <v>1585.7535911601999</v>
      </c>
      <c r="R1386">
        <v>1585.7535911601999</v>
      </c>
      <c r="S1386">
        <f t="shared" si="266"/>
        <v>0</v>
      </c>
      <c r="T1386"/>
      <c r="U1386">
        <f t="shared" si="267"/>
        <v>0</v>
      </c>
      <c r="V1386">
        <f t="shared" si="268"/>
        <v>1585.7535911601999</v>
      </c>
      <c r="W1386">
        <f t="shared" si="269"/>
        <v>0</v>
      </c>
      <c r="X1386">
        <v>0</v>
      </c>
    </row>
    <row r="1387" spans="1:24" x14ac:dyDescent="0.25">
      <c r="A1387" t="s">
        <v>1928</v>
      </c>
      <c r="B1387" t="s">
        <v>1932</v>
      </c>
      <c r="C1387" t="s">
        <v>2044</v>
      </c>
      <c r="D1387" t="s">
        <v>171</v>
      </c>
      <c r="E1387" t="s">
        <v>51</v>
      </c>
      <c r="F1387" t="s">
        <v>51</v>
      </c>
      <c r="G1387" t="s">
        <v>725</v>
      </c>
      <c r="H1387"/>
      <c r="I1387"/>
      <c r="J1387">
        <v>345090.77000000008</v>
      </c>
      <c r="K1387">
        <v>395308.54263514257</v>
      </c>
      <c r="L1387">
        <v>134172.64999999997</v>
      </c>
      <c r="M1387">
        <v>270569.15607734805</v>
      </c>
      <c r="N1387">
        <v>296327.3</v>
      </c>
      <c r="O1387">
        <v>269875.67695221893</v>
      </c>
      <c r="P1387">
        <f>SUMIF($F$1361:$F$1386,"&lt;&gt;EV_*",$P$1361:$P$1386)</f>
        <v>-4670</v>
      </c>
      <c r="Q1387">
        <f>SUMIF($F$1361:$F$1386,"&lt;&gt;EV_*",$Q$1361:$Q$1386)</f>
        <v>265205.67695221893</v>
      </c>
      <c r="R1387">
        <f>SUMIF($F$1361:$F$1386,"&lt;&gt;EV_*",$R$1361:$R$1386)</f>
        <v>265614.12793940853</v>
      </c>
      <c r="S1387">
        <f>SUMIF($F$1361:$F$1386,"&lt;&gt;EV_*",$S$1361:$S$1386)</f>
        <v>408.45098718959946</v>
      </c>
      <c r="T1387">
        <v>0</v>
      </c>
      <c r="U1387">
        <f>SUMIF($F$1361:$F$1386,"&lt;&gt;EV_*",$U$1361:$U$1386)</f>
        <v>7051.8868017181694</v>
      </c>
      <c r="V1387">
        <f>SUMIF($F$1361:$F$1386,"&lt;&gt;EV_*",$V$1361:$V$1386)</f>
        <v>272666.0147411268</v>
      </c>
      <c r="W1387">
        <f>SUMIF($F$1361:$F$1386,"&lt;&gt;EV_*",$W$1361:$W$1386)</f>
        <v>7460.3377889077638</v>
      </c>
      <c r="X1387">
        <f>SUMIF($F$1361:$F$1386,"&lt;&gt;EV_*",$X$1361:$X$1386)</f>
        <v>0</v>
      </c>
    </row>
    <row r="1388" spans="1:24" x14ac:dyDescent="0.25">
      <c r="A1388" t="s">
        <v>1928</v>
      </c>
      <c r="B1388" t="s">
        <v>1934</v>
      </c>
      <c r="C1388" t="s">
        <v>2045</v>
      </c>
      <c r="D1388" t="s">
        <v>172</v>
      </c>
      <c r="E1388" t="s">
        <v>5</v>
      </c>
      <c r="F1388" t="s">
        <v>5</v>
      </c>
      <c r="G1388" t="s">
        <v>726</v>
      </c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</row>
    <row r="1389" spans="1:24" x14ac:dyDescent="0.25">
      <c r="A1389" t="s">
        <v>1928</v>
      </c>
      <c r="B1389" t="s">
        <v>1934</v>
      </c>
      <c r="C1389" t="s">
        <v>2045</v>
      </c>
      <c r="D1389" t="s">
        <v>172</v>
      </c>
      <c r="E1389" t="s">
        <v>133</v>
      </c>
      <c r="F1389" t="s">
        <v>1</v>
      </c>
      <c r="G1389" t="s">
        <v>727</v>
      </c>
      <c r="H1389" t="s">
        <v>622</v>
      </c>
      <c r="I1389" t="s">
        <v>1</v>
      </c>
      <c r="J1389">
        <v>0.79</v>
      </c>
      <c r="K1389"/>
      <c r="L1389">
        <v>0.69</v>
      </c>
      <c r="M1389">
        <v>1.3914364640883976</v>
      </c>
      <c r="N1389">
        <v>1.4100000000000001</v>
      </c>
      <c r="O1389">
        <v>1.3914364641000001</v>
      </c>
      <c r="P1389">
        <v>-1</v>
      </c>
      <c r="Q1389">
        <f t="shared" ref="Q1389:Q1415" si="270">O1389+P1389</f>
        <v>0.3914364641000001</v>
      </c>
      <c r="R1389">
        <v>0</v>
      </c>
      <c r="S1389">
        <f t="shared" ref="S1389:S1415" si="271">IF(OR(LEFT(E1389,2)="A_",LEFT(D1389,5)="Total"),R1389-Q1389,"")</f>
        <v>-0.3914364641000001</v>
      </c>
      <c r="T1389">
        <v>0.02</v>
      </c>
      <c r="U1389">
        <f t="shared" ref="U1389:U1415" si="272">IFERROR(R1389*T1389,R1389*0)</f>
        <v>0</v>
      </c>
      <c r="V1389">
        <f t="shared" ref="V1389:V1415" si="273">IF(OR(LEFT(E1389,2)="A_",LEFT(D1389,5)="Total"),R1389+U1389,"")</f>
        <v>0</v>
      </c>
      <c r="W1389">
        <f t="shared" ref="W1389:W1415" si="274">IF(OR(LEFT(E1389,2)="A_",LEFT(D1389,5)="Total"),V1389-Q1389,"")</f>
        <v>-0.3914364641000001</v>
      </c>
      <c r="X1389">
        <v>0</v>
      </c>
    </row>
    <row r="1390" spans="1:24" x14ac:dyDescent="0.25">
      <c r="A1390" t="s">
        <v>1928</v>
      </c>
      <c r="B1390" t="s">
        <v>1934</v>
      </c>
      <c r="C1390" t="s">
        <v>2045</v>
      </c>
      <c r="D1390" t="s">
        <v>172</v>
      </c>
      <c r="E1390" t="s">
        <v>8</v>
      </c>
      <c r="F1390" t="s">
        <v>1</v>
      </c>
      <c r="G1390" t="s">
        <v>727</v>
      </c>
      <c r="H1390" t="s">
        <v>408</v>
      </c>
      <c r="I1390" t="s">
        <v>1</v>
      </c>
      <c r="J1390">
        <v>721.2</v>
      </c>
      <c r="K1390">
        <v>1454.3535911602</v>
      </c>
      <c r="L1390">
        <v>0</v>
      </c>
      <c r="M1390">
        <v>0</v>
      </c>
      <c r="N1390">
        <v>0</v>
      </c>
      <c r="O1390"/>
      <c r="P1390">
        <v>0</v>
      </c>
      <c r="Q1390">
        <f t="shared" si="270"/>
        <v>0</v>
      </c>
      <c r="R1390">
        <v>0</v>
      </c>
      <c r="S1390">
        <f t="shared" si="271"/>
        <v>0</v>
      </c>
      <c r="T1390"/>
      <c r="U1390">
        <f t="shared" si="272"/>
        <v>0</v>
      </c>
      <c r="V1390">
        <f t="shared" si="273"/>
        <v>0</v>
      </c>
      <c r="W1390">
        <f t="shared" si="274"/>
        <v>0</v>
      </c>
      <c r="X1390">
        <v>0</v>
      </c>
    </row>
    <row r="1391" spans="1:24" x14ac:dyDescent="0.25">
      <c r="A1391" t="s">
        <v>1928</v>
      </c>
      <c r="B1391" t="s">
        <v>1934</v>
      </c>
      <c r="C1391" t="s">
        <v>2045</v>
      </c>
      <c r="D1391" t="s">
        <v>172</v>
      </c>
      <c r="E1391" t="s">
        <v>10</v>
      </c>
      <c r="F1391" t="s">
        <v>1</v>
      </c>
      <c r="G1391" t="s">
        <v>727</v>
      </c>
      <c r="H1391" t="s">
        <v>410</v>
      </c>
      <c r="I1391" t="s">
        <v>1</v>
      </c>
      <c r="J1391">
        <v>247.5</v>
      </c>
      <c r="K1391">
        <v>1059.9999999996</v>
      </c>
      <c r="L1391">
        <v>165</v>
      </c>
      <c r="M1391">
        <v>332.73480662983428</v>
      </c>
      <c r="N1391">
        <v>330</v>
      </c>
      <c r="O1391">
        <v>330</v>
      </c>
      <c r="P1391">
        <v>0</v>
      </c>
      <c r="Q1391">
        <f t="shared" si="270"/>
        <v>330</v>
      </c>
      <c r="R1391">
        <v>330</v>
      </c>
      <c r="S1391">
        <f t="shared" si="271"/>
        <v>0</v>
      </c>
      <c r="T1391"/>
      <c r="U1391">
        <f t="shared" si="272"/>
        <v>0</v>
      </c>
      <c r="V1391">
        <f t="shared" si="273"/>
        <v>330</v>
      </c>
      <c r="W1391">
        <f t="shared" si="274"/>
        <v>0</v>
      </c>
      <c r="X1391">
        <v>0</v>
      </c>
    </row>
    <row r="1392" spans="1:24" x14ac:dyDescent="0.25">
      <c r="A1392" t="s">
        <v>1928</v>
      </c>
      <c r="B1392" t="s">
        <v>1934</v>
      </c>
      <c r="C1392" t="s">
        <v>2045</v>
      </c>
      <c r="D1392" t="s">
        <v>172</v>
      </c>
      <c r="E1392" t="s">
        <v>11</v>
      </c>
      <c r="F1392" t="s">
        <v>1</v>
      </c>
      <c r="G1392" t="s">
        <v>727</v>
      </c>
      <c r="H1392" t="s">
        <v>411</v>
      </c>
      <c r="I1392" t="s">
        <v>1</v>
      </c>
      <c r="J1392">
        <v>976.76</v>
      </c>
      <c r="K1392">
        <v>870.48999999959995</v>
      </c>
      <c r="L1392">
        <v>430.04</v>
      </c>
      <c r="M1392">
        <v>867.2077348066299</v>
      </c>
      <c r="N1392">
        <v>888.09</v>
      </c>
      <c r="O1392">
        <v>860.08</v>
      </c>
      <c r="P1392">
        <v>0</v>
      </c>
      <c r="Q1392">
        <f t="shared" si="270"/>
        <v>860.08</v>
      </c>
      <c r="R1392">
        <v>860.08</v>
      </c>
      <c r="S1392">
        <f t="shared" si="271"/>
        <v>0</v>
      </c>
      <c r="T1392"/>
      <c r="U1392">
        <f t="shared" si="272"/>
        <v>0</v>
      </c>
      <c r="V1392">
        <f t="shared" si="273"/>
        <v>860.08</v>
      </c>
      <c r="W1392">
        <f t="shared" si="274"/>
        <v>0</v>
      </c>
      <c r="X1392">
        <v>0</v>
      </c>
    </row>
    <row r="1393" spans="1:24" x14ac:dyDescent="0.25">
      <c r="A1393" t="s">
        <v>1928</v>
      </c>
      <c r="B1393" t="s">
        <v>1934</v>
      </c>
      <c r="C1393" t="s">
        <v>2045</v>
      </c>
      <c r="D1393" t="s">
        <v>172</v>
      </c>
      <c r="E1393" t="s">
        <v>65</v>
      </c>
      <c r="F1393" t="s">
        <v>1</v>
      </c>
      <c r="G1393" t="s">
        <v>727</v>
      </c>
      <c r="H1393" t="s">
        <v>476</v>
      </c>
      <c r="I1393" t="s">
        <v>1</v>
      </c>
      <c r="J1393">
        <v>-89.94</v>
      </c>
      <c r="K1393"/>
      <c r="L1393">
        <v>-45.85</v>
      </c>
      <c r="M1393">
        <v>-92.459944751381215</v>
      </c>
      <c r="N1393">
        <v>-93.42</v>
      </c>
      <c r="O1393">
        <v>-92.203846153800001</v>
      </c>
      <c r="P1393">
        <v>0</v>
      </c>
      <c r="Q1393">
        <f t="shared" si="270"/>
        <v>-92.203846153800001</v>
      </c>
      <c r="R1393">
        <v>0</v>
      </c>
      <c r="S1393">
        <f t="shared" si="271"/>
        <v>92.203846153800001</v>
      </c>
      <c r="T1393"/>
      <c r="U1393">
        <f t="shared" si="272"/>
        <v>0</v>
      </c>
      <c r="V1393">
        <f t="shared" si="273"/>
        <v>0</v>
      </c>
      <c r="W1393">
        <f t="shared" si="274"/>
        <v>92.203846153800001</v>
      </c>
      <c r="X1393">
        <v>0</v>
      </c>
    </row>
    <row r="1394" spans="1:24" x14ac:dyDescent="0.25">
      <c r="A1394" t="s">
        <v>1928</v>
      </c>
      <c r="B1394" t="s">
        <v>1934</v>
      </c>
      <c r="C1394" t="s">
        <v>2045</v>
      </c>
      <c r="D1394" t="s">
        <v>172</v>
      </c>
      <c r="E1394" t="s">
        <v>17</v>
      </c>
      <c r="F1394" t="s">
        <v>1</v>
      </c>
      <c r="G1394" t="s">
        <v>727</v>
      </c>
      <c r="H1394" t="s">
        <v>417</v>
      </c>
      <c r="I1394" t="s">
        <v>1</v>
      </c>
      <c r="J1394">
        <v>-203.39</v>
      </c>
      <c r="K1394">
        <v>-200.00000000009999</v>
      </c>
      <c r="L1394">
        <v>-220</v>
      </c>
      <c r="M1394">
        <v>-443.64640883977899</v>
      </c>
      <c r="N1394">
        <v>-281.55</v>
      </c>
      <c r="O1394">
        <v>-442.41758241759999</v>
      </c>
      <c r="P1394">
        <v>0</v>
      </c>
      <c r="Q1394">
        <f t="shared" si="270"/>
        <v>-442.41758241759999</v>
      </c>
      <c r="R1394">
        <v>-442.41758241759999</v>
      </c>
      <c r="S1394">
        <f t="shared" si="271"/>
        <v>0</v>
      </c>
      <c r="T1394"/>
      <c r="U1394">
        <f t="shared" si="272"/>
        <v>0</v>
      </c>
      <c r="V1394">
        <f t="shared" si="273"/>
        <v>-442.41758241759999</v>
      </c>
      <c r="W1394">
        <f t="shared" si="274"/>
        <v>0</v>
      </c>
      <c r="X1394">
        <v>0</v>
      </c>
    </row>
    <row r="1395" spans="1:24" x14ac:dyDescent="0.25">
      <c r="A1395" t="s">
        <v>1928</v>
      </c>
      <c r="B1395" t="s">
        <v>1934</v>
      </c>
      <c r="C1395" t="s">
        <v>2045</v>
      </c>
      <c r="D1395" t="s">
        <v>172</v>
      </c>
      <c r="E1395" t="s">
        <v>82</v>
      </c>
      <c r="F1395" t="s">
        <v>1</v>
      </c>
      <c r="G1395" t="s">
        <v>727</v>
      </c>
      <c r="H1395" t="s">
        <v>507</v>
      </c>
      <c r="I1395" t="s">
        <v>1</v>
      </c>
      <c r="J1395">
        <v>1553.26</v>
      </c>
      <c r="K1395">
        <v>2106.4681276633</v>
      </c>
      <c r="L1395">
        <v>353.29</v>
      </c>
      <c r="M1395">
        <v>712.43563535911608</v>
      </c>
      <c r="N1395">
        <v>856.17</v>
      </c>
      <c r="O1395">
        <v>710.46230769229999</v>
      </c>
      <c r="P1395">
        <v>0</v>
      </c>
      <c r="Q1395">
        <f t="shared" si="270"/>
        <v>710.46230769229999</v>
      </c>
      <c r="R1395">
        <v>710.46230769229999</v>
      </c>
      <c r="S1395">
        <f t="shared" si="271"/>
        <v>0</v>
      </c>
      <c r="T1395">
        <v>2.75E-2</v>
      </c>
      <c r="U1395">
        <f t="shared" si="272"/>
        <v>19.53771346153825</v>
      </c>
      <c r="V1395">
        <f t="shared" si="273"/>
        <v>730.00002115383825</v>
      </c>
      <c r="W1395">
        <f t="shared" si="274"/>
        <v>19.53771346153826</v>
      </c>
      <c r="X1395">
        <v>0</v>
      </c>
    </row>
    <row r="1396" spans="1:24" x14ac:dyDescent="0.25">
      <c r="A1396" t="s">
        <v>1928</v>
      </c>
      <c r="B1396" t="s">
        <v>1934</v>
      </c>
      <c r="C1396" t="s">
        <v>2045</v>
      </c>
      <c r="D1396" t="s">
        <v>172</v>
      </c>
      <c r="E1396" t="s">
        <v>72</v>
      </c>
      <c r="F1396" t="s">
        <v>1</v>
      </c>
      <c r="G1396" t="s">
        <v>727</v>
      </c>
      <c r="H1396" t="s">
        <v>489</v>
      </c>
      <c r="I1396" t="s">
        <v>1</v>
      </c>
      <c r="J1396">
        <v>55.3</v>
      </c>
      <c r="K1396"/>
      <c r="L1396">
        <v>65.8</v>
      </c>
      <c r="M1396">
        <v>132.69060773480663</v>
      </c>
      <c r="N1396">
        <v>121.10000000000001</v>
      </c>
      <c r="O1396">
        <v>132.32307692309999</v>
      </c>
      <c r="P1396">
        <v>0</v>
      </c>
      <c r="Q1396">
        <f t="shared" si="270"/>
        <v>132.32307692309999</v>
      </c>
      <c r="R1396">
        <v>132.32307692309999</v>
      </c>
      <c r="S1396">
        <f t="shared" si="271"/>
        <v>0</v>
      </c>
      <c r="T1396">
        <v>2.2499999999999999E-2</v>
      </c>
      <c r="U1396">
        <f t="shared" si="272"/>
        <v>2.9772692307697497</v>
      </c>
      <c r="V1396">
        <f t="shared" si="273"/>
        <v>135.30034615386973</v>
      </c>
      <c r="W1396">
        <f t="shared" si="274"/>
        <v>2.9772692307697355</v>
      </c>
      <c r="X1396">
        <v>0</v>
      </c>
    </row>
    <row r="1397" spans="1:24" x14ac:dyDescent="0.25">
      <c r="A1397" t="s">
        <v>1928</v>
      </c>
      <c r="B1397" t="s">
        <v>1934</v>
      </c>
      <c r="C1397" t="s">
        <v>2045</v>
      </c>
      <c r="D1397" t="s">
        <v>172</v>
      </c>
      <c r="E1397" t="s">
        <v>18</v>
      </c>
      <c r="F1397" t="s">
        <v>1</v>
      </c>
      <c r="G1397" t="s">
        <v>727</v>
      </c>
      <c r="H1397" t="s">
        <v>418</v>
      </c>
      <c r="I1397" t="s">
        <v>1</v>
      </c>
      <c r="J1397">
        <v>21117.07</v>
      </c>
      <c r="K1397">
        <v>20640.5951827672</v>
      </c>
      <c r="L1397">
        <v>13364.82</v>
      </c>
      <c r="M1397">
        <v>26951.156353591155</v>
      </c>
      <c r="N1397">
        <v>24753.890000000003</v>
      </c>
      <c r="O1397">
        <v>26876.5061538462</v>
      </c>
      <c r="P1397">
        <v>0</v>
      </c>
      <c r="Q1397">
        <f t="shared" si="270"/>
        <v>26876.5061538462</v>
      </c>
      <c r="R1397">
        <v>26876.5061538462</v>
      </c>
      <c r="S1397">
        <f t="shared" si="271"/>
        <v>0</v>
      </c>
      <c r="T1397">
        <v>0.02</v>
      </c>
      <c r="U1397">
        <f t="shared" si="272"/>
        <v>537.53012307692404</v>
      </c>
      <c r="V1397">
        <f t="shared" si="273"/>
        <v>27414.036276923125</v>
      </c>
      <c r="W1397">
        <f t="shared" si="274"/>
        <v>537.53012307692552</v>
      </c>
      <c r="X1397">
        <v>0</v>
      </c>
    </row>
    <row r="1398" spans="1:24" x14ac:dyDescent="0.25">
      <c r="A1398" t="s">
        <v>1928</v>
      </c>
      <c r="B1398" t="s">
        <v>1934</v>
      </c>
      <c r="C1398" t="s">
        <v>2045</v>
      </c>
      <c r="D1398" t="s">
        <v>172</v>
      </c>
      <c r="E1398" t="s">
        <v>57</v>
      </c>
      <c r="F1398" t="s">
        <v>1</v>
      </c>
      <c r="G1398" t="s">
        <v>727</v>
      </c>
      <c r="H1398" t="s">
        <v>462</v>
      </c>
      <c r="I1398" t="s">
        <v>1</v>
      </c>
      <c r="J1398">
        <v>279.97000000000003</v>
      </c>
      <c r="K1398"/>
      <c r="L1398">
        <v>139.13999999999999</v>
      </c>
      <c r="M1398">
        <v>280.58618784530387</v>
      </c>
      <c r="N1398">
        <v>277.73</v>
      </c>
      <c r="O1398">
        <v>279.809010989</v>
      </c>
      <c r="P1398">
        <v>0</v>
      </c>
      <c r="Q1398">
        <f t="shared" si="270"/>
        <v>279.809010989</v>
      </c>
      <c r="R1398">
        <v>279.809010989</v>
      </c>
      <c r="S1398">
        <f t="shared" si="271"/>
        <v>0</v>
      </c>
      <c r="T1398">
        <v>0.04</v>
      </c>
      <c r="U1398">
        <f t="shared" si="272"/>
        <v>11.19236043956</v>
      </c>
      <c r="V1398">
        <f t="shared" si="273"/>
        <v>291.00137142855999</v>
      </c>
      <c r="W1398">
        <f t="shared" si="274"/>
        <v>11.192360439559991</v>
      </c>
      <c r="X1398">
        <v>0</v>
      </c>
    </row>
    <row r="1399" spans="1:24" x14ac:dyDescent="0.25">
      <c r="A1399" t="s">
        <v>1928</v>
      </c>
      <c r="B1399" t="s">
        <v>1934</v>
      </c>
      <c r="C1399" t="s">
        <v>2045</v>
      </c>
      <c r="D1399" t="s">
        <v>172</v>
      </c>
      <c r="E1399" t="s">
        <v>74</v>
      </c>
      <c r="F1399" t="s">
        <v>1</v>
      </c>
      <c r="G1399" t="s">
        <v>727</v>
      </c>
      <c r="H1399" t="s">
        <v>491</v>
      </c>
      <c r="I1399" t="s">
        <v>1</v>
      </c>
      <c r="J1399">
        <v>5233.47</v>
      </c>
      <c r="K1399">
        <v>6141.1081738617004</v>
      </c>
      <c r="L1399">
        <v>2191.4899999999998</v>
      </c>
      <c r="M1399">
        <v>4419.3030386740329</v>
      </c>
      <c r="N1399">
        <v>5030.0499999999993</v>
      </c>
      <c r="O1399">
        <v>4407.0623076923002</v>
      </c>
      <c r="P1399">
        <v>0</v>
      </c>
      <c r="Q1399">
        <f t="shared" si="270"/>
        <v>4407.0623076923002</v>
      </c>
      <c r="R1399">
        <v>4407.0623076923002</v>
      </c>
      <c r="S1399">
        <f t="shared" si="271"/>
        <v>0</v>
      </c>
      <c r="T1399">
        <v>3.5000000000000003E-2</v>
      </c>
      <c r="U1399">
        <f t="shared" si="272"/>
        <v>154.24718076923051</v>
      </c>
      <c r="V1399">
        <f t="shared" si="273"/>
        <v>4561.3094884615311</v>
      </c>
      <c r="W1399">
        <f t="shared" si="274"/>
        <v>154.24718076923091</v>
      </c>
      <c r="X1399">
        <v>0</v>
      </c>
    </row>
    <row r="1400" spans="1:24" x14ac:dyDescent="0.25">
      <c r="A1400" t="s">
        <v>1928</v>
      </c>
      <c r="B1400" t="s">
        <v>1934</v>
      </c>
      <c r="C1400" t="s">
        <v>2045</v>
      </c>
      <c r="D1400" t="s">
        <v>172</v>
      </c>
      <c r="E1400" t="s">
        <v>85</v>
      </c>
      <c r="F1400" t="s">
        <v>1</v>
      </c>
      <c r="G1400" t="s">
        <v>727</v>
      </c>
      <c r="H1400" t="s">
        <v>510</v>
      </c>
      <c r="I1400" t="s">
        <v>1</v>
      </c>
      <c r="J1400">
        <v>56.47</v>
      </c>
      <c r="K1400"/>
      <c r="L1400">
        <v>0</v>
      </c>
      <c r="M1400">
        <v>0</v>
      </c>
      <c r="N1400">
        <v>6.91</v>
      </c>
      <c r="O1400"/>
      <c r="P1400">
        <v>0</v>
      </c>
      <c r="Q1400">
        <f t="shared" si="270"/>
        <v>0</v>
      </c>
      <c r="R1400">
        <v>0</v>
      </c>
      <c r="S1400">
        <f t="shared" si="271"/>
        <v>0</v>
      </c>
      <c r="T1400">
        <v>0.02</v>
      </c>
      <c r="U1400">
        <f t="shared" si="272"/>
        <v>0</v>
      </c>
      <c r="V1400">
        <f t="shared" si="273"/>
        <v>0</v>
      </c>
      <c r="W1400">
        <f t="shared" si="274"/>
        <v>0</v>
      </c>
      <c r="X1400">
        <v>0</v>
      </c>
    </row>
    <row r="1401" spans="1:24" x14ac:dyDescent="0.25">
      <c r="A1401" t="s">
        <v>1928</v>
      </c>
      <c r="B1401" t="s">
        <v>1934</v>
      </c>
      <c r="C1401" t="s">
        <v>2045</v>
      </c>
      <c r="D1401" t="s">
        <v>172</v>
      </c>
      <c r="E1401" t="s">
        <v>119</v>
      </c>
      <c r="F1401" t="s">
        <v>1</v>
      </c>
      <c r="G1401" t="s">
        <v>727</v>
      </c>
      <c r="H1401" t="s">
        <v>588</v>
      </c>
      <c r="I1401" t="s">
        <v>1</v>
      </c>
      <c r="J1401">
        <v>27</v>
      </c>
      <c r="K1401"/>
      <c r="L1401">
        <v>0</v>
      </c>
      <c r="M1401">
        <v>0</v>
      </c>
      <c r="N1401">
        <v>0</v>
      </c>
      <c r="O1401"/>
      <c r="P1401">
        <v>0</v>
      </c>
      <c r="Q1401">
        <f t="shared" si="270"/>
        <v>0</v>
      </c>
      <c r="R1401">
        <v>0</v>
      </c>
      <c r="S1401">
        <f t="shared" si="271"/>
        <v>0</v>
      </c>
      <c r="T1401">
        <v>1.4999999999999999E-2</v>
      </c>
      <c r="U1401">
        <f t="shared" si="272"/>
        <v>0</v>
      </c>
      <c r="V1401">
        <f t="shared" si="273"/>
        <v>0</v>
      </c>
      <c r="W1401">
        <f t="shared" si="274"/>
        <v>0</v>
      </c>
      <c r="X1401">
        <v>0</v>
      </c>
    </row>
    <row r="1402" spans="1:24" x14ac:dyDescent="0.25">
      <c r="A1402" t="s">
        <v>1928</v>
      </c>
      <c r="B1402" t="s">
        <v>1934</v>
      </c>
      <c r="C1402" t="s">
        <v>2045</v>
      </c>
      <c r="D1402" t="s">
        <v>172</v>
      </c>
      <c r="E1402" t="s">
        <v>120</v>
      </c>
      <c r="F1402" t="s">
        <v>1</v>
      </c>
      <c r="G1402" t="s">
        <v>727</v>
      </c>
      <c r="H1402" t="s">
        <v>589</v>
      </c>
      <c r="I1402" t="s">
        <v>1</v>
      </c>
      <c r="J1402">
        <v>1130.46</v>
      </c>
      <c r="K1402"/>
      <c r="L1402">
        <v>1144.3599999999999</v>
      </c>
      <c r="M1402">
        <v>2307.6872928176795</v>
      </c>
      <c r="N1402">
        <v>2129.12</v>
      </c>
      <c r="O1402">
        <v>2301.2953846154001</v>
      </c>
      <c r="P1402">
        <v>0</v>
      </c>
      <c r="Q1402">
        <f t="shared" si="270"/>
        <v>2301.2953846154001</v>
      </c>
      <c r="R1402">
        <v>2301.2953846154001</v>
      </c>
      <c r="S1402">
        <f t="shared" si="271"/>
        <v>0</v>
      </c>
      <c r="T1402">
        <v>3.5000000000000003E-2</v>
      </c>
      <c r="U1402">
        <f t="shared" si="272"/>
        <v>80.545338461539004</v>
      </c>
      <c r="V1402">
        <f t="shared" si="273"/>
        <v>2381.840723076939</v>
      </c>
      <c r="W1402">
        <f t="shared" si="274"/>
        <v>80.545338461538904</v>
      </c>
      <c r="X1402">
        <v>0</v>
      </c>
    </row>
    <row r="1403" spans="1:24" x14ac:dyDescent="0.25">
      <c r="A1403" t="s">
        <v>1928</v>
      </c>
      <c r="B1403" t="s">
        <v>1934</v>
      </c>
      <c r="C1403" t="s">
        <v>2045</v>
      </c>
      <c r="D1403" t="s">
        <v>172</v>
      </c>
      <c r="E1403" t="s">
        <v>20</v>
      </c>
      <c r="F1403" t="s">
        <v>1</v>
      </c>
      <c r="G1403" t="s">
        <v>727</v>
      </c>
      <c r="H1403" t="s">
        <v>420</v>
      </c>
      <c r="I1403" t="s">
        <v>1</v>
      </c>
      <c r="J1403">
        <v>1002.08</v>
      </c>
      <c r="K1403">
        <v>1214.5724486255999</v>
      </c>
      <c r="L1403">
        <v>848.4</v>
      </c>
      <c r="M1403">
        <v>1710.8618784530388</v>
      </c>
      <c r="N1403">
        <v>1165.9499999999998</v>
      </c>
      <c r="O1403">
        <v>1706.1230769230999</v>
      </c>
      <c r="P1403">
        <v>0</v>
      </c>
      <c r="Q1403">
        <f t="shared" si="270"/>
        <v>1706.1230769230999</v>
      </c>
      <c r="R1403">
        <v>1706.1230769230999</v>
      </c>
      <c r="S1403">
        <f t="shared" si="271"/>
        <v>0</v>
      </c>
      <c r="T1403">
        <v>0.04</v>
      </c>
      <c r="U1403">
        <f t="shared" si="272"/>
        <v>68.244923076923996</v>
      </c>
      <c r="V1403">
        <f t="shared" si="273"/>
        <v>1774.3680000000238</v>
      </c>
      <c r="W1403">
        <f t="shared" si="274"/>
        <v>68.244923076923897</v>
      </c>
      <c r="X1403">
        <v>0</v>
      </c>
    </row>
    <row r="1404" spans="1:24" x14ac:dyDescent="0.25">
      <c r="A1404" t="s">
        <v>1928</v>
      </c>
      <c r="B1404" t="s">
        <v>1934</v>
      </c>
      <c r="C1404" t="s">
        <v>2045</v>
      </c>
      <c r="D1404" t="s">
        <v>172</v>
      </c>
      <c r="E1404" t="s">
        <v>21</v>
      </c>
      <c r="F1404" t="s">
        <v>1</v>
      </c>
      <c r="G1404" t="s">
        <v>727</v>
      </c>
      <c r="H1404" t="s">
        <v>421</v>
      </c>
      <c r="I1404" t="s">
        <v>1</v>
      </c>
      <c r="J1404">
        <v>1326.62</v>
      </c>
      <c r="K1404">
        <v>1247.9299999996999</v>
      </c>
      <c r="L1404">
        <v>738.38</v>
      </c>
      <c r="M1404">
        <v>1488.9983425414364</v>
      </c>
      <c r="N1404">
        <v>1448.89</v>
      </c>
      <c r="O1404">
        <v>1488.9983425414</v>
      </c>
      <c r="P1404">
        <v>0</v>
      </c>
      <c r="Q1404">
        <f t="shared" si="270"/>
        <v>1488.9983425414</v>
      </c>
      <c r="R1404">
        <v>1488.9983425414</v>
      </c>
      <c r="S1404">
        <f t="shared" si="271"/>
        <v>0</v>
      </c>
      <c r="T1404">
        <v>0.03</v>
      </c>
      <c r="U1404">
        <f t="shared" si="272"/>
        <v>44.669950276241998</v>
      </c>
      <c r="V1404">
        <f t="shared" si="273"/>
        <v>1533.6682928176419</v>
      </c>
      <c r="W1404">
        <f t="shared" si="274"/>
        <v>44.669950276241934</v>
      </c>
      <c r="X1404">
        <v>0</v>
      </c>
    </row>
    <row r="1405" spans="1:24" x14ac:dyDescent="0.25">
      <c r="A1405" t="s">
        <v>1928</v>
      </c>
      <c r="B1405" t="s">
        <v>1934</v>
      </c>
      <c r="C1405" t="s">
        <v>2045</v>
      </c>
      <c r="D1405" t="s">
        <v>172</v>
      </c>
      <c r="E1405" t="s">
        <v>22</v>
      </c>
      <c r="F1405" t="s">
        <v>1</v>
      </c>
      <c r="G1405" t="s">
        <v>727</v>
      </c>
      <c r="H1405" t="s">
        <v>422</v>
      </c>
      <c r="I1405" t="s">
        <v>1</v>
      </c>
      <c r="J1405">
        <v>27.77</v>
      </c>
      <c r="K1405"/>
      <c r="L1405">
        <v>22.21</v>
      </c>
      <c r="M1405">
        <v>44.788121546961328</v>
      </c>
      <c r="N1405">
        <v>49.98</v>
      </c>
      <c r="O1405">
        <v>44.788121547000003</v>
      </c>
      <c r="P1405">
        <v>0</v>
      </c>
      <c r="Q1405">
        <f t="shared" si="270"/>
        <v>44.788121547000003</v>
      </c>
      <c r="R1405">
        <v>44.788121547000003</v>
      </c>
      <c r="S1405">
        <f t="shared" si="271"/>
        <v>0</v>
      </c>
      <c r="T1405">
        <v>3.5000000000000003E-2</v>
      </c>
      <c r="U1405">
        <f t="shared" si="272"/>
        <v>1.5675842541450002</v>
      </c>
      <c r="V1405">
        <f t="shared" si="273"/>
        <v>46.355705801145007</v>
      </c>
      <c r="W1405">
        <f t="shared" si="274"/>
        <v>1.5675842541450038</v>
      </c>
      <c r="X1405">
        <v>0</v>
      </c>
    </row>
    <row r="1406" spans="1:24" x14ac:dyDescent="0.25">
      <c r="A1406" t="s">
        <v>1928</v>
      </c>
      <c r="B1406" t="s">
        <v>1934</v>
      </c>
      <c r="C1406" t="s">
        <v>2045</v>
      </c>
      <c r="D1406" t="s">
        <v>172</v>
      </c>
      <c r="E1406" t="s">
        <v>23</v>
      </c>
      <c r="F1406" t="s">
        <v>1</v>
      </c>
      <c r="G1406" t="s">
        <v>727</v>
      </c>
      <c r="H1406" t="s">
        <v>423</v>
      </c>
      <c r="I1406" t="s">
        <v>1</v>
      </c>
      <c r="J1406">
        <v>616.4</v>
      </c>
      <c r="K1406">
        <v>828</v>
      </c>
      <c r="L1406">
        <v>81.03</v>
      </c>
      <c r="M1406">
        <v>163.40303867403316</v>
      </c>
      <c r="N1406">
        <v>296.95</v>
      </c>
      <c r="O1406">
        <v>163.40303867399999</v>
      </c>
      <c r="P1406">
        <v>0</v>
      </c>
      <c r="Q1406">
        <f t="shared" si="270"/>
        <v>163.40303867399999</v>
      </c>
      <c r="R1406">
        <v>163.40303867399999</v>
      </c>
      <c r="S1406">
        <f t="shared" si="271"/>
        <v>0</v>
      </c>
      <c r="T1406">
        <v>3.5000000000000003E-2</v>
      </c>
      <c r="U1406">
        <f t="shared" si="272"/>
        <v>5.71910635359</v>
      </c>
      <c r="V1406">
        <f t="shared" si="273"/>
        <v>169.12214502758999</v>
      </c>
      <c r="W1406">
        <f t="shared" si="274"/>
        <v>5.7191063535900071</v>
      </c>
      <c r="X1406">
        <v>0</v>
      </c>
    </row>
    <row r="1407" spans="1:24" x14ac:dyDescent="0.25">
      <c r="A1407" t="s">
        <v>1928</v>
      </c>
      <c r="B1407" t="s">
        <v>1934</v>
      </c>
      <c r="C1407" t="s">
        <v>2045</v>
      </c>
      <c r="D1407" t="s">
        <v>172</v>
      </c>
      <c r="E1407" t="s">
        <v>26</v>
      </c>
      <c r="F1407" t="s">
        <v>1</v>
      </c>
      <c r="G1407" t="s">
        <v>727</v>
      </c>
      <c r="H1407" t="s">
        <v>426</v>
      </c>
      <c r="I1407" t="s">
        <v>1</v>
      </c>
      <c r="J1407"/>
      <c r="K1407">
        <v>804.61546200119994</v>
      </c>
      <c r="L1407">
        <v>0</v>
      </c>
      <c r="M1407">
        <v>0</v>
      </c>
      <c r="N1407">
        <v>0</v>
      </c>
      <c r="O1407"/>
      <c r="P1407">
        <v>0</v>
      </c>
      <c r="Q1407">
        <f t="shared" si="270"/>
        <v>0</v>
      </c>
      <c r="R1407">
        <v>0</v>
      </c>
      <c r="S1407">
        <f t="shared" si="271"/>
        <v>0</v>
      </c>
      <c r="T1407"/>
      <c r="U1407">
        <f t="shared" si="272"/>
        <v>0</v>
      </c>
      <c r="V1407">
        <f t="shared" si="273"/>
        <v>0</v>
      </c>
      <c r="W1407">
        <f t="shared" si="274"/>
        <v>0</v>
      </c>
      <c r="X1407">
        <v>0</v>
      </c>
    </row>
    <row r="1408" spans="1:24" x14ac:dyDescent="0.25">
      <c r="A1408" t="s">
        <v>1928</v>
      </c>
      <c r="B1408" t="s">
        <v>1934</v>
      </c>
      <c r="C1408" t="s">
        <v>2045</v>
      </c>
      <c r="D1408" t="s">
        <v>172</v>
      </c>
      <c r="E1408" t="s">
        <v>28</v>
      </c>
      <c r="F1408" t="s">
        <v>1</v>
      </c>
      <c r="G1408" t="s">
        <v>727</v>
      </c>
      <c r="H1408" t="s">
        <v>428</v>
      </c>
      <c r="I1408" t="s">
        <v>1</v>
      </c>
      <c r="J1408">
        <v>1251.2</v>
      </c>
      <c r="K1408"/>
      <c r="L1408">
        <v>146.37</v>
      </c>
      <c r="M1408">
        <v>295.1660220994475</v>
      </c>
      <c r="N1408">
        <v>1397.5700000000002</v>
      </c>
      <c r="O1408">
        <v>292.74</v>
      </c>
      <c r="P1408">
        <v>0</v>
      </c>
      <c r="Q1408">
        <f t="shared" si="270"/>
        <v>292.74</v>
      </c>
      <c r="R1408">
        <v>292.74</v>
      </c>
      <c r="S1408">
        <f t="shared" si="271"/>
        <v>0</v>
      </c>
      <c r="T1408"/>
      <c r="U1408">
        <f t="shared" si="272"/>
        <v>0</v>
      </c>
      <c r="V1408">
        <f t="shared" si="273"/>
        <v>292.74</v>
      </c>
      <c r="W1408">
        <f t="shared" si="274"/>
        <v>0</v>
      </c>
      <c r="X1408">
        <v>0</v>
      </c>
    </row>
    <row r="1409" spans="1:24" x14ac:dyDescent="0.25">
      <c r="A1409" t="s">
        <v>1928</v>
      </c>
      <c r="B1409" t="s">
        <v>1934</v>
      </c>
      <c r="C1409" t="s">
        <v>2045</v>
      </c>
      <c r="D1409" t="s">
        <v>172</v>
      </c>
      <c r="E1409" t="s">
        <v>33</v>
      </c>
      <c r="F1409" t="s">
        <v>1</v>
      </c>
      <c r="G1409" t="s">
        <v>727</v>
      </c>
      <c r="H1409" t="s">
        <v>433</v>
      </c>
      <c r="I1409" t="s">
        <v>1</v>
      </c>
      <c r="J1409"/>
      <c r="K1409">
        <v>245.30959207320001</v>
      </c>
      <c r="L1409">
        <v>0</v>
      </c>
      <c r="M1409">
        <v>0</v>
      </c>
      <c r="N1409">
        <v>0</v>
      </c>
      <c r="O1409"/>
      <c r="P1409">
        <v>500</v>
      </c>
      <c r="Q1409">
        <f t="shared" si="270"/>
        <v>500</v>
      </c>
      <c r="R1409">
        <v>500</v>
      </c>
      <c r="S1409">
        <f t="shared" si="271"/>
        <v>0</v>
      </c>
      <c r="T1409"/>
      <c r="U1409">
        <f t="shared" si="272"/>
        <v>0</v>
      </c>
      <c r="V1409">
        <f t="shared" si="273"/>
        <v>500</v>
      </c>
      <c r="W1409">
        <f t="shared" si="274"/>
        <v>0</v>
      </c>
      <c r="X1409" t="s">
        <v>1422</v>
      </c>
    </row>
    <row r="1410" spans="1:24" x14ac:dyDescent="0.25">
      <c r="A1410" t="s">
        <v>1928</v>
      </c>
      <c r="B1410" t="s">
        <v>1934</v>
      </c>
      <c r="C1410" t="s">
        <v>2045</v>
      </c>
      <c r="D1410" t="s">
        <v>172</v>
      </c>
      <c r="E1410" t="s">
        <v>121</v>
      </c>
      <c r="F1410" t="s">
        <v>1</v>
      </c>
      <c r="G1410" t="s">
        <v>727</v>
      </c>
      <c r="H1410" t="s">
        <v>590</v>
      </c>
      <c r="I1410" t="s">
        <v>1</v>
      </c>
      <c r="J1410"/>
      <c r="K1410"/>
      <c r="L1410">
        <v>1045</v>
      </c>
      <c r="M1410">
        <v>2107.3204419889503</v>
      </c>
      <c r="N1410">
        <v>1045</v>
      </c>
      <c r="O1410">
        <v>2090</v>
      </c>
      <c r="P1410">
        <v>-2090</v>
      </c>
      <c r="Q1410">
        <f t="shared" si="270"/>
        <v>0</v>
      </c>
      <c r="R1410">
        <v>0</v>
      </c>
      <c r="S1410">
        <f t="shared" si="271"/>
        <v>0</v>
      </c>
      <c r="T1410"/>
      <c r="U1410">
        <f t="shared" si="272"/>
        <v>0</v>
      </c>
      <c r="V1410">
        <f t="shared" si="273"/>
        <v>0</v>
      </c>
      <c r="W1410">
        <f t="shared" si="274"/>
        <v>0</v>
      </c>
      <c r="X1410">
        <v>0</v>
      </c>
    </row>
    <row r="1411" spans="1:24" x14ac:dyDescent="0.25">
      <c r="A1411" t="s">
        <v>1928</v>
      </c>
      <c r="B1411" t="s">
        <v>1934</v>
      </c>
      <c r="C1411" t="s">
        <v>2045</v>
      </c>
      <c r="D1411" t="s">
        <v>172</v>
      </c>
      <c r="E1411" t="s">
        <v>41</v>
      </c>
      <c r="F1411" t="s">
        <v>1</v>
      </c>
      <c r="G1411" t="s">
        <v>727</v>
      </c>
      <c r="H1411" t="s">
        <v>441</v>
      </c>
      <c r="I1411" t="s">
        <v>1</v>
      </c>
      <c r="J1411">
        <v>32.56</v>
      </c>
      <c r="K1411">
        <v>158.46</v>
      </c>
      <c r="L1411">
        <v>72.349999999999994</v>
      </c>
      <c r="M1411">
        <v>145.89917127071823</v>
      </c>
      <c r="N1411">
        <v>72.349999999999994</v>
      </c>
      <c r="O1411">
        <v>144.69999999999999</v>
      </c>
      <c r="P1411">
        <v>0</v>
      </c>
      <c r="Q1411">
        <f t="shared" si="270"/>
        <v>144.69999999999999</v>
      </c>
      <c r="R1411">
        <v>144.69999999999999</v>
      </c>
      <c r="S1411">
        <f t="shared" si="271"/>
        <v>0</v>
      </c>
      <c r="T1411">
        <v>0.03</v>
      </c>
      <c r="U1411">
        <f t="shared" si="272"/>
        <v>4.3409999999999993</v>
      </c>
      <c r="V1411">
        <f t="shared" si="273"/>
        <v>149.041</v>
      </c>
      <c r="W1411">
        <f t="shared" si="274"/>
        <v>4.3410000000000082</v>
      </c>
      <c r="X1411">
        <v>0</v>
      </c>
    </row>
    <row r="1412" spans="1:24" x14ac:dyDescent="0.25">
      <c r="A1412" t="s">
        <v>1928</v>
      </c>
      <c r="B1412" t="s">
        <v>1934</v>
      </c>
      <c r="C1412" t="s">
        <v>2045</v>
      </c>
      <c r="D1412" t="s">
        <v>172</v>
      </c>
      <c r="E1412" t="s">
        <v>43</v>
      </c>
      <c r="F1412" t="s">
        <v>1</v>
      </c>
      <c r="G1412" t="s">
        <v>727</v>
      </c>
      <c r="H1412" t="s">
        <v>443</v>
      </c>
      <c r="I1412" t="s">
        <v>1</v>
      </c>
      <c r="J1412">
        <v>1218.75</v>
      </c>
      <c r="K1412"/>
      <c r="L1412">
        <v>2043.12</v>
      </c>
      <c r="M1412">
        <v>4120.1038674033143</v>
      </c>
      <c r="N1412">
        <v>3261.87</v>
      </c>
      <c r="O1412">
        <v>4086.24</v>
      </c>
      <c r="P1412">
        <v>-4086</v>
      </c>
      <c r="Q1412">
        <f t="shared" si="270"/>
        <v>0.23999999999978172</v>
      </c>
      <c r="R1412">
        <v>0</v>
      </c>
      <c r="S1412">
        <f t="shared" si="271"/>
        <v>-0.23999999999978172</v>
      </c>
      <c r="T1412">
        <v>0.03</v>
      </c>
      <c r="U1412">
        <f t="shared" si="272"/>
        <v>0</v>
      </c>
      <c r="V1412">
        <f t="shared" si="273"/>
        <v>0</v>
      </c>
      <c r="W1412">
        <f t="shared" si="274"/>
        <v>-0.23999999999978172</v>
      </c>
      <c r="X1412" t="s">
        <v>1504</v>
      </c>
    </row>
    <row r="1413" spans="1:24" x14ac:dyDescent="0.25">
      <c r="A1413" t="s">
        <v>1928</v>
      </c>
      <c r="B1413" t="s">
        <v>1934</v>
      </c>
      <c r="C1413" t="s">
        <v>2045</v>
      </c>
      <c r="D1413" t="s">
        <v>172</v>
      </c>
      <c r="E1413" t="s">
        <v>46</v>
      </c>
      <c r="F1413" t="s">
        <v>1</v>
      </c>
      <c r="G1413" t="s">
        <v>727</v>
      </c>
      <c r="H1413" t="s">
        <v>446</v>
      </c>
      <c r="I1413" t="s">
        <v>1</v>
      </c>
      <c r="J1413">
        <v>108.15</v>
      </c>
      <c r="K1413"/>
      <c r="L1413">
        <v>0</v>
      </c>
      <c r="M1413">
        <v>0</v>
      </c>
      <c r="N1413">
        <v>0</v>
      </c>
      <c r="O1413"/>
      <c r="P1413">
        <v>0</v>
      </c>
      <c r="Q1413">
        <f t="shared" si="270"/>
        <v>0</v>
      </c>
      <c r="R1413">
        <v>0</v>
      </c>
      <c r="S1413">
        <f t="shared" si="271"/>
        <v>0</v>
      </c>
      <c r="T1413">
        <v>0.03</v>
      </c>
      <c r="U1413">
        <f t="shared" si="272"/>
        <v>0</v>
      </c>
      <c r="V1413">
        <f t="shared" si="273"/>
        <v>0</v>
      </c>
      <c r="W1413">
        <f t="shared" si="274"/>
        <v>0</v>
      </c>
      <c r="X1413">
        <v>0</v>
      </c>
    </row>
    <row r="1414" spans="1:24" x14ac:dyDescent="0.25">
      <c r="A1414" t="s">
        <v>1928</v>
      </c>
      <c r="B1414" t="s">
        <v>1934</v>
      </c>
      <c r="C1414" t="s">
        <v>2045</v>
      </c>
      <c r="D1414" t="s">
        <v>172</v>
      </c>
      <c r="E1414" t="s">
        <v>47</v>
      </c>
      <c r="F1414" t="s">
        <v>1</v>
      </c>
      <c r="G1414" t="s">
        <v>727</v>
      </c>
      <c r="H1414" t="s">
        <v>447</v>
      </c>
      <c r="I1414" t="s">
        <v>1</v>
      </c>
      <c r="J1414">
        <v>461</v>
      </c>
      <c r="K1414"/>
      <c r="L1414">
        <v>0</v>
      </c>
      <c r="M1414">
        <v>0</v>
      </c>
      <c r="N1414">
        <v>0</v>
      </c>
      <c r="O1414"/>
      <c r="P1414">
        <v>0</v>
      </c>
      <c r="Q1414">
        <f t="shared" si="270"/>
        <v>0</v>
      </c>
      <c r="R1414">
        <v>0</v>
      </c>
      <c r="S1414">
        <f t="shared" si="271"/>
        <v>0</v>
      </c>
      <c r="T1414">
        <v>0.03</v>
      </c>
      <c r="U1414">
        <f t="shared" si="272"/>
        <v>0</v>
      </c>
      <c r="V1414">
        <f t="shared" si="273"/>
        <v>0</v>
      </c>
      <c r="W1414">
        <f t="shared" si="274"/>
        <v>0</v>
      </c>
      <c r="X1414">
        <v>0</v>
      </c>
    </row>
    <row r="1415" spans="1:24" x14ac:dyDescent="0.25">
      <c r="A1415" t="s">
        <v>1928</v>
      </c>
      <c r="B1415" t="s">
        <v>1934</v>
      </c>
      <c r="C1415" t="s">
        <v>2045</v>
      </c>
      <c r="D1415" t="s">
        <v>172</v>
      </c>
      <c r="E1415" t="s">
        <v>50</v>
      </c>
      <c r="F1415" t="s">
        <v>1</v>
      </c>
      <c r="G1415" t="s">
        <v>727</v>
      </c>
      <c r="H1415" t="s">
        <v>450</v>
      </c>
      <c r="I1415" t="s">
        <v>1</v>
      </c>
      <c r="J1415">
        <v>-149.99</v>
      </c>
      <c r="K1415"/>
      <c r="L1415">
        <v>0</v>
      </c>
      <c r="M1415">
        <v>0</v>
      </c>
      <c r="N1415">
        <v>-149.99</v>
      </c>
      <c r="O1415"/>
      <c r="P1415">
        <v>0</v>
      </c>
      <c r="Q1415">
        <f t="shared" si="270"/>
        <v>0</v>
      </c>
      <c r="R1415">
        <v>0</v>
      </c>
      <c r="S1415">
        <f t="shared" si="271"/>
        <v>0</v>
      </c>
      <c r="T1415"/>
      <c r="U1415">
        <f t="shared" si="272"/>
        <v>0</v>
      </c>
      <c r="V1415">
        <f t="shared" si="273"/>
        <v>0</v>
      </c>
      <c r="W1415">
        <f t="shared" si="274"/>
        <v>0</v>
      </c>
      <c r="X1415">
        <v>0</v>
      </c>
    </row>
    <row r="1416" spans="1:24" x14ac:dyDescent="0.25">
      <c r="A1416" t="s">
        <v>1928</v>
      </c>
      <c r="B1416" t="s">
        <v>1934</v>
      </c>
      <c r="C1416" t="s">
        <v>2045</v>
      </c>
      <c r="D1416" t="s">
        <v>172</v>
      </c>
      <c r="E1416" t="s">
        <v>51</v>
      </c>
      <c r="F1416" t="s">
        <v>51</v>
      </c>
      <c r="G1416" t="s">
        <v>728</v>
      </c>
      <c r="H1416"/>
      <c r="I1416"/>
      <c r="J1416">
        <v>37000.46</v>
      </c>
      <c r="K1416">
        <v>36571.902578151203</v>
      </c>
      <c r="L1416">
        <v>22585.639999999996</v>
      </c>
      <c r="M1416">
        <v>45545.627624309396</v>
      </c>
      <c r="N1416">
        <v>42608.07</v>
      </c>
      <c r="O1416">
        <v>45381.300829336484</v>
      </c>
      <c r="P1416">
        <f>SUMIF($F$1388:$F$1415,"&lt;&gt;EV_*",$P$1388:$P$1415)</f>
        <v>-5677</v>
      </c>
      <c r="Q1416">
        <f>SUMIF($F$1388:$F$1415,"&lt;&gt;EV_*",$Q$1388:$Q$1415)</f>
        <v>39704.300829336484</v>
      </c>
      <c r="R1416">
        <f>SUMIF($F$1388:$F$1415,"&lt;&gt;EV_*",$R$1388:$R$1415)</f>
        <v>39795.873239026187</v>
      </c>
      <c r="S1416">
        <f>SUMIF($F$1388:$F$1415,"&lt;&gt;EV_*",$S$1388:$S$1415)</f>
        <v>91.572409689700223</v>
      </c>
      <c r="T1416">
        <v>0</v>
      </c>
      <c r="U1416">
        <f>SUMIF($F$1388:$F$1415,"&lt;&gt;EV_*",$U$1388:$U$1415)</f>
        <v>930.57254940046255</v>
      </c>
      <c r="V1416">
        <f>SUMIF($F$1388:$F$1415,"&lt;&gt;EV_*",$V$1388:$V$1415)</f>
        <v>40726.445788426659</v>
      </c>
      <c r="W1416">
        <f>SUMIF($F$1388:$F$1415,"&lt;&gt;EV_*",$W$1388:$W$1415)</f>
        <v>1022.1449590901644</v>
      </c>
      <c r="X1416">
        <f>SUMIF($F$1388:$F$1415,"&lt;&gt;EV_*",$X$1388:$X$1415)</f>
        <v>0</v>
      </c>
    </row>
    <row r="1417" spans="1:24" x14ac:dyDescent="0.25">
      <c r="A1417" t="s">
        <v>1928</v>
      </c>
      <c r="B1417" t="s">
        <v>1934</v>
      </c>
      <c r="C1417" t="s">
        <v>2046</v>
      </c>
      <c r="D1417" t="s">
        <v>173</v>
      </c>
      <c r="E1417" t="s">
        <v>5</v>
      </c>
      <c r="F1417" t="s">
        <v>5</v>
      </c>
      <c r="G1417" t="s">
        <v>729</v>
      </c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</row>
    <row r="1418" spans="1:24" x14ac:dyDescent="0.25">
      <c r="A1418" t="s">
        <v>1928</v>
      </c>
      <c r="B1418" t="s">
        <v>1934</v>
      </c>
      <c r="C1418" t="s">
        <v>2046</v>
      </c>
      <c r="D1418" t="s">
        <v>173</v>
      </c>
      <c r="E1418" t="s">
        <v>37</v>
      </c>
      <c r="F1418" t="s">
        <v>1</v>
      </c>
      <c r="G1418" t="s">
        <v>730</v>
      </c>
      <c r="H1418" t="s">
        <v>437</v>
      </c>
      <c r="I1418" t="s">
        <v>1</v>
      </c>
      <c r="J1418">
        <v>751.15</v>
      </c>
      <c r="K1418"/>
      <c r="L1418">
        <v>410.24</v>
      </c>
      <c r="M1418">
        <v>827.27955801104986</v>
      </c>
      <c r="N1418">
        <v>410.24</v>
      </c>
      <c r="O1418">
        <v>820.48</v>
      </c>
      <c r="P1418">
        <v>-820</v>
      </c>
      <c r="Q1418">
        <f>O1418+P1418</f>
        <v>0.48000000000001819</v>
      </c>
      <c r="R1418">
        <v>0</v>
      </c>
      <c r="S1418">
        <f>IF(OR(LEFT(E1418,2)="A_",LEFT(D1418,5)="Total"),R1418-Q1418,"")</f>
        <v>-0.48000000000001819</v>
      </c>
      <c r="T1418"/>
      <c r="U1418">
        <f>IFERROR(R1418*T1418,R1418*0)</f>
        <v>0</v>
      </c>
      <c r="V1418">
        <f>IF(OR(LEFT(E1418,2)="A_",LEFT(D1418,5)="Total"),R1418+U1418,"")</f>
        <v>0</v>
      </c>
      <c r="W1418">
        <f>IF(OR(LEFT(E1418,2)="A_",LEFT(D1418,5)="Total"),V1418-Q1418,"")</f>
        <v>-0.48000000000001819</v>
      </c>
      <c r="X1418" t="s">
        <v>1475</v>
      </c>
    </row>
    <row r="1419" spans="1:24" x14ac:dyDescent="0.25">
      <c r="A1419" t="s">
        <v>1928</v>
      </c>
      <c r="B1419" t="s">
        <v>1934</v>
      </c>
      <c r="C1419" t="s">
        <v>2046</v>
      </c>
      <c r="D1419" t="s">
        <v>173</v>
      </c>
      <c r="E1419" t="s">
        <v>47</v>
      </c>
      <c r="F1419" t="s">
        <v>1</v>
      </c>
      <c r="G1419" t="s">
        <v>730</v>
      </c>
      <c r="H1419" t="s">
        <v>447</v>
      </c>
      <c r="I1419" t="s">
        <v>1</v>
      </c>
      <c r="J1419">
        <v>55</v>
      </c>
      <c r="K1419"/>
      <c r="L1419">
        <v>0</v>
      </c>
      <c r="M1419">
        <v>0</v>
      </c>
      <c r="N1419">
        <v>0</v>
      </c>
      <c r="O1419"/>
      <c r="P1419">
        <v>0</v>
      </c>
      <c r="Q1419">
        <f>O1419+P1419</f>
        <v>0</v>
      </c>
      <c r="R1419">
        <v>0</v>
      </c>
      <c r="S1419">
        <f>IF(OR(LEFT(E1419,2)="A_",LEFT(D1419,5)="Total"),R1419-Q1419,"")</f>
        <v>0</v>
      </c>
      <c r="T1419">
        <v>0.03</v>
      </c>
      <c r="U1419">
        <f>IFERROR(R1419*T1419,R1419*0)</f>
        <v>0</v>
      </c>
      <c r="V1419">
        <f>IF(OR(LEFT(E1419,2)="A_",LEFT(D1419,5)="Total"),R1419+U1419,"")</f>
        <v>0</v>
      </c>
      <c r="W1419">
        <f>IF(OR(LEFT(E1419,2)="A_",LEFT(D1419,5)="Total"),V1419-Q1419,"")</f>
        <v>0</v>
      </c>
      <c r="X1419">
        <v>0</v>
      </c>
    </row>
    <row r="1420" spans="1:24" x14ac:dyDescent="0.25">
      <c r="A1420" t="s">
        <v>1928</v>
      </c>
      <c r="B1420" t="s">
        <v>1934</v>
      </c>
      <c r="C1420" t="s">
        <v>2046</v>
      </c>
      <c r="D1420" t="s">
        <v>173</v>
      </c>
      <c r="E1420" t="s">
        <v>51</v>
      </c>
      <c r="F1420" t="s">
        <v>51</v>
      </c>
      <c r="G1420" t="s">
        <v>731</v>
      </c>
      <c r="H1420"/>
      <c r="I1420"/>
      <c r="J1420">
        <v>806.15</v>
      </c>
      <c r="K1420">
        <v>0</v>
      </c>
      <c r="L1420">
        <v>410.24</v>
      </c>
      <c r="M1420">
        <v>827.27955801104986</v>
      </c>
      <c r="N1420">
        <v>410.24</v>
      </c>
      <c r="O1420">
        <v>820.48</v>
      </c>
      <c r="P1420">
        <f>SUMIF($F$1417:$F$1419,"&lt;&gt;EV_*",$P$1417:$P$1419)</f>
        <v>-820</v>
      </c>
      <c r="Q1420">
        <f>SUMIF($F$1417:$F$1419,"&lt;&gt;EV_*",$Q$1417:$Q$1419)</f>
        <v>0.48000000000001819</v>
      </c>
      <c r="R1420">
        <f>SUMIF($F$1417:$F$1419,"&lt;&gt;EV_*",$R$1417:$R$1419)</f>
        <v>0</v>
      </c>
      <c r="S1420">
        <f>SUMIF($F$1417:$F$1419,"&lt;&gt;EV_*",$S$1417:$S$1419)</f>
        <v>-0.48000000000001819</v>
      </c>
      <c r="T1420">
        <v>0</v>
      </c>
      <c r="U1420">
        <f>SUMIF($F$1417:$F$1419,"&lt;&gt;EV_*",$U$1417:$U$1419)</f>
        <v>0</v>
      </c>
      <c r="V1420">
        <f>SUMIF($F$1417:$F$1419,"&lt;&gt;EV_*",$V$1417:$V$1419)</f>
        <v>0</v>
      </c>
      <c r="W1420">
        <f>SUMIF($F$1417:$F$1419,"&lt;&gt;EV_*",$W$1417:$W$1419)</f>
        <v>-0.48000000000001819</v>
      </c>
      <c r="X1420">
        <f>SUMIF($F$1417:$F$1419,"&lt;&gt;EV_*",$X$1417:$X$1419)</f>
        <v>0</v>
      </c>
    </row>
    <row r="1421" spans="1:24" x14ac:dyDescent="0.25">
      <c r="A1421" t="s">
        <v>1928</v>
      </c>
      <c r="B1421" t="s">
        <v>1929</v>
      </c>
      <c r="C1421" t="s">
        <v>2047</v>
      </c>
      <c r="D1421" t="s">
        <v>174</v>
      </c>
      <c r="E1421" t="s">
        <v>5</v>
      </c>
      <c r="F1421" t="s">
        <v>5</v>
      </c>
      <c r="G1421" t="s">
        <v>732</v>
      </c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</row>
    <row r="1422" spans="1:24" x14ac:dyDescent="0.25">
      <c r="A1422" t="s">
        <v>1928</v>
      </c>
      <c r="B1422" t="s">
        <v>1929</v>
      </c>
      <c r="C1422" t="s">
        <v>2047</v>
      </c>
      <c r="D1422" t="s">
        <v>174</v>
      </c>
      <c r="E1422" t="s">
        <v>8</v>
      </c>
      <c r="F1422" t="s">
        <v>1</v>
      </c>
      <c r="G1422" t="s">
        <v>733</v>
      </c>
      <c r="H1422" t="s">
        <v>408</v>
      </c>
      <c r="I1422" t="s">
        <v>1</v>
      </c>
      <c r="J1422">
        <v>48571.22</v>
      </c>
      <c r="K1422">
        <v>50219.523204419696</v>
      </c>
      <c r="L1422">
        <v>7143.4</v>
      </c>
      <c r="M1422">
        <v>14405.198895027625</v>
      </c>
      <c r="N1422">
        <v>30811.24</v>
      </c>
      <c r="O1422">
        <v>14405.198895027601</v>
      </c>
      <c r="P1422">
        <v>-14405</v>
      </c>
      <c r="Q1422">
        <f t="shared" ref="Q1422:Q1449" si="275">O1422+P1422</f>
        <v>0.19889502760088362</v>
      </c>
      <c r="R1422">
        <v>0</v>
      </c>
      <c r="S1422">
        <f t="shared" ref="S1422:S1449" si="276">IF(OR(LEFT(E1422,2)="A_",LEFT(D1422,5)="Total"),R1422-Q1422,"")</f>
        <v>-0.19889502760088362</v>
      </c>
      <c r="T1422"/>
      <c r="U1422">
        <f t="shared" ref="U1422:U1449" si="277">IFERROR(R1422*T1422,R1422*0)</f>
        <v>0</v>
      </c>
      <c r="V1422">
        <f t="shared" ref="V1422:V1449" si="278">IF(OR(LEFT(E1422,2)="A_",LEFT(D1422,5)="Total"),R1422+U1422,"")</f>
        <v>0</v>
      </c>
      <c r="W1422">
        <f t="shared" ref="W1422:W1449" si="279">IF(OR(LEFT(E1422,2)="A_",LEFT(D1422,5)="Total"),V1422-Q1422,"")</f>
        <v>-0.19889502760088362</v>
      </c>
      <c r="X1422">
        <v>0</v>
      </c>
    </row>
    <row r="1423" spans="1:24" x14ac:dyDescent="0.25">
      <c r="A1423" t="s">
        <v>1928</v>
      </c>
      <c r="B1423" t="s">
        <v>1929</v>
      </c>
      <c r="C1423" t="s">
        <v>2047</v>
      </c>
      <c r="D1423" t="s">
        <v>174</v>
      </c>
      <c r="E1423" t="s">
        <v>11</v>
      </c>
      <c r="F1423" t="s">
        <v>1</v>
      </c>
      <c r="G1423" t="s">
        <v>733</v>
      </c>
      <c r="H1423" t="s">
        <v>411</v>
      </c>
      <c r="I1423" t="s">
        <v>1</v>
      </c>
      <c r="J1423">
        <v>1284.02</v>
      </c>
      <c r="K1423">
        <v>1036.8399999996</v>
      </c>
      <c r="L1423">
        <v>573.66</v>
      </c>
      <c r="M1423">
        <v>1156.82817679558</v>
      </c>
      <c r="N1423">
        <v>1179.8699999999999</v>
      </c>
      <c r="O1423">
        <v>1147.32</v>
      </c>
      <c r="P1423">
        <v>0</v>
      </c>
      <c r="Q1423">
        <f t="shared" si="275"/>
        <v>1147.32</v>
      </c>
      <c r="R1423">
        <v>1147.32</v>
      </c>
      <c r="S1423">
        <f t="shared" si="276"/>
        <v>0</v>
      </c>
      <c r="T1423"/>
      <c r="U1423">
        <f t="shared" si="277"/>
        <v>0</v>
      </c>
      <c r="V1423">
        <f t="shared" si="278"/>
        <v>1147.32</v>
      </c>
      <c r="W1423">
        <f t="shared" si="279"/>
        <v>0</v>
      </c>
      <c r="X1423">
        <v>0</v>
      </c>
    </row>
    <row r="1424" spans="1:24" x14ac:dyDescent="0.25">
      <c r="A1424" t="s">
        <v>1928</v>
      </c>
      <c r="B1424" t="s">
        <v>1929</v>
      </c>
      <c r="C1424" t="s">
        <v>2047</v>
      </c>
      <c r="D1424" t="s">
        <v>174</v>
      </c>
      <c r="E1424" t="s">
        <v>65</v>
      </c>
      <c r="F1424" t="s">
        <v>1</v>
      </c>
      <c r="G1424" t="s">
        <v>733</v>
      </c>
      <c r="H1424" t="s">
        <v>476</v>
      </c>
      <c r="I1424" t="s">
        <v>1</v>
      </c>
      <c r="J1424">
        <v>-544.28</v>
      </c>
      <c r="K1424"/>
      <c r="L1424">
        <v>-232.99</v>
      </c>
      <c r="M1424">
        <v>-469.84171270718235</v>
      </c>
      <c r="N1424">
        <v>-416.34</v>
      </c>
      <c r="O1424">
        <v>-468.54032967030003</v>
      </c>
      <c r="P1424">
        <v>0</v>
      </c>
      <c r="Q1424">
        <f t="shared" si="275"/>
        <v>-468.54032967030003</v>
      </c>
      <c r="R1424">
        <v>0</v>
      </c>
      <c r="S1424">
        <f t="shared" si="276"/>
        <v>468.54032967030003</v>
      </c>
      <c r="T1424"/>
      <c r="U1424">
        <f t="shared" si="277"/>
        <v>0</v>
      </c>
      <c r="V1424">
        <f t="shared" si="278"/>
        <v>0</v>
      </c>
      <c r="W1424">
        <f t="shared" si="279"/>
        <v>468.54032967030003</v>
      </c>
      <c r="X1424">
        <v>0</v>
      </c>
    </row>
    <row r="1425" spans="1:24" x14ac:dyDescent="0.25">
      <c r="A1425" t="s">
        <v>1928</v>
      </c>
      <c r="B1425" t="s">
        <v>1929</v>
      </c>
      <c r="C1425" t="s">
        <v>2047</v>
      </c>
      <c r="D1425" t="s">
        <v>174</v>
      </c>
      <c r="E1425" t="s">
        <v>17</v>
      </c>
      <c r="F1425" t="s">
        <v>1</v>
      </c>
      <c r="G1425" t="s">
        <v>733</v>
      </c>
      <c r="H1425" t="s">
        <v>417</v>
      </c>
      <c r="I1425" t="s">
        <v>1</v>
      </c>
      <c r="J1425">
        <v>-7836.06</v>
      </c>
      <c r="K1425">
        <v>-5789.9999999999</v>
      </c>
      <c r="L1425">
        <v>-2960.28</v>
      </c>
      <c r="M1425">
        <v>-5969.6254143646411</v>
      </c>
      <c r="N1425">
        <v>-7759.03</v>
      </c>
      <c r="O1425">
        <v>-5953.0905494505996</v>
      </c>
      <c r="P1425">
        <v>0</v>
      </c>
      <c r="Q1425">
        <f t="shared" si="275"/>
        <v>-5953.0905494505996</v>
      </c>
      <c r="R1425">
        <v>-5953.0905494505996</v>
      </c>
      <c r="S1425">
        <f t="shared" si="276"/>
        <v>0</v>
      </c>
      <c r="T1425"/>
      <c r="U1425">
        <f t="shared" si="277"/>
        <v>0</v>
      </c>
      <c r="V1425">
        <f t="shared" si="278"/>
        <v>-5953.0905494505996</v>
      </c>
      <c r="W1425">
        <f t="shared" si="279"/>
        <v>0</v>
      </c>
      <c r="X1425">
        <v>0</v>
      </c>
    </row>
    <row r="1426" spans="1:24" x14ac:dyDescent="0.25">
      <c r="A1426" t="s">
        <v>1928</v>
      </c>
      <c r="B1426" t="s">
        <v>1929</v>
      </c>
      <c r="C1426" t="s">
        <v>2047</v>
      </c>
      <c r="D1426" t="s">
        <v>174</v>
      </c>
      <c r="E1426" t="s">
        <v>82</v>
      </c>
      <c r="F1426" t="s">
        <v>1</v>
      </c>
      <c r="G1426" t="s">
        <v>733</v>
      </c>
      <c r="H1426" t="s">
        <v>507</v>
      </c>
      <c r="I1426" t="s">
        <v>1</v>
      </c>
      <c r="J1426">
        <v>4410.78</v>
      </c>
      <c r="K1426">
        <v>3936.6948361960999</v>
      </c>
      <c r="L1426">
        <v>1898.3</v>
      </c>
      <c r="M1426">
        <v>3828.0635359116018</v>
      </c>
      <c r="N1426">
        <v>4429.25</v>
      </c>
      <c r="O1426">
        <v>3817.4604395604001</v>
      </c>
      <c r="P1426">
        <v>0</v>
      </c>
      <c r="Q1426">
        <f t="shared" si="275"/>
        <v>3817.4604395604001</v>
      </c>
      <c r="R1426">
        <v>3817.4604395604001</v>
      </c>
      <c r="S1426">
        <f t="shared" si="276"/>
        <v>0</v>
      </c>
      <c r="T1426">
        <v>2.75E-2</v>
      </c>
      <c r="U1426">
        <f t="shared" si="277"/>
        <v>104.980162087911</v>
      </c>
      <c r="V1426">
        <f t="shared" si="278"/>
        <v>3922.4406016483113</v>
      </c>
      <c r="W1426">
        <f t="shared" si="279"/>
        <v>104.98016208791114</v>
      </c>
      <c r="X1426">
        <v>0</v>
      </c>
    </row>
    <row r="1427" spans="1:24" x14ac:dyDescent="0.25">
      <c r="A1427" t="s">
        <v>1928</v>
      </c>
      <c r="B1427" t="s">
        <v>1929</v>
      </c>
      <c r="C1427" t="s">
        <v>2047</v>
      </c>
      <c r="D1427" t="s">
        <v>174</v>
      </c>
      <c r="E1427" t="s">
        <v>72</v>
      </c>
      <c r="F1427" t="s">
        <v>1</v>
      </c>
      <c r="G1427" t="s">
        <v>733</v>
      </c>
      <c r="H1427" t="s">
        <v>489</v>
      </c>
      <c r="I1427" t="s">
        <v>1</v>
      </c>
      <c r="J1427">
        <v>2509.91</v>
      </c>
      <c r="K1427">
        <v>2624.5422859629998</v>
      </c>
      <c r="L1427">
        <v>1191.76</v>
      </c>
      <c r="M1427">
        <v>2403.2729281767956</v>
      </c>
      <c r="N1427">
        <v>2550.7399999999998</v>
      </c>
      <c r="O1427">
        <v>2396.6162637363</v>
      </c>
      <c r="P1427">
        <v>0</v>
      </c>
      <c r="Q1427">
        <f t="shared" si="275"/>
        <v>2396.6162637363</v>
      </c>
      <c r="R1427">
        <v>2396.6162637363</v>
      </c>
      <c r="S1427">
        <f t="shared" si="276"/>
        <v>0</v>
      </c>
      <c r="T1427">
        <v>2.2499999999999999E-2</v>
      </c>
      <c r="U1427">
        <f t="shared" si="277"/>
        <v>53.923865934066747</v>
      </c>
      <c r="V1427">
        <f t="shared" si="278"/>
        <v>2450.5401296703667</v>
      </c>
      <c r="W1427">
        <f t="shared" si="279"/>
        <v>53.923865934066725</v>
      </c>
      <c r="X1427">
        <v>0</v>
      </c>
    </row>
    <row r="1428" spans="1:24" x14ac:dyDescent="0.25">
      <c r="A1428" t="s">
        <v>1928</v>
      </c>
      <c r="B1428" t="s">
        <v>1929</v>
      </c>
      <c r="C1428" t="s">
        <v>2047</v>
      </c>
      <c r="D1428" t="s">
        <v>174</v>
      </c>
      <c r="E1428" t="s">
        <v>118</v>
      </c>
      <c r="F1428" t="s">
        <v>1</v>
      </c>
      <c r="G1428" t="s">
        <v>733</v>
      </c>
      <c r="H1428" t="s">
        <v>587</v>
      </c>
      <c r="I1428" t="s">
        <v>1</v>
      </c>
      <c r="J1428">
        <v>529.85</v>
      </c>
      <c r="K1428"/>
      <c r="L1428">
        <v>146.07</v>
      </c>
      <c r="M1428">
        <v>294.56104972375692</v>
      </c>
      <c r="N1428">
        <v>478.34999999999997</v>
      </c>
      <c r="O1428">
        <v>293.7451648352</v>
      </c>
      <c r="P1428">
        <v>0</v>
      </c>
      <c r="Q1428">
        <f t="shared" si="275"/>
        <v>293.7451648352</v>
      </c>
      <c r="R1428">
        <v>293.7451648352</v>
      </c>
      <c r="S1428">
        <f t="shared" si="276"/>
        <v>0</v>
      </c>
      <c r="T1428">
        <v>3.2500000000000001E-2</v>
      </c>
      <c r="U1428">
        <f t="shared" si="277"/>
        <v>9.5467178571440012</v>
      </c>
      <c r="V1428">
        <f t="shared" si="278"/>
        <v>303.29188269234402</v>
      </c>
      <c r="W1428">
        <f t="shared" si="279"/>
        <v>9.5467178571440172</v>
      </c>
      <c r="X1428">
        <v>0</v>
      </c>
    </row>
    <row r="1429" spans="1:24" x14ac:dyDescent="0.25">
      <c r="A1429" t="s">
        <v>1928</v>
      </c>
      <c r="B1429" t="s">
        <v>1929</v>
      </c>
      <c r="C1429" t="s">
        <v>2047</v>
      </c>
      <c r="D1429" t="s">
        <v>174</v>
      </c>
      <c r="E1429" t="s">
        <v>18</v>
      </c>
      <c r="F1429" t="s">
        <v>1</v>
      </c>
      <c r="G1429" t="s">
        <v>733</v>
      </c>
      <c r="H1429" t="s">
        <v>418</v>
      </c>
      <c r="I1429" t="s">
        <v>1</v>
      </c>
      <c r="J1429">
        <v>281339.21000000002</v>
      </c>
      <c r="K1429">
        <v>294918.89762229897</v>
      </c>
      <c r="L1429">
        <v>128963.86</v>
      </c>
      <c r="M1429">
        <v>260065.24254143646</v>
      </c>
      <c r="N1429">
        <v>268597.99</v>
      </c>
      <c r="O1429">
        <v>259344.905274725</v>
      </c>
      <c r="P1429">
        <v>0</v>
      </c>
      <c r="Q1429">
        <f t="shared" si="275"/>
        <v>259344.905274725</v>
      </c>
      <c r="R1429">
        <v>259344.905274725</v>
      </c>
      <c r="S1429">
        <f t="shared" si="276"/>
        <v>0</v>
      </c>
      <c r="T1429">
        <v>0.02</v>
      </c>
      <c r="U1429">
        <f t="shared" si="277"/>
        <v>5186.8981054944998</v>
      </c>
      <c r="V1429">
        <f t="shared" si="278"/>
        <v>264531.8033802195</v>
      </c>
      <c r="W1429">
        <f t="shared" si="279"/>
        <v>5186.8981054945034</v>
      </c>
      <c r="X1429">
        <v>0</v>
      </c>
    </row>
    <row r="1430" spans="1:24" x14ac:dyDescent="0.25">
      <c r="A1430" t="s">
        <v>1928</v>
      </c>
      <c r="B1430" t="s">
        <v>1929</v>
      </c>
      <c r="C1430" t="s">
        <v>2047</v>
      </c>
      <c r="D1430" t="s">
        <v>174</v>
      </c>
      <c r="E1430" t="s">
        <v>57</v>
      </c>
      <c r="F1430" t="s">
        <v>1</v>
      </c>
      <c r="G1430" t="s">
        <v>733</v>
      </c>
      <c r="H1430" t="s">
        <v>462</v>
      </c>
      <c r="I1430" t="s">
        <v>1</v>
      </c>
      <c r="J1430">
        <v>3633.23</v>
      </c>
      <c r="K1430">
        <v>4626.0899094651004</v>
      </c>
      <c r="L1430">
        <v>1236.5</v>
      </c>
      <c r="M1430">
        <v>2493.4944751381213</v>
      </c>
      <c r="N1430">
        <v>2354.0800000000004</v>
      </c>
      <c r="O1430">
        <v>2486.5879120878999</v>
      </c>
      <c r="P1430">
        <v>0</v>
      </c>
      <c r="Q1430">
        <f t="shared" si="275"/>
        <v>2486.5879120878999</v>
      </c>
      <c r="R1430">
        <v>2486.5879120878999</v>
      </c>
      <c r="S1430">
        <f t="shared" si="276"/>
        <v>0</v>
      </c>
      <c r="T1430">
        <v>0.04</v>
      </c>
      <c r="U1430">
        <f t="shared" si="277"/>
        <v>99.463516483516003</v>
      </c>
      <c r="V1430">
        <f t="shared" si="278"/>
        <v>2586.0514285714157</v>
      </c>
      <c r="W1430">
        <f t="shared" si="279"/>
        <v>99.463516483515832</v>
      </c>
      <c r="X1430">
        <v>0</v>
      </c>
    </row>
    <row r="1431" spans="1:24" x14ac:dyDescent="0.25">
      <c r="A1431" t="s">
        <v>1928</v>
      </c>
      <c r="B1431" t="s">
        <v>1929</v>
      </c>
      <c r="C1431" t="s">
        <v>2047</v>
      </c>
      <c r="D1431" t="s">
        <v>174</v>
      </c>
      <c r="E1431" t="s">
        <v>74</v>
      </c>
      <c r="F1431" t="s">
        <v>1</v>
      </c>
      <c r="G1431" t="s">
        <v>733</v>
      </c>
      <c r="H1431" t="s">
        <v>491</v>
      </c>
      <c r="I1431" t="s">
        <v>1</v>
      </c>
      <c r="J1431">
        <v>35692.54</v>
      </c>
      <c r="K1431">
        <v>36541.2605633536</v>
      </c>
      <c r="L1431">
        <v>15123.12</v>
      </c>
      <c r="M1431">
        <v>30496.899447513813</v>
      </c>
      <c r="N1431">
        <v>33845.680000000008</v>
      </c>
      <c r="O1431">
        <v>30412.428131868099</v>
      </c>
      <c r="P1431">
        <v>0</v>
      </c>
      <c r="Q1431">
        <f t="shared" si="275"/>
        <v>30412.428131868099</v>
      </c>
      <c r="R1431">
        <v>30412.428131868099</v>
      </c>
      <c r="S1431">
        <f t="shared" si="276"/>
        <v>0</v>
      </c>
      <c r="T1431">
        <v>3.5000000000000003E-2</v>
      </c>
      <c r="U1431">
        <f t="shared" si="277"/>
        <v>1064.4349846153837</v>
      </c>
      <c r="V1431">
        <f t="shared" si="278"/>
        <v>31476.863116483481</v>
      </c>
      <c r="W1431">
        <f t="shared" si="279"/>
        <v>1064.4349846153818</v>
      </c>
      <c r="X1431">
        <v>0</v>
      </c>
    </row>
    <row r="1432" spans="1:24" x14ac:dyDescent="0.25">
      <c r="A1432" t="s">
        <v>1928</v>
      </c>
      <c r="B1432" t="s">
        <v>1929</v>
      </c>
      <c r="C1432" t="s">
        <v>2047</v>
      </c>
      <c r="D1432" t="s">
        <v>174</v>
      </c>
      <c r="E1432" t="s">
        <v>85</v>
      </c>
      <c r="F1432" t="s">
        <v>1</v>
      </c>
      <c r="G1432" t="s">
        <v>733</v>
      </c>
      <c r="H1432" t="s">
        <v>510</v>
      </c>
      <c r="I1432" t="s">
        <v>1</v>
      </c>
      <c r="J1432">
        <v>977.18</v>
      </c>
      <c r="K1432">
        <v>1552.217067325</v>
      </c>
      <c r="L1432">
        <v>0</v>
      </c>
      <c r="M1432">
        <v>0</v>
      </c>
      <c r="N1432">
        <v>225.6</v>
      </c>
      <c r="O1432"/>
      <c r="P1432">
        <v>0</v>
      </c>
      <c r="Q1432">
        <f t="shared" si="275"/>
        <v>0</v>
      </c>
      <c r="R1432">
        <v>0</v>
      </c>
      <c r="S1432">
        <f t="shared" si="276"/>
        <v>0</v>
      </c>
      <c r="T1432">
        <v>0.02</v>
      </c>
      <c r="U1432">
        <f t="shared" si="277"/>
        <v>0</v>
      </c>
      <c r="V1432">
        <f t="shared" si="278"/>
        <v>0</v>
      </c>
      <c r="W1432">
        <f t="shared" si="279"/>
        <v>0</v>
      </c>
      <c r="X1432">
        <v>0</v>
      </c>
    </row>
    <row r="1433" spans="1:24" x14ac:dyDescent="0.25">
      <c r="A1433" t="s">
        <v>1928</v>
      </c>
      <c r="B1433" t="s">
        <v>1929</v>
      </c>
      <c r="C1433" t="s">
        <v>2047</v>
      </c>
      <c r="D1433" t="s">
        <v>174</v>
      </c>
      <c r="E1433" t="s">
        <v>119</v>
      </c>
      <c r="F1433" t="s">
        <v>1</v>
      </c>
      <c r="G1433" t="s">
        <v>733</v>
      </c>
      <c r="H1433" t="s">
        <v>588</v>
      </c>
      <c r="I1433" t="s">
        <v>1</v>
      </c>
      <c r="J1433">
        <v>294</v>
      </c>
      <c r="K1433"/>
      <c r="L1433">
        <v>0</v>
      </c>
      <c r="M1433">
        <v>0</v>
      </c>
      <c r="N1433">
        <v>176.39999999999998</v>
      </c>
      <c r="O1433"/>
      <c r="P1433">
        <v>0</v>
      </c>
      <c r="Q1433">
        <f t="shared" si="275"/>
        <v>0</v>
      </c>
      <c r="R1433">
        <v>0</v>
      </c>
      <c r="S1433">
        <f t="shared" si="276"/>
        <v>0</v>
      </c>
      <c r="T1433">
        <v>1.4999999999999999E-2</v>
      </c>
      <c r="U1433">
        <f t="shared" si="277"/>
        <v>0</v>
      </c>
      <c r="V1433">
        <f t="shared" si="278"/>
        <v>0</v>
      </c>
      <c r="W1433">
        <f t="shared" si="279"/>
        <v>0</v>
      </c>
      <c r="X1433">
        <v>0</v>
      </c>
    </row>
    <row r="1434" spans="1:24" x14ac:dyDescent="0.25">
      <c r="A1434" t="s">
        <v>1928</v>
      </c>
      <c r="B1434" t="s">
        <v>1929</v>
      </c>
      <c r="C1434" t="s">
        <v>2047</v>
      </c>
      <c r="D1434" t="s">
        <v>174</v>
      </c>
      <c r="E1434" t="s">
        <v>20</v>
      </c>
      <c r="F1434" t="s">
        <v>1</v>
      </c>
      <c r="G1434" t="s">
        <v>733</v>
      </c>
      <c r="H1434" t="s">
        <v>420</v>
      </c>
      <c r="I1434" t="s">
        <v>1</v>
      </c>
      <c r="J1434">
        <v>90859.27</v>
      </c>
      <c r="K1434">
        <v>88565.382598609402</v>
      </c>
      <c r="L1434">
        <v>29708.36</v>
      </c>
      <c r="M1434">
        <v>59909.123756906076</v>
      </c>
      <c r="N1434">
        <v>81126.02</v>
      </c>
      <c r="O1434">
        <v>59743.185494505502</v>
      </c>
      <c r="P1434">
        <v>0</v>
      </c>
      <c r="Q1434">
        <f t="shared" si="275"/>
        <v>59743.185494505502</v>
      </c>
      <c r="R1434">
        <v>59743.185494505502</v>
      </c>
      <c r="S1434">
        <f t="shared" si="276"/>
        <v>0</v>
      </c>
      <c r="T1434">
        <v>0.04</v>
      </c>
      <c r="U1434">
        <f t="shared" si="277"/>
        <v>2389.7274197802203</v>
      </c>
      <c r="V1434">
        <f t="shared" si="278"/>
        <v>62132.91291428572</v>
      </c>
      <c r="W1434">
        <f t="shared" si="279"/>
        <v>2389.727419780218</v>
      </c>
      <c r="X1434">
        <v>0</v>
      </c>
    </row>
    <row r="1435" spans="1:24" x14ac:dyDescent="0.25">
      <c r="A1435" t="s">
        <v>1928</v>
      </c>
      <c r="B1435" t="s">
        <v>1929</v>
      </c>
      <c r="C1435" t="s">
        <v>2047</v>
      </c>
      <c r="D1435" t="s">
        <v>174</v>
      </c>
      <c r="E1435" t="s">
        <v>21</v>
      </c>
      <c r="F1435" t="s">
        <v>1</v>
      </c>
      <c r="G1435" t="s">
        <v>733</v>
      </c>
      <c r="H1435" t="s">
        <v>421</v>
      </c>
      <c r="I1435" t="s">
        <v>1</v>
      </c>
      <c r="J1435">
        <v>10577.34</v>
      </c>
      <c r="K1435">
        <v>10076.379999999999</v>
      </c>
      <c r="L1435">
        <v>5089.95</v>
      </c>
      <c r="M1435">
        <v>10264.263812154695</v>
      </c>
      <c r="N1435">
        <v>10489.28</v>
      </c>
      <c r="O1435">
        <v>10264.263812154701</v>
      </c>
      <c r="P1435">
        <v>0</v>
      </c>
      <c r="Q1435">
        <f t="shared" si="275"/>
        <v>10264.263812154701</v>
      </c>
      <c r="R1435">
        <v>10264.263812154701</v>
      </c>
      <c r="S1435">
        <f t="shared" si="276"/>
        <v>0</v>
      </c>
      <c r="T1435">
        <v>0.03</v>
      </c>
      <c r="U1435">
        <f t="shared" si="277"/>
        <v>307.92791436464103</v>
      </c>
      <c r="V1435">
        <f t="shared" si="278"/>
        <v>10572.191726519342</v>
      </c>
      <c r="W1435">
        <f t="shared" si="279"/>
        <v>307.92791436464177</v>
      </c>
      <c r="X1435">
        <v>0</v>
      </c>
    </row>
    <row r="1436" spans="1:24" x14ac:dyDescent="0.25">
      <c r="A1436" t="s">
        <v>1928</v>
      </c>
      <c r="B1436" t="s">
        <v>1929</v>
      </c>
      <c r="C1436" t="s">
        <v>2047</v>
      </c>
      <c r="D1436" t="s">
        <v>174</v>
      </c>
      <c r="E1436" t="s">
        <v>22</v>
      </c>
      <c r="F1436" t="s">
        <v>1</v>
      </c>
      <c r="G1436" t="s">
        <v>733</v>
      </c>
      <c r="H1436" t="s">
        <v>422</v>
      </c>
      <c r="I1436" t="s">
        <v>1</v>
      </c>
      <c r="J1436">
        <v>4817.84</v>
      </c>
      <c r="K1436">
        <v>6251.3999999997995</v>
      </c>
      <c r="L1436">
        <v>2011.07</v>
      </c>
      <c r="M1436">
        <v>4055.4726519337019</v>
      </c>
      <c r="N1436">
        <v>3807.9900000000002</v>
      </c>
      <c r="O1436">
        <v>4055.4726519337</v>
      </c>
      <c r="P1436">
        <v>0</v>
      </c>
      <c r="Q1436">
        <f t="shared" si="275"/>
        <v>4055.4726519337</v>
      </c>
      <c r="R1436">
        <v>4055.4726519337</v>
      </c>
      <c r="S1436">
        <f t="shared" si="276"/>
        <v>0</v>
      </c>
      <c r="T1436">
        <v>3.5000000000000003E-2</v>
      </c>
      <c r="U1436">
        <f t="shared" si="277"/>
        <v>141.9415428176795</v>
      </c>
      <c r="V1436">
        <f t="shared" si="278"/>
        <v>4197.4141947513799</v>
      </c>
      <c r="W1436">
        <f t="shared" si="279"/>
        <v>141.94154281767987</v>
      </c>
      <c r="X1436">
        <v>0</v>
      </c>
    </row>
    <row r="1437" spans="1:24" x14ac:dyDescent="0.25">
      <c r="A1437" t="s">
        <v>1928</v>
      </c>
      <c r="B1437" t="s">
        <v>1929</v>
      </c>
      <c r="C1437" t="s">
        <v>2047</v>
      </c>
      <c r="D1437" t="s">
        <v>174</v>
      </c>
      <c r="E1437" t="s">
        <v>23</v>
      </c>
      <c r="F1437" t="s">
        <v>1</v>
      </c>
      <c r="G1437" t="s">
        <v>733</v>
      </c>
      <c r="H1437" t="s">
        <v>423</v>
      </c>
      <c r="I1437" t="s">
        <v>1</v>
      </c>
      <c r="J1437">
        <v>6403.87</v>
      </c>
      <c r="K1437">
        <v>6272.1000000001004</v>
      </c>
      <c r="L1437">
        <v>1404.85</v>
      </c>
      <c r="M1437">
        <v>2832.9848066298341</v>
      </c>
      <c r="N1437">
        <v>4776.6000000000004</v>
      </c>
      <c r="O1437">
        <v>2832.9848066298</v>
      </c>
      <c r="P1437">
        <v>0</v>
      </c>
      <c r="Q1437">
        <f t="shared" si="275"/>
        <v>2832.9848066298</v>
      </c>
      <c r="R1437">
        <v>2832.9848066298</v>
      </c>
      <c r="S1437">
        <f t="shared" si="276"/>
        <v>0</v>
      </c>
      <c r="T1437">
        <v>3.5000000000000003E-2</v>
      </c>
      <c r="U1437">
        <f t="shared" si="277"/>
        <v>99.154468232043016</v>
      </c>
      <c r="V1437">
        <f t="shared" si="278"/>
        <v>2932.1392748618432</v>
      </c>
      <c r="W1437">
        <f t="shared" si="279"/>
        <v>99.1544682320432</v>
      </c>
      <c r="X1437">
        <v>0</v>
      </c>
    </row>
    <row r="1438" spans="1:24" x14ac:dyDescent="0.25">
      <c r="A1438" t="s">
        <v>1928</v>
      </c>
      <c r="B1438" t="s">
        <v>1929</v>
      </c>
      <c r="C1438" t="s">
        <v>2047</v>
      </c>
      <c r="D1438" t="s">
        <v>174</v>
      </c>
      <c r="E1438" t="s">
        <v>26</v>
      </c>
      <c r="F1438" t="s">
        <v>1</v>
      </c>
      <c r="G1438" t="s">
        <v>733</v>
      </c>
      <c r="H1438" t="s">
        <v>426</v>
      </c>
      <c r="I1438" t="s">
        <v>1</v>
      </c>
      <c r="J1438"/>
      <c r="K1438">
        <v>981.238368294</v>
      </c>
      <c r="L1438">
        <v>0</v>
      </c>
      <c r="M1438">
        <v>0</v>
      </c>
      <c r="N1438">
        <v>0</v>
      </c>
      <c r="O1438"/>
      <c r="P1438">
        <v>1000</v>
      </c>
      <c r="Q1438">
        <f t="shared" si="275"/>
        <v>1000</v>
      </c>
      <c r="R1438">
        <v>1000</v>
      </c>
      <c r="S1438">
        <f t="shared" si="276"/>
        <v>0</v>
      </c>
      <c r="T1438"/>
      <c r="U1438">
        <f t="shared" si="277"/>
        <v>0</v>
      </c>
      <c r="V1438">
        <f t="shared" si="278"/>
        <v>1000</v>
      </c>
      <c r="W1438">
        <f t="shared" si="279"/>
        <v>0</v>
      </c>
      <c r="X1438" t="s">
        <v>1460</v>
      </c>
    </row>
    <row r="1439" spans="1:24" x14ac:dyDescent="0.25">
      <c r="A1439" t="s">
        <v>1928</v>
      </c>
      <c r="B1439" t="s">
        <v>1929</v>
      </c>
      <c r="C1439" t="s">
        <v>2047</v>
      </c>
      <c r="D1439" t="s">
        <v>174</v>
      </c>
      <c r="E1439" t="s">
        <v>28</v>
      </c>
      <c r="F1439" t="s">
        <v>1</v>
      </c>
      <c r="G1439" t="s">
        <v>733</v>
      </c>
      <c r="H1439" t="s">
        <v>428</v>
      </c>
      <c r="I1439" t="s">
        <v>1</v>
      </c>
      <c r="J1439">
        <v>4338.83</v>
      </c>
      <c r="K1439">
        <v>2670</v>
      </c>
      <c r="L1439">
        <v>1088.77</v>
      </c>
      <c r="M1439">
        <v>2195.5859116022098</v>
      </c>
      <c r="N1439">
        <v>4005.35</v>
      </c>
      <c r="O1439">
        <v>2177.54</v>
      </c>
      <c r="P1439">
        <v>0</v>
      </c>
      <c r="Q1439">
        <f t="shared" si="275"/>
        <v>2177.54</v>
      </c>
      <c r="R1439">
        <v>2177.54</v>
      </c>
      <c r="S1439">
        <f t="shared" si="276"/>
        <v>0</v>
      </c>
      <c r="T1439"/>
      <c r="U1439">
        <f t="shared" si="277"/>
        <v>0</v>
      </c>
      <c r="V1439">
        <f t="shared" si="278"/>
        <v>2177.54</v>
      </c>
      <c r="W1439">
        <f t="shared" si="279"/>
        <v>0</v>
      </c>
      <c r="X1439">
        <v>0</v>
      </c>
    </row>
    <row r="1440" spans="1:24" x14ac:dyDescent="0.25">
      <c r="A1440" t="s">
        <v>1928</v>
      </c>
      <c r="B1440" t="s">
        <v>1929</v>
      </c>
      <c r="C1440" t="s">
        <v>2047</v>
      </c>
      <c r="D1440" t="s">
        <v>174</v>
      </c>
      <c r="E1440" t="s">
        <v>29</v>
      </c>
      <c r="F1440" t="s">
        <v>1</v>
      </c>
      <c r="G1440" t="s">
        <v>733</v>
      </c>
      <c r="H1440" t="s">
        <v>429</v>
      </c>
      <c r="I1440" t="s">
        <v>1</v>
      </c>
      <c r="J1440">
        <v>305.72000000000003</v>
      </c>
      <c r="K1440">
        <v>219.99999999959999</v>
      </c>
      <c r="L1440">
        <v>293.58</v>
      </c>
      <c r="M1440">
        <v>592.02596685082869</v>
      </c>
      <c r="N1440">
        <v>489.3</v>
      </c>
      <c r="O1440">
        <v>587.16</v>
      </c>
      <c r="P1440">
        <v>-98</v>
      </c>
      <c r="Q1440">
        <f t="shared" si="275"/>
        <v>489.15999999999997</v>
      </c>
      <c r="R1440">
        <v>489</v>
      </c>
      <c r="S1440">
        <f t="shared" si="276"/>
        <v>-0.15999999999996817</v>
      </c>
      <c r="T1440"/>
      <c r="U1440">
        <f t="shared" si="277"/>
        <v>0</v>
      </c>
      <c r="V1440">
        <f t="shared" si="278"/>
        <v>489</v>
      </c>
      <c r="W1440">
        <f t="shared" si="279"/>
        <v>-0.15999999999996817</v>
      </c>
      <c r="X1440" t="s">
        <v>1421</v>
      </c>
    </row>
    <row r="1441" spans="1:24" x14ac:dyDescent="0.25">
      <c r="A1441" t="s">
        <v>1928</v>
      </c>
      <c r="B1441" t="s">
        <v>1929</v>
      </c>
      <c r="C1441" t="s">
        <v>2047</v>
      </c>
      <c r="D1441" t="s">
        <v>174</v>
      </c>
      <c r="E1441" t="s">
        <v>33</v>
      </c>
      <c r="F1441" t="s">
        <v>1</v>
      </c>
      <c r="G1441" t="s">
        <v>733</v>
      </c>
      <c r="H1441" t="s">
        <v>433</v>
      </c>
      <c r="I1441" t="s">
        <v>1</v>
      </c>
      <c r="J1441"/>
      <c r="K1441">
        <v>245.30959207320001</v>
      </c>
      <c r="L1441">
        <v>0</v>
      </c>
      <c r="M1441">
        <v>0</v>
      </c>
      <c r="N1441">
        <v>0</v>
      </c>
      <c r="O1441"/>
      <c r="P1441">
        <v>500</v>
      </c>
      <c r="Q1441">
        <f t="shared" si="275"/>
        <v>500</v>
      </c>
      <c r="R1441">
        <v>500</v>
      </c>
      <c r="S1441">
        <f t="shared" si="276"/>
        <v>0</v>
      </c>
      <c r="T1441"/>
      <c r="U1441">
        <f t="shared" si="277"/>
        <v>0</v>
      </c>
      <c r="V1441">
        <f t="shared" si="278"/>
        <v>500</v>
      </c>
      <c r="W1441">
        <f t="shared" si="279"/>
        <v>0</v>
      </c>
      <c r="X1441" t="s">
        <v>1422</v>
      </c>
    </row>
    <row r="1442" spans="1:24" x14ac:dyDescent="0.25">
      <c r="A1442" t="s">
        <v>1928</v>
      </c>
      <c r="B1442" t="s">
        <v>1929</v>
      </c>
      <c r="C1442" t="s">
        <v>2047</v>
      </c>
      <c r="D1442" t="s">
        <v>174</v>
      </c>
      <c r="E1442" t="s">
        <v>34</v>
      </c>
      <c r="F1442" t="s">
        <v>1</v>
      </c>
      <c r="G1442" t="s">
        <v>733</v>
      </c>
      <c r="H1442" t="s">
        <v>434</v>
      </c>
      <c r="I1442" t="s">
        <v>1</v>
      </c>
      <c r="J1442"/>
      <c r="K1442">
        <v>196.24767365880001</v>
      </c>
      <c r="L1442">
        <v>0</v>
      </c>
      <c r="M1442">
        <v>0</v>
      </c>
      <c r="N1442">
        <v>0</v>
      </c>
      <c r="O1442"/>
      <c r="P1442">
        <v>0</v>
      </c>
      <c r="Q1442">
        <f t="shared" si="275"/>
        <v>0</v>
      </c>
      <c r="R1442">
        <v>0</v>
      </c>
      <c r="S1442">
        <f t="shared" si="276"/>
        <v>0</v>
      </c>
      <c r="T1442"/>
      <c r="U1442">
        <f t="shared" si="277"/>
        <v>0</v>
      </c>
      <c r="V1442">
        <f t="shared" si="278"/>
        <v>0</v>
      </c>
      <c r="W1442">
        <f t="shared" si="279"/>
        <v>0</v>
      </c>
      <c r="X1442">
        <v>0</v>
      </c>
    </row>
    <row r="1443" spans="1:24" x14ac:dyDescent="0.25">
      <c r="A1443" t="s">
        <v>1928</v>
      </c>
      <c r="B1443" t="s">
        <v>1929</v>
      </c>
      <c r="C1443" t="s">
        <v>2047</v>
      </c>
      <c r="D1443" t="s">
        <v>174</v>
      </c>
      <c r="E1443" t="s">
        <v>35</v>
      </c>
      <c r="F1443" t="s">
        <v>1</v>
      </c>
      <c r="G1443" t="s">
        <v>733</v>
      </c>
      <c r="H1443" t="s">
        <v>435</v>
      </c>
      <c r="I1443" t="s">
        <v>1</v>
      </c>
      <c r="J1443">
        <v>136.78</v>
      </c>
      <c r="K1443"/>
      <c r="L1443">
        <v>0</v>
      </c>
      <c r="M1443">
        <v>0</v>
      </c>
      <c r="N1443">
        <v>136.78</v>
      </c>
      <c r="O1443"/>
      <c r="P1443">
        <v>0</v>
      </c>
      <c r="Q1443">
        <f t="shared" si="275"/>
        <v>0</v>
      </c>
      <c r="R1443">
        <v>0</v>
      </c>
      <c r="S1443">
        <f t="shared" si="276"/>
        <v>0</v>
      </c>
      <c r="T1443"/>
      <c r="U1443">
        <f t="shared" si="277"/>
        <v>0</v>
      </c>
      <c r="V1443">
        <f t="shared" si="278"/>
        <v>0</v>
      </c>
      <c r="W1443">
        <f t="shared" si="279"/>
        <v>0</v>
      </c>
      <c r="X1443">
        <v>0</v>
      </c>
    </row>
    <row r="1444" spans="1:24" x14ac:dyDescent="0.25">
      <c r="A1444" t="s">
        <v>1928</v>
      </c>
      <c r="B1444" t="s">
        <v>1929</v>
      </c>
      <c r="C1444" t="s">
        <v>2047</v>
      </c>
      <c r="D1444" t="s">
        <v>174</v>
      </c>
      <c r="E1444" t="s">
        <v>37</v>
      </c>
      <c r="F1444" t="s">
        <v>1</v>
      </c>
      <c r="G1444" t="s">
        <v>733</v>
      </c>
      <c r="H1444" t="s">
        <v>437</v>
      </c>
      <c r="I1444" t="s">
        <v>1</v>
      </c>
      <c r="J1444">
        <v>162.02000000000001</v>
      </c>
      <c r="K1444">
        <v>1471.8575524416001</v>
      </c>
      <c r="L1444">
        <v>0</v>
      </c>
      <c r="M1444">
        <v>0</v>
      </c>
      <c r="N1444">
        <v>162.02000000000001</v>
      </c>
      <c r="O1444"/>
      <c r="P1444">
        <v>1500</v>
      </c>
      <c r="Q1444">
        <f t="shared" si="275"/>
        <v>1500</v>
      </c>
      <c r="R1444">
        <v>1500</v>
      </c>
      <c r="S1444">
        <f t="shared" si="276"/>
        <v>0</v>
      </c>
      <c r="T1444"/>
      <c r="U1444">
        <f t="shared" si="277"/>
        <v>0</v>
      </c>
      <c r="V1444">
        <f t="shared" si="278"/>
        <v>1500</v>
      </c>
      <c r="W1444">
        <f t="shared" si="279"/>
        <v>0</v>
      </c>
      <c r="X1444" t="s">
        <v>1423</v>
      </c>
    </row>
    <row r="1445" spans="1:24" x14ac:dyDescent="0.25">
      <c r="A1445" t="s">
        <v>1928</v>
      </c>
      <c r="B1445" t="s">
        <v>1929</v>
      </c>
      <c r="C1445" t="s">
        <v>2047</v>
      </c>
      <c r="D1445" t="s">
        <v>174</v>
      </c>
      <c r="E1445" t="s">
        <v>121</v>
      </c>
      <c r="F1445" t="s">
        <v>1</v>
      </c>
      <c r="G1445" t="s">
        <v>733</v>
      </c>
      <c r="H1445" t="s">
        <v>590</v>
      </c>
      <c r="I1445" t="s">
        <v>1</v>
      </c>
      <c r="J1445"/>
      <c r="K1445">
        <v>18364.183352992801</v>
      </c>
      <c r="L1445">
        <v>0</v>
      </c>
      <c r="M1445">
        <v>0</v>
      </c>
      <c r="N1445">
        <v>0</v>
      </c>
      <c r="O1445"/>
      <c r="P1445">
        <v>0</v>
      </c>
      <c r="Q1445">
        <f t="shared" si="275"/>
        <v>0</v>
      </c>
      <c r="R1445">
        <v>0</v>
      </c>
      <c r="S1445">
        <f t="shared" si="276"/>
        <v>0</v>
      </c>
      <c r="T1445"/>
      <c r="U1445">
        <f t="shared" si="277"/>
        <v>0</v>
      </c>
      <c r="V1445">
        <f t="shared" si="278"/>
        <v>0</v>
      </c>
      <c r="W1445">
        <f t="shared" si="279"/>
        <v>0</v>
      </c>
      <c r="X1445">
        <v>0</v>
      </c>
    </row>
    <row r="1446" spans="1:24" x14ac:dyDescent="0.25">
      <c r="A1446" t="s">
        <v>1928</v>
      </c>
      <c r="B1446" t="s">
        <v>1929</v>
      </c>
      <c r="C1446" t="s">
        <v>2047</v>
      </c>
      <c r="D1446" t="s">
        <v>174</v>
      </c>
      <c r="E1446" t="s">
        <v>41</v>
      </c>
      <c r="F1446" t="s">
        <v>1</v>
      </c>
      <c r="G1446" t="s">
        <v>733</v>
      </c>
      <c r="H1446" t="s">
        <v>441</v>
      </c>
      <c r="I1446" t="s">
        <v>1</v>
      </c>
      <c r="J1446">
        <v>4097.74</v>
      </c>
      <c r="K1446">
        <v>2570.2199999999998</v>
      </c>
      <c r="L1446">
        <v>2911.45</v>
      </c>
      <c r="M1446">
        <v>5871.1560773480651</v>
      </c>
      <c r="N1446">
        <v>5111.72</v>
      </c>
      <c r="O1446">
        <v>5822.9</v>
      </c>
      <c r="P1446">
        <v>-711</v>
      </c>
      <c r="Q1446">
        <f t="shared" si="275"/>
        <v>5111.8999999999996</v>
      </c>
      <c r="R1446">
        <v>5112</v>
      </c>
      <c r="S1446">
        <f t="shared" si="276"/>
        <v>0.1000000000003638</v>
      </c>
      <c r="T1446">
        <v>0.03</v>
      </c>
      <c r="U1446">
        <f t="shared" si="277"/>
        <v>153.35999999999999</v>
      </c>
      <c r="V1446">
        <f t="shared" si="278"/>
        <v>5265.36</v>
      </c>
      <c r="W1446">
        <f t="shared" si="279"/>
        <v>153.46000000000004</v>
      </c>
      <c r="X1446" t="s">
        <v>1421</v>
      </c>
    </row>
    <row r="1447" spans="1:24" x14ac:dyDescent="0.25">
      <c r="A1447" t="s">
        <v>1928</v>
      </c>
      <c r="B1447" t="s">
        <v>1929</v>
      </c>
      <c r="C1447" t="s">
        <v>2047</v>
      </c>
      <c r="D1447" t="s">
        <v>174</v>
      </c>
      <c r="E1447" t="s">
        <v>43</v>
      </c>
      <c r="F1447" t="s">
        <v>1</v>
      </c>
      <c r="G1447" t="s">
        <v>733</v>
      </c>
      <c r="H1447" t="s">
        <v>443</v>
      </c>
      <c r="I1447" t="s">
        <v>1</v>
      </c>
      <c r="J1447">
        <v>2482.08</v>
      </c>
      <c r="K1447"/>
      <c r="L1447">
        <v>0</v>
      </c>
      <c r="M1447">
        <v>0</v>
      </c>
      <c r="N1447">
        <v>2482.08</v>
      </c>
      <c r="O1447"/>
      <c r="P1447">
        <v>0</v>
      </c>
      <c r="Q1447">
        <f t="shared" si="275"/>
        <v>0</v>
      </c>
      <c r="R1447">
        <v>0</v>
      </c>
      <c r="S1447">
        <f t="shared" si="276"/>
        <v>0</v>
      </c>
      <c r="T1447">
        <v>0.03</v>
      </c>
      <c r="U1447">
        <f t="shared" si="277"/>
        <v>0</v>
      </c>
      <c r="V1447">
        <f t="shared" si="278"/>
        <v>0</v>
      </c>
      <c r="W1447">
        <f t="shared" si="279"/>
        <v>0</v>
      </c>
      <c r="X1447">
        <v>0</v>
      </c>
    </row>
    <row r="1448" spans="1:24" x14ac:dyDescent="0.25">
      <c r="A1448" t="s">
        <v>1928</v>
      </c>
      <c r="B1448" t="s">
        <v>1929</v>
      </c>
      <c r="C1448" t="s">
        <v>2047</v>
      </c>
      <c r="D1448" t="s">
        <v>174</v>
      </c>
      <c r="E1448" t="s">
        <v>47</v>
      </c>
      <c r="F1448" t="s">
        <v>1</v>
      </c>
      <c r="G1448" t="s">
        <v>733</v>
      </c>
      <c r="H1448" t="s">
        <v>447</v>
      </c>
      <c r="I1448" t="s">
        <v>1</v>
      </c>
      <c r="J1448"/>
      <c r="K1448">
        <v>39</v>
      </c>
      <c r="L1448">
        <v>0</v>
      </c>
      <c r="M1448">
        <v>0</v>
      </c>
      <c r="N1448">
        <v>0</v>
      </c>
      <c r="O1448"/>
      <c r="P1448">
        <v>0</v>
      </c>
      <c r="Q1448">
        <f t="shared" si="275"/>
        <v>0</v>
      </c>
      <c r="R1448">
        <v>0</v>
      </c>
      <c r="S1448">
        <f t="shared" si="276"/>
        <v>0</v>
      </c>
      <c r="T1448">
        <v>0.03</v>
      </c>
      <c r="U1448">
        <f t="shared" si="277"/>
        <v>0</v>
      </c>
      <c r="V1448">
        <f t="shared" si="278"/>
        <v>0</v>
      </c>
      <c r="W1448">
        <f t="shared" si="279"/>
        <v>0</v>
      </c>
      <c r="X1448">
        <v>0</v>
      </c>
    </row>
    <row r="1449" spans="1:24" x14ac:dyDescent="0.25">
      <c r="A1449" t="s">
        <v>1928</v>
      </c>
      <c r="B1449" t="s">
        <v>1929</v>
      </c>
      <c r="C1449" t="s">
        <v>2047</v>
      </c>
      <c r="D1449" t="s">
        <v>174</v>
      </c>
      <c r="E1449" t="s">
        <v>50</v>
      </c>
      <c r="F1449" t="s">
        <v>1</v>
      </c>
      <c r="G1449" t="s">
        <v>733</v>
      </c>
      <c r="H1449" t="s">
        <v>450</v>
      </c>
      <c r="I1449" t="s">
        <v>1</v>
      </c>
      <c r="J1449">
        <v>1174.2</v>
      </c>
      <c r="K1449">
        <v>1160</v>
      </c>
      <c r="L1449">
        <v>896.8</v>
      </c>
      <c r="M1449">
        <v>1808.46408839779</v>
      </c>
      <c r="N1449">
        <v>1579.51</v>
      </c>
      <c r="O1449">
        <v>1808.4640883978</v>
      </c>
      <c r="P1449">
        <v>0</v>
      </c>
      <c r="Q1449">
        <f t="shared" si="275"/>
        <v>1808.4640883978</v>
      </c>
      <c r="R1449">
        <v>1808.4640883978</v>
      </c>
      <c r="S1449">
        <f t="shared" si="276"/>
        <v>0</v>
      </c>
      <c r="T1449"/>
      <c r="U1449">
        <f t="shared" si="277"/>
        <v>0</v>
      </c>
      <c r="V1449">
        <f t="shared" si="278"/>
        <v>1808.4640883978</v>
      </c>
      <c r="W1449">
        <f t="shared" si="279"/>
        <v>0</v>
      </c>
      <c r="X1449">
        <v>0</v>
      </c>
    </row>
    <row r="1450" spans="1:24" x14ac:dyDescent="0.25">
      <c r="A1450" t="s">
        <v>1928</v>
      </c>
      <c r="B1450" t="s">
        <v>1929</v>
      </c>
      <c r="C1450" t="s">
        <v>2047</v>
      </c>
      <c r="D1450" t="s">
        <v>174</v>
      </c>
      <c r="E1450" t="s">
        <v>51</v>
      </c>
      <c r="F1450" t="s">
        <v>51</v>
      </c>
      <c r="G1450" t="s">
        <v>734</v>
      </c>
      <c r="H1450"/>
      <c r="I1450"/>
      <c r="J1450">
        <v>496217.2900000001</v>
      </c>
      <c r="K1450">
        <v>528749.38462709042</v>
      </c>
      <c r="L1450">
        <v>196488.23</v>
      </c>
      <c r="M1450">
        <v>396233.17099447513</v>
      </c>
      <c r="N1450">
        <v>450640.48000000004</v>
      </c>
      <c r="O1450">
        <v>395174.60205634113</v>
      </c>
      <c r="P1450">
        <f>SUMIF($F$1421:$F$1449,"&lt;&gt;EV_*",$P$1421:$P$1449)</f>
        <v>-12214</v>
      </c>
      <c r="Q1450">
        <f>SUMIF($F$1421:$F$1449,"&lt;&gt;EV_*",$Q$1421:$Q$1449)</f>
        <v>382960.60205634113</v>
      </c>
      <c r="R1450">
        <f>SUMIF($F$1421:$F$1449,"&lt;&gt;EV_*",$R$1421:$R$1449)</f>
        <v>383428.8834909838</v>
      </c>
      <c r="S1450">
        <f>SUMIF($F$1421:$F$1449,"&lt;&gt;EV_*",$S$1421:$S$1449)</f>
        <v>468.28143464269954</v>
      </c>
      <c r="T1450">
        <v>0</v>
      </c>
      <c r="U1450">
        <f>SUMIF($F$1421:$F$1449,"&lt;&gt;EV_*",$U$1421:$U$1449)</f>
        <v>9611.3586976671068</v>
      </c>
      <c r="V1450">
        <f>SUMIF($F$1421:$F$1449,"&lt;&gt;EV_*",$V$1421:$V$1449)</f>
        <v>393040.24218865082</v>
      </c>
      <c r="W1450">
        <f>SUMIF($F$1421:$F$1449,"&lt;&gt;EV_*",$W$1421:$W$1449)</f>
        <v>10079.640132309807</v>
      </c>
      <c r="X1450">
        <f>SUMIF($F$1421:$F$1449,"&lt;&gt;EV_*",$X$1421:$X$1449)</f>
        <v>0</v>
      </c>
    </row>
    <row r="1451" spans="1:24" x14ac:dyDescent="0.25">
      <c r="A1451" t="s">
        <v>1928</v>
      </c>
      <c r="B1451" t="s">
        <v>2030</v>
      </c>
      <c r="C1451" t="s">
        <v>2048</v>
      </c>
      <c r="D1451" t="s">
        <v>175</v>
      </c>
      <c r="E1451" t="s">
        <v>5</v>
      </c>
      <c r="F1451" t="s">
        <v>5</v>
      </c>
      <c r="G1451" t="s">
        <v>735</v>
      </c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</row>
    <row r="1452" spans="1:24" x14ac:dyDescent="0.25">
      <c r="A1452" t="s">
        <v>1928</v>
      </c>
      <c r="B1452" t="s">
        <v>2030</v>
      </c>
      <c r="C1452" t="s">
        <v>2048</v>
      </c>
      <c r="D1452" t="s">
        <v>175</v>
      </c>
      <c r="E1452" t="s">
        <v>8</v>
      </c>
      <c r="F1452" t="s">
        <v>1</v>
      </c>
      <c r="G1452" t="s">
        <v>736</v>
      </c>
      <c r="H1452" t="s">
        <v>408</v>
      </c>
      <c r="I1452" t="s">
        <v>1</v>
      </c>
      <c r="J1452">
        <v>133463.18</v>
      </c>
      <c r="K1452">
        <v>122162.19281768</v>
      </c>
      <c r="L1452">
        <v>21472.880000000001</v>
      </c>
      <c r="M1452">
        <v>43301.664088397789</v>
      </c>
      <c r="N1452">
        <v>94357</v>
      </c>
      <c r="O1452">
        <v>43301.664088397803</v>
      </c>
      <c r="P1452">
        <v>-43302</v>
      </c>
      <c r="Q1452">
        <f t="shared" ref="Q1452:Q1484" si="280">O1452+P1452</f>
        <v>-0.33591160219657468</v>
      </c>
      <c r="R1452">
        <v>0</v>
      </c>
      <c r="S1452">
        <f t="shared" ref="S1452:S1484" si="281">IF(OR(LEFT(E1452,2)="A_",LEFT(D1452,5)="Total"),R1452-Q1452,"")</f>
        <v>0.33591160219657468</v>
      </c>
      <c r="T1452"/>
      <c r="U1452">
        <f t="shared" ref="U1452:U1484" si="282">IFERROR(R1452*T1452,R1452*0)</f>
        <v>0</v>
      </c>
      <c r="V1452">
        <f t="shared" ref="V1452:V1484" si="283">IF(OR(LEFT(E1452,2)="A_",LEFT(D1452,5)="Total"),R1452+U1452,"")</f>
        <v>0</v>
      </c>
      <c r="W1452">
        <f t="shared" ref="W1452:W1484" si="284">IF(OR(LEFT(E1452,2)="A_",LEFT(D1452,5)="Total"),V1452-Q1452,"")</f>
        <v>0.33591160219657468</v>
      </c>
      <c r="X1452">
        <v>0</v>
      </c>
    </row>
    <row r="1453" spans="1:24" x14ac:dyDescent="0.25">
      <c r="A1453" t="s">
        <v>1928</v>
      </c>
      <c r="B1453" t="s">
        <v>2030</v>
      </c>
      <c r="C1453" t="s">
        <v>2048</v>
      </c>
      <c r="D1453" t="s">
        <v>175</v>
      </c>
      <c r="E1453" t="s">
        <v>11</v>
      </c>
      <c r="F1453" t="s">
        <v>1</v>
      </c>
      <c r="G1453" t="s">
        <v>736</v>
      </c>
      <c r="H1453" t="s">
        <v>411</v>
      </c>
      <c r="I1453" t="s">
        <v>1</v>
      </c>
      <c r="J1453">
        <v>1021.92</v>
      </c>
      <c r="K1453">
        <v>875.31</v>
      </c>
      <c r="L1453">
        <v>455.82</v>
      </c>
      <c r="M1453">
        <v>919.19502762430943</v>
      </c>
      <c r="N1453">
        <v>932.30999999999983</v>
      </c>
      <c r="O1453">
        <v>911.64</v>
      </c>
      <c r="P1453">
        <v>8</v>
      </c>
      <c r="Q1453">
        <f t="shared" si="280"/>
        <v>919.64</v>
      </c>
      <c r="R1453">
        <v>919.19502762430943</v>
      </c>
      <c r="S1453">
        <f t="shared" si="281"/>
        <v>-0.44497237569055414</v>
      </c>
      <c r="T1453"/>
      <c r="U1453">
        <f t="shared" si="282"/>
        <v>0</v>
      </c>
      <c r="V1453">
        <f t="shared" si="283"/>
        <v>919.19502762430943</v>
      </c>
      <c r="W1453">
        <f t="shared" si="284"/>
        <v>-0.44497237569055414</v>
      </c>
      <c r="X1453">
        <v>0</v>
      </c>
    </row>
    <row r="1454" spans="1:24" x14ac:dyDescent="0.25">
      <c r="A1454" t="s">
        <v>1928</v>
      </c>
      <c r="B1454" t="s">
        <v>2030</v>
      </c>
      <c r="C1454" t="s">
        <v>2048</v>
      </c>
      <c r="D1454" t="s">
        <v>175</v>
      </c>
      <c r="E1454" t="s">
        <v>65</v>
      </c>
      <c r="F1454" t="s">
        <v>1</v>
      </c>
      <c r="G1454" t="s">
        <v>736</v>
      </c>
      <c r="H1454" t="s">
        <v>476</v>
      </c>
      <c r="I1454" t="s">
        <v>1</v>
      </c>
      <c r="J1454">
        <v>-1146.56</v>
      </c>
      <c r="K1454"/>
      <c r="L1454">
        <v>-725.73</v>
      </c>
      <c r="M1454">
        <v>-1463.4886740331492</v>
      </c>
      <c r="N1454">
        <v>-1188.8399999999999</v>
      </c>
      <c r="O1454">
        <v>-1459.4350549451001</v>
      </c>
      <c r="P1454">
        <v>0</v>
      </c>
      <c r="Q1454">
        <f t="shared" si="280"/>
        <v>-1459.4350549451001</v>
      </c>
      <c r="R1454">
        <v>0</v>
      </c>
      <c r="S1454">
        <f t="shared" si="281"/>
        <v>1459.4350549451001</v>
      </c>
      <c r="T1454"/>
      <c r="U1454">
        <f t="shared" si="282"/>
        <v>0</v>
      </c>
      <c r="V1454">
        <f t="shared" si="283"/>
        <v>0</v>
      </c>
      <c r="W1454">
        <f t="shared" si="284"/>
        <v>1459.4350549451001</v>
      </c>
      <c r="X1454">
        <v>0</v>
      </c>
    </row>
    <row r="1455" spans="1:24" x14ac:dyDescent="0.25">
      <c r="A1455" t="s">
        <v>1928</v>
      </c>
      <c r="B1455" t="s">
        <v>2030</v>
      </c>
      <c r="C1455" t="s">
        <v>2048</v>
      </c>
      <c r="D1455" t="s">
        <v>175</v>
      </c>
      <c r="E1455" t="s">
        <v>17</v>
      </c>
      <c r="F1455" t="s">
        <v>1</v>
      </c>
      <c r="G1455" t="s">
        <v>736</v>
      </c>
      <c r="H1455" t="s">
        <v>417</v>
      </c>
      <c r="I1455" t="s">
        <v>1</v>
      </c>
      <c r="J1455">
        <v>-16847.39</v>
      </c>
      <c r="K1455">
        <v>-13300.0000000002</v>
      </c>
      <c r="L1455">
        <v>-8871.35</v>
      </c>
      <c r="M1455">
        <v>-17889.738950276245</v>
      </c>
      <c r="N1455">
        <v>-18080.72</v>
      </c>
      <c r="O1455">
        <v>-17840.1873626374</v>
      </c>
      <c r="P1455">
        <v>0</v>
      </c>
      <c r="Q1455">
        <f t="shared" si="280"/>
        <v>-17840.1873626374</v>
      </c>
      <c r="R1455">
        <v>-17840.1873626374</v>
      </c>
      <c r="S1455">
        <f t="shared" si="281"/>
        <v>0</v>
      </c>
      <c r="T1455"/>
      <c r="U1455">
        <f t="shared" si="282"/>
        <v>0</v>
      </c>
      <c r="V1455">
        <f t="shared" si="283"/>
        <v>-17840.1873626374</v>
      </c>
      <c r="W1455">
        <f t="shared" si="284"/>
        <v>0</v>
      </c>
      <c r="X1455">
        <v>0</v>
      </c>
    </row>
    <row r="1456" spans="1:24" x14ac:dyDescent="0.25">
      <c r="A1456" t="s">
        <v>1928</v>
      </c>
      <c r="B1456" t="s">
        <v>2030</v>
      </c>
      <c r="C1456" t="s">
        <v>2048</v>
      </c>
      <c r="D1456" t="s">
        <v>175</v>
      </c>
      <c r="E1456" t="s">
        <v>82</v>
      </c>
      <c r="F1456" t="s">
        <v>1</v>
      </c>
      <c r="G1456" t="s">
        <v>736</v>
      </c>
      <c r="H1456" t="s">
        <v>507</v>
      </c>
      <c r="I1456" t="s">
        <v>1</v>
      </c>
      <c r="J1456">
        <v>25033.52</v>
      </c>
      <c r="K1456">
        <v>26209.6281509851</v>
      </c>
      <c r="L1456">
        <v>12326.44</v>
      </c>
      <c r="M1456">
        <v>24857.185635359117</v>
      </c>
      <c r="N1456">
        <v>24798.55</v>
      </c>
      <c r="O1456">
        <v>24788.335384615399</v>
      </c>
      <c r="P1456">
        <v>69</v>
      </c>
      <c r="Q1456">
        <f t="shared" si="280"/>
        <v>24857.335384615399</v>
      </c>
      <c r="R1456">
        <v>24857.185635359117</v>
      </c>
      <c r="S1456">
        <f t="shared" si="281"/>
        <v>-0.14974925628121127</v>
      </c>
      <c r="T1456">
        <v>2.75E-2</v>
      </c>
      <c r="U1456">
        <f t="shared" si="282"/>
        <v>683.57260497237576</v>
      </c>
      <c r="V1456">
        <f t="shared" si="283"/>
        <v>25540.758240331492</v>
      </c>
      <c r="W1456">
        <f t="shared" si="284"/>
        <v>683.42285571609318</v>
      </c>
      <c r="X1456">
        <v>0</v>
      </c>
    </row>
    <row r="1457" spans="1:24" x14ac:dyDescent="0.25">
      <c r="A1457" t="s">
        <v>1928</v>
      </c>
      <c r="B1457" t="s">
        <v>2030</v>
      </c>
      <c r="C1457" t="s">
        <v>2048</v>
      </c>
      <c r="D1457" t="s">
        <v>175</v>
      </c>
      <c r="E1457" t="s">
        <v>72</v>
      </c>
      <c r="F1457" t="s">
        <v>1</v>
      </c>
      <c r="G1457" t="s">
        <v>736</v>
      </c>
      <c r="H1457" t="s">
        <v>489</v>
      </c>
      <c r="I1457" t="s">
        <v>1</v>
      </c>
      <c r="J1457">
        <v>3252.34</v>
      </c>
      <c r="K1457">
        <v>3343.5083688868999</v>
      </c>
      <c r="L1457">
        <v>1471.68</v>
      </c>
      <c r="M1457">
        <v>2967.7524861878455</v>
      </c>
      <c r="N1457">
        <v>3169.74</v>
      </c>
      <c r="O1457">
        <v>2959.5323076923</v>
      </c>
      <c r="P1457">
        <v>8</v>
      </c>
      <c r="Q1457">
        <f t="shared" si="280"/>
        <v>2967.5323076923</v>
      </c>
      <c r="R1457">
        <v>2967.7524861878455</v>
      </c>
      <c r="S1457">
        <f t="shared" si="281"/>
        <v>0.22017849554549684</v>
      </c>
      <c r="T1457">
        <v>2.2499999999999999E-2</v>
      </c>
      <c r="U1457">
        <f t="shared" si="282"/>
        <v>66.774430939226519</v>
      </c>
      <c r="V1457">
        <f t="shared" si="283"/>
        <v>3034.526917127072</v>
      </c>
      <c r="W1457">
        <f t="shared" si="284"/>
        <v>66.994609434771974</v>
      </c>
      <c r="X1457">
        <v>0</v>
      </c>
    </row>
    <row r="1458" spans="1:24" x14ac:dyDescent="0.25">
      <c r="A1458" t="s">
        <v>1928</v>
      </c>
      <c r="B1458" t="s">
        <v>2030</v>
      </c>
      <c r="C1458" t="s">
        <v>2048</v>
      </c>
      <c r="D1458" t="s">
        <v>175</v>
      </c>
      <c r="E1458" t="s">
        <v>168</v>
      </c>
      <c r="F1458" t="s">
        <v>1</v>
      </c>
      <c r="G1458" t="s">
        <v>736</v>
      </c>
      <c r="H1458" t="s">
        <v>715</v>
      </c>
      <c r="I1458" t="s">
        <v>1</v>
      </c>
      <c r="J1458">
        <v>38402.04</v>
      </c>
      <c r="K1458">
        <v>37422.744396595997</v>
      </c>
      <c r="L1458">
        <v>13758.7</v>
      </c>
      <c r="M1458">
        <v>27745.444751381216</v>
      </c>
      <c r="N1458">
        <v>32547.120000000003</v>
      </c>
      <c r="O1458">
        <v>27668.5945054945</v>
      </c>
      <c r="P1458">
        <v>77</v>
      </c>
      <c r="Q1458">
        <f t="shared" si="280"/>
        <v>27745.5945054945</v>
      </c>
      <c r="R1458">
        <v>27745.444751381216</v>
      </c>
      <c r="S1458">
        <f t="shared" si="281"/>
        <v>-0.14975411328487098</v>
      </c>
      <c r="T1458">
        <v>0.03</v>
      </c>
      <c r="U1458">
        <f t="shared" si="282"/>
        <v>832.3633425414364</v>
      </c>
      <c r="V1458">
        <f t="shared" si="283"/>
        <v>28577.808093922653</v>
      </c>
      <c r="W1458">
        <f t="shared" si="284"/>
        <v>832.21358842815243</v>
      </c>
      <c r="X1458">
        <v>0</v>
      </c>
    </row>
    <row r="1459" spans="1:24" x14ac:dyDescent="0.25">
      <c r="A1459" t="s">
        <v>1928</v>
      </c>
      <c r="B1459" t="s">
        <v>2030</v>
      </c>
      <c r="C1459" t="s">
        <v>2048</v>
      </c>
      <c r="D1459" t="s">
        <v>175</v>
      </c>
      <c r="E1459" t="s">
        <v>118</v>
      </c>
      <c r="F1459" t="s">
        <v>1</v>
      </c>
      <c r="G1459" t="s">
        <v>736</v>
      </c>
      <c r="H1459" t="s">
        <v>587</v>
      </c>
      <c r="I1459" t="s">
        <v>1</v>
      </c>
      <c r="J1459">
        <v>1793.69</v>
      </c>
      <c r="K1459">
        <v>1761.666763703</v>
      </c>
      <c r="L1459">
        <v>782.04</v>
      </c>
      <c r="M1459">
        <v>1577.0419889502762</v>
      </c>
      <c r="N1459">
        <v>1742.49</v>
      </c>
      <c r="O1459">
        <v>1572.6738461539001</v>
      </c>
      <c r="P1459">
        <v>4</v>
      </c>
      <c r="Q1459">
        <f t="shared" si="280"/>
        <v>1576.6738461539001</v>
      </c>
      <c r="R1459">
        <v>1577.0419889502762</v>
      </c>
      <c r="S1459">
        <f t="shared" si="281"/>
        <v>0.36814279637610525</v>
      </c>
      <c r="T1459">
        <v>3.2500000000000001E-2</v>
      </c>
      <c r="U1459">
        <f t="shared" si="282"/>
        <v>51.253864640883975</v>
      </c>
      <c r="V1459">
        <f t="shared" si="283"/>
        <v>1628.29585359116</v>
      </c>
      <c r="W1459">
        <f t="shared" si="284"/>
        <v>51.622007437259981</v>
      </c>
      <c r="X1459">
        <v>0</v>
      </c>
    </row>
    <row r="1460" spans="1:24" x14ac:dyDescent="0.25">
      <c r="A1460" t="s">
        <v>1928</v>
      </c>
      <c r="B1460" t="s">
        <v>2030</v>
      </c>
      <c r="C1460" t="s">
        <v>2048</v>
      </c>
      <c r="D1460" t="s">
        <v>175</v>
      </c>
      <c r="E1460" t="s">
        <v>18</v>
      </c>
      <c r="F1460" t="s">
        <v>1</v>
      </c>
      <c r="G1460" t="s">
        <v>736</v>
      </c>
      <c r="H1460" t="s">
        <v>418</v>
      </c>
      <c r="I1460" t="s">
        <v>1</v>
      </c>
      <c r="J1460">
        <v>319916.25</v>
      </c>
      <c r="K1460">
        <v>320787.05535135401</v>
      </c>
      <c r="L1460">
        <v>168201.81</v>
      </c>
      <c r="M1460">
        <v>339191.49530386738</v>
      </c>
      <c r="N1460">
        <v>332699.08</v>
      </c>
      <c r="O1460">
        <v>338251.991538462</v>
      </c>
      <c r="P1460">
        <v>940</v>
      </c>
      <c r="Q1460">
        <f t="shared" si="280"/>
        <v>339191.991538462</v>
      </c>
      <c r="R1460">
        <v>339191.49530386738</v>
      </c>
      <c r="S1460">
        <f t="shared" si="281"/>
        <v>-0.49623459461145103</v>
      </c>
      <c r="T1460">
        <v>0.02</v>
      </c>
      <c r="U1460">
        <f t="shared" si="282"/>
        <v>6783.8299060773479</v>
      </c>
      <c r="V1460">
        <f t="shared" si="283"/>
        <v>345975.32520994474</v>
      </c>
      <c r="W1460">
        <f t="shared" si="284"/>
        <v>6783.3336714827456</v>
      </c>
      <c r="X1460">
        <v>0</v>
      </c>
    </row>
    <row r="1461" spans="1:24" x14ac:dyDescent="0.25">
      <c r="A1461" t="s">
        <v>1928</v>
      </c>
      <c r="B1461" t="s">
        <v>2030</v>
      </c>
      <c r="C1461" t="s">
        <v>2048</v>
      </c>
      <c r="D1461" t="s">
        <v>175</v>
      </c>
      <c r="E1461" t="s">
        <v>57</v>
      </c>
      <c r="F1461" t="s">
        <v>1</v>
      </c>
      <c r="G1461" t="s">
        <v>736</v>
      </c>
      <c r="H1461" t="s">
        <v>462</v>
      </c>
      <c r="I1461" t="s">
        <v>1</v>
      </c>
      <c r="J1461">
        <v>11630.28</v>
      </c>
      <c r="K1461">
        <v>12431.1718451204</v>
      </c>
      <c r="L1461">
        <v>3137.57</v>
      </c>
      <c r="M1461">
        <v>6327.1439226519342</v>
      </c>
      <c r="N1461">
        <v>8577.7899999999991</v>
      </c>
      <c r="O1461">
        <v>6309.6187912087998</v>
      </c>
      <c r="P1461">
        <v>18</v>
      </c>
      <c r="Q1461">
        <f t="shared" si="280"/>
        <v>6327.6187912087998</v>
      </c>
      <c r="R1461">
        <v>6327.1439226519342</v>
      </c>
      <c r="S1461">
        <f t="shared" si="281"/>
        <v>-0.47486855686565832</v>
      </c>
      <c r="T1461">
        <v>0.04</v>
      </c>
      <c r="U1461">
        <f t="shared" si="282"/>
        <v>253.08575690607736</v>
      </c>
      <c r="V1461">
        <f t="shared" si="283"/>
        <v>6580.2296795580114</v>
      </c>
      <c r="W1461">
        <f t="shared" si="284"/>
        <v>252.61088834921156</v>
      </c>
      <c r="X1461">
        <v>0</v>
      </c>
    </row>
    <row r="1462" spans="1:24" x14ac:dyDescent="0.25">
      <c r="A1462" t="s">
        <v>1928</v>
      </c>
      <c r="B1462" t="s">
        <v>2030</v>
      </c>
      <c r="C1462" t="s">
        <v>2048</v>
      </c>
      <c r="D1462" t="s">
        <v>175</v>
      </c>
      <c r="E1462" t="s">
        <v>19</v>
      </c>
      <c r="F1462" t="s">
        <v>1</v>
      </c>
      <c r="G1462" t="s">
        <v>736</v>
      </c>
      <c r="H1462" t="s">
        <v>419</v>
      </c>
      <c r="I1462" t="s">
        <v>1</v>
      </c>
      <c r="J1462">
        <v>195</v>
      </c>
      <c r="K1462"/>
      <c r="L1462">
        <v>235.2</v>
      </c>
      <c r="M1462">
        <v>474.29834254143645</v>
      </c>
      <c r="N1462">
        <v>235.2</v>
      </c>
      <c r="O1462">
        <v>472.98461538459998</v>
      </c>
      <c r="P1462">
        <v>1</v>
      </c>
      <c r="Q1462">
        <f t="shared" si="280"/>
        <v>473.98461538459998</v>
      </c>
      <c r="R1462">
        <v>474.29834254143645</v>
      </c>
      <c r="S1462">
        <f t="shared" si="281"/>
        <v>0.31372715683647812</v>
      </c>
      <c r="T1462">
        <v>0.02</v>
      </c>
      <c r="U1462">
        <f t="shared" si="282"/>
        <v>9.4859668508287296</v>
      </c>
      <c r="V1462">
        <f t="shared" si="283"/>
        <v>483.78430939226519</v>
      </c>
      <c r="W1462">
        <f t="shared" si="284"/>
        <v>9.7996940076652095</v>
      </c>
      <c r="X1462">
        <v>0</v>
      </c>
    </row>
    <row r="1463" spans="1:24" x14ac:dyDescent="0.25">
      <c r="A1463" t="s">
        <v>1928</v>
      </c>
      <c r="B1463" t="s">
        <v>2030</v>
      </c>
      <c r="C1463" t="s">
        <v>2048</v>
      </c>
      <c r="D1463" t="s">
        <v>175</v>
      </c>
      <c r="E1463" t="s">
        <v>74</v>
      </c>
      <c r="F1463" t="s">
        <v>1</v>
      </c>
      <c r="G1463" t="s">
        <v>736</v>
      </c>
      <c r="H1463" t="s">
        <v>491</v>
      </c>
      <c r="I1463" t="s">
        <v>1</v>
      </c>
      <c r="J1463">
        <v>96672.5</v>
      </c>
      <c r="K1463">
        <v>104075.80764662</v>
      </c>
      <c r="L1463">
        <v>45464.3</v>
      </c>
      <c r="M1463">
        <v>91682.151933701665</v>
      </c>
      <c r="N1463">
        <v>92012.51</v>
      </c>
      <c r="O1463">
        <v>91428.207692307697</v>
      </c>
      <c r="P1463">
        <v>254</v>
      </c>
      <c r="Q1463">
        <f t="shared" si="280"/>
        <v>91682.207692307697</v>
      </c>
      <c r="R1463">
        <v>91682.151933701665</v>
      </c>
      <c r="S1463">
        <f t="shared" si="281"/>
        <v>-5.5758606031304225E-2</v>
      </c>
      <c r="T1463">
        <v>3.5000000000000003E-2</v>
      </c>
      <c r="U1463">
        <f t="shared" si="282"/>
        <v>3208.8753176795585</v>
      </c>
      <c r="V1463">
        <f t="shared" si="283"/>
        <v>94891.027251381223</v>
      </c>
      <c r="W1463">
        <f t="shared" si="284"/>
        <v>3208.8195590735268</v>
      </c>
      <c r="X1463">
        <v>0</v>
      </c>
    </row>
    <row r="1464" spans="1:24" x14ac:dyDescent="0.25">
      <c r="A1464" t="s">
        <v>1928</v>
      </c>
      <c r="B1464" t="s">
        <v>2030</v>
      </c>
      <c r="C1464" t="s">
        <v>2048</v>
      </c>
      <c r="D1464" t="s">
        <v>175</v>
      </c>
      <c r="E1464" t="s">
        <v>85</v>
      </c>
      <c r="F1464" t="s">
        <v>1</v>
      </c>
      <c r="G1464" t="s">
        <v>736</v>
      </c>
      <c r="H1464" t="s">
        <v>510</v>
      </c>
      <c r="I1464" t="s">
        <v>1</v>
      </c>
      <c r="J1464">
        <v>3328.84</v>
      </c>
      <c r="K1464">
        <v>3714.7068327152001</v>
      </c>
      <c r="L1464">
        <v>1457.54</v>
      </c>
      <c r="M1464">
        <v>2939.2381215469609</v>
      </c>
      <c r="N1464">
        <v>3046.0899999999997</v>
      </c>
      <c r="O1464">
        <v>2931.0969230769001</v>
      </c>
      <c r="P1464">
        <v>8</v>
      </c>
      <c r="Q1464">
        <f t="shared" si="280"/>
        <v>2939.0969230769001</v>
      </c>
      <c r="R1464">
        <v>2939.2381215469609</v>
      </c>
      <c r="S1464">
        <f t="shared" si="281"/>
        <v>0.1411984700607718</v>
      </c>
      <c r="T1464">
        <v>0.02</v>
      </c>
      <c r="U1464">
        <f t="shared" si="282"/>
        <v>58.784762430939217</v>
      </c>
      <c r="V1464">
        <f t="shared" si="283"/>
        <v>2998.0228839779002</v>
      </c>
      <c r="W1464">
        <f t="shared" si="284"/>
        <v>58.925960901000053</v>
      </c>
      <c r="X1464">
        <v>0</v>
      </c>
    </row>
    <row r="1465" spans="1:24" x14ac:dyDescent="0.25">
      <c r="A1465" t="s">
        <v>1928</v>
      </c>
      <c r="B1465" t="s">
        <v>2030</v>
      </c>
      <c r="C1465" t="s">
        <v>2048</v>
      </c>
      <c r="D1465" t="s">
        <v>175</v>
      </c>
      <c r="E1465" t="s">
        <v>119</v>
      </c>
      <c r="F1465" t="s">
        <v>1</v>
      </c>
      <c r="G1465" t="s">
        <v>736</v>
      </c>
      <c r="H1465" t="s">
        <v>588</v>
      </c>
      <c r="I1465" t="s">
        <v>1</v>
      </c>
      <c r="J1465">
        <v>10696.28</v>
      </c>
      <c r="K1465">
        <v>13020.02345816</v>
      </c>
      <c r="L1465">
        <v>4394.01</v>
      </c>
      <c r="M1465">
        <v>8860.8488950276242</v>
      </c>
      <c r="N1465">
        <v>7615.0099999999993</v>
      </c>
      <c r="O1465">
        <v>8836.3058241758008</v>
      </c>
      <c r="P1465">
        <v>25</v>
      </c>
      <c r="Q1465">
        <f t="shared" si="280"/>
        <v>8861.3058241758008</v>
      </c>
      <c r="R1465">
        <v>8860.8488950276242</v>
      </c>
      <c r="S1465">
        <f t="shared" si="281"/>
        <v>-0.45692914817664132</v>
      </c>
      <c r="T1465">
        <v>1.4999999999999999E-2</v>
      </c>
      <c r="U1465">
        <f t="shared" si="282"/>
        <v>132.91273342541436</v>
      </c>
      <c r="V1465">
        <f t="shared" si="283"/>
        <v>8993.7616284530377</v>
      </c>
      <c r="W1465">
        <f t="shared" si="284"/>
        <v>132.45580427723689</v>
      </c>
      <c r="X1465">
        <v>0</v>
      </c>
    </row>
    <row r="1466" spans="1:24" x14ac:dyDescent="0.25">
      <c r="A1466" t="s">
        <v>1928</v>
      </c>
      <c r="B1466" t="s">
        <v>2030</v>
      </c>
      <c r="C1466" t="s">
        <v>2048</v>
      </c>
      <c r="D1466" t="s">
        <v>175</v>
      </c>
      <c r="E1466" t="s">
        <v>120</v>
      </c>
      <c r="F1466" t="s">
        <v>1</v>
      </c>
      <c r="G1466" t="s">
        <v>736</v>
      </c>
      <c r="H1466" t="s">
        <v>589</v>
      </c>
      <c r="I1466" t="s">
        <v>1</v>
      </c>
      <c r="J1466">
        <v>17677.63</v>
      </c>
      <c r="K1466">
        <v>18460.045753139799</v>
      </c>
      <c r="L1466">
        <v>11383.06</v>
      </c>
      <c r="M1466">
        <v>22954.789502762429</v>
      </c>
      <c r="N1466">
        <v>18988.13</v>
      </c>
      <c r="O1466">
        <v>22891.2085714286</v>
      </c>
      <c r="P1466">
        <v>64</v>
      </c>
      <c r="Q1466">
        <f t="shared" si="280"/>
        <v>22955.2085714286</v>
      </c>
      <c r="R1466">
        <v>22954.789502762429</v>
      </c>
      <c r="S1466">
        <f t="shared" si="281"/>
        <v>-0.41906866617136984</v>
      </c>
      <c r="T1466">
        <v>3.5000000000000003E-2</v>
      </c>
      <c r="U1466">
        <f t="shared" si="282"/>
        <v>803.41763259668505</v>
      </c>
      <c r="V1466">
        <f t="shared" si="283"/>
        <v>23758.207135359113</v>
      </c>
      <c r="W1466">
        <f t="shared" si="284"/>
        <v>802.99856393051232</v>
      </c>
      <c r="X1466">
        <v>0</v>
      </c>
    </row>
    <row r="1467" spans="1:24" x14ac:dyDescent="0.25">
      <c r="A1467" t="s">
        <v>1928</v>
      </c>
      <c r="B1467" t="s">
        <v>2030</v>
      </c>
      <c r="C1467" t="s">
        <v>2048</v>
      </c>
      <c r="D1467" t="s">
        <v>175</v>
      </c>
      <c r="E1467" t="s">
        <v>20</v>
      </c>
      <c r="F1467" t="s">
        <v>1</v>
      </c>
      <c r="G1467" t="s">
        <v>736</v>
      </c>
      <c r="H1467" t="s">
        <v>420</v>
      </c>
      <c r="I1467" t="s">
        <v>1</v>
      </c>
      <c r="J1467">
        <v>139877.66</v>
      </c>
      <c r="K1467">
        <v>151097.13357792699</v>
      </c>
      <c r="L1467">
        <v>52910.79</v>
      </c>
      <c r="M1467">
        <v>106698.55441988951</v>
      </c>
      <c r="N1467">
        <v>115208.49000000002</v>
      </c>
      <c r="O1467">
        <v>106403.017252747</v>
      </c>
      <c r="P1467">
        <v>296</v>
      </c>
      <c r="Q1467">
        <f t="shared" si="280"/>
        <v>106699.017252747</v>
      </c>
      <c r="R1467">
        <v>106698.55441988951</v>
      </c>
      <c r="S1467">
        <f t="shared" si="281"/>
        <v>-0.46283285749086645</v>
      </c>
      <c r="T1467">
        <v>0.04</v>
      </c>
      <c r="U1467">
        <f t="shared" si="282"/>
        <v>4267.9421767955801</v>
      </c>
      <c r="V1467">
        <f t="shared" si="283"/>
        <v>110966.49659668509</v>
      </c>
      <c r="W1467">
        <f t="shared" si="284"/>
        <v>4267.4793439380883</v>
      </c>
      <c r="X1467" t="s">
        <v>1505</v>
      </c>
    </row>
    <row r="1468" spans="1:24" x14ac:dyDescent="0.25">
      <c r="A1468" t="s">
        <v>1928</v>
      </c>
      <c r="B1468" t="s">
        <v>2030</v>
      </c>
      <c r="C1468" t="s">
        <v>2048</v>
      </c>
      <c r="D1468" t="s">
        <v>175</v>
      </c>
      <c r="E1468" t="s">
        <v>21</v>
      </c>
      <c r="F1468" t="s">
        <v>1</v>
      </c>
      <c r="G1468" t="s">
        <v>736</v>
      </c>
      <c r="H1468" t="s">
        <v>421</v>
      </c>
      <c r="I1468" t="s">
        <v>1</v>
      </c>
      <c r="J1468">
        <v>13791.43</v>
      </c>
      <c r="K1468">
        <v>15845.2500000001</v>
      </c>
      <c r="L1468">
        <v>3268.19</v>
      </c>
      <c r="M1468">
        <v>6590.548895027624</v>
      </c>
      <c r="N1468">
        <v>8513.0300000000007</v>
      </c>
      <c r="O1468">
        <v>6590.5488950276003</v>
      </c>
      <c r="P1468">
        <v>0</v>
      </c>
      <c r="Q1468">
        <f t="shared" si="280"/>
        <v>6590.5488950276003</v>
      </c>
      <c r="R1468">
        <v>6590.548895027624</v>
      </c>
      <c r="S1468">
        <f t="shared" si="281"/>
        <v>2.3646862246096134E-11</v>
      </c>
      <c r="T1468">
        <v>0.03</v>
      </c>
      <c r="U1468">
        <f t="shared" si="282"/>
        <v>197.71646685082871</v>
      </c>
      <c r="V1468">
        <f t="shared" si="283"/>
        <v>6788.2653618784525</v>
      </c>
      <c r="W1468">
        <f t="shared" si="284"/>
        <v>197.71646685085216</v>
      </c>
      <c r="X1468">
        <v>0</v>
      </c>
    </row>
    <row r="1469" spans="1:24" x14ac:dyDescent="0.25">
      <c r="A1469" t="s">
        <v>1928</v>
      </c>
      <c r="B1469" t="s">
        <v>2030</v>
      </c>
      <c r="C1469" t="s">
        <v>2048</v>
      </c>
      <c r="D1469" t="s">
        <v>175</v>
      </c>
      <c r="E1469" t="s">
        <v>66</v>
      </c>
      <c r="F1469" t="s">
        <v>1</v>
      </c>
      <c r="G1469" t="s">
        <v>736</v>
      </c>
      <c r="H1469" t="s">
        <v>477</v>
      </c>
      <c r="I1469" t="s">
        <v>1</v>
      </c>
      <c r="J1469"/>
      <c r="K1469"/>
      <c r="L1469">
        <v>231.26</v>
      </c>
      <c r="M1469">
        <v>466.35303867403309</v>
      </c>
      <c r="N1469">
        <v>231.26</v>
      </c>
      <c r="O1469">
        <v>466.353038674</v>
      </c>
      <c r="P1469">
        <v>0</v>
      </c>
      <c r="Q1469">
        <f t="shared" si="280"/>
        <v>466.353038674</v>
      </c>
      <c r="R1469">
        <v>466.35303867403309</v>
      </c>
      <c r="S1469">
        <f t="shared" si="281"/>
        <v>3.3082869776990265E-11</v>
      </c>
      <c r="T1469">
        <v>3.5000000000000003E-2</v>
      </c>
      <c r="U1469">
        <f t="shared" si="282"/>
        <v>16.322356353591161</v>
      </c>
      <c r="V1469">
        <f t="shared" si="283"/>
        <v>482.67539502762423</v>
      </c>
      <c r="W1469">
        <f t="shared" si="284"/>
        <v>16.32235635362423</v>
      </c>
      <c r="X1469">
        <v>0</v>
      </c>
    </row>
    <row r="1470" spans="1:24" x14ac:dyDescent="0.25">
      <c r="A1470" t="s">
        <v>1928</v>
      </c>
      <c r="B1470" t="s">
        <v>2030</v>
      </c>
      <c r="C1470" t="s">
        <v>2048</v>
      </c>
      <c r="D1470" t="s">
        <v>175</v>
      </c>
      <c r="E1470" t="s">
        <v>22</v>
      </c>
      <c r="F1470" t="s">
        <v>1</v>
      </c>
      <c r="G1470" t="s">
        <v>736</v>
      </c>
      <c r="H1470" t="s">
        <v>422</v>
      </c>
      <c r="I1470" t="s">
        <v>1</v>
      </c>
      <c r="J1470">
        <v>10232.85</v>
      </c>
      <c r="K1470">
        <v>12430.3499999999</v>
      </c>
      <c r="L1470">
        <v>4858.8500000000004</v>
      </c>
      <c r="M1470">
        <v>9798.2334254143661</v>
      </c>
      <c r="N1470">
        <v>9088.3000000000011</v>
      </c>
      <c r="O1470">
        <v>9798.2334254144007</v>
      </c>
      <c r="P1470">
        <v>0</v>
      </c>
      <c r="Q1470">
        <f t="shared" si="280"/>
        <v>9798.2334254144007</v>
      </c>
      <c r="R1470">
        <v>9798.2334254143661</v>
      </c>
      <c r="S1470">
        <f t="shared" si="281"/>
        <v>-3.4560798667371273E-11</v>
      </c>
      <c r="T1470">
        <v>3.5000000000000003E-2</v>
      </c>
      <c r="U1470">
        <f t="shared" si="282"/>
        <v>342.93816988950283</v>
      </c>
      <c r="V1470">
        <f t="shared" si="283"/>
        <v>10141.171595303869</v>
      </c>
      <c r="W1470">
        <f t="shared" si="284"/>
        <v>342.93816988946855</v>
      </c>
      <c r="X1470">
        <v>0</v>
      </c>
    </row>
    <row r="1471" spans="1:24" x14ac:dyDescent="0.25">
      <c r="A1471" t="s">
        <v>1928</v>
      </c>
      <c r="B1471" t="s">
        <v>2030</v>
      </c>
      <c r="C1471" t="s">
        <v>2048</v>
      </c>
      <c r="D1471" t="s">
        <v>175</v>
      </c>
      <c r="E1471" t="s">
        <v>23</v>
      </c>
      <c r="F1471" t="s">
        <v>1</v>
      </c>
      <c r="G1471" t="s">
        <v>736</v>
      </c>
      <c r="H1471" t="s">
        <v>423</v>
      </c>
      <c r="I1471" t="s">
        <v>1</v>
      </c>
      <c r="J1471">
        <v>3709.83</v>
      </c>
      <c r="K1471">
        <v>4160.7000000000999</v>
      </c>
      <c r="L1471">
        <v>1623.72</v>
      </c>
      <c r="M1471">
        <v>3274.3524861878454</v>
      </c>
      <c r="N1471">
        <v>3322.68</v>
      </c>
      <c r="O1471">
        <v>3274.3524861879</v>
      </c>
      <c r="P1471">
        <v>0</v>
      </c>
      <c r="Q1471">
        <f t="shared" si="280"/>
        <v>3274.3524861879</v>
      </c>
      <c r="R1471">
        <v>3274.3524861878454</v>
      </c>
      <c r="S1471">
        <f t="shared" si="281"/>
        <v>-5.4569682106375694E-11</v>
      </c>
      <c r="T1471">
        <v>3.5000000000000003E-2</v>
      </c>
      <c r="U1471">
        <f t="shared" si="282"/>
        <v>114.60233701657459</v>
      </c>
      <c r="V1471">
        <f t="shared" si="283"/>
        <v>3388.9548232044199</v>
      </c>
      <c r="W1471">
        <f t="shared" si="284"/>
        <v>114.60233701651987</v>
      </c>
      <c r="X1471">
        <v>0</v>
      </c>
    </row>
    <row r="1472" spans="1:24" x14ac:dyDescent="0.25">
      <c r="A1472" t="s">
        <v>1928</v>
      </c>
      <c r="B1472" t="s">
        <v>2030</v>
      </c>
      <c r="C1472" t="s">
        <v>2048</v>
      </c>
      <c r="D1472" t="s">
        <v>175</v>
      </c>
      <c r="E1472" t="s">
        <v>26</v>
      </c>
      <c r="F1472" t="s">
        <v>1</v>
      </c>
      <c r="G1472" t="s">
        <v>736</v>
      </c>
      <c r="H1472" t="s">
        <v>426</v>
      </c>
      <c r="I1472" t="s">
        <v>1</v>
      </c>
      <c r="J1472">
        <v>504.99</v>
      </c>
      <c r="K1472">
        <v>1422.7956340272001</v>
      </c>
      <c r="L1472">
        <v>0</v>
      </c>
      <c r="M1472">
        <v>0</v>
      </c>
      <c r="N1472">
        <v>0</v>
      </c>
      <c r="O1472"/>
      <c r="P1472">
        <v>1000</v>
      </c>
      <c r="Q1472">
        <f t="shared" si="280"/>
        <v>1000</v>
      </c>
      <c r="R1472">
        <v>1000</v>
      </c>
      <c r="S1472">
        <f t="shared" si="281"/>
        <v>0</v>
      </c>
      <c r="T1472"/>
      <c r="U1472">
        <f t="shared" si="282"/>
        <v>0</v>
      </c>
      <c r="V1472">
        <f t="shared" si="283"/>
        <v>1000</v>
      </c>
      <c r="W1472">
        <f t="shared" si="284"/>
        <v>0</v>
      </c>
      <c r="X1472" t="s">
        <v>1460</v>
      </c>
    </row>
    <row r="1473" spans="1:24" x14ac:dyDescent="0.25">
      <c r="A1473" t="s">
        <v>1928</v>
      </c>
      <c r="B1473" t="s">
        <v>2030</v>
      </c>
      <c r="C1473" t="s">
        <v>2048</v>
      </c>
      <c r="D1473" t="s">
        <v>175</v>
      </c>
      <c r="E1473" t="s">
        <v>28</v>
      </c>
      <c r="F1473" t="s">
        <v>1</v>
      </c>
      <c r="G1473" t="s">
        <v>736</v>
      </c>
      <c r="H1473" t="s">
        <v>428</v>
      </c>
      <c r="I1473" t="s">
        <v>1</v>
      </c>
      <c r="J1473">
        <v>6619.07</v>
      </c>
      <c r="K1473">
        <v>6549.9999999995998</v>
      </c>
      <c r="L1473">
        <v>2291.96</v>
      </c>
      <c r="M1473">
        <v>4621.9082872928175</v>
      </c>
      <c r="N1473">
        <v>5258.8499999999995</v>
      </c>
      <c r="O1473">
        <v>4583.92</v>
      </c>
      <c r="P1473">
        <v>38</v>
      </c>
      <c r="Q1473">
        <f t="shared" si="280"/>
        <v>4621.92</v>
      </c>
      <c r="R1473">
        <v>4621.9082872928175</v>
      </c>
      <c r="S1473">
        <f t="shared" si="281"/>
        <v>-1.1712707182596205E-2</v>
      </c>
      <c r="T1473"/>
      <c r="U1473">
        <f t="shared" si="282"/>
        <v>0</v>
      </c>
      <c r="V1473">
        <f t="shared" si="283"/>
        <v>4621.9082872928175</v>
      </c>
      <c r="W1473">
        <f t="shared" si="284"/>
        <v>-1.1712707182596205E-2</v>
      </c>
      <c r="X1473">
        <v>0</v>
      </c>
    </row>
    <row r="1474" spans="1:24" x14ac:dyDescent="0.25">
      <c r="A1474" t="s">
        <v>1928</v>
      </c>
      <c r="B1474" t="s">
        <v>2030</v>
      </c>
      <c r="C1474" t="s">
        <v>2048</v>
      </c>
      <c r="D1474" t="s">
        <v>175</v>
      </c>
      <c r="E1474" t="s">
        <v>29</v>
      </c>
      <c r="F1474" t="s">
        <v>1</v>
      </c>
      <c r="G1474" t="s">
        <v>736</v>
      </c>
      <c r="H1474" t="s">
        <v>429</v>
      </c>
      <c r="I1474" t="s">
        <v>1</v>
      </c>
      <c r="J1474">
        <v>155</v>
      </c>
      <c r="K1474"/>
      <c r="L1474">
        <v>0</v>
      </c>
      <c r="M1474">
        <v>0</v>
      </c>
      <c r="N1474">
        <v>155</v>
      </c>
      <c r="O1474"/>
      <c r="P1474">
        <v>3500</v>
      </c>
      <c r="Q1474">
        <f t="shared" si="280"/>
        <v>3500</v>
      </c>
      <c r="R1474">
        <v>3500</v>
      </c>
      <c r="S1474">
        <f t="shared" si="281"/>
        <v>0</v>
      </c>
      <c r="T1474"/>
      <c r="U1474">
        <f t="shared" si="282"/>
        <v>0</v>
      </c>
      <c r="V1474">
        <f t="shared" si="283"/>
        <v>3500</v>
      </c>
      <c r="W1474">
        <f t="shared" si="284"/>
        <v>0</v>
      </c>
      <c r="X1474" t="s">
        <v>1498</v>
      </c>
    </row>
    <row r="1475" spans="1:24" x14ac:dyDescent="0.25">
      <c r="A1475" t="s">
        <v>1928</v>
      </c>
      <c r="B1475" t="s">
        <v>2030</v>
      </c>
      <c r="C1475" t="s">
        <v>2048</v>
      </c>
      <c r="D1475" t="s">
        <v>175</v>
      </c>
      <c r="E1475" t="s">
        <v>33</v>
      </c>
      <c r="F1475" t="s">
        <v>1</v>
      </c>
      <c r="G1475" t="s">
        <v>736</v>
      </c>
      <c r="H1475" t="s">
        <v>433</v>
      </c>
      <c r="I1475" t="s">
        <v>1</v>
      </c>
      <c r="J1475"/>
      <c r="K1475">
        <v>245.30959207320001</v>
      </c>
      <c r="L1475">
        <v>0</v>
      </c>
      <c r="M1475">
        <v>0</v>
      </c>
      <c r="N1475">
        <v>0</v>
      </c>
      <c r="O1475"/>
      <c r="P1475">
        <v>500</v>
      </c>
      <c r="Q1475">
        <f t="shared" si="280"/>
        <v>500</v>
      </c>
      <c r="R1475">
        <v>500</v>
      </c>
      <c r="S1475">
        <f t="shared" si="281"/>
        <v>0</v>
      </c>
      <c r="T1475"/>
      <c r="U1475">
        <f t="shared" si="282"/>
        <v>0</v>
      </c>
      <c r="V1475">
        <f t="shared" si="283"/>
        <v>500</v>
      </c>
      <c r="W1475">
        <f t="shared" si="284"/>
        <v>0</v>
      </c>
      <c r="X1475" t="s">
        <v>1422</v>
      </c>
    </row>
    <row r="1476" spans="1:24" x14ac:dyDescent="0.25">
      <c r="A1476" t="s">
        <v>1928</v>
      </c>
      <c r="B1476" t="s">
        <v>2030</v>
      </c>
      <c r="C1476" t="s">
        <v>2048</v>
      </c>
      <c r="D1476" t="s">
        <v>175</v>
      </c>
      <c r="E1476" t="s">
        <v>34</v>
      </c>
      <c r="F1476" t="s">
        <v>1</v>
      </c>
      <c r="G1476" t="s">
        <v>736</v>
      </c>
      <c r="H1476" t="s">
        <v>434</v>
      </c>
      <c r="I1476" t="s">
        <v>1</v>
      </c>
      <c r="J1476">
        <v>478.8</v>
      </c>
      <c r="K1476">
        <v>392.49534731760002</v>
      </c>
      <c r="L1476">
        <v>0</v>
      </c>
      <c r="M1476">
        <v>0</v>
      </c>
      <c r="N1476">
        <v>0</v>
      </c>
      <c r="O1476"/>
      <c r="P1476">
        <v>0</v>
      </c>
      <c r="Q1476">
        <f t="shared" si="280"/>
        <v>0</v>
      </c>
      <c r="R1476">
        <v>0</v>
      </c>
      <c r="S1476">
        <f t="shared" si="281"/>
        <v>0</v>
      </c>
      <c r="T1476"/>
      <c r="U1476">
        <f t="shared" si="282"/>
        <v>0</v>
      </c>
      <c r="V1476">
        <f t="shared" si="283"/>
        <v>0</v>
      </c>
      <c r="W1476">
        <f t="shared" si="284"/>
        <v>0</v>
      </c>
      <c r="X1476">
        <v>0</v>
      </c>
    </row>
    <row r="1477" spans="1:24" x14ac:dyDescent="0.25">
      <c r="A1477" t="s">
        <v>1928</v>
      </c>
      <c r="B1477" t="s">
        <v>2030</v>
      </c>
      <c r="C1477" t="s">
        <v>2048</v>
      </c>
      <c r="D1477" t="s">
        <v>175</v>
      </c>
      <c r="E1477" t="s">
        <v>37</v>
      </c>
      <c r="F1477" t="s">
        <v>1</v>
      </c>
      <c r="G1477" t="s">
        <v>736</v>
      </c>
      <c r="H1477" t="s">
        <v>437</v>
      </c>
      <c r="I1477" t="s">
        <v>1</v>
      </c>
      <c r="J1477">
        <v>292.24</v>
      </c>
      <c r="K1477">
        <v>1471.8575524416001</v>
      </c>
      <c r="L1477">
        <v>390.5</v>
      </c>
      <c r="M1477">
        <v>787.47237569060781</v>
      </c>
      <c r="N1477">
        <v>682.74</v>
      </c>
      <c r="O1477">
        <v>781</v>
      </c>
      <c r="P1477">
        <v>719</v>
      </c>
      <c r="Q1477">
        <f t="shared" si="280"/>
        <v>1500</v>
      </c>
      <c r="R1477">
        <v>1500</v>
      </c>
      <c r="S1477">
        <f t="shared" si="281"/>
        <v>0</v>
      </c>
      <c r="T1477"/>
      <c r="U1477">
        <f t="shared" si="282"/>
        <v>0</v>
      </c>
      <c r="V1477">
        <f t="shared" si="283"/>
        <v>1500</v>
      </c>
      <c r="W1477">
        <f t="shared" si="284"/>
        <v>0</v>
      </c>
      <c r="X1477" t="s">
        <v>1423</v>
      </c>
    </row>
    <row r="1478" spans="1:24" x14ac:dyDescent="0.25">
      <c r="A1478" t="s">
        <v>1928</v>
      </c>
      <c r="B1478" t="s">
        <v>2030</v>
      </c>
      <c r="C1478" t="s">
        <v>2048</v>
      </c>
      <c r="D1478" t="s">
        <v>175</v>
      </c>
      <c r="E1478" t="s">
        <v>121</v>
      </c>
      <c r="F1478" t="s">
        <v>1</v>
      </c>
      <c r="G1478" t="s">
        <v>736</v>
      </c>
      <c r="H1478" t="s">
        <v>590</v>
      </c>
      <c r="I1478" t="s">
        <v>1</v>
      </c>
      <c r="J1478">
        <v>1463</v>
      </c>
      <c r="K1478">
        <v>55092.550058979599</v>
      </c>
      <c r="L1478">
        <v>0</v>
      </c>
      <c r="M1478">
        <v>0</v>
      </c>
      <c r="N1478">
        <v>1463</v>
      </c>
      <c r="O1478"/>
      <c r="P1478">
        <v>0</v>
      </c>
      <c r="Q1478">
        <f t="shared" si="280"/>
        <v>0</v>
      </c>
      <c r="R1478">
        <v>0</v>
      </c>
      <c r="S1478">
        <f t="shared" si="281"/>
        <v>0</v>
      </c>
      <c r="T1478"/>
      <c r="U1478">
        <f t="shared" si="282"/>
        <v>0</v>
      </c>
      <c r="V1478">
        <f t="shared" si="283"/>
        <v>0</v>
      </c>
      <c r="W1478">
        <f t="shared" si="284"/>
        <v>0</v>
      </c>
      <c r="X1478">
        <v>0</v>
      </c>
    </row>
    <row r="1479" spans="1:24" x14ac:dyDescent="0.25">
      <c r="A1479" t="s">
        <v>1928</v>
      </c>
      <c r="B1479" t="s">
        <v>2030</v>
      </c>
      <c r="C1479" t="s">
        <v>2048</v>
      </c>
      <c r="D1479" t="s">
        <v>175</v>
      </c>
      <c r="E1479" t="s">
        <v>76</v>
      </c>
      <c r="F1479" t="s">
        <v>1</v>
      </c>
      <c r="G1479" t="s">
        <v>736</v>
      </c>
      <c r="H1479" t="s">
        <v>493</v>
      </c>
      <c r="I1479" t="s">
        <v>1</v>
      </c>
      <c r="J1479"/>
      <c r="K1479"/>
      <c r="L1479">
        <v>11264</v>
      </c>
      <c r="M1479">
        <v>22714.696132596684</v>
      </c>
      <c r="N1479">
        <v>11264</v>
      </c>
      <c r="O1479">
        <v>22528</v>
      </c>
      <c r="P1479">
        <v>187</v>
      </c>
      <c r="Q1479">
        <f t="shared" si="280"/>
        <v>22715</v>
      </c>
      <c r="R1479">
        <v>22714.696132596684</v>
      </c>
      <c r="S1479">
        <f t="shared" si="281"/>
        <v>-0.30386740331596229</v>
      </c>
      <c r="T1479">
        <v>0.03</v>
      </c>
      <c r="U1479">
        <f t="shared" si="282"/>
        <v>681.44088397790051</v>
      </c>
      <c r="V1479">
        <f t="shared" si="283"/>
        <v>23396.137016574583</v>
      </c>
      <c r="W1479">
        <f t="shared" si="284"/>
        <v>681.13701657458296</v>
      </c>
      <c r="X1479">
        <v>0</v>
      </c>
    </row>
    <row r="1480" spans="1:24" x14ac:dyDescent="0.25">
      <c r="A1480" t="s">
        <v>1928</v>
      </c>
      <c r="B1480" t="s">
        <v>2030</v>
      </c>
      <c r="C1480" t="s">
        <v>2048</v>
      </c>
      <c r="D1480" t="s">
        <v>175</v>
      </c>
      <c r="E1480" t="s">
        <v>41</v>
      </c>
      <c r="F1480" t="s">
        <v>1</v>
      </c>
      <c r="G1480" t="s">
        <v>736</v>
      </c>
      <c r="H1480" t="s">
        <v>441</v>
      </c>
      <c r="I1480" t="s">
        <v>1</v>
      </c>
      <c r="J1480">
        <v>3429.02</v>
      </c>
      <c r="K1480">
        <v>3240.54</v>
      </c>
      <c r="L1480">
        <v>4031.33</v>
      </c>
      <c r="M1480">
        <v>8129.477624309392</v>
      </c>
      <c r="N1480">
        <v>5667.4000000000005</v>
      </c>
      <c r="O1480">
        <v>8062.66</v>
      </c>
      <c r="P1480">
        <v>67</v>
      </c>
      <c r="Q1480">
        <f t="shared" si="280"/>
        <v>8129.66</v>
      </c>
      <c r="R1480">
        <v>8129.477624309392</v>
      </c>
      <c r="S1480">
        <f t="shared" si="281"/>
        <v>-0.18237569060784153</v>
      </c>
      <c r="T1480">
        <v>0.03</v>
      </c>
      <c r="U1480">
        <f t="shared" si="282"/>
        <v>243.88432872928175</v>
      </c>
      <c r="V1480">
        <f t="shared" si="283"/>
        <v>8373.3619530386732</v>
      </c>
      <c r="W1480">
        <f t="shared" si="284"/>
        <v>243.70195303867331</v>
      </c>
      <c r="X1480">
        <v>0</v>
      </c>
    </row>
    <row r="1481" spans="1:24" x14ac:dyDescent="0.25">
      <c r="A1481" t="s">
        <v>1928</v>
      </c>
      <c r="B1481" t="s">
        <v>2030</v>
      </c>
      <c r="C1481" t="s">
        <v>2048</v>
      </c>
      <c r="D1481" t="s">
        <v>175</v>
      </c>
      <c r="E1481" t="s">
        <v>134</v>
      </c>
      <c r="F1481" t="s">
        <v>1</v>
      </c>
      <c r="G1481" t="s">
        <v>736</v>
      </c>
      <c r="H1481" t="s">
        <v>623</v>
      </c>
      <c r="I1481" t="s">
        <v>1</v>
      </c>
      <c r="J1481">
        <v>4111</v>
      </c>
      <c r="K1481">
        <v>2958.9999999995998</v>
      </c>
      <c r="L1481">
        <v>1510</v>
      </c>
      <c r="M1481">
        <v>3045.0276243093922</v>
      </c>
      <c r="N1481">
        <v>4388</v>
      </c>
      <c r="O1481">
        <v>3020</v>
      </c>
      <c r="P1481">
        <v>0</v>
      </c>
      <c r="Q1481">
        <f t="shared" si="280"/>
        <v>3020</v>
      </c>
      <c r="R1481">
        <v>3020</v>
      </c>
      <c r="S1481">
        <f t="shared" si="281"/>
        <v>0</v>
      </c>
      <c r="T1481">
        <v>0.03</v>
      </c>
      <c r="U1481">
        <f t="shared" si="282"/>
        <v>90.6</v>
      </c>
      <c r="V1481">
        <f t="shared" si="283"/>
        <v>3110.6</v>
      </c>
      <c r="W1481">
        <f t="shared" si="284"/>
        <v>90.599999999999909</v>
      </c>
      <c r="X1481">
        <v>0</v>
      </c>
    </row>
    <row r="1482" spans="1:24" x14ac:dyDescent="0.25">
      <c r="A1482" t="s">
        <v>1928</v>
      </c>
      <c r="B1482" t="s">
        <v>2030</v>
      </c>
      <c r="C1482" t="s">
        <v>2048</v>
      </c>
      <c r="D1482" t="s">
        <v>175</v>
      </c>
      <c r="E1482" t="s">
        <v>46</v>
      </c>
      <c r="F1482" t="s">
        <v>1</v>
      </c>
      <c r="G1482" t="s">
        <v>736</v>
      </c>
      <c r="H1482" t="s">
        <v>446</v>
      </c>
      <c r="I1482" t="s">
        <v>1</v>
      </c>
      <c r="J1482">
        <v>3223.01</v>
      </c>
      <c r="K1482"/>
      <c r="L1482">
        <v>0</v>
      </c>
      <c r="M1482">
        <v>0</v>
      </c>
      <c r="N1482">
        <v>0</v>
      </c>
      <c r="O1482"/>
      <c r="P1482">
        <v>0</v>
      </c>
      <c r="Q1482">
        <f t="shared" si="280"/>
        <v>0</v>
      </c>
      <c r="R1482">
        <v>0</v>
      </c>
      <c r="S1482">
        <f t="shared" si="281"/>
        <v>0</v>
      </c>
      <c r="T1482">
        <v>0.03</v>
      </c>
      <c r="U1482">
        <f t="shared" si="282"/>
        <v>0</v>
      </c>
      <c r="V1482">
        <f t="shared" si="283"/>
        <v>0</v>
      </c>
      <c r="W1482">
        <f t="shared" si="284"/>
        <v>0</v>
      </c>
      <c r="X1482">
        <v>0</v>
      </c>
    </row>
    <row r="1483" spans="1:24" x14ac:dyDescent="0.25">
      <c r="A1483" t="s">
        <v>1928</v>
      </c>
      <c r="B1483" t="s">
        <v>2030</v>
      </c>
      <c r="C1483" t="s">
        <v>2048</v>
      </c>
      <c r="D1483" t="s">
        <v>175</v>
      </c>
      <c r="E1483" t="s">
        <v>47</v>
      </c>
      <c r="F1483" t="s">
        <v>1</v>
      </c>
      <c r="G1483" t="s">
        <v>736</v>
      </c>
      <c r="H1483" t="s">
        <v>447</v>
      </c>
      <c r="I1483" t="s">
        <v>1</v>
      </c>
      <c r="J1483">
        <v>599.48</v>
      </c>
      <c r="K1483">
        <v>1532.0000000004</v>
      </c>
      <c r="L1483">
        <v>85</v>
      </c>
      <c r="M1483">
        <v>171.40883977900555</v>
      </c>
      <c r="N1483">
        <v>85</v>
      </c>
      <c r="O1483">
        <v>170</v>
      </c>
      <c r="P1483">
        <v>1</v>
      </c>
      <c r="Q1483">
        <f t="shared" si="280"/>
        <v>171</v>
      </c>
      <c r="R1483">
        <v>171.40883977900555</v>
      </c>
      <c r="S1483">
        <f t="shared" si="281"/>
        <v>0.40883977900554669</v>
      </c>
      <c r="T1483">
        <v>0.03</v>
      </c>
      <c r="U1483">
        <f t="shared" si="282"/>
        <v>5.1422651933701662</v>
      </c>
      <c r="V1483">
        <f t="shared" si="283"/>
        <v>176.55110497237573</v>
      </c>
      <c r="W1483">
        <f t="shared" si="284"/>
        <v>5.5511049723757253</v>
      </c>
      <c r="X1483">
        <v>0</v>
      </c>
    </row>
    <row r="1484" spans="1:24" x14ac:dyDescent="0.25">
      <c r="A1484" t="s">
        <v>1928</v>
      </c>
      <c r="B1484" t="s">
        <v>2030</v>
      </c>
      <c r="C1484" t="s">
        <v>2048</v>
      </c>
      <c r="D1484" t="s">
        <v>175</v>
      </c>
      <c r="E1484" t="s">
        <v>50</v>
      </c>
      <c r="F1484" t="s">
        <v>1</v>
      </c>
      <c r="G1484" t="s">
        <v>736</v>
      </c>
      <c r="H1484" t="s">
        <v>450</v>
      </c>
      <c r="I1484" t="s">
        <v>1</v>
      </c>
      <c r="J1484">
        <v>1068.06</v>
      </c>
      <c r="K1484">
        <v>1069.9999999999</v>
      </c>
      <c r="L1484">
        <v>563.62</v>
      </c>
      <c r="M1484">
        <v>1136.5817679558011</v>
      </c>
      <c r="N1484">
        <v>1097.68</v>
      </c>
      <c r="O1484">
        <v>1136.5817679557999</v>
      </c>
      <c r="P1484">
        <v>0</v>
      </c>
      <c r="Q1484">
        <f t="shared" si="280"/>
        <v>1136.5817679557999</v>
      </c>
      <c r="R1484">
        <v>1136.5817679558011</v>
      </c>
      <c r="S1484">
        <f t="shared" si="281"/>
        <v>1.1368683772161603E-12</v>
      </c>
      <c r="T1484"/>
      <c r="U1484">
        <f t="shared" si="282"/>
        <v>0</v>
      </c>
      <c r="V1484">
        <f t="shared" si="283"/>
        <v>1136.5817679558011</v>
      </c>
      <c r="W1484">
        <f t="shared" si="284"/>
        <v>1.1368683772161603E-12</v>
      </c>
      <c r="X1484">
        <v>0</v>
      </c>
    </row>
    <row r="1485" spans="1:24" x14ac:dyDescent="0.25">
      <c r="A1485" t="s">
        <v>1928</v>
      </c>
      <c r="B1485" t="s">
        <v>2030</v>
      </c>
      <c r="C1485" t="s">
        <v>2048</v>
      </c>
      <c r="D1485" t="s">
        <v>175</v>
      </c>
      <c r="E1485" t="s">
        <v>51</v>
      </c>
      <c r="F1485" t="s">
        <v>51</v>
      </c>
      <c r="G1485" t="s">
        <v>737</v>
      </c>
      <c r="H1485"/>
      <c r="I1485"/>
      <c r="J1485">
        <v>834644.96000000008</v>
      </c>
      <c r="K1485">
        <v>908473.84314772615</v>
      </c>
      <c r="L1485">
        <v>357973.19</v>
      </c>
      <c r="M1485">
        <v>721879.63729281747</v>
      </c>
      <c r="N1485">
        <v>767876.89000000013</v>
      </c>
      <c r="O1485">
        <v>719838.89853682253</v>
      </c>
      <c r="P1485">
        <f>SUMIF($F$1451:$F$1484,"&lt;&gt;EV_*",$P$1451:$P$1484)</f>
        <v>-35518</v>
      </c>
      <c r="Q1485">
        <f>SUMIF($F$1451:$F$1484,"&lt;&gt;EV_*",$Q$1451:$Q$1484)</f>
        <v>684320.89853682264</v>
      </c>
      <c r="R1485">
        <f>SUMIF($F$1451:$F$1484,"&lt;&gt;EV_*",$R$1451:$R$1484)</f>
        <v>685778.51346609183</v>
      </c>
      <c r="S1485">
        <f>SUMIF($F$1451:$F$1484,"&lt;&gt;EV_*",$S$1451:$S$1484)</f>
        <v>1457.6149292693792</v>
      </c>
      <c r="T1485">
        <v>0</v>
      </c>
      <c r="U1485">
        <f>SUMIF($F$1451:$F$1484,"&lt;&gt;EV_*",$U$1451:$U$1484)</f>
        <v>18844.9453038674</v>
      </c>
      <c r="V1485">
        <f>SUMIF($F$1451:$F$1484,"&lt;&gt;EV_*",$V$1451:$V$1484)</f>
        <v>704623.45876995951</v>
      </c>
      <c r="W1485">
        <f>SUMIF($F$1451:$F$1484,"&lt;&gt;EV_*",$W$1451:$W$1484)</f>
        <v>20302.560233136781</v>
      </c>
      <c r="X1485">
        <f>SUMIF($F$1451:$F$1484,"&lt;&gt;EV_*",$X$1451:$X$1484)</f>
        <v>0</v>
      </c>
    </row>
    <row r="1486" spans="1:24" x14ac:dyDescent="0.25">
      <c r="A1486" t="s">
        <v>1928</v>
      </c>
      <c r="B1486" t="s">
        <v>1929</v>
      </c>
      <c r="C1486" t="s">
        <v>2049</v>
      </c>
      <c r="D1486" t="s">
        <v>176</v>
      </c>
      <c r="E1486" t="s">
        <v>5</v>
      </c>
      <c r="F1486" t="s">
        <v>5</v>
      </c>
      <c r="G1486" t="s">
        <v>738</v>
      </c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</row>
    <row r="1487" spans="1:24" x14ac:dyDescent="0.25">
      <c r="A1487" t="s">
        <v>1928</v>
      </c>
      <c r="B1487" t="s">
        <v>1929</v>
      </c>
      <c r="C1487" t="s">
        <v>2049</v>
      </c>
      <c r="D1487" t="s">
        <v>176</v>
      </c>
      <c r="E1487" t="s">
        <v>17</v>
      </c>
      <c r="F1487" t="s">
        <v>1</v>
      </c>
      <c r="G1487" t="s">
        <v>739</v>
      </c>
      <c r="H1487" t="s">
        <v>417</v>
      </c>
      <c r="I1487" t="s">
        <v>1</v>
      </c>
      <c r="J1487">
        <v>-3</v>
      </c>
      <c r="K1487"/>
      <c r="L1487">
        <v>0</v>
      </c>
      <c r="M1487">
        <v>0</v>
      </c>
      <c r="N1487">
        <v>0</v>
      </c>
      <c r="O1487"/>
      <c r="P1487">
        <v>0</v>
      </c>
      <c r="Q1487">
        <f>O1487+P1487</f>
        <v>0</v>
      </c>
      <c r="R1487">
        <v>0</v>
      </c>
      <c r="S1487">
        <f>IF(OR(LEFT(E1487,2)="A_",LEFT(D1487,5)="Total"),R1487-Q1487,"")</f>
        <v>0</v>
      </c>
      <c r="T1487"/>
      <c r="U1487">
        <f>IFERROR(R1487*T1487,R1487*0)</f>
        <v>0</v>
      </c>
      <c r="V1487">
        <f>IF(OR(LEFT(E1487,2)="A_",LEFT(D1487,5)="Total"),R1487+U1487,"")</f>
        <v>0</v>
      </c>
      <c r="W1487">
        <f>IF(OR(LEFT(E1487,2)="A_",LEFT(D1487,5)="Total"),V1487-Q1487,"")</f>
        <v>0</v>
      </c>
      <c r="X1487">
        <v>0</v>
      </c>
    </row>
    <row r="1488" spans="1:24" x14ac:dyDescent="0.25">
      <c r="A1488" t="s">
        <v>1928</v>
      </c>
      <c r="B1488" t="s">
        <v>1929</v>
      </c>
      <c r="C1488" t="s">
        <v>2049</v>
      </c>
      <c r="D1488" t="s">
        <v>176</v>
      </c>
      <c r="E1488" t="s">
        <v>18</v>
      </c>
      <c r="F1488" t="s">
        <v>1</v>
      </c>
      <c r="G1488" t="s">
        <v>739</v>
      </c>
      <c r="H1488" t="s">
        <v>418</v>
      </c>
      <c r="I1488" t="s">
        <v>1</v>
      </c>
      <c r="J1488">
        <v>16.62</v>
      </c>
      <c r="K1488"/>
      <c r="L1488">
        <v>0</v>
      </c>
      <c r="M1488">
        <v>0</v>
      </c>
      <c r="N1488">
        <v>4.2300000000000004</v>
      </c>
      <c r="O1488"/>
      <c r="P1488">
        <v>0</v>
      </c>
      <c r="Q1488">
        <f>O1488+P1488</f>
        <v>0</v>
      </c>
      <c r="R1488">
        <v>0</v>
      </c>
      <c r="S1488">
        <f>IF(OR(LEFT(E1488,2)="A_",LEFT(D1488,5)="Total"),R1488-Q1488,"")</f>
        <v>0</v>
      </c>
      <c r="T1488">
        <v>0.02</v>
      </c>
      <c r="U1488">
        <f>IFERROR(R1488*T1488,R1488*0)</f>
        <v>0</v>
      </c>
      <c r="V1488">
        <f>IF(OR(LEFT(E1488,2)="A_",LEFT(D1488,5)="Total"),R1488+U1488,"")</f>
        <v>0</v>
      </c>
      <c r="W1488">
        <f>IF(OR(LEFT(E1488,2)="A_",LEFT(D1488,5)="Total"),V1488-Q1488,"")</f>
        <v>0</v>
      </c>
      <c r="X1488">
        <v>0</v>
      </c>
    </row>
    <row r="1489" spans="1:24" x14ac:dyDescent="0.25">
      <c r="A1489" t="s">
        <v>1928</v>
      </c>
      <c r="B1489" t="s">
        <v>1929</v>
      </c>
      <c r="C1489" t="s">
        <v>2049</v>
      </c>
      <c r="D1489" t="s">
        <v>176</v>
      </c>
      <c r="E1489" t="s">
        <v>74</v>
      </c>
      <c r="F1489" t="s">
        <v>1</v>
      </c>
      <c r="G1489" t="s">
        <v>739</v>
      </c>
      <c r="H1489" t="s">
        <v>491</v>
      </c>
      <c r="I1489" t="s">
        <v>1</v>
      </c>
      <c r="J1489">
        <v>273.60000000000002</v>
      </c>
      <c r="K1489"/>
      <c r="L1489">
        <v>0</v>
      </c>
      <c r="M1489">
        <v>0</v>
      </c>
      <c r="N1489">
        <v>0</v>
      </c>
      <c r="O1489"/>
      <c r="P1489">
        <v>0</v>
      </c>
      <c r="Q1489">
        <f>O1489+P1489</f>
        <v>0</v>
      </c>
      <c r="R1489">
        <v>0</v>
      </c>
      <c r="S1489">
        <f>IF(OR(LEFT(E1489,2)="A_",LEFT(D1489,5)="Total"),R1489-Q1489,"")</f>
        <v>0</v>
      </c>
      <c r="T1489">
        <v>3.5000000000000003E-2</v>
      </c>
      <c r="U1489">
        <f>IFERROR(R1489*T1489,R1489*0)</f>
        <v>0</v>
      </c>
      <c r="V1489">
        <f>IF(OR(LEFT(E1489,2)="A_",LEFT(D1489,5)="Total"),R1489+U1489,"")</f>
        <v>0</v>
      </c>
      <c r="W1489">
        <f>IF(OR(LEFT(E1489,2)="A_",LEFT(D1489,5)="Total"),V1489-Q1489,"")</f>
        <v>0</v>
      </c>
      <c r="X1489">
        <v>0</v>
      </c>
    </row>
    <row r="1490" spans="1:24" x14ac:dyDescent="0.25">
      <c r="A1490" t="s">
        <v>1928</v>
      </c>
      <c r="B1490" t="s">
        <v>1929</v>
      </c>
      <c r="C1490" t="s">
        <v>2049</v>
      </c>
      <c r="D1490" t="s">
        <v>176</v>
      </c>
      <c r="E1490" t="s">
        <v>20</v>
      </c>
      <c r="F1490" t="s">
        <v>1</v>
      </c>
      <c r="G1490" t="s">
        <v>739</v>
      </c>
      <c r="H1490" t="s">
        <v>420</v>
      </c>
      <c r="I1490" t="s">
        <v>1</v>
      </c>
      <c r="J1490">
        <v>45.43</v>
      </c>
      <c r="K1490"/>
      <c r="L1490">
        <v>0</v>
      </c>
      <c r="M1490">
        <v>0</v>
      </c>
      <c r="N1490">
        <v>0</v>
      </c>
      <c r="O1490"/>
      <c r="P1490">
        <v>0</v>
      </c>
      <c r="Q1490">
        <f>O1490+P1490</f>
        <v>0</v>
      </c>
      <c r="R1490">
        <v>0</v>
      </c>
      <c r="S1490">
        <f>IF(OR(LEFT(E1490,2)="A_",LEFT(D1490,5)="Total"),R1490-Q1490,"")</f>
        <v>0</v>
      </c>
      <c r="T1490">
        <v>0.04</v>
      </c>
      <c r="U1490">
        <f>IFERROR(R1490*T1490,R1490*0)</f>
        <v>0</v>
      </c>
      <c r="V1490">
        <f>IF(OR(LEFT(E1490,2)="A_",LEFT(D1490,5)="Total"),R1490+U1490,"")</f>
        <v>0</v>
      </c>
      <c r="W1490">
        <f>IF(OR(LEFT(E1490,2)="A_",LEFT(D1490,5)="Total"),V1490-Q1490,"")</f>
        <v>0</v>
      </c>
      <c r="X1490">
        <v>0</v>
      </c>
    </row>
    <row r="1491" spans="1:24" x14ac:dyDescent="0.25">
      <c r="A1491" t="s">
        <v>1928</v>
      </c>
      <c r="B1491" t="s">
        <v>1929</v>
      </c>
      <c r="C1491" t="s">
        <v>2049</v>
      </c>
      <c r="D1491" t="s">
        <v>176</v>
      </c>
      <c r="E1491" t="s">
        <v>48</v>
      </c>
      <c r="F1491" t="s">
        <v>1</v>
      </c>
      <c r="G1491" t="s">
        <v>739</v>
      </c>
      <c r="H1491" t="s">
        <v>448</v>
      </c>
      <c r="I1491" t="s">
        <v>1</v>
      </c>
      <c r="J1491">
        <v>51.08</v>
      </c>
      <c r="K1491">
        <v>102</v>
      </c>
      <c r="L1491">
        <v>0</v>
      </c>
      <c r="M1491">
        <v>0</v>
      </c>
      <c r="N1491">
        <v>0</v>
      </c>
      <c r="O1491"/>
      <c r="P1491">
        <v>0</v>
      </c>
      <c r="Q1491">
        <f>O1491+P1491</f>
        <v>0</v>
      </c>
      <c r="R1491">
        <v>0</v>
      </c>
      <c r="S1491">
        <f>IF(OR(LEFT(E1491,2)="A_",LEFT(D1491,5)="Total"),R1491-Q1491,"")</f>
        <v>0</v>
      </c>
      <c r="T1491">
        <v>0.03</v>
      </c>
      <c r="U1491">
        <f>IFERROR(R1491*T1491,R1491*0)</f>
        <v>0</v>
      </c>
      <c r="V1491">
        <f>IF(OR(LEFT(E1491,2)="A_",LEFT(D1491,5)="Total"),R1491+U1491,"")</f>
        <v>0</v>
      </c>
      <c r="W1491">
        <f>IF(OR(LEFT(E1491,2)="A_",LEFT(D1491,5)="Total"),V1491-Q1491,"")</f>
        <v>0</v>
      </c>
      <c r="X1491">
        <v>0</v>
      </c>
    </row>
    <row r="1492" spans="1:24" x14ac:dyDescent="0.25">
      <c r="A1492" t="s">
        <v>1928</v>
      </c>
      <c r="B1492" t="s">
        <v>1929</v>
      </c>
      <c r="C1492" t="s">
        <v>2049</v>
      </c>
      <c r="D1492" t="s">
        <v>176</v>
      </c>
      <c r="E1492" t="s">
        <v>51</v>
      </c>
      <c r="F1492" t="s">
        <v>51</v>
      </c>
      <c r="G1492" t="s">
        <v>740</v>
      </c>
      <c r="H1492"/>
      <c r="I1492"/>
      <c r="J1492">
        <v>383.73</v>
      </c>
      <c r="K1492">
        <v>102</v>
      </c>
      <c r="L1492">
        <v>0</v>
      </c>
      <c r="M1492">
        <v>0</v>
      </c>
      <c r="N1492">
        <v>4.2300000000000004</v>
      </c>
      <c r="O1492">
        <v>0</v>
      </c>
      <c r="P1492">
        <f>SUMIF($F$1486:$F$1491,"&lt;&gt;EV_*",$P$1486:$P$1491)</f>
        <v>0</v>
      </c>
      <c r="Q1492">
        <f>SUMIF($F$1486:$F$1491,"&lt;&gt;EV_*",$Q$1486:$Q$1491)</f>
        <v>0</v>
      </c>
      <c r="R1492">
        <f>SUMIF($F$1486:$F$1491,"&lt;&gt;EV_*",$R$1486:$R$1491)</f>
        <v>0</v>
      </c>
      <c r="S1492">
        <f>SUMIF($F$1486:$F$1491,"&lt;&gt;EV_*",$S$1486:$S$1491)</f>
        <v>0</v>
      </c>
      <c r="T1492">
        <v>0</v>
      </c>
      <c r="U1492">
        <f>SUMIF($F$1486:$F$1491,"&lt;&gt;EV_*",$U$1486:$U$1491)</f>
        <v>0</v>
      </c>
      <c r="V1492">
        <f>SUMIF($F$1486:$F$1491,"&lt;&gt;EV_*",$V$1486:$V$1491)</f>
        <v>0</v>
      </c>
      <c r="W1492">
        <f>SUMIF($F$1486:$F$1491,"&lt;&gt;EV_*",$W$1486:$W$1491)</f>
        <v>0</v>
      </c>
      <c r="X1492">
        <f>SUMIF($F$1486:$F$1491,"&lt;&gt;EV_*",$X$1486:$X$1491)</f>
        <v>0</v>
      </c>
    </row>
    <row r="1493" spans="1:24" x14ac:dyDescent="0.25">
      <c r="A1493" t="s">
        <v>1965</v>
      </c>
      <c r="B1493" t="s">
        <v>2050</v>
      </c>
      <c r="C1493" t="s">
        <v>2051</v>
      </c>
      <c r="D1493" t="s">
        <v>177</v>
      </c>
      <c r="E1493" t="s">
        <v>5</v>
      </c>
      <c r="F1493" t="s">
        <v>5</v>
      </c>
      <c r="G1493" t="s">
        <v>741</v>
      </c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</row>
    <row r="1494" spans="1:24" x14ac:dyDescent="0.25">
      <c r="A1494" t="s">
        <v>1965</v>
      </c>
      <c r="B1494" t="s">
        <v>2050</v>
      </c>
      <c r="C1494" t="s">
        <v>2051</v>
      </c>
      <c r="D1494" t="s">
        <v>177</v>
      </c>
      <c r="E1494" t="s">
        <v>6</v>
      </c>
      <c r="F1494" t="s">
        <v>1</v>
      </c>
      <c r="G1494" t="s">
        <v>742</v>
      </c>
      <c r="H1494" t="s">
        <v>406</v>
      </c>
      <c r="I1494" t="s">
        <v>1</v>
      </c>
      <c r="J1494">
        <v>1500</v>
      </c>
      <c r="K1494"/>
      <c r="L1494">
        <v>0</v>
      </c>
      <c r="M1494">
        <v>0</v>
      </c>
      <c r="N1494">
        <v>0</v>
      </c>
      <c r="O1494"/>
      <c r="P1494">
        <v>0</v>
      </c>
      <c r="Q1494">
        <f t="shared" ref="Q1494:Q1516" si="285">O1494+P1494</f>
        <v>0</v>
      </c>
      <c r="R1494">
        <v>0</v>
      </c>
      <c r="S1494">
        <f t="shared" ref="S1494:S1516" si="286">IF(OR(LEFT(E1494,2)="A_",LEFT(D1494,5)="Total"),R1494-Q1494,"")</f>
        <v>0</v>
      </c>
      <c r="T1494"/>
      <c r="U1494">
        <f t="shared" ref="U1494:U1516" si="287">IFERROR(R1494*T1494,R1494*0)</f>
        <v>0</v>
      </c>
      <c r="V1494">
        <f t="shared" ref="V1494:V1516" si="288">IF(OR(LEFT(E1494,2)="A_",LEFT(D1494,5)="Total"),R1494+U1494,"")</f>
        <v>0</v>
      </c>
      <c r="W1494">
        <f t="shared" ref="W1494:W1516" si="289">IF(OR(LEFT(E1494,2)="A_",LEFT(D1494,5)="Total"),V1494-Q1494,"")</f>
        <v>0</v>
      </c>
      <c r="X1494">
        <v>0</v>
      </c>
    </row>
    <row r="1495" spans="1:24" x14ac:dyDescent="0.25">
      <c r="A1495" t="s">
        <v>1965</v>
      </c>
      <c r="B1495" t="s">
        <v>2050</v>
      </c>
      <c r="C1495" t="s">
        <v>2051</v>
      </c>
      <c r="D1495" t="s">
        <v>177</v>
      </c>
      <c r="E1495" t="s">
        <v>178</v>
      </c>
      <c r="F1495" t="s">
        <v>1</v>
      </c>
      <c r="G1495" t="s">
        <v>742</v>
      </c>
      <c r="H1495" t="s">
        <v>743</v>
      </c>
      <c r="I1495" t="s">
        <v>1</v>
      </c>
      <c r="J1495">
        <v>248.25</v>
      </c>
      <c r="K1495"/>
      <c r="L1495">
        <v>0</v>
      </c>
      <c r="M1495">
        <v>0</v>
      </c>
      <c r="N1495">
        <v>248.25</v>
      </c>
      <c r="O1495"/>
      <c r="P1495">
        <v>0</v>
      </c>
      <c r="Q1495">
        <f t="shared" si="285"/>
        <v>0</v>
      </c>
      <c r="R1495">
        <v>0</v>
      </c>
      <c r="S1495">
        <f t="shared" si="286"/>
        <v>0</v>
      </c>
      <c r="T1495">
        <v>3.5000000000000003E-2</v>
      </c>
      <c r="U1495">
        <f t="shared" si="287"/>
        <v>0</v>
      </c>
      <c r="V1495">
        <f t="shared" si="288"/>
        <v>0</v>
      </c>
      <c r="W1495">
        <f t="shared" si="289"/>
        <v>0</v>
      </c>
      <c r="X1495">
        <v>0</v>
      </c>
    </row>
    <row r="1496" spans="1:24" x14ac:dyDescent="0.25">
      <c r="A1496" t="s">
        <v>1965</v>
      </c>
      <c r="B1496" t="s">
        <v>2050</v>
      </c>
      <c r="C1496" t="s">
        <v>2051</v>
      </c>
      <c r="D1496" t="s">
        <v>177</v>
      </c>
      <c r="E1496" t="s">
        <v>11</v>
      </c>
      <c r="F1496" t="s">
        <v>1</v>
      </c>
      <c r="G1496" t="s">
        <v>742</v>
      </c>
      <c r="H1496" t="s">
        <v>411</v>
      </c>
      <c r="I1496" t="s">
        <v>1</v>
      </c>
      <c r="J1496">
        <v>4334.83</v>
      </c>
      <c r="K1496">
        <v>5601</v>
      </c>
      <c r="L1496">
        <v>1622.96</v>
      </c>
      <c r="M1496">
        <v>3272.8198895027626</v>
      </c>
      <c r="N1496">
        <v>3245.49</v>
      </c>
      <c r="O1496">
        <v>3245.92</v>
      </c>
      <c r="P1496">
        <v>0</v>
      </c>
      <c r="Q1496">
        <f t="shared" si="285"/>
        <v>3245.92</v>
      </c>
      <c r="R1496">
        <v>0</v>
      </c>
      <c r="S1496">
        <f t="shared" si="286"/>
        <v>-3245.92</v>
      </c>
      <c r="T1496"/>
      <c r="U1496">
        <f t="shared" si="287"/>
        <v>0</v>
      </c>
      <c r="V1496">
        <f t="shared" si="288"/>
        <v>0</v>
      </c>
      <c r="W1496">
        <f t="shared" si="289"/>
        <v>-3245.92</v>
      </c>
      <c r="X1496">
        <v>0</v>
      </c>
    </row>
    <row r="1497" spans="1:24" x14ac:dyDescent="0.25">
      <c r="A1497" t="s">
        <v>1965</v>
      </c>
      <c r="B1497" t="s">
        <v>2050</v>
      </c>
      <c r="C1497" t="s">
        <v>2051</v>
      </c>
      <c r="D1497" t="s">
        <v>177</v>
      </c>
      <c r="E1497" t="s">
        <v>12</v>
      </c>
      <c r="F1497" t="s">
        <v>1</v>
      </c>
      <c r="G1497" t="s">
        <v>742</v>
      </c>
      <c r="H1497" t="s">
        <v>412</v>
      </c>
      <c r="I1497" t="s">
        <v>1</v>
      </c>
      <c r="J1497"/>
      <c r="K1497"/>
      <c r="L1497">
        <v>708</v>
      </c>
      <c r="M1497">
        <v>1427.7348066298341</v>
      </c>
      <c r="N1497">
        <v>708</v>
      </c>
      <c r="O1497">
        <v>1416</v>
      </c>
      <c r="P1497">
        <v>0</v>
      </c>
      <c r="Q1497">
        <f t="shared" si="285"/>
        <v>1416</v>
      </c>
      <c r="R1497">
        <v>0</v>
      </c>
      <c r="S1497">
        <f t="shared" si="286"/>
        <v>-1416</v>
      </c>
      <c r="T1497"/>
      <c r="U1497">
        <f t="shared" si="287"/>
        <v>0</v>
      </c>
      <c r="V1497">
        <f t="shared" si="288"/>
        <v>0</v>
      </c>
      <c r="W1497">
        <f t="shared" si="289"/>
        <v>-1416</v>
      </c>
      <c r="X1497">
        <v>0</v>
      </c>
    </row>
    <row r="1498" spans="1:24" x14ac:dyDescent="0.25">
      <c r="A1498" t="s">
        <v>1965</v>
      </c>
      <c r="B1498" t="s">
        <v>2050</v>
      </c>
      <c r="C1498" t="s">
        <v>2051</v>
      </c>
      <c r="D1498" t="s">
        <v>177</v>
      </c>
      <c r="E1498" t="s">
        <v>18</v>
      </c>
      <c r="F1498" t="s">
        <v>1</v>
      </c>
      <c r="G1498" t="s">
        <v>742</v>
      </c>
      <c r="H1498" t="s">
        <v>418</v>
      </c>
      <c r="I1498" t="s">
        <v>1</v>
      </c>
      <c r="J1498"/>
      <c r="K1498"/>
      <c r="L1498">
        <v>99.79</v>
      </c>
      <c r="M1498">
        <v>201.2339779005525</v>
      </c>
      <c r="N1498">
        <v>99.79</v>
      </c>
      <c r="O1498">
        <v>200.67659340660001</v>
      </c>
      <c r="P1498">
        <v>0</v>
      </c>
      <c r="Q1498">
        <f t="shared" si="285"/>
        <v>200.67659340660001</v>
      </c>
      <c r="R1498">
        <v>0</v>
      </c>
      <c r="S1498">
        <f t="shared" si="286"/>
        <v>-200.67659340660001</v>
      </c>
      <c r="T1498">
        <v>0.02</v>
      </c>
      <c r="U1498">
        <f t="shared" si="287"/>
        <v>0</v>
      </c>
      <c r="V1498">
        <f t="shared" si="288"/>
        <v>0</v>
      </c>
      <c r="W1498">
        <f t="shared" si="289"/>
        <v>-200.67659340660001</v>
      </c>
      <c r="X1498">
        <v>0</v>
      </c>
    </row>
    <row r="1499" spans="1:24" x14ac:dyDescent="0.25">
      <c r="A1499" t="s">
        <v>1965</v>
      </c>
      <c r="B1499" t="s">
        <v>2050</v>
      </c>
      <c r="C1499" t="s">
        <v>2051</v>
      </c>
      <c r="D1499" t="s">
        <v>177</v>
      </c>
      <c r="E1499" t="s">
        <v>21</v>
      </c>
      <c r="F1499" t="s">
        <v>1</v>
      </c>
      <c r="G1499" t="s">
        <v>742</v>
      </c>
      <c r="H1499" t="s">
        <v>421</v>
      </c>
      <c r="I1499" t="s">
        <v>1</v>
      </c>
      <c r="J1499">
        <v>203.75</v>
      </c>
      <c r="K1499">
        <v>319.3</v>
      </c>
      <c r="L1499">
        <v>11.66</v>
      </c>
      <c r="M1499">
        <v>23.51325966850829</v>
      </c>
      <c r="N1499">
        <v>58.81</v>
      </c>
      <c r="O1499">
        <v>23.513259668500002</v>
      </c>
      <c r="P1499">
        <v>0</v>
      </c>
      <c r="Q1499">
        <f t="shared" si="285"/>
        <v>23.513259668500002</v>
      </c>
      <c r="R1499">
        <v>0</v>
      </c>
      <c r="S1499">
        <f t="shared" si="286"/>
        <v>-23.513259668500002</v>
      </c>
      <c r="T1499">
        <v>0.03</v>
      </c>
      <c r="U1499">
        <f t="shared" si="287"/>
        <v>0</v>
      </c>
      <c r="V1499">
        <f t="shared" si="288"/>
        <v>0</v>
      </c>
      <c r="W1499">
        <f t="shared" si="289"/>
        <v>-23.513259668500002</v>
      </c>
      <c r="X1499">
        <v>0</v>
      </c>
    </row>
    <row r="1500" spans="1:24" x14ac:dyDescent="0.25">
      <c r="A1500" t="s">
        <v>1965</v>
      </c>
      <c r="B1500" t="s">
        <v>2050</v>
      </c>
      <c r="C1500" t="s">
        <v>2051</v>
      </c>
      <c r="D1500" t="s">
        <v>177</v>
      </c>
      <c r="E1500" t="s">
        <v>22</v>
      </c>
      <c r="F1500" t="s">
        <v>1</v>
      </c>
      <c r="G1500" t="s">
        <v>742</v>
      </c>
      <c r="H1500" t="s">
        <v>422</v>
      </c>
      <c r="I1500" t="s">
        <v>1</v>
      </c>
      <c r="J1500">
        <v>1167</v>
      </c>
      <c r="K1500">
        <v>2359.8000000000002</v>
      </c>
      <c r="L1500">
        <v>422.03</v>
      </c>
      <c r="M1500">
        <v>851.05497237569057</v>
      </c>
      <c r="N1500">
        <v>447.02</v>
      </c>
      <c r="O1500">
        <v>851.0549723757</v>
      </c>
      <c r="P1500">
        <v>0</v>
      </c>
      <c r="Q1500">
        <f t="shared" si="285"/>
        <v>851.0549723757</v>
      </c>
      <c r="R1500">
        <v>0</v>
      </c>
      <c r="S1500">
        <f t="shared" si="286"/>
        <v>-851.0549723757</v>
      </c>
      <c r="T1500">
        <v>3.5000000000000003E-2</v>
      </c>
      <c r="U1500">
        <f t="shared" si="287"/>
        <v>0</v>
      </c>
      <c r="V1500">
        <f t="shared" si="288"/>
        <v>0</v>
      </c>
      <c r="W1500">
        <f t="shared" si="289"/>
        <v>-851.0549723757</v>
      </c>
      <c r="X1500">
        <v>0</v>
      </c>
    </row>
    <row r="1501" spans="1:24" x14ac:dyDescent="0.25">
      <c r="A1501" t="s">
        <v>1965</v>
      </c>
      <c r="B1501" t="s">
        <v>2050</v>
      </c>
      <c r="C1501" t="s">
        <v>2051</v>
      </c>
      <c r="D1501" t="s">
        <v>177</v>
      </c>
      <c r="E1501" t="s">
        <v>23</v>
      </c>
      <c r="F1501" t="s">
        <v>1</v>
      </c>
      <c r="G1501" t="s">
        <v>742</v>
      </c>
      <c r="H1501" t="s">
        <v>423</v>
      </c>
      <c r="I1501" t="s">
        <v>1</v>
      </c>
      <c r="J1501">
        <v>228.25</v>
      </c>
      <c r="K1501">
        <v>476.10000000010001</v>
      </c>
      <c r="L1501">
        <v>0</v>
      </c>
      <c r="M1501">
        <v>0</v>
      </c>
      <c r="N1501">
        <v>0</v>
      </c>
      <c r="O1501"/>
      <c r="P1501">
        <v>0</v>
      </c>
      <c r="Q1501">
        <f t="shared" si="285"/>
        <v>0</v>
      </c>
      <c r="R1501">
        <v>0</v>
      </c>
      <c r="S1501">
        <f t="shared" si="286"/>
        <v>0</v>
      </c>
      <c r="T1501">
        <v>3.5000000000000003E-2</v>
      </c>
      <c r="U1501">
        <f t="shared" si="287"/>
        <v>0</v>
      </c>
      <c r="V1501">
        <f t="shared" si="288"/>
        <v>0</v>
      </c>
      <c r="W1501">
        <f t="shared" si="289"/>
        <v>0</v>
      </c>
      <c r="X1501">
        <v>0</v>
      </c>
    </row>
    <row r="1502" spans="1:24" x14ac:dyDescent="0.25">
      <c r="A1502" t="s">
        <v>1965</v>
      </c>
      <c r="B1502" t="s">
        <v>2050</v>
      </c>
      <c r="C1502" t="s">
        <v>2051</v>
      </c>
      <c r="D1502" t="s">
        <v>177</v>
      </c>
      <c r="E1502" t="s">
        <v>24</v>
      </c>
      <c r="F1502" t="s">
        <v>1</v>
      </c>
      <c r="G1502" t="s">
        <v>742</v>
      </c>
      <c r="H1502" t="s">
        <v>424</v>
      </c>
      <c r="I1502" t="s">
        <v>1</v>
      </c>
      <c r="J1502">
        <v>2000</v>
      </c>
      <c r="K1502">
        <v>2000.0000000004</v>
      </c>
      <c r="L1502">
        <v>0</v>
      </c>
      <c r="M1502">
        <v>0</v>
      </c>
      <c r="N1502">
        <v>2000</v>
      </c>
      <c r="O1502"/>
      <c r="P1502">
        <v>0</v>
      </c>
      <c r="Q1502">
        <f t="shared" si="285"/>
        <v>0</v>
      </c>
      <c r="R1502">
        <v>0</v>
      </c>
      <c r="S1502">
        <f t="shared" si="286"/>
        <v>0</v>
      </c>
      <c r="T1502"/>
      <c r="U1502">
        <f t="shared" si="287"/>
        <v>0</v>
      </c>
      <c r="V1502">
        <f t="shared" si="288"/>
        <v>0</v>
      </c>
      <c r="W1502">
        <f t="shared" si="289"/>
        <v>0</v>
      </c>
      <c r="X1502">
        <v>0</v>
      </c>
    </row>
    <row r="1503" spans="1:24" x14ac:dyDescent="0.25">
      <c r="A1503" t="s">
        <v>1965</v>
      </c>
      <c r="B1503" t="s">
        <v>2050</v>
      </c>
      <c r="C1503" t="s">
        <v>2051</v>
      </c>
      <c r="D1503" t="s">
        <v>177</v>
      </c>
      <c r="E1503" t="s">
        <v>25</v>
      </c>
      <c r="F1503" t="s">
        <v>1</v>
      </c>
      <c r="G1503" t="s">
        <v>742</v>
      </c>
      <c r="H1503" t="s">
        <v>425</v>
      </c>
      <c r="I1503" t="s">
        <v>1</v>
      </c>
      <c r="J1503">
        <v>119.99</v>
      </c>
      <c r="K1503"/>
      <c r="L1503">
        <v>36.549999999999997</v>
      </c>
      <c r="M1503">
        <v>73.705801104972366</v>
      </c>
      <c r="N1503">
        <v>156.54</v>
      </c>
      <c r="O1503">
        <v>73.099999999999994</v>
      </c>
      <c r="P1503">
        <v>0</v>
      </c>
      <c r="Q1503">
        <f t="shared" si="285"/>
        <v>73.099999999999994</v>
      </c>
      <c r="R1503">
        <v>0</v>
      </c>
      <c r="S1503">
        <f t="shared" si="286"/>
        <v>-73.099999999999994</v>
      </c>
      <c r="T1503"/>
      <c r="U1503">
        <f t="shared" si="287"/>
        <v>0</v>
      </c>
      <c r="V1503">
        <f t="shared" si="288"/>
        <v>0</v>
      </c>
      <c r="W1503">
        <f t="shared" si="289"/>
        <v>-73.099999999999994</v>
      </c>
      <c r="X1503">
        <v>0</v>
      </c>
    </row>
    <row r="1504" spans="1:24" x14ac:dyDescent="0.25">
      <c r="A1504" t="s">
        <v>1965</v>
      </c>
      <c r="B1504" t="s">
        <v>2050</v>
      </c>
      <c r="C1504" t="s">
        <v>2051</v>
      </c>
      <c r="D1504" t="s">
        <v>177</v>
      </c>
      <c r="E1504" t="s">
        <v>26</v>
      </c>
      <c r="F1504" t="s">
        <v>1</v>
      </c>
      <c r="G1504" t="s">
        <v>742</v>
      </c>
      <c r="H1504" t="s">
        <v>426</v>
      </c>
      <c r="I1504" t="s">
        <v>1</v>
      </c>
      <c r="J1504">
        <v>56375</v>
      </c>
      <c r="K1504">
        <v>46118.203302342001</v>
      </c>
      <c r="L1504">
        <v>14635</v>
      </c>
      <c r="M1504">
        <v>29512.56906077348</v>
      </c>
      <c r="N1504">
        <v>52750</v>
      </c>
      <c r="O1504">
        <v>29270</v>
      </c>
      <c r="P1504">
        <v>0</v>
      </c>
      <c r="Q1504">
        <f t="shared" si="285"/>
        <v>29270</v>
      </c>
      <c r="R1504">
        <v>0</v>
      </c>
      <c r="S1504">
        <f t="shared" si="286"/>
        <v>-29270</v>
      </c>
      <c r="T1504"/>
      <c r="U1504">
        <f t="shared" si="287"/>
        <v>0</v>
      </c>
      <c r="V1504">
        <f t="shared" si="288"/>
        <v>0</v>
      </c>
      <c r="W1504">
        <f t="shared" si="289"/>
        <v>-29270</v>
      </c>
      <c r="X1504">
        <v>0</v>
      </c>
    </row>
    <row r="1505" spans="1:24" x14ac:dyDescent="0.25">
      <c r="A1505" t="s">
        <v>1965</v>
      </c>
      <c r="B1505" t="s">
        <v>2050</v>
      </c>
      <c r="C1505" t="s">
        <v>2051</v>
      </c>
      <c r="D1505" t="s">
        <v>177</v>
      </c>
      <c r="E1505" t="s">
        <v>27</v>
      </c>
      <c r="F1505" t="s">
        <v>1</v>
      </c>
      <c r="G1505" t="s">
        <v>742</v>
      </c>
      <c r="H1505" t="s">
        <v>427</v>
      </c>
      <c r="I1505" t="s">
        <v>1</v>
      </c>
      <c r="J1505">
        <v>1272.0899999999999</v>
      </c>
      <c r="K1505">
        <v>1239.9999999996</v>
      </c>
      <c r="L1505">
        <v>497.56</v>
      </c>
      <c r="M1505">
        <v>1003.3668508287293</v>
      </c>
      <c r="N1505">
        <v>1042.19</v>
      </c>
      <c r="O1505">
        <v>995.12</v>
      </c>
      <c r="P1505">
        <v>0</v>
      </c>
      <c r="Q1505">
        <f t="shared" si="285"/>
        <v>995.12</v>
      </c>
      <c r="R1505">
        <v>0</v>
      </c>
      <c r="S1505">
        <f t="shared" si="286"/>
        <v>-995.12</v>
      </c>
      <c r="T1505"/>
      <c r="U1505">
        <f t="shared" si="287"/>
        <v>0</v>
      </c>
      <c r="V1505">
        <f t="shared" si="288"/>
        <v>0</v>
      </c>
      <c r="W1505">
        <f t="shared" si="289"/>
        <v>-995.12</v>
      </c>
      <c r="X1505">
        <v>0</v>
      </c>
    </row>
    <row r="1506" spans="1:24" x14ac:dyDescent="0.25">
      <c r="A1506" t="s">
        <v>1965</v>
      </c>
      <c r="B1506" t="s">
        <v>2050</v>
      </c>
      <c r="C1506" t="s">
        <v>2051</v>
      </c>
      <c r="D1506" t="s">
        <v>177</v>
      </c>
      <c r="E1506" t="s">
        <v>28</v>
      </c>
      <c r="F1506" t="s">
        <v>1</v>
      </c>
      <c r="G1506" t="s">
        <v>742</v>
      </c>
      <c r="H1506" t="s">
        <v>428</v>
      </c>
      <c r="I1506" t="s">
        <v>1</v>
      </c>
      <c r="J1506">
        <v>7090.14</v>
      </c>
      <c r="K1506">
        <v>5280</v>
      </c>
      <c r="L1506">
        <v>6953.72</v>
      </c>
      <c r="M1506">
        <v>14022.69502762431</v>
      </c>
      <c r="N1506">
        <v>12813.37</v>
      </c>
      <c r="O1506">
        <v>13907.44</v>
      </c>
      <c r="P1506">
        <v>0</v>
      </c>
      <c r="Q1506">
        <f t="shared" si="285"/>
        <v>13907.44</v>
      </c>
      <c r="R1506">
        <v>0</v>
      </c>
      <c r="S1506">
        <f t="shared" si="286"/>
        <v>-13907.44</v>
      </c>
      <c r="T1506"/>
      <c r="U1506">
        <f t="shared" si="287"/>
        <v>0</v>
      </c>
      <c r="V1506">
        <f t="shared" si="288"/>
        <v>0</v>
      </c>
      <c r="W1506">
        <f t="shared" si="289"/>
        <v>-13907.44</v>
      </c>
      <c r="X1506">
        <v>0</v>
      </c>
    </row>
    <row r="1507" spans="1:24" x14ac:dyDescent="0.25">
      <c r="A1507" t="s">
        <v>1965</v>
      </c>
      <c r="B1507" t="s">
        <v>2050</v>
      </c>
      <c r="C1507" t="s">
        <v>2051</v>
      </c>
      <c r="D1507" t="s">
        <v>177</v>
      </c>
      <c r="E1507" t="s">
        <v>29</v>
      </c>
      <c r="F1507" t="s">
        <v>1</v>
      </c>
      <c r="G1507" t="s">
        <v>742</v>
      </c>
      <c r="H1507" t="s">
        <v>429</v>
      </c>
      <c r="I1507" t="s">
        <v>1</v>
      </c>
      <c r="J1507">
        <v>3033.57</v>
      </c>
      <c r="K1507">
        <v>4190.0000000004002</v>
      </c>
      <c r="L1507">
        <v>4406.62</v>
      </c>
      <c r="M1507">
        <v>8886.2779005524862</v>
      </c>
      <c r="N1507">
        <v>5044.04</v>
      </c>
      <c r="O1507">
        <v>8813.24</v>
      </c>
      <c r="P1507">
        <v>0</v>
      </c>
      <c r="Q1507">
        <f t="shared" si="285"/>
        <v>8813.24</v>
      </c>
      <c r="R1507">
        <v>0</v>
      </c>
      <c r="S1507">
        <f t="shared" si="286"/>
        <v>-8813.24</v>
      </c>
      <c r="T1507"/>
      <c r="U1507">
        <f t="shared" si="287"/>
        <v>0</v>
      </c>
      <c r="V1507">
        <f t="shared" si="288"/>
        <v>0</v>
      </c>
      <c r="W1507">
        <f t="shared" si="289"/>
        <v>-8813.24</v>
      </c>
      <c r="X1507">
        <v>0</v>
      </c>
    </row>
    <row r="1508" spans="1:24" x14ac:dyDescent="0.25">
      <c r="A1508" t="s">
        <v>1965</v>
      </c>
      <c r="B1508" t="s">
        <v>2050</v>
      </c>
      <c r="C1508" t="s">
        <v>2051</v>
      </c>
      <c r="D1508" t="s">
        <v>177</v>
      </c>
      <c r="E1508" t="s">
        <v>31</v>
      </c>
      <c r="F1508" t="s">
        <v>1</v>
      </c>
      <c r="G1508" t="s">
        <v>742</v>
      </c>
      <c r="H1508" t="s">
        <v>431</v>
      </c>
      <c r="I1508" t="s">
        <v>1</v>
      </c>
      <c r="J1508"/>
      <c r="K1508">
        <v>1683.9999999996</v>
      </c>
      <c r="L1508">
        <v>0</v>
      </c>
      <c r="M1508">
        <v>0</v>
      </c>
      <c r="N1508">
        <v>0</v>
      </c>
      <c r="O1508"/>
      <c r="P1508">
        <v>0</v>
      </c>
      <c r="Q1508">
        <f t="shared" si="285"/>
        <v>0</v>
      </c>
      <c r="R1508">
        <v>0</v>
      </c>
      <c r="S1508">
        <f t="shared" si="286"/>
        <v>0</v>
      </c>
      <c r="T1508"/>
      <c r="U1508">
        <f t="shared" si="287"/>
        <v>0</v>
      </c>
      <c r="V1508">
        <f t="shared" si="288"/>
        <v>0</v>
      </c>
      <c r="W1508">
        <f t="shared" si="289"/>
        <v>0</v>
      </c>
      <c r="X1508">
        <v>0</v>
      </c>
    </row>
    <row r="1509" spans="1:24" x14ac:dyDescent="0.25">
      <c r="A1509" t="s">
        <v>1965</v>
      </c>
      <c r="B1509" t="s">
        <v>2050</v>
      </c>
      <c r="C1509" t="s">
        <v>2051</v>
      </c>
      <c r="D1509" t="s">
        <v>177</v>
      </c>
      <c r="E1509" t="s">
        <v>33</v>
      </c>
      <c r="F1509" t="s">
        <v>1</v>
      </c>
      <c r="G1509" t="s">
        <v>742</v>
      </c>
      <c r="H1509" t="s">
        <v>433</v>
      </c>
      <c r="I1509" t="s">
        <v>1</v>
      </c>
      <c r="J1509">
        <v>15559.42</v>
      </c>
      <c r="K1509">
        <v>22862.853981264001</v>
      </c>
      <c r="L1509">
        <v>10486.23</v>
      </c>
      <c r="M1509">
        <v>21146.264917127071</v>
      </c>
      <c r="N1509">
        <v>17561.53</v>
      </c>
      <c r="O1509">
        <v>20972.46</v>
      </c>
      <c r="P1509">
        <v>0</v>
      </c>
      <c r="Q1509">
        <f t="shared" si="285"/>
        <v>20972.46</v>
      </c>
      <c r="R1509">
        <v>0</v>
      </c>
      <c r="S1509">
        <f t="shared" si="286"/>
        <v>-20972.46</v>
      </c>
      <c r="T1509"/>
      <c r="U1509">
        <f t="shared" si="287"/>
        <v>0</v>
      </c>
      <c r="V1509">
        <f t="shared" si="288"/>
        <v>0</v>
      </c>
      <c r="W1509">
        <f t="shared" si="289"/>
        <v>-20972.46</v>
      </c>
      <c r="X1509">
        <v>0</v>
      </c>
    </row>
    <row r="1510" spans="1:24" x14ac:dyDescent="0.25">
      <c r="A1510" t="s">
        <v>1965</v>
      </c>
      <c r="B1510" t="s">
        <v>2050</v>
      </c>
      <c r="C1510" t="s">
        <v>2051</v>
      </c>
      <c r="D1510" t="s">
        <v>177</v>
      </c>
      <c r="E1510" t="s">
        <v>34</v>
      </c>
      <c r="F1510" t="s">
        <v>1</v>
      </c>
      <c r="G1510" t="s">
        <v>742</v>
      </c>
      <c r="H1510" t="s">
        <v>434</v>
      </c>
      <c r="I1510" t="s">
        <v>1</v>
      </c>
      <c r="J1510">
        <v>4230.2700000000004</v>
      </c>
      <c r="K1510">
        <v>1962.4767290843999</v>
      </c>
      <c r="L1510">
        <v>3223.22</v>
      </c>
      <c r="M1510">
        <v>6499.8635359116024</v>
      </c>
      <c r="N1510">
        <v>3223.2200000000003</v>
      </c>
      <c r="O1510">
        <v>6446.44</v>
      </c>
      <c r="P1510">
        <v>0</v>
      </c>
      <c r="Q1510">
        <f t="shared" si="285"/>
        <v>6446.44</v>
      </c>
      <c r="R1510">
        <v>0</v>
      </c>
      <c r="S1510">
        <f t="shared" si="286"/>
        <v>-6446.44</v>
      </c>
      <c r="T1510"/>
      <c r="U1510">
        <f t="shared" si="287"/>
        <v>0</v>
      </c>
      <c r="V1510">
        <f t="shared" si="288"/>
        <v>0</v>
      </c>
      <c r="W1510">
        <f t="shared" si="289"/>
        <v>-6446.44</v>
      </c>
      <c r="X1510">
        <v>0</v>
      </c>
    </row>
    <row r="1511" spans="1:24" x14ac:dyDescent="0.25">
      <c r="A1511" t="s">
        <v>1965</v>
      </c>
      <c r="B1511" t="s">
        <v>2050</v>
      </c>
      <c r="C1511" t="s">
        <v>2051</v>
      </c>
      <c r="D1511" t="s">
        <v>177</v>
      </c>
      <c r="E1511" t="s">
        <v>37</v>
      </c>
      <c r="F1511" t="s">
        <v>1</v>
      </c>
      <c r="G1511" t="s">
        <v>742</v>
      </c>
      <c r="H1511" t="s">
        <v>437</v>
      </c>
      <c r="I1511" t="s">
        <v>1</v>
      </c>
      <c r="J1511">
        <v>5833.42</v>
      </c>
      <c r="K1511">
        <v>9272.7025803840006</v>
      </c>
      <c r="L1511">
        <v>4955.2700000000004</v>
      </c>
      <c r="M1511">
        <v>9992.6715469613264</v>
      </c>
      <c r="N1511">
        <v>9690.52</v>
      </c>
      <c r="O1511">
        <v>9910.5400000000009</v>
      </c>
      <c r="P1511">
        <v>0</v>
      </c>
      <c r="Q1511">
        <f t="shared" si="285"/>
        <v>9910.5400000000009</v>
      </c>
      <c r="R1511">
        <v>0</v>
      </c>
      <c r="S1511">
        <f t="shared" si="286"/>
        <v>-9910.5400000000009</v>
      </c>
      <c r="T1511"/>
      <c r="U1511">
        <f t="shared" si="287"/>
        <v>0</v>
      </c>
      <c r="V1511">
        <f t="shared" si="288"/>
        <v>0</v>
      </c>
      <c r="W1511">
        <f t="shared" si="289"/>
        <v>-9910.5400000000009</v>
      </c>
      <c r="X1511">
        <v>0</v>
      </c>
    </row>
    <row r="1512" spans="1:24" x14ac:dyDescent="0.25">
      <c r="A1512" t="s">
        <v>1965</v>
      </c>
      <c r="B1512" t="s">
        <v>2050</v>
      </c>
      <c r="C1512" t="s">
        <v>2051</v>
      </c>
      <c r="D1512" t="s">
        <v>177</v>
      </c>
      <c r="E1512" t="s">
        <v>42</v>
      </c>
      <c r="F1512" t="s">
        <v>1</v>
      </c>
      <c r="G1512" t="s">
        <v>742</v>
      </c>
      <c r="H1512" t="s">
        <v>442</v>
      </c>
      <c r="I1512" t="s">
        <v>1</v>
      </c>
      <c r="J1512">
        <v>49715.76</v>
      </c>
      <c r="K1512">
        <v>50223</v>
      </c>
      <c r="L1512">
        <v>24955.01</v>
      </c>
      <c r="M1512">
        <v>50323.638950276239</v>
      </c>
      <c r="N1512">
        <v>49559.389999999992</v>
      </c>
      <c r="O1512">
        <v>49910.02</v>
      </c>
      <c r="P1512">
        <v>0</v>
      </c>
      <c r="Q1512">
        <f t="shared" si="285"/>
        <v>49910.02</v>
      </c>
      <c r="R1512">
        <v>0</v>
      </c>
      <c r="S1512">
        <f t="shared" si="286"/>
        <v>-49910.02</v>
      </c>
      <c r="T1512">
        <v>0.03</v>
      </c>
      <c r="U1512">
        <f t="shared" si="287"/>
        <v>0</v>
      </c>
      <c r="V1512">
        <f t="shared" si="288"/>
        <v>0</v>
      </c>
      <c r="W1512">
        <f t="shared" si="289"/>
        <v>-49910.02</v>
      </c>
      <c r="X1512">
        <v>0</v>
      </c>
    </row>
    <row r="1513" spans="1:24" x14ac:dyDescent="0.25">
      <c r="A1513" t="s">
        <v>1965</v>
      </c>
      <c r="B1513" t="s">
        <v>2050</v>
      </c>
      <c r="C1513" t="s">
        <v>2051</v>
      </c>
      <c r="D1513" t="s">
        <v>177</v>
      </c>
      <c r="E1513" t="s">
        <v>46</v>
      </c>
      <c r="F1513" t="s">
        <v>1</v>
      </c>
      <c r="G1513" t="s">
        <v>742</v>
      </c>
      <c r="H1513" t="s">
        <v>446</v>
      </c>
      <c r="I1513" t="s">
        <v>1</v>
      </c>
      <c r="J1513">
        <v>50212.78</v>
      </c>
      <c r="K1513">
        <v>59700</v>
      </c>
      <c r="L1513">
        <v>29302.02</v>
      </c>
      <c r="M1513">
        <v>59089.708839779014</v>
      </c>
      <c r="N1513">
        <v>57405.279999999984</v>
      </c>
      <c r="O1513">
        <v>58604.04</v>
      </c>
      <c r="P1513">
        <v>0</v>
      </c>
      <c r="Q1513">
        <f t="shared" si="285"/>
        <v>58604.04</v>
      </c>
      <c r="R1513">
        <v>0</v>
      </c>
      <c r="S1513">
        <f t="shared" si="286"/>
        <v>-58604.04</v>
      </c>
      <c r="T1513">
        <v>0.03</v>
      </c>
      <c r="U1513">
        <f t="shared" si="287"/>
        <v>0</v>
      </c>
      <c r="V1513">
        <f t="shared" si="288"/>
        <v>0</v>
      </c>
      <c r="W1513">
        <f t="shared" si="289"/>
        <v>-58604.04</v>
      </c>
      <c r="X1513">
        <v>0</v>
      </c>
    </row>
    <row r="1514" spans="1:24" x14ac:dyDescent="0.25">
      <c r="A1514" t="s">
        <v>1965</v>
      </c>
      <c r="B1514" t="s">
        <v>2050</v>
      </c>
      <c r="C1514" t="s">
        <v>2051</v>
      </c>
      <c r="D1514" t="s">
        <v>177</v>
      </c>
      <c r="E1514" t="s">
        <v>48</v>
      </c>
      <c r="F1514" t="s">
        <v>1</v>
      </c>
      <c r="G1514" t="s">
        <v>742</v>
      </c>
      <c r="H1514" t="s">
        <v>448</v>
      </c>
      <c r="I1514" t="s">
        <v>1</v>
      </c>
      <c r="J1514">
        <v>507.82</v>
      </c>
      <c r="K1514">
        <v>678</v>
      </c>
      <c r="L1514">
        <v>224.86</v>
      </c>
      <c r="M1514">
        <v>453.44696132596692</v>
      </c>
      <c r="N1514">
        <v>441.92999999999995</v>
      </c>
      <c r="O1514">
        <v>449.72</v>
      </c>
      <c r="P1514">
        <v>0</v>
      </c>
      <c r="Q1514">
        <f t="shared" si="285"/>
        <v>449.72</v>
      </c>
      <c r="R1514">
        <v>0</v>
      </c>
      <c r="S1514">
        <f t="shared" si="286"/>
        <v>-449.72</v>
      </c>
      <c r="T1514">
        <v>0.03</v>
      </c>
      <c r="U1514">
        <f t="shared" si="287"/>
        <v>0</v>
      </c>
      <c r="V1514">
        <f t="shared" si="288"/>
        <v>0</v>
      </c>
      <c r="W1514">
        <f t="shared" si="289"/>
        <v>-449.72</v>
      </c>
      <c r="X1514">
        <v>0</v>
      </c>
    </row>
    <row r="1515" spans="1:24" x14ac:dyDescent="0.25">
      <c r="A1515" t="s">
        <v>1965</v>
      </c>
      <c r="B1515" t="s">
        <v>2050</v>
      </c>
      <c r="C1515" t="s">
        <v>2051</v>
      </c>
      <c r="D1515" t="s">
        <v>177</v>
      </c>
      <c r="E1515" t="s">
        <v>179</v>
      </c>
      <c r="F1515" t="s">
        <v>1</v>
      </c>
      <c r="G1515" t="s">
        <v>742</v>
      </c>
      <c r="H1515" t="s">
        <v>744</v>
      </c>
      <c r="I1515" t="s">
        <v>1</v>
      </c>
      <c r="J1515"/>
      <c r="K1515"/>
      <c r="L1515">
        <v>700</v>
      </c>
      <c r="M1515">
        <v>1411.6022099447514</v>
      </c>
      <c r="N1515">
        <v>700</v>
      </c>
      <c r="O1515">
        <v>1400</v>
      </c>
      <c r="P1515">
        <v>0</v>
      </c>
      <c r="Q1515">
        <f t="shared" si="285"/>
        <v>1400</v>
      </c>
      <c r="R1515">
        <v>0</v>
      </c>
      <c r="S1515">
        <f t="shared" si="286"/>
        <v>-1400</v>
      </c>
      <c r="T1515">
        <v>0.03</v>
      </c>
      <c r="U1515">
        <f t="shared" si="287"/>
        <v>0</v>
      </c>
      <c r="V1515">
        <f t="shared" si="288"/>
        <v>0</v>
      </c>
      <c r="W1515">
        <f t="shared" si="289"/>
        <v>-1400</v>
      </c>
      <c r="X1515">
        <v>0</v>
      </c>
    </row>
    <row r="1516" spans="1:24" x14ac:dyDescent="0.25">
      <c r="A1516" t="s">
        <v>1965</v>
      </c>
      <c r="B1516" t="s">
        <v>2050</v>
      </c>
      <c r="C1516" t="s">
        <v>2051</v>
      </c>
      <c r="D1516" t="s">
        <v>177</v>
      </c>
      <c r="E1516" t="s">
        <v>50</v>
      </c>
      <c r="F1516" t="s">
        <v>1</v>
      </c>
      <c r="G1516" t="s">
        <v>742</v>
      </c>
      <c r="H1516" t="s">
        <v>450</v>
      </c>
      <c r="I1516" t="s">
        <v>1</v>
      </c>
      <c r="J1516">
        <v>721.01</v>
      </c>
      <c r="K1516">
        <v>570</v>
      </c>
      <c r="L1516">
        <v>459.75</v>
      </c>
      <c r="M1516">
        <v>927.1201657458563</v>
      </c>
      <c r="N1516">
        <v>944.68999999999994</v>
      </c>
      <c r="O1516">
        <v>927.12016574589995</v>
      </c>
      <c r="P1516">
        <v>0</v>
      </c>
      <c r="Q1516">
        <f t="shared" si="285"/>
        <v>927.12016574589995</v>
      </c>
      <c r="R1516">
        <v>0</v>
      </c>
      <c r="S1516">
        <f t="shared" si="286"/>
        <v>-927.12016574589995</v>
      </c>
      <c r="T1516"/>
      <c r="U1516">
        <f t="shared" si="287"/>
        <v>0</v>
      </c>
      <c r="V1516">
        <f t="shared" si="288"/>
        <v>0</v>
      </c>
      <c r="W1516">
        <f t="shared" si="289"/>
        <v>-927.12016574589995</v>
      </c>
      <c r="X1516">
        <v>0</v>
      </c>
    </row>
    <row r="1517" spans="1:24" x14ac:dyDescent="0.25">
      <c r="A1517" t="s">
        <v>1965</v>
      </c>
      <c r="B1517" t="s">
        <v>2050</v>
      </c>
      <c r="C1517" t="s">
        <v>2051</v>
      </c>
      <c r="D1517" t="s">
        <v>177</v>
      </c>
      <c r="E1517" t="s">
        <v>51</v>
      </c>
      <c r="F1517" t="s">
        <v>51</v>
      </c>
      <c r="G1517" t="s">
        <v>745</v>
      </c>
      <c r="H1517"/>
      <c r="I1517"/>
      <c r="J1517">
        <v>204353.35000000003</v>
      </c>
      <c r="K1517">
        <v>214537.4365930745</v>
      </c>
      <c r="L1517">
        <v>103700.25</v>
      </c>
      <c r="M1517">
        <v>209119.28867403313</v>
      </c>
      <c r="N1517">
        <v>218140.06</v>
      </c>
      <c r="O1517">
        <v>207416.4049911967</v>
      </c>
      <c r="P1517">
        <f>SUMIF($F$1493:$F$1516,"&lt;&gt;EV_*",$P$1493:$P$1516)</f>
        <v>0</v>
      </c>
      <c r="Q1517">
        <f>SUMIF($F$1493:$F$1516,"&lt;&gt;EV_*",$Q$1493:$Q$1516)</f>
        <v>207416.4049911967</v>
      </c>
      <c r="R1517">
        <f>SUMIF($F$1493:$F$1516,"&lt;&gt;EV_*",$R$1493:$R$1516)</f>
        <v>0</v>
      </c>
      <c r="S1517">
        <f>SUMIF($F$1493:$F$1516,"&lt;&gt;EV_*",$S$1493:$S$1516)</f>
        <v>-207416.4049911967</v>
      </c>
      <c r="T1517">
        <v>0</v>
      </c>
      <c r="U1517">
        <f>SUMIF($F$1493:$F$1516,"&lt;&gt;EV_*",$U$1493:$U$1516)</f>
        <v>0</v>
      </c>
      <c r="V1517">
        <f>SUMIF($F$1493:$F$1516,"&lt;&gt;EV_*",$V$1493:$V$1516)</f>
        <v>0</v>
      </c>
      <c r="W1517">
        <f>SUMIF($F$1493:$F$1516,"&lt;&gt;EV_*",$W$1493:$W$1516)</f>
        <v>-207416.4049911967</v>
      </c>
      <c r="X1517">
        <f>SUMIF($F$1493:$F$1516,"&lt;&gt;EV_*",$X$1493:$X$1516)</f>
        <v>0</v>
      </c>
    </row>
    <row r="1518" spans="1:24" x14ac:dyDescent="0.25">
      <c r="A1518" t="s">
        <v>1965</v>
      </c>
      <c r="B1518" t="s">
        <v>2052</v>
      </c>
      <c r="C1518" t="s">
        <v>2053</v>
      </c>
      <c r="D1518" t="s">
        <v>180</v>
      </c>
      <c r="E1518" t="s">
        <v>5</v>
      </c>
      <c r="F1518" t="s">
        <v>5</v>
      </c>
      <c r="G1518" t="s">
        <v>746</v>
      </c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</row>
    <row r="1519" spans="1:24" x14ac:dyDescent="0.25">
      <c r="A1519" t="s">
        <v>1965</v>
      </c>
      <c r="B1519" t="s">
        <v>2052</v>
      </c>
      <c r="C1519" t="s">
        <v>2053</v>
      </c>
      <c r="D1519" t="s">
        <v>180</v>
      </c>
      <c r="E1519" t="s">
        <v>23</v>
      </c>
      <c r="F1519" t="s">
        <v>1</v>
      </c>
      <c r="G1519" t="s">
        <v>747</v>
      </c>
      <c r="H1519" t="s">
        <v>423</v>
      </c>
      <c r="I1519" t="s">
        <v>1</v>
      </c>
      <c r="J1519">
        <v>475.78</v>
      </c>
      <c r="K1519">
        <v>983.25</v>
      </c>
      <c r="L1519">
        <v>0</v>
      </c>
      <c r="M1519">
        <v>0</v>
      </c>
      <c r="N1519">
        <v>0</v>
      </c>
      <c r="O1519"/>
      <c r="P1519">
        <v>0</v>
      </c>
      <c r="Q1519">
        <f t="shared" ref="Q1519:Q1529" si="290">O1519+P1519</f>
        <v>0</v>
      </c>
      <c r="R1519">
        <v>0</v>
      </c>
      <c r="S1519">
        <f t="shared" ref="S1519:S1529" si="291">IF(OR(LEFT(E1519,2)="A_",LEFT(D1519,5)="Total"),R1519-Q1519,"")</f>
        <v>0</v>
      </c>
      <c r="T1519">
        <v>3.5000000000000003E-2</v>
      </c>
      <c r="U1519">
        <f t="shared" ref="U1519:U1529" si="292">IFERROR(R1519*T1519,R1519*0)</f>
        <v>0</v>
      </c>
      <c r="V1519">
        <f t="shared" ref="V1519:V1529" si="293">IF(OR(LEFT(E1519,2)="A_",LEFT(D1519,5)="Total"),R1519+U1519,"")</f>
        <v>0</v>
      </c>
      <c r="W1519">
        <f t="shared" ref="W1519:W1529" si="294">IF(OR(LEFT(E1519,2)="A_",LEFT(D1519,5)="Total"),V1519-Q1519,"")</f>
        <v>0</v>
      </c>
      <c r="X1519">
        <v>0</v>
      </c>
    </row>
    <row r="1520" spans="1:24" x14ac:dyDescent="0.25">
      <c r="A1520" t="s">
        <v>1965</v>
      </c>
      <c r="B1520" t="s">
        <v>2052</v>
      </c>
      <c r="C1520" t="s">
        <v>2053</v>
      </c>
      <c r="D1520" t="s">
        <v>180</v>
      </c>
      <c r="E1520" t="s">
        <v>24</v>
      </c>
      <c r="F1520" t="s">
        <v>1</v>
      </c>
      <c r="G1520" t="s">
        <v>747</v>
      </c>
      <c r="H1520" t="s">
        <v>424</v>
      </c>
      <c r="I1520" t="s">
        <v>1</v>
      </c>
      <c r="J1520">
        <v>1200</v>
      </c>
      <c r="K1520">
        <v>1761.9999999996</v>
      </c>
      <c r="L1520">
        <v>881</v>
      </c>
      <c r="M1520">
        <v>1776.6022099447514</v>
      </c>
      <c r="N1520">
        <v>1181</v>
      </c>
      <c r="O1520">
        <v>1762</v>
      </c>
      <c r="P1520">
        <v>0</v>
      </c>
      <c r="Q1520">
        <f t="shared" si="290"/>
        <v>1762</v>
      </c>
      <c r="R1520">
        <v>1762</v>
      </c>
      <c r="S1520">
        <f t="shared" si="291"/>
        <v>0</v>
      </c>
      <c r="T1520"/>
      <c r="U1520">
        <f t="shared" si="292"/>
        <v>0</v>
      </c>
      <c r="V1520">
        <f t="shared" si="293"/>
        <v>1762</v>
      </c>
      <c r="W1520">
        <f t="shared" si="294"/>
        <v>0</v>
      </c>
      <c r="X1520">
        <v>0</v>
      </c>
    </row>
    <row r="1521" spans="1:24" x14ac:dyDescent="0.25">
      <c r="A1521" t="s">
        <v>1965</v>
      </c>
      <c r="B1521" t="s">
        <v>2052</v>
      </c>
      <c r="C1521" t="s">
        <v>2053</v>
      </c>
      <c r="D1521" t="s">
        <v>180</v>
      </c>
      <c r="E1521" t="s">
        <v>25</v>
      </c>
      <c r="F1521" t="s">
        <v>1</v>
      </c>
      <c r="G1521" t="s">
        <v>747</v>
      </c>
      <c r="H1521" t="s">
        <v>425</v>
      </c>
      <c r="I1521" t="s">
        <v>1</v>
      </c>
      <c r="J1521">
        <v>470743.26</v>
      </c>
      <c r="K1521">
        <v>491980</v>
      </c>
      <c r="L1521">
        <v>228343.12</v>
      </c>
      <c r="M1521">
        <v>460470.93259668507</v>
      </c>
      <c r="N1521">
        <v>467601.62</v>
      </c>
      <c r="O1521">
        <v>456686.24</v>
      </c>
      <c r="P1521">
        <v>0</v>
      </c>
      <c r="Q1521">
        <f t="shared" si="290"/>
        <v>456686.24</v>
      </c>
      <c r="R1521">
        <v>456686.24</v>
      </c>
      <c r="S1521">
        <f t="shared" si="291"/>
        <v>0</v>
      </c>
      <c r="T1521"/>
      <c r="U1521">
        <f t="shared" si="292"/>
        <v>0</v>
      </c>
      <c r="V1521">
        <f t="shared" si="293"/>
        <v>456686.24</v>
      </c>
      <c r="W1521">
        <f t="shared" si="294"/>
        <v>0</v>
      </c>
      <c r="X1521">
        <v>0</v>
      </c>
    </row>
    <row r="1522" spans="1:24" x14ac:dyDescent="0.25">
      <c r="A1522" t="s">
        <v>1965</v>
      </c>
      <c r="B1522" t="s">
        <v>2052</v>
      </c>
      <c r="C1522" t="s">
        <v>2053</v>
      </c>
      <c r="D1522" t="s">
        <v>180</v>
      </c>
      <c r="E1522" t="s">
        <v>26</v>
      </c>
      <c r="F1522" t="s">
        <v>1</v>
      </c>
      <c r="G1522" t="s">
        <v>747</v>
      </c>
      <c r="H1522" t="s">
        <v>426</v>
      </c>
      <c r="I1522" t="s">
        <v>1</v>
      </c>
      <c r="J1522">
        <v>5262.1</v>
      </c>
      <c r="K1522">
        <v>4072.1392284228</v>
      </c>
      <c r="L1522">
        <v>370</v>
      </c>
      <c r="M1522">
        <v>746.13259668508283</v>
      </c>
      <c r="N1522">
        <v>3278.46</v>
      </c>
      <c r="O1522">
        <v>740</v>
      </c>
      <c r="P1522">
        <v>0</v>
      </c>
      <c r="Q1522">
        <f t="shared" si="290"/>
        <v>740</v>
      </c>
      <c r="R1522">
        <v>1800</v>
      </c>
      <c r="S1522">
        <f t="shared" si="291"/>
        <v>1060</v>
      </c>
      <c r="T1522"/>
      <c r="U1522">
        <f t="shared" si="292"/>
        <v>0</v>
      </c>
      <c r="V1522">
        <f t="shared" si="293"/>
        <v>1800</v>
      </c>
      <c r="W1522">
        <f t="shared" si="294"/>
        <v>1060</v>
      </c>
      <c r="X1522">
        <v>0</v>
      </c>
    </row>
    <row r="1523" spans="1:24" x14ac:dyDescent="0.25">
      <c r="A1523" t="s">
        <v>1965</v>
      </c>
      <c r="B1523" t="s">
        <v>2052</v>
      </c>
      <c r="C1523" t="s">
        <v>2053</v>
      </c>
      <c r="D1523" t="s">
        <v>180</v>
      </c>
      <c r="E1523" t="s">
        <v>27</v>
      </c>
      <c r="F1523" t="s">
        <v>1</v>
      </c>
      <c r="G1523" t="s">
        <v>747</v>
      </c>
      <c r="H1523" t="s">
        <v>427</v>
      </c>
      <c r="I1523" t="s">
        <v>1</v>
      </c>
      <c r="J1523"/>
      <c r="K1523"/>
      <c r="L1523">
        <v>10000</v>
      </c>
      <c r="M1523">
        <v>20165.745856353591</v>
      </c>
      <c r="N1523">
        <v>10000</v>
      </c>
      <c r="O1523">
        <v>20000</v>
      </c>
      <c r="P1523">
        <v>0</v>
      </c>
      <c r="Q1523">
        <f t="shared" si="290"/>
        <v>20000</v>
      </c>
      <c r="R1523">
        <v>0</v>
      </c>
      <c r="S1523">
        <f t="shared" si="291"/>
        <v>-20000</v>
      </c>
      <c r="T1523"/>
      <c r="U1523">
        <f t="shared" si="292"/>
        <v>0</v>
      </c>
      <c r="V1523">
        <f t="shared" si="293"/>
        <v>0</v>
      </c>
      <c r="W1523">
        <f t="shared" si="294"/>
        <v>-20000</v>
      </c>
      <c r="X1523" t="s">
        <v>1506</v>
      </c>
    </row>
    <row r="1524" spans="1:24" x14ac:dyDescent="0.25">
      <c r="A1524" t="s">
        <v>1965</v>
      </c>
      <c r="B1524" t="s">
        <v>2052</v>
      </c>
      <c r="C1524" t="s">
        <v>2053</v>
      </c>
      <c r="D1524" t="s">
        <v>180</v>
      </c>
      <c r="E1524" t="s">
        <v>29</v>
      </c>
      <c r="F1524" t="s">
        <v>1</v>
      </c>
      <c r="G1524" t="s">
        <v>747</v>
      </c>
      <c r="H1524" t="s">
        <v>429</v>
      </c>
      <c r="I1524" t="s">
        <v>1</v>
      </c>
      <c r="J1524">
        <v>250</v>
      </c>
      <c r="K1524"/>
      <c r="L1524">
        <v>0</v>
      </c>
      <c r="M1524">
        <v>0</v>
      </c>
      <c r="N1524">
        <v>250</v>
      </c>
      <c r="O1524"/>
      <c r="P1524">
        <v>0</v>
      </c>
      <c r="Q1524">
        <f t="shared" si="290"/>
        <v>0</v>
      </c>
      <c r="R1524">
        <v>0</v>
      </c>
      <c r="S1524">
        <f t="shared" si="291"/>
        <v>0</v>
      </c>
      <c r="T1524"/>
      <c r="U1524">
        <f t="shared" si="292"/>
        <v>0</v>
      </c>
      <c r="V1524">
        <f t="shared" si="293"/>
        <v>0</v>
      </c>
      <c r="W1524">
        <f t="shared" si="294"/>
        <v>0</v>
      </c>
      <c r="X1524">
        <v>0</v>
      </c>
    </row>
    <row r="1525" spans="1:24" x14ac:dyDescent="0.25">
      <c r="A1525" t="s">
        <v>1965</v>
      </c>
      <c r="B1525" t="s">
        <v>2052</v>
      </c>
      <c r="C1525" t="s">
        <v>2053</v>
      </c>
      <c r="D1525" t="s">
        <v>180</v>
      </c>
      <c r="E1525" t="s">
        <v>34</v>
      </c>
      <c r="F1525" t="s">
        <v>1</v>
      </c>
      <c r="G1525" t="s">
        <v>747</v>
      </c>
      <c r="H1525" t="s">
        <v>434</v>
      </c>
      <c r="I1525" t="s">
        <v>1</v>
      </c>
      <c r="J1525">
        <v>1428.81</v>
      </c>
      <c r="K1525">
        <v>883.1145314652</v>
      </c>
      <c r="L1525">
        <v>0</v>
      </c>
      <c r="M1525">
        <v>0</v>
      </c>
      <c r="N1525">
        <v>735.16</v>
      </c>
      <c r="O1525"/>
      <c r="P1525">
        <v>0</v>
      </c>
      <c r="Q1525">
        <f t="shared" si="290"/>
        <v>0</v>
      </c>
      <c r="R1525">
        <v>0</v>
      </c>
      <c r="S1525">
        <f t="shared" si="291"/>
        <v>0</v>
      </c>
      <c r="T1525"/>
      <c r="U1525">
        <f t="shared" si="292"/>
        <v>0</v>
      </c>
      <c r="V1525">
        <f t="shared" si="293"/>
        <v>0</v>
      </c>
      <c r="W1525">
        <f t="shared" si="294"/>
        <v>0</v>
      </c>
      <c r="X1525">
        <v>0</v>
      </c>
    </row>
    <row r="1526" spans="1:24" x14ac:dyDescent="0.25">
      <c r="A1526" t="s">
        <v>1965</v>
      </c>
      <c r="B1526" t="s">
        <v>2052</v>
      </c>
      <c r="C1526" t="s">
        <v>2053</v>
      </c>
      <c r="D1526" t="s">
        <v>180</v>
      </c>
      <c r="E1526" t="s">
        <v>37</v>
      </c>
      <c r="F1526" t="s">
        <v>1</v>
      </c>
      <c r="G1526" t="s">
        <v>747</v>
      </c>
      <c r="H1526" t="s">
        <v>437</v>
      </c>
      <c r="I1526" t="s">
        <v>1</v>
      </c>
      <c r="J1526">
        <v>951.23</v>
      </c>
      <c r="K1526"/>
      <c r="L1526">
        <v>101.58</v>
      </c>
      <c r="M1526">
        <v>204.84364640883976</v>
      </c>
      <c r="N1526">
        <v>613.43000000000006</v>
      </c>
      <c r="O1526">
        <v>203.16</v>
      </c>
      <c r="P1526">
        <v>0</v>
      </c>
      <c r="Q1526">
        <f t="shared" si="290"/>
        <v>203.16</v>
      </c>
      <c r="R1526">
        <v>400</v>
      </c>
      <c r="S1526">
        <f t="shared" si="291"/>
        <v>196.84</v>
      </c>
      <c r="T1526"/>
      <c r="U1526">
        <f t="shared" si="292"/>
        <v>0</v>
      </c>
      <c r="V1526">
        <f t="shared" si="293"/>
        <v>400</v>
      </c>
      <c r="W1526">
        <f t="shared" si="294"/>
        <v>196.84</v>
      </c>
      <c r="X1526">
        <v>0</v>
      </c>
    </row>
    <row r="1527" spans="1:24" x14ac:dyDescent="0.25">
      <c r="A1527" t="s">
        <v>1965</v>
      </c>
      <c r="B1527" t="s">
        <v>2052</v>
      </c>
      <c r="C1527" t="s">
        <v>2053</v>
      </c>
      <c r="D1527" t="s">
        <v>180</v>
      </c>
      <c r="E1527" t="s">
        <v>42</v>
      </c>
      <c r="F1527" t="s">
        <v>1</v>
      </c>
      <c r="G1527" t="s">
        <v>747</v>
      </c>
      <c r="H1527" t="s">
        <v>442</v>
      </c>
      <c r="I1527" t="s">
        <v>1</v>
      </c>
      <c r="J1527">
        <v>4768.2</v>
      </c>
      <c r="K1527">
        <v>4767.9999999995998</v>
      </c>
      <c r="L1527">
        <v>0</v>
      </c>
      <c r="M1527">
        <v>0</v>
      </c>
      <c r="N1527">
        <v>4768.2</v>
      </c>
      <c r="O1527"/>
      <c r="P1527">
        <v>0</v>
      </c>
      <c r="Q1527">
        <f t="shared" si="290"/>
        <v>0</v>
      </c>
      <c r="R1527">
        <v>2800</v>
      </c>
      <c r="S1527">
        <f t="shared" si="291"/>
        <v>2800</v>
      </c>
      <c r="T1527">
        <v>0.03</v>
      </c>
      <c r="U1527">
        <f t="shared" si="292"/>
        <v>84</v>
      </c>
      <c r="V1527">
        <f t="shared" si="293"/>
        <v>2884</v>
      </c>
      <c r="W1527">
        <f t="shared" si="294"/>
        <v>2884</v>
      </c>
      <c r="X1527">
        <v>0</v>
      </c>
    </row>
    <row r="1528" spans="1:24" x14ac:dyDescent="0.25">
      <c r="A1528" t="s">
        <v>1965</v>
      </c>
      <c r="B1528" t="s">
        <v>2052</v>
      </c>
      <c r="C1528" t="s">
        <v>2053</v>
      </c>
      <c r="D1528" t="s">
        <v>180</v>
      </c>
      <c r="E1528" t="s">
        <v>46</v>
      </c>
      <c r="F1528" t="s">
        <v>1</v>
      </c>
      <c r="G1528" t="s">
        <v>747</v>
      </c>
      <c r="H1528" t="s">
        <v>446</v>
      </c>
      <c r="I1528" t="s">
        <v>1</v>
      </c>
      <c r="J1528">
        <v>1660.23</v>
      </c>
      <c r="K1528"/>
      <c r="L1528">
        <v>0</v>
      </c>
      <c r="M1528">
        <v>0</v>
      </c>
      <c r="N1528">
        <v>-12996.59</v>
      </c>
      <c r="O1528"/>
      <c r="P1528">
        <v>0</v>
      </c>
      <c r="Q1528">
        <f t="shared" si="290"/>
        <v>0</v>
      </c>
      <c r="R1528">
        <v>0</v>
      </c>
      <c r="S1528">
        <f t="shared" si="291"/>
        <v>0</v>
      </c>
      <c r="T1528">
        <v>0.03</v>
      </c>
      <c r="U1528">
        <f t="shared" si="292"/>
        <v>0</v>
      </c>
      <c r="V1528">
        <f t="shared" si="293"/>
        <v>0</v>
      </c>
      <c r="W1528">
        <f t="shared" si="294"/>
        <v>0</v>
      </c>
      <c r="X1528">
        <v>0</v>
      </c>
    </row>
    <row r="1529" spans="1:24" x14ac:dyDescent="0.25">
      <c r="A1529" t="s">
        <v>1965</v>
      </c>
      <c r="B1529" t="s">
        <v>2052</v>
      </c>
      <c r="C1529" t="s">
        <v>2053</v>
      </c>
      <c r="D1529" t="s">
        <v>180</v>
      </c>
      <c r="E1529" t="s">
        <v>50</v>
      </c>
      <c r="F1529" t="s">
        <v>1</v>
      </c>
      <c r="G1529" t="s">
        <v>747</v>
      </c>
      <c r="H1529" t="s">
        <v>450</v>
      </c>
      <c r="I1529" t="s">
        <v>1</v>
      </c>
      <c r="J1529">
        <v>1865.26</v>
      </c>
      <c r="K1529">
        <v>2520</v>
      </c>
      <c r="L1529">
        <v>279.94</v>
      </c>
      <c r="M1529">
        <v>564.51988950276245</v>
      </c>
      <c r="N1529">
        <v>557.38</v>
      </c>
      <c r="O1529">
        <v>564.51988950279997</v>
      </c>
      <c r="P1529">
        <v>0</v>
      </c>
      <c r="Q1529">
        <f t="shared" si="290"/>
        <v>564.51988950279997</v>
      </c>
      <c r="R1529">
        <v>564.51988950279997</v>
      </c>
      <c r="S1529">
        <f t="shared" si="291"/>
        <v>0</v>
      </c>
      <c r="T1529"/>
      <c r="U1529">
        <f t="shared" si="292"/>
        <v>0</v>
      </c>
      <c r="V1529">
        <f t="shared" si="293"/>
        <v>564.51988950279997</v>
      </c>
      <c r="W1529">
        <f t="shared" si="294"/>
        <v>0</v>
      </c>
      <c r="X1529">
        <v>0</v>
      </c>
    </row>
    <row r="1530" spans="1:24" x14ac:dyDescent="0.25">
      <c r="A1530" t="s">
        <v>1965</v>
      </c>
      <c r="B1530" t="s">
        <v>2052</v>
      </c>
      <c r="C1530" t="s">
        <v>2053</v>
      </c>
      <c r="D1530" t="s">
        <v>180</v>
      </c>
      <c r="E1530" t="s">
        <v>51</v>
      </c>
      <c r="F1530" t="s">
        <v>51</v>
      </c>
      <c r="G1530" t="s">
        <v>748</v>
      </c>
      <c r="H1530"/>
      <c r="I1530"/>
      <c r="J1530">
        <v>488604.87</v>
      </c>
      <c r="K1530">
        <v>506968.50375988719</v>
      </c>
      <c r="L1530">
        <v>239975.63999999998</v>
      </c>
      <c r="M1530">
        <v>483928.77679558011</v>
      </c>
      <c r="N1530">
        <v>475988.66</v>
      </c>
      <c r="O1530">
        <v>479955.91988950275</v>
      </c>
      <c r="P1530">
        <f>SUMIF($F$1518:$F$1529,"&lt;&gt;EV_*",$P$1518:$P$1529)</f>
        <v>0</v>
      </c>
      <c r="Q1530">
        <f>SUMIF($F$1518:$F$1529,"&lt;&gt;EV_*",$Q$1518:$Q$1529)</f>
        <v>479955.91988950275</v>
      </c>
      <c r="R1530">
        <f>SUMIF($F$1518:$F$1529,"&lt;&gt;EV_*",$R$1518:$R$1529)</f>
        <v>464012.75988950278</v>
      </c>
      <c r="S1530">
        <f>SUMIF($F$1518:$F$1529,"&lt;&gt;EV_*",$S$1518:$S$1529)</f>
        <v>-15943.16</v>
      </c>
      <c r="T1530">
        <v>0</v>
      </c>
      <c r="U1530">
        <f>SUMIF($F$1518:$F$1529,"&lt;&gt;EV_*",$U$1518:$U$1529)</f>
        <v>84</v>
      </c>
      <c r="V1530">
        <f>SUMIF($F$1518:$F$1529,"&lt;&gt;EV_*",$V$1518:$V$1529)</f>
        <v>464096.75988950278</v>
      </c>
      <c r="W1530">
        <f>SUMIF($F$1518:$F$1529,"&lt;&gt;EV_*",$W$1518:$W$1529)</f>
        <v>-15859.16</v>
      </c>
      <c r="X1530">
        <f>SUMIF($F$1518:$F$1529,"&lt;&gt;EV_*",$X$1518:$X$1529)</f>
        <v>0</v>
      </c>
    </row>
    <row r="1531" spans="1:24" x14ac:dyDescent="0.25">
      <c r="A1531" t="s">
        <v>1968</v>
      </c>
      <c r="B1531" t="s">
        <v>1968</v>
      </c>
      <c r="C1531" t="s">
        <v>2054</v>
      </c>
      <c r="D1531" t="s">
        <v>181</v>
      </c>
      <c r="E1531" t="s">
        <v>5</v>
      </c>
      <c r="F1531" t="s">
        <v>5</v>
      </c>
      <c r="G1531" t="s">
        <v>749</v>
      </c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</row>
    <row r="1532" spans="1:24" x14ac:dyDescent="0.25">
      <c r="A1532" t="s">
        <v>1968</v>
      </c>
      <c r="B1532" t="s">
        <v>1968</v>
      </c>
      <c r="C1532" t="s">
        <v>2054</v>
      </c>
      <c r="D1532" t="s">
        <v>181</v>
      </c>
      <c r="E1532" t="s">
        <v>17</v>
      </c>
      <c r="F1532" t="s">
        <v>1</v>
      </c>
      <c r="G1532" t="s">
        <v>750</v>
      </c>
      <c r="H1532" t="s">
        <v>417</v>
      </c>
      <c r="I1532" t="s">
        <v>1</v>
      </c>
      <c r="J1532"/>
      <c r="K1532">
        <v>-20.000000000099998</v>
      </c>
      <c r="L1532">
        <v>0</v>
      </c>
      <c r="M1532">
        <v>0</v>
      </c>
      <c r="N1532">
        <v>0</v>
      </c>
      <c r="O1532"/>
      <c r="P1532">
        <v>0</v>
      </c>
      <c r="Q1532">
        <f>O1532+P1532</f>
        <v>0</v>
      </c>
      <c r="R1532">
        <v>0</v>
      </c>
      <c r="S1532">
        <f>IF(OR(LEFT(E1532,2)="A_",LEFT(D1532,5)="Total"),R1532-Q1532,"")</f>
        <v>0</v>
      </c>
      <c r="T1532"/>
      <c r="U1532">
        <f>IFERROR(R1532*T1532,R1532*0)</f>
        <v>0</v>
      </c>
      <c r="V1532">
        <f>IF(OR(LEFT(E1532,2)="A_",LEFT(D1532,5)="Total"),R1532+U1532,"")</f>
        <v>0</v>
      </c>
      <c r="W1532">
        <f>IF(OR(LEFT(E1532,2)="A_",LEFT(D1532,5)="Total"),V1532-Q1532,"")</f>
        <v>0</v>
      </c>
      <c r="X1532">
        <v>0</v>
      </c>
    </row>
    <row r="1533" spans="1:24" x14ac:dyDescent="0.25">
      <c r="A1533" t="s">
        <v>1968</v>
      </c>
      <c r="B1533" t="s">
        <v>1968</v>
      </c>
      <c r="C1533" t="s">
        <v>2054</v>
      </c>
      <c r="D1533" t="s">
        <v>181</v>
      </c>
      <c r="E1533" t="s">
        <v>20</v>
      </c>
      <c r="F1533" t="s">
        <v>1</v>
      </c>
      <c r="G1533" t="s">
        <v>750</v>
      </c>
      <c r="H1533" t="s">
        <v>420</v>
      </c>
      <c r="I1533" t="s">
        <v>1</v>
      </c>
      <c r="J1533">
        <v>-1347.19</v>
      </c>
      <c r="K1533">
        <v>3.1242797E-3</v>
      </c>
      <c r="L1533">
        <v>0</v>
      </c>
      <c r="M1533">
        <v>0</v>
      </c>
      <c r="N1533">
        <v>0</v>
      </c>
      <c r="O1533"/>
      <c r="P1533">
        <v>0</v>
      </c>
      <c r="Q1533">
        <f>O1533+P1533</f>
        <v>0</v>
      </c>
      <c r="R1533">
        <v>0</v>
      </c>
      <c r="S1533">
        <f>IF(OR(LEFT(E1533,2)="A_",LEFT(D1533,5)="Total"),R1533-Q1533,"")</f>
        <v>0</v>
      </c>
      <c r="T1533">
        <v>0.04</v>
      </c>
      <c r="U1533">
        <f>IFERROR(R1533*T1533,R1533*0)</f>
        <v>0</v>
      </c>
      <c r="V1533">
        <f>IF(OR(LEFT(E1533,2)="A_",LEFT(D1533,5)="Total"),R1533+U1533,"")</f>
        <v>0</v>
      </c>
      <c r="W1533">
        <f>IF(OR(LEFT(E1533,2)="A_",LEFT(D1533,5)="Total"),V1533-Q1533,"")</f>
        <v>0</v>
      </c>
      <c r="X1533">
        <v>0</v>
      </c>
    </row>
    <row r="1534" spans="1:24" x14ac:dyDescent="0.25">
      <c r="A1534" t="s">
        <v>1968</v>
      </c>
      <c r="B1534" t="s">
        <v>1968</v>
      </c>
      <c r="C1534" t="s">
        <v>2054</v>
      </c>
      <c r="D1534" t="s">
        <v>181</v>
      </c>
      <c r="E1534" t="s">
        <v>51</v>
      </c>
      <c r="F1534" t="s">
        <v>51</v>
      </c>
      <c r="G1534" t="s">
        <v>751</v>
      </c>
      <c r="H1534"/>
      <c r="I1534"/>
      <c r="J1534">
        <v>-1347.19</v>
      </c>
      <c r="K1534">
        <v>-19.996875720399998</v>
      </c>
      <c r="L1534">
        <v>0</v>
      </c>
      <c r="M1534">
        <v>0</v>
      </c>
      <c r="N1534">
        <v>0</v>
      </c>
      <c r="O1534">
        <v>0</v>
      </c>
      <c r="P1534">
        <f>SUMIF($F$1531:$F$1533,"&lt;&gt;EV_*",$P$1531:$P$1533)</f>
        <v>0</v>
      </c>
      <c r="Q1534">
        <f>SUMIF($F$1531:$F$1533,"&lt;&gt;EV_*",$Q$1531:$Q$1533)</f>
        <v>0</v>
      </c>
      <c r="R1534">
        <f>SUMIF($F$1531:$F$1533,"&lt;&gt;EV_*",$R$1531:$R$1533)</f>
        <v>0</v>
      </c>
      <c r="S1534">
        <f>SUMIF($F$1531:$F$1533,"&lt;&gt;EV_*",$S$1531:$S$1533)</f>
        <v>0</v>
      </c>
      <c r="T1534">
        <v>0</v>
      </c>
      <c r="U1534">
        <f>SUMIF($F$1531:$F$1533,"&lt;&gt;EV_*",$U$1531:$U$1533)</f>
        <v>0</v>
      </c>
      <c r="V1534">
        <f>SUMIF($F$1531:$F$1533,"&lt;&gt;EV_*",$V$1531:$V$1533)</f>
        <v>0</v>
      </c>
      <c r="W1534">
        <f>SUMIF($F$1531:$F$1533,"&lt;&gt;EV_*",$W$1531:$W$1533)</f>
        <v>0</v>
      </c>
      <c r="X1534">
        <f>SUMIF($F$1531:$F$1533,"&lt;&gt;EV_*",$X$1531:$X$1533)</f>
        <v>0</v>
      </c>
    </row>
    <row r="1535" spans="1:24" x14ac:dyDescent="0.25">
      <c r="A1535" t="s">
        <v>2025</v>
      </c>
      <c r="B1535" t="s">
        <v>2055</v>
      </c>
      <c r="C1535" t="s">
        <v>2056</v>
      </c>
      <c r="D1535" t="s">
        <v>182</v>
      </c>
      <c r="E1535" t="s">
        <v>5</v>
      </c>
      <c r="F1535" t="s">
        <v>5</v>
      </c>
      <c r="G1535" t="s">
        <v>752</v>
      </c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</row>
    <row r="1536" spans="1:24" x14ac:dyDescent="0.25">
      <c r="A1536" t="s">
        <v>2025</v>
      </c>
      <c r="B1536" t="s">
        <v>2055</v>
      </c>
      <c r="C1536" t="s">
        <v>2056</v>
      </c>
      <c r="D1536" t="s">
        <v>182</v>
      </c>
      <c r="E1536" t="s">
        <v>10</v>
      </c>
      <c r="F1536" t="s">
        <v>1</v>
      </c>
      <c r="G1536" t="s">
        <v>753</v>
      </c>
      <c r="H1536" t="s">
        <v>410</v>
      </c>
      <c r="I1536" t="s">
        <v>1</v>
      </c>
      <c r="J1536">
        <v>247.5</v>
      </c>
      <c r="K1536">
        <v>3441.9999999995998</v>
      </c>
      <c r="L1536">
        <v>165</v>
      </c>
      <c r="M1536">
        <v>332.73480662983428</v>
      </c>
      <c r="N1536">
        <v>330</v>
      </c>
      <c r="O1536">
        <v>330</v>
      </c>
      <c r="P1536">
        <v>0</v>
      </c>
      <c r="Q1536">
        <f t="shared" ref="Q1536:Q1553" si="295">O1536+P1536</f>
        <v>330</v>
      </c>
      <c r="R1536">
        <v>330</v>
      </c>
      <c r="S1536">
        <f t="shared" ref="S1536:S1553" si="296">IF(OR(LEFT(E1536,2)="A_",LEFT(D1536,5)="Total"),R1536-Q1536,"")</f>
        <v>0</v>
      </c>
      <c r="T1536"/>
      <c r="U1536">
        <f t="shared" ref="U1536:U1553" si="297">IFERROR(R1536*T1536,R1536*0)</f>
        <v>0</v>
      </c>
      <c r="V1536">
        <f t="shared" ref="V1536:V1553" si="298">IF(OR(LEFT(E1536,2)="A_",LEFT(D1536,5)="Total"),R1536+U1536,"")</f>
        <v>330</v>
      </c>
      <c r="W1536">
        <f t="shared" ref="W1536:W1553" si="299">IF(OR(LEFT(E1536,2)="A_",LEFT(D1536,5)="Total"),V1536-Q1536,"")</f>
        <v>0</v>
      </c>
      <c r="X1536">
        <v>0</v>
      </c>
    </row>
    <row r="1537" spans="1:24" x14ac:dyDescent="0.25">
      <c r="A1537" t="s">
        <v>2025</v>
      </c>
      <c r="B1537" t="s">
        <v>2055</v>
      </c>
      <c r="C1537" t="s">
        <v>2056</v>
      </c>
      <c r="D1537" t="s">
        <v>182</v>
      </c>
      <c r="E1537" t="s">
        <v>17</v>
      </c>
      <c r="F1537" t="s">
        <v>1</v>
      </c>
      <c r="G1537" t="s">
        <v>753</v>
      </c>
      <c r="H1537" t="s">
        <v>417</v>
      </c>
      <c r="I1537" t="s">
        <v>1</v>
      </c>
      <c r="J1537"/>
      <c r="K1537">
        <v>-480.00000000009999</v>
      </c>
      <c r="L1537">
        <v>-235.6</v>
      </c>
      <c r="M1537">
        <v>-475.10497237569058</v>
      </c>
      <c r="N1537">
        <v>-235.6</v>
      </c>
      <c r="O1537">
        <v>-473.78901098900002</v>
      </c>
      <c r="P1537">
        <v>0</v>
      </c>
      <c r="Q1537">
        <f t="shared" si="295"/>
        <v>-473.78901098900002</v>
      </c>
      <c r="R1537">
        <v>-473.78901098900002</v>
      </c>
      <c r="S1537">
        <f t="shared" si="296"/>
        <v>0</v>
      </c>
      <c r="T1537"/>
      <c r="U1537">
        <f t="shared" si="297"/>
        <v>0</v>
      </c>
      <c r="V1537">
        <f t="shared" si="298"/>
        <v>-473.78901098900002</v>
      </c>
      <c r="W1537">
        <f t="shared" si="299"/>
        <v>0</v>
      </c>
      <c r="X1537">
        <v>0</v>
      </c>
    </row>
    <row r="1538" spans="1:24" x14ac:dyDescent="0.25">
      <c r="A1538" t="s">
        <v>2025</v>
      </c>
      <c r="B1538" t="s">
        <v>2055</v>
      </c>
      <c r="C1538" t="s">
        <v>2056</v>
      </c>
      <c r="D1538" t="s">
        <v>182</v>
      </c>
      <c r="E1538" t="s">
        <v>18</v>
      </c>
      <c r="F1538" t="s">
        <v>1</v>
      </c>
      <c r="G1538" t="s">
        <v>753</v>
      </c>
      <c r="H1538" t="s">
        <v>418</v>
      </c>
      <c r="I1538" t="s">
        <v>1</v>
      </c>
      <c r="J1538">
        <v>16.73</v>
      </c>
      <c r="K1538">
        <v>1596.2999999998999</v>
      </c>
      <c r="L1538">
        <v>4985.54</v>
      </c>
      <c r="M1538">
        <v>10053.713259668508</v>
      </c>
      <c r="N1538">
        <v>5002.2700000000004</v>
      </c>
      <c r="O1538">
        <v>10025.8661538462</v>
      </c>
      <c r="P1538">
        <v>0</v>
      </c>
      <c r="Q1538">
        <f t="shared" si="295"/>
        <v>10025.8661538462</v>
      </c>
      <c r="R1538">
        <v>10026</v>
      </c>
      <c r="S1538">
        <f t="shared" si="296"/>
        <v>0.13384615379982279</v>
      </c>
      <c r="T1538">
        <v>0.02</v>
      </c>
      <c r="U1538">
        <f t="shared" si="297"/>
        <v>200.52</v>
      </c>
      <c r="V1538">
        <f t="shared" si="298"/>
        <v>10226.52</v>
      </c>
      <c r="W1538">
        <f t="shared" si="299"/>
        <v>200.65384615380026</v>
      </c>
      <c r="X1538" t="s">
        <v>1507</v>
      </c>
    </row>
    <row r="1539" spans="1:24" x14ac:dyDescent="0.25">
      <c r="A1539" t="s">
        <v>2025</v>
      </c>
      <c r="B1539" t="s">
        <v>2055</v>
      </c>
      <c r="C1539" t="s">
        <v>2056</v>
      </c>
      <c r="D1539" t="s">
        <v>182</v>
      </c>
      <c r="E1539" t="s">
        <v>19</v>
      </c>
      <c r="F1539" t="s">
        <v>1</v>
      </c>
      <c r="G1539" t="s">
        <v>753</v>
      </c>
      <c r="H1539" t="s">
        <v>419</v>
      </c>
      <c r="I1539" t="s">
        <v>1</v>
      </c>
      <c r="J1539"/>
      <c r="K1539"/>
      <c r="L1539">
        <v>13.89</v>
      </c>
      <c r="M1539">
        <v>28.010220994475137</v>
      </c>
      <c r="N1539">
        <v>13.89</v>
      </c>
      <c r="O1539">
        <v>27.932637362600001</v>
      </c>
      <c r="P1539">
        <v>0</v>
      </c>
      <c r="Q1539">
        <f t="shared" si="295"/>
        <v>27.932637362600001</v>
      </c>
      <c r="R1539">
        <v>28</v>
      </c>
      <c r="S1539">
        <f t="shared" si="296"/>
        <v>6.7362637399998704E-2</v>
      </c>
      <c r="T1539">
        <v>0.02</v>
      </c>
      <c r="U1539">
        <f t="shared" si="297"/>
        <v>0.56000000000000005</v>
      </c>
      <c r="V1539">
        <f t="shared" si="298"/>
        <v>28.56</v>
      </c>
      <c r="W1539">
        <f t="shared" si="299"/>
        <v>0.62736263739999742</v>
      </c>
      <c r="X1539">
        <v>0</v>
      </c>
    </row>
    <row r="1540" spans="1:24" x14ac:dyDescent="0.25">
      <c r="A1540" t="s">
        <v>2025</v>
      </c>
      <c r="B1540" t="s">
        <v>2055</v>
      </c>
      <c r="C1540" t="s">
        <v>2056</v>
      </c>
      <c r="D1540" t="s">
        <v>182</v>
      </c>
      <c r="E1540" t="s">
        <v>21</v>
      </c>
      <c r="F1540" t="s">
        <v>1</v>
      </c>
      <c r="G1540" t="s">
        <v>753</v>
      </c>
      <c r="H1540" t="s">
        <v>421</v>
      </c>
      <c r="I1540" t="s">
        <v>1</v>
      </c>
      <c r="J1540">
        <v>222.64</v>
      </c>
      <c r="K1540">
        <v>300.66000000010001</v>
      </c>
      <c r="L1540">
        <v>595.72</v>
      </c>
      <c r="M1540">
        <v>1201.3138121546963</v>
      </c>
      <c r="N1540">
        <v>674.52</v>
      </c>
      <c r="O1540">
        <v>1201.3138121546999</v>
      </c>
      <c r="P1540">
        <v>0</v>
      </c>
      <c r="Q1540">
        <f t="shared" si="295"/>
        <v>1201.3138121546999</v>
      </c>
      <c r="R1540">
        <v>1201</v>
      </c>
      <c r="S1540">
        <f t="shared" si="296"/>
        <v>-0.3138121546999173</v>
      </c>
      <c r="T1540">
        <v>0.03</v>
      </c>
      <c r="U1540">
        <f t="shared" si="297"/>
        <v>36.03</v>
      </c>
      <c r="V1540">
        <f t="shared" si="298"/>
        <v>1237.03</v>
      </c>
      <c r="W1540">
        <f t="shared" si="299"/>
        <v>35.716187845300055</v>
      </c>
      <c r="X1540">
        <v>0</v>
      </c>
    </row>
    <row r="1541" spans="1:24" x14ac:dyDescent="0.25">
      <c r="A1541" t="s">
        <v>2025</v>
      </c>
      <c r="B1541" t="s">
        <v>2055</v>
      </c>
      <c r="C1541" t="s">
        <v>2056</v>
      </c>
      <c r="D1541" t="s">
        <v>182</v>
      </c>
      <c r="E1541" t="s">
        <v>22</v>
      </c>
      <c r="F1541" t="s">
        <v>1</v>
      </c>
      <c r="G1541" t="s">
        <v>753</v>
      </c>
      <c r="H1541" t="s">
        <v>422</v>
      </c>
      <c r="I1541" t="s">
        <v>1</v>
      </c>
      <c r="J1541">
        <v>1464.74</v>
      </c>
      <c r="K1541">
        <v>5299.2000000001999</v>
      </c>
      <c r="L1541">
        <v>828.71</v>
      </c>
      <c r="M1541">
        <v>1671.1555248618786</v>
      </c>
      <c r="N1541">
        <v>1158.58</v>
      </c>
      <c r="O1541">
        <v>1671.1555248618999</v>
      </c>
      <c r="P1541">
        <v>0</v>
      </c>
      <c r="Q1541">
        <f t="shared" si="295"/>
        <v>1671.1555248618999</v>
      </c>
      <c r="R1541">
        <v>3200</v>
      </c>
      <c r="S1541">
        <f t="shared" si="296"/>
        <v>1528.8444751381001</v>
      </c>
      <c r="T1541">
        <v>3.5000000000000003E-2</v>
      </c>
      <c r="U1541">
        <f t="shared" si="297"/>
        <v>112.00000000000001</v>
      </c>
      <c r="V1541">
        <f t="shared" si="298"/>
        <v>3312</v>
      </c>
      <c r="W1541">
        <f t="shared" si="299"/>
        <v>1640.8444751381001</v>
      </c>
      <c r="X1541">
        <v>0</v>
      </c>
    </row>
    <row r="1542" spans="1:24" x14ac:dyDescent="0.25">
      <c r="A1542" t="s">
        <v>2025</v>
      </c>
      <c r="B1542" t="s">
        <v>2055</v>
      </c>
      <c r="C1542" t="s">
        <v>2056</v>
      </c>
      <c r="D1542" t="s">
        <v>182</v>
      </c>
      <c r="E1542" t="s">
        <v>23</v>
      </c>
      <c r="F1542" t="s">
        <v>1</v>
      </c>
      <c r="G1542" t="s">
        <v>753</v>
      </c>
      <c r="H1542" t="s">
        <v>423</v>
      </c>
      <c r="I1542" t="s">
        <v>1</v>
      </c>
      <c r="J1542">
        <v>4939.47</v>
      </c>
      <c r="K1542">
        <v>30444.5250000001</v>
      </c>
      <c r="L1542">
        <v>9617.84</v>
      </c>
      <c r="M1542">
        <v>19395.091712707181</v>
      </c>
      <c r="N1542">
        <v>9617.84</v>
      </c>
      <c r="O1542">
        <v>19395.091712707199</v>
      </c>
      <c r="P1542">
        <v>0</v>
      </c>
      <c r="Q1542">
        <f t="shared" si="295"/>
        <v>19395.091712707199</v>
      </c>
      <c r="R1542">
        <v>19395</v>
      </c>
      <c r="S1542">
        <f t="shared" si="296"/>
        <v>-9.171270719889435E-2</v>
      </c>
      <c r="T1542">
        <v>3.5000000000000003E-2</v>
      </c>
      <c r="U1542">
        <f t="shared" si="297"/>
        <v>678.82500000000005</v>
      </c>
      <c r="V1542">
        <f t="shared" si="298"/>
        <v>20073.825000000001</v>
      </c>
      <c r="W1542">
        <f t="shared" si="299"/>
        <v>678.73328729280183</v>
      </c>
      <c r="X1542">
        <v>0</v>
      </c>
    </row>
    <row r="1543" spans="1:24" x14ac:dyDescent="0.25">
      <c r="A1543" t="s">
        <v>2025</v>
      </c>
      <c r="B1543" t="s">
        <v>2055</v>
      </c>
      <c r="C1543" t="s">
        <v>2056</v>
      </c>
      <c r="D1543" t="s">
        <v>182</v>
      </c>
      <c r="E1543" t="s">
        <v>26</v>
      </c>
      <c r="F1543" t="s">
        <v>1</v>
      </c>
      <c r="G1543" t="s">
        <v>753</v>
      </c>
      <c r="H1543" t="s">
        <v>426</v>
      </c>
      <c r="I1543" t="s">
        <v>1</v>
      </c>
      <c r="J1543"/>
      <c r="K1543">
        <v>822.27775263119997</v>
      </c>
      <c r="L1543">
        <v>0</v>
      </c>
      <c r="M1543">
        <v>0</v>
      </c>
      <c r="N1543">
        <v>0</v>
      </c>
      <c r="O1543"/>
      <c r="P1543">
        <v>0</v>
      </c>
      <c r="Q1543">
        <f t="shared" si="295"/>
        <v>0</v>
      </c>
      <c r="R1543">
        <v>822</v>
      </c>
      <c r="S1543">
        <f t="shared" si="296"/>
        <v>822</v>
      </c>
      <c r="T1543"/>
      <c r="U1543">
        <f t="shared" si="297"/>
        <v>0</v>
      </c>
      <c r="V1543">
        <f t="shared" si="298"/>
        <v>822</v>
      </c>
      <c r="W1543">
        <f t="shared" si="299"/>
        <v>822</v>
      </c>
      <c r="X1543" t="s">
        <v>1508</v>
      </c>
    </row>
    <row r="1544" spans="1:24" x14ac:dyDescent="0.25">
      <c r="A1544" t="s">
        <v>2025</v>
      </c>
      <c r="B1544" t="s">
        <v>2055</v>
      </c>
      <c r="C1544" t="s">
        <v>2056</v>
      </c>
      <c r="D1544" t="s">
        <v>182</v>
      </c>
      <c r="E1544" t="s">
        <v>28</v>
      </c>
      <c r="F1544" t="s">
        <v>1</v>
      </c>
      <c r="G1544" t="s">
        <v>753</v>
      </c>
      <c r="H1544" t="s">
        <v>428</v>
      </c>
      <c r="I1544" t="s">
        <v>1</v>
      </c>
      <c r="J1544">
        <v>164.98</v>
      </c>
      <c r="K1544"/>
      <c r="L1544">
        <v>7.36</v>
      </c>
      <c r="M1544">
        <v>14.841988950276242</v>
      </c>
      <c r="N1544">
        <v>77.11</v>
      </c>
      <c r="O1544">
        <v>14.72</v>
      </c>
      <c r="P1544">
        <v>0</v>
      </c>
      <c r="Q1544">
        <f t="shared" si="295"/>
        <v>14.72</v>
      </c>
      <c r="R1544">
        <v>0</v>
      </c>
      <c r="S1544">
        <f t="shared" si="296"/>
        <v>-14.72</v>
      </c>
      <c r="T1544"/>
      <c r="U1544">
        <f t="shared" si="297"/>
        <v>0</v>
      </c>
      <c r="V1544">
        <f t="shared" si="298"/>
        <v>0</v>
      </c>
      <c r="W1544">
        <f t="shared" si="299"/>
        <v>-14.72</v>
      </c>
      <c r="X1544">
        <v>0</v>
      </c>
    </row>
    <row r="1545" spans="1:24" x14ac:dyDescent="0.25">
      <c r="A1545" t="s">
        <v>2025</v>
      </c>
      <c r="B1545" t="s">
        <v>2055</v>
      </c>
      <c r="C1545" t="s">
        <v>2056</v>
      </c>
      <c r="D1545" t="s">
        <v>182</v>
      </c>
      <c r="E1545" t="s">
        <v>29</v>
      </c>
      <c r="F1545" t="s">
        <v>1</v>
      </c>
      <c r="G1545" t="s">
        <v>753</v>
      </c>
      <c r="H1545" t="s">
        <v>429</v>
      </c>
      <c r="I1545" t="s">
        <v>1</v>
      </c>
      <c r="J1545">
        <v>95</v>
      </c>
      <c r="K1545"/>
      <c r="L1545">
        <v>0</v>
      </c>
      <c r="M1545">
        <v>0</v>
      </c>
      <c r="N1545">
        <v>95</v>
      </c>
      <c r="O1545"/>
      <c r="P1545">
        <v>0</v>
      </c>
      <c r="Q1545">
        <f t="shared" si="295"/>
        <v>0</v>
      </c>
      <c r="R1545">
        <v>0</v>
      </c>
      <c r="S1545">
        <f t="shared" si="296"/>
        <v>0</v>
      </c>
      <c r="T1545"/>
      <c r="U1545">
        <f t="shared" si="297"/>
        <v>0</v>
      </c>
      <c r="V1545">
        <f t="shared" si="298"/>
        <v>0</v>
      </c>
      <c r="W1545">
        <f t="shared" si="299"/>
        <v>0</v>
      </c>
      <c r="X1545">
        <v>0</v>
      </c>
    </row>
    <row r="1546" spans="1:24" x14ac:dyDescent="0.25">
      <c r="A1546" t="s">
        <v>2025</v>
      </c>
      <c r="B1546" t="s">
        <v>2055</v>
      </c>
      <c r="C1546" t="s">
        <v>2056</v>
      </c>
      <c r="D1546" t="s">
        <v>182</v>
      </c>
      <c r="E1546" t="s">
        <v>31</v>
      </c>
      <c r="F1546" t="s">
        <v>1</v>
      </c>
      <c r="G1546" t="s">
        <v>753</v>
      </c>
      <c r="H1546" t="s">
        <v>431</v>
      </c>
      <c r="I1546" t="s">
        <v>1</v>
      </c>
      <c r="J1546"/>
      <c r="K1546">
        <v>5514.9999999995998</v>
      </c>
      <c r="L1546">
        <v>3361.6</v>
      </c>
      <c r="M1546">
        <v>6778.9171270718234</v>
      </c>
      <c r="N1546">
        <v>3361.6</v>
      </c>
      <c r="O1546">
        <v>6723.2</v>
      </c>
      <c r="P1546">
        <v>0</v>
      </c>
      <c r="Q1546">
        <f t="shared" si="295"/>
        <v>6723.2</v>
      </c>
      <c r="R1546">
        <v>6723</v>
      </c>
      <c r="S1546">
        <f t="shared" si="296"/>
        <v>-0.1999999999998181</v>
      </c>
      <c r="T1546"/>
      <c r="U1546">
        <f t="shared" si="297"/>
        <v>0</v>
      </c>
      <c r="V1546">
        <f t="shared" si="298"/>
        <v>6723</v>
      </c>
      <c r="W1546">
        <f t="shared" si="299"/>
        <v>-0.1999999999998181</v>
      </c>
      <c r="X1546">
        <v>0</v>
      </c>
    </row>
    <row r="1547" spans="1:24" x14ac:dyDescent="0.25">
      <c r="A1547" t="s">
        <v>2025</v>
      </c>
      <c r="B1547" t="s">
        <v>2055</v>
      </c>
      <c r="C1547" t="s">
        <v>2056</v>
      </c>
      <c r="D1547" t="s">
        <v>182</v>
      </c>
      <c r="E1547" t="s">
        <v>33</v>
      </c>
      <c r="F1547" t="s">
        <v>1</v>
      </c>
      <c r="G1547" t="s">
        <v>753</v>
      </c>
      <c r="H1547" t="s">
        <v>433</v>
      </c>
      <c r="I1547" t="s">
        <v>1</v>
      </c>
      <c r="J1547"/>
      <c r="K1547">
        <v>839.38136254799997</v>
      </c>
      <c r="L1547">
        <v>0</v>
      </c>
      <c r="M1547">
        <v>0</v>
      </c>
      <c r="N1547">
        <v>0</v>
      </c>
      <c r="O1547"/>
      <c r="P1547">
        <v>0</v>
      </c>
      <c r="Q1547">
        <f t="shared" si="295"/>
        <v>0</v>
      </c>
      <c r="R1547">
        <v>0</v>
      </c>
      <c r="S1547">
        <f t="shared" si="296"/>
        <v>0</v>
      </c>
      <c r="T1547"/>
      <c r="U1547">
        <f t="shared" si="297"/>
        <v>0</v>
      </c>
      <c r="V1547">
        <f t="shared" si="298"/>
        <v>0</v>
      </c>
      <c r="W1547">
        <f t="shared" si="299"/>
        <v>0</v>
      </c>
      <c r="X1547">
        <v>0</v>
      </c>
    </row>
    <row r="1548" spans="1:24" x14ac:dyDescent="0.25">
      <c r="A1548" t="s">
        <v>2025</v>
      </c>
      <c r="B1548" t="s">
        <v>2055</v>
      </c>
      <c r="C1548" t="s">
        <v>2056</v>
      </c>
      <c r="D1548" t="s">
        <v>182</v>
      </c>
      <c r="E1548" t="s">
        <v>34</v>
      </c>
      <c r="F1548" t="s">
        <v>1</v>
      </c>
      <c r="G1548" t="s">
        <v>753</v>
      </c>
      <c r="H1548" t="s">
        <v>434</v>
      </c>
      <c r="I1548" t="s">
        <v>1</v>
      </c>
      <c r="J1548">
        <v>2106.02</v>
      </c>
      <c r="K1548">
        <v>981.23836829519996</v>
      </c>
      <c r="L1548">
        <v>233.09</v>
      </c>
      <c r="M1548">
        <v>470.04337016574584</v>
      </c>
      <c r="N1548">
        <v>1751.4599999999998</v>
      </c>
      <c r="O1548">
        <v>466.18</v>
      </c>
      <c r="P1548">
        <v>0</v>
      </c>
      <c r="Q1548">
        <f t="shared" si="295"/>
        <v>466.18</v>
      </c>
      <c r="R1548">
        <v>2100</v>
      </c>
      <c r="S1548">
        <f t="shared" si="296"/>
        <v>1633.82</v>
      </c>
      <c r="T1548"/>
      <c r="U1548">
        <f t="shared" si="297"/>
        <v>0</v>
      </c>
      <c r="V1548">
        <f t="shared" si="298"/>
        <v>2100</v>
      </c>
      <c r="W1548">
        <f t="shared" si="299"/>
        <v>1633.82</v>
      </c>
      <c r="X1548" t="s">
        <v>1509</v>
      </c>
    </row>
    <row r="1549" spans="1:24" x14ac:dyDescent="0.25">
      <c r="A1549" t="s">
        <v>2025</v>
      </c>
      <c r="B1549" t="s">
        <v>2055</v>
      </c>
      <c r="C1549" t="s">
        <v>2056</v>
      </c>
      <c r="D1549" t="s">
        <v>182</v>
      </c>
      <c r="E1549" t="s">
        <v>37</v>
      </c>
      <c r="F1549" t="s">
        <v>1</v>
      </c>
      <c r="G1549" t="s">
        <v>753</v>
      </c>
      <c r="H1549" t="s">
        <v>437</v>
      </c>
      <c r="I1549" t="s">
        <v>1</v>
      </c>
      <c r="J1549"/>
      <c r="K1549"/>
      <c r="L1549">
        <v>128.75</v>
      </c>
      <c r="M1549">
        <v>259.63397790055251</v>
      </c>
      <c r="N1549">
        <v>128.75</v>
      </c>
      <c r="O1549">
        <v>257.5</v>
      </c>
      <c r="P1549">
        <v>0</v>
      </c>
      <c r="Q1549">
        <f t="shared" si="295"/>
        <v>257.5</v>
      </c>
      <c r="R1549">
        <v>250</v>
      </c>
      <c r="S1549">
        <f t="shared" si="296"/>
        <v>-7.5</v>
      </c>
      <c r="T1549"/>
      <c r="U1549">
        <f t="shared" si="297"/>
        <v>0</v>
      </c>
      <c r="V1549">
        <f t="shared" si="298"/>
        <v>250</v>
      </c>
      <c r="W1549">
        <f t="shared" si="299"/>
        <v>-7.5</v>
      </c>
      <c r="X1549">
        <v>0</v>
      </c>
    </row>
    <row r="1550" spans="1:24" x14ac:dyDescent="0.25">
      <c r="A1550" t="s">
        <v>2025</v>
      </c>
      <c r="B1550" t="s">
        <v>2055</v>
      </c>
      <c r="C1550" t="s">
        <v>2056</v>
      </c>
      <c r="D1550" t="s">
        <v>182</v>
      </c>
      <c r="E1550" t="s">
        <v>41</v>
      </c>
      <c r="F1550" t="s">
        <v>1</v>
      </c>
      <c r="G1550" t="s">
        <v>753</v>
      </c>
      <c r="H1550" t="s">
        <v>441</v>
      </c>
      <c r="I1550" t="s">
        <v>1</v>
      </c>
      <c r="J1550">
        <v>19.739999999999998</v>
      </c>
      <c r="K1550">
        <v>2178.9999999995998</v>
      </c>
      <c r="L1550">
        <v>1082.92</v>
      </c>
      <c r="M1550">
        <v>2183.7889502762432</v>
      </c>
      <c r="N1550">
        <v>1102.6600000000001</v>
      </c>
      <c r="O1550">
        <v>2165.84</v>
      </c>
      <c r="P1550">
        <v>0</v>
      </c>
      <c r="Q1550">
        <f t="shared" si="295"/>
        <v>2165.84</v>
      </c>
      <c r="R1550">
        <v>2166</v>
      </c>
      <c r="S1550">
        <f t="shared" si="296"/>
        <v>0.15999999999985448</v>
      </c>
      <c r="T1550">
        <v>0.03</v>
      </c>
      <c r="U1550">
        <f t="shared" si="297"/>
        <v>64.98</v>
      </c>
      <c r="V1550">
        <f t="shared" si="298"/>
        <v>2230.98</v>
      </c>
      <c r="W1550">
        <f t="shared" si="299"/>
        <v>65.139999999999873</v>
      </c>
      <c r="X1550">
        <v>0</v>
      </c>
    </row>
    <row r="1551" spans="1:24" x14ac:dyDescent="0.25">
      <c r="A1551" t="s">
        <v>2025</v>
      </c>
      <c r="B1551" t="s">
        <v>2055</v>
      </c>
      <c r="C1551" t="s">
        <v>2056</v>
      </c>
      <c r="D1551" t="s">
        <v>182</v>
      </c>
      <c r="E1551" t="s">
        <v>46</v>
      </c>
      <c r="F1551" t="s">
        <v>1</v>
      </c>
      <c r="G1551" t="s">
        <v>753</v>
      </c>
      <c r="H1551" t="s">
        <v>446</v>
      </c>
      <c r="I1551" t="s">
        <v>1</v>
      </c>
      <c r="J1551">
        <v>471.9</v>
      </c>
      <c r="K1551">
        <v>5372.0000000004002</v>
      </c>
      <c r="L1551">
        <v>0</v>
      </c>
      <c r="M1551">
        <v>0</v>
      </c>
      <c r="N1551">
        <v>0</v>
      </c>
      <c r="O1551"/>
      <c r="P1551">
        <v>0</v>
      </c>
      <c r="Q1551">
        <f t="shared" si="295"/>
        <v>0</v>
      </c>
      <c r="R1551">
        <v>0</v>
      </c>
      <c r="S1551">
        <f t="shared" si="296"/>
        <v>0</v>
      </c>
      <c r="T1551">
        <v>0.03</v>
      </c>
      <c r="U1551">
        <f t="shared" si="297"/>
        <v>0</v>
      </c>
      <c r="V1551">
        <f t="shared" si="298"/>
        <v>0</v>
      </c>
      <c r="W1551">
        <f t="shared" si="299"/>
        <v>0</v>
      </c>
      <c r="X1551">
        <v>0</v>
      </c>
    </row>
    <row r="1552" spans="1:24" x14ac:dyDescent="0.25">
      <c r="A1552" t="s">
        <v>2025</v>
      </c>
      <c r="B1552" t="s">
        <v>2055</v>
      </c>
      <c r="C1552" t="s">
        <v>2056</v>
      </c>
      <c r="D1552" t="s">
        <v>182</v>
      </c>
      <c r="E1552" t="s">
        <v>183</v>
      </c>
      <c r="F1552" t="s">
        <v>1</v>
      </c>
      <c r="G1552" t="s">
        <v>753</v>
      </c>
      <c r="H1552" t="s">
        <v>754</v>
      </c>
      <c r="I1552" t="s">
        <v>1</v>
      </c>
      <c r="J1552">
        <v>6027.43</v>
      </c>
      <c r="K1552">
        <v>14786.0000000004</v>
      </c>
      <c r="L1552">
        <v>9775.35</v>
      </c>
      <c r="M1552">
        <v>19712.72237569061</v>
      </c>
      <c r="N1552">
        <v>12992.43</v>
      </c>
      <c r="O1552">
        <v>19550.7</v>
      </c>
      <c r="P1552">
        <v>0</v>
      </c>
      <c r="Q1552">
        <f t="shared" si="295"/>
        <v>19550.7</v>
      </c>
      <c r="R1552">
        <v>19551</v>
      </c>
      <c r="S1552">
        <f t="shared" si="296"/>
        <v>0.2999999999992724</v>
      </c>
      <c r="T1552">
        <v>0.03</v>
      </c>
      <c r="U1552">
        <f t="shared" si="297"/>
        <v>586.53</v>
      </c>
      <c r="V1552">
        <f t="shared" si="298"/>
        <v>20137.53</v>
      </c>
      <c r="W1552">
        <f t="shared" si="299"/>
        <v>586.82999999999811</v>
      </c>
      <c r="X1552">
        <v>0</v>
      </c>
    </row>
    <row r="1553" spans="1:24" x14ac:dyDescent="0.25">
      <c r="A1553" t="s">
        <v>2025</v>
      </c>
      <c r="B1553" t="s">
        <v>2055</v>
      </c>
      <c r="C1553" t="s">
        <v>2056</v>
      </c>
      <c r="D1553" t="s">
        <v>182</v>
      </c>
      <c r="E1553" t="s">
        <v>50</v>
      </c>
      <c r="F1553" t="s">
        <v>1</v>
      </c>
      <c r="G1553" t="s">
        <v>753</v>
      </c>
      <c r="H1553" t="s">
        <v>450</v>
      </c>
      <c r="I1553" t="s">
        <v>1</v>
      </c>
      <c r="J1553">
        <v>2773.14</v>
      </c>
      <c r="K1553">
        <v>2650</v>
      </c>
      <c r="L1553">
        <v>1048.8699999999999</v>
      </c>
      <c r="M1553">
        <v>2115.1245856353589</v>
      </c>
      <c r="N1553">
        <v>2510.3300000000004</v>
      </c>
      <c r="O1553">
        <v>2115.1245856353999</v>
      </c>
      <c r="P1553">
        <v>0</v>
      </c>
      <c r="Q1553">
        <f t="shared" si="295"/>
        <v>2115.1245856353999</v>
      </c>
      <c r="R1553">
        <v>2115</v>
      </c>
      <c r="S1553">
        <f t="shared" si="296"/>
        <v>-0.12458563539985335</v>
      </c>
      <c r="T1553"/>
      <c r="U1553">
        <f t="shared" si="297"/>
        <v>0</v>
      </c>
      <c r="V1553">
        <f t="shared" si="298"/>
        <v>2115</v>
      </c>
      <c r="W1553">
        <f t="shared" si="299"/>
        <v>-0.12458563539985335</v>
      </c>
      <c r="X1553">
        <v>0</v>
      </c>
    </row>
    <row r="1554" spans="1:24" x14ac:dyDescent="0.25">
      <c r="A1554" t="s">
        <v>2025</v>
      </c>
      <c r="B1554" t="s">
        <v>2055</v>
      </c>
      <c r="C1554" t="s">
        <v>2056</v>
      </c>
      <c r="D1554" t="s">
        <v>182</v>
      </c>
      <c r="E1554" t="s">
        <v>51</v>
      </c>
      <c r="F1554" t="s">
        <v>51</v>
      </c>
      <c r="G1554" t="s">
        <v>755</v>
      </c>
      <c r="H1554"/>
      <c r="I1554"/>
      <c r="J1554">
        <v>18549.29</v>
      </c>
      <c r="K1554">
        <v>73747.582483474194</v>
      </c>
      <c r="L1554">
        <v>31609.039999999997</v>
      </c>
      <c r="M1554">
        <v>63741.986740331486</v>
      </c>
      <c r="N1554">
        <v>38580.839999999997</v>
      </c>
      <c r="O1554">
        <v>63470.835415578993</v>
      </c>
      <c r="P1554">
        <f>SUMIF($F$1535:$F$1553,"&lt;&gt;EV_*",$P$1535:$P$1553)</f>
        <v>0</v>
      </c>
      <c r="Q1554">
        <f>SUMIF($F$1535:$F$1553,"&lt;&gt;EV_*",$Q$1535:$Q$1553)</f>
        <v>63470.835415578993</v>
      </c>
      <c r="R1554">
        <f>SUMIF($F$1535:$F$1553,"&lt;&gt;EV_*",$R$1535:$R$1553)</f>
        <v>67433.210989011</v>
      </c>
      <c r="S1554">
        <f>SUMIF($F$1535:$F$1553,"&lt;&gt;EV_*",$S$1535:$S$1553)</f>
        <v>3962.3755734320011</v>
      </c>
      <c r="T1554">
        <v>0</v>
      </c>
      <c r="U1554">
        <f>SUMIF($F$1535:$F$1553,"&lt;&gt;EV_*",$U$1535:$U$1553)</f>
        <v>1679.4449999999999</v>
      </c>
      <c r="V1554">
        <f>SUMIF($F$1535:$F$1553,"&lt;&gt;EV_*",$V$1535:$V$1553)</f>
        <v>69112.655989010993</v>
      </c>
      <c r="W1554">
        <f>SUMIF($F$1535:$F$1553,"&lt;&gt;EV_*",$W$1535:$W$1553)</f>
        <v>5641.8205734319999</v>
      </c>
      <c r="X1554">
        <f>SUMIF($F$1535:$F$1553,"&lt;&gt;EV_*",$X$1535:$X$1553)</f>
        <v>0</v>
      </c>
    </row>
    <row r="1555" spans="1:24" x14ac:dyDescent="0.25">
      <c r="A1555" t="s">
        <v>2025</v>
      </c>
      <c r="B1555" t="s">
        <v>2057</v>
      </c>
      <c r="C1555" t="s">
        <v>2058</v>
      </c>
      <c r="D1555" t="s">
        <v>184</v>
      </c>
      <c r="E1555" t="s">
        <v>5</v>
      </c>
      <c r="F1555" t="s">
        <v>5</v>
      </c>
      <c r="G1555" t="s">
        <v>756</v>
      </c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</row>
    <row r="1556" spans="1:24" x14ac:dyDescent="0.25">
      <c r="A1556" t="s">
        <v>2025</v>
      </c>
      <c r="B1556" t="s">
        <v>2057</v>
      </c>
      <c r="C1556" t="s">
        <v>2058</v>
      </c>
      <c r="D1556" t="s">
        <v>184</v>
      </c>
      <c r="E1556" t="s">
        <v>6</v>
      </c>
      <c r="F1556" t="s">
        <v>1</v>
      </c>
      <c r="G1556" t="s">
        <v>757</v>
      </c>
      <c r="H1556" t="s">
        <v>406</v>
      </c>
      <c r="I1556" t="s">
        <v>1</v>
      </c>
      <c r="J1556"/>
      <c r="K1556"/>
      <c r="L1556">
        <v>1000</v>
      </c>
      <c r="M1556">
        <v>2016.5745856353592</v>
      </c>
      <c r="N1556">
        <v>1000</v>
      </c>
      <c r="O1556">
        <v>2000</v>
      </c>
      <c r="P1556">
        <v>0</v>
      </c>
      <c r="Q1556">
        <f t="shared" ref="Q1556:Q1585" si="300">O1556+P1556</f>
        <v>2000</v>
      </c>
      <c r="R1556">
        <v>4000</v>
      </c>
      <c r="S1556">
        <f t="shared" ref="S1556:S1585" si="301">IF(OR(LEFT(E1556,2)="A_",LEFT(D1556,5)="Total"),R1556-Q1556,"")</f>
        <v>2000</v>
      </c>
      <c r="T1556"/>
      <c r="U1556">
        <f t="shared" ref="U1556:U1585" si="302">IFERROR(R1556*T1556,R1556*0)</f>
        <v>0</v>
      </c>
      <c r="V1556">
        <f t="shared" ref="V1556:V1585" si="303">IF(OR(LEFT(E1556,2)="A_",LEFT(D1556,5)="Total"),R1556+U1556,"")</f>
        <v>4000</v>
      </c>
      <c r="W1556">
        <f t="shared" ref="W1556:W1585" si="304">IF(OR(LEFT(E1556,2)="A_",LEFT(D1556,5)="Total"),V1556-Q1556,"")</f>
        <v>2000</v>
      </c>
      <c r="X1556" t="s">
        <v>1510</v>
      </c>
    </row>
    <row r="1557" spans="1:24" x14ac:dyDescent="0.25">
      <c r="A1557" t="s">
        <v>2025</v>
      </c>
      <c r="B1557" t="s">
        <v>2057</v>
      </c>
      <c r="C1557" t="s">
        <v>2058</v>
      </c>
      <c r="D1557" t="s">
        <v>184</v>
      </c>
      <c r="E1557" t="s">
        <v>7</v>
      </c>
      <c r="F1557" t="s">
        <v>1</v>
      </c>
      <c r="G1557" t="s">
        <v>757</v>
      </c>
      <c r="H1557" t="s">
        <v>407</v>
      </c>
      <c r="I1557" t="s">
        <v>1</v>
      </c>
      <c r="J1557">
        <v>9075</v>
      </c>
      <c r="K1557">
        <v>12000</v>
      </c>
      <c r="L1557">
        <v>2000</v>
      </c>
      <c r="M1557">
        <v>4033.1491712707184</v>
      </c>
      <c r="N1557">
        <v>6075</v>
      </c>
      <c r="O1557">
        <v>4000</v>
      </c>
      <c r="P1557">
        <v>0</v>
      </c>
      <c r="Q1557">
        <f t="shared" si="300"/>
        <v>4000</v>
      </c>
      <c r="R1557">
        <v>8000</v>
      </c>
      <c r="S1557">
        <f t="shared" si="301"/>
        <v>4000</v>
      </c>
      <c r="T1557"/>
      <c r="U1557">
        <f t="shared" si="302"/>
        <v>0</v>
      </c>
      <c r="V1557">
        <f t="shared" si="303"/>
        <v>8000</v>
      </c>
      <c r="W1557">
        <f t="shared" si="304"/>
        <v>4000</v>
      </c>
      <c r="X1557" t="s">
        <v>1511</v>
      </c>
    </row>
    <row r="1558" spans="1:24" x14ac:dyDescent="0.25">
      <c r="A1558" t="s">
        <v>2025</v>
      </c>
      <c r="B1558" t="s">
        <v>2057</v>
      </c>
      <c r="C1558" t="s">
        <v>2058</v>
      </c>
      <c r="D1558" t="s">
        <v>184</v>
      </c>
      <c r="E1558" t="s">
        <v>185</v>
      </c>
      <c r="F1558" t="s">
        <v>1</v>
      </c>
      <c r="G1558" t="s">
        <v>757</v>
      </c>
      <c r="H1558" t="s">
        <v>758</v>
      </c>
      <c r="I1558" t="s">
        <v>1</v>
      </c>
      <c r="J1558">
        <v>189497.5</v>
      </c>
      <c r="K1558"/>
      <c r="L1558">
        <v>0</v>
      </c>
      <c r="M1558">
        <v>0</v>
      </c>
      <c r="N1558">
        <v>92839</v>
      </c>
      <c r="O1558"/>
      <c r="P1558">
        <v>0</v>
      </c>
      <c r="Q1558">
        <f t="shared" si="300"/>
        <v>0</v>
      </c>
      <c r="R1558">
        <v>0</v>
      </c>
      <c r="S1558">
        <f t="shared" si="301"/>
        <v>0</v>
      </c>
      <c r="T1558"/>
      <c r="U1558">
        <f t="shared" si="302"/>
        <v>0</v>
      </c>
      <c r="V1558">
        <f t="shared" si="303"/>
        <v>0</v>
      </c>
      <c r="W1558">
        <f t="shared" si="304"/>
        <v>0</v>
      </c>
      <c r="X1558" t="s">
        <v>1512</v>
      </c>
    </row>
    <row r="1559" spans="1:24" x14ac:dyDescent="0.25">
      <c r="A1559" t="s">
        <v>2025</v>
      </c>
      <c r="B1559" t="s">
        <v>2057</v>
      </c>
      <c r="C1559" t="s">
        <v>2058</v>
      </c>
      <c r="D1559" t="s">
        <v>184</v>
      </c>
      <c r="E1559" t="s">
        <v>8</v>
      </c>
      <c r="F1559" t="s">
        <v>1</v>
      </c>
      <c r="G1559" t="s">
        <v>757</v>
      </c>
      <c r="H1559" t="s">
        <v>408</v>
      </c>
      <c r="I1559" t="s">
        <v>1</v>
      </c>
      <c r="J1559">
        <v>10691.01</v>
      </c>
      <c r="K1559">
        <v>12761.085635359001</v>
      </c>
      <c r="L1559">
        <v>0</v>
      </c>
      <c r="M1559">
        <v>0</v>
      </c>
      <c r="N1559">
        <v>4362.91</v>
      </c>
      <c r="O1559"/>
      <c r="P1559">
        <v>0</v>
      </c>
      <c r="Q1559">
        <f t="shared" si="300"/>
        <v>0</v>
      </c>
      <c r="R1559">
        <v>0</v>
      </c>
      <c r="S1559">
        <f t="shared" si="301"/>
        <v>0</v>
      </c>
      <c r="T1559"/>
      <c r="U1559">
        <f t="shared" si="302"/>
        <v>0</v>
      </c>
      <c r="V1559">
        <f t="shared" si="303"/>
        <v>0</v>
      </c>
      <c r="W1559">
        <f t="shared" si="304"/>
        <v>0</v>
      </c>
      <c r="X1559" t="s">
        <v>1513</v>
      </c>
    </row>
    <row r="1560" spans="1:24" x14ac:dyDescent="0.25">
      <c r="A1560" t="s">
        <v>2025</v>
      </c>
      <c r="B1560" t="s">
        <v>2057</v>
      </c>
      <c r="C1560" t="s">
        <v>2058</v>
      </c>
      <c r="D1560" t="s">
        <v>184</v>
      </c>
      <c r="E1560" t="s">
        <v>10</v>
      </c>
      <c r="F1560" t="s">
        <v>1</v>
      </c>
      <c r="G1560" t="s">
        <v>757</v>
      </c>
      <c r="H1560" t="s">
        <v>410</v>
      </c>
      <c r="I1560" t="s">
        <v>1</v>
      </c>
      <c r="J1560">
        <v>247.5</v>
      </c>
      <c r="K1560">
        <v>1110</v>
      </c>
      <c r="L1560">
        <v>165</v>
      </c>
      <c r="M1560">
        <v>332.73480662983428</v>
      </c>
      <c r="N1560">
        <v>330</v>
      </c>
      <c r="O1560">
        <v>330</v>
      </c>
      <c r="P1560">
        <v>0</v>
      </c>
      <c r="Q1560">
        <f t="shared" si="300"/>
        <v>330</v>
      </c>
      <c r="R1560">
        <v>330</v>
      </c>
      <c r="S1560">
        <f t="shared" si="301"/>
        <v>0</v>
      </c>
      <c r="T1560"/>
      <c r="U1560">
        <f t="shared" si="302"/>
        <v>0</v>
      </c>
      <c r="V1560">
        <f t="shared" si="303"/>
        <v>330</v>
      </c>
      <c r="W1560">
        <f t="shared" si="304"/>
        <v>0</v>
      </c>
      <c r="X1560" t="s">
        <v>1514</v>
      </c>
    </row>
    <row r="1561" spans="1:24" x14ac:dyDescent="0.25">
      <c r="A1561" t="s">
        <v>2025</v>
      </c>
      <c r="B1561" t="s">
        <v>2057</v>
      </c>
      <c r="C1561" t="s">
        <v>2058</v>
      </c>
      <c r="D1561" t="s">
        <v>184</v>
      </c>
      <c r="E1561" t="s">
        <v>11</v>
      </c>
      <c r="F1561" t="s">
        <v>1</v>
      </c>
      <c r="G1561" t="s">
        <v>757</v>
      </c>
      <c r="H1561" t="s">
        <v>411</v>
      </c>
      <c r="I1561" t="s">
        <v>1</v>
      </c>
      <c r="J1561">
        <v>1095.48</v>
      </c>
      <c r="K1561">
        <v>875.07</v>
      </c>
      <c r="L1561">
        <v>424.82</v>
      </c>
      <c r="M1561">
        <v>856.68121546961322</v>
      </c>
      <c r="N1561">
        <v>919.81000000000006</v>
      </c>
      <c r="O1561">
        <v>849.64</v>
      </c>
      <c r="P1561">
        <v>0</v>
      </c>
      <c r="Q1561">
        <f t="shared" si="300"/>
        <v>849.64</v>
      </c>
      <c r="R1561">
        <v>850</v>
      </c>
      <c r="S1561">
        <f t="shared" si="301"/>
        <v>0.36000000000001364</v>
      </c>
      <c r="T1561"/>
      <c r="U1561">
        <f t="shared" si="302"/>
        <v>0</v>
      </c>
      <c r="V1561">
        <f t="shared" si="303"/>
        <v>850</v>
      </c>
      <c r="W1561">
        <f t="shared" si="304"/>
        <v>0.36000000000001364</v>
      </c>
      <c r="X1561" t="s">
        <v>1515</v>
      </c>
    </row>
    <row r="1562" spans="1:24" x14ac:dyDescent="0.25">
      <c r="A1562" t="s">
        <v>2025</v>
      </c>
      <c r="B1562" t="s">
        <v>2057</v>
      </c>
      <c r="C1562" t="s">
        <v>2058</v>
      </c>
      <c r="D1562" t="s">
        <v>184</v>
      </c>
      <c r="E1562" t="s">
        <v>12</v>
      </c>
      <c r="F1562" t="s">
        <v>1</v>
      </c>
      <c r="G1562" t="s">
        <v>757</v>
      </c>
      <c r="H1562" t="s">
        <v>412</v>
      </c>
      <c r="I1562" t="s">
        <v>1</v>
      </c>
      <c r="J1562">
        <v>282</v>
      </c>
      <c r="K1562"/>
      <c r="L1562">
        <v>1180</v>
      </c>
      <c r="M1562">
        <v>2379.5580110497235</v>
      </c>
      <c r="N1562">
        <v>1180</v>
      </c>
      <c r="O1562">
        <v>2360</v>
      </c>
      <c r="P1562">
        <v>0</v>
      </c>
      <c r="Q1562">
        <f t="shared" si="300"/>
        <v>2360</v>
      </c>
      <c r="R1562">
        <v>2380</v>
      </c>
      <c r="S1562">
        <f t="shared" si="301"/>
        <v>20</v>
      </c>
      <c r="T1562"/>
      <c r="U1562">
        <f t="shared" si="302"/>
        <v>0</v>
      </c>
      <c r="V1562">
        <f t="shared" si="303"/>
        <v>2380</v>
      </c>
      <c r="W1562">
        <f t="shared" si="304"/>
        <v>20</v>
      </c>
      <c r="X1562" t="s">
        <v>1516</v>
      </c>
    </row>
    <row r="1563" spans="1:24" x14ac:dyDescent="0.25">
      <c r="A1563" t="s">
        <v>2025</v>
      </c>
      <c r="B1563" t="s">
        <v>2057</v>
      </c>
      <c r="C1563" t="s">
        <v>2058</v>
      </c>
      <c r="D1563" t="s">
        <v>184</v>
      </c>
      <c r="E1563" t="s">
        <v>13</v>
      </c>
      <c r="F1563" t="s">
        <v>1</v>
      </c>
      <c r="G1563" t="s">
        <v>757</v>
      </c>
      <c r="H1563" t="s">
        <v>413</v>
      </c>
      <c r="I1563" t="s">
        <v>1</v>
      </c>
      <c r="J1563">
        <v>236.79</v>
      </c>
      <c r="K1563"/>
      <c r="L1563">
        <v>493.29</v>
      </c>
      <c r="M1563">
        <v>994.75607734806636</v>
      </c>
      <c r="N1563">
        <v>730.07999999999993</v>
      </c>
      <c r="O1563">
        <v>986.58</v>
      </c>
      <c r="P1563">
        <v>0</v>
      </c>
      <c r="Q1563">
        <f t="shared" si="300"/>
        <v>986.58</v>
      </c>
      <c r="R1563">
        <v>987</v>
      </c>
      <c r="S1563">
        <f t="shared" si="301"/>
        <v>0.41999999999995907</v>
      </c>
      <c r="T1563"/>
      <c r="U1563">
        <f t="shared" si="302"/>
        <v>0</v>
      </c>
      <c r="V1563">
        <f t="shared" si="303"/>
        <v>987</v>
      </c>
      <c r="W1563">
        <f t="shared" si="304"/>
        <v>0.41999999999995907</v>
      </c>
      <c r="X1563" t="s">
        <v>1517</v>
      </c>
    </row>
    <row r="1564" spans="1:24" x14ac:dyDescent="0.25">
      <c r="A1564" t="s">
        <v>2025</v>
      </c>
      <c r="B1564" t="s">
        <v>2057</v>
      </c>
      <c r="C1564" t="s">
        <v>2058</v>
      </c>
      <c r="D1564" t="s">
        <v>184</v>
      </c>
      <c r="E1564" t="s">
        <v>18</v>
      </c>
      <c r="F1564" t="s">
        <v>1</v>
      </c>
      <c r="G1564" t="s">
        <v>757</v>
      </c>
      <c r="H1564" t="s">
        <v>418</v>
      </c>
      <c r="I1564" t="s">
        <v>1</v>
      </c>
      <c r="J1564"/>
      <c r="K1564"/>
      <c r="L1564">
        <v>97.72</v>
      </c>
      <c r="M1564">
        <v>197.0596685082873</v>
      </c>
      <c r="N1564">
        <v>97.72</v>
      </c>
      <c r="O1564">
        <v>196.51384615379999</v>
      </c>
      <c r="P1564">
        <v>0</v>
      </c>
      <c r="Q1564">
        <f t="shared" si="300"/>
        <v>196.51384615379999</v>
      </c>
      <c r="R1564">
        <v>0</v>
      </c>
      <c r="S1564">
        <f t="shared" si="301"/>
        <v>-196.51384615379999</v>
      </c>
      <c r="T1564">
        <v>0.02</v>
      </c>
      <c r="U1564">
        <f t="shared" si="302"/>
        <v>0</v>
      </c>
      <c r="V1564">
        <f t="shared" si="303"/>
        <v>0</v>
      </c>
      <c r="W1564">
        <f t="shared" si="304"/>
        <v>-196.51384615379999</v>
      </c>
      <c r="X1564" t="s">
        <v>1518</v>
      </c>
    </row>
    <row r="1565" spans="1:24" x14ac:dyDescent="0.25">
      <c r="A1565" t="s">
        <v>2025</v>
      </c>
      <c r="B1565" t="s">
        <v>2057</v>
      </c>
      <c r="C1565" t="s">
        <v>2058</v>
      </c>
      <c r="D1565" t="s">
        <v>184</v>
      </c>
      <c r="E1565" t="s">
        <v>21</v>
      </c>
      <c r="F1565" t="s">
        <v>1</v>
      </c>
      <c r="G1565" t="s">
        <v>757</v>
      </c>
      <c r="H1565" t="s">
        <v>421</v>
      </c>
      <c r="I1565" t="s">
        <v>1</v>
      </c>
      <c r="J1565">
        <v>1048.6099999999999</v>
      </c>
      <c r="K1565">
        <v>911.15000000010002</v>
      </c>
      <c r="L1565">
        <v>441.07</v>
      </c>
      <c r="M1565">
        <v>889.45055248618792</v>
      </c>
      <c r="N1565">
        <v>1017.5400000000001</v>
      </c>
      <c r="O1565">
        <v>889.45055248619997</v>
      </c>
      <c r="P1565">
        <v>0</v>
      </c>
      <c r="Q1565">
        <f t="shared" si="300"/>
        <v>889.45055248619997</v>
      </c>
      <c r="R1565">
        <v>6662</v>
      </c>
      <c r="S1565">
        <f t="shared" si="301"/>
        <v>5772.5494475138003</v>
      </c>
      <c r="T1565">
        <v>0.03</v>
      </c>
      <c r="U1565">
        <f t="shared" si="302"/>
        <v>199.85999999999999</v>
      </c>
      <c r="V1565">
        <f t="shared" si="303"/>
        <v>6861.86</v>
      </c>
      <c r="W1565">
        <f t="shared" si="304"/>
        <v>5972.4094475137999</v>
      </c>
      <c r="X1565" t="s">
        <v>1519</v>
      </c>
    </row>
    <row r="1566" spans="1:24" x14ac:dyDescent="0.25">
      <c r="A1566" t="s">
        <v>2025</v>
      </c>
      <c r="B1566" t="s">
        <v>2057</v>
      </c>
      <c r="C1566" t="s">
        <v>2058</v>
      </c>
      <c r="D1566" t="s">
        <v>184</v>
      </c>
      <c r="E1566" t="s">
        <v>22</v>
      </c>
      <c r="F1566" t="s">
        <v>1</v>
      </c>
      <c r="G1566" t="s">
        <v>757</v>
      </c>
      <c r="H1566" t="s">
        <v>422</v>
      </c>
      <c r="I1566" t="s">
        <v>1</v>
      </c>
      <c r="J1566">
        <v>1443</v>
      </c>
      <c r="K1566">
        <v>1542.1500000000999</v>
      </c>
      <c r="L1566">
        <v>1280.02</v>
      </c>
      <c r="M1566">
        <v>2581.2558011049723</v>
      </c>
      <c r="N1566">
        <v>2102.6799999999998</v>
      </c>
      <c r="O1566">
        <v>2581.255801105</v>
      </c>
      <c r="P1566">
        <v>0</v>
      </c>
      <c r="Q1566">
        <f t="shared" si="300"/>
        <v>2581.255801105</v>
      </c>
      <c r="R1566">
        <v>3000</v>
      </c>
      <c r="S1566">
        <f t="shared" si="301"/>
        <v>418.74419889499995</v>
      </c>
      <c r="T1566">
        <v>3.5000000000000003E-2</v>
      </c>
      <c r="U1566">
        <f t="shared" si="302"/>
        <v>105.00000000000001</v>
      </c>
      <c r="V1566">
        <f t="shared" si="303"/>
        <v>3105</v>
      </c>
      <c r="W1566">
        <f t="shared" si="304"/>
        <v>523.74419889499995</v>
      </c>
      <c r="X1566" t="s">
        <v>1520</v>
      </c>
    </row>
    <row r="1567" spans="1:24" x14ac:dyDescent="0.25">
      <c r="A1567" t="s">
        <v>2025</v>
      </c>
      <c r="B1567" t="s">
        <v>2057</v>
      </c>
      <c r="C1567" t="s">
        <v>2058</v>
      </c>
      <c r="D1567" t="s">
        <v>184</v>
      </c>
      <c r="E1567" t="s">
        <v>23</v>
      </c>
      <c r="F1567" t="s">
        <v>1</v>
      </c>
      <c r="G1567" t="s">
        <v>757</v>
      </c>
      <c r="H1567" t="s">
        <v>423</v>
      </c>
      <c r="I1567" t="s">
        <v>1</v>
      </c>
      <c r="J1567">
        <v>2299.12</v>
      </c>
      <c r="K1567">
        <v>4750.6499999998996</v>
      </c>
      <c r="L1567">
        <v>88.41</v>
      </c>
      <c r="M1567">
        <v>178.28535911602208</v>
      </c>
      <c r="N1567">
        <v>443.72</v>
      </c>
      <c r="O1567">
        <v>178.285359116</v>
      </c>
      <c r="P1567">
        <v>0</v>
      </c>
      <c r="Q1567">
        <f t="shared" si="300"/>
        <v>178.285359116</v>
      </c>
      <c r="R1567">
        <v>178</v>
      </c>
      <c r="S1567">
        <f t="shared" si="301"/>
        <v>-0.28535911599999508</v>
      </c>
      <c r="T1567">
        <v>3.5000000000000003E-2</v>
      </c>
      <c r="U1567">
        <f t="shared" si="302"/>
        <v>6.23</v>
      </c>
      <c r="V1567">
        <f t="shared" si="303"/>
        <v>184.23</v>
      </c>
      <c r="W1567">
        <f t="shared" si="304"/>
        <v>5.9446408839999947</v>
      </c>
      <c r="X1567" t="s">
        <v>1521</v>
      </c>
    </row>
    <row r="1568" spans="1:24" x14ac:dyDescent="0.25">
      <c r="A1568" t="s">
        <v>2025</v>
      </c>
      <c r="B1568" t="s">
        <v>2057</v>
      </c>
      <c r="C1568" t="s">
        <v>2058</v>
      </c>
      <c r="D1568" t="s">
        <v>184</v>
      </c>
      <c r="E1568" t="s">
        <v>24</v>
      </c>
      <c r="F1568" t="s">
        <v>1</v>
      </c>
      <c r="G1568" t="s">
        <v>757</v>
      </c>
      <c r="H1568" t="s">
        <v>424</v>
      </c>
      <c r="I1568" t="s">
        <v>1</v>
      </c>
      <c r="J1568">
        <v>7354.13</v>
      </c>
      <c r="K1568">
        <v>12930</v>
      </c>
      <c r="L1568">
        <v>3822.27</v>
      </c>
      <c r="M1568">
        <v>7707.892541436463</v>
      </c>
      <c r="N1568">
        <v>6725.3700000000008</v>
      </c>
      <c r="O1568">
        <v>7644.54</v>
      </c>
      <c r="P1568">
        <v>0</v>
      </c>
      <c r="Q1568">
        <f t="shared" si="300"/>
        <v>7644.54</v>
      </c>
      <c r="R1568">
        <v>7687</v>
      </c>
      <c r="S1568">
        <f t="shared" si="301"/>
        <v>42.460000000000036</v>
      </c>
      <c r="T1568"/>
      <c r="U1568">
        <f t="shared" si="302"/>
        <v>0</v>
      </c>
      <c r="V1568">
        <f t="shared" si="303"/>
        <v>7687</v>
      </c>
      <c r="W1568">
        <f t="shared" si="304"/>
        <v>42.460000000000036</v>
      </c>
      <c r="X1568" t="s">
        <v>1522</v>
      </c>
    </row>
    <row r="1569" spans="1:24" x14ac:dyDescent="0.25">
      <c r="A1569" t="s">
        <v>2025</v>
      </c>
      <c r="B1569" t="s">
        <v>2057</v>
      </c>
      <c r="C1569" t="s">
        <v>2058</v>
      </c>
      <c r="D1569" t="s">
        <v>184</v>
      </c>
      <c r="E1569" t="s">
        <v>25</v>
      </c>
      <c r="F1569" t="s">
        <v>1</v>
      </c>
      <c r="G1569" t="s">
        <v>757</v>
      </c>
      <c r="H1569" t="s">
        <v>425</v>
      </c>
      <c r="I1569" t="s">
        <v>1</v>
      </c>
      <c r="J1569">
        <v>1424.52</v>
      </c>
      <c r="K1569"/>
      <c r="L1569">
        <v>-16.03</v>
      </c>
      <c r="M1569">
        <v>-32.325690607734813</v>
      </c>
      <c r="N1569">
        <v>190.44</v>
      </c>
      <c r="O1569">
        <v>-32.06</v>
      </c>
      <c r="P1569">
        <v>0</v>
      </c>
      <c r="Q1569">
        <f t="shared" si="300"/>
        <v>-32.06</v>
      </c>
      <c r="R1569">
        <v>1794</v>
      </c>
      <c r="S1569">
        <f t="shared" si="301"/>
        <v>1826.06</v>
      </c>
      <c r="T1569"/>
      <c r="U1569">
        <f t="shared" si="302"/>
        <v>0</v>
      </c>
      <c r="V1569">
        <f t="shared" si="303"/>
        <v>1794</v>
      </c>
      <c r="W1569">
        <f t="shared" si="304"/>
        <v>1826.06</v>
      </c>
      <c r="X1569" t="s">
        <v>1523</v>
      </c>
    </row>
    <row r="1570" spans="1:24" x14ac:dyDescent="0.25">
      <c r="A1570" t="s">
        <v>2025</v>
      </c>
      <c r="B1570" t="s">
        <v>2057</v>
      </c>
      <c r="C1570" t="s">
        <v>2058</v>
      </c>
      <c r="D1570" t="s">
        <v>184</v>
      </c>
      <c r="E1570" t="s">
        <v>26</v>
      </c>
      <c r="F1570" t="s">
        <v>1</v>
      </c>
      <c r="G1570" t="s">
        <v>757</v>
      </c>
      <c r="H1570" t="s">
        <v>426</v>
      </c>
      <c r="I1570" t="s">
        <v>1</v>
      </c>
      <c r="J1570">
        <v>5724</v>
      </c>
      <c r="K1570">
        <v>7251.3515416968003</v>
      </c>
      <c r="L1570">
        <v>3116</v>
      </c>
      <c r="M1570">
        <v>6283.6464088397788</v>
      </c>
      <c r="N1570">
        <v>7934</v>
      </c>
      <c r="O1570">
        <v>6232</v>
      </c>
      <c r="P1570">
        <v>0</v>
      </c>
      <c r="Q1570">
        <f t="shared" si="300"/>
        <v>6232</v>
      </c>
      <c r="R1570">
        <v>4356</v>
      </c>
      <c r="S1570">
        <f t="shared" si="301"/>
        <v>-1876</v>
      </c>
      <c r="T1570"/>
      <c r="U1570">
        <f t="shared" si="302"/>
        <v>0</v>
      </c>
      <c r="V1570">
        <f t="shared" si="303"/>
        <v>4356</v>
      </c>
      <c r="W1570">
        <f t="shared" si="304"/>
        <v>-1876</v>
      </c>
      <c r="X1570" t="s">
        <v>1524</v>
      </c>
    </row>
    <row r="1571" spans="1:24" x14ac:dyDescent="0.25">
      <c r="A1571" t="s">
        <v>2025</v>
      </c>
      <c r="B1571" t="s">
        <v>2057</v>
      </c>
      <c r="C1571" t="s">
        <v>2058</v>
      </c>
      <c r="D1571" t="s">
        <v>184</v>
      </c>
      <c r="E1571" t="s">
        <v>27</v>
      </c>
      <c r="F1571" t="s">
        <v>1</v>
      </c>
      <c r="G1571" t="s">
        <v>757</v>
      </c>
      <c r="H1571" t="s">
        <v>427</v>
      </c>
      <c r="I1571" t="s">
        <v>1</v>
      </c>
      <c r="J1571">
        <v>2592.08</v>
      </c>
      <c r="K1571">
        <v>3180</v>
      </c>
      <c r="L1571">
        <v>488.6</v>
      </c>
      <c r="M1571">
        <v>985.29834254143645</v>
      </c>
      <c r="N1571">
        <v>1176.68</v>
      </c>
      <c r="O1571">
        <v>977.2</v>
      </c>
      <c r="P1571">
        <v>0</v>
      </c>
      <c r="Q1571">
        <f t="shared" si="300"/>
        <v>977.2</v>
      </c>
      <c r="R1571">
        <v>977</v>
      </c>
      <c r="S1571">
        <f t="shared" si="301"/>
        <v>-0.20000000000004547</v>
      </c>
      <c r="T1571"/>
      <c r="U1571">
        <f t="shared" si="302"/>
        <v>0</v>
      </c>
      <c r="V1571">
        <f t="shared" si="303"/>
        <v>977</v>
      </c>
      <c r="W1571">
        <f t="shared" si="304"/>
        <v>-0.20000000000004547</v>
      </c>
      <c r="X1571" t="s">
        <v>1525</v>
      </c>
    </row>
    <row r="1572" spans="1:24" x14ac:dyDescent="0.25">
      <c r="A1572" t="s">
        <v>2025</v>
      </c>
      <c r="B1572" t="s">
        <v>2057</v>
      </c>
      <c r="C1572" t="s">
        <v>2058</v>
      </c>
      <c r="D1572" t="s">
        <v>184</v>
      </c>
      <c r="E1572" t="s">
        <v>28</v>
      </c>
      <c r="F1572" t="s">
        <v>1</v>
      </c>
      <c r="G1572" t="s">
        <v>757</v>
      </c>
      <c r="H1572" t="s">
        <v>428</v>
      </c>
      <c r="I1572" t="s">
        <v>1</v>
      </c>
      <c r="J1572">
        <v>1783.92</v>
      </c>
      <c r="K1572">
        <v>2010</v>
      </c>
      <c r="L1572">
        <v>968.04</v>
      </c>
      <c r="M1572">
        <v>1952.124861878453</v>
      </c>
      <c r="N1572">
        <v>2029.6599999999999</v>
      </c>
      <c r="O1572">
        <v>1936.08</v>
      </c>
      <c r="P1572">
        <v>0</v>
      </c>
      <c r="Q1572">
        <f t="shared" si="300"/>
        <v>1936.08</v>
      </c>
      <c r="R1572">
        <v>1936</v>
      </c>
      <c r="S1572">
        <f t="shared" si="301"/>
        <v>-7.999999999992724E-2</v>
      </c>
      <c r="T1572"/>
      <c r="U1572">
        <f t="shared" si="302"/>
        <v>0</v>
      </c>
      <c r="V1572">
        <f t="shared" si="303"/>
        <v>1936</v>
      </c>
      <c r="W1572">
        <f t="shared" si="304"/>
        <v>-7.999999999992724E-2</v>
      </c>
      <c r="X1572" t="s">
        <v>1526</v>
      </c>
    </row>
    <row r="1573" spans="1:24" x14ac:dyDescent="0.25">
      <c r="A1573" t="s">
        <v>2025</v>
      </c>
      <c r="B1573" t="s">
        <v>2057</v>
      </c>
      <c r="C1573" t="s">
        <v>2058</v>
      </c>
      <c r="D1573" t="s">
        <v>184</v>
      </c>
      <c r="E1573" t="s">
        <v>29</v>
      </c>
      <c r="F1573" t="s">
        <v>1</v>
      </c>
      <c r="G1573" t="s">
        <v>757</v>
      </c>
      <c r="H1573" t="s">
        <v>429</v>
      </c>
      <c r="I1573" t="s">
        <v>1</v>
      </c>
      <c r="J1573">
        <v>506.64</v>
      </c>
      <c r="K1573">
        <v>999.99999999960005</v>
      </c>
      <c r="L1573">
        <v>183.01</v>
      </c>
      <c r="M1573">
        <v>369.05331491712707</v>
      </c>
      <c r="N1573">
        <v>187.91</v>
      </c>
      <c r="O1573">
        <v>366.02</v>
      </c>
      <c r="P1573">
        <v>0</v>
      </c>
      <c r="Q1573">
        <f t="shared" si="300"/>
        <v>366.02</v>
      </c>
      <c r="R1573">
        <v>0</v>
      </c>
      <c r="S1573">
        <f t="shared" si="301"/>
        <v>-366.02</v>
      </c>
      <c r="T1573"/>
      <c r="U1573">
        <f t="shared" si="302"/>
        <v>0</v>
      </c>
      <c r="V1573">
        <f t="shared" si="303"/>
        <v>0</v>
      </c>
      <c r="W1573">
        <f t="shared" si="304"/>
        <v>-366.02</v>
      </c>
      <c r="X1573" t="s">
        <v>1518</v>
      </c>
    </row>
    <row r="1574" spans="1:24" x14ac:dyDescent="0.25">
      <c r="A1574" t="s">
        <v>2025</v>
      </c>
      <c r="B1574" t="s">
        <v>2057</v>
      </c>
      <c r="C1574" t="s">
        <v>2058</v>
      </c>
      <c r="D1574" t="s">
        <v>184</v>
      </c>
      <c r="E1574" t="s">
        <v>31</v>
      </c>
      <c r="F1574" t="s">
        <v>1</v>
      </c>
      <c r="G1574" t="s">
        <v>757</v>
      </c>
      <c r="H1574" t="s">
        <v>431</v>
      </c>
      <c r="I1574" t="s">
        <v>1</v>
      </c>
      <c r="J1574"/>
      <c r="K1574">
        <v>4410.9999999995998</v>
      </c>
      <c r="L1574">
        <v>0</v>
      </c>
      <c r="M1574">
        <v>0</v>
      </c>
      <c r="N1574">
        <v>0</v>
      </c>
      <c r="O1574"/>
      <c r="P1574">
        <v>0</v>
      </c>
      <c r="Q1574">
        <f t="shared" si="300"/>
        <v>0</v>
      </c>
      <c r="R1574">
        <v>0</v>
      </c>
      <c r="S1574">
        <f t="shared" si="301"/>
        <v>0</v>
      </c>
      <c r="T1574"/>
      <c r="U1574">
        <f t="shared" si="302"/>
        <v>0</v>
      </c>
      <c r="V1574">
        <f t="shared" si="303"/>
        <v>0</v>
      </c>
      <c r="W1574">
        <f t="shared" si="304"/>
        <v>0</v>
      </c>
      <c r="X1574" t="s">
        <v>1518</v>
      </c>
    </row>
    <row r="1575" spans="1:24" x14ac:dyDescent="0.25">
      <c r="A1575" t="s">
        <v>2025</v>
      </c>
      <c r="B1575" t="s">
        <v>2057</v>
      </c>
      <c r="C1575" t="s">
        <v>2058</v>
      </c>
      <c r="D1575" t="s">
        <v>184</v>
      </c>
      <c r="E1575" t="s">
        <v>33</v>
      </c>
      <c r="F1575" t="s">
        <v>1</v>
      </c>
      <c r="G1575" t="s">
        <v>757</v>
      </c>
      <c r="H1575" t="s">
        <v>433</v>
      </c>
      <c r="I1575" t="s">
        <v>1</v>
      </c>
      <c r="J1575">
        <v>5446.19</v>
      </c>
      <c r="K1575">
        <v>4186.4651350776003</v>
      </c>
      <c r="L1575">
        <v>1020.55</v>
      </c>
      <c r="M1575">
        <v>2058.0151933701654</v>
      </c>
      <c r="N1575">
        <v>5115.26</v>
      </c>
      <c r="O1575">
        <v>2041.1</v>
      </c>
      <c r="P1575">
        <v>0</v>
      </c>
      <c r="Q1575">
        <f t="shared" si="300"/>
        <v>2041.1</v>
      </c>
      <c r="R1575">
        <v>6300</v>
      </c>
      <c r="S1575">
        <f t="shared" si="301"/>
        <v>4258.8999999999996</v>
      </c>
      <c r="T1575"/>
      <c r="U1575">
        <f t="shared" si="302"/>
        <v>0</v>
      </c>
      <c r="V1575">
        <f t="shared" si="303"/>
        <v>6300</v>
      </c>
      <c r="W1575">
        <f t="shared" si="304"/>
        <v>4258.8999999999996</v>
      </c>
      <c r="X1575" t="s">
        <v>1527</v>
      </c>
    </row>
    <row r="1576" spans="1:24" x14ac:dyDescent="0.25">
      <c r="A1576" t="s">
        <v>2025</v>
      </c>
      <c r="B1576" t="s">
        <v>2057</v>
      </c>
      <c r="C1576" t="s">
        <v>2058</v>
      </c>
      <c r="D1576" t="s">
        <v>184</v>
      </c>
      <c r="E1576" t="s">
        <v>34</v>
      </c>
      <c r="F1576" t="s">
        <v>1</v>
      </c>
      <c r="G1576" t="s">
        <v>757</v>
      </c>
      <c r="H1576" t="s">
        <v>434</v>
      </c>
      <c r="I1576" t="s">
        <v>1</v>
      </c>
      <c r="J1576">
        <v>6347.65</v>
      </c>
      <c r="K1576">
        <v>12854.222617154401</v>
      </c>
      <c r="L1576">
        <v>3088.57</v>
      </c>
      <c r="M1576">
        <v>6228.3317679558013</v>
      </c>
      <c r="N1576">
        <v>5172.4900000000007</v>
      </c>
      <c r="O1576">
        <v>6177.14</v>
      </c>
      <c r="P1576">
        <v>0</v>
      </c>
      <c r="Q1576">
        <f t="shared" si="300"/>
        <v>6177.14</v>
      </c>
      <c r="R1576">
        <v>6177</v>
      </c>
      <c r="S1576">
        <f t="shared" si="301"/>
        <v>-0.14000000000032742</v>
      </c>
      <c r="T1576"/>
      <c r="U1576">
        <f t="shared" si="302"/>
        <v>0</v>
      </c>
      <c r="V1576">
        <f t="shared" si="303"/>
        <v>6177</v>
      </c>
      <c r="W1576">
        <f t="shared" si="304"/>
        <v>-0.14000000000032742</v>
      </c>
      <c r="X1576" t="s">
        <v>1528</v>
      </c>
    </row>
    <row r="1577" spans="1:24" x14ac:dyDescent="0.25">
      <c r="A1577" t="s">
        <v>2025</v>
      </c>
      <c r="B1577" t="s">
        <v>2057</v>
      </c>
      <c r="C1577" t="s">
        <v>2058</v>
      </c>
      <c r="D1577" t="s">
        <v>184</v>
      </c>
      <c r="E1577" t="s">
        <v>37</v>
      </c>
      <c r="F1577" t="s">
        <v>1</v>
      </c>
      <c r="G1577" t="s">
        <v>757</v>
      </c>
      <c r="H1577" t="s">
        <v>437</v>
      </c>
      <c r="I1577" t="s">
        <v>1</v>
      </c>
      <c r="J1577">
        <v>11484.01</v>
      </c>
      <c r="K1577">
        <v>11774.8604195352</v>
      </c>
      <c r="L1577">
        <v>5690.73</v>
      </c>
      <c r="M1577">
        <v>11475.781491712707</v>
      </c>
      <c r="N1577">
        <v>12036.820000000002</v>
      </c>
      <c r="O1577">
        <v>11381.46</v>
      </c>
      <c r="P1577">
        <v>0</v>
      </c>
      <c r="Q1577">
        <f t="shared" si="300"/>
        <v>11381.46</v>
      </c>
      <c r="R1577">
        <v>4644</v>
      </c>
      <c r="S1577">
        <f t="shared" si="301"/>
        <v>-6737.4599999999991</v>
      </c>
      <c r="T1577"/>
      <c r="U1577">
        <f t="shared" si="302"/>
        <v>0</v>
      </c>
      <c r="V1577">
        <f t="shared" si="303"/>
        <v>4644</v>
      </c>
      <c r="W1577">
        <f t="shared" si="304"/>
        <v>-6737.4599999999991</v>
      </c>
      <c r="X1577" t="s">
        <v>1529</v>
      </c>
    </row>
    <row r="1578" spans="1:24" x14ac:dyDescent="0.25">
      <c r="A1578" t="s">
        <v>2025</v>
      </c>
      <c r="B1578" t="s">
        <v>2057</v>
      </c>
      <c r="C1578" t="s">
        <v>2058</v>
      </c>
      <c r="D1578" t="s">
        <v>184</v>
      </c>
      <c r="E1578" t="s">
        <v>40</v>
      </c>
      <c r="F1578" t="s">
        <v>1</v>
      </c>
      <c r="G1578" t="s">
        <v>757</v>
      </c>
      <c r="H1578" t="s">
        <v>440</v>
      </c>
      <c r="I1578" t="s">
        <v>1</v>
      </c>
      <c r="J1578">
        <v>354.27</v>
      </c>
      <c r="K1578">
        <v>117.99999999960001</v>
      </c>
      <c r="L1578">
        <v>224.29</v>
      </c>
      <c r="M1578">
        <v>452.2975138121547</v>
      </c>
      <c r="N1578">
        <v>466.01</v>
      </c>
      <c r="O1578">
        <v>448.58</v>
      </c>
      <c r="P1578">
        <v>0</v>
      </c>
      <c r="Q1578">
        <f t="shared" si="300"/>
        <v>448.58</v>
      </c>
      <c r="R1578">
        <v>449</v>
      </c>
      <c r="S1578">
        <f t="shared" si="301"/>
        <v>0.42000000000001592</v>
      </c>
      <c r="T1578">
        <v>0.03</v>
      </c>
      <c r="U1578">
        <f t="shared" si="302"/>
        <v>13.469999999999999</v>
      </c>
      <c r="V1578">
        <f t="shared" si="303"/>
        <v>462.47</v>
      </c>
      <c r="W1578">
        <f t="shared" si="304"/>
        <v>13.890000000000043</v>
      </c>
      <c r="X1578" t="s">
        <v>1530</v>
      </c>
    </row>
    <row r="1579" spans="1:24" x14ac:dyDescent="0.25">
      <c r="A1579" t="s">
        <v>2025</v>
      </c>
      <c r="B1579" t="s">
        <v>2057</v>
      </c>
      <c r="C1579" t="s">
        <v>2058</v>
      </c>
      <c r="D1579" t="s">
        <v>184</v>
      </c>
      <c r="E1579" t="s">
        <v>41</v>
      </c>
      <c r="F1579" t="s">
        <v>1</v>
      </c>
      <c r="G1579" t="s">
        <v>757</v>
      </c>
      <c r="H1579" t="s">
        <v>441</v>
      </c>
      <c r="I1579" t="s">
        <v>1</v>
      </c>
      <c r="J1579">
        <v>58.35</v>
      </c>
      <c r="K1579">
        <v>114.62013356999999</v>
      </c>
      <c r="L1579">
        <v>0</v>
      </c>
      <c r="M1579">
        <v>0</v>
      </c>
      <c r="N1579">
        <v>0</v>
      </c>
      <c r="O1579"/>
      <c r="P1579">
        <v>0</v>
      </c>
      <c r="Q1579">
        <f t="shared" si="300"/>
        <v>0</v>
      </c>
      <c r="R1579">
        <v>0</v>
      </c>
      <c r="S1579">
        <f t="shared" si="301"/>
        <v>0</v>
      </c>
      <c r="T1579">
        <v>0.03</v>
      </c>
      <c r="U1579">
        <f t="shared" si="302"/>
        <v>0</v>
      </c>
      <c r="V1579">
        <f t="shared" si="303"/>
        <v>0</v>
      </c>
      <c r="W1579">
        <f t="shared" si="304"/>
        <v>0</v>
      </c>
      <c r="X1579" t="s">
        <v>1518</v>
      </c>
    </row>
    <row r="1580" spans="1:24" x14ac:dyDescent="0.25">
      <c r="A1580" t="s">
        <v>2025</v>
      </c>
      <c r="B1580" t="s">
        <v>2057</v>
      </c>
      <c r="C1580" t="s">
        <v>2058</v>
      </c>
      <c r="D1580" t="s">
        <v>184</v>
      </c>
      <c r="E1580" t="s">
        <v>42</v>
      </c>
      <c r="F1580" t="s">
        <v>1</v>
      </c>
      <c r="G1580" t="s">
        <v>757</v>
      </c>
      <c r="H1580" t="s">
        <v>442</v>
      </c>
      <c r="I1580" t="s">
        <v>1</v>
      </c>
      <c r="J1580">
        <v>1047.23</v>
      </c>
      <c r="K1580">
        <v>1014</v>
      </c>
      <c r="L1580">
        <v>46.6</v>
      </c>
      <c r="M1580">
        <v>93.972375690607748</v>
      </c>
      <c r="N1580">
        <v>79.83</v>
      </c>
      <c r="O1580">
        <v>93.2</v>
      </c>
      <c r="P1580">
        <v>0</v>
      </c>
      <c r="Q1580">
        <f t="shared" si="300"/>
        <v>93.2</v>
      </c>
      <c r="R1580">
        <v>93</v>
      </c>
      <c r="S1580">
        <f t="shared" si="301"/>
        <v>-0.20000000000000284</v>
      </c>
      <c r="T1580">
        <v>0.03</v>
      </c>
      <c r="U1580">
        <f t="shared" si="302"/>
        <v>2.79</v>
      </c>
      <c r="V1580">
        <f t="shared" si="303"/>
        <v>95.79</v>
      </c>
      <c r="W1580">
        <f t="shared" si="304"/>
        <v>2.5900000000000034</v>
      </c>
      <c r="X1580" t="s">
        <v>1517</v>
      </c>
    </row>
    <row r="1581" spans="1:24" x14ac:dyDescent="0.25">
      <c r="A1581" t="s">
        <v>2025</v>
      </c>
      <c r="B1581" t="s">
        <v>2057</v>
      </c>
      <c r="C1581" t="s">
        <v>2058</v>
      </c>
      <c r="D1581" t="s">
        <v>184</v>
      </c>
      <c r="E1581" t="s">
        <v>46</v>
      </c>
      <c r="F1581" t="s">
        <v>1</v>
      </c>
      <c r="G1581" t="s">
        <v>757</v>
      </c>
      <c r="H1581" t="s">
        <v>446</v>
      </c>
      <c r="I1581" t="s">
        <v>1</v>
      </c>
      <c r="J1581">
        <v>5389.9</v>
      </c>
      <c r="K1581"/>
      <c r="L1581">
        <v>237.08</v>
      </c>
      <c r="M1581">
        <v>478.08950276243098</v>
      </c>
      <c r="N1581">
        <v>5450.37</v>
      </c>
      <c r="O1581">
        <v>474.16</v>
      </c>
      <c r="P1581">
        <v>0</v>
      </c>
      <c r="Q1581">
        <f t="shared" si="300"/>
        <v>474.16</v>
      </c>
      <c r="R1581">
        <v>474</v>
      </c>
      <c r="S1581">
        <f t="shared" si="301"/>
        <v>-0.16000000000002501</v>
      </c>
      <c r="T1581">
        <v>0.03</v>
      </c>
      <c r="U1581">
        <f t="shared" si="302"/>
        <v>14.219999999999999</v>
      </c>
      <c r="V1581">
        <f t="shared" si="303"/>
        <v>488.22</v>
      </c>
      <c r="W1581">
        <f t="shared" si="304"/>
        <v>14.060000000000002</v>
      </c>
      <c r="X1581" t="s">
        <v>1531</v>
      </c>
    </row>
    <row r="1582" spans="1:24" x14ac:dyDescent="0.25">
      <c r="A1582" t="s">
        <v>2025</v>
      </c>
      <c r="B1582" t="s">
        <v>2057</v>
      </c>
      <c r="C1582" t="s">
        <v>2058</v>
      </c>
      <c r="D1582" t="s">
        <v>184</v>
      </c>
      <c r="E1582" t="s">
        <v>47</v>
      </c>
      <c r="F1582" t="s">
        <v>1</v>
      </c>
      <c r="G1582" t="s">
        <v>757</v>
      </c>
      <c r="H1582" t="s">
        <v>447</v>
      </c>
      <c r="I1582" t="s">
        <v>1</v>
      </c>
      <c r="J1582">
        <v>3429.57</v>
      </c>
      <c r="K1582">
        <v>4709.0003999999999</v>
      </c>
      <c r="L1582">
        <v>2169.19</v>
      </c>
      <c r="M1582">
        <v>4374.3334254143647</v>
      </c>
      <c r="N1582">
        <v>3263.57</v>
      </c>
      <c r="O1582">
        <v>4338.38</v>
      </c>
      <c r="P1582">
        <v>0</v>
      </c>
      <c r="Q1582">
        <f t="shared" si="300"/>
        <v>4338.38</v>
      </c>
      <c r="R1582">
        <v>4338</v>
      </c>
      <c r="S1582">
        <f t="shared" si="301"/>
        <v>-0.38000000000010914</v>
      </c>
      <c r="T1582">
        <v>0.03</v>
      </c>
      <c r="U1582">
        <f t="shared" si="302"/>
        <v>130.13999999999999</v>
      </c>
      <c r="V1582">
        <f t="shared" si="303"/>
        <v>4468.1400000000003</v>
      </c>
      <c r="W1582">
        <f t="shared" si="304"/>
        <v>129.76000000000022</v>
      </c>
      <c r="X1582" t="s">
        <v>1532</v>
      </c>
    </row>
    <row r="1583" spans="1:24" x14ac:dyDescent="0.25">
      <c r="A1583" t="s">
        <v>2025</v>
      </c>
      <c r="B1583" t="s">
        <v>2057</v>
      </c>
      <c r="C1583" t="s">
        <v>2058</v>
      </c>
      <c r="D1583" t="s">
        <v>184</v>
      </c>
      <c r="E1583" t="s">
        <v>48</v>
      </c>
      <c r="F1583" t="s">
        <v>1</v>
      </c>
      <c r="G1583" t="s">
        <v>757</v>
      </c>
      <c r="H1583" t="s">
        <v>448</v>
      </c>
      <c r="I1583" t="s">
        <v>1</v>
      </c>
      <c r="J1583">
        <v>143.02000000000001</v>
      </c>
      <c r="K1583">
        <v>236.00000000040001</v>
      </c>
      <c r="L1583">
        <v>182.15</v>
      </c>
      <c r="M1583">
        <v>367.31906077348066</v>
      </c>
      <c r="N1583">
        <v>207.10000000000002</v>
      </c>
      <c r="O1583">
        <v>364.3</v>
      </c>
      <c r="P1583">
        <v>0</v>
      </c>
      <c r="Q1583">
        <f t="shared" si="300"/>
        <v>364.3</v>
      </c>
      <c r="R1583">
        <v>364</v>
      </c>
      <c r="S1583">
        <f t="shared" si="301"/>
        <v>-0.30000000000001137</v>
      </c>
      <c r="T1583">
        <v>0.03</v>
      </c>
      <c r="U1583">
        <f t="shared" si="302"/>
        <v>10.92</v>
      </c>
      <c r="V1583">
        <f t="shared" si="303"/>
        <v>374.92</v>
      </c>
      <c r="W1583">
        <f t="shared" si="304"/>
        <v>10.620000000000005</v>
      </c>
      <c r="X1583" t="s">
        <v>1533</v>
      </c>
    </row>
    <row r="1584" spans="1:24" x14ac:dyDescent="0.25">
      <c r="A1584" t="s">
        <v>2025</v>
      </c>
      <c r="B1584" t="s">
        <v>2057</v>
      </c>
      <c r="C1584" t="s">
        <v>2058</v>
      </c>
      <c r="D1584" t="s">
        <v>184</v>
      </c>
      <c r="E1584" t="s">
        <v>49</v>
      </c>
      <c r="F1584" t="s">
        <v>1</v>
      </c>
      <c r="G1584" t="s">
        <v>757</v>
      </c>
      <c r="H1584" t="s">
        <v>449</v>
      </c>
      <c r="I1584" t="s">
        <v>1</v>
      </c>
      <c r="J1584">
        <v>215.77</v>
      </c>
      <c r="K1584">
        <v>250.00000000040001</v>
      </c>
      <c r="L1584">
        <v>261.22000000000003</v>
      </c>
      <c r="M1584">
        <v>526.76961325966852</v>
      </c>
      <c r="N1584">
        <v>321.5</v>
      </c>
      <c r="O1584">
        <v>526.76961325970001</v>
      </c>
      <c r="P1584">
        <v>0</v>
      </c>
      <c r="Q1584">
        <f t="shared" si="300"/>
        <v>526.76961325970001</v>
      </c>
      <c r="R1584">
        <v>527</v>
      </c>
      <c r="S1584">
        <f t="shared" si="301"/>
        <v>0.23038674029999129</v>
      </c>
      <c r="T1584"/>
      <c r="U1584">
        <f t="shared" si="302"/>
        <v>0</v>
      </c>
      <c r="V1584">
        <f t="shared" si="303"/>
        <v>527</v>
      </c>
      <c r="W1584">
        <f t="shared" si="304"/>
        <v>0.23038674029999129</v>
      </c>
      <c r="X1584" t="s">
        <v>1534</v>
      </c>
    </row>
    <row r="1585" spans="1:24" x14ac:dyDescent="0.25">
      <c r="A1585" t="s">
        <v>2025</v>
      </c>
      <c r="B1585" t="s">
        <v>2057</v>
      </c>
      <c r="C1585" t="s">
        <v>2058</v>
      </c>
      <c r="D1585" t="s">
        <v>184</v>
      </c>
      <c r="E1585" t="s">
        <v>50</v>
      </c>
      <c r="F1585" t="s">
        <v>1</v>
      </c>
      <c r="G1585" t="s">
        <v>757</v>
      </c>
      <c r="H1585" t="s">
        <v>450</v>
      </c>
      <c r="I1585" t="s">
        <v>1</v>
      </c>
      <c r="J1585">
        <v>4775.32</v>
      </c>
      <c r="K1585">
        <v>4279.9999999995998</v>
      </c>
      <c r="L1585">
        <v>2544.29</v>
      </c>
      <c r="M1585">
        <v>5130.7505524861881</v>
      </c>
      <c r="N1585">
        <v>5250.91</v>
      </c>
      <c r="O1585">
        <v>5130.7505524861999</v>
      </c>
      <c r="P1585">
        <v>0</v>
      </c>
      <c r="Q1585">
        <f t="shared" si="300"/>
        <v>5130.7505524861999</v>
      </c>
      <c r="R1585">
        <v>5131</v>
      </c>
      <c r="S1585">
        <f t="shared" si="301"/>
        <v>0.24944751380007801</v>
      </c>
      <c r="T1585"/>
      <c r="U1585">
        <f t="shared" si="302"/>
        <v>0</v>
      </c>
      <c r="V1585">
        <f t="shared" si="303"/>
        <v>5131</v>
      </c>
      <c r="W1585">
        <f t="shared" si="304"/>
        <v>0.24944751380007801</v>
      </c>
      <c r="X1585" t="s">
        <v>1535</v>
      </c>
    </row>
    <row r="1586" spans="1:24" x14ac:dyDescent="0.25">
      <c r="A1586" t="s">
        <v>2025</v>
      </c>
      <c r="B1586" t="s">
        <v>2057</v>
      </c>
      <c r="C1586" t="s">
        <v>2058</v>
      </c>
      <c r="D1586" t="s">
        <v>184</v>
      </c>
      <c r="E1586" t="s">
        <v>51</v>
      </c>
      <c r="F1586" t="s">
        <v>51</v>
      </c>
      <c r="G1586" t="s">
        <v>759</v>
      </c>
      <c r="H1586"/>
      <c r="I1586"/>
      <c r="J1586">
        <v>273992.58000000007</v>
      </c>
      <c r="K1586">
        <v>104269.62588239228</v>
      </c>
      <c r="L1586">
        <v>31196.890000000003</v>
      </c>
      <c r="M1586">
        <v>62910.85552486188</v>
      </c>
      <c r="N1586">
        <v>166706.38</v>
      </c>
      <c r="O1586">
        <v>62471.345724606901</v>
      </c>
      <c r="P1586">
        <f>SUMIF($F$1555:$F$1585,"&lt;&gt;EV_*",$P$1555:$P$1585)</f>
        <v>0</v>
      </c>
      <c r="Q1586">
        <f>SUMIF($F$1555:$F$1585,"&lt;&gt;EV_*",$Q$1555:$Q$1585)</f>
        <v>62471.345724606901</v>
      </c>
      <c r="R1586">
        <f>SUMIF($F$1555:$F$1585,"&lt;&gt;EV_*",$R$1555:$R$1585)</f>
        <v>71634</v>
      </c>
      <c r="S1586">
        <f>SUMIF($F$1555:$F$1585,"&lt;&gt;EV_*",$S$1555:$S$1585)</f>
        <v>9162.6542753930989</v>
      </c>
      <c r="T1586">
        <v>0</v>
      </c>
      <c r="U1586">
        <f>SUMIF($F$1555:$F$1585,"&lt;&gt;EV_*",$U$1555:$U$1585)</f>
        <v>482.63000000000005</v>
      </c>
      <c r="V1586">
        <f>SUMIF($F$1555:$F$1585,"&lt;&gt;EV_*",$V$1555:$V$1585)</f>
        <v>72116.63</v>
      </c>
      <c r="W1586">
        <f>SUMIF($F$1555:$F$1585,"&lt;&gt;EV_*",$W$1555:$W$1585)</f>
        <v>9645.2842753930963</v>
      </c>
      <c r="X1586">
        <f>SUMIF($F$1555:$F$1585,"&lt;&gt;EV_*",$X$1555:$X$1585)</f>
        <v>0</v>
      </c>
    </row>
    <row r="1587" spans="1:24" x14ac:dyDescent="0.25">
      <c r="A1587" t="s">
        <v>2025</v>
      </c>
      <c r="B1587" t="s">
        <v>2057</v>
      </c>
      <c r="C1587" t="s">
        <v>2059</v>
      </c>
      <c r="D1587" t="s">
        <v>186</v>
      </c>
      <c r="E1587" t="s">
        <v>5</v>
      </c>
      <c r="F1587" t="s">
        <v>5</v>
      </c>
      <c r="G1587" t="s">
        <v>760</v>
      </c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</row>
    <row r="1588" spans="1:24" x14ac:dyDescent="0.25">
      <c r="A1588" t="s">
        <v>2025</v>
      </c>
      <c r="B1588" t="s">
        <v>2057</v>
      </c>
      <c r="C1588" t="s">
        <v>2059</v>
      </c>
      <c r="D1588" t="s">
        <v>186</v>
      </c>
      <c r="E1588" t="s">
        <v>8</v>
      </c>
      <c r="F1588" t="s">
        <v>1</v>
      </c>
      <c r="G1588" t="s">
        <v>761</v>
      </c>
      <c r="H1588" t="s">
        <v>408</v>
      </c>
      <c r="I1588" t="s">
        <v>1</v>
      </c>
      <c r="J1588">
        <v>1793.74</v>
      </c>
      <c r="K1588">
        <v>2035.3690607735</v>
      </c>
      <c r="L1588">
        <v>821.25</v>
      </c>
      <c r="M1588">
        <v>1656.1118784530386</v>
      </c>
      <c r="N1588">
        <v>1605.67</v>
      </c>
      <c r="O1588">
        <v>1656.1118784529999</v>
      </c>
      <c r="P1588">
        <v>0</v>
      </c>
      <c r="Q1588">
        <f t="shared" ref="Q1588:Q1609" si="305">O1588+P1588</f>
        <v>1656.1118784529999</v>
      </c>
      <c r="R1588">
        <v>1656</v>
      </c>
      <c r="S1588">
        <f t="shared" ref="S1588:S1609" si="306">IF(OR(LEFT(E1588,2)="A_",LEFT(D1588,5)="Total"),R1588-Q1588,"")</f>
        <v>-0.1118784529999175</v>
      </c>
      <c r="T1588"/>
      <c r="U1588">
        <f t="shared" ref="U1588:U1609" si="307">IFERROR(R1588*T1588,R1588*0)</f>
        <v>0</v>
      </c>
      <c r="V1588">
        <f t="shared" ref="V1588:V1609" si="308">IF(OR(LEFT(E1588,2)="A_",LEFT(D1588,5)="Total"),R1588+U1588,"")</f>
        <v>1656</v>
      </c>
      <c r="W1588">
        <f t="shared" ref="W1588:W1609" si="309">IF(OR(LEFT(E1588,2)="A_",LEFT(D1588,5)="Total"),V1588-Q1588,"")</f>
        <v>-0.1118784529999175</v>
      </c>
      <c r="X1588" t="s">
        <v>1536</v>
      </c>
    </row>
    <row r="1589" spans="1:24" x14ac:dyDescent="0.25">
      <c r="A1589" t="s">
        <v>2025</v>
      </c>
      <c r="B1589" t="s">
        <v>2057</v>
      </c>
      <c r="C1589" t="s">
        <v>2059</v>
      </c>
      <c r="D1589" t="s">
        <v>186</v>
      </c>
      <c r="E1589" t="s">
        <v>11</v>
      </c>
      <c r="F1589" t="s">
        <v>1</v>
      </c>
      <c r="G1589" t="s">
        <v>761</v>
      </c>
      <c r="H1589" t="s">
        <v>411</v>
      </c>
      <c r="I1589" t="s">
        <v>1</v>
      </c>
      <c r="J1589">
        <v>1121.33</v>
      </c>
      <c r="K1589">
        <v>875.84000000039998</v>
      </c>
      <c r="L1589">
        <v>424.82</v>
      </c>
      <c r="M1589">
        <v>856.68121546961322</v>
      </c>
      <c r="N1589">
        <v>935.22</v>
      </c>
      <c r="O1589">
        <v>849.64</v>
      </c>
      <c r="P1589">
        <v>0</v>
      </c>
      <c r="Q1589">
        <f t="shared" si="305"/>
        <v>849.64</v>
      </c>
      <c r="R1589">
        <v>850</v>
      </c>
      <c r="S1589">
        <f t="shared" si="306"/>
        <v>0.36000000000001364</v>
      </c>
      <c r="T1589"/>
      <c r="U1589">
        <f t="shared" si="307"/>
        <v>0</v>
      </c>
      <c r="V1589">
        <f t="shared" si="308"/>
        <v>850</v>
      </c>
      <c r="W1589">
        <f t="shared" si="309"/>
        <v>0.36000000000001364</v>
      </c>
      <c r="X1589" t="s">
        <v>1536</v>
      </c>
    </row>
    <row r="1590" spans="1:24" x14ac:dyDescent="0.25">
      <c r="A1590" t="s">
        <v>2025</v>
      </c>
      <c r="B1590" t="s">
        <v>2057</v>
      </c>
      <c r="C1590" t="s">
        <v>2059</v>
      </c>
      <c r="D1590" t="s">
        <v>186</v>
      </c>
      <c r="E1590" t="s">
        <v>13</v>
      </c>
      <c r="F1590" t="s">
        <v>1</v>
      </c>
      <c r="G1590" t="s">
        <v>761</v>
      </c>
      <c r="H1590" t="s">
        <v>413</v>
      </c>
      <c r="I1590" t="s">
        <v>1</v>
      </c>
      <c r="J1590">
        <v>382.51</v>
      </c>
      <c r="K1590"/>
      <c r="L1590">
        <v>703.48</v>
      </c>
      <c r="M1590">
        <v>1418.6198895027624</v>
      </c>
      <c r="N1590">
        <v>1085.99</v>
      </c>
      <c r="O1590">
        <v>1406.96</v>
      </c>
      <c r="P1590">
        <v>0</v>
      </c>
      <c r="Q1590">
        <f t="shared" si="305"/>
        <v>1406.96</v>
      </c>
      <c r="R1590">
        <v>1407</v>
      </c>
      <c r="S1590">
        <f t="shared" si="306"/>
        <v>3.999999999996362E-2</v>
      </c>
      <c r="T1590"/>
      <c r="U1590">
        <f t="shared" si="307"/>
        <v>0</v>
      </c>
      <c r="V1590">
        <f t="shared" si="308"/>
        <v>1407</v>
      </c>
      <c r="W1590">
        <f t="shared" si="309"/>
        <v>3.999999999996362E-2</v>
      </c>
      <c r="X1590" t="s">
        <v>1517</v>
      </c>
    </row>
    <row r="1591" spans="1:24" x14ac:dyDescent="0.25">
      <c r="A1591" t="s">
        <v>2025</v>
      </c>
      <c r="B1591" t="s">
        <v>2057</v>
      </c>
      <c r="C1591" t="s">
        <v>2059</v>
      </c>
      <c r="D1591" t="s">
        <v>186</v>
      </c>
      <c r="E1591" t="s">
        <v>18</v>
      </c>
      <c r="F1591" t="s">
        <v>1</v>
      </c>
      <c r="G1591" t="s">
        <v>761</v>
      </c>
      <c r="H1591" t="s">
        <v>418</v>
      </c>
      <c r="I1591" t="s">
        <v>1</v>
      </c>
      <c r="J1591">
        <v>1468</v>
      </c>
      <c r="K1591">
        <v>1124.5604938273</v>
      </c>
      <c r="L1591">
        <v>380</v>
      </c>
      <c r="M1591">
        <v>766.29834254143645</v>
      </c>
      <c r="N1591">
        <v>1114</v>
      </c>
      <c r="O1591">
        <v>764.17582417580002</v>
      </c>
      <c r="P1591">
        <v>0</v>
      </c>
      <c r="Q1591">
        <f t="shared" si="305"/>
        <v>764.17582417580002</v>
      </c>
      <c r="R1591">
        <v>1500</v>
      </c>
      <c r="S1591">
        <f t="shared" si="306"/>
        <v>735.82417582419998</v>
      </c>
      <c r="T1591">
        <v>0.02</v>
      </c>
      <c r="U1591">
        <f t="shared" si="307"/>
        <v>30</v>
      </c>
      <c r="V1591">
        <f t="shared" si="308"/>
        <v>1530</v>
      </c>
      <c r="W1591">
        <f t="shared" si="309"/>
        <v>765.82417582419998</v>
      </c>
      <c r="X1591" t="s">
        <v>1537</v>
      </c>
    </row>
    <row r="1592" spans="1:24" x14ac:dyDescent="0.25">
      <c r="A1592" t="s">
        <v>2025</v>
      </c>
      <c r="B1592" t="s">
        <v>2057</v>
      </c>
      <c r="C1592" t="s">
        <v>2059</v>
      </c>
      <c r="D1592" t="s">
        <v>186</v>
      </c>
      <c r="E1592" t="s">
        <v>21</v>
      </c>
      <c r="F1592" t="s">
        <v>1</v>
      </c>
      <c r="G1592" t="s">
        <v>761</v>
      </c>
      <c r="H1592" t="s">
        <v>421</v>
      </c>
      <c r="I1592" t="s">
        <v>1</v>
      </c>
      <c r="J1592"/>
      <c r="K1592"/>
      <c r="L1592">
        <v>127.44</v>
      </c>
      <c r="M1592">
        <v>256.9922651933702</v>
      </c>
      <c r="N1592">
        <v>127.44</v>
      </c>
      <c r="O1592">
        <v>256.99226519339999</v>
      </c>
      <c r="P1592">
        <v>0</v>
      </c>
      <c r="Q1592">
        <f t="shared" si="305"/>
        <v>256.99226519339999</v>
      </c>
      <c r="R1592">
        <v>4108</v>
      </c>
      <c r="S1592">
        <f t="shared" si="306"/>
        <v>3851.0077348066002</v>
      </c>
      <c r="T1592">
        <v>0.03</v>
      </c>
      <c r="U1592">
        <f t="shared" si="307"/>
        <v>123.24</v>
      </c>
      <c r="V1592">
        <f t="shared" si="308"/>
        <v>4231.24</v>
      </c>
      <c r="W1592">
        <f t="shared" si="309"/>
        <v>3974.2477348066</v>
      </c>
      <c r="X1592" t="s">
        <v>1538</v>
      </c>
    </row>
    <row r="1593" spans="1:24" x14ac:dyDescent="0.25">
      <c r="A1593" t="s">
        <v>2025</v>
      </c>
      <c r="B1593" t="s">
        <v>2057</v>
      </c>
      <c r="C1593" t="s">
        <v>2059</v>
      </c>
      <c r="D1593" t="s">
        <v>186</v>
      </c>
      <c r="E1593" t="s">
        <v>66</v>
      </c>
      <c r="F1593" t="s">
        <v>1</v>
      </c>
      <c r="G1593" t="s">
        <v>761</v>
      </c>
      <c r="H1593" t="s">
        <v>477</v>
      </c>
      <c r="I1593" t="s">
        <v>1</v>
      </c>
      <c r="J1593">
        <v>2655.5</v>
      </c>
      <c r="K1593"/>
      <c r="L1593">
        <v>0</v>
      </c>
      <c r="M1593">
        <v>0</v>
      </c>
      <c r="N1593">
        <v>2655.5</v>
      </c>
      <c r="O1593"/>
      <c r="P1593">
        <v>0</v>
      </c>
      <c r="Q1593">
        <f t="shared" si="305"/>
        <v>0</v>
      </c>
      <c r="R1593">
        <v>2656</v>
      </c>
      <c r="S1593">
        <f t="shared" si="306"/>
        <v>2656</v>
      </c>
      <c r="T1593">
        <v>3.5000000000000003E-2</v>
      </c>
      <c r="U1593">
        <f t="shared" si="307"/>
        <v>92.960000000000008</v>
      </c>
      <c r="V1593">
        <f t="shared" si="308"/>
        <v>2748.96</v>
      </c>
      <c r="W1593">
        <f t="shared" si="309"/>
        <v>2748.96</v>
      </c>
      <c r="X1593" t="s">
        <v>1539</v>
      </c>
    </row>
    <row r="1594" spans="1:24" x14ac:dyDescent="0.25">
      <c r="A1594" t="s">
        <v>2025</v>
      </c>
      <c r="B1594" t="s">
        <v>2057</v>
      </c>
      <c r="C1594" t="s">
        <v>2059</v>
      </c>
      <c r="D1594" t="s">
        <v>186</v>
      </c>
      <c r="E1594" t="s">
        <v>22</v>
      </c>
      <c r="F1594" t="s">
        <v>1</v>
      </c>
      <c r="G1594" t="s">
        <v>761</v>
      </c>
      <c r="H1594" t="s">
        <v>422</v>
      </c>
      <c r="I1594" t="s">
        <v>1</v>
      </c>
      <c r="J1594">
        <v>2283.69</v>
      </c>
      <c r="K1594">
        <v>3063.5999999997998</v>
      </c>
      <c r="L1594">
        <v>540.22</v>
      </c>
      <c r="M1594">
        <v>1089.3939226519337</v>
      </c>
      <c r="N1594">
        <v>1344.6000000000001</v>
      </c>
      <c r="O1594">
        <v>1089.3939226519001</v>
      </c>
      <c r="P1594">
        <v>0</v>
      </c>
      <c r="Q1594">
        <f t="shared" si="305"/>
        <v>1089.3939226519001</v>
      </c>
      <c r="R1594">
        <v>1089</v>
      </c>
      <c r="S1594">
        <f t="shared" si="306"/>
        <v>-0.39392265190008402</v>
      </c>
      <c r="T1594">
        <v>3.5000000000000003E-2</v>
      </c>
      <c r="U1594">
        <f t="shared" si="307"/>
        <v>38.115000000000002</v>
      </c>
      <c r="V1594">
        <f t="shared" si="308"/>
        <v>1127.115</v>
      </c>
      <c r="W1594">
        <f t="shared" si="309"/>
        <v>37.721077348099925</v>
      </c>
      <c r="X1594" t="s">
        <v>1540</v>
      </c>
    </row>
    <row r="1595" spans="1:24" x14ac:dyDescent="0.25">
      <c r="A1595" t="s">
        <v>2025</v>
      </c>
      <c r="B1595" t="s">
        <v>2057</v>
      </c>
      <c r="C1595" t="s">
        <v>2059</v>
      </c>
      <c r="D1595" t="s">
        <v>186</v>
      </c>
      <c r="E1595" t="s">
        <v>23</v>
      </c>
      <c r="F1595" t="s">
        <v>1</v>
      </c>
      <c r="G1595" t="s">
        <v>761</v>
      </c>
      <c r="H1595" t="s">
        <v>423</v>
      </c>
      <c r="I1595" t="s">
        <v>1</v>
      </c>
      <c r="J1595">
        <v>2474.9299999999998</v>
      </c>
      <c r="K1595">
        <v>848.70000000020002</v>
      </c>
      <c r="L1595">
        <v>112.28</v>
      </c>
      <c r="M1595">
        <v>226.42099447513812</v>
      </c>
      <c r="N1595">
        <v>2176.2400000000002</v>
      </c>
      <c r="O1595">
        <v>226.4209944751</v>
      </c>
      <c r="P1595">
        <v>0</v>
      </c>
      <c r="Q1595">
        <f t="shared" si="305"/>
        <v>226.4209944751</v>
      </c>
      <c r="R1595">
        <v>226</v>
      </c>
      <c r="S1595">
        <f t="shared" si="306"/>
        <v>-0.42099447510000232</v>
      </c>
      <c r="T1595">
        <v>3.5000000000000003E-2</v>
      </c>
      <c r="U1595">
        <f t="shared" si="307"/>
        <v>7.910000000000001</v>
      </c>
      <c r="V1595">
        <f t="shared" si="308"/>
        <v>233.91</v>
      </c>
      <c r="W1595">
        <f t="shared" si="309"/>
        <v>7.4890055248999943</v>
      </c>
      <c r="X1595" t="s">
        <v>1541</v>
      </c>
    </row>
    <row r="1596" spans="1:24" x14ac:dyDescent="0.25">
      <c r="A1596" t="s">
        <v>2025</v>
      </c>
      <c r="B1596" t="s">
        <v>2057</v>
      </c>
      <c r="C1596" t="s">
        <v>2059</v>
      </c>
      <c r="D1596" t="s">
        <v>186</v>
      </c>
      <c r="E1596" t="s">
        <v>24</v>
      </c>
      <c r="F1596" t="s">
        <v>1</v>
      </c>
      <c r="G1596" t="s">
        <v>761</v>
      </c>
      <c r="H1596" t="s">
        <v>424</v>
      </c>
      <c r="I1596" t="s">
        <v>1</v>
      </c>
      <c r="J1596">
        <v>2422.1</v>
      </c>
      <c r="K1596"/>
      <c r="L1596">
        <v>200.01</v>
      </c>
      <c r="M1596">
        <v>403.33508287292813</v>
      </c>
      <c r="N1596">
        <v>2197.09</v>
      </c>
      <c r="O1596">
        <v>400.02</v>
      </c>
      <c r="P1596">
        <v>0</v>
      </c>
      <c r="Q1596">
        <f t="shared" si="305"/>
        <v>400.02</v>
      </c>
      <c r="R1596">
        <v>4740</v>
      </c>
      <c r="S1596">
        <f t="shared" si="306"/>
        <v>4339.9799999999996</v>
      </c>
      <c r="T1596"/>
      <c r="U1596">
        <f t="shared" si="307"/>
        <v>0</v>
      </c>
      <c r="V1596">
        <f t="shared" si="308"/>
        <v>4740</v>
      </c>
      <c r="W1596">
        <f t="shared" si="309"/>
        <v>4339.9799999999996</v>
      </c>
      <c r="X1596" t="s">
        <v>1542</v>
      </c>
    </row>
    <row r="1597" spans="1:24" x14ac:dyDescent="0.25">
      <c r="A1597" t="s">
        <v>2025</v>
      </c>
      <c r="B1597" t="s">
        <v>2057</v>
      </c>
      <c r="C1597" t="s">
        <v>2059</v>
      </c>
      <c r="D1597" t="s">
        <v>186</v>
      </c>
      <c r="E1597" t="s">
        <v>25</v>
      </c>
      <c r="F1597" t="s">
        <v>1</v>
      </c>
      <c r="G1597" t="s">
        <v>761</v>
      </c>
      <c r="H1597" t="s">
        <v>425</v>
      </c>
      <c r="I1597" t="s">
        <v>1</v>
      </c>
      <c r="J1597">
        <v>3302.26</v>
      </c>
      <c r="K1597">
        <v>300</v>
      </c>
      <c r="L1597">
        <v>1878.8</v>
      </c>
      <c r="M1597">
        <v>3788.7403314917124</v>
      </c>
      <c r="N1597">
        <v>3447.9300000000003</v>
      </c>
      <c r="O1597">
        <v>3757.6</v>
      </c>
      <c r="P1597">
        <v>0</v>
      </c>
      <c r="Q1597">
        <f t="shared" si="305"/>
        <v>3757.6</v>
      </c>
      <c r="R1597">
        <v>1106</v>
      </c>
      <c r="S1597">
        <f t="shared" si="306"/>
        <v>-2651.6</v>
      </c>
      <c r="T1597"/>
      <c r="U1597">
        <f t="shared" si="307"/>
        <v>0</v>
      </c>
      <c r="V1597">
        <f t="shared" si="308"/>
        <v>1106</v>
      </c>
      <c r="W1597">
        <f t="shared" si="309"/>
        <v>-2651.6</v>
      </c>
      <c r="X1597" t="s">
        <v>1543</v>
      </c>
    </row>
    <row r="1598" spans="1:24" x14ac:dyDescent="0.25">
      <c r="A1598" t="s">
        <v>2025</v>
      </c>
      <c r="B1598" t="s">
        <v>2057</v>
      </c>
      <c r="C1598" t="s">
        <v>2059</v>
      </c>
      <c r="D1598" t="s">
        <v>186</v>
      </c>
      <c r="E1598" t="s">
        <v>26</v>
      </c>
      <c r="F1598" t="s">
        <v>1</v>
      </c>
      <c r="G1598" t="s">
        <v>761</v>
      </c>
      <c r="H1598" t="s">
        <v>426</v>
      </c>
      <c r="I1598" t="s">
        <v>1</v>
      </c>
      <c r="J1598">
        <v>1470</v>
      </c>
      <c r="K1598">
        <v>735.92877622080005</v>
      </c>
      <c r="L1598">
        <v>75</v>
      </c>
      <c r="M1598">
        <v>151.24309392265192</v>
      </c>
      <c r="N1598">
        <v>1545</v>
      </c>
      <c r="O1598">
        <v>150</v>
      </c>
      <c r="P1598">
        <v>0</v>
      </c>
      <c r="Q1598">
        <f t="shared" si="305"/>
        <v>150</v>
      </c>
      <c r="R1598">
        <v>2686</v>
      </c>
      <c r="S1598">
        <f t="shared" si="306"/>
        <v>2536</v>
      </c>
      <c r="T1598"/>
      <c r="U1598">
        <f t="shared" si="307"/>
        <v>0</v>
      </c>
      <c r="V1598">
        <f t="shared" si="308"/>
        <v>2686</v>
      </c>
      <c r="W1598">
        <f t="shared" si="309"/>
        <v>2536</v>
      </c>
      <c r="X1598" t="s">
        <v>1544</v>
      </c>
    </row>
    <row r="1599" spans="1:24" x14ac:dyDescent="0.25">
      <c r="A1599" t="s">
        <v>2025</v>
      </c>
      <c r="B1599" t="s">
        <v>2057</v>
      </c>
      <c r="C1599" t="s">
        <v>2059</v>
      </c>
      <c r="D1599" t="s">
        <v>186</v>
      </c>
      <c r="E1599" t="s">
        <v>28</v>
      </c>
      <c r="F1599" t="s">
        <v>1</v>
      </c>
      <c r="G1599" t="s">
        <v>761</v>
      </c>
      <c r="H1599" t="s">
        <v>428</v>
      </c>
      <c r="I1599" t="s">
        <v>1</v>
      </c>
      <c r="J1599">
        <v>128</v>
      </c>
      <c r="K1599"/>
      <c r="L1599">
        <v>426.93</v>
      </c>
      <c r="M1599">
        <v>860.93618784530395</v>
      </c>
      <c r="N1599">
        <v>554.92999999999995</v>
      </c>
      <c r="O1599">
        <v>853.86</v>
      </c>
      <c r="P1599">
        <v>0</v>
      </c>
      <c r="Q1599">
        <f t="shared" si="305"/>
        <v>853.86</v>
      </c>
      <c r="R1599">
        <v>854</v>
      </c>
      <c r="S1599">
        <f t="shared" si="306"/>
        <v>0.13999999999998636</v>
      </c>
      <c r="T1599"/>
      <c r="U1599">
        <f t="shared" si="307"/>
        <v>0</v>
      </c>
      <c r="V1599">
        <f t="shared" si="308"/>
        <v>854</v>
      </c>
      <c r="W1599">
        <f t="shared" si="309"/>
        <v>0.13999999999998636</v>
      </c>
      <c r="X1599" t="s">
        <v>1545</v>
      </c>
    </row>
    <row r="1600" spans="1:24" x14ac:dyDescent="0.25">
      <c r="A1600" t="s">
        <v>2025</v>
      </c>
      <c r="B1600" t="s">
        <v>2057</v>
      </c>
      <c r="C1600" t="s">
        <v>2059</v>
      </c>
      <c r="D1600" t="s">
        <v>186</v>
      </c>
      <c r="E1600" t="s">
        <v>29</v>
      </c>
      <c r="F1600" t="s">
        <v>1</v>
      </c>
      <c r="G1600" t="s">
        <v>761</v>
      </c>
      <c r="H1600" t="s">
        <v>429</v>
      </c>
      <c r="I1600" t="s">
        <v>1</v>
      </c>
      <c r="J1600">
        <v>1061.19</v>
      </c>
      <c r="K1600">
        <v>1200</v>
      </c>
      <c r="L1600">
        <v>528.62</v>
      </c>
      <c r="M1600">
        <v>1066.0016574585636</v>
      </c>
      <c r="N1600">
        <v>987.4</v>
      </c>
      <c r="O1600">
        <v>1057.24</v>
      </c>
      <c r="P1600">
        <v>0</v>
      </c>
      <c r="Q1600">
        <f t="shared" si="305"/>
        <v>1057.24</v>
      </c>
      <c r="R1600">
        <v>1057</v>
      </c>
      <c r="S1600">
        <f t="shared" si="306"/>
        <v>-0.24000000000000909</v>
      </c>
      <c r="T1600"/>
      <c r="U1600">
        <f t="shared" si="307"/>
        <v>0</v>
      </c>
      <c r="V1600">
        <f t="shared" si="308"/>
        <v>1057</v>
      </c>
      <c r="W1600">
        <f t="shared" si="309"/>
        <v>-0.24000000000000909</v>
      </c>
      <c r="X1600" t="s">
        <v>1546</v>
      </c>
    </row>
    <row r="1601" spans="1:24" x14ac:dyDescent="0.25">
      <c r="A1601" t="s">
        <v>2025</v>
      </c>
      <c r="B1601" t="s">
        <v>2057</v>
      </c>
      <c r="C1601" t="s">
        <v>2059</v>
      </c>
      <c r="D1601" t="s">
        <v>186</v>
      </c>
      <c r="E1601" t="s">
        <v>33</v>
      </c>
      <c r="F1601" t="s">
        <v>1</v>
      </c>
      <c r="G1601" t="s">
        <v>761</v>
      </c>
      <c r="H1601" t="s">
        <v>433</v>
      </c>
      <c r="I1601" t="s">
        <v>1</v>
      </c>
      <c r="J1601">
        <v>205.14</v>
      </c>
      <c r="K1601">
        <v>870.12580775519996</v>
      </c>
      <c r="L1601">
        <v>0</v>
      </c>
      <c r="M1601">
        <v>0</v>
      </c>
      <c r="N1601">
        <v>0</v>
      </c>
      <c r="O1601"/>
      <c r="P1601">
        <v>0</v>
      </c>
      <c r="Q1601">
        <f t="shared" si="305"/>
        <v>0</v>
      </c>
      <c r="R1601">
        <v>0</v>
      </c>
      <c r="S1601">
        <f t="shared" si="306"/>
        <v>0</v>
      </c>
      <c r="T1601"/>
      <c r="U1601">
        <f t="shared" si="307"/>
        <v>0</v>
      </c>
      <c r="V1601">
        <f t="shared" si="308"/>
        <v>0</v>
      </c>
      <c r="W1601">
        <f t="shared" si="309"/>
        <v>0</v>
      </c>
      <c r="X1601" t="s">
        <v>1547</v>
      </c>
    </row>
    <row r="1602" spans="1:24" x14ac:dyDescent="0.25">
      <c r="A1602" t="s">
        <v>2025</v>
      </c>
      <c r="B1602" t="s">
        <v>2057</v>
      </c>
      <c r="C1602" t="s">
        <v>2059</v>
      </c>
      <c r="D1602" t="s">
        <v>186</v>
      </c>
      <c r="E1602" t="s">
        <v>34</v>
      </c>
      <c r="F1602" t="s">
        <v>1</v>
      </c>
      <c r="G1602" t="s">
        <v>761</v>
      </c>
      <c r="H1602" t="s">
        <v>434</v>
      </c>
      <c r="I1602" t="s">
        <v>1</v>
      </c>
      <c r="J1602">
        <v>2683.94</v>
      </c>
      <c r="K1602">
        <v>3238.0866153719999</v>
      </c>
      <c r="L1602">
        <v>1285.47</v>
      </c>
      <c r="M1602">
        <v>2592.2461325966851</v>
      </c>
      <c r="N1602">
        <v>2740.14</v>
      </c>
      <c r="O1602">
        <v>2570.94</v>
      </c>
      <c r="P1602">
        <v>0</v>
      </c>
      <c r="Q1602">
        <f t="shared" si="305"/>
        <v>2570.94</v>
      </c>
      <c r="R1602">
        <v>1606</v>
      </c>
      <c r="S1602">
        <f t="shared" si="306"/>
        <v>-964.94</v>
      </c>
      <c r="T1602"/>
      <c r="U1602">
        <f t="shared" si="307"/>
        <v>0</v>
      </c>
      <c r="V1602">
        <f t="shared" si="308"/>
        <v>1606</v>
      </c>
      <c r="W1602">
        <f t="shared" si="309"/>
        <v>-964.94</v>
      </c>
      <c r="X1602" t="s">
        <v>1548</v>
      </c>
    </row>
    <row r="1603" spans="1:24" x14ac:dyDescent="0.25">
      <c r="A1603" t="s">
        <v>2025</v>
      </c>
      <c r="B1603" t="s">
        <v>2057</v>
      </c>
      <c r="C1603" t="s">
        <v>2059</v>
      </c>
      <c r="D1603" t="s">
        <v>186</v>
      </c>
      <c r="E1603" t="s">
        <v>37</v>
      </c>
      <c r="F1603" t="s">
        <v>1</v>
      </c>
      <c r="G1603" t="s">
        <v>761</v>
      </c>
      <c r="H1603" t="s">
        <v>437</v>
      </c>
      <c r="I1603" t="s">
        <v>1</v>
      </c>
      <c r="J1603">
        <v>1511.17</v>
      </c>
      <c r="K1603">
        <v>1226.5479528635999</v>
      </c>
      <c r="L1603">
        <v>0</v>
      </c>
      <c r="M1603">
        <v>0</v>
      </c>
      <c r="N1603">
        <v>1511.17</v>
      </c>
      <c r="O1603"/>
      <c r="P1603">
        <v>0</v>
      </c>
      <c r="Q1603">
        <f t="shared" si="305"/>
        <v>0</v>
      </c>
      <c r="R1603">
        <v>2054</v>
      </c>
      <c r="S1603">
        <f t="shared" si="306"/>
        <v>2054</v>
      </c>
      <c r="T1603"/>
      <c r="U1603">
        <f t="shared" si="307"/>
        <v>0</v>
      </c>
      <c r="V1603">
        <f t="shared" si="308"/>
        <v>2054</v>
      </c>
      <c r="W1603">
        <f t="shared" si="309"/>
        <v>2054</v>
      </c>
      <c r="X1603" t="s">
        <v>1549</v>
      </c>
    </row>
    <row r="1604" spans="1:24" x14ac:dyDescent="0.25">
      <c r="A1604" t="s">
        <v>2025</v>
      </c>
      <c r="B1604" t="s">
        <v>2057</v>
      </c>
      <c r="C1604" t="s">
        <v>2059</v>
      </c>
      <c r="D1604" t="s">
        <v>186</v>
      </c>
      <c r="E1604" t="s">
        <v>41</v>
      </c>
      <c r="F1604" t="s">
        <v>1</v>
      </c>
      <c r="G1604" t="s">
        <v>761</v>
      </c>
      <c r="H1604" t="s">
        <v>441</v>
      </c>
      <c r="I1604" t="s">
        <v>1</v>
      </c>
      <c r="J1604">
        <v>91.17</v>
      </c>
      <c r="K1604">
        <v>104.0004</v>
      </c>
      <c r="L1604">
        <v>85.24</v>
      </c>
      <c r="M1604">
        <v>171.89281767955802</v>
      </c>
      <c r="N1604">
        <v>124.24000000000001</v>
      </c>
      <c r="O1604">
        <v>170.48</v>
      </c>
      <c r="P1604">
        <v>0</v>
      </c>
      <c r="Q1604">
        <f t="shared" si="305"/>
        <v>170.48</v>
      </c>
      <c r="R1604">
        <v>170</v>
      </c>
      <c r="S1604">
        <f t="shared" si="306"/>
        <v>-0.47999999999998977</v>
      </c>
      <c r="T1604">
        <v>0.03</v>
      </c>
      <c r="U1604">
        <f t="shared" si="307"/>
        <v>5.0999999999999996</v>
      </c>
      <c r="V1604">
        <f t="shared" si="308"/>
        <v>175.1</v>
      </c>
      <c r="W1604">
        <f t="shared" si="309"/>
        <v>4.6200000000000045</v>
      </c>
      <c r="X1604" t="s">
        <v>1550</v>
      </c>
    </row>
    <row r="1605" spans="1:24" x14ac:dyDescent="0.25">
      <c r="A1605" t="s">
        <v>2025</v>
      </c>
      <c r="B1605" t="s">
        <v>2057</v>
      </c>
      <c r="C1605" t="s">
        <v>2059</v>
      </c>
      <c r="D1605" t="s">
        <v>186</v>
      </c>
      <c r="E1605" t="s">
        <v>42</v>
      </c>
      <c r="F1605" t="s">
        <v>1</v>
      </c>
      <c r="G1605" t="s">
        <v>761</v>
      </c>
      <c r="H1605" t="s">
        <v>442</v>
      </c>
      <c r="I1605" t="s">
        <v>1</v>
      </c>
      <c r="J1605">
        <v>33.229999999999997</v>
      </c>
      <c r="K1605"/>
      <c r="L1605">
        <v>69.900000000000006</v>
      </c>
      <c r="M1605">
        <v>140.95856353591162</v>
      </c>
      <c r="N1605">
        <v>103.13</v>
      </c>
      <c r="O1605">
        <v>139.80000000000001</v>
      </c>
      <c r="P1605">
        <v>0</v>
      </c>
      <c r="Q1605">
        <f t="shared" si="305"/>
        <v>139.80000000000001</v>
      </c>
      <c r="R1605">
        <v>140</v>
      </c>
      <c r="S1605">
        <f t="shared" si="306"/>
        <v>0.19999999999998863</v>
      </c>
      <c r="T1605">
        <v>0.03</v>
      </c>
      <c r="U1605">
        <f t="shared" si="307"/>
        <v>4.2</v>
      </c>
      <c r="V1605">
        <f t="shared" si="308"/>
        <v>144.19999999999999</v>
      </c>
      <c r="W1605">
        <f t="shared" si="309"/>
        <v>4.3999999999999773</v>
      </c>
      <c r="X1605" t="s">
        <v>1551</v>
      </c>
    </row>
    <row r="1606" spans="1:24" x14ac:dyDescent="0.25">
      <c r="A1606" t="s">
        <v>2025</v>
      </c>
      <c r="B1606" t="s">
        <v>2057</v>
      </c>
      <c r="C1606" t="s">
        <v>2059</v>
      </c>
      <c r="D1606" t="s">
        <v>186</v>
      </c>
      <c r="E1606" t="s">
        <v>46</v>
      </c>
      <c r="F1606" t="s">
        <v>1</v>
      </c>
      <c r="G1606" t="s">
        <v>761</v>
      </c>
      <c r="H1606" t="s">
        <v>446</v>
      </c>
      <c r="I1606" t="s">
        <v>1</v>
      </c>
      <c r="J1606">
        <v>191</v>
      </c>
      <c r="K1606"/>
      <c r="L1606">
        <v>0</v>
      </c>
      <c r="M1606">
        <v>0</v>
      </c>
      <c r="N1606">
        <v>191</v>
      </c>
      <c r="O1606"/>
      <c r="P1606">
        <v>0</v>
      </c>
      <c r="Q1606">
        <f t="shared" si="305"/>
        <v>0</v>
      </c>
      <c r="R1606">
        <v>0</v>
      </c>
      <c r="S1606">
        <f t="shared" si="306"/>
        <v>0</v>
      </c>
      <c r="T1606">
        <v>0.03</v>
      </c>
      <c r="U1606">
        <f t="shared" si="307"/>
        <v>0</v>
      </c>
      <c r="V1606">
        <f t="shared" si="308"/>
        <v>0</v>
      </c>
      <c r="W1606">
        <f t="shared" si="309"/>
        <v>0</v>
      </c>
      <c r="X1606" t="s">
        <v>1547</v>
      </c>
    </row>
    <row r="1607" spans="1:24" x14ac:dyDescent="0.25">
      <c r="A1607" t="s">
        <v>2025</v>
      </c>
      <c r="B1607" t="s">
        <v>2057</v>
      </c>
      <c r="C1607" t="s">
        <v>2059</v>
      </c>
      <c r="D1607" t="s">
        <v>186</v>
      </c>
      <c r="E1607" t="s">
        <v>47</v>
      </c>
      <c r="F1607" t="s">
        <v>1</v>
      </c>
      <c r="G1607" t="s">
        <v>761</v>
      </c>
      <c r="H1607" t="s">
        <v>447</v>
      </c>
      <c r="I1607" t="s">
        <v>1</v>
      </c>
      <c r="J1607">
        <v>5766.9</v>
      </c>
      <c r="K1607">
        <v>888</v>
      </c>
      <c r="L1607">
        <v>888</v>
      </c>
      <c r="M1607">
        <v>1790.7182320441989</v>
      </c>
      <c r="N1607">
        <v>6029.9</v>
      </c>
      <c r="O1607">
        <v>1776</v>
      </c>
      <c r="P1607">
        <v>0</v>
      </c>
      <c r="Q1607">
        <f t="shared" si="305"/>
        <v>1776</v>
      </c>
      <c r="R1607">
        <v>1776</v>
      </c>
      <c r="S1607">
        <f t="shared" si="306"/>
        <v>0</v>
      </c>
      <c r="T1607">
        <v>0.03</v>
      </c>
      <c r="U1607">
        <f t="shared" si="307"/>
        <v>53.28</v>
      </c>
      <c r="V1607">
        <f t="shared" si="308"/>
        <v>1829.28</v>
      </c>
      <c r="W1607">
        <f t="shared" si="309"/>
        <v>53.279999999999973</v>
      </c>
      <c r="X1607" t="s">
        <v>1552</v>
      </c>
    </row>
    <row r="1608" spans="1:24" x14ac:dyDescent="0.25">
      <c r="A1608" t="s">
        <v>2025</v>
      </c>
      <c r="B1608" t="s">
        <v>2057</v>
      </c>
      <c r="C1608" t="s">
        <v>2059</v>
      </c>
      <c r="D1608" t="s">
        <v>186</v>
      </c>
      <c r="E1608" t="s">
        <v>183</v>
      </c>
      <c r="F1608" t="s">
        <v>1</v>
      </c>
      <c r="G1608" t="s">
        <v>761</v>
      </c>
      <c r="H1608" t="s">
        <v>754</v>
      </c>
      <c r="I1608" t="s">
        <v>1</v>
      </c>
      <c r="J1608">
        <v>99.5</v>
      </c>
      <c r="K1608"/>
      <c r="L1608">
        <v>0</v>
      </c>
      <c r="M1608">
        <v>0</v>
      </c>
      <c r="N1608">
        <v>99.5</v>
      </c>
      <c r="O1608"/>
      <c r="P1608">
        <v>0</v>
      </c>
      <c r="Q1608">
        <f t="shared" si="305"/>
        <v>0</v>
      </c>
      <c r="R1608">
        <v>0</v>
      </c>
      <c r="S1608">
        <f t="shared" si="306"/>
        <v>0</v>
      </c>
      <c r="T1608">
        <v>0.03</v>
      </c>
      <c r="U1608">
        <f t="shared" si="307"/>
        <v>0</v>
      </c>
      <c r="V1608">
        <f t="shared" si="308"/>
        <v>0</v>
      </c>
      <c r="W1608">
        <f t="shared" si="309"/>
        <v>0</v>
      </c>
      <c r="X1608" t="s">
        <v>1547</v>
      </c>
    </row>
    <row r="1609" spans="1:24" x14ac:dyDescent="0.25">
      <c r="A1609" t="s">
        <v>2025</v>
      </c>
      <c r="B1609" t="s">
        <v>2057</v>
      </c>
      <c r="C1609" t="s">
        <v>2059</v>
      </c>
      <c r="D1609" t="s">
        <v>186</v>
      </c>
      <c r="E1609" t="s">
        <v>50</v>
      </c>
      <c r="F1609" t="s">
        <v>1</v>
      </c>
      <c r="G1609" t="s">
        <v>761</v>
      </c>
      <c r="H1609" t="s">
        <v>450</v>
      </c>
      <c r="I1609" t="s">
        <v>1</v>
      </c>
      <c r="J1609">
        <v>205.16</v>
      </c>
      <c r="K1609">
        <v>69.999999999600007</v>
      </c>
      <c r="L1609">
        <v>283.02999999999997</v>
      </c>
      <c r="M1609">
        <v>570.75110497237563</v>
      </c>
      <c r="N1609">
        <v>440.23000000000008</v>
      </c>
      <c r="O1609">
        <v>570.75110497239996</v>
      </c>
      <c r="P1609">
        <v>0</v>
      </c>
      <c r="Q1609">
        <f t="shared" si="305"/>
        <v>570.75110497239996</v>
      </c>
      <c r="R1609">
        <v>571</v>
      </c>
      <c r="S1609">
        <f t="shared" si="306"/>
        <v>0.24889502760004234</v>
      </c>
      <c r="T1609"/>
      <c r="U1609">
        <f t="shared" si="307"/>
        <v>0</v>
      </c>
      <c r="V1609">
        <f t="shared" si="308"/>
        <v>571</v>
      </c>
      <c r="W1609">
        <f t="shared" si="309"/>
        <v>0.24889502760004234</v>
      </c>
      <c r="X1609" t="s">
        <v>1553</v>
      </c>
    </row>
    <row r="1610" spans="1:24" x14ac:dyDescent="0.25">
      <c r="A1610" t="s">
        <v>2025</v>
      </c>
      <c r="B1610" t="s">
        <v>2057</v>
      </c>
      <c r="C1610" t="s">
        <v>2059</v>
      </c>
      <c r="D1610" t="s">
        <v>186</v>
      </c>
      <c r="E1610" t="s">
        <v>51</v>
      </c>
      <c r="F1610" t="s">
        <v>51</v>
      </c>
      <c r="G1610" t="s">
        <v>762</v>
      </c>
      <c r="H1610"/>
      <c r="I1610"/>
      <c r="J1610">
        <v>31350.459999999995</v>
      </c>
      <c r="K1610">
        <v>16580.759106812402</v>
      </c>
      <c r="L1610">
        <v>8830.49</v>
      </c>
      <c r="M1610">
        <v>17807.341712707181</v>
      </c>
      <c r="N1610">
        <v>31016.320000000003</v>
      </c>
      <c r="O1610">
        <v>17696.3859899216</v>
      </c>
      <c r="P1610">
        <f>SUMIF($F$1587:$F$1609,"&lt;&gt;EV_*",$P$1587:$P$1609)</f>
        <v>0</v>
      </c>
      <c r="Q1610">
        <f>SUMIF($F$1587:$F$1609,"&lt;&gt;EV_*",$Q$1587:$Q$1609)</f>
        <v>17696.3859899216</v>
      </c>
      <c r="R1610">
        <f>SUMIF($F$1587:$F$1609,"&lt;&gt;EV_*",$R$1587:$R$1609)</f>
        <v>30252</v>
      </c>
      <c r="S1610">
        <f>SUMIF($F$1587:$F$1609,"&lt;&gt;EV_*",$S$1587:$S$1609)</f>
        <v>12555.6140100784</v>
      </c>
      <c r="T1610">
        <v>0</v>
      </c>
      <c r="U1610">
        <f>SUMIF($F$1587:$F$1609,"&lt;&gt;EV_*",$U$1587:$U$1609)</f>
        <v>354.80500000000006</v>
      </c>
      <c r="V1610">
        <f>SUMIF($F$1587:$F$1609,"&lt;&gt;EV_*",$V$1587:$V$1609)</f>
        <v>30606.804999999997</v>
      </c>
      <c r="W1610">
        <f>SUMIF($F$1587:$F$1609,"&lt;&gt;EV_*",$W$1587:$W$1609)</f>
        <v>12910.4190100784</v>
      </c>
      <c r="X1610">
        <f>SUMIF($F$1587:$F$1609,"&lt;&gt;EV_*",$X$1587:$X$1609)</f>
        <v>0</v>
      </c>
    </row>
    <row r="1611" spans="1:24" x14ac:dyDescent="0.25">
      <c r="A1611" t="s">
        <v>2025</v>
      </c>
      <c r="B1611" t="s">
        <v>2060</v>
      </c>
      <c r="C1611" t="s">
        <v>2061</v>
      </c>
      <c r="D1611" t="s">
        <v>187</v>
      </c>
      <c r="E1611" t="s">
        <v>5</v>
      </c>
      <c r="F1611" t="s">
        <v>5</v>
      </c>
      <c r="G1611" t="s">
        <v>763</v>
      </c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</row>
    <row r="1612" spans="1:24" x14ac:dyDescent="0.25">
      <c r="A1612" t="s">
        <v>2025</v>
      </c>
      <c r="B1612" t="s">
        <v>2060</v>
      </c>
      <c r="C1612" t="s">
        <v>2061</v>
      </c>
      <c r="D1612" t="s">
        <v>187</v>
      </c>
      <c r="E1612" t="s">
        <v>8</v>
      </c>
      <c r="F1612" t="s">
        <v>1</v>
      </c>
      <c r="G1612" t="s">
        <v>764</v>
      </c>
      <c r="H1612" t="s">
        <v>408</v>
      </c>
      <c r="I1612" t="s">
        <v>1</v>
      </c>
      <c r="J1612">
        <v>2864.02</v>
      </c>
      <c r="K1612">
        <v>4377.1162983424001</v>
      </c>
      <c r="L1612">
        <v>5562.7</v>
      </c>
      <c r="M1612">
        <v>11217.599447513812</v>
      </c>
      <c r="N1612">
        <v>6256.15</v>
      </c>
      <c r="O1612">
        <v>11217.5994475138</v>
      </c>
      <c r="P1612">
        <v>0</v>
      </c>
      <c r="Q1612">
        <f t="shared" ref="Q1612:Q1622" si="310">O1612+P1612</f>
        <v>11217.5994475138</v>
      </c>
      <c r="R1612">
        <v>0</v>
      </c>
      <c r="S1612">
        <f t="shared" ref="S1612:S1622" si="311">IF(OR(LEFT(E1612,2)="A_",LEFT(D1612,5)="Total"),R1612-Q1612,"")</f>
        <v>-11217.5994475138</v>
      </c>
      <c r="T1612"/>
      <c r="U1612">
        <f t="shared" ref="U1612:U1622" si="312">IFERROR(R1612*T1612,R1612*0)</f>
        <v>0</v>
      </c>
      <c r="V1612">
        <f t="shared" ref="V1612:V1622" si="313">IF(OR(LEFT(E1612,2)="A_",LEFT(D1612,5)="Total"),R1612+U1612,"")</f>
        <v>0</v>
      </c>
      <c r="W1612">
        <f t="shared" ref="W1612:W1622" si="314">IF(OR(LEFT(E1612,2)="A_",LEFT(D1612,5)="Total"),V1612-Q1612,"")</f>
        <v>-11217.5994475138</v>
      </c>
      <c r="X1612" t="s">
        <v>1554</v>
      </c>
    </row>
    <row r="1613" spans="1:24" x14ac:dyDescent="0.25">
      <c r="A1613" t="s">
        <v>2025</v>
      </c>
      <c r="B1613" t="s">
        <v>2060</v>
      </c>
      <c r="C1613" t="s">
        <v>2061</v>
      </c>
      <c r="D1613" t="s">
        <v>187</v>
      </c>
      <c r="E1613" t="s">
        <v>10</v>
      </c>
      <c r="F1613" t="s">
        <v>1</v>
      </c>
      <c r="G1613" t="s">
        <v>764</v>
      </c>
      <c r="H1613" t="s">
        <v>410</v>
      </c>
      <c r="I1613" t="s">
        <v>1</v>
      </c>
      <c r="J1613"/>
      <c r="K1613">
        <v>939.99999999960005</v>
      </c>
      <c r="L1613">
        <v>0</v>
      </c>
      <c r="M1613">
        <v>0</v>
      </c>
      <c r="N1613">
        <v>0</v>
      </c>
      <c r="O1613"/>
      <c r="P1613">
        <v>0</v>
      </c>
      <c r="Q1613">
        <f t="shared" si="310"/>
        <v>0</v>
      </c>
      <c r="R1613">
        <v>0</v>
      </c>
      <c r="S1613">
        <f t="shared" si="311"/>
        <v>0</v>
      </c>
      <c r="T1613"/>
      <c r="U1613">
        <f t="shared" si="312"/>
        <v>0</v>
      </c>
      <c r="V1613">
        <f t="shared" si="313"/>
        <v>0</v>
      </c>
      <c r="W1613">
        <f t="shared" si="314"/>
        <v>0</v>
      </c>
      <c r="X1613">
        <v>0</v>
      </c>
    </row>
    <row r="1614" spans="1:24" x14ac:dyDescent="0.25">
      <c r="A1614" t="s">
        <v>2025</v>
      </c>
      <c r="B1614" t="s">
        <v>2060</v>
      </c>
      <c r="C1614" t="s">
        <v>2061</v>
      </c>
      <c r="D1614" t="s">
        <v>187</v>
      </c>
      <c r="E1614" t="s">
        <v>11</v>
      </c>
      <c r="F1614" t="s">
        <v>1</v>
      </c>
      <c r="G1614" t="s">
        <v>764</v>
      </c>
      <c r="H1614" t="s">
        <v>411</v>
      </c>
      <c r="I1614" t="s">
        <v>1</v>
      </c>
      <c r="J1614">
        <v>2538.96</v>
      </c>
      <c r="K1614">
        <v>2453.0000000004002</v>
      </c>
      <c r="L1614">
        <v>1344.98</v>
      </c>
      <c r="M1614">
        <v>2712.2524861878455</v>
      </c>
      <c r="N1614">
        <v>2657.5299999999997</v>
      </c>
      <c r="O1614">
        <v>2689.96</v>
      </c>
      <c r="P1614">
        <v>0</v>
      </c>
      <c r="Q1614">
        <f t="shared" si="310"/>
        <v>2689.96</v>
      </c>
      <c r="R1614">
        <v>2689.96</v>
      </c>
      <c r="S1614">
        <f t="shared" si="311"/>
        <v>0</v>
      </c>
      <c r="T1614"/>
      <c r="U1614">
        <f t="shared" si="312"/>
        <v>0</v>
      </c>
      <c r="V1614">
        <f t="shared" si="313"/>
        <v>2689.96</v>
      </c>
      <c r="W1614">
        <f t="shared" si="314"/>
        <v>0</v>
      </c>
      <c r="X1614" t="s">
        <v>1555</v>
      </c>
    </row>
    <row r="1615" spans="1:24" x14ac:dyDescent="0.25">
      <c r="A1615" t="s">
        <v>2025</v>
      </c>
      <c r="B1615" t="s">
        <v>2060</v>
      </c>
      <c r="C1615" t="s">
        <v>2061</v>
      </c>
      <c r="D1615" t="s">
        <v>187</v>
      </c>
      <c r="E1615" t="s">
        <v>17</v>
      </c>
      <c r="F1615" t="s">
        <v>1</v>
      </c>
      <c r="G1615" t="s">
        <v>764</v>
      </c>
      <c r="H1615" t="s">
        <v>417</v>
      </c>
      <c r="I1615" t="s">
        <v>1</v>
      </c>
      <c r="J1615">
        <v>-748</v>
      </c>
      <c r="K1615"/>
      <c r="L1615">
        <v>-29.1</v>
      </c>
      <c r="M1615">
        <v>-58.682320441988956</v>
      </c>
      <c r="N1615">
        <v>-29.1</v>
      </c>
      <c r="O1615">
        <v>-58.519780219799998</v>
      </c>
      <c r="P1615">
        <v>0</v>
      </c>
      <c r="Q1615">
        <f t="shared" si="310"/>
        <v>-58.519780219799998</v>
      </c>
      <c r="R1615">
        <v>-58.519780219799998</v>
      </c>
      <c r="S1615">
        <f t="shared" si="311"/>
        <v>0</v>
      </c>
      <c r="T1615"/>
      <c r="U1615">
        <f t="shared" si="312"/>
        <v>0</v>
      </c>
      <c r="V1615">
        <f t="shared" si="313"/>
        <v>-58.519780219799998</v>
      </c>
      <c r="W1615">
        <f t="shared" si="314"/>
        <v>0</v>
      </c>
      <c r="X1615">
        <v>0</v>
      </c>
    </row>
    <row r="1616" spans="1:24" x14ac:dyDescent="0.25">
      <c r="A1616" t="s">
        <v>2025</v>
      </c>
      <c r="B1616" t="s">
        <v>2060</v>
      </c>
      <c r="C1616" t="s">
        <v>2061</v>
      </c>
      <c r="D1616" t="s">
        <v>187</v>
      </c>
      <c r="E1616" t="s">
        <v>18</v>
      </c>
      <c r="F1616" t="s">
        <v>1</v>
      </c>
      <c r="G1616" t="s">
        <v>764</v>
      </c>
      <c r="H1616" t="s">
        <v>418</v>
      </c>
      <c r="I1616" t="s">
        <v>1</v>
      </c>
      <c r="J1616">
        <v>8619.3799999999992</v>
      </c>
      <c r="K1616">
        <v>13205.7414567899</v>
      </c>
      <c r="L1616">
        <v>0</v>
      </c>
      <c r="M1616">
        <v>0</v>
      </c>
      <c r="N1616">
        <v>0</v>
      </c>
      <c r="O1616"/>
      <c r="P1616">
        <v>0</v>
      </c>
      <c r="Q1616">
        <f t="shared" si="310"/>
        <v>0</v>
      </c>
      <c r="R1616">
        <v>0</v>
      </c>
      <c r="S1616">
        <f t="shared" si="311"/>
        <v>0</v>
      </c>
      <c r="T1616">
        <v>0.02</v>
      </c>
      <c r="U1616">
        <f t="shared" si="312"/>
        <v>0</v>
      </c>
      <c r="V1616">
        <f t="shared" si="313"/>
        <v>0</v>
      </c>
      <c r="W1616">
        <f t="shared" si="314"/>
        <v>0</v>
      </c>
      <c r="X1616" t="s">
        <v>1556</v>
      </c>
    </row>
    <row r="1617" spans="1:24" x14ac:dyDescent="0.25">
      <c r="A1617" t="s">
        <v>2025</v>
      </c>
      <c r="B1617" t="s">
        <v>2060</v>
      </c>
      <c r="C1617" t="s">
        <v>2061</v>
      </c>
      <c r="D1617" t="s">
        <v>187</v>
      </c>
      <c r="E1617" t="s">
        <v>20</v>
      </c>
      <c r="F1617" t="s">
        <v>1</v>
      </c>
      <c r="G1617" t="s">
        <v>764</v>
      </c>
      <c r="H1617" t="s">
        <v>420</v>
      </c>
      <c r="I1617" t="s">
        <v>1</v>
      </c>
      <c r="J1617">
        <v>5162.5</v>
      </c>
      <c r="K1617">
        <v>5673.3797530862003</v>
      </c>
      <c r="L1617">
        <v>1626.7</v>
      </c>
      <c r="M1617">
        <v>3280.3618784530386</v>
      </c>
      <c r="N1617">
        <v>3157.3999999999996</v>
      </c>
      <c r="O1617">
        <v>3271.2758241758002</v>
      </c>
      <c r="P1617">
        <v>0</v>
      </c>
      <c r="Q1617">
        <f t="shared" si="310"/>
        <v>3271.2758241758002</v>
      </c>
      <c r="R1617">
        <v>3577.6</v>
      </c>
      <c r="S1617">
        <f t="shared" si="311"/>
        <v>306.32417582419976</v>
      </c>
      <c r="T1617">
        <v>0.04</v>
      </c>
      <c r="U1617">
        <f t="shared" si="312"/>
        <v>143.10400000000001</v>
      </c>
      <c r="V1617">
        <f t="shared" si="313"/>
        <v>3720.7039999999997</v>
      </c>
      <c r="W1617">
        <f t="shared" si="314"/>
        <v>449.42817582419957</v>
      </c>
      <c r="X1617" t="s">
        <v>1557</v>
      </c>
    </row>
    <row r="1618" spans="1:24" x14ac:dyDescent="0.25">
      <c r="A1618" t="s">
        <v>2025</v>
      </c>
      <c r="B1618" t="s">
        <v>2060</v>
      </c>
      <c r="C1618" t="s">
        <v>2061</v>
      </c>
      <c r="D1618" t="s">
        <v>187</v>
      </c>
      <c r="E1618" t="s">
        <v>34</v>
      </c>
      <c r="F1618" t="s">
        <v>1</v>
      </c>
      <c r="G1618" t="s">
        <v>764</v>
      </c>
      <c r="H1618" t="s">
        <v>434</v>
      </c>
      <c r="I1618" t="s">
        <v>1</v>
      </c>
      <c r="J1618">
        <v>444.38</v>
      </c>
      <c r="K1618">
        <v>392.49534731760002</v>
      </c>
      <c r="L1618">
        <v>0</v>
      </c>
      <c r="M1618">
        <v>0</v>
      </c>
      <c r="N1618">
        <v>0</v>
      </c>
      <c r="O1618"/>
      <c r="P1618">
        <v>0</v>
      </c>
      <c r="Q1618">
        <f t="shared" si="310"/>
        <v>0</v>
      </c>
      <c r="R1618">
        <v>6256.15</v>
      </c>
      <c r="S1618">
        <f t="shared" si="311"/>
        <v>6256.15</v>
      </c>
      <c r="T1618"/>
      <c r="U1618">
        <f t="shared" si="312"/>
        <v>0</v>
      </c>
      <c r="V1618">
        <f t="shared" si="313"/>
        <v>6256.15</v>
      </c>
      <c r="W1618">
        <f t="shared" si="314"/>
        <v>6256.15</v>
      </c>
      <c r="X1618" t="s">
        <v>2251</v>
      </c>
    </row>
    <row r="1619" spans="1:24" x14ac:dyDescent="0.25">
      <c r="A1619" t="s">
        <v>2025</v>
      </c>
      <c r="B1619" t="s">
        <v>2060</v>
      </c>
      <c r="C1619" t="s">
        <v>2061</v>
      </c>
      <c r="D1619" t="s">
        <v>187</v>
      </c>
      <c r="E1619" t="s">
        <v>37</v>
      </c>
      <c r="F1619" t="s">
        <v>1</v>
      </c>
      <c r="G1619" t="s">
        <v>764</v>
      </c>
      <c r="H1619" t="s">
        <v>437</v>
      </c>
      <c r="I1619" t="s">
        <v>1</v>
      </c>
      <c r="J1619"/>
      <c r="K1619"/>
      <c r="L1619">
        <v>852.52</v>
      </c>
      <c r="M1619">
        <v>1719.1701657458564</v>
      </c>
      <c r="N1619">
        <v>852.52</v>
      </c>
      <c r="O1619">
        <v>1705.04</v>
      </c>
      <c r="P1619">
        <v>0</v>
      </c>
      <c r="Q1619">
        <f t="shared" si="310"/>
        <v>1705.04</v>
      </c>
      <c r="R1619">
        <v>1705.04</v>
      </c>
      <c r="S1619">
        <f t="shared" si="311"/>
        <v>0</v>
      </c>
      <c r="T1619"/>
      <c r="U1619">
        <f t="shared" si="312"/>
        <v>0</v>
      </c>
      <c r="V1619">
        <f t="shared" si="313"/>
        <v>1705.04</v>
      </c>
      <c r="W1619">
        <f t="shared" si="314"/>
        <v>0</v>
      </c>
      <c r="X1619" t="s">
        <v>1558</v>
      </c>
    </row>
    <row r="1620" spans="1:24" x14ac:dyDescent="0.25">
      <c r="A1620" t="s">
        <v>2025</v>
      </c>
      <c r="B1620" t="s">
        <v>2060</v>
      </c>
      <c r="C1620" t="s">
        <v>2061</v>
      </c>
      <c r="D1620" t="s">
        <v>187</v>
      </c>
      <c r="E1620" t="s">
        <v>41</v>
      </c>
      <c r="F1620" t="s">
        <v>1</v>
      </c>
      <c r="G1620" t="s">
        <v>764</v>
      </c>
      <c r="H1620" t="s">
        <v>441</v>
      </c>
      <c r="I1620" t="s">
        <v>1</v>
      </c>
      <c r="J1620">
        <v>486.75</v>
      </c>
      <c r="K1620">
        <v>936.99999999960005</v>
      </c>
      <c r="L1620">
        <v>0</v>
      </c>
      <c r="M1620">
        <v>0</v>
      </c>
      <c r="N1620">
        <v>18.45</v>
      </c>
      <c r="O1620"/>
      <c r="P1620">
        <v>0</v>
      </c>
      <c r="Q1620">
        <f t="shared" si="310"/>
        <v>0</v>
      </c>
      <c r="R1620">
        <v>0</v>
      </c>
      <c r="S1620">
        <f t="shared" si="311"/>
        <v>0</v>
      </c>
      <c r="T1620">
        <v>0.03</v>
      </c>
      <c r="U1620">
        <f t="shared" si="312"/>
        <v>0</v>
      </c>
      <c r="V1620">
        <f t="shared" si="313"/>
        <v>0</v>
      </c>
      <c r="W1620">
        <f t="shared" si="314"/>
        <v>0</v>
      </c>
      <c r="X1620">
        <v>0</v>
      </c>
    </row>
    <row r="1621" spans="1:24" x14ac:dyDescent="0.25">
      <c r="A1621" t="s">
        <v>2025</v>
      </c>
      <c r="B1621" t="s">
        <v>2060</v>
      </c>
      <c r="C1621" t="s">
        <v>2061</v>
      </c>
      <c r="D1621" t="s">
        <v>187</v>
      </c>
      <c r="E1621" t="s">
        <v>46</v>
      </c>
      <c r="F1621" t="s">
        <v>1</v>
      </c>
      <c r="G1621" t="s">
        <v>764</v>
      </c>
      <c r="H1621" t="s">
        <v>446</v>
      </c>
      <c r="I1621" t="s">
        <v>1</v>
      </c>
      <c r="J1621">
        <v>737.6</v>
      </c>
      <c r="K1621"/>
      <c r="L1621">
        <v>0</v>
      </c>
      <c r="M1621">
        <v>0</v>
      </c>
      <c r="N1621">
        <v>737.6</v>
      </c>
      <c r="O1621"/>
      <c r="P1621">
        <v>0</v>
      </c>
      <c r="Q1621">
        <f t="shared" si="310"/>
        <v>0</v>
      </c>
      <c r="R1621">
        <v>0</v>
      </c>
      <c r="S1621">
        <f t="shared" si="311"/>
        <v>0</v>
      </c>
      <c r="T1621">
        <v>0.03</v>
      </c>
      <c r="U1621">
        <f t="shared" si="312"/>
        <v>0</v>
      </c>
      <c r="V1621">
        <f t="shared" si="313"/>
        <v>0</v>
      </c>
      <c r="W1621">
        <f t="shared" si="314"/>
        <v>0</v>
      </c>
      <c r="X1621">
        <v>0</v>
      </c>
    </row>
    <row r="1622" spans="1:24" x14ac:dyDescent="0.25">
      <c r="A1622" t="s">
        <v>2025</v>
      </c>
      <c r="B1622" t="s">
        <v>2060</v>
      </c>
      <c r="C1622" t="s">
        <v>2061</v>
      </c>
      <c r="D1622" t="s">
        <v>187</v>
      </c>
      <c r="E1622" t="s">
        <v>50</v>
      </c>
      <c r="F1622" t="s">
        <v>1</v>
      </c>
      <c r="G1622" t="s">
        <v>764</v>
      </c>
      <c r="H1622" t="s">
        <v>450</v>
      </c>
      <c r="I1622" t="s">
        <v>1</v>
      </c>
      <c r="J1622">
        <v>173.33</v>
      </c>
      <c r="K1622">
        <v>170.00000000040001</v>
      </c>
      <c r="L1622">
        <v>87.72</v>
      </c>
      <c r="M1622">
        <v>176.89392265193371</v>
      </c>
      <c r="N1622">
        <v>182.36</v>
      </c>
      <c r="O1622">
        <v>176.8939226519</v>
      </c>
      <c r="P1622">
        <v>0</v>
      </c>
      <c r="Q1622">
        <f t="shared" si="310"/>
        <v>176.8939226519</v>
      </c>
      <c r="R1622">
        <v>180</v>
      </c>
      <c r="S1622">
        <f t="shared" si="311"/>
        <v>3.1060773481000012</v>
      </c>
      <c r="T1622"/>
      <c r="U1622">
        <f t="shared" si="312"/>
        <v>0</v>
      </c>
      <c r="V1622">
        <f t="shared" si="313"/>
        <v>180</v>
      </c>
      <c r="W1622">
        <f t="shared" si="314"/>
        <v>3.1060773481000012</v>
      </c>
      <c r="X1622" t="s">
        <v>1559</v>
      </c>
    </row>
    <row r="1623" spans="1:24" x14ac:dyDescent="0.25">
      <c r="A1623" t="s">
        <v>2025</v>
      </c>
      <c r="B1623" t="s">
        <v>2060</v>
      </c>
      <c r="C1623" t="s">
        <v>2061</v>
      </c>
      <c r="D1623" t="s">
        <v>187</v>
      </c>
      <c r="E1623" t="s">
        <v>51</v>
      </c>
      <c r="F1623" t="s">
        <v>51</v>
      </c>
      <c r="G1623" t="s">
        <v>765</v>
      </c>
      <c r="H1623"/>
      <c r="I1623"/>
      <c r="J1623">
        <v>20278.920000000002</v>
      </c>
      <c r="K1623">
        <v>28148.732855536098</v>
      </c>
      <c r="L1623">
        <v>9445.52</v>
      </c>
      <c r="M1623">
        <v>19047.595580110497</v>
      </c>
      <c r="N1623">
        <v>13832.910000000002</v>
      </c>
      <c r="O1623">
        <v>19002.249414121699</v>
      </c>
      <c r="P1623">
        <f>SUMIF($F$1611:$F$1622,"&lt;&gt;EV_*",$P$1611:$P$1622)</f>
        <v>0</v>
      </c>
      <c r="Q1623">
        <f>SUMIF($F$1611:$F$1622,"&lt;&gt;EV_*",$Q$1611:$Q$1622)</f>
        <v>19002.249414121699</v>
      </c>
      <c r="R1623">
        <f>SUMIF($F$1611:$F$1622,"&lt;&gt;EV_*",$R$1611:$R$1622)</f>
        <v>14350.230219780198</v>
      </c>
      <c r="S1623">
        <f>SUMIF($F$1611:$F$1622,"&lt;&gt;EV_*",$S$1611:$S$1622)</f>
        <v>-4652.0191943414993</v>
      </c>
      <c r="T1623">
        <v>0</v>
      </c>
      <c r="U1623">
        <f>SUMIF($F$1611:$F$1622,"&lt;&gt;EV_*",$U$1611:$U$1622)</f>
        <v>143.10400000000001</v>
      </c>
      <c r="V1623">
        <f>SUMIF($F$1611:$F$1622,"&lt;&gt;EV_*",$V$1611:$V$1622)</f>
        <v>14493.334219780201</v>
      </c>
      <c r="W1623">
        <f>SUMIF($F$1611:$F$1622,"&lt;&gt;EV_*",$W$1611:$W$1622)</f>
        <v>-4508.9151943415</v>
      </c>
      <c r="X1623">
        <f>SUMIF($F$1611:$F$1622,"&lt;&gt;EV_*",$X$1611:$X$1622)</f>
        <v>0</v>
      </c>
    </row>
    <row r="1624" spans="1:24" x14ac:dyDescent="0.25">
      <c r="A1624" t="s">
        <v>2025</v>
      </c>
      <c r="B1624" t="s">
        <v>2062</v>
      </c>
      <c r="C1624" t="s">
        <v>2063</v>
      </c>
      <c r="D1624" t="s">
        <v>188</v>
      </c>
      <c r="E1624" t="s">
        <v>5</v>
      </c>
      <c r="F1624" t="s">
        <v>5</v>
      </c>
      <c r="G1624" t="s">
        <v>766</v>
      </c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</row>
    <row r="1625" spans="1:24" x14ac:dyDescent="0.25">
      <c r="A1625" t="s">
        <v>2025</v>
      </c>
      <c r="B1625" t="s">
        <v>2062</v>
      </c>
      <c r="C1625" t="s">
        <v>2063</v>
      </c>
      <c r="D1625" t="s">
        <v>188</v>
      </c>
      <c r="E1625" t="s">
        <v>8</v>
      </c>
      <c r="F1625" t="s">
        <v>1</v>
      </c>
      <c r="G1625" t="s">
        <v>767</v>
      </c>
      <c r="H1625" t="s">
        <v>408</v>
      </c>
      <c r="I1625" t="s">
        <v>1</v>
      </c>
      <c r="J1625">
        <v>149.52000000000001</v>
      </c>
      <c r="K1625">
        <v>150.759116022</v>
      </c>
      <c r="L1625">
        <v>12.48</v>
      </c>
      <c r="M1625">
        <v>25.166850828729281</v>
      </c>
      <c r="N1625">
        <v>87.240000000000009</v>
      </c>
      <c r="O1625">
        <v>25.166850828699999</v>
      </c>
      <c r="P1625">
        <v>0</v>
      </c>
      <c r="Q1625">
        <f t="shared" ref="Q1625:Q1634" si="315">O1625+P1625</f>
        <v>25.166850828699999</v>
      </c>
      <c r="R1625">
        <v>150.759116022</v>
      </c>
      <c r="S1625">
        <f t="shared" ref="S1625:S1634" si="316">IF(OR(LEFT(E1625,2)="A_",LEFT(D1625,5)="Total"),R1625-Q1625,"")</f>
        <v>125.59226519329999</v>
      </c>
      <c r="T1625"/>
      <c r="U1625">
        <f t="shared" ref="U1625:U1634" si="317">IFERROR(R1625*T1625,R1625*0)</f>
        <v>0</v>
      </c>
      <c r="V1625">
        <f t="shared" ref="V1625:V1634" si="318">IF(OR(LEFT(E1625,2)="A_",LEFT(D1625,5)="Total"),R1625+U1625,"")</f>
        <v>150.759116022</v>
      </c>
      <c r="W1625">
        <f t="shared" ref="W1625:W1634" si="319">IF(OR(LEFT(E1625,2)="A_",LEFT(D1625,5)="Total"),V1625-Q1625,"")</f>
        <v>125.59226519329999</v>
      </c>
      <c r="X1625" t="s">
        <v>1560</v>
      </c>
    </row>
    <row r="1626" spans="1:24" x14ac:dyDescent="0.25">
      <c r="A1626" t="s">
        <v>2025</v>
      </c>
      <c r="B1626" t="s">
        <v>2062</v>
      </c>
      <c r="C1626" t="s">
        <v>2063</v>
      </c>
      <c r="D1626" t="s">
        <v>188</v>
      </c>
      <c r="E1626" t="s">
        <v>11</v>
      </c>
      <c r="F1626" t="s">
        <v>1</v>
      </c>
      <c r="G1626" t="s">
        <v>767</v>
      </c>
      <c r="H1626" t="s">
        <v>411</v>
      </c>
      <c r="I1626" t="s">
        <v>1</v>
      </c>
      <c r="J1626">
        <v>960.26</v>
      </c>
      <c r="K1626">
        <v>869.31</v>
      </c>
      <c r="L1626">
        <v>424.82</v>
      </c>
      <c r="M1626">
        <v>856.68121546961322</v>
      </c>
      <c r="N1626">
        <v>878.67000000000007</v>
      </c>
      <c r="O1626">
        <v>849.64</v>
      </c>
      <c r="P1626">
        <v>0</v>
      </c>
      <c r="Q1626">
        <f t="shared" si="315"/>
        <v>849.64</v>
      </c>
      <c r="R1626">
        <v>849.64</v>
      </c>
      <c r="S1626">
        <f t="shared" si="316"/>
        <v>0</v>
      </c>
      <c r="T1626"/>
      <c r="U1626">
        <f t="shared" si="317"/>
        <v>0</v>
      </c>
      <c r="V1626">
        <f t="shared" si="318"/>
        <v>849.64</v>
      </c>
      <c r="W1626">
        <f t="shared" si="319"/>
        <v>0</v>
      </c>
      <c r="X1626" t="s">
        <v>1561</v>
      </c>
    </row>
    <row r="1627" spans="1:24" x14ac:dyDescent="0.25">
      <c r="A1627" t="s">
        <v>2025</v>
      </c>
      <c r="B1627" t="s">
        <v>2062</v>
      </c>
      <c r="C1627" t="s">
        <v>2063</v>
      </c>
      <c r="D1627" t="s">
        <v>188</v>
      </c>
      <c r="E1627" t="s">
        <v>17</v>
      </c>
      <c r="F1627" t="s">
        <v>1</v>
      </c>
      <c r="G1627" t="s">
        <v>767</v>
      </c>
      <c r="H1627" t="s">
        <v>417</v>
      </c>
      <c r="I1627" t="s">
        <v>1</v>
      </c>
      <c r="J1627">
        <v>-4.4000000000000004</v>
      </c>
      <c r="K1627">
        <v>-20.000000000099998</v>
      </c>
      <c r="L1627">
        <v>-11.72</v>
      </c>
      <c r="M1627">
        <v>-23.634254143646409</v>
      </c>
      <c r="N1627">
        <v>-14.120000000000001</v>
      </c>
      <c r="O1627">
        <v>-23.5687912088</v>
      </c>
      <c r="P1627">
        <v>0</v>
      </c>
      <c r="Q1627">
        <f t="shared" si="315"/>
        <v>-23.5687912088</v>
      </c>
      <c r="R1627">
        <v>-20.000000000099998</v>
      </c>
      <c r="S1627">
        <f t="shared" si="316"/>
        <v>3.5687912087000022</v>
      </c>
      <c r="T1627"/>
      <c r="U1627">
        <f t="shared" si="317"/>
        <v>0</v>
      </c>
      <c r="V1627">
        <f t="shared" si="318"/>
        <v>-20.000000000099998</v>
      </c>
      <c r="W1627">
        <f t="shared" si="319"/>
        <v>3.5687912087000022</v>
      </c>
      <c r="X1627">
        <v>0</v>
      </c>
    </row>
    <row r="1628" spans="1:24" x14ac:dyDescent="0.25">
      <c r="A1628" t="s">
        <v>2025</v>
      </c>
      <c r="B1628" t="s">
        <v>2062</v>
      </c>
      <c r="C1628" t="s">
        <v>2063</v>
      </c>
      <c r="D1628" t="s">
        <v>188</v>
      </c>
      <c r="E1628" t="s">
        <v>82</v>
      </c>
      <c r="F1628" t="s">
        <v>1</v>
      </c>
      <c r="G1628" t="s">
        <v>767</v>
      </c>
      <c r="H1628" t="s">
        <v>507</v>
      </c>
      <c r="I1628" t="s">
        <v>1</v>
      </c>
      <c r="J1628">
        <v>2923.63</v>
      </c>
      <c r="K1628">
        <v>4512.2258688272004</v>
      </c>
      <c r="L1628">
        <v>1106.8399999999999</v>
      </c>
      <c r="M1628">
        <v>2232.0254143646407</v>
      </c>
      <c r="N1628">
        <v>3615.7000000000003</v>
      </c>
      <c r="O1628">
        <v>2225.8430769230999</v>
      </c>
      <c r="P1628">
        <v>0</v>
      </c>
      <c r="Q1628">
        <f t="shared" si="315"/>
        <v>2225.8430769230999</v>
      </c>
      <c r="R1628">
        <v>2225.8430769230999</v>
      </c>
      <c r="S1628">
        <f t="shared" si="316"/>
        <v>0</v>
      </c>
      <c r="T1628">
        <v>2.75E-2</v>
      </c>
      <c r="U1628">
        <f t="shared" si="317"/>
        <v>61.210684615385247</v>
      </c>
      <c r="V1628">
        <f t="shared" si="318"/>
        <v>2287.0537615384851</v>
      </c>
      <c r="W1628">
        <f t="shared" si="319"/>
        <v>61.210684615385162</v>
      </c>
      <c r="X1628" t="s">
        <v>1562</v>
      </c>
    </row>
    <row r="1629" spans="1:24" x14ac:dyDescent="0.25">
      <c r="A1629" t="s">
        <v>2025</v>
      </c>
      <c r="B1629" t="s">
        <v>2062</v>
      </c>
      <c r="C1629" t="s">
        <v>2063</v>
      </c>
      <c r="D1629" t="s">
        <v>188</v>
      </c>
      <c r="E1629" t="s">
        <v>18</v>
      </c>
      <c r="F1629" t="s">
        <v>1</v>
      </c>
      <c r="G1629" t="s">
        <v>767</v>
      </c>
      <c r="H1629" t="s">
        <v>418</v>
      </c>
      <c r="I1629" t="s">
        <v>1</v>
      </c>
      <c r="J1629">
        <v>11232.79</v>
      </c>
      <c r="K1629">
        <v>12261.184134892999</v>
      </c>
      <c r="L1629">
        <v>5286.21</v>
      </c>
      <c r="M1629">
        <v>10660.036740331492</v>
      </c>
      <c r="N1629">
        <v>9483.82</v>
      </c>
      <c r="O1629">
        <v>10630.510219780201</v>
      </c>
      <c r="P1629">
        <v>0</v>
      </c>
      <c r="Q1629">
        <f t="shared" si="315"/>
        <v>10630.510219780201</v>
      </c>
      <c r="R1629">
        <v>12500</v>
      </c>
      <c r="S1629">
        <f t="shared" si="316"/>
        <v>1869.4897802197993</v>
      </c>
      <c r="T1629">
        <v>0.02</v>
      </c>
      <c r="U1629">
        <f t="shared" si="317"/>
        <v>250</v>
      </c>
      <c r="V1629">
        <f t="shared" si="318"/>
        <v>12750</v>
      </c>
      <c r="W1629">
        <f t="shared" si="319"/>
        <v>2119.4897802197993</v>
      </c>
      <c r="X1629" t="s">
        <v>1563</v>
      </c>
    </row>
    <row r="1630" spans="1:24" x14ac:dyDescent="0.25">
      <c r="A1630" t="s">
        <v>2025</v>
      </c>
      <c r="B1630" t="s">
        <v>2062</v>
      </c>
      <c r="C1630" t="s">
        <v>2063</v>
      </c>
      <c r="D1630" t="s">
        <v>188</v>
      </c>
      <c r="E1630" t="s">
        <v>189</v>
      </c>
      <c r="F1630" t="s">
        <v>1</v>
      </c>
      <c r="G1630" t="s">
        <v>767</v>
      </c>
      <c r="H1630" t="s">
        <v>768</v>
      </c>
      <c r="I1630" t="s">
        <v>1</v>
      </c>
      <c r="J1630">
        <v>1252.8800000000001</v>
      </c>
      <c r="K1630">
        <v>1957.1738600822</v>
      </c>
      <c r="L1630">
        <v>0</v>
      </c>
      <c r="M1630">
        <v>0</v>
      </c>
      <c r="N1630">
        <v>0</v>
      </c>
      <c r="O1630"/>
      <c r="P1630">
        <v>0</v>
      </c>
      <c r="Q1630">
        <f t="shared" si="315"/>
        <v>0</v>
      </c>
      <c r="R1630">
        <v>1000</v>
      </c>
      <c r="S1630">
        <f t="shared" si="316"/>
        <v>1000</v>
      </c>
      <c r="T1630">
        <v>0.04</v>
      </c>
      <c r="U1630">
        <f t="shared" si="317"/>
        <v>40</v>
      </c>
      <c r="V1630">
        <f t="shared" si="318"/>
        <v>1040</v>
      </c>
      <c r="W1630">
        <f t="shared" si="319"/>
        <v>1040</v>
      </c>
      <c r="X1630" t="s">
        <v>1564</v>
      </c>
    </row>
    <row r="1631" spans="1:24" x14ac:dyDescent="0.25">
      <c r="A1631" t="s">
        <v>2025</v>
      </c>
      <c r="B1631" t="s">
        <v>2062</v>
      </c>
      <c r="C1631" t="s">
        <v>2063</v>
      </c>
      <c r="D1631" t="s">
        <v>188</v>
      </c>
      <c r="E1631" t="s">
        <v>20</v>
      </c>
      <c r="F1631" t="s">
        <v>1</v>
      </c>
      <c r="G1631" t="s">
        <v>767</v>
      </c>
      <c r="H1631" t="s">
        <v>420</v>
      </c>
      <c r="I1631" t="s">
        <v>1</v>
      </c>
      <c r="J1631">
        <v>286.05</v>
      </c>
      <c r="K1631"/>
      <c r="L1631">
        <v>0</v>
      </c>
      <c r="M1631">
        <v>0</v>
      </c>
      <c r="N1631">
        <v>12</v>
      </c>
      <c r="O1631"/>
      <c r="P1631">
        <v>0</v>
      </c>
      <c r="Q1631">
        <f t="shared" si="315"/>
        <v>0</v>
      </c>
      <c r="R1631">
        <v>0</v>
      </c>
      <c r="S1631">
        <f t="shared" si="316"/>
        <v>0</v>
      </c>
      <c r="T1631">
        <v>0.04</v>
      </c>
      <c r="U1631">
        <f t="shared" si="317"/>
        <v>0</v>
      </c>
      <c r="V1631">
        <f t="shared" si="318"/>
        <v>0</v>
      </c>
      <c r="W1631">
        <f t="shared" si="319"/>
        <v>0</v>
      </c>
      <c r="X1631">
        <v>0</v>
      </c>
    </row>
    <row r="1632" spans="1:24" x14ac:dyDescent="0.25">
      <c r="A1632" t="s">
        <v>2025</v>
      </c>
      <c r="B1632" t="s">
        <v>2062</v>
      </c>
      <c r="C1632" t="s">
        <v>2063</v>
      </c>
      <c r="D1632" t="s">
        <v>188</v>
      </c>
      <c r="E1632" t="s">
        <v>21</v>
      </c>
      <c r="F1632" t="s">
        <v>1</v>
      </c>
      <c r="G1632" t="s">
        <v>767</v>
      </c>
      <c r="H1632" t="s">
        <v>421</v>
      </c>
      <c r="I1632" t="s">
        <v>1</v>
      </c>
      <c r="J1632">
        <v>387.51</v>
      </c>
      <c r="K1632">
        <v>360.5</v>
      </c>
      <c r="L1632">
        <v>79.95</v>
      </c>
      <c r="M1632">
        <v>161.22513812154696</v>
      </c>
      <c r="N1632">
        <v>294.07000000000005</v>
      </c>
      <c r="O1632">
        <v>161.22513812150001</v>
      </c>
      <c r="P1632">
        <v>0</v>
      </c>
      <c r="Q1632">
        <f t="shared" si="315"/>
        <v>161.22513812150001</v>
      </c>
      <c r="R1632">
        <v>175</v>
      </c>
      <c r="S1632">
        <f t="shared" si="316"/>
        <v>13.774861878499991</v>
      </c>
      <c r="T1632">
        <v>0.03</v>
      </c>
      <c r="U1632">
        <f t="shared" si="317"/>
        <v>5.25</v>
      </c>
      <c r="V1632">
        <f t="shared" si="318"/>
        <v>180.25</v>
      </c>
      <c r="W1632">
        <f t="shared" si="319"/>
        <v>19.024861878499991</v>
      </c>
      <c r="X1632">
        <v>0</v>
      </c>
    </row>
    <row r="1633" spans="1:24" x14ac:dyDescent="0.25">
      <c r="A1633" t="s">
        <v>2025</v>
      </c>
      <c r="B1633" t="s">
        <v>2062</v>
      </c>
      <c r="C1633" t="s">
        <v>2063</v>
      </c>
      <c r="D1633" t="s">
        <v>188</v>
      </c>
      <c r="E1633" t="s">
        <v>22</v>
      </c>
      <c r="F1633" t="s">
        <v>1</v>
      </c>
      <c r="G1633" t="s">
        <v>767</v>
      </c>
      <c r="H1633" t="s">
        <v>422</v>
      </c>
      <c r="I1633" t="s">
        <v>1</v>
      </c>
      <c r="J1633">
        <v>340</v>
      </c>
      <c r="K1633">
        <v>486.45000000009998</v>
      </c>
      <c r="L1633">
        <v>0</v>
      </c>
      <c r="M1633">
        <v>0</v>
      </c>
      <c r="N1633">
        <v>104.89</v>
      </c>
      <c r="O1633"/>
      <c r="P1633">
        <v>0</v>
      </c>
      <c r="Q1633">
        <f t="shared" si="315"/>
        <v>0</v>
      </c>
      <c r="R1633">
        <v>250</v>
      </c>
      <c r="S1633">
        <f t="shared" si="316"/>
        <v>250</v>
      </c>
      <c r="T1633">
        <v>3.5000000000000003E-2</v>
      </c>
      <c r="U1633">
        <f t="shared" si="317"/>
        <v>8.75</v>
      </c>
      <c r="V1633">
        <f t="shared" si="318"/>
        <v>258.75</v>
      </c>
      <c r="W1633">
        <f t="shared" si="319"/>
        <v>258.75</v>
      </c>
      <c r="X1633">
        <v>0</v>
      </c>
    </row>
    <row r="1634" spans="1:24" x14ac:dyDescent="0.25">
      <c r="A1634" t="s">
        <v>2025</v>
      </c>
      <c r="B1634" t="s">
        <v>2062</v>
      </c>
      <c r="C1634" t="s">
        <v>2063</v>
      </c>
      <c r="D1634" t="s">
        <v>188</v>
      </c>
      <c r="E1634" t="s">
        <v>41</v>
      </c>
      <c r="F1634" t="s">
        <v>1</v>
      </c>
      <c r="G1634" t="s">
        <v>767</v>
      </c>
      <c r="H1634" t="s">
        <v>441</v>
      </c>
      <c r="I1634" t="s">
        <v>1</v>
      </c>
      <c r="J1634">
        <v>626.04999999999995</v>
      </c>
      <c r="K1634">
        <v>742.38881028119999</v>
      </c>
      <c r="L1634">
        <v>-21.96</v>
      </c>
      <c r="M1634">
        <v>-44.283977900552486</v>
      </c>
      <c r="N1634">
        <v>226.16</v>
      </c>
      <c r="O1634">
        <v>-43.92</v>
      </c>
      <c r="P1634">
        <v>0</v>
      </c>
      <c r="Q1634">
        <f t="shared" si="315"/>
        <v>-43.92</v>
      </c>
      <c r="R1634">
        <v>600</v>
      </c>
      <c r="S1634">
        <f t="shared" si="316"/>
        <v>643.91999999999996</v>
      </c>
      <c r="T1634">
        <v>0.03</v>
      </c>
      <c r="U1634">
        <f t="shared" si="317"/>
        <v>18</v>
      </c>
      <c r="V1634">
        <f t="shared" si="318"/>
        <v>618</v>
      </c>
      <c r="W1634">
        <f t="shared" si="319"/>
        <v>661.92</v>
      </c>
      <c r="X1634">
        <v>0</v>
      </c>
    </row>
    <row r="1635" spans="1:24" x14ac:dyDescent="0.25">
      <c r="A1635" t="s">
        <v>2025</v>
      </c>
      <c r="B1635" t="s">
        <v>2062</v>
      </c>
      <c r="C1635" t="s">
        <v>2063</v>
      </c>
      <c r="D1635" t="s">
        <v>188</v>
      </c>
      <c r="E1635" t="s">
        <v>51</v>
      </c>
      <c r="F1635" t="s">
        <v>51</v>
      </c>
      <c r="G1635" t="s">
        <v>769</v>
      </c>
      <c r="H1635"/>
      <c r="I1635"/>
      <c r="J1635">
        <v>18154.289999999997</v>
      </c>
      <c r="K1635">
        <v>21319.9917901056</v>
      </c>
      <c r="L1635">
        <v>6876.62</v>
      </c>
      <c r="M1635">
        <v>13867.217127071825</v>
      </c>
      <c r="N1635">
        <v>14688.43</v>
      </c>
      <c r="O1635">
        <v>13824.8964944447</v>
      </c>
      <c r="P1635">
        <f>SUMIF($F$1624:$F$1634,"&lt;&gt;EV_*",$P$1624:$P$1634)</f>
        <v>0</v>
      </c>
      <c r="Q1635">
        <f>SUMIF($F$1624:$F$1634,"&lt;&gt;EV_*",$Q$1624:$Q$1634)</f>
        <v>13824.8964944447</v>
      </c>
      <c r="R1635">
        <f>SUMIF($F$1624:$F$1634,"&lt;&gt;EV_*",$R$1624:$R$1634)</f>
        <v>17731.242192944999</v>
      </c>
      <c r="S1635">
        <f>SUMIF($F$1624:$F$1634,"&lt;&gt;EV_*",$S$1624:$S$1634)</f>
        <v>3906.3456985002995</v>
      </c>
      <c r="T1635">
        <v>0</v>
      </c>
      <c r="U1635">
        <f>SUMIF($F$1624:$F$1634,"&lt;&gt;EV_*",$U$1624:$U$1634)</f>
        <v>383.21068461538528</v>
      </c>
      <c r="V1635">
        <f>SUMIF($F$1624:$F$1634,"&lt;&gt;EV_*",$V$1624:$V$1634)</f>
        <v>18114.452877560383</v>
      </c>
      <c r="W1635">
        <f>SUMIF($F$1624:$F$1634,"&lt;&gt;EV_*",$W$1624:$W$1634)</f>
        <v>4289.5563831156842</v>
      </c>
      <c r="X1635">
        <f>SUMIF($F$1624:$F$1634,"&lt;&gt;EV_*",$X$1624:$X$1634)</f>
        <v>0</v>
      </c>
    </row>
    <row r="1636" spans="1:24" x14ac:dyDescent="0.25">
      <c r="A1636" t="s">
        <v>2025</v>
      </c>
      <c r="B1636" t="s">
        <v>2026</v>
      </c>
      <c r="C1636" t="s">
        <v>2064</v>
      </c>
      <c r="D1636" t="s">
        <v>190</v>
      </c>
      <c r="E1636" t="s">
        <v>5</v>
      </c>
      <c r="F1636" t="s">
        <v>5</v>
      </c>
      <c r="G1636" t="s">
        <v>770</v>
      </c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</row>
    <row r="1637" spans="1:24" x14ac:dyDescent="0.25">
      <c r="A1637" t="s">
        <v>2025</v>
      </c>
      <c r="B1637" t="s">
        <v>2026</v>
      </c>
      <c r="C1637" t="s">
        <v>2064</v>
      </c>
      <c r="D1637" t="s">
        <v>190</v>
      </c>
      <c r="E1637" t="s">
        <v>48</v>
      </c>
      <c r="F1637" t="s">
        <v>1</v>
      </c>
      <c r="G1637" t="s">
        <v>771</v>
      </c>
      <c r="H1637" t="s">
        <v>448</v>
      </c>
      <c r="I1637" t="s">
        <v>1</v>
      </c>
      <c r="J1637">
        <v>55.6</v>
      </c>
      <c r="K1637">
        <v>111</v>
      </c>
      <c r="L1637">
        <v>0</v>
      </c>
      <c r="M1637">
        <v>0</v>
      </c>
      <c r="N1637">
        <v>0</v>
      </c>
      <c r="O1637"/>
      <c r="P1637">
        <v>0</v>
      </c>
      <c r="Q1637">
        <f>O1637+P1637</f>
        <v>0</v>
      </c>
      <c r="R1637">
        <v>0</v>
      </c>
      <c r="S1637">
        <f>IF(OR(LEFT(E1637,2)="A_",LEFT(D1637,5)="Total"),R1637-Q1637,"")</f>
        <v>0</v>
      </c>
      <c r="T1637">
        <v>0.03</v>
      </c>
      <c r="U1637">
        <f>IFERROR(R1637*T1637,R1637*0)</f>
        <v>0</v>
      </c>
      <c r="V1637">
        <f>IF(OR(LEFT(E1637,2)="A_",LEFT(D1637,5)="Total"),R1637+U1637,"")</f>
        <v>0</v>
      </c>
      <c r="W1637">
        <f>IF(OR(LEFT(E1637,2)="A_",LEFT(D1637,5)="Total"),V1637-Q1637,"")</f>
        <v>0</v>
      </c>
      <c r="X1637">
        <v>0</v>
      </c>
    </row>
    <row r="1638" spans="1:24" x14ac:dyDescent="0.25">
      <c r="A1638" t="s">
        <v>2025</v>
      </c>
      <c r="B1638" t="s">
        <v>2026</v>
      </c>
      <c r="C1638" t="s">
        <v>2064</v>
      </c>
      <c r="D1638" t="s">
        <v>190</v>
      </c>
      <c r="E1638" t="s">
        <v>50</v>
      </c>
      <c r="F1638" t="s">
        <v>1</v>
      </c>
      <c r="G1638" t="s">
        <v>771</v>
      </c>
      <c r="H1638" t="s">
        <v>450</v>
      </c>
      <c r="I1638" t="s">
        <v>1</v>
      </c>
      <c r="J1638">
        <v>173.33</v>
      </c>
      <c r="K1638">
        <v>170.00000000040001</v>
      </c>
      <c r="L1638">
        <v>87.72</v>
      </c>
      <c r="M1638">
        <v>176.89392265193371</v>
      </c>
      <c r="N1638">
        <v>182.36</v>
      </c>
      <c r="O1638">
        <v>176.8939226519</v>
      </c>
      <c r="P1638">
        <v>0</v>
      </c>
      <c r="Q1638">
        <f>O1638+P1638</f>
        <v>176.8939226519</v>
      </c>
      <c r="R1638">
        <v>900</v>
      </c>
      <c r="S1638">
        <f>IF(OR(LEFT(E1638,2)="A_",LEFT(D1638,5)="Total"),R1638-Q1638,"")</f>
        <v>723.10607734810003</v>
      </c>
      <c r="T1638"/>
      <c r="U1638">
        <f>IFERROR(R1638*T1638,R1638*0)</f>
        <v>0</v>
      </c>
      <c r="V1638">
        <f>IF(OR(LEFT(E1638,2)="A_",LEFT(D1638,5)="Total"),R1638+U1638,"")</f>
        <v>900</v>
      </c>
      <c r="W1638">
        <f>IF(OR(LEFT(E1638,2)="A_",LEFT(D1638,5)="Total"),V1638-Q1638,"")</f>
        <v>723.10607734810003</v>
      </c>
      <c r="X1638" t="s">
        <v>1565</v>
      </c>
    </row>
    <row r="1639" spans="1:24" x14ac:dyDescent="0.25">
      <c r="A1639" t="s">
        <v>2025</v>
      </c>
      <c r="B1639" t="s">
        <v>2026</v>
      </c>
      <c r="C1639" t="s">
        <v>2064</v>
      </c>
      <c r="D1639" t="s">
        <v>190</v>
      </c>
      <c r="E1639" t="s">
        <v>51</v>
      </c>
      <c r="F1639" t="s">
        <v>51</v>
      </c>
      <c r="G1639" t="s">
        <v>772</v>
      </c>
      <c r="H1639"/>
      <c r="I1639"/>
      <c r="J1639">
        <v>228.93</v>
      </c>
      <c r="K1639">
        <v>281.00000000040001</v>
      </c>
      <c r="L1639">
        <v>87.72</v>
      </c>
      <c r="M1639">
        <v>176.89392265193371</v>
      </c>
      <c r="N1639">
        <v>182.36</v>
      </c>
      <c r="O1639">
        <v>176.8939226519</v>
      </c>
      <c r="P1639">
        <f>SUMIF($F$1636:$F$1638,"&lt;&gt;EV_*",$P$1636:$P$1638)</f>
        <v>0</v>
      </c>
      <c r="Q1639">
        <f>SUMIF($F$1636:$F$1638,"&lt;&gt;EV_*",$Q$1636:$Q$1638)</f>
        <v>176.8939226519</v>
      </c>
      <c r="R1639">
        <f>SUMIF($F$1636:$F$1638,"&lt;&gt;EV_*",$R$1636:$R$1638)</f>
        <v>900</v>
      </c>
      <c r="S1639">
        <f>SUMIF($F$1636:$F$1638,"&lt;&gt;EV_*",$S$1636:$S$1638)</f>
        <v>723.10607734810003</v>
      </c>
      <c r="T1639">
        <v>0</v>
      </c>
      <c r="U1639">
        <f>SUMIF($F$1636:$F$1638,"&lt;&gt;EV_*",$U$1636:$U$1638)</f>
        <v>0</v>
      </c>
      <c r="V1639">
        <f>SUMIF($F$1636:$F$1638,"&lt;&gt;EV_*",$V$1636:$V$1638)</f>
        <v>900</v>
      </c>
      <c r="W1639">
        <f>SUMIF($F$1636:$F$1638,"&lt;&gt;EV_*",$W$1636:$W$1638)</f>
        <v>723.10607734810003</v>
      </c>
      <c r="X1639">
        <f>SUMIF($F$1636:$F$1638,"&lt;&gt;EV_*",$X$1636:$X$1638)</f>
        <v>0</v>
      </c>
    </row>
    <row r="1640" spans="1:24" x14ac:dyDescent="0.25">
      <c r="A1640" t="s">
        <v>2025</v>
      </c>
      <c r="B1640" t="s">
        <v>2065</v>
      </c>
      <c r="C1640" t="s">
        <v>2066</v>
      </c>
      <c r="D1640" t="s">
        <v>191</v>
      </c>
      <c r="E1640" t="s">
        <v>5</v>
      </c>
      <c r="F1640" t="s">
        <v>5</v>
      </c>
      <c r="G1640" t="s">
        <v>773</v>
      </c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</row>
    <row r="1641" spans="1:24" x14ac:dyDescent="0.25">
      <c r="A1641" t="s">
        <v>2025</v>
      </c>
      <c r="B1641" t="s">
        <v>2065</v>
      </c>
      <c r="C1641" t="s">
        <v>2066</v>
      </c>
      <c r="D1641" t="s">
        <v>191</v>
      </c>
      <c r="E1641" t="s">
        <v>9</v>
      </c>
      <c r="F1641" t="s">
        <v>1</v>
      </c>
      <c r="G1641" t="s">
        <v>774</v>
      </c>
      <c r="H1641" t="s">
        <v>409</v>
      </c>
      <c r="I1641" t="s">
        <v>1</v>
      </c>
      <c r="J1641">
        <v>93726.81</v>
      </c>
      <c r="K1641">
        <v>41124</v>
      </c>
      <c r="L1641">
        <v>48805</v>
      </c>
      <c r="M1641">
        <v>98418.92265193371</v>
      </c>
      <c r="N1641">
        <v>100844</v>
      </c>
      <c r="O1641">
        <v>97610</v>
      </c>
      <c r="P1641">
        <v>0</v>
      </c>
      <c r="Q1641">
        <f t="shared" ref="Q1641:Q1662" si="320">O1641+P1641</f>
        <v>97610</v>
      </c>
      <c r="R1641">
        <v>97610</v>
      </c>
      <c r="S1641">
        <f t="shared" ref="S1641:S1662" si="321">IF(OR(LEFT(E1641,2)="A_",LEFT(D1641,5)="Total"),R1641-Q1641,"")</f>
        <v>0</v>
      </c>
      <c r="T1641"/>
      <c r="U1641">
        <f t="shared" ref="U1641:U1662" si="322">IFERROR(R1641*T1641,R1641*0)</f>
        <v>0</v>
      </c>
      <c r="V1641">
        <f t="shared" ref="V1641:V1662" si="323">IF(OR(LEFT(E1641,2)="A_",LEFT(D1641,5)="Total"),R1641+U1641,"")</f>
        <v>97610</v>
      </c>
      <c r="W1641">
        <f t="shared" ref="W1641:W1662" si="324">IF(OR(LEFT(E1641,2)="A_",LEFT(D1641,5)="Total"),V1641-Q1641,"")</f>
        <v>0</v>
      </c>
      <c r="X1641" t="s">
        <v>1566</v>
      </c>
    </row>
    <row r="1642" spans="1:24" x14ac:dyDescent="0.25">
      <c r="A1642" t="s">
        <v>2025</v>
      </c>
      <c r="B1642" t="s">
        <v>2065</v>
      </c>
      <c r="C1642" t="s">
        <v>2066</v>
      </c>
      <c r="D1642" t="s">
        <v>191</v>
      </c>
      <c r="E1642" t="s">
        <v>11</v>
      </c>
      <c r="F1642" t="s">
        <v>1</v>
      </c>
      <c r="G1642" t="s">
        <v>774</v>
      </c>
      <c r="H1642" t="s">
        <v>411</v>
      </c>
      <c r="I1642" t="s">
        <v>1</v>
      </c>
      <c r="J1642">
        <v>1015.72</v>
      </c>
      <c r="K1642">
        <v>875.31</v>
      </c>
      <c r="L1642">
        <v>454.34</v>
      </c>
      <c r="M1642">
        <v>916.21049723756892</v>
      </c>
      <c r="N1642">
        <v>923.34</v>
      </c>
      <c r="O1642">
        <v>908.68</v>
      </c>
      <c r="P1642">
        <v>0</v>
      </c>
      <c r="Q1642">
        <f t="shared" si="320"/>
        <v>908.68</v>
      </c>
      <c r="R1642">
        <v>908.68</v>
      </c>
      <c r="S1642">
        <f t="shared" si="321"/>
        <v>0</v>
      </c>
      <c r="T1642"/>
      <c r="U1642">
        <f t="shared" si="322"/>
        <v>0</v>
      </c>
      <c r="V1642">
        <f t="shared" si="323"/>
        <v>908.68</v>
      </c>
      <c r="W1642">
        <f t="shared" si="324"/>
        <v>0</v>
      </c>
      <c r="X1642">
        <v>0</v>
      </c>
    </row>
    <row r="1643" spans="1:24" x14ac:dyDescent="0.25">
      <c r="A1643" t="s">
        <v>2025</v>
      </c>
      <c r="B1643" t="s">
        <v>2065</v>
      </c>
      <c r="C1643" t="s">
        <v>2066</v>
      </c>
      <c r="D1643" t="s">
        <v>191</v>
      </c>
      <c r="E1643" t="s">
        <v>13</v>
      </c>
      <c r="F1643" t="s">
        <v>1</v>
      </c>
      <c r="G1643" t="s">
        <v>774</v>
      </c>
      <c r="H1643" t="s">
        <v>413</v>
      </c>
      <c r="I1643" t="s">
        <v>1</v>
      </c>
      <c r="J1643"/>
      <c r="K1643"/>
      <c r="L1643">
        <v>141.52000000000001</v>
      </c>
      <c r="M1643">
        <v>285.38563535911607</v>
      </c>
      <c r="N1643">
        <v>141.52000000000001</v>
      </c>
      <c r="O1643">
        <v>283.04000000000002</v>
      </c>
      <c r="P1643">
        <v>0</v>
      </c>
      <c r="Q1643">
        <f t="shared" si="320"/>
        <v>283.04000000000002</v>
      </c>
      <c r="R1643">
        <v>283.04000000000002</v>
      </c>
      <c r="S1643">
        <f t="shared" si="321"/>
        <v>0</v>
      </c>
      <c r="T1643"/>
      <c r="U1643">
        <f t="shared" si="322"/>
        <v>0</v>
      </c>
      <c r="V1643">
        <f t="shared" si="323"/>
        <v>283.04000000000002</v>
      </c>
      <c r="W1643">
        <f t="shared" si="324"/>
        <v>0</v>
      </c>
      <c r="X1643" t="s">
        <v>1567</v>
      </c>
    </row>
    <row r="1644" spans="1:24" x14ac:dyDescent="0.25">
      <c r="A1644" t="s">
        <v>2025</v>
      </c>
      <c r="B1644" t="s">
        <v>2065</v>
      </c>
      <c r="C1644" t="s">
        <v>2066</v>
      </c>
      <c r="D1644" t="s">
        <v>191</v>
      </c>
      <c r="E1644" t="s">
        <v>17</v>
      </c>
      <c r="F1644" t="s">
        <v>1</v>
      </c>
      <c r="G1644" t="s">
        <v>774</v>
      </c>
      <c r="H1644" t="s">
        <v>417</v>
      </c>
      <c r="I1644" t="s">
        <v>1</v>
      </c>
      <c r="J1644">
        <v>-179.12</v>
      </c>
      <c r="K1644"/>
      <c r="L1644">
        <v>-194.62</v>
      </c>
      <c r="M1644">
        <v>-392.46574585635364</v>
      </c>
      <c r="N1644">
        <v>-373.74</v>
      </c>
      <c r="O1644">
        <v>-391.37868131869999</v>
      </c>
      <c r="P1644">
        <v>0</v>
      </c>
      <c r="Q1644">
        <f t="shared" si="320"/>
        <v>-391.37868131869999</v>
      </c>
      <c r="R1644">
        <v>-391.37868131869999</v>
      </c>
      <c r="S1644">
        <f t="shared" si="321"/>
        <v>0</v>
      </c>
      <c r="T1644"/>
      <c r="U1644">
        <f t="shared" si="322"/>
        <v>0</v>
      </c>
      <c r="V1644">
        <f t="shared" si="323"/>
        <v>-391.37868131869999</v>
      </c>
      <c r="W1644">
        <f t="shared" si="324"/>
        <v>0</v>
      </c>
      <c r="X1644">
        <v>0</v>
      </c>
    </row>
    <row r="1645" spans="1:24" x14ac:dyDescent="0.25">
      <c r="A1645" t="s">
        <v>2025</v>
      </c>
      <c r="B1645" t="s">
        <v>2065</v>
      </c>
      <c r="C1645" t="s">
        <v>2066</v>
      </c>
      <c r="D1645" t="s">
        <v>191</v>
      </c>
      <c r="E1645" t="s">
        <v>18</v>
      </c>
      <c r="F1645" t="s">
        <v>1</v>
      </c>
      <c r="G1645" t="s">
        <v>774</v>
      </c>
      <c r="H1645" t="s">
        <v>418</v>
      </c>
      <c r="I1645" t="s">
        <v>1</v>
      </c>
      <c r="J1645">
        <v>8663.76</v>
      </c>
      <c r="K1645">
        <v>6829.4153200606997</v>
      </c>
      <c r="L1645">
        <v>3042.62</v>
      </c>
      <c r="M1645">
        <v>6135.6701657458561</v>
      </c>
      <c r="N1645">
        <v>8502.6299999999992</v>
      </c>
      <c r="O1645">
        <v>6118.6753846153997</v>
      </c>
      <c r="P1645">
        <v>0</v>
      </c>
      <c r="Q1645">
        <f t="shared" si="320"/>
        <v>6118.6753846153997</v>
      </c>
      <c r="R1645">
        <v>6118.6753846153997</v>
      </c>
      <c r="S1645">
        <f t="shared" si="321"/>
        <v>0</v>
      </c>
      <c r="T1645">
        <v>0.02</v>
      </c>
      <c r="U1645">
        <f t="shared" si="322"/>
        <v>122.373507692308</v>
      </c>
      <c r="V1645">
        <f t="shared" si="323"/>
        <v>6241.0488923077073</v>
      </c>
      <c r="W1645">
        <f t="shared" si="324"/>
        <v>122.37350769230761</v>
      </c>
      <c r="X1645">
        <v>0</v>
      </c>
    </row>
    <row r="1646" spans="1:24" x14ac:dyDescent="0.25">
      <c r="A1646" t="s">
        <v>2025</v>
      </c>
      <c r="B1646" t="s">
        <v>2065</v>
      </c>
      <c r="C1646" t="s">
        <v>2066</v>
      </c>
      <c r="D1646" t="s">
        <v>191</v>
      </c>
      <c r="E1646" t="s">
        <v>20</v>
      </c>
      <c r="F1646" t="s">
        <v>1</v>
      </c>
      <c r="G1646" t="s">
        <v>774</v>
      </c>
      <c r="H1646" t="s">
        <v>420</v>
      </c>
      <c r="I1646" t="s">
        <v>1</v>
      </c>
      <c r="J1646">
        <v>58024.01</v>
      </c>
      <c r="K1646">
        <v>62106.371621399398</v>
      </c>
      <c r="L1646">
        <v>28198.07</v>
      </c>
      <c r="M1646">
        <v>56863.511325966851</v>
      </c>
      <c r="N1646">
        <v>57651.770000000004</v>
      </c>
      <c r="O1646">
        <v>56706.008901098903</v>
      </c>
      <c r="P1646">
        <v>0</v>
      </c>
      <c r="Q1646">
        <f t="shared" si="320"/>
        <v>56706.008901098903</v>
      </c>
      <c r="R1646">
        <v>56706.008901098903</v>
      </c>
      <c r="S1646">
        <f t="shared" si="321"/>
        <v>0</v>
      </c>
      <c r="T1646">
        <v>0.04</v>
      </c>
      <c r="U1646">
        <f t="shared" si="322"/>
        <v>2268.2403560439561</v>
      </c>
      <c r="V1646">
        <f t="shared" si="323"/>
        <v>58974.249257142859</v>
      </c>
      <c r="W1646">
        <f t="shared" si="324"/>
        <v>2268.2403560439561</v>
      </c>
      <c r="X1646" t="s">
        <v>1568</v>
      </c>
    </row>
    <row r="1647" spans="1:24" x14ac:dyDescent="0.25">
      <c r="A1647" t="s">
        <v>2025</v>
      </c>
      <c r="B1647" t="s">
        <v>2065</v>
      </c>
      <c r="C1647" t="s">
        <v>2066</v>
      </c>
      <c r="D1647" t="s">
        <v>191</v>
      </c>
      <c r="E1647" t="s">
        <v>21</v>
      </c>
      <c r="F1647" t="s">
        <v>1</v>
      </c>
      <c r="G1647" t="s">
        <v>774</v>
      </c>
      <c r="H1647" t="s">
        <v>421</v>
      </c>
      <c r="I1647" t="s">
        <v>1</v>
      </c>
      <c r="J1647">
        <v>625.85</v>
      </c>
      <c r="K1647">
        <v>360.2299999997</v>
      </c>
      <c r="L1647">
        <v>111.18</v>
      </c>
      <c r="M1647">
        <v>224.20276243093923</v>
      </c>
      <c r="N1647">
        <v>362.47</v>
      </c>
      <c r="O1647">
        <v>224.20276243090001</v>
      </c>
      <c r="P1647">
        <v>0</v>
      </c>
      <c r="Q1647">
        <f t="shared" si="320"/>
        <v>224.20276243090001</v>
      </c>
      <c r="R1647">
        <v>224.20276243090001</v>
      </c>
      <c r="S1647">
        <f t="shared" si="321"/>
        <v>0</v>
      </c>
      <c r="T1647">
        <v>0.03</v>
      </c>
      <c r="U1647">
        <f t="shared" si="322"/>
        <v>6.7260828729269999</v>
      </c>
      <c r="V1647">
        <f t="shared" si="323"/>
        <v>230.92884530382702</v>
      </c>
      <c r="W1647">
        <f t="shared" si="324"/>
        <v>6.7260828729270088</v>
      </c>
      <c r="X1647">
        <v>0</v>
      </c>
    </row>
    <row r="1648" spans="1:24" x14ac:dyDescent="0.25">
      <c r="A1648" t="s">
        <v>2025</v>
      </c>
      <c r="B1648" t="s">
        <v>2065</v>
      </c>
      <c r="C1648" t="s">
        <v>2066</v>
      </c>
      <c r="D1648" t="s">
        <v>191</v>
      </c>
      <c r="E1648" t="s">
        <v>22</v>
      </c>
      <c r="F1648" t="s">
        <v>1</v>
      </c>
      <c r="G1648" t="s">
        <v>774</v>
      </c>
      <c r="H1648" t="s">
        <v>422</v>
      </c>
      <c r="I1648" t="s">
        <v>1</v>
      </c>
      <c r="J1648">
        <v>463.81</v>
      </c>
      <c r="K1648">
        <v>1506.96</v>
      </c>
      <c r="L1648">
        <v>119.6</v>
      </c>
      <c r="M1648">
        <v>241.18232044198894</v>
      </c>
      <c r="N1648">
        <v>447.40999999999997</v>
      </c>
      <c r="O1648">
        <v>241.18232044199999</v>
      </c>
      <c r="P1648">
        <v>0</v>
      </c>
      <c r="Q1648">
        <f t="shared" si="320"/>
        <v>241.18232044199999</v>
      </c>
      <c r="R1648">
        <v>241.18232044199999</v>
      </c>
      <c r="S1648">
        <f t="shared" si="321"/>
        <v>0</v>
      </c>
      <c r="T1648">
        <v>3.5000000000000003E-2</v>
      </c>
      <c r="U1648">
        <f t="shared" si="322"/>
        <v>8.4413812154700008</v>
      </c>
      <c r="V1648">
        <f t="shared" si="323"/>
        <v>249.62370165746998</v>
      </c>
      <c r="W1648">
        <f t="shared" si="324"/>
        <v>8.4413812154699883</v>
      </c>
      <c r="X1648">
        <v>0</v>
      </c>
    </row>
    <row r="1649" spans="1:24" x14ac:dyDescent="0.25">
      <c r="A1649" t="s">
        <v>2025</v>
      </c>
      <c r="B1649" t="s">
        <v>2065</v>
      </c>
      <c r="C1649" t="s">
        <v>2066</v>
      </c>
      <c r="D1649" t="s">
        <v>191</v>
      </c>
      <c r="E1649" t="s">
        <v>24</v>
      </c>
      <c r="F1649" t="s">
        <v>1</v>
      </c>
      <c r="G1649" t="s">
        <v>774</v>
      </c>
      <c r="H1649" t="s">
        <v>424</v>
      </c>
      <c r="I1649" t="s">
        <v>1</v>
      </c>
      <c r="J1649">
        <v>4000</v>
      </c>
      <c r="K1649">
        <v>3999.9999999995998</v>
      </c>
      <c r="L1649">
        <v>0</v>
      </c>
      <c r="M1649">
        <v>0</v>
      </c>
      <c r="N1649">
        <v>4000</v>
      </c>
      <c r="O1649"/>
      <c r="P1649">
        <v>0</v>
      </c>
      <c r="Q1649">
        <f t="shared" si="320"/>
        <v>0</v>
      </c>
      <c r="R1649">
        <v>2500</v>
      </c>
      <c r="S1649">
        <f t="shared" si="321"/>
        <v>2500</v>
      </c>
      <c r="T1649"/>
      <c r="U1649">
        <f t="shared" si="322"/>
        <v>0</v>
      </c>
      <c r="V1649">
        <f t="shared" si="323"/>
        <v>2500</v>
      </c>
      <c r="W1649">
        <f t="shared" si="324"/>
        <v>2500</v>
      </c>
      <c r="X1649" t="s">
        <v>1569</v>
      </c>
    </row>
    <row r="1650" spans="1:24" x14ac:dyDescent="0.25">
      <c r="A1650" t="s">
        <v>2025</v>
      </c>
      <c r="B1650" t="s">
        <v>2065</v>
      </c>
      <c r="C1650" t="s">
        <v>2066</v>
      </c>
      <c r="D1650" t="s">
        <v>191</v>
      </c>
      <c r="E1650" t="s">
        <v>25</v>
      </c>
      <c r="F1650" t="s">
        <v>1</v>
      </c>
      <c r="G1650" t="s">
        <v>774</v>
      </c>
      <c r="H1650" t="s">
        <v>425</v>
      </c>
      <c r="I1650" t="s">
        <v>1</v>
      </c>
      <c r="J1650">
        <v>135.80000000000001</v>
      </c>
      <c r="K1650"/>
      <c r="L1650">
        <v>198</v>
      </c>
      <c r="M1650">
        <v>399.28176795580112</v>
      </c>
      <c r="N1650">
        <v>333.8</v>
      </c>
      <c r="O1650">
        <v>396</v>
      </c>
      <c r="P1650">
        <v>0</v>
      </c>
      <c r="Q1650">
        <f t="shared" si="320"/>
        <v>396</v>
      </c>
      <c r="R1650">
        <v>150</v>
      </c>
      <c r="S1650">
        <f t="shared" si="321"/>
        <v>-246</v>
      </c>
      <c r="T1650"/>
      <c r="U1650">
        <f t="shared" si="322"/>
        <v>0</v>
      </c>
      <c r="V1650">
        <f t="shared" si="323"/>
        <v>150</v>
      </c>
      <c r="W1650">
        <f t="shared" si="324"/>
        <v>-246</v>
      </c>
      <c r="X1650">
        <v>0</v>
      </c>
    </row>
    <row r="1651" spans="1:24" x14ac:dyDescent="0.25">
      <c r="A1651" t="s">
        <v>2025</v>
      </c>
      <c r="B1651" t="s">
        <v>2065</v>
      </c>
      <c r="C1651" t="s">
        <v>2066</v>
      </c>
      <c r="D1651" t="s">
        <v>191</v>
      </c>
      <c r="E1651" t="s">
        <v>26</v>
      </c>
      <c r="F1651" t="s">
        <v>1</v>
      </c>
      <c r="G1651" t="s">
        <v>774</v>
      </c>
      <c r="H1651" t="s">
        <v>426</v>
      </c>
      <c r="I1651" t="s">
        <v>1</v>
      </c>
      <c r="J1651"/>
      <c r="K1651">
        <v>1128.4241235384</v>
      </c>
      <c r="L1651">
        <v>200</v>
      </c>
      <c r="M1651">
        <v>403.31491712707185</v>
      </c>
      <c r="N1651">
        <v>200</v>
      </c>
      <c r="O1651">
        <v>400</v>
      </c>
      <c r="P1651">
        <v>0</v>
      </c>
      <c r="Q1651">
        <f t="shared" si="320"/>
        <v>400</v>
      </c>
      <c r="R1651">
        <v>400</v>
      </c>
      <c r="S1651">
        <f t="shared" si="321"/>
        <v>0</v>
      </c>
      <c r="T1651"/>
      <c r="U1651">
        <f t="shared" si="322"/>
        <v>0</v>
      </c>
      <c r="V1651">
        <f t="shared" si="323"/>
        <v>400</v>
      </c>
      <c r="W1651">
        <f t="shared" si="324"/>
        <v>0</v>
      </c>
      <c r="X1651">
        <v>0</v>
      </c>
    </row>
    <row r="1652" spans="1:24" x14ac:dyDescent="0.25">
      <c r="A1652" t="s">
        <v>2025</v>
      </c>
      <c r="B1652" t="s">
        <v>2065</v>
      </c>
      <c r="C1652" t="s">
        <v>2066</v>
      </c>
      <c r="D1652" t="s">
        <v>191</v>
      </c>
      <c r="E1652" t="s">
        <v>28</v>
      </c>
      <c r="F1652" t="s">
        <v>1</v>
      </c>
      <c r="G1652" t="s">
        <v>774</v>
      </c>
      <c r="H1652" t="s">
        <v>428</v>
      </c>
      <c r="I1652" t="s">
        <v>1</v>
      </c>
      <c r="J1652">
        <v>234</v>
      </c>
      <c r="K1652">
        <v>468</v>
      </c>
      <c r="L1652">
        <v>168</v>
      </c>
      <c r="M1652">
        <v>338.7845303867403</v>
      </c>
      <c r="N1652">
        <v>168</v>
      </c>
      <c r="O1652">
        <v>336</v>
      </c>
      <c r="P1652">
        <v>0</v>
      </c>
      <c r="Q1652">
        <f t="shared" si="320"/>
        <v>336</v>
      </c>
      <c r="R1652">
        <v>336</v>
      </c>
      <c r="S1652">
        <f t="shared" si="321"/>
        <v>0</v>
      </c>
      <c r="T1652"/>
      <c r="U1652">
        <f t="shared" si="322"/>
        <v>0</v>
      </c>
      <c r="V1652">
        <f t="shared" si="323"/>
        <v>336</v>
      </c>
      <c r="W1652">
        <f t="shared" si="324"/>
        <v>0</v>
      </c>
      <c r="X1652">
        <v>0</v>
      </c>
    </row>
    <row r="1653" spans="1:24" x14ac:dyDescent="0.25">
      <c r="A1653" t="s">
        <v>2025</v>
      </c>
      <c r="B1653" t="s">
        <v>2065</v>
      </c>
      <c r="C1653" t="s">
        <v>2066</v>
      </c>
      <c r="D1653" t="s">
        <v>191</v>
      </c>
      <c r="E1653" t="s">
        <v>33</v>
      </c>
      <c r="F1653" t="s">
        <v>1</v>
      </c>
      <c r="G1653" t="s">
        <v>774</v>
      </c>
      <c r="H1653" t="s">
        <v>433</v>
      </c>
      <c r="I1653" t="s">
        <v>1</v>
      </c>
      <c r="J1653">
        <v>218.35</v>
      </c>
      <c r="K1653"/>
      <c r="L1653">
        <v>0</v>
      </c>
      <c r="M1653">
        <v>0</v>
      </c>
      <c r="N1653">
        <v>0</v>
      </c>
      <c r="O1653"/>
      <c r="P1653">
        <v>0</v>
      </c>
      <c r="Q1653">
        <f t="shared" si="320"/>
        <v>0</v>
      </c>
      <c r="R1653">
        <v>0</v>
      </c>
      <c r="S1653">
        <f t="shared" si="321"/>
        <v>0</v>
      </c>
      <c r="T1653"/>
      <c r="U1653">
        <f t="shared" si="322"/>
        <v>0</v>
      </c>
      <c r="V1653">
        <f t="shared" si="323"/>
        <v>0</v>
      </c>
      <c r="W1653">
        <f t="shared" si="324"/>
        <v>0</v>
      </c>
      <c r="X1653">
        <v>0</v>
      </c>
    </row>
    <row r="1654" spans="1:24" x14ac:dyDescent="0.25">
      <c r="A1654" t="s">
        <v>2025</v>
      </c>
      <c r="B1654" t="s">
        <v>2065</v>
      </c>
      <c r="C1654" t="s">
        <v>2066</v>
      </c>
      <c r="D1654" t="s">
        <v>191</v>
      </c>
      <c r="E1654" t="s">
        <v>34</v>
      </c>
      <c r="F1654" t="s">
        <v>1</v>
      </c>
      <c r="G1654" t="s">
        <v>774</v>
      </c>
      <c r="H1654" t="s">
        <v>434</v>
      </c>
      <c r="I1654" t="s">
        <v>1</v>
      </c>
      <c r="J1654">
        <v>27.08</v>
      </c>
      <c r="K1654">
        <v>490.61918414759998</v>
      </c>
      <c r="L1654">
        <v>0</v>
      </c>
      <c r="M1654">
        <v>0</v>
      </c>
      <c r="N1654">
        <v>0</v>
      </c>
      <c r="O1654"/>
      <c r="P1654">
        <v>0</v>
      </c>
      <c r="Q1654">
        <f t="shared" si="320"/>
        <v>0</v>
      </c>
      <c r="R1654">
        <v>250</v>
      </c>
      <c r="S1654">
        <f t="shared" si="321"/>
        <v>250</v>
      </c>
      <c r="T1654"/>
      <c r="U1654">
        <f t="shared" si="322"/>
        <v>0</v>
      </c>
      <c r="V1654">
        <f t="shared" si="323"/>
        <v>250</v>
      </c>
      <c r="W1654">
        <f t="shared" si="324"/>
        <v>250</v>
      </c>
      <c r="X1654">
        <v>0</v>
      </c>
    </row>
    <row r="1655" spans="1:24" x14ac:dyDescent="0.25">
      <c r="A1655" t="s">
        <v>2025</v>
      </c>
      <c r="B1655" t="s">
        <v>2065</v>
      </c>
      <c r="C1655" t="s">
        <v>2066</v>
      </c>
      <c r="D1655" t="s">
        <v>191</v>
      </c>
      <c r="E1655" t="s">
        <v>37</v>
      </c>
      <c r="F1655" t="s">
        <v>1</v>
      </c>
      <c r="G1655" t="s">
        <v>774</v>
      </c>
      <c r="H1655" t="s">
        <v>437</v>
      </c>
      <c r="I1655" t="s">
        <v>1</v>
      </c>
      <c r="J1655">
        <v>2118.69</v>
      </c>
      <c r="K1655"/>
      <c r="L1655">
        <v>1598.36</v>
      </c>
      <c r="M1655">
        <v>3223.2121546961325</v>
      </c>
      <c r="N1655">
        <v>3717.05</v>
      </c>
      <c r="O1655">
        <v>3196.72</v>
      </c>
      <c r="P1655">
        <v>0</v>
      </c>
      <c r="Q1655">
        <f t="shared" si="320"/>
        <v>3196.72</v>
      </c>
      <c r="R1655">
        <v>0</v>
      </c>
      <c r="S1655">
        <f t="shared" si="321"/>
        <v>-3196.72</v>
      </c>
      <c r="T1655"/>
      <c r="U1655">
        <f t="shared" si="322"/>
        <v>0</v>
      </c>
      <c r="V1655">
        <f t="shared" si="323"/>
        <v>0</v>
      </c>
      <c r="W1655">
        <f t="shared" si="324"/>
        <v>-3196.72</v>
      </c>
      <c r="X1655">
        <v>0</v>
      </c>
    </row>
    <row r="1656" spans="1:24" x14ac:dyDescent="0.25">
      <c r="A1656" t="s">
        <v>2025</v>
      </c>
      <c r="B1656" t="s">
        <v>2065</v>
      </c>
      <c r="C1656" t="s">
        <v>2066</v>
      </c>
      <c r="D1656" t="s">
        <v>191</v>
      </c>
      <c r="E1656" t="s">
        <v>41</v>
      </c>
      <c r="F1656" t="s">
        <v>1</v>
      </c>
      <c r="G1656" t="s">
        <v>774</v>
      </c>
      <c r="H1656" t="s">
        <v>441</v>
      </c>
      <c r="I1656" t="s">
        <v>1</v>
      </c>
      <c r="J1656">
        <v>4525.78</v>
      </c>
      <c r="K1656">
        <v>3879.9999999995998</v>
      </c>
      <c r="L1656">
        <v>1227.6600000000001</v>
      </c>
      <c r="M1656">
        <v>2475.6679558011051</v>
      </c>
      <c r="N1656">
        <v>3813.32</v>
      </c>
      <c r="O1656">
        <v>2455.3200000000002</v>
      </c>
      <c r="P1656">
        <v>0</v>
      </c>
      <c r="Q1656">
        <f t="shared" si="320"/>
        <v>2455.3200000000002</v>
      </c>
      <c r="R1656">
        <v>2455.3200000000002</v>
      </c>
      <c r="S1656">
        <f t="shared" si="321"/>
        <v>0</v>
      </c>
      <c r="T1656">
        <v>0.03</v>
      </c>
      <c r="U1656">
        <f t="shared" si="322"/>
        <v>73.659599999999998</v>
      </c>
      <c r="V1656">
        <f t="shared" si="323"/>
        <v>2528.9796000000001</v>
      </c>
      <c r="W1656">
        <f t="shared" si="324"/>
        <v>73.659599999999955</v>
      </c>
      <c r="X1656">
        <v>0</v>
      </c>
    </row>
    <row r="1657" spans="1:24" x14ac:dyDescent="0.25">
      <c r="A1657" t="s">
        <v>2025</v>
      </c>
      <c r="B1657" t="s">
        <v>2065</v>
      </c>
      <c r="C1657" t="s">
        <v>2066</v>
      </c>
      <c r="D1657" t="s">
        <v>191</v>
      </c>
      <c r="E1657" t="s">
        <v>42</v>
      </c>
      <c r="F1657" t="s">
        <v>1</v>
      </c>
      <c r="G1657" t="s">
        <v>774</v>
      </c>
      <c r="H1657" t="s">
        <v>442</v>
      </c>
      <c r="I1657" t="s">
        <v>1</v>
      </c>
      <c r="J1657"/>
      <c r="K1657"/>
      <c r="L1657">
        <v>11.65</v>
      </c>
      <c r="M1657">
        <v>23.493093922651937</v>
      </c>
      <c r="N1657">
        <v>11.65</v>
      </c>
      <c r="O1657">
        <v>23.3</v>
      </c>
      <c r="P1657">
        <v>0</v>
      </c>
      <c r="Q1657">
        <f t="shared" si="320"/>
        <v>23.3</v>
      </c>
      <c r="R1657">
        <v>23.3</v>
      </c>
      <c r="S1657">
        <f t="shared" si="321"/>
        <v>0</v>
      </c>
      <c r="T1657">
        <v>0.03</v>
      </c>
      <c r="U1657">
        <f t="shared" si="322"/>
        <v>0.69899999999999995</v>
      </c>
      <c r="V1657">
        <f t="shared" si="323"/>
        <v>23.999000000000002</v>
      </c>
      <c r="W1657">
        <f t="shared" si="324"/>
        <v>0.69900000000000162</v>
      </c>
      <c r="X1657" t="s">
        <v>1567</v>
      </c>
    </row>
    <row r="1658" spans="1:24" x14ac:dyDescent="0.25">
      <c r="A1658" t="s">
        <v>2025</v>
      </c>
      <c r="B1658" t="s">
        <v>2065</v>
      </c>
      <c r="C1658" t="s">
        <v>2066</v>
      </c>
      <c r="D1658" t="s">
        <v>191</v>
      </c>
      <c r="E1658" t="s">
        <v>46</v>
      </c>
      <c r="F1658" t="s">
        <v>1</v>
      </c>
      <c r="G1658" t="s">
        <v>774</v>
      </c>
      <c r="H1658" t="s">
        <v>446</v>
      </c>
      <c r="I1658" t="s">
        <v>1</v>
      </c>
      <c r="J1658">
        <v>8726.0400000000009</v>
      </c>
      <c r="K1658">
        <v>8726.0000000004002</v>
      </c>
      <c r="L1658">
        <v>8726.0400000000009</v>
      </c>
      <c r="M1658">
        <v>17596.710497237571</v>
      </c>
      <c r="N1658">
        <v>8726.0400000000009</v>
      </c>
      <c r="O1658">
        <v>17452.080000000002</v>
      </c>
      <c r="P1658">
        <v>0</v>
      </c>
      <c r="Q1658">
        <f t="shared" si="320"/>
        <v>17452.080000000002</v>
      </c>
      <c r="R1658">
        <v>8726.0000000004002</v>
      </c>
      <c r="S1658">
        <f t="shared" si="321"/>
        <v>-8726.0799999996016</v>
      </c>
      <c r="T1658">
        <v>0.03</v>
      </c>
      <c r="U1658">
        <f t="shared" si="322"/>
        <v>261.78000000001202</v>
      </c>
      <c r="V1658">
        <f t="shared" si="323"/>
        <v>8987.7800000004117</v>
      </c>
      <c r="W1658">
        <f t="shared" si="324"/>
        <v>-8464.29999999959</v>
      </c>
      <c r="X1658" t="s">
        <v>1570</v>
      </c>
    </row>
    <row r="1659" spans="1:24" x14ac:dyDescent="0.25">
      <c r="A1659" t="s">
        <v>2025</v>
      </c>
      <c r="B1659" t="s">
        <v>2065</v>
      </c>
      <c r="C1659" t="s">
        <v>2066</v>
      </c>
      <c r="D1659" t="s">
        <v>191</v>
      </c>
      <c r="E1659" t="s">
        <v>47</v>
      </c>
      <c r="F1659" t="s">
        <v>1</v>
      </c>
      <c r="G1659" t="s">
        <v>774</v>
      </c>
      <c r="H1659" t="s">
        <v>447</v>
      </c>
      <c r="I1659" t="s">
        <v>1</v>
      </c>
      <c r="J1659"/>
      <c r="K1659">
        <v>920.00000000039995</v>
      </c>
      <c r="L1659">
        <v>0</v>
      </c>
      <c r="M1659">
        <v>0</v>
      </c>
      <c r="N1659">
        <v>0</v>
      </c>
      <c r="O1659"/>
      <c r="P1659">
        <v>0</v>
      </c>
      <c r="Q1659">
        <f t="shared" si="320"/>
        <v>0</v>
      </c>
      <c r="R1659">
        <v>0</v>
      </c>
      <c r="S1659">
        <f t="shared" si="321"/>
        <v>0</v>
      </c>
      <c r="T1659">
        <v>0.03</v>
      </c>
      <c r="U1659">
        <f t="shared" si="322"/>
        <v>0</v>
      </c>
      <c r="V1659">
        <f t="shared" si="323"/>
        <v>0</v>
      </c>
      <c r="W1659">
        <f t="shared" si="324"/>
        <v>0</v>
      </c>
      <c r="X1659">
        <v>0</v>
      </c>
    </row>
    <row r="1660" spans="1:24" x14ac:dyDescent="0.25">
      <c r="A1660" t="s">
        <v>2025</v>
      </c>
      <c r="B1660" t="s">
        <v>2065</v>
      </c>
      <c r="C1660" t="s">
        <v>2066</v>
      </c>
      <c r="D1660" t="s">
        <v>191</v>
      </c>
      <c r="E1660" t="s">
        <v>48</v>
      </c>
      <c r="F1660" t="s">
        <v>1</v>
      </c>
      <c r="G1660" t="s">
        <v>774</v>
      </c>
      <c r="H1660" t="s">
        <v>448</v>
      </c>
      <c r="I1660" t="s">
        <v>1</v>
      </c>
      <c r="J1660">
        <v>45.71</v>
      </c>
      <c r="K1660"/>
      <c r="L1660">
        <v>0</v>
      </c>
      <c r="M1660">
        <v>0</v>
      </c>
      <c r="N1660">
        <v>25.42</v>
      </c>
      <c r="O1660"/>
      <c r="P1660">
        <v>0</v>
      </c>
      <c r="Q1660">
        <f t="shared" si="320"/>
        <v>0</v>
      </c>
      <c r="R1660">
        <v>0</v>
      </c>
      <c r="S1660">
        <f t="shared" si="321"/>
        <v>0</v>
      </c>
      <c r="T1660">
        <v>0.03</v>
      </c>
      <c r="U1660">
        <f t="shared" si="322"/>
        <v>0</v>
      </c>
      <c r="V1660">
        <f t="shared" si="323"/>
        <v>0</v>
      </c>
      <c r="W1660">
        <f t="shared" si="324"/>
        <v>0</v>
      </c>
      <c r="X1660">
        <v>0</v>
      </c>
    </row>
    <row r="1661" spans="1:24" x14ac:dyDescent="0.25">
      <c r="A1661" t="s">
        <v>2025</v>
      </c>
      <c r="B1661" t="s">
        <v>2065</v>
      </c>
      <c r="C1661" t="s">
        <v>2066</v>
      </c>
      <c r="D1661" t="s">
        <v>191</v>
      </c>
      <c r="E1661" t="s">
        <v>63</v>
      </c>
      <c r="F1661" t="s">
        <v>1</v>
      </c>
      <c r="G1661" t="s">
        <v>774</v>
      </c>
      <c r="H1661" t="s">
        <v>472</v>
      </c>
      <c r="I1661" t="s">
        <v>1</v>
      </c>
      <c r="J1661">
        <v>1009.61</v>
      </c>
      <c r="K1661"/>
      <c r="L1661">
        <v>331.36</v>
      </c>
      <c r="M1661">
        <v>668.21215469613264</v>
      </c>
      <c r="N1661">
        <v>779.98</v>
      </c>
      <c r="O1661">
        <v>668.21215469610001</v>
      </c>
      <c r="P1661">
        <v>0</v>
      </c>
      <c r="Q1661">
        <f t="shared" si="320"/>
        <v>668.21215469610001</v>
      </c>
      <c r="R1661">
        <v>668.21215469610001</v>
      </c>
      <c r="S1661">
        <f t="shared" si="321"/>
        <v>0</v>
      </c>
      <c r="T1661"/>
      <c r="U1661">
        <f t="shared" si="322"/>
        <v>0</v>
      </c>
      <c r="V1661">
        <f t="shared" si="323"/>
        <v>668.21215469610001</v>
      </c>
      <c r="W1661">
        <f t="shared" si="324"/>
        <v>0</v>
      </c>
      <c r="X1661" t="s">
        <v>1571</v>
      </c>
    </row>
    <row r="1662" spans="1:24" x14ac:dyDescent="0.25">
      <c r="A1662" t="s">
        <v>2025</v>
      </c>
      <c r="B1662" t="s">
        <v>2065</v>
      </c>
      <c r="C1662" t="s">
        <v>2066</v>
      </c>
      <c r="D1662" t="s">
        <v>191</v>
      </c>
      <c r="E1662" t="s">
        <v>192</v>
      </c>
      <c r="F1662" t="s">
        <v>1</v>
      </c>
      <c r="G1662" t="s">
        <v>774</v>
      </c>
      <c r="H1662" t="s">
        <v>775</v>
      </c>
      <c r="I1662" t="s">
        <v>1</v>
      </c>
      <c r="J1662">
        <v>485.84</v>
      </c>
      <c r="K1662">
        <v>350.00000000040001</v>
      </c>
      <c r="L1662">
        <v>368.36</v>
      </c>
      <c r="M1662">
        <v>742.82541436464089</v>
      </c>
      <c r="N1662">
        <v>688.63999999999987</v>
      </c>
      <c r="O1662">
        <v>742.82541436459996</v>
      </c>
      <c r="P1662">
        <v>0</v>
      </c>
      <c r="Q1662">
        <f t="shared" si="320"/>
        <v>742.82541436459996</v>
      </c>
      <c r="R1662">
        <v>742.82541436459996</v>
      </c>
      <c r="S1662">
        <f t="shared" si="321"/>
        <v>0</v>
      </c>
      <c r="T1662"/>
      <c r="U1662">
        <f t="shared" si="322"/>
        <v>0</v>
      </c>
      <c r="V1662">
        <f t="shared" si="323"/>
        <v>742.82541436459996</v>
      </c>
      <c r="W1662">
        <f t="shared" si="324"/>
        <v>0</v>
      </c>
      <c r="X1662" t="s">
        <v>1571</v>
      </c>
    </row>
    <row r="1663" spans="1:24" x14ac:dyDescent="0.25">
      <c r="A1663" t="s">
        <v>2025</v>
      </c>
      <c r="B1663" t="s">
        <v>2065</v>
      </c>
      <c r="C1663" t="s">
        <v>2066</v>
      </c>
      <c r="D1663" t="s">
        <v>191</v>
      </c>
      <c r="E1663" t="s">
        <v>51</v>
      </c>
      <c r="F1663" t="s">
        <v>51</v>
      </c>
      <c r="G1663" t="s">
        <v>776</v>
      </c>
      <c r="H1663"/>
      <c r="I1663"/>
      <c r="J1663">
        <v>183867.73999999996</v>
      </c>
      <c r="K1663">
        <v>132765.33024914621</v>
      </c>
      <c r="L1663">
        <v>93507.139999999985</v>
      </c>
      <c r="M1663">
        <v>188564.12209944753</v>
      </c>
      <c r="N1663">
        <v>190963.30000000005</v>
      </c>
      <c r="O1663">
        <v>187370.86825632924</v>
      </c>
      <c r="P1663">
        <f>SUMIF($F$1640:$F$1662,"&lt;&gt;EV_*",$P$1640:$P$1662)</f>
        <v>0</v>
      </c>
      <c r="Q1663">
        <f>SUMIF($F$1640:$F$1662,"&lt;&gt;EV_*",$Q$1640:$Q$1662)</f>
        <v>187370.86825632924</v>
      </c>
      <c r="R1663">
        <f>SUMIF($F$1640:$F$1662,"&lt;&gt;EV_*",$R$1640:$R$1662)</f>
        <v>177952.06825632963</v>
      </c>
      <c r="S1663">
        <f>SUMIF($F$1640:$F$1662,"&lt;&gt;EV_*",$S$1640:$S$1662)</f>
        <v>-9418.7999999996009</v>
      </c>
      <c r="T1663">
        <v>0</v>
      </c>
      <c r="U1663">
        <f>SUMIF($F$1640:$F$1662,"&lt;&gt;EV_*",$U$1640:$U$1662)</f>
        <v>2741.9199278246729</v>
      </c>
      <c r="V1663">
        <f>SUMIF($F$1640:$F$1662,"&lt;&gt;EV_*",$V$1640:$V$1662)</f>
        <v>180693.98818415427</v>
      </c>
      <c r="W1663">
        <f>SUMIF($F$1640:$F$1662,"&lt;&gt;EV_*",$W$1640:$W$1662)</f>
        <v>-6676.8800721749294</v>
      </c>
      <c r="X1663">
        <f>SUMIF($F$1640:$F$1662,"&lt;&gt;EV_*",$X$1640:$X$1662)</f>
        <v>0</v>
      </c>
    </row>
    <row r="1664" spans="1:24" x14ac:dyDescent="0.25">
      <c r="A1664" t="s">
        <v>2025</v>
      </c>
      <c r="B1664" t="s">
        <v>2067</v>
      </c>
      <c r="C1664" t="s">
        <v>2068</v>
      </c>
      <c r="D1664" t="s">
        <v>193</v>
      </c>
      <c r="E1664" t="s">
        <v>5</v>
      </c>
      <c r="F1664" t="s">
        <v>5</v>
      </c>
      <c r="G1664" t="s">
        <v>777</v>
      </c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</row>
    <row r="1665" spans="1:24" x14ac:dyDescent="0.25">
      <c r="A1665" t="s">
        <v>2025</v>
      </c>
      <c r="B1665" t="s">
        <v>2067</v>
      </c>
      <c r="C1665" t="s">
        <v>2068</v>
      </c>
      <c r="D1665" t="s">
        <v>193</v>
      </c>
      <c r="E1665" t="s">
        <v>11</v>
      </c>
      <c r="F1665" t="s">
        <v>1</v>
      </c>
      <c r="G1665" t="s">
        <v>778</v>
      </c>
      <c r="H1665" t="s">
        <v>411</v>
      </c>
      <c r="I1665" t="s">
        <v>1</v>
      </c>
      <c r="J1665">
        <v>3443.72</v>
      </c>
      <c r="K1665">
        <v>3435.9999999995998</v>
      </c>
      <c r="L1665">
        <v>1727</v>
      </c>
      <c r="M1665">
        <v>3482.6243093922649</v>
      </c>
      <c r="N1665">
        <v>3453.5700000000006</v>
      </c>
      <c r="O1665">
        <v>3454</v>
      </c>
      <c r="P1665">
        <v>0</v>
      </c>
      <c r="Q1665">
        <f>O1665+P1665</f>
        <v>3454</v>
      </c>
      <c r="R1665">
        <v>3454</v>
      </c>
      <c r="S1665">
        <f>IF(OR(LEFT(E1665,2)="A_",LEFT(D1665,5)="Total"),R1665-Q1665,"")</f>
        <v>0</v>
      </c>
      <c r="T1665"/>
      <c r="U1665">
        <f>IFERROR(R1665*T1665,R1665*0)</f>
        <v>0</v>
      </c>
      <c r="V1665">
        <f>IF(OR(LEFT(E1665,2)="A_",LEFT(D1665,5)="Total"),R1665+U1665,"")</f>
        <v>3454</v>
      </c>
      <c r="W1665">
        <f>IF(OR(LEFT(E1665,2)="A_",LEFT(D1665,5)="Total"),V1665-Q1665,"")</f>
        <v>0</v>
      </c>
      <c r="X1665" t="s">
        <v>1572</v>
      </c>
    </row>
    <row r="1666" spans="1:24" x14ac:dyDescent="0.25">
      <c r="A1666" t="s">
        <v>2025</v>
      </c>
      <c r="B1666" t="s">
        <v>2067</v>
      </c>
      <c r="C1666" t="s">
        <v>2068</v>
      </c>
      <c r="D1666" t="s">
        <v>193</v>
      </c>
      <c r="E1666" t="s">
        <v>51</v>
      </c>
      <c r="F1666" t="s">
        <v>51</v>
      </c>
      <c r="G1666" t="s">
        <v>779</v>
      </c>
      <c r="H1666"/>
      <c r="I1666"/>
      <c r="J1666">
        <v>3443.72</v>
      </c>
      <c r="K1666">
        <v>3435.9999999995998</v>
      </c>
      <c r="L1666">
        <v>1727</v>
      </c>
      <c r="M1666">
        <v>3482.6243093922649</v>
      </c>
      <c r="N1666">
        <v>3453.5700000000006</v>
      </c>
      <c r="O1666">
        <v>3454</v>
      </c>
      <c r="P1666">
        <f>SUMIF($F$1664:$F$1665,"&lt;&gt;EV_*",$P$1664:$P$1665)</f>
        <v>0</v>
      </c>
      <c r="Q1666">
        <f>SUMIF($F$1664:$F$1665,"&lt;&gt;EV_*",$Q$1664:$Q$1665)</f>
        <v>3454</v>
      </c>
      <c r="R1666">
        <f>SUMIF($F$1664:$F$1665,"&lt;&gt;EV_*",$R$1664:$R$1665)</f>
        <v>3454</v>
      </c>
      <c r="S1666">
        <f>SUMIF($F$1664:$F$1665,"&lt;&gt;EV_*",$S$1664:$S$1665)</f>
        <v>0</v>
      </c>
      <c r="T1666">
        <v>0</v>
      </c>
      <c r="U1666">
        <f>SUMIF($F$1664:$F$1665,"&lt;&gt;EV_*",$U$1664:$U$1665)</f>
        <v>0</v>
      </c>
      <c r="V1666">
        <f>SUMIF($F$1664:$F$1665,"&lt;&gt;EV_*",$V$1664:$V$1665)</f>
        <v>3454</v>
      </c>
      <c r="W1666">
        <f>SUMIF($F$1664:$F$1665,"&lt;&gt;EV_*",$W$1664:$W$1665)</f>
        <v>0</v>
      </c>
      <c r="X1666">
        <f>SUMIF($F$1664:$F$1665,"&lt;&gt;EV_*",$X$1664:$X$1665)</f>
        <v>0</v>
      </c>
    </row>
    <row r="1667" spans="1:24" x14ac:dyDescent="0.25">
      <c r="A1667" t="s">
        <v>1965</v>
      </c>
      <c r="B1667" t="s">
        <v>2017</v>
      </c>
      <c r="C1667" t="s">
        <v>2069</v>
      </c>
      <c r="D1667" t="s">
        <v>194</v>
      </c>
      <c r="E1667" t="s">
        <v>5</v>
      </c>
      <c r="F1667" t="s">
        <v>5</v>
      </c>
      <c r="G1667" t="s">
        <v>780</v>
      </c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</row>
    <row r="1668" spans="1:24" x14ac:dyDescent="0.25">
      <c r="A1668" t="s">
        <v>1965</v>
      </c>
      <c r="B1668" t="s">
        <v>2017</v>
      </c>
      <c r="C1668" t="s">
        <v>2069</v>
      </c>
      <c r="D1668" t="s">
        <v>194</v>
      </c>
      <c r="E1668" t="s">
        <v>13</v>
      </c>
      <c r="F1668" t="s">
        <v>1</v>
      </c>
      <c r="G1668" t="s">
        <v>781</v>
      </c>
      <c r="H1668" t="s">
        <v>413</v>
      </c>
      <c r="I1668" t="s">
        <v>1</v>
      </c>
      <c r="J1668">
        <v>309.64999999999998</v>
      </c>
      <c r="K1668"/>
      <c r="L1668">
        <v>881.43</v>
      </c>
      <c r="M1668">
        <v>1777.4693370165746</v>
      </c>
      <c r="N1668">
        <v>1191.08</v>
      </c>
      <c r="O1668">
        <v>1762.86</v>
      </c>
      <c r="P1668">
        <v>0</v>
      </c>
      <c r="Q1668">
        <f t="shared" ref="Q1668:Q1677" si="325">O1668+P1668</f>
        <v>1762.86</v>
      </c>
      <c r="R1668">
        <v>1763</v>
      </c>
      <c r="S1668">
        <f t="shared" ref="S1668:S1677" si="326">IF(OR(LEFT(E1668,2)="A_",LEFT(D1668,5)="Total"),R1668-Q1668,"")</f>
        <v>0.14000000000010004</v>
      </c>
      <c r="T1668"/>
      <c r="U1668">
        <f t="shared" ref="U1668:U1677" si="327">IFERROR(R1668*T1668,R1668*0)</f>
        <v>0</v>
      </c>
      <c r="V1668">
        <f t="shared" ref="V1668:V1677" si="328">IF(OR(LEFT(E1668,2)="A_",LEFT(D1668,5)="Total"),R1668+U1668,"")</f>
        <v>1763</v>
      </c>
      <c r="W1668">
        <f t="shared" ref="W1668:W1677" si="329">IF(OR(LEFT(E1668,2)="A_",LEFT(D1668,5)="Total"),V1668-Q1668,"")</f>
        <v>0.14000000000010004</v>
      </c>
      <c r="X1668" t="s">
        <v>1573</v>
      </c>
    </row>
    <row r="1669" spans="1:24" x14ac:dyDescent="0.25">
      <c r="A1669" t="s">
        <v>1965</v>
      </c>
      <c r="B1669" t="s">
        <v>2017</v>
      </c>
      <c r="C1669" t="s">
        <v>2069</v>
      </c>
      <c r="D1669" t="s">
        <v>194</v>
      </c>
      <c r="E1669" t="s">
        <v>18</v>
      </c>
      <c r="F1669" t="s">
        <v>1</v>
      </c>
      <c r="G1669" t="s">
        <v>781</v>
      </c>
      <c r="H1669" t="s">
        <v>418</v>
      </c>
      <c r="I1669" t="s">
        <v>1</v>
      </c>
      <c r="J1669">
        <v>27.75</v>
      </c>
      <c r="K1669"/>
      <c r="L1669">
        <v>0</v>
      </c>
      <c r="M1669">
        <v>0</v>
      </c>
      <c r="N1669">
        <v>27.75</v>
      </c>
      <c r="O1669"/>
      <c r="P1669">
        <v>0</v>
      </c>
      <c r="Q1669">
        <f t="shared" si="325"/>
        <v>0</v>
      </c>
      <c r="R1669">
        <v>56</v>
      </c>
      <c r="S1669">
        <f t="shared" si="326"/>
        <v>56</v>
      </c>
      <c r="T1669">
        <v>0.02</v>
      </c>
      <c r="U1669">
        <f t="shared" si="327"/>
        <v>1.1200000000000001</v>
      </c>
      <c r="V1669">
        <f t="shared" si="328"/>
        <v>57.12</v>
      </c>
      <c r="W1669">
        <f t="shared" si="329"/>
        <v>57.12</v>
      </c>
      <c r="X1669" t="s">
        <v>1574</v>
      </c>
    </row>
    <row r="1670" spans="1:24" x14ac:dyDescent="0.25">
      <c r="A1670" t="s">
        <v>1965</v>
      </c>
      <c r="B1670" t="s">
        <v>2017</v>
      </c>
      <c r="C1670" t="s">
        <v>2069</v>
      </c>
      <c r="D1670" t="s">
        <v>194</v>
      </c>
      <c r="E1670" t="s">
        <v>24</v>
      </c>
      <c r="F1670" t="s">
        <v>1</v>
      </c>
      <c r="G1670" t="s">
        <v>781</v>
      </c>
      <c r="H1670" t="s">
        <v>424</v>
      </c>
      <c r="I1670" t="s">
        <v>1</v>
      </c>
      <c r="J1670"/>
      <c r="K1670">
        <v>428.00000000040001</v>
      </c>
      <c r="L1670">
        <v>0</v>
      </c>
      <c r="M1670">
        <v>0</v>
      </c>
      <c r="N1670">
        <v>0</v>
      </c>
      <c r="O1670"/>
      <c r="P1670">
        <v>0</v>
      </c>
      <c r="Q1670">
        <f t="shared" si="325"/>
        <v>0</v>
      </c>
      <c r="R1670">
        <v>0</v>
      </c>
      <c r="S1670">
        <f t="shared" si="326"/>
        <v>0</v>
      </c>
      <c r="T1670"/>
      <c r="U1670">
        <f t="shared" si="327"/>
        <v>0</v>
      </c>
      <c r="V1670">
        <f t="shared" si="328"/>
        <v>0</v>
      </c>
      <c r="W1670">
        <f t="shared" si="329"/>
        <v>0</v>
      </c>
      <c r="X1670">
        <v>0</v>
      </c>
    </row>
    <row r="1671" spans="1:24" x14ac:dyDescent="0.25">
      <c r="A1671" t="s">
        <v>1965</v>
      </c>
      <c r="B1671" t="s">
        <v>2017</v>
      </c>
      <c r="C1671" t="s">
        <v>2069</v>
      </c>
      <c r="D1671" t="s">
        <v>194</v>
      </c>
      <c r="E1671" t="s">
        <v>26</v>
      </c>
      <c r="F1671" t="s">
        <v>1</v>
      </c>
      <c r="G1671" t="s">
        <v>781</v>
      </c>
      <c r="H1671" t="s">
        <v>426</v>
      </c>
      <c r="I1671" t="s">
        <v>1</v>
      </c>
      <c r="J1671">
        <v>1832.53</v>
      </c>
      <c r="K1671">
        <v>2937.1926458496</v>
      </c>
      <c r="L1671">
        <v>549</v>
      </c>
      <c r="M1671">
        <v>1107.0994475138123</v>
      </c>
      <c r="N1671">
        <v>1236.53</v>
      </c>
      <c r="O1671">
        <v>1098</v>
      </c>
      <c r="P1671">
        <v>0</v>
      </c>
      <c r="Q1671">
        <f t="shared" si="325"/>
        <v>1098</v>
      </c>
      <c r="R1671">
        <v>0</v>
      </c>
      <c r="S1671">
        <f t="shared" si="326"/>
        <v>-1098</v>
      </c>
      <c r="T1671"/>
      <c r="U1671">
        <f t="shared" si="327"/>
        <v>0</v>
      </c>
      <c r="V1671">
        <f t="shared" si="328"/>
        <v>0</v>
      </c>
      <c r="W1671">
        <f t="shared" si="329"/>
        <v>-1098</v>
      </c>
      <c r="X1671" t="s">
        <v>1575</v>
      </c>
    </row>
    <row r="1672" spans="1:24" x14ac:dyDescent="0.25">
      <c r="A1672" t="s">
        <v>1965</v>
      </c>
      <c r="B1672" t="s">
        <v>2017</v>
      </c>
      <c r="C1672" t="s">
        <v>2069</v>
      </c>
      <c r="D1672" t="s">
        <v>194</v>
      </c>
      <c r="E1672" t="s">
        <v>29</v>
      </c>
      <c r="F1672" t="s">
        <v>1</v>
      </c>
      <c r="G1672" t="s">
        <v>781</v>
      </c>
      <c r="H1672" t="s">
        <v>429</v>
      </c>
      <c r="I1672" t="s">
        <v>1</v>
      </c>
      <c r="J1672">
        <v>184</v>
      </c>
      <c r="K1672"/>
      <c r="L1672">
        <v>0</v>
      </c>
      <c r="M1672">
        <v>0</v>
      </c>
      <c r="N1672">
        <v>184</v>
      </c>
      <c r="O1672"/>
      <c r="P1672">
        <v>0</v>
      </c>
      <c r="Q1672">
        <f t="shared" si="325"/>
        <v>0</v>
      </c>
      <c r="R1672">
        <v>0</v>
      </c>
      <c r="S1672">
        <f t="shared" si="326"/>
        <v>0</v>
      </c>
      <c r="T1672"/>
      <c r="U1672">
        <f t="shared" si="327"/>
        <v>0</v>
      </c>
      <c r="V1672">
        <f t="shared" si="328"/>
        <v>0</v>
      </c>
      <c r="W1672">
        <f t="shared" si="329"/>
        <v>0</v>
      </c>
      <c r="X1672">
        <v>0</v>
      </c>
    </row>
    <row r="1673" spans="1:24" x14ac:dyDescent="0.25">
      <c r="A1673" t="s">
        <v>1965</v>
      </c>
      <c r="B1673" t="s">
        <v>2017</v>
      </c>
      <c r="C1673" t="s">
        <v>2069</v>
      </c>
      <c r="D1673" t="s">
        <v>194</v>
      </c>
      <c r="E1673" t="s">
        <v>34</v>
      </c>
      <c r="F1673" t="s">
        <v>1</v>
      </c>
      <c r="G1673" t="s">
        <v>781</v>
      </c>
      <c r="H1673" t="s">
        <v>434</v>
      </c>
      <c r="I1673" t="s">
        <v>1</v>
      </c>
      <c r="J1673">
        <v>403.82</v>
      </c>
      <c r="K1673">
        <v>196.24767365880001</v>
      </c>
      <c r="L1673">
        <v>24.94</v>
      </c>
      <c r="M1673">
        <v>50.293370165745856</v>
      </c>
      <c r="N1673">
        <v>24.94</v>
      </c>
      <c r="O1673">
        <v>49.88</v>
      </c>
      <c r="P1673">
        <v>0</v>
      </c>
      <c r="Q1673">
        <f t="shared" si="325"/>
        <v>49.88</v>
      </c>
      <c r="R1673">
        <v>0</v>
      </c>
      <c r="S1673">
        <f t="shared" si="326"/>
        <v>-49.88</v>
      </c>
      <c r="T1673"/>
      <c r="U1673">
        <f t="shared" si="327"/>
        <v>0</v>
      </c>
      <c r="V1673">
        <f t="shared" si="328"/>
        <v>0</v>
      </c>
      <c r="W1673">
        <f t="shared" si="329"/>
        <v>-49.88</v>
      </c>
      <c r="X1673">
        <v>0</v>
      </c>
    </row>
    <row r="1674" spans="1:24" x14ac:dyDescent="0.25">
      <c r="A1674" t="s">
        <v>1965</v>
      </c>
      <c r="B1674" t="s">
        <v>2017</v>
      </c>
      <c r="C1674" t="s">
        <v>2069</v>
      </c>
      <c r="D1674" t="s">
        <v>194</v>
      </c>
      <c r="E1674" t="s">
        <v>37</v>
      </c>
      <c r="F1674" t="s">
        <v>1</v>
      </c>
      <c r="G1674" t="s">
        <v>781</v>
      </c>
      <c r="H1674" t="s">
        <v>437</v>
      </c>
      <c r="I1674" t="s">
        <v>1</v>
      </c>
      <c r="J1674">
        <v>2919</v>
      </c>
      <c r="K1674"/>
      <c r="L1674">
        <v>926.06</v>
      </c>
      <c r="M1674">
        <v>1867.4690607734806</v>
      </c>
      <c r="N1674">
        <v>926.06</v>
      </c>
      <c r="O1674">
        <v>1852.12</v>
      </c>
      <c r="P1674">
        <v>0</v>
      </c>
      <c r="Q1674">
        <f t="shared" si="325"/>
        <v>1852.12</v>
      </c>
      <c r="R1674">
        <v>0</v>
      </c>
      <c r="S1674">
        <f t="shared" si="326"/>
        <v>-1852.12</v>
      </c>
      <c r="T1674"/>
      <c r="U1674">
        <f t="shared" si="327"/>
        <v>0</v>
      </c>
      <c r="V1674">
        <f t="shared" si="328"/>
        <v>0</v>
      </c>
      <c r="W1674">
        <f t="shared" si="329"/>
        <v>-1852.12</v>
      </c>
      <c r="X1674" t="s">
        <v>1576</v>
      </c>
    </row>
    <row r="1675" spans="1:24" x14ac:dyDescent="0.25">
      <c r="A1675" t="s">
        <v>1965</v>
      </c>
      <c r="B1675" t="s">
        <v>2017</v>
      </c>
      <c r="C1675" t="s">
        <v>2069</v>
      </c>
      <c r="D1675" t="s">
        <v>194</v>
      </c>
      <c r="E1675" t="s">
        <v>42</v>
      </c>
      <c r="F1675" t="s">
        <v>1</v>
      </c>
      <c r="G1675" t="s">
        <v>781</v>
      </c>
      <c r="H1675" t="s">
        <v>442</v>
      </c>
      <c r="I1675" t="s">
        <v>1</v>
      </c>
      <c r="J1675">
        <v>33.229999999999997</v>
      </c>
      <c r="K1675"/>
      <c r="L1675">
        <v>81.55</v>
      </c>
      <c r="M1675">
        <v>164.45165745856352</v>
      </c>
      <c r="N1675">
        <v>114.78</v>
      </c>
      <c r="O1675">
        <v>163.1</v>
      </c>
      <c r="P1675">
        <v>0</v>
      </c>
      <c r="Q1675">
        <f t="shared" si="325"/>
        <v>163.1</v>
      </c>
      <c r="R1675">
        <v>163</v>
      </c>
      <c r="S1675">
        <f t="shared" si="326"/>
        <v>-9.9999999999994316E-2</v>
      </c>
      <c r="T1675">
        <v>0.03</v>
      </c>
      <c r="U1675">
        <f t="shared" si="327"/>
        <v>4.8899999999999997</v>
      </c>
      <c r="V1675">
        <f t="shared" si="328"/>
        <v>167.89</v>
      </c>
      <c r="W1675">
        <f t="shared" si="329"/>
        <v>4.789999999999992</v>
      </c>
      <c r="X1675" t="s">
        <v>1573</v>
      </c>
    </row>
    <row r="1676" spans="1:24" x14ac:dyDescent="0.25">
      <c r="A1676" t="s">
        <v>1965</v>
      </c>
      <c r="B1676" t="s">
        <v>2017</v>
      </c>
      <c r="C1676" t="s">
        <v>2069</v>
      </c>
      <c r="D1676" t="s">
        <v>194</v>
      </c>
      <c r="E1676" t="s">
        <v>47</v>
      </c>
      <c r="F1676" t="s">
        <v>1</v>
      </c>
      <c r="G1676" t="s">
        <v>781</v>
      </c>
      <c r="H1676" t="s">
        <v>447</v>
      </c>
      <c r="I1676" t="s">
        <v>1</v>
      </c>
      <c r="J1676">
        <v>8539.8700000000008</v>
      </c>
      <c r="K1676">
        <v>5772</v>
      </c>
      <c r="L1676">
        <v>1986</v>
      </c>
      <c r="M1676">
        <v>4004.917127071823</v>
      </c>
      <c r="N1676">
        <v>6198.87</v>
      </c>
      <c r="O1676">
        <v>3972</v>
      </c>
      <c r="P1676">
        <v>0</v>
      </c>
      <c r="Q1676">
        <f t="shared" si="325"/>
        <v>3972</v>
      </c>
      <c r="R1676">
        <v>18000</v>
      </c>
      <c r="S1676">
        <f t="shared" si="326"/>
        <v>14028</v>
      </c>
      <c r="T1676">
        <v>0.03</v>
      </c>
      <c r="U1676">
        <f t="shared" si="327"/>
        <v>540</v>
      </c>
      <c r="V1676">
        <f t="shared" si="328"/>
        <v>18540</v>
      </c>
      <c r="W1676">
        <f t="shared" si="329"/>
        <v>14568</v>
      </c>
      <c r="X1676" t="s">
        <v>1577</v>
      </c>
    </row>
    <row r="1677" spans="1:24" x14ac:dyDescent="0.25">
      <c r="A1677" t="s">
        <v>1965</v>
      </c>
      <c r="B1677" t="s">
        <v>2017</v>
      </c>
      <c r="C1677" t="s">
        <v>2069</v>
      </c>
      <c r="D1677" t="s">
        <v>194</v>
      </c>
      <c r="E1677" t="s">
        <v>50</v>
      </c>
      <c r="F1677" t="s">
        <v>1</v>
      </c>
      <c r="G1677" t="s">
        <v>781</v>
      </c>
      <c r="H1677" t="s">
        <v>450</v>
      </c>
      <c r="I1677" t="s">
        <v>1</v>
      </c>
      <c r="J1677">
        <v>360.41</v>
      </c>
      <c r="K1677">
        <v>339.99999999959999</v>
      </c>
      <c r="L1677">
        <v>196.59</v>
      </c>
      <c r="M1677">
        <v>396.43839779005532</v>
      </c>
      <c r="N1677">
        <v>393.16999999999996</v>
      </c>
      <c r="O1677">
        <v>396.4383977901</v>
      </c>
      <c r="P1677">
        <v>0</v>
      </c>
      <c r="Q1677">
        <f t="shared" si="325"/>
        <v>396.4383977901</v>
      </c>
      <c r="R1677">
        <v>396</v>
      </c>
      <c r="S1677">
        <f t="shared" si="326"/>
        <v>-0.43839779009999802</v>
      </c>
      <c r="T1677"/>
      <c r="U1677">
        <f t="shared" si="327"/>
        <v>0</v>
      </c>
      <c r="V1677">
        <f t="shared" si="328"/>
        <v>396</v>
      </c>
      <c r="W1677">
        <f t="shared" si="329"/>
        <v>-0.43839779009999802</v>
      </c>
      <c r="X1677" t="s">
        <v>1578</v>
      </c>
    </row>
    <row r="1678" spans="1:24" x14ac:dyDescent="0.25">
      <c r="A1678" t="s">
        <v>1965</v>
      </c>
      <c r="B1678" t="s">
        <v>2017</v>
      </c>
      <c r="C1678" t="s">
        <v>2069</v>
      </c>
      <c r="D1678" t="s">
        <v>194</v>
      </c>
      <c r="E1678" t="s">
        <v>51</v>
      </c>
      <c r="F1678" t="s">
        <v>51</v>
      </c>
      <c r="G1678" t="s">
        <v>782</v>
      </c>
      <c r="H1678"/>
      <c r="I1678"/>
      <c r="J1678">
        <v>14610.26</v>
      </c>
      <c r="K1678">
        <v>9673.4403195083996</v>
      </c>
      <c r="L1678">
        <v>4645.57</v>
      </c>
      <c r="M1678">
        <v>9368.138397790055</v>
      </c>
      <c r="N1678">
        <v>10297.18</v>
      </c>
      <c r="O1678">
        <v>9294.3983977900989</v>
      </c>
      <c r="P1678">
        <f>SUMIF($F$1667:$F$1677,"&lt;&gt;EV_*",$P$1667:$P$1677)</f>
        <v>0</v>
      </c>
      <c r="Q1678">
        <f>SUMIF($F$1667:$F$1677,"&lt;&gt;EV_*",$Q$1667:$Q$1677)</f>
        <v>9294.3983977900989</v>
      </c>
      <c r="R1678">
        <f>SUMIF($F$1667:$F$1677,"&lt;&gt;EV_*",$R$1667:$R$1677)</f>
        <v>20378</v>
      </c>
      <c r="S1678">
        <f>SUMIF($F$1667:$F$1677,"&lt;&gt;EV_*",$S$1667:$S$1677)</f>
        <v>11083.601602209901</v>
      </c>
      <c r="T1678">
        <v>0</v>
      </c>
      <c r="U1678">
        <f>SUMIF($F$1667:$F$1677,"&lt;&gt;EV_*",$U$1667:$U$1677)</f>
        <v>546.01</v>
      </c>
      <c r="V1678">
        <f>SUMIF($F$1667:$F$1677,"&lt;&gt;EV_*",$V$1667:$V$1677)</f>
        <v>20924.009999999998</v>
      </c>
      <c r="W1678">
        <f>SUMIF($F$1667:$F$1677,"&lt;&gt;EV_*",$W$1667:$W$1677)</f>
        <v>11629.6116022099</v>
      </c>
      <c r="X1678">
        <f>SUMIF($F$1667:$F$1677,"&lt;&gt;EV_*",$X$1667:$X$1677)</f>
        <v>0</v>
      </c>
    </row>
    <row r="1679" spans="1:24" x14ac:dyDescent="0.25">
      <c r="A1679" t="s">
        <v>2025</v>
      </c>
      <c r="B1679" t="s">
        <v>2067</v>
      </c>
      <c r="C1679" t="s">
        <v>2070</v>
      </c>
      <c r="D1679" t="s">
        <v>195</v>
      </c>
      <c r="E1679" t="s">
        <v>5</v>
      </c>
      <c r="F1679" t="s">
        <v>5</v>
      </c>
      <c r="G1679" t="s">
        <v>783</v>
      </c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</row>
    <row r="1680" spans="1:24" x14ac:dyDescent="0.25">
      <c r="A1680" t="s">
        <v>2025</v>
      </c>
      <c r="B1680" t="s">
        <v>2067</v>
      </c>
      <c r="C1680" t="s">
        <v>2070</v>
      </c>
      <c r="D1680" t="s">
        <v>195</v>
      </c>
      <c r="E1680" t="s">
        <v>133</v>
      </c>
      <c r="F1680" t="s">
        <v>1</v>
      </c>
      <c r="G1680" t="s">
        <v>784</v>
      </c>
      <c r="H1680" t="s">
        <v>622</v>
      </c>
      <c r="I1680" t="s">
        <v>1</v>
      </c>
      <c r="J1680">
        <v>0.01</v>
      </c>
      <c r="K1680"/>
      <c r="L1680">
        <v>0</v>
      </c>
      <c r="M1680">
        <v>0</v>
      </c>
      <c r="N1680">
        <v>0.01</v>
      </c>
      <c r="O1680"/>
      <c r="P1680">
        <v>0</v>
      </c>
      <c r="Q1680">
        <f t="shared" ref="Q1680:Q1722" si="330">O1680+P1680</f>
        <v>0</v>
      </c>
      <c r="R1680">
        <v>0</v>
      </c>
      <c r="S1680">
        <f t="shared" ref="S1680:S1722" si="331">IF(OR(LEFT(E1680,2)="A_",LEFT(D1680,5)="Total"),R1680-Q1680,"")</f>
        <v>0</v>
      </c>
      <c r="T1680">
        <v>0.02</v>
      </c>
      <c r="U1680">
        <f t="shared" ref="U1680:U1722" si="332">IFERROR(R1680*T1680,R1680*0)</f>
        <v>0</v>
      </c>
      <c r="V1680">
        <f t="shared" ref="V1680:V1722" si="333">IF(OR(LEFT(E1680,2)="A_",LEFT(D1680,5)="Total"),R1680+U1680,"")</f>
        <v>0</v>
      </c>
      <c r="W1680">
        <f t="shared" ref="W1680:W1722" si="334">IF(OR(LEFT(E1680,2)="A_",LEFT(D1680,5)="Total"),V1680-Q1680,"")</f>
        <v>0</v>
      </c>
      <c r="X1680">
        <v>0</v>
      </c>
    </row>
    <row r="1681" spans="1:24" x14ac:dyDescent="0.25">
      <c r="A1681" t="s">
        <v>2025</v>
      </c>
      <c r="B1681" t="s">
        <v>2067</v>
      </c>
      <c r="C1681" t="s">
        <v>2070</v>
      </c>
      <c r="D1681" t="s">
        <v>195</v>
      </c>
      <c r="E1681" t="s">
        <v>8</v>
      </c>
      <c r="F1681" t="s">
        <v>1</v>
      </c>
      <c r="G1681" t="s">
        <v>784</v>
      </c>
      <c r="H1681" t="s">
        <v>408</v>
      </c>
      <c r="I1681" t="s">
        <v>1</v>
      </c>
      <c r="J1681">
        <v>807.5</v>
      </c>
      <c r="K1681">
        <v>727.98342541449995</v>
      </c>
      <c r="L1681">
        <v>0</v>
      </c>
      <c r="M1681">
        <v>0</v>
      </c>
      <c r="N1681">
        <v>446.5</v>
      </c>
      <c r="O1681"/>
      <c r="P1681">
        <v>0</v>
      </c>
      <c r="Q1681">
        <f t="shared" si="330"/>
        <v>0</v>
      </c>
      <c r="R1681">
        <v>0</v>
      </c>
      <c r="S1681">
        <f t="shared" si="331"/>
        <v>0</v>
      </c>
      <c r="T1681"/>
      <c r="U1681">
        <f t="shared" si="332"/>
        <v>0</v>
      </c>
      <c r="V1681">
        <f t="shared" si="333"/>
        <v>0</v>
      </c>
      <c r="W1681">
        <f t="shared" si="334"/>
        <v>0</v>
      </c>
      <c r="X1681">
        <v>0</v>
      </c>
    </row>
    <row r="1682" spans="1:24" x14ac:dyDescent="0.25">
      <c r="A1682" t="s">
        <v>2025</v>
      </c>
      <c r="B1682" t="s">
        <v>2067</v>
      </c>
      <c r="C1682" t="s">
        <v>2070</v>
      </c>
      <c r="D1682" t="s">
        <v>195</v>
      </c>
      <c r="E1682" t="s">
        <v>10</v>
      </c>
      <c r="F1682" t="s">
        <v>1</v>
      </c>
      <c r="G1682" t="s">
        <v>784</v>
      </c>
      <c r="H1682" t="s">
        <v>410</v>
      </c>
      <c r="I1682" t="s">
        <v>1</v>
      </c>
      <c r="J1682">
        <v>1827.5</v>
      </c>
      <c r="K1682">
        <v>990</v>
      </c>
      <c r="L1682">
        <v>1745</v>
      </c>
      <c r="M1682">
        <v>3518.9226519337017</v>
      </c>
      <c r="N1682">
        <v>3215</v>
      </c>
      <c r="O1682">
        <v>3490</v>
      </c>
      <c r="P1682">
        <v>0</v>
      </c>
      <c r="Q1682">
        <f t="shared" si="330"/>
        <v>3490</v>
      </c>
      <c r="R1682">
        <v>3490</v>
      </c>
      <c r="S1682">
        <f t="shared" si="331"/>
        <v>0</v>
      </c>
      <c r="T1682"/>
      <c r="U1682">
        <f t="shared" si="332"/>
        <v>0</v>
      </c>
      <c r="V1682">
        <f t="shared" si="333"/>
        <v>3490</v>
      </c>
      <c r="W1682">
        <f t="shared" si="334"/>
        <v>0</v>
      </c>
      <c r="X1682">
        <v>0</v>
      </c>
    </row>
    <row r="1683" spans="1:24" x14ac:dyDescent="0.25">
      <c r="A1683" t="s">
        <v>2025</v>
      </c>
      <c r="B1683" t="s">
        <v>2067</v>
      </c>
      <c r="C1683" t="s">
        <v>2070</v>
      </c>
      <c r="D1683" t="s">
        <v>195</v>
      </c>
      <c r="E1683" t="s">
        <v>11</v>
      </c>
      <c r="F1683" t="s">
        <v>1</v>
      </c>
      <c r="G1683" t="s">
        <v>784</v>
      </c>
      <c r="H1683" t="s">
        <v>411</v>
      </c>
      <c r="I1683" t="s">
        <v>1</v>
      </c>
      <c r="J1683">
        <v>4193.0200000000004</v>
      </c>
      <c r="K1683">
        <v>3898.5</v>
      </c>
      <c r="L1683">
        <v>1991.25</v>
      </c>
      <c r="M1683">
        <v>4015.5041436464089</v>
      </c>
      <c r="N1683">
        <v>4028.65</v>
      </c>
      <c r="O1683">
        <v>3982.5</v>
      </c>
      <c r="P1683">
        <v>0</v>
      </c>
      <c r="Q1683">
        <f t="shared" si="330"/>
        <v>3982.5</v>
      </c>
      <c r="R1683">
        <v>3982.5</v>
      </c>
      <c r="S1683">
        <f t="shared" si="331"/>
        <v>0</v>
      </c>
      <c r="T1683"/>
      <c r="U1683">
        <f t="shared" si="332"/>
        <v>0</v>
      </c>
      <c r="V1683">
        <f t="shared" si="333"/>
        <v>3982.5</v>
      </c>
      <c r="W1683">
        <f t="shared" si="334"/>
        <v>0</v>
      </c>
      <c r="X1683" t="s">
        <v>1579</v>
      </c>
    </row>
    <row r="1684" spans="1:24" x14ac:dyDescent="0.25">
      <c r="A1684" t="s">
        <v>2025</v>
      </c>
      <c r="B1684" t="s">
        <v>2067</v>
      </c>
      <c r="C1684" t="s">
        <v>2070</v>
      </c>
      <c r="D1684" t="s">
        <v>195</v>
      </c>
      <c r="E1684" t="s">
        <v>12</v>
      </c>
      <c r="F1684" t="s">
        <v>1</v>
      </c>
      <c r="G1684" t="s">
        <v>784</v>
      </c>
      <c r="H1684" t="s">
        <v>412</v>
      </c>
      <c r="I1684" t="s">
        <v>1</v>
      </c>
      <c r="J1684"/>
      <c r="K1684"/>
      <c r="L1684">
        <v>18750</v>
      </c>
      <c r="M1684">
        <v>37810.773480662989</v>
      </c>
      <c r="N1684">
        <v>18750</v>
      </c>
      <c r="O1684">
        <v>37500</v>
      </c>
      <c r="P1684">
        <v>0</v>
      </c>
      <c r="Q1684">
        <f t="shared" si="330"/>
        <v>37500</v>
      </c>
      <c r="R1684">
        <v>37500</v>
      </c>
      <c r="S1684">
        <f t="shared" si="331"/>
        <v>0</v>
      </c>
      <c r="T1684"/>
      <c r="U1684">
        <f t="shared" si="332"/>
        <v>0</v>
      </c>
      <c r="V1684">
        <f t="shared" si="333"/>
        <v>37500</v>
      </c>
      <c r="W1684">
        <f t="shared" si="334"/>
        <v>0</v>
      </c>
      <c r="X1684" t="s">
        <v>1580</v>
      </c>
    </row>
    <row r="1685" spans="1:24" x14ac:dyDescent="0.25">
      <c r="A1685" t="s">
        <v>2025</v>
      </c>
      <c r="B1685" t="s">
        <v>2067</v>
      </c>
      <c r="C1685" t="s">
        <v>2070</v>
      </c>
      <c r="D1685" t="s">
        <v>195</v>
      </c>
      <c r="E1685" t="s">
        <v>13</v>
      </c>
      <c r="F1685" t="s">
        <v>1</v>
      </c>
      <c r="G1685" t="s">
        <v>784</v>
      </c>
      <c r="H1685" t="s">
        <v>413</v>
      </c>
      <c r="I1685" t="s">
        <v>1</v>
      </c>
      <c r="J1685">
        <v>163.93</v>
      </c>
      <c r="K1685"/>
      <c r="L1685">
        <v>105.09</v>
      </c>
      <c r="M1685">
        <v>211.92182320441989</v>
      </c>
      <c r="N1685">
        <v>269.02</v>
      </c>
      <c r="O1685">
        <v>210.18</v>
      </c>
      <c r="P1685">
        <v>0</v>
      </c>
      <c r="Q1685">
        <f t="shared" si="330"/>
        <v>210.18</v>
      </c>
      <c r="R1685">
        <v>210.18</v>
      </c>
      <c r="S1685">
        <f t="shared" si="331"/>
        <v>0</v>
      </c>
      <c r="T1685"/>
      <c r="U1685">
        <f t="shared" si="332"/>
        <v>0</v>
      </c>
      <c r="V1685">
        <f t="shared" si="333"/>
        <v>210.18</v>
      </c>
      <c r="W1685">
        <f t="shared" si="334"/>
        <v>0</v>
      </c>
      <c r="X1685">
        <v>0</v>
      </c>
    </row>
    <row r="1686" spans="1:24" x14ac:dyDescent="0.25">
      <c r="A1686" t="s">
        <v>2025</v>
      </c>
      <c r="B1686" t="s">
        <v>2067</v>
      </c>
      <c r="C1686" t="s">
        <v>2070</v>
      </c>
      <c r="D1686" t="s">
        <v>195</v>
      </c>
      <c r="E1686" t="s">
        <v>65</v>
      </c>
      <c r="F1686" t="s">
        <v>1</v>
      </c>
      <c r="G1686" t="s">
        <v>784</v>
      </c>
      <c r="H1686" t="s">
        <v>476</v>
      </c>
      <c r="I1686" t="s">
        <v>1</v>
      </c>
      <c r="J1686"/>
      <c r="K1686"/>
      <c r="L1686">
        <v>-9.06</v>
      </c>
      <c r="M1686">
        <v>-18.270165745856357</v>
      </c>
      <c r="N1686">
        <v>-9.06</v>
      </c>
      <c r="O1686">
        <v>-18.219560439599999</v>
      </c>
      <c r="P1686">
        <v>0</v>
      </c>
      <c r="Q1686">
        <f t="shared" si="330"/>
        <v>-18.219560439599999</v>
      </c>
      <c r="R1686">
        <v>-18.219560439599999</v>
      </c>
      <c r="S1686">
        <f t="shared" si="331"/>
        <v>0</v>
      </c>
      <c r="T1686"/>
      <c r="U1686">
        <f t="shared" si="332"/>
        <v>0</v>
      </c>
      <c r="V1686">
        <f t="shared" si="333"/>
        <v>-18.219560439599999</v>
      </c>
      <c r="W1686">
        <f t="shared" si="334"/>
        <v>0</v>
      </c>
      <c r="X1686">
        <v>0</v>
      </c>
    </row>
    <row r="1687" spans="1:24" x14ac:dyDescent="0.25">
      <c r="A1687" t="s">
        <v>2025</v>
      </c>
      <c r="B1687" t="s">
        <v>2067</v>
      </c>
      <c r="C1687" t="s">
        <v>2070</v>
      </c>
      <c r="D1687" t="s">
        <v>195</v>
      </c>
      <c r="E1687" t="s">
        <v>17</v>
      </c>
      <c r="F1687" t="s">
        <v>1</v>
      </c>
      <c r="G1687" t="s">
        <v>784</v>
      </c>
      <c r="H1687" t="s">
        <v>417</v>
      </c>
      <c r="I1687" t="s">
        <v>1</v>
      </c>
      <c r="J1687">
        <v>-9291.77</v>
      </c>
      <c r="K1687">
        <v>-61360.000000000196</v>
      </c>
      <c r="L1687">
        <v>-23885.43</v>
      </c>
      <c r="M1687">
        <v>-48166.751104972376</v>
      </c>
      <c r="N1687">
        <v>-28702.620000000003</v>
      </c>
      <c r="O1687">
        <v>-48033.337252747202</v>
      </c>
      <c r="P1687">
        <v>0</v>
      </c>
      <c r="Q1687">
        <f t="shared" si="330"/>
        <v>-48033.337252747202</v>
      </c>
      <c r="R1687">
        <v>-48033.337252747202</v>
      </c>
      <c r="S1687">
        <f t="shared" si="331"/>
        <v>0</v>
      </c>
      <c r="T1687"/>
      <c r="U1687">
        <f t="shared" si="332"/>
        <v>0</v>
      </c>
      <c r="V1687">
        <f t="shared" si="333"/>
        <v>-48033.337252747202</v>
      </c>
      <c r="W1687">
        <f t="shared" si="334"/>
        <v>0</v>
      </c>
      <c r="X1687">
        <v>0</v>
      </c>
    </row>
    <row r="1688" spans="1:24" x14ac:dyDescent="0.25">
      <c r="A1688" t="s">
        <v>2025</v>
      </c>
      <c r="B1688" t="s">
        <v>2067</v>
      </c>
      <c r="C1688" t="s">
        <v>2070</v>
      </c>
      <c r="D1688" t="s">
        <v>195</v>
      </c>
      <c r="E1688" t="s">
        <v>82</v>
      </c>
      <c r="F1688" t="s">
        <v>1</v>
      </c>
      <c r="G1688" t="s">
        <v>784</v>
      </c>
      <c r="H1688" t="s">
        <v>507</v>
      </c>
      <c r="I1688" t="s">
        <v>1</v>
      </c>
      <c r="J1688"/>
      <c r="K1688"/>
      <c r="L1688">
        <v>348.59</v>
      </c>
      <c r="M1688">
        <v>702.95773480662979</v>
      </c>
      <c r="N1688">
        <v>348.59</v>
      </c>
      <c r="O1688">
        <v>701.01065934070004</v>
      </c>
      <c r="P1688">
        <v>0</v>
      </c>
      <c r="Q1688">
        <f t="shared" si="330"/>
        <v>701.01065934070004</v>
      </c>
      <c r="R1688">
        <v>701.01065934070004</v>
      </c>
      <c r="S1688">
        <f t="shared" si="331"/>
        <v>0</v>
      </c>
      <c r="T1688">
        <v>2.75E-2</v>
      </c>
      <c r="U1688">
        <f t="shared" si="332"/>
        <v>19.277793131869252</v>
      </c>
      <c r="V1688">
        <f t="shared" si="333"/>
        <v>720.28845247256925</v>
      </c>
      <c r="W1688">
        <f t="shared" si="334"/>
        <v>19.277793131869203</v>
      </c>
      <c r="X1688">
        <v>0</v>
      </c>
    </row>
    <row r="1689" spans="1:24" x14ac:dyDescent="0.25">
      <c r="A1689" t="s">
        <v>2025</v>
      </c>
      <c r="B1689" t="s">
        <v>2067</v>
      </c>
      <c r="C1689" t="s">
        <v>2070</v>
      </c>
      <c r="D1689" t="s">
        <v>195</v>
      </c>
      <c r="E1689" t="s">
        <v>72</v>
      </c>
      <c r="F1689" t="s">
        <v>1</v>
      </c>
      <c r="G1689" t="s">
        <v>784</v>
      </c>
      <c r="H1689" t="s">
        <v>489</v>
      </c>
      <c r="I1689" t="s">
        <v>1</v>
      </c>
      <c r="J1689"/>
      <c r="K1689"/>
      <c r="L1689">
        <v>21.56</v>
      </c>
      <c r="M1689">
        <v>43.47734806629834</v>
      </c>
      <c r="N1689">
        <v>21.56</v>
      </c>
      <c r="O1689">
        <v>43.356923076900003</v>
      </c>
      <c r="P1689">
        <v>0</v>
      </c>
      <c r="Q1689">
        <f t="shared" si="330"/>
        <v>43.356923076900003</v>
      </c>
      <c r="R1689">
        <v>43.356923076900003</v>
      </c>
      <c r="S1689">
        <f t="shared" si="331"/>
        <v>0</v>
      </c>
      <c r="T1689">
        <v>2.2499999999999999E-2</v>
      </c>
      <c r="U1689">
        <f t="shared" si="332"/>
        <v>0.97553076923025006</v>
      </c>
      <c r="V1689">
        <f t="shared" si="333"/>
        <v>44.33245384613025</v>
      </c>
      <c r="W1689">
        <f t="shared" si="334"/>
        <v>0.97553076923024662</v>
      </c>
      <c r="X1689">
        <v>0</v>
      </c>
    </row>
    <row r="1690" spans="1:24" x14ac:dyDescent="0.25">
      <c r="A1690" t="s">
        <v>2025</v>
      </c>
      <c r="B1690" t="s">
        <v>2067</v>
      </c>
      <c r="C1690" t="s">
        <v>2070</v>
      </c>
      <c r="D1690" t="s">
        <v>195</v>
      </c>
      <c r="E1690" t="s">
        <v>196</v>
      </c>
      <c r="F1690" t="s">
        <v>1</v>
      </c>
      <c r="G1690" t="s">
        <v>784</v>
      </c>
      <c r="H1690" t="s">
        <v>785</v>
      </c>
      <c r="I1690" t="s">
        <v>1</v>
      </c>
      <c r="J1690">
        <v>36955</v>
      </c>
      <c r="K1690">
        <v>22671.9148581751</v>
      </c>
      <c r="L1690">
        <v>45484.2</v>
      </c>
      <c r="M1690">
        <v>91722.281767955792</v>
      </c>
      <c r="N1690">
        <v>73188.2</v>
      </c>
      <c r="O1690">
        <v>91468.226373626399</v>
      </c>
      <c r="P1690">
        <v>0</v>
      </c>
      <c r="Q1690">
        <f t="shared" si="330"/>
        <v>91468.226373626399</v>
      </c>
      <c r="R1690">
        <v>91468.226373626399</v>
      </c>
      <c r="S1690">
        <f t="shared" si="331"/>
        <v>0</v>
      </c>
      <c r="T1690">
        <v>2.2499999999999999E-2</v>
      </c>
      <c r="U1690">
        <f t="shared" si="332"/>
        <v>2058.0350934065941</v>
      </c>
      <c r="V1690">
        <f t="shared" si="333"/>
        <v>93526.261467032993</v>
      </c>
      <c r="W1690">
        <f t="shared" si="334"/>
        <v>2058.0350934065937</v>
      </c>
      <c r="X1690">
        <v>0</v>
      </c>
    </row>
    <row r="1691" spans="1:24" x14ac:dyDescent="0.25">
      <c r="A1691" t="s">
        <v>2025</v>
      </c>
      <c r="B1691" t="s">
        <v>2067</v>
      </c>
      <c r="C1691" t="s">
        <v>2070</v>
      </c>
      <c r="D1691" t="s">
        <v>195</v>
      </c>
      <c r="E1691" t="s">
        <v>83</v>
      </c>
      <c r="F1691" t="s">
        <v>1</v>
      </c>
      <c r="G1691" t="s">
        <v>784</v>
      </c>
      <c r="H1691" t="s">
        <v>508</v>
      </c>
      <c r="I1691" t="s">
        <v>1</v>
      </c>
      <c r="J1691">
        <v>-2550</v>
      </c>
      <c r="K1691">
        <v>3.1327160999999998E-3</v>
      </c>
      <c r="L1691">
        <v>0</v>
      </c>
      <c r="M1691">
        <v>0</v>
      </c>
      <c r="N1691">
        <v>-2550</v>
      </c>
      <c r="O1691"/>
      <c r="P1691">
        <v>0</v>
      </c>
      <c r="Q1691">
        <f t="shared" si="330"/>
        <v>0</v>
      </c>
      <c r="R1691">
        <v>0</v>
      </c>
      <c r="S1691">
        <f t="shared" si="331"/>
        <v>0</v>
      </c>
      <c r="T1691">
        <v>1.4999999999999999E-2</v>
      </c>
      <c r="U1691">
        <f t="shared" si="332"/>
        <v>0</v>
      </c>
      <c r="V1691">
        <f t="shared" si="333"/>
        <v>0</v>
      </c>
      <c r="W1691">
        <f t="shared" si="334"/>
        <v>0</v>
      </c>
      <c r="X1691">
        <v>0</v>
      </c>
    </row>
    <row r="1692" spans="1:24" x14ac:dyDescent="0.25">
      <c r="A1692" t="s">
        <v>2025</v>
      </c>
      <c r="B1692" t="s">
        <v>2067</v>
      </c>
      <c r="C1692" t="s">
        <v>2070</v>
      </c>
      <c r="D1692" t="s">
        <v>195</v>
      </c>
      <c r="E1692" t="s">
        <v>84</v>
      </c>
      <c r="F1692" t="s">
        <v>1</v>
      </c>
      <c r="G1692" t="s">
        <v>784</v>
      </c>
      <c r="H1692" t="s">
        <v>509</v>
      </c>
      <c r="I1692" t="s">
        <v>1</v>
      </c>
      <c r="J1692">
        <v>25365.83</v>
      </c>
      <c r="K1692">
        <v>19399.0740740742</v>
      </c>
      <c r="L1692">
        <v>12982</v>
      </c>
      <c r="M1692">
        <v>26179.171270718231</v>
      </c>
      <c r="N1692">
        <v>34147.83</v>
      </c>
      <c r="O1692">
        <v>26106.659340659298</v>
      </c>
      <c r="P1692">
        <v>0</v>
      </c>
      <c r="Q1692">
        <f t="shared" si="330"/>
        <v>26106.659340659298</v>
      </c>
      <c r="R1692">
        <v>26106.659340659298</v>
      </c>
      <c r="S1692">
        <f t="shared" si="331"/>
        <v>0</v>
      </c>
      <c r="T1692">
        <v>2.5000000000000001E-2</v>
      </c>
      <c r="U1692">
        <f t="shared" si="332"/>
        <v>652.66648351648246</v>
      </c>
      <c r="V1692">
        <f t="shared" si="333"/>
        <v>26759.325824175779</v>
      </c>
      <c r="W1692">
        <f t="shared" si="334"/>
        <v>652.66648351648109</v>
      </c>
      <c r="X1692">
        <v>0</v>
      </c>
    </row>
    <row r="1693" spans="1:24" x14ac:dyDescent="0.25">
      <c r="A1693" t="s">
        <v>2025</v>
      </c>
      <c r="B1693" t="s">
        <v>2067</v>
      </c>
      <c r="C1693" t="s">
        <v>2070</v>
      </c>
      <c r="D1693" t="s">
        <v>195</v>
      </c>
      <c r="E1693" t="s">
        <v>168</v>
      </c>
      <c r="F1693" t="s">
        <v>1</v>
      </c>
      <c r="G1693" t="s">
        <v>784</v>
      </c>
      <c r="H1693" t="s">
        <v>715</v>
      </c>
      <c r="I1693" t="s">
        <v>1</v>
      </c>
      <c r="J1693">
        <v>2683026</v>
      </c>
      <c r="K1693">
        <v>2881778.7442975799</v>
      </c>
      <c r="L1693">
        <v>1509782.01</v>
      </c>
      <c r="M1693">
        <v>3044588.0312154694</v>
      </c>
      <c r="N1693">
        <v>2886206.5399999996</v>
      </c>
      <c r="O1693">
        <v>3036155.0310988999</v>
      </c>
      <c r="P1693">
        <v>0</v>
      </c>
      <c r="Q1693">
        <f t="shared" si="330"/>
        <v>3036155.0310988999</v>
      </c>
      <c r="R1693">
        <v>3036155.0310988999</v>
      </c>
      <c r="S1693">
        <f t="shared" si="331"/>
        <v>0</v>
      </c>
      <c r="T1693">
        <v>0.03</v>
      </c>
      <c r="U1693">
        <f t="shared" si="332"/>
        <v>91084.650932966993</v>
      </c>
      <c r="V1693">
        <f t="shared" si="333"/>
        <v>3127239.6820318671</v>
      </c>
      <c r="W1693">
        <f t="shared" si="334"/>
        <v>91084.650932967197</v>
      </c>
      <c r="X1693">
        <v>0</v>
      </c>
    </row>
    <row r="1694" spans="1:24" x14ac:dyDescent="0.25">
      <c r="A1694" t="s">
        <v>2025</v>
      </c>
      <c r="B1694" t="s">
        <v>2067</v>
      </c>
      <c r="C1694" t="s">
        <v>2070</v>
      </c>
      <c r="D1694" t="s">
        <v>195</v>
      </c>
      <c r="E1694" t="s">
        <v>18</v>
      </c>
      <c r="F1694" t="s">
        <v>1</v>
      </c>
      <c r="G1694" t="s">
        <v>784</v>
      </c>
      <c r="H1694" t="s">
        <v>418</v>
      </c>
      <c r="I1694" t="s">
        <v>1</v>
      </c>
      <c r="J1694">
        <v>22453.63</v>
      </c>
      <c r="K1694">
        <v>17210.593843594201</v>
      </c>
      <c r="L1694">
        <v>17665.64</v>
      </c>
      <c r="M1694">
        <v>35624.080662983426</v>
      </c>
      <c r="N1694">
        <v>33417.71</v>
      </c>
      <c r="O1694">
        <v>35525.407912087903</v>
      </c>
      <c r="P1694">
        <v>0</v>
      </c>
      <c r="Q1694">
        <f t="shared" si="330"/>
        <v>35525.407912087903</v>
      </c>
      <c r="R1694">
        <v>35525.407912087903</v>
      </c>
      <c r="S1694">
        <f t="shared" si="331"/>
        <v>0</v>
      </c>
      <c r="T1694">
        <v>0.02</v>
      </c>
      <c r="U1694">
        <f t="shared" si="332"/>
        <v>710.50815824175811</v>
      </c>
      <c r="V1694">
        <f t="shared" si="333"/>
        <v>36235.916070329658</v>
      </c>
      <c r="W1694">
        <f t="shared" si="334"/>
        <v>710.50815824175515</v>
      </c>
      <c r="X1694">
        <v>0</v>
      </c>
    </row>
    <row r="1695" spans="1:24" x14ac:dyDescent="0.25">
      <c r="A1695" t="s">
        <v>2025</v>
      </c>
      <c r="B1695" t="s">
        <v>2067</v>
      </c>
      <c r="C1695" t="s">
        <v>2070</v>
      </c>
      <c r="D1695" t="s">
        <v>195</v>
      </c>
      <c r="E1695" t="s">
        <v>189</v>
      </c>
      <c r="F1695" t="s">
        <v>1</v>
      </c>
      <c r="G1695" t="s">
        <v>784</v>
      </c>
      <c r="H1695" t="s">
        <v>768</v>
      </c>
      <c r="I1695" t="s">
        <v>1</v>
      </c>
      <c r="J1695"/>
      <c r="K1695"/>
      <c r="L1695">
        <v>490</v>
      </c>
      <c r="M1695">
        <v>988.12154696132598</v>
      </c>
      <c r="N1695">
        <v>490</v>
      </c>
      <c r="O1695">
        <v>985.38461538460001</v>
      </c>
      <c r="P1695">
        <v>0</v>
      </c>
      <c r="Q1695">
        <f t="shared" si="330"/>
        <v>985.38461538460001</v>
      </c>
      <c r="R1695">
        <v>985.38461538460001</v>
      </c>
      <c r="S1695">
        <f t="shared" si="331"/>
        <v>0</v>
      </c>
      <c r="T1695">
        <v>0.04</v>
      </c>
      <c r="U1695">
        <f t="shared" si="332"/>
        <v>39.415384615383999</v>
      </c>
      <c r="V1695">
        <f t="shared" si="333"/>
        <v>1024.799999999984</v>
      </c>
      <c r="W1695">
        <f t="shared" si="334"/>
        <v>39.415384615384028</v>
      </c>
      <c r="X1695">
        <v>0</v>
      </c>
    </row>
    <row r="1696" spans="1:24" x14ac:dyDescent="0.25">
      <c r="A1696" t="s">
        <v>2025</v>
      </c>
      <c r="B1696" t="s">
        <v>2067</v>
      </c>
      <c r="C1696" t="s">
        <v>2070</v>
      </c>
      <c r="D1696" t="s">
        <v>195</v>
      </c>
      <c r="E1696" t="s">
        <v>73</v>
      </c>
      <c r="F1696" t="s">
        <v>1</v>
      </c>
      <c r="G1696" t="s">
        <v>784</v>
      </c>
      <c r="H1696" t="s">
        <v>490</v>
      </c>
      <c r="I1696" t="s">
        <v>1</v>
      </c>
      <c r="J1696">
        <v>37171.43</v>
      </c>
      <c r="K1696">
        <v>30351.531740740698</v>
      </c>
      <c r="L1696">
        <v>17106.419999999998</v>
      </c>
      <c r="M1696">
        <v>34496.371823204419</v>
      </c>
      <c r="N1696">
        <v>41269.33</v>
      </c>
      <c r="O1696">
        <v>34400.822637362602</v>
      </c>
      <c r="P1696">
        <v>0</v>
      </c>
      <c r="Q1696">
        <f t="shared" si="330"/>
        <v>34400.822637362602</v>
      </c>
      <c r="R1696">
        <v>34400.822637362602</v>
      </c>
      <c r="S1696">
        <f t="shared" si="331"/>
        <v>0</v>
      </c>
      <c r="T1696">
        <v>3.5000000000000003E-2</v>
      </c>
      <c r="U1696">
        <f t="shared" si="332"/>
        <v>1204.0287923076912</v>
      </c>
      <c r="V1696">
        <f t="shared" si="333"/>
        <v>35604.851429670292</v>
      </c>
      <c r="W1696">
        <f t="shared" si="334"/>
        <v>1204.0287923076903</v>
      </c>
      <c r="X1696">
        <v>0</v>
      </c>
    </row>
    <row r="1697" spans="1:24" x14ac:dyDescent="0.25">
      <c r="A1697" t="s">
        <v>2025</v>
      </c>
      <c r="B1697" t="s">
        <v>2067</v>
      </c>
      <c r="C1697" t="s">
        <v>2070</v>
      </c>
      <c r="D1697" t="s">
        <v>195</v>
      </c>
      <c r="E1697" t="s">
        <v>74</v>
      </c>
      <c r="F1697" t="s">
        <v>1</v>
      </c>
      <c r="G1697" t="s">
        <v>784</v>
      </c>
      <c r="H1697" t="s">
        <v>491</v>
      </c>
      <c r="I1697" t="s">
        <v>1</v>
      </c>
      <c r="J1697">
        <v>14799.48</v>
      </c>
      <c r="K1697">
        <v>15435.4978425925</v>
      </c>
      <c r="L1697">
        <v>10075.34</v>
      </c>
      <c r="M1697">
        <v>20317.674585635359</v>
      </c>
      <c r="N1697">
        <v>17267.25</v>
      </c>
      <c r="O1697">
        <v>20261.398021977999</v>
      </c>
      <c r="P1697">
        <v>0</v>
      </c>
      <c r="Q1697">
        <f t="shared" si="330"/>
        <v>20261.398021977999</v>
      </c>
      <c r="R1697">
        <v>20261.398021977999</v>
      </c>
      <c r="S1697">
        <f t="shared" si="331"/>
        <v>0</v>
      </c>
      <c r="T1697">
        <v>3.5000000000000003E-2</v>
      </c>
      <c r="U1697">
        <f t="shared" si="332"/>
        <v>709.14893076922999</v>
      </c>
      <c r="V1697">
        <f t="shared" si="333"/>
        <v>20970.546952747231</v>
      </c>
      <c r="W1697">
        <f t="shared" si="334"/>
        <v>709.14893076923181</v>
      </c>
      <c r="X1697">
        <v>0</v>
      </c>
    </row>
    <row r="1698" spans="1:24" x14ac:dyDescent="0.25">
      <c r="A1698" t="s">
        <v>2025</v>
      </c>
      <c r="B1698" t="s">
        <v>2067</v>
      </c>
      <c r="C1698" t="s">
        <v>2070</v>
      </c>
      <c r="D1698" t="s">
        <v>195</v>
      </c>
      <c r="E1698" t="s">
        <v>197</v>
      </c>
      <c r="F1698" t="s">
        <v>1</v>
      </c>
      <c r="G1698" t="s">
        <v>784</v>
      </c>
      <c r="H1698" t="s">
        <v>786</v>
      </c>
      <c r="I1698" t="s">
        <v>1</v>
      </c>
      <c r="J1698">
        <v>5000</v>
      </c>
      <c r="K1698">
        <v>7660.4938271606998</v>
      </c>
      <c r="L1698">
        <v>0</v>
      </c>
      <c r="M1698">
        <v>0</v>
      </c>
      <c r="N1698">
        <v>0</v>
      </c>
      <c r="O1698"/>
      <c r="P1698">
        <v>0</v>
      </c>
      <c r="Q1698">
        <f t="shared" si="330"/>
        <v>0</v>
      </c>
      <c r="R1698">
        <v>0</v>
      </c>
      <c r="S1698">
        <f t="shared" si="331"/>
        <v>0</v>
      </c>
      <c r="T1698">
        <v>0.02</v>
      </c>
      <c r="U1698">
        <f t="shared" si="332"/>
        <v>0</v>
      </c>
      <c r="V1698">
        <f t="shared" si="333"/>
        <v>0</v>
      </c>
      <c r="W1698">
        <f t="shared" si="334"/>
        <v>0</v>
      </c>
      <c r="X1698">
        <v>0</v>
      </c>
    </row>
    <row r="1699" spans="1:24" x14ac:dyDescent="0.25">
      <c r="A1699" t="s">
        <v>2025</v>
      </c>
      <c r="B1699" t="s">
        <v>2067</v>
      </c>
      <c r="C1699" t="s">
        <v>2070</v>
      </c>
      <c r="D1699" t="s">
        <v>195</v>
      </c>
      <c r="E1699" t="s">
        <v>198</v>
      </c>
      <c r="F1699" t="s">
        <v>1</v>
      </c>
      <c r="G1699" t="s">
        <v>784</v>
      </c>
      <c r="H1699" t="s">
        <v>787</v>
      </c>
      <c r="I1699" t="s">
        <v>1</v>
      </c>
      <c r="J1699">
        <v>52014.75</v>
      </c>
      <c r="K1699">
        <v>63304.559074074197</v>
      </c>
      <c r="L1699">
        <v>37093.25</v>
      </c>
      <c r="M1699">
        <v>74801.305248618781</v>
      </c>
      <c r="N1699">
        <v>62767.7</v>
      </c>
      <c r="O1699">
        <v>74594.118131868105</v>
      </c>
      <c r="P1699">
        <v>0</v>
      </c>
      <c r="Q1699">
        <f t="shared" si="330"/>
        <v>74594.118131868105</v>
      </c>
      <c r="R1699">
        <v>74594.118131868105</v>
      </c>
      <c r="S1699">
        <f t="shared" si="331"/>
        <v>0</v>
      </c>
      <c r="T1699">
        <v>0.02</v>
      </c>
      <c r="U1699">
        <f t="shared" si="332"/>
        <v>1491.8823626373621</v>
      </c>
      <c r="V1699">
        <f t="shared" si="333"/>
        <v>76086.000494505468</v>
      </c>
      <c r="W1699">
        <f t="shared" si="334"/>
        <v>1491.8823626373633</v>
      </c>
      <c r="X1699">
        <v>0</v>
      </c>
    </row>
    <row r="1700" spans="1:24" x14ac:dyDescent="0.25">
      <c r="A1700" t="s">
        <v>2025</v>
      </c>
      <c r="B1700" t="s">
        <v>2067</v>
      </c>
      <c r="C1700" t="s">
        <v>2070</v>
      </c>
      <c r="D1700" t="s">
        <v>195</v>
      </c>
      <c r="E1700" t="s">
        <v>85</v>
      </c>
      <c r="F1700" t="s">
        <v>1</v>
      </c>
      <c r="G1700" t="s">
        <v>784</v>
      </c>
      <c r="H1700" t="s">
        <v>510</v>
      </c>
      <c r="I1700" t="s">
        <v>1</v>
      </c>
      <c r="J1700">
        <v>222.41</v>
      </c>
      <c r="K1700"/>
      <c r="L1700">
        <v>6247.82</v>
      </c>
      <c r="M1700">
        <v>12599.195027624308</v>
      </c>
      <c r="N1700">
        <v>6321.83</v>
      </c>
      <c r="O1700">
        <v>12564.297362637401</v>
      </c>
      <c r="P1700">
        <v>0</v>
      </c>
      <c r="Q1700">
        <f t="shared" si="330"/>
        <v>12564.297362637401</v>
      </c>
      <c r="R1700">
        <v>12564.297362637401</v>
      </c>
      <c r="S1700">
        <f t="shared" si="331"/>
        <v>0</v>
      </c>
      <c r="T1700">
        <v>0.02</v>
      </c>
      <c r="U1700">
        <f t="shared" si="332"/>
        <v>251.285947252748</v>
      </c>
      <c r="V1700">
        <f t="shared" si="333"/>
        <v>12815.583309890149</v>
      </c>
      <c r="W1700">
        <f t="shared" si="334"/>
        <v>251.28594725274888</v>
      </c>
      <c r="X1700">
        <v>0</v>
      </c>
    </row>
    <row r="1701" spans="1:24" x14ac:dyDescent="0.25">
      <c r="A1701" t="s">
        <v>2025</v>
      </c>
      <c r="B1701" t="s">
        <v>2067</v>
      </c>
      <c r="C1701" t="s">
        <v>2070</v>
      </c>
      <c r="D1701" t="s">
        <v>195</v>
      </c>
      <c r="E1701" t="s">
        <v>119</v>
      </c>
      <c r="F1701" t="s">
        <v>1</v>
      </c>
      <c r="G1701" t="s">
        <v>784</v>
      </c>
      <c r="H1701" t="s">
        <v>588</v>
      </c>
      <c r="I1701" t="s">
        <v>1</v>
      </c>
      <c r="J1701">
        <v>265042.05</v>
      </c>
      <c r="K1701">
        <v>263173.96900085302</v>
      </c>
      <c r="L1701">
        <v>224145.87</v>
      </c>
      <c r="M1701">
        <v>452006.86491712701</v>
      </c>
      <c r="N1701">
        <v>366379.92</v>
      </c>
      <c r="O1701">
        <v>450754.88142857101</v>
      </c>
      <c r="P1701">
        <v>0</v>
      </c>
      <c r="Q1701">
        <f t="shared" si="330"/>
        <v>450754.88142857101</v>
      </c>
      <c r="R1701">
        <v>450754.88142857101</v>
      </c>
      <c r="S1701">
        <f t="shared" si="331"/>
        <v>0</v>
      </c>
      <c r="T1701">
        <v>1.4999999999999999E-2</v>
      </c>
      <c r="U1701">
        <f t="shared" si="332"/>
        <v>6761.3232214285645</v>
      </c>
      <c r="V1701">
        <f t="shared" si="333"/>
        <v>457516.20464999956</v>
      </c>
      <c r="W1701">
        <f t="shared" si="334"/>
        <v>6761.3232214285526</v>
      </c>
      <c r="X1701">
        <v>0</v>
      </c>
    </row>
    <row r="1702" spans="1:24" x14ac:dyDescent="0.25">
      <c r="A1702" t="s">
        <v>2025</v>
      </c>
      <c r="B1702" t="s">
        <v>2067</v>
      </c>
      <c r="C1702" t="s">
        <v>2070</v>
      </c>
      <c r="D1702" t="s">
        <v>195</v>
      </c>
      <c r="E1702" t="s">
        <v>136</v>
      </c>
      <c r="F1702" t="s">
        <v>1</v>
      </c>
      <c r="G1702" t="s">
        <v>784</v>
      </c>
      <c r="H1702" t="s">
        <v>627</v>
      </c>
      <c r="I1702" t="s">
        <v>1</v>
      </c>
      <c r="J1702">
        <v>10923.19</v>
      </c>
      <c r="K1702">
        <v>11871.1313251028</v>
      </c>
      <c r="L1702">
        <v>2984.19</v>
      </c>
      <c r="M1702">
        <v>6017.8417127071825</v>
      </c>
      <c r="N1702">
        <v>7299.909999999998</v>
      </c>
      <c r="O1702">
        <v>6001.1732967033004</v>
      </c>
      <c r="P1702">
        <v>0</v>
      </c>
      <c r="Q1702">
        <f t="shared" si="330"/>
        <v>6001.1732967033004</v>
      </c>
      <c r="R1702">
        <v>6001.1732967033004</v>
      </c>
      <c r="S1702">
        <f t="shared" si="331"/>
        <v>0</v>
      </c>
      <c r="T1702">
        <v>0.03</v>
      </c>
      <c r="U1702">
        <f t="shared" si="332"/>
        <v>180.03519890109899</v>
      </c>
      <c r="V1702">
        <f t="shared" si="333"/>
        <v>6181.2084956043991</v>
      </c>
      <c r="W1702">
        <f t="shared" si="334"/>
        <v>180.03519890109874</v>
      </c>
      <c r="X1702">
        <v>0</v>
      </c>
    </row>
    <row r="1703" spans="1:24" x14ac:dyDescent="0.25">
      <c r="A1703" t="s">
        <v>2025</v>
      </c>
      <c r="B1703" t="s">
        <v>2067</v>
      </c>
      <c r="C1703" t="s">
        <v>2070</v>
      </c>
      <c r="D1703" t="s">
        <v>195</v>
      </c>
      <c r="E1703" t="s">
        <v>120</v>
      </c>
      <c r="F1703" t="s">
        <v>1</v>
      </c>
      <c r="G1703" t="s">
        <v>784</v>
      </c>
      <c r="H1703" t="s">
        <v>589</v>
      </c>
      <c r="I1703" t="s">
        <v>1</v>
      </c>
      <c r="J1703">
        <v>50606.58</v>
      </c>
      <c r="K1703">
        <v>42728.872823938596</v>
      </c>
      <c r="L1703">
        <v>25583.01</v>
      </c>
      <c r="M1703">
        <v>51590.047790055243</v>
      </c>
      <c r="N1703">
        <v>58077.85</v>
      </c>
      <c r="O1703">
        <v>51447.151978021997</v>
      </c>
      <c r="P1703">
        <v>0</v>
      </c>
      <c r="Q1703">
        <f t="shared" si="330"/>
        <v>51447.151978021997</v>
      </c>
      <c r="R1703">
        <v>51447.151978021997</v>
      </c>
      <c r="S1703">
        <f t="shared" si="331"/>
        <v>0</v>
      </c>
      <c r="T1703">
        <v>3.5000000000000003E-2</v>
      </c>
      <c r="U1703">
        <f t="shared" si="332"/>
        <v>1800.65031923077</v>
      </c>
      <c r="V1703">
        <f t="shared" si="333"/>
        <v>53247.802297252769</v>
      </c>
      <c r="W1703">
        <f t="shared" si="334"/>
        <v>1800.6503192307719</v>
      </c>
      <c r="X1703">
        <v>0</v>
      </c>
    </row>
    <row r="1704" spans="1:24" x14ac:dyDescent="0.25">
      <c r="A1704" t="s">
        <v>2025</v>
      </c>
      <c r="B1704" t="s">
        <v>2067</v>
      </c>
      <c r="C1704" t="s">
        <v>2070</v>
      </c>
      <c r="D1704" t="s">
        <v>195</v>
      </c>
      <c r="E1704" t="s">
        <v>20</v>
      </c>
      <c r="F1704" t="s">
        <v>1</v>
      </c>
      <c r="G1704" t="s">
        <v>784</v>
      </c>
      <c r="H1704" t="s">
        <v>420</v>
      </c>
      <c r="I1704" t="s">
        <v>1</v>
      </c>
      <c r="J1704">
        <v>61594.17</v>
      </c>
      <c r="K1704">
        <v>52340.926888889197</v>
      </c>
      <c r="L1704">
        <v>56932.9</v>
      </c>
      <c r="M1704">
        <v>114809.43922651935</v>
      </c>
      <c r="N1704">
        <v>96121.98000000001</v>
      </c>
      <c r="O1704">
        <v>114491.436263736</v>
      </c>
      <c r="P1704">
        <v>0</v>
      </c>
      <c r="Q1704">
        <f t="shared" si="330"/>
        <v>114491.436263736</v>
      </c>
      <c r="R1704">
        <v>114491.436263736</v>
      </c>
      <c r="S1704">
        <f t="shared" si="331"/>
        <v>0</v>
      </c>
      <c r="T1704">
        <v>0.04</v>
      </c>
      <c r="U1704">
        <f t="shared" si="332"/>
        <v>4579.65745054944</v>
      </c>
      <c r="V1704">
        <f t="shared" si="333"/>
        <v>119071.09371428544</v>
      </c>
      <c r="W1704">
        <f t="shared" si="334"/>
        <v>4579.6574505494355</v>
      </c>
      <c r="X1704">
        <v>0</v>
      </c>
    </row>
    <row r="1705" spans="1:24" x14ac:dyDescent="0.25">
      <c r="A1705" t="s">
        <v>2025</v>
      </c>
      <c r="B1705" t="s">
        <v>2067</v>
      </c>
      <c r="C1705" t="s">
        <v>2070</v>
      </c>
      <c r="D1705" t="s">
        <v>195</v>
      </c>
      <c r="E1705" t="s">
        <v>21</v>
      </c>
      <c r="F1705" t="s">
        <v>1</v>
      </c>
      <c r="G1705" t="s">
        <v>784</v>
      </c>
      <c r="H1705" t="s">
        <v>421</v>
      </c>
      <c r="I1705" t="s">
        <v>1</v>
      </c>
      <c r="J1705"/>
      <c r="K1705"/>
      <c r="L1705">
        <v>21.27</v>
      </c>
      <c r="M1705">
        <v>42.892541436464086</v>
      </c>
      <c r="N1705">
        <v>21.27</v>
      </c>
      <c r="O1705">
        <v>42.892541436499997</v>
      </c>
      <c r="P1705">
        <v>0</v>
      </c>
      <c r="Q1705">
        <f t="shared" si="330"/>
        <v>42.892541436499997</v>
      </c>
      <c r="R1705">
        <v>42.892541436499997</v>
      </c>
      <c r="S1705">
        <f t="shared" si="331"/>
        <v>0</v>
      </c>
      <c r="T1705">
        <v>0.03</v>
      </c>
      <c r="U1705">
        <f t="shared" si="332"/>
        <v>1.2867762430949998</v>
      </c>
      <c r="V1705">
        <f t="shared" si="333"/>
        <v>44.179317679594995</v>
      </c>
      <c r="W1705">
        <f t="shared" si="334"/>
        <v>1.2867762430949981</v>
      </c>
      <c r="X1705">
        <v>0</v>
      </c>
    </row>
    <row r="1706" spans="1:24" x14ac:dyDescent="0.25">
      <c r="A1706" t="s">
        <v>2025</v>
      </c>
      <c r="B1706" t="s">
        <v>2067</v>
      </c>
      <c r="C1706" t="s">
        <v>2070</v>
      </c>
      <c r="D1706" t="s">
        <v>195</v>
      </c>
      <c r="E1706" t="s">
        <v>22</v>
      </c>
      <c r="F1706" t="s">
        <v>1</v>
      </c>
      <c r="G1706" t="s">
        <v>784</v>
      </c>
      <c r="H1706" t="s">
        <v>422</v>
      </c>
      <c r="I1706" t="s">
        <v>1</v>
      </c>
      <c r="J1706">
        <v>367</v>
      </c>
      <c r="K1706">
        <v>414.00000000009999</v>
      </c>
      <c r="L1706">
        <v>2315.63</v>
      </c>
      <c r="M1706">
        <v>4669.6406077348074</v>
      </c>
      <c r="N1706">
        <v>2480.63</v>
      </c>
      <c r="O1706">
        <v>4669.6406077348001</v>
      </c>
      <c r="P1706">
        <v>0</v>
      </c>
      <c r="Q1706">
        <f t="shared" si="330"/>
        <v>4669.6406077348001</v>
      </c>
      <c r="R1706">
        <v>4669.6406077348001</v>
      </c>
      <c r="S1706">
        <f t="shared" si="331"/>
        <v>0</v>
      </c>
      <c r="T1706">
        <v>3.5000000000000003E-2</v>
      </c>
      <c r="U1706">
        <f t="shared" si="332"/>
        <v>163.43742127071803</v>
      </c>
      <c r="V1706">
        <f t="shared" si="333"/>
        <v>4833.0780290055181</v>
      </c>
      <c r="W1706">
        <f t="shared" si="334"/>
        <v>163.437421270718</v>
      </c>
      <c r="X1706">
        <v>0</v>
      </c>
    </row>
    <row r="1707" spans="1:24" x14ac:dyDescent="0.25">
      <c r="A1707" t="s">
        <v>2025</v>
      </c>
      <c r="B1707" t="s">
        <v>2067</v>
      </c>
      <c r="C1707" t="s">
        <v>2070</v>
      </c>
      <c r="D1707" t="s">
        <v>195</v>
      </c>
      <c r="E1707" t="s">
        <v>23</v>
      </c>
      <c r="F1707" t="s">
        <v>1</v>
      </c>
      <c r="G1707" t="s">
        <v>784</v>
      </c>
      <c r="H1707" t="s">
        <v>423</v>
      </c>
      <c r="I1707" t="s">
        <v>1</v>
      </c>
      <c r="J1707">
        <v>550</v>
      </c>
      <c r="K1707"/>
      <c r="L1707">
        <v>229.8</v>
      </c>
      <c r="M1707">
        <v>463.40883977900558</v>
      </c>
      <c r="N1707">
        <v>779.80000000000007</v>
      </c>
      <c r="O1707">
        <v>463.408839779</v>
      </c>
      <c r="P1707">
        <v>0</v>
      </c>
      <c r="Q1707">
        <f t="shared" si="330"/>
        <v>463.408839779</v>
      </c>
      <c r="R1707">
        <v>463.408839779</v>
      </c>
      <c r="S1707">
        <f t="shared" si="331"/>
        <v>0</v>
      </c>
      <c r="T1707">
        <v>3.5000000000000003E-2</v>
      </c>
      <c r="U1707">
        <f t="shared" si="332"/>
        <v>16.219309392265</v>
      </c>
      <c r="V1707">
        <f t="shared" si="333"/>
        <v>479.62814917126502</v>
      </c>
      <c r="W1707">
        <f t="shared" si="334"/>
        <v>16.219309392265018</v>
      </c>
      <c r="X1707">
        <v>0</v>
      </c>
    </row>
    <row r="1708" spans="1:24" x14ac:dyDescent="0.25">
      <c r="A1708" t="s">
        <v>2025</v>
      </c>
      <c r="B1708" t="s">
        <v>2067</v>
      </c>
      <c r="C1708" t="s">
        <v>2070</v>
      </c>
      <c r="D1708" t="s">
        <v>195</v>
      </c>
      <c r="E1708" t="s">
        <v>24</v>
      </c>
      <c r="F1708" t="s">
        <v>1</v>
      </c>
      <c r="G1708" t="s">
        <v>784</v>
      </c>
      <c r="H1708" t="s">
        <v>424</v>
      </c>
      <c r="I1708" t="s">
        <v>1</v>
      </c>
      <c r="J1708">
        <v>2950</v>
      </c>
      <c r="K1708">
        <v>8865</v>
      </c>
      <c r="L1708">
        <v>0</v>
      </c>
      <c r="M1708">
        <v>0</v>
      </c>
      <c r="N1708">
        <v>2950</v>
      </c>
      <c r="O1708"/>
      <c r="P1708">
        <v>0</v>
      </c>
      <c r="Q1708">
        <f t="shared" si="330"/>
        <v>0</v>
      </c>
      <c r="R1708">
        <v>6600</v>
      </c>
      <c r="S1708">
        <f t="shared" si="331"/>
        <v>6600</v>
      </c>
      <c r="T1708"/>
      <c r="U1708">
        <f t="shared" si="332"/>
        <v>0</v>
      </c>
      <c r="V1708">
        <f t="shared" si="333"/>
        <v>6600</v>
      </c>
      <c r="W1708">
        <f t="shared" si="334"/>
        <v>6600</v>
      </c>
      <c r="X1708" t="s">
        <v>1581</v>
      </c>
    </row>
    <row r="1709" spans="1:24" x14ac:dyDescent="0.25">
      <c r="A1709" t="s">
        <v>2025</v>
      </c>
      <c r="B1709" t="s">
        <v>2067</v>
      </c>
      <c r="C1709" t="s">
        <v>2070</v>
      </c>
      <c r="D1709" t="s">
        <v>195</v>
      </c>
      <c r="E1709" t="s">
        <v>26</v>
      </c>
      <c r="F1709" t="s">
        <v>1</v>
      </c>
      <c r="G1709" t="s">
        <v>784</v>
      </c>
      <c r="H1709" t="s">
        <v>426</v>
      </c>
      <c r="I1709" t="s">
        <v>1</v>
      </c>
      <c r="J1709">
        <v>1842.5</v>
      </c>
      <c r="K1709">
        <v>784.99069463520004</v>
      </c>
      <c r="L1709">
        <v>0</v>
      </c>
      <c r="M1709">
        <v>0</v>
      </c>
      <c r="N1709">
        <v>1605</v>
      </c>
      <c r="O1709"/>
      <c r="P1709">
        <v>0</v>
      </c>
      <c r="Q1709">
        <f t="shared" si="330"/>
        <v>0</v>
      </c>
      <c r="R1709">
        <v>0</v>
      </c>
      <c r="S1709">
        <f t="shared" si="331"/>
        <v>0</v>
      </c>
      <c r="T1709"/>
      <c r="U1709">
        <f t="shared" si="332"/>
        <v>0</v>
      </c>
      <c r="V1709">
        <f t="shared" si="333"/>
        <v>0</v>
      </c>
      <c r="W1709">
        <f t="shared" si="334"/>
        <v>0</v>
      </c>
      <c r="X1709">
        <v>0</v>
      </c>
    </row>
    <row r="1710" spans="1:24" x14ac:dyDescent="0.25">
      <c r="A1710" t="s">
        <v>2025</v>
      </c>
      <c r="B1710" t="s">
        <v>2067</v>
      </c>
      <c r="C1710" t="s">
        <v>2070</v>
      </c>
      <c r="D1710" t="s">
        <v>195</v>
      </c>
      <c r="E1710" t="s">
        <v>29</v>
      </c>
      <c r="F1710" t="s">
        <v>1</v>
      </c>
      <c r="G1710" t="s">
        <v>784</v>
      </c>
      <c r="H1710" t="s">
        <v>429</v>
      </c>
      <c r="I1710" t="s">
        <v>1</v>
      </c>
      <c r="J1710">
        <v>175.88</v>
      </c>
      <c r="K1710"/>
      <c r="L1710">
        <v>0</v>
      </c>
      <c r="M1710">
        <v>0</v>
      </c>
      <c r="N1710">
        <v>175.88</v>
      </c>
      <c r="O1710"/>
      <c r="P1710">
        <v>0</v>
      </c>
      <c r="Q1710">
        <f t="shared" si="330"/>
        <v>0</v>
      </c>
      <c r="R1710">
        <v>0</v>
      </c>
      <c r="S1710">
        <f t="shared" si="331"/>
        <v>0</v>
      </c>
      <c r="T1710"/>
      <c r="U1710">
        <f t="shared" si="332"/>
        <v>0</v>
      </c>
      <c r="V1710">
        <f t="shared" si="333"/>
        <v>0</v>
      </c>
      <c r="W1710">
        <f t="shared" si="334"/>
        <v>0</v>
      </c>
      <c r="X1710">
        <v>0</v>
      </c>
    </row>
    <row r="1711" spans="1:24" x14ac:dyDescent="0.25">
      <c r="A1711" t="s">
        <v>2025</v>
      </c>
      <c r="B1711" t="s">
        <v>2067</v>
      </c>
      <c r="C1711" t="s">
        <v>2070</v>
      </c>
      <c r="D1711" t="s">
        <v>195</v>
      </c>
      <c r="E1711" t="s">
        <v>199</v>
      </c>
      <c r="F1711" t="s">
        <v>1</v>
      </c>
      <c r="G1711" t="s">
        <v>784</v>
      </c>
      <c r="H1711" t="s">
        <v>788</v>
      </c>
      <c r="I1711" t="s">
        <v>1</v>
      </c>
      <c r="J1711">
        <v>3500</v>
      </c>
      <c r="K1711"/>
      <c r="L1711">
        <v>0</v>
      </c>
      <c r="M1711">
        <v>0</v>
      </c>
      <c r="N1711">
        <v>3500</v>
      </c>
      <c r="O1711"/>
      <c r="P1711">
        <v>0</v>
      </c>
      <c r="Q1711">
        <f t="shared" si="330"/>
        <v>0</v>
      </c>
      <c r="R1711">
        <v>0</v>
      </c>
      <c r="S1711">
        <f t="shared" si="331"/>
        <v>0</v>
      </c>
      <c r="T1711"/>
      <c r="U1711">
        <f t="shared" si="332"/>
        <v>0</v>
      </c>
      <c r="V1711">
        <f t="shared" si="333"/>
        <v>0</v>
      </c>
      <c r="W1711">
        <f t="shared" si="334"/>
        <v>0</v>
      </c>
      <c r="X1711">
        <v>0</v>
      </c>
    </row>
    <row r="1712" spans="1:24" x14ac:dyDescent="0.25">
      <c r="A1712" t="s">
        <v>2025</v>
      </c>
      <c r="B1712" t="s">
        <v>2067</v>
      </c>
      <c r="C1712" t="s">
        <v>2070</v>
      </c>
      <c r="D1712" t="s">
        <v>195</v>
      </c>
      <c r="E1712" t="s">
        <v>31</v>
      </c>
      <c r="F1712" t="s">
        <v>1</v>
      </c>
      <c r="G1712" t="s">
        <v>784</v>
      </c>
      <c r="H1712" t="s">
        <v>431</v>
      </c>
      <c r="I1712" t="s">
        <v>1</v>
      </c>
      <c r="J1712">
        <v>-25</v>
      </c>
      <c r="K1712">
        <v>1338.9999999996</v>
      </c>
      <c r="L1712">
        <v>2950</v>
      </c>
      <c r="M1712">
        <v>5948.8950276243095</v>
      </c>
      <c r="N1712">
        <v>2925</v>
      </c>
      <c r="O1712">
        <v>5900</v>
      </c>
      <c r="P1712">
        <v>0</v>
      </c>
      <c r="Q1712">
        <f t="shared" si="330"/>
        <v>5900</v>
      </c>
      <c r="R1712">
        <v>3000</v>
      </c>
      <c r="S1712">
        <f t="shared" si="331"/>
        <v>-2900</v>
      </c>
      <c r="T1712"/>
      <c r="U1712">
        <f t="shared" si="332"/>
        <v>0</v>
      </c>
      <c r="V1712">
        <f t="shared" si="333"/>
        <v>3000</v>
      </c>
      <c r="W1712">
        <f t="shared" si="334"/>
        <v>-2900</v>
      </c>
      <c r="X1712" t="s">
        <v>1582</v>
      </c>
    </row>
    <row r="1713" spans="1:24" x14ac:dyDescent="0.25">
      <c r="A1713" t="s">
        <v>2025</v>
      </c>
      <c r="B1713" t="s">
        <v>2067</v>
      </c>
      <c r="C1713" t="s">
        <v>2070</v>
      </c>
      <c r="D1713" t="s">
        <v>195</v>
      </c>
      <c r="E1713" t="s">
        <v>33</v>
      </c>
      <c r="F1713" t="s">
        <v>1</v>
      </c>
      <c r="G1713" t="s">
        <v>784</v>
      </c>
      <c r="H1713" t="s">
        <v>433</v>
      </c>
      <c r="I1713" t="s">
        <v>1</v>
      </c>
      <c r="J1713">
        <v>2386.52</v>
      </c>
      <c r="K1713">
        <v>1160.1677436732</v>
      </c>
      <c r="L1713">
        <v>1685.35</v>
      </c>
      <c r="M1713">
        <v>3398.6339779005525</v>
      </c>
      <c r="N1713">
        <v>2569.04</v>
      </c>
      <c r="O1713">
        <v>3370.7</v>
      </c>
      <c r="P1713">
        <v>0</v>
      </c>
      <c r="Q1713">
        <f t="shared" si="330"/>
        <v>3370.7</v>
      </c>
      <c r="R1713">
        <v>3371</v>
      </c>
      <c r="S1713">
        <f t="shared" si="331"/>
        <v>0.3000000000001819</v>
      </c>
      <c r="T1713"/>
      <c r="U1713">
        <f t="shared" si="332"/>
        <v>0</v>
      </c>
      <c r="V1713">
        <f t="shared" si="333"/>
        <v>3371</v>
      </c>
      <c r="W1713">
        <f t="shared" si="334"/>
        <v>0.3000000000001819</v>
      </c>
      <c r="X1713" t="s">
        <v>1583</v>
      </c>
    </row>
    <row r="1714" spans="1:24" x14ac:dyDescent="0.25">
      <c r="A1714" t="s">
        <v>2025</v>
      </c>
      <c r="B1714" t="s">
        <v>2067</v>
      </c>
      <c r="C1714" t="s">
        <v>2070</v>
      </c>
      <c r="D1714" t="s">
        <v>195</v>
      </c>
      <c r="E1714" t="s">
        <v>34</v>
      </c>
      <c r="F1714" t="s">
        <v>1</v>
      </c>
      <c r="G1714" t="s">
        <v>784</v>
      </c>
      <c r="H1714" t="s">
        <v>434</v>
      </c>
      <c r="I1714" t="s">
        <v>1</v>
      </c>
      <c r="J1714">
        <v>1078.1600000000001</v>
      </c>
      <c r="K1714">
        <v>1471.8575524416001</v>
      </c>
      <c r="L1714">
        <v>0</v>
      </c>
      <c r="M1714">
        <v>0</v>
      </c>
      <c r="N1714">
        <v>0</v>
      </c>
      <c r="O1714"/>
      <c r="P1714">
        <v>0</v>
      </c>
      <c r="Q1714">
        <f t="shared" si="330"/>
        <v>0</v>
      </c>
      <c r="R1714">
        <v>0</v>
      </c>
      <c r="S1714">
        <f t="shared" si="331"/>
        <v>0</v>
      </c>
      <c r="T1714"/>
      <c r="U1714">
        <f t="shared" si="332"/>
        <v>0</v>
      </c>
      <c r="V1714">
        <f t="shared" si="333"/>
        <v>0</v>
      </c>
      <c r="W1714">
        <f t="shared" si="334"/>
        <v>0</v>
      </c>
      <c r="X1714">
        <v>0</v>
      </c>
    </row>
    <row r="1715" spans="1:24" x14ac:dyDescent="0.25">
      <c r="A1715" t="s">
        <v>2025</v>
      </c>
      <c r="B1715" t="s">
        <v>2067</v>
      </c>
      <c r="C1715" t="s">
        <v>2070</v>
      </c>
      <c r="D1715" t="s">
        <v>195</v>
      </c>
      <c r="E1715" t="s">
        <v>37</v>
      </c>
      <c r="F1715" t="s">
        <v>1</v>
      </c>
      <c r="G1715" t="s">
        <v>784</v>
      </c>
      <c r="H1715" t="s">
        <v>437</v>
      </c>
      <c r="I1715" t="s">
        <v>1</v>
      </c>
      <c r="J1715">
        <v>827.66</v>
      </c>
      <c r="K1715">
        <v>735.92877622080005</v>
      </c>
      <c r="L1715">
        <v>921.2</v>
      </c>
      <c r="M1715">
        <v>1857.6685082872928</v>
      </c>
      <c r="N1715">
        <v>1410.9399999999998</v>
      </c>
      <c r="O1715">
        <v>1842.4</v>
      </c>
      <c r="P1715">
        <v>0</v>
      </c>
      <c r="Q1715">
        <f t="shared" si="330"/>
        <v>1842.4</v>
      </c>
      <c r="R1715">
        <v>1842.4</v>
      </c>
      <c r="S1715">
        <f t="shared" si="331"/>
        <v>0</v>
      </c>
      <c r="T1715"/>
      <c r="U1715">
        <f t="shared" si="332"/>
        <v>0</v>
      </c>
      <c r="V1715">
        <f t="shared" si="333"/>
        <v>1842.4</v>
      </c>
      <c r="W1715">
        <f t="shared" si="334"/>
        <v>0</v>
      </c>
      <c r="X1715" t="s">
        <v>1584</v>
      </c>
    </row>
    <row r="1716" spans="1:24" x14ac:dyDescent="0.25">
      <c r="A1716" t="s">
        <v>2025</v>
      </c>
      <c r="B1716" t="s">
        <v>2067</v>
      </c>
      <c r="C1716" t="s">
        <v>2070</v>
      </c>
      <c r="D1716" t="s">
        <v>195</v>
      </c>
      <c r="E1716" t="s">
        <v>76</v>
      </c>
      <c r="F1716" t="s">
        <v>1</v>
      </c>
      <c r="G1716" t="s">
        <v>784</v>
      </c>
      <c r="H1716" t="s">
        <v>493</v>
      </c>
      <c r="I1716" t="s">
        <v>1</v>
      </c>
      <c r="J1716">
        <v>39135.760000000002</v>
      </c>
      <c r="K1716">
        <v>117396</v>
      </c>
      <c r="L1716">
        <v>7371.32</v>
      </c>
      <c r="M1716">
        <v>14864.816574585637</v>
      </c>
      <c r="N1716">
        <v>19516.059999999998</v>
      </c>
      <c r="O1716">
        <v>14742.64</v>
      </c>
      <c r="P1716">
        <v>50000</v>
      </c>
      <c r="Q1716">
        <f t="shared" si="330"/>
        <v>64742.64</v>
      </c>
      <c r="R1716">
        <v>48000</v>
      </c>
      <c r="S1716">
        <f t="shared" si="331"/>
        <v>-16742.64</v>
      </c>
      <c r="T1716">
        <v>0.03</v>
      </c>
      <c r="U1716">
        <f t="shared" si="332"/>
        <v>1440</v>
      </c>
      <c r="V1716">
        <f t="shared" si="333"/>
        <v>49440</v>
      </c>
      <c r="W1716">
        <f t="shared" si="334"/>
        <v>-15302.64</v>
      </c>
      <c r="X1716" t="s">
        <v>1585</v>
      </c>
    </row>
    <row r="1717" spans="1:24" x14ac:dyDescent="0.25">
      <c r="A1717" t="s">
        <v>2025</v>
      </c>
      <c r="B1717" t="s">
        <v>2067</v>
      </c>
      <c r="C1717" t="s">
        <v>2070</v>
      </c>
      <c r="D1717" t="s">
        <v>195</v>
      </c>
      <c r="E1717" t="s">
        <v>41</v>
      </c>
      <c r="F1717" t="s">
        <v>1</v>
      </c>
      <c r="G1717" t="s">
        <v>784</v>
      </c>
      <c r="H1717" t="s">
        <v>441</v>
      </c>
      <c r="I1717" t="s">
        <v>1</v>
      </c>
      <c r="J1717">
        <v>25610.89</v>
      </c>
      <c r="K1717">
        <v>25142.137688570401</v>
      </c>
      <c r="L1717">
        <v>22348.880000000001</v>
      </c>
      <c r="M1717">
        <v>45068.183425414361</v>
      </c>
      <c r="N1717">
        <v>34644.39</v>
      </c>
      <c r="O1717">
        <v>44697.760000000002</v>
      </c>
      <c r="P1717">
        <v>0</v>
      </c>
      <c r="Q1717">
        <f t="shared" si="330"/>
        <v>44697.760000000002</v>
      </c>
      <c r="R1717">
        <v>44697.760000000002</v>
      </c>
      <c r="S1717">
        <f t="shared" si="331"/>
        <v>0</v>
      </c>
      <c r="T1717">
        <v>0.03</v>
      </c>
      <c r="U1717">
        <f t="shared" si="332"/>
        <v>1340.9328</v>
      </c>
      <c r="V1717">
        <f t="shared" si="333"/>
        <v>46038.692800000004</v>
      </c>
      <c r="W1717">
        <f t="shared" si="334"/>
        <v>1340.9328000000023</v>
      </c>
      <c r="X1717">
        <v>0</v>
      </c>
    </row>
    <row r="1718" spans="1:24" x14ac:dyDescent="0.25">
      <c r="A1718" t="s">
        <v>2025</v>
      </c>
      <c r="B1718" t="s">
        <v>2067</v>
      </c>
      <c r="C1718" t="s">
        <v>2070</v>
      </c>
      <c r="D1718" t="s">
        <v>195</v>
      </c>
      <c r="E1718" t="s">
        <v>42</v>
      </c>
      <c r="F1718" t="s">
        <v>1</v>
      </c>
      <c r="G1718" t="s">
        <v>784</v>
      </c>
      <c r="H1718" t="s">
        <v>442</v>
      </c>
      <c r="I1718" t="s">
        <v>1</v>
      </c>
      <c r="J1718">
        <v>117560.51</v>
      </c>
      <c r="K1718">
        <v>75333</v>
      </c>
      <c r="L1718">
        <v>30150.400000000001</v>
      </c>
      <c r="M1718">
        <v>60800.530386740335</v>
      </c>
      <c r="N1718">
        <v>115544.4</v>
      </c>
      <c r="O1718">
        <v>60300.800000000003</v>
      </c>
      <c r="P1718">
        <v>0</v>
      </c>
      <c r="Q1718">
        <f t="shared" si="330"/>
        <v>60300.800000000003</v>
      </c>
      <c r="R1718">
        <v>90333</v>
      </c>
      <c r="S1718">
        <f t="shared" si="331"/>
        <v>30032.199999999997</v>
      </c>
      <c r="T1718">
        <v>0.03</v>
      </c>
      <c r="U1718">
        <f t="shared" si="332"/>
        <v>2709.99</v>
      </c>
      <c r="V1718">
        <f t="shared" si="333"/>
        <v>93042.99</v>
      </c>
      <c r="W1718">
        <f t="shared" si="334"/>
        <v>32742.190000000002</v>
      </c>
      <c r="X1718" t="s">
        <v>1586</v>
      </c>
    </row>
    <row r="1719" spans="1:24" x14ac:dyDescent="0.25">
      <c r="A1719" t="s">
        <v>2025</v>
      </c>
      <c r="B1719" t="s">
        <v>2067</v>
      </c>
      <c r="C1719" t="s">
        <v>2070</v>
      </c>
      <c r="D1719" t="s">
        <v>195</v>
      </c>
      <c r="E1719" t="s">
        <v>43</v>
      </c>
      <c r="F1719" t="s">
        <v>1</v>
      </c>
      <c r="G1719" t="s">
        <v>784</v>
      </c>
      <c r="H1719" t="s">
        <v>443</v>
      </c>
      <c r="I1719" t="s">
        <v>1</v>
      </c>
      <c r="J1719">
        <v>-812.69</v>
      </c>
      <c r="K1719"/>
      <c r="L1719">
        <v>-6872.23</v>
      </c>
      <c r="M1719">
        <v>-13858.364364640882</v>
      </c>
      <c r="N1719">
        <v>-6047.23</v>
      </c>
      <c r="O1719">
        <v>-13744.46</v>
      </c>
      <c r="P1719">
        <v>0</v>
      </c>
      <c r="Q1719">
        <f t="shared" si="330"/>
        <v>-13744.46</v>
      </c>
      <c r="R1719">
        <v>0</v>
      </c>
      <c r="S1719">
        <f t="shared" si="331"/>
        <v>13744.46</v>
      </c>
      <c r="T1719">
        <v>0.03</v>
      </c>
      <c r="U1719">
        <f t="shared" si="332"/>
        <v>0</v>
      </c>
      <c r="V1719">
        <f t="shared" si="333"/>
        <v>0</v>
      </c>
      <c r="W1719">
        <f t="shared" si="334"/>
        <v>13744.46</v>
      </c>
      <c r="X1719">
        <v>0</v>
      </c>
    </row>
    <row r="1720" spans="1:24" x14ac:dyDescent="0.25">
      <c r="A1720" t="s">
        <v>2025</v>
      </c>
      <c r="B1720" t="s">
        <v>2067</v>
      </c>
      <c r="C1720" t="s">
        <v>2070</v>
      </c>
      <c r="D1720" t="s">
        <v>195</v>
      </c>
      <c r="E1720" t="s">
        <v>46</v>
      </c>
      <c r="F1720" t="s">
        <v>1</v>
      </c>
      <c r="G1720" t="s">
        <v>784</v>
      </c>
      <c r="H1720" t="s">
        <v>446</v>
      </c>
      <c r="I1720" t="s">
        <v>1</v>
      </c>
      <c r="J1720">
        <v>1011.74</v>
      </c>
      <c r="K1720"/>
      <c r="L1720">
        <v>1289.75</v>
      </c>
      <c r="M1720">
        <v>2600.8770718232045</v>
      </c>
      <c r="N1720">
        <v>1610.6699999999998</v>
      </c>
      <c r="O1720">
        <v>2579.5</v>
      </c>
      <c r="P1720">
        <v>0</v>
      </c>
      <c r="Q1720">
        <f t="shared" si="330"/>
        <v>2579.5</v>
      </c>
      <c r="R1720">
        <v>2579.5</v>
      </c>
      <c r="S1720">
        <f t="shared" si="331"/>
        <v>0</v>
      </c>
      <c r="T1720">
        <v>0.03</v>
      </c>
      <c r="U1720">
        <f t="shared" si="332"/>
        <v>77.384999999999991</v>
      </c>
      <c r="V1720">
        <f t="shared" si="333"/>
        <v>2656.8850000000002</v>
      </c>
      <c r="W1720">
        <f t="shared" si="334"/>
        <v>77.385000000000218</v>
      </c>
      <c r="X1720">
        <v>0</v>
      </c>
    </row>
    <row r="1721" spans="1:24" x14ac:dyDescent="0.25">
      <c r="A1721" t="s">
        <v>2025</v>
      </c>
      <c r="B1721" t="s">
        <v>2067</v>
      </c>
      <c r="C1721" t="s">
        <v>2070</v>
      </c>
      <c r="D1721" t="s">
        <v>195</v>
      </c>
      <c r="E1721" t="s">
        <v>47</v>
      </c>
      <c r="F1721" t="s">
        <v>1</v>
      </c>
      <c r="G1721" t="s">
        <v>784</v>
      </c>
      <c r="H1721" t="s">
        <v>447</v>
      </c>
      <c r="I1721" t="s">
        <v>1</v>
      </c>
      <c r="J1721"/>
      <c r="K1721">
        <v>2546.0000000004002</v>
      </c>
      <c r="L1721">
        <v>0</v>
      </c>
      <c r="M1721">
        <v>0</v>
      </c>
      <c r="N1721">
        <v>0</v>
      </c>
      <c r="O1721"/>
      <c r="P1721">
        <v>0</v>
      </c>
      <c r="Q1721">
        <f t="shared" si="330"/>
        <v>0</v>
      </c>
      <c r="R1721">
        <v>0</v>
      </c>
      <c r="S1721">
        <f t="shared" si="331"/>
        <v>0</v>
      </c>
      <c r="T1721">
        <v>0.03</v>
      </c>
      <c r="U1721">
        <f t="shared" si="332"/>
        <v>0</v>
      </c>
      <c r="V1721">
        <f t="shared" si="333"/>
        <v>0</v>
      </c>
      <c r="W1721">
        <f t="shared" si="334"/>
        <v>0</v>
      </c>
      <c r="X1721">
        <v>0</v>
      </c>
    </row>
    <row r="1722" spans="1:24" x14ac:dyDescent="0.25">
      <c r="A1722" t="s">
        <v>2025</v>
      </c>
      <c r="B1722" t="s">
        <v>2067</v>
      </c>
      <c r="C1722" t="s">
        <v>2070</v>
      </c>
      <c r="D1722" t="s">
        <v>195</v>
      </c>
      <c r="E1722" t="s">
        <v>50</v>
      </c>
      <c r="F1722" t="s">
        <v>1</v>
      </c>
      <c r="G1722" t="s">
        <v>784</v>
      </c>
      <c r="H1722" t="s">
        <v>450</v>
      </c>
      <c r="I1722" t="s">
        <v>1</v>
      </c>
      <c r="J1722">
        <v>564.02</v>
      </c>
      <c r="K1722">
        <v>579.99999999960005</v>
      </c>
      <c r="L1722">
        <v>270.12</v>
      </c>
      <c r="M1722">
        <v>544.71712707182314</v>
      </c>
      <c r="N1722">
        <v>537.15</v>
      </c>
      <c r="O1722">
        <v>544.71712707179995</v>
      </c>
      <c r="P1722">
        <v>0</v>
      </c>
      <c r="Q1722">
        <f t="shared" si="330"/>
        <v>544.71712707179995</v>
      </c>
      <c r="R1722">
        <v>544.71712707179995</v>
      </c>
      <c r="S1722">
        <f t="shared" si="331"/>
        <v>0</v>
      </c>
      <c r="T1722"/>
      <c r="U1722">
        <f t="shared" si="332"/>
        <v>0</v>
      </c>
      <c r="V1722">
        <f t="shared" si="333"/>
        <v>544.71712707179995</v>
      </c>
      <c r="W1722">
        <f t="shared" si="334"/>
        <v>0</v>
      </c>
      <c r="X1722">
        <v>0</v>
      </c>
    </row>
    <row r="1723" spans="1:24" x14ac:dyDescent="0.25">
      <c r="A1723" t="s">
        <v>2025</v>
      </c>
      <c r="B1723" t="s">
        <v>2067</v>
      </c>
      <c r="C1723" t="s">
        <v>2070</v>
      </c>
      <c r="D1723" t="s">
        <v>195</v>
      </c>
      <c r="E1723" t="s">
        <v>51</v>
      </c>
      <c r="F1723" t="s">
        <v>51</v>
      </c>
      <c r="G1723" t="s">
        <v>789</v>
      </c>
      <c r="H1723"/>
      <c r="I1723"/>
      <c r="J1723">
        <v>3457047.66</v>
      </c>
      <c r="K1723">
        <v>3607951.8786104466</v>
      </c>
      <c r="L1723">
        <v>2028321.1399999997</v>
      </c>
      <c r="M1723">
        <v>4090260.8624309385</v>
      </c>
      <c r="N1723">
        <v>3862996.6999999997</v>
      </c>
      <c r="O1723">
        <v>4078041.4783467883</v>
      </c>
      <c r="P1723">
        <f>SUMIF($F$1679:$F$1722,"&lt;&gt;EV_*",$P$1679:$P$1722)</f>
        <v>50000</v>
      </c>
      <c r="Q1723">
        <f>SUMIF($F$1679:$F$1722,"&lt;&gt;EV_*",$Q$1679:$Q$1722)</f>
        <v>4128041.4783467883</v>
      </c>
      <c r="R1723">
        <f>SUMIF($F$1679:$F$1722,"&lt;&gt;EV_*",$R$1679:$R$1722)</f>
        <v>4158775.7983467882</v>
      </c>
      <c r="S1723">
        <f>SUMIF($F$1679:$F$1722,"&lt;&gt;EV_*",$S$1679:$S$1722)</f>
        <v>30734.319999999996</v>
      </c>
      <c r="T1723">
        <v>0</v>
      </c>
      <c r="U1723">
        <f>SUMIF($F$1679:$F$1722,"&lt;&gt;EV_*",$U$1679:$U$1722)</f>
        <v>117292.79290663129</v>
      </c>
      <c r="V1723">
        <f>SUMIF($F$1679:$F$1722,"&lt;&gt;EV_*",$V$1679:$V$1722)</f>
        <v>4276068.5912534203</v>
      </c>
      <c r="W1723">
        <f>SUMIF($F$1679:$F$1722,"&lt;&gt;EV_*",$W$1679:$W$1722)</f>
        <v>148027.11290663149</v>
      </c>
      <c r="X1723">
        <f>SUMIF($F$1679:$F$1722,"&lt;&gt;EV_*",$X$1679:$X$1722)</f>
        <v>0</v>
      </c>
    </row>
    <row r="1724" spans="1:24" x14ac:dyDescent="0.25">
      <c r="A1724" t="s">
        <v>1965</v>
      </c>
      <c r="B1724" t="s">
        <v>2017</v>
      </c>
      <c r="C1724" t="s">
        <v>2071</v>
      </c>
      <c r="D1724" t="s">
        <v>200</v>
      </c>
      <c r="E1724" t="s">
        <v>5</v>
      </c>
      <c r="F1724" t="s">
        <v>5</v>
      </c>
      <c r="G1724" t="s">
        <v>790</v>
      </c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</row>
    <row r="1725" spans="1:24" x14ac:dyDescent="0.25">
      <c r="A1725" t="s">
        <v>1965</v>
      </c>
      <c r="B1725" t="s">
        <v>2017</v>
      </c>
      <c r="C1725" t="s">
        <v>2071</v>
      </c>
      <c r="D1725" t="s">
        <v>200</v>
      </c>
      <c r="E1725" t="s">
        <v>61</v>
      </c>
      <c r="F1725" t="s">
        <v>1</v>
      </c>
      <c r="G1725" t="s">
        <v>791</v>
      </c>
      <c r="H1725" t="s">
        <v>470</v>
      </c>
      <c r="I1725" t="s">
        <v>1</v>
      </c>
      <c r="J1725">
        <v>6115</v>
      </c>
      <c r="K1725"/>
      <c r="L1725">
        <v>0</v>
      </c>
      <c r="M1725">
        <v>0</v>
      </c>
      <c r="N1725">
        <v>6115</v>
      </c>
      <c r="O1725"/>
      <c r="P1725">
        <v>0</v>
      </c>
      <c r="Q1725">
        <f t="shared" ref="Q1725:Q1733" si="335">O1725+P1725</f>
        <v>0</v>
      </c>
      <c r="R1725">
        <v>0</v>
      </c>
      <c r="S1725">
        <f t="shared" ref="S1725:S1733" si="336">IF(OR(LEFT(E1725,2)="A_",LEFT(D1725,5)="Total"),R1725-Q1725,"")</f>
        <v>0</v>
      </c>
      <c r="T1725"/>
      <c r="U1725">
        <f t="shared" ref="U1725:U1733" si="337">IFERROR(R1725*T1725,R1725*0)</f>
        <v>0</v>
      </c>
      <c r="V1725">
        <f t="shared" ref="V1725:V1733" si="338">IF(OR(LEFT(E1725,2)="A_",LEFT(D1725,5)="Total"),R1725+U1725,"")</f>
        <v>0</v>
      </c>
      <c r="W1725">
        <f t="shared" ref="W1725:W1733" si="339">IF(OR(LEFT(E1725,2)="A_",LEFT(D1725,5)="Total"),V1725-Q1725,"")</f>
        <v>0</v>
      </c>
      <c r="X1725">
        <v>0</v>
      </c>
    </row>
    <row r="1726" spans="1:24" x14ac:dyDescent="0.25">
      <c r="A1726" t="s">
        <v>1965</v>
      </c>
      <c r="B1726" t="s">
        <v>2017</v>
      </c>
      <c r="C1726" t="s">
        <v>2071</v>
      </c>
      <c r="D1726" t="s">
        <v>200</v>
      </c>
      <c r="E1726" t="s">
        <v>13</v>
      </c>
      <c r="F1726" t="s">
        <v>1</v>
      </c>
      <c r="G1726" t="s">
        <v>791</v>
      </c>
      <c r="H1726" t="s">
        <v>413</v>
      </c>
      <c r="I1726" t="s">
        <v>1</v>
      </c>
      <c r="J1726">
        <v>236.79</v>
      </c>
      <c r="K1726"/>
      <c r="L1726">
        <v>1200.9100000000001</v>
      </c>
      <c r="M1726">
        <v>2421.7245856353593</v>
      </c>
      <c r="N1726">
        <v>1437.7</v>
      </c>
      <c r="O1726">
        <v>2401.8200000000002</v>
      </c>
      <c r="P1726">
        <v>0</v>
      </c>
      <c r="Q1726">
        <f t="shared" si="335"/>
        <v>2401.8200000000002</v>
      </c>
      <c r="R1726">
        <v>2402</v>
      </c>
      <c r="S1726">
        <f t="shared" si="336"/>
        <v>0.17999999999983629</v>
      </c>
      <c r="T1726"/>
      <c r="U1726">
        <f t="shared" si="337"/>
        <v>0</v>
      </c>
      <c r="V1726">
        <f t="shared" si="338"/>
        <v>2402</v>
      </c>
      <c r="W1726">
        <f t="shared" si="339"/>
        <v>0.17999999999983629</v>
      </c>
      <c r="X1726" t="s">
        <v>1573</v>
      </c>
    </row>
    <row r="1727" spans="1:24" x14ac:dyDescent="0.25">
      <c r="A1727" t="s">
        <v>1965</v>
      </c>
      <c r="B1727" t="s">
        <v>2017</v>
      </c>
      <c r="C1727" t="s">
        <v>2071</v>
      </c>
      <c r="D1727" t="s">
        <v>200</v>
      </c>
      <c r="E1727" t="s">
        <v>24</v>
      </c>
      <c r="F1727" t="s">
        <v>1</v>
      </c>
      <c r="G1727" t="s">
        <v>791</v>
      </c>
      <c r="H1727" t="s">
        <v>424</v>
      </c>
      <c r="I1727" t="s">
        <v>1</v>
      </c>
      <c r="J1727">
        <v>905</v>
      </c>
      <c r="K1727">
        <v>770.00000000039995</v>
      </c>
      <c r="L1727">
        <v>0</v>
      </c>
      <c r="M1727">
        <v>0</v>
      </c>
      <c r="N1727">
        <v>295</v>
      </c>
      <c r="O1727"/>
      <c r="P1727">
        <v>0</v>
      </c>
      <c r="Q1727">
        <f t="shared" si="335"/>
        <v>0</v>
      </c>
      <c r="R1727">
        <v>0</v>
      </c>
      <c r="S1727">
        <f t="shared" si="336"/>
        <v>0</v>
      </c>
      <c r="T1727"/>
      <c r="U1727">
        <f t="shared" si="337"/>
        <v>0</v>
      </c>
      <c r="V1727">
        <f t="shared" si="338"/>
        <v>0</v>
      </c>
      <c r="W1727">
        <f t="shared" si="339"/>
        <v>0</v>
      </c>
      <c r="X1727">
        <v>0</v>
      </c>
    </row>
    <row r="1728" spans="1:24" x14ac:dyDescent="0.25">
      <c r="A1728" t="s">
        <v>1965</v>
      </c>
      <c r="B1728" t="s">
        <v>2017</v>
      </c>
      <c r="C1728" t="s">
        <v>2071</v>
      </c>
      <c r="D1728" t="s">
        <v>200</v>
      </c>
      <c r="E1728" t="s">
        <v>26</v>
      </c>
      <c r="F1728" t="s">
        <v>1</v>
      </c>
      <c r="G1728" t="s">
        <v>791</v>
      </c>
      <c r="H1728" t="s">
        <v>426</v>
      </c>
      <c r="I1728" t="s">
        <v>1</v>
      </c>
      <c r="J1728">
        <v>4253.21</v>
      </c>
      <c r="K1728">
        <v>5019.7931541480002</v>
      </c>
      <c r="L1728">
        <v>384.5</v>
      </c>
      <c r="M1728">
        <v>775.37292817679565</v>
      </c>
      <c r="N1728">
        <v>3649.81</v>
      </c>
      <c r="O1728">
        <v>769</v>
      </c>
      <c r="P1728">
        <v>0</v>
      </c>
      <c r="Q1728">
        <f t="shared" si="335"/>
        <v>769</v>
      </c>
      <c r="R1728">
        <v>0</v>
      </c>
      <c r="S1728">
        <f t="shared" si="336"/>
        <v>-769</v>
      </c>
      <c r="T1728"/>
      <c r="U1728">
        <f t="shared" si="337"/>
        <v>0</v>
      </c>
      <c r="V1728">
        <f t="shared" si="338"/>
        <v>0</v>
      </c>
      <c r="W1728">
        <f t="shared" si="339"/>
        <v>-769</v>
      </c>
      <c r="X1728">
        <v>0</v>
      </c>
    </row>
    <row r="1729" spans="1:24" x14ac:dyDescent="0.25">
      <c r="A1729" t="s">
        <v>1965</v>
      </c>
      <c r="B1729" t="s">
        <v>2017</v>
      </c>
      <c r="C1729" t="s">
        <v>2071</v>
      </c>
      <c r="D1729" t="s">
        <v>200</v>
      </c>
      <c r="E1729" t="s">
        <v>34</v>
      </c>
      <c r="F1729" t="s">
        <v>1</v>
      </c>
      <c r="G1729" t="s">
        <v>791</v>
      </c>
      <c r="H1729" t="s">
        <v>434</v>
      </c>
      <c r="I1729" t="s">
        <v>1</v>
      </c>
      <c r="J1729">
        <v>20</v>
      </c>
      <c r="K1729">
        <v>98.123836830000002</v>
      </c>
      <c r="L1729">
        <v>190.4</v>
      </c>
      <c r="M1729">
        <v>383.95580110497241</v>
      </c>
      <c r="N1729">
        <v>210.4</v>
      </c>
      <c r="O1729">
        <v>380.8</v>
      </c>
      <c r="P1729">
        <v>0</v>
      </c>
      <c r="Q1729">
        <f t="shared" si="335"/>
        <v>380.8</v>
      </c>
      <c r="R1729">
        <v>0</v>
      </c>
      <c r="S1729">
        <f t="shared" si="336"/>
        <v>-380.8</v>
      </c>
      <c r="T1729"/>
      <c r="U1729">
        <f t="shared" si="337"/>
        <v>0</v>
      </c>
      <c r="V1729">
        <f t="shared" si="338"/>
        <v>0</v>
      </c>
      <c r="W1729">
        <f t="shared" si="339"/>
        <v>-380.8</v>
      </c>
      <c r="X1729">
        <v>0</v>
      </c>
    </row>
    <row r="1730" spans="1:24" x14ac:dyDescent="0.25">
      <c r="A1730" t="s">
        <v>1965</v>
      </c>
      <c r="B1730" t="s">
        <v>2017</v>
      </c>
      <c r="C1730" t="s">
        <v>2071</v>
      </c>
      <c r="D1730" t="s">
        <v>200</v>
      </c>
      <c r="E1730" t="s">
        <v>37</v>
      </c>
      <c r="F1730" t="s">
        <v>1</v>
      </c>
      <c r="G1730" t="s">
        <v>791</v>
      </c>
      <c r="H1730" t="s">
        <v>437</v>
      </c>
      <c r="I1730" t="s">
        <v>1</v>
      </c>
      <c r="J1730">
        <v>4799.6000000000004</v>
      </c>
      <c r="K1730"/>
      <c r="L1730">
        <v>1418</v>
      </c>
      <c r="M1730">
        <v>2859.5027624309391</v>
      </c>
      <c r="N1730">
        <v>4344.2299999999996</v>
      </c>
      <c r="O1730">
        <v>2836</v>
      </c>
      <c r="P1730">
        <v>0</v>
      </c>
      <c r="Q1730">
        <f t="shared" si="335"/>
        <v>2836</v>
      </c>
      <c r="R1730">
        <v>0</v>
      </c>
      <c r="S1730">
        <f t="shared" si="336"/>
        <v>-2836</v>
      </c>
      <c r="T1730"/>
      <c r="U1730">
        <f t="shared" si="337"/>
        <v>0</v>
      </c>
      <c r="V1730">
        <f t="shared" si="338"/>
        <v>0</v>
      </c>
      <c r="W1730">
        <f t="shared" si="339"/>
        <v>-2836</v>
      </c>
      <c r="X1730">
        <v>0</v>
      </c>
    </row>
    <row r="1731" spans="1:24" x14ac:dyDescent="0.25">
      <c r="A1731" t="s">
        <v>1965</v>
      </c>
      <c r="B1731" t="s">
        <v>2017</v>
      </c>
      <c r="C1731" t="s">
        <v>2071</v>
      </c>
      <c r="D1731" t="s">
        <v>200</v>
      </c>
      <c r="E1731" t="s">
        <v>42</v>
      </c>
      <c r="F1731" t="s">
        <v>1</v>
      </c>
      <c r="G1731" t="s">
        <v>791</v>
      </c>
      <c r="H1731" t="s">
        <v>442</v>
      </c>
      <c r="I1731" t="s">
        <v>1</v>
      </c>
      <c r="J1731">
        <v>33.229999999999997</v>
      </c>
      <c r="K1731"/>
      <c r="L1731">
        <v>104.85</v>
      </c>
      <c r="M1731">
        <v>211.43784530386739</v>
      </c>
      <c r="N1731">
        <v>138.07999999999998</v>
      </c>
      <c r="O1731">
        <v>209.7</v>
      </c>
      <c r="P1731">
        <v>0</v>
      </c>
      <c r="Q1731">
        <f t="shared" si="335"/>
        <v>209.7</v>
      </c>
      <c r="R1731">
        <v>210</v>
      </c>
      <c r="S1731">
        <f t="shared" si="336"/>
        <v>0.30000000000001137</v>
      </c>
      <c r="T1731">
        <v>0.03</v>
      </c>
      <c r="U1731">
        <f t="shared" si="337"/>
        <v>6.3</v>
      </c>
      <c r="V1731">
        <f t="shared" si="338"/>
        <v>216.3</v>
      </c>
      <c r="W1731">
        <f t="shared" si="339"/>
        <v>6.6000000000000227</v>
      </c>
      <c r="X1731" t="s">
        <v>1573</v>
      </c>
    </row>
    <row r="1732" spans="1:24" x14ac:dyDescent="0.25">
      <c r="A1732" t="s">
        <v>1965</v>
      </c>
      <c r="B1732" t="s">
        <v>2017</v>
      </c>
      <c r="C1732" t="s">
        <v>2071</v>
      </c>
      <c r="D1732" t="s">
        <v>200</v>
      </c>
      <c r="E1732" t="s">
        <v>47</v>
      </c>
      <c r="F1732" t="s">
        <v>1</v>
      </c>
      <c r="G1732" t="s">
        <v>791</v>
      </c>
      <c r="H1732" t="s">
        <v>447</v>
      </c>
      <c r="I1732" t="s">
        <v>1</v>
      </c>
      <c r="J1732">
        <v>14478.09</v>
      </c>
      <c r="K1732">
        <v>9636.9999999995998</v>
      </c>
      <c r="L1732">
        <v>1403</v>
      </c>
      <c r="M1732">
        <v>2829.2541436464089</v>
      </c>
      <c r="N1732">
        <v>6649.09</v>
      </c>
      <c r="O1732">
        <v>2806</v>
      </c>
      <c r="P1732">
        <v>0</v>
      </c>
      <c r="Q1732">
        <f t="shared" si="335"/>
        <v>2806</v>
      </c>
      <c r="R1732">
        <v>30000</v>
      </c>
      <c r="S1732">
        <f t="shared" si="336"/>
        <v>27194</v>
      </c>
      <c r="T1732">
        <v>0.03</v>
      </c>
      <c r="U1732">
        <f t="shared" si="337"/>
        <v>900</v>
      </c>
      <c r="V1732">
        <f t="shared" si="338"/>
        <v>30900</v>
      </c>
      <c r="W1732">
        <f t="shared" si="339"/>
        <v>28094</v>
      </c>
      <c r="X1732" t="s">
        <v>1587</v>
      </c>
    </row>
    <row r="1733" spans="1:24" x14ac:dyDescent="0.25">
      <c r="A1733" t="s">
        <v>1965</v>
      </c>
      <c r="B1733" t="s">
        <v>2017</v>
      </c>
      <c r="C1733" t="s">
        <v>2071</v>
      </c>
      <c r="D1733" t="s">
        <v>200</v>
      </c>
      <c r="E1733" t="s">
        <v>50</v>
      </c>
      <c r="F1733" t="s">
        <v>1</v>
      </c>
      <c r="G1733" t="s">
        <v>791</v>
      </c>
      <c r="H1733" t="s">
        <v>450</v>
      </c>
      <c r="I1733" t="s">
        <v>1</v>
      </c>
      <c r="J1733">
        <v>1255.6300000000001</v>
      </c>
      <c r="K1733">
        <v>1220.0000000004</v>
      </c>
      <c r="L1733">
        <v>663.3</v>
      </c>
      <c r="M1733">
        <v>1337.5939226519336</v>
      </c>
      <c r="N1733">
        <v>1324.27</v>
      </c>
      <c r="O1733">
        <v>1337.5939226518999</v>
      </c>
      <c r="P1733">
        <v>0</v>
      </c>
      <c r="Q1733">
        <f t="shared" si="335"/>
        <v>1337.5939226518999</v>
      </c>
      <c r="R1733">
        <v>1337.5939226518999</v>
      </c>
      <c r="S1733">
        <f t="shared" si="336"/>
        <v>0</v>
      </c>
      <c r="T1733"/>
      <c r="U1733">
        <f t="shared" si="337"/>
        <v>0</v>
      </c>
      <c r="V1733">
        <f t="shared" si="338"/>
        <v>1337.5939226518999</v>
      </c>
      <c r="W1733">
        <f t="shared" si="339"/>
        <v>0</v>
      </c>
      <c r="X1733" t="s">
        <v>1588</v>
      </c>
    </row>
    <row r="1734" spans="1:24" x14ac:dyDescent="0.25">
      <c r="A1734" t="s">
        <v>1965</v>
      </c>
      <c r="B1734" t="s">
        <v>2017</v>
      </c>
      <c r="C1734" t="s">
        <v>2071</v>
      </c>
      <c r="D1734" t="s">
        <v>200</v>
      </c>
      <c r="E1734" t="s">
        <v>51</v>
      </c>
      <c r="F1734" t="s">
        <v>51</v>
      </c>
      <c r="G1734" t="s">
        <v>792</v>
      </c>
      <c r="H1734"/>
      <c r="I1734"/>
      <c r="J1734">
        <v>32096.55</v>
      </c>
      <c r="K1734">
        <v>16744.9169909784</v>
      </c>
      <c r="L1734">
        <v>5364.96</v>
      </c>
      <c r="M1734">
        <v>10818.841988950277</v>
      </c>
      <c r="N1734">
        <v>24163.579999999998</v>
      </c>
      <c r="O1734">
        <v>10740.9139226519</v>
      </c>
      <c r="P1734">
        <f>SUMIF($F$1724:$F$1733,"&lt;&gt;EV_*",$P$1724:$P$1733)</f>
        <v>0</v>
      </c>
      <c r="Q1734">
        <f>SUMIF($F$1724:$F$1733,"&lt;&gt;EV_*",$Q$1724:$Q$1733)</f>
        <v>10740.9139226519</v>
      </c>
      <c r="R1734">
        <f>SUMIF($F$1724:$F$1733,"&lt;&gt;EV_*",$R$1724:$R$1733)</f>
        <v>33949.593922651897</v>
      </c>
      <c r="S1734">
        <f>SUMIF($F$1724:$F$1733,"&lt;&gt;EV_*",$S$1724:$S$1733)</f>
        <v>23208.68</v>
      </c>
      <c r="T1734">
        <v>0</v>
      </c>
      <c r="U1734">
        <f>SUMIF($F$1724:$F$1733,"&lt;&gt;EV_*",$U$1724:$U$1733)</f>
        <v>906.3</v>
      </c>
      <c r="V1734">
        <f>SUMIF($F$1724:$F$1733,"&lt;&gt;EV_*",$V$1724:$V$1733)</f>
        <v>34855.8939226519</v>
      </c>
      <c r="W1734">
        <f>SUMIF($F$1724:$F$1733,"&lt;&gt;EV_*",$W$1724:$W$1733)</f>
        <v>24114.98</v>
      </c>
      <c r="X1734">
        <f>SUMIF($F$1724:$F$1733,"&lt;&gt;EV_*",$X$1724:$X$1733)</f>
        <v>0</v>
      </c>
    </row>
    <row r="1735" spans="1:24" x14ac:dyDescent="0.25">
      <c r="A1735" t="s">
        <v>2025</v>
      </c>
      <c r="B1735" t="s">
        <v>2072</v>
      </c>
      <c r="C1735" t="s">
        <v>2073</v>
      </c>
      <c r="D1735" t="s">
        <v>201</v>
      </c>
      <c r="E1735" t="s">
        <v>5</v>
      </c>
      <c r="F1735" t="s">
        <v>5</v>
      </c>
      <c r="G1735" t="s">
        <v>793</v>
      </c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</row>
    <row r="1736" spans="1:24" x14ac:dyDescent="0.25">
      <c r="A1736" t="s">
        <v>2025</v>
      </c>
      <c r="B1736" t="s">
        <v>2072</v>
      </c>
      <c r="C1736" t="s">
        <v>2073</v>
      </c>
      <c r="D1736" t="s">
        <v>201</v>
      </c>
      <c r="E1736" t="s">
        <v>185</v>
      </c>
      <c r="F1736" t="s">
        <v>1</v>
      </c>
      <c r="G1736" t="s">
        <v>794</v>
      </c>
      <c r="H1736" t="s">
        <v>758</v>
      </c>
      <c r="I1736" t="s">
        <v>1</v>
      </c>
      <c r="J1736">
        <v>0</v>
      </c>
      <c r="K1736">
        <v>338460</v>
      </c>
      <c r="L1736">
        <v>169200</v>
      </c>
      <c r="M1736">
        <v>341204.41988950275</v>
      </c>
      <c r="N1736">
        <v>12100</v>
      </c>
      <c r="O1736">
        <v>338400</v>
      </c>
      <c r="P1736">
        <v>0</v>
      </c>
      <c r="Q1736">
        <f t="shared" ref="Q1736:Q1746" si="340">O1736+P1736</f>
        <v>338400</v>
      </c>
      <c r="R1736">
        <v>338460</v>
      </c>
      <c r="S1736">
        <f t="shared" ref="S1736:S1746" si="341">IF(OR(LEFT(E1736,2)="A_",LEFT(D1736,5)="Total"),R1736-Q1736,"")</f>
        <v>60</v>
      </c>
      <c r="T1736"/>
      <c r="U1736">
        <f t="shared" ref="U1736:U1746" si="342">IFERROR(R1736*T1736,R1736*0)</f>
        <v>0</v>
      </c>
      <c r="V1736">
        <f t="shared" ref="V1736:V1746" si="343">IF(OR(LEFT(E1736,2)="A_",LEFT(D1736,5)="Total"),R1736+U1736,"")</f>
        <v>338460</v>
      </c>
      <c r="W1736">
        <f t="shared" ref="W1736:W1746" si="344">IF(OR(LEFT(E1736,2)="A_",LEFT(D1736,5)="Total"),V1736-Q1736,"")</f>
        <v>60</v>
      </c>
      <c r="X1736" t="s">
        <v>1589</v>
      </c>
    </row>
    <row r="1737" spans="1:24" x14ac:dyDescent="0.25">
      <c r="A1737" t="s">
        <v>2025</v>
      </c>
      <c r="B1737" t="s">
        <v>2072</v>
      </c>
      <c r="C1737" t="s">
        <v>2073</v>
      </c>
      <c r="D1737" t="s">
        <v>201</v>
      </c>
      <c r="E1737" t="s">
        <v>8</v>
      </c>
      <c r="F1737" t="s">
        <v>1</v>
      </c>
      <c r="G1737" t="s">
        <v>794</v>
      </c>
      <c r="H1737" t="s">
        <v>408</v>
      </c>
      <c r="I1737" t="s">
        <v>1</v>
      </c>
      <c r="J1737">
        <v>1853.19</v>
      </c>
      <c r="K1737">
        <v>1664.1983425414001</v>
      </c>
      <c r="L1737">
        <v>642</v>
      </c>
      <c r="M1737">
        <v>1294.6408839779006</v>
      </c>
      <c r="N1737">
        <v>1669.93</v>
      </c>
      <c r="O1737">
        <v>1294.6408839779001</v>
      </c>
      <c r="P1737">
        <v>0</v>
      </c>
      <c r="Q1737">
        <f t="shared" si="340"/>
        <v>1294.6408839779001</v>
      </c>
      <c r="R1737">
        <v>1294.6408839779001</v>
      </c>
      <c r="S1737">
        <f t="shared" si="341"/>
        <v>0</v>
      </c>
      <c r="T1737"/>
      <c r="U1737">
        <f t="shared" si="342"/>
        <v>0</v>
      </c>
      <c r="V1737">
        <f t="shared" si="343"/>
        <v>1294.6408839779001</v>
      </c>
      <c r="W1737">
        <f t="shared" si="344"/>
        <v>0</v>
      </c>
      <c r="X1737">
        <v>0</v>
      </c>
    </row>
    <row r="1738" spans="1:24" x14ac:dyDescent="0.25">
      <c r="A1738" t="s">
        <v>2025</v>
      </c>
      <c r="B1738" t="s">
        <v>2072</v>
      </c>
      <c r="C1738" t="s">
        <v>2073</v>
      </c>
      <c r="D1738" t="s">
        <v>201</v>
      </c>
      <c r="E1738" t="s">
        <v>11</v>
      </c>
      <c r="F1738" t="s">
        <v>1</v>
      </c>
      <c r="G1738" t="s">
        <v>794</v>
      </c>
      <c r="H1738" t="s">
        <v>411</v>
      </c>
      <c r="I1738" t="s">
        <v>1</v>
      </c>
      <c r="J1738">
        <v>960.26</v>
      </c>
      <c r="K1738">
        <v>869.31</v>
      </c>
      <c r="L1738">
        <v>424.82</v>
      </c>
      <c r="M1738">
        <v>856.68121546961322</v>
      </c>
      <c r="N1738">
        <v>878.67000000000007</v>
      </c>
      <c r="O1738">
        <v>849.64</v>
      </c>
      <c r="P1738">
        <v>0</v>
      </c>
      <c r="Q1738">
        <f t="shared" si="340"/>
        <v>849.64</v>
      </c>
      <c r="R1738">
        <v>849.64</v>
      </c>
      <c r="S1738">
        <f t="shared" si="341"/>
        <v>0</v>
      </c>
      <c r="T1738"/>
      <c r="U1738">
        <f t="shared" si="342"/>
        <v>0</v>
      </c>
      <c r="V1738">
        <f t="shared" si="343"/>
        <v>849.64</v>
      </c>
      <c r="W1738">
        <f t="shared" si="344"/>
        <v>0</v>
      </c>
      <c r="X1738">
        <v>0</v>
      </c>
    </row>
    <row r="1739" spans="1:24" x14ac:dyDescent="0.25">
      <c r="A1739" t="s">
        <v>2025</v>
      </c>
      <c r="B1739" t="s">
        <v>2072</v>
      </c>
      <c r="C1739" t="s">
        <v>2073</v>
      </c>
      <c r="D1739" t="s">
        <v>201</v>
      </c>
      <c r="E1739" t="s">
        <v>18</v>
      </c>
      <c r="F1739" t="s">
        <v>1</v>
      </c>
      <c r="G1739" t="s">
        <v>794</v>
      </c>
      <c r="H1739" t="s">
        <v>418</v>
      </c>
      <c r="I1739" t="s">
        <v>1</v>
      </c>
      <c r="J1739">
        <v>30000</v>
      </c>
      <c r="K1739">
        <v>22954.886213096099</v>
      </c>
      <c r="L1739">
        <v>34500</v>
      </c>
      <c r="M1739">
        <v>69571.823204419881</v>
      </c>
      <c r="N1739">
        <v>57000</v>
      </c>
      <c r="O1739">
        <v>69379.120879120906</v>
      </c>
      <c r="P1739">
        <v>0</v>
      </c>
      <c r="Q1739">
        <f t="shared" si="340"/>
        <v>69379.120879120906</v>
      </c>
      <c r="R1739">
        <v>69379.120879120906</v>
      </c>
      <c r="S1739">
        <f t="shared" si="341"/>
        <v>0</v>
      </c>
      <c r="T1739">
        <v>0.02</v>
      </c>
      <c r="U1739">
        <f t="shared" si="342"/>
        <v>1387.5824175824182</v>
      </c>
      <c r="V1739">
        <f t="shared" si="343"/>
        <v>70766.70329670333</v>
      </c>
      <c r="W1739">
        <f t="shared" si="344"/>
        <v>1387.5824175824237</v>
      </c>
      <c r="X1739" t="s">
        <v>1590</v>
      </c>
    </row>
    <row r="1740" spans="1:24" x14ac:dyDescent="0.25">
      <c r="A1740" t="s">
        <v>2025</v>
      </c>
      <c r="B1740" t="s">
        <v>2072</v>
      </c>
      <c r="C1740" t="s">
        <v>2073</v>
      </c>
      <c r="D1740" t="s">
        <v>201</v>
      </c>
      <c r="E1740" t="s">
        <v>20</v>
      </c>
      <c r="F1740" t="s">
        <v>1</v>
      </c>
      <c r="G1740" t="s">
        <v>794</v>
      </c>
      <c r="H1740" t="s">
        <v>420</v>
      </c>
      <c r="I1740" t="s">
        <v>1</v>
      </c>
      <c r="J1740">
        <v>3395.91</v>
      </c>
      <c r="K1740">
        <v>3455.0160987656</v>
      </c>
      <c r="L1740">
        <v>2307.0300000000002</v>
      </c>
      <c r="M1740">
        <v>4652.2980662983427</v>
      </c>
      <c r="N1740">
        <v>3491.2200000000003</v>
      </c>
      <c r="O1740">
        <v>4639.4119780219999</v>
      </c>
      <c r="P1740">
        <v>0</v>
      </c>
      <c r="Q1740">
        <f t="shared" si="340"/>
        <v>4639.4119780219999</v>
      </c>
      <c r="R1740">
        <v>4639.4119780219999</v>
      </c>
      <c r="S1740">
        <f t="shared" si="341"/>
        <v>0</v>
      </c>
      <c r="T1740">
        <v>0.04</v>
      </c>
      <c r="U1740">
        <f t="shared" si="342"/>
        <v>185.57647912088001</v>
      </c>
      <c r="V1740">
        <f t="shared" si="343"/>
        <v>4824.9884571428802</v>
      </c>
      <c r="W1740">
        <f t="shared" si="344"/>
        <v>185.57647912088032</v>
      </c>
      <c r="X1740">
        <v>0</v>
      </c>
    </row>
    <row r="1741" spans="1:24" x14ac:dyDescent="0.25">
      <c r="A1741" t="s">
        <v>2025</v>
      </c>
      <c r="B1741" t="s">
        <v>2072</v>
      </c>
      <c r="C1741" t="s">
        <v>2073</v>
      </c>
      <c r="D1741" t="s">
        <v>201</v>
      </c>
      <c r="E1741" t="s">
        <v>28</v>
      </c>
      <c r="F1741" t="s">
        <v>1</v>
      </c>
      <c r="G1741" t="s">
        <v>794</v>
      </c>
      <c r="H1741" t="s">
        <v>428</v>
      </c>
      <c r="I1741" t="s">
        <v>1</v>
      </c>
      <c r="J1741">
        <v>201.76</v>
      </c>
      <c r="K1741">
        <v>140.00000000040001</v>
      </c>
      <c r="L1741">
        <v>0</v>
      </c>
      <c r="M1741">
        <v>0</v>
      </c>
      <c r="N1741">
        <v>95.88</v>
      </c>
      <c r="O1741"/>
      <c r="P1741">
        <v>0</v>
      </c>
      <c r="Q1741">
        <f t="shared" si="340"/>
        <v>0</v>
      </c>
      <c r="R1741">
        <v>0</v>
      </c>
      <c r="S1741">
        <f t="shared" si="341"/>
        <v>0</v>
      </c>
      <c r="T1741"/>
      <c r="U1741">
        <f t="shared" si="342"/>
        <v>0</v>
      </c>
      <c r="V1741">
        <f t="shared" si="343"/>
        <v>0</v>
      </c>
      <c r="W1741">
        <f t="shared" si="344"/>
        <v>0</v>
      </c>
      <c r="X1741">
        <v>0</v>
      </c>
    </row>
    <row r="1742" spans="1:24" x14ac:dyDescent="0.25">
      <c r="A1742" t="s">
        <v>2025</v>
      </c>
      <c r="B1742" t="s">
        <v>2072</v>
      </c>
      <c r="C1742" t="s">
        <v>2073</v>
      </c>
      <c r="D1742" t="s">
        <v>201</v>
      </c>
      <c r="E1742" t="s">
        <v>29</v>
      </c>
      <c r="F1742" t="s">
        <v>1</v>
      </c>
      <c r="G1742" t="s">
        <v>794</v>
      </c>
      <c r="H1742" t="s">
        <v>429</v>
      </c>
      <c r="I1742" t="s">
        <v>1</v>
      </c>
      <c r="J1742">
        <v>486.43</v>
      </c>
      <c r="K1742">
        <v>390</v>
      </c>
      <c r="L1742">
        <v>293.58</v>
      </c>
      <c r="M1742">
        <v>592.02596685082869</v>
      </c>
      <c r="N1742">
        <v>636.09</v>
      </c>
      <c r="O1742">
        <v>587.16</v>
      </c>
      <c r="P1742">
        <v>0</v>
      </c>
      <c r="Q1742">
        <f t="shared" si="340"/>
        <v>587.16</v>
      </c>
      <c r="R1742">
        <v>588</v>
      </c>
      <c r="S1742">
        <f t="shared" si="341"/>
        <v>0.84000000000003183</v>
      </c>
      <c r="T1742"/>
      <c r="U1742">
        <f t="shared" si="342"/>
        <v>0</v>
      </c>
      <c r="V1742">
        <f t="shared" si="343"/>
        <v>588</v>
      </c>
      <c r="W1742">
        <f t="shared" si="344"/>
        <v>0.84000000000003183</v>
      </c>
      <c r="X1742" t="s">
        <v>1591</v>
      </c>
    </row>
    <row r="1743" spans="1:24" x14ac:dyDescent="0.25">
      <c r="A1743" t="s">
        <v>2025</v>
      </c>
      <c r="B1743" t="s">
        <v>2072</v>
      </c>
      <c r="C1743" t="s">
        <v>2073</v>
      </c>
      <c r="D1743" t="s">
        <v>201</v>
      </c>
      <c r="E1743" t="s">
        <v>33</v>
      </c>
      <c r="F1743" t="s">
        <v>1</v>
      </c>
      <c r="G1743" t="s">
        <v>794</v>
      </c>
      <c r="H1743" t="s">
        <v>433</v>
      </c>
      <c r="I1743" t="s">
        <v>1</v>
      </c>
      <c r="J1743"/>
      <c r="K1743">
        <v>1160.1677436732</v>
      </c>
      <c r="L1743">
        <v>0</v>
      </c>
      <c r="M1743">
        <v>0</v>
      </c>
      <c r="N1743">
        <v>0</v>
      </c>
      <c r="O1743"/>
      <c r="P1743">
        <v>0</v>
      </c>
      <c r="Q1743">
        <f t="shared" si="340"/>
        <v>0</v>
      </c>
      <c r="R1743">
        <v>0</v>
      </c>
      <c r="S1743">
        <f t="shared" si="341"/>
        <v>0</v>
      </c>
      <c r="T1743"/>
      <c r="U1743">
        <f t="shared" si="342"/>
        <v>0</v>
      </c>
      <c r="V1743">
        <f t="shared" si="343"/>
        <v>0</v>
      </c>
      <c r="W1743">
        <f t="shared" si="344"/>
        <v>0</v>
      </c>
      <c r="X1743">
        <v>0</v>
      </c>
    </row>
    <row r="1744" spans="1:24" x14ac:dyDescent="0.25">
      <c r="A1744" t="s">
        <v>2025</v>
      </c>
      <c r="B1744" t="s">
        <v>2072</v>
      </c>
      <c r="C1744" t="s">
        <v>2073</v>
      </c>
      <c r="D1744" t="s">
        <v>201</v>
      </c>
      <c r="E1744" t="s">
        <v>75</v>
      </c>
      <c r="F1744" t="s">
        <v>1</v>
      </c>
      <c r="G1744" t="s">
        <v>794</v>
      </c>
      <c r="H1744" t="s">
        <v>492</v>
      </c>
      <c r="I1744" t="s">
        <v>1</v>
      </c>
      <c r="J1744">
        <v>22.06</v>
      </c>
      <c r="K1744"/>
      <c r="L1744">
        <v>0</v>
      </c>
      <c r="M1744">
        <v>0</v>
      </c>
      <c r="N1744">
        <v>22.06</v>
      </c>
      <c r="O1744"/>
      <c r="P1744">
        <v>0</v>
      </c>
      <c r="Q1744">
        <f t="shared" si="340"/>
        <v>0</v>
      </c>
      <c r="R1744">
        <v>0</v>
      </c>
      <c r="S1744">
        <f t="shared" si="341"/>
        <v>0</v>
      </c>
      <c r="T1744">
        <v>3.2500000000000001E-2</v>
      </c>
      <c r="U1744">
        <f t="shared" si="342"/>
        <v>0</v>
      </c>
      <c r="V1744">
        <f t="shared" si="343"/>
        <v>0</v>
      </c>
      <c r="W1744">
        <f t="shared" si="344"/>
        <v>0</v>
      </c>
      <c r="X1744">
        <v>0</v>
      </c>
    </row>
    <row r="1745" spans="1:24" x14ac:dyDescent="0.25">
      <c r="A1745" t="s">
        <v>2025</v>
      </c>
      <c r="B1745" t="s">
        <v>2072</v>
      </c>
      <c r="C1745" t="s">
        <v>2073</v>
      </c>
      <c r="D1745" t="s">
        <v>201</v>
      </c>
      <c r="E1745" t="s">
        <v>76</v>
      </c>
      <c r="F1745" t="s">
        <v>1</v>
      </c>
      <c r="G1745" t="s">
        <v>794</v>
      </c>
      <c r="H1745" t="s">
        <v>493</v>
      </c>
      <c r="I1745" t="s">
        <v>1</v>
      </c>
      <c r="J1745">
        <v>2400</v>
      </c>
      <c r="K1745"/>
      <c r="L1745">
        <v>2400</v>
      </c>
      <c r="M1745">
        <v>4839.7790055248615</v>
      </c>
      <c r="N1745">
        <v>4800</v>
      </c>
      <c r="O1745">
        <v>4800</v>
      </c>
      <c r="P1745">
        <v>0</v>
      </c>
      <c r="Q1745">
        <f t="shared" si="340"/>
        <v>4800</v>
      </c>
      <c r="R1745">
        <v>4800</v>
      </c>
      <c r="S1745">
        <f t="shared" si="341"/>
        <v>0</v>
      </c>
      <c r="T1745">
        <v>0.03</v>
      </c>
      <c r="U1745">
        <f t="shared" si="342"/>
        <v>144</v>
      </c>
      <c r="V1745">
        <f t="shared" si="343"/>
        <v>4944</v>
      </c>
      <c r="W1745">
        <f t="shared" si="344"/>
        <v>144</v>
      </c>
      <c r="X1745" t="s">
        <v>1592</v>
      </c>
    </row>
    <row r="1746" spans="1:24" x14ac:dyDescent="0.25">
      <c r="A1746" t="s">
        <v>2025</v>
      </c>
      <c r="B1746" t="s">
        <v>2072</v>
      </c>
      <c r="C1746" t="s">
        <v>2073</v>
      </c>
      <c r="D1746" t="s">
        <v>201</v>
      </c>
      <c r="E1746" t="s">
        <v>41</v>
      </c>
      <c r="F1746" t="s">
        <v>1</v>
      </c>
      <c r="G1746" t="s">
        <v>794</v>
      </c>
      <c r="H1746" t="s">
        <v>441</v>
      </c>
      <c r="I1746" t="s">
        <v>1</v>
      </c>
      <c r="J1746">
        <v>59.57</v>
      </c>
      <c r="K1746">
        <v>117.01664707320001</v>
      </c>
      <c r="L1746">
        <v>0</v>
      </c>
      <c r="M1746">
        <v>0</v>
      </c>
      <c r="N1746">
        <v>0</v>
      </c>
      <c r="O1746"/>
      <c r="P1746">
        <v>0</v>
      </c>
      <c r="Q1746">
        <f t="shared" si="340"/>
        <v>0</v>
      </c>
      <c r="R1746">
        <v>0</v>
      </c>
      <c r="S1746">
        <f t="shared" si="341"/>
        <v>0</v>
      </c>
      <c r="T1746">
        <v>0.03</v>
      </c>
      <c r="U1746">
        <f t="shared" si="342"/>
        <v>0</v>
      </c>
      <c r="V1746">
        <f t="shared" si="343"/>
        <v>0</v>
      </c>
      <c r="W1746">
        <f t="shared" si="344"/>
        <v>0</v>
      </c>
      <c r="X1746">
        <v>0</v>
      </c>
    </row>
    <row r="1747" spans="1:24" x14ac:dyDescent="0.25">
      <c r="A1747" t="s">
        <v>2025</v>
      </c>
      <c r="B1747" t="s">
        <v>2072</v>
      </c>
      <c r="C1747" t="s">
        <v>2073</v>
      </c>
      <c r="D1747" t="s">
        <v>201</v>
      </c>
      <c r="E1747" t="s">
        <v>51</v>
      </c>
      <c r="F1747" t="s">
        <v>51</v>
      </c>
      <c r="G1747" t="s">
        <v>795</v>
      </c>
      <c r="H1747"/>
      <c r="I1747"/>
      <c r="J1747">
        <v>39379.18</v>
      </c>
      <c r="K1747">
        <v>369210.59504514991</v>
      </c>
      <c r="L1747">
        <v>209767.43</v>
      </c>
      <c r="M1747">
        <v>423011.66823204415</v>
      </c>
      <c r="N1747">
        <v>80693.850000000006</v>
      </c>
      <c r="O1747">
        <v>419949.97374112078</v>
      </c>
      <c r="P1747">
        <f>SUMIF($F$1735:$F$1746,"&lt;&gt;EV_*",$P$1735:$P$1746)</f>
        <v>0</v>
      </c>
      <c r="Q1747">
        <f>SUMIF($F$1735:$F$1746,"&lt;&gt;EV_*",$Q$1735:$Q$1746)</f>
        <v>419949.97374112078</v>
      </c>
      <c r="R1747">
        <f>SUMIF($F$1735:$F$1746,"&lt;&gt;EV_*",$R$1735:$R$1746)</f>
        <v>420010.8137411208</v>
      </c>
      <c r="S1747">
        <f>SUMIF($F$1735:$F$1746,"&lt;&gt;EV_*",$S$1735:$S$1746)</f>
        <v>60.840000000000032</v>
      </c>
      <c r="T1747">
        <v>0</v>
      </c>
      <c r="U1747">
        <f>SUMIF($F$1735:$F$1746,"&lt;&gt;EV_*",$U$1735:$U$1746)</f>
        <v>1717.1588967032983</v>
      </c>
      <c r="V1747">
        <f>SUMIF($F$1735:$F$1746,"&lt;&gt;EV_*",$V$1735:$V$1746)</f>
        <v>421727.97263782413</v>
      </c>
      <c r="W1747">
        <f>SUMIF($F$1735:$F$1746,"&lt;&gt;EV_*",$W$1735:$W$1746)</f>
        <v>1777.9988967033041</v>
      </c>
      <c r="X1747">
        <f>SUMIF($F$1735:$F$1746,"&lt;&gt;EV_*",$X$1735:$X$1746)</f>
        <v>0</v>
      </c>
    </row>
    <row r="1748" spans="1:24" x14ac:dyDescent="0.25">
      <c r="A1748" t="s">
        <v>2025</v>
      </c>
      <c r="B1748" t="s">
        <v>2026</v>
      </c>
      <c r="C1748" t="s">
        <v>2074</v>
      </c>
      <c r="D1748" t="s">
        <v>202</v>
      </c>
      <c r="E1748" t="s">
        <v>5</v>
      </c>
      <c r="F1748" t="s">
        <v>5</v>
      </c>
      <c r="G1748" t="s">
        <v>796</v>
      </c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</row>
    <row r="1749" spans="1:24" x14ac:dyDescent="0.25">
      <c r="A1749" t="s">
        <v>2025</v>
      </c>
      <c r="B1749" t="s">
        <v>2026</v>
      </c>
      <c r="C1749" t="s">
        <v>2074</v>
      </c>
      <c r="D1749" t="s">
        <v>202</v>
      </c>
      <c r="E1749" t="s">
        <v>18</v>
      </c>
      <c r="F1749" t="s">
        <v>1</v>
      </c>
      <c r="G1749" t="s">
        <v>797</v>
      </c>
      <c r="H1749" t="s">
        <v>418</v>
      </c>
      <c r="I1749" t="s">
        <v>1</v>
      </c>
      <c r="J1749"/>
      <c r="K1749"/>
      <c r="L1749">
        <v>283.11</v>
      </c>
      <c r="M1749">
        <v>570.91243093922651</v>
      </c>
      <c r="N1749">
        <v>283.11</v>
      </c>
      <c r="O1749">
        <v>569.33109890109995</v>
      </c>
      <c r="P1749">
        <v>0</v>
      </c>
      <c r="Q1749">
        <f>O1749+P1749</f>
        <v>569.33109890109995</v>
      </c>
      <c r="R1749">
        <v>0</v>
      </c>
      <c r="S1749">
        <f>IF(OR(LEFT(E1749,2)="A_",LEFT(D1749,5)="Total"),R1749-Q1749,"")</f>
        <v>-569.33109890109995</v>
      </c>
      <c r="T1749">
        <v>0.02</v>
      </c>
      <c r="U1749">
        <f>IFERROR(R1749*T1749,R1749*0)</f>
        <v>0</v>
      </c>
      <c r="V1749">
        <f>IF(OR(LEFT(E1749,2)="A_",LEFT(D1749,5)="Total"),R1749+U1749,"")</f>
        <v>0</v>
      </c>
      <c r="W1749">
        <f>IF(OR(LEFT(E1749,2)="A_",LEFT(D1749,5)="Total"),V1749-Q1749,"")</f>
        <v>-569.33109890109995</v>
      </c>
      <c r="X1749" t="s">
        <v>1593</v>
      </c>
    </row>
    <row r="1750" spans="1:24" x14ac:dyDescent="0.25">
      <c r="A1750" t="s">
        <v>2025</v>
      </c>
      <c r="B1750" t="s">
        <v>2026</v>
      </c>
      <c r="C1750" t="s">
        <v>2074</v>
      </c>
      <c r="D1750" t="s">
        <v>202</v>
      </c>
      <c r="E1750" t="s">
        <v>27</v>
      </c>
      <c r="F1750" t="s">
        <v>1</v>
      </c>
      <c r="G1750" t="s">
        <v>797</v>
      </c>
      <c r="H1750" t="s">
        <v>427</v>
      </c>
      <c r="I1750" t="s">
        <v>1</v>
      </c>
      <c r="J1750">
        <v>3376.9</v>
      </c>
      <c r="K1750">
        <v>3420</v>
      </c>
      <c r="L1750">
        <v>1215.3800000000001</v>
      </c>
      <c r="M1750">
        <v>2450.9044198895031</v>
      </c>
      <c r="N1750">
        <v>2568.4800000000005</v>
      </c>
      <c r="O1750">
        <v>2430.7600000000002</v>
      </c>
      <c r="P1750">
        <v>0</v>
      </c>
      <c r="Q1750">
        <f>O1750+P1750</f>
        <v>2430.7600000000002</v>
      </c>
      <c r="R1750">
        <v>2430.7600000000002</v>
      </c>
      <c r="S1750">
        <f>IF(OR(LEFT(E1750,2)="A_",LEFT(D1750,5)="Total"),R1750-Q1750,"")</f>
        <v>0</v>
      </c>
      <c r="T1750"/>
      <c r="U1750">
        <f>IFERROR(R1750*T1750,R1750*0)</f>
        <v>0</v>
      </c>
      <c r="V1750">
        <f>IF(OR(LEFT(E1750,2)="A_",LEFT(D1750,5)="Total"),R1750+U1750,"")</f>
        <v>2430.7600000000002</v>
      </c>
      <c r="W1750">
        <f>IF(OR(LEFT(E1750,2)="A_",LEFT(D1750,5)="Total"),V1750-Q1750,"")</f>
        <v>0</v>
      </c>
      <c r="X1750" t="s">
        <v>1593</v>
      </c>
    </row>
    <row r="1751" spans="1:24" x14ac:dyDescent="0.25">
      <c r="A1751" t="s">
        <v>2025</v>
      </c>
      <c r="B1751" t="s">
        <v>2026</v>
      </c>
      <c r="C1751" t="s">
        <v>2074</v>
      </c>
      <c r="D1751" t="s">
        <v>202</v>
      </c>
      <c r="E1751" t="s">
        <v>51</v>
      </c>
      <c r="F1751" t="s">
        <v>51</v>
      </c>
      <c r="G1751" t="s">
        <v>798</v>
      </c>
      <c r="H1751"/>
      <c r="I1751"/>
      <c r="J1751">
        <v>3376.9</v>
      </c>
      <c r="K1751">
        <v>3420</v>
      </c>
      <c r="L1751">
        <v>1498.4900000000002</v>
      </c>
      <c r="M1751">
        <v>3021.8168508287295</v>
      </c>
      <c r="N1751">
        <v>2851.5900000000006</v>
      </c>
      <c r="O1751">
        <v>3000.0910989010999</v>
      </c>
      <c r="P1751">
        <f>SUMIF($F$1748:$F$1750,"&lt;&gt;EV_*",$P$1748:$P$1750)</f>
        <v>0</v>
      </c>
      <c r="Q1751">
        <f>SUMIF($F$1748:$F$1750,"&lt;&gt;EV_*",$Q$1748:$Q$1750)</f>
        <v>3000.0910989010999</v>
      </c>
      <c r="R1751">
        <f>SUMIF($F$1748:$F$1750,"&lt;&gt;EV_*",$R$1748:$R$1750)</f>
        <v>2430.7600000000002</v>
      </c>
      <c r="S1751">
        <f>SUMIF($F$1748:$F$1750,"&lt;&gt;EV_*",$S$1748:$S$1750)</f>
        <v>-569.33109890109995</v>
      </c>
      <c r="T1751">
        <v>0</v>
      </c>
      <c r="U1751">
        <f>SUMIF($F$1748:$F$1750,"&lt;&gt;EV_*",$U$1748:$U$1750)</f>
        <v>0</v>
      </c>
      <c r="V1751">
        <f>SUMIF($F$1748:$F$1750,"&lt;&gt;EV_*",$V$1748:$V$1750)</f>
        <v>2430.7600000000002</v>
      </c>
      <c r="W1751">
        <f>SUMIF($F$1748:$F$1750,"&lt;&gt;EV_*",$W$1748:$W$1750)</f>
        <v>-569.33109890109995</v>
      </c>
      <c r="X1751">
        <f>SUMIF($F$1748:$F$1750,"&lt;&gt;EV_*",$X$1748:$X$1750)</f>
        <v>0</v>
      </c>
    </row>
    <row r="1752" spans="1:24" x14ac:dyDescent="0.25">
      <c r="A1752" t="s">
        <v>1948</v>
      </c>
      <c r="B1752" t="s">
        <v>1946</v>
      </c>
      <c r="C1752" t="s">
        <v>2075</v>
      </c>
      <c r="D1752" t="s">
        <v>203</v>
      </c>
      <c r="E1752" t="s">
        <v>5</v>
      </c>
      <c r="F1752" t="s">
        <v>5</v>
      </c>
      <c r="G1752" t="s">
        <v>799</v>
      </c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</row>
    <row r="1753" spans="1:24" x14ac:dyDescent="0.25">
      <c r="A1753" t="s">
        <v>1948</v>
      </c>
      <c r="B1753" t="s">
        <v>1946</v>
      </c>
      <c r="C1753" t="s">
        <v>2075</v>
      </c>
      <c r="D1753" t="s">
        <v>203</v>
      </c>
      <c r="E1753" t="s">
        <v>11</v>
      </c>
      <c r="F1753" t="s">
        <v>1</v>
      </c>
      <c r="G1753" t="s">
        <v>800</v>
      </c>
      <c r="H1753" t="s">
        <v>411</v>
      </c>
      <c r="I1753" t="s">
        <v>1</v>
      </c>
      <c r="J1753">
        <v>7674.53</v>
      </c>
      <c r="K1753">
        <v>5266.5</v>
      </c>
      <c r="L1753">
        <v>3383.61</v>
      </c>
      <c r="M1753">
        <v>6823.3019337016576</v>
      </c>
      <c r="N1753">
        <v>7160.03</v>
      </c>
      <c r="O1753">
        <v>6767.22</v>
      </c>
      <c r="P1753">
        <v>0</v>
      </c>
      <c r="Q1753">
        <f>O1753+P1753</f>
        <v>6767.22</v>
      </c>
      <c r="R1753">
        <v>6767.22</v>
      </c>
      <c r="S1753">
        <f>IF(OR(LEFT(E1753,2)="A_",LEFT(D1753,5)="Total"),R1753-Q1753,"")</f>
        <v>0</v>
      </c>
      <c r="T1753"/>
      <c r="U1753">
        <f>IFERROR(R1753*T1753,R1753*0)</f>
        <v>0</v>
      </c>
      <c r="V1753">
        <f>IF(OR(LEFT(E1753,2)="A_",LEFT(D1753,5)="Total"),R1753+U1753,"")</f>
        <v>6767.22</v>
      </c>
      <c r="W1753">
        <f>IF(OR(LEFT(E1753,2)="A_",LEFT(D1753,5)="Total"),V1753-Q1753,"")</f>
        <v>0</v>
      </c>
      <c r="X1753">
        <v>0</v>
      </c>
    </row>
    <row r="1754" spans="1:24" x14ac:dyDescent="0.25">
      <c r="A1754" t="s">
        <v>1948</v>
      </c>
      <c r="B1754" t="s">
        <v>1946</v>
      </c>
      <c r="C1754" t="s">
        <v>2075</v>
      </c>
      <c r="D1754" t="s">
        <v>203</v>
      </c>
      <c r="E1754" t="s">
        <v>51</v>
      </c>
      <c r="F1754" t="s">
        <v>51</v>
      </c>
      <c r="G1754" t="s">
        <v>801</v>
      </c>
      <c r="H1754"/>
      <c r="I1754"/>
      <c r="J1754">
        <v>7674.53</v>
      </c>
      <c r="K1754">
        <v>5266.5</v>
      </c>
      <c r="L1754">
        <v>3383.61</v>
      </c>
      <c r="M1754">
        <v>6823.3019337016576</v>
      </c>
      <c r="N1754">
        <v>7160.03</v>
      </c>
      <c r="O1754">
        <v>6767.22</v>
      </c>
      <c r="P1754">
        <f>SUMIF($F$1752:$F$1753,"&lt;&gt;EV_*",$P$1752:$P$1753)</f>
        <v>0</v>
      </c>
      <c r="Q1754">
        <f>SUMIF($F$1752:$F$1753,"&lt;&gt;EV_*",$Q$1752:$Q$1753)</f>
        <v>6767.22</v>
      </c>
      <c r="R1754">
        <f>SUMIF($F$1752:$F$1753,"&lt;&gt;EV_*",$R$1752:$R$1753)</f>
        <v>6767.22</v>
      </c>
      <c r="S1754">
        <f>SUMIF($F$1752:$F$1753,"&lt;&gt;EV_*",$S$1752:$S$1753)</f>
        <v>0</v>
      </c>
      <c r="T1754">
        <v>0</v>
      </c>
      <c r="U1754">
        <f>SUMIF($F$1752:$F$1753,"&lt;&gt;EV_*",$U$1752:$U$1753)</f>
        <v>0</v>
      </c>
      <c r="V1754">
        <f>SUMIF($F$1752:$F$1753,"&lt;&gt;EV_*",$V$1752:$V$1753)</f>
        <v>6767.22</v>
      </c>
      <c r="W1754">
        <f>SUMIF($F$1752:$F$1753,"&lt;&gt;EV_*",$W$1752:$W$1753)</f>
        <v>0</v>
      </c>
      <c r="X1754">
        <f>SUMIF($F$1752:$F$1753,"&lt;&gt;EV_*",$X$1752:$X$1753)</f>
        <v>0</v>
      </c>
    </row>
    <row r="1755" spans="1:24" x14ac:dyDescent="0.25">
      <c r="A1755" t="s">
        <v>1948</v>
      </c>
      <c r="B1755" t="s">
        <v>2076</v>
      </c>
      <c r="C1755" t="s">
        <v>2077</v>
      </c>
      <c r="D1755" t="s">
        <v>204</v>
      </c>
      <c r="E1755" t="s">
        <v>5</v>
      </c>
      <c r="F1755" t="s">
        <v>5</v>
      </c>
      <c r="G1755" t="s">
        <v>802</v>
      </c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</row>
    <row r="1756" spans="1:24" x14ac:dyDescent="0.25">
      <c r="A1756" t="s">
        <v>1948</v>
      </c>
      <c r="B1756" t="s">
        <v>2076</v>
      </c>
      <c r="C1756" t="s">
        <v>2077</v>
      </c>
      <c r="D1756" t="s">
        <v>204</v>
      </c>
      <c r="E1756" t="s">
        <v>8</v>
      </c>
      <c r="F1756" t="s">
        <v>1</v>
      </c>
      <c r="G1756" t="s">
        <v>803</v>
      </c>
      <c r="H1756" t="s">
        <v>408</v>
      </c>
      <c r="I1756" t="s">
        <v>1</v>
      </c>
      <c r="J1756">
        <v>896.28</v>
      </c>
      <c r="K1756">
        <v>1127.7895027622001</v>
      </c>
      <c r="L1756">
        <v>59.98</v>
      </c>
      <c r="M1756">
        <v>120.95414364640884</v>
      </c>
      <c r="N1756">
        <v>396.99999999999994</v>
      </c>
      <c r="O1756">
        <v>120.9541436464</v>
      </c>
      <c r="P1756">
        <v>0</v>
      </c>
      <c r="Q1756">
        <f t="shared" ref="Q1756:Q1782" si="345">O1756+P1756</f>
        <v>120.9541436464</v>
      </c>
      <c r="R1756">
        <v>0</v>
      </c>
      <c r="S1756">
        <f t="shared" ref="S1756:S1782" si="346">IF(OR(LEFT(E1756,2)="A_",LEFT(D1756,5)="Total"),R1756-Q1756,"")</f>
        <v>-120.9541436464</v>
      </c>
      <c r="T1756"/>
      <c r="U1756">
        <f t="shared" ref="U1756:U1782" si="347">IFERROR(R1756*T1756,R1756*0)</f>
        <v>0</v>
      </c>
      <c r="V1756">
        <f t="shared" ref="V1756:V1782" si="348">IF(OR(LEFT(E1756,2)="A_",LEFT(D1756,5)="Total"),R1756+U1756,"")</f>
        <v>0</v>
      </c>
      <c r="W1756">
        <f t="shared" ref="W1756:W1782" si="349">IF(OR(LEFT(E1756,2)="A_",LEFT(D1756,5)="Total"),V1756-Q1756,"")</f>
        <v>-120.9541436464</v>
      </c>
      <c r="X1756" t="s">
        <v>1560</v>
      </c>
    </row>
    <row r="1757" spans="1:24" x14ac:dyDescent="0.25">
      <c r="A1757" t="s">
        <v>1948</v>
      </c>
      <c r="B1757" t="s">
        <v>2076</v>
      </c>
      <c r="C1757" t="s">
        <v>2077</v>
      </c>
      <c r="D1757" t="s">
        <v>204</v>
      </c>
      <c r="E1757" t="s">
        <v>12</v>
      </c>
      <c r="F1757" t="s">
        <v>1</v>
      </c>
      <c r="G1757" t="s">
        <v>803</v>
      </c>
      <c r="H1757" t="s">
        <v>412</v>
      </c>
      <c r="I1757" t="s">
        <v>1</v>
      </c>
      <c r="J1757"/>
      <c r="K1757"/>
      <c r="L1757">
        <v>236</v>
      </c>
      <c r="M1757">
        <v>475.91160220994476</v>
      </c>
      <c r="N1757">
        <v>236</v>
      </c>
      <c r="O1757">
        <v>472</v>
      </c>
      <c r="P1757">
        <v>0</v>
      </c>
      <c r="Q1757">
        <f t="shared" si="345"/>
        <v>472</v>
      </c>
      <c r="R1757">
        <v>39847</v>
      </c>
      <c r="S1757">
        <f t="shared" si="346"/>
        <v>39375</v>
      </c>
      <c r="T1757"/>
      <c r="U1757">
        <f t="shared" si="347"/>
        <v>0</v>
      </c>
      <c r="V1757">
        <f t="shared" si="348"/>
        <v>39847</v>
      </c>
      <c r="W1757">
        <f t="shared" si="349"/>
        <v>39375</v>
      </c>
      <c r="X1757" t="s">
        <v>1299</v>
      </c>
    </row>
    <row r="1758" spans="1:24" x14ac:dyDescent="0.25">
      <c r="A1758" t="s">
        <v>1948</v>
      </c>
      <c r="B1758" t="s">
        <v>2076</v>
      </c>
      <c r="C1758" t="s">
        <v>2077</v>
      </c>
      <c r="D1758" t="s">
        <v>204</v>
      </c>
      <c r="E1758" t="s">
        <v>17</v>
      </c>
      <c r="F1758" t="s">
        <v>1</v>
      </c>
      <c r="G1758" t="s">
        <v>803</v>
      </c>
      <c r="H1758" t="s">
        <v>417</v>
      </c>
      <c r="I1758" t="s">
        <v>1</v>
      </c>
      <c r="J1758">
        <v>-36157.85</v>
      </c>
      <c r="K1758">
        <v>-3339.9999999999</v>
      </c>
      <c r="L1758">
        <v>-42346.28</v>
      </c>
      <c r="M1758">
        <v>-85394.432044198882</v>
      </c>
      <c r="N1758">
        <v>-77484.78</v>
      </c>
      <c r="O1758">
        <v>-85157.903736263703</v>
      </c>
      <c r="P1758">
        <v>0</v>
      </c>
      <c r="Q1758">
        <f t="shared" si="345"/>
        <v>-85157.903736263703</v>
      </c>
      <c r="R1758">
        <v>-85157.903736263703</v>
      </c>
      <c r="S1758">
        <f t="shared" si="346"/>
        <v>0</v>
      </c>
      <c r="T1758"/>
      <c r="U1758">
        <f t="shared" si="347"/>
        <v>0</v>
      </c>
      <c r="V1758">
        <f t="shared" si="348"/>
        <v>-85157.903736263703</v>
      </c>
      <c r="W1758">
        <f t="shared" si="349"/>
        <v>0</v>
      </c>
      <c r="X1758">
        <v>0</v>
      </c>
    </row>
    <row r="1759" spans="1:24" x14ac:dyDescent="0.25">
      <c r="A1759" t="s">
        <v>1948</v>
      </c>
      <c r="B1759" t="s">
        <v>2076</v>
      </c>
      <c r="C1759" t="s">
        <v>2077</v>
      </c>
      <c r="D1759" t="s">
        <v>204</v>
      </c>
      <c r="E1759" t="s">
        <v>82</v>
      </c>
      <c r="F1759" t="s">
        <v>1</v>
      </c>
      <c r="G1759" t="s">
        <v>803</v>
      </c>
      <c r="H1759" t="s">
        <v>507</v>
      </c>
      <c r="I1759" t="s">
        <v>1</v>
      </c>
      <c r="J1759">
        <v>718.23</v>
      </c>
      <c r="K1759">
        <v>1108.4904675925</v>
      </c>
      <c r="L1759">
        <v>34.299999999999997</v>
      </c>
      <c r="M1759">
        <v>69.168508287292809</v>
      </c>
      <c r="N1759">
        <v>391.18</v>
      </c>
      <c r="O1759">
        <v>68.976923076899993</v>
      </c>
      <c r="P1759">
        <v>0</v>
      </c>
      <c r="Q1759">
        <f t="shared" si="345"/>
        <v>68.976923076899993</v>
      </c>
      <c r="R1759">
        <v>68.976923076899993</v>
      </c>
      <c r="S1759">
        <f t="shared" si="346"/>
        <v>0</v>
      </c>
      <c r="T1759">
        <v>2.75E-2</v>
      </c>
      <c r="U1759">
        <f t="shared" si="347"/>
        <v>1.8968653846147498</v>
      </c>
      <c r="V1759">
        <f t="shared" si="348"/>
        <v>70.873788461514749</v>
      </c>
      <c r="W1759">
        <f t="shared" si="349"/>
        <v>1.8968653846147561</v>
      </c>
      <c r="X1759" t="s">
        <v>1594</v>
      </c>
    </row>
    <row r="1760" spans="1:24" x14ac:dyDescent="0.25">
      <c r="A1760" t="s">
        <v>1948</v>
      </c>
      <c r="B1760" t="s">
        <v>2076</v>
      </c>
      <c r="C1760" t="s">
        <v>2077</v>
      </c>
      <c r="D1760" t="s">
        <v>204</v>
      </c>
      <c r="E1760" t="s">
        <v>18</v>
      </c>
      <c r="F1760" t="s">
        <v>1</v>
      </c>
      <c r="G1760" t="s">
        <v>803</v>
      </c>
      <c r="H1760" t="s">
        <v>418</v>
      </c>
      <c r="I1760" t="s">
        <v>1</v>
      </c>
      <c r="J1760">
        <v>5634.3</v>
      </c>
      <c r="K1760">
        <v>7172.2888995646999</v>
      </c>
      <c r="L1760">
        <v>3179.85</v>
      </c>
      <c r="M1760">
        <v>6412.4046961325957</v>
      </c>
      <c r="N1760">
        <v>5489.38</v>
      </c>
      <c r="O1760">
        <v>6394.6434065934</v>
      </c>
      <c r="P1760">
        <v>0</v>
      </c>
      <c r="Q1760">
        <f t="shared" si="345"/>
        <v>6394.6434065934</v>
      </c>
      <c r="R1760">
        <v>6394.6434065934</v>
      </c>
      <c r="S1760">
        <f t="shared" si="346"/>
        <v>0</v>
      </c>
      <c r="T1760">
        <v>0.02</v>
      </c>
      <c r="U1760">
        <f t="shared" si="347"/>
        <v>127.892868131868</v>
      </c>
      <c r="V1760">
        <f t="shared" si="348"/>
        <v>6522.5362747252675</v>
      </c>
      <c r="W1760">
        <f t="shared" si="349"/>
        <v>127.89286813186754</v>
      </c>
      <c r="X1760" t="s">
        <v>1595</v>
      </c>
    </row>
    <row r="1761" spans="1:24" x14ac:dyDescent="0.25">
      <c r="A1761" t="s">
        <v>1948</v>
      </c>
      <c r="B1761" t="s">
        <v>2076</v>
      </c>
      <c r="C1761" t="s">
        <v>2077</v>
      </c>
      <c r="D1761" t="s">
        <v>204</v>
      </c>
      <c r="E1761" t="s">
        <v>57</v>
      </c>
      <c r="F1761" t="s">
        <v>1</v>
      </c>
      <c r="G1761" t="s">
        <v>803</v>
      </c>
      <c r="H1761" t="s">
        <v>462</v>
      </c>
      <c r="I1761" t="s">
        <v>1</v>
      </c>
      <c r="J1761">
        <v>52.86</v>
      </c>
      <c r="K1761"/>
      <c r="L1761">
        <v>0</v>
      </c>
      <c r="M1761">
        <v>0</v>
      </c>
      <c r="N1761">
        <v>39.549999999999997</v>
      </c>
      <c r="O1761"/>
      <c r="P1761">
        <v>0</v>
      </c>
      <c r="Q1761">
        <f t="shared" si="345"/>
        <v>0</v>
      </c>
      <c r="R1761">
        <v>0</v>
      </c>
      <c r="S1761">
        <f t="shared" si="346"/>
        <v>0</v>
      </c>
      <c r="T1761">
        <v>0.04</v>
      </c>
      <c r="U1761">
        <f t="shared" si="347"/>
        <v>0</v>
      </c>
      <c r="V1761">
        <f t="shared" si="348"/>
        <v>0</v>
      </c>
      <c r="W1761">
        <f t="shared" si="349"/>
        <v>0</v>
      </c>
      <c r="X1761">
        <v>0</v>
      </c>
    </row>
    <row r="1762" spans="1:24" x14ac:dyDescent="0.25">
      <c r="A1762" t="s">
        <v>1948</v>
      </c>
      <c r="B1762" t="s">
        <v>2076</v>
      </c>
      <c r="C1762" t="s">
        <v>2077</v>
      </c>
      <c r="D1762" t="s">
        <v>204</v>
      </c>
      <c r="E1762" t="s">
        <v>189</v>
      </c>
      <c r="F1762" t="s">
        <v>1</v>
      </c>
      <c r="G1762" t="s">
        <v>803</v>
      </c>
      <c r="H1762" t="s">
        <v>768</v>
      </c>
      <c r="I1762" t="s">
        <v>1</v>
      </c>
      <c r="J1762">
        <v>120.7</v>
      </c>
      <c r="K1762"/>
      <c r="L1762">
        <v>0</v>
      </c>
      <c r="M1762">
        <v>0</v>
      </c>
      <c r="N1762">
        <v>120.7</v>
      </c>
      <c r="O1762"/>
      <c r="P1762">
        <v>0</v>
      </c>
      <c r="Q1762">
        <f t="shared" si="345"/>
        <v>0</v>
      </c>
      <c r="R1762">
        <v>0</v>
      </c>
      <c r="S1762">
        <f t="shared" si="346"/>
        <v>0</v>
      </c>
      <c r="T1762">
        <v>0.04</v>
      </c>
      <c r="U1762">
        <f t="shared" si="347"/>
        <v>0</v>
      </c>
      <c r="V1762">
        <f t="shared" si="348"/>
        <v>0</v>
      </c>
      <c r="W1762">
        <f t="shared" si="349"/>
        <v>0</v>
      </c>
      <c r="X1762">
        <v>0</v>
      </c>
    </row>
    <row r="1763" spans="1:24" x14ac:dyDescent="0.25">
      <c r="A1763" t="s">
        <v>1948</v>
      </c>
      <c r="B1763" t="s">
        <v>2076</v>
      </c>
      <c r="C1763" t="s">
        <v>2077</v>
      </c>
      <c r="D1763" t="s">
        <v>204</v>
      </c>
      <c r="E1763" t="s">
        <v>73</v>
      </c>
      <c r="F1763" t="s">
        <v>1</v>
      </c>
      <c r="G1763" t="s">
        <v>803</v>
      </c>
      <c r="H1763" t="s">
        <v>490</v>
      </c>
      <c r="I1763" t="s">
        <v>1</v>
      </c>
      <c r="J1763">
        <v>344.13</v>
      </c>
      <c r="K1763"/>
      <c r="L1763">
        <v>568.58000000000004</v>
      </c>
      <c r="M1763">
        <v>1146.5839779005526</v>
      </c>
      <c r="N1763">
        <v>775.91000000000008</v>
      </c>
      <c r="O1763">
        <v>1143.4081318681001</v>
      </c>
      <c r="P1763">
        <v>0</v>
      </c>
      <c r="Q1763">
        <f t="shared" si="345"/>
        <v>1143.4081318681001</v>
      </c>
      <c r="R1763">
        <v>1143.4081318681001</v>
      </c>
      <c r="S1763">
        <f t="shared" si="346"/>
        <v>0</v>
      </c>
      <c r="T1763">
        <v>3.5000000000000003E-2</v>
      </c>
      <c r="U1763">
        <f t="shared" si="347"/>
        <v>40.019284615383505</v>
      </c>
      <c r="V1763">
        <f t="shared" si="348"/>
        <v>1183.4274164834835</v>
      </c>
      <c r="W1763">
        <f t="shared" si="349"/>
        <v>40.019284615383413</v>
      </c>
      <c r="X1763" t="s">
        <v>1596</v>
      </c>
    </row>
    <row r="1764" spans="1:24" x14ac:dyDescent="0.25">
      <c r="A1764" t="s">
        <v>1948</v>
      </c>
      <c r="B1764" t="s">
        <v>2076</v>
      </c>
      <c r="C1764" t="s">
        <v>2077</v>
      </c>
      <c r="D1764" t="s">
        <v>204</v>
      </c>
      <c r="E1764" t="s">
        <v>74</v>
      </c>
      <c r="F1764" t="s">
        <v>1</v>
      </c>
      <c r="G1764" t="s">
        <v>803</v>
      </c>
      <c r="H1764" t="s">
        <v>491</v>
      </c>
      <c r="I1764" t="s">
        <v>1</v>
      </c>
      <c r="J1764">
        <v>868.08</v>
      </c>
      <c r="K1764"/>
      <c r="L1764">
        <v>658.24</v>
      </c>
      <c r="M1764">
        <v>1327.3900552486186</v>
      </c>
      <c r="N1764">
        <v>1111.96</v>
      </c>
      <c r="O1764">
        <v>1323.7134065933999</v>
      </c>
      <c r="P1764">
        <v>0</v>
      </c>
      <c r="Q1764">
        <f t="shared" si="345"/>
        <v>1323.7134065933999</v>
      </c>
      <c r="R1764">
        <v>1323.7134065933999</v>
      </c>
      <c r="S1764">
        <f t="shared" si="346"/>
        <v>0</v>
      </c>
      <c r="T1764">
        <v>3.5000000000000003E-2</v>
      </c>
      <c r="U1764">
        <f t="shared" si="347"/>
        <v>46.329969230769002</v>
      </c>
      <c r="V1764">
        <f t="shared" si="348"/>
        <v>1370.0433758241688</v>
      </c>
      <c r="W1764">
        <f t="shared" si="349"/>
        <v>46.329969230768938</v>
      </c>
      <c r="X1764" t="s">
        <v>1597</v>
      </c>
    </row>
    <row r="1765" spans="1:24" x14ac:dyDescent="0.25">
      <c r="A1765" t="s">
        <v>1948</v>
      </c>
      <c r="B1765" t="s">
        <v>2076</v>
      </c>
      <c r="C1765" t="s">
        <v>2077</v>
      </c>
      <c r="D1765" t="s">
        <v>204</v>
      </c>
      <c r="E1765" t="s">
        <v>85</v>
      </c>
      <c r="F1765" t="s">
        <v>1</v>
      </c>
      <c r="G1765" t="s">
        <v>803</v>
      </c>
      <c r="H1765" t="s">
        <v>510</v>
      </c>
      <c r="I1765" t="s">
        <v>1</v>
      </c>
      <c r="J1765">
        <v>150.30000000000001</v>
      </c>
      <c r="K1765"/>
      <c r="L1765">
        <v>64.48</v>
      </c>
      <c r="M1765">
        <v>130.02872928176797</v>
      </c>
      <c r="N1765">
        <v>154.66</v>
      </c>
      <c r="O1765">
        <v>129.66857142859999</v>
      </c>
      <c r="P1765">
        <v>0</v>
      </c>
      <c r="Q1765">
        <f t="shared" si="345"/>
        <v>129.66857142859999</v>
      </c>
      <c r="R1765">
        <v>129.66857142859999</v>
      </c>
      <c r="S1765">
        <f t="shared" si="346"/>
        <v>0</v>
      </c>
      <c r="T1765">
        <v>0.02</v>
      </c>
      <c r="U1765">
        <f t="shared" si="347"/>
        <v>2.593371428572</v>
      </c>
      <c r="V1765">
        <f t="shared" si="348"/>
        <v>132.26194285717199</v>
      </c>
      <c r="W1765">
        <f t="shared" si="349"/>
        <v>2.5933714285719986</v>
      </c>
      <c r="X1765" t="s">
        <v>1598</v>
      </c>
    </row>
    <row r="1766" spans="1:24" x14ac:dyDescent="0.25">
      <c r="A1766" t="s">
        <v>1948</v>
      </c>
      <c r="B1766" t="s">
        <v>2076</v>
      </c>
      <c r="C1766" t="s">
        <v>2077</v>
      </c>
      <c r="D1766" t="s">
        <v>204</v>
      </c>
      <c r="E1766" t="s">
        <v>20</v>
      </c>
      <c r="F1766" t="s">
        <v>1</v>
      </c>
      <c r="G1766" t="s">
        <v>803</v>
      </c>
      <c r="H1766" t="s">
        <v>420</v>
      </c>
      <c r="I1766" t="s">
        <v>1</v>
      </c>
      <c r="J1766">
        <v>315.8</v>
      </c>
      <c r="K1766"/>
      <c r="L1766">
        <v>225.98</v>
      </c>
      <c r="M1766">
        <v>455.70552486187847</v>
      </c>
      <c r="N1766">
        <v>428.38</v>
      </c>
      <c r="O1766">
        <v>454.44329670330001</v>
      </c>
      <c r="P1766">
        <v>0</v>
      </c>
      <c r="Q1766">
        <f t="shared" si="345"/>
        <v>454.44329670330001</v>
      </c>
      <c r="R1766">
        <v>454.44329670330001</v>
      </c>
      <c r="S1766">
        <f t="shared" si="346"/>
        <v>0</v>
      </c>
      <c r="T1766">
        <v>0.04</v>
      </c>
      <c r="U1766">
        <f t="shared" si="347"/>
        <v>18.177731868132</v>
      </c>
      <c r="V1766">
        <f t="shared" si="348"/>
        <v>472.62102857143202</v>
      </c>
      <c r="W1766">
        <f t="shared" si="349"/>
        <v>18.177731868132014</v>
      </c>
      <c r="X1766" t="s">
        <v>1599</v>
      </c>
    </row>
    <row r="1767" spans="1:24" x14ac:dyDescent="0.25">
      <c r="A1767" t="s">
        <v>1948</v>
      </c>
      <c r="B1767" t="s">
        <v>2076</v>
      </c>
      <c r="C1767" t="s">
        <v>2077</v>
      </c>
      <c r="D1767" t="s">
        <v>204</v>
      </c>
      <c r="E1767" t="s">
        <v>21</v>
      </c>
      <c r="F1767" t="s">
        <v>1</v>
      </c>
      <c r="G1767" t="s">
        <v>803</v>
      </c>
      <c r="H1767" t="s">
        <v>421</v>
      </c>
      <c r="I1767" t="s">
        <v>1</v>
      </c>
      <c r="J1767">
        <v>406.62</v>
      </c>
      <c r="K1767">
        <v>569.17999999999995</v>
      </c>
      <c r="L1767">
        <v>175.77</v>
      </c>
      <c r="M1767">
        <v>354.4533149171271</v>
      </c>
      <c r="N1767">
        <v>303.33</v>
      </c>
      <c r="O1767">
        <v>354.45331491709999</v>
      </c>
      <c r="P1767">
        <v>0</v>
      </c>
      <c r="Q1767">
        <f t="shared" si="345"/>
        <v>354.45331491709999</v>
      </c>
      <c r="R1767">
        <v>354.45331491709999</v>
      </c>
      <c r="S1767">
        <f t="shared" si="346"/>
        <v>0</v>
      </c>
      <c r="T1767">
        <v>0.03</v>
      </c>
      <c r="U1767">
        <f t="shared" si="347"/>
        <v>10.633599447512999</v>
      </c>
      <c r="V1767">
        <f t="shared" si="348"/>
        <v>365.08691436461299</v>
      </c>
      <c r="W1767">
        <f t="shared" si="349"/>
        <v>10.633599447513006</v>
      </c>
      <c r="X1767" t="s">
        <v>1600</v>
      </c>
    </row>
    <row r="1768" spans="1:24" x14ac:dyDescent="0.25">
      <c r="A1768" t="s">
        <v>1948</v>
      </c>
      <c r="B1768" t="s">
        <v>2076</v>
      </c>
      <c r="C1768" t="s">
        <v>2077</v>
      </c>
      <c r="D1768" t="s">
        <v>204</v>
      </c>
      <c r="E1768" t="s">
        <v>66</v>
      </c>
      <c r="F1768" t="s">
        <v>1</v>
      </c>
      <c r="G1768" t="s">
        <v>803</v>
      </c>
      <c r="H1768" t="s">
        <v>477</v>
      </c>
      <c r="I1768" t="s">
        <v>1</v>
      </c>
      <c r="J1768">
        <v>138.24</v>
      </c>
      <c r="K1768">
        <v>93.15</v>
      </c>
      <c r="L1768">
        <v>0</v>
      </c>
      <c r="M1768">
        <v>0</v>
      </c>
      <c r="N1768">
        <v>92.16</v>
      </c>
      <c r="O1768"/>
      <c r="P1768">
        <v>0</v>
      </c>
      <c r="Q1768">
        <f t="shared" si="345"/>
        <v>0</v>
      </c>
      <c r="R1768">
        <v>0</v>
      </c>
      <c r="S1768">
        <f t="shared" si="346"/>
        <v>0</v>
      </c>
      <c r="T1768">
        <v>3.5000000000000003E-2</v>
      </c>
      <c r="U1768">
        <f t="shared" si="347"/>
        <v>0</v>
      </c>
      <c r="V1768">
        <f t="shared" si="348"/>
        <v>0</v>
      </c>
      <c r="W1768">
        <f t="shared" si="349"/>
        <v>0</v>
      </c>
      <c r="X1768">
        <v>0</v>
      </c>
    </row>
    <row r="1769" spans="1:24" x14ac:dyDescent="0.25">
      <c r="A1769" t="s">
        <v>1948</v>
      </c>
      <c r="B1769" t="s">
        <v>2076</v>
      </c>
      <c r="C1769" t="s">
        <v>2077</v>
      </c>
      <c r="D1769" t="s">
        <v>204</v>
      </c>
      <c r="E1769" t="s">
        <v>22</v>
      </c>
      <c r="F1769" t="s">
        <v>1</v>
      </c>
      <c r="G1769" t="s">
        <v>803</v>
      </c>
      <c r="H1769" t="s">
        <v>422</v>
      </c>
      <c r="I1769" t="s">
        <v>1</v>
      </c>
      <c r="J1769">
        <v>11.11</v>
      </c>
      <c r="K1769"/>
      <c r="L1769">
        <v>370</v>
      </c>
      <c r="M1769">
        <v>746.13259668508283</v>
      </c>
      <c r="N1769">
        <v>370</v>
      </c>
      <c r="O1769">
        <v>746.1325966851</v>
      </c>
      <c r="P1769">
        <v>0</v>
      </c>
      <c r="Q1769">
        <f t="shared" si="345"/>
        <v>746.1325966851</v>
      </c>
      <c r="R1769">
        <v>746.1325966851</v>
      </c>
      <c r="S1769">
        <f t="shared" si="346"/>
        <v>0</v>
      </c>
      <c r="T1769">
        <v>3.5000000000000003E-2</v>
      </c>
      <c r="U1769">
        <f t="shared" si="347"/>
        <v>26.114640883978502</v>
      </c>
      <c r="V1769">
        <f t="shared" si="348"/>
        <v>772.24723756907849</v>
      </c>
      <c r="W1769">
        <f t="shared" si="349"/>
        <v>26.114640883978495</v>
      </c>
      <c r="X1769">
        <v>0</v>
      </c>
    </row>
    <row r="1770" spans="1:24" x14ac:dyDescent="0.25">
      <c r="A1770" t="s">
        <v>1948</v>
      </c>
      <c r="B1770" t="s">
        <v>2076</v>
      </c>
      <c r="C1770" t="s">
        <v>2077</v>
      </c>
      <c r="D1770" t="s">
        <v>204</v>
      </c>
      <c r="E1770" t="s">
        <v>23</v>
      </c>
      <c r="F1770" t="s">
        <v>1</v>
      </c>
      <c r="G1770" t="s">
        <v>803</v>
      </c>
      <c r="H1770" t="s">
        <v>423</v>
      </c>
      <c r="I1770" t="s">
        <v>1</v>
      </c>
      <c r="J1770">
        <v>145.56</v>
      </c>
      <c r="K1770">
        <v>196.64999999989999</v>
      </c>
      <c r="L1770">
        <v>48.52</v>
      </c>
      <c r="M1770">
        <v>97.844198895027645</v>
      </c>
      <c r="N1770">
        <v>97.04</v>
      </c>
      <c r="O1770">
        <v>97.844198895000005</v>
      </c>
      <c r="P1770">
        <v>0</v>
      </c>
      <c r="Q1770">
        <f t="shared" si="345"/>
        <v>97.844198895000005</v>
      </c>
      <c r="R1770">
        <v>97.844198895000005</v>
      </c>
      <c r="S1770">
        <f t="shared" si="346"/>
        <v>0</v>
      </c>
      <c r="T1770">
        <v>3.5000000000000003E-2</v>
      </c>
      <c r="U1770">
        <f t="shared" si="347"/>
        <v>3.4245469613250004</v>
      </c>
      <c r="V1770">
        <f t="shared" si="348"/>
        <v>101.26874585632501</v>
      </c>
      <c r="W1770">
        <f t="shared" si="349"/>
        <v>3.4245469613250066</v>
      </c>
      <c r="X1770">
        <v>0</v>
      </c>
    </row>
    <row r="1771" spans="1:24" x14ac:dyDescent="0.25">
      <c r="A1771" t="s">
        <v>1948</v>
      </c>
      <c r="B1771" t="s">
        <v>2076</v>
      </c>
      <c r="C1771" t="s">
        <v>2077</v>
      </c>
      <c r="D1771" t="s">
        <v>204</v>
      </c>
      <c r="E1771" t="s">
        <v>24</v>
      </c>
      <c r="F1771" t="s">
        <v>1</v>
      </c>
      <c r="G1771" t="s">
        <v>803</v>
      </c>
      <c r="H1771" t="s">
        <v>424</v>
      </c>
      <c r="I1771" t="s">
        <v>1</v>
      </c>
      <c r="J1771">
        <v>470</v>
      </c>
      <c r="K1771"/>
      <c r="L1771">
        <v>470</v>
      </c>
      <c r="M1771">
        <v>947.79005524861873</v>
      </c>
      <c r="N1771">
        <v>940</v>
      </c>
      <c r="O1771">
        <v>940</v>
      </c>
      <c r="P1771">
        <v>0</v>
      </c>
      <c r="Q1771">
        <f t="shared" si="345"/>
        <v>940</v>
      </c>
      <c r="R1771">
        <v>940</v>
      </c>
      <c r="S1771">
        <f t="shared" si="346"/>
        <v>0</v>
      </c>
      <c r="T1771"/>
      <c r="U1771">
        <f t="shared" si="347"/>
        <v>0</v>
      </c>
      <c r="V1771">
        <f t="shared" si="348"/>
        <v>940</v>
      </c>
      <c r="W1771">
        <f t="shared" si="349"/>
        <v>0</v>
      </c>
      <c r="X1771" t="s">
        <v>1601</v>
      </c>
    </row>
    <row r="1772" spans="1:24" x14ac:dyDescent="0.25">
      <c r="A1772" t="s">
        <v>1948</v>
      </c>
      <c r="B1772" t="s">
        <v>2076</v>
      </c>
      <c r="C1772" t="s">
        <v>2077</v>
      </c>
      <c r="D1772" t="s">
        <v>204</v>
      </c>
      <c r="E1772" t="s">
        <v>26</v>
      </c>
      <c r="F1772" t="s">
        <v>1</v>
      </c>
      <c r="G1772" t="s">
        <v>803</v>
      </c>
      <c r="H1772" t="s">
        <v>426</v>
      </c>
      <c r="I1772" t="s">
        <v>1</v>
      </c>
      <c r="J1772">
        <v>190</v>
      </c>
      <c r="K1772"/>
      <c r="L1772">
        <v>215.27</v>
      </c>
      <c r="M1772">
        <v>434.10801104972381</v>
      </c>
      <c r="N1772">
        <v>215.27</v>
      </c>
      <c r="O1772">
        <v>430.54</v>
      </c>
      <c r="P1772">
        <v>0</v>
      </c>
      <c r="Q1772">
        <f t="shared" si="345"/>
        <v>430.54</v>
      </c>
      <c r="R1772">
        <v>430.54</v>
      </c>
      <c r="S1772">
        <f t="shared" si="346"/>
        <v>0</v>
      </c>
      <c r="T1772"/>
      <c r="U1772">
        <f t="shared" si="347"/>
        <v>0</v>
      </c>
      <c r="V1772">
        <f t="shared" si="348"/>
        <v>430.54</v>
      </c>
      <c r="W1772">
        <f t="shared" si="349"/>
        <v>0</v>
      </c>
      <c r="X1772" t="s">
        <v>1602</v>
      </c>
    </row>
    <row r="1773" spans="1:24" x14ac:dyDescent="0.25">
      <c r="A1773" t="s">
        <v>1948</v>
      </c>
      <c r="B1773" t="s">
        <v>2076</v>
      </c>
      <c r="C1773" t="s">
        <v>2077</v>
      </c>
      <c r="D1773" t="s">
        <v>204</v>
      </c>
      <c r="E1773" t="s">
        <v>34</v>
      </c>
      <c r="F1773" t="s">
        <v>1</v>
      </c>
      <c r="G1773" t="s">
        <v>803</v>
      </c>
      <c r="H1773" t="s">
        <v>434</v>
      </c>
      <c r="I1773" t="s">
        <v>1</v>
      </c>
      <c r="J1773"/>
      <c r="K1773">
        <v>98.123836830000002</v>
      </c>
      <c r="L1773">
        <v>0</v>
      </c>
      <c r="M1773">
        <v>0</v>
      </c>
      <c r="N1773">
        <v>0</v>
      </c>
      <c r="O1773"/>
      <c r="P1773">
        <v>0</v>
      </c>
      <c r="Q1773">
        <f t="shared" si="345"/>
        <v>0</v>
      </c>
      <c r="R1773">
        <v>0</v>
      </c>
      <c r="S1773">
        <f t="shared" si="346"/>
        <v>0</v>
      </c>
      <c r="T1773"/>
      <c r="U1773">
        <f t="shared" si="347"/>
        <v>0</v>
      </c>
      <c r="V1773">
        <f t="shared" si="348"/>
        <v>0</v>
      </c>
      <c r="W1773">
        <f t="shared" si="349"/>
        <v>0</v>
      </c>
      <c r="X1773">
        <v>0</v>
      </c>
    </row>
    <row r="1774" spans="1:24" x14ac:dyDescent="0.25">
      <c r="A1774" t="s">
        <v>1948</v>
      </c>
      <c r="B1774" t="s">
        <v>2076</v>
      </c>
      <c r="C1774" t="s">
        <v>2077</v>
      </c>
      <c r="D1774" t="s">
        <v>204</v>
      </c>
      <c r="E1774" t="s">
        <v>37</v>
      </c>
      <c r="F1774" t="s">
        <v>1</v>
      </c>
      <c r="G1774" t="s">
        <v>803</v>
      </c>
      <c r="H1774" t="s">
        <v>437</v>
      </c>
      <c r="I1774" t="s">
        <v>1</v>
      </c>
      <c r="J1774">
        <v>383.52</v>
      </c>
      <c r="K1774"/>
      <c r="L1774">
        <v>357.87</v>
      </c>
      <c r="M1774">
        <v>721.67154696132593</v>
      </c>
      <c r="N1774">
        <v>357.87</v>
      </c>
      <c r="O1774">
        <v>715.74</v>
      </c>
      <c r="P1774">
        <v>0</v>
      </c>
      <c r="Q1774">
        <f t="shared" si="345"/>
        <v>715.74</v>
      </c>
      <c r="R1774">
        <v>715.74</v>
      </c>
      <c r="S1774">
        <f t="shared" si="346"/>
        <v>0</v>
      </c>
      <c r="T1774"/>
      <c r="U1774">
        <f t="shared" si="347"/>
        <v>0</v>
      </c>
      <c r="V1774">
        <f t="shared" si="348"/>
        <v>715.74</v>
      </c>
      <c r="W1774">
        <f t="shared" si="349"/>
        <v>0</v>
      </c>
      <c r="X1774" t="s">
        <v>1603</v>
      </c>
    </row>
    <row r="1775" spans="1:24" x14ac:dyDescent="0.25">
      <c r="A1775" t="s">
        <v>1948</v>
      </c>
      <c r="B1775" t="s">
        <v>2076</v>
      </c>
      <c r="C1775" t="s">
        <v>2077</v>
      </c>
      <c r="D1775" t="s">
        <v>204</v>
      </c>
      <c r="E1775" t="s">
        <v>205</v>
      </c>
      <c r="F1775" t="s">
        <v>1</v>
      </c>
      <c r="G1775" t="s">
        <v>803</v>
      </c>
      <c r="H1775" t="s">
        <v>804</v>
      </c>
      <c r="I1775" t="s">
        <v>1</v>
      </c>
      <c r="J1775">
        <v>2670282.87</v>
      </c>
      <c r="K1775">
        <v>2377447.34244033</v>
      </c>
      <c r="L1775">
        <v>1324924.6000000001</v>
      </c>
      <c r="M1775">
        <v>2671809.2762430944</v>
      </c>
      <c r="N1775">
        <v>2731824.7</v>
      </c>
      <c r="O1775">
        <v>2671809.2762430902</v>
      </c>
      <c r="P1775">
        <v>0</v>
      </c>
      <c r="Q1775">
        <f t="shared" si="345"/>
        <v>2671809.2762430902</v>
      </c>
      <c r="R1775">
        <v>2671809.2762430902</v>
      </c>
      <c r="S1775">
        <f t="shared" si="346"/>
        <v>0</v>
      </c>
      <c r="T1775">
        <v>2.2499999999999999E-2</v>
      </c>
      <c r="U1775">
        <f t="shared" si="347"/>
        <v>60115.708715469525</v>
      </c>
      <c r="V1775">
        <f t="shared" si="348"/>
        <v>2731924.9849585597</v>
      </c>
      <c r="W1775">
        <f t="shared" si="349"/>
        <v>60115.708715469576</v>
      </c>
      <c r="X1775">
        <v>0</v>
      </c>
    </row>
    <row r="1776" spans="1:24" x14ac:dyDescent="0.25">
      <c r="A1776" t="s">
        <v>1948</v>
      </c>
      <c r="B1776" t="s">
        <v>2076</v>
      </c>
      <c r="C1776" t="s">
        <v>2077</v>
      </c>
      <c r="D1776" t="s">
        <v>204</v>
      </c>
      <c r="E1776" t="s">
        <v>40</v>
      </c>
      <c r="F1776" t="s">
        <v>1</v>
      </c>
      <c r="G1776" t="s">
        <v>803</v>
      </c>
      <c r="H1776" t="s">
        <v>440</v>
      </c>
      <c r="I1776" t="s">
        <v>1</v>
      </c>
      <c r="J1776">
        <v>14000</v>
      </c>
      <c r="K1776"/>
      <c r="L1776">
        <v>0</v>
      </c>
      <c r="M1776">
        <v>0</v>
      </c>
      <c r="N1776">
        <v>14000</v>
      </c>
      <c r="O1776"/>
      <c r="P1776">
        <v>0</v>
      </c>
      <c r="Q1776">
        <f t="shared" si="345"/>
        <v>0</v>
      </c>
      <c r="R1776">
        <v>0</v>
      </c>
      <c r="S1776">
        <f t="shared" si="346"/>
        <v>0</v>
      </c>
      <c r="T1776">
        <v>0.03</v>
      </c>
      <c r="U1776">
        <f t="shared" si="347"/>
        <v>0</v>
      </c>
      <c r="V1776">
        <f t="shared" si="348"/>
        <v>0</v>
      </c>
      <c r="W1776">
        <f t="shared" si="349"/>
        <v>0</v>
      </c>
      <c r="X1776">
        <v>0</v>
      </c>
    </row>
    <row r="1777" spans="1:24" x14ac:dyDescent="0.25">
      <c r="A1777" t="s">
        <v>1948</v>
      </c>
      <c r="B1777" t="s">
        <v>2076</v>
      </c>
      <c r="C1777" t="s">
        <v>2077</v>
      </c>
      <c r="D1777" t="s">
        <v>204</v>
      </c>
      <c r="E1777" t="s">
        <v>76</v>
      </c>
      <c r="F1777" t="s">
        <v>1</v>
      </c>
      <c r="G1777" t="s">
        <v>803</v>
      </c>
      <c r="H1777" t="s">
        <v>493</v>
      </c>
      <c r="I1777" t="s">
        <v>1</v>
      </c>
      <c r="J1777">
        <v>134722</v>
      </c>
      <c r="K1777">
        <v>134722</v>
      </c>
      <c r="L1777">
        <v>69299</v>
      </c>
      <c r="M1777">
        <v>139746.60220994474</v>
      </c>
      <c r="N1777">
        <v>136660</v>
      </c>
      <c r="O1777">
        <v>138598</v>
      </c>
      <c r="P1777">
        <v>0</v>
      </c>
      <c r="Q1777">
        <f t="shared" si="345"/>
        <v>138598</v>
      </c>
      <c r="R1777">
        <v>138598</v>
      </c>
      <c r="S1777">
        <f t="shared" si="346"/>
        <v>0</v>
      </c>
      <c r="T1777">
        <v>0.03</v>
      </c>
      <c r="U1777">
        <f t="shared" si="347"/>
        <v>4157.9399999999996</v>
      </c>
      <c r="V1777">
        <f t="shared" si="348"/>
        <v>142755.94</v>
      </c>
      <c r="W1777">
        <f t="shared" si="349"/>
        <v>4157.9400000000023</v>
      </c>
      <c r="X1777" t="s">
        <v>1604</v>
      </c>
    </row>
    <row r="1778" spans="1:24" x14ac:dyDescent="0.25">
      <c r="A1778" t="s">
        <v>1948</v>
      </c>
      <c r="B1778" t="s">
        <v>2076</v>
      </c>
      <c r="C1778" t="s">
        <v>2077</v>
      </c>
      <c r="D1778" t="s">
        <v>204</v>
      </c>
      <c r="E1778" t="s">
        <v>41</v>
      </c>
      <c r="F1778" t="s">
        <v>1</v>
      </c>
      <c r="G1778" t="s">
        <v>803</v>
      </c>
      <c r="H1778" t="s">
        <v>441</v>
      </c>
      <c r="I1778" t="s">
        <v>1</v>
      </c>
      <c r="J1778">
        <v>1907.2</v>
      </c>
      <c r="K1778">
        <v>456.3786740736</v>
      </c>
      <c r="L1778">
        <v>379.66</v>
      </c>
      <c r="M1778">
        <v>765.61270718232049</v>
      </c>
      <c r="N1778">
        <v>2054.5300000000002</v>
      </c>
      <c r="O1778">
        <v>759.32</v>
      </c>
      <c r="P1778">
        <v>0</v>
      </c>
      <c r="Q1778">
        <f t="shared" si="345"/>
        <v>759.32</v>
      </c>
      <c r="R1778">
        <v>759.32</v>
      </c>
      <c r="S1778">
        <f t="shared" si="346"/>
        <v>0</v>
      </c>
      <c r="T1778">
        <v>0.03</v>
      </c>
      <c r="U1778">
        <f t="shared" si="347"/>
        <v>22.779600000000002</v>
      </c>
      <c r="V1778">
        <f t="shared" si="348"/>
        <v>782.09960000000001</v>
      </c>
      <c r="W1778">
        <f t="shared" si="349"/>
        <v>22.779599999999959</v>
      </c>
      <c r="X1778">
        <v>0</v>
      </c>
    </row>
    <row r="1779" spans="1:24" x14ac:dyDescent="0.25">
      <c r="A1779" t="s">
        <v>1948</v>
      </c>
      <c r="B1779" t="s">
        <v>2076</v>
      </c>
      <c r="C1779" t="s">
        <v>2077</v>
      </c>
      <c r="D1779" t="s">
        <v>204</v>
      </c>
      <c r="E1779" t="s">
        <v>42</v>
      </c>
      <c r="F1779" t="s">
        <v>1</v>
      </c>
      <c r="G1779" t="s">
        <v>803</v>
      </c>
      <c r="H1779" t="s">
        <v>442</v>
      </c>
      <c r="I1779" t="s">
        <v>1</v>
      </c>
      <c r="J1779">
        <v>-1931</v>
      </c>
      <c r="K1779">
        <v>168.99999999959999</v>
      </c>
      <c r="L1779">
        <v>0</v>
      </c>
      <c r="M1779">
        <v>0</v>
      </c>
      <c r="N1779">
        <v>0</v>
      </c>
      <c r="O1779"/>
      <c r="P1779">
        <v>0</v>
      </c>
      <c r="Q1779">
        <f t="shared" si="345"/>
        <v>0</v>
      </c>
      <c r="R1779">
        <v>0</v>
      </c>
      <c r="S1779">
        <f t="shared" si="346"/>
        <v>0</v>
      </c>
      <c r="T1779">
        <v>0.03</v>
      </c>
      <c r="U1779">
        <f t="shared" si="347"/>
        <v>0</v>
      </c>
      <c r="V1779">
        <f t="shared" si="348"/>
        <v>0</v>
      </c>
      <c r="W1779">
        <f t="shared" si="349"/>
        <v>0</v>
      </c>
      <c r="X1779">
        <v>0</v>
      </c>
    </row>
    <row r="1780" spans="1:24" x14ac:dyDescent="0.25">
      <c r="A1780" t="s">
        <v>1948</v>
      </c>
      <c r="B1780" t="s">
        <v>2076</v>
      </c>
      <c r="C1780" t="s">
        <v>2077</v>
      </c>
      <c r="D1780" t="s">
        <v>204</v>
      </c>
      <c r="E1780" t="s">
        <v>134</v>
      </c>
      <c r="F1780" t="s">
        <v>1</v>
      </c>
      <c r="G1780" t="s">
        <v>803</v>
      </c>
      <c r="H1780" t="s">
        <v>623</v>
      </c>
      <c r="I1780" t="s">
        <v>1</v>
      </c>
      <c r="J1780">
        <v>6091</v>
      </c>
      <c r="K1780"/>
      <c r="L1780">
        <v>0</v>
      </c>
      <c r="M1780">
        <v>0</v>
      </c>
      <c r="N1780">
        <v>4730</v>
      </c>
      <c r="O1780"/>
      <c r="P1780">
        <v>0</v>
      </c>
      <c r="Q1780">
        <f t="shared" si="345"/>
        <v>0</v>
      </c>
      <c r="R1780">
        <v>0</v>
      </c>
      <c r="S1780">
        <f t="shared" si="346"/>
        <v>0</v>
      </c>
      <c r="T1780">
        <v>0.03</v>
      </c>
      <c r="U1780">
        <f t="shared" si="347"/>
        <v>0</v>
      </c>
      <c r="V1780">
        <f t="shared" si="348"/>
        <v>0</v>
      </c>
      <c r="W1780">
        <f t="shared" si="349"/>
        <v>0</v>
      </c>
      <c r="X1780">
        <v>0</v>
      </c>
    </row>
    <row r="1781" spans="1:24" x14ac:dyDescent="0.25">
      <c r="A1781" t="s">
        <v>1948</v>
      </c>
      <c r="B1781" t="s">
        <v>2076</v>
      </c>
      <c r="C1781" t="s">
        <v>2077</v>
      </c>
      <c r="D1781" t="s">
        <v>204</v>
      </c>
      <c r="E1781" t="s">
        <v>47</v>
      </c>
      <c r="F1781" t="s">
        <v>1</v>
      </c>
      <c r="G1781" t="s">
        <v>803</v>
      </c>
      <c r="H1781" t="s">
        <v>447</v>
      </c>
      <c r="I1781" t="s">
        <v>1</v>
      </c>
      <c r="J1781">
        <v>1071</v>
      </c>
      <c r="K1781"/>
      <c r="L1781">
        <v>235</v>
      </c>
      <c r="M1781">
        <v>473.89502762430936</v>
      </c>
      <c r="N1781">
        <v>1231</v>
      </c>
      <c r="O1781">
        <v>470</v>
      </c>
      <c r="P1781">
        <v>0</v>
      </c>
      <c r="Q1781">
        <f t="shared" si="345"/>
        <v>470</v>
      </c>
      <c r="R1781">
        <v>470</v>
      </c>
      <c r="S1781">
        <f t="shared" si="346"/>
        <v>0</v>
      </c>
      <c r="T1781">
        <v>0.03</v>
      </c>
      <c r="U1781">
        <f t="shared" si="347"/>
        <v>14.1</v>
      </c>
      <c r="V1781">
        <f t="shared" si="348"/>
        <v>484.1</v>
      </c>
      <c r="W1781">
        <f t="shared" si="349"/>
        <v>14.100000000000023</v>
      </c>
      <c r="X1781" t="s">
        <v>1605</v>
      </c>
    </row>
    <row r="1782" spans="1:24" x14ac:dyDescent="0.25">
      <c r="A1782" t="s">
        <v>1948</v>
      </c>
      <c r="B1782" t="s">
        <v>2076</v>
      </c>
      <c r="C1782" t="s">
        <v>2077</v>
      </c>
      <c r="D1782" t="s">
        <v>204</v>
      </c>
      <c r="E1782" t="s">
        <v>48</v>
      </c>
      <c r="F1782" t="s">
        <v>1</v>
      </c>
      <c r="G1782" t="s">
        <v>803</v>
      </c>
      <c r="H1782" t="s">
        <v>448</v>
      </c>
      <c r="I1782" t="s">
        <v>1</v>
      </c>
      <c r="J1782">
        <v>44.95</v>
      </c>
      <c r="K1782"/>
      <c r="L1782">
        <v>0</v>
      </c>
      <c r="M1782">
        <v>0</v>
      </c>
      <c r="N1782">
        <v>44.95</v>
      </c>
      <c r="O1782"/>
      <c r="P1782">
        <v>0</v>
      </c>
      <c r="Q1782">
        <f t="shared" si="345"/>
        <v>0</v>
      </c>
      <c r="R1782">
        <v>0</v>
      </c>
      <c r="S1782">
        <f t="shared" si="346"/>
        <v>0</v>
      </c>
      <c r="T1782">
        <v>0.03</v>
      </c>
      <c r="U1782">
        <f t="shared" si="347"/>
        <v>0</v>
      </c>
      <c r="V1782">
        <f t="shared" si="348"/>
        <v>0</v>
      </c>
      <c r="W1782">
        <f t="shared" si="349"/>
        <v>0</v>
      </c>
      <c r="X1782">
        <v>0</v>
      </c>
    </row>
    <row r="1783" spans="1:24" x14ac:dyDescent="0.25">
      <c r="A1783" t="s">
        <v>1948</v>
      </c>
      <c r="B1783" t="s">
        <v>2076</v>
      </c>
      <c r="C1783" t="s">
        <v>2077</v>
      </c>
      <c r="D1783" t="s">
        <v>204</v>
      </c>
      <c r="E1783" t="s">
        <v>51</v>
      </c>
      <c r="F1783" t="s">
        <v>51</v>
      </c>
      <c r="G1783" t="s">
        <v>805</v>
      </c>
      <c r="H1783"/>
      <c r="I1783"/>
      <c r="J1783">
        <v>2800875.9000000004</v>
      </c>
      <c r="K1783">
        <v>2519820.3938211524</v>
      </c>
      <c r="L1783">
        <v>1359156.82</v>
      </c>
      <c r="M1783">
        <v>2740841.1011049729</v>
      </c>
      <c r="N1783">
        <v>2824580.79</v>
      </c>
      <c r="O1783">
        <v>2739871.2104972336</v>
      </c>
      <c r="P1783">
        <f>SUMIF($F$1755:$F$1782,"&lt;&gt;EV_*",$P$1755:$P$1782)</f>
        <v>0</v>
      </c>
      <c r="Q1783">
        <f>SUMIF($F$1755:$F$1782,"&lt;&gt;EV_*",$Q$1755:$Q$1782)</f>
        <v>2739871.2104972336</v>
      </c>
      <c r="R1783">
        <f>SUMIF($F$1755:$F$1782,"&lt;&gt;EV_*",$R$1755:$R$1782)</f>
        <v>2779125.2563535874</v>
      </c>
      <c r="S1783">
        <f>SUMIF($F$1755:$F$1782,"&lt;&gt;EV_*",$S$1755:$S$1782)</f>
        <v>39254.045856353601</v>
      </c>
      <c r="T1783">
        <v>0</v>
      </c>
      <c r="U1783">
        <f>SUMIF($F$1755:$F$1782,"&lt;&gt;EV_*",$U$1755:$U$1782)</f>
        <v>64587.611193421682</v>
      </c>
      <c r="V1783">
        <f>SUMIF($F$1755:$F$1782,"&lt;&gt;EV_*",$V$1755:$V$1782)</f>
        <v>2843712.8675470091</v>
      </c>
      <c r="W1783">
        <f>SUMIF($F$1755:$F$1782,"&lt;&gt;EV_*",$W$1755:$W$1782)</f>
        <v>103841.65704977534</v>
      </c>
      <c r="X1783">
        <f>SUMIF($F$1755:$F$1782,"&lt;&gt;EV_*",$X$1755:$X$1782)</f>
        <v>0</v>
      </c>
    </row>
    <row r="1784" spans="1:24" x14ac:dyDescent="0.25">
      <c r="A1784" t="s">
        <v>1960</v>
      </c>
      <c r="B1784" t="s">
        <v>2078</v>
      </c>
      <c r="C1784" t="s">
        <v>2079</v>
      </c>
      <c r="D1784" t="s">
        <v>206</v>
      </c>
      <c r="E1784" t="s">
        <v>5</v>
      </c>
      <c r="F1784" t="s">
        <v>5</v>
      </c>
      <c r="G1784" t="s">
        <v>806</v>
      </c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</row>
    <row r="1785" spans="1:24" x14ac:dyDescent="0.25">
      <c r="A1785" t="s">
        <v>1960</v>
      </c>
      <c r="B1785" t="s">
        <v>2078</v>
      </c>
      <c r="C1785" t="s">
        <v>2079</v>
      </c>
      <c r="D1785" t="s">
        <v>206</v>
      </c>
      <c r="E1785" t="s">
        <v>11</v>
      </c>
      <c r="F1785" t="s">
        <v>1</v>
      </c>
      <c r="G1785" t="s">
        <v>807</v>
      </c>
      <c r="H1785" t="s">
        <v>411</v>
      </c>
      <c r="I1785" t="s">
        <v>1</v>
      </c>
      <c r="J1785">
        <v>2967.4</v>
      </c>
      <c r="K1785">
        <v>2985</v>
      </c>
      <c r="L1785">
        <v>1344.98</v>
      </c>
      <c r="M1785">
        <v>2712.2524861878455</v>
      </c>
      <c r="N1785">
        <v>2689.5299999999997</v>
      </c>
      <c r="O1785">
        <v>2689.96</v>
      </c>
      <c r="P1785">
        <v>0</v>
      </c>
      <c r="Q1785">
        <f t="shared" ref="Q1785:Q1796" si="350">O1785+P1785</f>
        <v>2689.96</v>
      </c>
      <c r="R1785">
        <v>2689.96</v>
      </c>
      <c r="S1785">
        <f t="shared" ref="S1785:S1796" si="351">IF(OR(LEFT(E1785,2)="A_",LEFT(D1785,5)="Total"),R1785-Q1785,"")</f>
        <v>0</v>
      </c>
      <c r="T1785"/>
      <c r="U1785">
        <f t="shared" ref="U1785:U1796" si="352">IFERROR(R1785*T1785,R1785*0)</f>
        <v>0</v>
      </c>
      <c r="V1785">
        <f t="shared" ref="V1785:V1796" si="353">IF(OR(LEFT(E1785,2)="A_",LEFT(D1785,5)="Total"),R1785+U1785,"")</f>
        <v>2689.96</v>
      </c>
      <c r="W1785">
        <f t="shared" ref="W1785:W1796" si="354">IF(OR(LEFT(E1785,2)="A_",LEFT(D1785,5)="Total"),V1785-Q1785,"")</f>
        <v>0</v>
      </c>
      <c r="X1785" t="s">
        <v>1606</v>
      </c>
    </row>
    <row r="1786" spans="1:24" x14ac:dyDescent="0.25">
      <c r="A1786" t="s">
        <v>1960</v>
      </c>
      <c r="B1786" t="s">
        <v>2078</v>
      </c>
      <c r="C1786" t="s">
        <v>2079</v>
      </c>
      <c r="D1786" t="s">
        <v>206</v>
      </c>
      <c r="E1786" t="s">
        <v>18</v>
      </c>
      <c r="F1786" t="s">
        <v>1</v>
      </c>
      <c r="G1786" t="s">
        <v>807</v>
      </c>
      <c r="H1786" t="s">
        <v>418</v>
      </c>
      <c r="I1786" t="s">
        <v>1</v>
      </c>
      <c r="J1786">
        <v>14.73</v>
      </c>
      <c r="K1786"/>
      <c r="L1786">
        <v>0</v>
      </c>
      <c r="M1786">
        <v>0</v>
      </c>
      <c r="N1786">
        <v>14.73</v>
      </c>
      <c r="O1786"/>
      <c r="P1786">
        <v>0</v>
      </c>
      <c r="Q1786">
        <f t="shared" si="350"/>
        <v>0</v>
      </c>
      <c r="R1786">
        <v>3000</v>
      </c>
      <c r="S1786">
        <f t="shared" si="351"/>
        <v>3000</v>
      </c>
      <c r="T1786">
        <v>0.02</v>
      </c>
      <c r="U1786">
        <f t="shared" si="352"/>
        <v>60</v>
      </c>
      <c r="V1786">
        <f t="shared" si="353"/>
        <v>3060</v>
      </c>
      <c r="W1786">
        <f t="shared" si="354"/>
        <v>3060</v>
      </c>
      <c r="X1786" t="s">
        <v>1607</v>
      </c>
    </row>
    <row r="1787" spans="1:24" x14ac:dyDescent="0.25">
      <c r="A1787" t="s">
        <v>1960</v>
      </c>
      <c r="B1787" t="s">
        <v>2078</v>
      </c>
      <c r="C1787" t="s">
        <v>2079</v>
      </c>
      <c r="D1787" t="s">
        <v>206</v>
      </c>
      <c r="E1787" t="s">
        <v>74</v>
      </c>
      <c r="F1787" t="s">
        <v>1</v>
      </c>
      <c r="G1787" t="s">
        <v>807</v>
      </c>
      <c r="H1787" t="s">
        <v>491</v>
      </c>
      <c r="I1787" t="s">
        <v>1</v>
      </c>
      <c r="J1787">
        <v>77</v>
      </c>
      <c r="K1787"/>
      <c r="L1787">
        <v>0</v>
      </c>
      <c r="M1787">
        <v>0</v>
      </c>
      <c r="N1787">
        <v>77</v>
      </c>
      <c r="O1787"/>
      <c r="P1787">
        <v>0</v>
      </c>
      <c r="Q1787">
        <f t="shared" si="350"/>
        <v>0</v>
      </c>
      <c r="R1787">
        <v>0</v>
      </c>
      <c r="S1787">
        <f t="shared" si="351"/>
        <v>0</v>
      </c>
      <c r="T1787">
        <v>3.5000000000000003E-2</v>
      </c>
      <c r="U1787">
        <f t="shared" si="352"/>
        <v>0</v>
      </c>
      <c r="V1787">
        <f t="shared" si="353"/>
        <v>0</v>
      </c>
      <c r="W1787">
        <f t="shared" si="354"/>
        <v>0</v>
      </c>
      <c r="X1787">
        <v>0</v>
      </c>
    </row>
    <row r="1788" spans="1:24" x14ac:dyDescent="0.25">
      <c r="A1788" t="s">
        <v>1960</v>
      </c>
      <c r="B1788" t="s">
        <v>2078</v>
      </c>
      <c r="C1788" t="s">
        <v>2079</v>
      </c>
      <c r="D1788" t="s">
        <v>206</v>
      </c>
      <c r="E1788" t="s">
        <v>20</v>
      </c>
      <c r="F1788" t="s">
        <v>1</v>
      </c>
      <c r="G1788" t="s">
        <v>807</v>
      </c>
      <c r="H1788" t="s">
        <v>420</v>
      </c>
      <c r="I1788" t="s">
        <v>1</v>
      </c>
      <c r="J1788">
        <v>17.399999999999999</v>
      </c>
      <c r="K1788"/>
      <c r="L1788">
        <v>0</v>
      </c>
      <c r="M1788">
        <v>0</v>
      </c>
      <c r="N1788">
        <v>17.399999999999999</v>
      </c>
      <c r="O1788"/>
      <c r="P1788">
        <v>0</v>
      </c>
      <c r="Q1788">
        <f t="shared" si="350"/>
        <v>0</v>
      </c>
      <c r="R1788">
        <v>0</v>
      </c>
      <c r="S1788">
        <f t="shared" si="351"/>
        <v>0</v>
      </c>
      <c r="T1788">
        <v>0.04</v>
      </c>
      <c r="U1788">
        <f t="shared" si="352"/>
        <v>0</v>
      </c>
      <c r="V1788">
        <f t="shared" si="353"/>
        <v>0</v>
      </c>
      <c r="W1788">
        <f t="shared" si="354"/>
        <v>0</v>
      </c>
      <c r="X1788">
        <v>0</v>
      </c>
    </row>
    <row r="1789" spans="1:24" x14ac:dyDescent="0.25">
      <c r="A1789" t="s">
        <v>1960</v>
      </c>
      <c r="B1789" t="s">
        <v>2078</v>
      </c>
      <c r="C1789" t="s">
        <v>2079</v>
      </c>
      <c r="D1789" t="s">
        <v>206</v>
      </c>
      <c r="E1789" t="s">
        <v>21</v>
      </c>
      <c r="F1789" t="s">
        <v>1</v>
      </c>
      <c r="G1789" t="s">
        <v>807</v>
      </c>
      <c r="H1789" t="s">
        <v>421</v>
      </c>
      <c r="I1789" t="s">
        <v>1</v>
      </c>
      <c r="J1789">
        <v>903.51</v>
      </c>
      <c r="K1789">
        <v>526.50000000019998</v>
      </c>
      <c r="L1789">
        <v>264.45</v>
      </c>
      <c r="M1789">
        <v>533.28314917127068</v>
      </c>
      <c r="N1789">
        <v>857.24999999999989</v>
      </c>
      <c r="O1789">
        <v>533.28314917130001</v>
      </c>
      <c r="P1789">
        <v>0</v>
      </c>
      <c r="Q1789">
        <f t="shared" si="350"/>
        <v>533.28314917130001</v>
      </c>
      <c r="R1789">
        <v>533.28314917130001</v>
      </c>
      <c r="S1789">
        <f t="shared" si="351"/>
        <v>0</v>
      </c>
      <c r="T1789">
        <v>0.03</v>
      </c>
      <c r="U1789">
        <f t="shared" si="352"/>
        <v>15.998494475138999</v>
      </c>
      <c r="V1789">
        <f t="shared" si="353"/>
        <v>549.28164364643897</v>
      </c>
      <c r="W1789">
        <f t="shared" si="354"/>
        <v>15.998494475138955</v>
      </c>
      <c r="X1789">
        <v>0</v>
      </c>
    </row>
    <row r="1790" spans="1:24" x14ac:dyDescent="0.25">
      <c r="A1790" t="s">
        <v>1960</v>
      </c>
      <c r="B1790" t="s">
        <v>2078</v>
      </c>
      <c r="C1790" t="s">
        <v>2079</v>
      </c>
      <c r="D1790" t="s">
        <v>206</v>
      </c>
      <c r="E1790" t="s">
        <v>22</v>
      </c>
      <c r="F1790" t="s">
        <v>1</v>
      </c>
      <c r="G1790" t="s">
        <v>807</v>
      </c>
      <c r="H1790" t="s">
        <v>422</v>
      </c>
      <c r="I1790" t="s">
        <v>1</v>
      </c>
      <c r="J1790">
        <v>1411.77</v>
      </c>
      <c r="K1790">
        <v>2132.1000000002</v>
      </c>
      <c r="L1790">
        <v>398.41</v>
      </c>
      <c r="M1790">
        <v>803.42348066298348</v>
      </c>
      <c r="N1790">
        <v>779.28</v>
      </c>
      <c r="O1790">
        <v>803.42348066299996</v>
      </c>
      <c r="P1790">
        <v>0</v>
      </c>
      <c r="Q1790">
        <f t="shared" si="350"/>
        <v>803.42348066299996</v>
      </c>
      <c r="R1790">
        <v>803.42348066299996</v>
      </c>
      <c r="S1790">
        <f t="shared" si="351"/>
        <v>0</v>
      </c>
      <c r="T1790">
        <v>3.5000000000000003E-2</v>
      </c>
      <c r="U1790">
        <f t="shared" si="352"/>
        <v>28.119821823205001</v>
      </c>
      <c r="V1790">
        <f t="shared" si="353"/>
        <v>831.54330248620499</v>
      </c>
      <c r="W1790">
        <f t="shared" si="354"/>
        <v>28.119821823205029</v>
      </c>
      <c r="X1790">
        <v>0</v>
      </c>
    </row>
    <row r="1791" spans="1:24" x14ac:dyDescent="0.25">
      <c r="A1791" t="s">
        <v>1960</v>
      </c>
      <c r="B1791" t="s">
        <v>2078</v>
      </c>
      <c r="C1791" t="s">
        <v>2079</v>
      </c>
      <c r="D1791" t="s">
        <v>206</v>
      </c>
      <c r="E1791" t="s">
        <v>24</v>
      </c>
      <c r="F1791" t="s">
        <v>1</v>
      </c>
      <c r="G1791" t="s">
        <v>807</v>
      </c>
      <c r="H1791" t="s">
        <v>424</v>
      </c>
      <c r="I1791" t="s">
        <v>1</v>
      </c>
      <c r="J1791">
        <v>245</v>
      </c>
      <c r="K1791">
        <v>746.00000000039995</v>
      </c>
      <c r="L1791">
        <v>580.41999999999996</v>
      </c>
      <c r="M1791">
        <v>1170.4602209944751</v>
      </c>
      <c r="N1791">
        <v>580.42000000000007</v>
      </c>
      <c r="O1791">
        <v>1160.8399999999999</v>
      </c>
      <c r="P1791">
        <v>0</v>
      </c>
      <c r="Q1791">
        <f t="shared" si="350"/>
        <v>1160.8399999999999</v>
      </c>
      <c r="R1791">
        <v>1220</v>
      </c>
      <c r="S1791">
        <f t="shared" si="351"/>
        <v>59.160000000000082</v>
      </c>
      <c r="T1791"/>
      <c r="U1791">
        <f t="shared" si="352"/>
        <v>0</v>
      </c>
      <c r="V1791">
        <f t="shared" si="353"/>
        <v>1220</v>
      </c>
      <c r="W1791">
        <f t="shared" si="354"/>
        <v>59.160000000000082</v>
      </c>
      <c r="X1791" t="s">
        <v>1608</v>
      </c>
    </row>
    <row r="1792" spans="1:24" x14ac:dyDescent="0.25">
      <c r="A1792" t="s">
        <v>1960</v>
      </c>
      <c r="B1792" t="s">
        <v>2078</v>
      </c>
      <c r="C1792" t="s">
        <v>2079</v>
      </c>
      <c r="D1792" t="s">
        <v>206</v>
      </c>
      <c r="E1792" t="s">
        <v>26</v>
      </c>
      <c r="F1792" t="s">
        <v>1</v>
      </c>
      <c r="G1792" t="s">
        <v>807</v>
      </c>
      <c r="H1792" t="s">
        <v>426</v>
      </c>
      <c r="I1792" t="s">
        <v>1</v>
      </c>
      <c r="J1792">
        <v>673.66</v>
      </c>
      <c r="K1792">
        <v>941.98883356320005</v>
      </c>
      <c r="L1792">
        <v>0</v>
      </c>
      <c r="M1792">
        <v>0</v>
      </c>
      <c r="N1792">
        <v>673.66</v>
      </c>
      <c r="O1792"/>
      <c r="P1792">
        <v>0</v>
      </c>
      <c r="Q1792">
        <f t="shared" si="350"/>
        <v>0</v>
      </c>
      <c r="R1792">
        <v>1500</v>
      </c>
      <c r="S1792">
        <f t="shared" si="351"/>
        <v>1500</v>
      </c>
      <c r="T1792"/>
      <c r="U1792">
        <f t="shared" si="352"/>
        <v>0</v>
      </c>
      <c r="V1792">
        <f t="shared" si="353"/>
        <v>1500</v>
      </c>
      <c r="W1792">
        <f t="shared" si="354"/>
        <v>1500</v>
      </c>
      <c r="X1792" t="s">
        <v>1609</v>
      </c>
    </row>
    <row r="1793" spans="1:24" x14ac:dyDescent="0.25">
      <c r="A1793" t="s">
        <v>1960</v>
      </c>
      <c r="B1793" t="s">
        <v>2078</v>
      </c>
      <c r="C1793" t="s">
        <v>2079</v>
      </c>
      <c r="D1793" t="s">
        <v>206</v>
      </c>
      <c r="E1793" t="s">
        <v>28</v>
      </c>
      <c r="F1793" t="s">
        <v>1</v>
      </c>
      <c r="G1793" t="s">
        <v>807</v>
      </c>
      <c r="H1793" t="s">
        <v>428</v>
      </c>
      <c r="I1793" t="s">
        <v>1</v>
      </c>
      <c r="J1793">
        <v>366.35</v>
      </c>
      <c r="K1793">
        <v>530.00000000039995</v>
      </c>
      <c r="L1793">
        <v>4340.8999999999996</v>
      </c>
      <c r="M1793">
        <v>8753.7486187845298</v>
      </c>
      <c r="N1793">
        <v>4420.4400000000005</v>
      </c>
      <c r="O1793">
        <v>8681.7999999999993</v>
      </c>
      <c r="P1793">
        <v>0</v>
      </c>
      <c r="Q1793">
        <f t="shared" si="350"/>
        <v>8681.7999999999993</v>
      </c>
      <c r="R1793">
        <v>1860</v>
      </c>
      <c r="S1793">
        <f t="shared" si="351"/>
        <v>-6821.7999999999993</v>
      </c>
      <c r="T1793"/>
      <c r="U1793">
        <f t="shared" si="352"/>
        <v>0</v>
      </c>
      <c r="V1793">
        <f t="shared" si="353"/>
        <v>1860</v>
      </c>
      <c r="W1793">
        <f t="shared" si="354"/>
        <v>-6821.7999999999993</v>
      </c>
      <c r="X1793" t="s">
        <v>1610</v>
      </c>
    </row>
    <row r="1794" spans="1:24" x14ac:dyDescent="0.25">
      <c r="A1794" t="s">
        <v>1960</v>
      </c>
      <c r="B1794" t="s">
        <v>2078</v>
      </c>
      <c r="C1794" t="s">
        <v>2079</v>
      </c>
      <c r="D1794" t="s">
        <v>206</v>
      </c>
      <c r="E1794" t="s">
        <v>34</v>
      </c>
      <c r="F1794" t="s">
        <v>1</v>
      </c>
      <c r="G1794" t="s">
        <v>807</v>
      </c>
      <c r="H1794" t="s">
        <v>434</v>
      </c>
      <c r="I1794" t="s">
        <v>1</v>
      </c>
      <c r="J1794">
        <v>75.16</v>
      </c>
      <c r="K1794"/>
      <c r="L1794">
        <v>98.39</v>
      </c>
      <c r="M1794">
        <v>198.41077348066301</v>
      </c>
      <c r="N1794">
        <v>98.39</v>
      </c>
      <c r="O1794">
        <v>196.78</v>
      </c>
      <c r="P1794">
        <v>0</v>
      </c>
      <c r="Q1794">
        <f t="shared" si="350"/>
        <v>196.78</v>
      </c>
      <c r="R1794">
        <v>500</v>
      </c>
      <c r="S1794">
        <f t="shared" si="351"/>
        <v>303.22000000000003</v>
      </c>
      <c r="T1794"/>
      <c r="U1794">
        <f t="shared" si="352"/>
        <v>0</v>
      </c>
      <c r="V1794">
        <f t="shared" si="353"/>
        <v>500</v>
      </c>
      <c r="W1794">
        <f t="shared" si="354"/>
        <v>303.22000000000003</v>
      </c>
      <c r="X1794" t="s">
        <v>1611</v>
      </c>
    </row>
    <row r="1795" spans="1:24" x14ac:dyDescent="0.25">
      <c r="A1795" t="s">
        <v>1960</v>
      </c>
      <c r="B1795" t="s">
        <v>2078</v>
      </c>
      <c r="C1795" t="s">
        <v>2079</v>
      </c>
      <c r="D1795" t="s">
        <v>206</v>
      </c>
      <c r="E1795" t="s">
        <v>41</v>
      </c>
      <c r="F1795" t="s">
        <v>1</v>
      </c>
      <c r="G1795" t="s">
        <v>807</v>
      </c>
      <c r="H1795" t="s">
        <v>441</v>
      </c>
      <c r="I1795" t="s">
        <v>1</v>
      </c>
      <c r="J1795">
        <v>4</v>
      </c>
      <c r="K1795">
        <v>7.8574213247999998</v>
      </c>
      <c r="L1795">
        <v>0</v>
      </c>
      <c r="M1795">
        <v>0</v>
      </c>
      <c r="N1795">
        <v>0</v>
      </c>
      <c r="O1795"/>
      <c r="P1795">
        <v>0</v>
      </c>
      <c r="Q1795">
        <f t="shared" si="350"/>
        <v>0</v>
      </c>
      <c r="R1795">
        <v>0</v>
      </c>
      <c r="S1795">
        <f t="shared" si="351"/>
        <v>0</v>
      </c>
      <c r="T1795">
        <v>0.03</v>
      </c>
      <c r="U1795">
        <f t="shared" si="352"/>
        <v>0</v>
      </c>
      <c r="V1795">
        <f t="shared" si="353"/>
        <v>0</v>
      </c>
      <c r="W1795">
        <f t="shared" si="354"/>
        <v>0</v>
      </c>
      <c r="X1795">
        <v>0</v>
      </c>
    </row>
    <row r="1796" spans="1:24" x14ac:dyDescent="0.25">
      <c r="A1796" t="s">
        <v>1960</v>
      </c>
      <c r="B1796" t="s">
        <v>2078</v>
      </c>
      <c r="C1796" t="s">
        <v>2079</v>
      </c>
      <c r="D1796" t="s">
        <v>206</v>
      </c>
      <c r="E1796" t="s">
        <v>50</v>
      </c>
      <c r="F1796" t="s">
        <v>1</v>
      </c>
      <c r="G1796" t="s">
        <v>807</v>
      </c>
      <c r="H1796" t="s">
        <v>450</v>
      </c>
      <c r="I1796" t="s">
        <v>1</v>
      </c>
      <c r="J1796">
        <v>2097.19</v>
      </c>
      <c r="K1796">
        <v>1929.9999999996</v>
      </c>
      <c r="L1796">
        <v>936.91</v>
      </c>
      <c r="M1796">
        <v>1889.3488950276242</v>
      </c>
      <c r="N1796">
        <v>2068.27</v>
      </c>
      <c r="O1796">
        <v>1889.3488950276001</v>
      </c>
      <c r="P1796">
        <v>0</v>
      </c>
      <c r="Q1796">
        <f t="shared" si="350"/>
        <v>1889.3488950276001</v>
      </c>
      <c r="R1796">
        <v>1889.3488950276001</v>
      </c>
      <c r="S1796">
        <f t="shared" si="351"/>
        <v>0</v>
      </c>
      <c r="T1796"/>
      <c r="U1796">
        <f t="shared" si="352"/>
        <v>0</v>
      </c>
      <c r="V1796">
        <f t="shared" si="353"/>
        <v>1889.3488950276001</v>
      </c>
      <c r="W1796">
        <f t="shared" si="354"/>
        <v>0</v>
      </c>
      <c r="X1796" t="s">
        <v>1612</v>
      </c>
    </row>
    <row r="1797" spans="1:24" ht="17.25" customHeight="1" x14ac:dyDescent="0.25">
      <c r="A1797" t="s">
        <v>1960</v>
      </c>
      <c r="B1797" t="s">
        <v>2078</v>
      </c>
      <c r="C1797" t="s">
        <v>2079</v>
      </c>
      <c r="D1797" t="s">
        <v>206</v>
      </c>
      <c r="E1797" t="s">
        <v>51</v>
      </c>
      <c r="F1797" t="s">
        <v>51</v>
      </c>
      <c r="G1797" t="s">
        <v>808</v>
      </c>
      <c r="H1797"/>
      <c r="I1797"/>
      <c r="J1797">
        <v>8853.17</v>
      </c>
      <c r="K1797">
        <v>9799.4462548888023</v>
      </c>
      <c r="L1797">
        <v>7964.46</v>
      </c>
      <c r="M1797">
        <v>16060.92762430939</v>
      </c>
      <c r="N1797">
        <v>12276.369999999999</v>
      </c>
      <c r="O1797">
        <v>15955.435524861901</v>
      </c>
      <c r="P1797">
        <f>SUMIF($F$1784:$F$1796,"&lt;&gt;EV_*",$P$1784:$P$1796)</f>
        <v>0</v>
      </c>
      <c r="Q1797">
        <f>SUMIF($F$1784:$F$1796,"&lt;&gt;EV_*",$Q$1784:$Q$1796)</f>
        <v>15955.435524861901</v>
      </c>
      <c r="R1797">
        <f>SUMIF($F$1784:$F$1796,"&lt;&gt;EV_*",$R$1784:$R$1796)</f>
        <v>13996.015524861901</v>
      </c>
      <c r="S1797">
        <f>SUMIF($F$1784:$F$1796,"&lt;&gt;EV_*",$S$1784:$S$1796)</f>
        <v>-1959.4199999999994</v>
      </c>
      <c r="T1797">
        <v>0</v>
      </c>
      <c r="U1797">
        <f>SUMIF($F$1784:$F$1796,"&lt;&gt;EV_*",$U$1784:$U$1796)</f>
        <v>104.118316298344</v>
      </c>
      <c r="V1797">
        <f>SUMIF($F$1784:$F$1796,"&lt;&gt;EV_*",$V$1784:$V$1796)</f>
        <v>14100.133841160245</v>
      </c>
      <c r="W1797">
        <f>SUMIF($F$1784:$F$1796,"&lt;&gt;EV_*",$W$1784:$W$1796)</f>
        <v>-1855.3016837016551</v>
      </c>
      <c r="X1797">
        <f>SUMIF($F$1784:$F$1796,"&lt;&gt;EV_*",$X$1784:$X$1796)</f>
        <v>0</v>
      </c>
    </row>
    <row r="1798" spans="1:24" x14ac:dyDescent="0.25">
      <c r="A1798" t="s">
        <v>1965</v>
      </c>
      <c r="B1798" t="s">
        <v>2017</v>
      </c>
      <c r="C1798" t="s">
        <v>2080</v>
      </c>
      <c r="D1798" t="s">
        <v>207</v>
      </c>
      <c r="E1798" t="s">
        <v>5</v>
      </c>
      <c r="F1798" t="s">
        <v>5</v>
      </c>
      <c r="G1798" t="s">
        <v>809</v>
      </c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</row>
    <row r="1799" spans="1:24" x14ac:dyDescent="0.25">
      <c r="A1799" t="s">
        <v>1965</v>
      </c>
      <c r="B1799" t="s">
        <v>2017</v>
      </c>
      <c r="C1799" t="s">
        <v>2080</v>
      </c>
      <c r="D1799" t="s">
        <v>207</v>
      </c>
      <c r="E1799" t="s">
        <v>8</v>
      </c>
      <c r="F1799" t="s">
        <v>1</v>
      </c>
      <c r="G1799" t="s">
        <v>810</v>
      </c>
      <c r="H1799" t="s">
        <v>408</v>
      </c>
      <c r="I1799" t="s">
        <v>1</v>
      </c>
      <c r="J1799">
        <v>12814.28</v>
      </c>
      <c r="K1799">
        <v>519.26795580110002</v>
      </c>
      <c r="L1799">
        <v>135</v>
      </c>
      <c r="M1799">
        <v>272.23756906077347</v>
      </c>
      <c r="N1799">
        <v>12691.779999999999</v>
      </c>
      <c r="O1799">
        <v>272.23756906080001</v>
      </c>
      <c r="P1799">
        <v>0</v>
      </c>
      <c r="Q1799">
        <f t="shared" ref="Q1799:Q1825" si="355">O1799+P1799</f>
        <v>272.23756906080001</v>
      </c>
      <c r="R1799">
        <v>0</v>
      </c>
      <c r="S1799">
        <f t="shared" ref="S1799:S1825" si="356">IF(OR(LEFT(E1799,2)="A_",LEFT(D1799,5)="Total"),R1799-Q1799,"")</f>
        <v>-272.23756906080001</v>
      </c>
      <c r="T1799"/>
      <c r="U1799">
        <f t="shared" ref="U1799:U1825" si="357">IFERROR(R1799*T1799,R1799*0)</f>
        <v>0</v>
      </c>
      <c r="V1799">
        <f t="shared" ref="V1799:V1825" si="358">IF(OR(LEFT(E1799,2)="A_",LEFT(D1799,5)="Total"),R1799+U1799,"")</f>
        <v>0</v>
      </c>
      <c r="W1799">
        <f t="shared" ref="W1799:W1825" si="359">IF(OR(LEFT(E1799,2)="A_",LEFT(D1799,5)="Total"),V1799-Q1799,"")</f>
        <v>-272.23756906080001</v>
      </c>
      <c r="X1799" t="s">
        <v>1560</v>
      </c>
    </row>
    <row r="1800" spans="1:24" x14ac:dyDescent="0.25">
      <c r="A1800" t="s">
        <v>1965</v>
      </c>
      <c r="B1800" t="s">
        <v>2017</v>
      </c>
      <c r="C1800" t="s">
        <v>2080</v>
      </c>
      <c r="D1800" t="s">
        <v>207</v>
      </c>
      <c r="E1800" t="s">
        <v>10</v>
      </c>
      <c r="F1800" t="s">
        <v>1</v>
      </c>
      <c r="G1800" t="s">
        <v>810</v>
      </c>
      <c r="H1800" t="s">
        <v>410</v>
      </c>
      <c r="I1800" t="s">
        <v>1</v>
      </c>
      <c r="J1800">
        <v>400.5</v>
      </c>
      <c r="K1800">
        <v>957.99999999960005</v>
      </c>
      <c r="L1800">
        <v>318</v>
      </c>
      <c r="M1800">
        <v>641.27071823204415</v>
      </c>
      <c r="N1800">
        <v>636</v>
      </c>
      <c r="O1800">
        <v>636</v>
      </c>
      <c r="P1800">
        <v>0</v>
      </c>
      <c r="Q1800">
        <f t="shared" si="355"/>
        <v>636</v>
      </c>
      <c r="R1800">
        <v>636</v>
      </c>
      <c r="S1800">
        <f t="shared" si="356"/>
        <v>0</v>
      </c>
      <c r="T1800"/>
      <c r="U1800">
        <f t="shared" si="357"/>
        <v>0</v>
      </c>
      <c r="V1800">
        <f t="shared" si="358"/>
        <v>636</v>
      </c>
      <c r="W1800">
        <f t="shared" si="359"/>
        <v>0</v>
      </c>
      <c r="X1800" t="s">
        <v>1613</v>
      </c>
    </row>
    <row r="1801" spans="1:24" x14ac:dyDescent="0.25">
      <c r="A1801" t="s">
        <v>1965</v>
      </c>
      <c r="B1801" t="s">
        <v>2017</v>
      </c>
      <c r="C1801" t="s">
        <v>2080</v>
      </c>
      <c r="D1801" t="s">
        <v>207</v>
      </c>
      <c r="E1801" t="s">
        <v>11</v>
      </c>
      <c r="F1801" t="s">
        <v>1</v>
      </c>
      <c r="G1801" t="s">
        <v>810</v>
      </c>
      <c r="H1801" t="s">
        <v>411</v>
      </c>
      <c r="I1801" t="s">
        <v>1</v>
      </c>
      <c r="J1801">
        <v>1752.53</v>
      </c>
      <c r="K1801">
        <v>1727.0000000004</v>
      </c>
      <c r="L1801">
        <v>885.64</v>
      </c>
      <c r="M1801">
        <v>1785.9591160220994</v>
      </c>
      <c r="N1801">
        <v>1776.9</v>
      </c>
      <c r="O1801">
        <v>1771.28</v>
      </c>
      <c r="P1801">
        <v>0</v>
      </c>
      <c r="Q1801">
        <f t="shared" si="355"/>
        <v>1771.28</v>
      </c>
      <c r="R1801">
        <v>1771</v>
      </c>
      <c r="S1801">
        <f t="shared" si="356"/>
        <v>-0.27999999999997272</v>
      </c>
      <c r="T1801"/>
      <c r="U1801">
        <f t="shared" si="357"/>
        <v>0</v>
      </c>
      <c r="V1801">
        <f t="shared" si="358"/>
        <v>1771</v>
      </c>
      <c r="W1801">
        <f t="shared" si="359"/>
        <v>-0.27999999999997272</v>
      </c>
      <c r="X1801" t="s">
        <v>1614</v>
      </c>
    </row>
    <row r="1802" spans="1:24" x14ac:dyDescent="0.25">
      <c r="A1802" t="s">
        <v>1965</v>
      </c>
      <c r="B1802" t="s">
        <v>2017</v>
      </c>
      <c r="C1802" t="s">
        <v>2080</v>
      </c>
      <c r="D1802" t="s">
        <v>207</v>
      </c>
      <c r="E1802" t="s">
        <v>13</v>
      </c>
      <c r="F1802" t="s">
        <v>1</v>
      </c>
      <c r="G1802" t="s">
        <v>810</v>
      </c>
      <c r="H1802" t="s">
        <v>413</v>
      </c>
      <c r="I1802" t="s">
        <v>1</v>
      </c>
      <c r="J1802">
        <v>163.93</v>
      </c>
      <c r="K1802"/>
      <c r="L1802">
        <v>105.09</v>
      </c>
      <c r="M1802">
        <v>211.92182320441989</v>
      </c>
      <c r="N1802">
        <v>269.02</v>
      </c>
      <c r="O1802">
        <v>210.18</v>
      </c>
      <c r="P1802">
        <v>0</v>
      </c>
      <c r="Q1802">
        <f t="shared" si="355"/>
        <v>210.18</v>
      </c>
      <c r="R1802">
        <v>210</v>
      </c>
      <c r="S1802">
        <f t="shared" si="356"/>
        <v>-0.18000000000000682</v>
      </c>
      <c r="T1802"/>
      <c r="U1802">
        <f t="shared" si="357"/>
        <v>0</v>
      </c>
      <c r="V1802">
        <f t="shared" si="358"/>
        <v>210</v>
      </c>
      <c r="W1802">
        <f t="shared" si="359"/>
        <v>-0.18000000000000682</v>
      </c>
      <c r="X1802" t="s">
        <v>1573</v>
      </c>
    </row>
    <row r="1803" spans="1:24" x14ac:dyDescent="0.25">
      <c r="A1803" t="s">
        <v>1965</v>
      </c>
      <c r="B1803" t="s">
        <v>2017</v>
      </c>
      <c r="C1803" t="s">
        <v>2080</v>
      </c>
      <c r="D1803" t="s">
        <v>207</v>
      </c>
      <c r="E1803" t="s">
        <v>17</v>
      </c>
      <c r="F1803" t="s">
        <v>1</v>
      </c>
      <c r="G1803" t="s">
        <v>810</v>
      </c>
      <c r="H1803" t="s">
        <v>417</v>
      </c>
      <c r="I1803" t="s">
        <v>1</v>
      </c>
      <c r="J1803">
        <v>-2126</v>
      </c>
      <c r="K1803">
        <v>-2350</v>
      </c>
      <c r="L1803">
        <v>-407.44</v>
      </c>
      <c r="M1803">
        <v>-821.6331491712707</v>
      </c>
      <c r="N1803">
        <v>-407.44</v>
      </c>
      <c r="O1803">
        <v>-819.3573626374</v>
      </c>
      <c r="P1803">
        <v>0</v>
      </c>
      <c r="Q1803">
        <f t="shared" si="355"/>
        <v>-819.3573626374</v>
      </c>
      <c r="R1803">
        <v>0</v>
      </c>
      <c r="S1803">
        <f t="shared" si="356"/>
        <v>819.3573626374</v>
      </c>
      <c r="T1803"/>
      <c r="U1803">
        <f t="shared" si="357"/>
        <v>0</v>
      </c>
      <c r="V1803">
        <f t="shared" si="358"/>
        <v>0</v>
      </c>
      <c r="W1803">
        <f t="shared" si="359"/>
        <v>819.3573626374</v>
      </c>
      <c r="X1803">
        <v>0</v>
      </c>
    </row>
    <row r="1804" spans="1:24" x14ac:dyDescent="0.25">
      <c r="A1804" t="s">
        <v>1965</v>
      </c>
      <c r="B1804" t="s">
        <v>2017</v>
      </c>
      <c r="C1804" t="s">
        <v>2080</v>
      </c>
      <c r="D1804" t="s">
        <v>207</v>
      </c>
      <c r="E1804" t="s">
        <v>18</v>
      </c>
      <c r="F1804" t="s">
        <v>1</v>
      </c>
      <c r="G1804" t="s">
        <v>810</v>
      </c>
      <c r="H1804" t="s">
        <v>418</v>
      </c>
      <c r="I1804" t="s">
        <v>1</v>
      </c>
      <c r="J1804">
        <v>1994.03</v>
      </c>
      <c r="K1804">
        <v>1147.7443106548999</v>
      </c>
      <c r="L1804">
        <v>3897.82</v>
      </c>
      <c r="M1804">
        <v>7860.2447513812158</v>
      </c>
      <c r="N1804">
        <v>5141.8499999999995</v>
      </c>
      <c r="O1804">
        <v>7838.4731868132003</v>
      </c>
      <c r="P1804">
        <v>0</v>
      </c>
      <c r="Q1804">
        <f t="shared" si="355"/>
        <v>7838.4731868132003</v>
      </c>
      <c r="R1804">
        <v>7838</v>
      </c>
      <c r="S1804">
        <f t="shared" si="356"/>
        <v>-0.47318681320030009</v>
      </c>
      <c r="T1804">
        <v>0.02</v>
      </c>
      <c r="U1804">
        <f t="shared" si="357"/>
        <v>156.76</v>
      </c>
      <c r="V1804">
        <f t="shared" si="358"/>
        <v>7994.76</v>
      </c>
      <c r="W1804">
        <f t="shared" si="359"/>
        <v>156.28681318679992</v>
      </c>
      <c r="X1804">
        <v>0</v>
      </c>
    </row>
    <row r="1805" spans="1:24" x14ac:dyDescent="0.25">
      <c r="A1805" t="s">
        <v>1965</v>
      </c>
      <c r="B1805" t="s">
        <v>2017</v>
      </c>
      <c r="C1805" t="s">
        <v>2080</v>
      </c>
      <c r="D1805" t="s">
        <v>207</v>
      </c>
      <c r="E1805" t="s">
        <v>74</v>
      </c>
      <c r="F1805" t="s">
        <v>1</v>
      </c>
      <c r="G1805" t="s">
        <v>810</v>
      </c>
      <c r="H1805" t="s">
        <v>491</v>
      </c>
      <c r="I1805" t="s">
        <v>1</v>
      </c>
      <c r="J1805">
        <v>385</v>
      </c>
      <c r="K1805"/>
      <c r="L1805">
        <v>231</v>
      </c>
      <c r="M1805">
        <v>465.82872928176795</v>
      </c>
      <c r="N1805">
        <v>616</v>
      </c>
      <c r="O1805">
        <v>464.53846153849997</v>
      </c>
      <c r="P1805">
        <v>0</v>
      </c>
      <c r="Q1805">
        <f t="shared" si="355"/>
        <v>464.53846153849997</v>
      </c>
      <c r="R1805">
        <v>465</v>
      </c>
      <c r="S1805">
        <f t="shared" si="356"/>
        <v>0.46153846150002664</v>
      </c>
      <c r="T1805">
        <v>3.5000000000000003E-2</v>
      </c>
      <c r="U1805">
        <f t="shared" si="357"/>
        <v>16.275000000000002</v>
      </c>
      <c r="V1805">
        <f t="shared" si="358"/>
        <v>481.27499999999998</v>
      </c>
      <c r="W1805">
        <f t="shared" si="359"/>
        <v>16.736538461500004</v>
      </c>
      <c r="X1805">
        <v>0</v>
      </c>
    </row>
    <row r="1806" spans="1:24" x14ac:dyDescent="0.25">
      <c r="A1806" t="s">
        <v>1965</v>
      </c>
      <c r="B1806" t="s">
        <v>2017</v>
      </c>
      <c r="C1806" t="s">
        <v>2080</v>
      </c>
      <c r="D1806" t="s">
        <v>207</v>
      </c>
      <c r="E1806" t="s">
        <v>85</v>
      </c>
      <c r="F1806" t="s">
        <v>1</v>
      </c>
      <c r="G1806" t="s">
        <v>810</v>
      </c>
      <c r="H1806" t="s">
        <v>510</v>
      </c>
      <c r="I1806" t="s">
        <v>1</v>
      </c>
      <c r="J1806">
        <v>2308</v>
      </c>
      <c r="K1806">
        <v>-10.470000000100001</v>
      </c>
      <c r="L1806">
        <v>2988.86</v>
      </c>
      <c r="M1806">
        <v>6027.2591160221</v>
      </c>
      <c r="N1806">
        <v>5296.86</v>
      </c>
      <c r="O1806">
        <v>6010.5646153846001</v>
      </c>
      <c r="P1806">
        <v>0</v>
      </c>
      <c r="Q1806">
        <f t="shared" si="355"/>
        <v>6010.5646153846001</v>
      </c>
      <c r="R1806">
        <v>6011</v>
      </c>
      <c r="S1806">
        <f t="shared" si="356"/>
        <v>0.43538461539992568</v>
      </c>
      <c r="T1806">
        <v>0.02</v>
      </c>
      <c r="U1806">
        <f t="shared" si="357"/>
        <v>120.22</v>
      </c>
      <c r="V1806">
        <f t="shared" si="358"/>
        <v>6131.22</v>
      </c>
      <c r="W1806">
        <f t="shared" si="359"/>
        <v>120.65538461540018</v>
      </c>
      <c r="X1806">
        <v>0</v>
      </c>
    </row>
    <row r="1807" spans="1:24" x14ac:dyDescent="0.25">
      <c r="A1807" t="s">
        <v>1965</v>
      </c>
      <c r="B1807" t="s">
        <v>2017</v>
      </c>
      <c r="C1807" t="s">
        <v>2080</v>
      </c>
      <c r="D1807" t="s">
        <v>207</v>
      </c>
      <c r="E1807" t="s">
        <v>119</v>
      </c>
      <c r="F1807" t="s">
        <v>1</v>
      </c>
      <c r="G1807" t="s">
        <v>810</v>
      </c>
      <c r="H1807" t="s">
        <v>588</v>
      </c>
      <c r="I1807" t="s">
        <v>1</v>
      </c>
      <c r="J1807">
        <v>25734.720000000001</v>
      </c>
      <c r="K1807">
        <v>5299.3203777593999</v>
      </c>
      <c r="L1807">
        <v>55449.49</v>
      </c>
      <c r="M1807">
        <v>111818.03232044198</v>
      </c>
      <c r="N1807">
        <v>77712.490000000005</v>
      </c>
      <c r="O1807">
        <v>111508.31505494499</v>
      </c>
      <c r="P1807">
        <v>0</v>
      </c>
      <c r="Q1807">
        <f t="shared" si="355"/>
        <v>111508.31505494499</v>
      </c>
      <c r="R1807">
        <v>111508</v>
      </c>
      <c r="S1807">
        <f t="shared" si="356"/>
        <v>-0.31505494499288034</v>
      </c>
      <c r="T1807">
        <v>1.4999999999999999E-2</v>
      </c>
      <c r="U1807">
        <f t="shared" si="357"/>
        <v>1672.62</v>
      </c>
      <c r="V1807">
        <f t="shared" si="358"/>
        <v>113180.62</v>
      </c>
      <c r="W1807">
        <f t="shared" si="359"/>
        <v>1672.3049450550025</v>
      </c>
      <c r="X1807" t="s">
        <v>1615</v>
      </c>
    </row>
    <row r="1808" spans="1:24" x14ac:dyDescent="0.25">
      <c r="A1808" t="s">
        <v>1965</v>
      </c>
      <c r="B1808" t="s">
        <v>2017</v>
      </c>
      <c r="C1808" t="s">
        <v>2080</v>
      </c>
      <c r="D1808" t="s">
        <v>207</v>
      </c>
      <c r="E1808" t="s">
        <v>120</v>
      </c>
      <c r="F1808" t="s">
        <v>1</v>
      </c>
      <c r="G1808" t="s">
        <v>810</v>
      </c>
      <c r="H1808" t="s">
        <v>589</v>
      </c>
      <c r="I1808" t="s">
        <v>1</v>
      </c>
      <c r="J1808"/>
      <c r="K1808"/>
      <c r="L1808">
        <v>2680</v>
      </c>
      <c r="M1808">
        <v>5404.419889502763</v>
      </c>
      <c r="N1808">
        <v>2680</v>
      </c>
      <c r="O1808">
        <v>5389.4505494506002</v>
      </c>
      <c r="P1808">
        <v>0</v>
      </c>
      <c r="Q1808">
        <f t="shared" si="355"/>
        <v>5389.4505494506002</v>
      </c>
      <c r="R1808">
        <v>5389</v>
      </c>
      <c r="S1808">
        <f t="shared" si="356"/>
        <v>-0.45054945060019236</v>
      </c>
      <c r="T1808">
        <v>3.5000000000000003E-2</v>
      </c>
      <c r="U1808">
        <f t="shared" si="357"/>
        <v>188.61500000000001</v>
      </c>
      <c r="V1808">
        <f t="shared" si="358"/>
        <v>5577.6149999999998</v>
      </c>
      <c r="W1808">
        <f t="shared" si="359"/>
        <v>188.16445054939959</v>
      </c>
      <c r="X1808">
        <v>0</v>
      </c>
    </row>
    <row r="1809" spans="1:24" x14ac:dyDescent="0.25">
      <c r="A1809" t="s">
        <v>1965</v>
      </c>
      <c r="B1809" t="s">
        <v>2017</v>
      </c>
      <c r="C1809" t="s">
        <v>2080</v>
      </c>
      <c r="D1809" t="s">
        <v>207</v>
      </c>
      <c r="E1809" t="s">
        <v>21</v>
      </c>
      <c r="F1809" t="s">
        <v>1</v>
      </c>
      <c r="G1809" t="s">
        <v>810</v>
      </c>
      <c r="H1809" t="s">
        <v>421</v>
      </c>
      <c r="I1809" t="s">
        <v>1</v>
      </c>
      <c r="J1809">
        <v>248.63</v>
      </c>
      <c r="K1809">
        <v>245.48999999989999</v>
      </c>
      <c r="L1809">
        <v>0</v>
      </c>
      <c r="M1809">
        <v>0</v>
      </c>
      <c r="N1809">
        <v>121.44</v>
      </c>
      <c r="O1809"/>
      <c r="P1809">
        <v>0</v>
      </c>
      <c r="Q1809">
        <f t="shared" si="355"/>
        <v>0</v>
      </c>
      <c r="R1809">
        <v>0</v>
      </c>
      <c r="S1809">
        <f t="shared" si="356"/>
        <v>0</v>
      </c>
      <c r="T1809">
        <v>0.03</v>
      </c>
      <c r="U1809">
        <f t="shared" si="357"/>
        <v>0</v>
      </c>
      <c r="V1809">
        <f t="shared" si="358"/>
        <v>0</v>
      </c>
      <c r="W1809">
        <f t="shared" si="359"/>
        <v>0</v>
      </c>
      <c r="X1809">
        <v>0</v>
      </c>
    </row>
    <row r="1810" spans="1:24" x14ac:dyDescent="0.25">
      <c r="A1810" t="s">
        <v>1965</v>
      </c>
      <c r="B1810" t="s">
        <v>2017</v>
      </c>
      <c r="C1810" t="s">
        <v>2080</v>
      </c>
      <c r="D1810" t="s">
        <v>207</v>
      </c>
      <c r="E1810" t="s">
        <v>22</v>
      </c>
      <c r="F1810" t="s">
        <v>1</v>
      </c>
      <c r="G1810" t="s">
        <v>810</v>
      </c>
      <c r="H1810" t="s">
        <v>422</v>
      </c>
      <c r="I1810" t="s">
        <v>1</v>
      </c>
      <c r="J1810">
        <v>2681.99</v>
      </c>
      <c r="K1810">
        <v>2929.0499999998001</v>
      </c>
      <c r="L1810">
        <v>895.72</v>
      </c>
      <c r="M1810">
        <v>1806.2861878453039</v>
      </c>
      <c r="N1810">
        <v>2164.5100000000002</v>
      </c>
      <c r="O1810">
        <v>1806.2861878453</v>
      </c>
      <c r="P1810">
        <v>0</v>
      </c>
      <c r="Q1810">
        <f t="shared" si="355"/>
        <v>1806.2861878453</v>
      </c>
      <c r="R1810">
        <v>2000</v>
      </c>
      <c r="S1810">
        <f t="shared" si="356"/>
        <v>193.71381215470001</v>
      </c>
      <c r="T1810">
        <v>3.5000000000000003E-2</v>
      </c>
      <c r="U1810">
        <f t="shared" si="357"/>
        <v>70</v>
      </c>
      <c r="V1810">
        <f t="shared" si="358"/>
        <v>2070</v>
      </c>
      <c r="W1810">
        <f t="shared" si="359"/>
        <v>263.71381215470001</v>
      </c>
      <c r="X1810" t="s">
        <v>1616</v>
      </c>
    </row>
    <row r="1811" spans="1:24" x14ac:dyDescent="0.25">
      <c r="A1811" t="s">
        <v>1965</v>
      </c>
      <c r="B1811" t="s">
        <v>2017</v>
      </c>
      <c r="C1811" t="s">
        <v>2080</v>
      </c>
      <c r="D1811" t="s">
        <v>207</v>
      </c>
      <c r="E1811" t="s">
        <v>23</v>
      </c>
      <c r="F1811" t="s">
        <v>1</v>
      </c>
      <c r="G1811" t="s">
        <v>810</v>
      </c>
      <c r="H1811" t="s">
        <v>423</v>
      </c>
      <c r="I1811" t="s">
        <v>1</v>
      </c>
      <c r="J1811">
        <v>120.58</v>
      </c>
      <c r="K1811">
        <v>248.39999999989999</v>
      </c>
      <c r="L1811">
        <v>0</v>
      </c>
      <c r="M1811">
        <v>0</v>
      </c>
      <c r="N1811">
        <v>0</v>
      </c>
      <c r="O1811"/>
      <c r="P1811">
        <v>0</v>
      </c>
      <c r="Q1811">
        <f t="shared" si="355"/>
        <v>0</v>
      </c>
      <c r="R1811">
        <v>0</v>
      </c>
      <c r="S1811">
        <f t="shared" si="356"/>
        <v>0</v>
      </c>
      <c r="T1811">
        <v>3.5000000000000003E-2</v>
      </c>
      <c r="U1811">
        <f t="shared" si="357"/>
        <v>0</v>
      </c>
      <c r="V1811">
        <f t="shared" si="358"/>
        <v>0</v>
      </c>
      <c r="W1811">
        <f t="shared" si="359"/>
        <v>0</v>
      </c>
      <c r="X1811">
        <v>0</v>
      </c>
    </row>
    <row r="1812" spans="1:24" x14ac:dyDescent="0.25">
      <c r="A1812" t="s">
        <v>1965</v>
      </c>
      <c r="B1812" t="s">
        <v>2017</v>
      </c>
      <c r="C1812" t="s">
        <v>2080</v>
      </c>
      <c r="D1812" t="s">
        <v>207</v>
      </c>
      <c r="E1812" t="s">
        <v>24</v>
      </c>
      <c r="F1812" t="s">
        <v>1</v>
      </c>
      <c r="G1812" t="s">
        <v>810</v>
      </c>
      <c r="H1812" t="s">
        <v>424</v>
      </c>
      <c r="I1812" t="s">
        <v>1</v>
      </c>
      <c r="J1812"/>
      <c r="K1812">
        <v>474.99999999959999</v>
      </c>
      <c r="L1812">
        <v>0</v>
      </c>
      <c r="M1812">
        <v>0</v>
      </c>
      <c r="N1812">
        <v>0</v>
      </c>
      <c r="O1812"/>
      <c r="P1812">
        <v>0</v>
      </c>
      <c r="Q1812">
        <f t="shared" si="355"/>
        <v>0</v>
      </c>
      <c r="R1812">
        <v>0</v>
      </c>
      <c r="S1812">
        <f t="shared" si="356"/>
        <v>0</v>
      </c>
      <c r="T1812"/>
      <c r="U1812">
        <f t="shared" si="357"/>
        <v>0</v>
      </c>
      <c r="V1812">
        <f t="shared" si="358"/>
        <v>0</v>
      </c>
      <c r="W1812">
        <f t="shared" si="359"/>
        <v>0</v>
      </c>
      <c r="X1812">
        <v>0</v>
      </c>
    </row>
    <row r="1813" spans="1:24" x14ac:dyDescent="0.25">
      <c r="A1813" t="s">
        <v>1965</v>
      </c>
      <c r="B1813" t="s">
        <v>2017</v>
      </c>
      <c r="C1813" t="s">
        <v>2080</v>
      </c>
      <c r="D1813" t="s">
        <v>207</v>
      </c>
      <c r="E1813" t="s">
        <v>26</v>
      </c>
      <c r="F1813" t="s">
        <v>1</v>
      </c>
      <c r="G1813" t="s">
        <v>810</v>
      </c>
      <c r="H1813" t="s">
        <v>426</v>
      </c>
      <c r="I1813" t="s">
        <v>1</v>
      </c>
      <c r="J1813">
        <v>909</v>
      </c>
      <c r="K1813">
        <v>1642.5117825672</v>
      </c>
      <c r="L1813">
        <v>1620</v>
      </c>
      <c r="M1813">
        <v>3266.8508287292816</v>
      </c>
      <c r="N1813">
        <v>2350</v>
      </c>
      <c r="O1813">
        <v>3240</v>
      </c>
      <c r="P1813">
        <v>0</v>
      </c>
      <c r="Q1813">
        <f t="shared" si="355"/>
        <v>3240</v>
      </c>
      <c r="R1813">
        <v>0</v>
      </c>
      <c r="S1813">
        <f t="shared" si="356"/>
        <v>-3240</v>
      </c>
      <c r="T1813"/>
      <c r="U1813">
        <f t="shared" si="357"/>
        <v>0</v>
      </c>
      <c r="V1813">
        <f t="shared" si="358"/>
        <v>0</v>
      </c>
      <c r="W1813">
        <f t="shared" si="359"/>
        <v>-3240</v>
      </c>
      <c r="X1813" t="s">
        <v>1617</v>
      </c>
    </row>
    <row r="1814" spans="1:24" x14ac:dyDescent="0.25">
      <c r="A1814" t="s">
        <v>1965</v>
      </c>
      <c r="B1814" t="s">
        <v>2017</v>
      </c>
      <c r="C1814" t="s">
        <v>2080</v>
      </c>
      <c r="D1814" t="s">
        <v>207</v>
      </c>
      <c r="E1814" t="s">
        <v>29</v>
      </c>
      <c r="F1814" t="s">
        <v>1</v>
      </c>
      <c r="G1814" t="s">
        <v>810</v>
      </c>
      <c r="H1814" t="s">
        <v>429</v>
      </c>
      <c r="I1814" t="s">
        <v>1</v>
      </c>
      <c r="J1814">
        <v>1721.1</v>
      </c>
      <c r="K1814">
        <v>1640.0000000004</v>
      </c>
      <c r="L1814">
        <v>0</v>
      </c>
      <c r="M1814">
        <v>0</v>
      </c>
      <c r="N1814">
        <v>899.7</v>
      </c>
      <c r="O1814"/>
      <c r="P1814">
        <v>0</v>
      </c>
      <c r="Q1814">
        <f t="shared" si="355"/>
        <v>0</v>
      </c>
      <c r="R1814">
        <v>0</v>
      </c>
      <c r="S1814">
        <f t="shared" si="356"/>
        <v>0</v>
      </c>
      <c r="T1814"/>
      <c r="U1814">
        <f t="shared" si="357"/>
        <v>0</v>
      </c>
      <c r="V1814">
        <f t="shared" si="358"/>
        <v>0</v>
      </c>
      <c r="W1814">
        <f t="shared" si="359"/>
        <v>0</v>
      </c>
      <c r="X1814">
        <v>0</v>
      </c>
    </row>
    <row r="1815" spans="1:24" x14ac:dyDescent="0.25">
      <c r="A1815" t="s">
        <v>1965</v>
      </c>
      <c r="B1815" t="s">
        <v>2017</v>
      </c>
      <c r="C1815" t="s">
        <v>2080</v>
      </c>
      <c r="D1815" t="s">
        <v>207</v>
      </c>
      <c r="E1815" t="s">
        <v>31</v>
      </c>
      <c r="F1815" t="s">
        <v>1</v>
      </c>
      <c r="G1815" t="s">
        <v>810</v>
      </c>
      <c r="H1815" t="s">
        <v>431</v>
      </c>
      <c r="I1815" t="s">
        <v>1</v>
      </c>
      <c r="J1815">
        <v>7584.57</v>
      </c>
      <c r="K1815">
        <v>21450.9999999996</v>
      </c>
      <c r="L1815">
        <v>0</v>
      </c>
      <c r="M1815">
        <v>0</v>
      </c>
      <c r="N1815">
        <v>7584.57</v>
      </c>
      <c r="O1815"/>
      <c r="P1815">
        <v>0</v>
      </c>
      <c r="Q1815">
        <f t="shared" si="355"/>
        <v>0</v>
      </c>
      <c r="R1815">
        <v>15000</v>
      </c>
      <c r="S1815">
        <f t="shared" si="356"/>
        <v>15000</v>
      </c>
      <c r="T1815"/>
      <c r="U1815">
        <f t="shared" si="357"/>
        <v>0</v>
      </c>
      <c r="V1815">
        <f t="shared" si="358"/>
        <v>15000</v>
      </c>
      <c r="W1815">
        <f t="shared" si="359"/>
        <v>15000</v>
      </c>
      <c r="X1815">
        <v>0</v>
      </c>
    </row>
    <row r="1816" spans="1:24" x14ac:dyDescent="0.25">
      <c r="A1816" t="s">
        <v>1965</v>
      </c>
      <c r="B1816" t="s">
        <v>2017</v>
      </c>
      <c r="C1816" t="s">
        <v>2080</v>
      </c>
      <c r="D1816" t="s">
        <v>207</v>
      </c>
      <c r="E1816" t="s">
        <v>33</v>
      </c>
      <c r="F1816" t="s">
        <v>1</v>
      </c>
      <c r="G1816" t="s">
        <v>810</v>
      </c>
      <c r="H1816" t="s">
        <v>433</v>
      </c>
      <c r="I1816" t="s">
        <v>1</v>
      </c>
      <c r="J1816">
        <v>5935.76</v>
      </c>
      <c r="K1816">
        <v>15630.298630568401</v>
      </c>
      <c r="L1816">
        <v>2487.1</v>
      </c>
      <c r="M1816">
        <v>5015.4226519337017</v>
      </c>
      <c r="N1816">
        <v>3731.8199999999997</v>
      </c>
      <c r="O1816">
        <v>4974.2</v>
      </c>
      <c r="P1816">
        <v>0</v>
      </c>
      <c r="Q1816">
        <f t="shared" si="355"/>
        <v>4974.2</v>
      </c>
      <c r="R1816">
        <v>15000</v>
      </c>
      <c r="S1816">
        <f t="shared" si="356"/>
        <v>10025.799999999999</v>
      </c>
      <c r="T1816"/>
      <c r="U1816">
        <f t="shared" si="357"/>
        <v>0</v>
      </c>
      <c r="V1816">
        <f t="shared" si="358"/>
        <v>15000</v>
      </c>
      <c r="W1816">
        <f t="shared" si="359"/>
        <v>10025.799999999999</v>
      </c>
      <c r="X1816">
        <v>0</v>
      </c>
    </row>
    <row r="1817" spans="1:24" x14ac:dyDescent="0.25">
      <c r="A1817" t="s">
        <v>1965</v>
      </c>
      <c r="B1817" t="s">
        <v>2017</v>
      </c>
      <c r="C1817" t="s">
        <v>2080</v>
      </c>
      <c r="D1817" t="s">
        <v>207</v>
      </c>
      <c r="E1817" t="s">
        <v>34</v>
      </c>
      <c r="F1817" t="s">
        <v>1</v>
      </c>
      <c r="G1817" t="s">
        <v>810</v>
      </c>
      <c r="H1817" t="s">
        <v>434</v>
      </c>
      <c r="I1817" t="s">
        <v>1</v>
      </c>
      <c r="J1817">
        <v>503.89</v>
      </c>
      <c r="K1817">
        <v>883.1145314652</v>
      </c>
      <c r="L1817">
        <v>115.76</v>
      </c>
      <c r="M1817">
        <v>233.43867403314917</v>
      </c>
      <c r="N1817">
        <v>237.66000000000003</v>
      </c>
      <c r="O1817">
        <v>231.52</v>
      </c>
      <c r="P1817">
        <v>0</v>
      </c>
      <c r="Q1817">
        <f t="shared" si="355"/>
        <v>231.52</v>
      </c>
      <c r="R1817">
        <v>0</v>
      </c>
      <c r="S1817">
        <f t="shared" si="356"/>
        <v>-231.52</v>
      </c>
      <c r="T1817"/>
      <c r="U1817">
        <f t="shared" si="357"/>
        <v>0</v>
      </c>
      <c r="V1817">
        <f t="shared" si="358"/>
        <v>0</v>
      </c>
      <c r="W1817">
        <f t="shared" si="359"/>
        <v>-231.52</v>
      </c>
      <c r="X1817">
        <v>0</v>
      </c>
    </row>
    <row r="1818" spans="1:24" x14ac:dyDescent="0.25">
      <c r="A1818" t="s">
        <v>1965</v>
      </c>
      <c r="B1818" t="s">
        <v>2017</v>
      </c>
      <c r="C1818" t="s">
        <v>2080</v>
      </c>
      <c r="D1818" t="s">
        <v>207</v>
      </c>
      <c r="E1818" t="s">
        <v>37</v>
      </c>
      <c r="F1818" t="s">
        <v>1</v>
      </c>
      <c r="G1818" t="s">
        <v>810</v>
      </c>
      <c r="H1818" t="s">
        <v>437</v>
      </c>
      <c r="I1818" t="s">
        <v>1</v>
      </c>
      <c r="J1818">
        <v>398.1</v>
      </c>
      <c r="K1818">
        <v>11774.8604195352</v>
      </c>
      <c r="L1818">
        <v>0</v>
      </c>
      <c r="M1818">
        <v>0</v>
      </c>
      <c r="N1818">
        <v>398.1</v>
      </c>
      <c r="O1818"/>
      <c r="P1818">
        <v>0</v>
      </c>
      <c r="Q1818">
        <f t="shared" si="355"/>
        <v>0</v>
      </c>
      <c r="R1818">
        <v>0</v>
      </c>
      <c r="S1818">
        <f t="shared" si="356"/>
        <v>0</v>
      </c>
      <c r="T1818"/>
      <c r="U1818">
        <f t="shared" si="357"/>
        <v>0</v>
      </c>
      <c r="V1818">
        <f t="shared" si="358"/>
        <v>0</v>
      </c>
      <c r="W1818">
        <f t="shared" si="359"/>
        <v>0</v>
      </c>
      <c r="X1818">
        <v>0</v>
      </c>
    </row>
    <row r="1819" spans="1:24" x14ac:dyDescent="0.25">
      <c r="A1819" t="s">
        <v>1965</v>
      </c>
      <c r="B1819" t="s">
        <v>2017</v>
      </c>
      <c r="C1819" t="s">
        <v>2080</v>
      </c>
      <c r="D1819" t="s">
        <v>207</v>
      </c>
      <c r="E1819" t="s">
        <v>40</v>
      </c>
      <c r="F1819" t="s">
        <v>1</v>
      </c>
      <c r="G1819" t="s">
        <v>810</v>
      </c>
      <c r="H1819" t="s">
        <v>440</v>
      </c>
      <c r="I1819" t="s">
        <v>1</v>
      </c>
      <c r="J1819">
        <v>445</v>
      </c>
      <c r="K1819"/>
      <c r="L1819">
        <v>262.2</v>
      </c>
      <c r="M1819">
        <v>528.74585635359108</v>
      </c>
      <c r="N1819">
        <v>484.7</v>
      </c>
      <c r="O1819">
        <v>524.4</v>
      </c>
      <c r="P1819">
        <v>0</v>
      </c>
      <c r="Q1819">
        <f t="shared" si="355"/>
        <v>524.4</v>
      </c>
      <c r="R1819">
        <v>524</v>
      </c>
      <c r="S1819">
        <f t="shared" si="356"/>
        <v>-0.39999999999997726</v>
      </c>
      <c r="T1819">
        <v>0.03</v>
      </c>
      <c r="U1819">
        <f t="shared" si="357"/>
        <v>15.719999999999999</v>
      </c>
      <c r="V1819">
        <f t="shared" si="358"/>
        <v>539.72</v>
      </c>
      <c r="W1819">
        <f t="shared" si="359"/>
        <v>15.32000000000005</v>
      </c>
      <c r="X1819" t="s">
        <v>1618</v>
      </c>
    </row>
    <row r="1820" spans="1:24" x14ac:dyDescent="0.25">
      <c r="A1820" t="s">
        <v>1965</v>
      </c>
      <c r="B1820" t="s">
        <v>2017</v>
      </c>
      <c r="C1820" t="s">
        <v>2080</v>
      </c>
      <c r="D1820" t="s">
        <v>207</v>
      </c>
      <c r="E1820" t="s">
        <v>41</v>
      </c>
      <c r="F1820" t="s">
        <v>1</v>
      </c>
      <c r="G1820" t="s">
        <v>810</v>
      </c>
      <c r="H1820" t="s">
        <v>441</v>
      </c>
      <c r="I1820" t="s">
        <v>1</v>
      </c>
      <c r="J1820">
        <v>702.2</v>
      </c>
      <c r="K1820">
        <v>36.7923753516</v>
      </c>
      <c r="L1820">
        <v>50</v>
      </c>
      <c r="M1820">
        <v>100.82872928176796</v>
      </c>
      <c r="N1820">
        <v>733.47</v>
      </c>
      <c r="O1820">
        <v>100</v>
      </c>
      <c r="P1820">
        <v>0</v>
      </c>
      <c r="Q1820">
        <f t="shared" si="355"/>
        <v>100</v>
      </c>
      <c r="R1820">
        <v>100</v>
      </c>
      <c r="S1820">
        <f t="shared" si="356"/>
        <v>0</v>
      </c>
      <c r="T1820">
        <v>0.03</v>
      </c>
      <c r="U1820">
        <f t="shared" si="357"/>
        <v>3</v>
      </c>
      <c r="V1820">
        <f t="shared" si="358"/>
        <v>103</v>
      </c>
      <c r="W1820">
        <f t="shared" si="359"/>
        <v>3</v>
      </c>
      <c r="X1820">
        <v>0</v>
      </c>
    </row>
    <row r="1821" spans="1:24" x14ac:dyDescent="0.25">
      <c r="A1821" t="s">
        <v>1965</v>
      </c>
      <c r="B1821" t="s">
        <v>2017</v>
      </c>
      <c r="C1821" t="s">
        <v>2080</v>
      </c>
      <c r="D1821" t="s">
        <v>207</v>
      </c>
      <c r="E1821" t="s">
        <v>42</v>
      </c>
      <c r="F1821" t="s">
        <v>1</v>
      </c>
      <c r="G1821" t="s">
        <v>810</v>
      </c>
      <c r="H1821" t="s">
        <v>442</v>
      </c>
      <c r="I1821" t="s">
        <v>1</v>
      </c>
      <c r="J1821">
        <v>33.229999999999997</v>
      </c>
      <c r="K1821"/>
      <c r="L1821">
        <v>11.65</v>
      </c>
      <c r="M1821">
        <v>23.493093922651937</v>
      </c>
      <c r="N1821">
        <v>44.879999999999995</v>
      </c>
      <c r="O1821">
        <v>23.3</v>
      </c>
      <c r="P1821">
        <v>0</v>
      </c>
      <c r="Q1821">
        <f t="shared" si="355"/>
        <v>23.3</v>
      </c>
      <c r="R1821">
        <v>23</v>
      </c>
      <c r="S1821">
        <f t="shared" si="356"/>
        <v>-0.30000000000000071</v>
      </c>
      <c r="T1821">
        <v>0.03</v>
      </c>
      <c r="U1821">
        <f t="shared" si="357"/>
        <v>0.69</v>
      </c>
      <c r="V1821">
        <f t="shared" si="358"/>
        <v>23.69</v>
      </c>
      <c r="W1821">
        <f t="shared" si="359"/>
        <v>0.39000000000000057</v>
      </c>
      <c r="X1821" t="s">
        <v>1573</v>
      </c>
    </row>
    <row r="1822" spans="1:24" x14ac:dyDescent="0.25">
      <c r="A1822" t="s">
        <v>1965</v>
      </c>
      <c r="B1822" t="s">
        <v>2017</v>
      </c>
      <c r="C1822" t="s">
        <v>2080</v>
      </c>
      <c r="D1822" t="s">
        <v>207</v>
      </c>
      <c r="E1822" t="s">
        <v>46</v>
      </c>
      <c r="F1822" t="s">
        <v>1</v>
      </c>
      <c r="G1822" t="s">
        <v>810</v>
      </c>
      <c r="H1822" t="s">
        <v>446</v>
      </c>
      <c r="I1822" t="s">
        <v>1</v>
      </c>
      <c r="J1822">
        <v>2886.68</v>
      </c>
      <c r="K1822"/>
      <c r="L1822">
        <v>120</v>
      </c>
      <c r="M1822">
        <v>241.98895027624309</v>
      </c>
      <c r="N1822">
        <v>162.5</v>
      </c>
      <c r="O1822">
        <v>240</v>
      </c>
      <c r="P1822">
        <v>0</v>
      </c>
      <c r="Q1822">
        <f t="shared" si="355"/>
        <v>240</v>
      </c>
      <c r="R1822">
        <v>240</v>
      </c>
      <c r="S1822">
        <f t="shared" si="356"/>
        <v>0</v>
      </c>
      <c r="T1822">
        <v>0.03</v>
      </c>
      <c r="U1822">
        <f t="shared" si="357"/>
        <v>7.1999999999999993</v>
      </c>
      <c r="V1822">
        <f t="shared" si="358"/>
        <v>247.2</v>
      </c>
      <c r="W1822">
        <f t="shared" si="359"/>
        <v>7.1999999999999886</v>
      </c>
      <c r="X1822">
        <v>0</v>
      </c>
    </row>
    <row r="1823" spans="1:24" x14ac:dyDescent="0.25">
      <c r="A1823" t="s">
        <v>1965</v>
      </c>
      <c r="B1823" t="s">
        <v>2017</v>
      </c>
      <c r="C1823" t="s">
        <v>2080</v>
      </c>
      <c r="D1823" t="s">
        <v>207</v>
      </c>
      <c r="E1823" t="s">
        <v>47</v>
      </c>
      <c r="F1823" t="s">
        <v>1</v>
      </c>
      <c r="G1823" t="s">
        <v>810</v>
      </c>
      <c r="H1823" t="s">
        <v>447</v>
      </c>
      <c r="I1823" t="s">
        <v>1</v>
      </c>
      <c r="J1823">
        <v>4147</v>
      </c>
      <c r="K1823">
        <v>1976.0000000004</v>
      </c>
      <c r="L1823">
        <v>430</v>
      </c>
      <c r="M1823">
        <v>867.12707182320435</v>
      </c>
      <c r="N1823">
        <v>3031</v>
      </c>
      <c r="O1823">
        <v>860</v>
      </c>
      <c r="P1823">
        <v>0</v>
      </c>
      <c r="Q1823">
        <f t="shared" si="355"/>
        <v>860</v>
      </c>
      <c r="R1823">
        <v>7500</v>
      </c>
      <c r="S1823">
        <f t="shared" si="356"/>
        <v>6640</v>
      </c>
      <c r="T1823">
        <v>0.03</v>
      </c>
      <c r="U1823">
        <f t="shared" si="357"/>
        <v>225</v>
      </c>
      <c r="V1823">
        <f t="shared" si="358"/>
        <v>7725</v>
      </c>
      <c r="W1823">
        <f t="shared" si="359"/>
        <v>6865</v>
      </c>
      <c r="X1823" t="s">
        <v>1619</v>
      </c>
    </row>
    <row r="1824" spans="1:24" x14ac:dyDescent="0.25">
      <c r="A1824" t="s">
        <v>1965</v>
      </c>
      <c r="B1824" t="s">
        <v>2017</v>
      </c>
      <c r="C1824" t="s">
        <v>2080</v>
      </c>
      <c r="D1824" t="s">
        <v>207</v>
      </c>
      <c r="E1824" t="s">
        <v>48</v>
      </c>
      <c r="F1824" t="s">
        <v>1</v>
      </c>
      <c r="G1824" t="s">
        <v>810</v>
      </c>
      <c r="H1824" t="s">
        <v>448</v>
      </c>
      <c r="I1824" t="s">
        <v>1</v>
      </c>
      <c r="J1824">
        <v>175.09</v>
      </c>
      <c r="K1824"/>
      <c r="L1824">
        <v>20.57</v>
      </c>
      <c r="M1824">
        <v>41.480939226519332</v>
      </c>
      <c r="N1824">
        <v>47.21</v>
      </c>
      <c r="O1824">
        <v>41.14</v>
      </c>
      <c r="P1824">
        <v>0</v>
      </c>
      <c r="Q1824">
        <f t="shared" si="355"/>
        <v>41.14</v>
      </c>
      <c r="R1824">
        <v>0</v>
      </c>
      <c r="S1824">
        <f t="shared" si="356"/>
        <v>-41.14</v>
      </c>
      <c r="T1824">
        <v>0.03</v>
      </c>
      <c r="U1824">
        <f t="shared" si="357"/>
        <v>0</v>
      </c>
      <c r="V1824">
        <f t="shared" si="358"/>
        <v>0</v>
      </c>
      <c r="W1824">
        <f t="shared" si="359"/>
        <v>-41.14</v>
      </c>
      <c r="X1824" t="s">
        <v>1620</v>
      </c>
    </row>
    <row r="1825" spans="1:24" x14ac:dyDescent="0.25">
      <c r="A1825" t="s">
        <v>1965</v>
      </c>
      <c r="B1825" t="s">
        <v>2017</v>
      </c>
      <c r="C1825" t="s">
        <v>2080</v>
      </c>
      <c r="D1825" t="s">
        <v>207</v>
      </c>
      <c r="E1825" t="s">
        <v>50</v>
      </c>
      <c r="F1825" t="s">
        <v>1</v>
      </c>
      <c r="G1825" t="s">
        <v>810</v>
      </c>
      <c r="H1825" t="s">
        <v>450</v>
      </c>
      <c r="I1825" t="s">
        <v>1</v>
      </c>
      <c r="J1825">
        <v>2729.69</v>
      </c>
      <c r="K1825">
        <v>2610</v>
      </c>
      <c r="L1825">
        <v>1488.88</v>
      </c>
      <c r="M1825">
        <v>3002.4375690607735</v>
      </c>
      <c r="N1825">
        <v>2977.7</v>
      </c>
      <c r="O1825">
        <v>3002.4375690607999</v>
      </c>
      <c r="P1825">
        <v>0</v>
      </c>
      <c r="Q1825">
        <f t="shared" si="355"/>
        <v>3002.4375690607999</v>
      </c>
      <c r="R1825">
        <v>3002</v>
      </c>
      <c r="S1825">
        <f t="shared" si="356"/>
        <v>-0.43756906079988767</v>
      </c>
      <c r="T1825"/>
      <c r="U1825">
        <f t="shared" si="357"/>
        <v>0</v>
      </c>
      <c r="V1825">
        <f t="shared" si="358"/>
        <v>3002</v>
      </c>
      <c r="W1825">
        <f t="shared" si="359"/>
        <v>-0.43756906079988767</v>
      </c>
      <c r="X1825" t="s">
        <v>1621</v>
      </c>
    </row>
    <row r="1826" spans="1:24" x14ac:dyDescent="0.25">
      <c r="A1826" t="s">
        <v>1965</v>
      </c>
      <c r="B1826" t="s">
        <v>2017</v>
      </c>
      <c r="C1826" t="s">
        <v>2080</v>
      </c>
      <c r="D1826" t="s">
        <v>207</v>
      </c>
      <c r="E1826" t="s">
        <v>51</v>
      </c>
      <c r="F1826" t="s">
        <v>51</v>
      </c>
      <c r="G1826" t="s">
        <v>811</v>
      </c>
      <c r="H1826"/>
      <c r="I1826"/>
      <c r="J1826">
        <v>74649.5</v>
      </c>
      <c r="K1826">
        <v>68833.380383702504</v>
      </c>
      <c r="L1826">
        <v>73785.34</v>
      </c>
      <c r="M1826">
        <v>148793.6414364641</v>
      </c>
      <c r="N1826">
        <v>131382.72000000003</v>
      </c>
      <c r="O1826">
        <v>148324.96583146139</v>
      </c>
      <c r="P1826">
        <f>SUMIF($F$1798:$F$1825,"&lt;&gt;EV_*",$P$1798:$P$1825)</f>
        <v>0</v>
      </c>
      <c r="Q1826">
        <f>SUMIF($F$1798:$F$1825,"&lt;&gt;EV_*",$Q$1798:$Q$1825)</f>
        <v>148324.96583146139</v>
      </c>
      <c r="R1826">
        <f>SUMIF($F$1798:$F$1825,"&lt;&gt;EV_*",$R$1798:$R$1825)</f>
        <v>177217</v>
      </c>
      <c r="S1826">
        <f>SUMIF($F$1798:$F$1825,"&lt;&gt;EV_*",$S$1798:$S$1825)</f>
        <v>28892.034168538605</v>
      </c>
      <c r="T1826">
        <v>0</v>
      </c>
      <c r="U1826">
        <f>SUMIF($F$1798:$F$1825,"&lt;&gt;EV_*",$U$1798:$U$1825)</f>
        <v>2476.0999999999995</v>
      </c>
      <c r="V1826">
        <f>SUMIF($F$1798:$F$1825,"&lt;&gt;EV_*",$V$1798:$V$1825)</f>
        <v>179693.1</v>
      </c>
      <c r="W1826">
        <f>SUMIF($F$1798:$F$1825,"&lt;&gt;EV_*",$W$1798:$W$1825)</f>
        <v>31368.1341685386</v>
      </c>
      <c r="X1826">
        <f>SUMIF($F$1798:$F$1825,"&lt;&gt;EV_*",$X$1798:$X$1825)</f>
        <v>0</v>
      </c>
    </row>
    <row r="1827" spans="1:24" x14ac:dyDescent="0.25">
      <c r="A1827" t="s">
        <v>2025</v>
      </c>
      <c r="B1827" t="s">
        <v>2026</v>
      </c>
      <c r="C1827" t="s">
        <v>2081</v>
      </c>
      <c r="D1827" t="s">
        <v>208</v>
      </c>
      <c r="E1827" t="s">
        <v>5</v>
      </c>
      <c r="F1827" t="s">
        <v>5</v>
      </c>
      <c r="G1827" t="s">
        <v>812</v>
      </c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</row>
    <row r="1828" spans="1:24" x14ac:dyDescent="0.25">
      <c r="A1828" t="s">
        <v>2025</v>
      </c>
      <c r="B1828" t="s">
        <v>2026</v>
      </c>
      <c r="C1828" t="s">
        <v>2081</v>
      </c>
      <c r="D1828" t="s">
        <v>208</v>
      </c>
      <c r="E1828" t="s">
        <v>8</v>
      </c>
      <c r="F1828" t="s">
        <v>1</v>
      </c>
      <c r="G1828" t="s">
        <v>813</v>
      </c>
      <c r="H1828" t="s">
        <v>408</v>
      </c>
      <c r="I1828" t="s">
        <v>1</v>
      </c>
      <c r="J1828">
        <v>12146.7</v>
      </c>
      <c r="K1828">
        <v>17381.501657458601</v>
      </c>
      <c r="L1828">
        <v>4916.49</v>
      </c>
      <c r="M1828">
        <v>9914.4687845303852</v>
      </c>
      <c r="N1828">
        <v>8443.869999999999</v>
      </c>
      <c r="O1828">
        <v>9914.4687845303997</v>
      </c>
      <c r="P1828">
        <v>0</v>
      </c>
      <c r="Q1828">
        <f t="shared" ref="Q1828:Q1850" si="360">O1828+P1828</f>
        <v>9914.4687845303997</v>
      </c>
      <c r="R1828">
        <v>9914.4687845303997</v>
      </c>
      <c r="S1828">
        <f t="shared" ref="S1828:S1850" si="361">IF(OR(LEFT(E1828,2)="A_",LEFT(D1828,5)="Total"),R1828-Q1828,"")</f>
        <v>0</v>
      </c>
      <c r="T1828"/>
      <c r="U1828">
        <f t="shared" ref="U1828:U1850" si="362">IFERROR(R1828*T1828,R1828*0)</f>
        <v>0</v>
      </c>
      <c r="V1828">
        <f t="shared" ref="V1828:V1850" si="363">IF(OR(LEFT(E1828,2)="A_",LEFT(D1828,5)="Total"),R1828+U1828,"")</f>
        <v>9914.4687845303997</v>
      </c>
      <c r="W1828">
        <f t="shared" ref="W1828:W1850" si="364">IF(OR(LEFT(E1828,2)="A_",LEFT(D1828,5)="Total"),V1828-Q1828,"")</f>
        <v>0</v>
      </c>
      <c r="X1828" t="s">
        <v>1622</v>
      </c>
    </row>
    <row r="1829" spans="1:24" x14ac:dyDescent="0.25">
      <c r="A1829" t="s">
        <v>2025</v>
      </c>
      <c r="B1829" t="s">
        <v>2026</v>
      </c>
      <c r="C1829" t="s">
        <v>2081</v>
      </c>
      <c r="D1829" t="s">
        <v>208</v>
      </c>
      <c r="E1829" t="s">
        <v>10</v>
      </c>
      <c r="F1829" t="s">
        <v>1</v>
      </c>
      <c r="G1829" t="s">
        <v>813</v>
      </c>
      <c r="H1829" t="s">
        <v>410</v>
      </c>
      <c r="I1829" t="s">
        <v>1</v>
      </c>
      <c r="J1829">
        <v>82.5</v>
      </c>
      <c r="K1829">
        <v>990</v>
      </c>
      <c r="L1829">
        <v>0</v>
      </c>
      <c r="M1829">
        <v>0</v>
      </c>
      <c r="N1829">
        <v>0</v>
      </c>
      <c r="O1829"/>
      <c r="P1829">
        <v>0</v>
      </c>
      <c r="Q1829">
        <f t="shared" si="360"/>
        <v>0</v>
      </c>
      <c r="R1829">
        <v>0</v>
      </c>
      <c r="S1829">
        <f t="shared" si="361"/>
        <v>0</v>
      </c>
      <c r="T1829"/>
      <c r="U1829">
        <f t="shared" si="362"/>
        <v>0</v>
      </c>
      <c r="V1829">
        <f t="shared" si="363"/>
        <v>0</v>
      </c>
      <c r="W1829">
        <f t="shared" si="364"/>
        <v>0</v>
      </c>
      <c r="X1829">
        <v>0</v>
      </c>
    </row>
    <row r="1830" spans="1:24" x14ac:dyDescent="0.25">
      <c r="A1830" t="s">
        <v>2025</v>
      </c>
      <c r="B1830" t="s">
        <v>2026</v>
      </c>
      <c r="C1830" t="s">
        <v>2081</v>
      </c>
      <c r="D1830" t="s">
        <v>208</v>
      </c>
      <c r="E1830" t="s">
        <v>11</v>
      </c>
      <c r="F1830" t="s">
        <v>1</v>
      </c>
      <c r="G1830" t="s">
        <v>813</v>
      </c>
      <c r="H1830" t="s">
        <v>411</v>
      </c>
      <c r="I1830" t="s">
        <v>1</v>
      </c>
      <c r="J1830">
        <v>11720.86</v>
      </c>
      <c r="K1830">
        <v>10177.379999999999</v>
      </c>
      <c r="L1830">
        <v>3927.13</v>
      </c>
      <c r="M1830">
        <v>7919.3505524861876</v>
      </c>
      <c r="N1830">
        <v>9520.32</v>
      </c>
      <c r="O1830">
        <v>7854.26</v>
      </c>
      <c r="P1830">
        <v>0</v>
      </c>
      <c r="Q1830">
        <f t="shared" si="360"/>
        <v>7854.26</v>
      </c>
      <c r="R1830">
        <v>7854.26</v>
      </c>
      <c r="S1830">
        <f t="shared" si="361"/>
        <v>0</v>
      </c>
      <c r="T1830"/>
      <c r="U1830">
        <f t="shared" si="362"/>
        <v>0</v>
      </c>
      <c r="V1830">
        <f t="shared" si="363"/>
        <v>7854.26</v>
      </c>
      <c r="W1830">
        <f t="shared" si="364"/>
        <v>0</v>
      </c>
      <c r="X1830" t="s">
        <v>1623</v>
      </c>
    </row>
    <row r="1831" spans="1:24" x14ac:dyDescent="0.25">
      <c r="A1831" t="s">
        <v>2025</v>
      </c>
      <c r="B1831" t="s">
        <v>2026</v>
      </c>
      <c r="C1831" t="s">
        <v>2081</v>
      </c>
      <c r="D1831" t="s">
        <v>208</v>
      </c>
      <c r="E1831" t="s">
        <v>13</v>
      </c>
      <c r="F1831" t="s">
        <v>1</v>
      </c>
      <c r="G1831" t="s">
        <v>813</v>
      </c>
      <c r="H1831" t="s">
        <v>413</v>
      </c>
      <c r="I1831" t="s">
        <v>1</v>
      </c>
      <c r="J1831">
        <v>309.64999999999998</v>
      </c>
      <c r="K1831"/>
      <c r="L1831">
        <v>32.229999999999997</v>
      </c>
      <c r="M1831">
        <v>64.994198895027623</v>
      </c>
      <c r="N1831">
        <v>341.88</v>
      </c>
      <c r="O1831">
        <v>64.459999999999994</v>
      </c>
      <c r="P1831">
        <v>0</v>
      </c>
      <c r="Q1831">
        <f t="shared" si="360"/>
        <v>64.459999999999994</v>
      </c>
      <c r="R1831">
        <v>64.459999999999994</v>
      </c>
      <c r="S1831">
        <f t="shared" si="361"/>
        <v>0</v>
      </c>
      <c r="T1831"/>
      <c r="U1831">
        <f t="shared" si="362"/>
        <v>0</v>
      </c>
      <c r="V1831">
        <f t="shared" si="363"/>
        <v>64.459999999999994</v>
      </c>
      <c r="W1831">
        <f t="shared" si="364"/>
        <v>0</v>
      </c>
      <c r="X1831" t="s">
        <v>1624</v>
      </c>
    </row>
    <row r="1832" spans="1:24" x14ac:dyDescent="0.25">
      <c r="A1832" t="s">
        <v>2025</v>
      </c>
      <c r="B1832" t="s">
        <v>2026</v>
      </c>
      <c r="C1832" t="s">
        <v>2081</v>
      </c>
      <c r="D1832" t="s">
        <v>208</v>
      </c>
      <c r="E1832" t="s">
        <v>17</v>
      </c>
      <c r="F1832" t="s">
        <v>1</v>
      </c>
      <c r="G1832" t="s">
        <v>813</v>
      </c>
      <c r="H1832" t="s">
        <v>417</v>
      </c>
      <c r="I1832" t="s">
        <v>1</v>
      </c>
      <c r="J1832"/>
      <c r="K1832">
        <v>-20.000000000099998</v>
      </c>
      <c r="L1832">
        <v>0</v>
      </c>
      <c r="M1832">
        <v>0</v>
      </c>
      <c r="N1832">
        <v>0</v>
      </c>
      <c r="O1832"/>
      <c r="P1832">
        <v>0</v>
      </c>
      <c r="Q1832">
        <f t="shared" si="360"/>
        <v>0</v>
      </c>
      <c r="R1832">
        <v>0</v>
      </c>
      <c r="S1832">
        <f t="shared" si="361"/>
        <v>0</v>
      </c>
      <c r="T1832"/>
      <c r="U1832">
        <f t="shared" si="362"/>
        <v>0</v>
      </c>
      <c r="V1832">
        <f t="shared" si="363"/>
        <v>0</v>
      </c>
      <c r="W1832">
        <f t="shared" si="364"/>
        <v>0</v>
      </c>
      <c r="X1832">
        <v>0</v>
      </c>
    </row>
    <row r="1833" spans="1:24" x14ac:dyDescent="0.25">
      <c r="A1833" t="s">
        <v>2025</v>
      </c>
      <c r="B1833" t="s">
        <v>2026</v>
      </c>
      <c r="C1833" t="s">
        <v>2081</v>
      </c>
      <c r="D1833" t="s">
        <v>208</v>
      </c>
      <c r="E1833" t="s">
        <v>18</v>
      </c>
      <c r="F1833" t="s">
        <v>1</v>
      </c>
      <c r="G1833" t="s">
        <v>813</v>
      </c>
      <c r="H1833" t="s">
        <v>418</v>
      </c>
      <c r="I1833" t="s">
        <v>1</v>
      </c>
      <c r="J1833">
        <v>113.83</v>
      </c>
      <c r="K1833"/>
      <c r="L1833">
        <v>251.35</v>
      </c>
      <c r="M1833">
        <v>506.86602209944749</v>
      </c>
      <c r="N1833">
        <v>362.35</v>
      </c>
      <c r="O1833">
        <v>505.4620879121</v>
      </c>
      <c r="P1833">
        <v>0</v>
      </c>
      <c r="Q1833">
        <f t="shared" si="360"/>
        <v>505.4620879121</v>
      </c>
      <c r="R1833">
        <v>505.4620879121</v>
      </c>
      <c r="S1833">
        <f t="shared" si="361"/>
        <v>0</v>
      </c>
      <c r="T1833">
        <v>0.02</v>
      </c>
      <c r="U1833">
        <f t="shared" si="362"/>
        <v>10.109241758242</v>
      </c>
      <c r="V1833">
        <f t="shared" si="363"/>
        <v>515.57132967034204</v>
      </c>
      <c r="W1833">
        <f t="shared" si="364"/>
        <v>10.109241758242035</v>
      </c>
      <c r="X1833" t="s">
        <v>1625</v>
      </c>
    </row>
    <row r="1834" spans="1:24" x14ac:dyDescent="0.25">
      <c r="A1834" t="s">
        <v>2025</v>
      </c>
      <c r="B1834" t="s">
        <v>2026</v>
      </c>
      <c r="C1834" t="s">
        <v>2081</v>
      </c>
      <c r="D1834" t="s">
        <v>208</v>
      </c>
      <c r="E1834" t="s">
        <v>21</v>
      </c>
      <c r="F1834" t="s">
        <v>1</v>
      </c>
      <c r="G1834" t="s">
        <v>813</v>
      </c>
      <c r="H1834" t="s">
        <v>421</v>
      </c>
      <c r="I1834" t="s">
        <v>1</v>
      </c>
      <c r="J1834">
        <v>932.9</v>
      </c>
      <c r="K1834">
        <v>516.29000000010001</v>
      </c>
      <c r="L1834">
        <v>109.02</v>
      </c>
      <c r="M1834">
        <v>219.84696132596684</v>
      </c>
      <c r="N1834">
        <v>787.2</v>
      </c>
      <c r="O1834">
        <v>219.84696132600001</v>
      </c>
      <c r="P1834">
        <v>0</v>
      </c>
      <c r="Q1834">
        <f t="shared" si="360"/>
        <v>219.84696132600001</v>
      </c>
      <c r="R1834">
        <v>219.84696132600001</v>
      </c>
      <c r="S1834">
        <f t="shared" si="361"/>
        <v>0</v>
      </c>
      <c r="T1834">
        <v>0.03</v>
      </c>
      <c r="U1834">
        <f t="shared" si="362"/>
        <v>6.5954088397800001</v>
      </c>
      <c r="V1834">
        <f t="shared" si="363"/>
        <v>226.44237016578001</v>
      </c>
      <c r="W1834">
        <f t="shared" si="364"/>
        <v>6.5954088397799921</v>
      </c>
      <c r="X1834">
        <v>0</v>
      </c>
    </row>
    <row r="1835" spans="1:24" x14ac:dyDescent="0.25">
      <c r="A1835" t="s">
        <v>2025</v>
      </c>
      <c r="B1835" t="s">
        <v>2026</v>
      </c>
      <c r="C1835" t="s">
        <v>2081</v>
      </c>
      <c r="D1835" t="s">
        <v>208</v>
      </c>
      <c r="E1835" t="s">
        <v>22</v>
      </c>
      <c r="F1835" t="s">
        <v>1</v>
      </c>
      <c r="G1835" t="s">
        <v>813</v>
      </c>
      <c r="H1835" t="s">
        <v>422</v>
      </c>
      <c r="I1835" t="s">
        <v>1</v>
      </c>
      <c r="J1835">
        <v>1350.5</v>
      </c>
      <c r="K1835">
        <v>1417.9499999998</v>
      </c>
      <c r="L1835">
        <v>370.42</v>
      </c>
      <c r="M1835">
        <v>746.97955801104979</v>
      </c>
      <c r="N1835">
        <v>1037.7599999999998</v>
      </c>
      <c r="O1835">
        <v>746.97955801110004</v>
      </c>
      <c r="P1835">
        <v>0</v>
      </c>
      <c r="Q1835">
        <f t="shared" si="360"/>
        <v>746.97955801110004</v>
      </c>
      <c r="R1835">
        <v>746.97955801110004</v>
      </c>
      <c r="S1835">
        <f t="shared" si="361"/>
        <v>0</v>
      </c>
      <c r="T1835">
        <v>3.5000000000000003E-2</v>
      </c>
      <c r="U1835">
        <f t="shared" si="362"/>
        <v>26.144284530388504</v>
      </c>
      <c r="V1835">
        <f t="shared" si="363"/>
        <v>773.12384254148856</v>
      </c>
      <c r="W1835">
        <f t="shared" si="364"/>
        <v>26.144284530388518</v>
      </c>
      <c r="X1835">
        <v>0</v>
      </c>
    </row>
    <row r="1836" spans="1:24" x14ac:dyDescent="0.25">
      <c r="A1836" t="s">
        <v>2025</v>
      </c>
      <c r="B1836" t="s">
        <v>2026</v>
      </c>
      <c r="C1836" t="s">
        <v>2081</v>
      </c>
      <c r="D1836" t="s">
        <v>208</v>
      </c>
      <c r="E1836" t="s">
        <v>23</v>
      </c>
      <c r="F1836" t="s">
        <v>1</v>
      </c>
      <c r="G1836" t="s">
        <v>813</v>
      </c>
      <c r="H1836" t="s">
        <v>423</v>
      </c>
      <c r="I1836" t="s">
        <v>1</v>
      </c>
      <c r="J1836">
        <v>711.47</v>
      </c>
      <c r="K1836">
        <v>1128.1500000000999</v>
      </c>
      <c r="L1836">
        <v>0</v>
      </c>
      <c r="M1836">
        <v>0</v>
      </c>
      <c r="N1836">
        <v>166.43</v>
      </c>
      <c r="O1836"/>
      <c r="P1836">
        <v>0</v>
      </c>
      <c r="Q1836">
        <f t="shared" si="360"/>
        <v>0</v>
      </c>
      <c r="R1836">
        <v>0</v>
      </c>
      <c r="S1836">
        <f t="shared" si="361"/>
        <v>0</v>
      </c>
      <c r="T1836">
        <v>3.5000000000000003E-2</v>
      </c>
      <c r="U1836">
        <f t="shared" si="362"/>
        <v>0</v>
      </c>
      <c r="V1836">
        <f t="shared" si="363"/>
        <v>0</v>
      </c>
      <c r="W1836">
        <f t="shared" si="364"/>
        <v>0</v>
      </c>
      <c r="X1836">
        <v>0</v>
      </c>
    </row>
    <row r="1837" spans="1:24" x14ac:dyDescent="0.25">
      <c r="A1837" t="s">
        <v>2025</v>
      </c>
      <c r="B1837" t="s">
        <v>2026</v>
      </c>
      <c r="C1837" t="s">
        <v>2081</v>
      </c>
      <c r="D1837" t="s">
        <v>208</v>
      </c>
      <c r="E1837" t="s">
        <v>24</v>
      </c>
      <c r="F1837" t="s">
        <v>1</v>
      </c>
      <c r="G1837" t="s">
        <v>813</v>
      </c>
      <c r="H1837" t="s">
        <v>424</v>
      </c>
      <c r="I1837" t="s">
        <v>1</v>
      </c>
      <c r="J1837">
        <v>795</v>
      </c>
      <c r="K1837">
        <v>729.99999999960005</v>
      </c>
      <c r="L1837">
        <v>0</v>
      </c>
      <c r="M1837">
        <v>0</v>
      </c>
      <c r="N1837">
        <v>0</v>
      </c>
      <c r="O1837"/>
      <c r="P1837">
        <v>0</v>
      </c>
      <c r="Q1837">
        <f t="shared" si="360"/>
        <v>0</v>
      </c>
      <c r="R1837">
        <v>0</v>
      </c>
      <c r="S1837">
        <f t="shared" si="361"/>
        <v>0</v>
      </c>
      <c r="T1837"/>
      <c r="U1837">
        <f t="shared" si="362"/>
        <v>0</v>
      </c>
      <c r="V1837">
        <f t="shared" si="363"/>
        <v>0</v>
      </c>
      <c r="W1837">
        <f t="shared" si="364"/>
        <v>0</v>
      </c>
      <c r="X1837">
        <v>0</v>
      </c>
    </row>
    <row r="1838" spans="1:24" x14ac:dyDescent="0.25">
      <c r="A1838" t="s">
        <v>2025</v>
      </c>
      <c r="B1838" t="s">
        <v>2026</v>
      </c>
      <c r="C1838" t="s">
        <v>2081</v>
      </c>
      <c r="D1838" t="s">
        <v>208</v>
      </c>
      <c r="E1838" t="s">
        <v>26</v>
      </c>
      <c r="F1838" t="s">
        <v>1</v>
      </c>
      <c r="G1838" t="s">
        <v>813</v>
      </c>
      <c r="H1838" t="s">
        <v>426</v>
      </c>
      <c r="I1838" t="s">
        <v>1</v>
      </c>
      <c r="J1838">
        <v>10243.89</v>
      </c>
      <c r="K1838">
        <v>1128.4241235384</v>
      </c>
      <c r="L1838">
        <v>2985</v>
      </c>
      <c r="M1838">
        <v>6019.4751381215465</v>
      </c>
      <c r="N1838">
        <v>13228.89</v>
      </c>
      <c r="O1838">
        <v>5970</v>
      </c>
      <c r="P1838">
        <v>0</v>
      </c>
      <c r="Q1838">
        <f t="shared" si="360"/>
        <v>5970</v>
      </c>
      <c r="R1838">
        <v>2985</v>
      </c>
      <c r="S1838">
        <f t="shared" si="361"/>
        <v>-2985</v>
      </c>
      <c r="T1838"/>
      <c r="U1838">
        <f t="shared" si="362"/>
        <v>0</v>
      </c>
      <c r="V1838">
        <f t="shared" si="363"/>
        <v>2985</v>
      </c>
      <c r="W1838">
        <f t="shared" si="364"/>
        <v>-2985</v>
      </c>
      <c r="X1838" t="s">
        <v>1626</v>
      </c>
    </row>
    <row r="1839" spans="1:24" x14ac:dyDescent="0.25">
      <c r="A1839" t="s">
        <v>2025</v>
      </c>
      <c r="B1839" t="s">
        <v>2026</v>
      </c>
      <c r="C1839" t="s">
        <v>2081</v>
      </c>
      <c r="D1839" t="s">
        <v>208</v>
      </c>
      <c r="E1839" t="s">
        <v>27</v>
      </c>
      <c r="F1839" t="s">
        <v>1</v>
      </c>
      <c r="G1839" t="s">
        <v>813</v>
      </c>
      <c r="H1839" t="s">
        <v>427</v>
      </c>
      <c r="I1839" t="s">
        <v>1</v>
      </c>
      <c r="J1839">
        <v>8806.27</v>
      </c>
      <c r="K1839">
        <v>10850.0000000004</v>
      </c>
      <c r="L1839">
        <v>1128.54</v>
      </c>
      <c r="M1839">
        <v>2275.7850828729283</v>
      </c>
      <c r="N1839">
        <v>3574.3100000000004</v>
      </c>
      <c r="O1839">
        <v>2257.08</v>
      </c>
      <c r="P1839">
        <v>0</v>
      </c>
      <c r="Q1839">
        <f t="shared" si="360"/>
        <v>2257.08</v>
      </c>
      <c r="R1839">
        <v>2712</v>
      </c>
      <c r="S1839">
        <f t="shared" si="361"/>
        <v>454.92000000000007</v>
      </c>
      <c r="T1839"/>
      <c r="U1839">
        <f t="shared" si="362"/>
        <v>0</v>
      </c>
      <c r="V1839">
        <f t="shared" si="363"/>
        <v>2712</v>
      </c>
      <c r="W1839">
        <f t="shared" si="364"/>
        <v>454.92000000000007</v>
      </c>
      <c r="X1839" t="s">
        <v>1627</v>
      </c>
    </row>
    <row r="1840" spans="1:24" x14ac:dyDescent="0.25">
      <c r="A1840" t="s">
        <v>2025</v>
      </c>
      <c r="B1840" t="s">
        <v>2026</v>
      </c>
      <c r="C1840" t="s">
        <v>2081</v>
      </c>
      <c r="D1840" t="s">
        <v>208</v>
      </c>
      <c r="E1840" t="s">
        <v>28</v>
      </c>
      <c r="F1840" t="s">
        <v>1</v>
      </c>
      <c r="G1840" t="s">
        <v>813</v>
      </c>
      <c r="H1840" t="s">
        <v>428</v>
      </c>
      <c r="I1840" t="s">
        <v>1</v>
      </c>
      <c r="J1840">
        <v>1424.63</v>
      </c>
      <c r="K1840">
        <v>69.999999999600007</v>
      </c>
      <c r="L1840">
        <v>849.43</v>
      </c>
      <c r="M1840">
        <v>1712.9389502762428</v>
      </c>
      <c r="N1840">
        <v>2048.7799999999997</v>
      </c>
      <c r="O1840">
        <v>1698.86</v>
      </c>
      <c r="P1840">
        <v>0</v>
      </c>
      <c r="Q1840">
        <f t="shared" si="360"/>
        <v>1698.86</v>
      </c>
      <c r="R1840">
        <v>1698.86</v>
      </c>
      <c r="S1840">
        <f t="shared" si="361"/>
        <v>0</v>
      </c>
      <c r="T1840"/>
      <c r="U1840">
        <f t="shared" si="362"/>
        <v>0</v>
      </c>
      <c r="V1840">
        <f t="shared" si="363"/>
        <v>1698.86</v>
      </c>
      <c r="W1840">
        <f t="shared" si="364"/>
        <v>0</v>
      </c>
      <c r="X1840" t="s">
        <v>1356</v>
      </c>
    </row>
    <row r="1841" spans="1:24" x14ac:dyDescent="0.25">
      <c r="A1841" t="s">
        <v>2025</v>
      </c>
      <c r="B1841" t="s">
        <v>2026</v>
      </c>
      <c r="C1841" t="s">
        <v>2081</v>
      </c>
      <c r="D1841" t="s">
        <v>208</v>
      </c>
      <c r="E1841" t="s">
        <v>29</v>
      </c>
      <c r="F1841" t="s">
        <v>1</v>
      </c>
      <c r="G1841" t="s">
        <v>813</v>
      </c>
      <c r="H1841" t="s">
        <v>429</v>
      </c>
      <c r="I1841" t="s">
        <v>1</v>
      </c>
      <c r="J1841">
        <v>1005.84</v>
      </c>
      <c r="K1841">
        <v>900</v>
      </c>
      <c r="L1841">
        <v>408.97</v>
      </c>
      <c r="M1841">
        <v>824.71850828729282</v>
      </c>
      <c r="N1841">
        <v>1126.4000000000001</v>
      </c>
      <c r="O1841">
        <v>817.94</v>
      </c>
      <c r="P1841">
        <v>0</v>
      </c>
      <c r="Q1841">
        <f t="shared" si="360"/>
        <v>817.94</v>
      </c>
      <c r="R1841">
        <v>817.94</v>
      </c>
      <c r="S1841">
        <f t="shared" si="361"/>
        <v>0</v>
      </c>
      <c r="T1841"/>
      <c r="U1841">
        <f t="shared" si="362"/>
        <v>0</v>
      </c>
      <c r="V1841">
        <f t="shared" si="363"/>
        <v>817.94</v>
      </c>
      <c r="W1841">
        <f t="shared" si="364"/>
        <v>0</v>
      </c>
      <c r="X1841" t="s">
        <v>1628</v>
      </c>
    </row>
    <row r="1842" spans="1:24" x14ac:dyDescent="0.25">
      <c r="A1842" t="s">
        <v>2025</v>
      </c>
      <c r="B1842" t="s">
        <v>2026</v>
      </c>
      <c r="C1842" t="s">
        <v>2081</v>
      </c>
      <c r="D1842" t="s">
        <v>208</v>
      </c>
      <c r="E1842" t="s">
        <v>33</v>
      </c>
      <c r="F1842" t="s">
        <v>1</v>
      </c>
      <c r="G1842" t="s">
        <v>813</v>
      </c>
      <c r="H1842" t="s">
        <v>433</v>
      </c>
      <c r="I1842" t="s">
        <v>1</v>
      </c>
      <c r="J1842">
        <v>57.39</v>
      </c>
      <c r="K1842"/>
      <c r="L1842">
        <v>0</v>
      </c>
      <c r="M1842">
        <v>0</v>
      </c>
      <c r="N1842">
        <v>57.39</v>
      </c>
      <c r="O1842"/>
      <c r="P1842">
        <v>0</v>
      </c>
      <c r="Q1842">
        <f t="shared" si="360"/>
        <v>0</v>
      </c>
      <c r="R1842">
        <v>0</v>
      </c>
      <c r="S1842">
        <f t="shared" si="361"/>
        <v>0</v>
      </c>
      <c r="T1842"/>
      <c r="U1842">
        <f t="shared" si="362"/>
        <v>0</v>
      </c>
      <c r="V1842">
        <f t="shared" si="363"/>
        <v>0</v>
      </c>
      <c r="W1842">
        <f t="shared" si="364"/>
        <v>0</v>
      </c>
      <c r="X1842">
        <v>0</v>
      </c>
    </row>
    <row r="1843" spans="1:24" x14ac:dyDescent="0.25">
      <c r="A1843" t="s">
        <v>2025</v>
      </c>
      <c r="B1843" t="s">
        <v>2026</v>
      </c>
      <c r="C1843" t="s">
        <v>2081</v>
      </c>
      <c r="D1843" t="s">
        <v>208</v>
      </c>
      <c r="E1843" t="s">
        <v>34</v>
      </c>
      <c r="F1843" t="s">
        <v>1</v>
      </c>
      <c r="G1843" t="s">
        <v>813</v>
      </c>
      <c r="H1843" t="s">
        <v>434</v>
      </c>
      <c r="I1843" t="s">
        <v>1</v>
      </c>
      <c r="J1843">
        <v>188.81</v>
      </c>
      <c r="K1843">
        <v>294.37151048880003</v>
      </c>
      <c r="L1843">
        <v>114.25</v>
      </c>
      <c r="M1843">
        <v>230.3936464088398</v>
      </c>
      <c r="N1843">
        <v>243.31</v>
      </c>
      <c r="O1843">
        <v>228.5</v>
      </c>
      <c r="P1843">
        <v>0</v>
      </c>
      <c r="Q1843">
        <f t="shared" si="360"/>
        <v>228.5</v>
      </c>
      <c r="R1843">
        <v>228.5</v>
      </c>
      <c r="S1843">
        <f t="shared" si="361"/>
        <v>0</v>
      </c>
      <c r="T1843"/>
      <c r="U1843">
        <f t="shared" si="362"/>
        <v>0</v>
      </c>
      <c r="V1843">
        <f t="shared" si="363"/>
        <v>228.5</v>
      </c>
      <c r="W1843">
        <f t="shared" si="364"/>
        <v>0</v>
      </c>
      <c r="X1843">
        <v>0</v>
      </c>
    </row>
    <row r="1844" spans="1:24" x14ac:dyDescent="0.25">
      <c r="A1844" t="s">
        <v>2025</v>
      </c>
      <c r="B1844" t="s">
        <v>2026</v>
      </c>
      <c r="C1844" t="s">
        <v>2081</v>
      </c>
      <c r="D1844" t="s">
        <v>208</v>
      </c>
      <c r="E1844" t="s">
        <v>37</v>
      </c>
      <c r="F1844" t="s">
        <v>1</v>
      </c>
      <c r="G1844" t="s">
        <v>813</v>
      </c>
      <c r="H1844" t="s">
        <v>437</v>
      </c>
      <c r="I1844" t="s">
        <v>1</v>
      </c>
      <c r="J1844">
        <v>3692.87</v>
      </c>
      <c r="K1844"/>
      <c r="L1844">
        <v>573.41999999999996</v>
      </c>
      <c r="M1844">
        <v>1156.3441988950276</v>
      </c>
      <c r="N1844">
        <v>3813.01</v>
      </c>
      <c r="O1844">
        <v>1146.8399999999999</v>
      </c>
      <c r="P1844">
        <v>0</v>
      </c>
      <c r="Q1844">
        <f t="shared" si="360"/>
        <v>1146.8399999999999</v>
      </c>
      <c r="R1844">
        <v>1146.8399999999999</v>
      </c>
      <c r="S1844">
        <f t="shared" si="361"/>
        <v>0</v>
      </c>
      <c r="T1844"/>
      <c r="U1844">
        <f t="shared" si="362"/>
        <v>0</v>
      </c>
      <c r="V1844">
        <f t="shared" si="363"/>
        <v>1146.8399999999999</v>
      </c>
      <c r="W1844">
        <f t="shared" si="364"/>
        <v>0</v>
      </c>
      <c r="X1844">
        <v>0</v>
      </c>
    </row>
    <row r="1845" spans="1:24" x14ac:dyDescent="0.25">
      <c r="A1845" t="s">
        <v>2025</v>
      </c>
      <c r="B1845" t="s">
        <v>2026</v>
      </c>
      <c r="C1845" t="s">
        <v>2081</v>
      </c>
      <c r="D1845" t="s">
        <v>208</v>
      </c>
      <c r="E1845" t="s">
        <v>40</v>
      </c>
      <c r="F1845" t="s">
        <v>1</v>
      </c>
      <c r="G1845" t="s">
        <v>813</v>
      </c>
      <c r="H1845" t="s">
        <v>440</v>
      </c>
      <c r="I1845" t="s">
        <v>1</v>
      </c>
      <c r="J1845">
        <v>748.12</v>
      </c>
      <c r="K1845"/>
      <c r="L1845">
        <v>440.8</v>
      </c>
      <c r="M1845">
        <v>888.90607734806633</v>
      </c>
      <c r="N1845">
        <v>814.86</v>
      </c>
      <c r="O1845">
        <v>881.6</v>
      </c>
      <c r="P1845">
        <v>0</v>
      </c>
      <c r="Q1845">
        <f t="shared" si="360"/>
        <v>881.6</v>
      </c>
      <c r="R1845">
        <v>881.6</v>
      </c>
      <c r="S1845">
        <f t="shared" si="361"/>
        <v>0</v>
      </c>
      <c r="T1845">
        <v>0.03</v>
      </c>
      <c r="U1845">
        <f t="shared" si="362"/>
        <v>26.448</v>
      </c>
      <c r="V1845">
        <f t="shared" si="363"/>
        <v>908.048</v>
      </c>
      <c r="W1845">
        <f t="shared" si="364"/>
        <v>26.447999999999979</v>
      </c>
      <c r="X1845" t="s">
        <v>1629</v>
      </c>
    </row>
    <row r="1846" spans="1:24" x14ac:dyDescent="0.25">
      <c r="A1846" t="s">
        <v>2025</v>
      </c>
      <c r="B1846" t="s">
        <v>2026</v>
      </c>
      <c r="C1846" t="s">
        <v>2081</v>
      </c>
      <c r="D1846" t="s">
        <v>208</v>
      </c>
      <c r="E1846" t="s">
        <v>76</v>
      </c>
      <c r="F1846" t="s">
        <v>1</v>
      </c>
      <c r="G1846" t="s">
        <v>813</v>
      </c>
      <c r="H1846" t="s">
        <v>493</v>
      </c>
      <c r="I1846" t="s">
        <v>1</v>
      </c>
      <c r="J1846">
        <v>65000.04</v>
      </c>
      <c r="K1846">
        <v>65000.0000000004</v>
      </c>
      <c r="L1846">
        <v>0</v>
      </c>
      <c r="M1846">
        <v>0</v>
      </c>
      <c r="N1846">
        <v>32500.019999999997</v>
      </c>
      <c r="O1846"/>
      <c r="P1846">
        <v>0</v>
      </c>
      <c r="Q1846">
        <f t="shared" si="360"/>
        <v>0</v>
      </c>
      <c r="R1846">
        <v>0</v>
      </c>
      <c r="S1846">
        <f t="shared" si="361"/>
        <v>0</v>
      </c>
      <c r="T1846">
        <v>0.03</v>
      </c>
      <c r="U1846">
        <f t="shared" si="362"/>
        <v>0</v>
      </c>
      <c r="V1846">
        <f t="shared" si="363"/>
        <v>0</v>
      </c>
      <c r="W1846">
        <f t="shared" si="364"/>
        <v>0</v>
      </c>
      <c r="X1846">
        <v>0</v>
      </c>
    </row>
    <row r="1847" spans="1:24" x14ac:dyDescent="0.25">
      <c r="A1847" t="s">
        <v>2025</v>
      </c>
      <c r="B1847" t="s">
        <v>2026</v>
      </c>
      <c r="C1847" t="s">
        <v>2081</v>
      </c>
      <c r="D1847" t="s">
        <v>208</v>
      </c>
      <c r="E1847" t="s">
        <v>42</v>
      </c>
      <c r="F1847" t="s">
        <v>1</v>
      </c>
      <c r="G1847" t="s">
        <v>813</v>
      </c>
      <c r="H1847" t="s">
        <v>442</v>
      </c>
      <c r="I1847" t="s">
        <v>1</v>
      </c>
      <c r="J1847">
        <v>61.61</v>
      </c>
      <c r="K1847">
        <v>33</v>
      </c>
      <c r="L1847">
        <v>30.76</v>
      </c>
      <c r="M1847">
        <v>62.029834254143651</v>
      </c>
      <c r="N1847">
        <v>78.489999999999995</v>
      </c>
      <c r="O1847">
        <v>61.52</v>
      </c>
      <c r="P1847">
        <v>0</v>
      </c>
      <c r="Q1847">
        <f t="shared" si="360"/>
        <v>61.52</v>
      </c>
      <c r="R1847">
        <v>60</v>
      </c>
      <c r="S1847">
        <f t="shared" si="361"/>
        <v>-1.5200000000000031</v>
      </c>
      <c r="T1847">
        <v>0.03</v>
      </c>
      <c r="U1847">
        <f t="shared" si="362"/>
        <v>1.7999999999999998</v>
      </c>
      <c r="V1847">
        <f t="shared" si="363"/>
        <v>61.8</v>
      </c>
      <c r="W1847">
        <f t="shared" si="364"/>
        <v>0.27999999999999403</v>
      </c>
      <c r="X1847" t="s">
        <v>1630</v>
      </c>
    </row>
    <row r="1848" spans="1:24" x14ac:dyDescent="0.25">
      <c r="A1848" t="s">
        <v>2025</v>
      </c>
      <c r="B1848" t="s">
        <v>2026</v>
      </c>
      <c r="C1848" t="s">
        <v>2081</v>
      </c>
      <c r="D1848" t="s">
        <v>208</v>
      </c>
      <c r="E1848" t="s">
        <v>46</v>
      </c>
      <c r="F1848" t="s">
        <v>1</v>
      </c>
      <c r="G1848" t="s">
        <v>813</v>
      </c>
      <c r="H1848" t="s">
        <v>446</v>
      </c>
      <c r="I1848" t="s">
        <v>1</v>
      </c>
      <c r="J1848">
        <v>10704.45</v>
      </c>
      <c r="K1848"/>
      <c r="L1848">
        <v>0</v>
      </c>
      <c r="M1848">
        <v>0</v>
      </c>
      <c r="N1848">
        <v>2297.02</v>
      </c>
      <c r="O1848"/>
      <c r="P1848">
        <v>0</v>
      </c>
      <c r="Q1848">
        <f t="shared" si="360"/>
        <v>0</v>
      </c>
      <c r="R1848">
        <v>0</v>
      </c>
      <c r="S1848">
        <f t="shared" si="361"/>
        <v>0</v>
      </c>
      <c r="T1848">
        <v>0.03</v>
      </c>
      <c r="U1848">
        <f t="shared" si="362"/>
        <v>0</v>
      </c>
      <c r="V1848">
        <f t="shared" si="363"/>
        <v>0</v>
      </c>
      <c r="W1848">
        <f t="shared" si="364"/>
        <v>0</v>
      </c>
      <c r="X1848">
        <v>0</v>
      </c>
    </row>
    <row r="1849" spans="1:24" x14ac:dyDescent="0.25">
      <c r="A1849" t="s">
        <v>2025</v>
      </c>
      <c r="B1849" t="s">
        <v>2026</v>
      </c>
      <c r="C1849" t="s">
        <v>2081</v>
      </c>
      <c r="D1849" t="s">
        <v>208</v>
      </c>
      <c r="E1849" t="s">
        <v>47</v>
      </c>
      <c r="F1849" t="s">
        <v>1</v>
      </c>
      <c r="G1849" t="s">
        <v>813</v>
      </c>
      <c r="H1849" t="s">
        <v>447</v>
      </c>
      <c r="I1849" t="s">
        <v>1</v>
      </c>
      <c r="J1849">
        <v>600</v>
      </c>
      <c r="K1849">
        <v>888</v>
      </c>
      <c r="L1849">
        <v>6562</v>
      </c>
      <c r="M1849">
        <v>13232.762430939227</v>
      </c>
      <c r="N1849">
        <v>6562</v>
      </c>
      <c r="O1849">
        <v>13124</v>
      </c>
      <c r="P1849">
        <v>0</v>
      </c>
      <c r="Q1849">
        <f t="shared" si="360"/>
        <v>13124</v>
      </c>
      <c r="R1849">
        <v>6500</v>
      </c>
      <c r="S1849">
        <f t="shared" si="361"/>
        <v>-6624</v>
      </c>
      <c r="T1849">
        <v>0.03</v>
      </c>
      <c r="U1849">
        <f t="shared" si="362"/>
        <v>195</v>
      </c>
      <c r="V1849">
        <f t="shared" si="363"/>
        <v>6695</v>
      </c>
      <c r="W1849">
        <f t="shared" si="364"/>
        <v>-6429</v>
      </c>
      <c r="X1849">
        <v>0</v>
      </c>
    </row>
    <row r="1850" spans="1:24" x14ac:dyDescent="0.25">
      <c r="A1850" t="s">
        <v>2025</v>
      </c>
      <c r="B1850" t="s">
        <v>2026</v>
      </c>
      <c r="C1850" t="s">
        <v>2081</v>
      </c>
      <c r="D1850" t="s">
        <v>208</v>
      </c>
      <c r="E1850" t="s">
        <v>50</v>
      </c>
      <c r="F1850" t="s">
        <v>1</v>
      </c>
      <c r="G1850" t="s">
        <v>813</v>
      </c>
      <c r="H1850" t="s">
        <v>450</v>
      </c>
      <c r="I1850" t="s">
        <v>1</v>
      </c>
      <c r="J1850">
        <v>2267.87</v>
      </c>
      <c r="K1850">
        <v>2520</v>
      </c>
      <c r="L1850">
        <v>859.89</v>
      </c>
      <c r="M1850">
        <v>1734.032320441989</v>
      </c>
      <c r="N1850">
        <v>1863.38</v>
      </c>
      <c r="O1850">
        <v>1734.0323204419999</v>
      </c>
      <c r="P1850">
        <v>0</v>
      </c>
      <c r="Q1850">
        <f t="shared" si="360"/>
        <v>1734.0323204419999</v>
      </c>
      <c r="R1850">
        <v>1716</v>
      </c>
      <c r="S1850">
        <f t="shared" si="361"/>
        <v>-18.0323204419999</v>
      </c>
      <c r="T1850"/>
      <c r="U1850">
        <f t="shared" si="362"/>
        <v>0</v>
      </c>
      <c r="V1850">
        <f t="shared" si="363"/>
        <v>1716</v>
      </c>
      <c r="W1850">
        <f t="shared" si="364"/>
        <v>-18.0323204419999</v>
      </c>
      <c r="X1850" t="s">
        <v>1631</v>
      </c>
    </row>
    <row r="1851" spans="1:24" x14ac:dyDescent="0.25">
      <c r="A1851" t="s">
        <v>2025</v>
      </c>
      <c r="B1851" t="s">
        <v>2026</v>
      </c>
      <c r="C1851" t="s">
        <v>2081</v>
      </c>
      <c r="D1851" t="s">
        <v>208</v>
      </c>
      <c r="E1851" t="s">
        <v>51</v>
      </c>
      <c r="F1851" t="s">
        <v>51</v>
      </c>
      <c r="G1851" t="s">
        <v>814</v>
      </c>
      <c r="H1851"/>
      <c r="I1851"/>
      <c r="J1851">
        <v>132965.20000000001</v>
      </c>
      <c r="K1851">
        <v>114005.0672914857</v>
      </c>
      <c r="L1851">
        <v>23559.699999999997</v>
      </c>
      <c r="M1851">
        <v>47509.892265193368</v>
      </c>
      <c r="N1851">
        <v>88867.670000000013</v>
      </c>
      <c r="O1851">
        <v>47225.849712221592</v>
      </c>
      <c r="P1851">
        <f>SUMIF($F$1827:$F$1850,"&lt;&gt;EV_*",$P$1827:$P$1850)</f>
        <v>0</v>
      </c>
      <c r="Q1851">
        <f>SUMIF($F$1827:$F$1850,"&lt;&gt;EV_*",$Q$1827:$Q$1850)</f>
        <v>47225.849712221592</v>
      </c>
      <c r="R1851">
        <f>SUMIF($F$1827:$F$1850,"&lt;&gt;EV_*",$R$1827:$R$1850)</f>
        <v>38052.217391779595</v>
      </c>
      <c r="S1851">
        <f>SUMIF($F$1827:$F$1850,"&lt;&gt;EV_*",$S$1827:$S$1850)</f>
        <v>-9173.6323204420005</v>
      </c>
      <c r="T1851">
        <v>0</v>
      </c>
      <c r="U1851">
        <f>SUMIF($F$1827:$F$1850,"&lt;&gt;EV_*",$U$1827:$U$1850)</f>
        <v>266.09693512841051</v>
      </c>
      <c r="V1851">
        <f>SUMIF($F$1827:$F$1850,"&lt;&gt;EV_*",$V$1827:$V$1850)</f>
        <v>38318.31432690801</v>
      </c>
      <c r="W1851">
        <f>SUMIF($F$1827:$F$1850,"&lt;&gt;EV_*",$W$1827:$W$1850)</f>
        <v>-8907.5353853135894</v>
      </c>
      <c r="X1851">
        <f>SUMIF($F$1827:$F$1850,"&lt;&gt;EV_*",$X$1827:$X$1850)</f>
        <v>0</v>
      </c>
    </row>
    <row r="1852" spans="1:24" x14ac:dyDescent="0.25">
      <c r="A1852" t="s">
        <v>2025</v>
      </c>
      <c r="B1852" t="s">
        <v>2082</v>
      </c>
      <c r="C1852" t="s">
        <v>2083</v>
      </c>
      <c r="D1852" t="s">
        <v>209</v>
      </c>
      <c r="E1852" t="s">
        <v>5</v>
      </c>
      <c r="F1852" t="s">
        <v>5</v>
      </c>
      <c r="G1852" t="s">
        <v>815</v>
      </c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</row>
    <row r="1853" spans="1:24" x14ac:dyDescent="0.25">
      <c r="A1853" t="s">
        <v>2025</v>
      </c>
      <c r="B1853" t="s">
        <v>2082</v>
      </c>
      <c r="C1853" t="s">
        <v>2083</v>
      </c>
      <c r="D1853" t="s">
        <v>209</v>
      </c>
      <c r="E1853" t="s">
        <v>11</v>
      </c>
      <c r="F1853" t="s">
        <v>1</v>
      </c>
      <c r="G1853" t="s">
        <v>816</v>
      </c>
      <c r="H1853" t="s">
        <v>411</v>
      </c>
      <c r="I1853" t="s">
        <v>1</v>
      </c>
      <c r="J1853">
        <v>1762.66</v>
      </c>
      <c r="K1853">
        <v>1674</v>
      </c>
      <c r="L1853">
        <v>980.01</v>
      </c>
      <c r="M1853">
        <v>1976.2632596685085</v>
      </c>
      <c r="N1853">
        <v>1907.23</v>
      </c>
      <c r="O1853">
        <v>1960.02</v>
      </c>
      <c r="P1853">
        <v>0</v>
      </c>
      <c r="Q1853">
        <f t="shared" ref="Q1853:Q1868" si="365">O1853+P1853</f>
        <v>1960.02</v>
      </c>
      <c r="R1853">
        <v>1960</v>
      </c>
      <c r="S1853">
        <f t="shared" ref="S1853:S1868" si="366">IF(OR(LEFT(E1853,2)="A_",LEFT(D1853,5)="Total"),R1853-Q1853,"")</f>
        <v>-1.999999999998181E-2</v>
      </c>
      <c r="T1853"/>
      <c r="U1853">
        <f t="shared" ref="U1853:U1868" si="367">IFERROR(R1853*T1853,R1853*0)</f>
        <v>0</v>
      </c>
      <c r="V1853">
        <f t="shared" ref="V1853:V1868" si="368">IF(OR(LEFT(E1853,2)="A_",LEFT(D1853,5)="Total"),R1853+U1853,"")</f>
        <v>1960</v>
      </c>
      <c r="W1853">
        <f t="shared" ref="W1853:W1868" si="369">IF(OR(LEFT(E1853,2)="A_",LEFT(D1853,5)="Total"),V1853-Q1853,"")</f>
        <v>-1.999999999998181E-2</v>
      </c>
      <c r="X1853">
        <v>0</v>
      </c>
    </row>
    <row r="1854" spans="1:24" x14ac:dyDescent="0.25">
      <c r="A1854" t="s">
        <v>2025</v>
      </c>
      <c r="B1854" t="s">
        <v>2082</v>
      </c>
      <c r="C1854" t="s">
        <v>2083</v>
      </c>
      <c r="D1854" t="s">
        <v>209</v>
      </c>
      <c r="E1854" t="s">
        <v>13</v>
      </c>
      <c r="F1854" t="s">
        <v>1</v>
      </c>
      <c r="G1854" t="s">
        <v>816</v>
      </c>
      <c r="H1854" t="s">
        <v>413</v>
      </c>
      <c r="I1854" t="s">
        <v>1</v>
      </c>
      <c r="J1854"/>
      <c r="K1854"/>
      <c r="L1854">
        <v>141.52000000000001</v>
      </c>
      <c r="M1854">
        <v>285.38563535911607</v>
      </c>
      <c r="N1854">
        <v>141.52000000000001</v>
      </c>
      <c r="O1854">
        <v>283.04000000000002</v>
      </c>
      <c r="P1854">
        <v>0</v>
      </c>
      <c r="Q1854">
        <f t="shared" si="365"/>
        <v>283.04000000000002</v>
      </c>
      <c r="R1854">
        <v>283</v>
      </c>
      <c r="S1854">
        <f t="shared" si="366"/>
        <v>-4.0000000000020464E-2</v>
      </c>
      <c r="T1854"/>
      <c r="U1854">
        <f t="shared" si="367"/>
        <v>0</v>
      </c>
      <c r="V1854">
        <f t="shared" si="368"/>
        <v>283</v>
      </c>
      <c r="W1854">
        <f t="shared" si="369"/>
        <v>-4.0000000000020464E-2</v>
      </c>
      <c r="X1854">
        <v>0</v>
      </c>
    </row>
    <row r="1855" spans="1:24" x14ac:dyDescent="0.25">
      <c r="A1855" t="s">
        <v>2025</v>
      </c>
      <c r="B1855" t="s">
        <v>2082</v>
      </c>
      <c r="C1855" t="s">
        <v>2083</v>
      </c>
      <c r="D1855" t="s">
        <v>209</v>
      </c>
      <c r="E1855" t="s">
        <v>21</v>
      </c>
      <c r="F1855" t="s">
        <v>1</v>
      </c>
      <c r="G1855" t="s">
        <v>816</v>
      </c>
      <c r="H1855" t="s">
        <v>421</v>
      </c>
      <c r="I1855" t="s">
        <v>1</v>
      </c>
      <c r="J1855">
        <v>10222.99</v>
      </c>
      <c r="K1855">
        <v>10071.0700000002</v>
      </c>
      <c r="L1855">
        <v>3451.41</v>
      </c>
      <c r="M1855">
        <v>6960.0256906077338</v>
      </c>
      <c r="N1855">
        <v>8118.41</v>
      </c>
      <c r="O1855">
        <v>6960.0256906077002</v>
      </c>
      <c r="P1855">
        <v>0</v>
      </c>
      <c r="Q1855">
        <f t="shared" si="365"/>
        <v>6960.0256906077002</v>
      </c>
      <c r="R1855">
        <v>6960</v>
      </c>
      <c r="S1855">
        <f t="shared" si="366"/>
        <v>-2.5690607700198598E-2</v>
      </c>
      <c r="T1855">
        <v>0.03</v>
      </c>
      <c r="U1855">
        <f t="shared" si="367"/>
        <v>208.79999999999998</v>
      </c>
      <c r="V1855">
        <f t="shared" si="368"/>
        <v>7168.8</v>
      </c>
      <c r="W1855">
        <f t="shared" si="369"/>
        <v>208.77430939229998</v>
      </c>
      <c r="X1855">
        <v>0</v>
      </c>
    </row>
    <row r="1856" spans="1:24" x14ac:dyDescent="0.25">
      <c r="A1856" t="s">
        <v>2025</v>
      </c>
      <c r="B1856" t="s">
        <v>2082</v>
      </c>
      <c r="C1856" t="s">
        <v>2083</v>
      </c>
      <c r="D1856" t="s">
        <v>209</v>
      </c>
      <c r="E1856" t="s">
        <v>22</v>
      </c>
      <c r="F1856" t="s">
        <v>1</v>
      </c>
      <c r="G1856" t="s">
        <v>816</v>
      </c>
      <c r="H1856" t="s">
        <v>422</v>
      </c>
      <c r="I1856" t="s">
        <v>1</v>
      </c>
      <c r="J1856">
        <v>4311.91</v>
      </c>
      <c r="K1856">
        <v>4057.2000000001999</v>
      </c>
      <c r="L1856">
        <v>3640.57</v>
      </c>
      <c r="M1856">
        <v>7341.4809392265197</v>
      </c>
      <c r="N1856">
        <v>5992.6299999999992</v>
      </c>
      <c r="O1856">
        <v>7341.4809392264997</v>
      </c>
      <c r="P1856">
        <v>0</v>
      </c>
      <c r="Q1856">
        <f t="shared" si="365"/>
        <v>7341.4809392264997</v>
      </c>
      <c r="R1856">
        <v>5993</v>
      </c>
      <c r="S1856">
        <f t="shared" si="366"/>
        <v>-1348.4809392264997</v>
      </c>
      <c r="T1856">
        <v>3.5000000000000003E-2</v>
      </c>
      <c r="U1856">
        <f t="shared" si="367"/>
        <v>209.75500000000002</v>
      </c>
      <c r="V1856">
        <f t="shared" si="368"/>
        <v>6202.7550000000001</v>
      </c>
      <c r="W1856">
        <f t="shared" si="369"/>
        <v>-1138.7259392264996</v>
      </c>
      <c r="X1856">
        <v>0</v>
      </c>
    </row>
    <row r="1857" spans="1:24" x14ac:dyDescent="0.25">
      <c r="A1857" t="s">
        <v>2025</v>
      </c>
      <c r="B1857" t="s">
        <v>2082</v>
      </c>
      <c r="C1857" t="s">
        <v>2083</v>
      </c>
      <c r="D1857" t="s">
        <v>209</v>
      </c>
      <c r="E1857" t="s">
        <v>23</v>
      </c>
      <c r="F1857" t="s">
        <v>1</v>
      </c>
      <c r="G1857" t="s">
        <v>816</v>
      </c>
      <c r="H1857" t="s">
        <v>423</v>
      </c>
      <c r="I1857" t="s">
        <v>1</v>
      </c>
      <c r="J1857">
        <v>146.97999999999999</v>
      </c>
      <c r="K1857">
        <v>300.1499999998</v>
      </c>
      <c r="L1857">
        <v>0</v>
      </c>
      <c r="M1857">
        <v>0</v>
      </c>
      <c r="N1857">
        <v>0</v>
      </c>
      <c r="O1857"/>
      <c r="P1857">
        <v>0</v>
      </c>
      <c r="Q1857">
        <f t="shared" si="365"/>
        <v>0</v>
      </c>
      <c r="R1857" t="s">
        <v>1291</v>
      </c>
      <c r="S1857" t="e">
        <f t="shared" si="366"/>
        <v>#VALUE!</v>
      </c>
      <c r="T1857">
        <v>3.5000000000000003E-2</v>
      </c>
      <c r="U1857" t="e">
        <f t="shared" si="367"/>
        <v>#VALUE!</v>
      </c>
      <c r="V1857" t="e">
        <f t="shared" si="368"/>
        <v>#VALUE!</v>
      </c>
      <c r="W1857" t="e">
        <f t="shared" si="369"/>
        <v>#VALUE!</v>
      </c>
      <c r="X1857">
        <v>0</v>
      </c>
    </row>
    <row r="1858" spans="1:24" x14ac:dyDescent="0.25">
      <c r="A1858" t="s">
        <v>2025</v>
      </c>
      <c r="B1858" t="s">
        <v>2082</v>
      </c>
      <c r="C1858" t="s">
        <v>2083</v>
      </c>
      <c r="D1858" t="s">
        <v>209</v>
      </c>
      <c r="E1858" t="s">
        <v>24</v>
      </c>
      <c r="F1858" t="s">
        <v>1</v>
      </c>
      <c r="G1858" t="s">
        <v>816</v>
      </c>
      <c r="H1858" t="s">
        <v>424</v>
      </c>
      <c r="I1858" t="s">
        <v>1</v>
      </c>
      <c r="J1858"/>
      <c r="K1858">
        <v>1500</v>
      </c>
      <c r="L1858">
        <v>12010.83</v>
      </c>
      <c r="M1858">
        <v>24220.734530386741</v>
      </c>
      <c r="N1858">
        <v>12010.83</v>
      </c>
      <c r="O1858">
        <v>24021.66</v>
      </c>
      <c r="P1858">
        <v>0</v>
      </c>
      <c r="Q1858">
        <f t="shared" si="365"/>
        <v>24021.66</v>
      </c>
      <c r="R1858">
        <v>24022</v>
      </c>
      <c r="S1858">
        <f t="shared" si="366"/>
        <v>0.34000000000014552</v>
      </c>
      <c r="T1858"/>
      <c r="U1858">
        <f t="shared" si="367"/>
        <v>0</v>
      </c>
      <c r="V1858">
        <f t="shared" si="368"/>
        <v>24022</v>
      </c>
      <c r="W1858">
        <f t="shared" si="369"/>
        <v>0.34000000000014552</v>
      </c>
      <c r="X1858">
        <v>0</v>
      </c>
    </row>
    <row r="1859" spans="1:24" x14ac:dyDescent="0.25">
      <c r="A1859" t="s">
        <v>2025</v>
      </c>
      <c r="B1859" t="s">
        <v>2082</v>
      </c>
      <c r="C1859" t="s">
        <v>2083</v>
      </c>
      <c r="D1859" t="s">
        <v>209</v>
      </c>
      <c r="E1859" t="s">
        <v>26</v>
      </c>
      <c r="F1859" t="s">
        <v>1</v>
      </c>
      <c r="G1859" t="s">
        <v>816</v>
      </c>
      <c r="H1859" t="s">
        <v>426</v>
      </c>
      <c r="I1859" t="s">
        <v>1</v>
      </c>
      <c r="J1859">
        <v>3585</v>
      </c>
      <c r="K1859">
        <v>1246.1727277344</v>
      </c>
      <c r="L1859">
        <v>0</v>
      </c>
      <c r="M1859">
        <v>0</v>
      </c>
      <c r="N1859">
        <v>3585</v>
      </c>
      <c r="O1859"/>
      <c r="P1859">
        <v>0</v>
      </c>
      <c r="Q1859">
        <f t="shared" si="365"/>
        <v>0</v>
      </c>
      <c r="R1859">
        <v>1500</v>
      </c>
      <c r="S1859">
        <f t="shared" si="366"/>
        <v>1500</v>
      </c>
      <c r="T1859"/>
      <c r="U1859">
        <f t="shared" si="367"/>
        <v>0</v>
      </c>
      <c r="V1859">
        <f t="shared" si="368"/>
        <v>1500</v>
      </c>
      <c r="W1859">
        <f t="shared" si="369"/>
        <v>1500</v>
      </c>
      <c r="X1859">
        <v>0</v>
      </c>
    </row>
    <row r="1860" spans="1:24" x14ac:dyDescent="0.25">
      <c r="A1860" t="s">
        <v>2025</v>
      </c>
      <c r="B1860" t="s">
        <v>2082</v>
      </c>
      <c r="C1860" t="s">
        <v>2083</v>
      </c>
      <c r="D1860" t="s">
        <v>209</v>
      </c>
      <c r="E1860" t="s">
        <v>28</v>
      </c>
      <c r="F1860" t="s">
        <v>1</v>
      </c>
      <c r="G1860" t="s">
        <v>816</v>
      </c>
      <c r="H1860" t="s">
        <v>428</v>
      </c>
      <c r="I1860" t="s">
        <v>1</v>
      </c>
      <c r="J1860">
        <v>605.13</v>
      </c>
      <c r="K1860">
        <v>800.99000000039996</v>
      </c>
      <c r="L1860">
        <v>1499.32</v>
      </c>
      <c r="M1860">
        <v>3023.4906077348064</v>
      </c>
      <c r="N1860">
        <v>1700.8</v>
      </c>
      <c r="O1860">
        <v>2998.64</v>
      </c>
      <c r="P1860">
        <v>0</v>
      </c>
      <c r="Q1860">
        <f t="shared" si="365"/>
        <v>2998.64</v>
      </c>
      <c r="R1860">
        <v>1701</v>
      </c>
      <c r="S1860">
        <f t="shared" si="366"/>
        <v>-1297.6399999999999</v>
      </c>
      <c r="T1860"/>
      <c r="U1860">
        <f t="shared" si="367"/>
        <v>0</v>
      </c>
      <c r="V1860">
        <f t="shared" si="368"/>
        <v>1701</v>
      </c>
      <c r="W1860">
        <f t="shared" si="369"/>
        <v>-1297.6399999999999</v>
      </c>
      <c r="X1860">
        <v>0</v>
      </c>
    </row>
    <row r="1861" spans="1:24" x14ac:dyDescent="0.25">
      <c r="A1861" t="s">
        <v>2025</v>
      </c>
      <c r="B1861" t="s">
        <v>2082</v>
      </c>
      <c r="C1861" t="s">
        <v>2083</v>
      </c>
      <c r="D1861" t="s">
        <v>209</v>
      </c>
      <c r="E1861" t="s">
        <v>33</v>
      </c>
      <c r="F1861" t="s">
        <v>1</v>
      </c>
      <c r="G1861" t="s">
        <v>816</v>
      </c>
      <c r="H1861" t="s">
        <v>433</v>
      </c>
      <c r="I1861" t="s">
        <v>1</v>
      </c>
      <c r="J1861">
        <v>37825</v>
      </c>
      <c r="K1861">
        <v>29700.294238033199</v>
      </c>
      <c r="L1861">
        <v>0</v>
      </c>
      <c r="M1861">
        <v>0</v>
      </c>
      <c r="N1861">
        <v>37825</v>
      </c>
      <c r="O1861"/>
      <c r="P1861">
        <v>0</v>
      </c>
      <c r="Q1861">
        <f t="shared" si="365"/>
        <v>0</v>
      </c>
      <c r="R1861">
        <v>5500</v>
      </c>
      <c r="S1861">
        <f t="shared" si="366"/>
        <v>5500</v>
      </c>
      <c r="T1861"/>
      <c r="U1861">
        <f t="shared" si="367"/>
        <v>0</v>
      </c>
      <c r="V1861">
        <f t="shared" si="368"/>
        <v>5500</v>
      </c>
      <c r="W1861">
        <f t="shared" si="369"/>
        <v>5500</v>
      </c>
      <c r="X1861">
        <v>0</v>
      </c>
    </row>
    <row r="1862" spans="1:24" x14ac:dyDescent="0.25">
      <c r="A1862" t="s">
        <v>2025</v>
      </c>
      <c r="B1862" t="s">
        <v>2082</v>
      </c>
      <c r="C1862" t="s">
        <v>2083</v>
      </c>
      <c r="D1862" t="s">
        <v>209</v>
      </c>
      <c r="E1862" t="s">
        <v>34</v>
      </c>
      <c r="F1862" t="s">
        <v>1</v>
      </c>
      <c r="G1862" t="s">
        <v>816</v>
      </c>
      <c r="H1862" t="s">
        <v>434</v>
      </c>
      <c r="I1862" t="s">
        <v>1</v>
      </c>
      <c r="J1862"/>
      <c r="K1862">
        <v>196.24767365880001</v>
      </c>
      <c r="L1862">
        <v>600</v>
      </c>
      <c r="M1862">
        <v>1209.9447513812154</v>
      </c>
      <c r="N1862">
        <v>600</v>
      </c>
      <c r="O1862">
        <v>1200</v>
      </c>
      <c r="P1862">
        <v>0</v>
      </c>
      <c r="Q1862">
        <f t="shared" si="365"/>
        <v>1200</v>
      </c>
      <c r="R1862">
        <v>1200</v>
      </c>
      <c r="S1862">
        <f t="shared" si="366"/>
        <v>0</v>
      </c>
      <c r="T1862"/>
      <c r="U1862">
        <f t="shared" si="367"/>
        <v>0</v>
      </c>
      <c r="V1862">
        <f t="shared" si="368"/>
        <v>1200</v>
      </c>
      <c r="W1862">
        <f t="shared" si="369"/>
        <v>0</v>
      </c>
      <c r="X1862">
        <v>0</v>
      </c>
    </row>
    <row r="1863" spans="1:24" x14ac:dyDescent="0.25">
      <c r="A1863" t="s">
        <v>2025</v>
      </c>
      <c r="B1863" t="s">
        <v>2082</v>
      </c>
      <c r="C1863" t="s">
        <v>2083</v>
      </c>
      <c r="D1863" t="s">
        <v>209</v>
      </c>
      <c r="E1863" t="s">
        <v>37</v>
      </c>
      <c r="F1863" t="s">
        <v>1</v>
      </c>
      <c r="G1863" t="s">
        <v>816</v>
      </c>
      <c r="H1863" t="s">
        <v>437</v>
      </c>
      <c r="I1863" t="s">
        <v>1</v>
      </c>
      <c r="J1863">
        <v>1392.9</v>
      </c>
      <c r="K1863">
        <v>2943.7151048832002</v>
      </c>
      <c r="L1863">
        <v>439.83</v>
      </c>
      <c r="M1863">
        <v>886.94999999999993</v>
      </c>
      <c r="N1863">
        <v>1171.1299999999999</v>
      </c>
      <c r="O1863">
        <v>879.66</v>
      </c>
      <c r="P1863">
        <v>0</v>
      </c>
      <c r="Q1863">
        <f t="shared" si="365"/>
        <v>879.66</v>
      </c>
      <c r="R1863">
        <v>1171</v>
      </c>
      <c r="S1863">
        <f t="shared" si="366"/>
        <v>291.34000000000003</v>
      </c>
      <c r="T1863"/>
      <c r="U1863">
        <f t="shared" si="367"/>
        <v>0</v>
      </c>
      <c r="V1863">
        <f t="shared" si="368"/>
        <v>1171</v>
      </c>
      <c r="W1863">
        <f t="shared" si="369"/>
        <v>291.34000000000003</v>
      </c>
      <c r="X1863">
        <v>0</v>
      </c>
    </row>
    <row r="1864" spans="1:24" x14ac:dyDescent="0.25">
      <c r="A1864" t="s">
        <v>2025</v>
      </c>
      <c r="B1864" t="s">
        <v>2082</v>
      </c>
      <c r="C1864" t="s">
        <v>2083</v>
      </c>
      <c r="D1864" t="s">
        <v>209</v>
      </c>
      <c r="E1864" t="s">
        <v>42</v>
      </c>
      <c r="F1864" t="s">
        <v>1</v>
      </c>
      <c r="G1864" t="s">
        <v>816</v>
      </c>
      <c r="H1864" t="s">
        <v>442</v>
      </c>
      <c r="I1864" t="s">
        <v>1</v>
      </c>
      <c r="J1864"/>
      <c r="K1864"/>
      <c r="L1864">
        <v>11.65</v>
      </c>
      <c r="M1864">
        <v>23.493093922651937</v>
      </c>
      <c r="N1864">
        <v>11.65</v>
      </c>
      <c r="O1864">
        <v>23.3</v>
      </c>
      <c r="P1864">
        <v>0</v>
      </c>
      <c r="Q1864">
        <f t="shared" si="365"/>
        <v>23.3</v>
      </c>
      <c r="R1864" t="s">
        <v>1291</v>
      </c>
      <c r="S1864" t="e">
        <f t="shared" si="366"/>
        <v>#VALUE!</v>
      </c>
      <c r="T1864">
        <v>0.03</v>
      </c>
      <c r="U1864" t="e">
        <f t="shared" si="367"/>
        <v>#VALUE!</v>
      </c>
      <c r="V1864" t="e">
        <f t="shared" si="368"/>
        <v>#VALUE!</v>
      </c>
      <c r="W1864" t="e">
        <f t="shared" si="369"/>
        <v>#VALUE!</v>
      </c>
      <c r="X1864">
        <v>0</v>
      </c>
    </row>
    <row r="1865" spans="1:24" x14ac:dyDescent="0.25">
      <c r="A1865" t="s">
        <v>2025</v>
      </c>
      <c r="B1865" t="s">
        <v>2082</v>
      </c>
      <c r="C1865" t="s">
        <v>2083</v>
      </c>
      <c r="D1865" t="s">
        <v>209</v>
      </c>
      <c r="E1865" t="s">
        <v>46</v>
      </c>
      <c r="F1865" t="s">
        <v>1</v>
      </c>
      <c r="G1865" t="s">
        <v>816</v>
      </c>
      <c r="H1865" t="s">
        <v>446</v>
      </c>
      <c r="I1865" t="s">
        <v>1</v>
      </c>
      <c r="J1865">
        <v>426.57</v>
      </c>
      <c r="K1865"/>
      <c r="L1865">
        <v>0</v>
      </c>
      <c r="M1865">
        <v>0</v>
      </c>
      <c r="N1865">
        <v>426.57</v>
      </c>
      <c r="O1865"/>
      <c r="P1865">
        <v>0</v>
      </c>
      <c r="Q1865">
        <f t="shared" si="365"/>
        <v>0</v>
      </c>
      <c r="R1865" t="s">
        <v>1291</v>
      </c>
      <c r="S1865" t="e">
        <f t="shared" si="366"/>
        <v>#VALUE!</v>
      </c>
      <c r="T1865">
        <v>0.03</v>
      </c>
      <c r="U1865" t="e">
        <f t="shared" si="367"/>
        <v>#VALUE!</v>
      </c>
      <c r="V1865" t="e">
        <f t="shared" si="368"/>
        <v>#VALUE!</v>
      </c>
      <c r="W1865" t="e">
        <f t="shared" si="369"/>
        <v>#VALUE!</v>
      </c>
      <c r="X1865">
        <v>0</v>
      </c>
    </row>
    <row r="1866" spans="1:24" x14ac:dyDescent="0.25">
      <c r="A1866" t="s">
        <v>2025</v>
      </c>
      <c r="B1866" t="s">
        <v>2082</v>
      </c>
      <c r="C1866" t="s">
        <v>2083</v>
      </c>
      <c r="D1866" t="s">
        <v>209</v>
      </c>
      <c r="E1866" t="s">
        <v>47</v>
      </c>
      <c r="F1866" t="s">
        <v>1</v>
      </c>
      <c r="G1866" t="s">
        <v>816</v>
      </c>
      <c r="H1866" t="s">
        <v>447</v>
      </c>
      <c r="I1866" t="s">
        <v>1</v>
      </c>
      <c r="J1866"/>
      <c r="K1866">
        <v>324.99999999959999</v>
      </c>
      <c r="L1866">
        <v>0</v>
      </c>
      <c r="M1866">
        <v>0</v>
      </c>
      <c r="N1866">
        <v>0</v>
      </c>
      <c r="O1866"/>
      <c r="P1866">
        <v>0</v>
      </c>
      <c r="Q1866">
        <f t="shared" si="365"/>
        <v>0</v>
      </c>
      <c r="R1866" t="s">
        <v>1291</v>
      </c>
      <c r="S1866" t="e">
        <f t="shared" si="366"/>
        <v>#VALUE!</v>
      </c>
      <c r="T1866">
        <v>0.03</v>
      </c>
      <c r="U1866" t="e">
        <f t="shared" si="367"/>
        <v>#VALUE!</v>
      </c>
      <c r="V1866" t="e">
        <f t="shared" si="368"/>
        <v>#VALUE!</v>
      </c>
      <c r="W1866" t="e">
        <f t="shared" si="369"/>
        <v>#VALUE!</v>
      </c>
      <c r="X1866">
        <v>0</v>
      </c>
    </row>
    <row r="1867" spans="1:24" x14ac:dyDescent="0.25">
      <c r="A1867" t="s">
        <v>2025</v>
      </c>
      <c r="B1867" t="s">
        <v>2082</v>
      </c>
      <c r="C1867" t="s">
        <v>2083</v>
      </c>
      <c r="D1867" t="s">
        <v>209</v>
      </c>
      <c r="E1867" t="s">
        <v>48</v>
      </c>
      <c r="F1867" t="s">
        <v>1</v>
      </c>
      <c r="G1867" t="s">
        <v>816</v>
      </c>
      <c r="H1867" t="s">
        <v>448</v>
      </c>
      <c r="I1867" t="s">
        <v>1</v>
      </c>
      <c r="J1867">
        <v>37.65</v>
      </c>
      <c r="K1867"/>
      <c r="L1867">
        <v>69.650000000000006</v>
      </c>
      <c r="M1867">
        <v>140.45441988950279</v>
      </c>
      <c r="N1867">
        <v>107.3</v>
      </c>
      <c r="O1867">
        <v>139.30000000000001</v>
      </c>
      <c r="P1867">
        <v>0</v>
      </c>
      <c r="Q1867">
        <f t="shared" si="365"/>
        <v>139.30000000000001</v>
      </c>
      <c r="R1867">
        <v>139</v>
      </c>
      <c r="S1867">
        <f t="shared" si="366"/>
        <v>-0.30000000000001137</v>
      </c>
      <c r="T1867">
        <v>0.03</v>
      </c>
      <c r="U1867">
        <f t="shared" si="367"/>
        <v>4.17</v>
      </c>
      <c r="V1867">
        <f t="shared" si="368"/>
        <v>143.16999999999999</v>
      </c>
      <c r="W1867">
        <f t="shared" si="369"/>
        <v>3.8699999999999761</v>
      </c>
      <c r="X1867">
        <v>0</v>
      </c>
    </row>
    <row r="1868" spans="1:24" x14ac:dyDescent="0.25">
      <c r="A1868" t="s">
        <v>2025</v>
      </c>
      <c r="B1868" t="s">
        <v>2082</v>
      </c>
      <c r="C1868" t="s">
        <v>2083</v>
      </c>
      <c r="D1868" t="s">
        <v>209</v>
      </c>
      <c r="E1868" t="s">
        <v>50</v>
      </c>
      <c r="F1868" t="s">
        <v>1</v>
      </c>
      <c r="G1868" t="s">
        <v>816</v>
      </c>
      <c r="H1868" t="s">
        <v>450</v>
      </c>
      <c r="I1868" t="s">
        <v>1</v>
      </c>
      <c r="J1868">
        <v>907.89</v>
      </c>
      <c r="K1868">
        <v>870</v>
      </c>
      <c r="L1868">
        <v>474.68</v>
      </c>
      <c r="M1868">
        <v>957.22762430939224</v>
      </c>
      <c r="N1868">
        <v>969.85000000000014</v>
      </c>
      <c r="O1868">
        <v>957.22762430939997</v>
      </c>
      <c r="P1868">
        <v>0</v>
      </c>
      <c r="Q1868">
        <f t="shared" si="365"/>
        <v>957.22762430939997</v>
      </c>
      <c r="R1868">
        <v>957</v>
      </c>
      <c r="S1868">
        <f t="shared" si="366"/>
        <v>-0.22762430939997103</v>
      </c>
      <c r="T1868"/>
      <c r="U1868">
        <f t="shared" si="367"/>
        <v>0</v>
      </c>
      <c r="V1868">
        <f t="shared" si="368"/>
        <v>957</v>
      </c>
      <c r="W1868">
        <f t="shared" si="369"/>
        <v>-0.22762430939997103</v>
      </c>
      <c r="X1868">
        <v>0</v>
      </c>
    </row>
    <row r="1869" spans="1:24" x14ac:dyDescent="0.25">
      <c r="A1869" t="s">
        <v>2025</v>
      </c>
      <c r="B1869" t="s">
        <v>2082</v>
      </c>
      <c r="C1869" t="s">
        <v>2083</v>
      </c>
      <c r="D1869" t="s">
        <v>209</v>
      </c>
      <c r="E1869" t="s">
        <v>51</v>
      </c>
      <c r="F1869" t="s">
        <v>51</v>
      </c>
      <c r="G1869" t="s">
        <v>817</v>
      </c>
      <c r="H1869"/>
      <c r="I1869"/>
      <c r="J1869">
        <v>61224.68</v>
      </c>
      <c r="K1869">
        <v>53684.8397443098</v>
      </c>
      <c r="L1869">
        <v>23319.470000000005</v>
      </c>
      <c r="M1869">
        <v>47025.450552486182</v>
      </c>
      <c r="N1869">
        <v>74567.920000000013</v>
      </c>
      <c r="O1869">
        <v>46764.354254143611</v>
      </c>
      <c r="P1869">
        <f>SUMIF($F$1852:$F$1868,"&lt;&gt;EV_*",$P$1852:$P$1868)</f>
        <v>0</v>
      </c>
      <c r="Q1869">
        <f>SUMIF($F$1852:$F$1868,"&lt;&gt;EV_*",$Q$1852:$Q$1868)</f>
        <v>46764.354254143611</v>
      </c>
      <c r="R1869">
        <f>SUMIF($F$1852:$F$1868,"&lt;&gt;EV_*",$R$1852:$R$1868)</f>
        <v>51386</v>
      </c>
      <c r="S1869" t="e">
        <f>SUMIF($F$1852:$F$1868,"&lt;&gt;EV_*",$S$1852:$S$1868)</f>
        <v>#VALUE!</v>
      </c>
      <c r="T1869">
        <v>0</v>
      </c>
      <c r="U1869" t="e">
        <f>SUMIF($F$1852:$F$1868,"&lt;&gt;EV_*",$U$1852:$U$1868)</f>
        <v>#VALUE!</v>
      </c>
      <c r="V1869" t="e">
        <f>SUMIF($F$1852:$F$1868,"&lt;&gt;EV_*",$V$1852:$V$1868)</f>
        <v>#VALUE!</v>
      </c>
      <c r="W1869" t="e">
        <f>SUMIF($F$1852:$F$1868,"&lt;&gt;EV_*",$W$1852:$W$1868)</f>
        <v>#VALUE!</v>
      </c>
      <c r="X1869">
        <f>SUMIF($F$1852:$F$1868,"&lt;&gt;EV_*",$X$1852:$X$1868)</f>
        <v>0</v>
      </c>
    </row>
    <row r="1870" spans="1:24" x14ac:dyDescent="0.25">
      <c r="A1870" t="s">
        <v>2025</v>
      </c>
      <c r="B1870" t="s">
        <v>2084</v>
      </c>
      <c r="C1870" t="s">
        <v>2085</v>
      </c>
      <c r="D1870" t="s">
        <v>210</v>
      </c>
      <c r="E1870" t="s">
        <v>5</v>
      </c>
      <c r="F1870" t="s">
        <v>5</v>
      </c>
      <c r="G1870" t="s">
        <v>818</v>
      </c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</row>
    <row r="1871" spans="1:24" x14ac:dyDescent="0.25">
      <c r="A1871" t="s">
        <v>2025</v>
      </c>
      <c r="B1871" t="s">
        <v>2084</v>
      </c>
      <c r="C1871" t="s">
        <v>2085</v>
      </c>
      <c r="D1871" t="s">
        <v>210</v>
      </c>
      <c r="E1871" t="s">
        <v>116</v>
      </c>
      <c r="F1871" t="s">
        <v>1</v>
      </c>
      <c r="G1871" t="s">
        <v>819</v>
      </c>
      <c r="H1871" t="s">
        <v>585</v>
      </c>
      <c r="I1871" t="s">
        <v>1</v>
      </c>
      <c r="J1871">
        <v>254996.04</v>
      </c>
      <c r="K1871">
        <v>255000</v>
      </c>
      <c r="L1871">
        <v>127498.02</v>
      </c>
      <c r="M1871">
        <v>257109.26685082875</v>
      </c>
      <c r="N1871">
        <v>254996.03999999992</v>
      </c>
      <c r="O1871">
        <v>254996.04</v>
      </c>
      <c r="P1871">
        <v>0</v>
      </c>
      <c r="Q1871">
        <f t="shared" ref="Q1871:Q1889" si="370">O1871+P1871</f>
        <v>254996.04</v>
      </c>
      <c r="R1871">
        <v>255000</v>
      </c>
      <c r="S1871">
        <f t="shared" ref="S1871:S1889" si="371">IF(OR(LEFT(E1871,2)="A_",LEFT(D1871,5)="Total"),R1871-Q1871,"")</f>
        <v>3.9599999999918509</v>
      </c>
      <c r="T1871"/>
      <c r="U1871">
        <f t="shared" ref="U1871:U1889" si="372">IFERROR(R1871*T1871,R1871*0)</f>
        <v>0</v>
      </c>
      <c r="V1871">
        <f t="shared" ref="V1871:V1889" si="373">IF(OR(LEFT(E1871,2)="A_",LEFT(D1871,5)="Total"),R1871+U1871,"")</f>
        <v>255000</v>
      </c>
      <c r="W1871">
        <f t="shared" ref="W1871:W1889" si="374">IF(OR(LEFT(E1871,2)="A_",LEFT(D1871,5)="Total"),V1871-Q1871,"")</f>
        <v>3.9599999999918509</v>
      </c>
      <c r="X1871" t="s">
        <v>1632</v>
      </c>
    </row>
    <row r="1872" spans="1:24" x14ac:dyDescent="0.25">
      <c r="A1872" t="s">
        <v>2025</v>
      </c>
      <c r="B1872" t="s">
        <v>2084</v>
      </c>
      <c r="C1872" t="s">
        <v>2085</v>
      </c>
      <c r="D1872" t="s">
        <v>210</v>
      </c>
      <c r="E1872" t="s">
        <v>8</v>
      </c>
      <c r="F1872" t="s">
        <v>1</v>
      </c>
      <c r="G1872" t="s">
        <v>819</v>
      </c>
      <c r="H1872" t="s">
        <v>408</v>
      </c>
      <c r="I1872" t="s">
        <v>1</v>
      </c>
      <c r="J1872">
        <v>18680.29</v>
      </c>
      <c r="K1872">
        <v>13123.927900552701</v>
      </c>
      <c r="L1872">
        <v>221.7</v>
      </c>
      <c r="M1872">
        <v>447.07458563535903</v>
      </c>
      <c r="N1872">
        <v>12393.96</v>
      </c>
      <c r="O1872">
        <v>447.07458563540001</v>
      </c>
      <c r="P1872">
        <v>0</v>
      </c>
      <c r="Q1872">
        <f t="shared" si="370"/>
        <v>447.07458563540001</v>
      </c>
      <c r="R1872">
        <v>447.07458563540001</v>
      </c>
      <c r="S1872">
        <f t="shared" si="371"/>
        <v>0</v>
      </c>
      <c r="T1872"/>
      <c r="U1872">
        <f t="shared" si="372"/>
        <v>0</v>
      </c>
      <c r="V1872">
        <f t="shared" si="373"/>
        <v>447.07458563540001</v>
      </c>
      <c r="W1872">
        <f t="shared" si="374"/>
        <v>0</v>
      </c>
      <c r="X1872">
        <v>0</v>
      </c>
    </row>
    <row r="1873" spans="1:24" x14ac:dyDescent="0.25">
      <c r="A1873" t="s">
        <v>2025</v>
      </c>
      <c r="B1873" t="s">
        <v>2084</v>
      </c>
      <c r="C1873" t="s">
        <v>2085</v>
      </c>
      <c r="D1873" t="s">
        <v>210</v>
      </c>
      <c r="E1873" t="s">
        <v>11</v>
      </c>
      <c r="F1873" t="s">
        <v>1</v>
      </c>
      <c r="G1873" t="s">
        <v>819</v>
      </c>
      <c r="H1873" t="s">
        <v>411</v>
      </c>
      <c r="I1873" t="s">
        <v>1</v>
      </c>
      <c r="J1873">
        <v>3805.3</v>
      </c>
      <c r="K1873">
        <v>3642.15</v>
      </c>
      <c r="L1873">
        <v>1877.53</v>
      </c>
      <c r="M1873">
        <v>3786.1792817679561</v>
      </c>
      <c r="N1873">
        <v>3789.41</v>
      </c>
      <c r="O1873">
        <v>3755.06</v>
      </c>
      <c r="P1873">
        <v>0</v>
      </c>
      <c r="Q1873">
        <f t="shared" si="370"/>
        <v>3755.06</v>
      </c>
      <c r="R1873">
        <v>3755.06</v>
      </c>
      <c r="S1873">
        <f t="shared" si="371"/>
        <v>0</v>
      </c>
      <c r="T1873"/>
      <c r="U1873">
        <f t="shared" si="372"/>
        <v>0</v>
      </c>
      <c r="V1873">
        <f t="shared" si="373"/>
        <v>3755.06</v>
      </c>
      <c r="W1873">
        <f t="shared" si="374"/>
        <v>0</v>
      </c>
      <c r="X1873">
        <v>0</v>
      </c>
    </row>
    <row r="1874" spans="1:24" x14ac:dyDescent="0.25">
      <c r="A1874" t="s">
        <v>2025</v>
      </c>
      <c r="B1874" t="s">
        <v>2084</v>
      </c>
      <c r="C1874" t="s">
        <v>2085</v>
      </c>
      <c r="D1874" t="s">
        <v>210</v>
      </c>
      <c r="E1874" t="s">
        <v>21</v>
      </c>
      <c r="F1874" t="s">
        <v>1</v>
      </c>
      <c r="G1874" t="s">
        <v>819</v>
      </c>
      <c r="H1874" t="s">
        <v>421</v>
      </c>
      <c r="I1874" t="s">
        <v>1</v>
      </c>
      <c r="J1874">
        <v>1875.41</v>
      </c>
      <c r="K1874">
        <v>1653.6900000003</v>
      </c>
      <c r="L1874">
        <v>1451.71</v>
      </c>
      <c r="M1874">
        <v>2927.4814917127069</v>
      </c>
      <c r="N1874">
        <v>2453.91</v>
      </c>
      <c r="O1874">
        <v>2927.4814917127001</v>
      </c>
      <c r="P1874">
        <v>0</v>
      </c>
      <c r="Q1874">
        <f t="shared" si="370"/>
        <v>2927.4814917127001</v>
      </c>
      <c r="R1874">
        <v>2927.4814917127001</v>
      </c>
      <c r="S1874">
        <f t="shared" si="371"/>
        <v>0</v>
      </c>
      <c r="T1874">
        <v>0.03</v>
      </c>
      <c r="U1874">
        <f t="shared" si="372"/>
        <v>87.824444751380994</v>
      </c>
      <c r="V1874">
        <f t="shared" si="373"/>
        <v>3015.3059364640812</v>
      </c>
      <c r="W1874">
        <f t="shared" si="374"/>
        <v>87.824444751381179</v>
      </c>
      <c r="X1874">
        <v>0</v>
      </c>
    </row>
    <row r="1875" spans="1:24" x14ac:dyDescent="0.25">
      <c r="A1875" t="s">
        <v>2025</v>
      </c>
      <c r="B1875" t="s">
        <v>2084</v>
      </c>
      <c r="C1875" t="s">
        <v>2085</v>
      </c>
      <c r="D1875" t="s">
        <v>210</v>
      </c>
      <c r="E1875" t="s">
        <v>66</v>
      </c>
      <c r="F1875" t="s">
        <v>1</v>
      </c>
      <c r="G1875" t="s">
        <v>819</v>
      </c>
      <c r="H1875" t="s">
        <v>477</v>
      </c>
      <c r="I1875" t="s">
        <v>1</v>
      </c>
      <c r="J1875">
        <v>14.19</v>
      </c>
      <c r="K1875">
        <v>79.695000000099995</v>
      </c>
      <c r="L1875">
        <v>0</v>
      </c>
      <c r="M1875">
        <v>0</v>
      </c>
      <c r="N1875">
        <v>-24</v>
      </c>
      <c r="O1875"/>
      <c r="P1875">
        <v>0</v>
      </c>
      <c r="Q1875">
        <f t="shared" si="370"/>
        <v>0</v>
      </c>
      <c r="R1875">
        <v>0</v>
      </c>
      <c r="S1875">
        <f t="shared" si="371"/>
        <v>0</v>
      </c>
      <c r="T1875">
        <v>3.5000000000000003E-2</v>
      </c>
      <c r="U1875">
        <f t="shared" si="372"/>
        <v>0</v>
      </c>
      <c r="V1875">
        <f t="shared" si="373"/>
        <v>0</v>
      </c>
      <c r="W1875">
        <f t="shared" si="374"/>
        <v>0</v>
      </c>
      <c r="X1875">
        <v>0</v>
      </c>
    </row>
    <row r="1876" spans="1:24" x14ac:dyDescent="0.25">
      <c r="A1876" t="s">
        <v>2025</v>
      </c>
      <c r="B1876" t="s">
        <v>2084</v>
      </c>
      <c r="C1876" t="s">
        <v>2085</v>
      </c>
      <c r="D1876" t="s">
        <v>210</v>
      </c>
      <c r="E1876" t="s">
        <v>22</v>
      </c>
      <c r="F1876" t="s">
        <v>1</v>
      </c>
      <c r="G1876" t="s">
        <v>819</v>
      </c>
      <c r="H1876" t="s">
        <v>422</v>
      </c>
      <c r="I1876" t="s">
        <v>1</v>
      </c>
      <c r="J1876">
        <v>4531.29</v>
      </c>
      <c r="K1876">
        <v>3930.9300000000999</v>
      </c>
      <c r="L1876">
        <v>5032.78</v>
      </c>
      <c r="M1876">
        <v>10148.976243093923</v>
      </c>
      <c r="N1876">
        <v>7680.7100000000009</v>
      </c>
      <c r="O1876">
        <v>10148.976243093901</v>
      </c>
      <c r="P1876">
        <v>0</v>
      </c>
      <c r="Q1876">
        <f t="shared" si="370"/>
        <v>10148.976243093901</v>
      </c>
      <c r="R1876">
        <v>10148.976243093901</v>
      </c>
      <c r="S1876">
        <f t="shared" si="371"/>
        <v>0</v>
      </c>
      <c r="T1876">
        <v>3.5000000000000003E-2</v>
      </c>
      <c r="U1876">
        <f t="shared" si="372"/>
        <v>355.21416850828655</v>
      </c>
      <c r="V1876">
        <f t="shared" si="373"/>
        <v>10504.190411602187</v>
      </c>
      <c r="W1876">
        <f t="shared" si="374"/>
        <v>355.21416850828609</v>
      </c>
      <c r="X1876">
        <v>0</v>
      </c>
    </row>
    <row r="1877" spans="1:24" x14ac:dyDescent="0.25">
      <c r="A1877" t="s">
        <v>2025</v>
      </c>
      <c r="B1877" t="s">
        <v>2084</v>
      </c>
      <c r="C1877" t="s">
        <v>2085</v>
      </c>
      <c r="D1877" t="s">
        <v>210</v>
      </c>
      <c r="E1877" t="s">
        <v>23</v>
      </c>
      <c r="F1877" t="s">
        <v>1</v>
      </c>
      <c r="G1877" t="s">
        <v>819</v>
      </c>
      <c r="H1877" t="s">
        <v>423</v>
      </c>
      <c r="I1877" t="s">
        <v>1</v>
      </c>
      <c r="J1877">
        <v>2574.5500000000002</v>
      </c>
      <c r="K1877">
        <v>10174.050000000199</v>
      </c>
      <c r="L1877">
        <v>1922.89</v>
      </c>
      <c r="M1877">
        <v>3877.6511049723758</v>
      </c>
      <c r="N1877">
        <v>2550.15</v>
      </c>
      <c r="O1877">
        <v>3877.6511049723999</v>
      </c>
      <c r="P1877">
        <v>0</v>
      </c>
      <c r="Q1877">
        <f t="shared" si="370"/>
        <v>3877.6511049723999</v>
      </c>
      <c r="R1877">
        <v>3877.6511049723999</v>
      </c>
      <c r="S1877">
        <f t="shared" si="371"/>
        <v>0</v>
      </c>
      <c r="T1877">
        <v>3.5000000000000003E-2</v>
      </c>
      <c r="U1877">
        <f t="shared" si="372"/>
        <v>135.71778867403401</v>
      </c>
      <c r="V1877">
        <f t="shared" si="373"/>
        <v>4013.3688936464341</v>
      </c>
      <c r="W1877">
        <f t="shared" si="374"/>
        <v>135.71778867403418</v>
      </c>
      <c r="X1877">
        <v>0</v>
      </c>
    </row>
    <row r="1878" spans="1:24" x14ac:dyDescent="0.25">
      <c r="A1878" t="s">
        <v>2025</v>
      </c>
      <c r="B1878" t="s">
        <v>2084</v>
      </c>
      <c r="C1878" t="s">
        <v>2085</v>
      </c>
      <c r="D1878" t="s">
        <v>210</v>
      </c>
      <c r="E1878" t="s">
        <v>25</v>
      </c>
      <c r="F1878" t="s">
        <v>1</v>
      </c>
      <c r="G1878" t="s">
        <v>819</v>
      </c>
      <c r="H1878" t="s">
        <v>425</v>
      </c>
      <c r="I1878" t="s">
        <v>1</v>
      </c>
      <c r="J1878">
        <v>51.7</v>
      </c>
      <c r="K1878"/>
      <c r="L1878">
        <v>0</v>
      </c>
      <c r="M1878">
        <v>0</v>
      </c>
      <c r="N1878">
        <v>51.7</v>
      </c>
      <c r="O1878"/>
      <c r="P1878">
        <v>0</v>
      </c>
      <c r="Q1878">
        <f t="shared" si="370"/>
        <v>0</v>
      </c>
      <c r="R1878">
        <v>0</v>
      </c>
      <c r="S1878">
        <f t="shared" si="371"/>
        <v>0</v>
      </c>
      <c r="T1878"/>
      <c r="U1878">
        <f t="shared" si="372"/>
        <v>0</v>
      </c>
      <c r="V1878">
        <f t="shared" si="373"/>
        <v>0</v>
      </c>
      <c r="W1878">
        <f t="shared" si="374"/>
        <v>0</v>
      </c>
      <c r="X1878">
        <v>0</v>
      </c>
    </row>
    <row r="1879" spans="1:24" x14ac:dyDescent="0.25">
      <c r="A1879" t="s">
        <v>2025</v>
      </c>
      <c r="B1879" t="s">
        <v>2084</v>
      </c>
      <c r="C1879" t="s">
        <v>2085</v>
      </c>
      <c r="D1879" t="s">
        <v>210</v>
      </c>
      <c r="E1879" t="s">
        <v>28</v>
      </c>
      <c r="F1879" t="s">
        <v>1</v>
      </c>
      <c r="G1879" t="s">
        <v>819</v>
      </c>
      <c r="H1879" t="s">
        <v>428</v>
      </c>
      <c r="I1879" t="s">
        <v>1</v>
      </c>
      <c r="J1879">
        <v>1038.05</v>
      </c>
      <c r="K1879">
        <v>504.99959999999999</v>
      </c>
      <c r="L1879">
        <v>127.13</v>
      </c>
      <c r="M1879">
        <v>256.36712707182318</v>
      </c>
      <c r="N1879">
        <v>912.65</v>
      </c>
      <c r="O1879">
        <v>254.26</v>
      </c>
      <c r="P1879">
        <v>0</v>
      </c>
      <c r="Q1879">
        <f t="shared" si="370"/>
        <v>254.26</v>
      </c>
      <c r="R1879">
        <v>500</v>
      </c>
      <c r="S1879">
        <f t="shared" si="371"/>
        <v>245.74</v>
      </c>
      <c r="T1879"/>
      <c r="U1879">
        <f t="shared" si="372"/>
        <v>0</v>
      </c>
      <c r="V1879">
        <f t="shared" si="373"/>
        <v>500</v>
      </c>
      <c r="W1879">
        <f t="shared" si="374"/>
        <v>245.74</v>
      </c>
      <c r="X1879">
        <v>0</v>
      </c>
    </row>
    <row r="1880" spans="1:24" x14ac:dyDescent="0.25">
      <c r="A1880" t="s">
        <v>2025</v>
      </c>
      <c r="B1880" t="s">
        <v>2084</v>
      </c>
      <c r="C1880" t="s">
        <v>2085</v>
      </c>
      <c r="D1880" t="s">
        <v>210</v>
      </c>
      <c r="E1880" t="s">
        <v>29</v>
      </c>
      <c r="F1880" t="s">
        <v>1</v>
      </c>
      <c r="G1880" t="s">
        <v>819</v>
      </c>
      <c r="H1880" t="s">
        <v>429</v>
      </c>
      <c r="I1880" t="s">
        <v>1</v>
      </c>
      <c r="J1880">
        <v>1423.38</v>
      </c>
      <c r="K1880">
        <v>54</v>
      </c>
      <c r="L1880">
        <v>93.8</v>
      </c>
      <c r="M1880">
        <v>189.15469613259668</v>
      </c>
      <c r="N1880">
        <v>1489.97</v>
      </c>
      <c r="O1880">
        <v>187.6</v>
      </c>
      <c r="P1880">
        <v>0</v>
      </c>
      <c r="Q1880">
        <f t="shared" si="370"/>
        <v>187.6</v>
      </c>
      <c r="R1880">
        <v>187.6</v>
      </c>
      <c r="S1880">
        <f t="shared" si="371"/>
        <v>0</v>
      </c>
      <c r="T1880"/>
      <c r="U1880">
        <f t="shared" si="372"/>
        <v>0</v>
      </c>
      <c r="V1880">
        <f t="shared" si="373"/>
        <v>187.6</v>
      </c>
      <c r="W1880">
        <f t="shared" si="374"/>
        <v>0</v>
      </c>
      <c r="X1880">
        <v>0</v>
      </c>
    </row>
    <row r="1881" spans="1:24" x14ac:dyDescent="0.25">
      <c r="A1881" t="s">
        <v>2025</v>
      </c>
      <c r="B1881" t="s">
        <v>2084</v>
      </c>
      <c r="C1881" t="s">
        <v>2085</v>
      </c>
      <c r="D1881" t="s">
        <v>210</v>
      </c>
      <c r="E1881" t="s">
        <v>33</v>
      </c>
      <c r="F1881" t="s">
        <v>1</v>
      </c>
      <c r="G1881" t="s">
        <v>819</v>
      </c>
      <c r="H1881" t="s">
        <v>433</v>
      </c>
      <c r="I1881" t="s">
        <v>1</v>
      </c>
      <c r="J1881">
        <v>15303</v>
      </c>
      <c r="K1881">
        <v>10151.467925107199</v>
      </c>
      <c r="L1881">
        <v>6383.23</v>
      </c>
      <c r="M1881">
        <v>12872.259392265194</v>
      </c>
      <c r="N1881">
        <v>14933.030000000002</v>
      </c>
      <c r="O1881">
        <v>12766.46</v>
      </c>
      <c r="P1881">
        <v>0</v>
      </c>
      <c r="Q1881">
        <f t="shared" si="370"/>
        <v>12766.46</v>
      </c>
      <c r="R1881">
        <v>5200</v>
      </c>
      <c r="S1881">
        <f t="shared" si="371"/>
        <v>-7566.4599999999991</v>
      </c>
      <c r="T1881"/>
      <c r="U1881">
        <f t="shared" si="372"/>
        <v>0</v>
      </c>
      <c r="V1881">
        <f t="shared" si="373"/>
        <v>5200</v>
      </c>
      <c r="W1881">
        <f t="shared" si="374"/>
        <v>-7566.4599999999991</v>
      </c>
      <c r="X1881" t="s">
        <v>1633</v>
      </c>
    </row>
    <row r="1882" spans="1:24" x14ac:dyDescent="0.25">
      <c r="A1882" t="s">
        <v>2025</v>
      </c>
      <c r="B1882" t="s">
        <v>2084</v>
      </c>
      <c r="C1882" t="s">
        <v>2085</v>
      </c>
      <c r="D1882" t="s">
        <v>210</v>
      </c>
      <c r="E1882" t="s">
        <v>34</v>
      </c>
      <c r="F1882" t="s">
        <v>1</v>
      </c>
      <c r="G1882" t="s">
        <v>819</v>
      </c>
      <c r="H1882" t="s">
        <v>434</v>
      </c>
      <c r="I1882" t="s">
        <v>1</v>
      </c>
      <c r="J1882">
        <v>1262.53</v>
      </c>
      <c r="K1882">
        <v>7653.6592726979998</v>
      </c>
      <c r="L1882">
        <v>465.87</v>
      </c>
      <c r="M1882">
        <v>939.46160220994489</v>
      </c>
      <c r="N1882">
        <v>1538.3500000000001</v>
      </c>
      <c r="O1882">
        <v>931.74</v>
      </c>
      <c r="P1882">
        <v>0</v>
      </c>
      <c r="Q1882">
        <f t="shared" si="370"/>
        <v>931.74</v>
      </c>
      <c r="R1882">
        <v>2000</v>
      </c>
      <c r="S1882">
        <f t="shared" si="371"/>
        <v>1068.26</v>
      </c>
      <c r="T1882"/>
      <c r="U1882">
        <f t="shared" si="372"/>
        <v>0</v>
      </c>
      <c r="V1882">
        <f t="shared" si="373"/>
        <v>2000</v>
      </c>
      <c r="W1882">
        <f t="shared" si="374"/>
        <v>1068.26</v>
      </c>
      <c r="X1882">
        <v>0</v>
      </c>
    </row>
    <row r="1883" spans="1:24" x14ac:dyDescent="0.25">
      <c r="A1883" t="s">
        <v>2025</v>
      </c>
      <c r="B1883" t="s">
        <v>2084</v>
      </c>
      <c r="C1883" t="s">
        <v>2085</v>
      </c>
      <c r="D1883" t="s">
        <v>210</v>
      </c>
      <c r="E1883" t="s">
        <v>37</v>
      </c>
      <c r="F1883" t="s">
        <v>1</v>
      </c>
      <c r="G1883" t="s">
        <v>819</v>
      </c>
      <c r="H1883" t="s">
        <v>437</v>
      </c>
      <c r="I1883" t="s">
        <v>1</v>
      </c>
      <c r="J1883">
        <v>3434.08</v>
      </c>
      <c r="K1883">
        <v>11035.987928209201</v>
      </c>
      <c r="L1883">
        <v>859.04</v>
      </c>
      <c r="M1883">
        <v>1732.3182320441988</v>
      </c>
      <c r="N1883">
        <v>1919.58</v>
      </c>
      <c r="O1883">
        <v>1718.08</v>
      </c>
      <c r="P1883">
        <v>0</v>
      </c>
      <c r="Q1883">
        <f t="shared" si="370"/>
        <v>1718.08</v>
      </c>
      <c r="R1883">
        <v>4000</v>
      </c>
      <c r="S1883">
        <f t="shared" si="371"/>
        <v>2281.92</v>
      </c>
      <c r="T1883"/>
      <c r="U1883">
        <f t="shared" si="372"/>
        <v>0</v>
      </c>
      <c r="V1883">
        <f t="shared" si="373"/>
        <v>4000</v>
      </c>
      <c r="W1883">
        <f t="shared" si="374"/>
        <v>2281.92</v>
      </c>
      <c r="X1883">
        <v>0</v>
      </c>
    </row>
    <row r="1884" spans="1:24" x14ac:dyDescent="0.25">
      <c r="A1884" t="s">
        <v>2025</v>
      </c>
      <c r="B1884" t="s">
        <v>2084</v>
      </c>
      <c r="C1884" t="s">
        <v>2085</v>
      </c>
      <c r="D1884" t="s">
        <v>210</v>
      </c>
      <c r="E1884" t="s">
        <v>41</v>
      </c>
      <c r="F1884" t="s">
        <v>1</v>
      </c>
      <c r="G1884" t="s">
        <v>819</v>
      </c>
      <c r="H1884" t="s">
        <v>441</v>
      </c>
      <c r="I1884" t="s">
        <v>1</v>
      </c>
      <c r="J1884">
        <v>235.51</v>
      </c>
      <c r="K1884">
        <v>26.000399999999999</v>
      </c>
      <c r="L1884">
        <v>119.49</v>
      </c>
      <c r="M1884">
        <v>240.96049723756906</v>
      </c>
      <c r="N1884">
        <v>342.05</v>
      </c>
      <c r="O1884">
        <v>238.98</v>
      </c>
      <c r="P1884">
        <v>0</v>
      </c>
      <c r="Q1884">
        <f t="shared" si="370"/>
        <v>238.98</v>
      </c>
      <c r="R1884">
        <v>238.98</v>
      </c>
      <c r="S1884">
        <f t="shared" si="371"/>
        <v>0</v>
      </c>
      <c r="T1884">
        <v>0.03</v>
      </c>
      <c r="U1884">
        <f t="shared" si="372"/>
        <v>7.1693999999999996</v>
      </c>
      <c r="V1884">
        <f t="shared" si="373"/>
        <v>246.14939999999999</v>
      </c>
      <c r="W1884">
        <f t="shared" si="374"/>
        <v>7.169399999999996</v>
      </c>
      <c r="X1884">
        <v>0</v>
      </c>
    </row>
    <row r="1885" spans="1:24" x14ac:dyDescent="0.25">
      <c r="A1885" t="s">
        <v>2025</v>
      </c>
      <c r="B1885" t="s">
        <v>2084</v>
      </c>
      <c r="C1885" t="s">
        <v>2085</v>
      </c>
      <c r="D1885" t="s">
        <v>210</v>
      </c>
      <c r="E1885" t="s">
        <v>42</v>
      </c>
      <c r="F1885" t="s">
        <v>1</v>
      </c>
      <c r="G1885" t="s">
        <v>819</v>
      </c>
      <c r="H1885" t="s">
        <v>442</v>
      </c>
      <c r="I1885" t="s">
        <v>1</v>
      </c>
      <c r="J1885"/>
      <c r="K1885"/>
      <c r="L1885">
        <v>1165</v>
      </c>
      <c r="M1885">
        <v>2349.3093922651933</v>
      </c>
      <c r="N1885">
        <v>1165</v>
      </c>
      <c r="O1885">
        <v>2330</v>
      </c>
      <c r="P1885">
        <v>0</v>
      </c>
      <c r="Q1885">
        <f t="shared" si="370"/>
        <v>2330</v>
      </c>
      <c r="R1885">
        <v>10000</v>
      </c>
      <c r="S1885">
        <f t="shared" si="371"/>
        <v>7670</v>
      </c>
      <c r="T1885">
        <v>0.03</v>
      </c>
      <c r="U1885">
        <f t="shared" si="372"/>
        <v>300</v>
      </c>
      <c r="V1885">
        <f t="shared" si="373"/>
        <v>10300</v>
      </c>
      <c r="W1885">
        <f t="shared" si="374"/>
        <v>7970</v>
      </c>
      <c r="X1885" t="s">
        <v>1634</v>
      </c>
    </row>
    <row r="1886" spans="1:24" x14ac:dyDescent="0.25">
      <c r="A1886" t="s">
        <v>2025</v>
      </c>
      <c r="B1886" t="s">
        <v>2084</v>
      </c>
      <c r="C1886" t="s">
        <v>2085</v>
      </c>
      <c r="D1886" t="s">
        <v>210</v>
      </c>
      <c r="E1886" t="s">
        <v>46</v>
      </c>
      <c r="F1886" t="s">
        <v>1</v>
      </c>
      <c r="G1886" t="s">
        <v>819</v>
      </c>
      <c r="H1886" t="s">
        <v>446</v>
      </c>
      <c r="I1886" t="s">
        <v>1</v>
      </c>
      <c r="J1886">
        <v>658.97</v>
      </c>
      <c r="K1886">
        <v>1317.9996000000001</v>
      </c>
      <c r="L1886">
        <v>0</v>
      </c>
      <c r="M1886">
        <v>0</v>
      </c>
      <c r="N1886">
        <v>0</v>
      </c>
      <c r="O1886"/>
      <c r="P1886">
        <v>0</v>
      </c>
      <c r="Q1886">
        <f t="shared" si="370"/>
        <v>0</v>
      </c>
      <c r="R1886">
        <v>0</v>
      </c>
      <c r="S1886">
        <f t="shared" si="371"/>
        <v>0</v>
      </c>
      <c r="T1886">
        <v>0.03</v>
      </c>
      <c r="U1886">
        <f t="shared" si="372"/>
        <v>0</v>
      </c>
      <c r="V1886">
        <f t="shared" si="373"/>
        <v>0</v>
      </c>
      <c r="W1886">
        <f t="shared" si="374"/>
        <v>0</v>
      </c>
      <c r="X1886">
        <v>0</v>
      </c>
    </row>
    <row r="1887" spans="1:24" x14ac:dyDescent="0.25">
      <c r="A1887" t="s">
        <v>2025</v>
      </c>
      <c r="B1887" t="s">
        <v>2084</v>
      </c>
      <c r="C1887" t="s">
        <v>2085</v>
      </c>
      <c r="D1887" t="s">
        <v>210</v>
      </c>
      <c r="E1887" t="s">
        <v>48</v>
      </c>
      <c r="F1887" t="s">
        <v>1</v>
      </c>
      <c r="G1887" t="s">
        <v>819</v>
      </c>
      <c r="H1887" t="s">
        <v>448</v>
      </c>
      <c r="I1887" t="s">
        <v>1</v>
      </c>
      <c r="J1887">
        <v>168.06</v>
      </c>
      <c r="K1887"/>
      <c r="L1887">
        <v>112.65</v>
      </c>
      <c r="M1887">
        <v>227.16712707182319</v>
      </c>
      <c r="N1887">
        <v>280.71000000000004</v>
      </c>
      <c r="O1887">
        <v>225.3</v>
      </c>
      <c r="P1887">
        <v>0</v>
      </c>
      <c r="Q1887">
        <f t="shared" si="370"/>
        <v>225.3</v>
      </c>
      <c r="R1887">
        <v>225.3</v>
      </c>
      <c r="S1887">
        <f t="shared" si="371"/>
        <v>0</v>
      </c>
      <c r="T1887">
        <v>0.03</v>
      </c>
      <c r="U1887">
        <f t="shared" si="372"/>
        <v>6.7590000000000003</v>
      </c>
      <c r="V1887">
        <f t="shared" si="373"/>
        <v>232.05900000000003</v>
      </c>
      <c r="W1887">
        <f t="shared" si="374"/>
        <v>6.7590000000000146</v>
      </c>
      <c r="X1887">
        <v>0</v>
      </c>
    </row>
    <row r="1888" spans="1:24" x14ac:dyDescent="0.25">
      <c r="A1888" t="s">
        <v>2025</v>
      </c>
      <c r="B1888" t="s">
        <v>2084</v>
      </c>
      <c r="C1888" t="s">
        <v>2085</v>
      </c>
      <c r="D1888" t="s">
        <v>210</v>
      </c>
      <c r="E1888" t="s">
        <v>50</v>
      </c>
      <c r="F1888" t="s">
        <v>1</v>
      </c>
      <c r="G1888" t="s">
        <v>819</v>
      </c>
      <c r="H1888" t="s">
        <v>450</v>
      </c>
      <c r="I1888" t="s">
        <v>1</v>
      </c>
      <c r="J1888">
        <v>14982.53</v>
      </c>
      <c r="K1888">
        <v>20019.9999999996</v>
      </c>
      <c r="L1888">
        <v>6107.72</v>
      </c>
      <c r="M1888">
        <v>12316.672928176797</v>
      </c>
      <c r="N1888">
        <v>8589.4599999999991</v>
      </c>
      <c r="O1888">
        <v>12316.6729281768</v>
      </c>
      <c r="P1888">
        <v>0</v>
      </c>
      <c r="Q1888">
        <f t="shared" si="370"/>
        <v>12316.6729281768</v>
      </c>
      <c r="R1888">
        <v>12316.6729281768</v>
      </c>
      <c r="S1888">
        <f t="shared" si="371"/>
        <v>0</v>
      </c>
      <c r="T1888"/>
      <c r="U1888">
        <f t="shared" si="372"/>
        <v>0</v>
      </c>
      <c r="V1888">
        <f t="shared" si="373"/>
        <v>12316.6729281768</v>
      </c>
      <c r="W1888">
        <f t="shared" si="374"/>
        <v>0</v>
      </c>
      <c r="X1888">
        <v>0</v>
      </c>
    </row>
    <row r="1889" spans="1:24" x14ac:dyDescent="0.25">
      <c r="A1889" t="s">
        <v>2025</v>
      </c>
      <c r="B1889" t="s">
        <v>2084</v>
      </c>
      <c r="C1889" t="s">
        <v>2085</v>
      </c>
      <c r="D1889" t="s">
        <v>210</v>
      </c>
      <c r="E1889" t="s">
        <v>211</v>
      </c>
      <c r="F1889" t="s">
        <v>1</v>
      </c>
      <c r="G1889" t="s">
        <v>819</v>
      </c>
      <c r="H1889" t="s">
        <v>820</v>
      </c>
      <c r="I1889" t="s">
        <v>1</v>
      </c>
      <c r="J1889">
        <v>1750.4</v>
      </c>
      <c r="K1889"/>
      <c r="L1889">
        <v>-875.2</v>
      </c>
      <c r="M1889">
        <v>-1764.9060773480664</v>
      </c>
      <c r="N1889">
        <v>875.2</v>
      </c>
      <c r="O1889">
        <v>-1764.9060773481001</v>
      </c>
      <c r="P1889">
        <v>0</v>
      </c>
      <c r="Q1889">
        <f t="shared" si="370"/>
        <v>-1764.9060773481001</v>
      </c>
      <c r="R1889">
        <v>0</v>
      </c>
      <c r="S1889">
        <f t="shared" si="371"/>
        <v>1764.9060773481001</v>
      </c>
      <c r="T1889"/>
      <c r="U1889">
        <f t="shared" si="372"/>
        <v>0</v>
      </c>
      <c r="V1889">
        <f t="shared" si="373"/>
        <v>0</v>
      </c>
      <c r="W1889">
        <f t="shared" si="374"/>
        <v>1764.9060773481001</v>
      </c>
      <c r="X1889">
        <v>0</v>
      </c>
    </row>
    <row r="1890" spans="1:24" x14ac:dyDescent="0.25">
      <c r="A1890" t="s">
        <v>2025</v>
      </c>
      <c r="B1890" t="s">
        <v>2084</v>
      </c>
      <c r="C1890" t="s">
        <v>2085</v>
      </c>
      <c r="D1890" t="s">
        <v>210</v>
      </c>
      <c r="E1890" t="s">
        <v>51</v>
      </c>
      <c r="F1890" t="s">
        <v>51</v>
      </c>
      <c r="G1890" t="s">
        <v>821</v>
      </c>
      <c r="H1890"/>
      <c r="I1890"/>
      <c r="J1890">
        <v>326785.28000000003</v>
      </c>
      <c r="K1890">
        <v>338368.55762656743</v>
      </c>
      <c r="L1890">
        <v>152563.36000000002</v>
      </c>
      <c r="M1890">
        <v>307655.39447513811</v>
      </c>
      <c r="N1890">
        <v>315937.88</v>
      </c>
      <c r="O1890">
        <v>305356.47027624311</v>
      </c>
      <c r="P1890">
        <f>SUMIF($F$1870:$F$1889,"&lt;&gt;EV_*",$P$1870:$P$1889)</f>
        <v>0</v>
      </c>
      <c r="Q1890">
        <f>SUMIF($F$1870:$F$1889,"&lt;&gt;EV_*",$Q$1870:$Q$1889)</f>
        <v>305356.47027624311</v>
      </c>
      <c r="R1890">
        <f>SUMIF($F$1870:$F$1889,"&lt;&gt;EV_*",$R$1870:$R$1889)</f>
        <v>310824.79635359114</v>
      </c>
      <c r="S1890">
        <f>SUMIF($F$1870:$F$1889,"&lt;&gt;EV_*",$S$1870:$S$1889)</f>
        <v>5468.3260773480924</v>
      </c>
      <c r="T1890">
        <v>0</v>
      </c>
      <c r="U1890">
        <f>SUMIF($F$1870:$F$1889,"&lt;&gt;EV_*",$U$1870:$U$1889)</f>
        <v>892.68480193370158</v>
      </c>
      <c r="V1890">
        <f>SUMIF($F$1870:$F$1889,"&lt;&gt;EV_*",$V$1870:$V$1889)</f>
        <v>311717.48115552496</v>
      </c>
      <c r="W1890">
        <f>SUMIF($F$1870:$F$1889,"&lt;&gt;EV_*",$W$1870:$W$1889)</f>
        <v>6361.0108792817937</v>
      </c>
      <c r="X1890">
        <f>SUMIF($F$1870:$F$1889,"&lt;&gt;EV_*",$X$1870:$X$1889)</f>
        <v>0</v>
      </c>
    </row>
    <row r="1891" spans="1:24" x14ac:dyDescent="0.25">
      <c r="A1891" t="s">
        <v>2025</v>
      </c>
      <c r="B1891" t="s">
        <v>2082</v>
      </c>
      <c r="C1891" t="s">
        <v>2086</v>
      </c>
      <c r="D1891" t="s">
        <v>212</v>
      </c>
      <c r="E1891" t="s">
        <v>5</v>
      </c>
      <c r="F1891" t="s">
        <v>5</v>
      </c>
      <c r="G1891" t="s">
        <v>822</v>
      </c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</row>
    <row r="1892" spans="1:24" x14ac:dyDescent="0.25">
      <c r="A1892" t="s">
        <v>2025</v>
      </c>
      <c r="B1892" t="s">
        <v>2082</v>
      </c>
      <c r="C1892" t="s">
        <v>2086</v>
      </c>
      <c r="D1892" t="s">
        <v>212</v>
      </c>
      <c r="E1892" t="s">
        <v>11</v>
      </c>
      <c r="F1892" t="s">
        <v>1</v>
      </c>
      <c r="G1892" t="s">
        <v>823</v>
      </c>
      <c r="H1892" t="s">
        <v>411</v>
      </c>
      <c r="I1892" t="s">
        <v>1</v>
      </c>
      <c r="J1892">
        <v>10198.09</v>
      </c>
      <c r="K1892">
        <v>9900</v>
      </c>
      <c r="L1892">
        <v>5131.05</v>
      </c>
      <c r="M1892">
        <v>10347.14502762431</v>
      </c>
      <c r="N1892">
        <v>10433.68</v>
      </c>
      <c r="O1892">
        <v>10262.1</v>
      </c>
      <c r="P1892">
        <v>0</v>
      </c>
      <c r="Q1892">
        <f>O1892+P1892</f>
        <v>10262.1</v>
      </c>
      <c r="R1892">
        <v>10262</v>
      </c>
      <c r="S1892">
        <f>IF(OR(LEFT(E1892,2)="A_",LEFT(D1892,5)="Total"),R1892-Q1892,"")</f>
        <v>-0.1000000000003638</v>
      </c>
      <c r="T1892"/>
      <c r="U1892">
        <f>IFERROR(R1892*T1892,R1892*0)</f>
        <v>0</v>
      </c>
      <c r="V1892">
        <f>IF(OR(LEFT(E1892,2)="A_",LEFT(D1892,5)="Total"),R1892+U1892,"")</f>
        <v>10262</v>
      </c>
      <c r="W1892">
        <f>IF(OR(LEFT(E1892,2)="A_",LEFT(D1892,5)="Total"),V1892-Q1892,"")</f>
        <v>-0.1000000000003638</v>
      </c>
      <c r="X1892">
        <v>0</v>
      </c>
    </row>
    <row r="1893" spans="1:24" x14ac:dyDescent="0.25">
      <c r="A1893" t="s">
        <v>2025</v>
      </c>
      <c r="B1893" t="s">
        <v>2082</v>
      </c>
      <c r="C1893" t="s">
        <v>2086</v>
      </c>
      <c r="D1893" t="s">
        <v>212</v>
      </c>
      <c r="E1893" t="s">
        <v>18</v>
      </c>
      <c r="F1893" t="s">
        <v>1</v>
      </c>
      <c r="G1893" t="s">
        <v>823</v>
      </c>
      <c r="H1893" t="s">
        <v>418</v>
      </c>
      <c r="I1893" t="s">
        <v>1</v>
      </c>
      <c r="J1893">
        <v>128.91999999999999</v>
      </c>
      <c r="K1893"/>
      <c r="L1893">
        <v>0.61</v>
      </c>
      <c r="M1893">
        <v>1.2301104972375692</v>
      </c>
      <c r="N1893">
        <v>0.61</v>
      </c>
      <c r="O1893">
        <v>1.2267032967</v>
      </c>
      <c r="P1893">
        <v>0</v>
      </c>
      <c r="Q1893">
        <f>O1893+P1893</f>
        <v>1.2267032967</v>
      </c>
      <c r="R1893" t="s">
        <v>1291</v>
      </c>
      <c r="S1893" t="e">
        <f>IF(OR(LEFT(E1893,2)="A_",LEFT(D1893,5)="Total"),R1893-Q1893,"")</f>
        <v>#VALUE!</v>
      </c>
      <c r="T1893">
        <v>0.02</v>
      </c>
      <c r="U1893" t="e">
        <f>IFERROR(R1893*T1893,R1893*0)</f>
        <v>#VALUE!</v>
      </c>
      <c r="V1893" t="e">
        <f>IF(OR(LEFT(E1893,2)="A_",LEFT(D1893,5)="Total"),R1893+U1893,"")</f>
        <v>#VALUE!</v>
      </c>
      <c r="W1893" t="e">
        <f>IF(OR(LEFT(E1893,2)="A_",LEFT(D1893,5)="Total"),V1893-Q1893,"")</f>
        <v>#VALUE!</v>
      </c>
      <c r="X1893">
        <v>0</v>
      </c>
    </row>
    <row r="1894" spans="1:24" x14ac:dyDescent="0.25">
      <c r="A1894" t="s">
        <v>2025</v>
      </c>
      <c r="B1894" t="s">
        <v>2082</v>
      </c>
      <c r="C1894" t="s">
        <v>2086</v>
      </c>
      <c r="D1894" t="s">
        <v>212</v>
      </c>
      <c r="E1894" t="s">
        <v>27</v>
      </c>
      <c r="F1894" t="s">
        <v>1</v>
      </c>
      <c r="G1894" t="s">
        <v>823</v>
      </c>
      <c r="H1894" t="s">
        <v>427</v>
      </c>
      <c r="I1894" t="s">
        <v>1</v>
      </c>
      <c r="J1894">
        <v>27.22</v>
      </c>
      <c r="K1894">
        <v>20.0000000004</v>
      </c>
      <c r="L1894">
        <v>9.1999999999999993</v>
      </c>
      <c r="M1894">
        <v>18.552486187845304</v>
      </c>
      <c r="N1894">
        <v>19.68</v>
      </c>
      <c r="O1894">
        <v>18.399999999999999</v>
      </c>
      <c r="P1894">
        <v>0</v>
      </c>
      <c r="Q1894">
        <f>O1894+P1894</f>
        <v>18.399999999999999</v>
      </c>
      <c r="R1894" t="s">
        <v>1291</v>
      </c>
      <c r="S1894" t="e">
        <f>IF(OR(LEFT(E1894,2)="A_",LEFT(D1894,5)="Total"),R1894-Q1894,"")</f>
        <v>#VALUE!</v>
      </c>
      <c r="T1894"/>
      <c r="U1894" t="e">
        <f>IFERROR(R1894*T1894,R1894*0)</f>
        <v>#VALUE!</v>
      </c>
      <c r="V1894" t="e">
        <f>IF(OR(LEFT(E1894,2)="A_",LEFT(D1894,5)="Total"),R1894+U1894,"")</f>
        <v>#VALUE!</v>
      </c>
      <c r="W1894" t="e">
        <f>IF(OR(LEFT(E1894,2)="A_",LEFT(D1894,5)="Total"),V1894-Q1894,"")</f>
        <v>#VALUE!</v>
      </c>
      <c r="X1894">
        <v>0</v>
      </c>
    </row>
    <row r="1895" spans="1:24" x14ac:dyDescent="0.25">
      <c r="A1895" t="s">
        <v>2025</v>
      </c>
      <c r="B1895" t="s">
        <v>2082</v>
      </c>
      <c r="C1895" t="s">
        <v>2086</v>
      </c>
      <c r="D1895" t="s">
        <v>212</v>
      </c>
      <c r="E1895" t="s">
        <v>33</v>
      </c>
      <c r="F1895" t="s">
        <v>1</v>
      </c>
      <c r="G1895" t="s">
        <v>823</v>
      </c>
      <c r="H1895" t="s">
        <v>433</v>
      </c>
      <c r="I1895" t="s">
        <v>1</v>
      </c>
      <c r="J1895">
        <v>732.98</v>
      </c>
      <c r="K1895"/>
      <c r="L1895">
        <v>0</v>
      </c>
      <c r="M1895">
        <v>0</v>
      </c>
      <c r="N1895">
        <v>732.98</v>
      </c>
      <c r="O1895"/>
      <c r="P1895">
        <v>0</v>
      </c>
      <c r="Q1895">
        <f>O1895+P1895</f>
        <v>0</v>
      </c>
      <c r="R1895" t="s">
        <v>1291</v>
      </c>
      <c r="S1895" t="e">
        <f>IF(OR(LEFT(E1895,2)="A_",LEFT(D1895,5)="Total"),R1895-Q1895,"")</f>
        <v>#VALUE!</v>
      </c>
      <c r="T1895"/>
      <c r="U1895" t="e">
        <f>IFERROR(R1895*T1895,R1895*0)</f>
        <v>#VALUE!</v>
      </c>
      <c r="V1895" t="e">
        <f>IF(OR(LEFT(E1895,2)="A_",LEFT(D1895,5)="Total"),R1895+U1895,"")</f>
        <v>#VALUE!</v>
      </c>
      <c r="W1895" t="e">
        <f>IF(OR(LEFT(E1895,2)="A_",LEFT(D1895,5)="Total"),V1895-Q1895,"")</f>
        <v>#VALUE!</v>
      </c>
      <c r="X1895">
        <v>0</v>
      </c>
    </row>
    <row r="1896" spans="1:24" x14ac:dyDescent="0.25">
      <c r="A1896" t="s">
        <v>2025</v>
      </c>
      <c r="B1896" t="s">
        <v>2082</v>
      </c>
      <c r="C1896" t="s">
        <v>2086</v>
      </c>
      <c r="D1896" t="s">
        <v>212</v>
      </c>
      <c r="E1896" t="s">
        <v>48</v>
      </c>
      <c r="F1896" t="s">
        <v>1</v>
      </c>
      <c r="G1896" t="s">
        <v>823</v>
      </c>
      <c r="H1896" t="s">
        <v>448</v>
      </c>
      <c r="I1896" t="s">
        <v>1</v>
      </c>
      <c r="J1896">
        <v>50.84</v>
      </c>
      <c r="K1896"/>
      <c r="L1896">
        <v>0</v>
      </c>
      <c r="M1896">
        <v>0</v>
      </c>
      <c r="N1896">
        <v>50.84</v>
      </c>
      <c r="O1896"/>
      <c r="P1896">
        <v>0</v>
      </c>
      <c r="Q1896">
        <f>O1896+P1896</f>
        <v>0</v>
      </c>
      <c r="R1896" t="s">
        <v>1291</v>
      </c>
      <c r="S1896" t="e">
        <f>IF(OR(LEFT(E1896,2)="A_",LEFT(D1896,5)="Total"),R1896-Q1896,"")</f>
        <v>#VALUE!</v>
      </c>
      <c r="T1896">
        <v>0.03</v>
      </c>
      <c r="U1896" t="e">
        <f>IFERROR(R1896*T1896,R1896*0)</f>
        <v>#VALUE!</v>
      </c>
      <c r="V1896" t="e">
        <f>IF(OR(LEFT(E1896,2)="A_",LEFT(D1896,5)="Total"),R1896+U1896,"")</f>
        <v>#VALUE!</v>
      </c>
      <c r="W1896" t="e">
        <f>IF(OR(LEFT(E1896,2)="A_",LEFT(D1896,5)="Total"),V1896-Q1896,"")</f>
        <v>#VALUE!</v>
      </c>
      <c r="X1896">
        <v>0</v>
      </c>
    </row>
    <row r="1897" spans="1:24" x14ac:dyDescent="0.25">
      <c r="A1897" t="s">
        <v>2025</v>
      </c>
      <c r="B1897" t="s">
        <v>2082</v>
      </c>
      <c r="C1897" t="s">
        <v>2086</v>
      </c>
      <c r="D1897" t="s">
        <v>212</v>
      </c>
      <c r="E1897" t="s">
        <v>51</v>
      </c>
      <c r="F1897" t="s">
        <v>51</v>
      </c>
      <c r="G1897" t="s">
        <v>824</v>
      </c>
      <c r="H1897"/>
      <c r="I1897"/>
      <c r="J1897">
        <v>11138.05</v>
      </c>
      <c r="K1897">
        <v>9920.0000000004002</v>
      </c>
      <c r="L1897">
        <v>5140.8599999999997</v>
      </c>
      <c r="M1897">
        <v>10366.927624309394</v>
      </c>
      <c r="N1897">
        <v>11237.79</v>
      </c>
      <c r="O1897">
        <v>10281.726703296699</v>
      </c>
      <c r="P1897">
        <f>SUMIF($F$1891:$F$1896,"&lt;&gt;EV_*",$P$1891:$P$1896)</f>
        <v>0</v>
      </c>
      <c r="Q1897">
        <f>SUMIF($F$1891:$F$1896,"&lt;&gt;EV_*",$Q$1891:$Q$1896)</f>
        <v>10281.726703296699</v>
      </c>
      <c r="R1897">
        <f>SUMIF($F$1891:$F$1896,"&lt;&gt;EV_*",$R$1891:$R$1896)</f>
        <v>10262</v>
      </c>
      <c r="S1897" t="e">
        <f>SUMIF($F$1891:$F$1896,"&lt;&gt;EV_*",$S$1891:$S$1896)</f>
        <v>#VALUE!</v>
      </c>
      <c r="T1897">
        <v>0</v>
      </c>
      <c r="U1897" t="e">
        <f>SUMIF($F$1891:$F$1896,"&lt;&gt;EV_*",$U$1891:$U$1896)</f>
        <v>#VALUE!</v>
      </c>
      <c r="V1897" t="e">
        <f>SUMIF($F$1891:$F$1896,"&lt;&gt;EV_*",$V$1891:$V$1896)</f>
        <v>#VALUE!</v>
      </c>
      <c r="W1897" t="e">
        <f>SUMIF($F$1891:$F$1896,"&lt;&gt;EV_*",$W$1891:$W$1896)</f>
        <v>#VALUE!</v>
      </c>
      <c r="X1897">
        <f>SUMIF($F$1891:$F$1896,"&lt;&gt;EV_*",$X$1891:$X$1896)</f>
        <v>0</v>
      </c>
    </row>
    <row r="1898" spans="1:24" x14ac:dyDescent="0.25">
      <c r="A1898" t="s">
        <v>1965</v>
      </c>
      <c r="B1898" t="s">
        <v>2017</v>
      </c>
      <c r="C1898" t="s">
        <v>2087</v>
      </c>
      <c r="D1898" t="s">
        <v>213</v>
      </c>
      <c r="E1898" t="s">
        <v>5</v>
      </c>
      <c r="F1898" t="s">
        <v>5</v>
      </c>
      <c r="G1898" t="s">
        <v>825</v>
      </c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</row>
    <row r="1899" spans="1:24" x14ac:dyDescent="0.25">
      <c r="A1899" t="s">
        <v>1965</v>
      </c>
      <c r="B1899" t="s">
        <v>2017</v>
      </c>
      <c r="C1899" t="s">
        <v>2087</v>
      </c>
      <c r="D1899" t="s">
        <v>213</v>
      </c>
      <c r="E1899" t="s">
        <v>13</v>
      </c>
      <c r="F1899" t="s">
        <v>1</v>
      </c>
      <c r="G1899" t="s">
        <v>826</v>
      </c>
      <c r="H1899" t="s">
        <v>413</v>
      </c>
      <c r="I1899" t="s">
        <v>1</v>
      </c>
      <c r="J1899">
        <v>892.53</v>
      </c>
      <c r="K1899"/>
      <c r="L1899">
        <v>1439.19</v>
      </c>
      <c r="M1899">
        <v>2902.2339779005529</v>
      </c>
      <c r="N1899">
        <v>2331.7200000000003</v>
      </c>
      <c r="O1899">
        <v>2878.38</v>
      </c>
      <c r="P1899">
        <v>0</v>
      </c>
      <c r="Q1899">
        <f t="shared" ref="Q1899:Q1911" si="375">O1899+P1899</f>
        <v>2878.38</v>
      </c>
      <c r="R1899">
        <v>2878</v>
      </c>
      <c r="S1899">
        <f t="shared" ref="S1899:S1911" si="376">IF(OR(LEFT(E1899,2)="A_",LEFT(D1899,5)="Total"),R1899-Q1899,"")</f>
        <v>-0.38000000000010914</v>
      </c>
      <c r="T1899"/>
      <c r="U1899">
        <f t="shared" ref="U1899:U1911" si="377">IFERROR(R1899*T1899,R1899*0)</f>
        <v>0</v>
      </c>
      <c r="V1899">
        <f t="shared" ref="V1899:V1911" si="378">IF(OR(LEFT(E1899,2)="A_",LEFT(D1899,5)="Total"),R1899+U1899,"")</f>
        <v>2878</v>
      </c>
      <c r="W1899">
        <f t="shared" ref="W1899:W1911" si="379">IF(OR(LEFT(E1899,2)="A_",LEFT(D1899,5)="Total"),V1899-Q1899,"")</f>
        <v>-0.38000000000010914</v>
      </c>
      <c r="X1899" t="s">
        <v>1573</v>
      </c>
    </row>
    <row r="1900" spans="1:24" x14ac:dyDescent="0.25">
      <c r="A1900" t="s">
        <v>1965</v>
      </c>
      <c r="B1900" t="s">
        <v>2017</v>
      </c>
      <c r="C1900" t="s">
        <v>2087</v>
      </c>
      <c r="D1900" t="s">
        <v>213</v>
      </c>
      <c r="E1900" t="s">
        <v>18</v>
      </c>
      <c r="F1900" t="s">
        <v>1</v>
      </c>
      <c r="G1900" t="s">
        <v>826</v>
      </c>
      <c r="H1900" t="s">
        <v>418</v>
      </c>
      <c r="I1900" t="s">
        <v>1</v>
      </c>
      <c r="J1900">
        <v>899.5</v>
      </c>
      <c r="K1900"/>
      <c r="L1900">
        <v>0</v>
      </c>
      <c r="M1900">
        <v>0</v>
      </c>
      <c r="N1900">
        <v>899.5</v>
      </c>
      <c r="O1900"/>
      <c r="P1900">
        <v>0</v>
      </c>
      <c r="Q1900">
        <f t="shared" si="375"/>
        <v>0</v>
      </c>
      <c r="R1900">
        <v>0</v>
      </c>
      <c r="S1900">
        <f t="shared" si="376"/>
        <v>0</v>
      </c>
      <c r="T1900">
        <v>0.02</v>
      </c>
      <c r="U1900">
        <f t="shared" si="377"/>
        <v>0</v>
      </c>
      <c r="V1900">
        <f t="shared" si="378"/>
        <v>0</v>
      </c>
      <c r="W1900">
        <f t="shared" si="379"/>
        <v>0</v>
      </c>
      <c r="X1900">
        <v>0</v>
      </c>
    </row>
    <row r="1901" spans="1:24" x14ac:dyDescent="0.25">
      <c r="A1901" t="s">
        <v>1965</v>
      </c>
      <c r="B1901" t="s">
        <v>2017</v>
      </c>
      <c r="C1901" t="s">
        <v>2087</v>
      </c>
      <c r="D1901" t="s">
        <v>213</v>
      </c>
      <c r="E1901" t="s">
        <v>120</v>
      </c>
      <c r="F1901" t="s">
        <v>1</v>
      </c>
      <c r="G1901" t="s">
        <v>826</v>
      </c>
      <c r="H1901" t="s">
        <v>589</v>
      </c>
      <c r="I1901" t="s">
        <v>1</v>
      </c>
      <c r="J1901">
        <v>125.29</v>
      </c>
      <c r="K1901"/>
      <c r="L1901">
        <v>0</v>
      </c>
      <c r="M1901">
        <v>0</v>
      </c>
      <c r="N1901">
        <v>0</v>
      </c>
      <c r="O1901"/>
      <c r="P1901">
        <v>0</v>
      </c>
      <c r="Q1901">
        <f t="shared" si="375"/>
        <v>0</v>
      </c>
      <c r="R1901">
        <v>0</v>
      </c>
      <c r="S1901">
        <f t="shared" si="376"/>
        <v>0</v>
      </c>
      <c r="T1901">
        <v>3.5000000000000003E-2</v>
      </c>
      <c r="U1901">
        <f t="shared" si="377"/>
        <v>0</v>
      </c>
      <c r="V1901">
        <f t="shared" si="378"/>
        <v>0</v>
      </c>
      <c r="W1901">
        <f t="shared" si="379"/>
        <v>0</v>
      </c>
      <c r="X1901">
        <v>0</v>
      </c>
    </row>
    <row r="1902" spans="1:24" x14ac:dyDescent="0.25">
      <c r="A1902" t="s">
        <v>1965</v>
      </c>
      <c r="B1902" t="s">
        <v>2017</v>
      </c>
      <c r="C1902" t="s">
        <v>2087</v>
      </c>
      <c r="D1902" t="s">
        <v>213</v>
      </c>
      <c r="E1902" t="s">
        <v>24</v>
      </c>
      <c r="F1902" t="s">
        <v>1</v>
      </c>
      <c r="G1902" t="s">
        <v>826</v>
      </c>
      <c r="H1902" t="s">
        <v>424</v>
      </c>
      <c r="I1902" t="s">
        <v>1</v>
      </c>
      <c r="J1902">
        <v>785</v>
      </c>
      <c r="K1902">
        <v>965.00000000039995</v>
      </c>
      <c r="L1902">
        <v>995</v>
      </c>
      <c r="M1902">
        <v>2006.4917127071824</v>
      </c>
      <c r="N1902">
        <v>1780</v>
      </c>
      <c r="O1902">
        <v>1990</v>
      </c>
      <c r="P1902">
        <v>0</v>
      </c>
      <c r="Q1902">
        <f t="shared" si="375"/>
        <v>1990</v>
      </c>
      <c r="R1902">
        <v>0</v>
      </c>
      <c r="S1902">
        <f t="shared" si="376"/>
        <v>-1990</v>
      </c>
      <c r="T1902"/>
      <c r="U1902">
        <f t="shared" si="377"/>
        <v>0</v>
      </c>
      <c r="V1902">
        <f t="shared" si="378"/>
        <v>0</v>
      </c>
      <c r="W1902">
        <f t="shared" si="379"/>
        <v>-1990</v>
      </c>
      <c r="X1902">
        <v>0</v>
      </c>
    </row>
    <row r="1903" spans="1:24" x14ac:dyDescent="0.25">
      <c r="A1903" t="s">
        <v>1965</v>
      </c>
      <c r="B1903" t="s">
        <v>2017</v>
      </c>
      <c r="C1903" t="s">
        <v>2087</v>
      </c>
      <c r="D1903" t="s">
        <v>213</v>
      </c>
      <c r="E1903" t="s">
        <v>26</v>
      </c>
      <c r="F1903" t="s">
        <v>1</v>
      </c>
      <c r="G1903" t="s">
        <v>826</v>
      </c>
      <c r="H1903" t="s">
        <v>426</v>
      </c>
      <c r="I1903" t="s">
        <v>1</v>
      </c>
      <c r="J1903">
        <v>2429.69</v>
      </c>
      <c r="K1903">
        <v>7167.5117790479999</v>
      </c>
      <c r="L1903">
        <v>365</v>
      </c>
      <c r="M1903">
        <v>736.04972375690613</v>
      </c>
      <c r="N1903">
        <v>974</v>
      </c>
      <c r="O1903">
        <v>730</v>
      </c>
      <c r="P1903">
        <v>0</v>
      </c>
      <c r="Q1903">
        <f t="shared" si="375"/>
        <v>730</v>
      </c>
      <c r="R1903">
        <v>0</v>
      </c>
      <c r="S1903">
        <f t="shared" si="376"/>
        <v>-730</v>
      </c>
      <c r="T1903"/>
      <c r="U1903">
        <f t="shared" si="377"/>
        <v>0</v>
      </c>
      <c r="V1903">
        <f t="shared" si="378"/>
        <v>0</v>
      </c>
      <c r="W1903">
        <f t="shared" si="379"/>
        <v>-730</v>
      </c>
      <c r="X1903">
        <v>0</v>
      </c>
    </row>
    <row r="1904" spans="1:24" x14ac:dyDescent="0.25">
      <c r="A1904" t="s">
        <v>1965</v>
      </c>
      <c r="B1904" t="s">
        <v>2017</v>
      </c>
      <c r="C1904" t="s">
        <v>2087</v>
      </c>
      <c r="D1904" t="s">
        <v>213</v>
      </c>
      <c r="E1904" t="s">
        <v>29</v>
      </c>
      <c r="F1904" t="s">
        <v>1</v>
      </c>
      <c r="G1904" t="s">
        <v>826</v>
      </c>
      <c r="H1904" t="s">
        <v>429</v>
      </c>
      <c r="I1904" t="s">
        <v>1</v>
      </c>
      <c r="J1904">
        <v>52.5</v>
      </c>
      <c r="K1904">
        <v>110.00000000039999</v>
      </c>
      <c r="L1904">
        <v>0</v>
      </c>
      <c r="M1904">
        <v>0</v>
      </c>
      <c r="N1904">
        <v>0</v>
      </c>
      <c r="O1904"/>
      <c r="P1904">
        <v>0</v>
      </c>
      <c r="Q1904">
        <f t="shared" si="375"/>
        <v>0</v>
      </c>
      <c r="R1904">
        <v>0</v>
      </c>
      <c r="S1904">
        <f t="shared" si="376"/>
        <v>0</v>
      </c>
      <c r="T1904"/>
      <c r="U1904">
        <f t="shared" si="377"/>
        <v>0</v>
      </c>
      <c r="V1904">
        <f t="shared" si="378"/>
        <v>0</v>
      </c>
      <c r="W1904">
        <f t="shared" si="379"/>
        <v>0</v>
      </c>
      <c r="X1904">
        <v>0</v>
      </c>
    </row>
    <row r="1905" spans="1:24" x14ac:dyDescent="0.25">
      <c r="A1905" t="s">
        <v>1965</v>
      </c>
      <c r="B1905" t="s">
        <v>2017</v>
      </c>
      <c r="C1905" t="s">
        <v>2087</v>
      </c>
      <c r="D1905" t="s">
        <v>213</v>
      </c>
      <c r="E1905" t="s">
        <v>33</v>
      </c>
      <c r="F1905" t="s">
        <v>1</v>
      </c>
      <c r="G1905" t="s">
        <v>826</v>
      </c>
      <c r="H1905" t="s">
        <v>433</v>
      </c>
      <c r="I1905" t="s">
        <v>1</v>
      </c>
      <c r="J1905"/>
      <c r="K1905">
        <v>196.24767365880001</v>
      </c>
      <c r="L1905">
        <v>0</v>
      </c>
      <c r="M1905">
        <v>0</v>
      </c>
      <c r="N1905">
        <v>0</v>
      </c>
      <c r="O1905"/>
      <c r="P1905">
        <v>0</v>
      </c>
      <c r="Q1905">
        <f t="shared" si="375"/>
        <v>0</v>
      </c>
      <c r="R1905">
        <v>0</v>
      </c>
      <c r="S1905">
        <f t="shared" si="376"/>
        <v>0</v>
      </c>
      <c r="T1905"/>
      <c r="U1905">
        <f t="shared" si="377"/>
        <v>0</v>
      </c>
      <c r="V1905">
        <f t="shared" si="378"/>
        <v>0</v>
      </c>
      <c r="W1905">
        <f t="shared" si="379"/>
        <v>0</v>
      </c>
      <c r="X1905">
        <v>0</v>
      </c>
    </row>
    <row r="1906" spans="1:24" x14ac:dyDescent="0.25">
      <c r="A1906" t="s">
        <v>1965</v>
      </c>
      <c r="B1906" t="s">
        <v>2017</v>
      </c>
      <c r="C1906" t="s">
        <v>2087</v>
      </c>
      <c r="D1906" t="s">
        <v>213</v>
      </c>
      <c r="E1906" t="s">
        <v>34</v>
      </c>
      <c r="F1906" t="s">
        <v>1</v>
      </c>
      <c r="G1906" t="s">
        <v>826</v>
      </c>
      <c r="H1906" t="s">
        <v>434</v>
      </c>
      <c r="I1906" t="s">
        <v>1</v>
      </c>
      <c r="J1906">
        <v>216.09</v>
      </c>
      <c r="K1906">
        <v>392.49534731760002</v>
      </c>
      <c r="L1906">
        <v>336.34</v>
      </c>
      <c r="M1906">
        <v>678.25469613259668</v>
      </c>
      <c r="N1906">
        <v>336.34</v>
      </c>
      <c r="O1906">
        <v>672.68</v>
      </c>
      <c r="P1906">
        <v>0</v>
      </c>
      <c r="Q1906">
        <f t="shared" si="375"/>
        <v>672.68</v>
      </c>
      <c r="R1906">
        <v>0</v>
      </c>
      <c r="S1906">
        <f t="shared" si="376"/>
        <v>-672.68</v>
      </c>
      <c r="T1906"/>
      <c r="U1906">
        <f t="shared" si="377"/>
        <v>0</v>
      </c>
      <c r="V1906">
        <f t="shared" si="378"/>
        <v>0</v>
      </c>
      <c r="W1906">
        <f t="shared" si="379"/>
        <v>-672.68</v>
      </c>
      <c r="X1906">
        <v>0</v>
      </c>
    </row>
    <row r="1907" spans="1:24" x14ac:dyDescent="0.25">
      <c r="A1907" t="s">
        <v>1965</v>
      </c>
      <c r="B1907" t="s">
        <v>2017</v>
      </c>
      <c r="C1907" t="s">
        <v>2087</v>
      </c>
      <c r="D1907" t="s">
        <v>213</v>
      </c>
      <c r="E1907" t="s">
        <v>37</v>
      </c>
      <c r="F1907" t="s">
        <v>1</v>
      </c>
      <c r="G1907" t="s">
        <v>826</v>
      </c>
      <c r="H1907" t="s">
        <v>437</v>
      </c>
      <c r="I1907" t="s">
        <v>1</v>
      </c>
      <c r="J1907">
        <v>1922.37</v>
      </c>
      <c r="K1907"/>
      <c r="L1907">
        <v>1860.3</v>
      </c>
      <c r="M1907">
        <v>3751.4337016574582</v>
      </c>
      <c r="N1907">
        <v>2735.3</v>
      </c>
      <c r="O1907">
        <v>3720.6</v>
      </c>
      <c r="P1907">
        <v>0</v>
      </c>
      <c r="Q1907">
        <f t="shared" si="375"/>
        <v>3720.6</v>
      </c>
      <c r="R1907">
        <v>0</v>
      </c>
      <c r="S1907">
        <f t="shared" si="376"/>
        <v>-3720.6</v>
      </c>
      <c r="T1907"/>
      <c r="U1907">
        <f t="shared" si="377"/>
        <v>0</v>
      </c>
      <c r="V1907">
        <f t="shared" si="378"/>
        <v>0</v>
      </c>
      <c r="W1907">
        <f t="shared" si="379"/>
        <v>-3720.6</v>
      </c>
      <c r="X1907">
        <v>0</v>
      </c>
    </row>
    <row r="1908" spans="1:24" x14ac:dyDescent="0.25">
      <c r="A1908" t="s">
        <v>1965</v>
      </c>
      <c r="B1908" t="s">
        <v>2017</v>
      </c>
      <c r="C1908" t="s">
        <v>2087</v>
      </c>
      <c r="D1908" t="s">
        <v>213</v>
      </c>
      <c r="E1908" t="s">
        <v>41</v>
      </c>
      <c r="F1908" t="s">
        <v>1</v>
      </c>
      <c r="G1908" t="s">
        <v>826</v>
      </c>
      <c r="H1908" t="s">
        <v>441</v>
      </c>
      <c r="I1908" t="s">
        <v>1</v>
      </c>
      <c r="J1908">
        <v>87.96</v>
      </c>
      <c r="K1908">
        <v>78.574213244399999</v>
      </c>
      <c r="L1908">
        <v>0</v>
      </c>
      <c r="M1908">
        <v>0</v>
      </c>
      <c r="N1908">
        <v>47.96</v>
      </c>
      <c r="O1908"/>
      <c r="P1908">
        <v>0</v>
      </c>
      <c r="Q1908">
        <f t="shared" si="375"/>
        <v>0</v>
      </c>
      <c r="R1908">
        <v>0</v>
      </c>
      <c r="S1908">
        <f t="shared" si="376"/>
        <v>0</v>
      </c>
      <c r="T1908">
        <v>0.03</v>
      </c>
      <c r="U1908">
        <f t="shared" si="377"/>
        <v>0</v>
      </c>
      <c r="V1908">
        <f t="shared" si="378"/>
        <v>0</v>
      </c>
      <c r="W1908">
        <f t="shared" si="379"/>
        <v>0</v>
      </c>
      <c r="X1908">
        <v>0</v>
      </c>
    </row>
    <row r="1909" spans="1:24" x14ac:dyDescent="0.25">
      <c r="A1909" t="s">
        <v>1965</v>
      </c>
      <c r="B1909" t="s">
        <v>2017</v>
      </c>
      <c r="C1909" t="s">
        <v>2087</v>
      </c>
      <c r="D1909" t="s">
        <v>213</v>
      </c>
      <c r="E1909" t="s">
        <v>42</v>
      </c>
      <c r="F1909" t="s">
        <v>1</v>
      </c>
      <c r="G1909" t="s">
        <v>826</v>
      </c>
      <c r="H1909" t="s">
        <v>442</v>
      </c>
      <c r="I1909" t="s">
        <v>1</v>
      </c>
      <c r="J1909">
        <v>33.229999999999997</v>
      </c>
      <c r="K1909"/>
      <c r="L1909">
        <v>151.44</v>
      </c>
      <c r="M1909">
        <v>305.39005524861881</v>
      </c>
      <c r="N1909">
        <v>184.67</v>
      </c>
      <c r="O1909">
        <v>302.88</v>
      </c>
      <c r="P1909">
        <v>0</v>
      </c>
      <c r="Q1909">
        <f t="shared" si="375"/>
        <v>302.88</v>
      </c>
      <c r="R1909">
        <v>303</v>
      </c>
      <c r="S1909">
        <f t="shared" si="376"/>
        <v>0.12000000000000455</v>
      </c>
      <c r="T1909">
        <v>0.03</v>
      </c>
      <c r="U1909">
        <f t="shared" si="377"/>
        <v>9.09</v>
      </c>
      <c r="V1909">
        <f t="shared" si="378"/>
        <v>312.08999999999997</v>
      </c>
      <c r="W1909">
        <f t="shared" si="379"/>
        <v>9.2099999999999795</v>
      </c>
      <c r="X1909" t="s">
        <v>1573</v>
      </c>
    </row>
    <row r="1910" spans="1:24" x14ac:dyDescent="0.25">
      <c r="A1910" t="s">
        <v>1965</v>
      </c>
      <c r="B1910" t="s">
        <v>2017</v>
      </c>
      <c r="C1910" t="s">
        <v>2087</v>
      </c>
      <c r="D1910" t="s">
        <v>213</v>
      </c>
      <c r="E1910" t="s">
        <v>46</v>
      </c>
      <c r="F1910" t="s">
        <v>1</v>
      </c>
      <c r="G1910" t="s">
        <v>826</v>
      </c>
      <c r="H1910" t="s">
        <v>446</v>
      </c>
      <c r="I1910" t="s">
        <v>1</v>
      </c>
      <c r="J1910"/>
      <c r="K1910"/>
      <c r="L1910">
        <v>148.5</v>
      </c>
      <c r="M1910">
        <v>299.46132596685084</v>
      </c>
      <c r="N1910">
        <v>148.5</v>
      </c>
      <c r="O1910">
        <v>297</v>
      </c>
      <c r="P1910">
        <v>0</v>
      </c>
      <c r="Q1910">
        <f t="shared" si="375"/>
        <v>297</v>
      </c>
      <c r="R1910">
        <v>0</v>
      </c>
      <c r="S1910">
        <f t="shared" si="376"/>
        <v>-297</v>
      </c>
      <c r="T1910">
        <v>0.03</v>
      </c>
      <c r="U1910">
        <f t="shared" si="377"/>
        <v>0</v>
      </c>
      <c r="V1910">
        <f t="shared" si="378"/>
        <v>0</v>
      </c>
      <c r="W1910">
        <f t="shared" si="379"/>
        <v>-297</v>
      </c>
      <c r="X1910">
        <v>0</v>
      </c>
    </row>
    <row r="1911" spans="1:24" x14ac:dyDescent="0.25">
      <c r="A1911" t="s">
        <v>1965</v>
      </c>
      <c r="B1911" t="s">
        <v>2017</v>
      </c>
      <c r="C1911" t="s">
        <v>2087</v>
      </c>
      <c r="D1911" t="s">
        <v>213</v>
      </c>
      <c r="E1911" t="s">
        <v>47</v>
      </c>
      <c r="F1911" t="s">
        <v>1</v>
      </c>
      <c r="G1911" t="s">
        <v>826</v>
      </c>
      <c r="H1911" t="s">
        <v>447</v>
      </c>
      <c r="I1911" t="s">
        <v>1</v>
      </c>
      <c r="J1911">
        <v>11201.19</v>
      </c>
      <c r="K1911">
        <v>9315</v>
      </c>
      <c r="L1911">
        <v>8861.11</v>
      </c>
      <c r="M1911">
        <v>17869.08922651934</v>
      </c>
      <c r="N1911">
        <v>14306.300000000001</v>
      </c>
      <c r="O1911">
        <v>17722.22</v>
      </c>
      <c r="P1911">
        <v>0</v>
      </c>
      <c r="Q1911">
        <f t="shared" si="375"/>
        <v>17722.22</v>
      </c>
      <c r="R1911">
        <v>40500</v>
      </c>
      <c r="S1911">
        <f t="shared" si="376"/>
        <v>22777.78</v>
      </c>
      <c r="T1911">
        <v>0.03</v>
      </c>
      <c r="U1911">
        <f t="shared" si="377"/>
        <v>1215</v>
      </c>
      <c r="V1911">
        <f t="shared" si="378"/>
        <v>41715</v>
      </c>
      <c r="W1911">
        <f t="shared" si="379"/>
        <v>23992.78</v>
      </c>
      <c r="X1911" t="s">
        <v>1619</v>
      </c>
    </row>
    <row r="1912" spans="1:24" x14ac:dyDescent="0.25">
      <c r="A1912" t="s">
        <v>1965</v>
      </c>
      <c r="B1912" t="s">
        <v>2017</v>
      </c>
      <c r="C1912" t="s">
        <v>2087</v>
      </c>
      <c r="D1912" t="s">
        <v>213</v>
      </c>
      <c r="E1912" t="s">
        <v>51</v>
      </c>
      <c r="F1912" t="s">
        <v>51</v>
      </c>
      <c r="G1912" t="s">
        <v>827</v>
      </c>
      <c r="H1912"/>
      <c r="I1912"/>
      <c r="J1912">
        <v>18645.349999999999</v>
      </c>
      <c r="K1912">
        <v>18224.829013269598</v>
      </c>
      <c r="L1912">
        <v>14156.880000000001</v>
      </c>
      <c r="M1912">
        <v>28548.404419889506</v>
      </c>
      <c r="N1912">
        <v>23744.29</v>
      </c>
      <c r="O1912">
        <v>28313.760000000002</v>
      </c>
      <c r="P1912">
        <f>SUMIF($F$1898:$F$1911,"&lt;&gt;EV_*",$P$1898:$P$1911)</f>
        <v>0</v>
      </c>
      <c r="Q1912">
        <f>SUMIF($F$1898:$F$1911,"&lt;&gt;EV_*",$Q$1898:$Q$1911)</f>
        <v>28313.760000000002</v>
      </c>
      <c r="R1912">
        <f>SUMIF($F$1898:$F$1911,"&lt;&gt;EV_*",$R$1898:$R$1911)</f>
        <v>43681</v>
      </c>
      <c r="S1912">
        <f>SUMIF($F$1898:$F$1911,"&lt;&gt;EV_*",$S$1898:$S$1911)</f>
        <v>15367.239999999998</v>
      </c>
      <c r="T1912">
        <v>0</v>
      </c>
      <c r="U1912">
        <f>SUMIF($F$1898:$F$1911,"&lt;&gt;EV_*",$U$1898:$U$1911)</f>
        <v>1224.0899999999999</v>
      </c>
      <c r="V1912">
        <f>SUMIF($F$1898:$F$1911,"&lt;&gt;EV_*",$V$1898:$V$1911)</f>
        <v>44905.09</v>
      </c>
      <c r="W1912">
        <f>SUMIF($F$1898:$F$1911,"&lt;&gt;EV_*",$W$1898:$W$1911)</f>
        <v>16591.329999999998</v>
      </c>
      <c r="X1912">
        <f>SUMIF($F$1898:$F$1911,"&lt;&gt;EV_*",$X$1898:$X$1911)</f>
        <v>0</v>
      </c>
    </row>
    <row r="1913" spans="1:24" x14ac:dyDescent="0.25">
      <c r="A1913" t="s">
        <v>2025</v>
      </c>
      <c r="B1913" t="s">
        <v>2082</v>
      </c>
      <c r="C1913" t="s">
        <v>2088</v>
      </c>
      <c r="D1913" t="s">
        <v>214</v>
      </c>
      <c r="E1913" t="s">
        <v>5</v>
      </c>
      <c r="F1913" t="s">
        <v>5</v>
      </c>
      <c r="G1913" t="s">
        <v>828</v>
      </c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</row>
    <row r="1914" spans="1:24" x14ac:dyDescent="0.25">
      <c r="A1914" t="s">
        <v>2025</v>
      </c>
      <c r="B1914" t="s">
        <v>2082</v>
      </c>
      <c r="C1914" t="s">
        <v>2088</v>
      </c>
      <c r="D1914" t="s">
        <v>214</v>
      </c>
      <c r="E1914" t="s">
        <v>11</v>
      </c>
      <c r="F1914" t="s">
        <v>1</v>
      </c>
      <c r="G1914" t="s">
        <v>829</v>
      </c>
      <c r="H1914" t="s">
        <v>411</v>
      </c>
      <c r="I1914" t="s">
        <v>1</v>
      </c>
      <c r="J1914">
        <v>3559.04</v>
      </c>
      <c r="K1914">
        <v>4835.6300000004003</v>
      </c>
      <c r="L1914">
        <v>863.02</v>
      </c>
      <c r="M1914">
        <v>1740.3441988950274</v>
      </c>
      <c r="N1914">
        <v>1814.56</v>
      </c>
      <c r="O1914">
        <v>1726.04</v>
      </c>
      <c r="P1914">
        <v>0</v>
      </c>
      <c r="Q1914">
        <f t="shared" ref="Q1914:Q1920" si="380">O1914+P1914</f>
        <v>1726.04</v>
      </c>
      <c r="R1914">
        <v>1726</v>
      </c>
      <c r="S1914">
        <f t="shared" ref="S1914:S1920" si="381">IF(OR(LEFT(E1914,2)="A_",LEFT(D1914,5)="Total"),R1914-Q1914,"")</f>
        <v>-3.999999999996362E-2</v>
      </c>
      <c r="T1914"/>
      <c r="U1914">
        <f t="shared" ref="U1914:U1920" si="382">IFERROR(R1914*T1914,R1914*0)</f>
        <v>0</v>
      </c>
      <c r="V1914">
        <f t="shared" ref="V1914:V1920" si="383">IF(OR(LEFT(E1914,2)="A_",LEFT(D1914,5)="Total"),R1914+U1914,"")</f>
        <v>1726</v>
      </c>
      <c r="W1914">
        <f t="shared" ref="W1914:W1920" si="384">IF(OR(LEFT(E1914,2)="A_",LEFT(D1914,5)="Total"),V1914-Q1914,"")</f>
        <v>-3.999999999996362E-2</v>
      </c>
      <c r="X1914">
        <v>0</v>
      </c>
    </row>
    <row r="1915" spans="1:24" x14ac:dyDescent="0.25">
      <c r="A1915" t="s">
        <v>2025</v>
      </c>
      <c r="B1915" t="s">
        <v>2082</v>
      </c>
      <c r="C1915" t="s">
        <v>2088</v>
      </c>
      <c r="D1915" t="s">
        <v>214</v>
      </c>
      <c r="E1915" t="s">
        <v>17</v>
      </c>
      <c r="F1915" t="s">
        <v>1</v>
      </c>
      <c r="G1915" t="s">
        <v>829</v>
      </c>
      <c r="H1915" t="s">
        <v>417</v>
      </c>
      <c r="I1915" t="s">
        <v>1</v>
      </c>
      <c r="J1915"/>
      <c r="K1915">
        <v>-10</v>
      </c>
      <c r="L1915">
        <v>0</v>
      </c>
      <c r="M1915">
        <v>0</v>
      </c>
      <c r="N1915">
        <v>0</v>
      </c>
      <c r="O1915"/>
      <c r="P1915">
        <v>0</v>
      </c>
      <c r="Q1915">
        <f t="shared" si="380"/>
        <v>0</v>
      </c>
      <c r="R1915" t="s">
        <v>1291</v>
      </c>
      <c r="S1915" t="e">
        <f t="shared" si="381"/>
        <v>#VALUE!</v>
      </c>
      <c r="T1915"/>
      <c r="U1915" t="e">
        <f t="shared" si="382"/>
        <v>#VALUE!</v>
      </c>
      <c r="V1915" t="e">
        <f t="shared" si="383"/>
        <v>#VALUE!</v>
      </c>
      <c r="W1915" t="e">
        <f t="shared" si="384"/>
        <v>#VALUE!</v>
      </c>
      <c r="X1915">
        <v>0</v>
      </c>
    </row>
    <row r="1916" spans="1:24" x14ac:dyDescent="0.25">
      <c r="A1916" t="s">
        <v>2025</v>
      </c>
      <c r="B1916" t="s">
        <v>2082</v>
      </c>
      <c r="C1916" t="s">
        <v>2088</v>
      </c>
      <c r="D1916" t="s">
        <v>214</v>
      </c>
      <c r="E1916" t="s">
        <v>18</v>
      </c>
      <c r="F1916" t="s">
        <v>1</v>
      </c>
      <c r="G1916" t="s">
        <v>829</v>
      </c>
      <c r="H1916" t="s">
        <v>418</v>
      </c>
      <c r="I1916" t="s">
        <v>1</v>
      </c>
      <c r="J1916">
        <v>1213.17</v>
      </c>
      <c r="K1916"/>
      <c r="L1916">
        <v>0</v>
      </c>
      <c r="M1916">
        <v>0</v>
      </c>
      <c r="N1916">
        <v>1213.17</v>
      </c>
      <c r="O1916"/>
      <c r="P1916">
        <v>0</v>
      </c>
      <c r="Q1916">
        <f t="shared" si="380"/>
        <v>0</v>
      </c>
      <c r="R1916" t="s">
        <v>1291</v>
      </c>
      <c r="S1916" t="e">
        <f t="shared" si="381"/>
        <v>#VALUE!</v>
      </c>
      <c r="T1916">
        <v>0.02</v>
      </c>
      <c r="U1916" t="e">
        <f t="shared" si="382"/>
        <v>#VALUE!</v>
      </c>
      <c r="V1916" t="e">
        <f t="shared" si="383"/>
        <v>#VALUE!</v>
      </c>
      <c r="W1916" t="e">
        <f t="shared" si="384"/>
        <v>#VALUE!</v>
      </c>
      <c r="X1916">
        <v>0</v>
      </c>
    </row>
    <row r="1917" spans="1:24" x14ac:dyDescent="0.25">
      <c r="A1917" t="s">
        <v>2025</v>
      </c>
      <c r="B1917" t="s">
        <v>2082</v>
      </c>
      <c r="C1917" t="s">
        <v>2088</v>
      </c>
      <c r="D1917" t="s">
        <v>214</v>
      </c>
      <c r="E1917" t="s">
        <v>85</v>
      </c>
      <c r="F1917" t="s">
        <v>1</v>
      </c>
      <c r="G1917" t="s">
        <v>829</v>
      </c>
      <c r="H1917" t="s">
        <v>510</v>
      </c>
      <c r="I1917" t="s">
        <v>1</v>
      </c>
      <c r="J1917">
        <v>13.11</v>
      </c>
      <c r="K1917"/>
      <c r="L1917">
        <v>0</v>
      </c>
      <c r="M1917">
        <v>0</v>
      </c>
      <c r="N1917">
        <v>13.11</v>
      </c>
      <c r="O1917"/>
      <c r="P1917">
        <v>0</v>
      </c>
      <c r="Q1917">
        <f t="shared" si="380"/>
        <v>0</v>
      </c>
      <c r="R1917" t="s">
        <v>1291</v>
      </c>
      <c r="S1917" t="e">
        <f t="shared" si="381"/>
        <v>#VALUE!</v>
      </c>
      <c r="T1917">
        <v>0.02</v>
      </c>
      <c r="U1917" t="e">
        <f t="shared" si="382"/>
        <v>#VALUE!</v>
      </c>
      <c r="V1917" t="e">
        <f t="shared" si="383"/>
        <v>#VALUE!</v>
      </c>
      <c r="W1917" t="e">
        <f t="shared" si="384"/>
        <v>#VALUE!</v>
      </c>
      <c r="X1917">
        <v>0</v>
      </c>
    </row>
    <row r="1918" spans="1:24" x14ac:dyDescent="0.25">
      <c r="A1918" t="s">
        <v>2025</v>
      </c>
      <c r="B1918" t="s">
        <v>2082</v>
      </c>
      <c r="C1918" t="s">
        <v>2088</v>
      </c>
      <c r="D1918" t="s">
        <v>214</v>
      </c>
      <c r="E1918" t="s">
        <v>20</v>
      </c>
      <c r="F1918" t="s">
        <v>1</v>
      </c>
      <c r="G1918" t="s">
        <v>829</v>
      </c>
      <c r="H1918" t="s">
        <v>420</v>
      </c>
      <c r="I1918" t="s">
        <v>1</v>
      </c>
      <c r="J1918">
        <v>1890</v>
      </c>
      <c r="K1918"/>
      <c r="L1918">
        <v>0</v>
      </c>
      <c r="M1918">
        <v>0</v>
      </c>
      <c r="N1918">
        <v>1890</v>
      </c>
      <c r="O1918"/>
      <c r="P1918">
        <v>0</v>
      </c>
      <c r="Q1918">
        <f t="shared" si="380"/>
        <v>0</v>
      </c>
      <c r="R1918" t="s">
        <v>1291</v>
      </c>
      <c r="S1918" t="e">
        <f t="shared" si="381"/>
        <v>#VALUE!</v>
      </c>
      <c r="T1918">
        <v>0.04</v>
      </c>
      <c r="U1918" t="e">
        <f t="shared" si="382"/>
        <v>#VALUE!</v>
      </c>
      <c r="V1918" t="e">
        <f t="shared" si="383"/>
        <v>#VALUE!</v>
      </c>
      <c r="W1918" t="e">
        <f t="shared" si="384"/>
        <v>#VALUE!</v>
      </c>
      <c r="X1918">
        <v>0</v>
      </c>
    </row>
    <row r="1919" spans="1:24" x14ac:dyDescent="0.25">
      <c r="A1919" t="s">
        <v>2025</v>
      </c>
      <c r="B1919" t="s">
        <v>2082</v>
      </c>
      <c r="C1919" t="s">
        <v>2088</v>
      </c>
      <c r="D1919" t="s">
        <v>214</v>
      </c>
      <c r="E1919" t="s">
        <v>33</v>
      </c>
      <c r="F1919" t="s">
        <v>1</v>
      </c>
      <c r="G1919" t="s">
        <v>829</v>
      </c>
      <c r="H1919" t="s">
        <v>433</v>
      </c>
      <c r="I1919" t="s">
        <v>1</v>
      </c>
      <c r="J1919"/>
      <c r="K1919">
        <v>9027.3929883107994</v>
      </c>
      <c r="L1919">
        <v>0</v>
      </c>
      <c r="M1919">
        <v>0</v>
      </c>
      <c r="N1919">
        <v>0</v>
      </c>
      <c r="O1919"/>
      <c r="P1919">
        <v>0</v>
      </c>
      <c r="Q1919">
        <f t="shared" si="380"/>
        <v>0</v>
      </c>
      <c r="R1919" t="s">
        <v>1291</v>
      </c>
      <c r="S1919" t="e">
        <f t="shared" si="381"/>
        <v>#VALUE!</v>
      </c>
      <c r="T1919"/>
      <c r="U1919" t="e">
        <f t="shared" si="382"/>
        <v>#VALUE!</v>
      </c>
      <c r="V1919" t="e">
        <f t="shared" si="383"/>
        <v>#VALUE!</v>
      </c>
      <c r="W1919" t="e">
        <f t="shared" si="384"/>
        <v>#VALUE!</v>
      </c>
      <c r="X1919">
        <v>0</v>
      </c>
    </row>
    <row r="1920" spans="1:24" x14ac:dyDescent="0.25">
      <c r="A1920" t="s">
        <v>2025</v>
      </c>
      <c r="B1920" t="s">
        <v>2082</v>
      </c>
      <c r="C1920" t="s">
        <v>2088</v>
      </c>
      <c r="D1920" t="s">
        <v>214</v>
      </c>
      <c r="E1920" t="s">
        <v>41</v>
      </c>
      <c r="F1920" t="s">
        <v>1</v>
      </c>
      <c r="G1920" t="s">
        <v>829</v>
      </c>
      <c r="H1920" t="s">
        <v>441</v>
      </c>
      <c r="I1920" t="s">
        <v>1</v>
      </c>
      <c r="J1920">
        <v>32.64</v>
      </c>
      <c r="K1920"/>
      <c r="L1920">
        <v>25</v>
      </c>
      <c r="M1920">
        <v>50.414364640883981</v>
      </c>
      <c r="N1920">
        <v>57.64</v>
      </c>
      <c r="O1920">
        <v>50</v>
      </c>
      <c r="P1920">
        <v>0</v>
      </c>
      <c r="Q1920">
        <f t="shared" si="380"/>
        <v>50</v>
      </c>
      <c r="R1920" t="s">
        <v>1291</v>
      </c>
      <c r="S1920" t="e">
        <f t="shared" si="381"/>
        <v>#VALUE!</v>
      </c>
      <c r="T1920">
        <v>0.03</v>
      </c>
      <c r="U1920" t="e">
        <f t="shared" si="382"/>
        <v>#VALUE!</v>
      </c>
      <c r="V1920" t="e">
        <f t="shared" si="383"/>
        <v>#VALUE!</v>
      </c>
      <c r="W1920" t="e">
        <f t="shared" si="384"/>
        <v>#VALUE!</v>
      </c>
      <c r="X1920">
        <v>0</v>
      </c>
    </row>
    <row r="1921" spans="1:24" x14ac:dyDescent="0.25">
      <c r="A1921" t="s">
        <v>2025</v>
      </c>
      <c r="B1921" t="s">
        <v>2082</v>
      </c>
      <c r="C1921" t="s">
        <v>2088</v>
      </c>
      <c r="D1921" t="s">
        <v>214</v>
      </c>
      <c r="E1921" t="s">
        <v>51</v>
      </c>
      <c r="F1921" t="s">
        <v>51</v>
      </c>
      <c r="G1921" t="s">
        <v>830</v>
      </c>
      <c r="H1921"/>
      <c r="I1921"/>
      <c r="J1921">
        <v>6707.96</v>
      </c>
      <c r="K1921">
        <v>13853.022988311201</v>
      </c>
      <c r="L1921">
        <v>888.02</v>
      </c>
      <c r="M1921">
        <v>1790.7585635359114</v>
      </c>
      <c r="N1921">
        <v>4988.4800000000005</v>
      </c>
      <c r="O1921">
        <v>1776.04</v>
      </c>
      <c r="P1921">
        <f>SUMIF($F$1913:$F$1920,"&lt;&gt;EV_*",$P$1913:$P$1920)</f>
        <v>0</v>
      </c>
      <c r="Q1921">
        <f>SUMIF($F$1913:$F$1920,"&lt;&gt;EV_*",$Q$1913:$Q$1920)</f>
        <v>1776.04</v>
      </c>
      <c r="R1921">
        <f>SUMIF($F$1913:$F$1920,"&lt;&gt;EV_*",$R$1913:$R$1920)</f>
        <v>1726</v>
      </c>
      <c r="S1921" t="e">
        <f>SUMIF($F$1913:$F$1920,"&lt;&gt;EV_*",$S$1913:$S$1920)</f>
        <v>#VALUE!</v>
      </c>
      <c r="T1921">
        <v>0</v>
      </c>
      <c r="U1921" t="e">
        <f>SUMIF($F$1913:$F$1920,"&lt;&gt;EV_*",$U$1913:$U$1920)</f>
        <v>#VALUE!</v>
      </c>
      <c r="V1921" t="e">
        <f>SUMIF($F$1913:$F$1920,"&lt;&gt;EV_*",$V$1913:$V$1920)</f>
        <v>#VALUE!</v>
      </c>
      <c r="W1921" t="e">
        <f>SUMIF($F$1913:$F$1920,"&lt;&gt;EV_*",$W$1913:$W$1920)</f>
        <v>#VALUE!</v>
      </c>
      <c r="X1921">
        <f>SUMIF($F$1913:$F$1920,"&lt;&gt;EV_*",$X$1913:$X$1920)</f>
        <v>0</v>
      </c>
    </row>
    <row r="1922" spans="1:24" x14ac:dyDescent="0.25">
      <c r="A1922" t="s">
        <v>2025</v>
      </c>
      <c r="B1922" t="s">
        <v>2082</v>
      </c>
      <c r="C1922" t="s">
        <v>2089</v>
      </c>
      <c r="D1922" t="s">
        <v>215</v>
      </c>
      <c r="E1922" t="s">
        <v>5</v>
      </c>
      <c r="F1922" t="s">
        <v>5</v>
      </c>
      <c r="G1922" t="s">
        <v>831</v>
      </c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</row>
    <row r="1923" spans="1:24" x14ac:dyDescent="0.25">
      <c r="A1923" t="s">
        <v>2025</v>
      </c>
      <c r="B1923" t="s">
        <v>2082</v>
      </c>
      <c r="C1923" t="s">
        <v>2089</v>
      </c>
      <c r="D1923" t="s">
        <v>215</v>
      </c>
      <c r="E1923" t="s">
        <v>8</v>
      </c>
      <c r="F1923" t="s">
        <v>1</v>
      </c>
      <c r="G1923" t="s">
        <v>832</v>
      </c>
      <c r="H1923" t="s">
        <v>408</v>
      </c>
      <c r="I1923" t="s">
        <v>1</v>
      </c>
      <c r="J1923">
        <v>495</v>
      </c>
      <c r="K1923">
        <v>604.97237569050003</v>
      </c>
      <c r="L1923">
        <v>0</v>
      </c>
      <c r="M1923">
        <v>0</v>
      </c>
      <c r="N1923">
        <v>195</v>
      </c>
      <c r="O1923"/>
      <c r="P1923">
        <v>0</v>
      </c>
      <c r="Q1923">
        <f>O1923+P1923</f>
        <v>0</v>
      </c>
      <c r="R1923" t="s">
        <v>1291</v>
      </c>
      <c r="S1923" t="e">
        <f>IF(OR(LEFT(E1923,2)="A_",LEFT(D1923,5)="Total"),R1923-Q1923,"")</f>
        <v>#VALUE!</v>
      </c>
      <c r="T1923"/>
      <c r="U1923" t="e">
        <f>IFERROR(R1923*T1923,R1923*0)</f>
        <v>#VALUE!</v>
      </c>
      <c r="V1923" t="e">
        <f>IF(OR(LEFT(E1923,2)="A_",LEFT(D1923,5)="Total"),R1923+U1923,"")</f>
        <v>#VALUE!</v>
      </c>
      <c r="W1923" t="e">
        <f>IF(OR(LEFT(E1923,2)="A_",LEFT(D1923,5)="Total"),V1923-Q1923,"")</f>
        <v>#VALUE!</v>
      </c>
      <c r="X1923">
        <v>0</v>
      </c>
    </row>
    <row r="1924" spans="1:24" x14ac:dyDescent="0.25">
      <c r="A1924" t="s">
        <v>2025</v>
      </c>
      <c r="B1924" t="s">
        <v>2082</v>
      </c>
      <c r="C1924" t="s">
        <v>2089</v>
      </c>
      <c r="D1924" t="s">
        <v>215</v>
      </c>
      <c r="E1924" t="s">
        <v>13</v>
      </c>
      <c r="F1924" t="s">
        <v>1</v>
      </c>
      <c r="G1924" t="s">
        <v>832</v>
      </c>
      <c r="H1924" t="s">
        <v>413</v>
      </c>
      <c r="I1924" t="s">
        <v>1</v>
      </c>
      <c r="J1924"/>
      <c r="K1924"/>
      <c r="L1924">
        <v>141.52000000000001</v>
      </c>
      <c r="M1924">
        <v>285.38563535911607</v>
      </c>
      <c r="N1924">
        <v>141.52000000000001</v>
      </c>
      <c r="O1924">
        <v>283.04000000000002</v>
      </c>
      <c r="P1924">
        <v>0</v>
      </c>
      <c r="Q1924">
        <f>O1924+P1924</f>
        <v>283.04000000000002</v>
      </c>
      <c r="R1924">
        <v>283</v>
      </c>
      <c r="S1924">
        <f>IF(OR(LEFT(E1924,2)="A_",LEFT(D1924,5)="Total"),R1924-Q1924,"")</f>
        <v>-4.0000000000020464E-2</v>
      </c>
      <c r="T1924"/>
      <c r="U1924">
        <f>IFERROR(R1924*T1924,R1924*0)</f>
        <v>0</v>
      </c>
      <c r="V1924">
        <f>IF(OR(LEFT(E1924,2)="A_",LEFT(D1924,5)="Total"),R1924+U1924,"")</f>
        <v>283</v>
      </c>
      <c r="W1924">
        <f>IF(OR(LEFT(E1924,2)="A_",LEFT(D1924,5)="Total"),V1924-Q1924,"")</f>
        <v>-4.0000000000020464E-2</v>
      </c>
      <c r="X1924">
        <v>0</v>
      </c>
    </row>
    <row r="1925" spans="1:24" x14ac:dyDescent="0.25">
      <c r="A1925" t="s">
        <v>2025</v>
      </c>
      <c r="B1925" t="s">
        <v>2082</v>
      </c>
      <c r="C1925" t="s">
        <v>2089</v>
      </c>
      <c r="D1925" t="s">
        <v>215</v>
      </c>
      <c r="E1925" t="s">
        <v>42</v>
      </c>
      <c r="F1925" t="s">
        <v>1</v>
      </c>
      <c r="G1925" t="s">
        <v>832</v>
      </c>
      <c r="H1925" t="s">
        <v>442</v>
      </c>
      <c r="I1925" t="s">
        <v>1</v>
      </c>
      <c r="J1925"/>
      <c r="K1925"/>
      <c r="L1925">
        <v>11.65</v>
      </c>
      <c r="M1925">
        <v>23.493093922651937</v>
      </c>
      <c r="N1925">
        <v>11.65</v>
      </c>
      <c r="O1925">
        <v>23.3</v>
      </c>
      <c r="P1925">
        <v>0</v>
      </c>
      <c r="Q1925">
        <f>O1925+P1925</f>
        <v>23.3</v>
      </c>
      <c r="R1925">
        <v>23</v>
      </c>
      <c r="S1925">
        <f>IF(OR(LEFT(E1925,2)="A_",LEFT(D1925,5)="Total"),R1925-Q1925,"")</f>
        <v>-0.30000000000000071</v>
      </c>
      <c r="T1925">
        <v>0.03</v>
      </c>
      <c r="U1925">
        <f>IFERROR(R1925*T1925,R1925*0)</f>
        <v>0.69</v>
      </c>
      <c r="V1925">
        <f>IF(OR(LEFT(E1925,2)="A_",LEFT(D1925,5)="Total"),R1925+U1925,"")</f>
        <v>23.69</v>
      </c>
      <c r="W1925">
        <f>IF(OR(LEFT(E1925,2)="A_",LEFT(D1925,5)="Total"),V1925-Q1925,"")</f>
        <v>0.39000000000000057</v>
      </c>
      <c r="X1925">
        <v>0</v>
      </c>
    </row>
    <row r="1926" spans="1:24" x14ac:dyDescent="0.25">
      <c r="A1926" t="s">
        <v>2025</v>
      </c>
      <c r="B1926" t="s">
        <v>2082</v>
      </c>
      <c r="C1926" t="s">
        <v>2089</v>
      </c>
      <c r="D1926" t="s">
        <v>215</v>
      </c>
      <c r="E1926" t="s">
        <v>51</v>
      </c>
      <c r="F1926" t="s">
        <v>51</v>
      </c>
      <c r="G1926" t="s">
        <v>833</v>
      </c>
      <c r="H1926"/>
      <c r="I1926"/>
      <c r="J1926">
        <v>495</v>
      </c>
      <c r="K1926">
        <v>604.97237569050003</v>
      </c>
      <c r="L1926">
        <v>153.17000000000002</v>
      </c>
      <c r="M1926">
        <v>308.87872928176802</v>
      </c>
      <c r="N1926">
        <v>348.16999999999996</v>
      </c>
      <c r="O1926">
        <v>306.34000000000003</v>
      </c>
      <c r="P1926">
        <f>SUMIF($F$1922:$F$1925,"&lt;&gt;EV_*",$P$1922:$P$1925)</f>
        <v>0</v>
      </c>
      <c r="Q1926">
        <f>SUMIF($F$1922:$F$1925,"&lt;&gt;EV_*",$Q$1922:$Q$1925)</f>
        <v>306.34000000000003</v>
      </c>
      <c r="R1926">
        <f>SUMIF($F$1922:$F$1925,"&lt;&gt;EV_*",$R$1922:$R$1925)</f>
        <v>306</v>
      </c>
      <c r="S1926" t="e">
        <f>SUMIF($F$1922:$F$1925,"&lt;&gt;EV_*",$S$1922:$S$1925)</f>
        <v>#VALUE!</v>
      </c>
      <c r="T1926">
        <v>0</v>
      </c>
      <c r="U1926" t="e">
        <f>SUMIF($F$1922:$F$1925,"&lt;&gt;EV_*",$U$1922:$U$1925)</f>
        <v>#VALUE!</v>
      </c>
      <c r="V1926" t="e">
        <f>SUMIF($F$1922:$F$1925,"&lt;&gt;EV_*",$V$1922:$V$1925)</f>
        <v>#VALUE!</v>
      </c>
      <c r="W1926" t="e">
        <f>SUMIF($F$1922:$F$1925,"&lt;&gt;EV_*",$W$1922:$W$1925)</f>
        <v>#VALUE!</v>
      </c>
      <c r="X1926">
        <f>SUMIF($F$1922:$F$1925,"&lt;&gt;EV_*",$X$1922:$X$1925)</f>
        <v>0</v>
      </c>
    </row>
    <row r="1927" spans="1:24" x14ac:dyDescent="0.25">
      <c r="A1927" t="s">
        <v>2025</v>
      </c>
      <c r="B1927" t="s">
        <v>2084</v>
      </c>
      <c r="C1927" t="s">
        <v>2090</v>
      </c>
      <c r="D1927" t="s">
        <v>216</v>
      </c>
      <c r="E1927" t="s">
        <v>5</v>
      </c>
      <c r="F1927" t="s">
        <v>5</v>
      </c>
      <c r="G1927" t="s">
        <v>834</v>
      </c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</row>
    <row r="1928" spans="1:24" x14ac:dyDescent="0.25">
      <c r="A1928" t="s">
        <v>2025</v>
      </c>
      <c r="B1928" t="s">
        <v>2084</v>
      </c>
      <c r="C1928" t="s">
        <v>2090</v>
      </c>
      <c r="D1928" t="s">
        <v>216</v>
      </c>
      <c r="E1928" t="s">
        <v>116</v>
      </c>
      <c r="F1928" t="s">
        <v>1</v>
      </c>
      <c r="G1928" t="s">
        <v>835</v>
      </c>
      <c r="H1928" t="s">
        <v>585</v>
      </c>
      <c r="I1928" t="s">
        <v>1</v>
      </c>
      <c r="J1928">
        <v>1900000.08</v>
      </c>
      <c r="K1928">
        <v>2650000</v>
      </c>
      <c r="L1928">
        <v>1133000.04</v>
      </c>
      <c r="M1928">
        <v>2284779.0861878451</v>
      </c>
      <c r="N1928">
        <v>2083000.0800000003</v>
      </c>
      <c r="O1928">
        <v>2266000.08</v>
      </c>
      <c r="P1928">
        <v>0</v>
      </c>
      <c r="Q1928">
        <f t="shared" ref="Q1928:Q1946" si="385">O1928+P1928</f>
        <v>2266000.08</v>
      </c>
      <c r="R1928">
        <v>2300000</v>
      </c>
      <c r="S1928">
        <f t="shared" ref="S1928:S1946" si="386">IF(OR(LEFT(E1928,2)="A_",LEFT(D1928,5)="Total"),R1928-Q1928,"")</f>
        <v>33999.919999999925</v>
      </c>
      <c r="T1928"/>
      <c r="U1928">
        <f t="shared" ref="U1928:U1946" si="387">IFERROR(R1928*T1928,R1928*0)</f>
        <v>0</v>
      </c>
      <c r="V1928">
        <f t="shared" ref="V1928:V1946" si="388">IF(OR(LEFT(E1928,2)="A_",LEFT(D1928,5)="Total"),R1928+U1928,"")</f>
        <v>2300000</v>
      </c>
      <c r="W1928">
        <f t="shared" ref="W1928:W1946" si="389">IF(OR(LEFT(E1928,2)="A_",LEFT(D1928,5)="Total"),V1928-Q1928,"")</f>
        <v>33999.919999999925</v>
      </c>
      <c r="X1928" t="s">
        <v>1635</v>
      </c>
    </row>
    <row r="1929" spans="1:24" x14ac:dyDescent="0.25">
      <c r="A1929" t="s">
        <v>2025</v>
      </c>
      <c r="B1929" t="s">
        <v>2084</v>
      </c>
      <c r="C1929" t="s">
        <v>2090</v>
      </c>
      <c r="D1929" t="s">
        <v>216</v>
      </c>
      <c r="E1929" t="s">
        <v>8</v>
      </c>
      <c r="F1929" t="s">
        <v>1</v>
      </c>
      <c r="G1929" t="s">
        <v>835</v>
      </c>
      <c r="H1929" t="s">
        <v>408</v>
      </c>
      <c r="I1929" t="s">
        <v>1</v>
      </c>
      <c r="J1929">
        <v>9444.2800000000007</v>
      </c>
      <c r="K1929">
        <v>9302.0552486187007</v>
      </c>
      <c r="L1929">
        <v>4546.9399999999996</v>
      </c>
      <c r="M1929">
        <v>9169.2436464088387</v>
      </c>
      <c r="N1929">
        <v>9378.42</v>
      </c>
      <c r="O1929">
        <v>9169.2436464088005</v>
      </c>
      <c r="P1929">
        <v>0</v>
      </c>
      <c r="Q1929">
        <f t="shared" si="385"/>
        <v>9169.2436464088005</v>
      </c>
      <c r="R1929">
        <v>9169.2436464088005</v>
      </c>
      <c r="S1929">
        <f t="shared" si="386"/>
        <v>0</v>
      </c>
      <c r="T1929"/>
      <c r="U1929">
        <f t="shared" si="387"/>
        <v>0</v>
      </c>
      <c r="V1929">
        <f t="shared" si="388"/>
        <v>9169.2436464088005</v>
      </c>
      <c r="W1929">
        <f t="shared" si="389"/>
        <v>0</v>
      </c>
      <c r="X1929">
        <v>0</v>
      </c>
    </row>
    <row r="1930" spans="1:24" x14ac:dyDescent="0.25">
      <c r="A1930" t="s">
        <v>2025</v>
      </c>
      <c r="B1930" t="s">
        <v>2084</v>
      </c>
      <c r="C1930" t="s">
        <v>2090</v>
      </c>
      <c r="D1930" t="s">
        <v>216</v>
      </c>
      <c r="E1930" t="s">
        <v>11</v>
      </c>
      <c r="F1930" t="s">
        <v>1</v>
      </c>
      <c r="G1930" t="s">
        <v>835</v>
      </c>
      <c r="H1930" t="s">
        <v>411</v>
      </c>
      <c r="I1930" t="s">
        <v>1</v>
      </c>
      <c r="J1930">
        <v>2360.7600000000002</v>
      </c>
      <c r="K1930">
        <v>2070.7904000004</v>
      </c>
      <c r="L1930">
        <v>1157.79</v>
      </c>
      <c r="M1930">
        <v>2334.7698895027625</v>
      </c>
      <c r="N1930">
        <v>2295.23</v>
      </c>
      <c r="O1930">
        <v>2315.58</v>
      </c>
      <c r="P1930">
        <v>0</v>
      </c>
      <c r="Q1930">
        <f t="shared" si="385"/>
        <v>2315.58</v>
      </c>
      <c r="R1930">
        <v>2315.58</v>
      </c>
      <c r="S1930">
        <f t="shared" si="386"/>
        <v>0</v>
      </c>
      <c r="T1930"/>
      <c r="U1930">
        <f t="shared" si="387"/>
        <v>0</v>
      </c>
      <c r="V1930">
        <f t="shared" si="388"/>
        <v>2315.58</v>
      </c>
      <c r="W1930">
        <f t="shared" si="389"/>
        <v>0</v>
      </c>
      <c r="X1930">
        <v>0</v>
      </c>
    </row>
    <row r="1931" spans="1:24" x14ac:dyDescent="0.25">
      <c r="A1931" t="s">
        <v>2025</v>
      </c>
      <c r="B1931" t="s">
        <v>2084</v>
      </c>
      <c r="C1931" t="s">
        <v>2090</v>
      </c>
      <c r="D1931" t="s">
        <v>216</v>
      </c>
      <c r="E1931" t="s">
        <v>12</v>
      </c>
      <c r="F1931" t="s">
        <v>1</v>
      </c>
      <c r="G1931" t="s">
        <v>835</v>
      </c>
      <c r="H1931" t="s">
        <v>412</v>
      </c>
      <c r="I1931" t="s">
        <v>1</v>
      </c>
      <c r="J1931">
        <v>7500</v>
      </c>
      <c r="K1931">
        <v>15000</v>
      </c>
      <c r="L1931">
        <v>0</v>
      </c>
      <c r="M1931">
        <v>0</v>
      </c>
      <c r="N1931">
        <v>0</v>
      </c>
      <c r="O1931"/>
      <c r="P1931">
        <v>0</v>
      </c>
      <c r="Q1931">
        <f t="shared" si="385"/>
        <v>0</v>
      </c>
      <c r="R1931">
        <v>0</v>
      </c>
      <c r="S1931">
        <f t="shared" si="386"/>
        <v>0</v>
      </c>
      <c r="T1931"/>
      <c r="U1931">
        <f t="shared" si="387"/>
        <v>0</v>
      </c>
      <c r="V1931">
        <f t="shared" si="388"/>
        <v>0</v>
      </c>
      <c r="W1931">
        <f t="shared" si="389"/>
        <v>0</v>
      </c>
      <c r="X1931">
        <v>0</v>
      </c>
    </row>
    <row r="1932" spans="1:24" x14ac:dyDescent="0.25">
      <c r="A1932" t="s">
        <v>2025</v>
      </c>
      <c r="B1932" t="s">
        <v>2084</v>
      </c>
      <c r="C1932" t="s">
        <v>2090</v>
      </c>
      <c r="D1932" t="s">
        <v>216</v>
      </c>
      <c r="E1932" t="s">
        <v>13</v>
      </c>
      <c r="F1932" t="s">
        <v>1</v>
      </c>
      <c r="G1932" t="s">
        <v>835</v>
      </c>
      <c r="H1932" t="s">
        <v>413</v>
      </c>
      <c r="I1932" t="s">
        <v>1</v>
      </c>
      <c r="J1932">
        <v>163.93</v>
      </c>
      <c r="K1932"/>
      <c r="L1932">
        <v>105.09</v>
      </c>
      <c r="M1932">
        <v>211.92182320441989</v>
      </c>
      <c r="N1932">
        <v>269.02</v>
      </c>
      <c r="O1932">
        <v>210.18</v>
      </c>
      <c r="P1932">
        <v>0</v>
      </c>
      <c r="Q1932">
        <f t="shared" si="385"/>
        <v>210.18</v>
      </c>
      <c r="R1932">
        <v>210.18</v>
      </c>
      <c r="S1932">
        <f t="shared" si="386"/>
        <v>0</v>
      </c>
      <c r="T1932"/>
      <c r="U1932">
        <f t="shared" si="387"/>
        <v>0</v>
      </c>
      <c r="V1932">
        <f t="shared" si="388"/>
        <v>210.18</v>
      </c>
      <c r="W1932">
        <f t="shared" si="389"/>
        <v>0</v>
      </c>
      <c r="X1932">
        <v>0</v>
      </c>
    </row>
    <row r="1933" spans="1:24" x14ac:dyDescent="0.25">
      <c r="A1933" t="s">
        <v>2025</v>
      </c>
      <c r="B1933" t="s">
        <v>2084</v>
      </c>
      <c r="C1933" t="s">
        <v>2090</v>
      </c>
      <c r="D1933" t="s">
        <v>216</v>
      </c>
      <c r="E1933" t="s">
        <v>17</v>
      </c>
      <c r="F1933" t="s">
        <v>1</v>
      </c>
      <c r="G1933" t="s">
        <v>835</v>
      </c>
      <c r="H1933" t="s">
        <v>417</v>
      </c>
      <c r="I1933" t="s">
        <v>1</v>
      </c>
      <c r="J1933">
        <v>-2.62</v>
      </c>
      <c r="K1933"/>
      <c r="L1933">
        <v>0</v>
      </c>
      <c r="M1933">
        <v>0</v>
      </c>
      <c r="N1933">
        <v>-2.62</v>
      </c>
      <c r="O1933"/>
      <c r="P1933">
        <v>0</v>
      </c>
      <c r="Q1933">
        <f t="shared" si="385"/>
        <v>0</v>
      </c>
      <c r="R1933">
        <v>0</v>
      </c>
      <c r="S1933">
        <f t="shared" si="386"/>
        <v>0</v>
      </c>
      <c r="T1933"/>
      <c r="U1933">
        <f t="shared" si="387"/>
        <v>0</v>
      </c>
      <c r="V1933">
        <f t="shared" si="388"/>
        <v>0</v>
      </c>
      <c r="W1933">
        <f t="shared" si="389"/>
        <v>0</v>
      </c>
      <c r="X1933">
        <v>0</v>
      </c>
    </row>
    <row r="1934" spans="1:24" x14ac:dyDescent="0.25">
      <c r="A1934" t="s">
        <v>2025</v>
      </c>
      <c r="B1934" t="s">
        <v>2084</v>
      </c>
      <c r="C1934" t="s">
        <v>2090</v>
      </c>
      <c r="D1934" t="s">
        <v>216</v>
      </c>
      <c r="E1934" t="s">
        <v>21</v>
      </c>
      <c r="F1934" t="s">
        <v>1</v>
      </c>
      <c r="G1934" t="s">
        <v>835</v>
      </c>
      <c r="H1934" t="s">
        <v>421</v>
      </c>
      <c r="I1934" t="s">
        <v>1</v>
      </c>
      <c r="J1934">
        <v>15.4</v>
      </c>
      <c r="K1934"/>
      <c r="L1934">
        <v>0</v>
      </c>
      <c r="M1934">
        <v>0</v>
      </c>
      <c r="N1934">
        <v>15.4</v>
      </c>
      <c r="O1934"/>
      <c r="P1934">
        <v>0</v>
      </c>
      <c r="Q1934">
        <f t="shared" si="385"/>
        <v>0</v>
      </c>
      <c r="R1934">
        <v>0</v>
      </c>
      <c r="S1934">
        <f t="shared" si="386"/>
        <v>0</v>
      </c>
      <c r="T1934">
        <v>0.03</v>
      </c>
      <c r="U1934">
        <f t="shared" si="387"/>
        <v>0</v>
      </c>
      <c r="V1934">
        <f t="shared" si="388"/>
        <v>0</v>
      </c>
      <c r="W1934">
        <f t="shared" si="389"/>
        <v>0</v>
      </c>
      <c r="X1934">
        <v>0</v>
      </c>
    </row>
    <row r="1935" spans="1:24" x14ac:dyDescent="0.25">
      <c r="A1935" t="s">
        <v>2025</v>
      </c>
      <c r="B1935" t="s">
        <v>2084</v>
      </c>
      <c r="C1935" t="s">
        <v>2090</v>
      </c>
      <c r="D1935" t="s">
        <v>216</v>
      </c>
      <c r="E1935" t="s">
        <v>22</v>
      </c>
      <c r="F1935" t="s">
        <v>1</v>
      </c>
      <c r="G1935" t="s">
        <v>835</v>
      </c>
      <c r="H1935" t="s">
        <v>422</v>
      </c>
      <c r="I1935" t="s">
        <v>1</v>
      </c>
      <c r="J1935">
        <v>60.19</v>
      </c>
      <c r="K1935"/>
      <c r="L1935">
        <v>0</v>
      </c>
      <c r="M1935">
        <v>0</v>
      </c>
      <c r="N1935">
        <v>60.190000000000005</v>
      </c>
      <c r="O1935"/>
      <c r="P1935">
        <v>0</v>
      </c>
      <c r="Q1935">
        <f t="shared" si="385"/>
        <v>0</v>
      </c>
      <c r="R1935">
        <v>0</v>
      </c>
      <c r="S1935">
        <f t="shared" si="386"/>
        <v>0</v>
      </c>
      <c r="T1935">
        <v>3.5000000000000003E-2</v>
      </c>
      <c r="U1935">
        <f t="shared" si="387"/>
        <v>0</v>
      </c>
      <c r="V1935">
        <f t="shared" si="388"/>
        <v>0</v>
      </c>
      <c r="W1935">
        <f t="shared" si="389"/>
        <v>0</v>
      </c>
      <c r="X1935">
        <v>0</v>
      </c>
    </row>
    <row r="1936" spans="1:24" x14ac:dyDescent="0.25">
      <c r="A1936" t="s">
        <v>2025</v>
      </c>
      <c r="B1936" t="s">
        <v>2084</v>
      </c>
      <c r="C1936" t="s">
        <v>2090</v>
      </c>
      <c r="D1936" t="s">
        <v>216</v>
      </c>
      <c r="E1936" t="s">
        <v>29</v>
      </c>
      <c r="F1936" t="s">
        <v>1</v>
      </c>
      <c r="G1936" t="s">
        <v>835</v>
      </c>
      <c r="H1936" t="s">
        <v>429</v>
      </c>
      <c r="I1936" t="s">
        <v>1</v>
      </c>
      <c r="J1936">
        <v>177.17</v>
      </c>
      <c r="K1936">
        <v>104.0004</v>
      </c>
      <c r="L1936">
        <v>0</v>
      </c>
      <c r="M1936">
        <v>0</v>
      </c>
      <c r="N1936">
        <v>124.95</v>
      </c>
      <c r="O1936"/>
      <c r="P1936">
        <v>0</v>
      </c>
      <c r="Q1936">
        <f t="shared" si="385"/>
        <v>0</v>
      </c>
      <c r="R1936">
        <v>0</v>
      </c>
      <c r="S1936">
        <f t="shared" si="386"/>
        <v>0</v>
      </c>
      <c r="T1936"/>
      <c r="U1936">
        <f t="shared" si="387"/>
        <v>0</v>
      </c>
      <c r="V1936">
        <f t="shared" si="388"/>
        <v>0</v>
      </c>
      <c r="W1936">
        <f t="shared" si="389"/>
        <v>0</v>
      </c>
      <c r="X1936">
        <v>0</v>
      </c>
    </row>
    <row r="1937" spans="1:24" x14ac:dyDescent="0.25">
      <c r="A1937" t="s">
        <v>2025</v>
      </c>
      <c r="B1937" t="s">
        <v>2084</v>
      </c>
      <c r="C1937" t="s">
        <v>2090</v>
      </c>
      <c r="D1937" t="s">
        <v>216</v>
      </c>
      <c r="E1937" t="s">
        <v>30</v>
      </c>
      <c r="F1937" t="s">
        <v>1</v>
      </c>
      <c r="G1937" t="s">
        <v>835</v>
      </c>
      <c r="H1937" t="s">
        <v>430</v>
      </c>
      <c r="I1937" t="s">
        <v>1</v>
      </c>
      <c r="J1937">
        <v>6777.5</v>
      </c>
      <c r="K1937"/>
      <c r="L1937">
        <v>0</v>
      </c>
      <c r="M1937">
        <v>0</v>
      </c>
      <c r="N1937">
        <v>6777.5</v>
      </c>
      <c r="O1937"/>
      <c r="P1937">
        <v>0</v>
      </c>
      <c r="Q1937">
        <f t="shared" si="385"/>
        <v>0</v>
      </c>
      <c r="R1937">
        <v>25000</v>
      </c>
      <c r="S1937">
        <f t="shared" si="386"/>
        <v>25000</v>
      </c>
      <c r="T1937"/>
      <c r="U1937">
        <f t="shared" si="387"/>
        <v>0</v>
      </c>
      <c r="V1937">
        <f t="shared" si="388"/>
        <v>25000</v>
      </c>
      <c r="W1937">
        <f t="shared" si="389"/>
        <v>25000</v>
      </c>
      <c r="X1937" t="s">
        <v>1636</v>
      </c>
    </row>
    <row r="1938" spans="1:24" x14ac:dyDescent="0.25">
      <c r="A1938" t="s">
        <v>2025</v>
      </c>
      <c r="B1938" t="s">
        <v>2084</v>
      </c>
      <c r="C1938" t="s">
        <v>2090</v>
      </c>
      <c r="D1938" t="s">
        <v>216</v>
      </c>
      <c r="E1938" t="s">
        <v>31</v>
      </c>
      <c r="F1938" t="s">
        <v>1</v>
      </c>
      <c r="G1938" t="s">
        <v>835</v>
      </c>
      <c r="H1938" t="s">
        <v>431</v>
      </c>
      <c r="I1938" t="s">
        <v>1</v>
      </c>
      <c r="J1938">
        <v>34380</v>
      </c>
      <c r="K1938"/>
      <c r="L1938">
        <v>36000</v>
      </c>
      <c r="M1938">
        <v>72596.685082872922</v>
      </c>
      <c r="N1938">
        <v>70380</v>
      </c>
      <c r="O1938">
        <v>72000</v>
      </c>
      <c r="P1938">
        <v>0</v>
      </c>
      <c r="Q1938">
        <f t="shared" si="385"/>
        <v>72000</v>
      </c>
      <c r="R1938">
        <v>75000</v>
      </c>
      <c r="S1938">
        <f t="shared" si="386"/>
        <v>3000</v>
      </c>
      <c r="T1938"/>
      <c r="U1938">
        <f t="shared" si="387"/>
        <v>0</v>
      </c>
      <c r="V1938">
        <f t="shared" si="388"/>
        <v>75000</v>
      </c>
      <c r="W1938">
        <f t="shared" si="389"/>
        <v>3000</v>
      </c>
      <c r="X1938" t="s">
        <v>1637</v>
      </c>
    </row>
    <row r="1939" spans="1:24" x14ac:dyDescent="0.25">
      <c r="A1939" t="s">
        <v>2025</v>
      </c>
      <c r="B1939" t="s">
        <v>2084</v>
      </c>
      <c r="C1939" t="s">
        <v>2090</v>
      </c>
      <c r="D1939" t="s">
        <v>216</v>
      </c>
      <c r="E1939" t="s">
        <v>33</v>
      </c>
      <c r="F1939" t="s">
        <v>1</v>
      </c>
      <c r="G1939" t="s">
        <v>835</v>
      </c>
      <c r="H1939" t="s">
        <v>433</v>
      </c>
      <c r="I1939" t="s">
        <v>1</v>
      </c>
      <c r="J1939">
        <v>217.52</v>
      </c>
      <c r="K1939">
        <v>5800.8388863323999</v>
      </c>
      <c r="L1939">
        <v>465.5</v>
      </c>
      <c r="M1939">
        <v>938.71546961325976</v>
      </c>
      <c r="N1939">
        <v>465.5</v>
      </c>
      <c r="O1939">
        <v>931</v>
      </c>
      <c r="P1939">
        <v>0</v>
      </c>
      <c r="Q1939">
        <f t="shared" si="385"/>
        <v>931</v>
      </c>
      <c r="R1939">
        <v>931</v>
      </c>
      <c r="S1939">
        <f t="shared" si="386"/>
        <v>0</v>
      </c>
      <c r="T1939"/>
      <c r="U1939">
        <f t="shared" si="387"/>
        <v>0</v>
      </c>
      <c r="V1939">
        <f t="shared" si="388"/>
        <v>931</v>
      </c>
      <c r="W1939">
        <f t="shared" si="389"/>
        <v>0</v>
      </c>
      <c r="X1939">
        <v>0</v>
      </c>
    </row>
    <row r="1940" spans="1:24" x14ac:dyDescent="0.25">
      <c r="A1940" t="s">
        <v>2025</v>
      </c>
      <c r="B1940" t="s">
        <v>2084</v>
      </c>
      <c r="C1940" t="s">
        <v>2090</v>
      </c>
      <c r="D1940" t="s">
        <v>216</v>
      </c>
      <c r="E1940" t="s">
        <v>34</v>
      </c>
      <c r="F1940" t="s">
        <v>1</v>
      </c>
      <c r="G1940" t="s">
        <v>835</v>
      </c>
      <c r="H1940" t="s">
        <v>434</v>
      </c>
      <c r="I1940" t="s">
        <v>1</v>
      </c>
      <c r="J1940">
        <v>45.7</v>
      </c>
      <c r="K1940">
        <v>89.292699019200001</v>
      </c>
      <c r="L1940">
        <v>0</v>
      </c>
      <c r="M1940">
        <v>0</v>
      </c>
      <c r="N1940">
        <v>0</v>
      </c>
      <c r="O1940"/>
      <c r="P1940">
        <v>0</v>
      </c>
      <c r="Q1940">
        <f t="shared" si="385"/>
        <v>0</v>
      </c>
      <c r="R1940">
        <v>0</v>
      </c>
      <c r="S1940">
        <f t="shared" si="386"/>
        <v>0</v>
      </c>
      <c r="T1940"/>
      <c r="U1940">
        <f t="shared" si="387"/>
        <v>0</v>
      </c>
      <c r="V1940">
        <f t="shared" si="388"/>
        <v>0</v>
      </c>
      <c r="W1940">
        <f t="shared" si="389"/>
        <v>0</v>
      </c>
      <c r="X1940">
        <v>0</v>
      </c>
    </row>
    <row r="1941" spans="1:24" x14ac:dyDescent="0.25">
      <c r="A1941" t="s">
        <v>2025</v>
      </c>
      <c r="B1941" t="s">
        <v>2084</v>
      </c>
      <c r="C1941" t="s">
        <v>2090</v>
      </c>
      <c r="D1941" t="s">
        <v>216</v>
      </c>
      <c r="E1941" t="s">
        <v>37</v>
      </c>
      <c r="F1941" t="s">
        <v>1</v>
      </c>
      <c r="G1941" t="s">
        <v>835</v>
      </c>
      <c r="H1941" t="s">
        <v>437</v>
      </c>
      <c r="I1941" t="s">
        <v>1</v>
      </c>
      <c r="J1941">
        <v>33.99</v>
      </c>
      <c r="K1941"/>
      <c r="L1941">
        <v>0</v>
      </c>
      <c r="M1941">
        <v>0</v>
      </c>
      <c r="N1941">
        <v>33.99</v>
      </c>
      <c r="O1941"/>
      <c r="P1941">
        <v>0</v>
      </c>
      <c r="Q1941">
        <f t="shared" si="385"/>
        <v>0</v>
      </c>
      <c r="R1941">
        <v>0</v>
      </c>
      <c r="S1941">
        <f t="shared" si="386"/>
        <v>0</v>
      </c>
      <c r="T1941"/>
      <c r="U1941">
        <f t="shared" si="387"/>
        <v>0</v>
      </c>
      <c r="V1941">
        <f t="shared" si="388"/>
        <v>0</v>
      </c>
      <c r="W1941">
        <f t="shared" si="389"/>
        <v>0</v>
      </c>
      <c r="X1941">
        <v>0</v>
      </c>
    </row>
    <row r="1942" spans="1:24" x14ac:dyDescent="0.25">
      <c r="A1942" t="s">
        <v>2025</v>
      </c>
      <c r="B1942" t="s">
        <v>2084</v>
      </c>
      <c r="C1942" t="s">
        <v>2090</v>
      </c>
      <c r="D1942" t="s">
        <v>216</v>
      </c>
      <c r="E1942" t="s">
        <v>41</v>
      </c>
      <c r="F1942" t="s">
        <v>1</v>
      </c>
      <c r="G1942" t="s">
        <v>835</v>
      </c>
      <c r="H1942" t="s">
        <v>441</v>
      </c>
      <c r="I1942" t="s">
        <v>1</v>
      </c>
      <c r="J1942">
        <v>880</v>
      </c>
      <c r="K1942"/>
      <c r="L1942">
        <v>1626.24</v>
      </c>
      <c r="M1942">
        <v>3279.4342541436463</v>
      </c>
      <c r="N1942">
        <v>2506.2399999999998</v>
      </c>
      <c r="O1942">
        <v>3252.48</v>
      </c>
      <c r="P1942">
        <v>0</v>
      </c>
      <c r="Q1942">
        <f t="shared" si="385"/>
        <v>3252.48</v>
      </c>
      <c r="R1942">
        <v>2506.2399999999998</v>
      </c>
      <c r="S1942">
        <f t="shared" si="386"/>
        <v>-746.24000000000024</v>
      </c>
      <c r="T1942">
        <v>0.03</v>
      </c>
      <c r="U1942">
        <f t="shared" si="387"/>
        <v>75.18719999999999</v>
      </c>
      <c r="V1942">
        <f t="shared" si="388"/>
        <v>2581.4271999999996</v>
      </c>
      <c r="W1942">
        <f t="shared" si="389"/>
        <v>-671.05280000000039</v>
      </c>
      <c r="X1942" t="s">
        <v>1637</v>
      </c>
    </row>
    <row r="1943" spans="1:24" x14ac:dyDescent="0.25">
      <c r="A1943" t="s">
        <v>2025</v>
      </c>
      <c r="B1943" t="s">
        <v>2084</v>
      </c>
      <c r="C1943" t="s">
        <v>2090</v>
      </c>
      <c r="D1943" t="s">
        <v>216</v>
      </c>
      <c r="E1943" t="s">
        <v>42</v>
      </c>
      <c r="F1943" t="s">
        <v>1</v>
      </c>
      <c r="G1943" t="s">
        <v>835</v>
      </c>
      <c r="H1943" t="s">
        <v>442</v>
      </c>
      <c r="I1943" t="s">
        <v>1</v>
      </c>
      <c r="J1943">
        <v>33.229999999999997</v>
      </c>
      <c r="K1943"/>
      <c r="L1943">
        <v>11.65</v>
      </c>
      <c r="M1943">
        <v>23.493093922651937</v>
      </c>
      <c r="N1943">
        <v>44.879999999999995</v>
      </c>
      <c r="O1943">
        <v>23.3</v>
      </c>
      <c r="P1943">
        <v>0</v>
      </c>
      <c r="Q1943">
        <f t="shared" si="385"/>
        <v>23.3</v>
      </c>
      <c r="R1943">
        <v>23.3</v>
      </c>
      <c r="S1943">
        <f t="shared" si="386"/>
        <v>0</v>
      </c>
      <c r="T1943">
        <v>0.03</v>
      </c>
      <c r="U1943">
        <f t="shared" si="387"/>
        <v>0.69899999999999995</v>
      </c>
      <c r="V1943">
        <f t="shared" si="388"/>
        <v>23.999000000000002</v>
      </c>
      <c r="W1943">
        <f t="shared" si="389"/>
        <v>0.69900000000000162</v>
      </c>
      <c r="X1943">
        <v>0</v>
      </c>
    </row>
    <row r="1944" spans="1:24" x14ac:dyDescent="0.25">
      <c r="A1944" t="s">
        <v>2025</v>
      </c>
      <c r="B1944" t="s">
        <v>2084</v>
      </c>
      <c r="C1944" t="s">
        <v>2090</v>
      </c>
      <c r="D1944" t="s">
        <v>216</v>
      </c>
      <c r="E1944" t="s">
        <v>46</v>
      </c>
      <c r="F1944" t="s">
        <v>1</v>
      </c>
      <c r="G1944" t="s">
        <v>835</v>
      </c>
      <c r="H1944" t="s">
        <v>446</v>
      </c>
      <c r="I1944" t="s">
        <v>1</v>
      </c>
      <c r="J1944">
        <v>10709.22</v>
      </c>
      <c r="K1944">
        <v>15984.579599999999</v>
      </c>
      <c r="L1944">
        <v>7810.71</v>
      </c>
      <c r="M1944">
        <v>15750.879281767955</v>
      </c>
      <c r="N1944">
        <v>10527.64</v>
      </c>
      <c r="O1944">
        <v>15621.42</v>
      </c>
      <c r="P1944">
        <v>0</v>
      </c>
      <c r="Q1944">
        <f t="shared" si="385"/>
        <v>15621.42</v>
      </c>
      <c r="R1944">
        <v>12973.96</v>
      </c>
      <c r="S1944">
        <f t="shared" si="386"/>
        <v>-2647.4600000000009</v>
      </c>
      <c r="T1944">
        <v>0.03</v>
      </c>
      <c r="U1944">
        <f t="shared" si="387"/>
        <v>389.21879999999999</v>
      </c>
      <c r="V1944">
        <f t="shared" si="388"/>
        <v>13363.1788</v>
      </c>
      <c r="W1944">
        <f t="shared" si="389"/>
        <v>-2258.2412000000004</v>
      </c>
      <c r="X1944" t="s">
        <v>1638</v>
      </c>
    </row>
    <row r="1945" spans="1:24" x14ac:dyDescent="0.25">
      <c r="A1945" t="s">
        <v>2025</v>
      </c>
      <c r="B1945" t="s">
        <v>2084</v>
      </c>
      <c r="C1945" t="s">
        <v>2090</v>
      </c>
      <c r="D1945" t="s">
        <v>216</v>
      </c>
      <c r="E1945" t="s">
        <v>101</v>
      </c>
      <c r="F1945" t="s">
        <v>1</v>
      </c>
      <c r="G1945" t="s">
        <v>835</v>
      </c>
      <c r="H1945" t="s">
        <v>550</v>
      </c>
      <c r="I1945" t="s">
        <v>1</v>
      </c>
      <c r="J1945">
        <v>120</v>
      </c>
      <c r="K1945"/>
      <c r="L1945">
        <v>0</v>
      </c>
      <c r="M1945">
        <v>0</v>
      </c>
      <c r="N1945">
        <v>120</v>
      </c>
      <c r="O1945"/>
      <c r="P1945">
        <v>0</v>
      </c>
      <c r="Q1945">
        <f t="shared" si="385"/>
        <v>0</v>
      </c>
      <c r="R1945">
        <v>0</v>
      </c>
      <c r="S1945">
        <f t="shared" si="386"/>
        <v>0</v>
      </c>
      <c r="T1945">
        <v>0.03</v>
      </c>
      <c r="U1945">
        <f t="shared" si="387"/>
        <v>0</v>
      </c>
      <c r="V1945">
        <f t="shared" si="388"/>
        <v>0</v>
      </c>
      <c r="W1945">
        <f t="shared" si="389"/>
        <v>0</v>
      </c>
      <c r="X1945">
        <v>0</v>
      </c>
    </row>
    <row r="1946" spans="1:24" x14ac:dyDescent="0.25">
      <c r="A1946" t="s">
        <v>2025</v>
      </c>
      <c r="B1946" t="s">
        <v>2084</v>
      </c>
      <c r="C1946" t="s">
        <v>2090</v>
      </c>
      <c r="D1946" t="s">
        <v>216</v>
      </c>
      <c r="E1946" t="s">
        <v>50</v>
      </c>
      <c r="F1946" t="s">
        <v>1</v>
      </c>
      <c r="G1946" t="s">
        <v>835</v>
      </c>
      <c r="H1946" t="s">
        <v>450</v>
      </c>
      <c r="I1946" t="s">
        <v>1</v>
      </c>
      <c r="J1946">
        <v>332.04</v>
      </c>
      <c r="K1946">
        <v>270.00000000040001</v>
      </c>
      <c r="L1946">
        <v>191.83</v>
      </c>
      <c r="M1946">
        <v>386.83950276243098</v>
      </c>
      <c r="N1946">
        <v>344.24</v>
      </c>
      <c r="O1946">
        <v>386.8395027624</v>
      </c>
      <c r="P1946">
        <v>0</v>
      </c>
      <c r="Q1946">
        <f t="shared" si="385"/>
        <v>386.8395027624</v>
      </c>
      <c r="R1946">
        <v>386.8395027624</v>
      </c>
      <c r="S1946">
        <f t="shared" si="386"/>
        <v>0</v>
      </c>
      <c r="T1946"/>
      <c r="U1946">
        <f t="shared" si="387"/>
        <v>0</v>
      </c>
      <c r="V1946">
        <f t="shared" si="388"/>
        <v>386.8395027624</v>
      </c>
      <c r="W1946">
        <f t="shared" si="389"/>
        <v>0</v>
      </c>
      <c r="X1946">
        <v>0</v>
      </c>
    </row>
    <row r="1947" spans="1:24" x14ac:dyDescent="0.25">
      <c r="A1947" t="s">
        <v>2025</v>
      </c>
      <c r="B1947" t="s">
        <v>2084</v>
      </c>
      <c r="C1947" t="s">
        <v>2090</v>
      </c>
      <c r="D1947" t="s">
        <v>216</v>
      </c>
      <c r="E1947" t="s">
        <v>51</v>
      </c>
      <c r="F1947" t="s">
        <v>51</v>
      </c>
      <c r="G1947" t="s">
        <v>836</v>
      </c>
      <c r="H1947"/>
      <c r="I1947"/>
      <c r="J1947">
        <v>1973248.3899999997</v>
      </c>
      <c r="K1947">
        <v>2698621.5572339706</v>
      </c>
      <c r="L1947">
        <v>1184915.79</v>
      </c>
      <c r="M1947">
        <v>2389471.0682320446</v>
      </c>
      <c r="N1947">
        <v>2186340.6600000006</v>
      </c>
      <c r="O1947">
        <v>2369910.1231491715</v>
      </c>
      <c r="P1947">
        <f>SUMIF($F$1927:$F$1946,"&lt;&gt;EV_*",$P$1927:$P$1946)</f>
        <v>0</v>
      </c>
      <c r="Q1947">
        <f>SUMIF($F$1927:$F$1946,"&lt;&gt;EV_*",$Q$1927:$Q$1946)</f>
        <v>2369910.1231491715</v>
      </c>
      <c r="R1947">
        <f>SUMIF($F$1927:$F$1946,"&lt;&gt;EV_*",$R$1927:$R$1946)</f>
        <v>2428516.3431491717</v>
      </c>
      <c r="S1947">
        <f>SUMIF($F$1927:$F$1946,"&lt;&gt;EV_*",$S$1927:$S$1946)</f>
        <v>58606.219999999928</v>
      </c>
      <c r="T1947">
        <v>0</v>
      </c>
      <c r="U1947">
        <f>SUMIF($F$1927:$F$1946,"&lt;&gt;EV_*",$U$1927:$U$1946)</f>
        <v>465.10499999999996</v>
      </c>
      <c r="V1947">
        <f>SUMIF($F$1927:$F$1946,"&lt;&gt;EV_*",$V$1927:$V$1946)</f>
        <v>2428981.4481491712</v>
      </c>
      <c r="W1947">
        <f>SUMIF($F$1927:$F$1946,"&lt;&gt;EV_*",$W$1927:$W$1946)</f>
        <v>59071.324999999924</v>
      </c>
      <c r="X1947">
        <f>SUMIF($F$1927:$F$1946,"&lt;&gt;EV_*",$X$1927:$X$1946)</f>
        <v>0</v>
      </c>
    </row>
    <row r="1948" spans="1:24" x14ac:dyDescent="0.25">
      <c r="A1948" t="s">
        <v>1965</v>
      </c>
      <c r="B1948" t="s">
        <v>2017</v>
      </c>
      <c r="C1948" t="s">
        <v>2091</v>
      </c>
      <c r="D1948" t="s">
        <v>217</v>
      </c>
      <c r="E1948" t="s">
        <v>5</v>
      </c>
      <c r="F1948" t="s">
        <v>5</v>
      </c>
      <c r="G1948" t="s">
        <v>837</v>
      </c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</row>
    <row r="1949" spans="1:24" x14ac:dyDescent="0.25">
      <c r="A1949" t="s">
        <v>1965</v>
      </c>
      <c r="B1949" t="s">
        <v>2017</v>
      </c>
      <c r="C1949" t="s">
        <v>2091</v>
      </c>
      <c r="D1949" t="s">
        <v>217</v>
      </c>
      <c r="E1949" t="s">
        <v>13</v>
      </c>
      <c r="F1949" t="s">
        <v>1</v>
      </c>
      <c r="G1949" t="s">
        <v>838</v>
      </c>
      <c r="H1949" t="s">
        <v>413</v>
      </c>
      <c r="I1949" t="s">
        <v>1</v>
      </c>
      <c r="J1949">
        <v>309.64999999999998</v>
      </c>
      <c r="K1949"/>
      <c r="L1949">
        <v>315.27999999999997</v>
      </c>
      <c r="M1949">
        <v>635.78563535911599</v>
      </c>
      <c r="N1949">
        <v>624.93000000000006</v>
      </c>
      <c r="O1949">
        <v>630.55999999999995</v>
      </c>
      <c r="P1949">
        <v>0</v>
      </c>
      <c r="Q1949">
        <f t="shared" ref="Q1949:Q1954" si="390">O1949+P1949</f>
        <v>630.55999999999995</v>
      </c>
      <c r="R1949">
        <v>631</v>
      </c>
      <c r="S1949">
        <f t="shared" ref="S1949:S1954" si="391">IF(OR(LEFT(E1949,2)="A_",LEFT(D1949,5)="Total"),R1949-Q1949,"")</f>
        <v>0.44000000000005457</v>
      </c>
      <c r="T1949"/>
      <c r="U1949">
        <f t="shared" ref="U1949:U1954" si="392">IFERROR(R1949*T1949,R1949*0)</f>
        <v>0</v>
      </c>
      <c r="V1949">
        <f t="shared" ref="V1949:V1954" si="393">IF(OR(LEFT(E1949,2)="A_",LEFT(D1949,5)="Total"),R1949+U1949,"")</f>
        <v>631</v>
      </c>
      <c r="W1949">
        <f t="shared" ref="W1949:W1954" si="394">IF(OR(LEFT(E1949,2)="A_",LEFT(D1949,5)="Total"),V1949-Q1949,"")</f>
        <v>0.44000000000005457</v>
      </c>
      <c r="X1949" t="s">
        <v>1573</v>
      </c>
    </row>
    <row r="1950" spans="1:24" x14ac:dyDescent="0.25">
      <c r="A1950" t="s">
        <v>1965</v>
      </c>
      <c r="B1950" t="s">
        <v>2017</v>
      </c>
      <c r="C1950" t="s">
        <v>2091</v>
      </c>
      <c r="D1950" t="s">
        <v>217</v>
      </c>
      <c r="E1950" t="s">
        <v>18</v>
      </c>
      <c r="F1950" t="s">
        <v>1</v>
      </c>
      <c r="G1950" t="s">
        <v>838</v>
      </c>
      <c r="H1950" t="s">
        <v>418</v>
      </c>
      <c r="I1950" t="s">
        <v>1</v>
      </c>
      <c r="J1950">
        <v>138.75</v>
      </c>
      <c r="K1950"/>
      <c r="L1950">
        <v>0</v>
      </c>
      <c r="M1950">
        <v>0</v>
      </c>
      <c r="N1950">
        <v>83.25</v>
      </c>
      <c r="O1950"/>
      <c r="P1950">
        <v>0</v>
      </c>
      <c r="Q1950">
        <f t="shared" si="390"/>
        <v>0</v>
      </c>
      <c r="R1950">
        <v>0</v>
      </c>
      <c r="S1950">
        <f t="shared" si="391"/>
        <v>0</v>
      </c>
      <c r="T1950">
        <v>0.02</v>
      </c>
      <c r="U1950">
        <f t="shared" si="392"/>
        <v>0</v>
      </c>
      <c r="V1950">
        <f t="shared" si="393"/>
        <v>0</v>
      </c>
      <c r="W1950">
        <f t="shared" si="394"/>
        <v>0</v>
      </c>
      <c r="X1950">
        <v>0</v>
      </c>
    </row>
    <row r="1951" spans="1:24" x14ac:dyDescent="0.25">
      <c r="A1951" t="s">
        <v>1965</v>
      </c>
      <c r="B1951" t="s">
        <v>2017</v>
      </c>
      <c r="C1951" t="s">
        <v>2091</v>
      </c>
      <c r="D1951" t="s">
        <v>217</v>
      </c>
      <c r="E1951" t="s">
        <v>24</v>
      </c>
      <c r="F1951" t="s">
        <v>1</v>
      </c>
      <c r="G1951" t="s">
        <v>838</v>
      </c>
      <c r="H1951" t="s">
        <v>424</v>
      </c>
      <c r="I1951" t="s">
        <v>1</v>
      </c>
      <c r="J1951">
        <v>180</v>
      </c>
      <c r="K1951">
        <v>489.99999999959999</v>
      </c>
      <c r="L1951">
        <v>0</v>
      </c>
      <c r="M1951">
        <v>0</v>
      </c>
      <c r="N1951">
        <v>0</v>
      </c>
      <c r="O1951"/>
      <c r="P1951">
        <v>0</v>
      </c>
      <c r="Q1951">
        <f t="shared" si="390"/>
        <v>0</v>
      </c>
      <c r="R1951">
        <v>0</v>
      </c>
      <c r="S1951">
        <f t="shared" si="391"/>
        <v>0</v>
      </c>
      <c r="T1951"/>
      <c r="U1951">
        <f t="shared" si="392"/>
        <v>0</v>
      </c>
      <c r="V1951">
        <f t="shared" si="393"/>
        <v>0</v>
      </c>
      <c r="W1951">
        <f t="shared" si="394"/>
        <v>0</v>
      </c>
      <c r="X1951">
        <v>0</v>
      </c>
    </row>
    <row r="1952" spans="1:24" x14ac:dyDescent="0.25">
      <c r="A1952" t="s">
        <v>1965</v>
      </c>
      <c r="B1952" t="s">
        <v>2017</v>
      </c>
      <c r="C1952" t="s">
        <v>2091</v>
      </c>
      <c r="D1952" t="s">
        <v>217</v>
      </c>
      <c r="E1952" t="s">
        <v>26</v>
      </c>
      <c r="F1952" t="s">
        <v>1</v>
      </c>
      <c r="G1952" t="s">
        <v>838</v>
      </c>
      <c r="H1952" t="s">
        <v>426</v>
      </c>
      <c r="I1952" t="s">
        <v>1</v>
      </c>
      <c r="J1952"/>
      <c r="K1952">
        <v>1690.0734316211999</v>
      </c>
      <c r="L1952">
        <v>0</v>
      </c>
      <c r="M1952">
        <v>0</v>
      </c>
      <c r="N1952">
        <v>0</v>
      </c>
      <c r="O1952"/>
      <c r="P1952">
        <v>0</v>
      </c>
      <c r="Q1952">
        <f t="shared" si="390"/>
        <v>0</v>
      </c>
      <c r="R1952">
        <v>0</v>
      </c>
      <c r="S1952">
        <f t="shared" si="391"/>
        <v>0</v>
      </c>
      <c r="T1952"/>
      <c r="U1952">
        <f t="shared" si="392"/>
        <v>0</v>
      </c>
      <c r="V1952">
        <f t="shared" si="393"/>
        <v>0</v>
      </c>
      <c r="W1952">
        <f t="shared" si="394"/>
        <v>0</v>
      </c>
      <c r="X1952" t="s">
        <v>1639</v>
      </c>
    </row>
    <row r="1953" spans="1:24" x14ac:dyDescent="0.25">
      <c r="A1953" t="s">
        <v>1965</v>
      </c>
      <c r="B1953" t="s">
        <v>2017</v>
      </c>
      <c r="C1953" t="s">
        <v>2091</v>
      </c>
      <c r="D1953" t="s">
        <v>217</v>
      </c>
      <c r="E1953" t="s">
        <v>42</v>
      </c>
      <c r="F1953" t="s">
        <v>1</v>
      </c>
      <c r="G1953" t="s">
        <v>838</v>
      </c>
      <c r="H1953" t="s">
        <v>442</v>
      </c>
      <c r="I1953" t="s">
        <v>1</v>
      </c>
      <c r="J1953">
        <v>33.229999999999997</v>
      </c>
      <c r="K1953"/>
      <c r="L1953">
        <v>34.950000000000003</v>
      </c>
      <c r="M1953">
        <v>70.479281767955811</v>
      </c>
      <c r="N1953">
        <v>68.180000000000007</v>
      </c>
      <c r="O1953">
        <v>69.900000000000006</v>
      </c>
      <c r="P1953">
        <v>0</v>
      </c>
      <c r="Q1953">
        <f t="shared" si="390"/>
        <v>69.900000000000006</v>
      </c>
      <c r="R1953">
        <v>70</v>
      </c>
      <c r="S1953">
        <f t="shared" si="391"/>
        <v>9.9999999999994316E-2</v>
      </c>
      <c r="T1953">
        <v>0.03</v>
      </c>
      <c r="U1953">
        <f t="shared" si="392"/>
        <v>2.1</v>
      </c>
      <c r="V1953">
        <f t="shared" si="393"/>
        <v>72.099999999999994</v>
      </c>
      <c r="W1953">
        <f t="shared" si="394"/>
        <v>2.1999999999999886</v>
      </c>
      <c r="X1953" t="s">
        <v>1573</v>
      </c>
    </row>
    <row r="1954" spans="1:24" x14ac:dyDescent="0.25">
      <c r="A1954" t="s">
        <v>1965</v>
      </c>
      <c r="B1954" t="s">
        <v>2017</v>
      </c>
      <c r="C1954" t="s">
        <v>2091</v>
      </c>
      <c r="D1954" t="s">
        <v>217</v>
      </c>
      <c r="E1954" t="s">
        <v>47</v>
      </c>
      <c r="F1954" t="s">
        <v>1</v>
      </c>
      <c r="G1954" t="s">
        <v>838</v>
      </c>
      <c r="H1954" t="s">
        <v>447</v>
      </c>
      <c r="I1954" t="s">
        <v>1</v>
      </c>
      <c r="J1954">
        <v>3628.91</v>
      </c>
      <c r="K1954">
        <v>2931</v>
      </c>
      <c r="L1954">
        <v>978</v>
      </c>
      <c r="M1954">
        <v>1972.2099447513813</v>
      </c>
      <c r="N1954">
        <v>3256</v>
      </c>
      <c r="O1954">
        <v>1956</v>
      </c>
      <c r="P1954">
        <v>0</v>
      </c>
      <c r="Q1954">
        <f t="shared" si="390"/>
        <v>1956</v>
      </c>
      <c r="R1954">
        <v>10500</v>
      </c>
      <c r="S1954">
        <f t="shared" si="391"/>
        <v>8544</v>
      </c>
      <c r="T1954">
        <v>0.03</v>
      </c>
      <c r="U1954">
        <f t="shared" si="392"/>
        <v>315</v>
      </c>
      <c r="V1954">
        <f t="shared" si="393"/>
        <v>10815</v>
      </c>
      <c r="W1954">
        <f t="shared" si="394"/>
        <v>8859</v>
      </c>
      <c r="X1954" t="s">
        <v>1619</v>
      </c>
    </row>
    <row r="1955" spans="1:24" x14ac:dyDescent="0.25">
      <c r="A1955" t="s">
        <v>1965</v>
      </c>
      <c r="B1955" t="s">
        <v>2017</v>
      </c>
      <c r="C1955" t="s">
        <v>2091</v>
      </c>
      <c r="D1955" t="s">
        <v>217</v>
      </c>
      <c r="E1955" t="s">
        <v>51</v>
      </c>
      <c r="F1955" t="s">
        <v>51</v>
      </c>
      <c r="G1955" t="s">
        <v>839</v>
      </c>
      <c r="H1955"/>
      <c r="I1955"/>
      <c r="J1955">
        <v>4290.54</v>
      </c>
      <c r="K1955">
        <v>5111.0734316208</v>
      </c>
      <c r="L1955">
        <v>1328.23</v>
      </c>
      <c r="M1955">
        <v>2678.4748618784533</v>
      </c>
      <c r="N1955">
        <v>4032.36</v>
      </c>
      <c r="O1955">
        <v>2656.46</v>
      </c>
      <c r="P1955">
        <f>SUMIF($F$1948:$F$1954,"&lt;&gt;EV_*",$P$1948:$P$1954)</f>
        <v>0</v>
      </c>
      <c r="Q1955">
        <f>SUMIF($F$1948:$F$1954,"&lt;&gt;EV_*",$Q$1948:$Q$1954)</f>
        <v>2656.46</v>
      </c>
      <c r="R1955">
        <f>SUMIF($F$1948:$F$1954,"&lt;&gt;EV_*",$R$1948:$R$1954)</f>
        <v>11201</v>
      </c>
      <c r="S1955">
        <f>SUMIF($F$1948:$F$1954,"&lt;&gt;EV_*",$S$1948:$S$1954)</f>
        <v>8544.5400000000009</v>
      </c>
      <c r="T1955">
        <v>0</v>
      </c>
      <c r="U1955">
        <f>SUMIF($F$1948:$F$1954,"&lt;&gt;EV_*",$U$1948:$U$1954)</f>
        <v>317.10000000000002</v>
      </c>
      <c r="V1955">
        <f>SUMIF($F$1948:$F$1954,"&lt;&gt;EV_*",$V$1948:$V$1954)</f>
        <v>11518.1</v>
      </c>
      <c r="W1955">
        <f>SUMIF($F$1948:$F$1954,"&lt;&gt;EV_*",$W$1948:$W$1954)</f>
        <v>8861.64</v>
      </c>
      <c r="X1955">
        <f>SUMIF($F$1948:$F$1954,"&lt;&gt;EV_*",$X$1948:$X$1954)</f>
        <v>0</v>
      </c>
    </row>
    <row r="1956" spans="1:24" x14ac:dyDescent="0.25">
      <c r="A1956" t="s">
        <v>1965</v>
      </c>
      <c r="B1956" t="s">
        <v>2017</v>
      </c>
      <c r="C1956" t="s">
        <v>2092</v>
      </c>
      <c r="D1956" t="s">
        <v>218</v>
      </c>
      <c r="E1956" t="s">
        <v>5</v>
      </c>
      <c r="F1956" t="s">
        <v>5</v>
      </c>
      <c r="G1956" t="s">
        <v>840</v>
      </c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</row>
    <row r="1957" spans="1:24" x14ac:dyDescent="0.25">
      <c r="A1957" t="s">
        <v>1965</v>
      </c>
      <c r="B1957" t="s">
        <v>2017</v>
      </c>
      <c r="C1957" t="s">
        <v>2092</v>
      </c>
      <c r="D1957" t="s">
        <v>218</v>
      </c>
      <c r="E1957" t="s">
        <v>11</v>
      </c>
      <c r="F1957" t="s">
        <v>1</v>
      </c>
      <c r="G1957" t="s">
        <v>841</v>
      </c>
      <c r="H1957" t="s">
        <v>411</v>
      </c>
      <c r="I1957" t="s">
        <v>1</v>
      </c>
      <c r="J1957">
        <v>1824.48</v>
      </c>
      <c r="K1957">
        <v>1851</v>
      </c>
      <c r="L1957">
        <v>917.29</v>
      </c>
      <c r="M1957">
        <v>1849.7837016574583</v>
      </c>
      <c r="N1957">
        <v>1823.5299999999997</v>
      </c>
      <c r="O1957">
        <v>1834.58</v>
      </c>
      <c r="P1957">
        <v>0</v>
      </c>
      <c r="Q1957">
        <f t="shared" ref="Q1957:Q1968" si="395">O1957+P1957</f>
        <v>1834.58</v>
      </c>
      <c r="R1957">
        <v>1834.58</v>
      </c>
      <c r="S1957">
        <f t="shared" ref="S1957:S1968" si="396">IF(OR(LEFT(E1957,2)="A_",LEFT(D1957,5)="Total"),R1957-Q1957,"")</f>
        <v>0</v>
      </c>
      <c r="T1957"/>
      <c r="U1957">
        <f t="shared" ref="U1957:U1968" si="397">IFERROR(R1957*T1957,R1957*0)</f>
        <v>0</v>
      </c>
      <c r="V1957">
        <f t="shared" ref="V1957:V1968" si="398">IF(OR(LEFT(E1957,2)="A_",LEFT(D1957,5)="Total"),R1957+U1957,"")</f>
        <v>1834.58</v>
      </c>
      <c r="W1957">
        <f t="shared" ref="W1957:W1968" si="399">IF(OR(LEFT(E1957,2)="A_",LEFT(D1957,5)="Total"),V1957-Q1957,"")</f>
        <v>0</v>
      </c>
      <c r="X1957" t="s">
        <v>1640</v>
      </c>
    </row>
    <row r="1958" spans="1:24" x14ac:dyDescent="0.25">
      <c r="A1958" t="s">
        <v>1965</v>
      </c>
      <c r="B1958" t="s">
        <v>2017</v>
      </c>
      <c r="C1958" t="s">
        <v>2092</v>
      </c>
      <c r="D1958" t="s">
        <v>218</v>
      </c>
      <c r="E1958" t="s">
        <v>13</v>
      </c>
      <c r="F1958" t="s">
        <v>1</v>
      </c>
      <c r="G1958" t="s">
        <v>841</v>
      </c>
      <c r="H1958" t="s">
        <v>413</v>
      </c>
      <c r="I1958" t="s">
        <v>1</v>
      </c>
      <c r="J1958">
        <v>746.81</v>
      </c>
      <c r="K1958"/>
      <c r="L1958">
        <v>1370.52</v>
      </c>
      <c r="M1958">
        <v>2763.7558011049723</v>
      </c>
      <c r="N1958">
        <v>2117.33</v>
      </c>
      <c r="O1958">
        <v>2741.04</v>
      </c>
      <c r="P1958">
        <v>0</v>
      </c>
      <c r="Q1958">
        <f t="shared" si="395"/>
        <v>2741.04</v>
      </c>
      <c r="R1958">
        <v>2741</v>
      </c>
      <c r="S1958">
        <f t="shared" si="396"/>
        <v>-3.999999999996362E-2</v>
      </c>
      <c r="T1958"/>
      <c r="U1958">
        <f t="shared" si="397"/>
        <v>0</v>
      </c>
      <c r="V1958">
        <f t="shared" si="398"/>
        <v>2741</v>
      </c>
      <c r="W1958">
        <f t="shared" si="399"/>
        <v>-3.999999999996362E-2</v>
      </c>
      <c r="X1958" t="s">
        <v>1573</v>
      </c>
    </row>
    <row r="1959" spans="1:24" x14ac:dyDescent="0.25">
      <c r="A1959" t="s">
        <v>1965</v>
      </c>
      <c r="B1959" t="s">
        <v>2017</v>
      </c>
      <c r="C1959" t="s">
        <v>2092</v>
      </c>
      <c r="D1959" t="s">
        <v>218</v>
      </c>
      <c r="E1959" t="s">
        <v>23</v>
      </c>
      <c r="F1959" t="s">
        <v>1</v>
      </c>
      <c r="G1959" t="s">
        <v>841</v>
      </c>
      <c r="H1959" t="s">
        <v>423</v>
      </c>
      <c r="I1959" t="s">
        <v>1</v>
      </c>
      <c r="J1959">
        <v>158.94999999999999</v>
      </c>
      <c r="K1959"/>
      <c r="L1959">
        <v>0</v>
      </c>
      <c r="M1959">
        <v>0</v>
      </c>
      <c r="N1959">
        <v>158.94999999999999</v>
      </c>
      <c r="O1959"/>
      <c r="P1959">
        <v>0</v>
      </c>
      <c r="Q1959">
        <f t="shared" si="395"/>
        <v>0</v>
      </c>
      <c r="R1959">
        <v>0</v>
      </c>
      <c r="S1959">
        <f t="shared" si="396"/>
        <v>0</v>
      </c>
      <c r="T1959">
        <v>3.5000000000000003E-2</v>
      </c>
      <c r="U1959">
        <f t="shared" si="397"/>
        <v>0</v>
      </c>
      <c r="V1959">
        <f t="shared" si="398"/>
        <v>0</v>
      </c>
      <c r="W1959">
        <f t="shared" si="399"/>
        <v>0</v>
      </c>
      <c r="X1959">
        <v>0</v>
      </c>
    </row>
    <row r="1960" spans="1:24" x14ac:dyDescent="0.25">
      <c r="A1960" t="s">
        <v>1965</v>
      </c>
      <c r="B1960" t="s">
        <v>2017</v>
      </c>
      <c r="C1960" t="s">
        <v>2092</v>
      </c>
      <c r="D1960" t="s">
        <v>218</v>
      </c>
      <c r="E1960" t="s">
        <v>24</v>
      </c>
      <c r="F1960" t="s">
        <v>1</v>
      </c>
      <c r="G1960" t="s">
        <v>841</v>
      </c>
      <c r="H1960" t="s">
        <v>424</v>
      </c>
      <c r="I1960" t="s">
        <v>1</v>
      </c>
      <c r="J1960">
        <v>1055.5</v>
      </c>
      <c r="K1960">
        <v>1200.9999999996</v>
      </c>
      <c r="L1960">
        <v>280.25</v>
      </c>
      <c r="M1960">
        <v>565.14502762430936</v>
      </c>
      <c r="N1960">
        <v>1005.75</v>
      </c>
      <c r="O1960">
        <v>560.5</v>
      </c>
      <c r="P1960">
        <v>0</v>
      </c>
      <c r="Q1960">
        <f t="shared" si="395"/>
        <v>560.5</v>
      </c>
      <c r="R1960">
        <v>0</v>
      </c>
      <c r="S1960">
        <f t="shared" si="396"/>
        <v>-560.5</v>
      </c>
      <c r="T1960"/>
      <c r="U1960">
        <f t="shared" si="397"/>
        <v>0</v>
      </c>
      <c r="V1960">
        <f t="shared" si="398"/>
        <v>0</v>
      </c>
      <c r="W1960">
        <f t="shared" si="399"/>
        <v>-560.5</v>
      </c>
      <c r="X1960">
        <v>0</v>
      </c>
    </row>
    <row r="1961" spans="1:24" x14ac:dyDescent="0.25">
      <c r="A1961" t="s">
        <v>1965</v>
      </c>
      <c r="B1961" t="s">
        <v>2017</v>
      </c>
      <c r="C1961" t="s">
        <v>2092</v>
      </c>
      <c r="D1961" t="s">
        <v>218</v>
      </c>
      <c r="E1961" t="s">
        <v>26</v>
      </c>
      <c r="F1961" t="s">
        <v>1</v>
      </c>
      <c r="G1961" t="s">
        <v>841</v>
      </c>
      <c r="H1961" t="s">
        <v>426</v>
      </c>
      <c r="I1961" t="s">
        <v>1</v>
      </c>
      <c r="J1961">
        <v>3849</v>
      </c>
      <c r="K1961">
        <v>6232.1723683764003</v>
      </c>
      <c r="L1961">
        <v>3073.52</v>
      </c>
      <c r="M1961">
        <v>6197.982320441989</v>
      </c>
      <c r="N1961">
        <v>5048.5200000000004</v>
      </c>
      <c r="O1961">
        <v>6147.04</v>
      </c>
      <c r="P1961">
        <v>0</v>
      </c>
      <c r="Q1961">
        <f t="shared" si="395"/>
        <v>6147.04</v>
      </c>
      <c r="R1961">
        <v>0</v>
      </c>
      <c r="S1961">
        <f t="shared" si="396"/>
        <v>-6147.04</v>
      </c>
      <c r="T1961"/>
      <c r="U1961">
        <f t="shared" si="397"/>
        <v>0</v>
      </c>
      <c r="V1961">
        <f t="shared" si="398"/>
        <v>0</v>
      </c>
      <c r="W1961">
        <f t="shared" si="399"/>
        <v>-6147.04</v>
      </c>
      <c r="X1961" t="s">
        <v>1639</v>
      </c>
    </row>
    <row r="1962" spans="1:24" x14ac:dyDescent="0.25">
      <c r="A1962" t="s">
        <v>1965</v>
      </c>
      <c r="B1962" t="s">
        <v>2017</v>
      </c>
      <c r="C1962" t="s">
        <v>2092</v>
      </c>
      <c r="D1962" t="s">
        <v>218</v>
      </c>
      <c r="E1962" t="s">
        <v>28</v>
      </c>
      <c r="F1962" t="s">
        <v>1</v>
      </c>
      <c r="G1962" t="s">
        <v>841</v>
      </c>
      <c r="H1962" t="s">
        <v>428</v>
      </c>
      <c r="I1962" t="s">
        <v>1</v>
      </c>
      <c r="J1962">
        <v>158</v>
      </c>
      <c r="K1962">
        <v>320.00000000040001</v>
      </c>
      <c r="L1962">
        <v>0</v>
      </c>
      <c r="M1962">
        <v>0</v>
      </c>
      <c r="N1962">
        <v>0</v>
      </c>
      <c r="O1962"/>
      <c r="P1962">
        <v>0</v>
      </c>
      <c r="Q1962">
        <f t="shared" si="395"/>
        <v>0</v>
      </c>
      <c r="R1962">
        <v>0</v>
      </c>
      <c r="S1962">
        <f t="shared" si="396"/>
        <v>0</v>
      </c>
      <c r="T1962"/>
      <c r="U1962">
        <f t="shared" si="397"/>
        <v>0</v>
      </c>
      <c r="V1962">
        <f t="shared" si="398"/>
        <v>0</v>
      </c>
      <c r="W1962">
        <f t="shared" si="399"/>
        <v>0</v>
      </c>
      <c r="X1962">
        <v>0</v>
      </c>
    </row>
    <row r="1963" spans="1:24" x14ac:dyDescent="0.25">
      <c r="A1963" t="s">
        <v>1965</v>
      </c>
      <c r="B1963" t="s">
        <v>2017</v>
      </c>
      <c r="C1963" t="s">
        <v>2092</v>
      </c>
      <c r="D1963" t="s">
        <v>218</v>
      </c>
      <c r="E1963" t="s">
        <v>29</v>
      </c>
      <c r="F1963" t="s">
        <v>1</v>
      </c>
      <c r="G1963" t="s">
        <v>841</v>
      </c>
      <c r="H1963" t="s">
        <v>429</v>
      </c>
      <c r="I1963" t="s">
        <v>1</v>
      </c>
      <c r="J1963">
        <v>888</v>
      </c>
      <c r="K1963">
        <v>1779.9999999996</v>
      </c>
      <c r="L1963">
        <v>0</v>
      </c>
      <c r="M1963">
        <v>0</v>
      </c>
      <c r="N1963">
        <v>888</v>
      </c>
      <c r="O1963"/>
      <c r="P1963">
        <v>0</v>
      </c>
      <c r="Q1963">
        <f t="shared" si="395"/>
        <v>0</v>
      </c>
      <c r="R1963">
        <v>0</v>
      </c>
      <c r="S1963">
        <f t="shared" si="396"/>
        <v>0</v>
      </c>
      <c r="T1963"/>
      <c r="U1963">
        <f t="shared" si="397"/>
        <v>0</v>
      </c>
      <c r="V1963">
        <f t="shared" si="398"/>
        <v>0</v>
      </c>
      <c r="W1963">
        <f t="shared" si="399"/>
        <v>0</v>
      </c>
      <c r="X1963">
        <v>0</v>
      </c>
    </row>
    <row r="1964" spans="1:24" x14ac:dyDescent="0.25">
      <c r="A1964" t="s">
        <v>1965</v>
      </c>
      <c r="B1964" t="s">
        <v>2017</v>
      </c>
      <c r="C1964" t="s">
        <v>2092</v>
      </c>
      <c r="D1964" t="s">
        <v>218</v>
      </c>
      <c r="E1964" t="s">
        <v>34</v>
      </c>
      <c r="F1964" t="s">
        <v>1</v>
      </c>
      <c r="G1964" t="s">
        <v>841</v>
      </c>
      <c r="H1964" t="s">
        <v>434</v>
      </c>
      <c r="I1964" t="s">
        <v>1</v>
      </c>
      <c r="J1964"/>
      <c r="K1964">
        <v>294.37151048880003</v>
      </c>
      <c r="L1964">
        <v>161.51</v>
      </c>
      <c r="M1964">
        <v>325.69696132596681</v>
      </c>
      <c r="N1964">
        <v>161.51</v>
      </c>
      <c r="O1964">
        <v>323.02</v>
      </c>
      <c r="P1964">
        <v>0</v>
      </c>
      <c r="Q1964">
        <f t="shared" si="395"/>
        <v>323.02</v>
      </c>
      <c r="R1964">
        <v>0</v>
      </c>
      <c r="S1964">
        <f t="shared" si="396"/>
        <v>-323.02</v>
      </c>
      <c r="T1964"/>
      <c r="U1964">
        <f t="shared" si="397"/>
        <v>0</v>
      </c>
      <c r="V1964">
        <f t="shared" si="398"/>
        <v>0</v>
      </c>
      <c r="W1964">
        <f t="shared" si="399"/>
        <v>-323.02</v>
      </c>
      <c r="X1964">
        <v>0</v>
      </c>
    </row>
    <row r="1965" spans="1:24" x14ac:dyDescent="0.25">
      <c r="A1965" t="s">
        <v>1965</v>
      </c>
      <c r="B1965" t="s">
        <v>2017</v>
      </c>
      <c r="C1965" t="s">
        <v>2092</v>
      </c>
      <c r="D1965" t="s">
        <v>218</v>
      </c>
      <c r="E1965" t="s">
        <v>37</v>
      </c>
      <c r="F1965" t="s">
        <v>1</v>
      </c>
      <c r="G1965" t="s">
        <v>841</v>
      </c>
      <c r="H1965" t="s">
        <v>437</v>
      </c>
      <c r="I1965" t="s">
        <v>1</v>
      </c>
      <c r="J1965">
        <v>2402.92</v>
      </c>
      <c r="K1965"/>
      <c r="L1965">
        <v>4235.29</v>
      </c>
      <c r="M1965">
        <v>8540.7781767955803</v>
      </c>
      <c r="N1965">
        <v>5482.9699999999993</v>
      </c>
      <c r="O1965">
        <v>8470.58</v>
      </c>
      <c r="P1965">
        <v>0</v>
      </c>
      <c r="Q1965">
        <f t="shared" si="395"/>
        <v>8470.58</v>
      </c>
      <c r="R1965">
        <v>0</v>
      </c>
      <c r="S1965">
        <f t="shared" si="396"/>
        <v>-8470.58</v>
      </c>
      <c r="T1965"/>
      <c r="U1965">
        <f t="shared" si="397"/>
        <v>0</v>
      </c>
      <c r="V1965">
        <f t="shared" si="398"/>
        <v>0</v>
      </c>
      <c r="W1965">
        <f t="shared" si="399"/>
        <v>-8470.58</v>
      </c>
      <c r="X1965">
        <v>0</v>
      </c>
    </row>
    <row r="1966" spans="1:24" x14ac:dyDescent="0.25">
      <c r="A1966" t="s">
        <v>1965</v>
      </c>
      <c r="B1966" t="s">
        <v>2017</v>
      </c>
      <c r="C1966" t="s">
        <v>2092</v>
      </c>
      <c r="D1966" t="s">
        <v>218</v>
      </c>
      <c r="E1966" t="s">
        <v>42</v>
      </c>
      <c r="F1966" t="s">
        <v>1</v>
      </c>
      <c r="G1966" t="s">
        <v>841</v>
      </c>
      <c r="H1966" t="s">
        <v>442</v>
      </c>
      <c r="I1966" t="s">
        <v>1</v>
      </c>
      <c r="J1966">
        <v>33.229999999999997</v>
      </c>
      <c r="K1966"/>
      <c r="L1966">
        <v>139.80000000000001</v>
      </c>
      <c r="M1966">
        <v>281.91712707182324</v>
      </c>
      <c r="N1966">
        <v>173.03</v>
      </c>
      <c r="O1966">
        <v>279.60000000000002</v>
      </c>
      <c r="P1966">
        <v>0</v>
      </c>
      <c r="Q1966">
        <f t="shared" si="395"/>
        <v>279.60000000000002</v>
      </c>
      <c r="R1966">
        <v>280</v>
      </c>
      <c r="S1966">
        <f t="shared" si="396"/>
        <v>0.39999999999997726</v>
      </c>
      <c r="T1966">
        <v>0.03</v>
      </c>
      <c r="U1966">
        <f t="shared" si="397"/>
        <v>8.4</v>
      </c>
      <c r="V1966">
        <f t="shared" si="398"/>
        <v>288.39999999999998</v>
      </c>
      <c r="W1966">
        <f t="shared" si="399"/>
        <v>8.7999999999999545</v>
      </c>
      <c r="X1966" t="s">
        <v>1573</v>
      </c>
    </row>
    <row r="1967" spans="1:24" x14ac:dyDescent="0.25">
      <c r="A1967" t="s">
        <v>1965</v>
      </c>
      <c r="B1967" t="s">
        <v>2017</v>
      </c>
      <c r="C1967" t="s">
        <v>2092</v>
      </c>
      <c r="D1967" t="s">
        <v>218</v>
      </c>
      <c r="E1967" t="s">
        <v>47</v>
      </c>
      <c r="F1967" t="s">
        <v>1</v>
      </c>
      <c r="G1967" t="s">
        <v>841</v>
      </c>
      <c r="H1967" t="s">
        <v>447</v>
      </c>
      <c r="I1967" t="s">
        <v>1</v>
      </c>
      <c r="J1967">
        <v>8997</v>
      </c>
      <c r="K1967">
        <v>8010</v>
      </c>
      <c r="L1967">
        <v>7758.75</v>
      </c>
      <c r="M1967">
        <v>15646.098066298342</v>
      </c>
      <c r="N1967">
        <v>12124.75</v>
      </c>
      <c r="O1967">
        <v>15517.5</v>
      </c>
      <c r="P1967">
        <v>0</v>
      </c>
      <c r="Q1967">
        <f t="shared" si="395"/>
        <v>15517.5</v>
      </c>
      <c r="R1967">
        <v>37500</v>
      </c>
      <c r="S1967">
        <f t="shared" si="396"/>
        <v>21982.5</v>
      </c>
      <c r="T1967">
        <v>0.03</v>
      </c>
      <c r="U1967">
        <f t="shared" si="397"/>
        <v>1125</v>
      </c>
      <c r="V1967">
        <f t="shared" si="398"/>
        <v>38625</v>
      </c>
      <c r="W1967">
        <f t="shared" si="399"/>
        <v>23107.5</v>
      </c>
      <c r="X1967" t="s">
        <v>1479</v>
      </c>
    </row>
    <row r="1968" spans="1:24" x14ac:dyDescent="0.25">
      <c r="A1968" t="s">
        <v>1965</v>
      </c>
      <c r="B1968" t="s">
        <v>2017</v>
      </c>
      <c r="C1968" t="s">
        <v>2092</v>
      </c>
      <c r="D1968" t="s">
        <v>218</v>
      </c>
      <c r="E1968" t="s">
        <v>50</v>
      </c>
      <c r="F1968" t="s">
        <v>1</v>
      </c>
      <c r="G1968" t="s">
        <v>841</v>
      </c>
      <c r="H1968" t="s">
        <v>450</v>
      </c>
      <c r="I1968" t="s">
        <v>1</v>
      </c>
      <c r="J1968">
        <v>620.46</v>
      </c>
      <c r="K1968">
        <v>590.00000000039995</v>
      </c>
      <c r="L1968">
        <v>338.25</v>
      </c>
      <c r="M1968">
        <v>682.1063535911602</v>
      </c>
      <c r="N1968">
        <v>676.53</v>
      </c>
      <c r="O1968">
        <v>682.10635359119999</v>
      </c>
      <c r="P1968">
        <v>0</v>
      </c>
      <c r="Q1968">
        <f t="shared" si="395"/>
        <v>682.10635359119999</v>
      </c>
      <c r="R1968">
        <v>682</v>
      </c>
      <c r="S1968">
        <f t="shared" si="396"/>
        <v>-0.10635359119999066</v>
      </c>
      <c r="T1968"/>
      <c r="U1968">
        <f t="shared" si="397"/>
        <v>0</v>
      </c>
      <c r="V1968">
        <f t="shared" si="398"/>
        <v>682</v>
      </c>
      <c r="W1968">
        <f t="shared" si="399"/>
        <v>-0.10635359119999066</v>
      </c>
      <c r="X1968" t="s">
        <v>1641</v>
      </c>
    </row>
    <row r="1969" spans="1:24" x14ac:dyDescent="0.25">
      <c r="A1969" t="s">
        <v>1965</v>
      </c>
      <c r="B1969" t="s">
        <v>2017</v>
      </c>
      <c r="C1969" t="s">
        <v>2092</v>
      </c>
      <c r="D1969" t="s">
        <v>218</v>
      </c>
      <c r="E1969" t="s">
        <v>51</v>
      </c>
      <c r="F1969" t="s">
        <v>51</v>
      </c>
      <c r="G1969" t="s">
        <v>842</v>
      </c>
      <c r="H1969"/>
      <c r="I1969"/>
      <c r="J1969">
        <v>20734.349999999999</v>
      </c>
      <c r="K1969">
        <v>20278.543878865199</v>
      </c>
      <c r="L1969">
        <v>18275.18</v>
      </c>
      <c r="M1969">
        <v>36853.263535911603</v>
      </c>
      <c r="N1969">
        <v>29660.869999999995</v>
      </c>
      <c r="O1969">
        <v>36555.966353591204</v>
      </c>
      <c r="P1969">
        <f>SUMIF($F$1956:$F$1968,"&lt;&gt;EV_*",$P$1956:$P$1968)</f>
        <v>0</v>
      </c>
      <c r="Q1969">
        <f>SUMIF($F$1956:$F$1968,"&lt;&gt;EV_*",$Q$1956:$Q$1968)</f>
        <v>36555.966353591204</v>
      </c>
      <c r="R1969">
        <f>SUMIF($F$1956:$F$1968,"&lt;&gt;EV_*",$R$1956:$R$1968)</f>
        <v>43037.58</v>
      </c>
      <c r="S1969">
        <f>SUMIF($F$1956:$F$1968,"&lt;&gt;EV_*",$S$1956:$S$1968)</f>
        <v>6481.6136464087995</v>
      </c>
      <c r="T1969">
        <v>0</v>
      </c>
      <c r="U1969">
        <f>SUMIF($F$1956:$F$1968,"&lt;&gt;EV_*",$U$1956:$U$1968)</f>
        <v>1133.4000000000001</v>
      </c>
      <c r="V1969">
        <f>SUMIF($F$1956:$F$1968,"&lt;&gt;EV_*",$V$1956:$V$1968)</f>
        <v>44170.979999999996</v>
      </c>
      <c r="W1969">
        <f>SUMIF($F$1956:$F$1968,"&lt;&gt;EV_*",$W$1956:$W$1968)</f>
        <v>7615.0136464087991</v>
      </c>
      <c r="X1969">
        <f>SUMIF($F$1956:$F$1968,"&lt;&gt;EV_*",$X$1956:$X$1968)</f>
        <v>0</v>
      </c>
    </row>
    <row r="1970" spans="1:24" x14ac:dyDescent="0.25">
      <c r="A1970" t="s">
        <v>1965</v>
      </c>
      <c r="B1970" t="s">
        <v>2017</v>
      </c>
      <c r="C1970" t="s">
        <v>2093</v>
      </c>
      <c r="D1970" t="s">
        <v>219</v>
      </c>
      <c r="E1970" t="s">
        <v>5</v>
      </c>
      <c r="F1970" t="s">
        <v>5</v>
      </c>
      <c r="G1970" t="s">
        <v>843</v>
      </c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</row>
    <row r="1971" spans="1:24" x14ac:dyDescent="0.25">
      <c r="A1971" t="s">
        <v>1965</v>
      </c>
      <c r="B1971" t="s">
        <v>2017</v>
      </c>
      <c r="C1971" t="s">
        <v>2093</v>
      </c>
      <c r="D1971" t="s">
        <v>219</v>
      </c>
      <c r="E1971" t="s">
        <v>13</v>
      </c>
      <c r="F1971" t="s">
        <v>1</v>
      </c>
      <c r="G1971" t="s">
        <v>844</v>
      </c>
      <c r="H1971" t="s">
        <v>413</v>
      </c>
      <c r="I1971" t="s">
        <v>1</v>
      </c>
      <c r="J1971">
        <v>309.64999999999998</v>
      </c>
      <c r="K1971"/>
      <c r="L1971">
        <v>598.38</v>
      </c>
      <c r="M1971">
        <v>1206.6779005524863</v>
      </c>
      <c r="N1971">
        <v>908.0300000000002</v>
      </c>
      <c r="O1971">
        <v>1196.76</v>
      </c>
      <c r="P1971">
        <v>0</v>
      </c>
      <c r="Q1971">
        <f t="shared" ref="Q1971:Q1978" si="400">O1971+P1971</f>
        <v>1196.76</v>
      </c>
      <c r="R1971">
        <v>1197</v>
      </c>
      <c r="S1971">
        <f t="shared" ref="S1971:S1978" si="401">IF(OR(LEFT(E1971,2)="A_",LEFT(D1971,5)="Total"),R1971-Q1971,"")</f>
        <v>0.24000000000000909</v>
      </c>
      <c r="T1971"/>
      <c r="U1971">
        <f t="shared" ref="U1971:U1978" si="402">IFERROR(R1971*T1971,R1971*0)</f>
        <v>0</v>
      </c>
      <c r="V1971">
        <f t="shared" ref="V1971:V1978" si="403">IF(OR(LEFT(E1971,2)="A_",LEFT(D1971,5)="Total"),R1971+U1971,"")</f>
        <v>1197</v>
      </c>
      <c r="W1971">
        <f t="shared" ref="W1971:W1978" si="404">IF(OR(LEFT(E1971,2)="A_",LEFT(D1971,5)="Total"),V1971-Q1971,"")</f>
        <v>0.24000000000000909</v>
      </c>
      <c r="X1971" t="s">
        <v>1573</v>
      </c>
    </row>
    <row r="1972" spans="1:24" x14ac:dyDescent="0.25">
      <c r="A1972" t="s">
        <v>1965</v>
      </c>
      <c r="B1972" t="s">
        <v>2017</v>
      </c>
      <c r="C1972" t="s">
        <v>2093</v>
      </c>
      <c r="D1972" t="s">
        <v>219</v>
      </c>
      <c r="E1972" t="s">
        <v>25</v>
      </c>
      <c r="F1972" t="s">
        <v>1</v>
      </c>
      <c r="G1972" t="s">
        <v>844</v>
      </c>
      <c r="H1972" t="s">
        <v>425</v>
      </c>
      <c r="I1972" t="s">
        <v>1</v>
      </c>
      <c r="J1972">
        <v>564</v>
      </c>
      <c r="K1972"/>
      <c r="L1972">
        <v>0</v>
      </c>
      <c r="M1972">
        <v>0</v>
      </c>
      <c r="N1972">
        <v>564</v>
      </c>
      <c r="O1972"/>
      <c r="P1972">
        <v>0</v>
      </c>
      <c r="Q1972">
        <f t="shared" si="400"/>
        <v>0</v>
      </c>
      <c r="R1972">
        <v>0</v>
      </c>
      <c r="S1972">
        <f t="shared" si="401"/>
        <v>0</v>
      </c>
      <c r="T1972"/>
      <c r="U1972">
        <f t="shared" si="402"/>
        <v>0</v>
      </c>
      <c r="V1972">
        <f t="shared" si="403"/>
        <v>0</v>
      </c>
      <c r="W1972">
        <f t="shared" si="404"/>
        <v>0</v>
      </c>
      <c r="X1972">
        <v>0</v>
      </c>
    </row>
    <row r="1973" spans="1:24" x14ac:dyDescent="0.25">
      <c r="A1973" t="s">
        <v>1965</v>
      </c>
      <c r="B1973" t="s">
        <v>2017</v>
      </c>
      <c r="C1973" t="s">
        <v>2093</v>
      </c>
      <c r="D1973" t="s">
        <v>219</v>
      </c>
      <c r="E1973" t="s">
        <v>26</v>
      </c>
      <c r="F1973" t="s">
        <v>1</v>
      </c>
      <c r="G1973" t="s">
        <v>844</v>
      </c>
      <c r="H1973" t="s">
        <v>426</v>
      </c>
      <c r="I1973" t="s">
        <v>1</v>
      </c>
      <c r="J1973">
        <v>1050.28</v>
      </c>
      <c r="K1973">
        <v>420.48301633680001</v>
      </c>
      <c r="L1973">
        <v>693.07</v>
      </c>
      <c r="M1973">
        <v>1397.6273480662983</v>
      </c>
      <c r="N1973">
        <v>1494.35</v>
      </c>
      <c r="O1973">
        <v>1386.14</v>
      </c>
      <c r="P1973">
        <v>0</v>
      </c>
      <c r="Q1973">
        <f t="shared" si="400"/>
        <v>1386.14</v>
      </c>
      <c r="R1973">
        <v>0</v>
      </c>
      <c r="S1973">
        <f t="shared" si="401"/>
        <v>-1386.14</v>
      </c>
      <c r="T1973"/>
      <c r="U1973">
        <f t="shared" si="402"/>
        <v>0</v>
      </c>
      <c r="V1973">
        <f t="shared" si="403"/>
        <v>0</v>
      </c>
      <c r="W1973">
        <f t="shared" si="404"/>
        <v>-1386.14</v>
      </c>
      <c r="X1973">
        <v>0</v>
      </c>
    </row>
    <row r="1974" spans="1:24" x14ac:dyDescent="0.25">
      <c r="A1974" t="s">
        <v>1965</v>
      </c>
      <c r="B1974" t="s">
        <v>2017</v>
      </c>
      <c r="C1974" t="s">
        <v>2093</v>
      </c>
      <c r="D1974" t="s">
        <v>219</v>
      </c>
      <c r="E1974" t="s">
        <v>29</v>
      </c>
      <c r="F1974" t="s">
        <v>1</v>
      </c>
      <c r="G1974" t="s">
        <v>844</v>
      </c>
      <c r="H1974" t="s">
        <v>429</v>
      </c>
      <c r="I1974" t="s">
        <v>1</v>
      </c>
      <c r="J1974">
        <v>310</v>
      </c>
      <c r="K1974">
        <v>309.99999999959999</v>
      </c>
      <c r="L1974">
        <v>0</v>
      </c>
      <c r="M1974">
        <v>0</v>
      </c>
      <c r="N1974">
        <v>155</v>
      </c>
      <c r="O1974"/>
      <c r="P1974">
        <v>0</v>
      </c>
      <c r="Q1974">
        <f t="shared" si="400"/>
        <v>0</v>
      </c>
      <c r="R1974">
        <v>0</v>
      </c>
      <c r="S1974">
        <f t="shared" si="401"/>
        <v>0</v>
      </c>
      <c r="T1974"/>
      <c r="U1974">
        <f t="shared" si="402"/>
        <v>0</v>
      </c>
      <c r="V1974">
        <f t="shared" si="403"/>
        <v>0</v>
      </c>
      <c r="W1974">
        <f t="shared" si="404"/>
        <v>0</v>
      </c>
      <c r="X1974">
        <v>0</v>
      </c>
    </row>
    <row r="1975" spans="1:24" x14ac:dyDescent="0.25">
      <c r="A1975" t="s">
        <v>1965</v>
      </c>
      <c r="B1975" t="s">
        <v>2017</v>
      </c>
      <c r="C1975" t="s">
        <v>2093</v>
      </c>
      <c r="D1975" t="s">
        <v>219</v>
      </c>
      <c r="E1975" t="s">
        <v>34</v>
      </c>
      <c r="F1975" t="s">
        <v>1</v>
      </c>
      <c r="G1975" t="s">
        <v>844</v>
      </c>
      <c r="H1975" t="s">
        <v>434</v>
      </c>
      <c r="I1975" t="s">
        <v>1</v>
      </c>
      <c r="J1975">
        <v>300</v>
      </c>
      <c r="K1975">
        <v>686.86685780640005</v>
      </c>
      <c r="L1975">
        <v>0</v>
      </c>
      <c r="M1975">
        <v>0</v>
      </c>
      <c r="N1975">
        <v>0</v>
      </c>
      <c r="O1975"/>
      <c r="P1975">
        <v>0</v>
      </c>
      <c r="Q1975">
        <f t="shared" si="400"/>
        <v>0</v>
      </c>
      <c r="R1975">
        <v>0</v>
      </c>
      <c r="S1975">
        <f t="shared" si="401"/>
        <v>0</v>
      </c>
      <c r="T1975"/>
      <c r="U1975">
        <f t="shared" si="402"/>
        <v>0</v>
      </c>
      <c r="V1975">
        <f t="shared" si="403"/>
        <v>0</v>
      </c>
      <c r="W1975">
        <f t="shared" si="404"/>
        <v>0</v>
      </c>
      <c r="X1975">
        <v>0</v>
      </c>
    </row>
    <row r="1976" spans="1:24" x14ac:dyDescent="0.25">
      <c r="A1976" t="s">
        <v>1965</v>
      </c>
      <c r="B1976" t="s">
        <v>2017</v>
      </c>
      <c r="C1976" t="s">
        <v>2093</v>
      </c>
      <c r="D1976" t="s">
        <v>219</v>
      </c>
      <c r="E1976" t="s">
        <v>37</v>
      </c>
      <c r="F1976" t="s">
        <v>1</v>
      </c>
      <c r="G1976" t="s">
        <v>844</v>
      </c>
      <c r="H1976" t="s">
        <v>437</v>
      </c>
      <c r="I1976" t="s">
        <v>1</v>
      </c>
      <c r="J1976">
        <v>1087.23</v>
      </c>
      <c r="K1976"/>
      <c r="L1976">
        <v>0</v>
      </c>
      <c r="M1976">
        <v>0</v>
      </c>
      <c r="N1976">
        <v>0</v>
      </c>
      <c r="O1976"/>
      <c r="P1976">
        <v>0</v>
      </c>
      <c r="Q1976">
        <f t="shared" si="400"/>
        <v>0</v>
      </c>
      <c r="R1976">
        <v>0</v>
      </c>
      <c r="S1976">
        <f t="shared" si="401"/>
        <v>0</v>
      </c>
      <c r="T1976"/>
      <c r="U1976">
        <f t="shared" si="402"/>
        <v>0</v>
      </c>
      <c r="V1976">
        <f t="shared" si="403"/>
        <v>0</v>
      </c>
      <c r="W1976">
        <f t="shared" si="404"/>
        <v>0</v>
      </c>
      <c r="X1976">
        <v>0</v>
      </c>
    </row>
    <row r="1977" spans="1:24" x14ac:dyDescent="0.25">
      <c r="A1977" t="s">
        <v>1965</v>
      </c>
      <c r="B1977" t="s">
        <v>2017</v>
      </c>
      <c r="C1977" t="s">
        <v>2093</v>
      </c>
      <c r="D1977" t="s">
        <v>219</v>
      </c>
      <c r="E1977" t="s">
        <v>42</v>
      </c>
      <c r="F1977" t="s">
        <v>1</v>
      </c>
      <c r="G1977" t="s">
        <v>844</v>
      </c>
      <c r="H1977" t="s">
        <v>442</v>
      </c>
      <c r="I1977" t="s">
        <v>1</v>
      </c>
      <c r="J1977">
        <v>33.229999999999997</v>
      </c>
      <c r="K1977"/>
      <c r="L1977">
        <v>58.25</v>
      </c>
      <c r="M1977">
        <v>117.46546961325966</v>
      </c>
      <c r="N1977">
        <v>91.47999999999999</v>
      </c>
      <c r="O1977">
        <v>116.5</v>
      </c>
      <c r="P1977">
        <v>0</v>
      </c>
      <c r="Q1977">
        <f t="shared" si="400"/>
        <v>116.5</v>
      </c>
      <c r="R1977">
        <v>117</v>
      </c>
      <c r="S1977">
        <f t="shared" si="401"/>
        <v>0.5</v>
      </c>
      <c r="T1977">
        <v>0.03</v>
      </c>
      <c r="U1977">
        <f t="shared" si="402"/>
        <v>3.51</v>
      </c>
      <c r="V1977">
        <f t="shared" si="403"/>
        <v>120.51</v>
      </c>
      <c r="W1977">
        <f t="shared" si="404"/>
        <v>4.0100000000000051</v>
      </c>
      <c r="X1977" t="s">
        <v>1573</v>
      </c>
    </row>
    <row r="1978" spans="1:24" x14ac:dyDescent="0.25">
      <c r="A1978" t="s">
        <v>1965</v>
      </c>
      <c r="B1978" t="s">
        <v>2017</v>
      </c>
      <c r="C1978" t="s">
        <v>2093</v>
      </c>
      <c r="D1978" t="s">
        <v>219</v>
      </c>
      <c r="E1978" t="s">
        <v>47</v>
      </c>
      <c r="F1978" t="s">
        <v>1</v>
      </c>
      <c r="G1978" t="s">
        <v>844</v>
      </c>
      <c r="H1978" t="s">
        <v>447</v>
      </c>
      <c r="I1978" t="s">
        <v>1</v>
      </c>
      <c r="J1978">
        <v>591.02</v>
      </c>
      <c r="K1978">
        <v>6234</v>
      </c>
      <c r="L1978">
        <v>2256</v>
      </c>
      <c r="M1978">
        <v>4549.3922651933699</v>
      </c>
      <c r="N1978">
        <v>2436</v>
      </c>
      <c r="O1978">
        <v>4512</v>
      </c>
      <c r="P1978">
        <v>0</v>
      </c>
      <c r="Q1978">
        <f t="shared" si="400"/>
        <v>4512</v>
      </c>
      <c r="R1978">
        <v>9000</v>
      </c>
      <c r="S1978">
        <f t="shared" si="401"/>
        <v>4488</v>
      </c>
      <c r="T1978">
        <v>0.03</v>
      </c>
      <c r="U1978">
        <f t="shared" si="402"/>
        <v>270</v>
      </c>
      <c r="V1978">
        <f t="shared" si="403"/>
        <v>9270</v>
      </c>
      <c r="W1978">
        <f t="shared" si="404"/>
        <v>4758</v>
      </c>
      <c r="X1978" t="s">
        <v>1479</v>
      </c>
    </row>
    <row r="1979" spans="1:24" x14ac:dyDescent="0.25">
      <c r="A1979" t="s">
        <v>1965</v>
      </c>
      <c r="B1979" t="s">
        <v>2017</v>
      </c>
      <c r="C1979" t="s">
        <v>2093</v>
      </c>
      <c r="D1979" t="s">
        <v>219</v>
      </c>
      <c r="E1979" t="s">
        <v>51</v>
      </c>
      <c r="F1979" t="s">
        <v>51</v>
      </c>
      <c r="G1979" t="s">
        <v>845</v>
      </c>
      <c r="H1979"/>
      <c r="I1979"/>
      <c r="J1979">
        <v>4245.41</v>
      </c>
      <c r="K1979">
        <v>7651.3498741428002</v>
      </c>
      <c r="L1979">
        <v>3605.7</v>
      </c>
      <c r="M1979">
        <v>7271.1629834254145</v>
      </c>
      <c r="N1979">
        <v>5648.8600000000006</v>
      </c>
      <c r="O1979">
        <v>7211.4</v>
      </c>
      <c r="P1979">
        <f>SUMIF($F$1970:$F$1978,"&lt;&gt;EV_*",$P$1970:$P$1978)</f>
        <v>0</v>
      </c>
      <c r="Q1979">
        <f>SUMIF($F$1970:$F$1978,"&lt;&gt;EV_*",$Q$1970:$Q$1978)</f>
        <v>7211.4</v>
      </c>
      <c r="R1979">
        <f>SUMIF($F$1970:$F$1978,"&lt;&gt;EV_*",$R$1970:$R$1978)</f>
        <v>10314</v>
      </c>
      <c r="S1979">
        <f>SUMIF($F$1970:$F$1978,"&lt;&gt;EV_*",$S$1970:$S$1978)</f>
        <v>3102.6</v>
      </c>
      <c r="T1979">
        <v>0</v>
      </c>
      <c r="U1979">
        <f>SUMIF($F$1970:$F$1978,"&lt;&gt;EV_*",$U$1970:$U$1978)</f>
        <v>273.51</v>
      </c>
      <c r="V1979">
        <f>SUMIF($F$1970:$F$1978,"&lt;&gt;EV_*",$V$1970:$V$1978)</f>
        <v>10587.51</v>
      </c>
      <c r="W1979">
        <f>SUMIF($F$1970:$F$1978,"&lt;&gt;EV_*",$W$1970:$W$1978)</f>
        <v>3376.1099999999997</v>
      </c>
      <c r="X1979">
        <f>SUMIF($F$1970:$F$1978,"&lt;&gt;EV_*",$X$1970:$X$1978)</f>
        <v>0</v>
      </c>
    </row>
    <row r="1980" spans="1:24" x14ac:dyDescent="0.25">
      <c r="A1980" t="s">
        <v>1948</v>
      </c>
      <c r="B1980" t="s">
        <v>2026</v>
      </c>
      <c r="C1980" t="s">
        <v>2094</v>
      </c>
      <c r="D1980" t="s">
        <v>220</v>
      </c>
      <c r="E1980" t="s">
        <v>5</v>
      </c>
      <c r="F1980" t="s">
        <v>5</v>
      </c>
      <c r="G1980" t="s">
        <v>846</v>
      </c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</row>
    <row r="1981" spans="1:24" x14ac:dyDescent="0.25">
      <c r="A1981" t="s">
        <v>1948</v>
      </c>
      <c r="B1981" t="s">
        <v>2026</v>
      </c>
      <c r="C1981" t="s">
        <v>2094</v>
      </c>
      <c r="D1981" t="s">
        <v>220</v>
      </c>
      <c r="E1981" t="s">
        <v>8</v>
      </c>
      <c r="F1981" t="s">
        <v>1</v>
      </c>
      <c r="G1981" t="s">
        <v>847</v>
      </c>
      <c r="H1981" t="s">
        <v>408</v>
      </c>
      <c r="I1981" t="s">
        <v>1</v>
      </c>
      <c r="J1981"/>
      <c r="K1981"/>
      <c r="L1981">
        <v>268.70999999999998</v>
      </c>
      <c r="M1981">
        <v>541.87375690607723</v>
      </c>
      <c r="N1981">
        <v>268.70999999999998</v>
      </c>
      <c r="O1981">
        <v>541.87375690609997</v>
      </c>
      <c r="P1981">
        <v>0</v>
      </c>
      <c r="Q1981">
        <f>O1981+P1981</f>
        <v>541.87375690609997</v>
      </c>
      <c r="R1981">
        <v>0</v>
      </c>
      <c r="S1981">
        <f>IF(OR(LEFT(E1981,2)="A_",LEFT(D1981,5)="Total"),R1981-Q1981,"")</f>
        <v>-541.87375690609997</v>
      </c>
      <c r="T1981"/>
      <c r="U1981">
        <f>IFERROR(R1981*T1981,R1981*0)</f>
        <v>0</v>
      </c>
      <c r="V1981">
        <f>IF(OR(LEFT(E1981,2)="A_",LEFT(D1981,5)="Total"),R1981+U1981,"")</f>
        <v>0</v>
      </c>
      <c r="W1981">
        <f>IF(OR(LEFT(E1981,2)="A_",LEFT(D1981,5)="Total"),V1981-Q1981,"")</f>
        <v>-541.87375690609997</v>
      </c>
      <c r="X1981">
        <v>0</v>
      </c>
    </row>
    <row r="1982" spans="1:24" x14ac:dyDescent="0.25">
      <c r="A1982" t="s">
        <v>1948</v>
      </c>
      <c r="B1982" t="s">
        <v>2026</v>
      </c>
      <c r="C1982" t="s">
        <v>2094</v>
      </c>
      <c r="D1982" t="s">
        <v>220</v>
      </c>
      <c r="E1982" t="s">
        <v>11</v>
      </c>
      <c r="F1982" t="s">
        <v>1</v>
      </c>
      <c r="G1982" t="s">
        <v>847</v>
      </c>
      <c r="H1982" t="s">
        <v>411</v>
      </c>
      <c r="I1982" t="s">
        <v>1</v>
      </c>
      <c r="J1982">
        <v>4224.09</v>
      </c>
      <c r="K1982">
        <v>3856.2099999995999</v>
      </c>
      <c r="L1982">
        <v>1741.92</v>
      </c>
      <c r="M1982">
        <v>3512.7116022099449</v>
      </c>
      <c r="N1982">
        <v>3803.3999999999996</v>
      </c>
      <c r="O1982">
        <v>3483.84</v>
      </c>
      <c r="P1982">
        <v>0</v>
      </c>
      <c r="Q1982">
        <f>O1982+P1982</f>
        <v>3483.84</v>
      </c>
      <c r="R1982">
        <v>3960</v>
      </c>
      <c r="S1982">
        <f>IF(OR(LEFT(E1982,2)="A_",LEFT(D1982,5)="Total"),R1982-Q1982,"")</f>
        <v>476.15999999999985</v>
      </c>
      <c r="T1982"/>
      <c r="U1982">
        <f>IFERROR(R1982*T1982,R1982*0)</f>
        <v>0</v>
      </c>
      <c r="V1982">
        <f>IF(OR(LEFT(E1982,2)="A_",LEFT(D1982,5)="Total"),R1982+U1982,"")</f>
        <v>3960</v>
      </c>
      <c r="W1982">
        <f>IF(OR(LEFT(E1982,2)="A_",LEFT(D1982,5)="Total"),V1982-Q1982,"")</f>
        <v>476.15999999999985</v>
      </c>
      <c r="X1982" t="s">
        <v>1642</v>
      </c>
    </row>
    <row r="1983" spans="1:24" x14ac:dyDescent="0.25">
      <c r="A1983" t="s">
        <v>1948</v>
      </c>
      <c r="B1983" t="s">
        <v>2026</v>
      </c>
      <c r="C1983" t="s">
        <v>2094</v>
      </c>
      <c r="D1983" t="s">
        <v>220</v>
      </c>
      <c r="E1983" t="s">
        <v>51</v>
      </c>
      <c r="F1983" t="s">
        <v>51</v>
      </c>
      <c r="G1983" t="s">
        <v>848</v>
      </c>
      <c r="H1983"/>
      <c r="I1983"/>
      <c r="J1983">
        <v>4224.09</v>
      </c>
      <c r="K1983">
        <v>3856.2099999995999</v>
      </c>
      <c r="L1983">
        <v>2010.63</v>
      </c>
      <c r="M1983">
        <v>4054.5853591160221</v>
      </c>
      <c r="N1983">
        <v>4072.1099999999997</v>
      </c>
      <c r="O1983">
        <v>4025.7137569061001</v>
      </c>
      <c r="P1983">
        <f>SUMIF($F$1980:$F$1982,"&lt;&gt;EV_*",$P$1980:$P$1982)</f>
        <v>0</v>
      </c>
      <c r="Q1983">
        <f>SUMIF($F$1980:$F$1982,"&lt;&gt;EV_*",$Q$1980:$Q$1982)</f>
        <v>4025.7137569061001</v>
      </c>
      <c r="R1983">
        <f>SUMIF($F$1980:$F$1982,"&lt;&gt;EV_*",$R$1980:$R$1982)</f>
        <v>3960</v>
      </c>
      <c r="S1983">
        <f>SUMIF($F$1980:$F$1982,"&lt;&gt;EV_*",$S$1980:$S$1982)</f>
        <v>-65.713756906100116</v>
      </c>
      <c r="T1983">
        <v>0</v>
      </c>
      <c r="U1983">
        <f>SUMIF($F$1980:$F$1982,"&lt;&gt;EV_*",$U$1980:$U$1982)</f>
        <v>0</v>
      </c>
      <c r="V1983">
        <f>SUMIF($F$1980:$F$1982,"&lt;&gt;EV_*",$V$1980:$V$1982)</f>
        <v>3960</v>
      </c>
      <c r="W1983">
        <f>SUMIF($F$1980:$F$1982,"&lt;&gt;EV_*",$W$1980:$W$1982)</f>
        <v>-65.713756906100116</v>
      </c>
      <c r="X1983">
        <f>SUMIF($F$1980:$F$1982,"&lt;&gt;EV_*",$X$1980:$X$1982)</f>
        <v>0</v>
      </c>
    </row>
    <row r="1984" spans="1:24" x14ac:dyDescent="0.25">
      <c r="A1984" t="s">
        <v>2025</v>
      </c>
      <c r="B1984" t="s">
        <v>2095</v>
      </c>
      <c r="C1984" t="s">
        <v>2096</v>
      </c>
      <c r="D1984" t="s">
        <v>221</v>
      </c>
      <c r="E1984" t="s">
        <v>5</v>
      </c>
      <c r="F1984" t="s">
        <v>5</v>
      </c>
      <c r="G1984" t="s">
        <v>849</v>
      </c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</row>
    <row r="1985" spans="1:24" x14ac:dyDescent="0.25">
      <c r="A1985" t="s">
        <v>2025</v>
      </c>
      <c r="B1985" t="s">
        <v>2095</v>
      </c>
      <c r="C1985" t="s">
        <v>2096</v>
      </c>
      <c r="D1985" t="s">
        <v>221</v>
      </c>
      <c r="E1985" t="s">
        <v>116</v>
      </c>
      <c r="F1985" t="s">
        <v>1</v>
      </c>
      <c r="G1985" t="s">
        <v>850</v>
      </c>
      <c r="H1985" t="s">
        <v>585</v>
      </c>
      <c r="I1985" t="s">
        <v>1</v>
      </c>
      <c r="J1985">
        <v>198636</v>
      </c>
      <c r="K1985">
        <v>239925</v>
      </c>
      <c r="L1985">
        <v>121362</v>
      </c>
      <c r="M1985">
        <v>244735.52486187848</v>
      </c>
      <c r="N1985">
        <v>218276</v>
      </c>
      <c r="O1985">
        <v>242724</v>
      </c>
      <c r="P1985">
        <v>0</v>
      </c>
      <c r="Q1985">
        <f t="shared" ref="Q1985:Q2012" si="405">O1985+P1985</f>
        <v>242724</v>
      </c>
      <c r="R1985">
        <v>242724</v>
      </c>
      <c r="S1985">
        <f t="shared" ref="S1985:S2012" si="406">IF(OR(LEFT(E1985,2)="A_",LEFT(D1985,5)="Total"),R1985-Q1985,"")</f>
        <v>0</v>
      </c>
      <c r="T1985"/>
      <c r="U1985">
        <f t="shared" ref="U1985:U2012" si="407">IFERROR(R1985*T1985,R1985*0)</f>
        <v>0</v>
      </c>
      <c r="V1985">
        <f t="shared" ref="V1985:V2012" si="408">IF(OR(LEFT(E1985,2)="A_",LEFT(D1985,5)="Total"),R1985+U1985,"")</f>
        <v>242724</v>
      </c>
      <c r="W1985">
        <f t="shared" ref="W1985:W2012" si="409">IF(OR(LEFT(E1985,2)="A_",LEFT(D1985,5)="Total"),V1985-Q1985,"")</f>
        <v>0</v>
      </c>
      <c r="X1985" t="s">
        <v>1643</v>
      </c>
    </row>
    <row r="1986" spans="1:24" x14ac:dyDescent="0.25">
      <c r="A1986" t="s">
        <v>2025</v>
      </c>
      <c r="B1986" t="s">
        <v>2095</v>
      </c>
      <c r="C1986" t="s">
        <v>2096</v>
      </c>
      <c r="D1986" t="s">
        <v>221</v>
      </c>
      <c r="E1986" t="s">
        <v>7</v>
      </c>
      <c r="F1986" t="s">
        <v>1</v>
      </c>
      <c r="G1986" t="s">
        <v>850</v>
      </c>
      <c r="H1986" t="s">
        <v>407</v>
      </c>
      <c r="I1986" t="s">
        <v>1</v>
      </c>
      <c r="J1986">
        <v>12200</v>
      </c>
      <c r="K1986">
        <v>14400</v>
      </c>
      <c r="L1986">
        <v>8795.8799999999992</v>
      </c>
      <c r="M1986">
        <v>17737.548066298339</v>
      </c>
      <c r="N1986">
        <v>8795.8799999999992</v>
      </c>
      <c r="O1986">
        <v>17591.759999999998</v>
      </c>
      <c r="P1986">
        <v>0</v>
      </c>
      <c r="Q1986">
        <f t="shared" si="405"/>
        <v>17591.759999999998</v>
      </c>
      <c r="R1986">
        <v>8700</v>
      </c>
      <c r="S1986">
        <f t="shared" si="406"/>
        <v>-8891.7599999999984</v>
      </c>
      <c r="T1986"/>
      <c r="U1986">
        <f t="shared" si="407"/>
        <v>0</v>
      </c>
      <c r="V1986">
        <f t="shared" si="408"/>
        <v>8700</v>
      </c>
      <c r="W1986">
        <f t="shared" si="409"/>
        <v>-8891.7599999999984</v>
      </c>
      <c r="X1986" t="s">
        <v>1644</v>
      </c>
    </row>
    <row r="1987" spans="1:24" x14ac:dyDescent="0.25">
      <c r="A1987" t="s">
        <v>2025</v>
      </c>
      <c r="B1987" t="s">
        <v>2095</v>
      </c>
      <c r="C1987" t="s">
        <v>2096</v>
      </c>
      <c r="D1987" t="s">
        <v>221</v>
      </c>
      <c r="E1987" t="s">
        <v>8</v>
      </c>
      <c r="F1987" t="s">
        <v>1</v>
      </c>
      <c r="G1987" t="s">
        <v>850</v>
      </c>
      <c r="H1987" t="s">
        <v>408</v>
      </c>
      <c r="I1987" t="s">
        <v>1</v>
      </c>
      <c r="J1987">
        <v>2780.68</v>
      </c>
      <c r="K1987">
        <v>2542.3157458565001</v>
      </c>
      <c r="L1987">
        <v>2064.4499999999998</v>
      </c>
      <c r="M1987">
        <v>4163.1174033149164</v>
      </c>
      <c r="N1987">
        <v>3584.42</v>
      </c>
      <c r="O1987">
        <v>4163.1174033149</v>
      </c>
      <c r="P1987">
        <v>0</v>
      </c>
      <c r="Q1987">
        <f t="shared" si="405"/>
        <v>4163.1174033149</v>
      </c>
      <c r="R1987">
        <v>2542.3157458565001</v>
      </c>
      <c r="S1987">
        <f t="shared" si="406"/>
        <v>-1620.8016574583999</v>
      </c>
      <c r="T1987"/>
      <c r="U1987">
        <f t="shared" si="407"/>
        <v>0</v>
      </c>
      <c r="V1987">
        <f t="shared" si="408"/>
        <v>2542.3157458565001</v>
      </c>
      <c r="W1987">
        <f t="shared" si="409"/>
        <v>-1620.8016574583999</v>
      </c>
      <c r="X1987">
        <v>0</v>
      </c>
    </row>
    <row r="1988" spans="1:24" x14ac:dyDescent="0.25">
      <c r="A1988" t="s">
        <v>2025</v>
      </c>
      <c r="B1988" t="s">
        <v>2095</v>
      </c>
      <c r="C1988" t="s">
        <v>2096</v>
      </c>
      <c r="D1988" t="s">
        <v>221</v>
      </c>
      <c r="E1988" t="s">
        <v>11</v>
      </c>
      <c r="F1988" t="s">
        <v>1</v>
      </c>
      <c r="G1988" t="s">
        <v>850</v>
      </c>
      <c r="H1988" t="s">
        <v>411</v>
      </c>
      <c r="I1988" t="s">
        <v>1</v>
      </c>
      <c r="J1988">
        <v>6716.03</v>
      </c>
      <c r="K1988">
        <v>6703.5499999991998</v>
      </c>
      <c r="L1988">
        <v>3055.83</v>
      </c>
      <c r="M1988">
        <v>6162.3091160220993</v>
      </c>
      <c r="N1988">
        <v>6291.51</v>
      </c>
      <c r="O1988">
        <v>6111.66</v>
      </c>
      <c r="P1988">
        <v>0</v>
      </c>
      <c r="Q1988">
        <f t="shared" si="405"/>
        <v>6111.66</v>
      </c>
      <c r="R1988">
        <v>6111.66</v>
      </c>
      <c r="S1988">
        <f t="shared" si="406"/>
        <v>0</v>
      </c>
      <c r="T1988"/>
      <c r="U1988">
        <f t="shared" si="407"/>
        <v>0</v>
      </c>
      <c r="V1988">
        <f t="shared" si="408"/>
        <v>6111.66</v>
      </c>
      <c r="W1988">
        <f t="shared" si="409"/>
        <v>0</v>
      </c>
      <c r="X1988">
        <v>0</v>
      </c>
    </row>
    <row r="1989" spans="1:24" x14ac:dyDescent="0.25">
      <c r="A1989" t="s">
        <v>2025</v>
      </c>
      <c r="B1989" t="s">
        <v>2095</v>
      </c>
      <c r="C1989" t="s">
        <v>2096</v>
      </c>
      <c r="D1989" t="s">
        <v>221</v>
      </c>
      <c r="E1989" t="s">
        <v>13</v>
      </c>
      <c r="F1989" t="s">
        <v>1</v>
      </c>
      <c r="G1989" t="s">
        <v>850</v>
      </c>
      <c r="H1989" t="s">
        <v>413</v>
      </c>
      <c r="I1989" t="s">
        <v>1</v>
      </c>
      <c r="J1989">
        <v>163.93</v>
      </c>
      <c r="K1989"/>
      <c r="L1989">
        <v>388.14</v>
      </c>
      <c r="M1989">
        <v>782.71325966850816</v>
      </c>
      <c r="N1989">
        <v>552.07000000000005</v>
      </c>
      <c r="O1989">
        <v>776.28</v>
      </c>
      <c r="P1989">
        <v>0</v>
      </c>
      <c r="Q1989">
        <f t="shared" si="405"/>
        <v>776.28</v>
      </c>
      <c r="R1989">
        <v>776.28</v>
      </c>
      <c r="S1989">
        <f t="shared" si="406"/>
        <v>0</v>
      </c>
      <c r="T1989"/>
      <c r="U1989">
        <f t="shared" si="407"/>
        <v>0</v>
      </c>
      <c r="V1989">
        <f t="shared" si="408"/>
        <v>776.28</v>
      </c>
      <c r="W1989">
        <f t="shared" si="409"/>
        <v>0</v>
      </c>
      <c r="X1989" t="s">
        <v>1645</v>
      </c>
    </row>
    <row r="1990" spans="1:24" x14ac:dyDescent="0.25">
      <c r="A1990" t="s">
        <v>2025</v>
      </c>
      <c r="B1990" t="s">
        <v>2095</v>
      </c>
      <c r="C1990" t="s">
        <v>2096</v>
      </c>
      <c r="D1990" t="s">
        <v>221</v>
      </c>
      <c r="E1990" t="s">
        <v>17</v>
      </c>
      <c r="F1990" t="s">
        <v>1</v>
      </c>
      <c r="G1990" t="s">
        <v>850</v>
      </c>
      <c r="H1990" t="s">
        <v>417</v>
      </c>
      <c r="I1990" t="s">
        <v>1</v>
      </c>
      <c r="J1990"/>
      <c r="K1990">
        <v>-50</v>
      </c>
      <c r="L1990">
        <v>0</v>
      </c>
      <c r="M1990">
        <v>0</v>
      </c>
      <c r="N1990">
        <v>0</v>
      </c>
      <c r="O1990"/>
      <c r="P1990">
        <v>0</v>
      </c>
      <c r="Q1990">
        <f t="shared" si="405"/>
        <v>0</v>
      </c>
      <c r="R1990">
        <v>0</v>
      </c>
      <c r="S1990">
        <f t="shared" si="406"/>
        <v>0</v>
      </c>
      <c r="T1990"/>
      <c r="U1990">
        <f t="shared" si="407"/>
        <v>0</v>
      </c>
      <c r="V1990">
        <f t="shared" si="408"/>
        <v>0</v>
      </c>
      <c r="W1990">
        <f t="shared" si="409"/>
        <v>0</v>
      </c>
      <c r="X1990">
        <v>0</v>
      </c>
    </row>
    <row r="1991" spans="1:24" x14ac:dyDescent="0.25">
      <c r="A1991" t="s">
        <v>2025</v>
      </c>
      <c r="B1991" t="s">
        <v>2095</v>
      </c>
      <c r="C1991" t="s">
        <v>2096</v>
      </c>
      <c r="D1991" t="s">
        <v>221</v>
      </c>
      <c r="E1991" t="s">
        <v>18</v>
      </c>
      <c r="F1991" t="s">
        <v>1</v>
      </c>
      <c r="G1991" t="s">
        <v>850</v>
      </c>
      <c r="H1991" t="s">
        <v>418</v>
      </c>
      <c r="I1991" t="s">
        <v>1</v>
      </c>
      <c r="J1991">
        <v>4505.45</v>
      </c>
      <c r="K1991">
        <v>3244.2905847842999</v>
      </c>
      <c r="L1991">
        <v>2288.4499999999998</v>
      </c>
      <c r="M1991">
        <v>4614.830110497237</v>
      </c>
      <c r="N1991">
        <v>4673.8999999999996</v>
      </c>
      <c r="O1991">
        <v>4602.0478021977997</v>
      </c>
      <c r="P1991">
        <v>0</v>
      </c>
      <c r="Q1991">
        <f t="shared" si="405"/>
        <v>4602.0478021977997</v>
      </c>
      <c r="R1991">
        <v>4602.0478021977997</v>
      </c>
      <c r="S1991">
        <f t="shared" si="406"/>
        <v>0</v>
      </c>
      <c r="T1991">
        <v>0.02</v>
      </c>
      <c r="U1991">
        <f t="shared" si="407"/>
        <v>92.040956043956001</v>
      </c>
      <c r="V1991">
        <f t="shared" si="408"/>
        <v>4694.0887582417554</v>
      </c>
      <c r="W1991">
        <f t="shared" si="409"/>
        <v>92.040956043955703</v>
      </c>
      <c r="X1991" t="s">
        <v>1646</v>
      </c>
    </row>
    <row r="1992" spans="1:24" x14ac:dyDescent="0.25">
      <c r="A1992" t="s">
        <v>2025</v>
      </c>
      <c r="B1992" t="s">
        <v>2095</v>
      </c>
      <c r="C1992" t="s">
        <v>2096</v>
      </c>
      <c r="D1992" t="s">
        <v>221</v>
      </c>
      <c r="E1992" t="s">
        <v>20</v>
      </c>
      <c r="F1992" t="s">
        <v>1</v>
      </c>
      <c r="G1992" t="s">
        <v>850</v>
      </c>
      <c r="H1992" t="s">
        <v>420</v>
      </c>
      <c r="I1992" t="s">
        <v>1</v>
      </c>
      <c r="J1992"/>
      <c r="K1992"/>
      <c r="L1992">
        <v>73.62</v>
      </c>
      <c r="M1992">
        <v>148.46022099447515</v>
      </c>
      <c r="N1992">
        <v>73.62</v>
      </c>
      <c r="O1992">
        <v>148.04901098900001</v>
      </c>
      <c r="P1992">
        <v>0</v>
      </c>
      <c r="Q1992">
        <f t="shared" si="405"/>
        <v>148.04901098900001</v>
      </c>
      <c r="R1992">
        <v>0</v>
      </c>
      <c r="S1992">
        <f t="shared" si="406"/>
        <v>-148.04901098900001</v>
      </c>
      <c r="T1992">
        <v>0.04</v>
      </c>
      <c r="U1992">
        <f t="shared" si="407"/>
        <v>0</v>
      </c>
      <c r="V1992">
        <f t="shared" si="408"/>
        <v>0</v>
      </c>
      <c r="W1992">
        <f t="shared" si="409"/>
        <v>-148.04901098900001</v>
      </c>
      <c r="X1992">
        <v>0</v>
      </c>
    </row>
    <row r="1993" spans="1:24" x14ac:dyDescent="0.25">
      <c r="A1993" t="s">
        <v>2025</v>
      </c>
      <c r="B1993" t="s">
        <v>2095</v>
      </c>
      <c r="C1993" t="s">
        <v>2096</v>
      </c>
      <c r="D1993" t="s">
        <v>221</v>
      </c>
      <c r="E1993" t="s">
        <v>21</v>
      </c>
      <c r="F1993" t="s">
        <v>1</v>
      </c>
      <c r="G1993" t="s">
        <v>850</v>
      </c>
      <c r="H1993" t="s">
        <v>421</v>
      </c>
      <c r="I1993" t="s">
        <v>1</v>
      </c>
      <c r="J1993">
        <v>2215.0300000000002</v>
      </c>
      <c r="K1993">
        <v>1894.87</v>
      </c>
      <c r="L1993">
        <v>811.43</v>
      </c>
      <c r="M1993">
        <v>1636.3091160220993</v>
      </c>
      <c r="N1993">
        <v>1873.0099999999998</v>
      </c>
      <c r="O1993">
        <v>1636.3091160220999</v>
      </c>
      <c r="P1993">
        <v>0</v>
      </c>
      <c r="Q1993">
        <f t="shared" si="405"/>
        <v>1636.3091160220999</v>
      </c>
      <c r="R1993">
        <v>1636.3091160220999</v>
      </c>
      <c r="S1993">
        <f t="shared" si="406"/>
        <v>0</v>
      </c>
      <c r="T1993">
        <v>0.03</v>
      </c>
      <c r="U1993">
        <f t="shared" si="407"/>
        <v>49.089273480662996</v>
      </c>
      <c r="V1993">
        <f t="shared" si="408"/>
        <v>1685.3983895027629</v>
      </c>
      <c r="W1993">
        <f t="shared" si="409"/>
        <v>49.089273480662996</v>
      </c>
      <c r="X1993">
        <v>0</v>
      </c>
    </row>
    <row r="1994" spans="1:24" x14ac:dyDescent="0.25">
      <c r="A1994" t="s">
        <v>2025</v>
      </c>
      <c r="B1994" t="s">
        <v>2095</v>
      </c>
      <c r="C1994" t="s">
        <v>2096</v>
      </c>
      <c r="D1994" t="s">
        <v>221</v>
      </c>
      <c r="E1994" t="s">
        <v>22</v>
      </c>
      <c r="F1994" t="s">
        <v>1</v>
      </c>
      <c r="G1994" t="s">
        <v>850</v>
      </c>
      <c r="H1994" t="s">
        <v>422</v>
      </c>
      <c r="I1994" t="s">
        <v>1</v>
      </c>
      <c r="J1994">
        <v>842.63</v>
      </c>
      <c r="K1994">
        <v>1159.2</v>
      </c>
      <c r="L1994">
        <v>331.25</v>
      </c>
      <c r="M1994">
        <v>667.99033149171271</v>
      </c>
      <c r="N1994">
        <v>613.09</v>
      </c>
      <c r="O1994">
        <v>667.99033149169998</v>
      </c>
      <c r="P1994">
        <v>0</v>
      </c>
      <c r="Q1994">
        <f t="shared" si="405"/>
        <v>667.99033149169998</v>
      </c>
      <c r="R1994">
        <v>667.99033149169998</v>
      </c>
      <c r="S1994">
        <f t="shared" si="406"/>
        <v>0</v>
      </c>
      <c r="T1994">
        <v>3.5000000000000003E-2</v>
      </c>
      <c r="U1994">
        <f t="shared" si="407"/>
        <v>23.379661602209502</v>
      </c>
      <c r="V1994">
        <f t="shared" si="408"/>
        <v>691.36999309390944</v>
      </c>
      <c r="W1994">
        <f t="shared" si="409"/>
        <v>23.379661602209467</v>
      </c>
      <c r="X1994">
        <v>0</v>
      </c>
    </row>
    <row r="1995" spans="1:24" x14ac:dyDescent="0.25">
      <c r="A1995" t="s">
        <v>2025</v>
      </c>
      <c r="B1995" t="s">
        <v>2095</v>
      </c>
      <c r="C1995" t="s">
        <v>2096</v>
      </c>
      <c r="D1995" t="s">
        <v>221</v>
      </c>
      <c r="E1995" t="s">
        <v>23</v>
      </c>
      <c r="F1995" t="s">
        <v>1</v>
      </c>
      <c r="G1995" t="s">
        <v>850</v>
      </c>
      <c r="H1995" t="s">
        <v>423</v>
      </c>
      <c r="I1995" t="s">
        <v>1</v>
      </c>
      <c r="J1995">
        <v>3137.44</v>
      </c>
      <c r="K1995">
        <v>5692.5000000001</v>
      </c>
      <c r="L1995">
        <v>586.51</v>
      </c>
      <c r="M1995">
        <v>1182.7411602209945</v>
      </c>
      <c r="N1995">
        <v>974.59</v>
      </c>
      <c r="O1995">
        <v>1182.741160221</v>
      </c>
      <c r="P1995">
        <v>0</v>
      </c>
      <c r="Q1995">
        <f t="shared" si="405"/>
        <v>1182.741160221</v>
      </c>
      <c r="R1995">
        <v>1182.741160221</v>
      </c>
      <c r="S1995">
        <f t="shared" si="406"/>
        <v>0</v>
      </c>
      <c r="T1995">
        <v>3.5000000000000003E-2</v>
      </c>
      <c r="U1995">
        <f t="shared" si="407"/>
        <v>41.395940607735</v>
      </c>
      <c r="V1995">
        <f t="shared" si="408"/>
        <v>1224.1371008287349</v>
      </c>
      <c r="W1995">
        <f t="shared" si="409"/>
        <v>41.395940607734929</v>
      </c>
      <c r="X1995">
        <v>0</v>
      </c>
    </row>
    <row r="1996" spans="1:24" x14ac:dyDescent="0.25">
      <c r="A1996" t="s">
        <v>2025</v>
      </c>
      <c r="B1996" t="s">
        <v>2095</v>
      </c>
      <c r="C1996" t="s">
        <v>2096</v>
      </c>
      <c r="D1996" t="s">
        <v>221</v>
      </c>
      <c r="E1996" t="s">
        <v>24</v>
      </c>
      <c r="F1996" t="s">
        <v>1</v>
      </c>
      <c r="G1996" t="s">
        <v>850</v>
      </c>
      <c r="H1996" t="s">
        <v>424</v>
      </c>
      <c r="I1996" t="s">
        <v>1</v>
      </c>
      <c r="J1996"/>
      <c r="K1996"/>
      <c r="L1996">
        <v>300</v>
      </c>
      <c r="M1996">
        <v>604.97237569060769</v>
      </c>
      <c r="N1996">
        <v>300</v>
      </c>
      <c r="O1996">
        <v>600</v>
      </c>
      <c r="P1996">
        <v>0</v>
      </c>
      <c r="Q1996">
        <f t="shared" si="405"/>
        <v>600</v>
      </c>
      <c r="R1996">
        <v>300</v>
      </c>
      <c r="S1996">
        <f t="shared" si="406"/>
        <v>-300</v>
      </c>
      <c r="T1996"/>
      <c r="U1996">
        <f t="shared" si="407"/>
        <v>0</v>
      </c>
      <c r="V1996">
        <f t="shared" si="408"/>
        <v>300</v>
      </c>
      <c r="W1996">
        <f t="shared" si="409"/>
        <v>-300</v>
      </c>
      <c r="X1996" t="s">
        <v>1647</v>
      </c>
    </row>
    <row r="1997" spans="1:24" x14ac:dyDescent="0.25">
      <c r="A1997" t="s">
        <v>2025</v>
      </c>
      <c r="B1997" t="s">
        <v>2095</v>
      </c>
      <c r="C1997" t="s">
        <v>2096</v>
      </c>
      <c r="D1997" t="s">
        <v>221</v>
      </c>
      <c r="E1997" t="s">
        <v>26</v>
      </c>
      <c r="F1997" t="s">
        <v>1</v>
      </c>
      <c r="G1997" t="s">
        <v>850</v>
      </c>
      <c r="H1997" t="s">
        <v>426</v>
      </c>
      <c r="I1997" t="s">
        <v>1</v>
      </c>
      <c r="J1997">
        <v>368.62</v>
      </c>
      <c r="K1997">
        <v>196.24767365880001</v>
      </c>
      <c r="L1997">
        <v>0</v>
      </c>
      <c r="M1997">
        <v>0</v>
      </c>
      <c r="N1997">
        <v>300</v>
      </c>
      <c r="O1997"/>
      <c r="P1997">
        <v>0</v>
      </c>
      <c r="Q1997">
        <f t="shared" si="405"/>
        <v>0</v>
      </c>
      <c r="R1997">
        <v>0</v>
      </c>
      <c r="S1997">
        <f t="shared" si="406"/>
        <v>0</v>
      </c>
      <c r="T1997"/>
      <c r="U1997">
        <f t="shared" si="407"/>
        <v>0</v>
      </c>
      <c r="V1997">
        <f t="shared" si="408"/>
        <v>0</v>
      </c>
      <c r="W1997">
        <f t="shared" si="409"/>
        <v>0</v>
      </c>
      <c r="X1997">
        <v>0</v>
      </c>
    </row>
    <row r="1998" spans="1:24" x14ac:dyDescent="0.25">
      <c r="A1998" t="s">
        <v>2025</v>
      </c>
      <c r="B1998" t="s">
        <v>2095</v>
      </c>
      <c r="C1998" t="s">
        <v>2096</v>
      </c>
      <c r="D1998" t="s">
        <v>221</v>
      </c>
      <c r="E1998" t="s">
        <v>58</v>
      </c>
      <c r="F1998" t="s">
        <v>1</v>
      </c>
      <c r="G1998" t="s">
        <v>850</v>
      </c>
      <c r="H1998" t="s">
        <v>463</v>
      </c>
      <c r="I1998" t="s">
        <v>1</v>
      </c>
      <c r="J1998"/>
      <c r="K1998">
        <v>20.0000000004</v>
      </c>
      <c r="L1998">
        <v>0</v>
      </c>
      <c r="M1998">
        <v>0</v>
      </c>
      <c r="N1998">
        <v>0</v>
      </c>
      <c r="O1998"/>
      <c r="P1998">
        <v>0</v>
      </c>
      <c r="Q1998">
        <f t="shared" si="405"/>
        <v>0</v>
      </c>
      <c r="R1998">
        <v>0</v>
      </c>
      <c r="S1998">
        <f t="shared" si="406"/>
        <v>0</v>
      </c>
      <c r="T1998"/>
      <c r="U1998">
        <f t="shared" si="407"/>
        <v>0</v>
      </c>
      <c r="V1998">
        <f t="shared" si="408"/>
        <v>0</v>
      </c>
      <c r="W1998">
        <f t="shared" si="409"/>
        <v>0</v>
      </c>
      <c r="X1998">
        <v>0</v>
      </c>
    </row>
    <row r="1999" spans="1:24" x14ac:dyDescent="0.25">
      <c r="A1999" t="s">
        <v>2025</v>
      </c>
      <c r="B1999" t="s">
        <v>2095</v>
      </c>
      <c r="C1999" t="s">
        <v>2096</v>
      </c>
      <c r="D1999" t="s">
        <v>221</v>
      </c>
      <c r="E1999" t="s">
        <v>28</v>
      </c>
      <c r="F1999" t="s">
        <v>1</v>
      </c>
      <c r="G1999" t="s">
        <v>850</v>
      </c>
      <c r="H1999" t="s">
        <v>428</v>
      </c>
      <c r="I1999" t="s">
        <v>1</v>
      </c>
      <c r="J1999">
        <v>3125.09</v>
      </c>
      <c r="K1999">
        <v>4260</v>
      </c>
      <c r="L1999">
        <v>5069.24</v>
      </c>
      <c r="M1999">
        <v>10222.500552486188</v>
      </c>
      <c r="N1999">
        <v>6475.92</v>
      </c>
      <c r="O1999">
        <v>10138.48</v>
      </c>
      <c r="P1999">
        <v>0</v>
      </c>
      <c r="Q1999">
        <f t="shared" si="405"/>
        <v>10138.48</v>
      </c>
      <c r="R1999">
        <v>4260</v>
      </c>
      <c r="S1999">
        <f t="shared" si="406"/>
        <v>-5878.48</v>
      </c>
      <c r="T1999"/>
      <c r="U1999">
        <f t="shared" si="407"/>
        <v>0</v>
      </c>
      <c r="V1999">
        <f t="shared" si="408"/>
        <v>4260</v>
      </c>
      <c r="W1999">
        <f t="shared" si="409"/>
        <v>-5878.48</v>
      </c>
      <c r="X1999">
        <v>0</v>
      </c>
    </row>
    <row r="2000" spans="1:24" x14ac:dyDescent="0.25">
      <c r="A2000" t="s">
        <v>2025</v>
      </c>
      <c r="B2000" t="s">
        <v>2095</v>
      </c>
      <c r="C2000" t="s">
        <v>2096</v>
      </c>
      <c r="D2000" t="s">
        <v>221</v>
      </c>
      <c r="E2000" t="s">
        <v>29</v>
      </c>
      <c r="F2000" t="s">
        <v>1</v>
      </c>
      <c r="G2000" t="s">
        <v>850</v>
      </c>
      <c r="H2000" t="s">
        <v>429</v>
      </c>
      <c r="I2000" t="s">
        <v>1</v>
      </c>
      <c r="J2000">
        <v>653.44000000000005</v>
      </c>
      <c r="K2000">
        <v>219.99999999959999</v>
      </c>
      <c r="L2000">
        <v>0</v>
      </c>
      <c r="M2000">
        <v>0</v>
      </c>
      <c r="N2000">
        <v>260.5</v>
      </c>
      <c r="O2000"/>
      <c r="P2000">
        <v>0</v>
      </c>
      <c r="Q2000">
        <f t="shared" si="405"/>
        <v>0</v>
      </c>
      <c r="R2000">
        <v>0</v>
      </c>
      <c r="S2000">
        <f t="shared" si="406"/>
        <v>0</v>
      </c>
      <c r="T2000"/>
      <c r="U2000">
        <f t="shared" si="407"/>
        <v>0</v>
      </c>
      <c r="V2000">
        <f t="shared" si="408"/>
        <v>0</v>
      </c>
      <c r="W2000">
        <f t="shared" si="409"/>
        <v>0</v>
      </c>
      <c r="X2000">
        <v>0</v>
      </c>
    </row>
    <row r="2001" spans="1:24" x14ac:dyDescent="0.25">
      <c r="A2001" t="s">
        <v>2025</v>
      </c>
      <c r="B2001" t="s">
        <v>2095</v>
      </c>
      <c r="C2001" t="s">
        <v>2096</v>
      </c>
      <c r="D2001" t="s">
        <v>221</v>
      </c>
      <c r="E2001" t="s">
        <v>31</v>
      </c>
      <c r="F2001" t="s">
        <v>1</v>
      </c>
      <c r="G2001" t="s">
        <v>850</v>
      </c>
      <c r="H2001" t="s">
        <v>431</v>
      </c>
      <c r="I2001" t="s">
        <v>1</v>
      </c>
      <c r="J2001">
        <v>3907.96</v>
      </c>
      <c r="K2001">
        <v>785.00000000039995</v>
      </c>
      <c r="L2001">
        <v>915.75</v>
      </c>
      <c r="M2001">
        <v>1846.6781767955802</v>
      </c>
      <c r="N2001">
        <v>4050.99</v>
      </c>
      <c r="O2001">
        <v>1831.5</v>
      </c>
      <c r="P2001">
        <v>0</v>
      </c>
      <c r="Q2001">
        <f t="shared" si="405"/>
        <v>1831.5</v>
      </c>
      <c r="R2001">
        <v>1831.5</v>
      </c>
      <c r="S2001">
        <f t="shared" si="406"/>
        <v>0</v>
      </c>
      <c r="T2001"/>
      <c r="U2001">
        <f t="shared" si="407"/>
        <v>0</v>
      </c>
      <c r="V2001">
        <f t="shared" si="408"/>
        <v>1831.5</v>
      </c>
      <c r="W2001">
        <f t="shared" si="409"/>
        <v>0</v>
      </c>
      <c r="X2001">
        <v>0</v>
      </c>
    </row>
    <row r="2002" spans="1:24" x14ac:dyDescent="0.25">
      <c r="A2002" t="s">
        <v>2025</v>
      </c>
      <c r="B2002" t="s">
        <v>2095</v>
      </c>
      <c r="C2002" t="s">
        <v>2096</v>
      </c>
      <c r="D2002" t="s">
        <v>221</v>
      </c>
      <c r="E2002" t="s">
        <v>32</v>
      </c>
      <c r="F2002" t="s">
        <v>1</v>
      </c>
      <c r="G2002" t="s">
        <v>850</v>
      </c>
      <c r="H2002" t="s">
        <v>432</v>
      </c>
      <c r="I2002" t="s">
        <v>1</v>
      </c>
      <c r="J2002">
        <v>15000</v>
      </c>
      <c r="K2002">
        <v>22500</v>
      </c>
      <c r="L2002">
        <v>15000</v>
      </c>
      <c r="M2002">
        <v>30248.618784530387</v>
      </c>
      <c r="N2002">
        <v>15000</v>
      </c>
      <c r="O2002">
        <v>30000</v>
      </c>
      <c r="P2002">
        <v>0</v>
      </c>
      <c r="Q2002">
        <f t="shared" si="405"/>
        <v>30000</v>
      </c>
      <c r="R2002">
        <v>15000</v>
      </c>
      <c r="S2002">
        <f t="shared" si="406"/>
        <v>-15000</v>
      </c>
      <c r="T2002"/>
      <c r="U2002">
        <f t="shared" si="407"/>
        <v>0</v>
      </c>
      <c r="V2002">
        <f t="shared" si="408"/>
        <v>15000</v>
      </c>
      <c r="W2002">
        <f t="shared" si="409"/>
        <v>-15000</v>
      </c>
      <c r="X2002" t="s">
        <v>1648</v>
      </c>
    </row>
    <row r="2003" spans="1:24" x14ac:dyDescent="0.25">
      <c r="A2003" t="s">
        <v>2025</v>
      </c>
      <c r="B2003" t="s">
        <v>2095</v>
      </c>
      <c r="C2003" t="s">
        <v>2096</v>
      </c>
      <c r="D2003" t="s">
        <v>221</v>
      </c>
      <c r="E2003" t="s">
        <v>33</v>
      </c>
      <c r="F2003" t="s">
        <v>1</v>
      </c>
      <c r="G2003" t="s">
        <v>850</v>
      </c>
      <c r="H2003" t="s">
        <v>433</v>
      </c>
      <c r="I2003" t="s">
        <v>1</v>
      </c>
      <c r="J2003">
        <v>29821.88</v>
      </c>
      <c r="K2003">
        <v>35501.132956399197</v>
      </c>
      <c r="L2003">
        <v>18658.41</v>
      </c>
      <c r="M2003">
        <v>37626.075414364641</v>
      </c>
      <c r="N2003">
        <v>40527.429999999993</v>
      </c>
      <c r="O2003">
        <v>37316.82</v>
      </c>
      <c r="P2003">
        <v>0</v>
      </c>
      <c r="Q2003">
        <f t="shared" si="405"/>
        <v>37316.82</v>
      </c>
      <c r="R2003">
        <v>0</v>
      </c>
      <c r="S2003">
        <f t="shared" si="406"/>
        <v>-37316.82</v>
      </c>
      <c r="T2003"/>
      <c r="U2003">
        <f t="shared" si="407"/>
        <v>0</v>
      </c>
      <c r="V2003">
        <f t="shared" si="408"/>
        <v>0</v>
      </c>
      <c r="W2003">
        <f t="shared" si="409"/>
        <v>-37316.82</v>
      </c>
      <c r="X2003" t="s">
        <v>1649</v>
      </c>
    </row>
    <row r="2004" spans="1:24" x14ac:dyDescent="0.25">
      <c r="A2004" t="s">
        <v>2025</v>
      </c>
      <c r="B2004" t="s">
        <v>2095</v>
      </c>
      <c r="C2004" t="s">
        <v>2096</v>
      </c>
      <c r="D2004" t="s">
        <v>221</v>
      </c>
      <c r="E2004" t="s">
        <v>34</v>
      </c>
      <c r="F2004" t="s">
        <v>1</v>
      </c>
      <c r="G2004" t="s">
        <v>850</v>
      </c>
      <c r="H2004" t="s">
        <v>434</v>
      </c>
      <c r="I2004" t="s">
        <v>1</v>
      </c>
      <c r="J2004">
        <v>43.88</v>
      </c>
      <c r="K2004">
        <v>588.74302097639998</v>
      </c>
      <c r="L2004">
        <v>0</v>
      </c>
      <c r="M2004">
        <v>0</v>
      </c>
      <c r="N2004">
        <v>0</v>
      </c>
      <c r="O2004"/>
      <c r="P2004">
        <v>0</v>
      </c>
      <c r="Q2004">
        <f t="shared" si="405"/>
        <v>0</v>
      </c>
      <c r="R2004">
        <v>0</v>
      </c>
      <c r="S2004">
        <f t="shared" si="406"/>
        <v>0</v>
      </c>
      <c r="T2004"/>
      <c r="U2004">
        <f t="shared" si="407"/>
        <v>0</v>
      </c>
      <c r="V2004">
        <f t="shared" si="408"/>
        <v>0</v>
      </c>
      <c r="W2004">
        <f t="shared" si="409"/>
        <v>0</v>
      </c>
      <c r="X2004">
        <v>0</v>
      </c>
    </row>
    <row r="2005" spans="1:24" x14ac:dyDescent="0.25">
      <c r="A2005" t="s">
        <v>2025</v>
      </c>
      <c r="B2005" t="s">
        <v>2095</v>
      </c>
      <c r="C2005" t="s">
        <v>2096</v>
      </c>
      <c r="D2005" t="s">
        <v>221</v>
      </c>
      <c r="E2005" t="s">
        <v>37</v>
      </c>
      <c r="F2005" t="s">
        <v>1</v>
      </c>
      <c r="G2005" t="s">
        <v>850</v>
      </c>
      <c r="H2005" t="s">
        <v>437</v>
      </c>
      <c r="I2005" t="s">
        <v>1</v>
      </c>
      <c r="J2005">
        <v>3338.07</v>
      </c>
      <c r="K2005">
        <v>2943.7151048832002</v>
      </c>
      <c r="L2005">
        <v>447.78</v>
      </c>
      <c r="M2005">
        <v>902.98176795580105</v>
      </c>
      <c r="N2005">
        <v>2060.75</v>
      </c>
      <c r="O2005">
        <v>895.56</v>
      </c>
      <c r="P2005">
        <v>0</v>
      </c>
      <c r="Q2005">
        <f t="shared" si="405"/>
        <v>895.56</v>
      </c>
      <c r="R2005">
        <v>895.56</v>
      </c>
      <c r="S2005">
        <f t="shared" si="406"/>
        <v>0</v>
      </c>
      <c r="T2005"/>
      <c r="U2005">
        <f t="shared" si="407"/>
        <v>0</v>
      </c>
      <c r="V2005">
        <f t="shared" si="408"/>
        <v>895.56</v>
      </c>
      <c r="W2005">
        <f t="shared" si="409"/>
        <v>0</v>
      </c>
      <c r="X2005">
        <v>0</v>
      </c>
    </row>
    <row r="2006" spans="1:24" x14ac:dyDescent="0.25">
      <c r="A2006" t="s">
        <v>2025</v>
      </c>
      <c r="B2006" t="s">
        <v>2095</v>
      </c>
      <c r="C2006" t="s">
        <v>2096</v>
      </c>
      <c r="D2006" t="s">
        <v>221</v>
      </c>
      <c r="E2006" t="s">
        <v>40</v>
      </c>
      <c r="F2006" t="s">
        <v>1</v>
      </c>
      <c r="G2006" t="s">
        <v>850</v>
      </c>
      <c r="H2006" t="s">
        <v>440</v>
      </c>
      <c r="I2006" t="s">
        <v>1</v>
      </c>
      <c r="J2006">
        <v>247.5</v>
      </c>
      <c r="K2006"/>
      <c r="L2006">
        <v>165</v>
      </c>
      <c r="M2006">
        <v>332.73480662983428</v>
      </c>
      <c r="N2006">
        <v>330</v>
      </c>
      <c r="O2006">
        <v>330</v>
      </c>
      <c r="P2006">
        <v>0</v>
      </c>
      <c r="Q2006">
        <f t="shared" si="405"/>
        <v>330</v>
      </c>
      <c r="R2006">
        <v>330</v>
      </c>
      <c r="S2006">
        <f t="shared" si="406"/>
        <v>0</v>
      </c>
      <c r="T2006">
        <v>0.03</v>
      </c>
      <c r="U2006">
        <f t="shared" si="407"/>
        <v>9.9</v>
      </c>
      <c r="V2006">
        <f t="shared" si="408"/>
        <v>339.9</v>
      </c>
      <c r="W2006">
        <f t="shared" si="409"/>
        <v>9.8999999999999773</v>
      </c>
      <c r="X2006" t="s">
        <v>1650</v>
      </c>
    </row>
    <row r="2007" spans="1:24" x14ac:dyDescent="0.25">
      <c r="A2007" t="s">
        <v>2025</v>
      </c>
      <c r="B2007" t="s">
        <v>2095</v>
      </c>
      <c r="C2007" t="s">
        <v>2096</v>
      </c>
      <c r="D2007" t="s">
        <v>221</v>
      </c>
      <c r="E2007" t="s">
        <v>41</v>
      </c>
      <c r="F2007" t="s">
        <v>1</v>
      </c>
      <c r="G2007" t="s">
        <v>850</v>
      </c>
      <c r="H2007" t="s">
        <v>441</v>
      </c>
      <c r="I2007" t="s">
        <v>1</v>
      </c>
      <c r="J2007">
        <v>639.76</v>
      </c>
      <c r="K2007">
        <v>291.3138956016</v>
      </c>
      <c r="L2007">
        <v>185.59</v>
      </c>
      <c r="M2007">
        <v>374.2560773480663</v>
      </c>
      <c r="N2007">
        <v>677.05</v>
      </c>
      <c r="O2007">
        <v>371.18</v>
      </c>
      <c r="P2007">
        <v>0</v>
      </c>
      <c r="Q2007">
        <f t="shared" si="405"/>
        <v>371.18</v>
      </c>
      <c r="R2007">
        <v>371.18</v>
      </c>
      <c r="S2007">
        <f t="shared" si="406"/>
        <v>0</v>
      </c>
      <c r="T2007">
        <v>0.03</v>
      </c>
      <c r="U2007">
        <f t="shared" si="407"/>
        <v>11.135400000000001</v>
      </c>
      <c r="V2007">
        <f t="shared" si="408"/>
        <v>382.31540000000001</v>
      </c>
      <c r="W2007">
        <f t="shared" si="409"/>
        <v>11.135400000000004</v>
      </c>
      <c r="X2007">
        <v>0</v>
      </c>
    </row>
    <row r="2008" spans="1:24" x14ac:dyDescent="0.25">
      <c r="A2008" t="s">
        <v>2025</v>
      </c>
      <c r="B2008" t="s">
        <v>2095</v>
      </c>
      <c r="C2008" t="s">
        <v>2096</v>
      </c>
      <c r="D2008" t="s">
        <v>221</v>
      </c>
      <c r="E2008" t="s">
        <v>42</v>
      </c>
      <c r="F2008" t="s">
        <v>1</v>
      </c>
      <c r="G2008" t="s">
        <v>850</v>
      </c>
      <c r="H2008" t="s">
        <v>442</v>
      </c>
      <c r="I2008" t="s">
        <v>1</v>
      </c>
      <c r="J2008">
        <v>294.39999999999998</v>
      </c>
      <c r="K2008"/>
      <c r="L2008">
        <v>34.950000000000003</v>
      </c>
      <c r="M2008">
        <v>70.479281767955811</v>
      </c>
      <c r="N2008">
        <v>68.180000000000007</v>
      </c>
      <c r="O2008">
        <v>69.900000000000006</v>
      </c>
      <c r="P2008">
        <v>0</v>
      </c>
      <c r="Q2008">
        <f t="shared" si="405"/>
        <v>69.900000000000006</v>
      </c>
      <c r="R2008">
        <v>69.900000000000006</v>
      </c>
      <c r="S2008">
        <f t="shared" si="406"/>
        <v>0</v>
      </c>
      <c r="T2008">
        <v>0.03</v>
      </c>
      <c r="U2008">
        <f t="shared" si="407"/>
        <v>2.097</v>
      </c>
      <c r="V2008">
        <f t="shared" si="408"/>
        <v>71.997</v>
      </c>
      <c r="W2008">
        <f t="shared" si="409"/>
        <v>2.0969999999999942</v>
      </c>
      <c r="X2008" t="s">
        <v>1651</v>
      </c>
    </row>
    <row r="2009" spans="1:24" x14ac:dyDescent="0.25">
      <c r="A2009" t="s">
        <v>2025</v>
      </c>
      <c r="B2009" t="s">
        <v>2095</v>
      </c>
      <c r="C2009" t="s">
        <v>2096</v>
      </c>
      <c r="D2009" t="s">
        <v>221</v>
      </c>
      <c r="E2009" t="s">
        <v>46</v>
      </c>
      <c r="F2009" t="s">
        <v>1</v>
      </c>
      <c r="G2009" t="s">
        <v>850</v>
      </c>
      <c r="H2009" t="s">
        <v>446</v>
      </c>
      <c r="I2009" t="s">
        <v>1</v>
      </c>
      <c r="J2009">
        <v>3899.58</v>
      </c>
      <c r="K2009"/>
      <c r="L2009">
        <v>381.16</v>
      </c>
      <c r="M2009">
        <v>768.63756906077356</v>
      </c>
      <c r="N2009">
        <v>1965.74</v>
      </c>
      <c r="O2009">
        <v>762.32</v>
      </c>
      <c r="P2009">
        <v>25000</v>
      </c>
      <c r="Q2009">
        <f t="shared" si="405"/>
        <v>25762.32</v>
      </c>
      <c r="R2009">
        <f>762.32+25000</f>
        <v>25762.32</v>
      </c>
      <c r="S2009">
        <f t="shared" si="406"/>
        <v>0</v>
      </c>
      <c r="T2009">
        <v>0.03</v>
      </c>
      <c r="U2009">
        <f t="shared" si="407"/>
        <v>772.86959999999999</v>
      </c>
      <c r="V2009">
        <f t="shared" si="408"/>
        <v>26535.189599999998</v>
      </c>
      <c r="W2009">
        <f t="shared" si="409"/>
        <v>772.86959999999817</v>
      </c>
      <c r="X2009" t="s">
        <v>2230</v>
      </c>
    </row>
    <row r="2010" spans="1:24" x14ac:dyDescent="0.25">
      <c r="A2010" t="s">
        <v>2025</v>
      </c>
      <c r="B2010" t="s">
        <v>2095</v>
      </c>
      <c r="C2010" t="s">
        <v>2096</v>
      </c>
      <c r="D2010" t="s">
        <v>221</v>
      </c>
      <c r="E2010" t="s">
        <v>48</v>
      </c>
      <c r="F2010" t="s">
        <v>1</v>
      </c>
      <c r="G2010" t="s">
        <v>850</v>
      </c>
      <c r="H2010" t="s">
        <v>448</v>
      </c>
      <c r="I2010" t="s">
        <v>1</v>
      </c>
      <c r="J2010">
        <v>749.32</v>
      </c>
      <c r="K2010">
        <v>942.99999999960005</v>
      </c>
      <c r="L2010">
        <v>261.66000000000003</v>
      </c>
      <c r="M2010">
        <v>527.65690607734814</v>
      </c>
      <c r="N2010">
        <v>526.48</v>
      </c>
      <c r="O2010">
        <v>523.32000000000005</v>
      </c>
      <c r="P2010">
        <v>0</v>
      </c>
      <c r="Q2010">
        <f t="shared" si="405"/>
        <v>523.32000000000005</v>
      </c>
      <c r="R2010">
        <v>523.32000000000005</v>
      </c>
      <c r="S2010">
        <f t="shared" si="406"/>
        <v>0</v>
      </c>
      <c r="T2010">
        <v>0.03</v>
      </c>
      <c r="U2010">
        <f t="shared" si="407"/>
        <v>15.6996</v>
      </c>
      <c r="V2010">
        <f t="shared" si="408"/>
        <v>539.01960000000008</v>
      </c>
      <c r="W2010">
        <f t="shared" si="409"/>
        <v>15.699600000000032</v>
      </c>
      <c r="X2010">
        <v>0</v>
      </c>
    </row>
    <row r="2011" spans="1:24" x14ac:dyDescent="0.25">
      <c r="A2011" t="s">
        <v>2025</v>
      </c>
      <c r="B2011" t="s">
        <v>2095</v>
      </c>
      <c r="C2011" t="s">
        <v>2096</v>
      </c>
      <c r="D2011" t="s">
        <v>221</v>
      </c>
      <c r="E2011" t="s">
        <v>183</v>
      </c>
      <c r="F2011" t="s">
        <v>1</v>
      </c>
      <c r="G2011" t="s">
        <v>850</v>
      </c>
      <c r="H2011" t="s">
        <v>754</v>
      </c>
      <c r="I2011" t="s">
        <v>1</v>
      </c>
      <c r="J2011"/>
      <c r="K2011"/>
      <c r="L2011">
        <v>120</v>
      </c>
      <c r="M2011">
        <v>241.98895027624309</v>
      </c>
      <c r="N2011">
        <v>120</v>
      </c>
      <c r="O2011">
        <v>240</v>
      </c>
      <c r="P2011">
        <v>0</v>
      </c>
      <c r="Q2011">
        <f t="shared" si="405"/>
        <v>240</v>
      </c>
      <c r="R2011">
        <v>120</v>
      </c>
      <c r="S2011">
        <f t="shared" si="406"/>
        <v>-120</v>
      </c>
      <c r="T2011">
        <v>0.03</v>
      </c>
      <c r="U2011">
        <f t="shared" si="407"/>
        <v>3.5999999999999996</v>
      </c>
      <c r="V2011">
        <f t="shared" si="408"/>
        <v>123.6</v>
      </c>
      <c r="W2011">
        <f t="shared" si="409"/>
        <v>-116.4</v>
      </c>
      <c r="X2011" t="s">
        <v>1652</v>
      </c>
    </row>
    <row r="2012" spans="1:24" x14ac:dyDescent="0.25">
      <c r="A2012" t="s">
        <v>2025</v>
      </c>
      <c r="B2012" t="s">
        <v>2095</v>
      </c>
      <c r="C2012" t="s">
        <v>2096</v>
      </c>
      <c r="D2012" t="s">
        <v>221</v>
      </c>
      <c r="E2012" t="s">
        <v>50</v>
      </c>
      <c r="F2012" t="s">
        <v>1</v>
      </c>
      <c r="G2012" t="s">
        <v>850</v>
      </c>
      <c r="H2012" t="s">
        <v>450</v>
      </c>
      <c r="I2012" t="s">
        <v>1</v>
      </c>
      <c r="J2012">
        <v>296.19</v>
      </c>
      <c r="K2012">
        <v>240</v>
      </c>
      <c r="L2012">
        <v>394.38</v>
      </c>
      <c r="M2012">
        <v>795.29668508287295</v>
      </c>
      <c r="N2012">
        <v>565.69000000000005</v>
      </c>
      <c r="O2012">
        <v>795.29668508290001</v>
      </c>
      <c r="P2012">
        <v>0</v>
      </c>
      <c r="Q2012">
        <f t="shared" si="405"/>
        <v>795.29668508290001</v>
      </c>
      <c r="R2012">
        <v>795.29668508290001</v>
      </c>
      <c r="S2012">
        <f t="shared" si="406"/>
        <v>0</v>
      </c>
      <c r="T2012"/>
      <c r="U2012">
        <f t="shared" si="407"/>
        <v>0</v>
      </c>
      <c r="V2012">
        <f t="shared" si="408"/>
        <v>795.29668508290001</v>
      </c>
      <c r="W2012">
        <f t="shared" si="409"/>
        <v>0</v>
      </c>
      <c r="X2012" t="s">
        <v>1653</v>
      </c>
    </row>
    <row r="2013" spans="1:24" x14ac:dyDescent="0.25">
      <c r="A2013" t="s">
        <v>2025</v>
      </c>
      <c r="B2013" t="s">
        <v>2095</v>
      </c>
      <c r="C2013" t="s">
        <v>2096</v>
      </c>
      <c r="D2013" t="s">
        <v>221</v>
      </c>
      <c r="E2013" t="s">
        <v>51</v>
      </c>
      <c r="F2013" t="s">
        <v>51</v>
      </c>
      <c r="G2013" t="s">
        <v>851</v>
      </c>
      <c r="H2013"/>
      <c r="I2013"/>
      <c r="J2013">
        <v>293582.88000000006</v>
      </c>
      <c r="K2013">
        <v>344000.87898215931</v>
      </c>
      <c r="L2013">
        <v>181691.48000000004</v>
      </c>
      <c r="M2013">
        <v>366394.42099447513</v>
      </c>
      <c r="N2013">
        <v>318936.81999999995</v>
      </c>
      <c r="O2013">
        <v>363478.33150931943</v>
      </c>
      <c r="P2013">
        <f>SUMIF($F$1984:$F$2012,"&lt;&gt;EV_*",$P$1984:$P$2012)</f>
        <v>25000</v>
      </c>
      <c r="Q2013">
        <f>SUMIF($F$1984:$F$2012,"&lt;&gt;EV_*",$Q$1984:$Q$2012)</f>
        <v>388478.33150931943</v>
      </c>
      <c r="R2013">
        <f>SUMIF($F$1984:$F$2012,"&lt;&gt;EV_*",$R$1984:$R$2012)</f>
        <v>319202.42084087199</v>
      </c>
      <c r="S2013">
        <f>SUMIF($F$1984:$F$2012,"&lt;&gt;EV_*",$S$1984:$S$2012)</f>
        <v>-69275.910668447395</v>
      </c>
      <c r="T2013">
        <v>0</v>
      </c>
      <c r="U2013">
        <f>SUMIF($F$1984:$F$2012,"&lt;&gt;EV_*",$U$1984:$U$2012)</f>
        <v>1021.2074317345636</v>
      </c>
      <c r="V2013">
        <f>SUMIF($F$1984:$F$2012,"&lt;&gt;EV_*",$V$1984:$V$2012)</f>
        <v>320223.62827260653</v>
      </c>
      <c r="W2013">
        <f>SUMIF($F$1984:$F$2012,"&lt;&gt;EV_*",$W$1984:$W$2012)</f>
        <v>-68254.703236712827</v>
      </c>
      <c r="X2013">
        <f>SUMIF($F$1984:$F$2012,"&lt;&gt;EV_*",$X$1984:$X$2012)</f>
        <v>0</v>
      </c>
    </row>
    <row r="2014" spans="1:24" x14ac:dyDescent="0.25">
      <c r="A2014" t="s">
        <v>1965</v>
      </c>
      <c r="B2014" t="s">
        <v>2017</v>
      </c>
      <c r="C2014" t="s">
        <v>2097</v>
      </c>
      <c r="D2014" t="s">
        <v>222</v>
      </c>
      <c r="E2014" t="s">
        <v>5</v>
      </c>
      <c r="F2014" t="s">
        <v>5</v>
      </c>
      <c r="G2014" t="s">
        <v>852</v>
      </c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</row>
    <row r="2015" spans="1:24" x14ac:dyDescent="0.25">
      <c r="A2015" t="s">
        <v>1965</v>
      </c>
      <c r="B2015" t="s">
        <v>2017</v>
      </c>
      <c r="C2015" t="s">
        <v>2097</v>
      </c>
      <c r="D2015" t="s">
        <v>222</v>
      </c>
      <c r="E2015" t="s">
        <v>13</v>
      </c>
      <c r="F2015" t="s">
        <v>1</v>
      </c>
      <c r="G2015" t="s">
        <v>853</v>
      </c>
      <c r="H2015" t="s">
        <v>413</v>
      </c>
      <c r="I2015" t="s">
        <v>1</v>
      </c>
      <c r="J2015">
        <v>673.95</v>
      </c>
      <c r="K2015"/>
      <c r="L2015">
        <v>982.33</v>
      </c>
      <c r="M2015">
        <v>1980.9417127071824</v>
      </c>
      <c r="N2015">
        <v>1656.2800000000002</v>
      </c>
      <c r="O2015">
        <v>1964.66</v>
      </c>
      <c r="P2015">
        <v>0</v>
      </c>
      <c r="Q2015">
        <f t="shared" ref="Q2015:Q2022" si="410">O2015+P2015</f>
        <v>1964.66</v>
      </c>
      <c r="R2015">
        <v>1965</v>
      </c>
      <c r="S2015">
        <f t="shared" ref="S2015:S2022" si="411">IF(OR(LEFT(E2015,2)="A_",LEFT(D2015,5)="Total"),R2015-Q2015,"")</f>
        <v>0.33999999999991815</v>
      </c>
      <c r="T2015"/>
      <c r="U2015">
        <f t="shared" ref="U2015:U2022" si="412">IFERROR(R2015*T2015,R2015*0)</f>
        <v>0</v>
      </c>
      <c r="V2015">
        <f t="shared" ref="V2015:V2022" si="413">IF(OR(LEFT(E2015,2)="A_",LEFT(D2015,5)="Total"),R2015+U2015,"")</f>
        <v>1965</v>
      </c>
      <c r="W2015">
        <f t="shared" ref="W2015:W2022" si="414">IF(OR(LEFT(E2015,2)="A_",LEFT(D2015,5)="Total"),V2015-Q2015,"")</f>
        <v>0.33999999999991815</v>
      </c>
      <c r="X2015" t="s">
        <v>1573</v>
      </c>
    </row>
    <row r="2016" spans="1:24" x14ac:dyDescent="0.25">
      <c r="A2016" t="s">
        <v>1965</v>
      </c>
      <c r="B2016" t="s">
        <v>2017</v>
      </c>
      <c r="C2016" t="s">
        <v>2097</v>
      </c>
      <c r="D2016" t="s">
        <v>222</v>
      </c>
      <c r="E2016" t="s">
        <v>23</v>
      </c>
      <c r="F2016" t="s">
        <v>1</v>
      </c>
      <c r="G2016" t="s">
        <v>853</v>
      </c>
      <c r="H2016" t="s">
        <v>423</v>
      </c>
      <c r="I2016" t="s">
        <v>1</v>
      </c>
      <c r="J2016">
        <v>1371.98</v>
      </c>
      <c r="K2016"/>
      <c r="L2016">
        <v>0</v>
      </c>
      <c r="M2016">
        <v>0</v>
      </c>
      <c r="N2016">
        <v>1371.98</v>
      </c>
      <c r="O2016"/>
      <c r="P2016">
        <v>0</v>
      </c>
      <c r="Q2016">
        <f t="shared" si="410"/>
        <v>0</v>
      </c>
      <c r="R2016">
        <v>0</v>
      </c>
      <c r="S2016">
        <f t="shared" si="411"/>
        <v>0</v>
      </c>
      <c r="T2016">
        <v>3.5000000000000003E-2</v>
      </c>
      <c r="U2016">
        <f t="shared" si="412"/>
        <v>0</v>
      </c>
      <c r="V2016">
        <f t="shared" si="413"/>
        <v>0</v>
      </c>
      <c r="W2016">
        <f t="shared" si="414"/>
        <v>0</v>
      </c>
      <c r="X2016">
        <v>0</v>
      </c>
    </row>
    <row r="2017" spans="1:24" x14ac:dyDescent="0.25">
      <c r="A2017" t="s">
        <v>1965</v>
      </c>
      <c r="B2017" t="s">
        <v>2017</v>
      </c>
      <c r="C2017" t="s">
        <v>2097</v>
      </c>
      <c r="D2017" t="s">
        <v>222</v>
      </c>
      <c r="E2017" t="s">
        <v>24</v>
      </c>
      <c r="F2017" t="s">
        <v>1</v>
      </c>
      <c r="G2017" t="s">
        <v>853</v>
      </c>
      <c r="H2017" t="s">
        <v>424</v>
      </c>
      <c r="I2017" t="s">
        <v>1</v>
      </c>
      <c r="J2017">
        <v>1585.25</v>
      </c>
      <c r="K2017">
        <v>770.00000000039995</v>
      </c>
      <c r="L2017">
        <v>0</v>
      </c>
      <c r="M2017">
        <v>0</v>
      </c>
      <c r="N2017">
        <v>1390.25</v>
      </c>
      <c r="O2017"/>
      <c r="P2017">
        <v>0</v>
      </c>
      <c r="Q2017">
        <f t="shared" si="410"/>
        <v>0</v>
      </c>
      <c r="R2017">
        <v>0</v>
      </c>
      <c r="S2017">
        <f t="shared" si="411"/>
        <v>0</v>
      </c>
      <c r="T2017"/>
      <c r="U2017">
        <f t="shared" si="412"/>
        <v>0</v>
      </c>
      <c r="V2017">
        <f t="shared" si="413"/>
        <v>0</v>
      </c>
      <c r="W2017">
        <f t="shared" si="414"/>
        <v>0</v>
      </c>
      <c r="X2017">
        <v>0</v>
      </c>
    </row>
    <row r="2018" spans="1:24" x14ac:dyDescent="0.25">
      <c r="A2018" t="s">
        <v>1965</v>
      </c>
      <c r="B2018" t="s">
        <v>2017</v>
      </c>
      <c r="C2018" t="s">
        <v>2097</v>
      </c>
      <c r="D2018" t="s">
        <v>222</v>
      </c>
      <c r="E2018" t="s">
        <v>26</v>
      </c>
      <c r="F2018" t="s">
        <v>1</v>
      </c>
      <c r="G2018" t="s">
        <v>853</v>
      </c>
      <c r="H2018" t="s">
        <v>426</v>
      </c>
      <c r="I2018" t="s">
        <v>1</v>
      </c>
      <c r="J2018">
        <v>2823</v>
      </c>
      <c r="K2018">
        <v>2937.1926458496</v>
      </c>
      <c r="L2018">
        <v>29</v>
      </c>
      <c r="M2018">
        <v>58.480662983425418</v>
      </c>
      <c r="N2018">
        <v>1879</v>
      </c>
      <c r="O2018">
        <v>58</v>
      </c>
      <c r="P2018">
        <v>0</v>
      </c>
      <c r="Q2018">
        <f t="shared" si="410"/>
        <v>58</v>
      </c>
      <c r="R2018">
        <v>0</v>
      </c>
      <c r="S2018">
        <f t="shared" si="411"/>
        <v>-58</v>
      </c>
      <c r="T2018"/>
      <c r="U2018">
        <f t="shared" si="412"/>
        <v>0</v>
      </c>
      <c r="V2018">
        <f t="shared" si="413"/>
        <v>0</v>
      </c>
      <c r="W2018">
        <f t="shared" si="414"/>
        <v>-58</v>
      </c>
      <c r="X2018">
        <v>0</v>
      </c>
    </row>
    <row r="2019" spans="1:24" x14ac:dyDescent="0.25">
      <c r="A2019" t="s">
        <v>1965</v>
      </c>
      <c r="B2019" t="s">
        <v>2017</v>
      </c>
      <c r="C2019" t="s">
        <v>2097</v>
      </c>
      <c r="D2019" t="s">
        <v>222</v>
      </c>
      <c r="E2019" t="s">
        <v>37</v>
      </c>
      <c r="F2019" t="s">
        <v>1</v>
      </c>
      <c r="G2019" t="s">
        <v>853</v>
      </c>
      <c r="H2019" t="s">
        <v>437</v>
      </c>
      <c r="I2019" t="s">
        <v>1</v>
      </c>
      <c r="J2019">
        <v>1657.1</v>
      </c>
      <c r="K2019"/>
      <c r="L2019">
        <v>0</v>
      </c>
      <c r="M2019">
        <v>0</v>
      </c>
      <c r="N2019">
        <v>516.96</v>
      </c>
      <c r="O2019"/>
      <c r="P2019">
        <v>0</v>
      </c>
      <c r="Q2019">
        <f t="shared" si="410"/>
        <v>0</v>
      </c>
      <c r="R2019">
        <v>0</v>
      </c>
      <c r="S2019">
        <f t="shared" si="411"/>
        <v>0</v>
      </c>
      <c r="T2019"/>
      <c r="U2019">
        <f t="shared" si="412"/>
        <v>0</v>
      </c>
      <c r="V2019">
        <f t="shared" si="413"/>
        <v>0</v>
      </c>
      <c r="W2019">
        <f t="shared" si="414"/>
        <v>0</v>
      </c>
      <c r="X2019">
        <v>0</v>
      </c>
    </row>
    <row r="2020" spans="1:24" x14ac:dyDescent="0.25">
      <c r="A2020" t="s">
        <v>1965</v>
      </c>
      <c r="B2020" t="s">
        <v>2017</v>
      </c>
      <c r="C2020" t="s">
        <v>2097</v>
      </c>
      <c r="D2020" t="s">
        <v>222</v>
      </c>
      <c r="E2020" t="s">
        <v>42</v>
      </c>
      <c r="F2020" t="s">
        <v>1</v>
      </c>
      <c r="G2020" t="s">
        <v>853</v>
      </c>
      <c r="H2020" t="s">
        <v>442</v>
      </c>
      <c r="I2020" t="s">
        <v>1</v>
      </c>
      <c r="J2020">
        <v>33.229999999999997</v>
      </c>
      <c r="K2020"/>
      <c r="L2020">
        <v>104.85</v>
      </c>
      <c r="M2020">
        <v>211.43784530386739</v>
      </c>
      <c r="N2020">
        <v>138.07999999999998</v>
      </c>
      <c r="O2020">
        <v>209.7</v>
      </c>
      <c r="P2020">
        <v>0</v>
      </c>
      <c r="Q2020">
        <f t="shared" si="410"/>
        <v>209.7</v>
      </c>
      <c r="R2020">
        <v>210</v>
      </c>
      <c r="S2020">
        <f t="shared" si="411"/>
        <v>0.30000000000001137</v>
      </c>
      <c r="T2020">
        <v>0.03</v>
      </c>
      <c r="U2020">
        <f t="shared" si="412"/>
        <v>6.3</v>
      </c>
      <c r="V2020">
        <f t="shared" si="413"/>
        <v>216.3</v>
      </c>
      <c r="W2020">
        <f t="shared" si="414"/>
        <v>6.6000000000000227</v>
      </c>
      <c r="X2020" t="s">
        <v>1573</v>
      </c>
    </row>
    <row r="2021" spans="1:24" x14ac:dyDescent="0.25">
      <c r="A2021" t="s">
        <v>1965</v>
      </c>
      <c r="B2021" t="s">
        <v>2017</v>
      </c>
      <c r="C2021" t="s">
        <v>2097</v>
      </c>
      <c r="D2021" t="s">
        <v>222</v>
      </c>
      <c r="E2021" t="s">
        <v>47</v>
      </c>
      <c r="F2021" t="s">
        <v>1</v>
      </c>
      <c r="G2021" t="s">
        <v>853</v>
      </c>
      <c r="H2021" t="s">
        <v>447</v>
      </c>
      <c r="I2021" t="s">
        <v>1</v>
      </c>
      <c r="J2021">
        <v>9766.84</v>
      </c>
      <c r="K2021">
        <v>4280.0000000004002</v>
      </c>
      <c r="L2021">
        <v>2613.39</v>
      </c>
      <c r="M2021">
        <v>5270.0958563535905</v>
      </c>
      <c r="N2021">
        <v>8828.23</v>
      </c>
      <c r="O2021">
        <v>5226.78</v>
      </c>
      <c r="P2021">
        <v>0</v>
      </c>
      <c r="Q2021">
        <f t="shared" si="410"/>
        <v>5226.78</v>
      </c>
      <c r="R2021">
        <v>19500</v>
      </c>
      <c r="S2021">
        <f t="shared" si="411"/>
        <v>14273.220000000001</v>
      </c>
      <c r="T2021">
        <v>0.03</v>
      </c>
      <c r="U2021">
        <f t="shared" si="412"/>
        <v>585</v>
      </c>
      <c r="V2021">
        <f t="shared" si="413"/>
        <v>20085</v>
      </c>
      <c r="W2021">
        <f t="shared" si="414"/>
        <v>14858.220000000001</v>
      </c>
      <c r="X2021" t="s">
        <v>1479</v>
      </c>
    </row>
    <row r="2022" spans="1:24" x14ac:dyDescent="0.25">
      <c r="A2022" t="s">
        <v>1965</v>
      </c>
      <c r="B2022" t="s">
        <v>2017</v>
      </c>
      <c r="C2022" t="s">
        <v>2097</v>
      </c>
      <c r="D2022" t="s">
        <v>222</v>
      </c>
      <c r="E2022" t="s">
        <v>50</v>
      </c>
      <c r="F2022" t="s">
        <v>1</v>
      </c>
      <c r="G2022" t="s">
        <v>853</v>
      </c>
      <c r="H2022" t="s">
        <v>450</v>
      </c>
      <c r="I2022" t="s">
        <v>1</v>
      </c>
      <c r="J2022">
        <v>720.82</v>
      </c>
      <c r="K2022">
        <v>690</v>
      </c>
      <c r="L2022">
        <v>393.18</v>
      </c>
      <c r="M2022">
        <v>792.87679558011064</v>
      </c>
      <c r="N2022">
        <v>786.33999999999992</v>
      </c>
      <c r="O2022">
        <v>792.87679558009995</v>
      </c>
      <c r="P2022">
        <v>0</v>
      </c>
      <c r="Q2022">
        <f t="shared" si="410"/>
        <v>792.87679558009995</v>
      </c>
      <c r="R2022">
        <v>792.87679558009995</v>
      </c>
      <c r="S2022">
        <f t="shared" si="411"/>
        <v>0</v>
      </c>
      <c r="T2022"/>
      <c r="U2022">
        <f t="shared" si="412"/>
        <v>0</v>
      </c>
      <c r="V2022">
        <f t="shared" si="413"/>
        <v>792.87679558009995</v>
      </c>
      <c r="W2022">
        <f t="shared" si="414"/>
        <v>0</v>
      </c>
      <c r="X2022" t="s">
        <v>1654</v>
      </c>
    </row>
    <row r="2023" spans="1:24" x14ac:dyDescent="0.25">
      <c r="A2023" t="s">
        <v>1965</v>
      </c>
      <c r="B2023" t="s">
        <v>2017</v>
      </c>
      <c r="C2023" t="s">
        <v>2097</v>
      </c>
      <c r="D2023" t="s">
        <v>222</v>
      </c>
      <c r="E2023" t="s">
        <v>51</v>
      </c>
      <c r="F2023" t="s">
        <v>51</v>
      </c>
      <c r="G2023" t="s">
        <v>854</v>
      </c>
      <c r="H2023"/>
      <c r="I2023"/>
      <c r="J2023">
        <v>18632.169999999998</v>
      </c>
      <c r="K2023">
        <v>8677.1926458504004</v>
      </c>
      <c r="L2023">
        <v>4122.75</v>
      </c>
      <c r="M2023">
        <v>8313.8328729281766</v>
      </c>
      <c r="N2023">
        <v>16567.12</v>
      </c>
      <c r="O2023">
        <v>8252.0167955800989</v>
      </c>
      <c r="P2023">
        <f>SUMIF($F$2014:$F$2022,"&lt;&gt;EV_*",$P$2014:$P$2022)</f>
        <v>0</v>
      </c>
      <c r="Q2023">
        <f>SUMIF($F$2014:$F$2022,"&lt;&gt;EV_*",$Q$2014:$Q$2022)</f>
        <v>8252.0167955800989</v>
      </c>
      <c r="R2023">
        <f>SUMIF($F$2014:$F$2022,"&lt;&gt;EV_*",$R$2014:$R$2022)</f>
        <v>22467.876795580101</v>
      </c>
      <c r="S2023">
        <f>SUMIF($F$2014:$F$2022,"&lt;&gt;EV_*",$S$2014:$S$2022)</f>
        <v>14215.86</v>
      </c>
      <c r="T2023">
        <v>0</v>
      </c>
      <c r="U2023">
        <f>SUMIF($F$2014:$F$2022,"&lt;&gt;EV_*",$U$2014:$U$2022)</f>
        <v>591.29999999999995</v>
      </c>
      <c r="V2023">
        <f>SUMIF($F$2014:$F$2022,"&lt;&gt;EV_*",$V$2014:$V$2022)</f>
        <v>23059.176795580101</v>
      </c>
      <c r="W2023">
        <f>SUMIF($F$2014:$F$2022,"&lt;&gt;EV_*",$W$2014:$W$2022)</f>
        <v>14807.160000000002</v>
      </c>
      <c r="X2023">
        <f>SUMIF($F$2014:$F$2022,"&lt;&gt;EV_*",$X$2014:$X$2022)</f>
        <v>0</v>
      </c>
    </row>
    <row r="2024" spans="1:24" x14ac:dyDescent="0.25">
      <c r="A2024" t="s">
        <v>1968</v>
      </c>
      <c r="B2024" t="s">
        <v>2098</v>
      </c>
      <c r="C2024" t="s">
        <v>2099</v>
      </c>
      <c r="D2024" t="s">
        <v>223</v>
      </c>
      <c r="E2024" t="s">
        <v>5</v>
      </c>
      <c r="F2024" t="s">
        <v>5</v>
      </c>
      <c r="G2024" t="s">
        <v>855</v>
      </c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</row>
    <row r="2025" spans="1:24" x14ac:dyDescent="0.25">
      <c r="A2025" t="s">
        <v>1968</v>
      </c>
      <c r="B2025" t="s">
        <v>2098</v>
      </c>
      <c r="C2025" t="s">
        <v>2099</v>
      </c>
      <c r="D2025" t="s">
        <v>223</v>
      </c>
      <c r="E2025" t="s">
        <v>20</v>
      </c>
      <c r="F2025" t="s">
        <v>1</v>
      </c>
      <c r="G2025" t="s">
        <v>856</v>
      </c>
      <c r="H2025" t="s">
        <v>420</v>
      </c>
      <c r="I2025" t="s">
        <v>1</v>
      </c>
      <c r="J2025">
        <v>419.87</v>
      </c>
      <c r="K2025"/>
      <c r="L2025">
        <v>0</v>
      </c>
      <c r="M2025">
        <v>0</v>
      </c>
      <c r="N2025">
        <v>419.87</v>
      </c>
      <c r="O2025"/>
      <c r="P2025">
        <v>0</v>
      </c>
      <c r="Q2025">
        <f>O2025+P2025</f>
        <v>0</v>
      </c>
      <c r="R2025">
        <v>0</v>
      </c>
      <c r="S2025">
        <f>IF(OR(LEFT(E2025,2)="A_",LEFT(D2025,5)="Total"),R2025-Q2025,"")</f>
        <v>0</v>
      </c>
      <c r="T2025">
        <v>0.04</v>
      </c>
      <c r="U2025">
        <f>IFERROR(R2025*T2025,R2025*0)</f>
        <v>0</v>
      </c>
      <c r="V2025">
        <f>IF(OR(LEFT(E2025,2)="A_",LEFT(D2025,5)="Total"),R2025+U2025,"")</f>
        <v>0</v>
      </c>
      <c r="W2025">
        <f>IF(OR(LEFT(E2025,2)="A_",LEFT(D2025,5)="Total"),V2025-Q2025,"")</f>
        <v>0</v>
      </c>
      <c r="X2025">
        <v>0</v>
      </c>
    </row>
    <row r="2026" spans="1:24" x14ac:dyDescent="0.25">
      <c r="A2026" t="s">
        <v>1968</v>
      </c>
      <c r="B2026" t="s">
        <v>2098</v>
      </c>
      <c r="C2026" t="s">
        <v>2099</v>
      </c>
      <c r="D2026" t="s">
        <v>223</v>
      </c>
      <c r="E2026" t="s">
        <v>51</v>
      </c>
      <c r="F2026" t="s">
        <v>51</v>
      </c>
      <c r="G2026" t="s">
        <v>857</v>
      </c>
      <c r="H2026"/>
      <c r="I2026"/>
      <c r="J2026">
        <v>419.87</v>
      </c>
      <c r="K2026">
        <v>0</v>
      </c>
      <c r="L2026">
        <v>0</v>
      </c>
      <c r="M2026">
        <v>0</v>
      </c>
      <c r="N2026">
        <v>419.87</v>
      </c>
      <c r="O2026">
        <v>0</v>
      </c>
      <c r="P2026">
        <f>SUMIF($F$2024:$F$2025,"&lt;&gt;EV_*",$P$2024:$P$2025)</f>
        <v>0</v>
      </c>
      <c r="Q2026">
        <f>SUMIF($F$2024:$F$2025,"&lt;&gt;EV_*",$Q$2024:$Q$2025)</f>
        <v>0</v>
      </c>
      <c r="R2026">
        <f>SUMIF($F$2024:$F$2025,"&lt;&gt;EV_*",$R$2024:$R$2025)</f>
        <v>0</v>
      </c>
      <c r="S2026">
        <f>SUMIF($F$2024:$F$2025,"&lt;&gt;EV_*",$S$2024:$S$2025)</f>
        <v>0</v>
      </c>
      <c r="T2026">
        <v>0</v>
      </c>
      <c r="U2026">
        <f>SUMIF($F$2024:$F$2025,"&lt;&gt;EV_*",$U$2024:$U$2025)</f>
        <v>0</v>
      </c>
      <c r="V2026">
        <f>SUMIF($F$2024:$F$2025,"&lt;&gt;EV_*",$V$2024:$V$2025)</f>
        <v>0</v>
      </c>
      <c r="W2026">
        <f>SUMIF($F$2024:$F$2025,"&lt;&gt;EV_*",$W$2024:$W$2025)</f>
        <v>0</v>
      </c>
      <c r="X2026">
        <f>SUMIF($F$2024:$F$2025,"&lt;&gt;EV_*",$X$2024:$X$2025)</f>
        <v>0</v>
      </c>
    </row>
    <row r="2027" spans="1:24" x14ac:dyDescent="0.25">
      <c r="A2027" t="s">
        <v>1965</v>
      </c>
      <c r="B2027" t="s">
        <v>2050</v>
      </c>
      <c r="C2027" t="s">
        <v>2100</v>
      </c>
      <c r="D2027" t="s">
        <v>224</v>
      </c>
      <c r="E2027" t="s">
        <v>5</v>
      </c>
      <c r="F2027" t="s">
        <v>5</v>
      </c>
      <c r="G2027" t="s">
        <v>858</v>
      </c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</row>
    <row r="2028" spans="1:24" x14ac:dyDescent="0.25">
      <c r="A2028" t="s">
        <v>1965</v>
      </c>
      <c r="B2028" t="s">
        <v>2050</v>
      </c>
      <c r="C2028" t="s">
        <v>2100</v>
      </c>
      <c r="D2028" t="s">
        <v>224</v>
      </c>
      <c r="E2028" t="s">
        <v>7</v>
      </c>
      <c r="F2028" t="s">
        <v>1</v>
      </c>
      <c r="G2028" t="s">
        <v>859</v>
      </c>
      <c r="H2028" t="s">
        <v>407</v>
      </c>
      <c r="I2028" t="s">
        <v>1</v>
      </c>
      <c r="J2028">
        <v>1080</v>
      </c>
      <c r="K2028"/>
      <c r="L2028">
        <v>76.2</v>
      </c>
      <c r="M2028">
        <v>153.66298342541435</v>
      </c>
      <c r="N2028">
        <v>76.2</v>
      </c>
      <c r="O2028">
        <v>152.4</v>
      </c>
      <c r="P2028">
        <v>0</v>
      </c>
      <c r="Q2028">
        <f t="shared" ref="Q2028:Q2054" si="415">O2028+P2028</f>
        <v>152.4</v>
      </c>
      <c r="R2028">
        <v>0</v>
      </c>
      <c r="S2028">
        <f t="shared" ref="S2028:S2054" si="416">IF(OR(LEFT(E2028,2)="A_",LEFT(D2028,5)="Total"),R2028-Q2028,"")</f>
        <v>-152.4</v>
      </c>
      <c r="T2028"/>
      <c r="U2028">
        <f t="shared" ref="U2028:U2054" si="417">IFERROR(R2028*T2028,R2028*0)</f>
        <v>0</v>
      </c>
      <c r="V2028">
        <f t="shared" ref="V2028:V2054" si="418">IF(OR(LEFT(E2028,2)="A_",LEFT(D2028,5)="Total"),R2028+U2028,"")</f>
        <v>0</v>
      </c>
      <c r="W2028">
        <f t="shared" ref="W2028:W2054" si="419">IF(OR(LEFT(E2028,2)="A_",LEFT(D2028,5)="Total"),V2028-Q2028,"")</f>
        <v>-152.4</v>
      </c>
      <c r="X2028">
        <v>0</v>
      </c>
    </row>
    <row r="2029" spans="1:24" x14ac:dyDescent="0.25">
      <c r="A2029" t="s">
        <v>1965</v>
      </c>
      <c r="B2029" t="s">
        <v>2050</v>
      </c>
      <c r="C2029" t="s">
        <v>2100</v>
      </c>
      <c r="D2029" t="s">
        <v>224</v>
      </c>
      <c r="E2029" t="s">
        <v>225</v>
      </c>
      <c r="F2029" t="s">
        <v>1</v>
      </c>
      <c r="G2029" t="s">
        <v>859</v>
      </c>
      <c r="H2029" t="s">
        <v>860</v>
      </c>
      <c r="I2029" t="s">
        <v>1</v>
      </c>
      <c r="J2029">
        <v>13117</v>
      </c>
      <c r="K2029"/>
      <c r="L2029">
        <v>0</v>
      </c>
      <c r="M2029">
        <v>0</v>
      </c>
      <c r="N2029">
        <v>0</v>
      </c>
      <c r="O2029"/>
      <c r="P2029">
        <v>0</v>
      </c>
      <c r="Q2029">
        <f t="shared" si="415"/>
        <v>0</v>
      </c>
      <c r="R2029">
        <v>0</v>
      </c>
      <c r="S2029">
        <f t="shared" si="416"/>
        <v>0</v>
      </c>
      <c r="T2029">
        <v>3.6999999999999998E-2</v>
      </c>
      <c r="U2029">
        <f t="shared" si="417"/>
        <v>0</v>
      </c>
      <c r="V2029">
        <f t="shared" si="418"/>
        <v>0</v>
      </c>
      <c r="W2029">
        <f t="shared" si="419"/>
        <v>0</v>
      </c>
      <c r="X2029">
        <v>0</v>
      </c>
    </row>
    <row r="2030" spans="1:24" x14ac:dyDescent="0.25">
      <c r="A2030" t="s">
        <v>1965</v>
      </c>
      <c r="B2030" t="s">
        <v>2050</v>
      </c>
      <c r="C2030" t="s">
        <v>2100</v>
      </c>
      <c r="D2030" t="s">
        <v>224</v>
      </c>
      <c r="E2030" t="s">
        <v>8</v>
      </c>
      <c r="F2030" t="s">
        <v>1</v>
      </c>
      <c r="G2030" t="s">
        <v>859</v>
      </c>
      <c r="H2030" t="s">
        <v>408</v>
      </c>
      <c r="I2030" t="s">
        <v>1</v>
      </c>
      <c r="J2030">
        <v>3467.8</v>
      </c>
      <c r="K2030">
        <v>6472.5994475138004</v>
      </c>
      <c r="L2030">
        <v>1587.75</v>
      </c>
      <c r="M2030">
        <v>3201.8162983425414</v>
      </c>
      <c r="N2030">
        <v>1845.8500000000001</v>
      </c>
      <c r="O2030">
        <v>3201.8162983425</v>
      </c>
      <c r="P2030">
        <v>0</v>
      </c>
      <c r="Q2030">
        <f t="shared" si="415"/>
        <v>3201.8162983425</v>
      </c>
      <c r="R2030">
        <v>0</v>
      </c>
      <c r="S2030">
        <f t="shared" si="416"/>
        <v>-3201.8162983425</v>
      </c>
      <c r="T2030"/>
      <c r="U2030">
        <f t="shared" si="417"/>
        <v>0</v>
      </c>
      <c r="V2030">
        <f t="shared" si="418"/>
        <v>0</v>
      </c>
      <c r="W2030">
        <f t="shared" si="419"/>
        <v>-3201.8162983425</v>
      </c>
      <c r="X2030">
        <v>0</v>
      </c>
    </row>
    <row r="2031" spans="1:24" x14ac:dyDescent="0.25">
      <c r="A2031" t="s">
        <v>1965</v>
      </c>
      <c r="B2031" t="s">
        <v>2050</v>
      </c>
      <c r="C2031" t="s">
        <v>2100</v>
      </c>
      <c r="D2031" t="s">
        <v>224</v>
      </c>
      <c r="E2031" t="s">
        <v>12</v>
      </c>
      <c r="F2031" t="s">
        <v>1</v>
      </c>
      <c r="G2031" t="s">
        <v>859</v>
      </c>
      <c r="H2031" t="s">
        <v>412</v>
      </c>
      <c r="I2031" t="s">
        <v>1</v>
      </c>
      <c r="J2031"/>
      <c r="K2031"/>
      <c r="L2031">
        <v>202.4</v>
      </c>
      <c r="M2031">
        <v>408.15469613259671</v>
      </c>
      <c r="N2031">
        <v>202.4</v>
      </c>
      <c r="O2031">
        <v>404.8</v>
      </c>
      <c r="P2031">
        <v>0</v>
      </c>
      <c r="Q2031">
        <f t="shared" si="415"/>
        <v>404.8</v>
      </c>
      <c r="R2031">
        <v>0</v>
      </c>
      <c r="S2031">
        <f t="shared" si="416"/>
        <v>-404.8</v>
      </c>
      <c r="T2031"/>
      <c r="U2031">
        <f t="shared" si="417"/>
        <v>0</v>
      </c>
      <c r="V2031">
        <f t="shared" si="418"/>
        <v>0</v>
      </c>
      <c r="W2031">
        <f t="shared" si="419"/>
        <v>-404.8</v>
      </c>
      <c r="X2031">
        <v>0</v>
      </c>
    </row>
    <row r="2032" spans="1:24" x14ac:dyDescent="0.25">
      <c r="A2032" t="s">
        <v>1965</v>
      </c>
      <c r="B2032" t="s">
        <v>2050</v>
      </c>
      <c r="C2032" t="s">
        <v>2100</v>
      </c>
      <c r="D2032" t="s">
        <v>224</v>
      </c>
      <c r="E2032" t="s">
        <v>13</v>
      </c>
      <c r="F2032" t="s">
        <v>1</v>
      </c>
      <c r="G2032" t="s">
        <v>859</v>
      </c>
      <c r="H2032" t="s">
        <v>413</v>
      </c>
      <c r="I2032" t="s">
        <v>1</v>
      </c>
      <c r="J2032">
        <v>4444.4399999999996</v>
      </c>
      <c r="K2032"/>
      <c r="L2032">
        <v>9813.23</v>
      </c>
      <c r="M2032">
        <v>19789.110220994477</v>
      </c>
      <c r="N2032">
        <v>14257.669999999998</v>
      </c>
      <c r="O2032">
        <v>19626.46</v>
      </c>
      <c r="P2032">
        <v>0</v>
      </c>
      <c r="Q2032">
        <f t="shared" si="415"/>
        <v>19626.46</v>
      </c>
      <c r="R2032">
        <v>0</v>
      </c>
      <c r="S2032">
        <f t="shared" si="416"/>
        <v>-19626.46</v>
      </c>
      <c r="T2032"/>
      <c r="U2032">
        <f t="shared" si="417"/>
        <v>0</v>
      </c>
      <c r="V2032">
        <f t="shared" si="418"/>
        <v>0</v>
      </c>
      <c r="W2032">
        <f t="shared" si="419"/>
        <v>-19626.46</v>
      </c>
      <c r="X2032">
        <v>0</v>
      </c>
    </row>
    <row r="2033" spans="1:24" x14ac:dyDescent="0.25">
      <c r="A2033" t="s">
        <v>1965</v>
      </c>
      <c r="B2033" t="s">
        <v>2050</v>
      </c>
      <c r="C2033" t="s">
        <v>2100</v>
      </c>
      <c r="D2033" t="s">
        <v>224</v>
      </c>
      <c r="E2033" t="s">
        <v>18</v>
      </c>
      <c r="F2033" t="s">
        <v>1</v>
      </c>
      <c r="G2033" t="s">
        <v>859</v>
      </c>
      <c r="H2033" t="s">
        <v>418</v>
      </c>
      <c r="I2033" t="s">
        <v>1</v>
      </c>
      <c r="J2033">
        <v>402.85</v>
      </c>
      <c r="K2033"/>
      <c r="L2033">
        <v>0</v>
      </c>
      <c r="M2033">
        <v>0</v>
      </c>
      <c r="N2033">
        <v>402.85</v>
      </c>
      <c r="O2033"/>
      <c r="P2033">
        <v>0</v>
      </c>
      <c r="Q2033">
        <f t="shared" si="415"/>
        <v>0</v>
      </c>
      <c r="R2033">
        <v>0</v>
      </c>
      <c r="S2033">
        <f t="shared" si="416"/>
        <v>0</v>
      </c>
      <c r="T2033">
        <v>0.02</v>
      </c>
      <c r="U2033">
        <f t="shared" si="417"/>
        <v>0</v>
      </c>
      <c r="V2033">
        <f t="shared" si="418"/>
        <v>0</v>
      </c>
      <c r="W2033">
        <f t="shared" si="419"/>
        <v>0</v>
      </c>
      <c r="X2033">
        <v>0</v>
      </c>
    </row>
    <row r="2034" spans="1:24" x14ac:dyDescent="0.25">
      <c r="A2034" t="s">
        <v>1965</v>
      </c>
      <c r="B2034" t="s">
        <v>2050</v>
      </c>
      <c r="C2034" t="s">
        <v>2100</v>
      </c>
      <c r="D2034" t="s">
        <v>224</v>
      </c>
      <c r="E2034" t="s">
        <v>21</v>
      </c>
      <c r="F2034" t="s">
        <v>1</v>
      </c>
      <c r="G2034" t="s">
        <v>859</v>
      </c>
      <c r="H2034" t="s">
        <v>421</v>
      </c>
      <c r="I2034" t="s">
        <v>1</v>
      </c>
      <c r="J2034">
        <v>400.49</v>
      </c>
      <c r="K2034">
        <v>196.45</v>
      </c>
      <c r="L2034">
        <v>158.05000000000001</v>
      </c>
      <c r="M2034">
        <v>318.71961325966851</v>
      </c>
      <c r="N2034">
        <v>235.63</v>
      </c>
      <c r="O2034">
        <v>318.7196132597</v>
      </c>
      <c r="P2034">
        <v>0</v>
      </c>
      <c r="Q2034">
        <f t="shared" si="415"/>
        <v>318.7196132597</v>
      </c>
      <c r="R2034">
        <v>0</v>
      </c>
      <c r="S2034">
        <f t="shared" si="416"/>
        <v>-318.7196132597</v>
      </c>
      <c r="T2034">
        <v>0.03</v>
      </c>
      <c r="U2034">
        <f t="shared" si="417"/>
        <v>0</v>
      </c>
      <c r="V2034">
        <f t="shared" si="418"/>
        <v>0</v>
      </c>
      <c r="W2034">
        <f t="shared" si="419"/>
        <v>-318.7196132597</v>
      </c>
      <c r="X2034">
        <v>0</v>
      </c>
    </row>
    <row r="2035" spans="1:24" x14ac:dyDescent="0.25">
      <c r="A2035" t="s">
        <v>1965</v>
      </c>
      <c r="B2035" t="s">
        <v>2050</v>
      </c>
      <c r="C2035" t="s">
        <v>2100</v>
      </c>
      <c r="D2035" t="s">
        <v>224</v>
      </c>
      <c r="E2035" t="s">
        <v>22</v>
      </c>
      <c r="F2035" t="s">
        <v>1</v>
      </c>
      <c r="G2035" t="s">
        <v>859</v>
      </c>
      <c r="H2035" t="s">
        <v>422</v>
      </c>
      <c r="I2035" t="s">
        <v>1</v>
      </c>
      <c r="J2035">
        <v>837.23</v>
      </c>
      <c r="K2035">
        <v>258.74999999969998</v>
      </c>
      <c r="L2035">
        <v>652.04</v>
      </c>
      <c r="M2035">
        <v>1314.8872928176795</v>
      </c>
      <c r="N2035">
        <v>1616.74</v>
      </c>
      <c r="O2035">
        <v>1314.8872928177</v>
      </c>
      <c r="P2035">
        <v>0</v>
      </c>
      <c r="Q2035">
        <f t="shared" si="415"/>
        <v>1314.8872928177</v>
      </c>
      <c r="R2035">
        <v>0</v>
      </c>
      <c r="S2035">
        <f t="shared" si="416"/>
        <v>-1314.8872928177</v>
      </c>
      <c r="T2035">
        <v>3.5000000000000003E-2</v>
      </c>
      <c r="U2035">
        <f t="shared" si="417"/>
        <v>0</v>
      </c>
      <c r="V2035">
        <f t="shared" si="418"/>
        <v>0</v>
      </c>
      <c r="W2035">
        <f t="shared" si="419"/>
        <v>-1314.8872928177</v>
      </c>
      <c r="X2035">
        <v>0</v>
      </c>
    </row>
    <row r="2036" spans="1:24" x14ac:dyDescent="0.25">
      <c r="A2036" t="s">
        <v>1965</v>
      </c>
      <c r="B2036" t="s">
        <v>2050</v>
      </c>
      <c r="C2036" t="s">
        <v>2100</v>
      </c>
      <c r="D2036" t="s">
        <v>224</v>
      </c>
      <c r="E2036" t="s">
        <v>23</v>
      </c>
      <c r="F2036" t="s">
        <v>1</v>
      </c>
      <c r="G2036" t="s">
        <v>859</v>
      </c>
      <c r="H2036" t="s">
        <v>423</v>
      </c>
      <c r="I2036" t="s">
        <v>1</v>
      </c>
      <c r="J2036">
        <v>356.85</v>
      </c>
      <c r="K2036">
        <v>1656.0000000002999</v>
      </c>
      <c r="L2036">
        <v>38.49</v>
      </c>
      <c r="M2036">
        <v>77.617955801104983</v>
      </c>
      <c r="N2036">
        <v>160.36000000000001</v>
      </c>
      <c r="O2036">
        <v>77.617955801099995</v>
      </c>
      <c r="P2036">
        <v>0</v>
      </c>
      <c r="Q2036">
        <f t="shared" si="415"/>
        <v>77.617955801099995</v>
      </c>
      <c r="R2036">
        <v>0</v>
      </c>
      <c r="S2036">
        <f t="shared" si="416"/>
        <v>-77.617955801099995</v>
      </c>
      <c r="T2036">
        <v>3.5000000000000003E-2</v>
      </c>
      <c r="U2036">
        <f t="shared" si="417"/>
        <v>0</v>
      </c>
      <c r="V2036">
        <f t="shared" si="418"/>
        <v>0</v>
      </c>
      <c r="W2036">
        <f t="shared" si="419"/>
        <v>-77.617955801099995</v>
      </c>
      <c r="X2036">
        <v>0</v>
      </c>
    </row>
    <row r="2037" spans="1:24" x14ac:dyDescent="0.25">
      <c r="A2037" t="s">
        <v>1965</v>
      </c>
      <c r="B2037" t="s">
        <v>2050</v>
      </c>
      <c r="C2037" t="s">
        <v>2100</v>
      </c>
      <c r="D2037" t="s">
        <v>224</v>
      </c>
      <c r="E2037" t="s">
        <v>24</v>
      </c>
      <c r="F2037" t="s">
        <v>1</v>
      </c>
      <c r="G2037" t="s">
        <v>859</v>
      </c>
      <c r="H2037" t="s">
        <v>424</v>
      </c>
      <c r="I2037" t="s">
        <v>1</v>
      </c>
      <c r="J2037">
        <v>20427.02</v>
      </c>
      <c r="K2037">
        <v>1500</v>
      </c>
      <c r="L2037">
        <v>10472.01</v>
      </c>
      <c r="M2037">
        <v>21117.589226519336</v>
      </c>
      <c r="N2037">
        <v>29836.029999999995</v>
      </c>
      <c r="O2037">
        <v>20944.02</v>
      </c>
      <c r="P2037">
        <v>0</v>
      </c>
      <c r="Q2037">
        <f t="shared" si="415"/>
        <v>20944.02</v>
      </c>
      <c r="R2037">
        <v>0</v>
      </c>
      <c r="S2037">
        <f t="shared" si="416"/>
        <v>-20944.02</v>
      </c>
      <c r="T2037"/>
      <c r="U2037">
        <f t="shared" si="417"/>
        <v>0</v>
      </c>
      <c r="V2037">
        <f t="shared" si="418"/>
        <v>0</v>
      </c>
      <c r="W2037">
        <f t="shared" si="419"/>
        <v>-20944.02</v>
      </c>
      <c r="X2037">
        <v>0</v>
      </c>
    </row>
    <row r="2038" spans="1:24" x14ac:dyDescent="0.25">
      <c r="A2038" t="s">
        <v>1965</v>
      </c>
      <c r="B2038" t="s">
        <v>2050</v>
      </c>
      <c r="C2038" t="s">
        <v>2100</v>
      </c>
      <c r="D2038" t="s">
        <v>224</v>
      </c>
      <c r="E2038" t="s">
        <v>25</v>
      </c>
      <c r="F2038" t="s">
        <v>1</v>
      </c>
      <c r="G2038" t="s">
        <v>859</v>
      </c>
      <c r="H2038" t="s">
        <v>425</v>
      </c>
      <c r="I2038" t="s">
        <v>1</v>
      </c>
      <c r="J2038">
        <v>2380</v>
      </c>
      <c r="K2038">
        <v>14274</v>
      </c>
      <c r="L2038">
        <v>80</v>
      </c>
      <c r="M2038">
        <v>161.32596685082873</v>
      </c>
      <c r="N2038">
        <v>520</v>
      </c>
      <c r="O2038">
        <v>160</v>
      </c>
      <c r="P2038">
        <v>0</v>
      </c>
      <c r="Q2038">
        <f t="shared" si="415"/>
        <v>160</v>
      </c>
      <c r="R2038">
        <v>0</v>
      </c>
      <c r="S2038">
        <f t="shared" si="416"/>
        <v>-160</v>
      </c>
      <c r="T2038"/>
      <c r="U2038">
        <f t="shared" si="417"/>
        <v>0</v>
      </c>
      <c r="V2038">
        <f t="shared" si="418"/>
        <v>0</v>
      </c>
      <c r="W2038">
        <f t="shared" si="419"/>
        <v>-160</v>
      </c>
      <c r="X2038">
        <v>0</v>
      </c>
    </row>
    <row r="2039" spans="1:24" x14ac:dyDescent="0.25">
      <c r="A2039" t="s">
        <v>1965</v>
      </c>
      <c r="B2039" t="s">
        <v>2050</v>
      </c>
      <c r="C2039" t="s">
        <v>2100</v>
      </c>
      <c r="D2039" t="s">
        <v>224</v>
      </c>
      <c r="E2039" t="s">
        <v>26</v>
      </c>
      <c r="F2039" t="s">
        <v>1</v>
      </c>
      <c r="G2039" t="s">
        <v>859</v>
      </c>
      <c r="H2039" t="s">
        <v>426</v>
      </c>
      <c r="I2039" t="s">
        <v>1</v>
      </c>
      <c r="J2039">
        <v>41080.269999999997</v>
      </c>
      <c r="K2039">
        <v>55906.235820543603</v>
      </c>
      <c r="L2039">
        <v>21079.17</v>
      </c>
      <c r="M2039">
        <v>42507.718508287289</v>
      </c>
      <c r="N2039">
        <v>36017.25</v>
      </c>
      <c r="O2039">
        <v>42158.34</v>
      </c>
      <c r="P2039">
        <v>0</v>
      </c>
      <c r="Q2039">
        <f t="shared" si="415"/>
        <v>42158.34</v>
      </c>
      <c r="R2039">
        <v>0</v>
      </c>
      <c r="S2039">
        <f t="shared" si="416"/>
        <v>-42158.34</v>
      </c>
      <c r="T2039"/>
      <c r="U2039">
        <f t="shared" si="417"/>
        <v>0</v>
      </c>
      <c r="V2039">
        <f t="shared" si="418"/>
        <v>0</v>
      </c>
      <c r="W2039">
        <f t="shared" si="419"/>
        <v>-42158.34</v>
      </c>
      <c r="X2039">
        <v>0</v>
      </c>
    </row>
    <row r="2040" spans="1:24" x14ac:dyDescent="0.25">
      <c r="A2040" t="s">
        <v>1965</v>
      </c>
      <c r="B2040" t="s">
        <v>2050</v>
      </c>
      <c r="C2040" t="s">
        <v>2100</v>
      </c>
      <c r="D2040" t="s">
        <v>224</v>
      </c>
      <c r="E2040" t="s">
        <v>58</v>
      </c>
      <c r="F2040" t="s">
        <v>1</v>
      </c>
      <c r="G2040" t="s">
        <v>859</v>
      </c>
      <c r="H2040" t="s">
        <v>463</v>
      </c>
      <c r="I2040" t="s">
        <v>1</v>
      </c>
      <c r="J2040">
        <v>9.99</v>
      </c>
      <c r="K2040">
        <v>9.9999999996</v>
      </c>
      <c r="L2040">
        <v>0</v>
      </c>
      <c r="M2040">
        <v>0</v>
      </c>
      <c r="N2040">
        <v>0</v>
      </c>
      <c r="O2040"/>
      <c r="P2040">
        <v>0</v>
      </c>
      <c r="Q2040">
        <f t="shared" si="415"/>
        <v>0</v>
      </c>
      <c r="R2040">
        <v>0</v>
      </c>
      <c r="S2040">
        <f t="shared" si="416"/>
        <v>0</v>
      </c>
      <c r="T2040"/>
      <c r="U2040">
        <f t="shared" si="417"/>
        <v>0</v>
      </c>
      <c r="V2040">
        <f t="shared" si="418"/>
        <v>0</v>
      </c>
      <c r="W2040">
        <f t="shared" si="419"/>
        <v>0</v>
      </c>
      <c r="X2040">
        <v>0</v>
      </c>
    </row>
    <row r="2041" spans="1:24" x14ac:dyDescent="0.25">
      <c r="A2041" t="s">
        <v>1965</v>
      </c>
      <c r="B2041" t="s">
        <v>2050</v>
      </c>
      <c r="C2041" t="s">
        <v>2100</v>
      </c>
      <c r="D2041" t="s">
        <v>224</v>
      </c>
      <c r="E2041" t="s">
        <v>28</v>
      </c>
      <c r="F2041" t="s">
        <v>1</v>
      </c>
      <c r="G2041" t="s">
        <v>859</v>
      </c>
      <c r="H2041" t="s">
        <v>428</v>
      </c>
      <c r="I2041" t="s">
        <v>1</v>
      </c>
      <c r="J2041">
        <v>12823.77</v>
      </c>
      <c r="K2041">
        <v>17802</v>
      </c>
      <c r="L2041">
        <v>1314.48</v>
      </c>
      <c r="M2041">
        <v>2650.7469613259668</v>
      </c>
      <c r="N2041">
        <v>5310.63</v>
      </c>
      <c r="O2041">
        <v>2628.96</v>
      </c>
      <c r="P2041">
        <v>0</v>
      </c>
      <c r="Q2041">
        <f t="shared" si="415"/>
        <v>2628.96</v>
      </c>
      <c r="R2041">
        <v>0</v>
      </c>
      <c r="S2041">
        <f t="shared" si="416"/>
        <v>-2628.96</v>
      </c>
      <c r="T2041"/>
      <c r="U2041">
        <f t="shared" si="417"/>
        <v>0</v>
      </c>
      <c r="V2041">
        <f t="shared" si="418"/>
        <v>0</v>
      </c>
      <c r="W2041">
        <f t="shared" si="419"/>
        <v>-2628.96</v>
      </c>
      <c r="X2041">
        <v>0</v>
      </c>
    </row>
    <row r="2042" spans="1:24" x14ac:dyDescent="0.25">
      <c r="A2042" t="s">
        <v>1965</v>
      </c>
      <c r="B2042" t="s">
        <v>2050</v>
      </c>
      <c r="C2042" t="s">
        <v>2100</v>
      </c>
      <c r="D2042" t="s">
        <v>224</v>
      </c>
      <c r="E2042" t="s">
        <v>29</v>
      </c>
      <c r="F2042" t="s">
        <v>1</v>
      </c>
      <c r="G2042" t="s">
        <v>859</v>
      </c>
      <c r="H2042" t="s">
        <v>429</v>
      </c>
      <c r="I2042" t="s">
        <v>1</v>
      </c>
      <c r="J2042">
        <v>5365.81</v>
      </c>
      <c r="K2042">
        <v>9429.9999999995998</v>
      </c>
      <c r="L2042">
        <v>306.5</v>
      </c>
      <c r="M2042">
        <v>618.08011049723757</v>
      </c>
      <c r="N2042">
        <v>1091.05</v>
      </c>
      <c r="O2042">
        <v>613</v>
      </c>
      <c r="P2042">
        <v>0</v>
      </c>
      <c r="Q2042">
        <f t="shared" si="415"/>
        <v>613</v>
      </c>
      <c r="R2042">
        <v>0</v>
      </c>
      <c r="S2042">
        <f t="shared" si="416"/>
        <v>-613</v>
      </c>
      <c r="T2042"/>
      <c r="U2042">
        <f t="shared" si="417"/>
        <v>0</v>
      </c>
      <c r="V2042">
        <f t="shared" si="418"/>
        <v>0</v>
      </c>
      <c r="W2042">
        <f t="shared" si="419"/>
        <v>-613</v>
      </c>
      <c r="X2042">
        <v>0</v>
      </c>
    </row>
    <row r="2043" spans="1:24" x14ac:dyDescent="0.25">
      <c r="A2043" t="s">
        <v>1965</v>
      </c>
      <c r="B2043" t="s">
        <v>2050</v>
      </c>
      <c r="C2043" t="s">
        <v>2100</v>
      </c>
      <c r="D2043" t="s">
        <v>224</v>
      </c>
      <c r="E2043" t="s">
        <v>31</v>
      </c>
      <c r="F2043" t="s">
        <v>1</v>
      </c>
      <c r="G2043" t="s">
        <v>859</v>
      </c>
      <c r="H2043" t="s">
        <v>431</v>
      </c>
      <c r="I2043" t="s">
        <v>1</v>
      </c>
      <c r="J2043">
        <v>497</v>
      </c>
      <c r="K2043">
        <v>506.00000000040001</v>
      </c>
      <c r="L2043">
        <v>458.2</v>
      </c>
      <c r="M2043">
        <v>923.99447513812152</v>
      </c>
      <c r="N2043">
        <v>458.2</v>
      </c>
      <c r="O2043">
        <v>916.4</v>
      </c>
      <c r="P2043">
        <v>0</v>
      </c>
      <c r="Q2043">
        <f t="shared" si="415"/>
        <v>916.4</v>
      </c>
      <c r="R2043">
        <v>0</v>
      </c>
      <c r="S2043">
        <f t="shared" si="416"/>
        <v>-916.4</v>
      </c>
      <c r="T2043"/>
      <c r="U2043">
        <f t="shared" si="417"/>
        <v>0</v>
      </c>
      <c r="V2043">
        <f t="shared" si="418"/>
        <v>0</v>
      </c>
      <c r="W2043">
        <f t="shared" si="419"/>
        <v>-916.4</v>
      </c>
      <c r="X2043">
        <v>0</v>
      </c>
    </row>
    <row r="2044" spans="1:24" x14ac:dyDescent="0.25">
      <c r="A2044" t="s">
        <v>1965</v>
      </c>
      <c r="B2044" t="s">
        <v>2050</v>
      </c>
      <c r="C2044" t="s">
        <v>2100</v>
      </c>
      <c r="D2044" t="s">
        <v>224</v>
      </c>
      <c r="E2044" t="s">
        <v>33</v>
      </c>
      <c r="F2044" t="s">
        <v>1</v>
      </c>
      <c r="G2044" t="s">
        <v>859</v>
      </c>
      <c r="H2044" t="s">
        <v>433</v>
      </c>
      <c r="I2044" t="s">
        <v>1</v>
      </c>
      <c r="J2044">
        <v>64107.42</v>
      </c>
      <c r="K2044">
        <v>47990.287739892003</v>
      </c>
      <c r="L2044">
        <v>44156.98</v>
      </c>
      <c r="M2044">
        <v>89045.843646408845</v>
      </c>
      <c r="N2044">
        <v>73541.95</v>
      </c>
      <c r="O2044">
        <v>88313.96</v>
      </c>
      <c r="P2044">
        <v>0</v>
      </c>
      <c r="Q2044">
        <f t="shared" si="415"/>
        <v>88313.96</v>
      </c>
      <c r="R2044">
        <v>0</v>
      </c>
      <c r="S2044">
        <f t="shared" si="416"/>
        <v>-88313.96</v>
      </c>
      <c r="T2044"/>
      <c r="U2044">
        <f t="shared" si="417"/>
        <v>0</v>
      </c>
      <c r="V2044">
        <f t="shared" si="418"/>
        <v>0</v>
      </c>
      <c r="W2044">
        <f t="shared" si="419"/>
        <v>-88313.96</v>
      </c>
      <c r="X2044">
        <v>0</v>
      </c>
    </row>
    <row r="2045" spans="1:24" x14ac:dyDescent="0.25">
      <c r="A2045" t="s">
        <v>1965</v>
      </c>
      <c r="B2045" t="s">
        <v>2050</v>
      </c>
      <c r="C2045" t="s">
        <v>2100</v>
      </c>
      <c r="D2045" t="s">
        <v>224</v>
      </c>
      <c r="E2045" t="s">
        <v>34</v>
      </c>
      <c r="F2045" t="s">
        <v>1</v>
      </c>
      <c r="G2045" t="s">
        <v>859</v>
      </c>
      <c r="H2045" t="s">
        <v>434</v>
      </c>
      <c r="I2045" t="s">
        <v>1</v>
      </c>
      <c r="J2045">
        <v>3903.07</v>
      </c>
      <c r="K2045">
        <v>5887.4302097676</v>
      </c>
      <c r="L2045">
        <v>17552.099999999999</v>
      </c>
      <c r="M2045">
        <v>35395.118784530387</v>
      </c>
      <c r="N2045">
        <v>18898.730000000003</v>
      </c>
      <c r="O2045">
        <v>35104.199999999997</v>
      </c>
      <c r="P2045">
        <v>0</v>
      </c>
      <c r="Q2045">
        <f t="shared" si="415"/>
        <v>35104.199999999997</v>
      </c>
      <c r="R2045">
        <v>0</v>
      </c>
      <c r="S2045">
        <f t="shared" si="416"/>
        <v>-35104.199999999997</v>
      </c>
      <c r="T2045"/>
      <c r="U2045">
        <f t="shared" si="417"/>
        <v>0</v>
      </c>
      <c r="V2045">
        <f t="shared" si="418"/>
        <v>0</v>
      </c>
      <c r="W2045">
        <f t="shared" si="419"/>
        <v>-35104.199999999997</v>
      </c>
      <c r="X2045">
        <v>0</v>
      </c>
    </row>
    <row r="2046" spans="1:24" x14ac:dyDescent="0.25">
      <c r="A2046" t="s">
        <v>1965</v>
      </c>
      <c r="B2046" t="s">
        <v>2050</v>
      </c>
      <c r="C2046" t="s">
        <v>2100</v>
      </c>
      <c r="D2046" t="s">
        <v>224</v>
      </c>
      <c r="E2046" t="s">
        <v>35</v>
      </c>
      <c r="F2046" t="s">
        <v>1</v>
      </c>
      <c r="G2046" t="s">
        <v>859</v>
      </c>
      <c r="H2046" t="s">
        <v>435</v>
      </c>
      <c r="I2046" t="s">
        <v>1</v>
      </c>
      <c r="J2046">
        <v>131.19</v>
      </c>
      <c r="K2046">
        <v>300</v>
      </c>
      <c r="L2046">
        <v>0</v>
      </c>
      <c r="M2046">
        <v>0</v>
      </c>
      <c r="N2046">
        <v>0</v>
      </c>
      <c r="O2046"/>
      <c r="P2046">
        <v>0</v>
      </c>
      <c r="Q2046">
        <f t="shared" si="415"/>
        <v>0</v>
      </c>
      <c r="R2046">
        <v>0</v>
      </c>
      <c r="S2046">
        <f t="shared" si="416"/>
        <v>0</v>
      </c>
      <c r="T2046"/>
      <c r="U2046">
        <f t="shared" si="417"/>
        <v>0</v>
      </c>
      <c r="V2046">
        <f t="shared" si="418"/>
        <v>0</v>
      </c>
      <c r="W2046">
        <f t="shared" si="419"/>
        <v>0</v>
      </c>
      <c r="X2046">
        <v>0</v>
      </c>
    </row>
    <row r="2047" spans="1:24" x14ac:dyDescent="0.25">
      <c r="A2047" t="s">
        <v>1965</v>
      </c>
      <c r="B2047" t="s">
        <v>2050</v>
      </c>
      <c r="C2047" t="s">
        <v>2100</v>
      </c>
      <c r="D2047" t="s">
        <v>224</v>
      </c>
      <c r="E2047" t="s">
        <v>37</v>
      </c>
      <c r="F2047" t="s">
        <v>1</v>
      </c>
      <c r="G2047" t="s">
        <v>859</v>
      </c>
      <c r="H2047" t="s">
        <v>437</v>
      </c>
      <c r="I2047" t="s">
        <v>1</v>
      </c>
      <c r="J2047">
        <v>46239.040000000001</v>
      </c>
      <c r="K2047">
        <v>42880.116694473603</v>
      </c>
      <c r="L2047">
        <v>19872.259999999998</v>
      </c>
      <c r="M2047">
        <v>40073.89447513812</v>
      </c>
      <c r="N2047">
        <v>37068.810000000005</v>
      </c>
      <c r="O2047">
        <v>39744.519999999997</v>
      </c>
      <c r="P2047">
        <v>0</v>
      </c>
      <c r="Q2047">
        <f t="shared" si="415"/>
        <v>39744.519999999997</v>
      </c>
      <c r="R2047">
        <v>0</v>
      </c>
      <c r="S2047">
        <f t="shared" si="416"/>
        <v>-39744.519999999997</v>
      </c>
      <c r="T2047"/>
      <c r="U2047">
        <f t="shared" si="417"/>
        <v>0</v>
      </c>
      <c r="V2047">
        <f t="shared" si="418"/>
        <v>0</v>
      </c>
      <c r="W2047">
        <f t="shared" si="419"/>
        <v>-39744.519999999997</v>
      </c>
      <c r="X2047">
        <v>0</v>
      </c>
    </row>
    <row r="2048" spans="1:24" x14ac:dyDescent="0.25">
      <c r="A2048" t="s">
        <v>1965</v>
      </c>
      <c r="B2048" t="s">
        <v>2050</v>
      </c>
      <c r="C2048" t="s">
        <v>2100</v>
      </c>
      <c r="D2048" t="s">
        <v>224</v>
      </c>
      <c r="E2048" t="s">
        <v>41</v>
      </c>
      <c r="F2048" t="s">
        <v>1</v>
      </c>
      <c r="G2048" t="s">
        <v>859</v>
      </c>
      <c r="H2048" t="s">
        <v>441</v>
      </c>
      <c r="I2048" t="s">
        <v>1</v>
      </c>
      <c r="J2048">
        <v>86.05</v>
      </c>
      <c r="K2048">
        <v>169.03277624040001</v>
      </c>
      <c r="L2048">
        <v>139.29</v>
      </c>
      <c r="M2048">
        <v>280.88867403314919</v>
      </c>
      <c r="N2048">
        <v>139.29</v>
      </c>
      <c r="O2048">
        <v>278.58</v>
      </c>
      <c r="P2048">
        <v>0</v>
      </c>
      <c r="Q2048">
        <f t="shared" si="415"/>
        <v>278.58</v>
      </c>
      <c r="R2048">
        <v>0</v>
      </c>
      <c r="S2048">
        <f t="shared" si="416"/>
        <v>-278.58</v>
      </c>
      <c r="T2048">
        <v>0.03</v>
      </c>
      <c r="U2048">
        <f t="shared" si="417"/>
        <v>0</v>
      </c>
      <c r="V2048">
        <f t="shared" si="418"/>
        <v>0</v>
      </c>
      <c r="W2048">
        <f t="shared" si="419"/>
        <v>-278.58</v>
      </c>
      <c r="X2048">
        <v>0</v>
      </c>
    </row>
    <row r="2049" spans="1:24" x14ac:dyDescent="0.25">
      <c r="A2049" t="s">
        <v>1965</v>
      </c>
      <c r="B2049" t="s">
        <v>2050</v>
      </c>
      <c r="C2049" t="s">
        <v>2100</v>
      </c>
      <c r="D2049" t="s">
        <v>224</v>
      </c>
      <c r="E2049" t="s">
        <v>42</v>
      </c>
      <c r="F2049" t="s">
        <v>1</v>
      </c>
      <c r="G2049" t="s">
        <v>859</v>
      </c>
      <c r="H2049" t="s">
        <v>442</v>
      </c>
      <c r="I2049" t="s">
        <v>1</v>
      </c>
      <c r="J2049">
        <v>132.91999999999999</v>
      </c>
      <c r="K2049"/>
      <c r="L2049">
        <v>1001.87</v>
      </c>
      <c r="M2049">
        <v>2020.3455801104972</v>
      </c>
      <c r="N2049">
        <v>1134.79</v>
      </c>
      <c r="O2049">
        <v>2003.74</v>
      </c>
      <c r="P2049">
        <v>0</v>
      </c>
      <c r="Q2049">
        <f t="shared" si="415"/>
        <v>2003.74</v>
      </c>
      <c r="R2049">
        <v>0</v>
      </c>
      <c r="S2049">
        <f t="shared" si="416"/>
        <v>-2003.74</v>
      </c>
      <c r="T2049">
        <v>0.03</v>
      </c>
      <c r="U2049">
        <f t="shared" si="417"/>
        <v>0</v>
      </c>
      <c r="V2049">
        <f t="shared" si="418"/>
        <v>0</v>
      </c>
      <c r="W2049">
        <f t="shared" si="419"/>
        <v>-2003.74</v>
      </c>
      <c r="X2049">
        <v>0</v>
      </c>
    </row>
    <row r="2050" spans="1:24" x14ac:dyDescent="0.25">
      <c r="A2050" t="s">
        <v>1965</v>
      </c>
      <c r="B2050" t="s">
        <v>2050</v>
      </c>
      <c r="C2050" t="s">
        <v>2100</v>
      </c>
      <c r="D2050" t="s">
        <v>224</v>
      </c>
      <c r="E2050" t="s">
        <v>44</v>
      </c>
      <c r="F2050" t="s">
        <v>1</v>
      </c>
      <c r="G2050" t="s">
        <v>859</v>
      </c>
      <c r="H2050" t="s">
        <v>444</v>
      </c>
      <c r="I2050" t="s">
        <v>1</v>
      </c>
      <c r="J2050"/>
      <c r="K2050"/>
      <c r="L2050">
        <v>318.42</v>
      </c>
      <c r="M2050">
        <v>642.1176795580111</v>
      </c>
      <c r="N2050">
        <v>318.42</v>
      </c>
      <c r="O2050">
        <v>636.84</v>
      </c>
      <c r="P2050">
        <v>0</v>
      </c>
      <c r="Q2050">
        <f t="shared" si="415"/>
        <v>636.84</v>
      </c>
      <c r="R2050">
        <v>0</v>
      </c>
      <c r="S2050">
        <f t="shared" si="416"/>
        <v>-636.84</v>
      </c>
      <c r="T2050">
        <v>0.03</v>
      </c>
      <c r="U2050">
        <f t="shared" si="417"/>
        <v>0</v>
      </c>
      <c r="V2050">
        <f t="shared" si="418"/>
        <v>0</v>
      </c>
      <c r="W2050">
        <f t="shared" si="419"/>
        <v>-636.84</v>
      </c>
      <c r="X2050">
        <v>0</v>
      </c>
    </row>
    <row r="2051" spans="1:24" x14ac:dyDescent="0.25">
      <c r="A2051" t="s">
        <v>1965</v>
      </c>
      <c r="B2051" t="s">
        <v>2050</v>
      </c>
      <c r="C2051" t="s">
        <v>2100</v>
      </c>
      <c r="D2051" t="s">
        <v>224</v>
      </c>
      <c r="E2051" t="s">
        <v>46</v>
      </c>
      <c r="F2051" t="s">
        <v>1</v>
      </c>
      <c r="G2051" t="s">
        <v>859</v>
      </c>
      <c r="H2051" t="s">
        <v>446</v>
      </c>
      <c r="I2051" t="s">
        <v>1</v>
      </c>
      <c r="J2051">
        <v>1323.8</v>
      </c>
      <c r="K2051"/>
      <c r="L2051">
        <v>8023.19</v>
      </c>
      <c r="M2051">
        <v>16179.361049723757</v>
      </c>
      <c r="N2051">
        <v>8674.19</v>
      </c>
      <c r="O2051">
        <v>16046.38</v>
      </c>
      <c r="P2051">
        <v>0</v>
      </c>
      <c r="Q2051">
        <f t="shared" si="415"/>
        <v>16046.38</v>
      </c>
      <c r="R2051">
        <v>0</v>
      </c>
      <c r="S2051">
        <f t="shared" si="416"/>
        <v>-16046.38</v>
      </c>
      <c r="T2051">
        <v>0.03</v>
      </c>
      <c r="U2051">
        <f t="shared" si="417"/>
        <v>0</v>
      </c>
      <c r="V2051">
        <f t="shared" si="418"/>
        <v>0</v>
      </c>
      <c r="W2051">
        <f t="shared" si="419"/>
        <v>-16046.38</v>
      </c>
      <c r="X2051">
        <v>0</v>
      </c>
    </row>
    <row r="2052" spans="1:24" x14ac:dyDescent="0.25">
      <c r="A2052" t="s">
        <v>1965</v>
      </c>
      <c r="B2052" t="s">
        <v>2050</v>
      </c>
      <c r="C2052" t="s">
        <v>2100</v>
      </c>
      <c r="D2052" t="s">
        <v>224</v>
      </c>
      <c r="E2052" t="s">
        <v>47</v>
      </c>
      <c r="F2052" t="s">
        <v>1</v>
      </c>
      <c r="G2052" t="s">
        <v>859</v>
      </c>
      <c r="H2052" t="s">
        <v>447</v>
      </c>
      <c r="I2052" t="s">
        <v>1</v>
      </c>
      <c r="J2052">
        <v>22525</v>
      </c>
      <c r="K2052">
        <v>10113</v>
      </c>
      <c r="L2052">
        <v>1500</v>
      </c>
      <c r="M2052">
        <v>3024.861878453039</v>
      </c>
      <c r="N2052">
        <v>12176</v>
      </c>
      <c r="O2052">
        <v>3000</v>
      </c>
      <c r="P2052">
        <v>0</v>
      </c>
      <c r="Q2052">
        <f t="shared" si="415"/>
        <v>3000</v>
      </c>
      <c r="R2052">
        <v>0</v>
      </c>
      <c r="S2052">
        <f t="shared" si="416"/>
        <v>-3000</v>
      </c>
      <c r="T2052">
        <v>0.03</v>
      </c>
      <c r="U2052">
        <f t="shared" si="417"/>
        <v>0</v>
      </c>
      <c r="V2052">
        <f t="shared" si="418"/>
        <v>0</v>
      </c>
      <c r="W2052">
        <f t="shared" si="419"/>
        <v>-3000</v>
      </c>
      <c r="X2052">
        <v>0</v>
      </c>
    </row>
    <row r="2053" spans="1:24" x14ac:dyDescent="0.25">
      <c r="A2053" t="s">
        <v>1965</v>
      </c>
      <c r="B2053" t="s">
        <v>2050</v>
      </c>
      <c r="C2053" t="s">
        <v>2100</v>
      </c>
      <c r="D2053" t="s">
        <v>224</v>
      </c>
      <c r="E2053" t="s">
        <v>179</v>
      </c>
      <c r="F2053" t="s">
        <v>1</v>
      </c>
      <c r="G2053" t="s">
        <v>859</v>
      </c>
      <c r="H2053" t="s">
        <v>744</v>
      </c>
      <c r="I2053" t="s">
        <v>1</v>
      </c>
      <c r="J2053">
        <v>2520</v>
      </c>
      <c r="K2053"/>
      <c r="L2053">
        <v>0</v>
      </c>
      <c r="M2053">
        <v>0</v>
      </c>
      <c r="N2053">
        <v>2520</v>
      </c>
      <c r="O2053"/>
      <c r="P2053">
        <v>0</v>
      </c>
      <c r="Q2053">
        <f t="shared" si="415"/>
        <v>0</v>
      </c>
      <c r="R2053">
        <v>0</v>
      </c>
      <c r="S2053">
        <f t="shared" si="416"/>
        <v>0</v>
      </c>
      <c r="T2053">
        <v>0.03</v>
      </c>
      <c r="U2053">
        <f t="shared" si="417"/>
        <v>0</v>
      </c>
      <c r="V2053">
        <f t="shared" si="418"/>
        <v>0</v>
      </c>
      <c r="W2053">
        <f t="shared" si="419"/>
        <v>0</v>
      </c>
      <c r="X2053">
        <v>0</v>
      </c>
    </row>
    <row r="2054" spans="1:24" x14ac:dyDescent="0.25">
      <c r="A2054" t="s">
        <v>1965</v>
      </c>
      <c r="B2054" t="s">
        <v>2050</v>
      </c>
      <c r="C2054" t="s">
        <v>2100</v>
      </c>
      <c r="D2054" t="s">
        <v>224</v>
      </c>
      <c r="E2054" t="s">
        <v>50</v>
      </c>
      <c r="F2054" t="s">
        <v>1</v>
      </c>
      <c r="G2054" t="s">
        <v>859</v>
      </c>
      <c r="H2054" t="s">
        <v>450</v>
      </c>
      <c r="I2054" t="s">
        <v>1</v>
      </c>
      <c r="J2054">
        <v>219.52</v>
      </c>
      <c r="K2054">
        <v>240</v>
      </c>
      <c r="L2054">
        <v>87.72</v>
      </c>
      <c r="M2054">
        <v>176.89392265193371</v>
      </c>
      <c r="N2054">
        <v>182.36</v>
      </c>
      <c r="O2054">
        <v>176.8939226519</v>
      </c>
      <c r="P2054">
        <v>0</v>
      </c>
      <c r="Q2054">
        <f t="shared" si="415"/>
        <v>176.8939226519</v>
      </c>
      <c r="R2054">
        <v>0</v>
      </c>
      <c r="S2054">
        <f t="shared" si="416"/>
        <v>-176.8939226519</v>
      </c>
      <c r="T2054"/>
      <c r="U2054">
        <f t="shared" si="417"/>
        <v>0</v>
      </c>
      <c r="V2054">
        <f t="shared" si="418"/>
        <v>0</v>
      </c>
      <c r="W2054">
        <f t="shared" si="419"/>
        <v>-176.8939226519</v>
      </c>
      <c r="X2054">
        <v>0</v>
      </c>
    </row>
    <row r="2055" spans="1:24" x14ac:dyDescent="0.25">
      <c r="A2055" t="s">
        <v>1965</v>
      </c>
      <c r="B2055" t="s">
        <v>2050</v>
      </c>
      <c r="C2055" t="s">
        <v>2100</v>
      </c>
      <c r="D2055" t="s">
        <v>224</v>
      </c>
      <c r="E2055" t="s">
        <v>51</v>
      </c>
      <c r="F2055" t="s">
        <v>51</v>
      </c>
      <c r="G2055" t="s">
        <v>861</v>
      </c>
      <c r="H2055"/>
      <c r="I2055"/>
      <c r="J2055">
        <v>247878.53</v>
      </c>
      <c r="K2055">
        <v>215591.90268843062</v>
      </c>
      <c r="L2055">
        <v>138890.34999999998</v>
      </c>
      <c r="M2055">
        <v>280082.75</v>
      </c>
      <c r="N2055">
        <v>246685.40000000002</v>
      </c>
      <c r="O2055">
        <v>277822.53508287284</v>
      </c>
      <c r="P2055">
        <f>SUMIF($F$2027:$F$2054,"&lt;&gt;EV_*",$P$2027:$P$2054)</f>
        <v>0</v>
      </c>
      <c r="Q2055">
        <f>SUMIF($F$2027:$F$2054,"&lt;&gt;EV_*",$Q$2027:$Q$2054)</f>
        <v>277822.53508287284</v>
      </c>
      <c r="R2055">
        <f>SUMIF($F$2027:$F$2054,"&lt;&gt;EV_*",$R$2027:$R$2054)</f>
        <v>0</v>
      </c>
      <c r="S2055">
        <f>SUMIF($F$2027:$F$2054,"&lt;&gt;EV_*",$S$2027:$S$2054)</f>
        <v>-277822.53508287284</v>
      </c>
      <c r="T2055">
        <v>0</v>
      </c>
      <c r="U2055">
        <f>SUMIF($F$2027:$F$2054,"&lt;&gt;EV_*",$U$2027:$U$2054)</f>
        <v>0</v>
      </c>
      <c r="V2055">
        <f>SUMIF($F$2027:$F$2054,"&lt;&gt;EV_*",$V$2027:$V$2054)</f>
        <v>0</v>
      </c>
      <c r="W2055">
        <f>SUMIF($F$2027:$F$2054,"&lt;&gt;EV_*",$W$2027:$W$2054)</f>
        <v>-277822.53508287284</v>
      </c>
      <c r="X2055">
        <f>SUMIF($F$2027:$F$2054,"&lt;&gt;EV_*",$X$2027:$X$2054)</f>
        <v>0</v>
      </c>
    </row>
    <row r="2056" spans="1:24" x14ac:dyDescent="0.25">
      <c r="A2056" t="s">
        <v>1965</v>
      </c>
      <c r="B2056" t="s">
        <v>2050</v>
      </c>
      <c r="C2056" t="s">
        <v>2101</v>
      </c>
      <c r="D2056" t="s">
        <v>226</v>
      </c>
      <c r="E2056" t="s">
        <v>5</v>
      </c>
      <c r="F2056" t="s">
        <v>5</v>
      </c>
      <c r="G2056" t="s">
        <v>862</v>
      </c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</row>
    <row r="2057" spans="1:24" x14ac:dyDescent="0.25">
      <c r="A2057" t="s">
        <v>1965</v>
      </c>
      <c r="B2057" t="s">
        <v>2050</v>
      </c>
      <c r="C2057" t="s">
        <v>2101</v>
      </c>
      <c r="D2057" t="s">
        <v>226</v>
      </c>
      <c r="E2057" t="s">
        <v>7</v>
      </c>
      <c r="F2057" t="s">
        <v>1</v>
      </c>
      <c r="G2057" t="s">
        <v>863</v>
      </c>
      <c r="H2057" t="s">
        <v>407</v>
      </c>
      <c r="I2057" t="s">
        <v>1</v>
      </c>
      <c r="J2057">
        <v>555.08000000000004</v>
      </c>
      <c r="K2057"/>
      <c r="L2057">
        <v>360</v>
      </c>
      <c r="M2057">
        <v>725.96685082872932</v>
      </c>
      <c r="N2057">
        <v>360</v>
      </c>
      <c r="O2057">
        <v>720</v>
      </c>
      <c r="P2057">
        <v>0</v>
      </c>
      <c r="Q2057">
        <f t="shared" ref="Q2057:Q2076" si="420">O2057+P2057</f>
        <v>720</v>
      </c>
      <c r="R2057">
        <v>0</v>
      </c>
      <c r="S2057">
        <f t="shared" ref="S2057:S2076" si="421">IF(OR(LEFT(E2057,2)="A_",LEFT(D2057,5)="Total"),R2057-Q2057,"")</f>
        <v>-720</v>
      </c>
      <c r="T2057"/>
      <c r="U2057">
        <f t="shared" ref="U2057:U2076" si="422">IFERROR(R2057*T2057,R2057*0)</f>
        <v>0</v>
      </c>
      <c r="V2057">
        <f t="shared" ref="V2057:V2076" si="423">IF(OR(LEFT(E2057,2)="A_",LEFT(D2057,5)="Total"),R2057+U2057,"")</f>
        <v>0</v>
      </c>
      <c r="W2057">
        <f t="shared" ref="W2057:W2076" si="424">IF(OR(LEFT(E2057,2)="A_",LEFT(D2057,5)="Total"),V2057-Q2057,"")</f>
        <v>-720</v>
      </c>
      <c r="X2057">
        <v>0</v>
      </c>
    </row>
    <row r="2058" spans="1:24" x14ac:dyDescent="0.25">
      <c r="A2058" t="s">
        <v>1965</v>
      </c>
      <c r="B2058" t="s">
        <v>2050</v>
      </c>
      <c r="C2058" t="s">
        <v>2101</v>
      </c>
      <c r="D2058" t="s">
        <v>226</v>
      </c>
      <c r="E2058" t="s">
        <v>9</v>
      </c>
      <c r="F2058" t="s">
        <v>1</v>
      </c>
      <c r="G2058" t="s">
        <v>863</v>
      </c>
      <c r="H2058" t="s">
        <v>409</v>
      </c>
      <c r="I2058" t="s">
        <v>1</v>
      </c>
      <c r="J2058"/>
      <c r="K2058"/>
      <c r="L2058">
        <v>1900.36</v>
      </c>
      <c r="M2058">
        <v>3832.2176795580108</v>
      </c>
      <c r="N2058">
        <v>1900.36</v>
      </c>
      <c r="O2058">
        <v>3800.72</v>
      </c>
      <c r="P2058">
        <v>0</v>
      </c>
      <c r="Q2058">
        <f t="shared" si="420"/>
        <v>3800.72</v>
      </c>
      <c r="R2058">
        <v>0</v>
      </c>
      <c r="S2058">
        <f t="shared" si="421"/>
        <v>-3800.72</v>
      </c>
      <c r="T2058"/>
      <c r="U2058">
        <f t="shared" si="422"/>
        <v>0</v>
      </c>
      <c r="V2058">
        <f t="shared" si="423"/>
        <v>0</v>
      </c>
      <c r="W2058">
        <f t="shared" si="424"/>
        <v>-3800.72</v>
      </c>
      <c r="X2058">
        <v>0</v>
      </c>
    </row>
    <row r="2059" spans="1:24" x14ac:dyDescent="0.25">
      <c r="A2059" t="s">
        <v>1965</v>
      </c>
      <c r="B2059" t="s">
        <v>2050</v>
      </c>
      <c r="C2059" t="s">
        <v>2101</v>
      </c>
      <c r="D2059" t="s">
        <v>226</v>
      </c>
      <c r="E2059" t="s">
        <v>13</v>
      </c>
      <c r="F2059" t="s">
        <v>1</v>
      </c>
      <c r="G2059" t="s">
        <v>863</v>
      </c>
      <c r="H2059" t="s">
        <v>413</v>
      </c>
      <c r="I2059" t="s">
        <v>1</v>
      </c>
      <c r="J2059">
        <v>1183.97</v>
      </c>
      <c r="K2059"/>
      <c r="L2059">
        <v>2425.71</v>
      </c>
      <c r="M2059">
        <v>4891.625138121547</v>
      </c>
      <c r="N2059">
        <v>3609.68</v>
      </c>
      <c r="O2059">
        <v>4851.42</v>
      </c>
      <c r="P2059">
        <v>0</v>
      </c>
      <c r="Q2059">
        <f t="shared" si="420"/>
        <v>4851.42</v>
      </c>
      <c r="R2059">
        <v>0</v>
      </c>
      <c r="S2059">
        <f t="shared" si="421"/>
        <v>-4851.42</v>
      </c>
      <c r="T2059"/>
      <c r="U2059">
        <f t="shared" si="422"/>
        <v>0</v>
      </c>
      <c r="V2059">
        <f t="shared" si="423"/>
        <v>0</v>
      </c>
      <c r="W2059">
        <f t="shared" si="424"/>
        <v>-4851.42</v>
      </c>
      <c r="X2059">
        <v>0</v>
      </c>
    </row>
    <row r="2060" spans="1:24" x14ac:dyDescent="0.25">
      <c r="A2060" t="s">
        <v>1965</v>
      </c>
      <c r="B2060" t="s">
        <v>2050</v>
      </c>
      <c r="C2060" t="s">
        <v>2101</v>
      </c>
      <c r="D2060" t="s">
        <v>226</v>
      </c>
      <c r="E2060" t="s">
        <v>18</v>
      </c>
      <c r="F2060" t="s">
        <v>1</v>
      </c>
      <c r="G2060" t="s">
        <v>863</v>
      </c>
      <c r="H2060" t="s">
        <v>418</v>
      </c>
      <c r="I2060" t="s">
        <v>1</v>
      </c>
      <c r="J2060">
        <v>1697.25</v>
      </c>
      <c r="K2060"/>
      <c r="L2060">
        <v>-391.25</v>
      </c>
      <c r="M2060">
        <v>-788.98480662983422</v>
      </c>
      <c r="N2060">
        <v>756.5</v>
      </c>
      <c r="O2060">
        <v>-786.79945054949997</v>
      </c>
      <c r="P2060">
        <v>0</v>
      </c>
      <c r="Q2060">
        <f t="shared" si="420"/>
        <v>-786.79945054949997</v>
      </c>
      <c r="R2060">
        <v>0</v>
      </c>
      <c r="S2060">
        <f t="shared" si="421"/>
        <v>786.79945054949997</v>
      </c>
      <c r="T2060">
        <v>0.02</v>
      </c>
      <c r="U2060">
        <f t="shared" si="422"/>
        <v>0</v>
      </c>
      <c r="V2060">
        <f t="shared" si="423"/>
        <v>0</v>
      </c>
      <c r="W2060">
        <f t="shared" si="424"/>
        <v>786.79945054949997</v>
      </c>
      <c r="X2060">
        <v>0</v>
      </c>
    </row>
    <row r="2061" spans="1:24" x14ac:dyDescent="0.25">
      <c r="A2061" t="s">
        <v>1965</v>
      </c>
      <c r="B2061" t="s">
        <v>2050</v>
      </c>
      <c r="C2061" t="s">
        <v>2101</v>
      </c>
      <c r="D2061" t="s">
        <v>226</v>
      </c>
      <c r="E2061" t="s">
        <v>20</v>
      </c>
      <c r="F2061" t="s">
        <v>1</v>
      </c>
      <c r="G2061" t="s">
        <v>863</v>
      </c>
      <c r="H2061" t="s">
        <v>420</v>
      </c>
      <c r="I2061" t="s">
        <v>1</v>
      </c>
      <c r="J2061">
        <v>4780</v>
      </c>
      <c r="K2061"/>
      <c r="L2061">
        <v>0</v>
      </c>
      <c r="M2061">
        <v>0</v>
      </c>
      <c r="N2061">
        <v>4780</v>
      </c>
      <c r="O2061"/>
      <c r="P2061">
        <v>0</v>
      </c>
      <c r="Q2061">
        <f t="shared" si="420"/>
        <v>0</v>
      </c>
      <c r="R2061">
        <v>0</v>
      </c>
      <c r="S2061">
        <f t="shared" si="421"/>
        <v>0</v>
      </c>
      <c r="T2061">
        <v>0.04</v>
      </c>
      <c r="U2061">
        <f t="shared" si="422"/>
        <v>0</v>
      </c>
      <c r="V2061">
        <f t="shared" si="423"/>
        <v>0</v>
      </c>
      <c r="W2061">
        <f t="shared" si="424"/>
        <v>0</v>
      </c>
      <c r="X2061">
        <v>0</v>
      </c>
    </row>
    <row r="2062" spans="1:24" x14ac:dyDescent="0.25">
      <c r="A2062" t="s">
        <v>1965</v>
      </c>
      <c r="B2062" t="s">
        <v>2050</v>
      </c>
      <c r="C2062" t="s">
        <v>2101</v>
      </c>
      <c r="D2062" t="s">
        <v>226</v>
      </c>
      <c r="E2062" t="s">
        <v>22</v>
      </c>
      <c r="F2062" t="s">
        <v>1</v>
      </c>
      <c r="G2062" t="s">
        <v>863</v>
      </c>
      <c r="H2062" t="s">
        <v>422</v>
      </c>
      <c r="I2062" t="s">
        <v>1</v>
      </c>
      <c r="J2062">
        <v>165</v>
      </c>
      <c r="K2062"/>
      <c r="L2062">
        <v>71.8</v>
      </c>
      <c r="M2062">
        <v>144.79005524861878</v>
      </c>
      <c r="N2062">
        <v>236.8</v>
      </c>
      <c r="O2062">
        <v>144.7900552486</v>
      </c>
      <c r="P2062">
        <v>0</v>
      </c>
      <c r="Q2062">
        <f t="shared" si="420"/>
        <v>144.7900552486</v>
      </c>
      <c r="R2062">
        <v>0</v>
      </c>
      <c r="S2062">
        <f t="shared" si="421"/>
        <v>-144.7900552486</v>
      </c>
      <c r="T2062">
        <v>3.5000000000000003E-2</v>
      </c>
      <c r="U2062">
        <f t="shared" si="422"/>
        <v>0</v>
      </c>
      <c r="V2062">
        <f t="shared" si="423"/>
        <v>0</v>
      </c>
      <c r="W2062">
        <f t="shared" si="424"/>
        <v>-144.7900552486</v>
      </c>
      <c r="X2062">
        <v>0</v>
      </c>
    </row>
    <row r="2063" spans="1:24" x14ac:dyDescent="0.25">
      <c r="A2063" t="s">
        <v>1965</v>
      </c>
      <c r="B2063" t="s">
        <v>2050</v>
      </c>
      <c r="C2063" t="s">
        <v>2101</v>
      </c>
      <c r="D2063" t="s">
        <v>226</v>
      </c>
      <c r="E2063" t="s">
        <v>23</v>
      </c>
      <c r="F2063" t="s">
        <v>1</v>
      </c>
      <c r="G2063" t="s">
        <v>863</v>
      </c>
      <c r="H2063" t="s">
        <v>423</v>
      </c>
      <c r="I2063" t="s">
        <v>1</v>
      </c>
      <c r="J2063">
        <v>75.33</v>
      </c>
      <c r="K2063">
        <v>155.25</v>
      </c>
      <c r="L2063">
        <v>0</v>
      </c>
      <c r="M2063">
        <v>0</v>
      </c>
      <c r="N2063">
        <v>0</v>
      </c>
      <c r="O2063"/>
      <c r="P2063">
        <v>0</v>
      </c>
      <c r="Q2063">
        <f t="shared" si="420"/>
        <v>0</v>
      </c>
      <c r="R2063">
        <v>0</v>
      </c>
      <c r="S2063">
        <f t="shared" si="421"/>
        <v>0</v>
      </c>
      <c r="T2063">
        <v>3.5000000000000003E-2</v>
      </c>
      <c r="U2063">
        <f t="shared" si="422"/>
        <v>0</v>
      </c>
      <c r="V2063">
        <f t="shared" si="423"/>
        <v>0</v>
      </c>
      <c r="W2063">
        <f t="shared" si="424"/>
        <v>0</v>
      </c>
      <c r="X2063">
        <v>0</v>
      </c>
    </row>
    <row r="2064" spans="1:24" x14ac:dyDescent="0.25">
      <c r="A2064" t="s">
        <v>1965</v>
      </c>
      <c r="B2064" t="s">
        <v>2050</v>
      </c>
      <c r="C2064" t="s">
        <v>2101</v>
      </c>
      <c r="D2064" t="s">
        <v>226</v>
      </c>
      <c r="E2064" t="s">
        <v>24</v>
      </c>
      <c r="F2064" t="s">
        <v>1</v>
      </c>
      <c r="G2064" t="s">
        <v>863</v>
      </c>
      <c r="H2064" t="s">
        <v>424</v>
      </c>
      <c r="I2064" t="s">
        <v>1</v>
      </c>
      <c r="J2064">
        <v>3860</v>
      </c>
      <c r="K2064"/>
      <c r="L2064">
        <v>3135</v>
      </c>
      <c r="M2064">
        <v>6321.9613259668504</v>
      </c>
      <c r="N2064">
        <v>6510</v>
      </c>
      <c r="O2064">
        <v>6270</v>
      </c>
      <c r="P2064">
        <v>0</v>
      </c>
      <c r="Q2064">
        <f t="shared" si="420"/>
        <v>6270</v>
      </c>
      <c r="R2064">
        <v>0</v>
      </c>
      <c r="S2064">
        <f t="shared" si="421"/>
        <v>-6270</v>
      </c>
      <c r="T2064"/>
      <c r="U2064">
        <f t="shared" si="422"/>
        <v>0</v>
      </c>
      <c r="V2064">
        <f t="shared" si="423"/>
        <v>0</v>
      </c>
      <c r="W2064">
        <f t="shared" si="424"/>
        <v>-6270</v>
      </c>
      <c r="X2064">
        <v>0</v>
      </c>
    </row>
    <row r="2065" spans="1:24" x14ac:dyDescent="0.25">
      <c r="A2065" t="s">
        <v>1965</v>
      </c>
      <c r="B2065" t="s">
        <v>2050</v>
      </c>
      <c r="C2065" t="s">
        <v>2101</v>
      </c>
      <c r="D2065" t="s">
        <v>226</v>
      </c>
      <c r="E2065" t="s">
        <v>25</v>
      </c>
      <c r="F2065" t="s">
        <v>1</v>
      </c>
      <c r="G2065" t="s">
        <v>863</v>
      </c>
      <c r="H2065" t="s">
        <v>425</v>
      </c>
      <c r="I2065" t="s">
        <v>1</v>
      </c>
      <c r="J2065">
        <v>465.02</v>
      </c>
      <c r="K2065"/>
      <c r="L2065">
        <v>0</v>
      </c>
      <c r="M2065">
        <v>0</v>
      </c>
      <c r="N2065">
        <v>405.02</v>
      </c>
      <c r="O2065"/>
      <c r="P2065">
        <v>0</v>
      </c>
      <c r="Q2065">
        <f t="shared" si="420"/>
        <v>0</v>
      </c>
      <c r="R2065">
        <v>0</v>
      </c>
      <c r="S2065">
        <f t="shared" si="421"/>
        <v>0</v>
      </c>
      <c r="T2065"/>
      <c r="U2065">
        <f t="shared" si="422"/>
        <v>0</v>
      </c>
      <c r="V2065">
        <f t="shared" si="423"/>
        <v>0</v>
      </c>
      <c r="W2065">
        <f t="shared" si="424"/>
        <v>0</v>
      </c>
      <c r="X2065">
        <v>0</v>
      </c>
    </row>
    <row r="2066" spans="1:24" x14ac:dyDescent="0.25">
      <c r="A2066" t="s">
        <v>1965</v>
      </c>
      <c r="B2066" t="s">
        <v>2050</v>
      </c>
      <c r="C2066" t="s">
        <v>2101</v>
      </c>
      <c r="D2066" t="s">
        <v>226</v>
      </c>
      <c r="E2066" t="s">
        <v>26</v>
      </c>
      <c r="F2066" t="s">
        <v>1</v>
      </c>
      <c r="G2066" t="s">
        <v>863</v>
      </c>
      <c r="H2066" t="s">
        <v>426</v>
      </c>
      <c r="I2066" t="s">
        <v>1</v>
      </c>
      <c r="J2066">
        <v>8028.6</v>
      </c>
      <c r="K2066">
        <v>6064.0531160603996</v>
      </c>
      <c r="L2066">
        <v>13752.77</v>
      </c>
      <c r="M2066">
        <v>27733.486464088397</v>
      </c>
      <c r="N2066">
        <v>14422.77</v>
      </c>
      <c r="O2066">
        <v>27505.54</v>
      </c>
      <c r="P2066">
        <v>0</v>
      </c>
      <c r="Q2066">
        <f t="shared" si="420"/>
        <v>27505.54</v>
      </c>
      <c r="R2066">
        <v>0</v>
      </c>
      <c r="S2066">
        <f t="shared" si="421"/>
        <v>-27505.54</v>
      </c>
      <c r="T2066"/>
      <c r="U2066">
        <f t="shared" si="422"/>
        <v>0</v>
      </c>
      <c r="V2066">
        <f t="shared" si="423"/>
        <v>0</v>
      </c>
      <c r="W2066">
        <f t="shared" si="424"/>
        <v>-27505.54</v>
      </c>
      <c r="X2066">
        <v>0</v>
      </c>
    </row>
    <row r="2067" spans="1:24" x14ac:dyDescent="0.25">
      <c r="A2067" t="s">
        <v>1965</v>
      </c>
      <c r="B2067" t="s">
        <v>2050</v>
      </c>
      <c r="C2067" t="s">
        <v>2101</v>
      </c>
      <c r="D2067" t="s">
        <v>226</v>
      </c>
      <c r="E2067" t="s">
        <v>28</v>
      </c>
      <c r="F2067" t="s">
        <v>1</v>
      </c>
      <c r="G2067" t="s">
        <v>863</v>
      </c>
      <c r="H2067" t="s">
        <v>428</v>
      </c>
      <c r="I2067" t="s">
        <v>1</v>
      </c>
      <c r="J2067">
        <v>176.77</v>
      </c>
      <c r="K2067">
        <v>350.00000000040001</v>
      </c>
      <c r="L2067">
        <v>0</v>
      </c>
      <c r="M2067">
        <v>0</v>
      </c>
      <c r="N2067">
        <v>0</v>
      </c>
      <c r="O2067"/>
      <c r="P2067">
        <v>0</v>
      </c>
      <c r="Q2067">
        <f t="shared" si="420"/>
        <v>0</v>
      </c>
      <c r="R2067">
        <v>0</v>
      </c>
      <c r="S2067">
        <f t="shared" si="421"/>
        <v>0</v>
      </c>
      <c r="T2067"/>
      <c r="U2067">
        <f t="shared" si="422"/>
        <v>0</v>
      </c>
      <c r="V2067">
        <f t="shared" si="423"/>
        <v>0</v>
      </c>
      <c r="W2067">
        <f t="shared" si="424"/>
        <v>0</v>
      </c>
      <c r="X2067">
        <v>0</v>
      </c>
    </row>
    <row r="2068" spans="1:24" x14ac:dyDescent="0.25">
      <c r="A2068" t="s">
        <v>1965</v>
      </c>
      <c r="B2068" t="s">
        <v>2050</v>
      </c>
      <c r="C2068" t="s">
        <v>2101</v>
      </c>
      <c r="D2068" t="s">
        <v>226</v>
      </c>
      <c r="E2068" t="s">
        <v>29</v>
      </c>
      <c r="F2068" t="s">
        <v>1</v>
      </c>
      <c r="G2068" t="s">
        <v>863</v>
      </c>
      <c r="H2068" t="s">
        <v>429</v>
      </c>
      <c r="I2068" t="s">
        <v>1</v>
      </c>
      <c r="J2068"/>
      <c r="K2068"/>
      <c r="L2068">
        <v>705.44</v>
      </c>
      <c r="M2068">
        <v>1422.5723756906079</v>
      </c>
      <c r="N2068">
        <v>705.44</v>
      </c>
      <c r="O2068">
        <v>1410.88</v>
      </c>
      <c r="P2068">
        <v>0</v>
      </c>
      <c r="Q2068">
        <f t="shared" si="420"/>
        <v>1410.88</v>
      </c>
      <c r="R2068">
        <v>0</v>
      </c>
      <c r="S2068">
        <f t="shared" si="421"/>
        <v>-1410.88</v>
      </c>
      <c r="T2068"/>
      <c r="U2068">
        <f t="shared" si="422"/>
        <v>0</v>
      </c>
      <c r="V2068">
        <f t="shared" si="423"/>
        <v>0</v>
      </c>
      <c r="W2068">
        <f t="shared" si="424"/>
        <v>-1410.88</v>
      </c>
      <c r="X2068">
        <v>0</v>
      </c>
    </row>
    <row r="2069" spans="1:24" x14ac:dyDescent="0.25">
      <c r="A2069" t="s">
        <v>1965</v>
      </c>
      <c r="B2069" t="s">
        <v>2050</v>
      </c>
      <c r="C2069" t="s">
        <v>2101</v>
      </c>
      <c r="D2069" t="s">
        <v>226</v>
      </c>
      <c r="E2069" t="s">
        <v>33</v>
      </c>
      <c r="F2069" t="s">
        <v>1</v>
      </c>
      <c r="G2069" t="s">
        <v>863</v>
      </c>
      <c r="H2069" t="s">
        <v>433</v>
      </c>
      <c r="I2069" t="s">
        <v>1</v>
      </c>
      <c r="J2069">
        <v>62943</v>
      </c>
      <c r="K2069">
        <v>5691.1825361088004</v>
      </c>
      <c r="L2069">
        <v>20670.98</v>
      </c>
      <c r="M2069">
        <v>41684.572928176793</v>
      </c>
      <c r="N2069">
        <v>29744.479999999992</v>
      </c>
      <c r="O2069">
        <v>41341.96</v>
      </c>
      <c r="P2069">
        <v>0</v>
      </c>
      <c r="Q2069">
        <f t="shared" si="420"/>
        <v>41341.96</v>
      </c>
      <c r="R2069">
        <v>0</v>
      </c>
      <c r="S2069">
        <f t="shared" si="421"/>
        <v>-41341.96</v>
      </c>
      <c r="T2069"/>
      <c r="U2069">
        <f t="shared" si="422"/>
        <v>0</v>
      </c>
      <c r="V2069">
        <f t="shared" si="423"/>
        <v>0</v>
      </c>
      <c r="W2069">
        <f t="shared" si="424"/>
        <v>-41341.96</v>
      </c>
      <c r="X2069">
        <v>0</v>
      </c>
    </row>
    <row r="2070" spans="1:24" x14ac:dyDescent="0.25">
      <c r="A2070" t="s">
        <v>1965</v>
      </c>
      <c r="B2070" t="s">
        <v>2050</v>
      </c>
      <c r="C2070" t="s">
        <v>2101</v>
      </c>
      <c r="D2070" t="s">
        <v>226</v>
      </c>
      <c r="E2070" t="s">
        <v>34</v>
      </c>
      <c r="F2070" t="s">
        <v>1</v>
      </c>
      <c r="G2070" t="s">
        <v>863</v>
      </c>
      <c r="H2070" t="s">
        <v>434</v>
      </c>
      <c r="I2070" t="s">
        <v>1</v>
      </c>
      <c r="J2070">
        <v>1542.33</v>
      </c>
      <c r="K2070">
        <v>1569.9813892715999</v>
      </c>
      <c r="L2070">
        <v>1591.37</v>
      </c>
      <c r="M2070">
        <v>3209.1162983425411</v>
      </c>
      <c r="N2070">
        <v>1639.7399999999998</v>
      </c>
      <c r="O2070">
        <v>3182.74</v>
      </c>
      <c r="P2070">
        <v>0</v>
      </c>
      <c r="Q2070">
        <f t="shared" si="420"/>
        <v>3182.74</v>
      </c>
      <c r="R2070">
        <v>0</v>
      </c>
      <c r="S2070">
        <f t="shared" si="421"/>
        <v>-3182.74</v>
      </c>
      <c r="T2070"/>
      <c r="U2070">
        <f t="shared" si="422"/>
        <v>0</v>
      </c>
      <c r="V2070">
        <f t="shared" si="423"/>
        <v>0</v>
      </c>
      <c r="W2070">
        <f t="shared" si="424"/>
        <v>-3182.74</v>
      </c>
      <c r="X2070">
        <v>0</v>
      </c>
    </row>
    <row r="2071" spans="1:24" x14ac:dyDescent="0.25">
      <c r="A2071" t="s">
        <v>1965</v>
      </c>
      <c r="B2071" t="s">
        <v>2050</v>
      </c>
      <c r="C2071" t="s">
        <v>2101</v>
      </c>
      <c r="D2071" t="s">
        <v>226</v>
      </c>
      <c r="E2071" t="s">
        <v>35</v>
      </c>
      <c r="F2071" t="s">
        <v>1</v>
      </c>
      <c r="G2071" t="s">
        <v>863</v>
      </c>
      <c r="H2071" t="s">
        <v>435</v>
      </c>
      <c r="I2071" t="s">
        <v>1</v>
      </c>
      <c r="J2071">
        <v>1860.45</v>
      </c>
      <c r="K2071">
        <v>1389.9999999996</v>
      </c>
      <c r="L2071">
        <v>0</v>
      </c>
      <c r="M2071">
        <v>0</v>
      </c>
      <c r="N2071">
        <v>274</v>
      </c>
      <c r="O2071"/>
      <c r="P2071">
        <v>0</v>
      </c>
      <c r="Q2071">
        <f t="shared" si="420"/>
        <v>0</v>
      </c>
      <c r="R2071">
        <v>0</v>
      </c>
      <c r="S2071">
        <f t="shared" si="421"/>
        <v>0</v>
      </c>
      <c r="T2071"/>
      <c r="U2071">
        <f t="shared" si="422"/>
        <v>0</v>
      </c>
      <c r="V2071">
        <f t="shared" si="423"/>
        <v>0</v>
      </c>
      <c r="W2071">
        <f t="shared" si="424"/>
        <v>0</v>
      </c>
      <c r="X2071">
        <v>0</v>
      </c>
    </row>
    <row r="2072" spans="1:24" x14ac:dyDescent="0.25">
      <c r="A2072" t="s">
        <v>1965</v>
      </c>
      <c r="B2072" t="s">
        <v>2050</v>
      </c>
      <c r="C2072" t="s">
        <v>2101</v>
      </c>
      <c r="D2072" t="s">
        <v>226</v>
      </c>
      <c r="E2072" t="s">
        <v>37</v>
      </c>
      <c r="F2072" t="s">
        <v>1</v>
      </c>
      <c r="G2072" t="s">
        <v>863</v>
      </c>
      <c r="H2072" t="s">
        <v>437</v>
      </c>
      <c r="I2072" t="s">
        <v>1</v>
      </c>
      <c r="J2072">
        <v>32689.05</v>
      </c>
      <c r="K2072">
        <v>18447.281323938001</v>
      </c>
      <c r="L2072">
        <v>18028.55</v>
      </c>
      <c r="M2072">
        <v>36355.91574585635</v>
      </c>
      <c r="N2072">
        <v>29724.78</v>
      </c>
      <c r="O2072">
        <v>36057.1</v>
      </c>
      <c r="P2072">
        <v>0</v>
      </c>
      <c r="Q2072">
        <f t="shared" si="420"/>
        <v>36057.1</v>
      </c>
      <c r="R2072">
        <v>0</v>
      </c>
      <c r="S2072">
        <f t="shared" si="421"/>
        <v>-36057.1</v>
      </c>
      <c r="T2072"/>
      <c r="U2072">
        <f t="shared" si="422"/>
        <v>0</v>
      </c>
      <c r="V2072">
        <f t="shared" si="423"/>
        <v>0</v>
      </c>
      <c r="W2072">
        <f t="shared" si="424"/>
        <v>-36057.1</v>
      </c>
      <c r="X2072">
        <v>0</v>
      </c>
    </row>
    <row r="2073" spans="1:24" x14ac:dyDescent="0.25">
      <c r="A2073" t="s">
        <v>1965</v>
      </c>
      <c r="B2073" t="s">
        <v>2050</v>
      </c>
      <c r="C2073" t="s">
        <v>2101</v>
      </c>
      <c r="D2073" t="s">
        <v>226</v>
      </c>
      <c r="E2073" t="s">
        <v>42</v>
      </c>
      <c r="F2073" t="s">
        <v>1</v>
      </c>
      <c r="G2073" t="s">
        <v>863</v>
      </c>
      <c r="H2073" t="s">
        <v>442</v>
      </c>
      <c r="I2073" t="s">
        <v>1</v>
      </c>
      <c r="J2073">
        <v>33.229999999999997</v>
      </c>
      <c r="K2073"/>
      <c r="L2073">
        <v>244.64</v>
      </c>
      <c r="M2073">
        <v>493.33480662983425</v>
      </c>
      <c r="N2073">
        <v>277.87</v>
      </c>
      <c r="O2073">
        <v>489.28</v>
      </c>
      <c r="P2073">
        <v>0</v>
      </c>
      <c r="Q2073">
        <f t="shared" si="420"/>
        <v>489.28</v>
      </c>
      <c r="R2073">
        <v>0</v>
      </c>
      <c r="S2073">
        <f t="shared" si="421"/>
        <v>-489.28</v>
      </c>
      <c r="T2073">
        <v>0.03</v>
      </c>
      <c r="U2073">
        <f t="shared" si="422"/>
        <v>0</v>
      </c>
      <c r="V2073">
        <f t="shared" si="423"/>
        <v>0</v>
      </c>
      <c r="W2073">
        <f t="shared" si="424"/>
        <v>-489.28</v>
      </c>
      <c r="X2073">
        <v>0</v>
      </c>
    </row>
    <row r="2074" spans="1:24" x14ac:dyDescent="0.25">
      <c r="A2074" t="s">
        <v>1965</v>
      </c>
      <c r="B2074" t="s">
        <v>2050</v>
      </c>
      <c r="C2074" t="s">
        <v>2101</v>
      </c>
      <c r="D2074" t="s">
        <v>226</v>
      </c>
      <c r="E2074" t="s">
        <v>46</v>
      </c>
      <c r="F2074" t="s">
        <v>1</v>
      </c>
      <c r="G2074" t="s">
        <v>863</v>
      </c>
      <c r="H2074" t="s">
        <v>446</v>
      </c>
      <c r="I2074" t="s">
        <v>1</v>
      </c>
      <c r="J2074">
        <v>28589.78</v>
      </c>
      <c r="K2074"/>
      <c r="L2074">
        <v>12764.85</v>
      </c>
      <c r="M2074">
        <v>25741.272099447517</v>
      </c>
      <c r="N2074">
        <v>23094.770000000004</v>
      </c>
      <c r="O2074">
        <v>25529.7</v>
      </c>
      <c r="P2074">
        <v>0</v>
      </c>
      <c r="Q2074">
        <f t="shared" si="420"/>
        <v>25529.7</v>
      </c>
      <c r="R2074">
        <v>0</v>
      </c>
      <c r="S2074">
        <f t="shared" si="421"/>
        <v>-25529.7</v>
      </c>
      <c r="T2074">
        <v>0.03</v>
      </c>
      <c r="U2074">
        <f t="shared" si="422"/>
        <v>0</v>
      </c>
      <c r="V2074">
        <f t="shared" si="423"/>
        <v>0</v>
      </c>
      <c r="W2074">
        <f t="shared" si="424"/>
        <v>-25529.7</v>
      </c>
      <c r="X2074">
        <v>0</v>
      </c>
    </row>
    <row r="2075" spans="1:24" x14ac:dyDescent="0.25">
      <c r="A2075" t="s">
        <v>1965</v>
      </c>
      <c r="B2075" t="s">
        <v>2050</v>
      </c>
      <c r="C2075" t="s">
        <v>2101</v>
      </c>
      <c r="D2075" t="s">
        <v>226</v>
      </c>
      <c r="E2075" t="s">
        <v>47</v>
      </c>
      <c r="F2075" t="s">
        <v>1</v>
      </c>
      <c r="G2075" t="s">
        <v>863</v>
      </c>
      <c r="H2075" t="s">
        <v>447</v>
      </c>
      <c r="I2075" t="s">
        <v>1</v>
      </c>
      <c r="J2075">
        <v>15561</v>
      </c>
      <c r="K2075">
        <v>11481</v>
      </c>
      <c r="L2075">
        <v>11271.6</v>
      </c>
      <c r="M2075">
        <v>22730.022099447517</v>
      </c>
      <c r="N2075">
        <v>13771.6</v>
      </c>
      <c r="O2075">
        <v>22543.200000000001</v>
      </c>
      <c r="P2075">
        <v>0</v>
      </c>
      <c r="Q2075">
        <f t="shared" si="420"/>
        <v>22543.200000000001</v>
      </c>
      <c r="R2075">
        <v>0</v>
      </c>
      <c r="S2075">
        <f t="shared" si="421"/>
        <v>-22543.200000000001</v>
      </c>
      <c r="T2075">
        <v>0.03</v>
      </c>
      <c r="U2075">
        <f t="shared" si="422"/>
        <v>0</v>
      </c>
      <c r="V2075">
        <f t="shared" si="423"/>
        <v>0</v>
      </c>
      <c r="W2075">
        <f t="shared" si="424"/>
        <v>-22543.200000000001</v>
      </c>
      <c r="X2075">
        <v>0</v>
      </c>
    </row>
    <row r="2076" spans="1:24" x14ac:dyDescent="0.25">
      <c r="A2076" t="s">
        <v>1965</v>
      </c>
      <c r="B2076" t="s">
        <v>2050</v>
      </c>
      <c r="C2076" t="s">
        <v>2101</v>
      </c>
      <c r="D2076" t="s">
        <v>226</v>
      </c>
      <c r="E2076" t="s">
        <v>50</v>
      </c>
      <c r="F2076" t="s">
        <v>1</v>
      </c>
      <c r="G2076" t="s">
        <v>863</v>
      </c>
      <c r="H2076" t="s">
        <v>450</v>
      </c>
      <c r="I2076" t="s">
        <v>1</v>
      </c>
      <c r="J2076">
        <v>1932.52</v>
      </c>
      <c r="K2076">
        <v>2610</v>
      </c>
      <c r="L2076">
        <v>333.33</v>
      </c>
      <c r="M2076">
        <v>672.18480662983427</v>
      </c>
      <c r="N2076">
        <v>1024.6500000000001</v>
      </c>
      <c r="O2076">
        <v>672.18480662980005</v>
      </c>
      <c r="P2076">
        <v>0</v>
      </c>
      <c r="Q2076">
        <f t="shared" si="420"/>
        <v>672.18480662980005</v>
      </c>
      <c r="R2076">
        <v>0</v>
      </c>
      <c r="S2076">
        <f t="shared" si="421"/>
        <v>-672.18480662980005</v>
      </c>
      <c r="T2076"/>
      <c r="U2076">
        <f t="shared" si="422"/>
        <v>0</v>
      </c>
      <c r="V2076">
        <f t="shared" si="423"/>
        <v>0</v>
      </c>
      <c r="W2076">
        <f t="shared" si="424"/>
        <v>-672.18480662980005</v>
      </c>
      <c r="X2076">
        <v>0</v>
      </c>
    </row>
    <row r="2077" spans="1:24" x14ac:dyDescent="0.25">
      <c r="A2077" t="s">
        <v>1965</v>
      </c>
      <c r="B2077" t="s">
        <v>2050</v>
      </c>
      <c r="C2077" t="s">
        <v>2101</v>
      </c>
      <c r="D2077" t="s">
        <v>226</v>
      </c>
      <c r="E2077" t="s">
        <v>51</v>
      </c>
      <c r="F2077" t="s">
        <v>51</v>
      </c>
      <c r="G2077" t="s">
        <v>864</v>
      </c>
      <c r="H2077"/>
      <c r="I2077"/>
      <c r="J2077">
        <v>166138.37999999998</v>
      </c>
      <c r="K2077">
        <v>47758.7483653788</v>
      </c>
      <c r="L2077">
        <v>86865.150000000009</v>
      </c>
      <c r="M2077">
        <v>175170.05386740333</v>
      </c>
      <c r="N2077">
        <v>133238.45999999996</v>
      </c>
      <c r="O2077">
        <v>173732.71541132894</v>
      </c>
      <c r="P2077">
        <f>SUMIF($F$2056:$F$2076,"&lt;&gt;EV_*",$P$2056:$P$2076)</f>
        <v>0</v>
      </c>
      <c r="Q2077">
        <f>SUMIF($F$2056:$F$2076,"&lt;&gt;EV_*",$Q$2056:$Q$2076)</f>
        <v>173732.71541132894</v>
      </c>
      <c r="R2077">
        <f>SUMIF($F$2056:$F$2076,"&lt;&gt;EV_*",$R$2056:$R$2076)</f>
        <v>0</v>
      </c>
      <c r="S2077">
        <f>SUMIF($F$2056:$F$2076,"&lt;&gt;EV_*",$S$2056:$S$2076)</f>
        <v>-173732.71541132894</v>
      </c>
      <c r="T2077">
        <v>0</v>
      </c>
      <c r="U2077">
        <f>SUMIF($F$2056:$F$2076,"&lt;&gt;EV_*",$U$2056:$U$2076)</f>
        <v>0</v>
      </c>
      <c r="V2077">
        <f>SUMIF($F$2056:$F$2076,"&lt;&gt;EV_*",$V$2056:$V$2076)</f>
        <v>0</v>
      </c>
      <c r="W2077">
        <f>SUMIF($F$2056:$F$2076,"&lt;&gt;EV_*",$W$2056:$W$2076)</f>
        <v>-173732.71541132894</v>
      </c>
      <c r="X2077">
        <f>SUMIF($F$2056:$F$2076,"&lt;&gt;EV_*",$X$2056:$X$2076)</f>
        <v>0</v>
      </c>
    </row>
    <row r="2078" spans="1:24" x14ac:dyDescent="0.25">
      <c r="A2078" t="s">
        <v>1965</v>
      </c>
      <c r="B2078" t="s">
        <v>2050</v>
      </c>
      <c r="C2078" t="s">
        <v>2102</v>
      </c>
      <c r="D2078" t="s">
        <v>227</v>
      </c>
      <c r="E2078" t="s">
        <v>5</v>
      </c>
      <c r="F2078" t="s">
        <v>5</v>
      </c>
      <c r="G2078" t="s">
        <v>865</v>
      </c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</row>
    <row r="2079" spans="1:24" x14ac:dyDescent="0.25">
      <c r="A2079" t="s">
        <v>1965</v>
      </c>
      <c r="B2079" t="s">
        <v>2050</v>
      </c>
      <c r="C2079" t="s">
        <v>2102</v>
      </c>
      <c r="D2079" t="s">
        <v>227</v>
      </c>
      <c r="E2079" t="s">
        <v>12</v>
      </c>
      <c r="F2079" t="s">
        <v>1</v>
      </c>
      <c r="G2079" t="s">
        <v>866</v>
      </c>
      <c r="H2079" t="s">
        <v>412</v>
      </c>
      <c r="I2079" t="s">
        <v>1</v>
      </c>
      <c r="J2079"/>
      <c r="K2079"/>
      <c r="L2079">
        <v>222.4</v>
      </c>
      <c r="M2079">
        <v>448.48618784530385</v>
      </c>
      <c r="N2079">
        <v>222.4</v>
      </c>
      <c r="O2079">
        <v>444.8</v>
      </c>
      <c r="P2079">
        <v>0</v>
      </c>
      <c r="Q2079">
        <f t="shared" ref="Q2079:Q2096" si="425">O2079+P2079</f>
        <v>444.8</v>
      </c>
      <c r="R2079">
        <v>444.8</v>
      </c>
      <c r="S2079">
        <f t="shared" ref="S2079:S2096" si="426">IF(OR(LEFT(E2079,2)="A_",LEFT(D2079,5)="Total"),R2079-Q2079,"")</f>
        <v>0</v>
      </c>
      <c r="T2079"/>
      <c r="U2079">
        <f t="shared" ref="U2079:U2096" si="427">IFERROR(R2079*T2079,R2079*0)</f>
        <v>0</v>
      </c>
      <c r="V2079">
        <f t="shared" ref="V2079:V2096" si="428">IF(OR(LEFT(E2079,2)="A_",LEFT(D2079,5)="Total"),R2079+U2079,"")</f>
        <v>444.8</v>
      </c>
      <c r="W2079">
        <f t="shared" ref="W2079:W2096" si="429">IF(OR(LEFT(E2079,2)="A_",LEFT(D2079,5)="Total"),V2079-Q2079,"")</f>
        <v>0</v>
      </c>
      <c r="X2079" t="s">
        <v>1655</v>
      </c>
    </row>
    <row r="2080" spans="1:24" x14ac:dyDescent="0.25">
      <c r="A2080" t="s">
        <v>1965</v>
      </c>
      <c r="B2080" t="s">
        <v>2050</v>
      </c>
      <c r="C2080" t="s">
        <v>2102</v>
      </c>
      <c r="D2080" t="s">
        <v>227</v>
      </c>
      <c r="E2080" t="s">
        <v>13</v>
      </c>
      <c r="F2080" t="s">
        <v>1</v>
      </c>
      <c r="G2080" t="s">
        <v>866</v>
      </c>
      <c r="H2080" t="s">
        <v>413</v>
      </c>
      <c r="I2080" t="s">
        <v>1</v>
      </c>
      <c r="J2080">
        <v>163.93</v>
      </c>
      <c r="K2080"/>
      <c r="L2080">
        <v>1095.82</v>
      </c>
      <c r="M2080">
        <v>2209.8027624309393</v>
      </c>
      <c r="N2080">
        <v>1259.75</v>
      </c>
      <c r="O2080">
        <v>2191.64</v>
      </c>
      <c r="P2080">
        <v>0</v>
      </c>
      <c r="Q2080">
        <f t="shared" si="425"/>
        <v>2191.64</v>
      </c>
      <c r="R2080">
        <v>2191.64</v>
      </c>
      <c r="S2080">
        <f t="shared" si="426"/>
        <v>0</v>
      </c>
      <c r="T2080"/>
      <c r="U2080">
        <f t="shared" si="427"/>
        <v>0</v>
      </c>
      <c r="V2080">
        <f t="shared" si="428"/>
        <v>2191.64</v>
      </c>
      <c r="W2080">
        <f t="shared" si="429"/>
        <v>0</v>
      </c>
      <c r="X2080" t="s">
        <v>1655</v>
      </c>
    </row>
    <row r="2081" spans="1:24" x14ac:dyDescent="0.25">
      <c r="A2081" t="s">
        <v>1965</v>
      </c>
      <c r="B2081" t="s">
        <v>2050</v>
      </c>
      <c r="C2081" t="s">
        <v>2102</v>
      </c>
      <c r="D2081" t="s">
        <v>227</v>
      </c>
      <c r="E2081" t="s">
        <v>18</v>
      </c>
      <c r="F2081" t="s">
        <v>1</v>
      </c>
      <c r="G2081" t="s">
        <v>866</v>
      </c>
      <c r="H2081" t="s">
        <v>418</v>
      </c>
      <c r="I2081" t="s">
        <v>1</v>
      </c>
      <c r="J2081">
        <v>55.5</v>
      </c>
      <c r="K2081">
        <v>939.41999999970005</v>
      </c>
      <c r="L2081">
        <v>0</v>
      </c>
      <c r="M2081">
        <v>0</v>
      </c>
      <c r="N2081">
        <v>55.5</v>
      </c>
      <c r="O2081"/>
      <c r="P2081">
        <v>0</v>
      </c>
      <c r="Q2081">
        <f t="shared" si="425"/>
        <v>0</v>
      </c>
      <c r="R2081">
        <v>0</v>
      </c>
      <c r="S2081">
        <f t="shared" si="426"/>
        <v>0</v>
      </c>
      <c r="T2081">
        <v>0.02</v>
      </c>
      <c r="U2081">
        <f t="shared" si="427"/>
        <v>0</v>
      </c>
      <c r="V2081">
        <f t="shared" si="428"/>
        <v>0</v>
      </c>
      <c r="W2081">
        <f t="shared" si="429"/>
        <v>0</v>
      </c>
      <c r="X2081">
        <v>0</v>
      </c>
    </row>
    <row r="2082" spans="1:24" x14ac:dyDescent="0.25">
      <c r="A2082" t="s">
        <v>1965</v>
      </c>
      <c r="B2082" t="s">
        <v>2050</v>
      </c>
      <c r="C2082" t="s">
        <v>2102</v>
      </c>
      <c r="D2082" t="s">
        <v>227</v>
      </c>
      <c r="E2082" t="s">
        <v>22</v>
      </c>
      <c r="F2082" t="s">
        <v>1</v>
      </c>
      <c r="G2082" t="s">
        <v>866</v>
      </c>
      <c r="H2082" t="s">
        <v>422</v>
      </c>
      <c r="I2082" t="s">
        <v>1</v>
      </c>
      <c r="J2082">
        <v>211.72</v>
      </c>
      <c r="K2082">
        <v>1069.1550000002001</v>
      </c>
      <c r="L2082">
        <v>0</v>
      </c>
      <c r="M2082">
        <v>0</v>
      </c>
      <c r="N2082">
        <v>211.72</v>
      </c>
      <c r="O2082"/>
      <c r="P2082">
        <v>0</v>
      </c>
      <c r="Q2082">
        <f t="shared" si="425"/>
        <v>0</v>
      </c>
      <c r="R2082">
        <v>0</v>
      </c>
      <c r="S2082">
        <f t="shared" si="426"/>
        <v>0</v>
      </c>
      <c r="T2082">
        <v>3.5000000000000003E-2</v>
      </c>
      <c r="U2082">
        <f t="shared" si="427"/>
        <v>0</v>
      </c>
      <c r="V2082">
        <f t="shared" si="428"/>
        <v>0</v>
      </c>
      <c r="W2082">
        <f t="shared" si="429"/>
        <v>0</v>
      </c>
      <c r="X2082">
        <v>0</v>
      </c>
    </row>
    <row r="2083" spans="1:24" x14ac:dyDescent="0.25">
      <c r="A2083" t="s">
        <v>1965</v>
      </c>
      <c r="B2083" t="s">
        <v>2050</v>
      </c>
      <c r="C2083" t="s">
        <v>2102</v>
      </c>
      <c r="D2083" t="s">
        <v>227</v>
      </c>
      <c r="E2083" t="s">
        <v>23</v>
      </c>
      <c r="F2083" t="s">
        <v>1</v>
      </c>
      <c r="G2083" t="s">
        <v>866</v>
      </c>
      <c r="H2083" t="s">
        <v>423</v>
      </c>
      <c r="I2083" t="s">
        <v>1</v>
      </c>
      <c r="J2083">
        <v>1814.57</v>
      </c>
      <c r="K2083">
        <v>427.45499999999998</v>
      </c>
      <c r="L2083">
        <v>18.82</v>
      </c>
      <c r="M2083">
        <v>37.95193370165746</v>
      </c>
      <c r="N2083">
        <v>1189.9299999999998</v>
      </c>
      <c r="O2083">
        <v>37.9519337017</v>
      </c>
      <c r="P2083">
        <v>0</v>
      </c>
      <c r="Q2083">
        <f t="shared" si="425"/>
        <v>37.9519337017</v>
      </c>
      <c r="R2083">
        <v>1785</v>
      </c>
      <c r="S2083">
        <f t="shared" si="426"/>
        <v>1747.0480662983</v>
      </c>
      <c r="T2083">
        <v>3.5000000000000003E-2</v>
      </c>
      <c r="U2083">
        <f t="shared" si="427"/>
        <v>62.475000000000009</v>
      </c>
      <c r="V2083">
        <f t="shared" si="428"/>
        <v>1847.4749999999999</v>
      </c>
      <c r="W2083">
        <f t="shared" si="429"/>
        <v>1809.5230662982999</v>
      </c>
      <c r="X2083">
        <v>0</v>
      </c>
    </row>
    <row r="2084" spans="1:24" x14ac:dyDescent="0.25">
      <c r="A2084" t="s">
        <v>1965</v>
      </c>
      <c r="B2084" t="s">
        <v>2050</v>
      </c>
      <c r="C2084" t="s">
        <v>2102</v>
      </c>
      <c r="D2084" t="s">
        <v>227</v>
      </c>
      <c r="E2084" t="s">
        <v>24</v>
      </c>
      <c r="F2084" t="s">
        <v>1</v>
      </c>
      <c r="G2084" t="s">
        <v>866</v>
      </c>
      <c r="H2084" t="s">
        <v>424</v>
      </c>
      <c r="I2084" t="s">
        <v>1</v>
      </c>
      <c r="J2084"/>
      <c r="K2084">
        <v>8421.9995999999992</v>
      </c>
      <c r="L2084">
        <v>0</v>
      </c>
      <c r="M2084">
        <v>0</v>
      </c>
      <c r="N2084">
        <v>0</v>
      </c>
      <c r="O2084"/>
      <c r="P2084">
        <v>0</v>
      </c>
      <c r="Q2084">
        <f t="shared" si="425"/>
        <v>0</v>
      </c>
      <c r="R2084">
        <v>10918</v>
      </c>
      <c r="S2084">
        <f t="shared" si="426"/>
        <v>10918</v>
      </c>
      <c r="T2084"/>
      <c r="U2084">
        <f t="shared" si="427"/>
        <v>0</v>
      </c>
      <c r="V2084">
        <f t="shared" si="428"/>
        <v>10918</v>
      </c>
      <c r="W2084">
        <f t="shared" si="429"/>
        <v>10918</v>
      </c>
      <c r="X2084" t="s">
        <v>1656</v>
      </c>
    </row>
    <row r="2085" spans="1:24" x14ac:dyDescent="0.25">
      <c r="A2085" t="s">
        <v>1965</v>
      </c>
      <c r="B2085" t="s">
        <v>2050</v>
      </c>
      <c r="C2085" t="s">
        <v>2102</v>
      </c>
      <c r="D2085" t="s">
        <v>227</v>
      </c>
      <c r="E2085" t="s">
        <v>25</v>
      </c>
      <c r="F2085" t="s">
        <v>1</v>
      </c>
      <c r="G2085" t="s">
        <v>866</v>
      </c>
      <c r="H2085" t="s">
        <v>425</v>
      </c>
      <c r="I2085" t="s">
        <v>1</v>
      </c>
      <c r="J2085"/>
      <c r="K2085">
        <v>917.00040000000001</v>
      </c>
      <c r="L2085">
        <v>0</v>
      </c>
      <c r="M2085">
        <v>0</v>
      </c>
      <c r="N2085">
        <v>0</v>
      </c>
      <c r="O2085"/>
      <c r="P2085">
        <v>0</v>
      </c>
      <c r="Q2085">
        <f t="shared" si="425"/>
        <v>0</v>
      </c>
      <c r="R2085">
        <v>0</v>
      </c>
      <c r="S2085">
        <f t="shared" si="426"/>
        <v>0</v>
      </c>
      <c r="T2085"/>
      <c r="U2085">
        <f t="shared" si="427"/>
        <v>0</v>
      </c>
      <c r="V2085">
        <f t="shared" si="428"/>
        <v>0</v>
      </c>
      <c r="W2085">
        <f t="shared" si="429"/>
        <v>0</v>
      </c>
      <c r="X2085">
        <v>0</v>
      </c>
    </row>
    <row r="2086" spans="1:24" x14ac:dyDescent="0.25">
      <c r="A2086" t="s">
        <v>1965</v>
      </c>
      <c r="B2086" t="s">
        <v>2050</v>
      </c>
      <c r="C2086" t="s">
        <v>2102</v>
      </c>
      <c r="D2086" t="s">
        <v>227</v>
      </c>
      <c r="E2086" t="s">
        <v>26</v>
      </c>
      <c r="F2086" t="s">
        <v>1</v>
      </c>
      <c r="G2086" t="s">
        <v>866</v>
      </c>
      <c r="H2086" t="s">
        <v>426</v>
      </c>
      <c r="I2086" t="s">
        <v>1</v>
      </c>
      <c r="J2086">
        <v>2886.98</v>
      </c>
      <c r="K2086">
        <v>7348.4941476623999</v>
      </c>
      <c r="L2086">
        <v>8458.7900000000009</v>
      </c>
      <c r="M2086">
        <v>17057.780939226519</v>
      </c>
      <c r="N2086">
        <v>9138.7900000000009</v>
      </c>
      <c r="O2086">
        <v>16917.580000000002</v>
      </c>
      <c r="P2086">
        <v>0</v>
      </c>
      <c r="Q2086">
        <f t="shared" si="425"/>
        <v>16917.580000000002</v>
      </c>
      <c r="R2086">
        <v>6000</v>
      </c>
      <c r="S2086">
        <f t="shared" si="426"/>
        <v>-10917.580000000002</v>
      </c>
      <c r="T2086"/>
      <c r="U2086">
        <f t="shared" si="427"/>
        <v>0</v>
      </c>
      <c r="V2086">
        <f t="shared" si="428"/>
        <v>6000</v>
      </c>
      <c r="W2086">
        <f t="shared" si="429"/>
        <v>-10917.580000000002</v>
      </c>
      <c r="X2086" t="s">
        <v>1656</v>
      </c>
    </row>
    <row r="2087" spans="1:24" x14ac:dyDescent="0.25">
      <c r="A2087" t="s">
        <v>1965</v>
      </c>
      <c r="B2087" t="s">
        <v>2050</v>
      </c>
      <c r="C2087" t="s">
        <v>2102</v>
      </c>
      <c r="D2087" t="s">
        <v>227</v>
      </c>
      <c r="E2087" t="s">
        <v>29</v>
      </c>
      <c r="F2087" t="s">
        <v>1</v>
      </c>
      <c r="G2087" t="s">
        <v>866</v>
      </c>
      <c r="H2087" t="s">
        <v>429</v>
      </c>
      <c r="I2087" t="s">
        <v>1</v>
      </c>
      <c r="J2087">
        <v>437.57</v>
      </c>
      <c r="K2087">
        <v>450</v>
      </c>
      <c r="L2087">
        <v>270.41000000000003</v>
      </c>
      <c r="M2087">
        <v>545.3019337016575</v>
      </c>
      <c r="N2087">
        <v>482.90000000000003</v>
      </c>
      <c r="O2087">
        <v>540.82000000000005</v>
      </c>
      <c r="P2087">
        <v>0</v>
      </c>
      <c r="Q2087">
        <f t="shared" si="425"/>
        <v>540.82000000000005</v>
      </c>
      <c r="R2087">
        <v>0</v>
      </c>
      <c r="S2087">
        <f t="shared" si="426"/>
        <v>-540.82000000000005</v>
      </c>
      <c r="T2087"/>
      <c r="U2087">
        <f t="shared" si="427"/>
        <v>0</v>
      </c>
      <c r="V2087">
        <f t="shared" si="428"/>
        <v>0</v>
      </c>
      <c r="W2087">
        <f t="shared" si="429"/>
        <v>-540.82000000000005</v>
      </c>
      <c r="X2087">
        <v>0</v>
      </c>
    </row>
    <row r="2088" spans="1:24" x14ac:dyDescent="0.25">
      <c r="A2088" t="s">
        <v>1965</v>
      </c>
      <c r="B2088" t="s">
        <v>2050</v>
      </c>
      <c r="C2088" t="s">
        <v>2102</v>
      </c>
      <c r="D2088" t="s">
        <v>227</v>
      </c>
      <c r="E2088" t="s">
        <v>33</v>
      </c>
      <c r="F2088" t="s">
        <v>1</v>
      </c>
      <c r="G2088" t="s">
        <v>866</v>
      </c>
      <c r="H2088" t="s">
        <v>433</v>
      </c>
      <c r="I2088" t="s">
        <v>1</v>
      </c>
      <c r="J2088">
        <v>36210.839999999997</v>
      </c>
      <c r="K2088">
        <v>40230.773092574404</v>
      </c>
      <c r="L2088">
        <v>23330.34</v>
      </c>
      <c r="M2088">
        <v>47047.370718232043</v>
      </c>
      <c r="N2088">
        <v>59396.38</v>
      </c>
      <c r="O2088">
        <v>46660.68</v>
      </c>
      <c r="P2088">
        <v>0</v>
      </c>
      <c r="Q2088">
        <f t="shared" si="425"/>
        <v>46660.68</v>
      </c>
      <c r="R2088">
        <v>35910</v>
      </c>
      <c r="S2088">
        <f t="shared" si="426"/>
        <v>-10750.68</v>
      </c>
      <c r="T2088"/>
      <c r="U2088">
        <f t="shared" si="427"/>
        <v>0</v>
      </c>
      <c r="V2088">
        <f t="shared" si="428"/>
        <v>35910</v>
      </c>
      <c r="W2088">
        <f t="shared" si="429"/>
        <v>-10750.68</v>
      </c>
      <c r="X2088" t="s">
        <v>1657</v>
      </c>
    </row>
    <row r="2089" spans="1:24" x14ac:dyDescent="0.25">
      <c r="A2089" t="s">
        <v>1965</v>
      </c>
      <c r="B2089" t="s">
        <v>2050</v>
      </c>
      <c r="C2089" t="s">
        <v>2102</v>
      </c>
      <c r="D2089" t="s">
        <v>227</v>
      </c>
      <c r="E2089" t="s">
        <v>34</v>
      </c>
      <c r="F2089" t="s">
        <v>1</v>
      </c>
      <c r="G2089" t="s">
        <v>866</v>
      </c>
      <c r="H2089" t="s">
        <v>434</v>
      </c>
      <c r="I2089" t="s">
        <v>1</v>
      </c>
      <c r="J2089">
        <v>8897.74</v>
      </c>
      <c r="K2089">
        <v>16571.153571264</v>
      </c>
      <c r="L2089">
        <v>273.11</v>
      </c>
      <c r="M2089">
        <v>550.74668508287289</v>
      </c>
      <c r="N2089">
        <v>727.05</v>
      </c>
      <c r="O2089">
        <v>546.22</v>
      </c>
      <c r="P2089">
        <v>0</v>
      </c>
      <c r="Q2089">
        <f t="shared" si="425"/>
        <v>546.22</v>
      </c>
      <c r="R2089">
        <v>0</v>
      </c>
      <c r="S2089">
        <f t="shared" si="426"/>
        <v>-546.22</v>
      </c>
      <c r="T2089"/>
      <c r="U2089">
        <f t="shared" si="427"/>
        <v>0</v>
      </c>
      <c r="V2089">
        <f t="shared" si="428"/>
        <v>0</v>
      </c>
      <c r="W2089">
        <f t="shared" si="429"/>
        <v>-546.22</v>
      </c>
      <c r="X2089">
        <v>0</v>
      </c>
    </row>
    <row r="2090" spans="1:24" x14ac:dyDescent="0.25">
      <c r="A2090" t="s">
        <v>1965</v>
      </c>
      <c r="B2090" t="s">
        <v>2050</v>
      </c>
      <c r="C2090" t="s">
        <v>2102</v>
      </c>
      <c r="D2090" t="s">
        <v>227</v>
      </c>
      <c r="E2090" t="s">
        <v>37</v>
      </c>
      <c r="F2090" t="s">
        <v>1</v>
      </c>
      <c r="G2090" t="s">
        <v>866</v>
      </c>
      <c r="H2090" t="s">
        <v>437</v>
      </c>
      <c r="I2090" t="s">
        <v>1</v>
      </c>
      <c r="J2090">
        <v>4525.8</v>
      </c>
      <c r="K2090">
        <v>12552.001207224001</v>
      </c>
      <c r="L2090">
        <v>3242.45</v>
      </c>
      <c r="M2090">
        <v>6538.642265193369</v>
      </c>
      <c r="N2090">
        <v>5092.2</v>
      </c>
      <c r="O2090">
        <v>6484.9</v>
      </c>
      <c r="P2090">
        <v>0</v>
      </c>
      <c r="Q2090">
        <f t="shared" si="425"/>
        <v>6484.9</v>
      </c>
      <c r="R2090">
        <v>6484.9</v>
      </c>
      <c r="S2090">
        <f t="shared" si="426"/>
        <v>0</v>
      </c>
      <c r="T2090"/>
      <c r="U2090">
        <f t="shared" si="427"/>
        <v>0</v>
      </c>
      <c r="V2090">
        <f t="shared" si="428"/>
        <v>6484.9</v>
      </c>
      <c r="W2090">
        <f t="shared" si="429"/>
        <v>0</v>
      </c>
      <c r="X2090">
        <v>0</v>
      </c>
    </row>
    <row r="2091" spans="1:24" x14ac:dyDescent="0.25">
      <c r="A2091" t="s">
        <v>1965</v>
      </c>
      <c r="B2091" t="s">
        <v>2050</v>
      </c>
      <c r="C2091" t="s">
        <v>2102</v>
      </c>
      <c r="D2091" t="s">
        <v>227</v>
      </c>
      <c r="E2091" t="s">
        <v>41</v>
      </c>
      <c r="F2091" t="s">
        <v>1</v>
      </c>
      <c r="G2091" t="s">
        <v>866</v>
      </c>
      <c r="H2091" t="s">
        <v>441</v>
      </c>
      <c r="I2091" t="s">
        <v>1</v>
      </c>
      <c r="J2091">
        <v>27.94</v>
      </c>
      <c r="K2091">
        <v>26.000399999999999</v>
      </c>
      <c r="L2091">
        <v>0</v>
      </c>
      <c r="M2091">
        <v>0</v>
      </c>
      <c r="N2091">
        <v>14.8</v>
      </c>
      <c r="O2091"/>
      <c r="P2091">
        <v>0</v>
      </c>
      <c r="Q2091">
        <f t="shared" si="425"/>
        <v>0</v>
      </c>
      <c r="R2091">
        <v>0</v>
      </c>
      <c r="S2091">
        <f t="shared" si="426"/>
        <v>0</v>
      </c>
      <c r="T2091">
        <v>0.03</v>
      </c>
      <c r="U2091">
        <f t="shared" si="427"/>
        <v>0</v>
      </c>
      <c r="V2091">
        <f t="shared" si="428"/>
        <v>0</v>
      </c>
      <c r="W2091">
        <f t="shared" si="429"/>
        <v>0</v>
      </c>
      <c r="X2091">
        <v>0</v>
      </c>
    </row>
    <row r="2092" spans="1:24" x14ac:dyDescent="0.25">
      <c r="A2092" t="s">
        <v>1965</v>
      </c>
      <c r="B2092" t="s">
        <v>2050</v>
      </c>
      <c r="C2092" t="s">
        <v>2102</v>
      </c>
      <c r="D2092" t="s">
        <v>227</v>
      </c>
      <c r="E2092" t="s">
        <v>42</v>
      </c>
      <c r="F2092" t="s">
        <v>1</v>
      </c>
      <c r="G2092" t="s">
        <v>866</v>
      </c>
      <c r="H2092" t="s">
        <v>442</v>
      </c>
      <c r="I2092" t="s">
        <v>1</v>
      </c>
      <c r="J2092">
        <v>33.229999999999997</v>
      </c>
      <c r="K2092"/>
      <c r="L2092">
        <v>93.2</v>
      </c>
      <c r="M2092">
        <v>187.9447513812155</v>
      </c>
      <c r="N2092">
        <v>126.43</v>
      </c>
      <c r="O2092">
        <v>186.4</v>
      </c>
      <c r="P2092">
        <v>0</v>
      </c>
      <c r="Q2092">
        <f t="shared" si="425"/>
        <v>186.4</v>
      </c>
      <c r="R2092">
        <v>186.4</v>
      </c>
      <c r="S2092">
        <f t="shared" si="426"/>
        <v>0</v>
      </c>
      <c r="T2092">
        <v>0.03</v>
      </c>
      <c r="U2092">
        <f t="shared" si="427"/>
        <v>5.5919999999999996</v>
      </c>
      <c r="V2092">
        <f t="shared" si="428"/>
        <v>191.99200000000002</v>
      </c>
      <c r="W2092">
        <f t="shared" si="429"/>
        <v>5.592000000000013</v>
      </c>
      <c r="X2092">
        <v>0</v>
      </c>
    </row>
    <row r="2093" spans="1:24" x14ac:dyDescent="0.25">
      <c r="A2093" t="s">
        <v>1965</v>
      </c>
      <c r="B2093" t="s">
        <v>2050</v>
      </c>
      <c r="C2093" t="s">
        <v>2102</v>
      </c>
      <c r="D2093" t="s">
        <v>227</v>
      </c>
      <c r="E2093" t="s">
        <v>46</v>
      </c>
      <c r="F2093" t="s">
        <v>1</v>
      </c>
      <c r="G2093" t="s">
        <v>866</v>
      </c>
      <c r="H2093" t="s">
        <v>446</v>
      </c>
      <c r="I2093" t="s">
        <v>1</v>
      </c>
      <c r="J2093"/>
      <c r="K2093"/>
      <c r="L2093">
        <v>373.6</v>
      </c>
      <c r="M2093">
        <v>753.39226519337024</v>
      </c>
      <c r="N2093">
        <v>373.6</v>
      </c>
      <c r="O2093">
        <v>747.2</v>
      </c>
      <c r="P2093">
        <v>0</v>
      </c>
      <c r="Q2093">
        <f t="shared" si="425"/>
        <v>747.2</v>
      </c>
      <c r="R2093">
        <v>747.2</v>
      </c>
      <c r="S2093">
        <f t="shared" si="426"/>
        <v>0</v>
      </c>
      <c r="T2093">
        <v>0.03</v>
      </c>
      <c r="U2093">
        <f t="shared" si="427"/>
        <v>22.416</v>
      </c>
      <c r="V2093">
        <f t="shared" si="428"/>
        <v>769.6160000000001</v>
      </c>
      <c r="W2093">
        <f t="shared" si="429"/>
        <v>22.416000000000054</v>
      </c>
      <c r="X2093">
        <v>0</v>
      </c>
    </row>
    <row r="2094" spans="1:24" x14ac:dyDescent="0.25">
      <c r="A2094" t="s">
        <v>1965</v>
      </c>
      <c r="B2094" t="s">
        <v>2050</v>
      </c>
      <c r="C2094" t="s">
        <v>2102</v>
      </c>
      <c r="D2094" t="s">
        <v>227</v>
      </c>
      <c r="E2094" t="s">
        <v>47</v>
      </c>
      <c r="F2094" t="s">
        <v>1</v>
      </c>
      <c r="G2094" t="s">
        <v>866</v>
      </c>
      <c r="H2094" t="s">
        <v>447</v>
      </c>
      <c r="I2094" t="s">
        <v>1</v>
      </c>
      <c r="J2094">
        <v>460</v>
      </c>
      <c r="K2094">
        <v>920.00040000000001</v>
      </c>
      <c r="L2094">
        <v>0</v>
      </c>
      <c r="M2094">
        <v>0</v>
      </c>
      <c r="N2094">
        <v>0</v>
      </c>
      <c r="O2094"/>
      <c r="P2094">
        <v>0</v>
      </c>
      <c r="Q2094">
        <f t="shared" si="425"/>
        <v>0</v>
      </c>
      <c r="R2094">
        <v>0</v>
      </c>
      <c r="S2094">
        <f t="shared" si="426"/>
        <v>0</v>
      </c>
      <c r="T2094">
        <v>0.03</v>
      </c>
      <c r="U2094">
        <f t="shared" si="427"/>
        <v>0</v>
      </c>
      <c r="V2094">
        <f t="shared" si="428"/>
        <v>0</v>
      </c>
      <c r="W2094">
        <f t="shared" si="429"/>
        <v>0</v>
      </c>
      <c r="X2094">
        <v>0</v>
      </c>
    </row>
    <row r="2095" spans="1:24" x14ac:dyDescent="0.25">
      <c r="A2095" t="s">
        <v>1965</v>
      </c>
      <c r="B2095" t="s">
        <v>2050</v>
      </c>
      <c r="C2095" t="s">
        <v>2102</v>
      </c>
      <c r="D2095" t="s">
        <v>227</v>
      </c>
      <c r="E2095" t="s">
        <v>48</v>
      </c>
      <c r="F2095" t="s">
        <v>1</v>
      </c>
      <c r="G2095" t="s">
        <v>866</v>
      </c>
      <c r="H2095" t="s">
        <v>448</v>
      </c>
      <c r="I2095" t="s">
        <v>1</v>
      </c>
      <c r="J2095">
        <v>15.55</v>
      </c>
      <c r="K2095">
        <v>30.999600000000001</v>
      </c>
      <c r="L2095">
        <v>0</v>
      </c>
      <c r="M2095">
        <v>0</v>
      </c>
      <c r="N2095">
        <v>0</v>
      </c>
      <c r="O2095"/>
      <c r="P2095">
        <v>0</v>
      </c>
      <c r="Q2095">
        <f t="shared" si="425"/>
        <v>0</v>
      </c>
      <c r="R2095">
        <v>0</v>
      </c>
      <c r="S2095">
        <f t="shared" si="426"/>
        <v>0</v>
      </c>
      <c r="T2095">
        <v>0.03</v>
      </c>
      <c r="U2095">
        <f t="shared" si="427"/>
        <v>0</v>
      </c>
      <c r="V2095">
        <f t="shared" si="428"/>
        <v>0</v>
      </c>
      <c r="W2095">
        <f t="shared" si="429"/>
        <v>0</v>
      </c>
      <c r="X2095">
        <v>0</v>
      </c>
    </row>
    <row r="2096" spans="1:24" x14ac:dyDescent="0.25">
      <c r="A2096" t="s">
        <v>1965</v>
      </c>
      <c r="B2096" t="s">
        <v>2050</v>
      </c>
      <c r="C2096" t="s">
        <v>2102</v>
      </c>
      <c r="D2096" t="s">
        <v>227</v>
      </c>
      <c r="E2096" t="s">
        <v>79</v>
      </c>
      <c r="F2096" t="s">
        <v>1</v>
      </c>
      <c r="G2096" t="s">
        <v>866</v>
      </c>
      <c r="H2096" t="s">
        <v>500</v>
      </c>
      <c r="I2096" t="s">
        <v>1</v>
      </c>
      <c r="J2096">
        <v>0</v>
      </c>
      <c r="K2096"/>
      <c r="L2096">
        <v>0</v>
      </c>
      <c r="M2096">
        <v>0</v>
      </c>
      <c r="N2096">
        <v>0</v>
      </c>
      <c r="O2096"/>
      <c r="P2096">
        <v>0</v>
      </c>
      <c r="Q2096">
        <f t="shared" si="425"/>
        <v>0</v>
      </c>
      <c r="R2096">
        <v>0</v>
      </c>
      <c r="S2096">
        <f t="shared" si="426"/>
        <v>0</v>
      </c>
      <c r="T2096">
        <v>0.03</v>
      </c>
      <c r="U2096">
        <f t="shared" si="427"/>
        <v>0</v>
      </c>
      <c r="V2096">
        <f t="shared" si="428"/>
        <v>0</v>
      </c>
      <c r="W2096">
        <f t="shared" si="429"/>
        <v>0</v>
      </c>
      <c r="X2096">
        <v>0</v>
      </c>
    </row>
    <row r="2097" spans="1:24" x14ac:dyDescent="0.25">
      <c r="A2097" t="s">
        <v>1965</v>
      </c>
      <c r="B2097" t="s">
        <v>2050</v>
      </c>
      <c r="C2097" t="s">
        <v>2102</v>
      </c>
      <c r="D2097" t="s">
        <v>227</v>
      </c>
      <c r="E2097" t="s">
        <v>51</v>
      </c>
      <c r="F2097" t="s">
        <v>51</v>
      </c>
      <c r="G2097" t="s">
        <v>867</v>
      </c>
      <c r="H2097"/>
      <c r="I2097"/>
      <c r="J2097">
        <v>55741.37</v>
      </c>
      <c r="K2097">
        <v>89904.452418724715</v>
      </c>
      <c r="L2097">
        <v>37378.939999999995</v>
      </c>
      <c r="M2097">
        <v>75377.420441988957</v>
      </c>
      <c r="N2097">
        <v>78291.45</v>
      </c>
      <c r="O2097">
        <v>74758.191933701688</v>
      </c>
      <c r="P2097">
        <f>SUMIF($F$2078:$F$2096,"&lt;&gt;EV_*",$P$2078:$P$2096)</f>
        <v>0</v>
      </c>
      <c r="Q2097">
        <f>SUMIF($F$2078:$F$2096,"&lt;&gt;EV_*",$Q$2078:$Q$2096)</f>
        <v>74758.191933701688</v>
      </c>
      <c r="R2097">
        <f>SUMIF($F$2078:$F$2096,"&lt;&gt;EV_*",$R$2078:$R$2096)</f>
        <v>64667.94</v>
      </c>
      <c r="S2097">
        <f>SUMIF($F$2078:$F$2096,"&lt;&gt;EV_*",$S$2078:$S$2096)</f>
        <v>-10090.251933701702</v>
      </c>
      <c r="T2097">
        <v>0</v>
      </c>
      <c r="U2097">
        <f>SUMIF($F$2078:$F$2096,"&lt;&gt;EV_*",$U$2078:$U$2096)</f>
        <v>90.483000000000004</v>
      </c>
      <c r="V2097">
        <f>SUMIF($F$2078:$F$2096,"&lt;&gt;EV_*",$V$2078:$V$2096)</f>
        <v>64758.423000000003</v>
      </c>
      <c r="W2097">
        <f>SUMIF($F$2078:$F$2096,"&lt;&gt;EV_*",$W$2078:$W$2096)</f>
        <v>-9999.7689337017018</v>
      </c>
      <c r="X2097">
        <f>SUMIF($F$2078:$F$2096,"&lt;&gt;EV_*",$X$2078:$X$2096)</f>
        <v>0</v>
      </c>
    </row>
    <row r="2098" spans="1:24" x14ac:dyDescent="0.25">
      <c r="A2098" t="s">
        <v>1965</v>
      </c>
      <c r="B2098" t="s">
        <v>2050</v>
      </c>
      <c r="C2098" t="s">
        <v>2103</v>
      </c>
      <c r="D2098" t="s">
        <v>228</v>
      </c>
      <c r="E2098" t="s">
        <v>5</v>
      </c>
      <c r="F2098" t="s">
        <v>5</v>
      </c>
      <c r="G2098" t="s">
        <v>868</v>
      </c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</row>
    <row r="2099" spans="1:24" x14ac:dyDescent="0.25">
      <c r="A2099" t="s">
        <v>1965</v>
      </c>
      <c r="B2099" t="s">
        <v>2050</v>
      </c>
      <c r="C2099" t="s">
        <v>2103</v>
      </c>
      <c r="D2099" t="s">
        <v>228</v>
      </c>
      <c r="E2099" t="s">
        <v>13</v>
      </c>
      <c r="F2099" t="s">
        <v>1</v>
      </c>
      <c r="G2099" t="s">
        <v>869</v>
      </c>
      <c r="H2099" t="s">
        <v>413</v>
      </c>
      <c r="I2099" t="s">
        <v>1</v>
      </c>
      <c r="J2099">
        <v>692.16</v>
      </c>
      <c r="K2099"/>
      <c r="L2099">
        <v>735.71</v>
      </c>
      <c r="M2099">
        <v>1483.6140883977901</v>
      </c>
      <c r="N2099">
        <v>1427.87</v>
      </c>
      <c r="O2099">
        <v>1471.42</v>
      </c>
      <c r="P2099">
        <v>0</v>
      </c>
      <c r="Q2099">
        <f t="shared" ref="Q2099:Q2114" si="430">O2099+P2099</f>
        <v>1471.42</v>
      </c>
      <c r="R2099">
        <v>1471.42</v>
      </c>
      <c r="S2099">
        <f t="shared" ref="S2099:S2114" si="431">IF(OR(LEFT(E2099,2)="A_",LEFT(D2099,5)="Total"),R2099-Q2099,"")</f>
        <v>0</v>
      </c>
      <c r="T2099"/>
      <c r="U2099">
        <f t="shared" ref="U2099:U2114" si="432">IFERROR(R2099*T2099,R2099*0)</f>
        <v>0</v>
      </c>
      <c r="V2099">
        <f t="shared" ref="V2099:V2114" si="433">IF(OR(LEFT(E2099,2)="A_",LEFT(D2099,5)="Total"),R2099+U2099,"")</f>
        <v>1471.42</v>
      </c>
      <c r="W2099">
        <f t="shared" ref="W2099:W2114" si="434">IF(OR(LEFT(E2099,2)="A_",LEFT(D2099,5)="Total"),V2099-Q2099,"")</f>
        <v>0</v>
      </c>
      <c r="X2099">
        <v>0</v>
      </c>
    </row>
    <row r="2100" spans="1:24" x14ac:dyDescent="0.25">
      <c r="A2100" t="s">
        <v>1965</v>
      </c>
      <c r="B2100" t="s">
        <v>2050</v>
      </c>
      <c r="C2100" t="s">
        <v>2103</v>
      </c>
      <c r="D2100" t="s">
        <v>228</v>
      </c>
      <c r="E2100" t="s">
        <v>18</v>
      </c>
      <c r="F2100" t="s">
        <v>1</v>
      </c>
      <c r="G2100" t="s">
        <v>869</v>
      </c>
      <c r="H2100" t="s">
        <v>418</v>
      </c>
      <c r="I2100" t="s">
        <v>1</v>
      </c>
      <c r="J2100">
        <v>85</v>
      </c>
      <c r="K2100"/>
      <c r="L2100">
        <v>0</v>
      </c>
      <c r="M2100">
        <v>0</v>
      </c>
      <c r="N2100">
        <v>0</v>
      </c>
      <c r="O2100"/>
      <c r="P2100">
        <v>0</v>
      </c>
      <c r="Q2100">
        <f t="shared" si="430"/>
        <v>0</v>
      </c>
      <c r="R2100">
        <v>0</v>
      </c>
      <c r="S2100">
        <f t="shared" si="431"/>
        <v>0</v>
      </c>
      <c r="T2100">
        <v>0.02</v>
      </c>
      <c r="U2100">
        <f t="shared" si="432"/>
        <v>0</v>
      </c>
      <c r="V2100">
        <f t="shared" si="433"/>
        <v>0</v>
      </c>
      <c r="W2100">
        <f t="shared" si="434"/>
        <v>0</v>
      </c>
      <c r="X2100">
        <v>0</v>
      </c>
    </row>
    <row r="2101" spans="1:24" x14ac:dyDescent="0.25">
      <c r="A2101" t="s">
        <v>1965</v>
      </c>
      <c r="B2101" t="s">
        <v>2050</v>
      </c>
      <c r="C2101" t="s">
        <v>2103</v>
      </c>
      <c r="D2101" t="s">
        <v>228</v>
      </c>
      <c r="E2101" t="s">
        <v>22</v>
      </c>
      <c r="F2101" t="s">
        <v>1</v>
      </c>
      <c r="G2101" t="s">
        <v>869</v>
      </c>
      <c r="H2101" t="s">
        <v>422</v>
      </c>
      <c r="I2101" t="s">
        <v>1</v>
      </c>
      <c r="J2101"/>
      <c r="K2101"/>
      <c r="L2101">
        <v>945</v>
      </c>
      <c r="M2101">
        <v>1905.6629834254145</v>
      </c>
      <c r="N2101">
        <v>945</v>
      </c>
      <c r="O2101">
        <v>1905.6629834253999</v>
      </c>
      <c r="P2101">
        <v>0</v>
      </c>
      <c r="Q2101">
        <f t="shared" si="430"/>
        <v>1905.6629834253999</v>
      </c>
      <c r="R2101">
        <v>1905.6629834253999</v>
      </c>
      <c r="S2101">
        <f t="shared" si="431"/>
        <v>0</v>
      </c>
      <c r="T2101">
        <v>3.5000000000000003E-2</v>
      </c>
      <c r="U2101">
        <f t="shared" si="432"/>
        <v>66.698204419889009</v>
      </c>
      <c r="V2101">
        <f t="shared" si="433"/>
        <v>1972.3611878452889</v>
      </c>
      <c r="W2101">
        <f t="shared" si="434"/>
        <v>66.698204419888953</v>
      </c>
      <c r="X2101">
        <v>0</v>
      </c>
    </row>
    <row r="2102" spans="1:24" x14ac:dyDescent="0.25">
      <c r="A2102" t="s">
        <v>1965</v>
      </c>
      <c r="B2102" t="s">
        <v>2050</v>
      </c>
      <c r="C2102" t="s">
        <v>2103</v>
      </c>
      <c r="D2102" t="s">
        <v>228</v>
      </c>
      <c r="E2102" t="s">
        <v>24</v>
      </c>
      <c r="F2102" t="s">
        <v>1</v>
      </c>
      <c r="G2102" t="s">
        <v>869</v>
      </c>
      <c r="H2102" t="s">
        <v>424</v>
      </c>
      <c r="I2102" t="s">
        <v>1</v>
      </c>
      <c r="J2102">
        <v>475</v>
      </c>
      <c r="K2102">
        <v>201</v>
      </c>
      <c r="L2102">
        <v>95</v>
      </c>
      <c r="M2102">
        <v>191.57458563535911</v>
      </c>
      <c r="N2102">
        <v>440</v>
      </c>
      <c r="O2102">
        <v>190</v>
      </c>
      <c r="P2102">
        <v>0</v>
      </c>
      <c r="Q2102">
        <f t="shared" si="430"/>
        <v>190</v>
      </c>
      <c r="R2102">
        <v>190</v>
      </c>
      <c r="S2102">
        <f t="shared" si="431"/>
        <v>0</v>
      </c>
      <c r="T2102"/>
      <c r="U2102">
        <f t="shared" si="432"/>
        <v>0</v>
      </c>
      <c r="V2102">
        <f t="shared" si="433"/>
        <v>190</v>
      </c>
      <c r="W2102">
        <f t="shared" si="434"/>
        <v>0</v>
      </c>
      <c r="X2102">
        <v>0</v>
      </c>
    </row>
    <row r="2103" spans="1:24" x14ac:dyDescent="0.25">
      <c r="A2103" t="s">
        <v>1965</v>
      </c>
      <c r="B2103" t="s">
        <v>2050</v>
      </c>
      <c r="C2103" t="s">
        <v>2103</v>
      </c>
      <c r="D2103" t="s">
        <v>228</v>
      </c>
      <c r="E2103" t="s">
        <v>25</v>
      </c>
      <c r="F2103" t="s">
        <v>1</v>
      </c>
      <c r="G2103" t="s">
        <v>869</v>
      </c>
      <c r="H2103" t="s">
        <v>425</v>
      </c>
      <c r="I2103" t="s">
        <v>1</v>
      </c>
      <c r="J2103">
        <v>250</v>
      </c>
      <c r="K2103"/>
      <c r="L2103">
        <v>987</v>
      </c>
      <c r="M2103">
        <v>1990.3591160220997</v>
      </c>
      <c r="N2103">
        <v>1237</v>
      </c>
      <c r="O2103">
        <v>1974</v>
      </c>
      <c r="P2103">
        <v>0</v>
      </c>
      <c r="Q2103">
        <f t="shared" si="430"/>
        <v>1974</v>
      </c>
      <c r="R2103">
        <v>1974</v>
      </c>
      <c r="S2103">
        <f t="shared" si="431"/>
        <v>0</v>
      </c>
      <c r="T2103"/>
      <c r="U2103">
        <f t="shared" si="432"/>
        <v>0</v>
      </c>
      <c r="V2103">
        <f t="shared" si="433"/>
        <v>1974</v>
      </c>
      <c r="W2103">
        <f t="shared" si="434"/>
        <v>0</v>
      </c>
      <c r="X2103">
        <v>0</v>
      </c>
    </row>
    <row r="2104" spans="1:24" x14ac:dyDescent="0.25">
      <c r="A2104" t="s">
        <v>1965</v>
      </c>
      <c r="B2104" t="s">
        <v>2050</v>
      </c>
      <c r="C2104" t="s">
        <v>2103</v>
      </c>
      <c r="D2104" t="s">
        <v>228</v>
      </c>
      <c r="E2104" t="s">
        <v>26</v>
      </c>
      <c r="F2104" t="s">
        <v>1</v>
      </c>
      <c r="G2104" t="s">
        <v>869</v>
      </c>
      <c r="H2104" t="s">
        <v>426</v>
      </c>
      <c r="I2104" t="s">
        <v>1</v>
      </c>
      <c r="J2104">
        <v>4532.78</v>
      </c>
      <c r="K2104">
        <v>5799.1187566212002</v>
      </c>
      <c r="L2104">
        <v>5483.62</v>
      </c>
      <c r="M2104">
        <v>11058.128729281767</v>
      </c>
      <c r="N2104">
        <v>7037.1399999999994</v>
      </c>
      <c r="O2104">
        <v>10967.24</v>
      </c>
      <c r="P2104">
        <v>0</v>
      </c>
      <c r="Q2104">
        <f t="shared" si="430"/>
        <v>10967.24</v>
      </c>
      <c r="R2104">
        <v>10967.24</v>
      </c>
      <c r="S2104">
        <f t="shared" si="431"/>
        <v>0</v>
      </c>
      <c r="T2104"/>
      <c r="U2104">
        <f t="shared" si="432"/>
        <v>0</v>
      </c>
      <c r="V2104">
        <f t="shared" si="433"/>
        <v>10967.24</v>
      </c>
      <c r="W2104">
        <f t="shared" si="434"/>
        <v>0</v>
      </c>
      <c r="X2104">
        <v>0</v>
      </c>
    </row>
    <row r="2105" spans="1:24" x14ac:dyDescent="0.25">
      <c r="A2105" t="s">
        <v>1965</v>
      </c>
      <c r="B2105" t="s">
        <v>2050</v>
      </c>
      <c r="C2105" t="s">
        <v>2103</v>
      </c>
      <c r="D2105" t="s">
        <v>228</v>
      </c>
      <c r="E2105" t="s">
        <v>28</v>
      </c>
      <c r="F2105" t="s">
        <v>1</v>
      </c>
      <c r="G2105" t="s">
        <v>869</v>
      </c>
      <c r="H2105" t="s">
        <v>428</v>
      </c>
      <c r="I2105" t="s">
        <v>1</v>
      </c>
      <c r="J2105">
        <v>2234.63</v>
      </c>
      <c r="K2105">
        <v>1950</v>
      </c>
      <c r="L2105">
        <v>2030.96</v>
      </c>
      <c r="M2105">
        <v>4095.5823204419894</v>
      </c>
      <c r="N2105">
        <v>3290.96</v>
      </c>
      <c r="O2105">
        <v>4061.92</v>
      </c>
      <c r="P2105">
        <v>0</v>
      </c>
      <c r="Q2105">
        <f t="shared" si="430"/>
        <v>4061.92</v>
      </c>
      <c r="R2105">
        <v>4061.92</v>
      </c>
      <c r="S2105">
        <f t="shared" si="431"/>
        <v>0</v>
      </c>
      <c r="T2105"/>
      <c r="U2105">
        <f t="shared" si="432"/>
        <v>0</v>
      </c>
      <c r="V2105">
        <f t="shared" si="433"/>
        <v>4061.92</v>
      </c>
      <c r="W2105">
        <f t="shared" si="434"/>
        <v>0</v>
      </c>
      <c r="X2105">
        <v>0</v>
      </c>
    </row>
    <row r="2106" spans="1:24" x14ac:dyDescent="0.25">
      <c r="A2106" t="s">
        <v>1965</v>
      </c>
      <c r="B2106" t="s">
        <v>2050</v>
      </c>
      <c r="C2106" t="s">
        <v>2103</v>
      </c>
      <c r="D2106" t="s">
        <v>228</v>
      </c>
      <c r="E2106" t="s">
        <v>33</v>
      </c>
      <c r="F2106" t="s">
        <v>1</v>
      </c>
      <c r="G2106" t="s">
        <v>869</v>
      </c>
      <c r="H2106" t="s">
        <v>433</v>
      </c>
      <c r="I2106" t="s">
        <v>1</v>
      </c>
      <c r="J2106">
        <v>5046.43</v>
      </c>
      <c r="K2106"/>
      <c r="L2106">
        <v>0</v>
      </c>
      <c r="M2106">
        <v>0</v>
      </c>
      <c r="N2106">
        <v>217</v>
      </c>
      <c r="O2106"/>
      <c r="P2106">
        <v>0</v>
      </c>
      <c r="Q2106">
        <f t="shared" si="430"/>
        <v>0</v>
      </c>
      <c r="R2106">
        <v>0</v>
      </c>
      <c r="S2106">
        <f t="shared" si="431"/>
        <v>0</v>
      </c>
      <c r="T2106"/>
      <c r="U2106">
        <f t="shared" si="432"/>
        <v>0</v>
      </c>
      <c r="V2106">
        <f t="shared" si="433"/>
        <v>0</v>
      </c>
      <c r="W2106">
        <f t="shared" si="434"/>
        <v>0</v>
      </c>
      <c r="X2106">
        <v>0</v>
      </c>
    </row>
    <row r="2107" spans="1:24" x14ac:dyDescent="0.25">
      <c r="A2107" t="s">
        <v>1965</v>
      </c>
      <c r="B2107" t="s">
        <v>2050</v>
      </c>
      <c r="C2107" t="s">
        <v>2103</v>
      </c>
      <c r="D2107" t="s">
        <v>228</v>
      </c>
      <c r="E2107" t="s">
        <v>34</v>
      </c>
      <c r="F2107" t="s">
        <v>1</v>
      </c>
      <c r="G2107" t="s">
        <v>869</v>
      </c>
      <c r="H2107" t="s">
        <v>434</v>
      </c>
      <c r="I2107" t="s">
        <v>1</v>
      </c>
      <c r="J2107">
        <v>1592.46</v>
      </c>
      <c r="K2107">
        <v>4415.5726573259999</v>
      </c>
      <c r="L2107">
        <v>1248.1300000000001</v>
      </c>
      <c r="M2107">
        <v>2516.9472375690607</v>
      </c>
      <c r="N2107">
        <v>2140.69</v>
      </c>
      <c r="O2107">
        <v>2496.2600000000002</v>
      </c>
      <c r="P2107">
        <v>0</v>
      </c>
      <c r="Q2107">
        <f t="shared" si="430"/>
        <v>2496.2600000000002</v>
      </c>
      <c r="R2107">
        <v>2496.2600000000002</v>
      </c>
      <c r="S2107">
        <f t="shared" si="431"/>
        <v>0</v>
      </c>
      <c r="T2107"/>
      <c r="U2107">
        <f t="shared" si="432"/>
        <v>0</v>
      </c>
      <c r="V2107">
        <f t="shared" si="433"/>
        <v>2496.2600000000002</v>
      </c>
      <c r="W2107">
        <f t="shared" si="434"/>
        <v>0</v>
      </c>
      <c r="X2107">
        <v>0</v>
      </c>
    </row>
    <row r="2108" spans="1:24" x14ac:dyDescent="0.25">
      <c r="A2108" t="s">
        <v>1965</v>
      </c>
      <c r="B2108" t="s">
        <v>2050</v>
      </c>
      <c r="C2108" t="s">
        <v>2103</v>
      </c>
      <c r="D2108" t="s">
        <v>228</v>
      </c>
      <c r="E2108" t="s">
        <v>35</v>
      </c>
      <c r="F2108" t="s">
        <v>1</v>
      </c>
      <c r="G2108" t="s">
        <v>869</v>
      </c>
      <c r="H2108" t="s">
        <v>435</v>
      </c>
      <c r="I2108" t="s">
        <v>1</v>
      </c>
      <c r="J2108"/>
      <c r="K2108">
        <v>1040.0000000004</v>
      </c>
      <c r="L2108">
        <v>0</v>
      </c>
      <c r="M2108">
        <v>0</v>
      </c>
      <c r="N2108">
        <v>0</v>
      </c>
      <c r="O2108"/>
      <c r="P2108">
        <v>0</v>
      </c>
      <c r="Q2108">
        <f t="shared" si="430"/>
        <v>0</v>
      </c>
      <c r="R2108">
        <v>0</v>
      </c>
      <c r="S2108">
        <f t="shared" si="431"/>
        <v>0</v>
      </c>
      <c r="T2108"/>
      <c r="U2108">
        <f t="shared" si="432"/>
        <v>0</v>
      </c>
      <c r="V2108">
        <f t="shared" si="433"/>
        <v>0</v>
      </c>
      <c r="W2108">
        <f t="shared" si="434"/>
        <v>0</v>
      </c>
      <c r="X2108">
        <v>0</v>
      </c>
    </row>
    <row r="2109" spans="1:24" x14ac:dyDescent="0.25">
      <c r="A2109" t="s">
        <v>1965</v>
      </c>
      <c r="B2109" t="s">
        <v>2050</v>
      </c>
      <c r="C2109" t="s">
        <v>2103</v>
      </c>
      <c r="D2109" t="s">
        <v>228</v>
      </c>
      <c r="E2109" t="s">
        <v>37</v>
      </c>
      <c r="F2109" t="s">
        <v>1</v>
      </c>
      <c r="G2109" t="s">
        <v>869</v>
      </c>
      <c r="H2109" t="s">
        <v>437</v>
      </c>
      <c r="I2109" t="s">
        <v>1</v>
      </c>
      <c r="J2109">
        <v>9455.11</v>
      </c>
      <c r="K2109">
        <v>8733.0214778219997</v>
      </c>
      <c r="L2109">
        <v>6324.23</v>
      </c>
      <c r="M2109">
        <v>12753.281491712707</v>
      </c>
      <c r="N2109">
        <v>11251.17</v>
      </c>
      <c r="O2109">
        <v>12648.46</v>
      </c>
      <c r="P2109">
        <v>0</v>
      </c>
      <c r="Q2109">
        <f t="shared" si="430"/>
        <v>12648.46</v>
      </c>
      <c r="R2109">
        <v>12648.46</v>
      </c>
      <c r="S2109">
        <f t="shared" si="431"/>
        <v>0</v>
      </c>
      <c r="T2109"/>
      <c r="U2109">
        <f t="shared" si="432"/>
        <v>0</v>
      </c>
      <c r="V2109">
        <f t="shared" si="433"/>
        <v>12648.46</v>
      </c>
      <c r="W2109">
        <f t="shared" si="434"/>
        <v>0</v>
      </c>
      <c r="X2109">
        <v>0</v>
      </c>
    </row>
    <row r="2110" spans="1:24" x14ac:dyDescent="0.25">
      <c r="A2110" t="s">
        <v>1965</v>
      </c>
      <c r="B2110" t="s">
        <v>2050</v>
      </c>
      <c r="C2110" t="s">
        <v>2103</v>
      </c>
      <c r="D2110" t="s">
        <v>228</v>
      </c>
      <c r="E2110" t="s">
        <v>42</v>
      </c>
      <c r="F2110" t="s">
        <v>1</v>
      </c>
      <c r="G2110" t="s">
        <v>869</v>
      </c>
      <c r="H2110" t="s">
        <v>442</v>
      </c>
      <c r="I2110" t="s">
        <v>1</v>
      </c>
      <c r="J2110">
        <v>66.459999999999994</v>
      </c>
      <c r="K2110"/>
      <c r="L2110">
        <v>81.55</v>
      </c>
      <c r="M2110">
        <v>164.45165745856352</v>
      </c>
      <c r="N2110">
        <v>148.01</v>
      </c>
      <c r="O2110">
        <v>163.1</v>
      </c>
      <c r="P2110">
        <v>0</v>
      </c>
      <c r="Q2110">
        <f t="shared" si="430"/>
        <v>163.1</v>
      </c>
      <c r="R2110">
        <v>163.1</v>
      </c>
      <c r="S2110">
        <f t="shared" si="431"/>
        <v>0</v>
      </c>
      <c r="T2110">
        <v>0.03</v>
      </c>
      <c r="U2110">
        <f t="shared" si="432"/>
        <v>4.8929999999999998</v>
      </c>
      <c r="V2110">
        <f t="shared" si="433"/>
        <v>167.99299999999999</v>
      </c>
      <c r="W2110">
        <f t="shared" si="434"/>
        <v>4.8930000000000007</v>
      </c>
      <c r="X2110">
        <v>0</v>
      </c>
    </row>
    <row r="2111" spans="1:24" x14ac:dyDescent="0.25">
      <c r="A2111" t="s">
        <v>1965</v>
      </c>
      <c r="B2111" t="s">
        <v>2050</v>
      </c>
      <c r="C2111" t="s">
        <v>2103</v>
      </c>
      <c r="D2111" t="s">
        <v>228</v>
      </c>
      <c r="E2111" t="s">
        <v>46</v>
      </c>
      <c r="F2111" t="s">
        <v>1</v>
      </c>
      <c r="G2111" t="s">
        <v>869</v>
      </c>
      <c r="H2111" t="s">
        <v>446</v>
      </c>
      <c r="I2111" t="s">
        <v>1</v>
      </c>
      <c r="J2111">
        <v>745.15</v>
      </c>
      <c r="K2111"/>
      <c r="L2111">
        <v>4385</v>
      </c>
      <c r="M2111">
        <v>8842.6795580110502</v>
      </c>
      <c r="N2111">
        <v>5005</v>
      </c>
      <c r="O2111">
        <v>8770</v>
      </c>
      <c r="P2111">
        <v>0</v>
      </c>
      <c r="Q2111">
        <f t="shared" si="430"/>
        <v>8770</v>
      </c>
      <c r="R2111">
        <v>8770</v>
      </c>
      <c r="S2111">
        <f t="shared" si="431"/>
        <v>0</v>
      </c>
      <c r="T2111">
        <v>0.03</v>
      </c>
      <c r="U2111">
        <f t="shared" si="432"/>
        <v>263.09999999999997</v>
      </c>
      <c r="V2111">
        <f t="shared" si="433"/>
        <v>9033.1</v>
      </c>
      <c r="W2111">
        <f t="shared" si="434"/>
        <v>263.10000000000036</v>
      </c>
      <c r="X2111">
        <v>0</v>
      </c>
    </row>
    <row r="2112" spans="1:24" x14ac:dyDescent="0.25">
      <c r="A2112" t="s">
        <v>1965</v>
      </c>
      <c r="B2112" t="s">
        <v>2050</v>
      </c>
      <c r="C2112" t="s">
        <v>2103</v>
      </c>
      <c r="D2112" t="s">
        <v>228</v>
      </c>
      <c r="E2112" t="s">
        <v>47</v>
      </c>
      <c r="F2112" t="s">
        <v>1</v>
      </c>
      <c r="G2112" t="s">
        <v>869</v>
      </c>
      <c r="H2112" t="s">
        <v>447</v>
      </c>
      <c r="I2112" t="s">
        <v>1</v>
      </c>
      <c r="J2112">
        <v>14130</v>
      </c>
      <c r="K2112">
        <v>14883</v>
      </c>
      <c r="L2112">
        <v>5427.88</v>
      </c>
      <c r="M2112">
        <v>10945.724861878454</v>
      </c>
      <c r="N2112">
        <v>7777.88</v>
      </c>
      <c r="O2112">
        <v>10855.76</v>
      </c>
      <c r="P2112">
        <v>0</v>
      </c>
      <c r="Q2112">
        <f t="shared" si="430"/>
        <v>10855.76</v>
      </c>
      <c r="R2112">
        <v>10855.76</v>
      </c>
      <c r="S2112">
        <f t="shared" si="431"/>
        <v>0</v>
      </c>
      <c r="T2112">
        <v>0.03</v>
      </c>
      <c r="U2112">
        <f t="shared" si="432"/>
        <v>325.6728</v>
      </c>
      <c r="V2112">
        <f t="shared" si="433"/>
        <v>11181.4328</v>
      </c>
      <c r="W2112">
        <f t="shared" si="434"/>
        <v>325.67280000000028</v>
      </c>
      <c r="X2112">
        <v>0</v>
      </c>
    </row>
    <row r="2113" spans="1:24" x14ac:dyDescent="0.25">
      <c r="A2113" t="s">
        <v>1965</v>
      </c>
      <c r="B2113" t="s">
        <v>2050</v>
      </c>
      <c r="C2113" t="s">
        <v>2103</v>
      </c>
      <c r="D2113" t="s">
        <v>228</v>
      </c>
      <c r="E2113" t="s">
        <v>79</v>
      </c>
      <c r="F2113" t="s">
        <v>1</v>
      </c>
      <c r="G2113" t="s">
        <v>869</v>
      </c>
      <c r="H2113" t="s">
        <v>500</v>
      </c>
      <c r="I2113" t="s">
        <v>1</v>
      </c>
      <c r="J2113">
        <v>18748.34</v>
      </c>
      <c r="K2113"/>
      <c r="L2113">
        <v>0</v>
      </c>
      <c r="M2113">
        <v>0</v>
      </c>
      <c r="N2113">
        <v>17068.34</v>
      </c>
      <c r="O2113"/>
      <c r="P2113">
        <v>0</v>
      </c>
      <c r="Q2113">
        <f t="shared" si="430"/>
        <v>0</v>
      </c>
      <c r="R2113">
        <v>0</v>
      </c>
      <c r="S2113">
        <f t="shared" si="431"/>
        <v>0</v>
      </c>
      <c r="T2113">
        <v>0.03</v>
      </c>
      <c r="U2113">
        <f t="shared" si="432"/>
        <v>0</v>
      </c>
      <c r="V2113">
        <f t="shared" si="433"/>
        <v>0</v>
      </c>
      <c r="W2113">
        <f t="shared" si="434"/>
        <v>0</v>
      </c>
      <c r="X2113">
        <v>0</v>
      </c>
    </row>
    <row r="2114" spans="1:24" x14ac:dyDescent="0.25">
      <c r="A2114" t="s">
        <v>1965</v>
      </c>
      <c r="B2114" t="s">
        <v>2050</v>
      </c>
      <c r="C2114" t="s">
        <v>2103</v>
      </c>
      <c r="D2114" t="s">
        <v>228</v>
      </c>
      <c r="E2114" t="s">
        <v>50</v>
      </c>
      <c r="F2114" t="s">
        <v>1</v>
      </c>
      <c r="G2114" t="s">
        <v>869</v>
      </c>
      <c r="H2114" t="s">
        <v>450</v>
      </c>
      <c r="I2114" t="s">
        <v>1</v>
      </c>
      <c r="J2114">
        <v>173.33</v>
      </c>
      <c r="K2114">
        <v>170.00000000040001</v>
      </c>
      <c r="L2114">
        <v>87.72</v>
      </c>
      <c r="M2114">
        <v>176.89392265193371</v>
      </c>
      <c r="N2114">
        <v>182.36</v>
      </c>
      <c r="O2114">
        <v>176.8939226519</v>
      </c>
      <c r="P2114">
        <v>0</v>
      </c>
      <c r="Q2114">
        <f t="shared" si="430"/>
        <v>176.8939226519</v>
      </c>
      <c r="R2114">
        <v>176.8939226519</v>
      </c>
      <c r="S2114">
        <f t="shared" si="431"/>
        <v>0</v>
      </c>
      <c r="T2114"/>
      <c r="U2114">
        <f t="shared" si="432"/>
        <v>0</v>
      </c>
      <c r="V2114">
        <f t="shared" si="433"/>
        <v>176.8939226519</v>
      </c>
      <c r="W2114">
        <f t="shared" si="434"/>
        <v>0</v>
      </c>
      <c r="X2114">
        <v>0</v>
      </c>
    </row>
    <row r="2115" spans="1:24" x14ac:dyDescent="0.25">
      <c r="A2115" t="s">
        <v>1965</v>
      </c>
      <c r="B2115" t="s">
        <v>2050</v>
      </c>
      <c r="C2115" t="s">
        <v>2103</v>
      </c>
      <c r="D2115" t="s">
        <v>228</v>
      </c>
      <c r="E2115" t="s">
        <v>51</v>
      </c>
      <c r="F2115" t="s">
        <v>51</v>
      </c>
      <c r="G2115" t="s">
        <v>870</v>
      </c>
      <c r="H2115"/>
      <c r="I2115"/>
      <c r="J2115">
        <v>58226.850000000006</v>
      </c>
      <c r="K2115">
        <v>37191.712891769996</v>
      </c>
      <c r="L2115">
        <v>27831.800000000003</v>
      </c>
      <c r="M2115">
        <v>56124.900552486193</v>
      </c>
      <c r="N2115">
        <v>58168.42</v>
      </c>
      <c r="O2115">
        <v>55680.716906077301</v>
      </c>
      <c r="P2115">
        <f>SUMIF($F$2098:$F$2114,"&lt;&gt;EV_*",$P$2098:$P$2114)</f>
        <v>0</v>
      </c>
      <c r="Q2115">
        <f>SUMIF($F$2098:$F$2114,"&lt;&gt;EV_*",$Q$2098:$Q$2114)</f>
        <v>55680.716906077301</v>
      </c>
      <c r="R2115">
        <f>SUMIF($F$2098:$F$2114,"&lt;&gt;EV_*",$R$2098:$R$2114)</f>
        <v>55680.716906077301</v>
      </c>
      <c r="S2115">
        <f>SUMIF($F$2098:$F$2114,"&lt;&gt;EV_*",$S$2098:$S$2114)</f>
        <v>0</v>
      </c>
      <c r="T2115">
        <v>0</v>
      </c>
      <c r="U2115">
        <f>SUMIF($F$2098:$F$2114,"&lt;&gt;EV_*",$U$2098:$U$2114)</f>
        <v>660.36400441988894</v>
      </c>
      <c r="V2115">
        <f>SUMIF($F$2098:$F$2114,"&lt;&gt;EV_*",$V$2098:$V$2114)</f>
        <v>56341.080910497192</v>
      </c>
      <c r="W2115">
        <f>SUMIF($F$2098:$F$2114,"&lt;&gt;EV_*",$W$2098:$W$2114)</f>
        <v>660.36400441988962</v>
      </c>
      <c r="X2115">
        <f>SUMIF($F$2098:$F$2114,"&lt;&gt;EV_*",$X$2098:$X$2114)</f>
        <v>0</v>
      </c>
    </row>
    <row r="2116" spans="1:24" x14ac:dyDescent="0.25">
      <c r="A2116" t="s">
        <v>1965</v>
      </c>
      <c r="B2116" t="s">
        <v>2050</v>
      </c>
      <c r="C2116" t="s">
        <v>2104</v>
      </c>
      <c r="D2116" t="s">
        <v>229</v>
      </c>
      <c r="E2116" t="s">
        <v>5</v>
      </c>
      <c r="F2116" t="s">
        <v>5</v>
      </c>
      <c r="G2116" t="s">
        <v>871</v>
      </c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</row>
    <row r="2117" spans="1:24" x14ac:dyDescent="0.25">
      <c r="A2117" t="s">
        <v>1965</v>
      </c>
      <c r="B2117" t="s">
        <v>2050</v>
      </c>
      <c r="C2117" t="s">
        <v>2104</v>
      </c>
      <c r="D2117" t="s">
        <v>229</v>
      </c>
      <c r="E2117" t="s">
        <v>13</v>
      </c>
      <c r="F2117" t="s">
        <v>1</v>
      </c>
      <c r="G2117" t="s">
        <v>872</v>
      </c>
      <c r="H2117" t="s">
        <v>413</v>
      </c>
      <c r="I2117" t="s">
        <v>1</v>
      </c>
      <c r="J2117"/>
      <c r="K2117"/>
      <c r="L2117">
        <v>424.57</v>
      </c>
      <c r="M2117">
        <v>856.17707182320441</v>
      </c>
      <c r="N2117">
        <v>424.57</v>
      </c>
      <c r="O2117">
        <v>849.14</v>
      </c>
      <c r="P2117">
        <v>0</v>
      </c>
      <c r="Q2117">
        <f t="shared" ref="Q2117:Q2132" si="435">O2117+P2117</f>
        <v>849.14</v>
      </c>
      <c r="R2117">
        <v>849.14</v>
      </c>
      <c r="S2117">
        <f t="shared" ref="S2117:S2132" si="436">IF(OR(LEFT(E2117,2)="A_",LEFT(D2117,5)="Total"),R2117-Q2117,"")</f>
        <v>0</v>
      </c>
      <c r="T2117"/>
      <c r="U2117">
        <f t="shared" ref="U2117:U2132" si="437">IFERROR(R2117*T2117,R2117*0)</f>
        <v>0</v>
      </c>
      <c r="V2117">
        <f t="shared" ref="V2117:V2132" si="438">IF(OR(LEFT(E2117,2)="A_",LEFT(D2117,5)="Total"),R2117+U2117,"")</f>
        <v>849.14</v>
      </c>
      <c r="W2117">
        <f t="shared" ref="W2117:W2132" si="439">IF(OR(LEFT(E2117,2)="A_",LEFT(D2117,5)="Total"),V2117-Q2117,"")</f>
        <v>0</v>
      </c>
      <c r="X2117">
        <v>0</v>
      </c>
    </row>
    <row r="2118" spans="1:24" x14ac:dyDescent="0.25">
      <c r="A2118" t="s">
        <v>1965</v>
      </c>
      <c r="B2118" t="s">
        <v>2050</v>
      </c>
      <c r="C2118" t="s">
        <v>2104</v>
      </c>
      <c r="D2118" t="s">
        <v>229</v>
      </c>
      <c r="E2118" t="s">
        <v>21</v>
      </c>
      <c r="F2118" t="s">
        <v>1</v>
      </c>
      <c r="G2118" t="s">
        <v>872</v>
      </c>
      <c r="H2118" t="s">
        <v>421</v>
      </c>
      <c r="I2118" t="s">
        <v>1</v>
      </c>
      <c r="J2118">
        <v>318.60000000000002</v>
      </c>
      <c r="K2118"/>
      <c r="L2118">
        <v>238.54</v>
      </c>
      <c r="M2118">
        <v>481.03370165745855</v>
      </c>
      <c r="N2118">
        <v>557.14</v>
      </c>
      <c r="O2118">
        <v>481.03370165749999</v>
      </c>
      <c r="P2118">
        <v>0</v>
      </c>
      <c r="Q2118">
        <f t="shared" si="435"/>
        <v>481.03370165749999</v>
      </c>
      <c r="R2118">
        <v>481.03370165749999</v>
      </c>
      <c r="S2118">
        <f t="shared" si="436"/>
        <v>0</v>
      </c>
      <c r="T2118">
        <v>0.03</v>
      </c>
      <c r="U2118">
        <f t="shared" si="437"/>
        <v>14.431011049724999</v>
      </c>
      <c r="V2118">
        <f t="shared" si="438"/>
        <v>495.46471270722498</v>
      </c>
      <c r="W2118">
        <f t="shared" si="439"/>
        <v>14.431011049724987</v>
      </c>
      <c r="X2118">
        <v>0</v>
      </c>
    </row>
    <row r="2119" spans="1:24" x14ac:dyDescent="0.25">
      <c r="A2119" t="s">
        <v>1965</v>
      </c>
      <c r="B2119" t="s">
        <v>2050</v>
      </c>
      <c r="C2119" t="s">
        <v>2104</v>
      </c>
      <c r="D2119" t="s">
        <v>229</v>
      </c>
      <c r="E2119" t="s">
        <v>22</v>
      </c>
      <c r="F2119" t="s">
        <v>1</v>
      </c>
      <c r="G2119" t="s">
        <v>872</v>
      </c>
      <c r="H2119" t="s">
        <v>422</v>
      </c>
      <c r="I2119" t="s">
        <v>1</v>
      </c>
      <c r="J2119">
        <v>722.94</v>
      </c>
      <c r="K2119"/>
      <c r="L2119">
        <v>0</v>
      </c>
      <c r="M2119">
        <v>0</v>
      </c>
      <c r="N2119">
        <v>722.94</v>
      </c>
      <c r="O2119"/>
      <c r="P2119">
        <v>0</v>
      </c>
      <c r="Q2119">
        <f t="shared" si="435"/>
        <v>0</v>
      </c>
      <c r="R2119">
        <v>0</v>
      </c>
      <c r="S2119">
        <f t="shared" si="436"/>
        <v>0</v>
      </c>
      <c r="T2119">
        <v>3.5000000000000003E-2</v>
      </c>
      <c r="U2119">
        <f t="shared" si="437"/>
        <v>0</v>
      </c>
      <c r="V2119">
        <f t="shared" si="438"/>
        <v>0</v>
      </c>
      <c r="W2119">
        <f t="shared" si="439"/>
        <v>0</v>
      </c>
      <c r="X2119">
        <v>0</v>
      </c>
    </row>
    <row r="2120" spans="1:24" x14ac:dyDescent="0.25">
      <c r="A2120" t="s">
        <v>1965</v>
      </c>
      <c r="B2120" t="s">
        <v>2050</v>
      </c>
      <c r="C2120" t="s">
        <v>2104</v>
      </c>
      <c r="D2120" t="s">
        <v>229</v>
      </c>
      <c r="E2120" t="s">
        <v>26</v>
      </c>
      <c r="F2120" t="s">
        <v>1</v>
      </c>
      <c r="G2120" t="s">
        <v>872</v>
      </c>
      <c r="H2120" t="s">
        <v>426</v>
      </c>
      <c r="I2120" t="s">
        <v>1</v>
      </c>
      <c r="J2120">
        <v>29974.07</v>
      </c>
      <c r="K2120">
        <v>31464.477821683198</v>
      </c>
      <c r="L2120">
        <v>18633.330000000002</v>
      </c>
      <c r="M2120">
        <v>37575.499723756911</v>
      </c>
      <c r="N2120">
        <v>31065.21</v>
      </c>
      <c r="O2120">
        <v>37266.660000000003</v>
      </c>
      <c r="P2120">
        <v>0</v>
      </c>
      <c r="Q2120">
        <f t="shared" si="435"/>
        <v>37266.660000000003</v>
      </c>
      <c r="R2120">
        <v>40766.660000000003</v>
      </c>
      <c r="S2120">
        <f t="shared" si="436"/>
        <v>3500</v>
      </c>
      <c r="T2120"/>
      <c r="U2120">
        <f t="shared" si="437"/>
        <v>0</v>
      </c>
      <c r="V2120">
        <f t="shared" si="438"/>
        <v>40766.660000000003</v>
      </c>
      <c r="W2120">
        <f t="shared" si="439"/>
        <v>3500</v>
      </c>
      <c r="X2120" t="s">
        <v>1658</v>
      </c>
    </row>
    <row r="2121" spans="1:24" x14ac:dyDescent="0.25">
      <c r="A2121" t="s">
        <v>1965</v>
      </c>
      <c r="B2121" t="s">
        <v>2050</v>
      </c>
      <c r="C2121" t="s">
        <v>2104</v>
      </c>
      <c r="D2121" t="s">
        <v>229</v>
      </c>
      <c r="E2121" t="s">
        <v>28</v>
      </c>
      <c r="F2121" t="s">
        <v>1</v>
      </c>
      <c r="G2121" t="s">
        <v>872</v>
      </c>
      <c r="H2121" t="s">
        <v>428</v>
      </c>
      <c r="I2121" t="s">
        <v>1</v>
      </c>
      <c r="J2121">
        <v>99.19</v>
      </c>
      <c r="K2121">
        <v>-14.01</v>
      </c>
      <c r="L2121">
        <v>0</v>
      </c>
      <c r="M2121">
        <v>0</v>
      </c>
      <c r="N2121">
        <v>99.19</v>
      </c>
      <c r="O2121"/>
      <c r="P2121">
        <v>0</v>
      </c>
      <c r="Q2121">
        <f t="shared" si="435"/>
        <v>0</v>
      </c>
      <c r="R2121">
        <v>0</v>
      </c>
      <c r="S2121">
        <f t="shared" si="436"/>
        <v>0</v>
      </c>
      <c r="T2121"/>
      <c r="U2121">
        <f t="shared" si="437"/>
        <v>0</v>
      </c>
      <c r="V2121">
        <f t="shared" si="438"/>
        <v>0</v>
      </c>
      <c r="W2121">
        <f t="shared" si="439"/>
        <v>0</v>
      </c>
      <c r="X2121">
        <v>0</v>
      </c>
    </row>
    <row r="2122" spans="1:24" x14ac:dyDescent="0.25">
      <c r="A2122" t="s">
        <v>1965</v>
      </c>
      <c r="B2122" t="s">
        <v>2050</v>
      </c>
      <c r="C2122" t="s">
        <v>2104</v>
      </c>
      <c r="D2122" t="s">
        <v>229</v>
      </c>
      <c r="E2122" t="s">
        <v>29</v>
      </c>
      <c r="F2122" t="s">
        <v>1</v>
      </c>
      <c r="G2122" t="s">
        <v>872</v>
      </c>
      <c r="H2122" t="s">
        <v>429</v>
      </c>
      <c r="I2122" t="s">
        <v>1</v>
      </c>
      <c r="J2122"/>
      <c r="K2122">
        <v>500.00040000000001</v>
      </c>
      <c r="L2122">
        <v>660.42</v>
      </c>
      <c r="M2122">
        <v>1331.7861878453039</v>
      </c>
      <c r="N2122">
        <v>660.42</v>
      </c>
      <c r="O2122">
        <v>1320.84</v>
      </c>
      <c r="P2122">
        <v>0</v>
      </c>
      <c r="Q2122">
        <f t="shared" si="435"/>
        <v>1320.84</v>
      </c>
      <c r="R2122">
        <v>660.42</v>
      </c>
      <c r="S2122">
        <f t="shared" si="436"/>
        <v>-660.42</v>
      </c>
      <c r="T2122"/>
      <c r="U2122">
        <f t="shared" si="437"/>
        <v>0</v>
      </c>
      <c r="V2122">
        <f t="shared" si="438"/>
        <v>660.42</v>
      </c>
      <c r="W2122">
        <f t="shared" si="439"/>
        <v>-660.42</v>
      </c>
      <c r="X2122" t="s">
        <v>1659</v>
      </c>
    </row>
    <row r="2123" spans="1:24" x14ac:dyDescent="0.25">
      <c r="A2123" t="s">
        <v>1965</v>
      </c>
      <c r="B2123" t="s">
        <v>2050</v>
      </c>
      <c r="C2123" t="s">
        <v>2104</v>
      </c>
      <c r="D2123" t="s">
        <v>229</v>
      </c>
      <c r="E2123" t="s">
        <v>31</v>
      </c>
      <c r="F2123" t="s">
        <v>1</v>
      </c>
      <c r="G2123" t="s">
        <v>872</v>
      </c>
      <c r="H2123" t="s">
        <v>431</v>
      </c>
      <c r="I2123" t="s">
        <v>1</v>
      </c>
      <c r="J2123"/>
      <c r="K2123"/>
      <c r="L2123">
        <v>1575.4</v>
      </c>
      <c r="M2123">
        <v>3176.9116022099452</v>
      </c>
      <c r="N2123">
        <v>1575.4</v>
      </c>
      <c r="O2123">
        <v>3150.8</v>
      </c>
      <c r="P2123">
        <v>0</v>
      </c>
      <c r="Q2123">
        <f t="shared" si="435"/>
        <v>3150.8</v>
      </c>
      <c r="R2123">
        <v>304</v>
      </c>
      <c r="S2123">
        <f t="shared" si="436"/>
        <v>-2846.8</v>
      </c>
      <c r="T2123"/>
      <c r="U2123">
        <f t="shared" si="437"/>
        <v>0</v>
      </c>
      <c r="V2123">
        <f t="shared" si="438"/>
        <v>304</v>
      </c>
      <c r="W2123">
        <f t="shared" si="439"/>
        <v>-2846.8</v>
      </c>
      <c r="X2123" t="s">
        <v>1660</v>
      </c>
    </row>
    <row r="2124" spans="1:24" x14ac:dyDescent="0.25">
      <c r="A2124" t="s">
        <v>1965</v>
      </c>
      <c r="B2124" t="s">
        <v>2050</v>
      </c>
      <c r="C2124" t="s">
        <v>2104</v>
      </c>
      <c r="D2124" t="s">
        <v>229</v>
      </c>
      <c r="E2124" t="s">
        <v>33</v>
      </c>
      <c r="F2124" t="s">
        <v>1</v>
      </c>
      <c r="G2124" t="s">
        <v>872</v>
      </c>
      <c r="H2124" t="s">
        <v>433</v>
      </c>
      <c r="I2124" t="s">
        <v>1</v>
      </c>
      <c r="J2124">
        <v>11605.87</v>
      </c>
      <c r="K2124">
        <v>19134.1481817444</v>
      </c>
      <c r="L2124">
        <v>7022.11</v>
      </c>
      <c r="M2124">
        <v>14160.60856353591</v>
      </c>
      <c r="N2124">
        <v>7504.33</v>
      </c>
      <c r="O2124">
        <v>14044.22</v>
      </c>
      <c r="P2124">
        <v>0</v>
      </c>
      <c r="Q2124">
        <f t="shared" si="435"/>
        <v>14044.22</v>
      </c>
      <c r="R2124">
        <v>19134.1481817444</v>
      </c>
      <c r="S2124">
        <f t="shared" si="436"/>
        <v>5089.9281817444007</v>
      </c>
      <c r="T2124"/>
      <c r="U2124">
        <f t="shared" si="437"/>
        <v>0</v>
      </c>
      <c r="V2124">
        <f t="shared" si="438"/>
        <v>19134.1481817444</v>
      </c>
      <c r="W2124">
        <f t="shared" si="439"/>
        <v>5089.9281817444007</v>
      </c>
      <c r="X2124">
        <v>0</v>
      </c>
    </row>
    <row r="2125" spans="1:24" x14ac:dyDescent="0.25">
      <c r="A2125" t="s">
        <v>1965</v>
      </c>
      <c r="B2125" t="s">
        <v>2050</v>
      </c>
      <c r="C2125" t="s">
        <v>2104</v>
      </c>
      <c r="D2125" t="s">
        <v>229</v>
      </c>
      <c r="E2125" t="s">
        <v>34</v>
      </c>
      <c r="F2125" t="s">
        <v>1</v>
      </c>
      <c r="G2125" t="s">
        <v>872</v>
      </c>
      <c r="H2125" t="s">
        <v>434</v>
      </c>
      <c r="I2125" t="s">
        <v>1</v>
      </c>
      <c r="J2125">
        <v>2419.91</v>
      </c>
      <c r="K2125">
        <v>1962.4767290843999</v>
      </c>
      <c r="L2125">
        <v>634.48</v>
      </c>
      <c r="M2125">
        <v>1279.4762430939227</v>
      </c>
      <c r="N2125">
        <v>1499.48</v>
      </c>
      <c r="O2125">
        <v>1268.96</v>
      </c>
      <c r="P2125">
        <v>0</v>
      </c>
      <c r="Q2125">
        <f t="shared" si="435"/>
        <v>1268.96</v>
      </c>
      <c r="R2125">
        <v>2300</v>
      </c>
      <c r="S2125">
        <f t="shared" si="436"/>
        <v>1031.04</v>
      </c>
      <c r="T2125"/>
      <c r="U2125">
        <f t="shared" si="437"/>
        <v>0</v>
      </c>
      <c r="V2125">
        <f t="shared" si="438"/>
        <v>2300</v>
      </c>
      <c r="W2125">
        <f t="shared" si="439"/>
        <v>1031.04</v>
      </c>
      <c r="X2125">
        <v>0</v>
      </c>
    </row>
    <row r="2126" spans="1:24" x14ac:dyDescent="0.25">
      <c r="A2126" t="s">
        <v>1965</v>
      </c>
      <c r="B2126" t="s">
        <v>2050</v>
      </c>
      <c r="C2126" t="s">
        <v>2104</v>
      </c>
      <c r="D2126" t="s">
        <v>229</v>
      </c>
      <c r="E2126" t="s">
        <v>37</v>
      </c>
      <c r="F2126" t="s">
        <v>1</v>
      </c>
      <c r="G2126" t="s">
        <v>872</v>
      </c>
      <c r="H2126" t="s">
        <v>437</v>
      </c>
      <c r="I2126" t="s">
        <v>1</v>
      </c>
      <c r="J2126">
        <v>22243.200000000001</v>
      </c>
      <c r="K2126">
        <v>24530.959214869199</v>
      </c>
      <c r="L2126">
        <v>19255.97</v>
      </c>
      <c r="M2126">
        <v>38831.09972375691</v>
      </c>
      <c r="N2126">
        <v>23850.38</v>
      </c>
      <c r="O2126">
        <v>38511.94</v>
      </c>
      <c r="P2126">
        <v>0</v>
      </c>
      <c r="Q2126">
        <f t="shared" si="435"/>
        <v>38511.94</v>
      </c>
      <c r="R2126">
        <v>24530.959214869199</v>
      </c>
      <c r="S2126">
        <f t="shared" si="436"/>
        <v>-13980.980785130803</v>
      </c>
      <c r="T2126"/>
      <c r="U2126">
        <f t="shared" si="437"/>
        <v>0</v>
      </c>
      <c r="V2126">
        <f t="shared" si="438"/>
        <v>24530.959214869199</v>
      </c>
      <c r="W2126">
        <f t="shared" si="439"/>
        <v>-13980.980785130803</v>
      </c>
      <c r="X2126">
        <v>0</v>
      </c>
    </row>
    <row r="2127" spans="1:24" x14ac:dyDescent="0.25">
      <c r="A2127" t="s">
        <v>1965</v>
      </c>
      <c r="B2127" t="s">
        <v>2050</v>
      </c>
      <c r="C2127" t="s">
        <v>2104</v>
      </c>
      <c r="D2127" t="s">
        <v>229</v>
      </c>
      <c r="E2127" t="s">
        <v>230</v>
      </c>
      <c r="F2127" t="s">
        <v>1</v>
      </c>
      <c r="G2127" t="s">
        <v>872</v>
      </c>
      <c r="H2127" t="s">
        <v>873</v>
      </c>
      <c r="I2127" t="s">
        <v>1</v>
      </c>
      <c r="J2127">
        <v>263.92</v>
      </c>
      <c r="K2127"/>
      <c r="L2127">
        <v>0</v>
      </c>
      <c r="M2127">
        <v>0</v>
      </c>
      <c r="N2127">
        <v>0</v>
      </c>
      <c r="O2127"/>
      <c r="P2127">
        <v>0</v>
      </c>
      <c r="Q2127">
        <f t="shared" si="435"/>
        <v>0</v>
      </c>
      <c r="R2127">
        <v>0</v>
      </c>
      <c r="S2127">
        <f t="shared" si="436"/>
        <v>0</v>
      </c>
      <c r="T2127"/>
      <c r="U2127">
        <f t="shared" si="437"/>
        <v>0</v>
      </c>
      <c r="V2127">
        <f t="shared" si="438"/>
        <v>0</v>
      </c>
      <c r="W2127">
        <f t="shared" si="439"/>
        <v>0</v>
      </c>
      <c r="X2127">
        <v>0</v>
      </c>
    </row>
    <row r="2128" spans="1:24" x14ac:dyDescent="0.25">
      <c r="A2128" t="s">
        <v>1965</v>
      </c>
      <c r="B2128" t="s">
        <v>2050</v>
      </c>
      <c r="C2128" t="s">
        <v>2104</v>
      </c>
      <c r="D2128" t="s">
        <v>229</v>
      </c>
      <c r="E2128" t="s">
        <v>41</v>
      </c>
      <c r="F2128" t="s">
        <v>1</v>
      </c>
      <c r="G2128" t="s">
        <v>872</v>
      </c>
      <c r="H2128" t="s">
        <v>441</v>
      </c>
      <c r="I2128" t="s">
        <v>1</v>
      </c>
      <c r="J2128"/>
      <c r="K2128"/>
      <c r="L2128">
        <v>518.16999999999996</v>
      </c>
      <c r="M2128">
        <v>1044.928453038674</v>
      </c>
      <c r="N2128">
        <v>518.16999999999996</v>
      </c>
      <c r="O2128">
        <v>1036.3399999999999</v>
      </c>
      <c r="P2128">
        <v>0</v>
      </c>
      <c r="Q2128">
        <f t="shared" si="435"/>
        <v>1036.3399999999999</v>
      </c>
      <c r="R2128">
        <v>100.32000000000001</v>
      </c>
      <c r="S2128">
        <f t="shared" si="436"/>
        <v>-936.01999999999987</v>
      </c>
      <c r="T2128">
        <v>0.03</v>
      </c>
      <c r="U2128">
        <f t="shared" si="437"/>
        <v>3.0096000000000003</v>
      </c>
      <c r="V2128">
        <f t="shared" si="438"/>
        <v>103.32960000000001</v>
      </c>
      <c r="W2128">
        <f t="shared" si="439"/>
        <v>-933.01039999999989</v>
      </c>
      <c r="X2128">
        <v>0</v>
      </c>
    </row>
    <row r="2129" spans="1:24" x14ac:dyDescent="0.25">
      <c r="A2129" t="s">
        <v>1965</v>
      </c>
      <c r="B2129" t="s">
        <v>2050</v>
      </c>
      <c r="C2129" t="s">
        <v>2104</v>
      </c>
      <c r="D2129" t="s">
        <v>229</v>
      </c>
      <c r="E2129" t="s">
        <v>42</v>
      </c>
      <c r="F2129" t="s">
        <v>1</v>
      </c>
      <c r="G2129" t="s">
        <v>872</v>
      </c>
      <c r="H2129" t="s">
        <v>442</v>
      </c>
      <c r="I2129" t="s">
        <v>1</v>
      </c>
      <c r="J2129">
        <v>9858.81</v>
      </c>
      <c r="K2129">
        <v>9570.9999999995998</v>
      </c>
      <c r="L2129">
        <v>34.950000000000003</v>
      </c>
      <c r="M2129">
        <v>70.479281767955811</v>
      </c>
      <c r="N2129">
        <v>9893.76</v>
      </c>
      <c r="O2129">
        <v>69.900000000000006</v>
      </c>
      <c r="P2129">
        <v>0</v>
      </c>
      <c r="Q2129">
        <f t="shared" si="435"/>
        <v>69.900000000000006</v>
      </c>
      <c r="R2129">
        <v>9893.76</v>
      </c>
      <c r="S2129">
        <f t="shared" si="436"/>
        <v>9823.86</v>
      </c>
      <c r="T2129">
        <v>0.03</v>
      </c>
      <c r="U2129">
        <f t="shared" si="437"/>
        <v>296.81279999999998</v>
      </c>
      <c r="V2129">
        <f t="shared" si="438"/>
        <v>10190.5728</v>
      </c>
      <c r="W2129">
        <f t="shared" si="439"/>
        <v>10120.6728</v>
      </c>
      <c r="X2129" t="s">
        <v>1661</v>
      </c>
    </row>
    <row r="2130" spans="1:24" x14ac:dyDescent="0.25">
      <c r="A2130" t="s">
        <v>1965</v>
      </c>
      <c r="B2130" t="s">
        <v>2050</v>
      </c>
      <c r="C2130" t="s">
        <v>2104</v>
      </c>
      <c r="D2130" t="s">
        <v>229</v>
      </c>
      <c r="E2130" t="s">
        <v>46</v>
      </c>
      <c r="F2130" t="s">
        <v>1</v>
      </c>
      <c r="G2130" t="s">
        <v>872</v>
      </c>
      <c r="H2130" t="s">
        <v>446</v>
      </c>
      <c r="I2130" t="s">
        <v>1</v>
      </c>
      <c r="J2130">
        <v>205.54</v>
      </c>
      <c r="K2130"/>
      <c r="L2130">
        <v>0</v>
      </c>
      <c r="M2130">
        <v>0</v>
      </c>
      <c r="N2130">
        <v>205.54</v>
      </c>
      <c r="O2130"/>
      <c r="P2130">
        <v>0</v>
      </c>
      <c r="Q2130">
        <f t="shared" si="435"/>
        <v>0</v>
      </c>
      <c r="R2130">
        <v>0</v>
      </c>
      <c r="S2130">
        <f t="shared" si="436"/>
        <v>0</v>
      </c>
      <c r="T2130">
        <v>0.03</v>
      </c>
      <c r="U2130">
        <f t="shared" si="437"/>
        <v>0</v>
      </c>
      <c r="V2130">
        <f t="shared" si="438"/>
        <v>0</v>
      </c>
      <c r="W2130">
        <f t="shared" si="439"/>
        <v>0</v>
      </c>
      <c r="X2130">
        <v>0</v>
      </c>
    </row>
    <row r="2131" spans="1:24" x14ac:dyDescent="0.25">
      <c r="A2131" t="s">
        <v>1965</v>
      </c>
      <c r="B2131" t="s">
        <v>2050</v>
      </c>
      <c r="C2131" t="s">
        <v>2104</v>
      </c>
      <c r="D2131" t="s">
        <v>229</v>
      </c>
      <c r="E2131" t="s">
        <v>48</v>
      </c>
      <c r="F2131" t="s">
        <v>1</v>
      </c>
      <c r="G2131" t="s">
        <v>872</v>
      </c>
      <c r="H2131" t="s">
        <v>448</v>
      </c>
      <c r="I2131" t="s">
        <v>1</v>
      </c>
      <c r="J2131">
        <v>105.31</v>
      </c>
      <c r="K2131"/>
      <c r="L2131">
        <v>44.75</v>
      </c>
      <c r="M2131">
        <v>90.241712707182316</v>
      </c>
      <c r="N2131">
        <v>122.17</v>
      </c>
      <c r="O2131">
        <v>89.5</v>
      </c>
      <c r="P2131">
        <v>0</v>
      </c>
      <c r="Q2131">
        <f t="shared" si="435"/>
        <v>89.5</v>
      </c>
      <c r="R2131">
        <v>44.75</v>
      </c>
      <c r="S2131">
        <f t="shared" si="436"/>
        <v>-44.75</v>
      </c>
      <c r="T2131">
        <v>0.03</v>
      </c>
      <c r="U2131">
        <f t="shared" si="437"/>
        <v>1.3425</v>
      </c>
      <c r="V2131">
        <f t="shared" si="438"/>
        <v>46.092500000000001</v>
      </c>
      <c r="W2131">
        <f t="shared" si="439"/>
        <v>-43.407499999999999</v>
      </c>
      <c r="X2131">
        <v>0</v>
      </c>
    </row>
    <row r="2132" spans="1:24" x14ac:dyDescent="0.25">
      <c r="A2132" t="s">
        <v>1965</v>
      </c>
      <c r="B2132" t="s">
        <v>2050</v>
      </c>
      <c r="C2132" t="s">
        <v>2104</v>
      </c>
      <c r="D2132" t="s">
        <v>229</v>
      </c>
      <c r="E2132" t="s">
        <v>50</v>
      </c>
      <c r="F2132" t="s">
        <v>1</v>
      </c>
      <c r="G2132" t="s">
        <v>872</v>
      </c>
      <c r="H2132" t="s">
        <v>450</v>
      </c>
      <c r="I2132" t="s">
        <v>1</v>
      </c>
      <c r="J2132">
        <v>300.45</v>
      </c>
      <c r="K2132">
        <v>260.00000000040001</v>
      </c>
      <c r="L2132">
        <v>160.6</v>
      </c>
      <c r="M2132">
        <v>323.86187845303868</v>
      </c>
      <c r="N2132">
        <v>349.88</v>
      </c>
      <c r="O2132">
        <v>323.86187845299997</v>
      </c>
      <c r="P2132">
        <v>0</v>
      </c>
      <c r="Q2132">
        <f t="shared" si="435"/>
        <v>323.86187845299997</v>
      </c>
      <c r="R2132">
        <v>323.86187845299997</v>
      </c>
      <c r="S2132">
        <f t="shared" si="436"/>
        <v>0</v>
      </c>
      <c r="T2132"/>
      <c r="U2132">
        <f t="shared" si="437"/>
        <v>0</v>
      </c>
      <c r="V2132">
        <f t="shared" si="438"/>
        <v>323.86187845299997</v>
      </c>
      <c r="W2132">
        <f t="shared" si="439"/>
        <v>0</v>
      </c>
      <c r="X2132">
        <v>0</v>
      </c>
    </row>
    <row r="2133" spans="1:24" x14ac:dyDescent="0.25">
      <c r="A2133" t="s">
        <v>1965</v>
      </c>
      <c r="B2133" t="s">
        <v>2050</v>
      </c>
      <c r="C2133" t="s">
        <v>2104</v>
      </c>
      <c r="D2133" t="s">
        <v>229</v>
      </c>
      <c r="E2133" t="s">
        <v>51</v>
      </c>
      <c r="F2133" t="s">
        <v>51</v>
      </c>
      <c r="G2133" t="s">
        <v>874</v>
      </c>
      <c r="H2133"/>
      <c r="I2133"/>
      <c r="J2133">
        <v>78117.809999999983</v>
      </c>
      <c r="K2133">
        <v>87409.052347381206</v>
      </c>
      <c r="L2133">
        <v>49203.29</v>
      </c>
      <c r="M2133">
        <v>99222.104143646429</v>
      </c>
      <c r="N2133">
        <v>79048.58</v>
      </c>
      <c r="O2133">
        <v>98413.195580110492</v>
      </c>
      <c r="P2133">
        <f>SUMIF($F$2116:$F$2132,"&lt;&gt;EV_*",$P$2116:$P$2132)</f>
        <v>0</v>
      </c>
      <c r="Q2133">
        <f>SUMIF($F$2116:$F$2132,"&lt;&gt;EV_*",$Q$2116:$Q$2132)</f>
        <v>98413.195580110492</v>
      </c>
      <c r="R2133">
        <f>SUMIF($F$2116:$F$2132,"&lt;&gt;EV_*",$R$2116:$R$2132)</f>
        <v>99389.052976724095</v>
      </c>
      <c r="S2133">
        <f>SUMIF($F$2116:$F$2132,"&lt;&gt;EV_*",$S$2116:$S$2132)</f>
        <v>975.8573966135973</v>
      </c>
      <c r="T2133">
        <v>0</v>
      </c>
      <c r="U2133">
        <f>SUMIF($F$2116:$F$2132,"&lt;&gt;EV_*",$U$2116:$U$2132)</f>
        <v>315.59591104972498</v>
      </c>
      <c r="V2133">
        <f>SUMIF($F$2116:$F$2132,"&lt;&gt;EV_*",$V$2116:$V$2132)</f>
        <v>99704.648887773816</v>
      </c>
      <c r="W2133">
        <f>SUMIF($F$2116:$F$2132,"&lt;&gt;EV_*",$W$2116:$W$2132)</f>
        <v>1291.4533076633227</v>
      </c>
      <c r="X2133">
        <f>SUMIF($F$2116:$F$2132,"&lt;&gt;EV_*",$X$2116:$X$2132)</f>
        <v>0</v>
      </c>
    </row>
    <row r="2134" spans="1:24" x14ac:dyDescent="0.25">
      <c r="A2134" t="s">
        <v>1965</v>
      </c>
      <c r="B2134" t="s">
        <v>2050</v>
      </c>
      <c r="C2134" t="s">
        <v>2105</v>
      </c>
      <c r="D2134" t="s">
        <v>231</v>
      </c>
      <c r="E2134" t="s">
        <v>5</v>
      </c>
      <c r="F2134" t="s">
        <v>5</v>
      </c>
      <c r="G2134" t="s">
        <v>875</v>
      </c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</row>
    <row r="2135" spans="1:24" x14ac:dyDescent="0.25">
      <c r="A2135" t="s">
        <v>1965</v>
      </c>
      <c r="B2135" t="s">
        <v>2050</v>
      </c>
      <c r="C2135" t="s">
        <v>2105</v>
      </c>
      <c r="D2135" t="s">
        <v>231</v>
      </c>
      <c r="E2135" t="s">
        <v>13</v>
      </c>
      <c r="F2135" t="s">
        <v>1</v>
      </c>
      <c r="G2135" t="s">
        <v>876</v>
      </c>
      <c r="H2135" t="s">
        <v>413</v>
      </c>
      <c r="I2135" t="s">
        <v>1</v>
      </c>
      <c r="J2135">
        <v>309.64999999999998</v>
      </c>
      <c r="K2135"/>
      <c r="L2135">
        <v>456.86</v>
      </c>
      <c r="M2135">
        <v>921.29226519337021</v>
      </c>
      <c r="N2135">
        <v>766.50999999999988</v>
      </c>
      <c r="O2135">
        <v>913.72</v>
      </c>
      <c r="P2135">
        <v>914</v>
      </c>
      <c r="Q2135">
        <f t="shared" ref="Q2135:Q2145" si="440">O2135+P2135</f>
        <v>1827.72</v>
      </c>
      <c r="R2135">
        <v>1200</v>
      </c>
      <c r="S2135">
        <f t="shared" ref="S2135:S2145" si="441">IF(OR(LEFT(E2135,2)="A_",LEFT(D2135,5)="Total"),R2135-Q2135,"")</f>
        <v>-627.72</v>
      </c>
      <c r="T2135"/>
      <c r="U2135">
        <f t="shared" ref="U2135:U2145" si="442">IFERROR(R2135*T2135,R2135*0)</f>
        <v>0</v>
      </c>
      <c r="V2135">
        <f t="shared" ref="V2135:V2145" si="443">IF(OR(LEFT(E2135,2)="A_",LEFT(D2135,5)="Total"),R2135+U2135,"")</f>
        <v>1200</v>
      </c>
      <c r="W2135">
        <f t="shared" ref="W2135:W2145" si="444">IF(OR(LEFT(E2135,2)="A_",LEFT(D2135,5)="Total"),V2135-Q2135,"")</f>
        <v>-627.72</v>
      </c>
      <c r="X2135">
        <v>0</v>
      </c>
    </row>
    <row r="2136" spans="1:24" x14ac:dyDescent="0.25">
      <c r="A2136" t="s">
        <v>1965</v>
      </c>
      <c r="B2136" t="s">
        <v>2050</v>
      </c>
      <c r="C2136" t="s">
        <v>2105</v>
      </c>
      <c r="D2136" t="s">
        <v>231</v>
      </c>
      <c r="E2136" t="s">
        <v>18</v>
      </c>
      <c r="F2136" t="s">
        <v>1</v>
      </c>
      <c r="G2136" t="s">
        <v>876</v>
      </c>
      <c r="H2136" t="s">
        <v>418</v>
      </c>
      <c r="I2136" t="s">
        <v>1</v>
      </c>
      <c r="J2136">
        <v>30315</v>
      </c>
      <c r="K2136">
        <v>46445.574074074</v>
      </c>
      <c r="L2136">
        <v>0</v>
      </c>
      <c r="M2136">
        <v>0</v>
      </c>
      <c r="N2136">
        <v>315</v>
      </c>
      <c r="O2136"/>
      <c r="P2136">
        <v>0</v>
      </c>
      <c r="Q2136">
        <f t="shared" si="440"/>
        <v>0</v>
      </c>
      <c r="R2136">
        <v>400</v>
      </c>
      <c r="S2136">
        <f t="shared" si="441"/>
        <v>400</v>
      </c>
      <c r="T2136">
        <v>0.02</v>
      </c>
      <c r="U2136">
        <f t="shared" si="442"/>
        <v>8</v>
      </c>
      <c r="V2136">
        <f t="shared" si="443"/>
        <v>408</v>
      </c>
      <c r="W2136">
        <f t="shared" si="444"/>
        <v>408</v>
      </c>
      <c r="X2136">
        <v>0</v>
      </c>
    </row>
    <row r="2137" spans="1:24" x14ac:dyDescent="0.25">
      <c r="A2137" t="s">
        <v>1965</v>
      </c>
      <c r="B2137" t="s">
        <v>2050</v>
      </c>
      <c r="C2137" t="s">
        <v>2105</v>
      </c>
      <c r="D2137" t="s">
        <v>231</v>
      </c>
      <c r="E2137" t="s">
        <v>24</v>
      </c>
      <c r="F2137" t="s">
        <v>1</v>
      </c>
      <c r="G2137" t="s">
        <v>876</v>
      </c>
      <c r="H2137" t="s">
        <v>424</v>
      </c>
      <c r="I2137" t="s">
        <v>1</v>
      </c>
      <c r="J2137">
        <v>3083.28</v>
      </c>
      <c r="K2137">
        <v>4725</v>
      </c>
      <c r="L2137">
        <v>0</v>
      </c>
      <c r="M2137">
        <v>0</v>
      </c>
      <c r="N2137">
        <v>2060</v>
      </c>
      <c r="O2137"/>
      <c r="P2137">
        <v>0</v>
      </c>
      <c r="Q2137">
        <f t="shared" si="440"/>
        <v>0</v>
      </c>
      <c r="R2137">
        <v>6350</v>
      </c>
      <c r="S2137">
        <f t="shared" si="441"/>
        <v>6350</v>
      </c>
      <c r="T2137"/>
      <c r="U2137">
        <f t="shared" si="442"/>
        <v>0</v>
      </c>
      <c r="V2137">
        <f t="shared" si="443"/>
        <v>6350</v>
      </c>
      <c r="W2137">
        <f t="shared" si="444"/>
        <v>6350</v>
      </c>
      <c r="X2137">
        <v>0</v>
      </c>
    </row>
    <row r="2138" spans="1:24" x14ac:dyDescent="0.25">
      <c r="A2138" t="s">
        <v>1965</v>
      </c>
      <c r="B2138" t="s">
        <v>2050</v>
      </c>
      <c r="C2138" t="s">
        <v>2105</v>
      </c>
      <c r="D2138" t="s">
        <v>231</v>
      </c>
      <c r="E2138" t="s">
        <v>26</v>
      </c>
      <c r="F2138" t="s">
        <v>1</v>
      </c>
      <c r="G2138" t="s">
        <v>876</v>
      </c>
      <c r="H2138" t="s">
        <v>426</v>
      </c>
      <c r="I2138" t="s">
        <v>1</v>
      </c>
      <c r="J2138">
        <v>5254.76</v>
      </c>
      <c r="K2138">
        <v>26272.657311087602</v>
      </c>
      <c r="L2138">
        <v>1793.86</v>
      </c>
      <c r="M2138">
        <v>3617.4524861878454</v>
      </c>
      <c r="N2138">
        <v>4907.21</v>
      </c>
      <c r="O2138">
        <v>3587.72</v>
      </c>
      <c r="P2138">
        <v>3588</v>
      </c>
      <c r="Q2138">
        <f t="shared" si="440"/>
        <v>7175.7199999999993</v>
      </c>
      <c r="R2138">
        <v>27675</v>
      </c>
      <c r="S2138">
        <f t="shared" si="441"/>
        <v>20499.28</v>
      </c>
      <c r="T2138"/>
      <c r="U2138">
        <f t="shared" si="442"/>
        <v>0</v>
      </c>
      <c r="V2138">
        <f t="shared" si="443"/>
        <v>27675</v>
      </c>
      <c r="W2138">
        <f t="shared" si="444"/>
        <v>20499.28</v>
      </c>
      <c r="X2138" t="s">
        <v>1662</v>
      </c>
    </row>
    <row r="2139" spans="1:24" x14ac:dyDescent="0.25">
      <c r="A2139" t="s">
        <v>1965</v>
      </c>
      <c r="B2139" t="s">
        <v>2050</v>
      </c>
      <c r="C2139" t="s">
        <v>2105</v>
      </c>
      <c r="D2139" t="s">
        <v>231</v>
      </c>
      <c r="E2139" t="s">
        <v>28</v>
      </c>
      <c r="F2139" t="s">
        <v>1</v>
      </c>
      <c r="G2139" t="s">
        <v>876</v>
      </c>
      <c r="H2139" t="s">
        <v>428</v>
      </c>
      <c r="I2139" t="s">
        <v>1</v>
      </c>
      <c r="J2139">
        <v>86.19</v>
      </c>
      <c r="K2139"/>
      <c r="L2139">
        <v>0</v>
      </c>
      <c r="M2139">
        <v>0</v>
      </c>
      <c r="N2139">
        <v>86.19</v>
      </c>
      <c r="O2139"/>
      <c r="P2139">
        <v>0</v>
      </c>
      <c r="Q2139">
        <f t="shared" si="440"/>
        <v>0</v>
      </c>
      <c r="R2139">
        <v>0</v>
      </c>
      <c r="S2139">
        <f t="shared" si="441"/>
        <v>0</v>
      </c>
      <c r="T2139"/>
      <c r="U2139">
        <f t="shared" si="442"/>
        <v>0</v>
      </c>
      <c r="V2139">
        <f t="shared" si="443"/>
        <v>0</v>
      </c>
      <c r="W2139">
        <f t="shared" si="444"/>
        <v>0</v>
      </c>
      <c r="X2139">
        <v>0</v>
      </c>
    </row>
    <row r="2140" spans="1:24" x14ac:dyDescent="0.25">
      <c r="A2140" t="s">
        <v>1965</v>
      </c>
      <c r="B2140" t="s">
        <v>2050</v>
      </c>
      <c r="C2140" t="s">
        <v>2105</v>
      </c>
      <c r="D2140" t="s">
        <v>231</v>
      </c>
      <c r="E2140" t="s">
        <v>29</v>
      </c>
      <c r="F2140" t="s">
        <v>1</v>
      </c>
      <c r="G2140" t="s">
        <v>876</v>
      </c>
      <c r="H2140" t="s">
        <v>429</v>
      </c>
      <c r="I2140" t="s">
        <v>1</v>
      </c>
      <c r="J2140">
        <v>1040.0899999999999</v>
      </c>
      <c r="K2140">
        <v>699.99959999999999</v>
      </c>
      <c r="L2140">
        <v>97.69</v>
      </c>
      <c r="M2140">
        <v>196.99917127071822</v>
      </c>
      <c r="N2140">
        <v>97.69</v>
      </c>
      <c r="O2140">
        <v>195.38</v>
      </c>
      <c r="P2140">
        <v>195</v>
      </c>
      <c r="Q2140">
        <f t="shared" si="440"/>
        <v>390.38</v>
      </c>
      <c r="R2140">
        <v>196</v>
      </c>
      <c r="S2140">
        <f t="shared" si="441"/>
        <v>-194.38</v>
      </c>
      <c r="T2140"/>
      <c r="U2140">
        <f t="shared" si="442"/>
        <v>0</v>
      </c>
      <c r="V2140">
        <f t="shared" si="443"/>
        <v>196</v>
      </c>
      <c r="W2140">
        <f t="shared" si="444"/>
        <v>-194.38</v>
      </c>
      <c r="X2140">
        <v>0</v>
      </c>
    </row>
    <row r="2141" spans="1:24" x14ac:dyDescent="0.25">
      <c r="A2141" t="s">
        <v>1965</v>
      </c>
      <c r="B2141" t="s">
        <v>2050</v>
      </c>
      <c r="C2141" t="s">
        <v>2105</v>
      </c>
      <c r="D2141" t="s">
        <v>231</v>
      </c>
      <c r="E2141" t="s">
        <v>30</v>
      </c>
      <c r="F2141" t="s">
        <v>1</v>
      </c>
      <c r="G2141" t="s">
        <v>876</v>
      </c>
      <c r="H2141" t="s">
        <v>430</v>
      </c>
      <c r="I2141" t="s">
        <v>1</v>
      </c>
      <c r="J2141">
        <v>4543.75</v>
      </c>
      <c r="K2141"/>
      <c r="L2141">
        <v>0</v>
      </c>
      <c r="M2141">
        <v>0</v>
      </c>
      <c r="N2141">
        <v>0</v>
      </c>
      <c r="O2141"/>
      <c r="P2141">
        <v>0</v>
      </c>
      <c r="Q2141">
        <f t="shared" si="440"/>
        <v>0</v>
      </c>
      <c r="R2141">
        <v>0</v>
      </c>
      <c r="S2141">
        <f t="shared" si="441"/>
        <v>0</v>
      </c>
      <c r="T2141"/>
      <c r="U2141">
        <f t="shared" si="442"/>
        <v>0</v>
      </c>
      <c r="V2141">
        <f t="shared" si="443"/>
        <v>0</v>
      </c>
      <c r="W2141">
        <f t="shared" si="444"/>
        <v>0</v>
      </c>
      <c r="X2141">
        <v>0</v>
      </c>
    </row>
    <row r="2142" spans="1:24" x14ac:dyDescent="0.25">
      <c r="A2142" t="s">
        <v>1965</v>
      </c>
      <c r="B2142" t="s">
        <v>2050</v>
      </c>
      <c r="C2142" t="s">
        <v>2105</v>
      </c>
      <c r="D2142" t="s">
        <v>231</v>
      </c>
      <c r="E2142" t="s">
        <v>33</v>
      </c>
      <c r="F2142" t="s">
        <v>1</v>
      </c>
      <c r="G2142" t="s">
        <v>876</v>
      </c>
      <c r="H2142" t="s">
        <v>433</v>
      </c>
      <c r="I2142" t="s">
        <v>1</v>
      </c>
      <c r="J2142">
        <v>19168.89</v>
      </c>
      <c r="K2142">
        <v>32781.211407986397</v>
      </c>
      <c r="L2142">
        <v>24416.66</v>
      </c>
      <c r="M2142">
        <v>49238.016022099451</v>
      </c>
      <c r="N2142">
        <v>27656.39</v>
      </c>
      <c r="O2142">
        <v>48833.32</v>
      </c>
      <c r="P2142">
        <v>48833</v>
      </c>
      <c r="Q2142">
        <f t="shared" si="440"/>
        <v>97666.32</v>
      </c>
      <c r="R2142">
        <v>33754</v>
      </c>
      <c r="S2142">
        <f t="shared" si="441"/>
        <v>-63912.320000000007</v>
      </c>
      <c r="T2142"/>
      <c r="U2142">
        <f t="shared" si="442"/>
        <v>0</v>
      </c>
      <c r="V2142">
        <f t="shared" si="443"/>
        <v>33754</v>
      </c>
      <c r="W2142">
        <f t="shared" si="444"/>
        <v>-63912.320000000007</v>
      </c>
      <c r="X2142">
        <v>0</v>
      </c>
    </row>
    <row r="2143" spans="1:24" x14ac:dyDescent="0.25">
      <c r="A2143" t="s">
        <v>1965</v>
      </c>
      <c r="B2143" t="s">
        <v>2050</v>
      </c>
      <c r="C2143" t="s">
        <v>2105</v>
      </c>
      <c r="D2143" t="s">
        <v>231</v>
      </c>
      <c r="E2143" t="s">
        <v>34</v>
      </c>
      <c r="F2143" t="s">
        <v>1</v>
      </c>
      <c r="G2143" t="s">
        <v>876</v>
      </c>
      <c r="H2143" t="s">
        <v>434</v>
      </c>
      <c r="I2143" t="s">
        <v>1</v>
      </c>
      <c r="J2143">
        <v>139.87</v>
      </c>
      <c r="K2143">
        <v>1471.8575524416001</v>
      </c>
      <c r="L2143">
        <v>3159.18</v>
      </c>
      <c r="M2143">
        <v>6370.7220994475138</v>
      </c>
      <c r="N2143">
        <v>3225.2400000000002</v>
      </c>
      <c r="O2143">
        <v>6318.36</v>
      </c>
      <c r="P2143">
        <v>6318</v>
      </c>
      <c r="Q2143">
        <f t="shared" si="440"/>
        <v>12636.36</v>
      </c>
      <c r="R2143">
        <v>1500</v>
      </c>
      <c r="S2143">
        <f t="shared" si="441"/>
        <v>-11136.36</v>
      </c>
      <c r="T2143"/>
      <c r="U2143">
        <f t="shared" si="442"/>
        <v>0</v>
      </c>
      <c r="V2143">
        <f t="shared" si="443"/>
        <v>1500</v>
      </c>
      <c r="W2143">
        <f t="shared" si="444"/>
        <v>-11136.36</v>
      </c>
      <c r="X2143">
        <v>0</v>
      </c>
    </row>
    <row r="2144" spans="1:24" x14ac:dyDescent="0.25">
      <c r="A2144" t="s">
        <v>1965</v>
      </c>
      <c r="B2144" t="s">
        <v>2050</v>
      </c>
      <c r="C2144" t="s">
        <v>2105</v>
      </c>
      <c r="D2144" t="s">
        <v>231</v>
      </c>
      <c r="E2144" t="s">
        <v>37</v>
      </c>
      <c r="F2144" t="s">
        <v>1</v>
      </c>
      <c r="G2144" t="s">
        <v>876</v>
      </c>
      <c r="H2144" t="s">
        <v>437</v>
      </c>
      <c r="I2144" t="s">
        <v>1</v>
      </c>
      <c r="J2144">
        <v>2838.76</v>
      </c>
      <c r="K2144">
        <v>6868.6685855664</v>
      </c>
      <c r="L2144">
        <v>636.85</v>
      </c>
      <c r="M2144">
        <v>1284.2555248618785</v>
      </c>
      <c r="N2144">
        <v>1542.36</v>
      </c>
      <c r="O2144">
        <v>1273.7</v>
      </c>
      <c r="P2144">
        <v>1274</v>
      </c>
      <c r="Q2144">
        <f t="shared" si="440"/>
        <v>2547.6999999999998</v>
      </c>
      <c r="R2144">
        <v>7000</v>
      </c>
      <c r="S2144">
        <f t="shared" si="441"/>
        <v>4452.3</v>
      </c>
      <c r="T2144"/>
      <c r="U2144">
        <f t="shared" si="442"/>
        <v>0</v>
      </c>
      <c r="V2144">
        <f t="shared" si="443"/>
        <v>7000</v>
      </c>
      <c r="W2144">
        <f t="shared" si="444"/>
        <v>4452.3</v>
      </c>
      <c r="X2144" t="s">
        <v>1662</v>
      </c>
    </row>
    <row r="2145" spans="1:24" x14ac:dyDescent="0.25">
      <c r="A2145" t="s">
        <v>1965</v>
      </c>
      <c r="B2145" t="s">
        <v>2050</v>
      </c>
      <c r="C2145" t="s">
        <v>2105</v>
      </c>
      <c r="D2145" t="s">
        <v>231</v>
      </c>
      <c r="E2145" t="s">
        <v>42</v>
      </c>
      <c r="F2145" t="s">
        <v>1</v>
      </c>
      <c r="G2145" t="s">
        <v>876</v>
      </c>
      <c r="H2145" t="s">
        <v>442</v>
      </c>
      <c r="I2145" t="s">
        <v>1</v>
      </c>
      <c r="J2145">
        <v>33.229999999999997</v>
      </c>
      <c r="K2145"/>
      <c r="L2145">
        <v>46.6</v>
      </c>
      <c r="M2145">
        <v>93.972375690607748</v>
      </c>
      <c r="N2145">
        <v>79.83</v>
      </c>
      <c r="O2145">
        <v>93.2</v>
      </c>
      <c r="P2145">
        <v>93</v>
      </c>
      <c r="Q2145">
        <f t="shared" si="440"/>
        <v>186.2</v>
      </c>
      <c r="R2145">
        <v>186</v>
      </c>
      <c r="S2145">
        <f t="shared" si="441"/>
        <v>-0.19999999999998863</v>
      </c>
      <c r="T2145">
        <v>0.03</v>
      </c>
      <c r="U2145">
        <f t="shared" si="442"/>
        <v>5.58</v>
      </c>
      <c r="V2145">
        <f t="shared" si="443"/>
        <v>191.58</v>
      </c>
      <c r="W2145">
        <f t="shared" si="444"/>
        <v>5.3800000000000239</v>
      </c>
      <c r="X2145">
        <v>0</v>
      </c>
    </row>
    <row r="2146" spans="1:24" x14ac:dyDescent="0.25">
      <c r="A2146" t="s">
        <v>1965</v>
      </c>
      <c r="B2146" t="s">
        <v>2050</v>
      </c>
      <c r="C2146" t="s">
        <v>2105</v>
      </c>
      <c r="D2146" t="s">
        <v>231</v>
      </c>
      <c r="E2146" t="s">
        <v>51</v>
      </c>
      <c r="F2146" t="s">
        <v>51</v>
      </c>
      <c r="G2146" t="s">
        <v>877</v>
      </c>
      <c r="H2146"/>
      <c r="I2146"/>
      <c r="J2146">
        <v>66813.47</v>
      </c>
      <c r="K2146">
        <v>119264.96853115599</v>
      </c>
      <c r="L2146">
        <v>30607.699999999997</v>
      </c>
      <c r="M2146">
        <v>61722.70994475139</v>
      </c>
      <c r="N2146">
        <v>40736.42</v>
      </c>
      <c r="O2146">
        <v>61215.399999999994</v>
      </c>
      <c r="P2146">
        <f>SUMIF($F$2134:$F$2145,"&lt;&gt;EV_*",$P$2134:$P$2145)</f>
        <v>61215</v>
      </c>
      <c r="Q2146">
        <f>SUMIF($F$2134:$F$2145,"&lt;&gt;EV_*",$Q$2134:$Q$2145)</f>
        <v>122430.39999999999</v>
      </c>
      <c r="R2146">
        <f>SUMIF($F$2134:$F$2145,"&lt;&gt;EV_*",$R$2134:$R$2145)</f>
        <v>78261</v>
      </c>
      <c r="S2146">
        <f>SUMIF($F$2134:$F$2145,"&lt;&gt;EV_*",$S$2134:$S$2145)</f>
        <v>-44169.400000000009</v>
      </c>
      <c r="T2146">
        <v>0</v>
      </c>
      <c r="U2146">
        <f>SUMIF($F$2134:$F$2145,"&lt;&gt;EV_*",$U$2134:$U$2145)</f>
        <v>13.58</v>
      </c>
      <c r="V2146">
        <f>SUMIF($F$2134:$F$2145,"&lt;&gt;EV_*",$V$2134:$V$2145)</f>
        <v>78274.58</v>
      </c>
      <c r="W2146">
        <f>SUMIF($F$2134:$F$2145,"&lt;&gt;EV_*",$W$2134:$W$2145)</f>
        <v>-44155.820000000014</v>
      </c>
      <c r="X2146">
        <f>SUMIF($F$2134:$F$2145,"&lt;&gt;EV_*",$X$2134:$X$2145)</f>
        <v>0</v>
      </c>
    </row>
    <row r="2147" spans="1:24" x14ac:dyDescent="0.25">
      <c r="A2147" t="s">
        <v>1965</v>
      </c>
      <c r="B2147" t="s">
        <v>2050</v>
      </c>
      <c r="C2147" t="s">
        <v>2106</v>
      </c>
      <c r="D2147" t="s">
        <v>232</v>
      </c>
      <c r="E2147" t="s">
        <v>5</v>
      </c>
      <c r="F2147" t="s">
        <v>5</v>
      </c>
      <c r="G2147" t="s">
        <v>878</v>
      </c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</row>
    <row r="2148" spans="1:24" x14ac:dyDescent="0.25">
      <c r="A2148" t="s">
        <v>1965</v>
      </c>
      <c r="B2148" t="s">
        <v>2050</v>
      </c>
      <c r="C2148" t="s">
        <v>2106</v>
      </c>
      <c r="D2148" t="s">
        <v>232</v>
      </c>
      <c r="E2148" t="s">
        <v>26</v>
      </c>
      <c r="F2148" t="s">
        <v>1</v>
      </c>
      <c r="G2148" t="s">
        <v>879</v>
      </c>
      <c r="H2148" t="s">
        <v>426</v>
      </c>
      <c r="I2148" t="s">
        <v>1</v>
      </c>
      <c r="J2148"/>
      <c r="K2148"/>
      <c r="L2148">
        <v>500</v>
      </c>
      <c r="M2148">
        <v>1008.2872928176796</v>
      </c>
      <c r="N2148">
        <v>500</v>
      </c>
      <c r="O2148">
        <v>1000</v>
      </c>
      <c r="P2148">
        <v>1000</v>
      </c>
      <c r="Q2148">
        <f>O2148+P2148</f>
        <v>2000</v>
      </c>
      <c r="R2148">
        <v>0</v>
      </c>
      <c r="S2148">
        <f>IF(OR(LEFT(E2148,2)="A_",LEFT(D2148,5)="Total"),R2148-Q2148,"")</f>
        <v>-2000</v>
      </c>
      <c r="T2148"/>
      <c r="U2148">
        <f>IFERROR(R2148*T2148,R2148*0)</f>
        <v>0</v>
      </c>
      <c r="V2148">
        <f>IF(OR(LEFT(E2148,2)="A_",LEFT(D2148,5)="Total"),R2148+U2148,"")</f>
        <v>0</v>
      </c>
      <c r="W2148">
        <f>IF(OR(LEFT(E2148,2)="A_",LEFT(D2148,5)="Total"),V2148-Q2148,"")</f>
        <v>-2000</v>
      </c>
      <c r="X2148" t="s">
        <v>1663</v>
      </c>
    </row>
    <row r="2149" spans="1:24" x14ac:dyDescent="0.25">
      <c r="A2149" t="s">
        <v>1965</v>
      </c>
      <c r="B2149" t="s">
        <v>2050</v>
      </c>
      <c r="C2149" t="s">
        <v>2106</v>
      </c>
      <c r="D2149" t="s">
        <v>232</v>
      </c>
      <c r="E2149" t="s">
        <v>33</v>
      </c>
      <c r="F2149" t="s">
        <v>1</v>
      </c>
      <c r="G2149" t="s">
        <v>879</v>
      </c>
      <c r="H2149" t="s">
        <v>433</v>
      </c>
      <c r="I2149" t="s">
        <v>1</v>
      </c>
      <c r="J2149">
        <v>2280.19</v>
      </c>
      <c r="K2149"/>
      <c r="L2149">
        <v>0</v>
      </c>
      <c r="M2149">
        <v>0</v>
      </c>
      <c r="N2149">
        <v>0</v>
      </c>
      <c r="O2149"/>
      <c r="P2149">
        <v>0</v>
      </c>
      <c r="Q2149">
        <f>O2149+P2149</f>
        <v>0</v>
      </c>
      <c r="R2149">
        <v>0</v>
      </c>
      <c r="S2149">
        <f>IF(OR(LEFT(E2149,2)="A_",LEFT(D2149,5)="Total"),R2149-Q2149,"")</f>
        <v>0</v>
      </c>
      <c r="T2149"/>
      <c r="U2149">
        <f>IFERROR(R2149*T2149,R2149*0)</f>
        <v>0</v>
      </c>
      <c r="V2149">
        <f>IF(OR(LEFT(E2149,2)="A_",LEFT(D2149,5)="Total"),R2149+U2149,"")</f>
        <v>0</v>
      </c>
      <c r="W2149">
        <f>IF(OR(LEFT(E2149,2)="A_",LEFT(D2149,5)="Total"),V2149-Q2149,"")</f>
        <v>0</v>
      </c>
      <c r="X2149">
        <v>0</v>
      </c>
    </row>
    <row r="2150" spans="1:24" x14ac:dyDescent="0.25">
      <c r="A2150" t="s">
        <v>1965</v>
      </c>
      <c r="B2150" t="s">
        <v>2050</v>
      </c>
      <c r="C2150" t="s">
        <v>2106</v>
      </c>
      <c r="D2150" t="s">
        <v>232</v>
      </c>
      <c r="E2150" t="s">
        <v>51</v>
      </c>
      <c r="F2150" t="s">
        <v>51</v>
      </c>
      <c r="G2150" t="s">
        <v>880</v>
      </c>
      <c r="H2150"/>
      <c r="I2150"/>
      <c r="J2150">
        <v>2280.19</v>
      </c>
      <c r="K2150">
        <v>0</v>
      </c>
      <c r="L2150">
        <v>500</v>
      </c>
      <c r="M2150">
        <v>1008.2872928176796</v>
      </c>
      <c r="N2150">
        <v>500</v>
      </c>
      <c r="O2150">
        <v>1000</v>
      </c>
      <c r="P2150">
        <f>SUMIF($F$2147:$F$2149,"&lt;&gt;EV_*",$P$2147:$P$2149)</f>
        <v>1000</v>
      </c>
      <c r="Q2150">
        <f>SUMIF($F$2147:$F$2149,"&lt;&gt;EV_*",$Q$2147:$Q$2149)</f>
        <v>2000</v>
      </c>
      <c r="R2150">
        <f>SUMIF($F$2147:$F$2149,"&lt;&gt;EV_*",$R$2147:$R$2149)</f>
        <v>0</v>
      </c>
      <c r="S2150">
        <f>SUMIF($F$2147:$F$2149,"&lt;&gt;EV_*",$S$2147:$S$2149)</f>
        <v>-2000</v>
      </c>
      <c r="T2150">
        <v>0</v>
      </c>
      <c r="U2150">
        <f>SUMIF($F$2147:$F$2149,"&lt;&gt;EV_*",$U$2147:$U$2149)</f>
        <v>0</v>
      </c>
      <c r="V2150">
        <f>SUMIF($F$2147:$F$2149,"&lt;&gt;EV_*",$V$2147:$V$2149)</f>
        <v>0</v>
      </c>
      <c r="W2150">
        <f>SUMIF($F$2147:$F$2149,"&lt;&gt;EV_*",$W$2147:$W$2149)</f>
        <v>-2000</v>
      </c>
      <c r="X2150">
        <f>SUMIF($F$2147:$F$2149,"&lt;&gt;EV_*",$X$2147:$X$2149)</f>
        <v>0</v>
      </c>
    </row>
    <row r="2151" spans="1:24" x14ac:dyDescent="0.25">
      <c r="A2151" t="s">
        <v>1965</v>
      </c>
      <c r="B2151" t="s">
        <v>2050</v>
      </c>
      <c r="C2151" t="s">
        <v>2107</v>
      </c>
      <c r="D2151" t="s">
        <v>233</v>
      </c>
      <c r="E2151" t="s">
        <v>5</v>
      </c>
      <c r="F2151" t="s">
        <v>5</v>
      </c>
      <c r="G2151" t="s">
        <v>881</v>
      </c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</row>
    <row r="2152" spans="1:24" x14ac:dyDescent="0.25">
      <c r="A2152" t="s">
        <v>1965</v>
      </c>
      <c r="B2152" t="s">
        <v>2050</v>
      </c>
      <c r="C2152" t="s">
        <v>2107</v>
      </c>
      <c r="D2152" t="s">
        <v>233</v>
      </c>
      <c r="E2152" t="s">
        <v>12</v>
      </c>
      <c r="F2152" t="s">
        <v>1</v>
      </c>
      <c r="G2152" t="s">
        <v>882</v>
      </c>
      <c r="H2152" t="s">
        <v>412</v>
      </c>
      <c r="I2152" t="s">
        <v>1</v>
      </c>
      <c r="J2152"/>
      <c r="K2152"/>
      <c r="L2152">
        <v>472</v>
      </c>
      <c r="M2152">
        <v>951.82320441988952</v>
      </c>
      <c r="N2152">
        <v>472</v>
      </c>
      <c r="O2152">
        <v>944</v>
      </c>
      <c r="P2152">
        <v>0</v>
      </c>
      <c r="Q2152">
        <f t="shared" ref="Q2152:Q2163" si="445">O2152+P2152</f>
        <v>944</v>
      </c>
      <c r="R2152">
        <v>944</v>
      </c>
      <c r="S2152">
        <f t="shared" ref="S2152:S2163" si="446">IF(OR(LEFT(E2152,2)="A_",LEFT(D2152,5)="Total"),R2152-Q2152,"")</f>
        <v>0</v>
      </c>
      <c r="T2152"/>
      <c r="U2152">
        <f t="shared" ref="U2152:U2163" si="447">IFERROR(R2152*T2152,R2152*0)</f>
        <v>0</v>
      </c>
      <c r="V2152">
        <f t="shared" ref="V2152:V2163" si="448">IF(OR(LEFT(E2152,2)="A_",LEFT(D2152,5)="Total"),R2152+U2152,"")</f>
        <v>944</v>
      </c>
      <c r="W2152">
        <f t="shared" ref="W2152:W2163" si="449">IF(OR(LEFT(E2152,2)="A_",LEFT(D2152,5)="Total"),V2152-Q2152,"")</f>
        <v>0</v>
      </c>
      <c r="X2152">
        <v>0</v>
      </c>
    </row>
    <row r="2153" spans="1:24" x14ac:dyDescent="0.25">
      <c r="A2153" t="s">
        <v>1965</v>
      </c>
      <c r="B2153" t="s">
        <v>2050</v>
      </c>
      <c r="C2153" t="s">
        <v>2107</v>
      </c>
      <c r="D2153" t="s">
        <v>233</v>
      </c>
      <c r="E2153" t="s">
        <v>13</v>
      </c>
      <c r="F2153" t="s">
        <v>1</v>
      </c>
      <c r="G2153" t="s">
        <v>882</v>
      </c>
      <c r="H2153" t="s">
        <v>413</v>
      </c>
      <c r="I2153" t="s">
        <v>1</v>
      </c>
      <c r="J2153"/>
      <c r="K2153"/>
      <c r="L2153">
        <v>141.52000000000001</v>
      </c>
      <c r="M2153">
        <v>285.38563535911607</v>
      </c>
      <c r="N2153">
        <v>141.52000000000001</v>
      </c>
      <c r="O2153">
        <v>283.04000000000002</v>
      </c>
      <c r="P2153">
        <v>0</v>
      </c>
      <c r="Q2153">
        <f t="shared" si="445"/>
        <v>283.04000000000002</v>
      </c>
      <c r="R2153">
        <v>142.04000000000002</v>
      </c>
      <c r="S2153">
        <f t="shared" si="446"/>
        <v>-141</v>
      </c>
      <c r="T2153"/>
      <c r="U2153">
        <f t="shared" si="447"/>
        <v>0</v>
      </c>
      <c r="V2153">
        <f t="shared" si="448"/>
        <v>142.04000000000002</v>
      </c>
      <c r="W2153">
        <f t="shared" si="449"/>
        <v>-141</v>
      </c>
      <c r="X2153">
        <v>0</v>
      </c>
    </row>
    <row r="2154" spans="1:24" x14ac:dyDescent="0.25">
      <c r="A2154" t="s">
        <v>1965</v>
      </c>
      <c r="B2154" t="s">
        <v>2050</v>
      </c>
      <c r="C2154" t="s">
        <v>2107</v>
      </c>
      <c r="D2154" t="s">
        <v>233</v>
      </c>
      <c r="E2154" t="s">
        <v>22</v>
      </c>
      <c r="F2154" t="s">
        <v>1</v>
      </c>
      <c r="G2154" t="s">
        <v>882</v>
      </c>
      <c r="H2154" t="s">
        <v>422</v>
      </c>
      <c r="I2154" t="s">
        <v>1</v>
      </c>
      <c r="J2154">
        <v>464.21</v>
      </c>
      <c r="K2154">
        <v>103.5</v>
      </c>
      <c r="L2154">
        <v>0</v>
      </c>
      <c r="M2154">
        <v>0</v>
      </c>
      <c r="N2154">
        <v>442.98999999999995</v>
      </c>
      <c r="O2154"/>
      <c r="P2154">
        <v>0</v>
      </c>
      <c r="Q2154">
        <f t="shared" si="445"/>
        <v>0</v>
      </c>
      <c r="R2154">
        <v>443</v>
      </c>
      <c r="S2154">
        <f t="shared" si="446"/>
        <v>443</v>
      </c>
      <c r="T2154">
        <v>3.5000000000000003E-2</v>
      </c>
      <c r="U2154">
        <f t="shared" si="447"/>
        <v>15.505000000000001</v>
      </c>
      <c r="V2154">
        <f t="shared" si="448"/>
        <v>458.505</v>
      </c>
      <c r="W2154">
        <f t="shared" si="449"/>
        <v>458.505</v>
      </c>
      <c r="X2154">
        <v>0</v>
      </c>
    </row>
    <row r="2155" spans="1:24" x14ac:dyDescent="0.25">
      <c r="A2155" t="s">
        <v>1965</v>
      </c>
      <c r="B2155" t="s">
        <v>2050</v>
      </c>
      <c r="C2155" t="s">
        <v>2107</v>
      </c>
      <c r="D2155" t="s">
        <v>233</v>
      </c>
      <c r="E2155" t="s">
        <v>24</v>
      </c>
      <c r="F2155" t="s">
        <v>1</v>
      </c>
      <c r="G2155" t="s">
        <v>882</v>
      </c>
      <c r="H2155" t="s">
        <v>424</v>
      </c>
      <c r="I2155" t="s">
        <v>1</v>
      </c>
      <c r="J2155">
        <v>1387</v>
      </c>
      <c r="K2155"/>
      <c r="L2155">
        <v>0</v>
      </c>
      <c r="M2155">
        <v>0</v>
      </c>
      <c r="N2155">
        <v>1387</v>
      </c>
      <c r="O2155"/>
      <c r="P2155">
        <v>0</v>
      </c>
      <c r="Q2155">
        <f t="shared" si="445"/>
        <v>0</v>
      </c>
      <c r="R2155">
        <v>660</v>
      </c>
      <c r="S2155">
        <f t="shared" si="446"/>
        <v>660</v>
      </c>
      <c r="T2155"/>
      <c r="U2155">
        <f t="shared" si="447"/>
        <v>0</v>
      </c>
      <c r="V2155">
        <f t="shared" si="448"/>
        <v>660</v>
      </c>
      <c r="W2155">
        <f t="shared" si="449"/>
        <v>660</v>
      </c>
      <c r="X2155">
        <v>0</v>
      </c>
    </row>
    <row r="2156" spans="1:24" x14ac:dyDescent="0.25">
      <c r="A2156" t="s">
        <v>1965</v>
      </c>
      <c r="B2156" t="s">
        <v>2050</v>
      </c>
      <c r="C2156" t="s">
        <v>2107</v>
      </c>
      <c r="D2156" t="s">
        <v>233</v>
      </c>
      <c r="E2156" t="s">
        <v>25</v>
      </c>
      <c r="F2156" t="s">
        <v>1</v>
      </c>
      <c r="G2156" t="s">
        <v>882</v>
      </c>
      <c r="H2156" t="s">
        <v>425</v>
      </c>
      <c r="I2156" t="s">
        <v>1</v>
      </c>
      <c r="J2156"/>
      <c r="K2156">
        <v>2300.0003999999999</v>
      </c>
      <c r="L2156">
        <v>707</v>
      </c>
      <c r="M2156">
        <v>1425.7182320441989</v>
      </c>
      <c r="N2156">
        <v>707</v>
      </c>
      <c r="O2156">
        <v>1414</v>
      </c>
      <c r="P2156">
        <v>0</v>
      </c>
      <c r="Q2156">
        <f t="shared" si="445"/>
        <v>1414</v>
      </c>
      <c r="R2156">
        <v>800</v>
      </c>
      <c r="S2156">
        <f t="shared" si="446"/>
        <v>-614</v>
      </c>
      <c r="T2156"/>
      <c r="U2156">
        <f t="shared" si="447"/>
        <v>0</v>
      </c>
      <c r="V2156">
        <f t="shared" si="448"/>
        <v>800</v>
      </c>
      <c r="W2156">
        <f t="shared" si="449"/>
        <v>-614</v>
      </c>
      <c r="X2156">
        <v>0</v>
      </c>
    </row>
    <row r="2157" spans="1:24" x14ac:dyDescent="0.25">
      <c r="A2157" t="s">
        <v>1965</v>
      </c>
      <c r="B2157" t="s">
        <v>2050</v>
      </c>
      <c r="C2157" t="s">
        <v>2107</v>
      </c>
      <c r="D2157" t="s">
        <v>233</v>
      </c>
      <c r="E2157" t="s">
        <v>26</v>
      </c>
      <c r="F2157" t="s">
        <v>1</v>
      </c>
      <c r="G2157" t="s">
        <v>882</v>
      </c>
      <c r="H2157" t="s">
        <v>426</v>
      </c>
      <c r="I2157" t="s">
        <v>1</v>
      </c>
      <c r="J2157">
        <v>1854.25</v>
      </c>
      <c r="K2157">
        <v>6868.6685855664</v>
      </c>
      <c r="L2157">
        <v>1047.71</v>
      </c>
      <c r="M2157">
        <v>2112.7853591160224</v>
      </c>
      <c r="N2157">
        <v>2321.96</v>
      </c>
      <c r="O2157">
        <v>2095.42</v>
      </c>
      <c r="P2157">
        <v>0</v>
      </c>
      <c r="Q2157">
        <f t="shared" si="445"/>
        <v>2095.42</v>
      </c>
      <c r="R2157">
        <v>11000.42</v>
      </c>
      <c r="S2157">
        <f t="shared" si="446"/>
        <v>8905</v>
      </c>
      <c r="T2157"/>
      <c r="U2157">
        <f t="shared" si="447"/>
        <v>0</v>
      </c>
      <c r="V2157">
        <f t="shared" si="448"/>
        <v>11000.42</v>
      </c>
      <c r="W2157">
        <f t="shared" si="449"/>
        <v>8905</v>
      </c>
      <c r="X2157">
        <v>0</v>
      </c>
    </row>
    <row r="2158" spans="1:24" x14ac:dyDescent="0.25">
      <c r="A2158" t="s">
        <v>1965</v>
      </c>
      <c r="B2158" t="s">
        <v>2050</v>
      </c>
      <c r="C2158" t="s">
        <v>2107</v>
      </c>
      <c r="D2158" t="s">
        <v>233</v>
      </c>
      <c r="E2158" t="s">
        <v>29</v>
      </c>
      <c r="F2158" t="s">
        <v>1</v>
      </c>
      <c r="G2158" t="s">
        <v>882</v>
      </c>
      <c r="H2158" t="s">
        <v>429</v>
      </c>
      <c r="I2158" t="s">
        <v>1</v>
      </c>
      <c r="J2158">
        <v>-11.99</v>
      </c>
      <c r="K2158">
        <v>2184.9996000000001</v>
      </c>
      <c r="L2158">
        <v>0</v>
      </c>
      <c r="M2158">
        <v>0</v>
      </c>
      <c r="N2158">
        <v>0</v>
      </c>
      <c r="O2158"/>
      <c r="P2158">
        <v>0</v>
      </c>
      <c r="Q2158">
        <f t="shared" si="445"/>
        <v>0</v>
      </c>
      <c r="R2158">
        <v>100</v>
      </c>
      <c r="S2158">
        <f t="shared" si="446"/>
        <v>100</v>
      </c>
      <c r="T2158"/>
      <c r="U2158">
        <f t="shared" si="447"/>
        <v>0</v>
      </c>
      <c r="V2158">
        <f t="shared" si="448"/>
        <v>100</v>
      </c>
      <c r="W2158">
        <f t="shared" si="449"/>
        <v>100</v>
      </c>
      <c r="X2158">
        <v>0</v>
      </c>
    </row>
    <row r="2159" spans="1:24" x14ac:dyDescent="0.25">
      <c r="A2159" t="s">
        <v>1965</v>
      </c>
      <c r="B2159" t="s">
        <v>2050</v>
      </c>
      <c r="C2159" t="s">
        <v>2107</v>
      </c>
      <c r="D2159" t="s">
        <v>233</v>
      </c>
      <c r="E2159" t="s">
        <v>33</v>
      </c>
      <c r="F2159" t="s">
        <v>1</v>
      </c>
      <c r="G2159" t="s">
        <v>882</v>
      </c>
      <c r="H2159" t="s">
        <v>433</v>
      </c>
      <c r="I2159" t="s">
        <v>1</v>
      </c>
      <c r="J2159">
        <v>264.94</v>
      </c>
      <c r="K2159">
        <v>4317.4488129911997</v>
      </c>
      <c r="L2159">
        <v>399.04</v>
      </c>
      <c r="M2159">
        <v>804.69392265193369</v>
      </c>
      <c r="N2159">
        <v>663.98</v>
      </c>
      <c r="O2159">
        <v>798.08</v>
      </c>
      <c r="P2159">
        <v>0</v>
      </c>
      <c r="Q2159">
        <f t="shared" si="445"/>
        <v>798.08</v>
      </c>
      <c r="R2159">
        <v>4800.08</v>
      </c>
      <c r="S2159">
        <f t="shared" si="446"/>
        <v>4002</v>
      </c>
      <c r="T2159"/>
      <c r="U2159">
        <f t="shared" si="447"/>
        <v>0</v>
      </c>
      <c r="V2159">
        <f t="shared" si="448"/>
        <v>4800.08</v>
      </c>
      <c r="W2159">
        <f t="shared" si="449"/>
        <v>4002</v>
      </c>
      <c r="X2159">
        <v>0</v>
      </c>
    </row>
    <row r="2160" spans="1:24" x14ac:dyDescent="0.25">
      <c r="A2160" t="s">
        <v>1965</v>
      </c>
      <c r="B2160" t="s">
        <v>2050</v>
      </c>
      <c r="C2160" t="s">
        <v>2107</v>
      </c>
      <c r="D2160" t="s">
        <v>233</v>
      </c>
      <c r="E2160" t="s">
        <v>34</v>
      </c>
      <c r="F2160" t="s">
        <v>1</v>
      </c>
      <c r="G2160" t="s">
        <v>882</v>
      </c>
      <c r="H2160" t="s">
        <v>434</v>
      </c>
      <c r="I2160" t="s">
        <v>1</v>
      </c>
      <c r="J2160">
        <v>2789.64</v>
      </c>
      <c r="K2160">
        <v>8242.4022936744004</v>
      </c>
      <c r="L2160">
        <v>2089.5100000000002</v>
      </c>
      <c r="M2160">
        <v>4213.6527624309401</v>
      </c>
      <c r="N2160">
        <v>4879.1499999999996</v>
      </c>
      <c r="O2160">
        <v>4179.0200000000004</v>
      </c>
      <c r="P2160">
        <v>0</v>
      </c>
      <c r="Q2160">
        <f t="shared" si="445"/>
        <v>4179.0200000000004</v>
      </c>
      <c r="R2160">
        <v>1200.0200000000004</v>
      </c>
      <c r="S2160">
        <f t="shared" si="446"/>
        <v>-2979</v>
      </c>
      <c r="T2160"/>
      <c r="U2160">
        <f t="shared" si="447"/>
        <v>0</v>
      </c>
      <c r="V2160">
        <f t="shared" si="448"/>
        <v>1200.0200000000004</v>
      </c>
      <c r="W2160">
        <f t="shared" si="449"/>
        <v>-2979</v>
      </c>
      <c r="X2160">
        <v>0</v>
      </c>
    </row>
    <row r="2161" spans="1:24" x14ac:dyDescent="0.25">
      <c r="A2161" t="s">
        <v>1965</v>
      </c>
      <c r="B2161" t="s">
        <v>2050</v>
      </c>
      <c r="C2161" t="s">
        <v>2107</v>
      </c>
      <c r="D2161" t="s">
        <v>233</v>
      </c>
      <c r="E2161" t="s">
        <v>37</v>
      </c>
      <c r="F2161" t="s">
        <v>1</v>
      </c>
      <c r="G2161" t="s">
        <v>882</v>
      </c>
      <c r="H2161" t="s">
        <v>437</v>
      </c>
      <c r="I2161" t="s">
        <v>1</v>
      </c>
      <c r="J2161"/>
      <c r="K2161">
        <v>14227.956347776801</v>
      </c>
      <c r="L2161">
        <v>125</v>
      </c>
      <c r="M2161">
        <v>252.0718232044199</v>
      </c>
      <c r="N2161">
        <v>125</v>
      </c>
      <c r="O2161">
        <v>250</v>
      </c>
      <c r="P2161">
        <v>0</v>
      </c>
      <c r="Q2161">
        <f t="shared" si="445"/>
        <v>250</v>
      </c>
      <c r="R2161">
        <v>15864</v>
      </c>
      <c r="S2161">
        <f t="shared" si="446"/>
        <v>15614</v>
      </c>
      <c r="T2161"/>
      <c r="U2161">
        <f t="shared" si="447"/>
        <v>0</v>
      </c>
      <c r="V2161">
        <f t="shared" si="448"/>
        <v>15864</v>
      </c>
      <c r="W2161">
        <f t="shared" si="449"/>
        <v>15614</v>
      </c>
      <c r="X2161">
        <v>0</v>
      </c>
    </row>
    <row r="2162" spans="1:24" x14ac:dyDescent="0.25">
      <c r="A2162" t="s">
        <v>1965</v>
      </c>
      <c r="B2162" t="s">
        <v>2050</v>
      </c>
      <c r="C2162" t="s">
        <v>2107</v>
      </c>
      <c r="D2162" t="s">
        <v>233</v>
      </c>
      <c r="E2162" t="s">
        <v>42</v>
      </c>
      <c r="F2162" t="s">
        <v>1</v>
      </c>
      <c r="G2162" t="s">
        <v>882</v>
      </c>
      <c r="H2162" t="s">
        <v>442</v>
      </c>
      <c r="I2162" t="s">
        <v>1</v>
      </c>
      <c r="J2162"/>
      <c r="K2162"/>
      <c r="L2162">
        <v>11.65</v>
      </c>
      <c r="M2162">
        <v>23.493093922651937</v>
      </c>
      <c r="N2162">
        <v>11.65</v>
      </c>
      <c r="O2162">
        <v>23.3</v>
      </c>
      <c r="P2162">
        <v>0</v>
      </c>
      <c r="Q2162">
        <f t="shared" si="445"/>
        <v>23.3</v>
      </c>
      <c r="R2162">
        <v>1100.3</v>
      </c>
      <c r="S2162">
        <f t="shared" si="446"/>
        <v>1077</v>
      </c>
      <c r="T2162">
        <v>0.03</v>
      </c>
      <c r="U2162">
        <f t="shared" si="447"/>
        <v>33.009</v>
      </c>
      <c r="V2162">
        <f t="shared" si="448"/>
        <v>1133.309</v>
      </c>
      <c r="W2162">
        <f t="shared" si="449"/>
        <v>1110.009</v>
      </c>
      <c r="X2162">
        <v>0</v>
      </c>
    </row>
    <row r="2163" spans="1:24" x14ac:dyDescent="0.25">
      <c r="A2163" t="s">
        <v>1965</v>
      </c>
      <c r="B2163" t="s">
        <v>2050</v>
      </c>
      <c r="C2163" t="s">
        <v>2107</v>
      </c>
      <c r="D2163" t="s">
        <v>233</v>
      </c>
      <c r="E2163" t="s">
        <v>47</v>
      </c>
      <c r="F2163" t="s">
        <v>1</v>
      </c>
      <c r="G2163" t="s">
        <v>882</v>
      </c>
      <c r="H2163" t="s">
        <v>447</v>
      </c>
      <c r="I2163" t="s">
        <v>1</v>
      </c>
      <c r="J2163"/>
      <c r="K2163">
        <v>2799.9996000000001</v>
      </c>
      <c r="L2163">
        <v>0</v>
      </c>
      <c r="M2163">
        <v>0</v>
      </c>
      <c r="N2163">
        <v>0</v>
      </c>
      <c r="O2163"/>
      <c r="P2163">
        <v>0</v>
      </c>
      <c r="Q2163">
        <f t="shared" si="445"/>
        <v>0</v>
      </c>
      <c r="R2163">
        <v>3200</v>
      </c>
      <c r="S2163">
        <f t="shared" si="446"/>
        <v>3200</v>
      </c>
      <c r="T2163">
        <v>0.03</v>
      </c>
      <c r="U2163">
        <f t="shared" si="447"/>
        <v>96</v>
      </c>
      <c r="V2163">
        <f t="shared" si="448"/>
        <v>3296</v>
      </c>
      <c r="W2163">
        <f t="shared" si="449"/>
        <v>3296</v>
      </c>
      <c r="X2163">
        <v>0</v>
      </c>
    </row>
    <row r="2164" spans="1:24" x14ac:dyDescent="0.25">
      <c r="A2164" t="s">
        <v>1965</v>
      </c>
      <c r="B2164" t="s">
        <v>2050</v>
      </c>
      <c r="C2164" t="s">
        <v>2107</v>
      </c>
      <c r="D2164" t="s">
        <v>233</v>
      </c>
      <c r="E2164" t="s">
        <v>51</v>
      </c>
      <c r="F2164" t="s">
        <v>51</v>
      </c>
      <c r="G2164" t="s">
        <v>883</v>
      </c>
      <c r="H2164"/>
      <c r="I2164"/>
      <c r="J2164">
        <v>6748.05</v>
      </c>
      <c r="K2164">
        <v>41044.975640008801</v>
      </c>
      <c r="L2164">
        <v>4993.43</v>
      </c>
      <c r="M2164">
        <v>10069.624033149174</v>
      </c>
      <c r="N2164">
        <v>11152.25</v>
      </c>
      <c r="O2164">
        <v>9986.86</v>
      </c>
      <c r="P2164">
        <f>SUMIF($F$2151:$F$2163,"&lt;&gt;EV_*",$P$2151:$P$2163)</f>
        <v>0</v>
      </c>
      <c r="Q2164">
        <f>SUMIF($F$2151:$F$2163,"&lt;&gt;EV_*",$Q$2151:$Q$2163)</f>
        <v>9986.86</v>
      </c>
      <c r="R2164">
        <f>SUMIF($F$2151:$F$2163,"&lt;&gt;EV_*",$R$2151:$R$2163)</f>
        <v>40253.86</v>
      </c>
      <c r="S2164">
        <f>SUMIF($F$2151:$F$2163,"&lt;&gt;EV_*",$S$2151:$S$2163)</f>
        <v>30267</v>
      </c>
      <c r="T2164">
        <v>0</v>
      </c>
      <c r="U2164">
        <f>SUMIF($F$2151:$F$2163,"&lt;&gt;EV_*",$U$2151:$U$2163)</f>
        <v>144.51400000000001</v>
      </c>
      <c r="V2164">
        <f>SUMIF($F$2151:$F$2163,"&lt;&gt;EV_*",$V$2151:$V$2163)</f>
        <v>40398.374000000003</v>
      </c>
      <c r="W2164">
        <f>SUMIF($F$2151:$F$2163,"&lt;&gt;EV_*",$W$2151:$W$2163)</f>
        <v>30411.513999999996</v>
      </c>
      <c r="X2164">
        <f>SUMIF($F$2151:$F$2163,"&lt;&gt;EV_*",$X$2151:$X$2163)</f>
        <v>0</v>
      </c>
    </row>
    <row r="2165" spans="1:24" x14ac:dyDescent="0.25">
      <c r="A2165" t="s">
        <v>1965</v>
      </c>
      <c r="B2165" t="s">
        <v>2050</v>
      </c>
      <c r="C2165" t="s">
        <v>2108</v>
      </c>
      <c r="D2165" t="s">
        <v>234</v>
      </c>
      <c r="E2165" t="s">
        <v>5</v>
      </c>
      <c r="F2165" t="s">
        <v>5</v>
      </c>
      <c r="G2165" t="s">
        <v>884</v>
      </c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</row>
    <row r="2166" spans="1:24" x14ac:dyDescent="0.25">
      <c r="A2166" t="s">
        <v>1965</v>
      </c>
      <c r="B2166" t="s">
        <v>2050</v>
      </c>
      <c r="C2166" t="s">
        <v>2108</v>
      </c>
      <c r="D2166" t="s">
        <v>234</v>
      </c>
      <c r="E2166" t="s">
        <v>13</v>
      </c>
      <c r="F2166" t="s">
        <v>1</v>
      </c>
      <c r="G2166" t="s">
        <v>885</v>
      </c>
      <c r="H2166" t="s">
        <v>413</v>
      </c>
      <c r="I2166" t="s">
        <v>1</v>
      </c>
      <c r="J2166">
        <v>673.95</v>
      </c>
      <c r="K2166"/>
      <c r="L2166">
        <v>1123.9100000000001</v>
      </c>
      <c r="M2166">
        <v>2266.4483425414369</v>
      </c>
      <c r="N2166">
        <v>1797.8600000000004</v>
      </c>
      <c r="O2166">
        <v>2247.8200000000002</v>
      </c>
      <c r="P2166">
        <v>0</v>
      </c>
      <c r="Q2166">
        <f t="shared" ref="Q2166:Q2182" si="450">O2166+P2166</f>
        <v>2247.8200000000002</v>
      </c>
      <c r="R2166">
        <v>2247.8200000000002</v>
      </c>
      <c r="S2166">
        <f t="shared" ref="S2166:S2182" si="451">IF(OR(LEFT(E2166,2)="A_",LEFT(D2166,5)="Total"),R2166-Q2166,"")</f>
        <v>0</v>
      </c>
      <c r="T2166"/>
      <c r="U2166">
        <f t="shared" ref="U2166:U2182" si="452">IFERROR(R2166*T2166,R2166*0)</f>
        <v>0</v>
      </c>
      <c r="V2166">
        <f t="shared" ref="V2166:V2182" si="453">IF(OR(LEFT(E2166,2)="A_",LEFT(D2166,5)="Total"),R2166+U2166,"")</f>
        <v>2247.8200000000002</v>
      </c>
      <c r="W2166">
        <f t="shared" ref="W2166:W2182" si="454">IF(OR(LEFT(E2166,2)="A_",LEFT(D2166,5)="Total"),V2166-Q2166,"")</f>
        <v>0</v>
      </c>
      <c r="X2166">
        <v>0</v>
      </c>
    </row>
    <row r="2167" spans="1:24" x14ac:dyDescent="0.25">
      <c r="A2167" t="s">
        <v>1965</v>
      </c>
      <c r="B2167" t="s">
        <v>2050</v>
      </c>
      <c r="C2167" t="s">
        <v>2108</v>
      </c>
      <c r="D2167" t="s">
        <v>234</v>
      </c>
      <c r="E2167" t="s">
        <v>18</v>
      </c>
      <c r="F2167" t="s">
        <v>1</v>
      </c>
      <c r="G2167" t="s">
        <v>885</v>
      </c>
      <c r="H2167" t="s">
        <v>418</v>
      </c>
      <c r="I2167" t="s">
        <v>1</v>
      </c>
      <c r="J2167">
        <v>228</v>
      </c>
      <c r="K2167">
        <v>1035.1980000000999</v>
      </c>
      <c r="L2167">
        <v>0</v>
      </c>
      <c r="M2167">
        <v>0</v>
      </c>
      <c r="N2167">
        <v>228</v>
      </c>
      <c r="O2167"/>
      <c r="P2167">
        <v>0</v>
      </c>
      <c r="Q2167">
        <f t="shared" si="450"/>
        <v>0</v>
      </c>
      <c r="R2167">
        <v>0</v>
      </c>
      <c r="S2167">
        <f t="shared" si="451"/>
        <v>0</v>
      </c>
      <c r="T2167">
        <v>0.02</v>
      </c>
      <c r="U2167">
        <f t="shared" si="452"/>
        <v>0</v>
      </c>
      <c r="V2167">
        <f t="shared" si="453"/>
        <v>0</v>
      </c>
      <c r="W2167">
        <f t="shared" si="454"/>
        <v>0</v>
      </c>
      <c r="X2167">
        <v>0</v>
      </c>
    </row>
    <row r="2168" spans="1:24" x14ac:dyDescent="0.25">
      <c r="A2168" t="s">
        <v>1965</v>
      </c>
      <c r="B2168" t="s">
        <v>2050</v>
      </c>
      <c r="C2168" t="s">
        <v>2108</v>
      </c>
      <c r="D2168" t="s">
        <v>234</v>
      </c>
      <c r="E2168" t="s">
        <v>23</v>
      </c>
      <c r="F2168" t="s">
        <v>1</v>
      </c>
      <c r="G2168" t="s">
        <v>885</v>
      </c>
      <c r="H2168" t="s">
        <v>423</v>
      </c>
      <c r="I2168" t="s">
        <v>1</v>
      </c>
      <c r="J2168">
        <v>139.47</v>
      </c>
      <c r="K2168">
        <v>289.79999999990002</v>
      </c>
      <c r="L2168">
        <v>0</v>
      </c>
      <c r="M2168">
        <v>0</v>
      </c>
      <c r="N2168">
        <v>0</v>
      </c>
      <c r="O2168"/>
      <c r="P2168">
        <v>0</v>
      </c>
      <c r="Q2168">
        <f t="shared" si="450"/>
        <v>0</v>
      </c>
      <c r="R2168">
        <v>0</v>
      </c>
      <c r="S2168">
        <f t="shared" si="451"/>
        <v>0</v>
      </c>
      <c r="T2168">
        <v>3.5000000000000003E-2</v>
      </c>
      <c r="U2168">
        <f t="shared" si="452"/>
        <v>0</v>
      </c>
      <c r="V2168">
        <f t="shared" si="453"/>
        <v>0</v>
      </c>
      <c r="W2168">
        <f t="shared" si="454"/>
        <v>0</v>
      </c>
      <c r="X2168">
        <v>0</v>
      </c>
    </row>
    <row r="2169" spans="1:24" x14ac:dyDescent="0.25">
      <c r="A2169" t="s">
        <v>1965</v>
      </c>
      <c r="B2169" t="s">
        <v>2050</v>
      </c>
      <c r="C2169" t="s">
        <v>2108</v>
      </c>
      <c r="D2169" t="s">
        <v>234</v>
      </c>
      <c r="E2169" t="s">
        <v>24</v>
      </c>
      <c r="F2169" t="s">
        <v>1</v>
      </c>
      <c r="G2169" t="s">
        <v>885</v>
      </c>
      <c r="H2169" t="s">
        <v>424</v>
      </c>
      <c r="I2169" t="s">
        <v>1</v>
      </c>
      <c r="J2169">
        <v>9204.1200000000008</v>
      </c>
      <c r="K2169"/>
      <c r="L2169">
        <v>400.02</v>
      </c>
      <c r="M2169">
        <v>806.67016574585625</v>
      </c>
      <c r="N2169">
        <v>7043.06</v>
      </c>
      <c r="O2169">
        <v>800.04</v>
      </c>
      <c r="P2169">
        <v>6000</v>
      </c>
      <c r="Q2169">
        <f t="shared" si="450"/>
        <v>6800.04</v>
      </c>
      <c r="R2169">
        <v>6800.04</v>
      </c>
      <c r="S2169">
        <f t="shared" si="451"/>
        <v>0</v>
      </c>
      <c r="T2169"/>
      <c r="U2169">
        <f t="shared" si="452"/>
        <v>0</v>
      </c>
      <c r="V2169">
        <f t="shared" si="453"/>
        <v>6800.04</v>
      </c>
      <c r="W2169">
        <f t="shared" si="454"/>
        <v>0</v>
      </c>
      <c r="X2169" t="s">
        <v>2232</v>
      </c>
    </row>
    <row r="2170" spans="1:24" x14ac:dyDescent="0.25">
      <c r="A2170" t="s">
        <v>1965</v>
      </c>
      <c r="B2170" t="s">
        <v>2050</v>
      </c>
      <c r="C2170" t="s">
        <v>2108</v>
      </c>
      <c r="D2170" t="s">
        <v>234</v>
      </c>
      <c r="E2170" t="s">
        <v>25</v>
      </c>
      <c r="F2170" t="s">
        <v>1</v>
      </c>
      <c r="G2170" t="s">
        <v>885</v>
      </c>
      <c r="H2170" t="s">
        <v>425</v>
      </c>
      <c r="I2170" t="s">
        <v>1</v>
      </c>
      <c r="J2170">
        <v>121.48</v>
      </c>
      <c r="K2170">
        <v>6777.8796000000002</v>
      </c>
      <c r="L2170">
        <v>9559.14</v>
      </c>
      <c r="M2170">
        <v>19276.718784530385</v>
      </c>
      <c r="N2170">
        <v>9559.14</v>
      </c>
      <c r="O2170">
        <v>19118.28</v>
      </c>
      <c r="P2170">
        <v>0</v>
      </c>
      <c r="Q2170">
        <f t="shared" si="450"/>
        <v>19118.28</v>
      </c>
      <c r="R2170">
        <v>9559.14</v>
      </c>
      <c r="S2170">
        <f t="shared" si="451"/>
        <v>-9559.14</v>
      </c>
      <c r="T2170"/>
      <c r="U2170">
        <f t="shared" si="452"/>
        <v>0</v>
      </c>
      <c r="V2170">
        <f t="shared" si="453"/>
        <v>9559.14</v>
      </c>
      <c r="W2170">
        <f t="shared" si="454"/>
        <v>-9559.14</v>
      </c>
      <c r="X2170" t="s">
        <v>2233</v>
      </c>
    </row>
    <row r="2171" spans="1:24" x14ac:dyDescent="0.25">
      <c r="A2171" t="s">
        <v>1965</v>
      </c>
      <c r="B2171" t="s">
        <v>2050</v>
      </c>
      <c r="C2171" t="s">
        <v>2108</v>
      </c>
      <c r="D2171" t="s">
        <v>234</v>
      </c>
      <c r="E2171" t="s">
        <v>26</v>
      </c>
      <c r="F2171" t="s">
        <v>1</v>
      </c>
      <c r="G2171" t="s">
        <v>885</v>
      </c>
      <c r="H2171" t="s">
        <v>426</v>
      </c>
      <c r="I2171" t="s">
        <v>1</v>
      </c>
      <c r="J2171">
        <v>4728.38</v>
      </c>
      <c r="K2171">
        <v>5543.9967808643996</v>
      </c>
      <c r="L2171">
        <v>14067.3</v>
      </c>
      <c r="M2171">
        <v>28367.759668508286</v>
      </c>
      <c r="N2171">
        <v>14067.3</v>
      </c>
      <c r="O2171">
        <v>28134.6</v>
      </c>
      <c r="P2171">
        <v>0</v>
      </c>
      <c r="Q2171">
        <f t="shared" si="450"/>
        <v>28134.6</v>
      </c>
      <c r="R2171">
        <v>57150</v>
      </c>
      <c r="S2171">
        <f t="shared" si="451"/>
        <v>29015.4</v>
      </c>
      <c r="T2171"/>
      <c r="U2171">
        <f t="shared" si="452"/>
        <v>0</v>
      </c>
      <c r="V2171">
        <f t="shared" si="453"/>
        <v>57150</v>
      </c>
      <c r="W2171">
        <f t="shared" si="454"/>
        <v>29015.4</v>
      </c>
      <c r="X2171" t="s">
        <v>2234</v>
      </c>
    </row>
    <row r="2172" spans="1:24" x14ac:dyDescent="0.25">
      <c r="A2172" t="s">
        <v>1965</v>
      </c>
      <c r="B2172" t="s">
        <v>2050</v>
      </c>
      <c r="C2172" t="s">
        <v>2108</v>
      </c>
      <c r="D2172" t="s">
        <v>234</v>
      </c>
      <c r="E2172" t="s">
        <v>28</v>
      </c>
      <c r="F2172" t="s">
        <v>1</v>
      </c>
      <c r="G2172" t="s">
        <v>885</v>
      </c>
      <c r="H2172" t="s">
        <v>428</v>
      </c>
      <c r="I2172" t="s">
        <v>1</v>
      </c>
      <c r="J2172">
        <v>112</v>
      </c>
      <c r="K2172">
        <v>219.99999999959999</v>
      </c>
      <c r="L2172">
        <v>0</v>
      </c>
      <c r="M2172">
        <v>0</v>
      </c>
      <c r="N2172">
        <v>0</v>
      </c>
      <c r="O2172"/>
      <c r="P2172">
        <v>0</v>
      </c>
      <c r="Q2172">
        <f t="shared" si="450"/>
        <v>0</v>
      </c>
      <c r="R2172">
        <v>0</v>
      </c>
      <c r="S2172">
        <f t="shared" si="451"/>
        <v>0</v>
      </c>
      <c r="T2172"/>
      <c r="U2172">
        <f t="shared" si="452"/>
        <v>0</v>
      </c>
      <c r="V2172">
        <f t="shared" si="453"/>
        <v>0</v>
      </c>
      <c r="W2172">
        <f t="shared" si="454"/>
        <v>0</v>
      </c>
      <c r="X2172">
        <v>0</v>
      </c>
    </row>
    <row r="2173" spans="1:24" x14ac:dyDescent="0.25">
      <c r="A2173" t="s">
        <v>1965</v>
      </c>
      <c r="B2173" t="s">
        <v>2050</v>
      </c>
      <c r="C2173" t="s">
        <v>2108</v>
      </c>
      <c r="D2173" t="s">
        <v>234</v>
      </c>
      <c r="E2173" t="s">
        <v>29</v>
      </c>
      <c r="F2173" t="s">
        <v>1</v>
      </c>
      <c r="G2173" t="s">
        <v>885</v>
      </c>
      <c r="H2173" t="s">
        <v>429</v>
      </c>
      <c r="I2173" t="s">
        <v>1</v>
      </c>
      <c r="J2173">
        <v>340.48</v>
      </c>
      <c r="K2173">
        <v>680.00000000039995</v>
      </c>
      <c r="L2173">
        <v>112.5</v>
      </c>
      <c r="M2173">
        <v>226.8646408839779</v>
      </c>
      <c r="N2173">
        <v>112.5</v>
      </c>
      <c r="O2173">
        <v>225</v>
      </c>
      <c r="P2173">
        <v>0</v>
      </c>
      <c r="Q2173">
        <f t="shared" si="450"/>
        <v>225</v>
      </c>
      <c r="R2173">
        <v>0</v>
      </c>
      <c r="S2173">
        <f t="shared" si="451"/>
        <v>-225</v>
      </c>
      <c r="T2173"/>
      <c r="U2173">
        <f t="shared" si="452"/>
        <v>0</v>
      </c>
      <c r="V2173">
        <f t="shared" si="453"/>
        <v>0</v>
      </c>
      <c r="W2173">
        <f t="shared" si="454"/>
        <v>-225</v>
      </c>
      <c r="X2173">
        <v>0</v>
      </c>
    </row>
    <row r="2174" spans="1:24" x14ac:dyDescent="0.25">
      <c r="A2174" t="s">
        <v>1965</v>
      </c>
      <c r="B2174" t="s">
        <v>2050</v>
      </c>
      <c r="C2174" t="s">
        <v>2108</v>
      </c>
      <c r="D2174" t="s">
        <v>234</v>
      </c>
      <c r="E2174" t="s">
        <v>33</v>
      </c>
      <c r="F2174" t="s">
        <v>1</v>
      </c>
      <c r="G2174" t="s">
        <v>885</v>
      </c>
      <c r="H2174" t="s">
        <v>433</v>
      </c>
      <c r="I2174" t="s">
        <v>1</v>
      </c>
      <c r="J2174">
        <v>5059.49</v>
      </c>
      <c r="K2174">
        <v>9812.3836904508007</v>
      </c>
      <c r="L2174">
        <v>2452.1999999999998</v>
      </c>
      <c r="M2174">
        <v>4945.044198895027</v>
      </c>
      <c r="N2174">
        <v>4091.3999999999996</v>
      </c>
      <c r="O2174">
        <v>4904.3999999999996</v>
      </c>
      <c r="P2174">
        <v>5000</v>
      </c>
      <c r="Q2174">
        <f t="shared" si="450"/>
        <v>9904.4</v>
      </c>
      <c r="R2174">
        <v>9904.4</v>
      </c>
      <c r="S2174">
        <f t="shared" si="451"/>
        <v>0</v>
      </c>
      <c r="T2174"/>
      <c r="U2174">
        <f t="shared" si="452"/>
        <v>0</v>
      </c>
      <c r="V2174">
        <f t="shared" si="453"/>
        <v>9904.4</v>
      </c>
      <c r="W2174">
        <f t="shared" si="454"/>
        <v>0</v>
      </c>
      <c r="X2174">
        <v>0</v>
      </c>
    </row>
    <row r="2175" spans="1:24" x14ac:dyDescent="0.25">
      <c r="A2175" t="s">
        <v>1965</v>
      </c>
      <c r="B2175" t="s">
        <v>2050</v>
      </c>
      <c r="C2175" t="s">
        <v>2108</v>
      </c>
      <c r="D2175" t="s">
        <v>234</v>
      </c>
      <c r="E2175" t="s">
        <v>34</v>
      </c>
      <c r="F2175" t="s">
        <v>1</v>
      </c>
      <c r="G2175" t="s">
        <v>885</v>
      </c>
      <c r="H2175" t="s">
        <v>434</v>
      </c>
      <c r="I2175" t="s">
        <v>1</v>
      </c>
      <c r="J2175">
        <v>7244.13</v>
      </c>
      <c r="K2175">
        <v>686.86685780640005</v>
      </c>
      <c r="L2175">
        <v>26.57</v>
      </c>
      <c r="M2175">
        <v>53.580386740331491</v>
      </c>
      <c r="N2175">
        <v>5967.3099999999995</v>
      </c>
      <c r="O2175">
        <v>53.14</v>
      </c>
      <c r="P2175">
        <v>0</v>
      </c>
      <c r="Q2175">
        <f t="shared" si="450"/>
        <v>53.14</v>
      </c>
      <c r="R2175">
        <v>0</v>
      </c>
      <c r="S2175">
        <f t="shared" si="451"/>
        <v>-53.14</v>
      </c>
      <c r="T2175"/>
      <c r="U2175">
        <f t="shared" si="452"/>
        <v>0</v>
      </c>
      <c r="V2175">
        <f t="shared" si="453"/>
        <v>0</v>
      </c>
      <c r="W2175">
        <f t="shared" si="454"/>
        <v>-53.14</v>
      </c>
      <c r="X2175">
        <v>0</v>
      </c>
    </row>
    <row r="2176" spans="1:24" x14ac:dyDescent="0.25">
      <c r="A2176" t="s">
        <v>1965</v>
      </c>
      <c r="B2176" t="s">
        <v>2050</v>
      </c>
      <c r="C2176" t="s">
        <v>2108</v>
      </c>
      <c r="D2176" t="s">
        <v>234</v>
      </c>
      <c r="E2176" t="s">
        <v>35</v>
      </c>
      <c r="F2176" t="s">
        <v>1</v>
      </c>
      <c r="G2176" t="s">
        <v>885</v>
      </c>
      <c r="H2176" t="s">
        <v>435</v>
      </c>
      <c r="I2176" t="s">
        <v>1</v>
      </c>
      <c r="J2176"/>
      <c r="K2176">
        <v>369.99999999959999</v>
      </c>
      <c r="L2176">
        <v>0</v>
      </c>
      <c r="M2176">
        <v>0</v>
      </c>
      <c r="N2176">
        <v>0</v>
      </c>
      <c r="O2176"/>
      <c r="P2176">
        <v>0</v>
      </c>
      <c r="Q2176">
        <f t="shared" si="450"/>
        <v>0</v>
      </c>
      <c r="R2176">
        <v>0</v>
      </c>
      <c r="S2176">
        <f t="shared" si="451"/>
        <v>0</v>
      </c>
      <c r="T2176"/>
      <c r="U2176">
        <f t="shared" si="452"/>
        <v>0</v>
      </c>
      <c r="V2176">
        <f t="shared" si="453"/>
        <v>0</v>
      </c>
      <c r="W2176">
        <f t="shared" si="454"/>
        <v>0</v>
      </c>
      <c r="X2176">
        <v>0</v>
      </c>
    </row>
    <row r="2177" spans="1:24" x14ac:dyDescent="0.25">
      <c r="A2177" t="s">
        <v>1965</v>
      </c>
      <c r="B2177" t="s">
        <v>2050</v>
      </c>
      <c r="C2177" t="s">
        <v>2108</v>
      </c>
      <c r="D2177" t="s">
        <v>234</v>
      </c>
      <c r="E2177" t="s">
        <v>37</v>
      </c>
      <c r="F2177" t="s">
        <v>1</v>
      </c>
      <c r="G2177" t="s">
        <v>885</v>
      </c>
      <c r="H2177" t="s">
        <v>437</v>
      </c>
      <c r="I2177" t="s">
        <v>1</v>
      </c>
      <c r="J2177">
        <v>20704.71</v>
      </c>
      <c r="K2177">
        <v>30101.449416668402</v>
      </c>
      <c r="L2177">
        <v>14438.19</v>
      </c>
      <c r="M2177">
        <v>29115.687016574586</v>
      </c>
      <c r="N2177">
        <v>20397.86</v>
      </c>
      <c r="O2177">
        <v>28876.38</v>
      </c>
      <c r="P2177">
        <v>0</v>
      </c>
      <c r="Q2177">
        <f t="shared" si="450"/>
        <v>28876.38</v>
      </c>
      <c r="R2177">
        <v>18000</v>
      </c>
      <c r="S2177">
        <f t="shared" si="451"/>
        <v>-10876.380000000001</v>
      </c>
      <c r="T2177"/>
      <c r="U2177">
        <f t="shared" si="452"/>
        <v>0</v>
      </c>
      <c r="V2177">
        <f t="shared" si="453"/>
        <v>18000</v>
      </c>
      <c r="W2177">
        <f t="shared" si="454"/>
        <v>-10876.380000000001</v>
      </c>
      <c r="X2177" t="s">
        <v>2235</v>
      </c>
    </row>
    <row r="2178" spans="1:24" x14ac:dyDescent="0.25">
      <c r="A2178" t="s">
        <v>1965</v>
      </c>
      <c r="B2178" t="s">
        <v>2050</v>
      </c>
      <c r="C2178" t="s">
        <v>2108</v>
      </c>
      <c r="D2178" t="s">
        <v>234</v>
      </c>
      <c r="E2178" t="s">
        <v>42</v>
      </c>
      <c r="F2178" t="s">
        <v>1</v>
      </c>
      <c r="G2178" t="s">
        <v>885</v>
      </c>
      <c r="H2178" t="s">
        <v>442</v>
      </c>
      <c r="I2178" t="s">
        <v>1</v>
      </c>
      <c r="J2178">
        <v>33.229999999999997</v>
      </c>
      <c r="K2178"/>
      <c r="L2178">
        <v>116.5</v>
      </c>
      <c r="M2178">
        <v>234.93093922651931</v>
      </c>
      <c r="N2178">
        <v>149.72999999999999</v>
      </c>
      <c r="O2178">
        <v>233</v>
      </c>
      <c r="P2178">
        <v>0</v>
      </c>
      <c r="Q2178">
        <f t="shared" si="450"/>
        <v>233</v>
      </c>
      <c r="R2178">
        <v>233</v>
      </c>
      <c r="S2178">
        <f t="shared" si="451"/>
        <v>0</v>
      </c>
      <c r="T2178">
        <v>0.03</v>
      </c>
      <c r="U2178">
        <f t="shared" si="452"/>
        <v>6.9899999999999993</v>
      </c>
      <c r="V2178">
        <f t="shared" si="453"/>
        <v>239.99</v>
      </c>
      <c r="W2178">
        <f t="shared" si="454"/>
        <v>6.9900000000000091</v>
      </c>
      <c r="X2178">
        <v>0</v>
      </c>
    </row>
    <row r="2179" spans="1:24" x14ac:dyDescent="0.25">
      <c r="A2179" t="s">
        <v>1965</v>
      </c>
      <c r="B2179" t="s">
        <v>2050</v>
      </c>
      <c r="C2179" t="s">
        <v>2108</v>
      </c>
      <c r="D2179" t="s">
        <v>234</v>
      </c>
      <c r="E2179" t="s">
        <v>46</v>
      </c>
      <c r="F2179" t="s">
        <v>1</v>
      </c>
      <c r="G2179" t="s">
        <v>885</v>
      </c>
      <c r="H2179" t="s">
        <v>446</v>
      </c>
      <c r="I2179" t="s">
        <v>1</v>
      </c>
      <c r="J2179">
        <v>1449.42</v>
      </c>
      <c r="K2179">
        <v>1449</v>
      </c>
      <c r="L2179">
        <v>350</v>
      </c>
      <c r="M2179">
        <v>705.8011049723757</v>
      </c>
      <c r="N2179">
        <v>350</v>
      </c>
      <c r="O2179">
        <v>700</v>
      </c>
      <c r="P2179">
        <v>0</v>
      </c>
      <c r="Q2179">
        <f t="shared" si="450"/>
        <v>700</v>
      </c>
      <c r="R2179">
        <v>700</v>
      </c>
      <c r="S2179">
        <f t="shared" si="451"/>
        <v>0</v>
      </c>
      <c r="T2179">
        <v>0.03</v>
      </c>
      <c r="U2179">
        <f t="shared" si="452"/>
        <v>21</v>
      </c>
      <c r="V2179">
        <f t="shared" si="453"/>
        <v>721</v>
      </c>
      <c r="W2179">
        <f t="shared" si="454"/>
        <v>21</v>
      </c>
      <c r="X2179">
        <v>0</v>
      </c>
    </row>
    <row r="2180" spans="1:24" x14ac:dyDescent="0.25">
      <c r="A2180" t="s">
        <v>1965</v>
      </c>
      <c r="B2180" t="s">
        <v>2050</v>
      </c>
      <c r="C2180" t="s">
        <v>2108</v>
      </c>
      <c r="D2180" t="s">
        <v>234</v>
      </c>
      <c r="E2180" t="s">
        <v>47</v>
      </c>
      <c r="F2180" t="s">
        <v>1</v>
      </c>
      <c r="G2180" t="s">
        <v>885</v>
      </c>
      <c r="H2180" t="s">
        <v>447</v>
      </c>
      <c r="I2180" t="s">
        <v>1</v>
      </c>
      <c r="J2180">
        <v>3765</v>
      </c>
      <c r="K2180"/>
      <c r="L2180">
        <v>0</v>
      </c>
      <c r="M2180">
        <v>0</v>
      </c>
      <c r="N2180">
        <v>0</v>
      </c>
      <c r="O2180"/>
      <c r="P2180">
        <v>0</v>
      </c>
      <c r="Q2180">
        <f t="shared" si="450"/>
        <v>0</v>
      </c>
      <c r="R2180">
        <v>0</v>
      </c>
      <c r="S2180">
        <f t="shared" si="451"/>
        <v>0</v>
      </c>
      <c r="T2180">
        <v>0.03</v>
      </c>
      <c r="U2180">
        <f t="shared" si="452"/>
        <v>0</v>
      </c>
      <c r="V2180">
        <f t="shared" si="453"/>
        <v>0</v>
      </c>
      <c r="W2180">
        <f t="shared" si="454"/>
        <v>0</v>
      </c>
      <c r="X2180">
        <v>0</v>
      </c>
    </row>
    <row r="2181" spans="1:24" x14ac:dyDescent="0.25">
      <c r="A2181" t="s">
        <v>1965</v>
      </c>
      <c r="B2181" t="s">
        <v>2050</v>
      </c>
      <c r="C2181" t="s">
        <v>2108</v>
      </c>
      <c r="D2181" t="s">
        <v>234</v>
      </c>
      <c r="E2181" t="s">
        <v>48</v>
      </c>
      <c r="F2181" t="s">
        <v>1</v>
      </c>
      <c r="G2181" t="s">
        <v>885</v>
      </c>
      <c r="H2181" t="s">
        <v>448</v>
      </c>
      <c r="I2181" t="s">
        <v>1</v>
      </c>
      <c r="J2181"/>
      <c r="K2181"/>
      <c r="L2181">
        <v>27.93</v>
      </c>
      <c r="M2181">
        <v>56.322928176795578</v>
      </c>
      <c r="N2181">
        <v>27.93</v>
      </c>
      <c r="O2181">
        <v>55.86</v>
      </c>
      <c r="P2181">
        <v>0</v>
      </c>
      <c r="Q2181">
        <f t="shared" si="450"/>
        <v>55.86</v>
      </c>
      <c r="R2181">
        <v>55.86</v>
      </c>
      <c r="S2181">
        <f t="shared" si="451"/>
        <v>0</v>
      </c>
      <c r="T2181">
        <v>0.03</v>
      </c>
      <c r="U2181">
        <f t="shared" si="452"/>
        <v>1.6758</v>
      </c>
      <c r="V2181">
        <f t="shared" si="453"/>
        <v>57.535800000000002</v>
      </c>
      <c r="W2181">
        <f t="shared" si="454"/>
        <v>1.6758000000000024</v>
      </c>
      <c r="X2181">
        <v>0</v>
      </c>
    </row>
    <row r="2182" spans="1:24" x14ac:dyDescent="0.25">
      <c r="A2182" t="s">
        <v>1965</v>
      </c>
      <c r="B2182" t="s">
        <v>2050</v>
      </c>
      <c r="C2182" t="s">
        <v>2108</v>
      </c>
      <c r="D2182" t="s">
        <v>234</v>
      </c>
      <c r="E2182" t="s">
        <v>50</v>
      </c>
      <c r="F2182" t="s">
        <v>1</v>
      </c>
      <c r="G2182" t="s">
        <v>885</v>
      </c>
      <c r="H2182" t="s">
        <v>450</v>
      </c>
      <c r="I2182" t="s">
        <v>1</v>
      </c>
      <c r="J2182">
        <v>376.34</v>
      </c>
      <c r="K2182">
        <v>330</v>
      </c>
      <c r="L2182">
        <v>263.14999999999998</v>
      </c>
      <c r="M2182">
        <v>530.6616022099447</v>
      </c>
      <c r="N2182">
        <v>482.11</v>
      </c>
      <c r="O2182">
        <v>530.66160220990002</v>
      </c>
      <c r="P2182">
        <v>0</v>
      </c>
      <c r="Q2182">
        <f t="shared" si="450"/>
        <v>530.66160220990002</v>
      </c>
      <c r="R2182">
        <v>530.66160220990002</v>
      </c>
      <c r="S2182">
        <f t="shared" si="451"/>
        <v>0</v>
      </c>
      <c r="T2182"/>
      <c r="U2182">
        <f t="shared" si="452"/>
        <v>0</v>
      </c>
      <c r="V2182">
        <f t="shared" si="453"/>
        <v>530.66160220990002</v>
      </c>
      <c r="W2182">
        <f t="shared" si="454"/>
        <v>0</v>
      </c>
      <c r="X2182">
        <v>0</v>
      </c>
    </row>
    <row r="2183" spans="1:24" x14ac:dyDescent="0.25">
      <c r="A2183" t="s">
        <v>1965</v>
      </c>
      <c r="B2183" t="s">
        <v>2050</v>
      </c>
      <c r="C2183" t="s">
        <v>2108</v>
      </c>
      <c r="D2183" t="s">
        <v>234</v>
      </c>
      <c r="E2183" t="s">
        <v>51</v>
      </c>
      <c r="F2183" t="s">
        <v>51</v>
      </c>
      <c r="G2183" t="s">
        <v>886</v>
      </c>
      <c r="H2183"/>
      <c r="I2183"/>
      <c r="J2183">
        <v>54180.200000000004</v>
      </c>
      <c r="K2183">
        <v>57296.574345789602</v>
      </c>
      <c r="L2183">
        <v>42937.41</v>
      </c>
      <c r="M2183">
        <v>86586.489779005511</v>
      </c>
      <c r="N2183">
        <v>64274.200000000004</v>
      </c>
      <c r="O2183">
        <v>85879.181602209908</v>
      </c>
      <c r="P2183">
        <f>SUMIF($F$2165:$F$2182,"&lt;&gt;EV_*",$P$2165:$P$2182)</f>
        <v>11000</v>
      </c>
      <c r="Q2183">
        <f>SUMIF($F$2165:$F$2182,"&lt;&gt;EV_*",$Q$2165:$Q$2182)</f>
        <v>96879.181602209908</v>
      </c>
      <c r="R2183">
        <f>SUMIF($F$2165:$F$2182,"&lt;&gt;EV_*",$R$2165:$R$2182)</f>
        <v>105180.9216022099</v>
      </c>
      <c r="S2183">
        <f>SUMIF($F$2165:$F$2182,"&lt;&gt;EV_*",$S$2165:$S$2182)</f>
        <v>8301.7400000000016</v>
      </c>
      <c r="T2183">
        <v>0</v>
      </c>
      <c r="U2183">
        <f>SUMIF($F$2165:$F$2182,"&lt;&gt;EV_*",$U$2165:$U$2182)</f>
        <v>29.665799999999997</v>
      </c>
      <c r="V2183">
        <f>SUMIF($F$2165:$F$2182,"&lt;&gt;EV_*",$V$2165:$V$2182)</f>
        <v>105210.5874022099</v>
      </c>
      <c r="W2183">
        <f>SUMIF($F$2165:$F$2182,"&lt;&gt;EV_*",$W$2165:$W$2182)</f>
        <v>8331.4058000000023</v>
      </c>
      <c r="X2183">
        <f>SUMIF($F$2165:$F$2182,"&lt;&gt;EV_*",$X$2165:$X$2182)</f>
        <v>0</v>
      </c>
    </row>
    <row r="2184" spans="1:24" x14ac:dyDescent="0.25">
      <c r="A2184" t="s">
        <v>1965</v>
      </c>
      <c r="B2184" t="s">
        <v>2050</v>
      </c>
      <c r="C2184" t="s">
        <v>2109</v>
      </c>
      <c r="D2184" t="s">
        <v>235</v>
      </c>
      <c r="E2184" t="s">
        <v>5</v>
      </c>
      <c r="F2184" t="s">
        <v>5</v>
      </c>
      <c r="G2184" t="s">
        <v>887</v>
      </c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</row>
    <row r="2185" spans="1:24" x14ac:dyDescent="0.25">
      <c r="A2185" t="s">
        <v>1965</v>
      </c>
      <c r="B2185" t="s">
        <v>2050</v>
      </c>
      <c r="C2185" t="s">
        <v>2109</v>
      </c>
      <c r="D2185" t="s">
        <v>235</v>
      </c>
      <c r="E2185" t="s">
        <v>6</v>
      </c>
      <c r="F2185" t="s">
        <v>1</v>
      </c>
      <c r="G2185" t="s">
        <v>888</v>
      </c>
      <c r="H2185" t="s">
        <v>406</v>
      </c>
      <c r="I2185" t="s">
        <v>1</v>
      </c>
      <c r="J2185">
        <v>400</v>
      </c>
      <c r="K2185"/>
      <c r="L2185">
        <v>0</v>
      </c>
      <c r="M2185">
        <v>0</v>
      </c>
      <c r="N2185">
        <v>400</v>
      </c>
      <c r="O2185"/>
      <c r="P2185">
        <v>0</v>
      </c>
      <c r="Q2185">
        <f t="shared" ref="Q2185:Q2203" si="455">O2185+P2185</f>
        <v>0</v>
      </c>
      <c r="R2185">
        <v>0</v>
      </c>
      <c r="S2185">
        <f t="shared" ref="S2185:S2203" si="456">IF(OR(LEFT(E2185,2)="A_",LEFT(D2185,5)="Total"),R2185-Q2185,"")</f>
        <v>0</v>
      </c>
      <c r="T2185"/>
      <c r="U2185">
        <f t="shared" ref="U2185:U2203" si="457">IFERROR(R2185*T2185,R2185*0)</f>
        <v>0</v>
      </c>
      <c r="V2185">
        <f t="shared" ref="V2185:V2203" si="458">IF(OR(LEFT(E2185,2)="A_",LEFT(D2185,5)="Total"),R2185+U2185,"")</f>
        <v>0</v>
      </c>
      <c r="W2185">
        <f t="shared" ref="W2185:W2203" si="459">IF(OR(LEFT(E2185,2)="A_",LEFT(D2185,5)="Total"),V2185-Q2185,"")</f>
        <v>0</v>
      </c>
      <c r="X2185">
        <v>0</v>
      </c>
    </row>
    <row r="2186" spans="1:24" x14ac:dyDescent="0.25">
      <c r="A2186" t="s">
        <v>1965</v>
      </c>
      <c r="B2186" t="s">
        <v>2050</v>
      </c>
      <c r="C2186" t="s">
        <v>2109</v>
      </c>
      <c r="D2186" t="s">
        <v>235</v>
      </c>
      <c r="E2186" t="s">
        <v>7</v>
      </c>
      <c r="F2186" t="s">
        <v>1</v>
      </c>
      <c r="G2186" t="s">
        <v>888</v>
      </c>
      <c r="H2186" t="s">
        <v>407</v>
      </c>
      <c r="I2186" t="s">
        <v>1</v>
      </c>
      <c r="J2186">
        <v>876.19</v>
      </c>
      <c r="K2186"/>
      <c r="L2186">
        <v>0</v>
      </c>
      <c r="M2186">
        <v>0</v>
      </c>
      <c r="N2186">
        <v>0</v>
      </c>
      <c r="O2186"/>
      <c r="P2186">
        <v>0</v>
      </c>
      <c r="Q2186">
        <f t="shared" si="455"/>
        <v>0</v>
      </c>
      <c r="R2186">
        <v>0</v>
      </c>
      <c r="S2186">
        <f t="shared" si="456"/>
        <v>0</v>
      </c>
      <c r="T2186"/>
      <c r="U2186">
        <f t="shared" si="457"/>
        <v>0</v>
      </c>
      <c r="V2186">
        <f t="shared" si="458"/>
        <v>0</v>
      </c>
      <c r="W2186">
        <f t="shared" si="459"/>
        <v>0</v>
      </c>
      <c r="X2186">
        <v>0</v>
      </c>
    </row>
    <row r="2187" spans="1:24" x14ac:dyDescent="0.25">
      <c r="A2187" t="s">
        <v>1965</v>
      </c>
      <c r="B2187" t="s">
        <v>2050</v>
      </c>
      <c r="C2187" t="s">
        <v>2109</v>
      </c>
      <c r="D2187" t="s">
        <v>235</v>
      </c>
      <c r="E2187" t="s">
        <v>13</v>
      </c>
      <c r="F2187" t="s">
        <v>1</v>
      </c>
      <c r="G2187" t="s">
        <v>888</v>
      </c>
      <c r="H2187" t="s">
        <v>413</v>
      </c>
      <c r="I2187" t="s">
        <v>1</v>
      </c>
      <c r="J2187">
        <v>163.93</v>
      </c>
      <c r="K2187"/>
      <c r="L2187">
        <v>1095.82</v>
      </c>
      <c r="M2187">
        <v>2209.8027624309393</v>
      </c>
      <c r="N2187">
        <v>1259.75</v>
      </c>
      <c r="O2187">
        <v>2191.64</v>
      </c>
      <c r="P2187">
        <v>0</v>
      </c>
      <c r="Q2187">
        <f t="shared" si="455"/>
        <v>2191.64</v>
      </c>
      <c r="R2187">
        <v>2191.64</v>
      </c>
      <c r="S2187">
        <f t="shared" si="456"/>
        <v>0</v>
      </c>
      <c r="T2187"/>
      <c r="U2187">
        <f t="shared" si="457"/>
        <v>0</v>
      </c>
      <c r="V2187">
        <f t="shared" si="458"/>
        <v>2191.64</v>
      </c>
      <c r="W2187">
        <f t="shared" si="459"/>
        <v>0</v>
      </c>
      <c r="X2187">
        <v>0</v>
      </c>
    </row>
    <row r="2188" spans="1:24" x14ac:dyDescent="0.25">
      <c r="A2188" t="s">
        <v>1965</v>
      </c>
      <c r="B2188" t="s">
        <v>2050</v>
      </c>
      <c r="C2188" t="s">
        <v>2109</v>
      </c>
      <c r="D2188" t="s">
        <v>235</v>
      </c>
      <c r="E2188" t="s">
        <v>18</v>
      </c>
      <c r="F2188" t="s">
        <v>1</v>
      </c>
      <c r="G2188" t="s">
        <v>888</v>
      </c>
      <c r="H2188" t="s">
        <v>418</v>
      </c>
      <c r="I2188" t="s">
        <v>1</v>
      </c>
      <c r="J2188">
        <v>83.25</v>
      </c>
      <c r="K2188"/>
      <c r="L2188">
        <v>0</v>
      </c>
      <c r="M2188">
        <v>0</v>
      </c>
      <c r="N2188">
        <v>83.25</v>
      </c>
      <c r="O2188"/>
      <c r="P2188">
        <v>0</v>
      </c>
      <c r="Q2188">
        <f t="shared" si="455"/>
        <v>0</v>
      </c>
      <c r="R2188">
        <v>0</v>
      </c>
      <c r="S2188">
        <f t="shared" si="456"/>
        <v>0</v>
      </c>
      <c r="T2188">
        <v>0.02</v>
      </c>
      <c r="U2188">
        <f t="shared" si="457"/>
        <v>0</v>
      </c>
      <c r="V2188">
        <f t="shared" si="458"/>
        <v>0</v>
      </c>
      <c r="W2188">
        <f t="shared" si="459"/>
        <v>0</v>
      </c>
      <c r="X2188">
        <v>0</v>
      </c>
    </row>
    <row r="2189" spans="1:24" x14ac:dyDescent="0.25">
      <c r="A2189" t="s">
        <v>1965</v>
      </c>
      <c r="B2189" t="s">
        <v>2050</v>
      </c>
      <c r="C2189" t="s">
        <v>2109</v>
      </c>
      <c r="D2189" t="s">
        <v>235</v>
      </c>
      <c r="E2189" t="s">
        <v>73</v>
      </c>
      <c r="F2189" t="s">
        <v>1</v>
      </c>
      <c r="G2189" t="s">
        <v>888</v>
      </c>
      <c r="H2189" t="s">
        <v>490</v>
      </c>
      <c r="I2189" t="s">
        <v>1</v>
      </c>
      <c r="J2189"/>
      <c r="K2189">
        <v>2794.4999999999</v>
      </c>
      <c r="L2189">
        <v>0</v>
      </c>
      <c r="M2189">
        <v>0</v>
      </c>
      <c r="N2189">
        <v>0</v>
      </c>
      <c r="O2189"/>
      <c r="P2189">
        <v>0</v>
      </c>
      <c r="Q2189">
        <f t="shared" si="455"/>
        <v>0</v>
      </c>
      <c r="R2189">
        <v>2794.4999999999</v>
      </c>
      <c r="S2189">
        <f t="shared" si="456"/>
        <v>2794.4999999999</v>
      </c>
      <c r="T2189">
        <v>3.5000000000000003E-2</v>
      </c>
      <c r="U2189">
        <f t="shared" si="457"/>
        <v>97.807499999996509</v>
      </c>
      <c r="V2189">
        <f t="shared" si="458"/>
        <v>2892.3074999998967</v>
      </c>
      <c r="W2189">
        <f t="shared" si="459"/>
        <v>2892.3074999998967</v>
      </c>
      <c r="X2189" t="s">
        <v>2241</v>
      </c>
    </row>
    <row r="2190" spans="1:24" x14ac:dyDescent="0.25">
      <c r="A2190" t="s">
        <v>1965</v>
      </c>
      <c r="B2190" t="s">
        <v>2050</v>
      </c>
      <c r="C2190" t="s">
        <v>2109</v>
      </c>
      <c r="D2190" t="s">
        <v>235</v>
      </c>
      <c r="E2190" t="s">
        <v>23</v>
      </c>
      <c r="F2190" t="s">
        <v>1</v>
      </c>
      <c r="G2190" t="s">
        <v>888</v>
      </c>
      <c r="H2190" t="s">
        <v>423</v>
      </c>
      <c r="I2190" t="s">
        <v>1</v>
      </c>
      <c r="J2190"/>
      <c r="K2190">
        <v>258.74999999969998</v>
      </c>
      <c r="L2190">
        <v>0</v>
      </c>
      <c r="M2190">
        <v>0</v>
      </c>
      <c r="N2190">
        <v>0</v>
      </c>
      <c r="O2190"/>
      <c r="P2190">
        <v>0</v>
      </c>
      <c r="Q2190">
        <f t="shared" si="455"/>
        <v>0</v>
      </c>
      <c r="R2190">
        <v>258.74999999970004</v>
      </c>
      <c r="S2190">
        <f t="shared" si="456"/>
        <v>258.74999999970004</v>
      </c>
      <c r="T2190">
        <v>3.5000000000000003E-2</v>
      </c>
      <c r="U2190">
        <f t="shared" si="457"/>
        <v>9.0562499999895021</v>
      </c>
      <c r="V2190">
        <f t="shared" si="458"/>
        <v>267.80624999968956</v>
      </c>
      <c r="W2190">
        <f t="shared" si="459"/>
        <v>267.80624999968956</v>
      </c>
      <c r="X2190" t="s">
        <v>2242</v>
      </c>
    </row>
    <row r="2191" spans="1:24" x14ac:dyDescent="0.25">
      <c r="A2191" t="s">
        <v>1965</v>
      </c>
      <c r="B2191" t="s">
        <v>2050</v>
      </c>
      <c r="C2191" t="s">
        <v>2109</v>
      </c>
      <c r="D2191" t="s">
        <v>235</v>
      </c>
      <c r="E2191" t="s">
        <v>24</v>
      </c>
      <c r="F2191" t="s">
        <v>1</v>
      </c>
      <c r="G2191" t="s">
        <v>888</v>
      </c>
      <c r="H2191" t="s">
        <v>424</v>
      </c>
      <c r="I2191" t="s">
        <v>1</v>
      </c>
      <c r="J2191">
        <v>5535</v>
      </c>
      <c r="K2191">
        <v>2799.9999999995998</v>
      </c>
      <c r="L2191">
        <v>55.13</v>
      </c>
      <c r="M2191">
        <v>111.17375690607736</v>
      </c>
      <c r="N2191">
        <v>2905.13</v>
      </c>
      <c r="O2191">
        <v>110.26</v>
      </c>
      <c r="P2191">
        <v>0</v>
      </c>
      <c r="Q2191">
        <f t="shared" si="455"/>
        <v>110.26</v>
      </c>
      <c r="R2191">
        <v>2799.9999999995998</v>
      </c>
      <c r="S2191">
        <f t="shared" si="456"/>
        <v>2689.7399999995996</v>
      </c>
      <c r="T2191"/>
      <c r="U2191">
        <f t="shared" si="457"/>
        <v>0</v>
      </c>
      <c r="V2191">
        <f t="shared" si="458"/>
        <v>2799.9999999995998</v>
      </c>
      <c r="W2191">
        <f t="shared" si="459"/>
        <v>2689.7399999995996</v>
      </c>
      <c r="X2191" t="s">
        <v>2243</v>
      </c>
    </row>
    <row r="2192" spans="1:24" x14ac:dyDescent="0.25">
      <c r="A2192" t="s">
        <v>1965</v>
      </c>
      <c r="B2192" t="s">
        <v>2050</v>
      </c>
      <c r="C2192" t="s">
        <v>2109</v>
      </c>
      <c r="D2192" t="s">
        <v>235</v>
      </c>
      <c r="E2192" t="s">
        <v>25</v>
      </c>
      <c r="F2192" t="s">
        <v>1</v>
      </c>
      <c r="G2192" t="s">
        <v>888</v>
      </c>
      <c r="H2192" t="s">
        <v>425</v>
      </c>
      <c r="I2192" t="s">
        <v>1</v>
      </c>
      <c r="J2192">
        <v>2145.13</v>
      </c>
      <c r="K2192">
        <v>3699.9999999995998</v>
      </c>
      <c r="L2192">
        <v>0</v>
      </c>
      <c r="M2192">
        <v>0</v>
      </c>
      <c r="N2192">
        <v>2145.13</v>
      </c>
      <c r="O2192"/>
      <c r="P2192">
        <v>0</v>
      </c>
      <c r="Q2192">
        <f t="shared" si="455"/>
        <v>0</v>
      </c>
      <c r="R2192">
        <v>3699.9999999995998</v>
      </c>
      <c r="S2192">
        <f t="shared" si="456"/>
        <v>3699.9999999995998</v>
      </c>
      <c r="T2192"/>
      <c r="U2192">
        <f t="shared" si="457"/>
        <v>0</v>
      </c>
      <c r="V2192">
        <f t="shared" si="458"/>
        <v>3699.9999999995998</v>
      </c>
      <c r="W2192">
        <f t="shared" si="459"/>
        <v>3699.9999999995998</v>
      </c>
      <c r="X2192" t="s">
        <v>2244</v>
      </c>
    </row>
    <row r="2193" spans="1:24" x14ac:dyDescent="0.25">
      <c r="A2193" t="s">
        <v>1965</v>
      </c>
      <c r="B2193" t="s">
        <v>2050</v>
      </c>
      <c r="C2193" t="s">
        <v>2109</v>
      </c>
      <c r="D2193" t="s">
        <v>235</v>
      </c>
      <c r="E2193" t="s">
        <v>26</v>
      </c>
      <c r="F2193" t="s">
        <v>1</v>
      </c>
      <c r="G2193" t="s">
        <v>888</v>
      </c>
      <c r="H2193" t="s">
        <v>426</v>
      </c>
      <c r="I2193" t="s">
        <v>1</v>
      </c>
      <c r="J2193">
        <v>4003</v>
      </c>
      <c r="K2193">
        <v>8487.7118857488003</v>
      </c>
      <c r="L2193">
        <v>1465.67</v>
      </c>
      <c r="M2193">
        <v>2955.6328729281772</v>
      </c>
      <c r="N2193">
        <v>4604.67</v>
      </c>
      <c r="O2193">
        <v>2931.34</v>
      </c>
      <c r="P2193">
        <v>0</v>
      </c>
      <c r="Q2193">
        <f t="shared" si="455"/>
        <v>2931.34</v>
      </c>
      <c r="R2193">
        <v>8487.7118857488003</v>
      </c>
      <c r="S2193">
        <f t="shared" si="456"/>
        <v>5556.3718857488002</v>
      </c>
      <c r="T2193"/>
      <c r="U2193">
        <f t="shared" si="457"/>
        <v>0</v>
      </c>
      <c r="V2193">
        <f t="shared" si="458"/>
        <v>8487.7118857488003</v>
      </c>
      <c r="W2193">
        <f t="shared" si="459"/>
        <v>5556.3718857488002</v>
      </c>
      <c r="X2193" t="s">
        <v>2245</v>
      </c>
    </row>
    <row r="2194" spans="1:24" x14ac:dyDescent="0.25">
      <c r="A2194" t="s">
        <v>1965</v>
      </c>
      <c r="B2194" t="s">
        <v>2050</v>
      </c>
      <c r="C2194" t="s">
        <v>2109</v>
      </c>
      <c r="D2194" t="s">
        <v>235</v>
      </c>
      <c r="E2194" t="s">
        <v>28</v>
      </c>
      <c r="F2194" t="s">
        <v>1</v>
      </c>
      <c r="G2194" t="s">
        <v>888</v>
      </c>
      <c r="H2194" t="s">
        <v>428</v>
      </c>
      <c r="I2194" t="s">
        <v>1</v>
      </c>
      <c r="J2194">
        <v>512.20000000000005</v>
      </c>
      <c r="K2194">
        <v>200.00000000040001</v>
      </c>
      <c r="L2194">
        <v>467.15</v>
      </c>
      <c r="M2194">
        <v>942.04281767955797</v>
      </c>
      <c r="N2194">
        <v>979.35000000000014</v>
      </c>
      <c r="O2194">
        <v>934.3</v>
      </c>
      <c r="P2194">
        <v>0</v>
      </c>
      <c r="Q2194">
        <f t="shared" si="455"/>
        <v>934.3</v>
      </c>
      <c r="R2194">
        <v>200.00000000040001</v>
      </c>
      <c r="S2194">
        <f t="shared" si="456"/>
        <v>-734.2999999996</v>
      </c>
      <c r="T2194"/>
      <c r="U2194">
        <f t="shared" si="457"/>
        <v>0</v>
      </c>
      <c r="V2194">
        <f t="shared" si="458"/>
        <v>200.00000000040001</v>
      </c>
      <c r="W2194">
        <f t="shared" si="459"/>
        <v>-734.2999999996</v>
      </c>
      <c r="X2194">
        <v>0</v>
      </c>
    </row>
    <row r="2195" spans="1:24" x14ac:dyDescent="0.25">
      <c r="A2195" t="s">
        <v>1965</v>
      </c>
      <c r="B2195" t="s">
        <v>2050</v>
      </c>
      <c r="C2195" t="s">
        <v>2109</v>
      </c>
      <c r="D2195" t="s">
        <v>235</v>
      </c>
      <c r="E2195" t="s">
        <v>29</v>
      </c>
      <c r="F2195" t="s">
        <v>1</v>
      </c>
      <c r="G2195" t="s">
        <v>888</v>
      </c>
      <c r="H2195" t="s">
        <v>429</v>
      </c>
      <c r="I2195" t="s">
        <v>1</v>
      </c>
      <c r="J2195">
        <v>542.11</v>
      </c>
      <c r="K2195">
        <v>1010.0000000004</v>
      </c>
      <c r="L2195">
        <v>225</v>
      </c>
      <c r="M2195">
        <v>453.7292817679558</v>
      </c>
      <c r="N2195">
        <v>663.61</v>
      </c>
      <c r="O2195">
        <v>450</v>
      </c>
      <c r="P2195">
        <v>0</v>
      </c>
      <c r="Q2195">
        <f t="shared" si="455"/>
        <v>450</v>
      </c>
      <c r="R2195">
        <v>1010.0000000004</v>
      </c>
      <c r="S2195">
        <f t="shared" si="456"/>
        <v>560.00000000039995</v>
      </c>
      <c r="T2195"/>
      <c r="U2195">
        <f t="shared" si="457"/>
        <v>0</v>
      </c>
      <c r="V2195">
        <f t="shared" si="458"/>
        <v>1010.0000000004</v>
      </c>
      <c r="W2195">
        <f t="shared" si="459"/>
        <v>560.00000000039995</v>
      </c>
      <c r="X2195" t="s">
        <v>2246</v>
      </c>
    </row>
    <row r="2196" spans="1:24" x14ac:dyDescent="0.25">
      <c r="A2196" t="s">
        <v>1965</v>
      </c>
      <c r="B2196" t="s">
        <v>2050</v>
      </c>
      <c r="C2196" t="s">
        <v>2109</v>
      </c>
      <c r="D2196" t="s">
        <v>235</v>
      </c>
      <c r="E2196" t="s">
        <v>33</v>
      </c>
      <c r="F2196" t="s">
        <v>1</v>
      </c>
      <c r="G2196" t="s">
        <v>888</v>
      </c>
      <c r="H2196" t="s">
        <v>433</v>
      </c>
      <c r="I2196" t="s">
        <v>1</v>
      </c>
      <c r="J2196">
        <v>40442.32</v>
      </c>
      <c r="K2196">
        <v>40348.521704273997</v>
      </c>
      <c r="L2196">
        <v>35849.74</v>
      </c>
      <c r="M2196">
        <v>72293.674585635352</v>
      </c>
      <c r="N2196">
        <v>58232.1</v>
      </c>
      <c r="O2196">
        <v>71699.48</v>
      </c>
      <c r="P2196">
        <v>0</v>
      </c>
      <c r="Q2196">
        <f t="shared" si="455"/>
        <v>71699.48</v>
      </c>
      <c r="R2196">
        <v>40348.521704273997</v>
      </c>
      <c r="S2196">
        <f t="shared" si="456"/>
        <v>-31350.958295725999</v>
      </c>
      <c r="T2196"/>
      <c r="U2196">
        <f t="shared" si="457"/>
        <v>0</v>
      </c>
      <c r="V2196">
        <f t="shared" si="458"/>
        <v>40348.521704273997</v>
      </c>
      <c r="W2196">
        <f t="shared" si="459"/>
        <v>-31350.958295725999</v>
      </c>
      <c r="X2196" t="s">
        <v>2247</v>
      </c>
    </row>
    <row r="2197" spans="1:24" x14ac:dyDescent="0.25">
      <c r="A2197" t="s">
        <v>1965</v>
      </c>
      <c r="B2197" t="s">
        <v>2050</v>
      </c>
      <c r="C2197" t="s">
        <v>2109</v>
      </c>
      <c r="D2197" t="s">
        <v>235</v>
      </c>
      <c r="E2197" t="s">
        <v>34</v>
      </c>
      <c r="F2197" t="s">
        <v>1</v>
      </c>
      <c r="G2197" t="s">
        <v>888</v>
      </c>
      <c r="H2197" t="s">
        <v>434</v>
      </c>
      <c r="I2197" t="s">
        <v>1</v>
      </c>
      <c r="J2197">
        <v>4730.8100000000004</v>
      </c>
      <c r="K2197">
        <v>11495.2074845712</v>
      </c>
      <c r="L2197">
        <v>4136.97</v>
      </c>
      <c r="M2197">
        <v>8342.5085635359119</v>
      </c>
      <c r="N2197">
        <v>5236.16</v>
      </c>
      <c r="O2197">
        <v>8273.94</v>
      </c>
      <c r="P2197">
        <v>0</v>
      </c>
      <c r="Q2197">
        <f t="shared" si="455"/>
        <v>8273.94</v>
      </c>
      <c r="R2197">
        <v>11495</v>
      </c>
      <c r="S2197">
        <f t="shared" si="456"/>
        <v>3221.0599999999995</v>
      </c>
      <c r="T2197"/>
      <c r="U2197">
        <f t="shared" si="457"/>
        <v>0</v>
      </c>
      <c r="V2197">
        <f t="shared" si="458"/>
        <v>11495</v>
      </c>
      <c r="W2197">
        <f t="shared" si="459"/>
        <v>3221.0599999999995</v>
      </c>
      <c r="X2197" t="s">
        <v>2249</v>
      </c>
    </row>
    <row r="2198" spans="1:24" x14ac:dyDescent="0.25">
      <c r="A2198" t="s">
        <v>1965</v>
      </c>
      <c r="B2198" t="s">
        <v>2050</v>
      </c>
      <c r="C2198" t="s">
        <v>2109</v>
      </c>
      <c r="D2198" t="s">
        <v>235</v>
      </c>
      <c r="E2198" t="s">
        <v>35</v>
      </c>
      <c r="F2198" t="s">
        <v>1</v>
      </c>
      <c r="G2198" t="s">
        <v>888</v>
      </c>
      <c r="H2198" t="s">
        <v>435</v>
      </c>
      <c r="I2198" t="s">
        <v>1</v>
      </c>
      <c r="J2198">
        <v>1592.3</v>
      </c>
      <c r="K2198"/>
      <c r="L2198">
        <v>1515.86</v>
      </c>
      <c r="M2198">
        <v>3056.8447513812157</v>
      </c>
      <c r="N2198">
        <v>3108.16</v>
      </c>
      <c r="O2198">
        <v>3031.72</v>
      </c>
      <c r="P2198">
        <v>0</v>
      </c>
      <c r="Q2198">
        <f t="shared" si="455"/>
        <v>3031.72</v>
      </c>
      <c r="R2198">
        <v>0</v>
      </c>
      <c r="S2198">
        <f t="shared" si="456"/>
        <v>-3031.72</v>
      </c>
      <c r="T2198"/>
      <c r="U2198">
        <f t="shared" si="457"/>
        <v>0</v>
      </c>
      <c r="V2198">
        <f t="shared" si="458"/>
        <v>0</v>
      </c>
      <c r="W2198">
        <f t="shared" si="459"/>
        <v>-3031.72</v>
      </c>
      <c r="X2198">
        <v>0</v>
      </c>
    </row>
    <row r="2199" spans="1:24" x14ac:dyDescent="0.25">
      <c r="A2199" t="s">
        <v>1965</v>
      </c>
      <c r="B2199" t="s">
        <v>2050</v>
      </c>
      <c r="C2199" t="s">
        <v>2109</v>
      </c>
      <c r="D2199" t="s">
        <v>235</v>
      </c>
      <c r="E2199" t="s">
        <v>37</v>
      </c>
      <c r="F2199" t="s">
        <v>1</v>
      </c>
      <c r="G2199" t="s">
        <v>888</v>
      </c>
      <c r="H2199" t="s">
        <v>437</v>
      </c>
      <c r="I2199" t="s">
        <v>1</v>
      </c>
      <c r="J2199">
        <v>30310.55</v>
      </c>
      <c r="K2199">
        <v>69647.475723488402</v>
      </c>
      <c r="L2199">
        <v>4100.2700000000004</v>
      </c>
      <c r="M2199">
        <v>8268.5002762430959</v>
      </c>
      <c r="N2199">
        <v>17696.210000000003</v>
      </c>
      <c r="O2199">
        <v>8200.5400000000009</v>
      </c>
      <c r="P2199">
        <v>0</v>
      </c>
      <c r="Q2199">
        <f t="shared" si="455"/>
        <v>8200.5400000000009</v>
      </c>
      <c r="R2199">
        <v>69647.475723488402</v>
      </c>
      <c r="S2199">
        <f t="shared" si="456"/>
        <v>61446.935723488401</v>
      </c>
      <c r="T2199"/>
      <c r="U2199">
        <f t="shared" si="457"/>
        <v>0</v>
      </c>
      <c r="V2199">
        <f t="shared" si="458"/>
        <v>69647.475723488402</v>
      </c>
      <c r="W2199">
        <f t="shared" si="459"/>
        <v>61446.935723488401</v>
      </c>
      <c r="X2199" t="s">
        <v>2248</v>
      </c>
    </row>
    <row r="2200" spans="1:24" x14ac:dyDescent="0.25">
      <c r="A2200" t="s">
        <v>1965</v>
      </c>
      <c r="B2200" t="s">
        <v>2050</v>
      </c>
      <c r="C2200" t="s">
        <v>2109</v>
      </c>
      <c r="D2200" t="s">
        <v>235</v>
      </c>
      <c r="E2200" t="s">
        <v>42</v>
      </c>
      <c r="F2200" t="s">
        <v>1</v>
      </c>
      <c r="G2200" t="s">
        <v>888</v>
      </c>
      <c r="H2200" t="s">
        <v>442</v>
      </c>
      <c r="I2200" t="s">
        <v>1</v>
      </c>
      <c r="J2200">
        <v>33.229999999999997</v>
      </c>
      <c r="K2200">
        <v>200.00000000040001</v>
      </c>
      <c r="L2200">
        <v>93.2</v>
      </c>
      <c r="M2200">
        <v>187.9447513812155</v>
      </c>
      <c r="N2200">
        <v>126.43</v>
      </c>
      <c r="O2200">
        <v>186.4</v>
      </c>
      <c r="P2200">
        <v>0</v>
      </c>
      <c r="Q2200">
        <f t="shared" si="455"/>
        <v>186.4</v>
      </c>
      <c r="R2200">
        <v>186.4</v>
      </c>
      <c r="S2200">
        <f t="shared" si="456"/>
        <v>0</v>
      </c>
      <c r="T2200">
        <v>0.03</v>
      </c>
      <c r="U2200">
        <f t="shared" si="457"/>
        <v>5.5919999999999996</v>
      </c>
      <c r="V2200">
        <f t="shared" si="458"/>
        <v>191.99200000000002</v>
      </c>
      <c r="W2200">
        <f t="shared" si="459"/>
        <v>5.592000000000013</v>
      </c>
      <c r="X2200">
        <v>0</v>
      </c>
    </row>
    <row r="2201" spans="1:24" x14ac:dyDescent="0.25">
      <c r="A2201" t="s">
        <v>1965</v>
      </c>
      <c r="B2201" t="s">
        <v>2050</v>
      </c>
      <c r="C2201" t="s">
        <v>2109</v>
      </c>
      <c r="D2201" t="s">
        <v>235</v>
      </c>
      <c r="E2201" t="s">
        <v>46</v>
      </c>
      <c r="F2201" t="s">
        <v>1</v>
      </c>
      <c r="G2201" t="s">
        <v>888</v>
      </c>
      <c r="H2201" t="s">
        <v>446</v>
      </c>
      <c r="I2201" t="s">
        <v>1</v>
      </c>
      <c r="J2201"/>
      <c r="K2201"/>
      <c r="L2201">
        <v>460</v>
      </c>
      <c r="M2201">
        <v>927.62430939226522</v>
      </c>
      <c r="N2201">
        <v>460</v>
      </c>
      <c r="O2201">
        <v>920</v>
      </c>
      <c r="P2201">
        <v>0</v>
      </c>
      <c r="Q2201">
        <f t="shared" si="455"/>
        <v>920</v>
      </c>
      <c r="R2201">
        <v>200.00000000040001</v>
      </c>
      <c r="S2201">
        <f t="shared" si="456"/>
        <v>-719.99999999960005</v>
      </c>
      <c r="T2201">
        <v>0.03</v>
      </c>
      <c r="U2201">
        <f t="shared" si="457"/>
        <v>6.0000000000120002</v>
      </c>
      <c r="V2201">
        <f t="shared" si="458"/>
        <v>206.000000000412</v>
      </c>
      <c r="W2201">
        <f t="shared" si="459"/>
        <v>-713.999999999588</v>
      </c>
      <c r="X2201" t="s">
        <v>2250</v>
      </c>
    </row>
    <row r="2202" spans="1:24" x14ac:dyDescent="0.25">
      <c r="A2202" t="s">
        <v>1965</v>
      </c>
      <c r="B2202" t="s">
        <v>2050</v>
      </c>
      <c r="C2202" t="s">
        <v>2109</v>
      </c>
      <c r="D2202" t="s">
        <v>235</v>
      </c>
      <c r="E2202" t="s">
        <v>47</v>
      </c>
      <c r="F2202" t="s">
        <v>1</v>
      </c>
      <c r="G2202" t="s">
        <v>888</v>
      </c>
      <c r="H2202" t="s">
        <v>447</v>
      </c>
      <c r="I2202" t="s">
        <v>1</v>
      </c>
      <c r="J2202">
        <v>4225</v>
      </c>
      <c r="K2202"/>
      <c r="L2202">
        <v>0</v>
      </c>
      <c r="M2202">
        <v>0</v>
      </c>
      <c r="N2202">
        <v>0</v>
      </c>
      <c r="O2202"/>
      <c r="P2202">
        <v>0</v>
      </c>
      <c r="Q2202">
        <f t="shared" si="455"/>
        <v>0</v>
      </c>
      <c r="R2202">
        <v>0</v>
      </c>
      <c r="S2202">
        <f t="shared" si="456"/>
        <v>0</v>
      </c>
      <c r="T2202">
        <v>0.03</v>
      </c>
      <c r="U2202">
        <f t="shared" si="457"/>
        <v>0</v>
      </c>
      <c r="V2202">
        <f t="shared" si="458"/>
        <v>0</v>
      </c>
      <c r="W2202">
        <f t="shared" si="459"/>
        <v>0</v>
      </c>
      <c r="X2202">
        <v>0</v>
      </c>
    </row>
    <row r="2203" spans="1:24" x14ac:dyDescent="0.25">
      <c r="A2203" t="s">
        <v>1965</v>
      </c>
      <c r="B2203" t="s">
        <v>2050</v>
      </c>
      <c r="C2203" t="s">
        <v>2109</v>
      </c>
      <c r="D2203" t="s">
        <v>235</v>
      </c>
      <c r="E2203" t="s">
        <v>50</v>
      </c>
      <c r="F2203" t="s">
        <v>1</v>
      </c>
      <c r="G2203" t="s">
        <v>888</v>
      </c>
      <c r="H2203" t="s">
        <v>450</v>
      </c>
      <c r="I2203" t="s">
        <v>1</v>
      </c>
      <c r="J2203">
        <v>367.38</v>
      </c>
      <c r="K2203">
        <v>260.00000000040001</v>
      </c>
      <c r="L2203">
        <v>284.31</v>
      </c>
      <c r="M2203">
        <v>573.33232044198894</v>
      </c>
      <c r="N2203">
        <v>585.09000000000015</v>
      </c>
      <c r="O2203">
        <v>573.33232044199997</v>
      </c>
      <c r="P2203">
        <v>0</v>
      </c>
      <c r="Q2203">
        <f t="shared" si="455"/>
        <v>573.33232044199997</v>
      </c>
      <c r="R2203">
        <v>260.00000000040001</v>
      </c>
      <c r="S2203">
        <f t="shared" si="456"/>
        <v>-313.33232044159996</v>
      </c>
      <c r="T2203"/>
      <c r="U2203">
        <f t="shared" si="457"/>
        <v>0</v>
      </c>
      <c r="V2203">
        <f t="shared" si="458"/>
        <v>260.00000000040001</v>
      </c>
      <c r="W2203">
        <f t="shared" si="459"/>
        <v>-313.33232044159996</v>
      </c>
      <c r="X2203">
        <v>0</v>
      </c>
    </row>
    <row r="2204" spans="1:24" x14ac:dyDescent="0.25">
      <c r="A2204" t="s">
        <v>1965</v>
      </c>
      <c r="B2204" t="s">
        <v>2050</v>
      </c>
      <c r="C2204" t="s">
        <v>2109</v>
      </c>
      <c r="D2204" t="s">
        <v>235</v>
      </c>
      <c r="E2204" t="s">
        <v>51</v>
      </c>
      <c r="F2204" t="s">
        <v>51</v>
      </c>
      <c r="G2204" t="s">
        <v>889</v>
      </c>
      <c r="H2204"/>
      <c r="I2204"/>
      <c r="J2204">
        <v>95962.400000000009</v>
      </c>
      <c r="K2204">
        <v>141202.16679808282</v>
      </c>
      <c r="L2204">
        <v>49749.119999999995</v>
      </c>
      <c r="M2204">
        <v>100322.81104972375</v>
      </c>
      <c r="N2204">
        <v>98485.040000000008</v>
      </c>
      <c r="O2204">
        <v>99502.952320441997</v>
      </c>
      <c r="P2204">
        <f>SUMIF($F$2184:$F$2203,"&lt;&gt;EV_*",$P$2184:$P$2203)</f>
        <v>0</v>
      </c>
      <c r="Q2204">
        <f>SUMIF($F$2184:$F$2203,"&lt;&gt;EV_*",$Q$2184:$Q$2203)</f>
        <v>99502.952320441997</v>
      </c>
      <c r="R2204">
        <f>SUMIF($F$2184:$F$2203,"&lt;&gt;EV_*",$R$2184:$R$2203)</f>
        <v>143579.99931351162</v>
      </c>
      <c r="S2204">
        <f>SUMIF($F$2184:$F$2203,"&lt;&gt;EV_*",$S$2184:$S$2203)</f>
        <v>44077.046993069598</v>
      </c>
      <c r="T2204">
        <v>0</v>
      </c>
      <c r="U2204">
        <f>SUMIF($F$2184:$F$2203,"&lt;&gt;EV_*",$U$2184:$U$2203)</f>
        <v>118.45574999999801</v>
      </c>
      <c r="V2204">
        <f>SUMIF($F$2184:$F$2203,"&lt;&gt;EV_*",$V$2184:$V$2203)</f>
        <v>143698.45506351159</v>
      </c>
      <c r="W2204">
        <f>SUMIF($F$2184:$F$2203,"&lt;&gt;EV_*",$W$2184:$W$2203)</f>
        <v>44195.502743069599</v>
      </c>
      <c r="X2204">
        <f>SUMIF($F$2184:$F$2203,"&lt;&gt;EV_*",$X$2184:$X$2203)</f>
        <v>0</v>
      </c>
    </row>
    <row r="2205" spans="1:24" x14ac:dyDescent="0.25">
      <c r="A2205" t="s">
        <v>1965</v>
      </c>
      <c r="B2205" t="s">
        <v>2050</v>
      </c>
      <c r="C2205" t="s">
        <v>2110</v>
      </c>
      <c r="D2205" t="s">
        <v>236</v>
      </c>
      <c r="E2205" t="s">
        <v>5</v>
      </c>
      <c r="F2205" t="s">
        <v>5</v>
      </c>
      <c r="G2205" t="s">
        <v>890</v>
      </c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</row>
    <row r="2206" spans="1:24" x14ac:dyDescent="0.25">
      <c r="A2206" t="s">
        <v>1965</v>
      </c>
      <c r="B2206" t="s">
        <v>2050</v>
      </c>
      <c r="C2206" t="s">
        <v>2110</v>
      </c>
      <c r="D2206" t="s">
        <v>236</v>
      </c>
      <c r="E2206" t="s">
        <v>7</v>
      </c>
      <c r="F2206" t="s">
        <v>1</v>
      </c>
      <c r="G2206" t="s">
        <v>891</v>
      </c>
      <c r="H2206" t="s">
        <v>407</v>
      </c>
      <c r="I2206" t="s">
        <v>1</v>
      </c>
      <c r="J2206">
        <v>376.72</v>
      </c>
      <c r="K2206"/>
      <c r="L2206">
        <v>125</v>
      </c>
      <c r="M2206">
        <v>252.0718232044199</v>
      </c>
      <c r="N2206">
        <v>125</v>
      </c>
      <c r="O2206">
        <v>250</v>
      </c>
      <c r="P2206">
        <v>0</v>
      </c>
      <c r="Q2206">
        <f t="shared" ref="Q2206:Q2227" si="460">O2206+P2206</f>
        <v>250</v>
      </c>
      <c r="R2206">
        <v>250</v>
      </c>
      <c r="S2206">
        <f t="shared" ref="S2206:S2227" si="461">IF(OR(LEFT(E2206,2)="A_",LEFT(D2206,5)="Total"),R2206-Q2206,"")</f>
        <v>0</v>
      </c>
      <c r="T2206"/>
      <c r="U2206">
        <f t="shared" ref="U2206:U2227" si="462">IFERROR(R2206*T2206,R2206*0)</f>
        <v>0</v>
      </c>
      <c r="V2206">
        <f t="shared" ref="V2206:V2227" si="463">IF(OR(LEFT(E2206,2)="A_",LEFT(D2206,5)="Total"),R2206+U2206,"")</f>
        <v>250</v>
      </c>
      <c r="W2206">
        <f t="shared" ref="W2206:W2227" si="464">IF(OR(LEFT(E2206,2)="A_",LEFT(D2206,5)="Total"),V2206-Q2206,"")</f>
        <v>0</v>
      </c>
      <c r="X2206" t="s">
        <v>1664</v>
      </c>
    </row>
    <row r="2207" spans="1:24" x14ac:dyDescent="0.25">
      <c r="A2207" t="s">
        <v>1965</v>
      </c>
      <c r="B2207" t="s">
        <v>2050</v>
      </c>
      <c r="C2207" t="s">
        <v>2110</v>
      </c>
      <c r="D2207" t="s">
        <v>236</v>
      </c>
      <c r="E2207" t="s">
        <v>9</v>
      </c>
      <c r="F2207" t="s">
        <v>1</v>
      </c>
      <c r="G2207" t="s">
        <v>891</v>
      </c>
      <c r="H2207" t="s">
        <v>409</v>
      </c>
      <c r="I2207" t="s">
        <v>1</v>
      </c>
      <c r="J2207">
        <v>34173.89</v>
      </c>
      <c r="K2207">
        <v>29499.9999999996</v>
      </c>
      <c r="L2207">
        <v>19300</v>
      </c>
      <c r="M2207">
        <v>38919.889502762431</v>
      </c>
      <c r="N2207">
        <v>36783.89</v>
      </c>
      <c r="O2207">
        <v>38600</v>
      </c>
      <c r="P2207">
        <v>0</v>
      </c>
      <c r="Q2207">
        <f t="shared" si="460"/>
        <v>38600</v>
      </c>
      <c r="R2207">
        <v>45272</v>
      </c>
      <c r="S2207">
        <f t="shared" si="461"/>
        <v>6672</v>
      </c>
      <c r="T2207"/>
      <c r="U2207">
        <f t="shared" si="462"/>
        <v>0</v>
      </c>
      <c r="V2207">
        <f t="shared" si="463"/>
        <v>45272</v>
      </c>
      <c r="W2207">
        <f t="shared" si="464"/>
        <v>6672</v>
      </c>
      <c r="X2207" t="s">
        <v>1665</v>
      </c>
    </row>
    <row r="2208" spans="1:24" x14ac:dyDescent="0.25">
      <c r="A2208" t="s">
        <v>1965</v>
      </c>
      <c r="B2208" t="s">
        <v>2050</v>
      </c>
      <c r="C2208" t="s">
        <v>2110</v>
      </c>
      <c r="D2208" t="s">
        <v>236</v>
      </c>
      <c r="E2208" t="s">
        <v>13</v>
      </c>
      <c r="F2208" t="s">
        <v>1</v>
      </c>
      <c r="G2208" t="s">
        <v>891</v>
      </c>
      <c r="H2208" t="s">
        <v>413</v>
      </c>
      <c r="I2208" t="s">
        <v>1</v>
      </c>
      <c r="J2208">
        <v>382.51</v>
      </c>
      <c r="K2208"/>
      <c r="L2208">
        <v>1128.05</v>
      </c>
      <c r="M2208">
        <v>2274.7969613259665</v>
      </c>
      <c r="N2208">
        <v>1510.5600000000002</v>
      </c>
      <c r="O2208">
        <v>2256.1</v>
      </c>
      <c r="P2208">
        <v>0</v>
      </c>
      <c r="Q2208">
        <f t="shared" si="460"/>
        <v>2256.1</v>
      </c>
      <c r="R2208">
        <v>2256.1</v>
      </c>
      <c r="S2208">
        <f t="shared" si="461"/>
        <v>0</v>
      </c>
      <c r="T2208"/>
      <c r="U2208">
        <f t="shared" si="462"/>
        <v>0</v>
      </c>
      <c r="V2208">
        <f t="shared" si="463"/>
        <v>2256.1</v>
      </c>
      <c r="W2208">
        <f t="shared" si="464"/>
        <v>0</v>
      </c>
      <c r="X2208" t="s">
        <v>1655</v>
      </c>
    </row>
    <row r="2209" spans="1:24" x14ac:dyDescent="0.25">
      <c r="A2209" t="s">
        <v>1965</v>
      </c>
      <c r="B2209" t="s">
        <v>2050</v>
      </c>
      <c r="C2209" t="s">
        <v>2110</v>
      </c>
      <c r="D2209" t="s">
        <v>236</v>
      </c>
      <c r="E2209" t="s">
        <v>82</v>
      </c>
      <c r="F2209" t="s">
        <v>1</v>
      </c>
      <c r="G2209" t="s">
        <v>891</v>
      </c>
      <c r="H2209" t="s">
        <v>507</v>
      </c>
      <c r="I2209" t="s">
        <v>1</v>
      </c>
      <c r="J2209">
        <v>5998</v>
      </c>
      <c r="K2209">
        <v>5170.2700617283999</v>
      </c>
      <c r="L2209">
        <v>0</v>
      </c>
      <c r="M2209">
        <v>0</v>
      </c>
      <c r="N2209">
        <v>2648</v>
      </c>
      <c r="O2209"/>
      <c r="P2209">
        <v>0</v>
      </c>
      <c r="Q2209">
        <f t="shared" si="460"/>
        <v>0</v>
      </c>
      <c r="R2209">
        <v>5170.2700617283999</v>
      </c>
      <c r="S2209">
        <f t="shared" si="461"/>
        <v>5170.2700617283999</v>
      </c>
      <c r="T2209">
        <v>2.75E-2</v>
      </c>
      <c r="U2209">
        <f t="shared" si="462"/>
        <v>142.18242669753099</v>
      </c>
      <c r="V2209">
        <f t="shared" si="463"/>
        <v>5312.4524884259308</v>
      </c>
      <c r="W2209">
        <f t="shared" si="464"/>
        <v>5312.4524884259308</v>
      </c>
      <c r="X2209" t="s">
        <v>1666</v>
      </c>
    </row>
    <row r="2210" spans="1:24" x14ac:dyDescent="0.25">
      <c r="A2210" t="s">
        <v>1965</v>
      </c>
      <c r="B2210" t="s">
        <v>2050</v>
      </c>
      <c r="C2210" t="s">
        <v>2110</v>
      </c>
      <c r="D2210" t="s">
        <v>236</v>
      </c>
      <c r="E2210" t="s">
        <v>18</v>
      </c>
      <c r="F2210" t="s">
        <v>1</v>
      </c>
      <c r="G2210" t="s">
        <v>891</v>
      </c>
      <c r="H2210" t="s">
        <v>418</v>
      </c>
      <c r="I2210" t="s">
        <v>1</v>
      </c>
      <c r="J2210">
        <v>5778</v>
      </c>
      <c r="K2210">
        <v>7635.5972222222999</v>
      </c>
      <c r="L2210">
        <v>0</v>
      </c>
      <c r="M2210">
        <v>0</v>
      </c>
      <c r="N2210">
        <v>794.25</v>
      </c>
      <c r="O2210"/>
      <c r="P2210">
        <v>0</v>
      </c>
      <c r="Q2210">
        <f t="shared" si="460"/>
        <v>0</v>
      </c>
      <c r="R2210">
        <v>3000</v>
      </c>
      <c r="S2210">
        <f t="shared" si="461"/>
        <v>3000</v>
      </c>
      <c r="T2210">
        <v>0.02</v>
      </c>
      <c r="U2210">
        <f t="shared" si="462"/>
        <v>60</v>
      </c>
      <c r="V2210">
        <f t="shared" si="463"/>
        <v>3060</v>
      </c>
      <c r="W2210">
        <f t="shared" si="464"/>
        <v>3060</v>
      </c>
      <c r="X2210" t="s">
        <v>1667</v>
      </c>
    </row>
    <row r="2211" spans="1:24" x14ac:dyDescent="0.25">
      <c r="A2211" t="s">
        <v>1965</v>
      </c>
      <c r="B2211" t="s">
        <v>2050</v>
      </c>
      <c r="C2211" t="s">
        <v>2110</v>
      </c>
      <c r="D2211" t="s">
        <v>236</v>
      </c>
      <c r="E2211" t="s">
        <v>20</v>
      </c>
      <c r="F2211" t="s">
        <v>1</v>
      </c>
      <c r="G2211" t="s">
        <v>891</v>
      </c>
      <c r="H2211" t="s">
        <v>420</v>
      </c>
      <c r="I2211" t="s">
        <v>1</v>
      </c>
      <c r="J2211">
        <v>2195</v>
      </c>
      <c r="K2211">
        <v>3428.8971193417001</v>
      </c>
      <c r="L2211">
        <v>0</v>
      </c>
      <c r="M2211">
        <v>0</v>
      </c>
      <c r="N2211">
        <v>0</v>
      </c>
      <c r="O2211"/>
      <c r="P2211">
        <v>0</v>
      </c>
      <c r="Q2211">
        <f t="shared" si="460"/>
        <v>0</v>
      </c>
      <c r="R2211">
        <v>0</v>
      </c>
      <c r="S2211">
        <f t="shared" si="461"/>
        <v>0</v>
      </c>
      <c r="T2211">
        <v>0.04</v>
      </c>
      <c r="U2211">
        <f t="shared" si="462"/>
        <v>0</v>
      </c>
      <c r="V2211">
        <f t="shared" si="463"/>
        <v>0</v>
      </c>
      <c r="W2211">
        <f t="shared" si="464"/>
        <v>0</v>
      </c>
      <c r="X2211">
        <v>0</v>
      </c>
    </row>
    <row r="2212" spans="1:24" x14ac:dyDescent="0.25">
      <c r="A2212" t="s">
        <v>1965</v>
      </c>
      <c r="B2212" t="s">
        <v>2050</v>
      </c>
      <c r="C2212" t="s">
        <v>2110</v>
      </c>
      <c r="D2212" t="s">
        <v>236</v>
      </c>
      <c r="E2212" t="s">
        <v>23</v>
      </c>
      <c r="F2212" t="s">
        <v>1</v>
      </c>
      <c r="G2212" t="s">
        <v>891</v>
      </c>
      <c r="H2212" t="s">
        <v>423</v>
      </c>
      <c r="I2212" t="s">
        <v>1</v>
      </c>
      <c r="J2212">
        <v>1347.58</v>
      </c>
      <c r="K2212">
        <v>639.62999999969998</v>
      </c>
      <c r="L2212">
        <v>1650.79</v>
      </c>
      <c r="M2212">
        <v>3328.9411602209948</v>
      </c>
      <c r="N2212">
        <v>2692.0699999999997</v>
      </c>
      <c r="O2212">
        <v>3328.9411602209998</v>
      </c>
      <c r="P2212">
        <v>0</v>
      </c>
      <c r="Q2212">
        <f t="shared" si="460"/>
        <v>3328.9411602209998</v>
      </c>
      <c r="R2212">
        <v>2692.0699999999997</v>
      </c>
      <c r="S2212">
        <f t="shared" si="461"/>
        <v>-636.87116022100008</v>
      </c>
      <c r="T2212">
        <v>3.5000000000000003E-2</v>
      </c>
      <c r="U2212">
        <f t="shared" si="462"/>
        <v>94.222449999999995</v>
      </c>
      <c r="V2212">
        <f t="shared" si="463"/>
        <v>2786.2924499999999</v>
      </c>
      <c r="W2212">
        <f t="shared" si="464"/>
        <v>-542.64871022099987</v>
      </c>
      <c r="X2212">
        <v>0</v>
      </c>
    </row>
    <row r="2213" spans="1:24" x14ac:dyDescent="0.25">
      <c r="A2213" t="s">
        <v>1965</v>
      </c>
      <c r="B2213" t="s">
        <v>2050</v>
      </c>
      <c r="C2213" t="s">
        <v>2110</v>
      </c>
      <c r="D2213" t="s">
        <v>236</v>
      </c>
      <c r="E2213" t="s">
        <v>24</v>
      </c>
      <c r="F2213" t="s">
        <v>1</v>
      </c>
      <c r="G2213" t="s">
        <v>891</v>
      </c>
      <c r="H2213" t="s">
        <v>424</v>
      </c>
      <c r="I2213" t="s">
        <v>1</v>
      </c>
      <c r="J2213">
        <v>15328.5</v>
      </c>
      <c r="K2213">
        <v>6999.9999999995998</v>
      </c>
      <c r="L2213">
        <v>6580.01</v>
      </c>
      <c r="M2213">
        <v>13269.08093922652</v>
      </c>
      <c r="N2213">
        <v>13325.01</v>
      </c>
      <c r="O2213">
        <v>13160.02</v>
      </c>
      <c r="P2213">
        <v>0</v>
      </c>
      <c r="Q2213">
        <f t="shared" si="460"/>
        <v>13160.02</v>
      </c>
      <c r="R2213">
        <v>15328.5</v>
      </c>
      <c r="S2213">
        <f t="shared" si="461"/>
        <v>2168.4799999999996</v>
      </c>
      <c r="T2213"/>
      <c r="U2213">
        <f t="shared" si="462"/>
        <v>0</v>
      </c>
      <c r="V2213">
        <f t="shared" si="463"/>
        <v>15328.5</v>
      </c>
      <c r="W2213">
        <f t="shared" si="464"/>
        <v>2168.4799999999996</v>
      </c>
      <c r="X2213">
        <v>0</v>
      </c>
    </row>
    <row r="2214" spans="1:24" x14ac:dyDescent="0.25">
      <c r="A2214" t="s">
        <v>1965</v>
      </c>
      <c r="B2214" t="s">
        <v>2050</v>
      </c>
      <c r="C2214" t="s">
        <v>2110</v>
      </c>
      <c r="D2214" t="s">
        <v>236</v>
      </c>
      <c r="E2214" t="s">
        <v>25</v>
      </c>
      <c r="F2214" t="s">
        <v>1</v>
      </c>
      <c r="G2214" t="s">
        <v>891</v>
      </c>
      <c r="H2214" t="s">
        <v>425</v>
      </c>
      <c r="I2214" t="s">
        <v>1</v>
      </c>
      <c r="J2214">
        <v>3319</v>
      </c>
      <c r="K2214">
        <v>3726.9999999995998</v>
      </c>
      <c r="L2214">
        <v>1834.5</v>
      </c>
      <c r="M2214">
        <v>3699.4060773480664</v>
      </c>
      <c r="N2214">
        <v>3034.5</v>
      </c>
      <c r="O2214">
        <v>3669</v>
      </c>
      <c r="P2214">
        <v>0</v>
      </c>
      <c r="Q2214">
        <f t="shared" si="460"/>
        <v>3669</v>
      </c>
      <c r="R2214">
        <v>3669</v>
      </c>
      <c r="S2214">
        <f t="shared" si="461"/>
        <v>0</v>
      </c>
      <c r="T2214"/>
      <c r="U2214">
        <f t="shared" si="462"/>
        <v>0</v>
      </c>
      <c r="V2214">
        <f t="shared" si="463"/>
        <v>3669</v>
      </c>
      <c r="W2214">
        <f t="shared" si="464"/>
        <v>0</v>
      </c>
      <c r="X2214">
        <v>0</v>
      </c>
    </row>
    <row r="2215" spans="1:24" x14ac:dyDescent="0.25">
      <c r="A2215" t="s">
        <v>1965</v>
      </c>
      <c r="B2215" t="s">
        <v>2050</v>
      </c>
      <c r="C2215" t="s">
        <v>2110</v>
      </c>
      <c r="D2215" t="s">
        <v>236</v>
      </c>
      <c r="E2215" t="s">
        <v>26</v>
      </c>
      <c r="F2215" t="s">
        <v>1</v>
      </c>
      <c r="G2215" t="s">
        <v>891</v>
      </c>
      <c r="H2215" t="s">
        <v>426</v>
      </c>
      <c r="I2215" t="s">
        <v>1</v>
      </c>
      <c r="J2215">
        <v>65187.15</v>
      </c>
      <c r="K2215">
        <v>60797.529299533198</v>
      </c>
      <c r="L2215">
        <v>33016.19</v>
      </c>
      <c r="M2215">
        <v>66579.609668508288</v>
      </c>
      <c r="N2215">
        <v>67223.34</v>
      </c>
      <c r="O2215">
        <v>66032.38</v>
      </c>
      <c r="P2215">
        <v>0</v>
      </c>
      <c r="Q2215">
        <f t="shared" si="460"/>
        <v>66032.38</v>
      </c>
      <c r="R2215">
        <v>65500</v>
      </c>
      <c r="S2215">
        <f t="shared" si="461"/>
        <v>-532.38000000000466</v>
      </c>
      <c r="T2215"/>
      <c r="U2215">
        <f t="shared" si="462"/>
        <v>0</v>
      </c>
      <c r="V2215">
        <f t="shared" si="463"/>
        <v>65500</v>
      </c>
      <c r="W2215">
        <f t="shared" si="464"/>
        <v>-532.38000000000466</v>
      </c>
      <c r="X2215" t="s">
        <v>1668</v>
      </c>
    </row>
    <row r="2216" spans="1:24" x14ac:dyDescent="0.25">
      <c r="A2216" t="s">
        <v>1965</v>
      </c>
      <c r="B2216" t="s">
        <v>2050</v>
      </c>
      <c r="C2216" t="s">
        <v>2110</v>
      </c>
      <c r="D2216" t="s">
        <v>236</v>
      </c>
      <c r="E2216" t="s">
        <v>28</v>
      </c>
      <c r="F2216" t="s">
        <v>1</v>
      </c>
      <c r="G2216" t="s">
        <v>891</v>
      </c>
      <c r="H2216" t="s">
        <v>428</v>
      </c>
      <c r="I2216" t="s">
        <v>1</v>
      </c>
      <c r="J2216">
        <v>2896.17</v>
      </c>
      <c r="K2216">
        <v>5300.0000000004002</v>
      </c>
      <c r="L2216">
        <v>0</v>
      </c>
      <c r="M2216">
        <v>0</v>
      </c>
      <c r="N2216">
        <v>247.61</v>
      </c>
      <c r="O2216"/>
      <c r="P2216">
        <v>0</v>
      </c>
      <c r="Q2216">
        <f t="shared" si="460"/>
        <v>0</v>
      </c>
      <c r="R2216">
        <v>0</v>
      </c>
      <c r="S2216">
        <f t="shared" si="461"/>
        <v>0</v>
      </c>
      <c r="T2216"/>
      <c r="U2216">
        <f t="shared" si="462"/>
        <v>0</v>
      </c>
      <c r="V2216">
        <f t="shared" si="463"/>
        <v>0</v>
      </c>
      <c r="W2216">
        <f t="shared" si="464"/>
        <v>0</v>
      </c>
      <c r="X2216">
        <v>0</v>
      </c>
    </row>
    <row r="2217" spans="1:24" x14ac:dyDescent="0.25">
      <c r="A2217" t="s">
        <v>1965</v>
      </c>
      <c r="B2217" t="s">
        <v>2050</v>
      </c>
      <c r="C2217" t="s">
        <v>2110</v>
      </c>
      <c r="D2217" t="s">
        <v>236</v>
      </c>
      <c r="E2217" t="s">
        <v>29</v>
      </c>
      <c r="F2217" t="s">
        <v>1</v>
      </c>
      <c r="G2217" t="s">
        <v>891</v>
      </c>
      <c r="H2217" t="s">
        <v>429</v>
      </c>
      <c r="I2217" t="s">
        <v>1</v>
      </c>
      <c r="J2217">
        <v>9501.68</v>
      </c>
      <c r="K2217">
        <v>14739.9999999996</v>
      </c>
      <c r="L2217">
        <v>108</v>
      </c>
      <c r="M2217">
        <v>217.79005524861878</v>
      </c>
      <c r="N2217">
        <v>2167.65</v>
      </c>
      <c r="O2217">
        <v>216</v>
      </c>
      <c r="P2217">
        <v>0</v>
      </c>
      <c r="Q2217">
        <f t="shared" si="460"/>
        <v>216</v>
      </c>
      <c r="R2217">
        <v>216</v>
      </c>
      <c r="S2217">
        <f t="shared" si="461"/>
        <v>0</v>
      </c>
      <c r="T2217"/>
      <c r="U2217">
        <f t="shared" si="462"/>
        <v>0</v>
      </c>
      <c r="V2217">
        <f t="shared" si="463"/>
        <v>216</v>
      </c>
      <c r="W2217">
        <f t="shared" si="464"/>
        <v>0</v>
      </c>
      <c r="X2217">
        <v>0</v>
      </c>
    </row>
    <row r="2218" spans="1:24" x14ac:dyDescent="0.25">
      <c r="A2218" t="s">
        <v>1965</v>
      </c>
      <c r="B2218" t="s">
        <v>2050</v>
      </c>
      <c r="C2218" t="s">
        <v>2110</v>
      </c>
      <c r="D2218" t="s">
        <v>236</v>
      </c>
      <c r="E2218" t="s">
        <v>33</v>
      </c>
      <c r="F2218" t="s">
        <v>1</v>
      </c>
      <c r="G2218" t="s">
        <v>891</v>
      </c>
      <c r="H2218" t="s">
        <v>433</v>
      </c>
      <c r="I2218" t="s">
        <v>1</v>
      </c>
      <c r="J2218">
        <v>42934.32</v>
      </c>
      <c r="K2218">
        <v>15896.0615663724</v>
      </c>
      <c r="L2218">
        <v>28761.86</v>
      </c>
      <c r="M2218">
        <v>58000.43591160221</v>
      </c>
      <c r="N2218">
        <v>45613.459999999992</v>
      </c>
      <c r="O2218">
        <v>57523.72</v>
      </c>
      <c r="P2218">
        <v>0</v>
      </c>
      <c r="Q2218">
        <f t="shared" si="460"/>
        <v>57523.72</v>
      </c>
      <c r="R2218">
        <v>40000</v>
      </c>
      <c r="S2218">
        <f t="shared" si="461"/>
        <v>-17523.72</v>
      </c>
      <c r="T2218"/>
      <c r="U2218">
        <f t="shared" si="462"/>
        <v>0</v>
      </c>
      <c r="V2218">
        <f t="shared" si="463"/>
        <v>40000</v>
      </c>
      <c r="W2218">
        <f t="shared" si="464"/>
        <v>-17523.72</v>
      </c>
      <c r="X2218" t="s">
        <v>1669</v>
      </c>
    </row>
    <row r="2219" spans="1:24" x14ac:dyDescent="0.25">
      <c r="A2219" t="s">
        <v>1965</v>
      </c>
      <c r="B2219" t="s">
        <v>2050</v>
      </c>
      <c r="C2219" t="s">
        <v>2110</v>
      </c>
      <c r="D2219" t="s">
        <v>236</v>
      </c>
      <c r="E2219" t="s">
        <v>34</v>
      </c>
      <c r="F2219" t="s">
        <v>1</v>
      </c>
      <c r="G2219" t="s">
        <v>891</v>
      </c>
      <c r="H2219" t="s">
        <v>434</v>
      </c>
      <c r="I2219" t="s">
        <v>1</v>
      </c>
      <c r="J2219">
        <v>4276.6899999999996</v>
      </c>
      <c r="K2219">
        <v>4121.2011468372002</v>
      </c>
      <c r="L2219">
        <v>1365.48</v>
      </c>
      <c r="M2219">
        <v>2753.5922651933702</v>
      </c>
      <c r="N2219">
        <v>2448</v>
      </c>
      <c r="O2219">
        <v>2730.96</v>
      </c>
      <c r="P2219">
        <v>0</v>
      </c>
      <c r="Q2219">
        <f t="shared" si="460"/>
        <v>2730.96</v>
      </c>
      <c r="R2219">
        <v>2730.96</v>
      </c>
      <c r="S2219">
        <f t="shared" si="461"/>
        <v>0</v>
      </c>
      <c r="T2219"/>
      <c r="U2219">
        <f t="shared" si="462"/>
        <v>0</v>
      </c>
      <c r="V2219">
        <f t="shared" si="463"/>
        <v>2730.96</v>
      </c>
      <c r="W2219">
        <f t="shared" si="464"/>
        <v>0</v>
      </c>
      <c r="X2219">
        <v>0</v>
      </c>
    </row>
    <row r="2220" spans="1:24" x14ac:dyDescent="0.25">
      <c r="A2220" t="s">
        <v>1965</v>
      </c>
      <c r="B2220" t="s">
        <v>2050</v>
      </c>
      <c r="C2220" t="s">
        <v>2110</v>
      </c>
      <c r="D2220" t="s">
        <v>236</v>
      </c>
      <c r="E2220" t="s">
        <v>35</v>
      </c>
      <c r="F2220" t="s">
        <v>1</v>
      </c>
      <c r="G2220" t="s">
        <v>891</v>
      </c>
      <c r="H2220" t="s">
        <v>435</v>
      </c>
      <c r="I2220" t="s">
        <v>1</v>
      </c>
      <c r="J2220">
        <v>36967.78</v>
      </c>
      <c r="K2220">
        <v>35160</v>
      </c>
      <c r="L2220">
        <v>17643.57</v>
      </c>
      <c r="M2220">
        <v>35579.574861878456</v>
      </c>
      <c r="N2220">
        <v>33418.550000000003</v>
      </c>
      <c r="O2220">
        <v>35287.14</v>
      </c>
      <c r="P2220">
        <v>0</v>
      </c>
      <c r="Q2220">
        <f t="shared" si="460"/>
        <v>35287.14</v>
      </c>
      <c r="R2220">
        <v>35287.14</v>
      </c>
      <c r="S2220">
        <f t="shared" si="461"/>
        <v>0</v>
      </c>
      <c r="T2220"/>
      <c r="U2220">
        <f t="shared" si="462"/>
        <v>0</v>
      </c>
      <c r="V2220">
        <f t="shared" si="463"/>
        <v>35287.14</v>
      </c>
      <c r="W2220">
        <f t="shared" si="464"/>
        <v>0</v>
      </c>
      <c r="X2220">
        <v>0</v>
      </c>
    </row>
    <row r="2221" spans="1:24" x14ac:dyDescent="0.25">
      <c r="A2221" t="s">
        <v>1965</v>
      </c>
      <c r="B2221" t="s">
        <v>2050</v>
      </c>
      <c r="C2221" t="s">
        <v>2110</v>
      </c>
      <c r="D2221" t="s">
        <v>236</v>
      </c>
      <c r="E2221" t="s">
        <v>37</v>
      </c>
      <c r="F2221" t="s">
        <v>1</v>
      </c>
      <c r="G2221" t="s">
        <v>891</v>
      </c>
      <c r="H2221" t="s">
        <v>437</v>
      </c>
      <c r="I2221" t="s">
        <v>1</v>
      </c>
      <c r="J2221">
        <v>97654.24</v>
      </c>
      <c r="K2221">
        <v>96946.350787506002</v>
      </c>
      <c r="L2221">
        <v>57004.39</v>
      </c>
      <c r="M2221">
        <v>114953.60414364641</v>
      </c>
      <c r="N2221">
        <v>89839.45</v>
      </c>
      <c r="O2221">
        <v>114008.78</v>
      </c>
      <c r="P2221">
        <v>0</v>
      </c>
      <c r="Q2221">
        <f t="shared" si="460"/>
        <v>114008.78</v>
      </c>
      <c r="R2221">
        <v>96946.350787506002</v>
      </c>
      <c r="S2221">
        <f t="shared" si="461"/>
        <v>-17062.429212493997</v>
      </c>
      <c r="T2221"/>
      <c r="U2221">
        <f t="shared" si="462"/>
        <v>0</v>
      </c>
      <c r="V2221">
        <f t="shared" si="463"/>
        <v>96946.350787506002</v>
      </c>
      <c r="W2221">
        <f t="shared" si="464"/>
        <v>-17062.429212493997</v>
      </c>
      <c r="X2221" t="s">
        <v>1670</v>
      </c>
    </row>
    <row r="2222" spans="1:24" x14ac:dyDescent="0.25">
      <c r="A2222" t="s">
        <v>1965</v>
      </c>
      <c r="B2222" t="s">
        <v>2050</v>
      </c>
      <c r="C2222" t="s">
        <v>2110</v>
      </c>
      <c r="D2222" t="s">
        <v>236</v>
      </c>
      <c r="E2222" t="s">
        <v>41</v>
      </c>
      <c r="F2222" t="s">
        <v>1</v>
      </c>
      <c r="G2222" t="s">
        <v>891</v>
      </c>
      <c r="H2222" t="s">
        <v>441</v>
      </c>
      <c r="I2222" t="s">
        <v>1</v>
      </c>
      <c r="J2222">
        <v>195.89</v>
      </c>
      <c r="K2222">
        <v>384.79756580880002</v>
      </c>
      <c r="L2222">
        <v>0</v>
      </c>
      <c r="M2222">
        <v>0</v>
      </c>
      <c r="N2222">
        <v>0</v>
      </c>
      <c r="O2222"/>
      <c r="P2222">
        <v>0</v>
      </c>
      <c r="Q2222">
        <f t="shared" si="460"/>
        <v>0</v>
      </c>
      <c r="R2222">
        <v>0</v>
      </c>
      <c r="S2222">
        <f t="shared" si="461"/>
        <v>0</v>
      </c>
      <c r="T2222">
        <v>0.03</v>
      </c>
      <c r="U2222">
        <f t="shared" si="462"/>
        <v>0</v>
      </c>
      <c r="V2222">
        <f t="shared" si="463"/>
        <v>0</v>
      </c>
      <c r="W2222">
        <f t="shared" si="464"/>
        <v>0</v>
      </c>
      <c r="X2222">
        <v>0</v>
      </c>
    </row>
    <row r="2223" spans="1:24" x14ac:dyDescent="0.25">
      <c r="A2223" t="s">
        <v>1965</v>
      </c>
      <c r="B2223" t="s">
        <v>2050</v>
      </c>
      <c r="C2223" t="s">
        <v>2110</v>
      </c>
      <c r="D2223" t="s">
        <v>236</v>
      </c>
      <c r="E2223" t="s">
        <v>42</v>
      </c>
      <c r="F2223" t="s">
        <v>1</v>
      </c>
      <c r="G2223" t="s">
        <v>891</v>
      </c>
      <c r="H2223" t="s">
        <v>442</v>
      </c>
      <c r="I2223" t="s">
        <v>1</v>
      </c>
      <c r="J2223">
        <v>33.229999999999997</v>
      </c>
      <c r="K2223"/>
      <c r="L2223">
        <v>104.85</v>
      </c>
      <c r="M2223">
        <v>211.43784530386739</v>
      </c>
      <c r="N2223">
        <v>138.07999999999998</v>
      </c>
      <c r="O2223">
        <v>209.7</v>
      </c>
      <c r="P2223">
        <v>0</v>
      </c>
      <c r="Q2223">
        <f t="shared" si="460"/>
        <v>209.7</v>
      </c>
      <c r="R2223">
        <v>209.7</v>
      </c>
      <c r="S2223">
        <f t="shared" si="461"/>
        <v>0</v>
      </c>
      <c r="T2223">
        <v>0.03</v>
      </c>
      <c r="U2223">
        <f t="shared" si="462"/>
        <v>6.2909999999999995</v>
      </c>
      <c r="V2223">
        <f t="shared" si="463"/>
        <v>215.99099999999999</v>
      </c>
      <c r="W2223">
        <f t="shared" si="464"/>
        <v>6.2909999999999968</v>
      </c>
      <c r="X2223" t="s">
        <v>1655</v>
      </c>
    </row>
    <row r="2224" spans="1:24" x14ac:dyDescent="0.25">
      <c r="A2224" t="s">
        <v>1965</v>
      </c>
      <c r="B2224" t="s">
        <v>2050</v>
      </c>
      <c r="C2224" t="s">
        <v>2110</v>
      </c>
      <c r="D2224" t="s">
        <v>236</v>
      </c>
      <c r="E2224" t="s">
        <v>46</v>
      </c>
      <c r="F2224" t="s">
        <v>1</v>
      </c>
      <c r="G2224" t="s">
        <v>891</v>
      </c>
      <c r="H2224" t="s">
        <v>446</v>
      </c>
      <c r="I2224" t="s">
        <v>1</v>
      </c>
      <c r="J2224">
        <v>5136.62</v>
      </c>
      <c r="K2224">
        <v>2256</v>
      </c>
      <c r="L2224">
        <v>4120</v>
      </c>
      <c r="M2224">
        <v>8308.2872928176803</v>
      </c>
      <c r="N2224">
        <v>8295.51</v>
      </c>
      <c r="O2224">
        <v>8240</v>
      </c>
      <c r="P2224">
        <v>0</v>
      </c>
      <c r="Q2224">
        <f t="shared" si="460"/>
        <v>8240</v>
      </c>
      <c r="R2224">
        <v>4120</v>
      </c>
      <c r="S2224">
        <f t="shared" si="461"/>
        <v>-4120</v>
      </c>
      <c r="T2224">
        <v>0.03</v>
      </c>
      <c r="U2224">
        <f t="shared" si="462"/>
        <v>123.6</v>
      </c>
      <c r="V2224">
        <f t="shared" si="463"/>
        <v>4243.6000000000004</v>
      </c>
      <c r="W2224">
        <f t="shared" si="464"/>
        <v>-3996.3999999999996</v>
      </c>
      <c r="X2224" t="s">
        <v>1671</v>
      </c>
    </row>
    <row r="2225" spans="1:24" x14ac:dyDescent="0.25">
      <c r="A2225" t="s">
        <v>1965</v>
      </c>
      <c r="B2225" t="s">
        <v>2050</v>
      </c>
      <c r="C2225" t="s">
        <v>2110</v>
      </c>
      <c r="D2225" t="s">
        <v>236</v>
      </c>
      <c r="E2225" t="s">
        <v>47</v>
      </c>
      <c r="F2225" t="s">
        <v>1</v>
      </c>
      <c r="G2225" t="s">
        <v>891</v>
      </c>
      <c r="H2225" t="s">
        <v>447</v>
      </c>
      <c r="I2225" t="s">
        <v>1</v>
      </c>
      <c r="J2225">
        <v>4763.29</v>
      </c>
      <c r="K2225">
        <v>11484.9999999996</v>
      </c>
      <c r="L2225">
        <v>2772.71</v>
      </c>
      <c r="M2225">
        <v>5591.3765193370164</v>
      </c>
      <c r="N2225">
        <v>5061.91</v>
      </c>
      <c r="O2225">
        <v>5545.42</v>
      </c>
      <c r="P2225">
        <v>0</v>
      </c>
      <c r="Q2225">
        <f t="shared" si="460"/>
        <v>5545.42</v>
      </c>
      <c r="R2225">
        <v>5545.42</v>
      </c>
      <c r="S2225">
        <f t="shared" si="461"/>
        <v>0</v>
      </c>
      <c r="T2225">
        <v>0.03</v>
      </c>
      <c r="U2225">
        <f t="shared" si="462"/>
        <v>166.36259999999999</v>
      </c>
      <c r="V2225">
        <f t="shared" si="463"/>
        <v>5711.7826000000005</v>
      </c>
      <c r="W2225">
        <f t="shared" si="464"/>
        <v>166.36260000000038</v>
      </c>
      <c r="X2225">
        <v>0</v>
      </c>
    </row>
    <row r="2226" spans="1:24" x14ac:dyDescent="0.25">
      <c r="A2226" t="s">
        <v>1965</v>
      </c>
      <c r="B2226" t="s">
        <v>2050</v>
      </c>
      <c r="C2226" t="s">
        <v>2110</v>
      </c>
      <c r="D2226" t="s">
        <v>236</v>
      </c>
      <c r="E2226" t="s">
        <v>48</v>
      </c>
      <c r="F2226" t="s">
        <v>1</v>
      </c>
      <c r="G2226" t="s">
        <v>891</v>
      </c>
      <c r="H2226" t="s">
        <v>448</v>
      </c>
      <c r="I2226" t="s">
        <v>1</v>
      </c>
      <c r="J2226">
        <v>15.69</v>
      </c>
      <c r="K2226"/>
      <c r="L2226">
        <v>0</v>
      </c>
      <c r="M2226">
        <v>0</v>
      </c>
      <c r="N2226">
        <v>0</v>
      </c>
      <c r="O2226"/>
      <c r="P2226">
        <v>0</v>
      </c>
      <c r="Q2226">
        <f t="shared" si="460"/>
        <v>0</v>
      </c>
      <c r="R2226">
        <v>0</v>
      </c>
      <c r="S2226">
        <f t="shared" si="461"/>
        <v>0</v>
      </c>
      <c r="T2226">
        <v>0.03</v>
      </c>
      <c r="U2226">
        <f t="shared" si="462"/>
        <v>0</v>
      </c>
      <c r="V2226">
        <f t="shared" si="463"/>
        <v>0</v>
      </c>
      <c r="W2226">
        <f t="shared" si="464"/>
        <v>0</v>
      </c>
      <c r="X2226">
        <v>0</v>
      </c>
    </row>
    <row r="2227" spans="1:24" x14ac:dyDescent="0.25">
      <c r="A2227" t="s">
        <v>1965</v>
      </c>
      <c r="B2227" t="s">
        <v>2050</v>
      </c>
      <c r="C2227" t="s">
        <v>2110</v>
      </c>
      <c r="D2227" t="s">
        <v>236</v>
      </c>
      <c r="E2227" t="s">
        <v>50</v>
      </c>
      <c r="F2227" t="s">
        <v>1</v>
      </c>
      <c r="G2227" t="s">
        <v>891</v>
      </c>
      <c r="H2227" t="s">
        <v>450</v>
      </c>
      <c r="I2227" t="s">
        <v>1</v>
      </c>
      <c r="J2227">
        <v>1501.92</v>
      </c>
      <c r="K2227">
        <v>1790.0000000004</v>
      </c>
      <c r="L2227">
        <v>438.59</v>
      </c>
      <c r="M2227">
        <v>884.44944751381206</v>
      </c>
      <c r="N2227">
        <v>911.79000000000008</v>
      </c>
      <c r="O2227">
        <v>884.44944751380001</v>
      </c>
      <c r="P2227">
        <v>0</v>
      </c>
      <c r="Q2227">
        <f t="shared" si="460"/>
        <v>884.44944751380001</v>
      </c>
      <c r="R2227">
        <v>884.44944751380001</v>
      </c>
      <c r="S2227">
        <f t="shared" si="461"/>
        <v>0</v>
      </c>
      <c r="T2227"/>
      <c r="U2227">
        <f t="shared" si="462"/>
        <v>0</v>
      </c>
      <c r="V2227">
        <f t="shared" si="463"/>
        <v>884.44944751380001</v>
      </c>
      <c r="W2227">
        <f t="shared" si="464"/>
        <v>0</v>
      </c>
      <c r="X2227">
        <v>0</v>
      </c>
    </row>
    <row r="2228" spans="1:24" x14ac:dyDescent="0.25">
      <c r="A2228" t="s">
        <v>1965</v>
      </c>
      <c r="B2228" t="s">
        <v>2050</v>
      </c>
      <c r="C2228" t="s">
        <v>2110</v>
      </c>
      <c r="D2228" t="s">
        <v>236</v>
      </c>
      <c r="E2228" t="s">
        <v>51</v>
      </c>
      <c r="F2228" t="s">
        <v>51</v>
      </c>
      <c r="G2228" t="s">
        <v>892</v>
      </c>
      <c r="H2228"/>
      <c r="I2228"/>
      <c r="J2228">
        <v>339963.87</v>
      </c>
      <c r="K2228">
        <v>305978.33476934856</v>
      </c>
      <c r="L2228">
        <v>175953.98999999996</v>
      </c>
      <c r="M2228">
        <v>354824.34447513812</v>
      </c>
      <c r="N2228">
        <v>316278.62999999995</v>
      </c>
      <c r="O2228">
        <v>351942.61060773476</v>
      </c>
      <c r="P2228">
        <f>SUMIF($F$2205:$F$2227,"&lt;&gt;EV_*",$P$2205:$P$2227)</f>
        <v>0</v>
      </c>
      <c r="Q2228">
        <f>SUMIF($F$2205:$F$2227,"&lt;&gt;EV_*",$Q$2205:$Q$2227)</f>
        <v>351942.61060773476</v>
      </c>
      <c r="R2228">
        <f>SUMIF($F$2205:$F$2227,"&lt;&gt;EV_*",$R$2205:$R$2227)</f>
        <v>329077.96029674821</v>
      </c>
      <c r="S2228">
        <f>SUMIF($F$2205:$F$2227,"&lt;&gt;EV_*",$S$2205:$S$2227)</f>
        <v>-22864.650310986603</v>
      </c>
      <c r="T2228">
        <v>0</v>
      </c>
      <c r="U2228">
        <f>SUMIF($F$2205:$F$2227,"&lt;&gt;EV_*",$U$2205:$U$2227)</f>
        <v>592.65847669753089</v>
      </c>
      <c r="V2228">
        <f>SUMIF($F$2205:$F$2227,"&lt;&gt;EV_*",$V$2205:$V$2227)</f>
        <v>329670.6187734456</v>
      </c>
      <c r="W2228">
        <f>SUMIF($F$2205:$F$2227,"&lt;&gt;EV_*",$W$2205:$W$2227)</f>
        <v>-22271.991834289067</v>
      </c>
      <c r="X2228">
        <f>SUMIF($F$2205:$F$2227,"&lt;&gt;EV_*",$X$2205:$X$2227)</f>
        <v>0</v>
      </c>
    </row>
    <row r="2229" spans="1:24" x14ac:dyDescent="0.25">
      <c r="A2229" t="s">
        <v>1965</v>
      </c>
      <c r="B2229" t="s">
        <v>2050</v>
      </c>
      <c r="C2229" t="s">
        <v>2111</v>
      </c>
      <c r="D2229" t="s">
        <v>237</v>
      </c>
      <c r="E2229" t="s">
        <v>5</v>
      </c>
      <c r="F2229" t="s">
        <v>5</v>
      </c>
      <c r="G2229" t="s">
        <v>893</v>
      </c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</row>
    <row r="2230" spans="1:24" x14ac:dyDescent="0.25">
      <c r="A2230" t="s">
        <v>1965</v>
      </c>
      <c r="B2230" t="s">
        <v>2050</v>
      </c>
      <c r="C2230" t="s">
        <v>2111</v>
      </c>
      <c r="D2230" t="s">
        <v>237</v>
      </c>
      <c r="E2230" t="s">
        <v>37</v>
      </c>
      <c r="F2230" t="s">
        <v>1</v>
      </c>
      <c r="G2230" t="s">
        <v>894</v>
      </c>
      <c r="H2230" t="s">
        <v>437</v>
      </c>
      <c r="I2230" t="s">
        <v>1</v>
      </c>
      <c r="J2230">
        <v>841</v>
      </c>
      <c r="K2230"/>
      <c r="L2230">
        <v>0</v>
      </c>
      <c r="M2230">
        <v>0</v>
      </c>
      <c r="N2230">
        <v>841</v>
      </c>
      <c r="O2230"/>
      <c r="P2230">
        <v>0</v>
      </c>
      <c r="Q2230">
        <f>O2230+P2230</f>
        <v>0</v>
      </c>
      <c r="R2230">
        <v>0</v>
      </c>
      <c r="S2230">
        <f>IF(OR(LEFT(E2230,2)="A_",LEFT(D2230,5)="Total"),R2230-Q2230,"")</f>
        <v>0</v>
      </c>
      <c r="T2230"/>
      <c r="U2230">
        <f>IFERROR(R2230*T2230,R2230*0)</f>
        <v>0</v>
      </c>
      <c r="V2230">
        <f>IF(OR(LEFT(E2230,2)="A_",LEFT(D2230,5)="Total"),R2230+U2230,"")</f>
        <v>0</v>
      </c>
      <c r="W2230">
        <f>IF(OR(LEFT(E2230,2)="A_",LEFT(D2230,5)="Total"),V2230-Q2230,"")</f>
        <v>0</v>
      </c>
      <c r="X2230">
        <v>0</v>
      </c>
    </row>
    <row r="2231" spans="1:24" x14ac:dyDescent="0.25">
      <c r="A2231" t="s">
        <v>1965</v>
      </c>
      <c r="B2231" t="s">
        <v>2050</v>
      </c>
      <c r="C2231" t="s">
        <v>2111</v>
      </c>
      <c r="D2231" t="s">
        <v>237</v>
      </c>
      <c r="E2231" t="s">
        <v>51</v>
      </c>
      <c r="F2231" t="s">
        <v>51</v>
      </c>
      <c r="G2231" t="s">
        <v>895</v>
      </c>
      <c r="H2231"/>
      <c r="I2231"/>
      <c r="J2231">
        <v>841</v>
      </c>
      <c r="K2231">
        <v>0</v>
      </c>
      <c r="L2231">
        <v>0</v>
      </c>
      <c r="M2231">
        <v>0</v>
      </c>
      <c r="N2231">
        <v>841</v>
      </c>
      <c r="O2231">
        <v>0</v>
      </c>
      <c r="P2231">
        <f>SUMIF($F$2229:$F$2230,"&lt;&gt;EV_*",$P$2229:$P$2230)</f>
        <v>0</v>
      </c>
      <c r="Q2231">
        <f>SUMIF($F$2229:$F$2230,"&lt;&gt;EV_*",$Q$2229:$Q$2230)</f>
        <v>0</v>
      </c>
      <c r="R2231">
        <f>SUMIF($F$2229:$F$2230,"&lt;&gt;EV_*",$R$2229:$R$2230)</f>
        <v>0</v>
      </c>
      <c r="S2231">
        <f>SUMIF($F$2229:$F$2230,"&lt;&gt;EV_*",$S$2229:$S$2230)</f>
        <v>0</v>
      </c>
      <c r="T2231">
        <v>0</v>
      </c>
      <c r="U2231">
        <f>SUMIF($F$2229:$F$2230,"&lt;&gt;EV_*",$U$2229:$U$2230)</f>
        <v>0</v>
      </c>
      <c r="V2231">
        <f>SUMIF($F$2229:$F$2230,"&lt;&gt;EV_*",$V$2229:$V$2230)</f>
        <v>0</v>
      </c>
      <c r="W2231">
        <f>SUMIF($F$2229:$F$2230,"&lt;&gt;EV_*",$W$2229:$W$2230)</f>
        <v>0</v>
      </c>
      <c r="X2231">
        <f>SUMIF($F$2229:$F$2230,"&lt;&gt;EV_*",$X$2229:$X$2230)</f>
        <v>0</v>
      </c>
    </row>
    <row r="2232" spans="1:24" x14ac:dyDescent="0.25">
      <c r="A2232" t="s">
        <v>1965</v>
      </c>
      <c r="B2232" t="s">
        <v>2050</v>
      </c>
      <c r="C2232" t="s">
        <v>2112</v>
      </c>
      <c r="D2232" t="s">
        <v>238</v>
      </c>
      <c r="E2232" t="s">
        <v>5</v>
      </c>
      <c r="F2232" t="s">
        <v>5</v>
      </c>
      <c r="G2232" t="s">
        <v>896</v>
      </c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</row>
    <row r="2233" spans="1:24" x14ac:dyDescent="0.25">
      <c r="A2233" t="s">
        <v>1965</v>
      </c>
      <c r="B2233" t="s">
        <v>2050</v>
      </c>
      <c r="C2233" t="s">
        <v>2112</v>
      </c>
      <c r="D2233" t="s">
        <v>238</v>
      </c>
      <c r="E2233" t="s">
        <v>34</v>
      </c>
      <c r="F2233" t="s">
        <v>1</v>
      </c>
      <c r="G2233" t="s">
        <v>897</v>
      </c>
      <c r="H2233" t="s">
        <v>434</v>
      </c>
      <c r="I2233" t="s">
        <v>1</v>
      </c>
      <c r="J2233"/>
      <c r="K2233">
        <v>196.24767365880001</v>
      </c>
      <c r="L2233">
        <v>0</v>
      </c>
      <c r="M2233">
        <v>0</v>
      </c>
      <c r="N2233">
        <v>0</v>
      </c>
      <c r="O2233"/>
      <c r="P2233">
        <v>0</v>
      </c>
      <c r="Q2233">
        <f>O2233+P2233</f>
        <v>0</v>
      </c>
      <c r="R2233">
        <v>0</v>
      </c>
      <c r="S2233">
        <f>IF(OR(LEFT(E2233,2)="A_",LEFT(D2233,5)="Total"),R2233-Q2233,"")</f>
        <v>0</v>
      </c>
      <c r="T2233"/>
      <c r="U2233">
        <f>IFERROR(R2233*T2233,R2233*0)</f>
        <v>0</v>
      </c>
      <c r="V2233">
        <f>IF(OR(LEFT(E2233,2)="A_",LEFT(D2233,5)="Total"),R2233+U2233,"")</f>
        <v>0</v>
      </c>
      <c r="W2233">
        <f>IF(OR(LEFT(E2233,2)="A_",LEFT(D2233,5)="Total"),V2233-Q2233,"")</f>
        <v>0</v>
      </c>
      <c r="X2233">
        <v>0</v>
      </c>
    </row>
    <row r="2234" spans="1:24" x14ac:dyDescent="0.25">
      <c r="A2234" t="s">
        <v>1965</v>
      </c>
      <c r="B2234" t="s">
        <v>2050</v>
      </c>
      <c r="C2234" t="s">
        <v>2112</v>
      </c>
      <c r="D2234" t="s">
        <v>238</v>
      </c>
      <c r="E2234" t="s">
        <v>51</v>
      </c>
      <c r="F2234" t="s">
        <v>51</v>
      </c>
      <c r="G2234" t="s">
        <v>898</v>
      </c>
      <c r="H2234"/>
      <c r="I2234"/>
      <c r="J2234">
        <v>0</v>
      </c>
      <c r="K2234">
        <v>196.24767365880001</v>
      </c>
      <c r="L2234">
        <v>0</v>
      </c>
      <c r="M2234">
        <v>0</v>
      </c>
      <c r="N2234">
        <v>0</v>
      </c>
      <c r="O2234">
        <v>0</v>
      </c>
      <c r="P2234">
        <f>SUMIF($F$2232:$F$2233,"&lt;&gt;EV_*",$P$2232:$P$2233)</f>
        <v>0</v>
      </c>
      <c r="Q2234">
        <f>SUMIF($F$2232:$F$2233,"&lt;&gt;EV_*",$Q$2232:$Q$2233)</f>
        <v>0</v>
      </c>
      <c r="R2234">
        <f>SUMIF($F$2232:$F$2233,"&lt;&gt;EV_*",$R$2232:$R$2233)</f>
        <v>0</v>
      </c>
      <c r="S2234">
        <f>SUMIF($F$2232:$F$2233,"&lt;&gt;EV_*",$S$2232:$S$2233)</f>
        <v>0</v>
      </c>
      <c r="T2234">
        <v>0</v>
      </c>
      <c r="U2234">
        <f>SUMIF($F$2232:$F$2233,"&lt;&gt;EV_*",$U$2232:$U$2233)</f>
        <v>0</v>
      </c>
      <c r="V2234">
        <f>SUMIF($F$2232:$F$2233,"&lt;&gt;EV_*",$V$2232:$V$2233)</f>
        <v>0</v>
      </c>
      <c r="W2234">
        <f>SUMIF($F$2232:$F$2233,"&lt;&gt;EV_*",$W$2232:$W$2233)</f>
        <v>0</v>
      </c>
      <c r="X2234">
        <f>SUMIF($F$2232:$F$2233,"&lt;&gt;EV_*",$X$2232:$X$2233)</f>
        <v>0</v>
      </c>
    </row>
    <row r="2235" spans="1:24" x14ac:dyDescent="0.25">
      <c r="A2235" t="s">
        <v>1965</v>
      </c>
      <c r="B2235" t="s">
        <v>2050</v>
      </c>
      <c r="C2235" t="s">
        <v>2113</v>
      </c>
      <c r="D2235" t="s">
        <v>239</v>
      </c>
      <c r="E2235" t="s">
        <v>5</v>
      </c>
      <c r="F2235" t="s">
        <v>5</v>
      </c>
      <c r="G2235" t="s">
        <v>899</v>
      </c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</row>
    <row r="2236" spans="1:24" x14ac:dyDescent="0.25">
      <c r="A2236" t="s">
        <v>1965</v>
      </c>
      <c r="B2236" t="s">
        <v>2050</v>
      </c>
      <c r="C2236" t="s">
        <v>2113</v>
      </c>
      <c r="D2236" t="s">
        <v>239</v>
      </c>
      <c r="E2236" t="s">
        <v>23</v>
      </c>
      <c r="F2236" t="s">
        <v>1</v>
      </c>
      <c r="G2236" t="s">
        <v>900</v>
      </c>
      <c r="H2236" t="s">
        <v>423</v>
      </c>
      <c r="I2236" t="s">
        <v>1</v>
      </c>
      <c r="J2236"/>
      <c r="K2236"/>
      <c r="L2236">
        <v>272.64</v>
      </c>
      <c r="M2236">
        <v>549.79889502762433</v>
      </c>
      <c r="N2236">
        <v>272.64</v>
      </c>
      <c r="O2236">
        <v>549.7988950276</v>
      </c>
      <c r="P2236">
        <v>0</v>
      </c>
      <c r="Q2236">
        <f>O2236+P2236</f>
        <v>549.7988950276</v>
      </c>
      <c r="R2236">
        <v>0</v>
      </c>
      <c r="S2236">
        <f>IF(OR(LEFT(E2236,2)="A_",LEFT(D2236,5)="Total"),R2236-Q2236,"")</f>
        <v>-549.7988950276</v>
      </c>
      <c r="T2236">
        <v>3.5000000000000003E-2</v>
      </c>
      <c r="U2236">
        <f>IFERROR(R2236*T2236,R2236*0)</f>
        <v>0</v>
      </c>
      <c r="V2236">
        <f>IF(OR(LEFT(E2236,2)="A_",LEFT(D2236,5)="Total"),R2236+U2236,"")</f>
        <v>0</v>
      </c>
      <c r="W2236">
        <f>IF(OR(LEFT(E2236,2)="A_",LEFT(D2236,5)="Total"),V2236-Q2236,"")</f>
        <v>-549.7988950276</v>
      </c>
      <c r="X2236">
        <v>0</v>
      </c>
    </row>
    <row r="2237" spans="1:24" x14ac:dyDescent="0.25">
      <c r="A2237" t="s">
        <v>1965</v>
      </c>
      <c r="B2237" t="s">
        <v>2050</v>
      </c>
      <c r="C2237" t="s">
        <v>2113</v>
      </c>
      <c r="D2237" t="s">
        <v>239</v>
      </c>
      <c r="E2237" t="s">
        <v>46</v>
      </c>
      <c r="F2237" t="s">
        <v>1</v>
      </c>
      <c r="G2237" t="s">
        <v>900</v>
      </c>
      <c r="H2237" t="s">
        <v>446</v>
      </c>
      <c r="I2237" t="s">
        <v>1</v>
      </c>
      <c r="J2237"/>
      <c r="K2237"/>
      <c r="L2237">
        <v>3568</v>
      </c>
      <c r="M2237">
        <v>7195.1381215469619</v>
      </c>
      <c r="N2237">
        <v>3568</v>
      </c>
      <c r="O2237">
        <v>7136</v>
      </c>
      <c r="P2237">
        <v>0</v>
      </c>
      <c r="Q2237">
        <f>O2237+P2237</f>
        <v>7136</v>
      </c>
      <c r="R2237">
        <v>0</v>
      </c>
      <c r="S2237">
        <f>IF(OR(LEFT(E2237,2)="A_",LEFT(D2237,5)="Total"),R2237-Q2237,"")</f>
        <v>-7136</v>
      </c>
      <c r="T2237">
        <v>0.03</v>
      </c>
      <c r="U2237">
        <f>IFERROR(R2237*T2237,R2237*0)</f>
        <v>0</v>
      </c>
      <c r="V2237">
        <f>IF(OR(LEFT(E2237,2)="A_",LEFT(D2237,5)="Total"),R2237+U2237,"")</f>
        <v>0</v>
      </c>
      <c r="W2237">
        <f>IF(OR(LEFT(E2237,2)="A_",LEFT(D2237,5)="Total"),V2237-Q2237,"")</f>
        <v>-7136</v>
      </c>
      <c r="X2237">
        <v>0</v>
      </c>
    </row>
    <row r="2238" spans="1:24" x14ac:dyDescent="0.25">
      <c r="A2238" t="s">
        <v>1965</v>
      </c>
      <c r="B2238" t="s">
        <v>2050</v>
      </c>
      <c r="C2238" t="s">
        <v>2113</v>
      </c>
      <c r="D2238" t="s">
        <v>239</v>
      </c>
      <c r="E2238" t="s">
        <v>51</v>
      </c>
      <c r="F2238" t="s">
        <v>51</v>
      </c>
      <c r="G2238" t="s">
        <v>901</v>
      </c>
      <c r="H2238"/>
      <c r="I2238"/>
      <c r="J2238">
        <v>0</v>
      </c>
      <c r="K2238">
        <v>0</v>
      </c>
      <c r="L2238">
        <v>3840.64</v>
      </c>
      <c r="M2238">
        <v>7744.9370165745859</v>
      </c>
      <c r="N2238">
        <v>3840.64</v>
      </c>
      <c r="O2238">
        <v>7685.7988950276003</v>
      </c>
      <c r="P2238">
        <f>SUMIF($F$2235:$F$2237,"&lt;&gt;EV_*",$P$2235:$P$2237)</f>
        <v>0</v>
      </c>
      <c r="Q2238">
        <f>SUMIF($F$2235:$F$2237,"&lt;&gt;EV_*",$Q$2235:$Q$2237)</f>
        <v>7685.7988950276003</v>
      </c>
      <c r="R2238">
        <f>SUMIF($F$2235:$F$2237,"&lt;&gt;EV_*",$R$2235:$R$2237)</f>
        <v>0</v>
      </c>
      <c r="S2238">
        <f>SUMIF($F$2235:$F$2237,"&lt;&gt;EV_*",$S$2235:$S$2237)</f>
        <v>-7685.7988950276003</v>
      </c>
      <c r="T2238">
        <v>0</v>
      </c>
      <c r="U2238">
        <f>SUMIF($F$2235:$F$2237,"&lt;&gt;EV_*",$U$2235:$U$2237)</f>
        <v>0</v>
      </c>
      <c r="V2238">
        <f>SUMIF($F$2235:$F$2237,"&lt;&gt;EV_*",$V$2235:$V$2237)</f>
        <v>0</v>
      </c>
      <c r="W2238">
        <f>SUMIF($F$2235:$F$2237,"&lt;&gt;EV_*",$W$2235:$W$2237)</f>
        <v>-7685.7988950276003</v>
      </c>
      <c r="X2238">
        <f>SUMIF($F$2235:$F$2237,"&lt;&gt;EV_*",$X$2235:$X$2237)</f>
        <v>0</v>
      </c>
    </row>
    <row r="2239" spans="1:24" x14ac:dyDescent="0.25">
      <c r="A2239" t="s">
        <v>1965</v>
      </c>
      <c r="B2239" t="s">
        <v>2050</v>
      </c>
      <c r="C2239" t="s">
        <v>2114</v>
      </c>
      <c r="D2239" t="s">
        <v>240</v>
      </c>
      <c r="E2239" t="s">
        <v>5</v>
      </c>
      <c r="F2239" t="s">
        <v>5</v>
      </c>
      <c r="G2239" t="s">
        <v>902</v>
      </c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</row>
    <row r="2240" spans="1:24" x14ac:dyDescent="0.25">
      <c r="A2240" t="s">
        <v>1965</v>
      </c>
      <c r="B2240" t="s">
        <v>2050</v>
      </c>
      <c r="C2240" t="s">
        <v>2114</v>
      </c>
      <c r="D2240" t="s">
        <v>240</v>
      </c>
      <c r="E2240" t="s">
        <v>50</v>
      </c>
      <c r="F2240" t="s">
        <v>1</v>
      </c>
      <c r="G2240" t="s">
        <v>903</v>
      </c>
      <c r="H2240" t="s">
        <v>450</v>
      </c>
      <c r="I2240" t="s">
        <v>1</v>
      </c>
      <c r="J2240">
        <v>616.85</v>
      </c>
      <c r="K2240">
        <v>459.99999999959999</v>
      </c>
      <c r="L2240">
        <v>455.97</v>
      </c>
      <c r="M2240">
        <v>919.49751381215481</v>
      </c>
      <c r="N2240">
        <v>929.16999999999985</v>
      </c>
      <c r="O2240">
        <v>919.49751381220005</v>
      </c>
      <c r="P2240">
        <v>0</v>
      </c>
      <c r="Q2240">
        <f>O2240+P2240</f>
        <v>919.49751381220005</v>
      </c>
      <c r="R2240">
        <v>0</v>
      </c>
      <c r="S2240">
        <f>IF(OR(LEFT(E2240,2)="A_",LEFT(D2240,5)="Total"),R2240-Q2240,"")</f>
        <v>-919.49751381220005</v>
      </c>
      <c r="T2240"/>
      <c r="U2240">
        <f>IFERROR(R2240*T2240,R2240*0)</f>
        <v>0</v>
      </c>
      <c r="V2240">
        <f>IF(OR(LEFT(E2240,2)="A_",LEFT(D2240,5)="Total"),R2240+U2240,"")</f>
        <v>0</v>
      </c>
      <c r="W2240">
        <f>IF(OR(LEFT(E2240,2)="A_",LEFT(D2240,5)="Total"),V2240-Q2240,"")</f>
        <v>-919.49751381220005</v>
      </c>
      <c r="X2240">
        <v>0</v>
      </c>
    </row>
    <row r="2241" spans="1:24" x14ac:dyDescent="0.25">
      <c r="A2241" t="s">
        <v>1965</v>
      </c>
      <c r="B2241" t="s">
        <v>2050</v>
      </c>
      <c r="C2241" t="s">
        <v>2114</v>
      </c>
      <c r="D2241" t="s">
        <v>240</v>
      </c>
      <c r="E2241" t="s">
        <v>51</v>
      </c>
      <c r="F2241" t="s">
        <v>51</v>
      </c>
      <c r="G2241" t="s">
        <v>904</v>
      </c>
      <c r="H2241"/>
      <c r="I2241"/>
      <c r="J2241">
        <v>616.85</v>
      </c>
      <c r="K2241">
        <v>459.99999999959999</v>
      </c>
      <c r="L2241">
        <v>455.97</v>
      </c>
      <c r="M2241">
        <v>919.49751381215481</v>
      </c>
      <c r="N2241">
        <v>929.16999999999985</v>
      </c>
      <c r="O2241">
        <v>919.49751381220005</v>
      </c>
      <c r="P2241">
        <f>SUMIF($F$2239:$F$2240,"&lt;&gt;EV_*",$P$2239:$P$2240)</f>
        <v>0</v>
      </c>
      <c r="Q2241">
        <f>SUMIF($F$2239:$F$2240,"&lt;&gt;EV_*",$Q$2239:$Q$2240)</f>
        <v>919.49751381220005</v>
      </c>
      <c r="R2241">
        <f>SUMIF($F$2239:$F$2240,"&lt;&gt;EV_*",$R$2239:$R$2240)</f>
        <v>0</v>
      </c>
      <c r="S2241">
        <f>SUMIF($F$2239:$F$2240,"&lt;&gt;EV_*",$S$2239:$S$2240)</f>
        <v>-919.49751381220005</v>
      </c>
      <c r="T2241">
        <v>0</v>
      </c>
      <c r="U2241">
        <f>SUMIF($F$2239:$F$2240,"&lt;&gt;EV_*",$U$2239:$U$2240)</f>
        <v>0</v>
      </c>
      <c r="V2241">
        <f>SUMIF($F$2239:$F$2240,"&lt;&gt;EV_*",$V$2239:$V$2240)</f>
        <v>0</v>
      </c>
      <c r="W2241">
        <f>SUMIF($F$2239:$F$2240,"&lt;&gt;EV_*",$W$2239:$W$2240)</f>
        <v>-919.49751381220005</v>
      </c>
      <c r="X2241">
        <f>SUMIF($F$2239:$F$2240,"&lt;&gt;EV_*",$X$2239:$X$2240)</f>
        <v>0</v>
      </c>
    </row>
    <row r="2242" spans="1:24" x14ac:dyDescent="0.25">
      <c r="A2242" t="s">
        <v>1965</v>
      </c>
      <c r="B2242" t="s">
        <v>2050</v>
      </c>
      <c r="C2242" t="s">
        <v>2115</v>
      </c>
      <c r="D2242" t="s">
        <v>241</v>
      </c>
      <c r="E2242" t="s">
        <v>5</v>
      </c>
      <c r="F2242" t="s">
        <v>5</v>
      </c>
      <c r="G2242" t="s">
        <v>905</v>
      </c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</row>
    <row r="2243" spans="1:24" x14ac:dyDescent="0.25">
      <c r="A2243" t="s">
        <v>1965</v>
      </c>
      <c r="B2243" t="s">
        <v>2050</v>
      </c>
      <c r="C2243" t="s">
        <v>2115</v>
      </c>
      <c r="D2243" t="s">
        <v>241</v>
      </c>
      <c r="E2243" t="s">
        <v>23</v>
      </c>
      <c r="F2243" t="s">
        <v>1</v>
      </c>
      <c r="G2243" t="s">
        <v>906</v>
      </c>
      <c r="H2243" t="s">
        <v>423</v>
      </c>
      <c r="I2243" t="s">
        <v>1</v>
      </c>
      <c r="J2243">
        <v>691.56</v>
      </c>
      <c r="K2243">
        <v>1428.3</v>
      </c>
      <c r="L2243">
        <v>0</v>
      </c>
      <c r="M2243">
        <v>0</v>
      </c>
      <c r="N2243">
        <v>0</v>
      </c>
      <c r="O2243"/>
      <c r="P2243">
        <v>0</v>
      </c>
      <c r="Q2243">
        <f>O2243+P2243</f>
        <v>0</v>
      </c>
      <c r="R2243">
        <v>0</v>
      </c>
      <c r="S2243">
        <f>IF(OR(LEFT(E2243,2)="A_",LEFT(D2243,5)="Total"),R2243-Q2243,"")</f>
        <v>0</v>
      </c>
      <c r="T2243">
        <v>3.5000000000000003E-2</v>
      </c>
      <c r="U2243">
        <f>IFERROR(R2243*T2243,R2243*0)</f>
        <v>0</v>
      </c>
      <c r="V2243">
        <f>IF(OR(LEFT(E2243,2)="A_",LEFT(D2243,5)="Total"),R2243+U2243,"")</f>
        <v>0</v>
      </c>
      <c r="W2243">
        <f>IF(OR(LEFT(E2243,2)="A_",LEFT(D2243,5)="Total"),V2243-Q2243,"")</f>
        <v>0</v>
      </c>
      <c r="X2243">
        <v>0</v>
      </c>
    </row>
    <row r="2244" spans="1:24" x14ac:dyDescent="0.25">
      <c r="A2244" t="s">
        <v>1965</v>
      </c>
      <c r="B2244" t="s">
        <v>2050</v>
      </c>
      <c r="C2244" t="s">
        <v>2115</v>
      </c>
      <c r="D2244" t="s">
        <v>241</v>
      </c>
      <c r="E2244" t="s">
        <v>24</v>
      </c>
      <c r="F2244" t="s">
        <v>1</v>
      </c>
      <c r="G2244" t="s">
        <v>906</v>
      </c>
      <c r="H2244" t="s">
        <v>424</v>
      </c>
      <c r="I2244" t="s">
        <v>1</v>
      </c>
      <c r="J2244"/>
      <c r="K2244">
        <v>225</v>
      </c>
      <c r="L2244">
        <v>0</v>
      </c>
      <c r="M2244">
        <v>0</v>
      </c>
      <c r="N2244">
        <v>0</v>
      </c>
      <c r="O2244"/>
      <c r="P2244">
        <v>0</v>
      </c>
      <c r="Q2244">
        <f>O2244+P2244</f>
        <v>0</v>
      </c>
      <c r="R2244">
        <v>0</v>
      </c>
      <c r="S2244">
        <f>IF(OR(LEFT(E2244,2)="A_",LEFT(D2244,5)="Total"),R2244-Q2244,"")</f>
        <v>0</v>
      </c>
      <c r="T2244"/>
      <c r="U2244">
        <f>IFERROR(R2244*T2244,R2244*0)</f>
        <v>0</v>
      </c>
      <c r="V2244">
        <f>IF(OR(LEFT(E2244,2)="A_",LEFT(D2244,5)="Total"),R2244+U2244,"")</f>
        <v>0</v>
      </c>
      <c r="W2244">
        <f>IF(OR(LEFT(E2244,2)="A_",LEFT(D2244,5)="Total"),V2244-Q2244,"")</f>
        <v>0</v>
      </c>
      <c r="X2244">
        <v>0</v>
      </c>
    </row>
    <row r="2245" spans="1:24" x14ac:dyDescent="0.25">
      <c r="A2245" t="s">
        <v>1965</v>
      </c>
      <c r="B2245" t="s">
        <v>2050</v>
      </c>
      <c r="C2245" t="s">
        <v>2115</v>
      </c>
      <c r="D2245" t="s">
        <v>241</v>
      </c>
      <c r="E2245" t="s">
        <v>26</v>
      </c>
      <c r="F2245" t="s">
        <v>1</v>
      </c>
      <c r="G2245" t="s">
        <v>906</v>
      </c>
      <c r="H2245" t="s">
        <v>426</v>
      </c>
      <c r="I2245" t="s">
        <v>1</v>
      </c>
      <c r="J2245"/>
      <c r="K2245">
        <v>1236.3603440508</v>
      </c>
      <c r="L2245">
        <v>0</v>
      </c>
      <c r="M2245">
        <v>0</v>
      </c>
      <c r="N2245">
        <v>0</v>
      </c>
      <c r="O2245"/>
      <c r="P2245">
        <v>0</v>
      </c>
      <c r="Q2245">
        <f>O2245+P2245</f>
        <v>0</v>
      </c>
      <c r="R2245">
        <v>0</v>
      </c>
      <c r="S2245">
        <f>IF(OR(LEFT(E2245,2)="A_",LEFT(D2245,5)="Total"),R2245-Q2245,"")</f>
        <v>0</v>
      </c>
      <c r="T2245"/>
      <c r="U2245">
        <f>IFERROR(R2245*T2245,R2245*0)</f>
        <v>0</v>
      </c>
      <c r="V2245">
        <f>IF(OR(LEFT(E2245,2)="A_",LEFT(D2245,5)="Total"),R2245+U2245,"")</f>
        <v>0</v>
      </c>
      <c r="W2245">
        <f>IF(OR(LEFT(E2245,2)="A_",LEFT(D2245,5)="Total"),V2245-Q2245,"")</f>
        <v>0</v>
      </c>
      <c r="X2245">
        <v>0</v>
      </c>
    </row>
    <row r="2246" spans="1:24" x14ac:dyDescent="0.25">
      <c r="A2246" t="s">
        <v>1965</v>
      </c>
      <c r="B2246" t="s">
        <v>2050</v>
      </c>
      <c r="C2246" t="s">
        <v>2115</v>
      </c>
      <c r="D2246" t="s">
        <v>241</v>
      </c>
      <c r="E2246" t="s">
        <v>47</v>
      </c>
      <c r="F2246" t="s">
        <v>1</v>
      </c>
      <c r="G2246" t="s">
        <v>906</v>
      </c>
      <c r="H2246" t="s">
        <v>447</v>
      </c>
      <c r="I2246" t="s">
        <v>1</v>
      </c>
      <c r="J2246"/>
      <c r="K2246">
        <v>350.00000000040001</v>
      </c>
      <c r="L2246">
        <v>0</v>
      </c>
      <c r="M2246">
        <v>0</v>
      </c>
      <c r="N2246">
        <v>0</v>
      </c>
      <c r="O2246"/>
      <c r="P2246">
        <v>0</v>
      </c>
      <c r="Q2246">
        <f>O2246+P2246</f>
        <v>0</v>
      </c>
      <c r="R2246">
        <v>0</v>
      </c>
      <c r="S2246">
        <f>IF(OR(LEFT(E2246,2)="A_",LEFT(D2246,5)="Total"),R2246-Q2246,"")</f>
        <v>0</v>
      </c>
      <c r="T2246">
        <v>0.03</v>
      </c>
      <c r="U2246">
        <f>IFERROR(R2246*T2246,R2246*0)</f>
        <v>0</v>
      </c>
      <c r="V2246">
        <f>IF(OR(LEFT(E2246,2)="A_",LEFT(D2246,5)="Total"),R2246+U2246,"")</f>
        <v>0</v>
      </c>
      <c r="W2246">
        <f>IF(OR(LEFT(E2246,2)="A_",LEFT(D2246,5)="Total"),V2246-Q2246,"")</f>
        <v>0</v>
      </c>
      <c r="X2246">
        <v>0</v>
      </c>
    </row>
    <row r="2247" spans="1:24" x14ac:dyDescent="0.25">
      <c r="A2247" t="s">
        <v>1965</v>
      </c>
      <c r="B2247" t="s">
        <v>2050</v>
      </c>
      <c r="C2247" t="s">
        <v>2115</v>
      </c>
      <c r="D2247" t="s">
        <v>241</v>
      </c>
      <c r="E2247" t="s">
        <v>51</v>
      </c>
      <c r="F2247" t="s">
        <v>51</v>
      </c>
      <c r="G2247" t="s">
        <v>907</v>
      </c>
      <c r="H2247"/>
      <c r="I2247"/>
      <c r="J2247">
        <v>691.56</v>
      </c>
      <c r="K2247">
        <v>3239.6603440511999</v>
      </c>
      <c r="L2247">
        <v>0</v>
      </c>
      <c r="M2247">
        <v>0</v>
      </c>
      <c r="N2247">
        <v>0</v>
      </c>
      <c r="O2247">
        <v>0</v>
      </c>
      <c r="P2247">
        <f>SUMIF($F$2242:$F$2246,"&lt;&gt;EV_*",$P$2242:$P$2246)</f>
        <v>0</v>
      </c>
      <c r="Q2247">
        <f>SUMIF($F$2242:$F$2246,"&lt;&gt;EV_*",$Q$2242:$Q$2246)</f>
        <v>0</v>
      </c>
      <c r="R2247">
        <f>SUMIF($F$2242:$F$2246,"&lt;&gt;EV_*",$R$2242:$R$2246)</f>
        <v>0</v>
      </c>
      <c r="S2247">
        <f>SUMIF($F$2242:$F$2246,"&lt;&gt;EV_*",$S$2242:$S$2246)</f>
        <v>0</v>
      </c>
      <c r="T2247">
        <v>0</v>
      </c>
      <c r="U2247">
        <f>SUMIF($F$2242:$F$2246,"&lt;&gt;EV_*",$U$2242:$U$2246)</f>
        <v>0</v>
      </c>
      <c r="V2247">
        <f>SUMIF($F$2242:$F$2246,"&lt;&gt;EV_*",$V$2242:$V$2246)</f>
        <v>0</v>
      </c>
      <c r="W2247">
        <f>SUMIF($F$2242:$F$2246,"&lt;&gt;EV_*",$W$2242:$W$2246)</f>
        <v>0</v>
      </c>
      <c r="X2247">
        <f>SUMIF($F$2242:$F$2246,"&lt;&gt;EV_*",$X$2242:$X$2246)</f>
        <v>0</v>
      </c>
    </row>
    <row r="2248" spans="1:24" x14ac:dyDescent="0.25">
      <c r="A2248" t="s">
        <v>1965</v>
      </c>
      <c r="B2248" t="s">
        <v>2050</v>
      </c>
      <c r="C2248" t="s">
        <v>2116</v>
      </c>
      <c r="D2248" t="s">
        <v>242</v>
      </c>
      <c r="E2248" t="s">
        <v>5</v>
      </c>
      <c r="F2248" t="s">
        <v>5</v>
      </c>
      <c r="G2248" t="s">
        <v>908</v>
      </c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</row>
    <row r="2249" spans="1:24" x14ac:dyDescent="0.25">
      <c r="A2249" t="s">
        <v>1965</v>
      </c>
      <c r="B2249" t="s">
        <v>2050</v>
      </c>
      <c r="C2249" t="s">
        <v>2116</v>
      </c>
      <c r="D2249" t="s">
        <v>242</v>
      </c>
      <c r="E2249" t="s">
        <v>34</v>
      </c>
      <c r="F2249" t="s">
        <v>1</v>
      </c>
      <c r="G2249" t="s">
        <v>909</v>
      </c>
      <c r="H2249" t="s">
        <v>434</v>
      </c>
      <c r="I2249" t="s">
        <v>1</v>
      </c>
      <c r="J2249"/>
      <c r="K2249">
        <v>98.123836830000002</v>
      </c>
      <c r="L2249">
        <v>0</v>
      </c>
      <c r="M2249">
        <v>0</v>
      </c>
      <c r="N2249">
        <v>0</v>
      </c>
      <c r="O2249"/>
      <c r="P2249">
        <v>0</v>
      </c>
      <c r="Q2249">
        <f>O2249+P2249</f>
        <v>0</v>
      </c>
      <c r="R2249">
        <v>0</v>
      </c>
      <c r="S2249">
        <f>IF(OR(LEFT(E2249,2)="A_",LEFT(D2249,5)="Total"),R2249-Q2249,"")</f>
        <v>0</v>
      </c>
      <c r="T2249"/>
      <c r="U2249">
        <f>IFERROR(R2249*T2249,R2249*0)</f>
        <v>0</v>
      </c>
      <c r="V2249">
        <f>IF(OR(LEFT(E2249,2)="A_",LEFT(D2249,5)="Total"),R2249+U2249,"")</f>
        <v>0</v>
      </c>
      <c r="W2249">
        <f>IF(OR(LEFT(E2249,2)="A_",LEFT(D2249,5)="Total"),V2249-Q2249,"")</f>
        <v>0</v>
      </c>
      <c r="X2249">
        <v>0</v>
      </c>
    </row>
    <row r="2250" spans="1:24" x14ac:dyDescent="0.25">
      <c r="A2250" t="s">
        <v>1965</v>
      </c>
      <c r="B2250" t="s">
        <v>2050</v>
      </c>
      <c r="C2250" t="s">
        <v>2116</v>
      </c>
      <c r="D2250" t="s">
        <v>242</v>
      </c>
      <c r="E2250" t="s">
        <v>51</v>
      </c>
      <c r="F2250" t="s">
        <v>51</v>
      </c>
      <c r="G2250" t="s">
        <v>910</v>
      </c>
      <c r="H2250"/>
      <c r="I2250"/>
      <c r="J2250">
        <v>0</v>
      </c>
      <c r="K2250">
        <v>98.123836830000002</v>
      </c>
      <c r="L2250">
        <v>0</v>
      </c>
      <c r="M2250">
        <v>0</v>
      </c>
      <c r="N2250">
        <v>0</v>
      </c>
      <c r="O2250">
        <v>0</v>
      </c>
      <c r="P2250">
        <f>SUMIF($F$2248:$F$2249,"&lt;&gt;EV_*",$P$2248:$P$2249)</f>
        <v>0</v>
      </c>
      <c r="Q2250">
        <f>SUMIF($F$2248:$F$2249,"&lt;&gt;EV_*",$Q$2248:$Q$2249)</f>
        <v>0</v>
      </c>
      <c r="R2250">
        <f>SUMIF($F$2248:$F$2249,"&lt;&gt;EV_*",$R$2248:$R$2249)</f>
        <v>0</v>
      </c>
      <c r="S2250">
        <f>SUMIF($F$2248:$F$2249,"&lt;&gt;EV_*",$S$2248:$S$2249)</f>
        <v>0</v>
      </c>
      <c r="T2250">
        <v>0</v>
      </c>
      <c r="U2250">
        <f>SUMIF($F$2248:$F$2249,"&lt;&gt;EV_*",$U$2248:$U$2249)</f>
        <v>0</v>
      </c>
      <c r="V2250">
        <f>SUMIF($F$2248:$F$2249,"&lt;&gt;EV_*",$V$2248:$V$2249)</f>
        <v>0</v>
      </c>
      <c r="W2250">
        <f>SUMIF($F$2248:$F$2249,"&lt;&gt;EV_*",$W$2248:$W$2249)</f>
        <v>0</v>
      </c>
      <c r="X2250">
        <f>SUMIF($F$2248:$F$2249,"&lt;&gt;EV_*",$X$2248:$X$2249)</f>
        <v>0</v>
      </c>
    </row>
    <row r="2251" spans="1:24" x14ac:dyDescent="0.25">
      <c r="A2251" t="s">
        <v>1965</v>
      </c>
      <c r="B2251" t="s">
        <v>2050</v>
      </c>
      <c r="C2251" t="s">
        <v>2117</v>
      </c>
      <c r="D2251" t="s">
        <v>243</v>
      </c>
      <c r="E2251" t="s">
        <v>5</v>
      </c>
      <c r="F2251" t="s">
        <v>5</v>
      </c>
      <c r="G2251" t="s">
        <v>911</v>
      </c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</row>
    <row r="2252" spans="1:24" x14ac:dyDescent="0.25">
      <c r="A2252" t="s">
        <v>1965</v>
      </c>
      <c r="B2252" t="s">
        <v>2050</v>
      </c>
      <c r="C2252" t="s">
        <v>2117</v>
      </c>
      <c r="D2252" t="s">
        <v>243</v>
      </c>
      <c r="E2252" t="s">
        <v>13</v>
      </c>
      <c r="F2252" t="s">
        <v>1</v>
      </c>
      <c r="G2252" t="s">
        <v>912</v>
      </c>
      <c r="H2252" t="s">
        <v>413</v>
      </c>
      <c r="I2252" t="s">
        <v>1</v>
      </c>
      <c r="J2252">
        <v>163.93</v>
      </c>
      <c r="K2252"/>
      <c r="L2252">
        <v>105.09</v>
      </c>
      <c r="M2252">
        <v>211.92182320441989</v>
      </c>
      <c r="N2252">
        <v>269.02</v>
      </c>
      <c r="O2252">
        <v>210.18</v>
      </c>
      <c r="P2252">
        <v>0</v>
      </c>
      <c r="Q2252">
        <f>O2252+P2252</f>
        <v>210.18</v>
      </c>
      <c r="R2252">
        <v>0</v>
      </c>
      <c r="S2252">
        <f>IF(OR(LEFT(E2252,2)="A_",LEFT(D2252,5)="Total"),R2252-Q2252,"")</f>
        <v>-210.18</v>
      </c>
      <c r="T2252"/>
      <c r="U2252">
        <f>IFERROR(R2252*T2252,R2252*0)</f>
        <v>0</v>
      </c>
      <c r="V2252">
        <f>IF(OR(LEFT(E2252,2)="A_",LEFT(D2252,5)="Total"),R2252+U2252,"")</f>
        <v>0</v>
      </c>
      <c r="W2252">
        <f>IF(OR(LEFT(E2252,2)="A_",LEFT(D2252,5)="Total"),V2252-Q2252,"")</f>
        <v>-210.18</v>
      </c>
      <c r="X2252">
        <v>0</v>
      </c>
    </row>
    <row r="2253" spans="1:24" x14ac:dyDescent="0.25">
      <c r="A2253" t="s">
        <v>1965</v>
      </c>
      <c r="B2253" t="s">
        <v>2050</v>
      </c>
      <c r="C2253" t="s">
        <v>2117</v>
      </c>
      <c r="D2253" t="s">
        <v>243</v>
      </c>
      <c r="E2253" t="s">
        <v>42</v>
      </c>
      <c r="F2253" t="s">
        <v>1</v>
      </c>
      <c r="G2253" t="s">
        <v>912</v>
      </c>
      <c r="H2253" t="s">
        <v>442</v>
      </c>
      <c r="I2253" t="s">
        <v>1</v>
      </c>
      <c r="J2253">
        <v>33.229999999999997</v>
      </c>
      <c r="K2253"/>
      <c r="L2253">
        <v>11.65</v>
      </c>
      <c r="M2253">
        <v>23.493093922651937</v>
      </c>
      <c r="N2253">
        <v>44.879999999999995</v>
      </c>
      <c r="O2253">
        <v>23.3</v>
      </c>
      <c r="P2253">
        <v>0</v>
      </c>
      <c r="Q2253">
        <f>O2253+P2253</f>
        <v>23.3</v>
      </c>
      <c r="R2253">
        <v>0</v>
      </c>
      <c r="S2253">
        <f>IF(OR(LEFT(E2253,2)="A_",LEFT(D2253,5)="Total"),R2253-Q2253,"")</f>
        <v>-23.3</v>
      </c>
      <c r="T2253">
        <v>0.03</v>
      </c>
      <c r="U2253">
        <f>IFERROR(R2253*T2253,R2253*0)</f>
        <v>0</v>
      </c>
      <c r="V2253">
        <f>IF(OR(LEFT(E2253,2)="A_",LEFT(D2253,5)="Total"),R2253+U2253,"")</f>
        <v>0</v>
      </c>
      <c r="W2253">
        <f>IF(OR(LEFT(E2253,2)="A_",LEFT(D2253,5)="Total"),V2253-Q2253,"")</f>
        <v>-23.3</v>
      </c>
      <c r="X2253">
        <v>0</v>
      </c>
    </row>
    <row r="2254" spans="1:24" x14ac:dyDescent="0.25">
      <c r="A2254" t="s">
        <v>1965</v>
      </c>
      <c r="B2254" t="s">
        <v>2050</v>
      </c>
      <c r="C2254" t="s">
        <v>2117</v>
      </c>
      <c r="D2254" t="s">
        <v>243</v>
      </c>
      <c r="E2254" t="s">
        <v>47</v>
      </c>
      <c r="F2254" t="s">
        <v>1</v>
      </c>
      <c r="G2254" t="s">
        <v>912</v>
      </c>
      <c r="H2254" t="s">
        <v>447</v>
      </c>
      <c r="I2254" t="s">
        <v>1</v>
      </c>
      <c r="J2254">
        <v>935</v>
      </c>
      <c r="K2254"/>
      <c r="L2254">
        <v>0</v>
      </c>
      <c r="M2254">
        <v>0</v>
      </c>
      <c r="N2254">
        <v>935</v>
      </c>
      <c r="O2254"/>
      <c r="P2254">
        <v>0</v>
      </c>
      <c r="Q2254">
        <f>O2254+P2254</f>
        <v>0</v>
      </c>
      <c r="R2254">
        <v>0</v>
      </c>
      <c r="S2254">
        <f>IF(OR(LEFT(E2254,2)="A_",LEFT(D2254,5)="Total"),R2254-Q2254,"")</f>
        <v>0</v>
      </c>
      <c r="T2254">
        <v>0.03</v>
      </c>
      <c r="U2254">
        <f>IFERROR(R2254*T2254,R2254*0)</f>
        <v>0</v>
      </c>
      <c r="V2254">
        <f>IF(OR(LEFT(E2254,2)="A_",LEFT(D2254,5)="Total"),R2254+U2254,"")</f>
        <v>0</v>
      </c>
      <c r="W2254">
        <f>IF(OR(LEFT(E2254,2)="A_",LEFT(D2254,5)="Total"),V2254-Q2254,"")</f>
        <v>0</v>
      </c>
      <c r="X2254">
        <v>0</v>
      </c>
    </row>
    <row r="2255" spans="1:24" x14ac:dyDescent="0.25">
      <c r="A2255" t="s">
        <v>1965</v>
      </c>
      <c r="B2255" t="s">
        <v>2050</v>
      </c>
      <c r="C2255" t="s">
        <v>2117</v>
      </c>
      <c r="D2255" t="s">
        <v>243</v>
      </c>
      <c r="E2255" t="s">
        <v>51</v>
      </c>
      <c r="F2255" t="s">
        <v>51</v>
      </c>
      <c r="G2255" t="s">
        <v>913</v>
      </c>
      <c r="H2255"/>
      <c r="I2255"/>
      <c r="J2255">
        <v>1132.1600000000001</v>
      </c>
      <c r="K2255">
        <v>0</v>
      </c>
      <c r="L2255">
        <v>116.74000000000001</v>
      </c>
      <c r="M2255">
        <v>235.41491712707182</v>
      </c>
      <c r="N2255">
        <v>1248.9000000000001</v>
      </c>
      <c r="O2255">
        <v>233.48000000000002</v>
      </c>
      <c r="P2255">
        <f>SUMIF($F$2251:$F$2254,"&lt;&gt;EV_*",$P$2251:$P$2254)</f>
        <v>0</v>
      </c>
      <c r="Q2255">
        <f>SUMIF($F$2251:$F$2254,"&lt;&gt;EV_*",$Q$2251:$Q$2254)</f>
        <v>233.48000000000002</v>
      </c>
      <c r="R2255">
        <f>SUMIF($F$2251:$F$2254,"&lt;&gt;EV_*",$R$2251:$R$2254)</f>
        <v>0</v>
      </c>
      <c r="S2255">
        <f>SUMIF($F$2251:$F$2254,"&lt;&gt;EV_*",$S$2251:$S$2254)</f>
        <v>-233.48000000000002</v>
      </c>
      <c r="T2255">
        <v>0</v>
      </c>
      <c r="U2255">
        <f>SUMIF($F$2251:$F$2254,"&lt;&gt;EV_*",$U$2251:$U$2254)</f>
        <v>0</v>
      </c>
      <c r="V2255">
        <f>SUMIF($F$2251:$F$2254,"&lt;&gt;EV_*",$V$2251:$V$2254)</f>
        <v>0</v>
      </c>
      <c r="W2255">
        <f>SUMIF($F$2251:$F$2254,"&lt;&gt;EV_*",$W$2251:$W$2254)</f>
        <v>-233.48000000000002</v>
      </c>
      <c r="X2255">
        <f>SUMIF($F$2251:$F$2254,"&lt;&gt;EV_*",$X$2251:$X$2254)</f>
        <v>0</v>
      </c>
    </row>
    <row r="2256" spans="1:24" x14ac:dyDescent="0.25">
      <c r="A2256" t="s">
        <v>1965</v>
      </c>
      <c r="B2256" t="s">
        <v>2050</v>
      </c>
      <c r="C2256" t="s">
        <v>2118</v>
      </c>
      <c r="D2256" t="s">
        <v>244</v>
      </c>
      <c r="E2256" t="s">
        <v>5</v>
      </c>
      <c r="F2256" t="s">
        <v>5</v>
      </c>
      <c r="G2256" t="s">
        <v>914</v>
      </c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</row>
    <row r="2257" spans="1:24" x14ac:dyDescent="0.25">
      <c r="A2257" t="s">
        <v>1965</v>
      </c>
      <c r="B2257" t="s">
        <v>2050</v>
      </c>
      <c r="C2257" t="s">
        <v>2118</v>
      </c>
      <c r="D2257" t="s">
        <v>244</v>
      </c>
      <c r="E2257" t="s">
        <v>205</v>
      </c>
      <c r="F2257" t="s">
        <v>1</v>
      </c>
      <c r="G2257" t="s">
        <v>915</v>
      </c>
      <c r="H2257" t="s">
        <v>804</v>
      </c>
      <c r="I2257" t="s">
        <v>1</v>
      </c>
      <c r="J2257">
        <v>5901</v>
      </c>
      <c r="K2257"/>
      <c r="L2257">
        <v>4017</v>
      </c>
      <c r="M2257">
        <v>8100.5801104972379</v>
      </c>
      <c r="N2257">
        <v>9918</v>
      </c>
      <c r="O2257">
        <v>8100.5801104971997</v>
      </c>
      <c r="P2257">
        <v>0</v>
      </c>
      <c r="Q2257">
        <f>O2257+P2257</f>
        <v>8100.5801104971997</v>
      </c>
      <c r="R2257">
        <v>0</v>
      </c>
      <c r="S2257">
        <f>IF(OR(LEFT(E2257,2)="A_",LEFT(D2257,5)="Total"),R2257-Q2257,"")</f>
        <v>-8100.5801104971997</v>
      </c>
      <c r="T2257">
        <v>2.2499999999999999E-2</v>
      </c>
      <c r="U2257">
        <f>IFERROR(R2257*T2257,R2257*0)</f>
        <v>0</v>
      </c>
      <c r="V2257">
        <f>IF(OR(LEFT(E2257,2)="A_",LEFT(D2257,5)="Total"),R2257+U2257,"")</f>
        <v>0</v>
      </c>
      <c r="W2257">
        <f>IF(OR(LEFT(E2257,2)="A_",LEFT(D2257,5)="Total"),V2257-Q2257,"")</f>
        <v>-8100.5801104971997</v>
      </c>
      <c r="X2257">
        <v>0</v>
      </c>
    </row>
    <row r="2258" spans="1:24" x14ac:dyDescent="0.25">
      <c r="A2258" t="s">
        <v>1965</v>
      </c>
      <c r="B2258" t="s">
        <v>2050</v>
      </c>
      <c r="C2258" t="s">
        <v>2118</v>
      </c>
      <c r="D2258" t="s">
        <v>244</v>
      </c>
      <c r="E2258" t="s">
        <v>51</v>
      </c>
      <c r="F2258" t="s">
        <v>51</v>
      </c>
      <c r="G2258" t="s">
        <v>916</v>
      </c>
      <c r="H2258"/>
      <c r="I2258"/>
      <c r="J2258">
        <v>5901</v>
      </c>
      <c r="K2258">
        <v>0</v>
      </c>
      <c r="L2258">
        <v>4017</v>
      </c>
      <c r="M2258">
        <v>8100.5801104972379</v>
      </c>
      <c r="N2258">
        <v>9918</v>
      </c>
      <c r="O2258">
        <v>8100.5801104971997</v>
      </c>
      <c r="P2258">
        <f>SUMIF($F$2256:$F$2257,"&lt;&gt;EV_*",$P$2256:$P$2257)</f>
        <v>0</v>
      </c>
      <c r="Q2258">
        <f>SUMIF($F$2256:$F$2257,"&lt;&gt;EV_*",$Q$2256:$Q$2257)</f>
        <v>8100.5801104971997</v>
      </c>
      <c r="R2258">
        <f>SUMIF($F$2256:$F$2257,"&lt;&gt;EV_*",$R$2256:$R$2257)</f>
        <v>0</v>
      </c>
      <c r="S2258">
        <f>SUMIF($F$2256:$F$2257,"&lt;&gt;EV_*",$S$2256:$S$2257)</f>
        <v>-8100.5801104971997</v>
      </c>
      <c r="T2258">
        <v>0</v>
      </c>
      <c r="U2258">
        <f>SUMIF($F$2256:$F$2257,"&lt;&gt;EV_*",$U$2256:$U$2257)</f>
        <v>0</v>
      </c>
      <c r="V2258">
        <f>SUMIF($F$2256:$F$2257,"&lt;&gt;EV_*",$V$2256:$V$2257)</f>
        <v>0</v>
      </c>
      <c r="W2258">
        <f>SUMIF($F$2256:$F$2257,"&lt;&gt;EV_*",$W$2256:$W$2257)</f>
        <v>-8100.5801104971997</v>
      </c>
      <c r="X2258">
        <f>SUMIF($F$2256:$F$2257,"&lt;&gt;EV_*",$X$2256:$X$2257)</f>
        <v>0</v>
      </c>
    </row>
    <row r="2259" spans="1:24" x14ac:dyDescent="0.25">
      <c r="A2259" t="s">
        <v>1965</v>
      </c>
      <c r="B2259" t="s">
        <v>2050</v>
      </c>
      <c r="C2259" t="s">
        <v>2119</v>
      </c>
      <c r="D2259" t="s">
        <v>245</v>
      </c>
      <c r="E2259" t="s">
        <v>5</v>
      </c>
      <c r="F2259" t="s">
        <v>5</v>
      </c>
      <c r="G2259" t="s">
        <v>917</v>
      </c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</row>
    <row r="2260" spans="1:24" x14ac:dyDescent="0.25">
      <c r="A2260" t="s">
        <v>1965</v>
      </c>
      <c r="B2260" t="s">
        <v>2050</v>
      </c>
      <c r="C2260" t="s">
        <v>2119</v>
      </c>
      <c r="D2260" t="s">
        <v>245</v>
      </c>
      <c r="E2260" t="s">
        <v>35</v>
      </c>
      <c r="F2260" t="s">
        <v>1</v>
      </c>
      <c r="G2260" t="s">
        <v>918</v>
      </c>
      <c r="H2260" t="s">
        <v>435</v>
      </c>
      <c r="I2260" t="s">
        <v>1</v>
      </c>
      <c r="J2260">
        <v>20.5</v>
      </c>
      <c r="K2260">
        <v>20.0000000004</v>
      </c>
      <c r="L2260">
        <v>0</v>
      </c>
      <c r="M2260">
        <v>0</v>
      </c>
      <c r="N2260">
        <v>0</v>
      </c>
      <c r="O2260"/>
      <c r="P2260">
        <v>0</v>
      </c>
      <c r="Q2260">
        <f>O2260+P2260</f>
        <v>0</v>
      </c>
      <c r="R2260">
        <v>0</v>
      </c>
      <c r="S2260">
        <f>IF(OR(LEFT(E2260,2)="A_",LEFT(D2260,5)="Total"),R2260-Q2260,"")</f>
        <v>0</v>
      </c>
      <c r="T2260"/>
      <c r="U2260">
        <f>IFERROR(R2260*T2260,R2260*0)</f>
        <v>0</v>
      </c>
      <c r="V2260">
        <f>IF(OR(LEFT(E2260,2)="A_",LEFT(D2260,5)="Total"),R2260+U2260,"")</f>
        <v>0</v>
      </c>
      <c r="W2260">
        <f>IF(OR(LEFT(E2260,2)="A_",LEFT(D2260,5)="Total"),V2260-Q2260,"")</f>
        <v>0</v>
      </c>
      <c r="X2260">
        <v>0</v>
      </c>
    </row>
    <row r="2261" spans="1:24" x14ac:dyDescent="0.25">
      <c r="A2261" t="s">
        <v>1965</v>
      </c>
      <c r="B2261" t="s">
        <v>2050</v>
      </c>
      <c r="C2261" t="s">
        <v>2119</v>
      </c>
      <c r="D2261" t="s">
        <v>245</v>
      </c>
      <c r="E2261" t="s">
        <v>51</v>
      </c>
      <c r="F2261" t="s">
        <v>51</v>
      </c>
      <c r="G2261" t="s">
        <v>919</v>
      </c>
      <c r="H2261"/>
      <c r="I2261"/>
      <c r="J2261">
        <v>20.5</v>
      </c>
      <c r="K2261">
        <v>20.0000000004</v>
      </c>
      <c r="L2261">
        <v>0</v>
      </c>
      <c r="M2261">
        <v>0</v>
      </c>
      <c r="N2261">
        <v>0</v>
      </c>
      <c r="O2261">
        <v>0</v>
      </c>
      <c r="P2261">
        <f>SUMIF($F$2259:$F$2260,"&lt;&gt;EV_*",$P$2259:$P$2260)</f>
        <v>0</v>
      </c>
      <c r="Q2261">
        <f>SUMIF($F$2259:$F$2260,"&lt;&gt;EV_*",$Q$2259:$Q$2260)</f>
        <v>0</v>
      </c>
      <c r="R2261">
        <f>SUMIF($F$2259:$F$2260,"&lt;&gt;EV_*",$R$2259:$R$2260)</f>
        <v>0</v>
      </c>
      <c r="S2261">
        <f>SUMIF($F$2259:$F$2260,"&lt;&gt;EV_*",$S$2259:$S$2260)</f>
        <v>0</v>
      </c>
      <c r="T2261">
        <v>0</v>
      </c>
      <c r="U2261">
        <f>SUMIF($F$2259:$F$2260,"&lt;&gt;EV_*",$U$2259:$U$2260)</f>
        <v>0</v>
      </c>
      <c r="V2261">
        <f>SUMIF($F$2259:$F$2260,"&lt;&gt;EV_*",$V$2259:$V$2260)</f>
        <v>0</v>
      </c>
      <c r="W2261">
        <f>SUMIF($F$2259:$F$2260,"&lt;&gt;EV_*",$W$2259:$W$2260)</f>
        <v>0</v>
      </c>
      <c r="X2261">
        <f>SUMIF($F$2259:$F$2260,"&lt;&gt;EV_*",$X$2259:$X$2260)</f>
        <v>0</v>
      </c>
    </row>
    <row r="2262" spans="1:24" x14ac:dyDescent="0.25">
      <c r="A2262" t="s">
        <v>1965</v>
      </c>
      <c r="B2262" t="s">
        <v>2050</v>
      </c>
      <c r="C2262" t="s">
        <v>2120</v>
      </c>
      <c r="D2262" t="s">
        <v>246</v>
      </c>
      <c r="E2262" t="s">
        <v>5</v>
      </c>
      <c r="F2262" t="s">
        <v>5</v>
      </c>
      <c r="G2262" t="s">
        <v>920</v>
      </c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</row>
    <row r="2263" spans="1:24" x14ac:dyDescent="0.25">
      <c r="A2263" t="s">
        <v>1965</v>
      </c>
      <c r="B2263" t="s">
        <v>2050</v>
      </c>
      <c r="C2263" t="s">
        <v>2120</v>
      </c>
      <c r="D2263" t="s">
        <v>246</v>
      </c>
      <c r="E2263" t="s">
        <v>24</v>
      </c>
      <c r="F2263" t="s">
        <v>1</v>
      </c>
      <c r="G2263" t="s">
        <v>921</v>
      </c>
      <c r="H2263" t="s">
        <v>424</v>
      </c>
      <c r="I2263" t="s">
        <v>1</v>
      </c>
      <c r="J2263"/>
      <c r="K2263">
        <v>3609.9999999995998</v>
      </c>
      <c r="L2263">
        <v>0</v>
      </c>
      <c r="M2263">
        <v>0</v>
      </c>
      <c r="N2263">
        <v>0</v>
      </c>
      <c r="O2263"/>
      <c r="P2263">
        <v>0</v>
      </c>
      <c r="Q2263">
        <f>O2263+P2263</f>
        <v>0</v>
      </c>
      <c r="R2263">
        <v>0</v>
      </c>
      <c r="S2263">
        <f>IF(OR(LEFT(E2263,2)="A_",LEFT(D2263,5)="Total"),R2263-Q2263,"")</f>
        <v>0</v>
      </c>
      <c r="T2263"/>
      <c r="U2263">
        <f>IFERROR(R2263*T2263,R2263*0)</f>
        <v>0</v>
      </c>
      <c r="V2263">
        <f>IF(OR(LEFT(E2263,2)="A_",LEFT(D2263,5)="Total"),R2263+U2263,"")</f>
        <v>0</v>
      </c>
      <c r="W2263">
        <f>IF(OR(LEFT(E2263,2)="A_",LEFT(D2263,5)="Total"),V2263-Q2263,"")</f>
        <v>0</v>
      </c>
      <c r="X2263">
        <v>0</v>
      </c>
    </row>
    <row r="2264" spans="1:24" x14ac:dyDescent="0.25">
      <c r="A2264" t="s">
        <v>1965</v>
      </c>
      <c r="B2264" t="s">
        <v>2050</v>
      </c>
      <c r="C2264" t="s">
        <v>2120</v>
      </c>
      <c r="D2264" t="s">
        <v>246</v>
      </c>
      <c r="E2264" t="s">
        <v>51</v>
      </c>
      <c r="F2264" t="s">
        <v>51</v>
      </c>
      <c r="G2264" t="s">
        <v>922</v>
      </c>
      <c r="H2264"/>
      <c r="I2264"/>
      <c r="J2264">
        <v>0</v>
      </c>
      <c r="K2264">
        <v>3609.9999999995998</v>
      </c>
      <c r="L2264">
        <v>0</v>
      </c>
      <c r="M2264">
        <v>0</v>
      </c>
      <c r="N2264">
        <v>0</v>
      </c>
      <c r="O2264">
        <v>0</v>
      </c>
      <c r="P2264">
        <f>SUMIF($F$2262:$F$2263,"&lt;&gt;EV_*",$P$2262:$P$2263)</f>
        <v>0</v>
      </c>
      <c r="Q2264">
        <f>SUMIF($F$2262:$F$2263,"&lt;&gt;EV_*",$Q$2262:$Q$2263)</f>
        <v>0</v>
      </c>
      <c r="R2264">
        <f>SUMIF($F$2262:$F$2263,"&lt;&gt;EV_*",$R$2262:$R$2263)</f>
        <v>0</v>
      </c>
      <c r="S2264">
        <f>SUMIF($F$2262:$F$2263,"&lt;&gt;EV_*",$S$2262:$S$2263)</f>
        <v>0</v>
      </c>
      <c r="T2264">
        <v>0</v>
      </c>
      <c r="U2264">
        <f>SUMIF($F$2262:$F$2263,"&lt;&gt;EV_*",$U$2262:$U$2263)</f>
        <v>0</v>
      </c>
      <c r="V2264">
        <f>SUMIF($F$2262:$F$2263,"&lt;&gt;EV_*",$V$2262:$V$2263)</f>
        <v>0</v>
      </c>
      <c r="W2264">
        <f>SUMIF($F$2262:$F$2263,"&lt;&gt;EV_*",$W$2262:$W$2263)</f>
        <v>0</v>
      </c>
      <c r="X2264">
        <f>SUMIF($F$2262:$F$2263,"&lt;&gt;EV_*",$X$2262:$X$2263)</f>
        <v>0</v>
      </c>
    </row>
    <row r="2265" spans="1:24" x14ac:dyDescent="0.25">
      <c r="A2265" t="s">
        <v>1965</v>
      </c>
      <c r="B2265" t="s">
        <v>2050</v>
      </c>
      <c r="C2265" t="s">
        <v>2121</v>
      </c>
      <c r="D2265" t="s">
        <v>247</v>
      </c>
      <c r="E2265" t="s">
        <v>5</v>
      </c>
      <c r="F2265" t="s">
        <v>5</v>
      </c>
      <c r="G2265" t="s">
        <v>923</v>
      </c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</row>
    <row r="2266" spans="1:24" x14ac:dyDescent="0.25">
      <c r="A2266" t="s">
        <v>1965</v>
      </c>
      <c r="B2266" t="s">
        <v>2050</v>
      </c>
      <c r="C2266" t="s">
        <v>2121</v>
      </c>
      <c r="D2266" t="s">
        <v>247</v>
      </c>
      <c r="E2266" t="s">
        <v>47</v>
      </c>
      <c r="F2266" t="s">
        <v>1</v>
      </c>
      <c r="G2266" t="s">
        <v>924</v>
      </c>
      <c r="H2266" t="s">
        <v>447</v>
      </c>
      <c r="I2266" t="s">
        <v>1</v>
      </c>
      <c r="J2266"/>
      <c r="K2266">
        <v>1500</v>
      </c>
      <c r="L2266">
        <v>0</v>
      </c>
      <c r="M2266">
        <v>0</v>
      </c>
      <c r="N2266">
        <v>0</v>
      </c>
      <c r="O2266"/>
      <c r="P2266">
        <v>0</v>
      </c>
      <c r="Q2266">
        <f>O2266+P2266</f>
        <v>0</v>
      </c>
      <c r="R2266">
        <v>0</v>
      </c>
      <c r="S2266">
        <f>IF(OR(LEFT(E2266,2)="A_",LEFT(D2266,5)="Total"),R2266-Q2266,"")</f>
        <v>0</v>
      </c>
      <c r="T2266">
        <v>0.03</v>
      </c>
      <c r="U2266">
        <f>IFERROR(R2266*T2266,R2266*0)</f>
        <v>0</v>
      </c>
      <c r="V2266">
        <f>IF(OR(LEFT(E2266,2)="A_",LEFT(D2266,5)="Total"),R2266+U2266,"")</f>
        <v>0</v>
      </c>
      <c r="W2266">
        <f>IF(OR(LEFT(E2266,2)="A_",LEFT(D2266,5)="Total"),V2266-Q2266,"")</f>
        <v>0</v>
      </c>
      <c r="X2266">
        <v>0</v>
      </c>
    </row>
    <row r="2267" spans="1:24" x14ac:dyDescent="0.25">
      <c r="A2267" t="s">
        <v>1965</v>
      </c>
      <c r="B2267" t="s">
        <v>2050</v>
      </c>
      <c r="C2267" t="s">
        <v>2121</v>
      </c>
      <c r="D2267" t="s">
        <v>247</v>
      </c>
      <c r="E2267" t="s">
        <v>51</v>
      </c>
      <c r="F2267" t="s">
        <v>51</v>
      </c>
      <c r="G2267" t="s">
        <v>925</v>
      </c>
      <c r="H2267"/>
      <c r="I2267"/>
      <c r="J2267">
        <v>0</v>
      </c>
      <c r="K2267">
        <v>1500</v>
      </c>
      <c r="L2267">
        <v>0</v>
      </c>
      <c r="M2267">
        <v>0</v>
      </c>
      <c r="N2267">
        <v>0</v>
      </c>
      <c r="O2267">
        <v>0</v>
      </c>
      <c r="P2267">
        <f>SUMIF($F$2265:$F$2266,"&lt;&gt;EV_*",$P$2265:$P$2266)</f>
        <v>0</v>
      </c>
      <c r="Q2267">
        <f>SUMIF($F$2265:$F$2266,"&lt;&gt;EV_*",$Q$2265:$Q$2266)</f>
        <v>0</v>
      </c>
      <c r="R2267">
        <f>SUMIF($F$2265:$F$2266,"&lt;&gt;EV_*",$R$2265:$R$2266)</f>
        <v>0</v>
      </c>
      <c r="S2267">
        <f>SUMIF($F$2265:$F$2266,"&lt;&gt;EV_*",$S$2265:$S$2266)</f>
        <v>0</v>
      </c>
      <c r="T2267">
        <v>0</v>
      </c>
      <c r="U2267">
        <f>SUMIF($F$2265:$F$2266,"&lt;&gt;EV_*",$U$2265:$U$2266)</f>
        <v>0</v>
      </c>
      <c r="V2267">
        <f>SUMIF($F$2265:$F$2266,"&lt;&gt;EV_*",$V$2265:$V$2266)</f>
        <v>0</v>
      </c>
      <c r="W2267">
        <f>SUMIF($F$2265:$F$2266,"&lt;&gt;EV_*",$W$2265:$W$2266)</f>
        <v>0</v>
      </c>
      <c r="X2267">
        <f>SUMIF($F$2265:$F$2266,"&lt;&gt;EV_*",$X$2265:$X$2266)</f>
        <v>0</v>
      </c>
    </row>
    <row r="2268" spans="1:24" x14ac:dyDescent="0.25">
      <c r="A2268" t="s">
        <v>1965</v>
      </c>
      <c r="B2268" t="s">
        <v>2050</v>
      </c>
      <c r="C2268" t="s">
        <v>2122</v>
      </c>
      <c r="D2268" t="s">
        <v>248</v>
      </c>
      <c r="E2268" t="s">
        <v>5</v>
      </c>
      <c r="F2268" t="s">
        <v>5</v>
      </c>
      <c r="G2268" t="s">
        <v>926</v>
      </c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</row>
    <row r="2269" spans="1:24" x14ac:dyDescent="0.25">
      <c r="A2269" t="s">
        <v>1965</v>
      </c>
      <c r="B2269" t="s">
        <v>2050</v>
      </c>
      <c r="C2269" t="s">
        <v>2122</v>
      </c>
      <c r="D2269" t="s">
        <v>248</v>
      </c>
      <c r="E2269" t="s">
        <v>13</v>
      </c>
      <c r="F2269" t="s">
        <v>1</v>
      </c>
      <c r="G2269" t="s">
        <v>927</v>
      </c>
      <c r="H2269" t="s">
        <v>413</v>
      </c>
      <c r="I2269" t="s">
        <v>1</v>
      </c>
      <c r="J2269">
        <v>163.93</v>
      </c>
      <c r="K2269"/>
      <c r="L2269">
        <v>-36.43</v>
      </c>
      <c r="M2269">
        <v>-73.463812154696129</v>
      </c>
      <c r="N2269">
        <v>127.5</v>
      </c>
      <c r="O2269">
        <v>-72.86</v>
      </c>
      <c r="P2269">
        <v>0</v>
      </c>
      <c r="Q2269">
        <f>O2269+P2269</f>
        <v>-72.86</v>
      </c>
      <c r="R2269">
        <v>0</v>
      </c>
      <c r="S2269">
        <f>IF(OR(LEFT(E2269,2)="A_",LEFT(D2269,5)="Total"),R2269-Q2269,"")</f>
        <v>72.86</v>
      </c>
      <c r="T2269"/>
      <c r="U2269">
        <f>IFERROR(R2269*T2269,R2269*0)</f>
        <v>0</v>
      </c>
      <c r="V2269">
        <f>IF(OR(LEFT(E2269,2)="A_",LEFT(D2269,5)="Total"),R2269+U2269,"")</f>
        <v>0</v>
      </c>
      <c r="W2269">
        <f>IF(OR(LEFT(E2269,2)="A_",LEFT(D2269,5)="Total"),V2269-Q2269,"")</f>
        <v>72.86</v>
      </c>
      <c r="X2269">
        <v>0</v>
      </c>
    </row>
    <row r="2270" spans="1:24" x14ac:dyDescent="0.25">
      <c r="A2270" t="s">
        <v>1965</v>
      </c>
      <c r="B2270" t="s">
        <v>2050</v>
      </c>
      <c r="C2270" t="s">
        <v>2122</v>
      </c>
      <c r="D2270" t="s">
        <v>248</v>
      </c>
      <c r="E2270" t="s">
        <v>26</v>
      </c>
      <c r="F2270" t="s">
        <v>1</v>
      </c>
      <c r="G2270" t="s">
        <v>927</v>
      </c>
      <c r="H2270" t="s">
        <v>426</v>
      </c>
      <c r="I2270" t="s">
        <v>1</v>
      </c>
      <c r="J2270"/>
      <c r="K2270">
        <v>637.80493939200005</v>
      </c>
      <c r="L2270">
        <v>0</v>
      </c>
      <c r="M2270">
        <v>0</v>
      </c>
      <c r="N2270">
        <v>0</v>
      </c>
      <c r="O2270"/>
      <c r="P2270">
        <v>0</v>
      </c>
      <c r="Q2270">
        <f>O2270+P2270</f>
        <v>0</v>
      </c>
      <c r="R2270">
        <v>0</v>
      </c>
      <c r="S2270">
        <f>IF(OR(LEFT(E2270,2)="A_",LEFT(D2270,5)="Total"),R2270-Q2270,"")</f>
        <v>0</v>
      </c>
      <c r="T2270"/>
      <c r="U2270">
        <f>IFERROR(R2270*T2270,R2270*0)</f>
        <v>0</v>
      </c>
      <c r="V2270">
        <f>IF(OR(LEFT(E2270,2)="A_",LEFT(D2270,5)="Total"),R2270+U2270,"")</f>
        <v>0</v>
      </c>
      <c r="W2270">
        <f>IF(OR(LEFT(E2270,2)="A_",LEFT(D2270,5)="Total"),V2270-Q2270,"")</f>
        <v>0</v>
      </c>
      <c r="X2270">
        <v>0</v>
      </c>
    </row>
    <row r="2271" spans="1:24" x14ac:dyDescent="0.25">
      <c r="A2271" t="s">
        <v>1965</v>
      </c>
      <c r="B2271" t="s">
        <v>2050</v>
      </c>
      <c r="C2271" t="s">
        <v>2122</v>
      </c>
      <c r="D2271" t="s">
        <v>248</v>
      </c>
      <c r="E2271" t="s">
        <v>34</v>
      </c>
      <c r="F2271" t="s">
        <v>1</v>
      </c>
      <c r="G2271" t="s">
        <v>927</v>
      </c>
      <c r="H2271" t="s">
        <v>434</v>
      </c>
      <c r="I2271" t="s">
        <v>1</v>
      </c>
      <c r="J2271"/>
      <c r="K2271">
        <v>98.123836830000002</v>
      </c>
      <c r="L2271">
        <v>0</v>
      </c>
      <c r="M2271">
        <v>0</v>
      </c>
      <c r="N2271">
        <v>0</v>
      </c>
      <c r="O2271"/>
      <c r="P2271">
        <v>0</v>
      </c>
      <c r="Q2271">
        <f>O2271+P2271</f>
        <v>0</v>
      </c>
      <c r="R2271">
        <v>0</v>
      </c>
      <c r="S2271">
        <f>IF(OR(LEFT(E2271,2)="A_",LEFT(D2271,5)="Total"),R2271-Q2271,"")</f>
        <v>0</v>
      </c>
      <c r="T2271"/>
      <c r="U2271">
        <f>IFERROR(R2271*T2271,R2271*0)</f>
        <v>0</v>
      </c>
      <c r="V2271">
        <f>IF(OR(LEFT(E2271,2)="A_",LEFT(D2271,5)="Total"),R2271+U2271,"")</f>
        <v>0</v>
      </c>
      <c r="W2271">
        <f>IF(OR(LEFT(E2271,2)="A_",LEFT(D2271,5)="Total"),V2271-Q2271,"")</f>
        <v>0</v>
      </c>
      <c r="X2271">
        <v>0</v>
      </c>
    </row>
    <row r="2272" spans="1:24" x14ac:dyDescent="0.25">
      <c r="A2272" t="s">
        <v>1965</v>
      </c>
      <c r="B2272" t="s">
        <v>2050</v>
      </c>
      <c r="C2272" t="s">
        <v>2122</v>
      </c>
      <c r="D2272" t="s">
        <v>248</v>
      </c>
      <c r="E2272" t="s">
        <v>37</v>
      </c>
      <c r="F2272" t="s">
        <v>1</v>
      </c>
      <c r="G2272" t="s">
        <v>927</v>
      </c>
      <c r="H2272" t="s">
        <v>437</v>
      </c>
      <c r="I2272" t="s">
        <v>1</v>
      </c>
      <c r="J2272">
        <v>4750.59</v>
      </c>
      <c r="K2272"/>
      <c r="L2272">
        <v>1895.49</v>
      </c>
      <c r="M2272">
        <v>3822.3969613259669</v>
      </c>
      <c r="N2272">
        <v>1895.49</v>
      </c>
      <c r="O2272">
        <v>3790.98</v>
      </c>
      <c r="P2272">
        <v>0</v>
      </c>
      <c r="Q2272">
        <f>O2272+P2272</f>
        <v>3790.98</v>
      </c>
      <c r="R2272">
        <v>0</v>
      </c>
      <c r="S2272">
        <f>IF(OR(LEFT(E2272,2)="A_",LEFT(D2272,5)="Total"),R2272-Q2272,"")</f>
        <v>-3790.98</v>
      </c>
      <c r="T2272"/>
      <c r="U2272">
        <f>IFERROR(R2272*T2272,R2272*0)</f>
        <v>0</v>
      </c>
      <c r="V2272">
        <f>IF(OR(LEFT(E2272,2)="A_",LEFT(D2272,5)="Total"),R2272+U2272,"")</f>
        <v>0</v>
      </c>
      <c r="W2272">
        <f>IF(OR(LEFT(E2272,2)="A_",LEFT(D2272,5)="Total"),V2272-Q2272,"")</f>
        <v>-3790.98</v>
      </c>
      <c r="X2272">
        <v>0</v>
      </c>
    </row>
    <row r="2273" spans="1:24" x14ac:dyDescent="0.25">
      <c r="A2273" t="s">
        <v>1965</v>
      </c>
      <c r="B2273" t="s">
        <v>2050</v>
      </c>
      <c r="C2273" t="s">
        <v>2122</v>
      </c>
      <c r="D2273" t="s">
        <v>248</v>
      </c>
      <c r="E2273" t="s">
        <v>42</v>
      </c>
      <c r="F2273" t="s">
        <v>1</v>
      </c>
      <c r="G2273" t="s">
        <v>927</v>
      </c>
      <c r="H2273" t="s">
        <v>442</v>
      </c>
      <c r="I2273" t="s">
        <v>1</v>
      </c>
      <c r="J2273">
        <v>33.229999999999997</v>
      </c>
      <c r="K2273"/>
      <c r="L2273">
        <v>0</v>
      </c>
      <c r="M2273">
        <v>0</v>
      </c>
      <c r="N2273">
        <v>33.229999999999997</v>
      </c>
      <c r="O2273"/>
      <c r="P2273">
        <v>0</v>
      </c>
      <c r="Q2273">
        <f>O2273+P2273</f>
        <v>0</v>
      </c>
      <c r="R2273">
        <v>0</v>
      </c>
      <c r="S2273">
        <f>IF(OR(LEFT(E2273,2)="A_",LEFT(D2273,5)="Total"),R2273-Q2273,"")</f>
        <v>0</v>
      </c>
      <c r="T2273">
        <v>0.03</v>
      </c>
      <c r="U2273">
        <f>IFERROR(R2273*T2273,R2273*0)</f>
        <v>0</v>
      </c>
      <c r="V2273">
        <f>IF(OR(LEFT(E2273,2)="A_",LEFT(D2273,5)="Total"),R2273+U2273,"")</f>
        <v>0</v>
      </c>
      <c r="W2273">
        <f>IF(OR(LEFT(E2273,2)="A_",LEFT(D2273,5)="Total"),V2273-Q2273,"")</f>
        <v>0</v>
      </c>
      <c r="X2273">
        <v>0</v>
      </c>
    </row>
    <row r="2274" spans="1:24" x14ac:dyDescent="0.25">
      <c r="A2274" t="s">
        <v>1965</v>
      </c>
      <c r="B2274" t="s">
        <v>2050</v>
      </c>
      <c r="C2274" t="s">
        <v>2122</v>
      </c>
      <c r="D2274" t="s">
        <v>248</v>
      </c>
      <c r="E2274" t="s">
        <v>51</v>
      </c>
      <c r="F2274" t="s">
        <v>51</v>
      </c>
      <c r="G2274" t="s">
        <v>928</v>
      </c>
      <c r="H2274"/>
      <c r="I2274"/>
      <c r="J2274">
        <v>4947.75</v>
      </c>
      <c r="K2274">
        <v>735.92877622200001</v>
      </c>
      <c r="L2274">
        <v>1859.06</v>
      </c>
      <c r="M2274">
        <v>3748.933149171271</v>
      </c>
      <c r="N2274">
        <v>2056.2199999999998</v>
      </c>
      <c r="O2274">
        <v>3718.12</v>
      </c>
      <c r="P2274">
        <f>SUMIF($F$2268:$F$2273,"&lt;&gt;EV_*",$P$2268:$P$2273)</f>
        <v>0</v>
      </c>
      <c r="Q2274">
        <f>SUMIF($F$2268:$F$2273,"&lt;&gt;EV_*",$Q$2268:$Q$2273)</f>
        <v>3718.12</v>
      </c>
      <c r="R2274">
        <f>SUMIF($F$2268:$F$2273,"&lt;&gt;EV_*",$R$2268:$R$2273)</f>
        <v>0</v>
      </c>
      <c r="S2274">
        <f>SUMIF($F$2268:$F$2273,"&lt;&gt;EV_*",$S$2268:$S$2273)</f>
        <v>-3718.12</v>
      </c>
      <c r="T2274">
        <v>0</v>
      </c>
      <c r="U2274">
        <f>SUMIF($F$2268:$F$2273,"&lt;&gt;EV_*",$U$2268:$U$2273)</f>
        <v>0</v>
      </c>
      <c r="V2274">
        <f>SUMIF($F$2268:$F$2273,"&lt;&gt;EV_*",$V$2268:$V$2273)</f>
        <v>0</v>
      </c>
      <c r="W2274">
        <f>SUMIF($F$2268:$F$2273,"&lt;&gt;EV_*",$W$2268:$W$2273)</f>
        <v>-3718.12</v>
      </c>
      <c r="X2274">
        <f>SUMIF($F$2268:$F$2273,"&lt;&gt;EV_*",$X$2268:$X$2273)</f>
        <v>0</v>
      </c>
    </row>
    <row r="2275" spans="1:24" x14ac:dyDescent="0.25">
      <c r="A2275" t="s">
        <v>1965</v>
      </c>
      <c r="B2275" t="s">
        <v>2050</v>
      </c>
      <c r="C2275" t="s">
        <v>2123</v>
      </c>
      <c r="D2275" t="s">
        <v>249</v>
      </c>
      <c r="E2275" t="s">
        <v>5</v>
      </c>
      <c r="F2275" t="s">
        <v>5</v>
      </c>
      <c r="G2275" t="s">
        <v>929</v>
      </c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</row>
    <row r="2276" spans="1:24" x14ac:dyDescent="0.25">
      <c r="A2276" t="s">
        <v>1965</v>
      </c>
      <c r="B2276" t="s">
        <v>2050</v>
      </c>
      <c r="C2276" t="s">
        <v>2123</v>
      </c>
      <c r="D2276" t="s">
        <v>249</v>
      </c>
      <c r="E2276" t="s">
        <v>23</v>
      </c>
      <c r="F2276" t="s">
        <v>1</v>
      </c>
      <c r="G2276" t="s">
        <v>930</v>
      </c>
      <c r="H2276" t="s">
        <v>423</v>
      </c>
      <c r="I2276" t="s">
        <v>1</v>
      </c>
      <c r="J2276">
        <v>93.71</v>
      </c>
      <c r="K2276">
        <v>196.64999999989999</v>
      </c>
      <c r="L2276">
        <v>0</v>
      </c>
      <c r="M2276">
        <v>0</v>
      </c>
      <c r="N2276">
        <v>0</v>
      </c>
      <c r="O2276"/>
      <c r="P2276">
        <v>0</v>
      </c>
      <c r="Q2276">
        <f>O2276+P2276</f>
        <v>0</v>
      </c>
      <c r="R2276">
        <v>0</v>
      </c>
      <c r="S2276">
        <f>IF(OR(LEFT(E2276,2)="A_",LEFT(D2276,5)="Total"),R2276-Q2276,"")</f>
        <v>0</v>
      </c>
      <c r="T2276">
        <v>3.5000000000000003E-2</v>
      </c>
      <c r="U2276">
        <f>IFERROR(R2276*T2276,R2276*0)</f>
        <v>0</v>
      </c>
      <c r="V2276">
        <f>IF(OR(LEFT(E2276,2)="A_",LEFT(D2276,5)="Total"),R2276+U2276,"")</f>
        <v>0</v>
      </c>
      <c r="W2276">
        <f>IF(OR(LEFT(E2276,2)="A_",LEFT(D2276,5)="Total"),V2276-Q2276,"")</f>
        <v>0</v>
      </c>
      <c r="X2276">
        <v>0</v>
      </c>
    </row>
    <row r="2277" spans="1:24" x14ac:dyDescent="0.25">
      <c r="A2277" t="s">
        <v>1965</v>
      </c>
      <c r="B2277" t="s">
        <v>2050</v>
      </c>
      <c r="C2277" t="s">
        <v>2123</v>
      </c>
      <c r="D2277" t="s">
        <v>249</v>
      </c>
      <c r="E2277" t="s">
        <v>37</v>
      </c>
      <c r="F2277" t="s">
        <v>1</v>
      </c>
      <c r="G2277" t="s">
        <v>930</v>
      </c>
      <c r="H2277" t="s">
        <v>437</v>
      </c>
      <c r="I2277" t="s">
        <v>1</v>
      </c>
      <c r="J2277">
        <v>261.97000000000003</v>
      </c>
      <c r="K2277"/>
      <c r="L2277">
        <v>0</v>
      </c>
      <c r="M2277">
        <v>0</v>
      </c>
      <c r="N2277">
        <v>0</v>
      </c>
      <c r="O2277"/>
      <c r="P2277">
        <v>0</v>
      </c>
      <c r="Q2277">
        <f>O2277+P2277</f>
        <v>0</v>
      </c>
      <c r="R2277">
        <v>0</v>
      </c>
      <c r="S2277">
        <f>IF(OR(LEFT(E2277,2)="A_",LEFT(D2277,5)="Total"),R2277-Q2277,"")</f>
        <v>0</v>
      </c>
      <c r="T2277"/>
      <c r="U2277">
        <f>IFERROR(R2277*T2277,R2277*0)</f>
        <v>0</v>
      </c>
      <c r="V2277">
        <f>IF(OR(LEFT(E2277,2)="A_",LEFT(D2277,5)="Total"),R2277+U2277,"")</f>
        <v>0</v>
      </c>
      <c r="W2277">
        <f>IF(OR(LEFT(E2277,2)="A_",LEFT(D2277,5)="Total"),V2277-Q2277,"")</f>
        <v>0</v>
      </c>
      <c r="X2277">
        <v>0</v>
      </c>
    </row>
    <row r="2278" spans="1:24" x14ac:dyDescent="0.25">
      <c r="A2278" t="s">
        <v>1965</v>
      </c>
      <c r="B2278" t="s">
        <v>2050</v>
      </c>
      <c r="C2278" t="s">
        <v>2123</v>
      </c>
      <c r="D2278" t="s">
        <v>249</v>
      </c>
      <c r="E2278" t="s">
        <v>46</v>
      </c>
      <c r="F2278" t="s">
        <v>1</v>
      </c>
      <c r="G2278" t="s">
        <v>930</v>
      </c>
      <c r="H2278" t="s">
        <v>446</v>
      </c>
      <c r="I2278" t="s">
        <v>1</v>
      </c>
      <c r="J2278">
        <v>3378.43</v>
      </c>
      <c r="K2278"/>
      <c r="L2278">
        <v>0</v>
      </c>
      <c r="M2278">
        <v>0</v>
      </c>
      <c r="N2278">
        <v>0</v>
      </c>
      <c r="O2278"/>
      <c r="P2278">
        <v>0</v>
      </c>
      <c r="Q2278">
        <f>O2278+P2278</f>
        <v>0</v>
      </c>
      <c r="R2278">
        <v>0</v>
      </c>
      <c r="S2278">
        <f>IF(OR(LEFT(E2278,2)="A_",LEFT(D2278,5)="Total"),R2278-Q2278,"")</f>
        <v>0</v>
      </c>
      <c r="T2278">
        <v>0.03</v>
      </c>
      <c r="U2278">
        <f>IFERROR(R2278*T2278,R2278*0)</f>
        <v>0</v>
      </c>
      <c r="V2278">
        <f>IF(OR(LEFT(E2278,2)="A_",LEFT(D2278,5)="Total"),R2278+U2278,"")</f>
        <v>0</v>
      </c>
      <c r="W2278">
        <f>IF(OR(LEFT(E2278,2)="A_",LEFT(D2278,5)="Total"),V2278-Q2278,"")</f>
        <v>0</v>
      </c>
      <c r="X2278">
        <v>0</v>
      </c>
    </row>
    <row r="2279" spans="1:24" x14ac:dyDescent="0.25">
      <c r="A2279" t="s">
        <v>1965</v>
      </c>
      <c r="B2279" t="s">
        <v>2050</v>
      </c>
      <c r="C2279" t="s">
        <v>2123</v>
      </c>
      <c r="D2279" t="s">
        <v>249</v>
      </c>
      <c r="E2279" t="s">
        <v>51</v>
      </c>
      <c r="F2279" t="s">
        <v>51</v>
      </c>
      <c r="G2279" t="s">
        <v>931</v>
      </c>
      <c r="H2279"/>
      <c r="I2279"/>
      <c r="J2279">
        <v>3734.1099999999997</v>
      </c>
      <c r="K2279">
        <v>196.64999999989999</v>
      </c>
      <c r="L2279">
        <v>0</v>
      </c>
      <c r="M2279">
        <v>0</v>
      </c>
      <c r="N2279">
        <v>0</v>
      </c>
      <c r="O2279">
        <v>0</v>
      </c>
      <c r="P2279">
        <f>SUMIF($F$2275:$F$2278,"&lt;&gt;EV_*",$P$2275:$P$2278)</f>
        <v>0</v>
      </c>
      <c r="Q2279">
        <f>SUMIF($F$2275:$F$2278,"&lt;&gt;EV_*",$Q$2275:$Q$2278)</f>
        <v>0</v>
      </c>
      <c r="R2279">
        <f>SUMIF($F$2275:$F$2278,"&lt;&gt;EV_*",$R$2275:$R$2278)</f>
        <v>0</v>
      </c>
      <c r="S2279">
        <f>SUMIF($F$2275:$F$2278,"&lt;&gt;EV_*",$S$2275:$S$2278)</f>
        <v>0</v>
      </c>
      <c r="T2279">
        <v>0</v>
      </c>
      <c r="U2279">
        <f>SUMIF($F$2275:$F$2278,"&lt;&gt;EV_*",$U$2275:$U$2278)</f>
        <v>0</v>
      </c>
      <c r="V2279">
        <f>SUMIF($F$2275:$F$2278,"&lt;&gt;EV_*",$V$2275:$V$2278)</f>
        <v>0</v>
      </c>
      <c r="W2279">
        <f>SUMIF($F$2275:$F$2278,"&lt;&gt;EV_*",$W$2275:$W$2278)</f>
        <v>0</v>
      </c>
      <c r="X2279">
        <f>SUMIF($F$2275:$F$2278,"&lt;&gt;EV_*",$X$2275:$X$2278)</f>
        <v>0</v>
      </c>
    </row>
    <row r="2280" spans="1:24" x14ac:dyDescent="0.25">
      <c r="A2280" t="s">
        <v>1965</v>
      </c>
      <c r="B2280" t="s">
        <v>2050</v>
      </c>
      <c r="C2280" t="s">
        <v>2124</v>
      </c>
      <c r="D2280" t="s">
        <v>250</v>
      </c>
      <c r="E2280" t="s">
        <v>5</v>
      </c>
      <c r="F2280" t="s">
        <v>5</v>
      </c>
      <c r="G2280" t="s">
        <v>932</v>
      </c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</row>
    <row r="2281" spans="1:24" x14ac:dyDescent="0.25">
      <c r="A2281" t="s">
        <v>1965</v>
      </c>
      <c r="B2281" t="s">
        <v>2050</v>
      </c>
      <c r="C2281" t="s">
        <v>2124</v>
      </c>
      <c r="D2281" t="s">
        <v>250</v>
      </c>
      <c r="E2281" t="s">
        <v>37</v>
      </c>
      <c r="F2281" t="s">
        <v>1</v>
      </c>
      <c r="G2281" t="s">
        <v>933</v>
      </c>
      <c r="H2281" t="s">
        <v>437</v>
      </c>
      <c r="I2281" t="s">
        <v>1</v>
      </c>
      <c r="J2281"/>
      <c r="K2281"/>
      <c r="L2281">
        <v>359.82</v>
      </c>
      <c r="M2281">
        <v>725.60386740331489</v>
      </c>
      <c r="N2281">
        <v>359.82</v>
      </c>
      <c r="O2281">
        <v>719.64</v>
      </c>
      <c r="P2281">
        <v>0</v>
      </c>
      <c r="Q2281">
        <f>O2281+P2281</f>
        <v>719.64</v>
      </c>
      <c r="R2281">
        <v>0</v>
      </c>
      <c r="S2281">
        <f>IF(OR(LEFT(E2281,2)="A_",LEFT(D2281,5)="Total"),R2281-Q2281,"")</f>
        <v>-719.64</v>
      </c>
      <c r="T2281"/>
      <c r="U2281">
        <f>IFERROR(R2281*T2281,R2281*0)</f>
        <v>0</v>
      </c>
      <c r="V2281">
        <f>IF(OR(LEFT(E2281,2)="A_",LEFT(D2281,5)="Total"),R2281+U2281,"")</f>
        <v>0</v>
      </c>
      <c r="W2281">
        <f>IF(OR(LEFT(E2281,2)="A_",LEFT(D2281,5)="Total"),V2281-Q2281,"")</f>
        <v>-719.64</v>
      </c>
      <c r="X2281">
        <v>0</v>
      </c>
    </row>
    <row r="2282" spans="1:24" x14ac:dyDescent="0.25">
      <c r="A2282" t="s">
        <v>1965</v>
      </c>
      <c r="B2282" t="s">
        <v>2050</v>
      </c>
      <c r="C2282" t="s">
        <v>2124</v>
      </c>
      <c r="D2282" t="s">
        <v>250</v>
      </c>
      <c r="E2282" t="s">
        <v>51</v>
      </c>
      <c r="F2282" t="s">
        <v>51</v>
      </c>
      <c r="G2282" t="s">
        <v>934</v>
      </c>
      <c r="H2282"/>
      <c r="I2282"/>
      <c r="J2282">
        <v>0</v>
      </c>
      <c r="K2282">
        <v>0</v>
      </c>
      <c r="L2282">
        <v>359.82</v>
      </c>
      <c r="M2282">
        <v>725.60386740331489</v>
      </c>
      <c r="N2282">
        <v>359.82</v>
      </c>
      <c r="O2282">
        <v>719.64</v>
      </c>
      <c r="P2282">
        <f>SUMIF($F$2280:$F$2281,"&lt;&gt;EV_*",$P$2280:$P$2281)</f>
        <v>0</v>
      </c>
      <c r="Q2282">
        <f>SUMIF($F$2280:$F$2281,"&lt;&gt;EV_*",$Q$2280:$Q$2281)</f>
        <v>719.64</v>
      </c>
      <c r="R2282">
        <f>SUMIF($F$2280:$F$2281,"&lt;&gt;EV_*",$R$2280:$R$2281)</f>
        <v>0</v>
      </c>
      <c r="S2282">
        <f>SUMIF($F$2280:$F$2281,"&lt;&gt;EV_*",$S$2280:$S$2281)</f>
        <v>-719.64</v>
      </c>
      <c r="T2282">
        <v>0</v>
      </c>
      <c r="U2282">
        <f>SUMIF($F$2280:$F$2281,"&lt;&gt;EV_*",$U$2280:$U$2281)</f>
        <v>0</v>
      </c>
      <c r="V2282">
        <f>SUMIF($F$2280:$F$2281,"&lt;&gt;EV_*",$V$2280:$V$2281)</f>
        <v>0</v>
      </c>
      <c r="W2282">
        <f>SUMIF($F$2280:$F$2281,"&lt;&gt;EV_*",$W$2280:$W$2281)</f>
        <v>-719.64</v>
      </c>
      <c r="X2282">
        <f>SUMIF($F$2280:$F$2281,"&lt;&gt;EV_*",$X$2280:$X$2281)</f>
        <v>0</v>
      </c>
    </row>
    <row r="2283" spans="1:24" x14ac:dyDescent="0.25">
      <c r="A2283" t="s">
        <v>1965</v>
      </c>
      <c r="B2283" t="s">
        <v>2050</v>
      </c>
      <c r="C2283" t="s">
        <v>2125</v>
      </c>
      <c r="D2283" t="s">
        <v>251</v>
      </c>
      <c r="E2283" t="s">
        <v>5</v>
      </c>
      <c r="F2283" t="s">
        <v>5</v>
      </c>
      <c r="G2283" t="s">
        <v>935</v>
      </c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</row>
    <row r="2284" spans="1:24" x14ac:dyDescent="0.25">
      <c r="A2284" t="s">
        <v>1965</v>
      </c>
      <c r="B2284" t="s">
        <v>2050</v>
      </c>
      <c r="C2284" t="s">
        <v>2125</v>
      </c>
      <c r="D2284" t="s">
        <v>251</v>
      </c>
      <c r="E2284" t="s">
        <v>13</v>
      </c>
      <c r="F2284" t="s">
        <v>1</v>
      </c>
      <c r="G2284" t="s">
        <v>936</v>
      </c>
      <c r="H2284" t="s">
        <v>413</v>
      </c>
      <c r="I2284" t="s">
        <v>1</v>
      </c>
      <c r="J2284">
        <v>455.37</v>
      </c>
      <c r="K2284"/>
      <c r="L2284">
        <v>242.42</v>
      </c>
      <c r="M2284">
        <v>488.8580110497237</v>
      </c>
      <c r="N2284">
        <v>697.79000000000019</v>
      </c>
      <c r="O2284">
        <v>484.84</v>
      </c>
      <c r="P2284">
        <v>0</v>
      </c>
      <c r="Q2284">
        <f>O2284+P2284</f>
        <v>484.84</v>
      </c>
      <c r="R2284">
        <v>0</v>
      </c>
      <c r="S2284">
        <f>IF(OR(LEFT(E2284,2)="A_",LEFT(D2284,5)="Total"),R2284-Q2284,"")</f>
        <v>-484.84</v>
      </c>
      <c r="T2284"/>
      <c r="U2284">
        <f>IFERROR(R2284*T2284,R2284*0)</f>
        <v>0</v>
      </c>
      <c r="V2284">
        <f>IF(OR(LEFT(E2284,2)="A_",LEFT(D2284,5)="Total"),R2284+U2284,"")</f>
        <v>0</v>
      </c>
      <c r="W2284">
        <f>IF(OR(LEFT(E2284,2)="A_",LEFT(D2284,5)="Total"),V2284-Q2284,"")</f>
        <v>-484.84</v>
      </c>
      <c r="X2284">
        <v>0</v>
      </c>
    </row>
    <row r="2285" spans="1:24" x14ac:dyDescent="0.25">
      <c r="A2285" t="s">
        <v>1965</v>
      </c>
      <c r="B2285" t="s">
        <v>2050</v>
      </c>
      <c r="C2285" t="s">
        <v>2125</v>
      </c>
      <c r="D2285" t="s">
        <v>251</v>
      </c>
      <c r="E2285" t="s">
        <v>42</v>
      </c>
      <c r="F2285" t="s">
        <v>1</v>
      </c>
      <c r="G2285" t="s">
        <v>936</v>
      </c>
      <c r="H2285" t="s">
        <v>442</v>
      </c>
      <c r="I2285" t="s">
        <v>1</v>
      </c>
      <c r="J2285">
        <v>33.229999999999997</v>
      </c>
      <c r="K2285"/>
      <c r="L2285">
        <v>34.950000000000003</v>
      </c>
      <c r="M2285">
        <v>70.479281767955811</v>
      </c>
      <c r="N2285">
        <v>68.180000000000007</v>
      </c>
      <c r="O2285">
        <v>69.900000000000006</v>
      </c>
      <c r="P2285">
        <v>0</v>
      </c>
      <c r="Q2285">
        <f>O2285+P2285</f>
        <v>69.900000000000006</v>
      </c>
      <c r="R2285">
        <v>0</v>
      </c>
      <c r="S2285">
        <f>IF(OR(LEFT(E2285,2)="A_",LEFT(D2285,5)="Total"),R2285-Q2285,"")</f>
        <v>-69.900000000000006</v>
      </c>
      <c r="T2285">
        <v>0.03</v>
      </c>
      <c r="U2285">
        <f>IFERROR(R2285*T2285,R2285*0)</f>
        <v>0</v>
      </c>
      <c r="V2285">
        <f>IF(OR(LEFT(E2285,2)="A_",LEFT(D2285,5)="Total"),R2285+U2285,"")</f>
        <v>0</v>
      </c>
      <c r="W2285">
        <f>IF(OR(LEFT(E2285,2)="A_",LEFT(D2285,5)="Total"),V2285-Q2285,"")</f>
        <v>-69.900000000000006</v>
      </c>
      <c r="X2285">
        <v>0</v>
      </c>
    </row>
    <row r="2286" spans="1:24" x14ac:dyDescent="0.25">
      <c r="A2286" t="s">
        <v>1965</v>
      </c>
      <c r="B2286" t="s">
        <v>2050</v>
      </c>
      <c r="C2286" t="s">
        <v>2125</v>
      </c>
      <c r="D2286" t="s">
        <v>251</v>
      </c>
      <c r="E2286" t="s">
        <v>51</v>
      </c>
      <c r="F2286" t="s">
        <v>51</v>
      </c>
      <c r="G2286" t="s">
        <v>937</v>
      </c>
      <c r="H2286"/>
      <c r="I2286"/>
      <c r="J2286">
        <v>488.6</v>
      </c>
      <c r="K2286">
        <v>0</v>
      </c>
      <c r="L2286">
        <v>277.37</v>
      </c>
      <c r="M2286">
        <v>559.33729281767955</v>
      </c>
      <c r="N2286">
        <v>765.97000000000025</v>
      </c>
      <c r="O2286">
        <v>554.74</v>
      </c>
      <c r="P2286">
        <f>SUMIF($F$2283:$F$2285,"&lt;&gt;EV_*",$P$2283:$P$2285)</f>
        <v>0</v>
      </c>
      <c r="Q2286">
        <f>SUMIF($F$2283:$F$2285,"&lt;&gt;EV_*",$Q$2283:$Q$2285)</f>
        <v>554.74</v>
      </c>
      <c r="R2286">
        <f>SUMIF($F$2283:$F$2285,"&lt;&gt;EV_*",$R$2283:$R$2285)</f>
        <v>0</v>
      </c>
      <c r="S2286">
        <f>SUMIF($F$2283:$F$2285,"&lt;&gt;EV_*",$S$2283:$S$2285)</f>
        <v>-554.74</v>
      </c>
      <c r="T2286">
        <v>0</v>
      </c>
      <c r="U2286">
        <f>SUMIF($F$2283:$F$2285,"&lt;&gt;EV_*",$U$2283:$U$2285)</f>
        <v>0</v>
      </c>
      <c r="V2286">
        <f>SUMIF($F$2283:$F$2285,"&lt;&gt;EV_*",$V$2283:$V$2285)</f>
        <v>0</v>
      </c>
      <c r="W2286">
        <f>SUMIF($F$2283:$F$2285,"&lt;&gt;EV_*",$W$2283:$W$2285)</f>
        <v>-554.74</v>
      </c>
      <c r="X2286">
        <f>SUMIF($F$2283:$F$2285,"&lt;&gt;EV_*",$X$2283:$X$2285)</f>
        <v>0</v>
      </c>
    </row>
    <row r="2287" spans="1:24" x14ac:dyDescent="0.25">
      <c r="A2287" t="s">
        <v>1948</v>
      </c>
      <c r="B2287" t="s">
        <v>2126</v>
      </c>
      <c r="C2287" t="s">
        <v>2127</v>
      </c>
      <c r="D2287" t="s">
        <v>252</v>
      </c>
      <c r="E2287" t="s">
        <v>5</v>
      </c>
      <c r="F2287" t="s">
        <v>5</v>
      </c>
      <c r="G2287" t="s">
        <v>938</v>
      </c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</row>
    <row r="2288" spans="1:24" x14ac:dyDescent="0.25">
      <c r="A2288" t="s">
        <v>1948</v>
      </c>
      <c r="B2288" t="s">
        <v>2126</v>
      </c>
      <c r="C2288" t="s">
        <v>2127</v>
      </c>
      <c r="D2288" t="s">
        <v>252</v>
      </c>
      <c r="E2288" t="s">
        <v>11</v>
      </c>
      <c r="F2288" t="s">
        <v>1</v>
      </c>
      <c r="G2288" t="s">
        <v>939</v>
      </c>
      <c r="H2288" t="s">
        <v>411</v>
      </c>
      <c r="I2288" t="s">
        <v>1</v>
      </c>
      <c r="J2288">
        <v>3931.9</v>
      </c>
      <c r="K2288">
        <v>3151.2700000007999</v>
      </c>
      <c r="L2288">
        <v>2087.83</v>
      </c>
      <c r="M2288">
        <v>4210.2649171270714</v>
      </c>
      <c r="N2288">
        <v>4102.6400000000003</v>
      </c>
      <c r="O2288">
        <v>4175.66</v>
      </c>
      <c r="P2288">
        <v>0</v>
      </c>
      <c r="Q2288">
        <f>O2288+P2288</f>
        <v>4175.66</v>
      </c>
      <c r="R2288">
        <v>4175.66</v>
      </c>
      <c r="S2288">
        <f>IF(OR(LEFT(E2288,2)="A_",LEFT(D2288,5)="Total"),R2288-Q2288,"")</f>
        <v>0</v>
      </c>
      <c r="T2288"/>
      <c r="U2288">
        <f>IFERROR(R2288*T2288,R2288*0)</f>
        <v>0</v>
      </c>
      <c r="V2288">
        <f>IF(OR(LEFT(E2288,2)="A_",LEFT(D2288,5)="Total"),R2288+U2288,"")</f>
        <v>4175.66</v>
      </c>
      <c r="W2288">
        <f>IF(OR(LEFT(E2288,2)="A_",LEFT(D2288,5)="Total"),V2288-Q2288,"")</f>
        <v>0</v>
      </c>
      <c r="X2288">
        <v>0</v>
      </c>
    </row>
    <row r="2289" spans="1:24" x14ac:dyDescent="0.25">
      <c r="A2289" t="s">
        <v>1948</v>
      </c>
      <c r="B2289" t="s">
        <v>2126</v>
      </c>
      <c r="C2289" t="s">
        <v>2127</v>
      </c>
      <c r="D2289" t="s">
        <v>252</v>
      </c>
      <c r="E2289" t="s">
        <v>51</v>
      </c>
      <c r="F2289" t="s">
        <v>51</v>
      </c>
      <c r="G2289" t="s">
        <v>940</v>
      </c>
      <c r="H2289"/>
      <c r="I2289"/>
      <c r="J2289">
        <v>3931.9</v>
      </c>
      <c r="K2289">
        <v>3151.2700000007999</v>
      </c>
      <c r="L2289">
        <v>2087.83</v>
      </c>
      <c r="M2289">
        <v>4210.2649171270714</v>
      </c>
      <c r="N2289">
        <v>4102.6400000000003</v>
      </c>
      <c r="O2289">
        <v>4175.66</v>
      </c>
      <c r="P2289">
        <f>SUMIF($F$2287:$F$2288,"&lt;&gt;EV_*",$P$2287:$P$2288)</f>
        <v>0</v>
      </c>
      <c r="Q2289">
        <f>SUMIF($F$2287:$F$2288,"&lt;&gt;EV_*",$Q$2287:$Q$2288)</f>
        <v>4175.66</v>
      </c>
      <c r="R2289">
        <f>SUMIF($F$2287:$F$2288,"&lt;&gt;EV_*",$R$2287:$R$2288)</f>
        <v>4175.66</v>
      </c>
      <c r="S2289">
        <f>SUMIF($F$2287:$F$2288,"&lt;&gt;EV_*",$S$2287:$S$2288)</f>
        <v>0</v>
      </c>
      <c r="T2289">
        <v>0</v>
      </c>
      <c r="U2289">
        <f>SUMIF($F$2287:$F$2288,"&lt;&gt;EV_*",$U$2287:$U$2288)</f>
        <v>0</v>
      </c>
      <c r="V2289">
        <f>SUMIF($F$2287:$F$2288,"&lt;&gt;EV_*",$V$2287:$V$2288)</f>
        <v>4175.66</v>
      </c>
      <c r="W2289">
        <f>SUMIF($F$2287:$F$2288,"&lt;&gt;EV_*",$W$2287:$W$2288)</f>
        <v>0</v>
      </c>
      <c r="X2289">
        <f>SUMIF($F$2287:$F$2288,"&lt;&gt;EV_*",$X$2287:$X$2288)</f>
        <v>0</v>
      </c>
    </row>
    <row r="2290" spans="1:24" x14ac:dyDescent="0.25">
      <c r="A2290" t="s">
        <v>1940</v>
      </c>
      <c r="B2290" t="s">
        <v>1946</v>
      </c>
      <c r="C2290" t="s">
        <v>2128</v>
      </c>
      <c r="D2290" t="s">
        <v>253</v>
      </c>
      <c r="E2290" t="s">
        <v>5</v>
      </c>
      <c r="F2290" t="s">
        <v>5</v>
      </c>
      <c r="G2290" t="s">
        <v>941</v>
      </c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</row>
    <row r="2291" spans="1:24" x14ac:dyDescent="0.25">
      <c r="A2291" t="s">
        <v>1940</v>
      </c>
      <c r="B2291" t="s">
        <v>1946</v>
      </c>
      <c r="C2291" t="s">
        <v>2128</v>
      </c>
      <c r="D2291" t="s">
        <v>253</v>
      </c>
      <c r="E2291" t="s">
        <v>21</v>
      </c>
      <c r="F2291" t="s">
        <v>1</v>
      </c>
      <c r="G2291" t="s">
        <v>942</v>
      </c>
      <c r="H2291" t="s">
        <v>421</v>
      </c>
      <c r="I2291" t="s">
        <v>1</v>
      </c>
      <c r="J2291">
        <v>411.38</v>
      </c>
      <c r="K2291">
        <v>314.88</v>
      </c>
      <c r="L2291">
        <v>260.77</v>
      </c>
      <c r="M2291">
        <v>525.86215469613251</v>
      </c>
      <c r="N2291">
        <v>509.46000000000004</v>
      </c>
      <c r="O2291">
        <v>525.86215469609999</v>
      </c>
      <c r="P2291">
        <v>0</v>
      </c>
      <c r="Q2291">
        <f>O2291+P2291</f>
        <v>525.86215469609999</v>
      </c>
      <c r="R2291">
        <v>525.86215469609999</v>
      </c>
      <c r="S2291">
        <f>IF(OR(LEFT(E2291,2)="A_",LEFT(D2291,5)="Total"),R2291-Q2291,"")</f>
        <v>0</v>
      </c>
      <c r="T2291">
        <v>0.03</v>
      </c>
      <c r="U2291">
        <f>IFERROR(R2291*T2291,R2291*0)</f>
        <v>15.775864640882999</v>
      </c>
      <c r="V2291">
        <f>IF(OR(LEFT(E2291,2)="A_",LEFT(D2291,5)="Total"),R2291+U2291,"")</f>
        <v>541.63801933698301</v>
      </c>
      <c r="W2291">
        <f>IF(OR(LEFT(E2291,2)="A_",LEFT(D2291,5)="Total"),V2291-Q2291,"")</f>
        <v>15.775864640883015</v>
      </c>
      <c r="X2291">
        <v>0</v>
      </c>
    </row>
    <row r="2292" spans="1:24" x14ac:dyDescent="0.25">
      <c r="A2292" t="s">
        <v>1940</v>
      </c>
      <c r="B2292" t="s">
        <v>1946</v>
      </c>
      <c r="C2292" t="s">
        <v>2128</v>
      </c>
      <c r="D2292" t="s">
        <v>253</v>
      </c>
      <c r="E2292" t="s">
        <v>22</v>
      </c>
      <c r="F2292" t="s">
        <v>1</v>
      </c>
      <c r="G2292" t="s">
        <v>942</v>
      </c>
      <c r="H2292" t="s">
        <v>422</v>
      </c>
      <c r="I2292" t="s">
        <v>1</v>
      </c>
      <c r="J2292">
        <v>799.69</v>
      </c>
      <c r="K2292">
        <v>921.15000000019995</v>
      </c>
      <c r="L2292">
        <v>526.23</v>
      </c>
      <c r="M2292">
        <v>1061.182044198895</v>
      </c>
      <c r="N2292">
        <v>879.28</v>
      </c>
      <c r="O2292">
        <v>1061.1820441989</v>
      </c>
      <c r="P2292">
        <v>0</v>
      </c>
      <c r="Q2292">
        <f>O2292+P2292</f>
        <v>1061.1820441989</v>
      </c>
      <c r="R2292">
        <v>1061.1820441989</v>
      </c>
      <c r="S2292">
        <f>IF(OR(LEFT(E2292,2)="A_",LEFT(D2292,5)="Total"),R2292-Q2292,"")</f>
        <v>0</v>
      </c>
      <c r="T2292">
        <v>3.5000000000000003E-2</v>
      </c>
      <c r="U2292">
        <f>IFERROR(R2292*T2292,R2292*0)</f>
        <v>37.141371546961501</v>
      </c>
      <c r="V2292">
        <f>IF(OR(LEFT(E2292,2)="A_",LEFT(D2292,5)="Total"),R2292+U2292,"")</f>
        <v>1098.3234157458614</v>
      </c>
      <c r="W2292">
        <f>IF(OR(LEFT(E2292,2)="A_",LEFT(D2292,5)="Total"),V2292-Q2292,"")</f>
        <v>37.141371546961409</v>
      </c>
      <c r="X2292">
        <v>0</v>
      </c>
    </row>
    <row r="2293" spans="1:24" x14ac:dyDescent="0.25">
      <c r="A2293" t="s">
        <v>1940</v>
      </c>
      <c r="B2293" t="s">
        <v>1946</v>
      </c>
      <c r="C2293" t="s">
        <v>2128</v>
      </c>
      <c r="D2293" t="s">
        <v>253</v>
      </c>
      <c r="E2293" t="s">
        <v>51</v>
      </c>
      <c r="F2293" t="s">
        <v>51</v>
      </c>
      <c r="G2293" t="s">
        <v>943</v>
      </c>
      <c r="H2293"/>
      <c r="I2293"/>
      <c r="J2293">
        <v>1211.0700000000002</v>
      </c>
      <c r="K2293">
        <v>1236.0300000001998</v>
      </c>
      <c r="L2293">
        <v>787</v>
      </c>
      <c r="M2293">
        <v>1587.0441988950274</v>
      </c>
      <c r="N2293">
        <v>1388.74</v>
      </c>
      <c r="O2293">
        <v>1587.0441988950001</v>
      </c>
      <c r="P2293">
        <f>SUMIF($F$2290:$F$2292,"&lt;&gt;EV_*",$P$2290:$P$2292)</f>
        <v>0</v>
      </c>
      <c r="Q2293">
        <f>SUMIF($F$2290:$F$2292,"&lt;&gt;EV_*",$Q$2290:$Q$2292)</f>
        <v>1587.0441988950001</v>
      </c>
      <c r="R2293">
        <f>SUMIF($F$2290:$F$2292,"&lt;&gt;EV_*",$R$2290:$R$2292)</f>
        <v>1587.0441988950001</v>
      </c>
      <c r="S2293">
        <f>SUMIF($F$2290:$F$2292,"&lt;&gt;EV_*",$S$2290:$S$2292)</f>
        <v>0</v>
      </c>
      <c r="T2293">
        <v>0</v>
      </c>
      <c r="U2293">
        <f>SUMIF($F$2290:$F$2292,"&lt;&gt;EV_*",$U$2290:$U$2292)</f>
        <v>52.917236187844502</v>
      </c>
      <c r="V2293">
        <f>SUMIF($F$2290:$F$2292,"&lt;&gt;EV_*",$V$2290:$V$2292)</f>
        <v>1639.9614350828444</v>
      </c>
      <c r="W2293">
        <f>SUMIF($F$2290:$F$2292,"&lt;&gt;EV_*",$W$2290:$W$2292)</f>
        <v>52.917236187844424</v>
      </c>
      <c r="X2293">
        <f>SUMIF($F$2290:$F$2292,"&lt;&gt;EV_*",$X$2290:$X$2292)</f>
        <v>0</v>
      </c>
    </row>
    <row r="2294" spans="1:24" x14ac:dyDescent="0.25">
      <c r="A2294" t="s">
        <v>1948</v>
      </c>
      <c r="B2294" t="s">
        <v>2129</v>
      </c>
      <c r="C2294" t="s">
        <v>2130</v>
      </c>
      <c r="D2294" t="s">
        <v>254</v>
      </c>
      <c r="E2294" t="s">
        <v>5</v>
      </c>
      <c r="F2294" t="s">
        <v>5</v>
      </c>
      <c r="G2294" t="s">
        <v>944</v>
      </c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</row>
    <row r="2295" spans="1:24" x14ac:dyDescent="0.25">
      <c r="A2295" t="s">
        <v>1948</v>
      </c>
      <c r="B2295" t="s">
        <v>2129</v>
      </c>
      <c r="C2295" t="s">
        <v>2130</v>
      </c>
      <c r="D2295" t="s">
        <v>254</v>
      </c>
      <c r="E2295" t="s">
        <v>17</v>
      </c>
      <c r="F2295" t="s">
        <v>1</v>
      </c>
      <c r="G2295" t="s">
        <v>945</v>
      </c>
      <c r="H2295" t="s">
        <v>417</v>
      </c>
      <c r="I2295" t="s">
        <v>1</v>
      </c>
      <c r="J2295">
        <v>-289.8</v>
      </c>
      <c r="K2295">
        <v>-1220</v>
      </c>
      <c r="L2295">
        <v>-8063.06</v>
      </c>
      <c r="M2295">
        <v>-16259.76187845304</v>
      </c>
      <c r="N2295">
        <v>-8352.86</v>
      </c>
      <c r="O2295">
        <v>-16214.7250549451</v>
      </c>
      <c r="P2295">
        <v>0</v>
      </c>
      <c r="Q2295">
        <f t="shared" ref="Q2295:Q2300" si="465">O2295+P2295</f>
        <v>-16214.7250549451</v>
      </c>
      <c r="R2295">
        <v>-16214.7250549451</v>
      </c>
      <c r="S2295">
        <f t="shared" ref="S2295:S2300" si="466">IF(OR(LEFT(E2295,2)="A_",LEFT(D2295,5)="Total"),R2295-Q2295,"")</f>
        <v>0</v>
      </c>
      <c r="T2295"/>
      <c r="U2295">
        <f t="shared" ref="U2295:U2300" si="467">IFERROR(R2295*T2295,R2295*0)</f>
        <v>0</v>
      </c>
      <c r="V2295">
        <f t="shared" ref="V2295:V2300" si="468">IF(OR(LEFT(E2295,2)="A_",LEFT(D2295,5)="Total"),R2295+U2295,"")</f>
        <v>-16214.7250549451</v>
      </c>
      <c r="W2295">
        <f t="shared" ref="W2295:W2300" si="469">IF(OR(LEFT(E2295,2)="A_",LEFT(D2295,5)="Total"),V2295-Q2295,"")</f>
        <v>0</v>
      </c>
      <c r="X2295">
        <v>0</v>
      </c>
    </row>
    <row r="2296" spans="1:24" x14ac:dyDescent="0.25">
      <c r="A2296" t="s">
        <v>1948</v>
      </c>
      <c r="B2296" t="s">
        <v>2129</v>
      </c>
      <c r="C2296" t="s">
        <v>2130</v>
      </c>
      <c r="D2296" t="s">
        <v>254</v>
      </c>
      <c r="E2296" t="s">
        <v>82</v>
      </c>
      <c r="F2296" t="s">
        <v>1</v>
      </c>
      <c r="G2296" t="s">
        <v>945</v>
      </c>
      <c r="H2296" t="s">
        <v>507</v>
      </c>
      <c r="I2296" t="s">
        <v>1</v>
      </c>
      <c r="J2296">
        <v>777362.24</v>
      </c>
      <c r="K2296">
        <v>729041.950948852</v>
      </c>
      <c r="L2296">
        <v>324812.02</v>
      </c>
      <c r="M2296">
        <v>655007.66464088403</v>
      </c>
      <c r="N2296">
        <v>750437.5</v>
      </c>
      <c r="O2296">
        <v>653193.40285714297</v>
      </c>
      <c r="P2296">
        <v>0</v>
      </c>
      <c r="Q2296">
        <f t="shared" si="465"/>
        <v>653193.40285714297</v>
      </c>
      <c r="R2296">
        <v>653193.40285714297</v>
      </c>
      <c r="S2296">
        <f t="shared" si="466"/>
        <v>0</v>
      </c>
      <c r="T2296">
        <v>2.75E-2</v>
      </c>
      <c r="U2296">
        <f t="shared" si="467"/>
        <v>17962.81857857143</v>
      </c>
      <c r="V2296">
        <f t="shared" si="468"/>
        <v>671156.2214357144</v>
      </c>
      <c r="W2296">
        <f t="shared" si="469"/>
        <v>17962.81857857143</v>
      </c>
      <c r="X2296">
        <v>0</v>
      </c>
    </row>
    <row r="2297" spans="1:24" x14ac:dyDescent="0.25">
      <c r="A2297" t="s">
        <v>1948</v>
      </c>
      <c r="B2297" t="s">
        <v>2129</v>
      </c>
      <c r="C2297" t="s">
        <v>2130</v>
      </c>
      <c r="D2297" t="s">
        <v>254</v>
      </c>
      <c r="E2297" t="s">
        <v>72</v>
      </c>
      <c r="F2297" t="s">
        <v>1</v>
      </c>
      <c r="G2297" t="s">
        <v>945</v>
      </c>
      <c r="H2297" t="s">
        <v>489</v>
      </c>
      <c r="I2297" t="s">
        <v>1</v>
      </c>
      <c r="J2297">
        <v>221429.82</v>
      </c>
      <c r="K2297">
        <v>250889.01435717399</v>
      </c>
      <c r="L2297">
        <v>148063.63</v>
      </c>
      <c r="M2297">
        <v>298581.35331491713</v>
      </c>
      <c r="N2297">
        <v>272007.29000000004</v>
      </c>
      <c r="O2297">
        <v>297754.33285714302</v>
      </c>
      <c r="P2297">
        <v>0</v>
      </c>
      <c r="Q2297">
        <f t="shared" si="465"/>
        <v>297754.33285714302</v>
      </c>
      <c r="R2297">
        <v>297754.33285714302</v>
      </c>
      <c r="S2297">
        <f t="shared" si="466"/>
        <v>0</v>
      </c>
      <c r="T2297">
        <v>2.2499999999999999E-2</v>
      </c>
      <c r="U2297">
        <f t="shared" si="467"/>
        <v>6699.4724892857175</v>
      </c>
      <c r="V2297">
        <f t="shared" si="468"/>
        <v>304453.80534642871</v>
      </c>
      <c r="W2297">
        <f t="shared" si="469"/>
        <v>6699.4724892856902</v>
      </c>
      <c r="X2297">
        <v>0</v>
      </c>
    </row>
    <row r="2298" spans="1:24" x14ac:dyDescent="0.25">
      <c r="A2298" t="s">
        <v>1948</v>
      </c>
      <c r="B2298" t="s">
        <v>2129</v>
      </c>
      <c r="C2298" t="s">
        <v>2130</v>
      </c>
      <c r="D2298" t="s">
        <v>254</v>
      </c>
      <c r="E2298" t="s">
        <v>18</v>
      </c>
      <c r="F2298" t="s">
        <v>1</v>
      </c>
      <c r="G2298" t="s">
        <v>945</v>
      </c>
      <c r="H2298" t="s">
        <v>418</v>
      </c>
      <c r="I2298" t="s">
        <v>1</v>
      </c>
      <c r="J2298">
        <v>3064.95</v>
      </c>
      <c r="K2298">
        <v>2942.6111728397</v>
      </c>
      <c r="L2298">
        <v>2217.41</v>
      </c>
      <c r="M2298">
        <v>4471.5726519337013</v>
      </c>
      <c r="N2298">
        <v>3967.0299999999997</v>
      </c>
      <c r="O2298">
        <v>4459.1871428571003</v>
      </c>
      <c r="P2298">
        <v>0</v>
      </c>
      <c r="Q2298">
        <f t="shared" si="465"/>
        <v>4459.1871428571003</v>
      </c>
      <c r="R2298">
        <v>4459.1871428571003</v>
      </c>
      <c r="S2298">
        <f t="shared" si="466"/>
        <v>0</v>
      </c>
      <c r="T2298">
        <v>0.02</v>
      </c>
      <c r="U2298">
        <f t="shared" si="467"/>
        <v>89.183742857142008</v>
      </c>
      <c r="V2298">
        <f t="shared" si="468"/>
        <v>4548.3708857142419</v>
      </c>
      <c r="W2298">
        <f t="shared" si="469"/>
        <v>89.183742857141624</v>
      </c>
      <c r="X2298">
        <v>0</v>
      </c>
    </row>
    <row r="2299" spans="1:24" x14ac:dyDescent="0.25">
      <c r="A2299" t="s">
        <v>1948</v>
      </c>
      <c r="B2299" t="s">
        <v>2129</v>
      </c>
      <c r="C2299" t="s">
        <v>2130</v>
      </c>
      <c r="D2299" t="s">
        <v>254</v>
      </c>
      <c r="E2299" t="s">
        <v>21</v>
      </c>
      <c r="F2299" t="s">
        <v>1</v>
      </c>
      <c r="G2299" t="s">
        <v>945</v>
      </c>
      <c r="H2299" t="s">
        <v>421</v>
      </c>
      <c r="I2299" t="s">
        <v>1</v>
      </c>
      <c r="J2299">
        <v>301.93</v>
      </c>
      <c r="K2299">
        <v>370.80000000019999</v>
      </c>
      <c r="L2299">
        <v>239.88</v>
      </c>
      <c r="M2299">
        <v>483.73591160220991</v>
      </c>
      <c r="N2299">
        <v>359.81999999999994</v>
      </c>
      <c r="O2299">
        <v>483.73591160220002</v>
      </c>
      <c r="P2299">
        <v>0</v>
      </c>
      <c r="Q2299">
        <f t="shared" si="465"/>
        <v>483.73591160220002</v>
      </c>
      <c r="R2299">
        <v>483.73591160220002</v>
      </c>
      <c r="S2299">
        <f t="shared" si="466"/>
        <v>0</v>
      </c>
      <c r="T2299">
        <v>0.03</v>
      </c>
      <c r="U2299">
        <f t="shared" si="467"/>
        <v>14.512077348066001</v>
      </c>
      <c r="V2299">
        <f t="shared" si="468"/>
        <v>498.24798895026601</v>
      </c>
      <c r="W2299">
        <f t="shared" si="469"/>
        <v>14.512077348065986</v>
      </c>
      <c r="X2299">
        <v>0</v>
      </c>
    </row>
    <row r="2300" spans="1:24" x14ac:dyDescent="0.25">
      <c r="A2300" t="s">
        <v>1948</v>
      </c>
      <c r="B2300" t="s">
        <v>2129</v>
      </c>
      <c r="C2300" t="s">
        <v>2130</v>
      </c>
      <c r="D2300" t="s">
        <v>254</v>
      </c>
      <c r="E2300" t="s">
        <v>41</v>
      </c>
      <c r="F2300" t="s">
        <v>1</v>
      </c>
      <c r="G2300" t="s">
        <v>945</v>
      </c>
      <c r="H2300" t="s">
        <v>441</v>
      </c>
      <c r="I2300" t="s">
        <v>1</v>
      </c>
      <c r="J2300">
        <v>10812.53</v>
      </c>
      <c r="K2300">
        <v>6518.8113840096003</v>
      </c>
      <c r="L2300">
        <v>4376.6499999999996</v>
      </c>
      <c r="M2300">
        <v>8825.8411602209926</v>
      </c>
      <c r="N2300">
        <v>11870.629999999997</v>
      </c>
      <c r="O2300">
        <v>8753.2999999999993</v>
      </c>
      <c r="P2300">
        <v>0</v>
      </c>
      <c r="Q2300">
        <f t="shared" si="465"/>
        <v>8753.2999999999993</v>
      </c>
      <c r="R2300">
        <v>8753.2999999999993</v>
      </c>
      <c r="S2300">
        <f t="shared" si="466"/>
        <v>0</v>
      </c>
      <c r="T2300">
        <v>0.03</v>
      </c>
      <c r="U2300">
        <f t="shared" si="467"/>
        <v>262.59899999999999</v>
      </c>
      <c r="V2300">
        <f t="shared" si="468"/>
        <v>9015.8989999999994</v>
      </c>
      <c r="W2300">
        <f t="shared" si="469"/>
        <v>262.59900000000016</v>
      </c>
      <c r="X2300">
        <v>0</v>
      </c>
    </row>
    <row r="2301" spans="1:24" x14ac:dyDescent="0.25">
      <c r="A2301" t="s">
        <v>1948</v>
      </c>
      <c r="B2301" t="s">
        <v>2129</v>
      </c>
      <c r="C2301" t="s">
        <v>2130</v>
      </c>
      <c r="D2301" t="s">
        <v>254</v>
      </c>
      <c r="E2301" t="s">
        <v>51</v>
      </c>
      <c r="F2301" t="s">
        <v>51</v>
      </c>
      <c r="G2301" t="s">
        <v>946</v>
      </c>
      <c r="H2301"/>
      <c r="I2301"/>
      <c r="J2301">
        <v>1012681.67</v>
      </c>
      <c r="K2301">
        <v>988543.18786287529</v>
      </c>
      <c r="L2301">
        <v>471646.53</v>
      </c>
      <c r="M2301">
        <v>951110.40580110485</v>
      </c>
      <c r="N2301">
        <v>1030289.41</v>
      </c>
      <c r="O2301">
        <v>948429.2337138002</v>
      </c>
      <c r="P2301">
        <f>SUMIF($F$2294:$F$2300,"&lt;&gt;EV_*",$P$2294:$P$2300)</f>
        <v>0</v>
      </c>
      <c r="Q2301">
        <f>SUMIF($F$2294:$F$2300,"&lt;&gt;EV_*",$Q$2294:$Q$2300)</f>
        <v>948429.2337138002</v>
      </c>
      <c r="R2301">
        <f>SUMIF($F$2294:$F$2300,"&lt;&gt;EV_*",$R$2294:$R$2300)</f>
        <v>948429.2337138002</v>
      </c>
      <c r="S2301">
        <f>SUMIF($F$2294:$F$2300,"&lt;&gt;EV_*",$S$2294:$S$2300)</f>
        <v>0</v>
      </c>
      <c r="T2301">
        <v>0</v>
      </c>
      <c r="U2301">
        <f>SUMIF($F$2294:$F$2300,"&lt;&gt;EV_*",$U$2294:$U$2300)</f>
        <v>25028.585888062356</v>
      </c>
      <c r="V2301">
        <f>SUMIF($F$2294:$F$2300,"&lt;&gt;EV_*",$V$2294:$V$2300)</f>
        <v>973457.81960186246</v>
      </c>
      <c r="W2301">
        <f>SUMIF($F$2294:$F$2300,"&lt;&gt;EV_*",$W$2294:$W$2300)</f>
        <v>25028.585888062327</v>
      </c>
      <c r="X2301">
        <f>SUMIF($F$2294:$F$2300,"&lt;&gt;EV_*",$X$2294:$X$2300)</f>
        <v>0</v>
      </c>
    </row>
    <row r="2302" spans="1:24" x14ac:dyDescent="0.25">
      <c r="A2302" t="s">
        <v>1948</v>
      </c>
      <c r="B2302" t="s">
        <v>2129</v>
      </c>
      <c r="C2302" t="s">
        <v>2131</v>
      </c>
      <c r="D2302" t="s">
        <v>255</v>
      </c>
      <c r="E2302" t="s">
        <v>5</v>
      </c>
      <c r="F2302" t="s">
        <v>5</v>
      </c>
      <c r="G2302" t="s">
        <v>947</v>
      </c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</row>
    <row r="2303" spans="1:24" x14ac:dyDescent="0.25">
      <c r="A2303" t="s">
        <v>1948</v>
      </c>
      <c r="B2303" t="s">
        <v>2129</v>
      </c>
      <c r="C2303" t="s">
        <v>2131</v>
      </c>
      <c r="D2303" t="s">
        <v>255</v>
      </c>
      <c r="E2303" t="s">
        <v>17</v>
      </c>
      <c r="F2303" t="s">
        <v>1</v>
      </c>
      <c r="G2303" t="s">
        <v>948</v>
      </c>
      <c r="H2303" t="s">
        <v>417</v>
      </c>
      <c r="I2303" t="s">
        <v>1</v>
      </c>
      <c r="J2303">
        <v>-1500.27</v>
      </c>
      <c r="K2303">
        <v>-1890</v>
      </c>
      <c r="L2303">
        <v>-534.76</v>
      </c>
      <c r="M2303">
        <v>-1078.3834254143646</v>
      </c>
      <c r="N2303">
        <v>-1485.1999999999998</v>
      </c>
      <c r="O2303">
        <v>-1075.3964835165</v>
      </c>
      <c r="P2303">
        <v>0</v>
      </c>
      <c r="Q2303">
        <f t="shared" ref="Q2303:Q2313" si="470">O2303+P2303</f>
        <v>-1075.3964835165</v>
      </c>
      <c r="R2303">
        <v>-1075.3964835165</v>
      </c>
      <c r="S2303">
        <f t="shared" ref="S2303:S2313" si="471">IF(OR(LEFT(E2303,2)="A_",LEFT(D2303,5)="Total"),R2303-Q2303,"")</f>
        <v>0</v>
      </c>
      <c r="T2303"/>
      <c r="U2303">
        <f t="shared" ref="U2303:U2313" si="472">IFERROR(R2303*T2303,R2303*0)</f>
        <v>0</v>
      </c>
      <c r="V2303">
        <f t="shared" ref="V2303:V2313" si="473">IF(OR(LEFT(E2303,2)="A_",LEFT(D2303,5)="Total"),R2303+U2303,"")</f>
        <v>-1075.3964835165</v>
      </c>
      <c r="W2303">
        <f t="shared" ref="W2303:W2313" si="474">IF(OR(LEFT(E2303,2)="A_",LEFT(D2303,5)="Total"),V2303-Q2303,"")</f>
        <v>0</v>
      </c>
      <c r="X2303">
        <v>0</v>
      </c>
    </row>
    <row r="2304" spans="1:24" x14ac:dyDescent="0.25">
      <c r="A2304" t="s">
        <v>1948</v>
      </c>
      <c r="B2304" t="s">
        <v>2129</v>
      </c>
      <c r="C2304" t="s">
        <v>2131</v>
      </c>
      <c r="D2304" t="s">
        <v>255</v>
      </c>
      <c r="E2304" t="s">
        <v>82</v>
      </c>
      <c r="F2304" t="s">
        <v>1</v>
      </c>
      <c r="G2304" t="s">
        <v>948</v>
      </c>
      <c r="H2304" t="s">
        <v>507</v>
      </c>
      <c r="I2304" t="s">
        <v>1</v>
      </c>
      <c r="J2304">
        <v>49809.68</v>
      </c>
      <c r="K2304">
        <v>50954.176162112199</v>
      </c>
      <c r="L2304">
        <v>15563.26</v>
      </c>
      <c r="M2304">
        <v>31384.474585635362</v>
      </c>
      <c r="N2304">
        <v>40074.76</v>
      </c>
      <c r="O2304">
        <v>31297.544835164801</v>
      </c>
      <c r="P2304">
        <v>0</v>
      </c>
      <c r="Q2304">
        <f t="shared" si="470"/>
        <v>31297.544835164801</v>
      </c>
      <c r="R2304">
        <v>31297.544835164801</v>
      </c>
      <c r="S2304">
        <f t="shared" si="471"/>
        <v>0</v>
      </c>
      <c r="T2304">
        <v>2.75E-2</v>
      </c>
      <c r="U2304">
        <f t="shared" si="472"/>
        <v>860.682482967032</v>
      </c>
      <c r="V2304">
        <f t="shared" si="473"/>
        <v>32158.227318131834</v>
      </c>
      <c r="W2304">
        <f t="shared" si="474"/>
        <v>860.68248296703314</v>
      </c>
      <c r="X2304">
        <v>0</v>
      </c>
    </row>
    <row r="2305" spans="1:24" x14ac:dyDescent="0.25">
      <c r="A2305" t="s">
        <v>1948</v>
      </c>
      <c r="B2305" t="s">
        <v>2129</v>
      </c>
      <c r="C2305" t="s">
        <v>2131</v>
      </c>
      <c r="D2305" t="s">
        <v>255</v>
      </c>
      <c r="E2305" t="s">
        <v>72</v>
      </c>
      <c r="F2305" t="s">
        <v>1</v>
      </c>
      <c r="G2305" t="s">
        <v>948</v>
      </c>
      <c r="H2305" t="s">
        <v>489</v>
      </c>
      <c r="I2305" t="s">
        <v>1</v>
      </c>
      <c r="J2305">
        <v>567528.02</v>
      </c>
      <c r="K2305">
        <v>522731.68587077799</v>
      </c>
      <c r="L2305">
        <v>236923.64</v>
      </c>
      <c r="M2305">
        <v>477774.19116022106</v>
      </c>
      <c r="N2305">
        <v>496624.18</v>
      </c>
      <c r="O2305">
        <v>476450.83648351597</v>
      </c>
      <c r="P2305">
        <v>0</v>
      </c>
      <c r="Q2305">
        <f t="shared" si="470"/>
        <v>476450.83648351597</v>
      </c>
      <c r="R2305">
        <v>476450.83648351597</v>
      </c>
      <c r="S2305">
        <f t="shared" si="471"/>
        <v>0</v>
      </c>
      <c r="T2305">
        <v>2.2499999999999999E-2</v>
      </c>
      <c r="U2305">
        <f t="shared" si="472"/>
        <v>10720.14382087911</v>
      </c>
      <c r="V2305">
        <f t="shared" si="473"/>
        <v>487170.98030439508</v>
      </c>
      <c r="W2305">
        <f t="shared" si="474"/>
        <v>10720.143820879108</v>
      </c>
      <c r="X2305">
        <v>0</v>
      </c>
    </row>
    <row r="2306" spans="1:24" x14ac:dyDescent="0.25">
      <c r="A2306" t="s">
        <v>1948</v>
      </c>
      <c r="B2306" t="s">
        <v>2129</v>
      </c>
      <c r="C2306" t="s">
        <v>2131</v>
      </c>
      <c r="D2306" t="s">
        <v>255</v>
      </c>
      <c r="E2306" t="s">
        <v>18</v>
      </c>
      <c r="F2306" t="s">
        <v>1</v>
      </c>
      <c r="G2306" t="s">
        <v>948</v>
      </c>
      <c r="H2306" t="s">
        <v>418</v>
      </c>
      <c r="I2306" t="s">
        <v>1</v>
      </c>
      <c r="J2306">
        <v>5567.82</v>
      </c>
      <c r="K2306">
        <v>5131.5059581684</v>
      </c>
      <c r="L2306">
        <v>2365.5300000000002</v>
      </c>
      <c r="M2306">
        <v>4770.2676795580119</v>
      </c>
      <c r="N2306">
        <v>5439.5599999999995</v>
      </c>
      <c r="O2306">
        <v>4757.0548351648004</v>
      </c>
      <c r="P2306">
        <v>0</v>
      </c>
      <c r="Q2306">
        <f t="shared" si="470"/>
        <v>4757.0548351648004</v>
      </c>
      <c r="R2306">
        <v>4757.0548351648004</v>
      </c>
      <c r="S2306">
        <f t="shared" si="471"/>
        <v>0</v>
      </c>
      <c r="T2306">
        <v>0.02</v>
      </c>
      <c r="U2306">
        <f t="shared" si="472"/>
        <v>95.141096703296014</v>
      </c>
      <c r="V2306">
        <f t="shared" si="473"/>
        <v>4852.1959318680965</v>
      </c>
      <c r="W2306">
        <f t="shared" si="474"/>
        <v>95.141096703296171</v>
      </c>
      <c r="X2306">
        <v>0</v>
      </c>
    </row>
    <row r="2307" spans="1:24" x14ac:dyDescent="0.25">
      <c r="A2307" t="s">
        <v>1948</v>
      </c>
      <c r="B2307" t="s">
        <v>2129</v>
      </c>
      <c r="C2307" t="s">
        <v>2131</v>
      </c>
      <c r="D2307" t="s">
        <v>255</v>
      </c>
      <c r="E2307" t="s">
        <v>85</v>
      </c>
      <c r="F2307" t="s">
        <v>1</v>
      </c>
      <c r="G2307" t="s">
        <v>948</v>
      </c>
      <c r="H2307" t="s">
        <v>510</v>
      </c>
      <c r="I2307" t="s">
        <v>1</v>
      </c>
      <c r="J2307"/>
      <c r="K2307"/>
      <c r="L2307">
        <v>120.72</v>
      </c>
      <c r="M2307">
        <v>243.44088397790057</v>
      </c>
      <c r="N2307">
        <v>120.72</v>
      </c>
      <c r="O2307">
        <v>242.76659340660001</v>
      </c>
      <c r="P2307">
        <v>0</v>
      </c>
      <c r="Q2307">
        <f t="shared" si="470"/>
        <v>242.76659340660001</v>
      </c>
      <c r="R2307">
        <v>242.76659340660001</v>
      </c>
      <c r="S2307">
        <f t="shared" si="471"/>
        <v>0</v>
      </c>
      <c r="T2307">
        <v>0.02</v>
      </c>
      <c r="U2307">
        <f t="shared" si="472"/>
        <v>4.8553318681320006</v>
      </c>
      <c r="V2307">
        <f t="shared" si="473"/>
        <v>247.62192527473201</v>
      </c>
      <c r="W2307">
        <f t="shared" si="474"/>
        <v>4.8553318681319979</v>
      </c>
      <c r="X2307">
        <v>0</v>
      </c>
    </row>
    <row r="2308" spans="1:24" x14ac:dyDescent="0.25">
      <c r="A2308" t="s">
        <v>1948</v>
      </c>
      <c r="B2308" t="s">
        <v>2129</v>
      </c>
      <c r="C2308" t="s">
        <v>2131</v>
      </c>
      <c r="D2308" t="s">
        <v>255</v>
      </c>
      <c r="E2308" t="s">
        <v>20</v>
      </c>
      <c r="F2308" t="s">
        <v>1</v>
      </c>
      <c r="G2308" t="s">
        <v>948</v>
      </c>
      <c r="H2308" t="s">
        <v>420</v>
      </c>
      <c r="I2308" t="s">
        <v>1</v>
      </c>
      <c r="J2308">
        <v>1933.63</v>
      </c>
      <c r="K2308"/>
      <c r="L2308">
        <v>26.8</v>
      </c>
      <c r="M2308">
        <v>54.044198895027627</v>
      </c>
      <c r="N2308">
        <v>1738.2199999999998</v>
      </c>
      <c r="O2308">
        <v>53.894505494500002</v>
      </c>
      <c r="P2308">
        <v>0</v>
      </c>
      <c r="Q2308">
        <f t="shared" si="470"/>
        <v>53.894505494500002</v>
      </c>
      <c r="R2308">
        <v>53.894505494500002</v>
      </c>
      <c r="S2308">
        <f t="shared" si="471"/>
        <v>0</v>
      </c>
      <c r="T2308">
        <v>0.04</v>
      </c>
      <c r="U2308">
        <f t="shared" si="472"/>
        <v>2.15578021978</v>
      </c>
      <c r="V2308">
        <f t="shared" si="473"/>
        <v>56.050285714280001</v>
      </c>
      <c r="W2308">
        <f t="shared" si="474"/>
        <v>2.1557802197799987</v>
      </c>
      <c r="X2308">
        <v>0</v>
      </c>
    </row>
    <row r="2309" spans="1:24" x14ac:dyDescent="0.25">
      <c r="A2309" t="s">
        <v>1948</v>
      </c>
      <c r="B2309" t="s">
        <v>2129</v>
      </c>
      <c r="C2309" t="s">
        <v>2131</v>
      </c>
      <c r="D2309" t="s">
        <v>255</v>
      </c>
      <c r="E2309" t="s">
        <v>21</v>
      </c>
      <c r="F2309" t="s">
        <v>1</v>
      </c>
      <c r="G2309" t="s">
        <v>948</v>
      </c>
      <c r="H2309" t="s">
        <v>421</v>
      </c>
      <c r="I2309" t="s">
        <v>1</v>
      </c>
      <c r="J2309">
        <v>1879.06</v>
      </c>
      <c r="K2309">
        <v>2894.3000000002999</v>
      </c>
      <c r="L2309">
        <v>358.5</v>
      </c>
      <c r="M2309">
        <v>722.94198895027625</v>
      </c>
      <c r="N2309">
        <v>830.48000000000013</v>
      </c>
      <c r="O2309">
        <v>722.94198895030001</v>
      </c>
      <c r="P2309">
        <v>0</v>
      </c>
      <c r="Q2309">
        <f t="shared" si="470"/>
        <v>722.94198895030001</v>
      </c>
      <c r="R2309">
        <v>722.94198895030001</v>
      </c>
      <c r="S2309">
        <f t="shared" si="471"/>
        <v>0</v>
      </c>
      <c r="T2309">
        <v>0.03</v>
      </c>
      <c r="U2309">
        <f t="shared" si="472"/>
        <v>21.688259668508998</v>
      </c>
      <c r="V2309">
        <f t="shared" si="473"/>
        <v>744.63024861880899</v>
      </c>
      <c r="W2309">
        <f t="shared" si="474"/>
        <v>21.688259668508977</v>
      </c>
      <c r="X2309">
        <v>0</v>
      </c>
    </row>
    <row r="2310" spans="1:24" x14ac:dyDescent="0.25">
      <c r="A2310" t="s">
        <v>1948</v>
      </c>
      <c r="B2310" t="s">
        <v>2129</v>
      </c>
      <c r="C2310" t="s">
        <v>2131</v>
      </c>
      <c r="D2310" t="s">
        <v>255</v>
      </c>
      <c r="E2310" t="s">
        <v>23</v>
      </c>
      <c r="F2310" t="s">
        <v>1</v>
      </c>
      <c r="G2310" t="s">
        <v>948</v>
      </c>
      <c r="H2310" t="s">
        <v>423</v>
      </c>
      <c r="I2310" t="s">
        <v>1</v>
      </c>
      <c r="J2310">
        <v>275.52999999999997</v>
      </c>
      <c r="K2310">
        <v>217.35</v>
      </c>
      <c r="L2310">
        <v>219.3</v>
      </c>
      <c r="M2310">
        <v>442.23480662983428</v>
      </c>
      <c r="N2310">
        <v>387.39</v>
      </c>
      <c r="O2310">
        <v>442.2348066298</v>
      </c>
      <c r="P2310">
        <v>0</v>
      </c>
      <c r="Q2310">
        <f t="shared" si="470"/>
        <v>442.2348066298</v>
      </c>
      <c r="R2310">
        <v>442.2348066298</v>
      </c>
      <c r="S2310">
        <f t="shared" si="471"/>
        <v>0</v>
      </c>
      <c r="T2310">
        <v>3.5000000000000003E-2</v>
      </c>
      <c r="U2310">
        <f t="shared" si="472"/>
        <v>15.478218232043002</v>
      </c>
      <c r="V2310">
        <f t="shared" si="473"/>
        <v>457.713024861843</v>
      </c>
      <c r="W2310">
        <f t="shared" si="474"/>
        <v>15.478218232042991</v>
      </c>
      <c r="X2310">
        <v>0</v>
      </c>
    </row>
    <row r="2311" spans="1:24" x14ac:dyDescent="0.25">
      <c r="A2311" t="s">
        <v>1948</v>
      </c>
      <c r="B2311" t="s">
        <v>2129</v>
      </c>
      <c r="C2311" t="s">
        <v>2131</v>
      </c>
      <c r="D2311" t="s">
        <v>255</v>
      </c>
      <c r="E2311" t="s">
        <v>40</v>
      </c>
      <c r="F2311" t="s">
        <v>1</v>
      </c>
      <c r="G2311" t="s">
        <v>948</v>
      </c>
      <c r="H2311" t="s">
        <v>440</v>
      </c>
      <c r="I2311" t="s">
        <v>1</v>
      </c>
      <c r="J2311">
        <v>11932.64</v>
      </c>
      <c r="K2311"/>
      <c r="L2311">
        <v>0</v>
      </c>
      <c r="M2311">
        <v>0</v>
      </c>
      <c r="N2311">
        <v>2570</v>
      </c>
      <c r="O2311"/>
      <c r="P2311">
        <v>0</v>
      </c>
      <c r="Q2311">
        <f t="shared" si="470"/>
        <v>0</v>
      </c>
      <c r="R2311">
        <v>2570</v>
      </c>
      <c r="S2311">
        <f t="shared" si="471"/>
        <v>2570</v>
      </c>
      <c r="T2311">
        <v>0.03</v>
      </c>
      <c r="U2311">
        <f t="shared" si="472"/>
        <v>77.099999999999994</v>
      </c>
      <c r="V2311">
        <f t="shared" si="473"/>
        <v>2647.1</v>
      </c>
      <c r="W2311">
        <f t="shared" si="474"/>
        <v>2647.1</v>
      </c>
      <c r="X2311" t="s">
        <v>1672</v>
      </c>
    </row>
    <row r="2312" spans="1:24" x14ac:dyDescent="0.25">
      <c r="A2312" t="s">
        <v>1948</v>
      </c>
      <c r="B2312" t="s">
        <v>2129</v>
      </c>
      <c r="C2312" t="s">
        <v>2131</v>
      </c>
      <c r="D2312" t="s">
        <v>255</v>
      </c>
      <c r="E2312" t="s">
        <v>41</v>
      </c>
      <c r="F2312" t="s">
        <v>1</v>
      </c>
      <c r="G2312" t="s">
        <v>948</v>
      </c>
      <c r="H2312" t="s">
        <v>441</v>
      </c>
      <c r="I2312" t="s">
        <v>1</v>
      </c>
      <c r="J2312">
        <v>5482.96</v>
      </c>
      <c r="K2312">
        <v>6371.4454470696</v>
      </c>
      <c r="L2312">
        <v>2273.85</v>
      </c>
      <c r="M2312">
        <v>4585.388121546961</v>
      </c>
      <c r="N2312">
        <v>4513.2800000000007</v>
      </c>
      <c r="O2312">
        <v>4547.7</v>
      </c>
      <c r="P2312">
        <v>0</v>
      </c>
      <c r="Q2312">
        <f t="shared" si="470"/>
        <v>4547.7</v>
      </c>
      <c r="R2312">
        <v>4547.7</v>
      </c>
      <c r="S2312">
        <f t="shared" si="471"/>
        <v>0</v>
      </c>
      <c r="T2312">
        <v>0.03</v>
      </c>
      <c r="U2312">
        <f t="shared" si="472"/>
        <v>136.43099999999998</v>
      </c>
      <c r="V2312">
        <f t="shared" si="473"/>
        <v>4684.1309999999994</v>
      </c>
      <c r="W2312">
        <f t="shared" si="474"/>
        <v>136.43099999999959</v>
      </c>
      <c r="X2312">
        <v>0</v>
      </c>
    </row>
    <row r="2313" spans="1:24" x14ac:dyDescent="0.25">
      <c r="A2313" t="s">
        <v>1948</v>
      </c>
      <c r="B2313" t="s">
        <v>2129</v>
      </c>
      <c r="C2313" t="s">
        <v>2131</v>
      </c>
      <c r="D2313" t="s">
        <v>255</v>
      </c>
      <c r="E2313" t="s">
        <v>134</v>
      </c>
      <c r="F2313" t="s">
        <v>1</v>
      </c>
      <c r="G2313" t="s">
        <v>948</v>
      </c>
      <c r="H2313" t="s">
        <v>623</v>
      </c>
      <c r="I2313" t="s">
        <v>1</v>
      </c>
      <c r="J2313">
        <v>3604</v>
      </c>
      <c r="K2313"/>
      <c r="L2313">
        <v>0</v>
      </c>
      <c r="M2313">
        <v>0</v>
      </c>
      <c r="N2313">
        <v>3604</v>
      </c>
      <c r="O2313"/>
      <c r="P2313">
        <v>0</v>
      </c>
      <c r="Q2313">
        <f t="shared" si="470"/>
        <v>0</v>
      </c>
      <c r="R2313">
        <v>0</v>
      </c>
      <c r="S2313">
        <f t="shared" si="471"/>
        <v>0</v>
      </c>
      <c r="T2313">
        <v>0.03</v>
      </c>
      <c r="U2313">
        <f t="shared" si="472"/>
        <v>0</v>
      </c>
      <c r="V2313">
        <f t="shared" si="473"/>
        <v>0</v>
      </c>
      <c r="W2313">
        <f t="shared" si="474"/>
        <v>0</v>
      </c>
      <c r="X2313" t="s">
        <v>1673</v>
      </c>
    </row>
    <row r="2314" spans="1:24" x14ac:dyDescent="0.25">
      <c r="A2314" t="s">
        <v>1948</v>
      </c>
      <c r="B2314" t="s">
        <v>2129</v>
      </c>
      <c r="C2314" t="s">
        <v>2131</v>
      </c>
      <c r="D2314" t="s">
        <v>255</v>
      </c>
      <c r="E2314" t="s">
        <v>51</v>
      </c>
      <c r="F2314" t="s">
        <v>51</v>
      </c>
      <c r="G2314" t="s">
        <v>949</v>
      </c>
      <c r="H2314"/>
      <c r="I2314"/>
      <c r="J2314">
        <v>646513.07000000007</v>
      </c>
      <c r="K2314">
        <v>586410.46343812847</v>
      </c>
      <c r="L2314">
        <v>257316.84</v>
      </c>
      <c r="M2314">
        <v>518898.60000000009</v>
      </c>
      <c r="N2314">
        <v>554417.39</v>
      </c>
      <c r="O2314">
        <v>517439.57756481034</v>
      </c>
      <c r="P2314">
        <f>SUMIF($F$2302:$F$2313,"&lt;&gt;EV_*",$P$2302:$P$2313)</f>
        <v>0</v>
      </c>
      <c r="Q2314">
        <f>SUMIF($F$2302:$F$2313,"&lt;&gt;EV_*",$Q$2302:$Q$2313)</f>
        <v>517439.57756481034</v>
      </c>
      <c r="R2314">
        <f>SUMIF($F$2302:$F$2313,"&lt;&gt;EV_*",$R$2302:$R$2313)</f>
        <v>520009.57756481034</v>
      </c>
      <c r="S2314">
        <f>SUMIF($F$2302:$F$2313,"&lt;&gt;EV_*",$S$2302:$S$2313)</f>
        <v>2570</v>
      </c>
      <c r="T2314">
        <v>0</v>
      </c>
      <c r="U2314">
        <f>SUMIF($F$2302:$F$2313,"&lt;&gt;EV_*",$U$2302:$U$2313)</f>
        <v>11933.6759905379</v>
      </c>
      <c r="V2314">
        <f>SUMIF($F$2302:$F$2313,"&lt;&gt;EV_*",$V$2302:$V$2313)</f>
        <v>531943.25355534826</v>
      </c>
      <c r="W2314">
        <f>SUMIF($F$2302:$F$2313,"&lt;&gt;EV_*",$W$2302:$W$2313)</f>
        <v>14503.6759905379</v>
      </c>
      <c r="X2314">
        <f>SUMIF($F$2302:$F$2313,"&lt;&gt;EV_*",$X$2302:$X$2313)</f>
        <v>0</v>
      </c>
    </row>
    <row r="2315" spans="1:24" x14ac:dyDescent="0.25">
      <c r="A2315" t="s">
        <v>1940</v>
      </c>
      <c r="B2315" t="s">
        <v>1946</v>
      </c>
      <c r="C2315" t="s">
        <v>2132</v>
      </c>
      <c r="D2315" t="s">
        <v>256</v>
      </c>
      <c r="E2315" t="s">
        <v>5</v>
      </c>
      <c r="F2315" t="s">
        <v>5</v>
      </c>
      <c r="G2315" t="s">
        <v>950</v>
      </c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</row>
    <row r="2316" spans="1:24" x14ac:dyDescent="0.25">
      <c r="A2316" t="s">
        <v>1940</v>
      </c>
      <c r="B2316" t="s">
        <v>1946</v>
      </c>
      <c r="C2316" t="s">
        <v>2132</v>
      </c>
      <c r="D2316" t="s">
        <v>256</v>
      </c>
      <c r="E2316" t="s">
        <v>48</v>
      </c>
      <c r="F2316" t="s">
        <v>1</v>
      </c>
      <c r="G2316" t="s">
        <v>951</v>
      </c>
      <c r="H2316" t="s">
        <v>448</v>
      </c>
      <c r="I2316" t="s">
        <v>1</v>
      </c>
      <c r="J2316">
        <v>5671.84</v>
      </c>
      <c r="K2316">
        <v>5574.9999999995998</v>
      </c>
      <c r="L2316">
        <v>2735.28</v>
      </c>
      <c r="M2316">
        <v>5515.8961325966857</v>
      </c>
      <c r="N2316">
        <v>5619.58</v>
      </c>
      <c r="O2316">
        <v>5470.56</v>
      </c>
      <c r="P2316">
        <v>0</v>
      </c>
      <c r="Q2316">
        <f>O2316+P2316</f>
        <v>5470.56</v>
      </c>
      <c r="R2316">
        <v>5470.56</v>
      </c>
      <c r="S2316">
        <f>IF(OR(LEFT(E2316,2)="A_",LEFT(D2316,5)="Total"),R2316-Q2316,"")</f>
        <v>0</v>
      </c>
      <c r="T2316">
        <v>0.03</v>
      </c>
      <c r="U2316">
        <f>IFERROR(R2316*T2316,R2316*0)</f>
        <v>164.11680000000001</v>
      </c>
      <c r="V2316">
        <f>IF(OR(LEFT(E2316,2)="A_",LEFT(D2316,5)="Total"),R2316+U2316,"")</f>
        <v>5634.6768000000002</v>
      </c>
      <c r="W2316">
        <f>IF(OR(LEFT(E2316,2)="A_",LEFT(D2316,5)="Total"),V2316-Q2316,"")</f>
        <v>164.11679999999978</v>
      </c>
      <c r="X2316">
        <v>0</v>
      </c>
    </row>
    <row r="2317" spans="1:24" x14ac:dyDescent="0.25">
      <c r="A2317" t="s">
        <v>1940</v>
      </c>
      <c r="B2317" t="s">
        <v>1946</v>
      </c>
      <c r="C2317" t="s">
        <v>2132</v>
      </c>
      <c r="D2317" t="s">
        <v>256</v>
      </c>
      <c r="E2317" t="s">
        <v>51</v>
      </c>
      <c r="F2317" t="s">
        <v>51</v>
      </c>
      <c r="G2317" t="s">
        <v>952</v>
      </c>
      <c r="H2317"/>
      <c r="I2317"/>
      <c r="J2317">
        <v>5671.84</v>
      </c>
      <c r="K2317">
        <v>5574.9999999995998</v>
      </c>
      <c r="L2317">
        <v>2735.28</v>
      </c>
      <c r="M2317">
        <v>5515.8961325966857</v>
      </c>
      <c r="N2317">
        <v>5619.58</v>
      </c>
      <c r="O2317">
        <v>5470.56</v>
      </c>
      <c r="P2317">
        <f>SUMIF($F$2315:$F$2316,"&lt;&gt;EV_*",$P$2315:$P$2316)</f>
        <v>0</v>
      </c>
      <c r="Q2317">
        <f>SUMIF($F$2315:$F$2316,"&lt;&gt;EV_*",$Q$2315:$Q$2316)</f>
        <v>5470.56</v>
      </c>
      <c r="R2317">
        <f>SUMIF($F$2315:$F$2316,"&lt;&gt;EV_*",$R$2315:$R$2316)</f>
        <v>5470.56</v>
      </c>
      <c r="S2317">
        <f>SUMIF($F$2315:$F$2316,"&lt;&gt;EV_*",$S$2315:$S$2316)</f>
        <v>0</v>
      </c>
      <c r="T2317">
        <v>0</v>
      </c>
      <c r="U2317">
        <f>SUMIF($F$2315:$F$2316,"&lt;&gt;EV_*",$U$2315:$U$2316)</f>
        <v>164.11680000000001</v>
      </c>
      <c r="V2317">
        <f>SUMIF($F$2315:$F$2316,"&lt;&gt;EV_*",$V$2315:$V$2316)</f>
        <v>5634.6768000000002</v>
      </c>
      <c r="W2317">
        <f>SUMIF($F$2315:$F$2316,"&lt;&gt;EV_*",$W$2315:$W$2316)</f>
        <v>164.11679999999978</v>
      </c>
      <c r="X2317">
        <f>SUMIF($F$2315:$F$2316,"&lt;&gt;EV_*",$X$2315:$X$2316)</f>
        <v>0</v>
      </c>
    </row>
    <row r="2318" spans="1:24" x14ac:dyDescent="0.25">
      <c r="A2318" t="s">
        <v>1948</v>
      </c>
      <c r="B2318" t="s">
        <v>2129</v>
      </c>
      <c r="C2318" t="s">
        <v>2133</v>
      </c>
      <c r="D2318" t="s">
        <v>257</v>
      </c>
      <c r="E2318" t="s">
        <v>5</v>
      </c>
      <c r="F2318" t="s">
        <v>5</v>
      </c>
      <c r="G2318" t="s">
        <v>953</v>
      </c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</row>
    <row r="2319" spans="1:24" x14ac:dyDescent="0.25">
      <c r="A2319" t="s">
        <v>1948</v>
      </c>
      <c r="B2319" t="s">
        <v>2129</v>
      </c>
      <c r="C2319" t="s">
        <v>2133</v>
      </c>
      <c r="D2319" t="s">
        <v>257</v>
      </c>
      <c r="E2319" t="s">
        <v>149</v>
      </c>
      <c r="F2319" t="s">
        <v>1</v>
      </c>
      <c r="G2319" t="s">
        <v>954</v>
      </c>
      <c r="H2319" t="s">
        <v>660</v>
      </c>
      <c r="I2319" t="s">
        <v>1</v>
      </c>
      <c r="J2319">
        <v>24.3</v>
      </c>
      <c r="K2319"/>
      <c r="L2319">
        <v>0</v>
      </c>
      <c r="M2319">
        <v>0</v>
      </c>
      <c r="N2319">
        <v>24.3</v>
      </c>
      <c r="O2319"/>
      <c r="P2319">
        <v>0</v>
      </c>
      <c r="Q2319">
        <f t="shared" ref="Q2319:Q2330" si="475">O2319+P2319</f>
        <v>0</v>
      </c>
      <c r="R2319">
        <v>0</v>
      </c>
      <c r="S2319">
        <f t="shared" ref="S2319:S2330" si="476">IF(OR(LEFT(E2319,2)="A_",LEFT(D2319,5)="Total"),R2319-Q2319,"")</f>
        <v>0</v>
      </c>
      <c r="T2319">
        <v>0.02</v>
      </c>
      <c r="U2319">
        <f t="shared" ref="U2319:U2330" si="477">IFERROR(R2319*T2319,R2319*0)</f>
        <v>0</v>
      </c>
      <c r="V2319">
        <f t="shared" ref="V2319:V2330" si="478">IF(OR(LEFT(E2319,2)="A_",LEFT(D2319,5)="Total"),R2319+U2319,"")</f>
        <v>0</v>
      </c>
      <c r="W2319">
        <f t="shared" ref="W2319:W2330" si="479">IF(OR(LEFT(E2319,2)="A_",LEFT(D2319,5)="Total"),V2319-Q2319,"")</f>
        <v>0</v>
      </c>
      <c r="X2319">
        <v>0</v>
      </c>
    </row>
    <row r="2320" spans="1:24" x14ac:dyDescent="0.25">
      <c r="A2320" t="s">
        <v>1948</v>
      </c>
      <c r="B2320" t="s">
        <v>2129</v>
      </c>
      <c r="C2320" t="s">
        <v>2133</v>
      </c>
      <c r="D2320" t="s">
        <v>257</v>
      </c>
      <c r="E2320" t="s">
        <v>17</v>
      </c>
      <c r="F2320" t="s">
        <v>1</v>
      </c>
      <c r="G2320" t="s">
        <v>954</v>
      </c>
      <c r="H2320" t="s">
        <v>417</v>
      </c>
      <c r="I2320" t="s">
        <v>1</v>
      </c>
      <c r="J2320"/>
      <c r="K2320"/>
      <c r="L2320">
        <v>-4898.63</v>
      </c>
      <c r="M2320">
        <v>-9878.4527624309394</v>
      </c>
      <c r="N2320">
        <v>-4898.63</v>
      </c>
      <c r="O2320">
        <v>-9851.0910989011008</v>
      </c>
      <c r="P2320">
        <v>0</v>
      </c>
      <c r="Q2320">
        <f t="shared" si="475"/>
        <v>-9851.0910989011008</v>
      </c>
      <c r="R2320">
        <v>-9851.0910989011008</v>
      </c>
      <c r="S2320">
        <f t="shared" si="476"/>
        <v>0</v>
      </c>
      <c r="T2320"/>
      <c r="U2320">
        <f t="shared" si="477"/>
        <v>0</v>
      </c>
      <c r="V2320">
        <f t="shared" si="478"/>
        <v>-9851.0910989011008</v>
      </c>
      <c r="W2320">
        <f t="shared" si="479"/>
        <v>0</v>
      </c>
      <c r="X2320">
        <v>0</v>
      </c>
    </row>
    <row r="2321" spans="1:24" x14ac:dyDescent="0.25">
      <c r="A2321" t="s">
        <v>1948</v>
      </c>
      <c r="B2321" t="s">
        <v>2129</v>
      </c>
      <c r="C2321" t="s">
        <v>2133</v>
      </c>
      <c r="D2321" t="s">
        <v>257</v>
      </c>
      <c r="E2321" t="s">
        <v>82</v>
      </c>
      <c r="F2321" t="s">
        <v>1</v>
      </c>
      <c r="G2321" t="s">
        <v>954</v>
      </c>
      <c r="H2321" t="s">
        <v>507</v>
      </c>
      <c r="I2321" t="s">
        <v>1</v>
      </c>
      <c r="J2321">
        <v>6680.46</v>
      </c>
      <c r="K2321">
        <v>6157.7144753085004</v>
      </c>
      <c r="L2321">
        <v>25779.38</v>
      </c>
      <c r="M2321">
        <v>51986.042541436465</v>
      </c>
      <c r="N2321">
        <v>27612.539999999997</v>
      </c>
      <c r="O2321">
        <v>51842.049890109898</v>
      </c>
      <c r="P2321">
        <v>0</v>
      </c>
      <c r="Q2321">
        <f t="shared" si="475"/>
        <v>51842.049890109898</v>
      </c>
      <c r="R2321">
        <v>51842.049890109898</v>
      </c>
      <c r="S2321">
        <f t="shared" si="476"/>
        <v>0</v>
      </c>
      <c r="T2321">
        <v>2.75E-2</v>
      </c>
      <c r="U2321">
        <f t="shared" si="477"/>
        <v>1425.6563719780222</v>
      </c>
      <c r="V2321">
        <f t="shared" si="478"/>
        <v>53267.706262087922</v>
      </c>
      <c r="W2321">
        <f t="shared" si="479"/>
        <v>1425.6563719780243</v>
      </c>
      <c r="X2321">
        <v>0</v>
      </c>
    </row>
    <row r="2322" spans="1:24" x14ac:dyDescent="0.25">
      <c r="A2322" t="s">
        <v>1948</v>
      </c>
      <c r="B2322" t="s">
        <v>2129</v>
      </c>
      <c r="C2322" t="s">
        <v>2133</v>
      </c>
      <c r="D2322" t="s">
        <v>257</v>
      </c>
      <c r="E2322" t="s">
        <v>72</v>
      </c>
      <c r="F2322" t="s">
        <v>1</v>
      </c>
      <c r="G2322" t="s">
        <v>954</v>
      </c>
      <c r="H2322" t="s">
        <v>489</v>
      </c>
      <c r="I2322" t="s">
        <v>1</v>
      </c>
      <c r="J2322">
        <v>489255.77</v>
      </c>
      <c r="K2322">
        <v>472583.21046554297</v>
      </c>
      <c r="L2322">
        <v>292212.90999999997</v>
      </c>
      <c r="M2322">
        <v>589269.12790055247</v>
      </c>
      <c r="N2322">
        <v>547225.30000000005</v>
      </c>
      <c r="O2322">
        <v>587636.95087912097</v>
      </c>
      <c r="P2322">
        <v>0</v>
      </c>
      <c r="Q2322">
        <f t="shared" si="475"/>
        <v>587636.95087912097</v>
      </c>
      <c r="R2322">
        <v>587636.95087912097</v>
      </c>
      <c r="S2322">
        <f t="shared" si="476"/>
        <v>0</v>
      </c>
      <c r="T2322">
        <v>2.2499999999999999E-2</v>
      </c>
      <c r="U2322">
        <f t="shared" si="477"/>
        <v>13221.831394780222</v>
      </c>
      <c r="V2322">
        <f t="shared" si="478"/>
        <v>600858.78227390116</v>
      </c>
      <c r="W2322">
        <f t="shared" si="479"/>
        <v>13221.831394780194</v>
      </c>
      <c r="X2322">
        <v>0</v>
      </c>
    </row>
    <row r="2323" spans="1:24" x14ac:dyDescent="0.25">
      <c r="A2323" t="s">
        <v>1948</v>
      </c>
      <c r="B2323" t="s">
        <v>2129</v>
      </c>
      <c r="C2323" t="s">
        <v>2133</v>
      </c>
      <c r="D2323" t="s">
        <v>257</v>
      </c>
      <c r="E2323" t="s">
        <v>18</v>
      </c>
      <c r="F2323" t="s">
        <v>1</v>
      </c>
      <c r="G2323" t="s">
        <v>954</v>
      </c>
      <c r="H2323" t="s">
        <v>418</v>
      </c>
      <c r="I2323" t="s">
        <v>1</v>
      </c>
      <c r="J2323">
        <v>1211.17</v>
      </c>
      <c r="K2323">
        <v>1831.8920617281999</v>
      </c>
      <c r="L2323">
        <v>0</v>
      </c>
      <c r="M2323">
        <v>0</v>
      </c>
      <c r="N2323">
        <v>0</v>
      </c>
      <c r="O2323"/>
      <c r="P2323">
        <v>0</v>
      </c>
      <c r="Q2323">
        <f t="shared" si="475"/>
        <v>0</v>
      </c>
      <c r="R2323">
        <v>0</v>
      </c>
      <c r="S2323">
        <f t="shared" si="476"/>
        <v>0</v>
      </c>
      <c r="T2323">
        <v>0.02</v>
      </c>
      <c r="U2323">
        <f t="shared" si="477"/>
        <v>0</v>
      </c>
      <c r="V2323">
        <f t="shared" si="478"/>
        <v>0</v>
      </c>
      <c r="W2323">
        <f t="shared" si="479"/>
        <v>0</v>
      </c>
      <c r="X2323">
        <v>0</v>
      </c>
    </row>
    <row r="2324" spans="1:24" x14ac:dyDescent="0.25">
      <c r="A2324" t="s">
        <v>1948</v>
      </c>
      <c r="B2324" t="s">
        <v>2129</v>
      </c>
      <c r="C2324" t="s">
        <v>2133</v>
      </c>
      <c r="D2324" t="s">
        <v>257</v>
      </c>
      <c r="E2324" t="s">
        <v>57</v>
      </c>
      <c r="F2324" t="s">
        <v>1</v>
      </c>
      <c r="G2324" t="s">
        <v>954</v>
      </c>
      <c r="H2324" t="s">
        <v>462</v>
      </c>
      <c r="I2324" t="s">
        <v>1</v>
      </c>
      <c r="J2324">
        <v>94.55</v>
      </c>
      <c r="K2324"/>
      <c r="L2324">
        <v>0</v>
      </c>
      <c r="M2324">
        <v>0</v>
      </c>
      <c r="N2324">
        <v>0</v>
      </c>
      <c r="O2324"/>
      <c r="P2324">
        <v>0</v>
      </c>
      <c r="Q2324">
        <f t="shared" si="475"/>
        <v>0</v>
      </c>
      <c r="R2324">
        <v>0</v>
      </c>
      <c r="S2324">
        <f t="shared" si="476"/>
        <v>0</v>
      </c>
      <c r="T2324">
        <v>0.04</v>
      </c>
      <c r="U2324">
        <f t="shared" si="477"/>
        <v>0</v>
      </c>
      <c r="V2324">
        <f t="shared" si="478"/>
        <v>0</v>
      </c>
      <c r="W2324">
        <f t="shared" si="479"/>
        <v>0</v>
      </c>
      <c r="X2324">
        <v>0</v>
      </c>
    </row>
    <row r="2325" spans="1:24" x14ac:dyDescent="0.25">
      <c r="A2325" t="s">
        <v>1948</v>
      </c>
      <c r="B2325" t="s">
        <v>2129</v>
      </c>
      <c r="C2325" t="s">
        <v>2133</v>
      </c>
      <c r="D2325" t="s">
        <v>257</v>
      </c>
      <c r="E2325" t="s">
        <v>20</v>
      </c>
      <c r="F2325" t="s">
        <v>1</v>
      </c>
      <c r="G2325" t="s">
        <v>954</v>
      </c>
      <c r="H2325" t="s">
        <v>420</v>
      </c>
      <c r="I2325" t="s">
        <v>1</v>
      </c>
      <c r="J2325">
        <v>426.3</v>
      </c>
      <c r="K2325"/>
      <c r="L2325">
        <v>0</v>
      </c>
      <c r="M2325">
        <v>0</v>
      </c>
      <c r="N2325">
        <v>0</v>
      </c>
      <c r="O2325"/>
      <c r="P2325">
        <v>0</v>
      </c>
      <c r="Q2325">
        <f t="shared" si="475"/>
        <v>0</v>
      </c>
      <c r="R2325">
        <v>0</v>
      </c>
      <c r="S2325">
        <f t="shared" si="476"/>
        <v>0</v>
      </c>
      <c r="T2325">
        <v>0.04</v>
      </c>
      <c r="U2325">
        <f t="shared" si="477"/>
        <v>0</v>
      </c>
      <c r="V2325">
        <f t="shared" si="478"/>
        <v>0</v>
      </c>
      <c r="W2325">
        <f t="shared" si="479"/>
        <v>0</v>
      </c>
      <c r="X2325">
        <v>0</v>
      </c>
    </row>
    <row r="2326" spans="1:24" x14ac:dyDescent="0.25">
      <c r="A2326" t="s">
        <v>1948</v>
      </c>
      <c r="B2326" t="s">
        <v>2129</v>
      </c>
      <c r="C2326" t="s">
        <v>2133</v>
      </c>
      <c r="D2326" t="s">
        <v>257</v>
      </c>
      <c r="E2326" t="s">
        <v>21</v>
      </c>
      <c r="F2326" t="s">
        <v>1</v>
      </c>
      <c r="G2326" t="s">
        <v>954</v>
      </c>
      <c r="H2326" t="s">
        <v>421</v>
      </c>
      <c r="I2326" t="s">
        <v>1</v>
      </c>
      <c r="J2326">
        <v>183.82</v>
      </c>
      <c r="K2326"/>
      <c r="L2326">
        <v>0</v>
      </c>
      <c r="M2326">
        <v>0</v>
      </c>
      <c r="N2326">
        <v>183.82</v>
      </c>
      <c r="O2326"/>
      <c r="P2326">
        <v>0</v>
      </c>
      <c r="Q2326">
        <f t="shared" si="475"/>
        <v>0</v>
      </c>
      <c r="R2326">
        <v>0</v>
      </c>
      <c r="S2326">
        <f t="shared" si="476"/>
        <v>0</v>
      </c>
      <c r="T2326">
        <v>0.03</v>
      </c>
      <c r="U2326">
        <f t="shared" si="477"/>
        <v>0</v>
      </c>
      <c r="V2326">
        <f t="shared" si="478"/>
        <v>0</v>
      </c>
      <c r="W2326">
        <f t="shared" si="479"/>
        <v>0</v>
      </c>
      <c r="X2326">
        <v>0</v>
      </c>
    </row>
    <row r="2327" spans="1:24" x14ac:dyDescent="0.25">
      <c r="A2327" t="s">
        <v>1948</v>
      </c>
      <c r="B2327" t="s">
        <v>2129</v>
      </c>
      <c r="C2327" t="s">
        <v>2133</v>
      </c>
      <c r="D2327" t="s">
        <v>257</v>
      </c>
      <c r="E2327" t="s">
        <v>22</v>
      </c>
      <c r="F2327" t="s">
        <v>1</v>
      </c>
      <c r="G2327" t="s">
        <v>954</v>
      </c>
      <c r="H2327" t="s">
        <v>422</v>
      </c>
      <c r="I2327" t="s">
        <v>1</v>
      </c>
      <c r="J2327"/>
      <c r="K2327"/>
      <c r="L2327">
        <v>47.49</v>
      </c>
      <c r="M2327">
        <v>95.767127071823197</v>
      </c>
      <c r="N2327">
        <v>47.49</v>
      </c>
      <c r="O2327">
        <v>95.767127071800005</v>
      </c>
      <c r="P2327">
        <v>0</v>
      </c>
      <c r="Q2327">
        <f t="shared" si="475"/>
        <v>95.767127071800005</v>
      </c>
      <c r="R2327">
        <v>95.767127071800005</v>
      </c>
      <c r="S2327">
        <f t="shared" si="476"/>
        <v>0</v>
      </c>
      <c r="T2327">
        <v>3.5000000000000003E-2</v>
      </c>
      <c r="U2327">
        <f t="shared" si="477"/>
        <v>3.3518494475130005</v>
      </c>
      <c r="V2327">
        <f t="shared" si="478"/>
        <v>99.118976519313009</v>
      </c>
      <c r="W2327">
        <f t="shared" si="479"/>
        <v>3.3518494475130041</v>
      </c>
      <c r="X2327">
        <v>0</v>
      </c>
    </row>
    <row r="2328" spans="1:24" x14ac:dyDescent="0.25">
      <c r="A2328" t="s">
        <v>1948</v>
      </c>
      <c r="B2328" t="s">
        <v>2129</v>
      </c>
      <c r="C2328" t="s">
        <v>2133</v>
      </c>
      <c r="D2328" t="s">
        <v>257</v>
      </c>
      <c r="E2328" t="s">
        <v>41</v>
      </c>
      <c r="F2328" t="s">
        <v>1</v>
      </c>
      <c r="G2328" t="s">
        <v>954</v>
      </c>
      <c r="H2328" t="s">
        <v>441</v>
      </c>
      <c r="I2328" t="s">
        <v>1</v>
      </c>
      <c r="J2328">
        <v>16029.42</v>
      </c>
      <c r="K2328">
        <v>14504.446180854</v>
      </c>
      <c r="L2328">
        <v>10191.89</v>
      </c>
      <c r="M2328">
        <v>20552.706353591158</v>
      </c>
      <c r="N2328">
        <v>18837.490000000002</v>
      </c>
      <c r="O2328">
        <v>20383.78</v>
      </c>
      <c r="P2328">
        <v>0</v>
      </c>
      <c r="Q2328">
        <f t="shared" si="475"/>
        <v>20383.78</v>
      </c>
      <c r="R2328">
        <v>20383.78</v>
      </c>
      <c r="S2328">
        <f t="shared" si="476"/>
        <v>0</v>
      </c>
      <c r="T2328">
        <v>0.03</v>
      </c>
      <c r="U2328">
        <f t="shared" si="477"/>
        <v>611.51339999999993</v>
      </c>
      <c r="V2328">
        <f t="shared" si="478"/>
        <v>20995.293399999999</v>
      </c>
      <c r="W2328">
        <f t="shared" si="479"/>
        <v>611.51339999999982</v>
      </c>
      <c r="X2328">
        <v>0</v>
      </c>
    </row>
    <row r="2329" spans="1:24" x14ac:dyDescent="0.25">
      <c r="A2329" t="s">
        <v>1948</v>
      </c>
      <c r="B2329" t="s">
        <v>2129</v>
      </c>
      <c r="C2329" t="s">
        <v>2133</v>
      </c>
      <c r="D2329" t="s">
        <v>257</v>
      </c>
      <c r="E2329" t="s">
        <v>134</v>
      </c>
      <c r="F2329" t="s">
        <v>1</v>
      </c>
      <c r="G2329" t="s">
        <v>954</v>
      </c>
      <c r="H2329" t="s">
        <v>623</v>
      </c>
      <c r="I2329" t="s">
        <v>1</v>
      </c>
      <c r="J2329"/>
      <c r="K2329"/>
      <c r="L2329">
        <v>2783</v>
      </c>
      <c r="M2329">
        <v>5612.1270718232045</v>
      </c>
      <c r="N2329">
        <v>2783</v>
      </c>
      <c r="O2329">
        <v>5566</v>
      </c>
      <c r="P2329">
        <v>0</v>
      </c>
      <c r="Q2329">
        <f t="shared" si="475"/>
        <v>5566</v>
      </c>
      <c r="R2329">
        <v>0</v>
      </c>
      <c r="S2329">
        <f t="shared" si="476"/>
        <v>-5566</v>
      </c>
      <c r="T2329">
        <v>0.03</v>
      </c>
      <c r="U2329">
        <f t="shared" si="477"/>
        <v>0</v>
      </c>
      <c r="V2329">
        <f t="shared" si="478"/>
        <v>0</v>
      </c>
      <c r="W2329">
        <f t="shared" si="479"/>
        <v>-5566</v>
      </c>
      <c r="X2329">
        <v>0</v>
      </c>
    </row>
    <row r="2330" spans="1:24" x14ac:dyDescent="0.25">
      <c r="A2330" t="s">
        <v>1948</v>
      </c>
      <c r="B2330" t="s">
        <v>2129</v>
      </c>
      <c r="C2330" t="s">
        <v>2133</v>
      </c>
      <c r="D2330" t="s">
        <v>257</v>
      </c>
      <c r="E2330" t="s">
        <v>46</v>
      </c>
      <c r="F2330" t="s">
        <v>1</v>
      </c>
      <c r="G2330" t="s">
        <v>954</v>
      </c>
      <c r="H2330" t="s">
        <v>446</v>
      </c>
      <c r="I2330" t="s">
        <v>1</v>
      </c>
      <c r="J2330">
        <v>1289.9000000000001</v>
      </c>
      <c r="K2330"/>
      <c r="L2330">
        <v>6473.94</v>
      </c>
      <c r="M2330">
        <v>13055.182872928175</v>
      </c>
      <c r="N2330">
        <v>7763.84</v>
      </c>
      <c r="O2330">
        <v>12947.88</v>
      </c>
      <c r="P2330">
        <v>0</v>
      </c>
      <c r="Q2330">
        <f t="shared" si="475"/>
        <v>12947.88</v>
      </c>
      <c r="R2330">
        <v>0</v>
      </c>
      <c r="S2330">
        <f t="shared" si="476"/>
        <v>-12947.88</v>
      </c>
      <c r="T2330">
        <v>0.03</v>
      </c>
      <c r="U2330">
        <f t="shared" si="477"/>
        <v>0</v>
      </c>
      <c r="V2330">
        <f t="shared" si="478"/>
        <v>0</v>
      </c>
      <c r="W2330">
        <f t="shared" si="479"/>
        <v>-12947.88</v>
      </c>
      <c r="X2330">
        <v>0</v>
      </c>
    </row>
    <row r="2331" spans="1:24" x14ac:dyDescent="0.25">
      <c r="A2331" t="s">
        <v>1948</v>
      </c>
      <c r="B2331" t="s">
        <v>2129</v>
      </c>
      <c r="C2331" t="s">
        <v>2133</v>
      </c>
      <c r="D2331" t="s">
        <v>257</v>
      </c>
      <c r="E2331" t="s">
        <v>51</v>
      </c>
      <c r="F2331" t="s">
        <v>51</v>
      </c>
      <c r="G2331" t="s">
        <v>955</v>
      </c>
      <c r="H2331"/>
      <c r="I2331"/>
      <c r="J2331">
        <v>515195.69</v>
      </c>
      <c r="K2331">
        <v>495077.26318343368</v>
      </c>
      <c r="L2331">
        <v>332589.98</v>
      </c>
      <c r="M2331">
        <v>670692.50110497244</v>
      </c>
      <c r="N2331">
        <v>599579.14999999991</v>
      </c>
      <c r="O2331">
        <v>668621.33679740166</v>
      </c>
      <c r="P2331">
        <f>SUMIF($F$2318:$F$2330,"&lt;&gt;EV_*",$P$2318:$P$2330)</f>
        <v>0</v>
      </c>
      <c r="Q2331">
        <f>SUMIF($F$2318:$F$2330,"&lt;&gt;EV_*",$Q$2318:$Q$2330)</f>
        <v>668621.33679740166</v>
      </c>
      <c r="R2331">
        <f>SUMIF($F$2318:$F$2330,"&lt;&gt;EV_*",$R$2318:$R$2330)</f>
        <v>650107.45679740165</v>
      </c>
      <c r="S2331">
        <f>SUMIF($F$2318:$F$2330,"&lt;&gt;EV_*",$S$2318:$S$2330)</f>
        <v>-18513.879999999997</v>
      </c>
      <c r="T2331">
        <v>0</v>
      </c>
      <c r="U2331">
        <f>SUMIF($F$2318:$F$2330,"&lt;&gt;EV_*",$U$2318:$U$2330)</f>
        <v>15262.353016205758</v>
      </c>
      <c r="V2331">
        <f>SUMIF($F$2318:$F$2330,"&lt;&gt;EV_*",$V$2318:$V$2330)</f>
        <v>665369.80981360725</v>
      </c>
      <c r="W2331">
        <f>SUMIF($F$2318:$F$2330,"&lt;&gt;EV_*",$W$2318:$W$2330)</f>
        <v>-3251.5269837942669</v>
      </c>
      <c r="X2331">
        <f>SUMIF($F$2318:$F$2330,"&lt;&gt;EV_*",$X$2318:$X$2330)</f>
        <v>0</v>
      </c>
    </row>
    <row r="2332" spans="1:24" x14ac:dyDescent="0.25">
      <c r="A2332" t="s">
        <v>1948</v>
      </c>
      <c r="B2332" t="s">
        <v>2129</v>
      </c>
      <c r="C2332" t="s">
        <v>2134</v>
      </c>
      <c r="D2332" t="s">
        <v>258</v>
      </c>
      <c r="E2332" t="s">
        <v>5</v>
      </c>
      <c r="F2332" t="s">
        <v>5</v>
      </c>
      <c r="G2332" t="s">
        <v>956</v>
      </c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</row>
    <row r="2333" spans="1:24" x14ac:dyDescent="0.25">
      <c r="A2333" t="s">
        <v>1948</v>
      </c>
      <c r="B2333" t="s">
        <v>2129</v>
      </c>
      <c r="C2333" t="s">
        <v>2134</v>
      </c>
      <c r="D2333" t="s">
        <v>258</v>
      </c>
      <c r="E2333" t="s">
        <v>259</v>
      </c>
      <c r="F2333" t="s">
        <v>1</v>
      </c>
      <c r="G2333" t="s">
        <v>957</v>
      </c>
      <c r="H2333" t="s">
        <v>958</v>
      </c>
      <c r="I2333" t="s">
        <v>1</v>
      </c>
      <c r="J2333">
        <v>-29</v>
      </c>
      <c r="K2333"/>
      <c r="L2333">
        <v>0</v>
      </c>
      <c r="M2333">
        <v>0</v>
      </c>
      <c r="N2333">
        <v>0</v>
      </c>
      <c r="O2333"/>
      <c r="P2333">
        <v>0</v>
      </c>
      <c r="Q2333">
        <f t="shared" ref="Q2333:Q2343" si="480">O2333+P2333</f>
        <v>0</v>
      </c>
      <c r="R2333">
        <v>0</v>
      </c>
      <c r="S2333">
        <f t="shared" ref="S2333:S2343" si="481">IF(OR(LEFT(E2333,2)="A_",LEFT(D2333,5)="Total"),R2333-Q2333,"")</f>
        <v>0</v>
      </c>
      <c r="T2333"/>
      <c r="U2333">
        <f t="shared" ref="U2333:U2343" si="482">IFERROR(R2333*T2333,R2333*0)</f>
        <v>0</v>
      </c>
      <c r="V2333">
        <f t="shared" ref="V2333:V2343" si="483">IF(OR(LEFT(E2333,2)="A_",LEFT(D2333,5)="Total"),R2333+U2333,"")</f>
        <v>0</v>
      </c>
      <c r="W2333">
        <f t="shared" ref="W2333:W2343" si="484">IF(OR(LEFT(E2333,2)="A_",LEFT(D2333,5)="Total"),V2333-Q2333,"")</f>
        <v>0</v>
      </c>
      <c r="X2333">
        <v>0</v>
      </c>
    </row>
    <row r="2334" spans="1:24" x14ac:dyDescent="0.25">
      <c r="A2334" t="s">
        <v>1948</v>
      </c>
      <c r="B2334" t="s">
        <v>2129</v>
      </c>
      <c r="C2334" t="s">
        <v>2134</v>
      </c>
      <c r="D2334" t="s">
        <v>258</v>
      </c>
      <c r="E2334" t="s">
        <v>17</v>
      </c>
      <c r="F2334" t="s">
        <v>1</v>
      </c>
      <c r="G2334" t="s">
        <v>957</v>
      </c>
      <c r="H2334" t="s">
        <v>417</v>
      </c>
      <c r="I2334" t="s">
        <v>1</v>
      </c>
      <c r="J2334">
        <v>-26054.65</v>
      </c>
      <c r="K2334">
        <v>-42910</v>
      </c>
      <c r="L2334">
        <v>-11373.82</v>
      </c>
      <c r="M2334">
        <v>-22936.156353591159</v>
      </c>
      <c r="N2334">
        <v>-31208.370000000003</v>
      </c>
      <c r="O2334">
        <v>-22872.627032967001</v>
      </c>
      <c r="P2334">
        <v>0</v>
      </c>
      <c r="Q2334">
        <f t="shared" si="480"/>
        <v>-22872.627032967001</v>
      </c>
      <c r="R2334">
        <v>-22872.627032967001</v>
      </c>
      <c r="S2334">
        <f t="shared" si="481"/>
        <v>0</v>
      </c>
      <c r="T2334"/>
      <c r="U2334">
        <f t="shared" si="482"/>
        <v>0</v>
      </c>
      <c r="V2334">
        <f t="shared" si="483"/>
        <v>-22872.627032967001</v>
      </c>
      <c r="W2334">
        <f t="shared" si="484"/>
        <v>0</v>
      </c>
      <c r="X2334">
        <v>0</v>
      </c>
    </row>
    <row r="2335" spans="1:24" x14ac:dyDescent="0.25">
      <c r="A2335" t="s">
        <v>1948</v>
      </c>
      <c r="B2335" t="s">
        <v>2129</v>
      </c>
      <c r="C2335" t="s">
        <v>2134</v>
      </c>
      <c r="D2335" t="s">
        <v>258</v>
      </c>
      <c r="E2335" t="s">
        <v>82</v>
      </c>
      <c r="F2335" t="s">
        <v>1</v>
      </c>
      <c r="G2335" t="s">
        <v>957</v>
      </c>
      <c r="H2335" t="s">
        <v>507</v>
      </c>
      <c r="I2335" t="s">
        <v>1</v>
      </c>
      <c r="J2335">
        <v>2399.44</v>
      </c>
      <c r="K2335">
        <v>-44260.044338993903</v>
      </c>
      <c r="L2335">
        <v>3530.16</v>
      </c>
      <c r="M2335">
        <v>7118.8309392265191</v>
      </c>
      <c r="N2335">
        <v>4638.97</v>
      </c>
      <c r="O2335">
        <v>7099.1129670330001</v>
      </c>
      <c r="P2335">
        <v>0</v>
      </c>
      <c r="Q2335">
        <f t="shared" si="480"/>
        <v>7099.1129670330001</v>
      </c>
      <c r="R2335">
        <v>7099.1129670330001</v>
      </c>
      <c r="S2335">
        <f t="shared" si="481"/>
        <v>0</v>
      </c>
      <c r="T2335">
        <v>2.75E-2</v>
      </c>
      <c r="U2335">
        <f t="shared" si="482"/>
        <v>195.22560659340749</v>
      </c>
      <c r="V2335">
        <f t="shared" si="483"/>
        <v>7294.3385736264072</v>
      </c>
      <c r="W2335">
        <f t="shared" si="484"/>
        <v>195.22560659340706</v>
      </c>
      <c r="X2335">
        <v>0</v>
      </c>
    </row>
    <row r="2336" spans="1:24" x14ac:dyDescent="0.25">
      <c r="A2336" t="s">
        <v>1948</v>
      </c>
      <c r="B2336" t="s">
        <v>2129</v>
      </c>
      <c r="C2336" t="s">
        <v>2134</v>
      </c>
      <c r="D2336" t="s">
        <v>258</v>
      </c>
      <c r="E2336" t="s">
        <v>72</v>
      </c>
      <c r="F2336" t="s">
        <v>1</v>
      </c>
      <c r="G2336" t="s">
        <v>957</v>
      </c>
      <c r="H2336" t="s">
        <v>489</v>
      </c>
      <c r="I2336" t="s">
        <v>1</v>
      </c>
      <c r="J2336">
        <v>1593186.74</v>
      </c>
      <c r="K2336">
        <v>1482268.24087211</v>
      </c>
      <c r="L2336">
        <v>715183.16</v>
      </c>
      <c r="M2336">
        <v>1442220.1845303869</v>
      </c>
      <c r="N2336">
        <v>1493656.7399999998</v>
      </c>
      <c r="O2336">
        <v>1438225.4756044</v>
      </c>
      <c r="P2336">
        <v>0</v>
      </c>
      <c r="Q2336">
        <f t="shared" si="480"/>
        <v>1438225.4756044</v>
      </c>
      <c r="R2336">
        <v>1438225.4756044</v>
      </c>
      <c r="S2336">
        <f t="shared" si="481"/>
        <v>0</v>
      </c>
      <c r="T2336">
        <v>2.2499999999999999E-2</v>
      </c>
      <c r="U2336">
        <f t="shared" si="482"/>
        <v>32360.073201099</v>
      </c>
      <c r="V2336">
        <f t="shared" si="483"/>
        <v>1470585.548805499</v>
      </c>
      <c r="W2336">
        <f t="shared" si="484"/>
        <v>32360.073201098945</v>
      </c>
      <c r="X2336">
        <v>0</v>
      </c>
    </row>
    <row r="2337" spans="1:24" x14ac:dyDescent="0.25">
      <c r="A2337" t="s">
        <v>1948</v>
      </c>
      <c r="B2337" t="s">
        <v>2129</v>
      </c>
      <c r="C2337" t="s">
        <v>2134</v>
      </c>
      <c r="D2337" t="s">
        <v>258</v>
      </c>
      <c r="E2337" t="s">
        <v>26</v>
      </c>
      <c r="F2337" t="s">
        <v>1</v>
      </c>
      <c r="G2337" t="s">
        <v>957</v>
      </c>
      <c r="H2337" t="s">
        <v>426</v>
      </c>
      <c r="I2337" t="s">
        <v>1</v>
      </c>
      <c r="J2337"/>
      <c r="K2337">
        <v>78.499069464000002</v>
      </c>
      <c r="L2337">
        <v>87.1</v>
      </c>
      <c r="M2337">
        <v>175.64364640883977</v>
      </c>
      <c r="N2337">
        <v>87.1</v>
      </c>
      <c r="O2337">
        <v>174.2</v>
      </c>
      <c r="P2337">
        <v>0</v>
      </c>
      <c r="Q2337">
        <f t="shared" si="480"/>
        <v>174.2</v>
      </c>
      <c r="R2337">
        <v>174.2</v>
      </c>
      <c r="S2337">
        <f t="shared" si="481"/>
        <v>0</v>
      </c>
      <c r="T2337"/>
      <c r="U2337">
        <f t="shared" si="482"/>
        <v>0</v>
      </c>
      <c r="V2337">
        <f t="shared" si="483"/>
        <v>174.2</v>
      </c>
      <c r="W2337">
        <f t="shared" si="484"/>
        <v>0</v>
      </c>
      <c r="X2337">
        <v>0</v>
      </c>
    </row>
    <row r="2338" spans="1:24" x14ac:dyDescent="0.25">
      <c r="A2338" t="s">
        <v>1948</v>
      </c>
      <c r="B2338" t="s">
        <v>2129</v>
      </c>
      <c r="C2338" t="s">
        <v>2134</v>
      </c>
      <c r="D2338" t="s">
        <v>258</v>
      </c>
      <c r="E2338" t="s">
        <v>28</v>
      </c>
      <c r="F2338" t="s">
        <v>1</v>
      </c>
      <c r="G2338" t="s">
        <v>957</v>
      </c>
      <c r="H2338" t="s">
        <v>428</v>
      </c>
      <c r="I2338" t="s">
        <v>1</v>
      </c>
      <c r="J2338">
        <v>159.13999999999999</v>
      </c>
      <c r="K2338"/>
      <c r="L2338">
        <v>0</v>
      </c>
      <c r="M2338">
        <v>0</v>
      </c>
      <c r="N2338">
        <v>159.13999999999999</v>
      </c>
      <c r="O2338"/>
      <c r="P2338">
        <v>0</v>
      </c>
      <c r="Q2338">
        <f t="shared" si="480"/>
        <v>0</v>
      </c>
      <c r="R2338">
        <v>0</v>
      </c>
      <c r="S2338">
        <f t="shared" si="481"/>
        <v>0</v>
      </c>
      <c r="T2338"/>
      <c r="U2338">
        <f t="shared" si="482"/>
        <v>0</v>
      </c>
      <c r="V2338">
        <f t="shared" si="483"/>
        <v>0</v>
      </c>
      <c r="W2338">
        <f t="shared" si="484"/>
        <v>0</v>
      </c>
      <c r="X2338">
        <v>0</v>
      </c>
    </row>
    <row r="2339" spans="1:24" x14ac:dyDescent="0.25">
      <c r="A2339" t="s">
        <v>1948</v>
      </c>
      <c r="B2339" t="s">
        <v>2129</v>
      </c>
      <c r="C2339" t="s">
        <v>2134</v>
      </c>
      <c r="D2339" t="s">
        <v>258</v>
      </c>
      <c r="E2339" t="s">
        <v>34</v>
      </c>
      <c r="F2339" t="s">
        <v>1</v>
      </c>
      <c r="G2339" t="s">
        <v>957</v>
      </c>
      <c r="H2339" t="s">
        <v>434</v>
      </c>
      <c r="I2339" t="s">
        <v>1</v>
      </c>
      <c r="J2339"/>
      <c r="K2339">
        <v>392.49534731760002</v>
      </c>
      <c r="L2339">
        <v>0</v>
      </c>
      <c r="M2339">
        <v>0</v>
      </c>
      <c r="N2339">
        <v>0</v>
      </c>
      <c r="O2339"/>
      <c r="P2339">
        <v>0</v>
      </c>
      <c r="Q2339">
        <f t="shared" si="480"/>
        <v>0</v>
      </c>
      <c r="R2339">
        <v>0</v>
      </c>
      <c r="S2339">
        <f t="shared" si="481"/>
        <v>0</v>
      </c>
      <c r="T2339"/>
      <c r="U2339">
        <f t="shared" si="482"/>
        <v>0</v>
      </c>
      <c r="V2339">
        <f t="shared" si="483"/>
        <v>0</v>
      </c>
      <c r="W2339">
        <f t="shared" si="484"/>
        <v>0</v>
      </c>
      <c r="X2339">
        <v>0</v>
      </c>
    </row>
    <row r="2340" spans="1:24" x14ac:dyDescent="0.25">
      <c r="A2340" t="s">
        <v>1948</v>
      </c>
      <c r="B2340" t="s">
        <v>2129</v>
      </c>
      <c r="C2340" t="s">
        <v>2134</v>
      </c>
      <c r="D2340" t="s">
        <v>258</v>
      </c>
      <c r="E2340" t="s">
        <v>37</v>
      </c>
      <c r="F2340" t="s">
        <v>1</v>
      </c>
      <c r="G2340" t="s">
        <v>957</v>
      </c>
      <c r="H2340" t="s">
        <v>437</v>
      </c>
      <c r="I2340" t="s">
        <v>1</v>
      </c>
      <c r="J2340">
        <v>2110.88</v>
      </c>
      <c r="K2340"/>
      <c r="L2340">
        <v>0</v>
      </c>
      <c r="M2340">
        <v>0</v>
      </c>
      <c r="N2340">
        <v>1470.28</v>
      </c>
      <c r="O2340"/>
      <c r="P2340">
        <v>0</v>
      </c>
      <c r="Q2340">
        <f t="shared" si="480"/>
        <v>0</v>
      </c>
      <c r="R2340">
        <v>0</v>
      </c>
      <c r="S2340">
        <f t="shared" si="481"/>
        <v>0</v>
      </c>
      <c r="T2340"/>
      <c r="U2340">
        <f t="shared" si="482"/>
        <v>0</v>
      </c>
      <c r="V2340">
        <f t="shared" si="483"/>
        <v>0</v>
      </c>
      <c r="W2340">
        <f t="shared" si="484"/>
        <v>0</v>
      </c>
      <c r="X2340">
        <v>0</v>
      </c>
    </row>
    <row r="2341" spans="1:24" x14ac:dyDescent="0.25">
      <c r="A2341" t="s">
        <v>1948</v>
      </c>
      <c r="B2341" t="s">
        <v>2129</v>
      </c>
      <c r="C2341" t="s">
        <v>2134</v>
      </c>
      <c r="D2341" t="s">
        <v>258</v>
      </c>
      <c r="E2341" t="s">
        <v>41</v>
      </c>
      <c r="F2341" t="s">
        <v>1</v>
      </c>
      <c r="G2341" t="s">
        <v>957</v>
      </c>
      <c r="H2341" t="s">
        <v>441</v>
      </c>
      <c r="I2341" t="s">
        <v>1</v>
      </c>
      <c r="J2341">
        <v>37255.42</v>
      </c>
      <c r="K2341">
        <v>32417.520306439201</v>
      </c>
      <c r="L2341">
        <v>17806.66</v>
      </c>
      <c r="M2341">
        <v>35908.458011049719</v>
      </c>
      <c r="N2341">
        <v>38559.199999999997</v>
      </c>
      <c r="O2341">
        <v>35613.32</v>
      </c>
      <c r="P2341">
        <v>0</v>
      </c>
      <c r="Q2341">
        <f t="shared" si="480"/>
        <v>35613.32</v>
      </c>
      <c r="R2341">
        <v>35613.32</v>
      </c>
      <c r="S2341">
        <f t="shared" si="481"/>
        <v>0</v>
      </c>
      <c r="T2341">
        <v>0.03</v>
      </c>
      <c r="U2341">
        <f t="shared" si="482"/>
        <v>1068.3996</v>
      </c>
      <c r="V2341">
        <f t="shared" si="483"/>
        <v>36681.719599999997</v>
      </c>
      <c r="W2341">
        <f t="shared" si="484"/>
        <v>1068.399599999997</v>
      </c>
      <c r="X2341">
        <v>0</v>
      </c>
    </row>
    <row r="2342" spans="1:24" x14ac:dyDescent="0.25">
      <c r="A2342" t="s">
        <v>1948</v>
      </c>
      <c r="B2342" t="s">
        <v>2129</v>
      </c>
      <c r="C2342" t="s">
        <v>2134</v>
      </c>
      <c r="D2342" t="s">
        <v>258</v>
      </c>
      <c r="E2342" t="s">
        <v>47</v>
      </c>
      <c r="F2342" t="s">
        <v>1</v>
      </c>
      <c r="G2342" t="s">
        <v>957</v>
      </c>
      <c r="H2342" t="s">
        <v>447</v>
      </c>
      <c r="I2342" t="s">
        <v>1</v>
      </c>
      <c r="J2342"/>
      <c r="K2342">
        <v>15</v>
      </c>
      <c r="L2342">
        <v>0</v>
      </c>
      <c r="M2342">
        <v>0</v>
      </c>
      <c r="N2342">
        <v>0</v>
      </c>
      <c r="O2342"/>
      <c r="P2342">
        <v>0</v>
      </c>
      <c r="Q2342">
        <f t="shared" si="480"/>
        <v>0</v>
      </c>
      <c r="R2342">
        <v>0</v>
      </c>
      <c r="S2342">
        <f t="shared" si="481"/>
        <v>0</v>
      </c>
      <c r="T2342">
        <v>0.03</v>
      </c>
      <c r="U2342">
        <f t="shared" si="482"/>
        <v>0</v>
      </c>
      <c r="V2342">
        <f t="shared" si="483"/>
        <v>0</v>
      </c>
      <c r="W2342">
        <f t="shared" si="484"/>
        <v>0</v>
      </c>
      <c r="X2342">
        <v>0</v>
      </c>
    </row>
    <row r="2343" spans="1:24" x14ac:dyDescent="0.25">
      <c r="A2343" t="s">
        <v>1948</v>
      </c>
      <c r="B2343" t="s">
        <v>2129</v>
      </c>
      <c r="C2343" t="s">
        <v>2134</v>
      </c>
      <c r="D2343" t="s">
        <v>258</v>
      </c>
      <c r="E2343" t="s">
        <v>48</v>
      </c>
      <c r="F2343" t="s">
        <v>1</v>
      </c>
      <c r="G2343" t="s">
        <v>957</v>
      </c>
      <c r="H2343" t="s">
        <v>448</v>
      </c>
      <c r="I2343" t="s">
        <v>1</v>
      </c>
      <c r="J2343">
        <v>57.18</v>
      </c>
      <c r="K2343">
        <v>114</v>
      </c>
      <c r="L2343">
        <v>0</v>
      </c>
      <c r="M2343">
        <v>0</v>
      </c>
      <c r="N2343">
        <v>0</v>
      </c>
      <c r="O2343"/>
      <c r="P2343">
        <v>0</v>
      </c>
      <c r="Q2343">
        <f t="shared" si="480"/>
        <v>0</v>
      </c>
      <c r="R2343">
        <v>0</v>
      </c>
      <c r="S2343">
        <f t="shared" si="481"/>
        <v>0</v>
      </c>
      <c r="T2343">
        <v>0.03</v>
      </c>
      <c r="U2343">
        <f t="shared" si="482"/>
        <v>0</v>
      </c>
      <c r="V2343">
        <f t="shared" si="483"/>
        <v>0</v>
      </c>
      <c r="W2343">
        <f t="shared" si="484"/>
        <v>0</v>
      </c>
      <c r="X2343">
        <v>0</v>
      </c>
    </row>
    <row r="2344" spans="1:24" x14ac:dyDescent="0.25">
      <c r="A2344" t="s">
        <v>1948</v>
      </c>
      <c r="B2344" t="s">
        <v>2129</v>
      </c>
      <c r="C2344" t="s">
        <v>2134</v>
      </c>
      <c r="D2344" t="s">
        <v>258</v>
      </c>
      <c r="E2344" t="s">
        <v>51</v>
      </c>
      <c r="F2344" t="s">
        <v>51</v>
      </c>
      <c r="G2344" t="s">
        <v>959</v>
      </c>
      <c r="H2344"/>
      <c r="I2344"/>
      <c r="J2344">
        <v>1609085.1499999997</v>
      </c>
      <c r="K2344">
        <v>1428115.7112563367</v>
      </c>
      <c r="L2344">
        <v>725233.26</v>
      </c>
      <c r="M2344">
        <v>1462486.9607734808</v>
      </c>
      <c r="N2344">
        <v>1507363.0599999998</v>
      </c>
      <c r="O2344">
        <v>1458239.4815384659</v>
      </c>
      <c r="P2344">
        <f>SUMIF($F$2332:$F$2343,"&lt;&gt;EV_*",$P$2332:$P$2343)</f>
        <v>0</v>
      </c>
      <c r="Q2344">
        <f>SUMIF($F$2332:$F$2343,"&lt;&gt;EV_*",$Q$2332:$Q$2343)</f>
        <v>1458239.4815384659</v>
      </c>
      <c r="R2344">
        <f>SUMIF($F$2332:$F$2343,"&lt;&gt;EV_*",$R$2332:$R$2343)</f>
        <v>1458239.4815384659</v>
      </c>
      <c r="S2344">
        <f>SUMIF($F$2332:$F$2343,"&lt;&gt;EV_*",$S$2332:$S$2343)</f>
        <v>0</v>
      </c>
      <c r="T2344">
        <v>0</v>
      </c>
      <c r="U2344">
        <f>SUMIF($F$2332:$F$2343,"&lt;&gt;EV_*",$U$2332:$U$2343)</f>
        <v>33623.698407692405</v>
      </c>
      <c r="V2344">
        <f>SUMIF($F$2332:$F$2343,"&lt;&gt;EV_*",$V$2332:$V$2343)</f>
        <v>1491863.1799461583</v>
      </c>
      <c r="W2344">
        <f>SUMIF($F$2332:$F$2343,"&lt;&gt;EV_*",$W$2332:$W$2343)</f>
        <v>33623.698407692347</v>
      </c>
      <c r="X2344">
        <f>SUMIF($F$2332:$F$2343,"&lt;&gt;EV_*",$X$2332:$X$2343)</f>
        <v>0</v>
      </c>
    </row>
    <row r="2345" spans="1:24" x14ac:dyDescent="0.25">
      <c r="A2345" t="s">
        <v>1948</v>
      </c>
      <c r="B2345" t="s">
        <v>2129</v>
      </c>
      <c r="C2345" t="s">
        <v>2135</v>
      </c>
      <c r="D2345" t="s">
        <v>260</v>
      </c>
      <c r="E2345" t="s">
        <v>5</v>
      </c>
      <c r="F2345" t="s">
        <v>5</v>
      </c>
      <c r="G2345" t="s">
        <v>960</v>
      </c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</row>
    <row r="2346" spans="1:24" x14ac:dyDescent="0.25">
      <c r="A2346" t="s">
        <v>1948</v>
      </c>
      <c r="B2346" t="s">
        <v>2129</v>
      </c>
      <c r="C2346" t="s">
        <v>2135</v>
      </c>
      <c r="D2346" t="s">
        <v>260</v>
      </c>
      <c r="E2346" t="s">
        <v>6</v>
      </c>
      <c r="F2346" t="s">
        <v>1</v>
      </c>
      <c r="G2346" t="s">
        <v>961</v>
      </c>
      <c r="H2346" t="s">
        <v>406</v>
      </c>
      <c r="I2346" t="s">
        <v>1</v>
      </c>
      <c r="J2346">
        <v>4299</v>
      </c>
      <c r="K2346">
        <v>8598</v>
      </c>
      <c r="L2346">
        <v>0</v>
      </c>
      <c r="M2346">
        <v>0</v>
      </c>
      <c r="N2346">
        <v>0</v>
      </c>
      <c r="O2346"/>
      <c r="P2346">
        <v>0</v>
      </c>
      <c r="Q2346">
        <f t="shared" ref="Q2346:Q2384" si="485">O2346+P2346</f>
        <v>0</v>
      </c>
      <c r="R2346">
        <v>0</v>
      </c>
      <c r="S2346">
        <f t="shared" ref="S2346:S2384" si="486">IF(OR(LEFT(E2346,2)="A_",LEFT(D2346,5)="Total"),R2346-Q2346,"")</f>
        <v>0</v>
      </c>
      <c r="T2346"/>
      <c r="U2346">
        <f t="shared" ref="U2346:U2384" si="487">IFERROR(R2346*T2346,R2346*0)</f>
        <v>0</v>
      </c>
      <c r="V2346">
        <f t="shared" ref="V2346:V2384" si="488">IF(OR(LEFT(E2346,2)="A_",LEFT(D2346,5)="Total"),R2346+U2346,"")</f>
        <v>0</v>
      </c>
      <c r="W2346">
        <f t="shared" ref="W2346:W2384" si="489">IF(OR(LEFT(E2346,2)="A_",LEFT(D2346,5)="Total"),V2346-Q2346,"")</f>
        <v>0</v>
      </c>
      <c r="X2346">
        <v>0</v>
      </c>
    </row>
    <row r="2347" spans="1:24" x14ac:dyDescent="0.25">
      <c r="A2347" t="s">
        <v>1948</v>
      </c>
      <c r="B2347" t="s">
        <v>2129</v>
      </c>
      <c r="C2347" t="s">
        <v>2135</v>
      </c>
      <c r="D2347" t="s">
        <v>260</v>
      </c>
      <c r="E2347" t="s">
        <v>261</v>
      </c>
      <c r="F2347" t="s">
        <v>1</v>
      </c>
      <c r="G2347" t="s">
        <v>961</v>
      </c>
      <c r="H2347" t="s">
        <v>962</v>
      </c>
      <c r="I2347" t="s">
        <v>1</v>
      </c>
      <c r="J2347">
        <v>2595756.71</v>
      </c>
      <c r="K2347">
        <v>2645763.8614468202</v>
      </c>
      <c r="L2347">
        <v>1254923.3400000001</v>
      </c>
      <c r="M2347">
        <v>2530646.5143646412</v>
      </c>
      <c r="N2347">
        <v>2663264.27</v>
      </c>
      <c r="O2347">
        <v>2530646.5143646402</v>
      </c>
      <c r="P2347">
        <v>0</v>
      </c>
      <c r="Q2347">
        <f t="shared" si="485"/>
        <v>2530646.5143646402</v>
      </c>
      <c r="R2347">
        <v>2530646.5143646402</v>
      </c>
      <c r="S2347">
        <f t="shared" si="486"/>
        <v>0</v>
      </c>
      <c r="T2347">
        <v>0.03</v>
      </c>
      <c r="U2347">
        <f t="shared" si="487"/>
        <v>75919.395430939199</v>
      </c>
      <c r="V2347">
        <f t="shared" si="488"/>
        <v>2606565.9097955795</v>
      </c>
      <c r="W2347">
        <f t="shared" si="489"/>
        <v>75919.395430939272</v>
      </c>
      <c r="X2347">
        <v>0</v>
      </c>
    </row>
    <row r="2348" spans="1:24" x14ac:dyDescent="0.25">
      <c r="A2348" t="s">
        <v>1948</v>
      </c>
      <c r="B2348" t="s">
        <v>2129</v>
      </c>
      <c r="C2348" t="s">
        <v>2135</v>
      </c>
      <c r="D2348" t="s">
        <v>260</v>
      </c>
      <c r="E2348" t="s">
        <v>262</v>
      </c>
      <c r="F2348" t="s">
        <v>1</v>
      </c>
      <c r="G2348" t="s">
        <v>961</v>
      </c>
      <c r="H2348" t="s">
        <v>963</v>
      </c>
      <c r="I2348" t="s">
        <v>1</v>
      </c>
      <c r="J2348">
        <v>326373.73</v>
      </c>
      <c r="K2348">
        <v>309945.55944809603</v>
      </c>
      <c r="L2348">
        <v>125919.08</v>
      </c>
      <c r="M2348">
        <v>253925.21657458562</v>
      </c>
      <c r="N2348">
        <v>302295.57</v>
      </c>
      <c r="O2348">
        <v>253925.216574586</v>
      </c>
      <c r="P2348">
        <v>0</v>
      </c>
      <c r="Q2348">
        <f t="shared" si="485"/>
        <v>253925.216574586</v>
      </c>
      <c r="R2348">
        <v>253925.216574586</v>
      </c>
      <c r="S2348">
        <f t="shared" si="486"/>
        <v>0</v>
      </c>
      <c r="T2348">
        <v>0.03</v>
      </c>
      <c r="U2348">
        <f t="shared" si="487"/>
        <v>7617.7564972375794</v>
      </c>
      <c r="V2348">
        <f t="shared" si="488"/>
        <v>261542.97307182357</v>
      </c>
      <c r="W2348">
        <f t="shared" si="489"/>
        <v>7617.7564972375694</v>
      </c>
      <c r="X2348">
        <v>0</v>
      </c>
    </row>
    <row r="2349" spans="1:24" x14ac:dyDescent="0.25">
      <c r="A2349" t="s">
        <v>1948</v>
      </c>
      <c r="B2349" t="s">
        <v>2129</v>
      </c>
      <c r="C2349" t="s">
        <v>2135</v>
      </c>
      <c r="D2349" t="s">
        <v>260</v>
      </c>
      <c r="E2349" t="s">
        <v>8</v>
      </c>
      <c r="F2349" t="s">
        <v>1</v>
      </c>
      <c r="G2349" t="s">
        <v>961</v>
      </c>
      <c r="H2349" t="s">
        <v>408</v>
      </c>
      <c r="I2349" t="s">
        <v>1</v>
      </c>
      <c r="J2349">
        <v>3298.42</v>
      </c>
      <c r="K2349">
        <v>2103.0654696135002</v>
      </c>
      <c r="L2349">
        <v>762.78</v>
      </c>
      <c r="M2349">
        <v>1538.2027624309392</v>
      </c>
      <c r="N2349">
        <v>3018.31</v>
      </c>
      <c r="O2349">
        <v>1538.2027624309001</v>
      </c>
      <c r="P2349">
        <v>0</v>
      </c>
      <c r="Q2349">
        <f t="shared" si="485"/>
        <v>1538.2027624309001</v>
      </c>
      <c r="R2349">
        <v>1538.2027624309001</v>
      </c>
      <c r="S2349">
        <f t="shared" si="486"/>
        <v>0</v>
      </c>
      <c r="T2349"/>
      <c r="U2349">
        <f t="shared" si="487"/>
        <v>0</v>
      </c>
      <c r="V2349">
        <f t="shared" si="488"/>
        <v>1538.2027624309001</v>
      </c>
      <c r="W2349">
        <f t="shared" si="489"/>
        <v>0</v>
      </c>
      <c r="X2349">
        <v>0</v>
      </c>
    </row>
    <row r="2350" spans="1:24" x14ac:dyDescent="0.25">
      <c r="A2350" t="s">
        <v>1948</v>
      </c>
      <c r="B2350" t="s">
        <v>2129</v>
      </c>
      <c r="C2350" t="s">
        <v>2135</v>
      </c>
      <c r="D2350" t="s">
        <v>260</v>
      </c>
      <c r="E2350" t="s">
        <v>11</v>
      </c>
      <c r="F2350" t="s">
        <v>1</v>
      </c>
      <c r="G2350" t="s">
        <v>961</v>
      </c>
      <c r="H2350" t="s">
        <v>411</v>
      </c>
      <c r="I2350" t="s">
        <v>1</v>
      </c>
      <c r="J2350">
        <v>1561.04</v>
      </c>
      <c r="K2350">
        <v>1457.61</v>
      </c>
      <c r="L2350">
        <v>786.61</v>
      </c>
      <c r="M2350">
        <v>1586.25773480663</v>
      </c>
      <c r="N2350">
        <v>1554.7900000000002</v>
      </c>
      <c r="O2350">
        <v>1573.22</v>
      </c>
      <c r="P2350">
        <v>0</v>
      </c>
      <c r="Q2350">
        <f t="shared" si="485"/>
        <v>1573.22</v>
      </c>
      <c r="R2350">
        <v>1573.22</v>
      </c>
      <c r="S2350">
        <f t="shared" si="486"/>
        <v>0</v>
      </c>
      <c r="T2350"/>
      <c r="U2350">
        <f t="shared" si="487"/>
        <v>0</v>
      </c>
      <c r="V2350">
        <f t="shared" si="488"/>
        <v>1573.22</v>
      </c>
      <c r="W2350">
        <f t="shared" si="489"/>
        <v>0</v>
      </c>
      <c r="X2350" t="s">
        <v>1674</v>
      </c>
    </row>
    <row r="2351" spans="1:24" x14ac:dyDescent="0.25">
      <c r="A2351" t="s">
        <v>1948</v>
      </c>
      <c r="B2351" t="s">
        <v>2129</v>
      </c>
      <c r="C2351" t="s">
        <v>2135</v>
      </c>
      <c r="D2351" t="s">
        <v>260</v>
      </c>
      <c r="E2351" t="s">
        <v>12</v>
      </c>
      <c r="F2351" t="s">
        <v>1</v>
      </c>
      <c r="G2351" t="s">
        <v>961</v>
      </c>
      <c r="H2351" t="s">
        <v>412</v>
      </c>
      <c r="I2351" t="s">
        <v>1</v>
      </c>
      <c r="J2351"/>
      <c r="K2351"/>
      <c r="L2351">
        <v>1500.3</v>
      </c>
      <c r="M2351">
        <v>3025.4668508287291</v>
      </c>
      <c r="N2351">
        <v>1500.3</v>
      </c>
      <c r="O2351">
        <v>3000.6</v>
      </c>
      <c r="P2351">
        <v>0</v>
      </c>
      <c r="Q2351">
        <f t="shared" si="485"/>
        <v>3000.6</v>
      </c>
      <c r="R2351">
        <v>1500.3</v>
      </c>
      <c r="S2351">
        <f t="shared" si="486"/>
        <v>-1500.3</v>
      </c>
      <c r="T2351"/>
      <c r="U2351">
        <f t="shared" si="487"/>
        <v>0</v>
      </c>
      <c r="V2351">
        <f t="shared" si="488"/>
        <v>1500.3</v>
      </c>
      <c r="W2351">
        <f t="shared" si="489"/>
        <v>-1500.3</v>
      </c>
      <c r="X2351" t="s">
        <v>1675</v>
      </c>
    </row>
    <row r="2352" spans="1:24" x14ac:dyDescent="0.25">
      <c r="A2352" t="s">
        <v>1948</v>
      </c>
      <c r="B2352" t="s">
        <v>2129</v>
      </c>
      <c r="C2352" t="s">
        <v>2135</v>
      </c>
      <c r="D2352" t="s">
        <v>260</v>
      </c>
      <c r="E2352" t="s">
        <v>13</v>
      </c>
      <c r="F2352" t="s">
        <v>1</v>
      </c>
      <c r="G2352" t="s">
        <v>961</v>
      </c>
      <c r="H2352" t="s">
        <v>413</v>
      </c>
      <c r="I2352" t="s">
        <v>1</v>
      </c>
      <c r="J2352"/>
      <c r="K2352"/>
      <c r="L2352">
        <v>141.52000000000001</v>
      </c>
      <c r="M2352">
        <v>285.38563535911607</v>
      </c>
      <c r="N2352">
        <v>141.52000000000001</v>
      </c>
      <c r="O2352">
        <v>283.04000000000002</v>
      </c>
      <c r="P2352">
        <v>0</v>
      </c>
      <c r="Q2352">
        <f t="shared" si="485"/>
        <v>283.04000000000002</v>
      </c>
      <c r="R2352">
        <v>0</v>
      </c>
      <c r="S2352">
        <f t="shared" si="486"/>
        <v>-283.04000000000002</v>
      </c>
      <c r="T2352"/>
      <c r="U2352">
        <f t="shared" si="487"/>
        <v>0</v>
      </c>
      <c r="V2352">
        <f t="shared" si="488"/>
        <v>0</v>
      </c>
      <c r="W2352">
        <f t="shared" si="489"/>
        <v>-283.04000000000002</v>
      </c>
      <c r="X2352">
        <v>0</v>
      </c>
    </row>
    <row r="2353" spans="1:24" x14ac:dyDescent="0.25">
      <c r="A2353" t="s">
        <v>1948</v>
      </c>
      <c r="B2353" t="s">
        <v>2129</v>
      </c>
      <c r="C2353" t="s">
        <v>2135</v>
      </c>
      <c r="D2353" t="s">
        <v>260</v>
      </c>
      <c r="E2353" t="s">
        <v>65</v>
      </c>
      <c r="F2353" t="s">
        <v>1</v>
      </c>
      <c r="G2353" t="s">
        <v>961</v>
      </c>
      <c r="H2353" t="s">
        <v>476</v>
      </c>
      <c r="I2353" t="s">
        <v>1</v>
      </c>
      <c r="J2353">
        <v>-4</v>
      </c>
      <c r="K2353"/>
      <c r="L2353">
        <v>0</v>
      </c>
      <c r="M2353">
        <v>0</v>
      </c>
      <c r="N2353">
        <v>-4</v>
      </c>
      <c r="O2353"/>
      <c r="P2353">
        <v>0</v>
      </c>
      <c r="Q2353">
        <f t="shared" si="485"/>
        <v>0</v>
      </c>
      <c r="R2353">
        <v>0</v>
      </c>
      <c r="S2353">
        <f t="shared" si="486"/>
        <v>0</v>
      </c>
      <c r="T2353"/>
      <c r="U2353">
        <f t="shared" si="487"/>
        <v>0</v>
      </c>
      <c r="V2353">
        <f t="shared" si="488"/>
        <v>0</v>
      </c>
      <c r="W2353">
        <f t="shared" si="489"/>
        <v>0</v>
      </c>
      <c r="X2353">
        <v>0</v>
      </c>
    </row>
    <row r="2354" spans="1:24" x14ac:dyDescent="0.25">
      <c r="A2354" t="s">
        <v>1948</v>
      </c>
      <c r="B2354" t="s">
        <v>2129</v>
      </c>
      <c r="C2354" t="s">
        <v>2135</v>
      </c>
      <c r="D2354" t="s">
        <v>260</v>
      </c>
      <c r="E2354" t="s">
        <v>17</v>
      </c>
      <c r="F2354" t="s">
        <v>1</v>
      </c>
      <c r="G2354" t="s">
        <v>961</v>
      </c>
      <c r="H2354" t="s">
        <v>417</v>
      </c>
      <c r="I2354" t="s">
        <v>1</v>
      </c>
      <c r="J2354">
        <v>-339.54</v>
      </c>
      <c r="K2354"/>
      <c r="L2354">
        <v>-504.84</v>
      </c>
      <c r="M2354">
        <v>-1018.0475138121546</v>
      </c>
      <c r="N2354">
        <v>-844.38000000000011</v>
      </c>
      <c r="O2354">
        <v>-1015.2276923077</v>
      </c>
      <c r="P2354">
        <v>0</v>
      </c>
      <c r="Q2354">
        <f t="shared" si="485"/>
        <v>-1015.2276923077</v>
      </c>
      <c r="R2354">
        <v>-1015.2276923077</v>
      </c>
      <c r="S2354">
        <f t="shared" si="486"/>
        <v>0</v>
      </c>
      <c r="T2354"/>
      <c r="U2354">
        <f t="shared" si="487"/>
        <v>0</v>
      </c>
      <c r="V2354">
        <f t="shared" si="488"/>
        <v>-1015.2276923077</v>
      </c>
      <c r="W2354">
        <f t="shared" si="489"/>
        <v>0</v>
      </c>
      <c r="X2354">
        <v>0</v>
      </c>
    </row>
    <row r="2355" spans="1:24" x14ac:dyDescent="0.25">
      <c r="A2355" t="s">
        <v>1948</v>
      </c>
      <c r="B2355" t="s">
        <v>2129</v>
      </c>
      <c r="C2355" t="s">
        <v>2135</v>
      </c>
      <c r="D2355" t="s">
        <v>260</v>
      </c>
      <c r="E2355" t="s">
        <v>82</v>
      </c>
      <c r="F2355" t="s">
        <v>1</v>
      </c>
      <c r="G2355" t="s">
        <v>961</v>
      </c>
      <c r="H2355" t="s">
        <v>507</v>
      </c>
      <c r="I2355" t="s">
        <v>1</v>
      </c>
      <c r="J2355">
        <v>61573.89</v>
      </c>
      <c r="K2355">
        <v>73014.249453703902</v>
      </c>
      <c r="L2355">
        <v>44446.32</v>
      </c>
      <c r="M2355">
        <v>89629.319337016568</v>
      </c>
      <c r="N2355">
        <v>64027.499999999993</v>
      </c>
      <c r="O2355">
        <v>89381.061098901104</v>
      </c>
      <c r="P2355">
        <v>0</v>
      </c>
      <c r="Q2355">
        <f t="shared" si="485"/>
        <v>89381.061098901104</v>
      </c>
      <c r="R2355">
        <v>89381.061098901104</v>
      </c>
      <c r="S2355">
        <f t="shared" si="486"/>
        <v>0</v>
      </c>
      <c r="T2355">
        <v>2.75E-2</v>
      </c>
      <c r="U2355">
        <f t="shared" si="487"/>
        <v>2457.9791802197806</v>
      </c>
      <c r="V2355">
        <f t="shared" si="488"/>
        <v>91839.040279120891</v>
      </c>
      <c r="W2355">
        <f t="shared" si="489"/>
        <v>2457.9791802197869</v>
      </c>
      <c r="X2355">
        <v>0</v>
      </c>
    </row>
    <row r="2356" spans="1:24" x14ac:dyDescent="0.25">
      <c r="A2356" t="s">
        <v>1948</v>
      </c>
      <c r="B2356" t="s">
        <v>2129</v>
      </c>
      <c r="C2356" t="s">
        <v>2135</v>
      </c>
      <c r="D2356" t="s">
        <v>260</v>
      </c>
      <c r="E2356" t="s">
        <v>72</v>
      </c>
      <c r="F2356" t="s">
        <v>1</v>
      </c>
      <c r="G2356" t="s">
        <v>961</v>
      </c>
      <c r="H2356" t="s">
        <v>489</v>
      </c>
      <c r="I2356" t="s">
        <v>1</v>
      </c>
      <c r="J2356">
        <v>211120.6</v>
      </c>
      <c r="K2356">
        <v>210799.29967399</v>
      </c>
      <c r="L2356">
        <v>104241.93</v>
      </c>
      <c r="M2356">
        <v>210211.62679558009</v>
      </c>
      <c r="N2356">
        <v>223944.01999999996</v>
      </c>
      <c r="O2356">
        <v>209629.375714286</v>
      </c>
      <c r="P2356">
        <v>0</v>
      </c>
      <c r="Q2356">
        <f t="shared" si="485"/>
        <v>209629.375714286</v>
      </c>
      <c r="R2356">
        <v>209629.375714286</v>
      </c>
      <c r="S2356">
        <f t="shared" si="486"/>
        <v>0</v>
      </c>
      <c r="T2356">
        <v>2.2499999999999999E-2</v>
      </c>
      <c r="U2356">
        <f t="shared" si="487"/>
        <v>4716.6609535714351</v>
      </c>
      <c r="V2356">
        <f t="shared" si="488"/>
        <v>214346.03666785744</v>
      </c>
      <c r="W2356">
        <f t="shared" si="489"/>
        <v>4716.6609535714379</v>
      </c>
      <c r="X2356">
        <v>0</v>
      </c>
    </row>
    <row r="2357" spans="1:24" x14ac:dyDescent="0.25">
      <c r="A2357" t="s">
        <v>1948</v>
      </c>
      <c r="B2357" t="s">
        <v>2129</v>
      </c>
      <c r="C2357" t="s">
        <v>2135</v>
      </c>
      <c r="D2357" t="s">
        <v>260</v>
      </c>
      <c r="E2357" t="s">
        <v>18</v>
      </c>
      <c r="F2357" t="s">
        <v>1</v>
      </c>
      <c r="G2357" t="s">
        <v>961</v>
      </c>
      <c r="H2357" t="s">
        <v>418</v>
      </c>
      <c r="I2357" t="s">
        <v>1</v>
      </c>
      <c r="J2357">
        <v>7367.42</v>
      </c>
      <c r="K2357">
        <v>5094.1066164435997</v>
      </c>
      <c r="L2357">
        <v>2808.05</v>
      </c>
      <c r="M2357">
        <v>5662.6422651933708</v>
      </c>
      <c r="N2357">
        <v>7342.9500000000007</v>
      </c>
      <c r="O2357">
        <v>5646.9576923077002</v>
      </c>
      <c r="P2357">
        <v>0</v>
      </c>
      <c r="Q2357">
        <f t="shared" si="485"/>
        <v>5646.9576923077002</v>
      </c>
      <c r="R2357">
        <v>5646.9576923077002</v>
      </c>
      <c r="S2357">
        <f t="shared" si="486"/>
        <v>0</v>
      </c>
      <c r="T2357">
        <v>0.02</v>
      </c>
      <c r="U2357">
        <f t="shared" si="487"/>
        <v>112.939153846154</v>
      </c>
      <c r="V2357">
        <f t="shared" si="488"/>
        <v>5759.8968461538543</v>
      </c>
      <c r="W2357">
        <f t="shared" si="489"/>
        <v>112.93915384615411</v>
      </c>
      <c r="X2357">
        <v>0</v>
      </c>
    </row>
    <row r="2358" spans="1:24" x14ac:dyDescent="0.25">
      <c r="A2358" t="s">
        <v>1948</v>
      </c>
      <c r="B2358" t="s">
        <v>2129</v>
      </c>
      <c r="C2358" t="s">
        <v>2135</v>
      </c>
      <c r="D2358" t="s">
        <v>260</v>
      </c>
      <c r="E2358" t="s">
        <v>57</v>
      </c>
      <c r="F2358" t="s">
        <v>1</v>
      </c>
      <c r="G2358" t="s">
        <v>961</v>
      </c>
      <c r="H2358" t="s">
        <v>462</v>
      </c>
      <c r="I2358" t="s">
        <v>1</v>
      </c>
      <c r="J2358">
        <v>250.44</v>
      </c>
      <c r="K2358"/>
      <c r="L2358">
        <v>29</v>
      </c>
      <c r="M2358">
        <v>58.480662983425418</v>
      </c>
      <c r="N2358">
        <v>133.55000000000001</v>
      </c>
      <c r="O2358">
        <v>58.318681318700001</v>
      </c>
      <c r="P2358">
        <v>0</v>
      </c>
      <c r="Q2358">
        <f t="shared" si="485"/>
        <v>58.318681318700001</v>
      </c>
      <c r="R2358">
        <v>58.318681318700001</v>
      </c>
      <c r="S2358">
        <f t="shared" si="486"/>
        <v>0</v>
      </c>
      <c r="T2358">
        <v>0.04</v>
      </c>
      <c r="U2358">
        <f t="shared" si="487"/>
        <v>2.3327472527480002</v>
      </c>
      <c r="V2358">
        <f t="shared" si="488"/>
        <v>60.651428571448001</v>
      </c>
      <c r="W2358">
        <f t="shared" si="489"/>
        <v>2.3327472527479998</v>
      </c>
      <c r="X2358">
        <v>0</v>
      </c>
    </row>
    <row r="2359" spans="1:24" x14ac:dyDescent="0.25">
      <c r="A2359" t="s">
        <v>1948</v>
      </c>
      <c r="B2359" t="s">
        <v>2129</v>
      </c>
      <c r="C2359" t="s">
        <v>2135</v>
      </c>
      <c r="D2359" t="s">
        <v>260</v>
      </c>
      <c r="E2359" t="s">
        <v>74</v>
      </c>
      <c r="F2359" t="s">
        <v>1</v>
      </c>
      <c r="G2359" t="s">
        <v>961</v>
      </c>
      <c r="H2359" t="s">
        <v>491</v>
      </c>
      <c r="I2359" t="s">
        <v>1</v>
      </c>
      <c r="J2359">
        <v>2908.8</v>
      </c>
      <c r="K2359">
        <v>4522.1066666668003</v>
      </c>
      <c r="L2359">
        <v>2474.84</v>
      </c>
      <c r="M2359">
        <v>4990.6994475138126</v>
      </c>
      <c r="N2359">
        <v>2474.84</v>
      </c>
      <c r="O2359">
        <v>4976.8760439560001</v>
      </c>
      <c r="P2359">
        <v>0</v>
      </c>
      <c r="Q2359">
        <f t="shared" si="485"/>
        <v>4976.8760439560001</v>
      </c>
      <c r="R2359">
        <v>4976.8760439560001</v>
      </c>
      <c r="S2359">
        <f t="shared" si="486"/>
        <v>0</v>
      </c>
      <c r="T2359">
        <v>3.5000000000000003E-2</v>
      </c>
      <c r="U2359">
        <f t="shared" si="487"/>
        <v>174.19066153846003</v>
      </c>
      <c r="V2359">
        <f t="shared" si="488"/>
        <v>5151.0667054944597</v>
      </c>
      <c r="W2359">
        <f t="shared" si="489"/>
        <v>174.19066153845961</v>
      </c>
      <c r="X2359">
        <v>0</v>
      </c>
    </row>
    <row r="2360" spans="1:24" x14ac:dyDescent="0.25">
      <c r="A2360" t="s">
        <v>1948</v>
      </c>
      <c r="B2360" t="s">
        <v>2129</v>
      </c>
      <c r="C2360" t="s">
        <v>2135</v>
      </c>
      <c r="D2360" t="s">
        <v>260</v>
      </c>
      <c r="E2360" t="s">
        <v>85</v>
      </c>
      <c r="F2360" t="s">
        <v>1</v>
      </c>
      <c r="G2360" t="s">
        <v>961</v>
      </c>
      <c r="H2360" t="s">
        <v>510</v>
      </c>
      <c r="I2360" t="s">
        <v>1</v>
      </c>
      <c r="J2360">
        <v>180.36</v>
      </c>
      <c r="K2360"/>
      <c r="L2360">
        <v>180.36</v>
      </c>
      <c r="M2360">
        <v>363.7093922651934</v>
      </c>
      <c r="N2360">
        <v>270.54000000000002</v>
      </c>
      <c r="O2360">
        <v>362.70197802199999</v>
      </c>
      <c r="P2360">
        <v>0</v>
      </c>
      <c r="Q2360">
        <f t="shared" si="485"/>
        <v>362.70197802199999</v>
      </c>
      <c r="R2360">
        <v>362.70197802199999</v>
      </c>
      <c r="S2360">
        <f t="shared" si="486"/>
        <v>0</v>
      </c>
      <c r="T2360">
        <v>0.02</v>
      </c>
      <c r="U2360">
        <f t="shared" si="487"/>
        <v>7.2540395604399999</v>
      </c>
      <c r="V2360">
        <f t="shared" si="488"/>
        <v>369.95601758243998</v>
      </c>
      <c r="W2360">
        <f t="shared" si="489"/>
        <v>7.2540395604399919</v>
      </c>
      <c r="X2360">
        <v>0</v>
      </c>
    </row>
    <row r="2361" spans="1:24" x14ac:dyDescent="0.25">
      <c r="A2361" t="s">
        <v>1948</v>
      </c>
      <c r="B2361" t="s">
        <v>2129</v>
      </c>
      <c r="C2361" t="s">
        <v>2135</v>
      </c>
      <c r="D2361" t="s">
        <v>260</v>
      </c>
      <c r="E2361" t="s">
        <v>20</v>
      </c>
      <c r="F2361" t="s">
        <v>1</v>
      </c>
      <c r="G2361" t="s">
        <v>961</v>
      </c>
      <c r="H2361" t="s">
        <v>420</v>
      </c>
      <c r="I2361" t="s">
        <v>1</v>
      </c>
      <c r="J2361">
        <v>40.200000000000003</v>
      </c>
      <c r="K2361"/>
      <c r="L2361">
        <v>0</v>
      </c>
      <c r="M2361">
        <v>0</v>
      </c>
      <c r="N2361">
        <v>40.200000000000003</v>
      </c>
      <c r="O2361"/>
      <c r="P2361">
        <v>0</v>
      </c>
      <c r="Q2361">
        <f t="shared" si="485"/>
        <v>0</v>
      </c>
      <c r="R2361">
        <v>0</v>
      </c>
      <c r="S2361">
        <f t="shared" si="486"/>
        <v>0</v>
      </c>
      <c r="T2361">
        <v>0.04</v>
      </c>
      <c r="U2361">
        <f t="shared" si="487"/>
        <v>0</v>
      </c>
      <c r="V2361">
        <f t="shared" si="488"/>
        <v>0</v>
      </c>
      <c r="W2361">
        <f t="shared" si="489"/>
        <v>0</v>
      </c>
      <c r="X2361">
        <v>0</v>
      </c>
    </row>
    <row r="2362" spans="1:24" x14ac:dyDescent="0.25">
      <c r="A2362" t="s">
        <v>1948</v>
      </c>
      <c r="B2362" t="s">
        <v>2129</v>
      </c>
      <c r="C2362" t="s">
        <v>2135</v>
      </c>
      <c r="D2362" t="s">
        <v>260</v>
      </c>
      <c r="E2362" t="s">
        <v>21</v>
      </c>
      <c r="F2362" t="s">
        <v>1</v>
      </c>
      <c r="G2362" t="s">
        <v>961</v>
      </c>
      <c r="H2362" t="s">
        <v>421</v>
      </c>
      <c r="I2362" t="s">
        <v>1</v>
      </c>
      <c r="J2362">
        <v>708.44</v>
      </c>
      <c r="K2362">
        <v>817.28</v>
      </c>
      <c r="L2362">
        <v>297.7</v>
      </c>
      <c r="M2362">
        <v>600.33425414364638</v>
      </c>
      <c r="N2362">
        <v>599.82000000000005</v>
      </c>
      <c r="O2362">
        <v>600.33425414359999</v>
      </c>
      <c r="P2362">
        <v>0</v>
      </c>
      <c r="Q2362">
        <f t="shared" si="485"/>
        <v>600.33425414359999</v>
      </c>
      <c r="R2362">
        <v>600.33425414359999</v>
      </c>
      <c r="S2362">
        <f t="shared" si="486"/>
        <v>0</v>
      </c>
      <c r="T2362">
        <v>0.03</v>
      </c>
      <c r="U2362">
        <f t="shared" si="487"/>
        <v>18.010027624307998</v>
      </c>
      <c r="V2362">
        <f t="shared" si="488"/>
        <v>618.344281767908</v>
      </c>
      <c r="W2362">
        <f t="shared" si="489"/>
        <v>18.010027624308009</v>
      </c>
      <c r="X2362">
        <v>0</v>
      </c>
    </row>
    <row r="2363" spans="1:24" x14ac:dyDescent="0.25">
      <c r="A2363" t="s">
        <v>1948</v>
      </c>
      <c r="B2363" t="s">
        <v>2129</v>
      </c>
      <c r="C2363" t="s">
        <v>2135</v>
      </c>
      <c r="D2363" t="s">
        <v>260</v>
      </c>
      <c r="E2363" t="s">
        <v>22</v>
      </c>
      <c r="F2363" t="s">
        <v>1</v>
      </c>
      <c r="G2363" t="s">
        <v>961</v>
      </c>
      <c r="H2363" t="s">
        <v>422</v>
      </c>
      <c r="I2363" t="s">
        <v>1</v>
      </c>
      <c r="J2363">
        <v>8232.2099999999991</v>
      </c>
      <c r="K2363">
        <v>9853.1999999998006</v>
      </c>
      <c r="L2363">
        <v>3333.08</v>
      </c>
      <c r="M2363">
        <v>6721.4044198895026</v>
      </c>
      <c r="N2363">
        <v>6802.9</v>
      </c>
      <c r="O2363">
        <v>6721.4044198894999</v>
      </c>
      <c r="P2363">
        <v>0</v>
      </c>
      <c r="Q2363">
        <f t="shared" si="485"/>
        <v>6721.4044198894999</v>
      </c>
      <c r="R2363">
        <v>6721.4044198894999</v>
      </c>
      <c r="S2363">
        <f t="shared" si="486"/>
        <v>0</v>
      </c>
      <c r="T2363">
        <v>3.5000000000000003E-2</v>
      </c>
      <c r="U2363">
        <f t="shared" si="487"/>
        <v>235.24915469613251</v>
      </c>
      <c r="V2363">
        <f t="shared" si="488"/>
        <v>6956.6535745856327</v>
      </c>
      <c r="W2363">
        <f t="shared" si="489"/>
        <v>235.24915469613279</v>
      </c>
      <c r="X2363">
        <v>0</v>
      </c>
    </row>
    <row r="2364" spans="1:24" x14ac:dyDescent="0.25">
      <c r="A2364" t="s">
        <v>1948</v>
      </c>
      <c r="B2364" t="s">
        <v>2129</v>
      </c>
      <c r="C2364" t="s">
        <v>2135</v>
      </c>
      <c r="D2364" t="s">
        <v>260</v>
      </c>
      <c r="E2364" t="s">
        <v>23</v>
      </c>
      <c r="F2364" t="s">
        <v>1</v>
      </c>
      <c r="G2364" t="s">
        <v>961</v>
      </c>
      <c r="H2364" t="s">
        <v>423</v>
      </c>
      <c r="I2364" t="s">
        <v>1</v>
      </c>
      <c r="J2364">
        <v>571.49</v>
      </c>
      <c r="K2364">
        <v>1179.8999999999</v>
      </c>
      <c r="L2364">
        <v>0</v>
      </c>
      <c r="M2364">
        <v>0</v>
      </c>
      <c r="N2364">
        <v>0</v>
      </c>
      <c r="O2364"/>
      <c r="P2364">
        <v>0</v>
      </c>
      <c r="Q2364">
        <f t="shared" si="485"/>
        <v>0</v>
      </c>
      <c r="R2364">
        <v>0</v>
      </c>
      <c r="S2364">
        <f t="shared" si="486"/>
        <v>0</v>
      </c>
      <c r="T2364">
        <v>3.5000000000000003E-2</v>
      </c>
      <c r="U2364">
        <f t="shared" si="487"/>
        <v>0</v>
      </c>
      <c r="V2364">
        <f t="shared" si="488"/>
        <v>0</v>
      </c>
      <c r="W2364">
        <f t="shared" si="489"/>
        <v>0</v>
      </c>
      <c r="X2364">
        <v>0</v>
      </c>
    </row>
    <row r="2365" spans="1:24" x14ac:dyDescent="0.25">
      <c r="A2365" t="s">
        <v>1948</v>
      </c>
      <c r="B2365" t="s">
        <v>2129</v>
      </c>
      <c r="C2365" t="s">
        <v>2135</v>
      </c>
      <c r="D2365" t="s">
        <v>260</v>
      </c>
      <c r="E2365" t="s">
        <v>24</v>
      </c>
      <c r="F2365" t="s">
        <v>1</v>
      </c>
      <c r="G2365" t="s">
        <v>961</v>
      </c>
      <c r="H2365" t="s">
        <v>424</v>
      </c>
      <c r="I2365" t="s">
        <v>1</v>
      </c>
      <c r="J2365">
        <v>6545.78</v>
      </c>
      <c r="K2365">
        <v>8690.0000000004002</v>
      </c>
      <c r="L2365">
        <v>669.27</v>
      </c>
      <c r="M2365">
        <v>1349.6328729281768</v>
      </c>
      <c r="N2365">
        <v>6705.98</v>
      </c>
      <c r="O2365">
        <v>1338.54</v>
      </c>
      <c r="P2365">
        <v>0</v>
      </c>
      <c r="Q2365">
        <f t="shared" si="485"/>
        <v>1338.54</v>
      </c>
      <c r="R2365">
        <v>15813.05</v>
      </c>
      <c r="S2365">
        <f t="shared" si="486"/>
        <v>14474.509999999998</v>
      </c>
      <c r="T2365"/>
      <c r="U2365">
        <f t="shared" si="487"/>
        <v>0</v>
      </c>
      <c r="V2365">
        <f t="shared" si="488"/>
        <v>15813.05</v>
      </c>
      <c r="W2365">
        <f t="shared" si="489"/>
        <v>14474.509999999998</v>
      </c>
      <c r="X2365" t="s">
        <v>1676</v>
      </c>
    </row>
    <row r="2366" spans="1:24" x14ac:dyDescent="0.25">
      <c r="A2366" t="s">
        <v>1948</v>
      </c>
      <c r="B2366" t="s">
        <v>2129</v>
      </c>
      <c r="C2366" t="s">
        <v>2135</v>
      </c>
      <c r="D2366" t="s">
        <v>260</v>
      </c>
      <c r="E2366" t="s">
        <v>26</v>
      </c>
      <c r="F2366" t="s">
        <v>1</v>
      </c>
      <c r="G2366" t="s">
        <v>961</v>
      </c>
      <c r="H2366" t="s">
        <v>426</v>
      </c>
      <c r="I2366" t="s">
        <v>1</v>
      </c>
      <c r="J2366">
        <v>1300</v>
      </c>
      <c r="K2366">
        <v>2335.3473165408</v>
      </c>
      <c r="L2366">
        <v>0</v>
      </c>
      <c r="M2366">
        <v>0</v>
      </c>
      <c r="N2366">
        <v>1300</v>
      </c>
      <c r="O2366"/>
      <c r="P2366">
        <v>0</v>
      </c>
      <c r="Q2366">
        <f t="shared" si="485"/>
        <v>0</v>
      </c>
      <c r="R2366">
        <v>1400</v>
      </c>
      <c r="S2366">
        <f t="shared" si="486"/>
        <v>1400</v>
      </c>
      <c r="T2366"/>
      <c r="U2366">
        <f t="shared" si="487"/>
        <v>0</v>
      </c>
      <c r="V2366">
        <f t="shared" si="488"/>
        <v>1400</v>
      </c>
      <c r="W2366">
        <f t="shared" si="489"/>
        <v>1400</v>
      </c>
      <c r="X2366" t="s">
        <v>1677</v>
      </c>
    </row>
    <row r="2367" spans="1:24" x14ac:dyDescent="0.25">
      <c r="A2367" t="s">
        <v>1948</v>
      </c>
      <c r="B2367" t="s">
        <v>2129</v>
      </c>
      <c r="C2367" t="s">
        <v>2135</v>
      </c>
      <c r="D2367" t="s">
        <v>260</v>
      </c>
      <c r="E2367" t="s">
        <v>27</v>
      </c>
      <c r="F2367" t="s">
        <v>1</v>
      </c>
      <c r="G2367" t="s">
        <v>961</v>
      </c>
      <c r="H2367" t="s">
        <v>427</v>
      </c>
      <c r="I2367" t="s">
        <v>1</v>
      </c>
      <c r="J2367">
        <v>5217.3599999999997</v>
      </c>
      <c r="K2367">
        <v>4710</v>
      </c>
      <c r="L2367">
        <v>2171.5700000000002</v>
      </c>
      <c r="M2367">
        <v>4379.1328729281777</v>
      </c>
      <c r="N2367">
        <v>4604.04</v>
      </c>
      <c r="O2367">
        <v>4343.1400000000003</v>
      </c>
      <c r="P2367">
        <v>0</v>
      </c>
      <c r="Q2367">
        <f t="shared" si="485"/>
        <v>4343.1400000000003</v>
      </c>
      <c r="R2367">
        <v>5158.32</v>
      </c>
      <c r="S2367">
        <f t="shared" si="486"/>
        <v>815.17999999999938</v>
      </c>
      <c r="T2367"/>
      <c r="U2367">
        <f t="shared" si="487"/>
        <v>0</v>
      </c>
      <c r="V2367">
        <f t="shared" si="488"/>
        <v>5158.32</v>
      </c>
      <c r="W2367">
        <f t="shared" si="489"/>
        <v>815.17999999999938</v>
      </c>
      <c r="X2367" t="s">
        <v>1678</v>
      </c>
    </row>
    <row r="2368" spans="1:24" x14ac:dyDescent="0.25">
      <c r="A2368" t="s">
        <v>1948</v>
      </c>
      <c r="B2368" t="s">
        <v>2129</v>
      </c>
      <c r="C2368" t="s">
        <v>2135</v>
      </c>
      <c r="D2368" t="s">
        <v>260</v>
      </c>
      <c r="E2368" t="s">
        <v>28</v>
      </c>
      <c r="F2368" t="s">
        <v>1</v>
      </c>
      <c r="G2368" t="s">
        <v>961</v>
      </c>
      <c r="H2368" t="s">
        <v>428</v>
      </c>
      <c r="I2368" t="s">
        <v>1</v>
      </c>
      <c r="J2368">
        <v>13212.86</v>
      </c>
      <c r="K2368">
        <v>7389.9999999995998</v>
      </c>
      <c r="L2368">
        <v>2956.58</v>
      </c>
      <c r="M2368">
        <v>5962.1640883977889</v>
      </c>
      <c r="N2368">
        <v>12631.370000000003</v>
      </c>
      <c r="O2368">
        <v>5913.16</v>
      </c>
      <c r="P2368">
        <v>0</v>
      </c>
      <c r="Q2368">
        <f t="shared" si="485"/>
        <v>5913.16</v>
      </c>
      <c r="R2368">
        <v>5913.16</v>
      </c>
      <c r="S2368">
        <f t="shared" si="486"/>
        <v>0</v>
      </c>
      <c r="T2368"/>
      <c r="U2368">
        <f t="shared" si="487"/>
        <v>0</v>
      </c>
      <c r="V2368">
        <f t="shared" si="488"/>
        <v>5913.16</v>
      </c>
      <c r="W2368">
        <f t="shared" si="489"/>
        <v>0</v>
      </c>
      <c r="X2368">
        <v>0</v>
      </c>
    </row>
    <row r="2369" spans="1:24" x14ac:dyDescent="0.25">
      <c r="A2369" t="s">
        <v>1948</v>
      </c>
      <c r="B2369" t="s">
        <v>2129</v>
      </c>
      <c r="C2369" t="s">
        <v>2135</v>
      </c>
      <c r="D2369" t="s">
        <v>260</v>
      </c>
      <c r="E2369" t="s">
        <v>29</v>
      </c>
      <c r="F2369" t="s">
        <v>1</v>
      </c>
      <c r="G2369" t="s">
        <v>961</v>
      </c>
      <c r="H2369" t="s">
        <v>429</v>
      </c>
      <c r="I2369" t="s">
        <v>1</v>
      </c>
      <c r="J2369">
        <v>55.01</v>
      </c>
      <c r="K2369"/>
      <c r="L2369">
        <v>0</v>
      </c>
      <c r="M2369">
        <v>0</v>
      </c>
      <c r="N2369">
        <v>55.01</v>
      </c>
      <c r="O2369"/>
      <c r="P2369">
        <v>0</v>
      </c>
      <c r="Q2369">
        <f t="shared" si="485"/>
        <v>0</v>
      </c>
      <c r="R2369">
        <v>0</v>
      </c>
      <c r="S2369">
        <f t="shared" si="486"/>
        <v>0</v>
      </c>
      <c r="T2369"/>
      <c r="U2369">
        <f t="shared" si="487"/>
        <v>0</v>
      </c>
      <c r="V2369">
        <f t="shared" si="488"/>
        <v>0</v>
      </c>
      <c r="W2369">
        <f t="shared" si="489"/>
        <v>0</v>
      </c>
      <c r="X2369">
        <v>0</v>
      </c>
    </row>
    <row r="2370" spans="1:24" x14ac:dyDescent="0.25">
      <c r="A2370" t="s">
        <v>1948</v>
      </c>
      <c r="B2370" t="s">
        <v>2129</v>
      </c>
      <c r="C2370" t="s">
        <v>2135</v>
      </c>
      <c r="D2370" t="s">
        <v>260</v>
      </c>
      <c r="E2370" t="s">
        <v>33</v>
      </c>
      <c r="F2370" t="s">
        <v>1</v>
      </c>
      <c r="G2370" t="s">
        <v>961</v>
      </c>
      <c r="H2370" t="s">
        <v>433</v>
      </c>
      <c r="I2370" t="s">
        <v>1</v>
      </c>
      <c r="J2370"/>
      <c r="K2370"/>
      <c r="L2370">
        <v>84.31</v>
      </c>
      <c r="M2370">
        <v>170.01740331491712</v>
      </c>
      <c r="N2370">
        <v>84.31</v>
      </c>
      <c r="O2370">
        <v>168.62</v>
      </c>
      <c r="P2370">
        <v>0</v>
      </c>
      <c r="Q2370">
        <f t="shared" si="485"/>
        <v>168.62</v>
      </c>
      <c r="R2370">
        <v>0</v>
      </c>
      <c r="S2370">
        <f t="shared" si="486"/>
        <v>-168.62</v>
      </c>
      <c r="T2370"/>
      <c r="U2370">
        <f t="shared" si="487"/>
        <v>0</v>
      </c>
      <c r="V2370">
        <f t="shared" si="488"/>
        <v>0</v>
      </c>
      <c r="W2370">
        <f t="shared" si="489"/>
        <v>-168.62</v>
      </c>
      <c r="X2370">
        <v>0</v>
      </c>
    </row>
    <row r="2371" spans="1:24" x14ac:dyDescent="0.25">
      <c r="A2371" t="s">
        <v>1948</v>
      </c>
      <c r="B2371" t="s">
        <v>2129</v>
      </c>
      <c r="C2371" t="s">
        <v>2135</v>
      </c>
      <c r="D2371" t="s">
        <v>260</v>
      </c>
      <c r="E2371" t="s">
        <v>34</v>
      </c>
      <c r="F2371" t="s">
        <v>1</v>
      </c>
      <c r="G2371" t="s">
        <v>961</v>
      </c>
      <c r="H2371" t="s">
        <v>434</v>
      </c>
      <c r="I2371" t="s">
        <v>1</v>
      </c>
      <c r="J2371">
        <v>827.36</v>
      </c>
      <c r="K2371">
        <v>686.86685780640005</v>
      </c>
      <c r="L2371">
        <v>145.94999999999999</v>
      </c>
      <c r="M2371">
        <v>294.31906077348066</v>
      </c>
      <c r="N2371">
        <v>939.4899999999999</v>
      </c>
      <c r="O2371">
        <v>291.89999999999998</v>
      </c>
      <c r="P2371">
        <v>0</v>
      </c>
      <c r="Q2371">
        <f t="shared" si="485"/>
        <v>291.89999999999998</v>
      </c>
      <c r="R2371">
        <v>291.89999999999998</v>
      </c>
      <c r="S2371">
        <f t="shared" si="486"/>
        <v>0</v>
      </c>
      <c r="T2371"/>
      <c r="U2371">
        <f t="shared" si="487"/>
        <v>0</v>
      </c>
      <c r="V2371">
        <f t="shared" si="488"/>
        <v>291.89999999999998</v>
      </c>
      <c r="W2371">
        <f t="shared" si="489"/>
        <v>0</v>
      </c>
      <c r="X2371">
        <v>0</v>
      </c>
    </row>
    <row r="2372" spans="1:24" x14ac:dyDescent="0.25">
      <c r="A2372" t="s">
        <v>1948</v>
      </c>
      <c r="B2372" t="s">
        <v>2129</v>
      </c>
      <c r="C2372" t="s">
        <v>2135</v>
      </c>
      <c r="D2372" t="s">
        <v>260</v>
      </c>
      <c r="E2372" t="s">
        <v>37</v>
      </c>
      <c r="F2372" t="s">
        <v>1</v>
      </c>
      <c r="G2372" t="s">
        <v>961</v>
      </c>
      <c r="H2372" t="s">
        <v>437</v>
      </c>
      <c r="I2372" t="s">
        <v>1</v>
      </c>
      <c r="J2372">
        <v>31.5</v>
      </c>
      <c r="K2372"/>
      <c r="L2372">
        <v>0</v>
      </c>
      <c r="M2372">
        <v>0</v>
      </c>
      <c r="N2372">
        <v>0</v>
      </c>
      <c r="O2372"/>
      <c r="P2372">
        <v>0</v>
      </c>
      <c r="Q2372">
        <f t="shared" si="485"/>
        <v>0</v>
      </c>
      <c r="R2372">
        <v>0</v>
      </c>
      <c r="S2372">
        <f t="shared" si="486"/>
        <v>0</v>
      </c>
      <c r="T2372"/>
      <c r="U2372">
        <f t="shared" si="487"/>
        <v>0</v>
      </c>
      <c r="V2372">
        <f t="shared" si="488"/>
        <v>0</v>
      </c>
      <c r="W2372">
        <f t="shared" si="489"/>
        <v>0</v>
      </c>
      <c r="X2372">
        <v>0</v>
      </c>
    </row>
    <row r="2373" spans="1:24" x14ac:dyDescent="0.25">
      <c r="A2373" t="s">
        <v>1948</v>
      </c>
      <c r="B2373" t="s">
        <v>2129</v>
      </c>
      <c r="C2373" t="s">
        <v>2135</v>
      </c>
      <c r="D2373" t="s">
        <v>260</v>
      </c>
      <c r="E2373" t="s">
        <v>75</v>
      </c>
      <c r="F2373" t="s">
        <v>1</v>
      </c>
      <c r="G2373" t="s">
        <v>961</v>
      </c>
      <c r="H2373" t="s">
        <v>492</v>
      </c>
      <c r="I2373" t="s">
        <v>1</v>
      </c>
      <c r="J2373">
        <v>15515</v>
      </c>
      <c r="K2373">
        <v>9576.6499485595996</v>
      </c>
      <c r="L2373">
        <v>13685</v>
      </c>
      <c r="M2373">
        <v>27596.823204419888</v>
      </c>
      <c r="N2373">
        <v>27075</v>
      </c>
      <c r="O2373">
        <v>27596.823204419899</v>
      </c>
      <c r="P2373">
        <v>0</v>
      </c>
      <c r="Q2373">
        <f t="shared" si="485"/>
        <v>27596.823204419899</v>
      </c>
      <c r="R2373">
        <v>27596.823204419899</v>
      </c>
      <c r="S2373">
        <f t="shared" si="486"/>
        <v>0</v>
      </c>
      <c r="T2373">
        <v>3.2500000000000001E-2</v>
      </c>
      <c r="U2373">
        <f t="shared" si="487"/>
        <v>896.89675414364672</v>
      </c>
      <c r="V2373">
        <f t="shared" si="488"/>
        <v>28493.719958563546</v>
      </c>
      <c r="W2373">
        <f t="shared" si="489"/>
        <v>896.89675414364683</v>
      </c>
      <c r="X2373">
        <v>0</v>
      </c>
    </row>
    <row r="2374" spans="1:24" x14ac:dyDescent="0.25">
      <c r="A2374" t="s">
        <v>1948</v>
      </c>
      <c r="B2374" t="s">
        <v>2129</v>
      </c>
      <c r="C2374" t="s">
        <v>2135</v>
      </c>
      <c r="D2374" t="s">
        <v>260</v>
      </c>
      <c r="E2374" t="s">
        <v>40</v>
      </c>
      <c r="F2374" t="s">
        <v>1</v>
      </c>
      <c r="G2374" t="s">
        <v>961</v>
      </c>
      <c r="H2374" t="s">
        <v>440</v>
      </c>
      <c r="I2374" t="s">
        <v>1</v>
      </c>
      <c r="J2374">
        <v>18999.96</v>
      </c>
      <c r="K2374">
        <v>18999.9999999996</v>
      </c>
      <c r="L2374">
        <v>9499.98</v>
      </c>
      <c r="M2374">
        <v>19157.418232044198</v>
      </c>
      <c r="N2374">
        <v>18999.96</v>
      </c>
      <c r="O2374">
        <v>18999.96</v>
      </c>
      <c r="P2374">
        <v>0</v>
      </c>
      <c r="Q2374">
        <f t="shared" si="485"/>
        <v>18999.96</v>
      </c>
      <c r="R2374">
        <v>18999.96</v>
      </c>
      <c r="S2374">
        <f t="shared" si="486"/>
        <v>0</v>
      </c>
      <c r="T2374">
        <v>0.03</v>
      </c>
      <c r="U2374">
        <f t="shared" si="487"/>
        <v>569.99879999999996</v>
      </c>
      <c r="V2374">
        <f t="shared" si="488"/>
        <v>19569.9588</v>
      </c>
      <c r="W2374">
        <f t="shared" si="489"/>
        <v>569.99880000000121</v>
      </c>
      <c r="X2374" t="s">
        <v>1679</v>
      </c>
    </row>
    <row r="2375" spans="1:24" x14ac:dyDescent="0.25">
      <c r="A2375" t="s">
        <v>1948</v>
      </c>
      <c r="B2375" t="s">
        <v>2129</v>
      </c>
      <c r="C2375" t="s">
        <v>2135</v>
      </c>
      <c r="D2375" t="s">
        <v>260</v>
      </c>
      <c r="E2375" t="s">
        <v>76</v>
      </c>
      <c r="F2375" t="s">
        <v>1</v>
      </c>
      <c r="G2375" t="s">
        <v>961</v>
      </c>
      <c r="H2375" t="s">
        <v>493</v>
      </c>
      <c r="I2375" t="s">
        <v>1</v>
      </c>
      <c r="J2375">
        <v>524.49</v>
      </c>
      <c r="K2375"/>
      <c r="L2375">
        <v>0</v>
      </c>
      <c r="M2375">
        <v>0</v>
      </c>
      <c r="N2375">
        <v>-35</v>
      </c>
      <c r="O2375"/>
      <c r="P2375">
        <v>0</v>
      </c>
      <c r="Q2375">
        <f t="shared" si="485"/>
        <v>0</v>
      </c>
      <c r="R2375">
        <v>0</v>
      </c>
      <c r="S2375">
        <f t="shared" si="486"/>
        <v>0</v>
      </c>
      <c r="T2375">
        <v>0.03</v>
      </c>
      <c r="U2375">
        <f t="shared" si="487"/>
        <v>0</v>
      </c>
      <c r="V2375">
        <f t="shared" si="488"/>
        <v>0</v>
      </c>
      <c r="W2375">
        <f t="shared" si="489"/>
        <v>0</v>
      </c>
      <c r="X2375">
        <v>0</v>
      </c>
    </row>
    <row r="2376" spans="1:24" x14ac:dyDescent="0.25">
      <c r="A2376" t="s">
        <v>1948</v>
      </c>
      <c r="B2376" t="s">
        <v>2129</v>
      </c>
      <c r="C2376" t="s">
        <v>2135</v>
      </c>
      <c r="D2376" t="s">
        <v>260</v>
      </c>
      <c r="E2376" t="s">
        <v>41</v>
      </c>
      <c r="F2376" t="s">
        <v>1</v>
      </c>
      <c r="G2376" t="s">
        <v>961</v>
      </c>
      <c r="H2376" t="s">
        <v>441</v>
      </c>
      <c r="I2376" t="s">
        <v>1</v>
      </c>
      <c r="J2376">
        <v>18697.7</v>
      </c>
      <c r="K2376">
        <v>18303.999599999999</v>
      </c>
      <c r="L2376">
        <v>11635.82</v>
      </c>
      <c r="M2376">
        <v>23464.49889502762</v>
      </c>
      <c r="N2376">
        <v>21256.98</v>
      </c>
      <c r="O2376">
        <v>23271.64</v>
      </c>
      <c r="P2376">
        <v>0</v>
      </c>
      <c r="Q2376">
        <f t="shared" si="485"/>
        <v>23271.64</v>
      </c>
      <c r="R2376">
        <v>23271.64</v>
      </c>
      <c r="S2376">
        <f t="shared" si="486"/>
        <v>0</v>
      </c>
      <c r="T2376">
        <v>0.03</v>
      </c>
      <c r="U2376">
        <f t="shared" si="487"/>
        <v>698.14919999999995</v>
      </c>
      <c r="V2376">
        <f t="shared" si="488"/>
        <v>23969.789199999999</v>
      </c>
      <c r="W2376">
        <f t="shared" si="489"/>
        <v>698.14919999999984</v>
      </c>
      <c r="X2376">
        <v>0</v>
      </c>
    </row>
    <row r="2377" spans="1:24" x14ac:dyDescent="0.25">
      <c r="A2377" t="s">
        <v>1948</v>
      </c>
      <c r="B2377" t="s">
        <v>2129</v>
      </c>
      <c r="C2377" t="s">
        <v>2135</v>
      </c>
      <c r="D2377" t="s">
        <v>260</v>
      </c>
      <c r="E2377" t="s">
        <v>42</v>
      </c>
      <c r="F2377" t="s">
        <v>1</v>
      </c>
      <c r="G2377" t="s">
        <v>961</v>
      </c>
      <c r="H2377" t="s">
        <v>442</v>
      </c>
      <c r="I2377" t="s">
        <v>1</v>
      </c>
      <c r="J2377">
        <v>138288.95000000001</v>
      </c>
      <c r="K2377">
        <v>136795</v>
      </c>
      <c r="L2377">
        <v>68411.649999999994</v>
      </c>
      <c r="M2377">
        <v>137957.1947513812</v>
      </c>
      <c r="N2377">
        <v>167106.6</v>
      </c>
      <c r="O2377">
        <v>136823.29999999999</v>
      </c>
      <c r="P2377">
        <v>0</v>
      </c>
      <c r="Q2377">
        <f t="shared" si="485"/>
        <v>136823.29999999999</v>
      </c>
      <c r="R2377">
        <v>136800</v>
      </c>
      <c r="S2377">
        <f t="shared" si="486"/>
        <v>-23.299999999988358</v>
      </c>
      <c r="T2377">
        <v>0.03</v>
      </c>
      <c r="U2377">
        <f t="shared" si="487"/>
        <v>4104</v>
      </c>
      <c r="V2377">
        <f t="shared" si="488"/>
        <v>140904</v>
      </c>
      <c r="W2377">
        <f t="shared" si="489"/>
        <v>4080.7000000000116</v>
      </c>
      <c r="X2377" t="s">
        <v>1680</v>
      </c>
    </row>
    <row r="2378" spans="1:24" x14ac:dyDescent="0.25">
      <c r="A2378" t="s">
        <v>1948</v>
      </c>
      <c r="B2378" t="s">
        <v>2129</v>
      </c>
      <c r="C2378" t="s">
        <v>2135</v>
      </c>
      <c r="D2378" t="s">
        <v>260</v>
      </c>
      <c r="E2378" t="s">
        <v>43</v>
      </c>
      <c r="F2378" t="s">
        <v>1</v>
      </c>
      <c r="G2378" t="s">
        <v>961</v>
      </c>
      <c r="H2378" t="s">
        <v>443</v>
      </c>
      <c r="I2378" t="s">
        <v>1</v>
      </c>
      <c r="J2378">
        <v>2875</v>
      </c>
      <c r="K2378">
        <v>5798.0003999999999</v>
      </c>
      <c r="L2378">
        <v>0</v>
      </c>
      <c r="M2378">
        <v>0</v>
      </c>
      <c r="N2378">
        <v>0</v>
      </c>
      <c r="O2378"/>
      <c r="P2378">
        <v>0</v>
      </c>
      <c r="Q2378">
        <f t="shared" si="485"/>
        <v>0</v>
      </c>
      <c r="R2378">
        <v>2875</v>
      </c>
      <c r="S2378">
        <f t="shared" si="486"/>
        <v>2875</v>
      </c>
      <c r="T2378">
        <v>0.03</v>
      </c>
      <c r="U2378">
        <f t="shared" si="487"/>
        <v>86.25</v>
      </c>
      <c r="V2378">
        <f t="shared" si="488"/>
        <v>2961.25</v>
      </c>
      <c r="W2378">
        <f t="shared" si="489"/>
        <v>2961.25</v>
      </c>
      <c r="X2378" t="s">
        <v>1681</v>
      </c>
    </row>
    <row r="2379" spans="1:24" x14ac:dyDescent="0.25">
      <c r="A2379" t="s">
        <v>1948</v>
      </c>
      <c r="B2379" t="s">
        <v>2129</v>
      </c>
      <c r="C2379" t="s">
        <v>2135</v>
      </c>
      <c r="D2379" t="s">
        <v>260</v>
      </c>
      <c r="E2379" t="s">
        <v>134</v>
      </c>
      <c r="F2379" t="s">
        <v>1</v>
      </c>
      <c r="G2379" t="s">
        <v>961</v>
      </c>
      <c r="H2379" t="s">
        <v>623</v>
      </c>
      <c r="I2379" t="s">
        <v>1</v>
      </c>
      <c r="J2379"/>
      <c r="K2379"/>
      <c r="L2379">
        <v>461.6</v>
      </c>
      <c r="M2379">
        <v>930.85082872928194</v>
      </c>
      <c r="N2379">
        <v>461.6</v>
      </c>
      <c r="O2379">
        <v>923.2</v>
      </c>
      <c r="P2379">
        <v>0</v>
      </c>
      <c r="Q2379">
        <f t="shared" si="485"/>
        <v>923.2</v>
      </c>
      <c r="R2379">
        <v>461.6</v>
      </c>
      <c r="S2379">
        <f t="shared" si="486"/>
        <v>-461.6</v>
      </c>
      <c r="T2379">
        <v>0.03</v>
      </c>
      <c r="U2379">
        <f t="shared" si="487"/>
        <v>13.848000000000001</v>
      </c>
      <c r="V2379">
        <f t="shared" si="488"/>
        <v>475.44800000000004</v>
      </c>
      <c r="W2379">
        <f t="shared" si="489"/>
        <v>-447.75200000000001</v>
      </c>
      <c r="X2379" t="s">
        <v>1682</v>
      </c>
    </row>
    <row r="2380" spans="1:24" x14ac:dyDescent="0.25">
      <c r="A2380" t="s">
        <v>1948</v>
      </c>
      <c r="B2380" t="s">
        <v>2129</v>
      </c>
      <c r="C2380" t="s">
        <v>2135</v>
      </c>
      <c r="D2380" t="s">
        <v>260</v>
      </c>
      <c r="E2380" t="s">
        <v>45</v>
      </c>
      <c r="F2380" t="s">
        <v>1</v>
      </c>
      <c r="G2380" t="s">
        <v>961</v>
      </c>
      <c r="H2380" t="s">
        <v>445</v>
      </c>
      <c r="I2380" t="s">
        <v>1</v>
      </c>
      <c r="J2380">
        <v>204777.1</v>
      </c>
      <c r="K2380">
        <v>313577.00040000002</v>
      </c>
      <c r="L2380">
        <v>133021.21</v>
      </c>
      <c r="M2380">
        <v>268247.19143646408</v>
      </c>
      <c r="N2380">
        <v>182298.54</v>
      </c>
      <c r="O2380">
        <v>266042.42</v>
      </c>
      <c r="P2380">
        <v>0</v>
      </c>
      <c r="Q2380">
        <f t="shared" si="485"/>
        <v>266042.42</v>
      </c>
      <c r="R2380">
        <v>208248</v>
      </c>
      <c r="S2380">
        <f t="shared" si="486"/>
        <v>-57794.419999999984</v>
      </c>
      <c r="T2380">
        <v>0.03</v>
      </c>
      <c r="U2380">
        <f t="shared" si="487"/>
        <v>6247.44</v>
      </c>
      <c r="V2380">
        <f t="shared" si="488"/>
        <v>214495.44</v>
      </c>
      <c r="W2380">
        <f t="shared" si="489"/>
        <v>-51546.979999999981</v>
      </c>
      <c r="X2380" t="s">
        <v>1683</v>
      </c>
    </row>
    <row r="2381" spans="1:24" x14ac:dyDescent="0.25">
      <c r="A2381" t="s">
        <v>1948</v>
      </c>
      <c r="B2381" t="s">
        <v>2129</v>
      </c>
      <c r="C2381" t="s">
        <v>2135</v>
      </c>
      <c r="D2381" t="s">
        <v>260</v>
      </c>
      <c r="E2381" t="s">
        <v>46</v>
      </c>
      <c r="F2381" t="s">
        <v>1</v>
      </c>
      <c r="G2381" t="s">
        <v>961</v>
      </c>
      <c r="H2381" t="s">
        <v>446</v>
      </c>
      <c r="I2381" t="s">
        <v>1</v>
      </c>
      <c r="J2381">
        <v>3091.77</v>
      </c>
      <c r="K2381"/>
      <c r="L2381">
        <v>8290</v>
      </c>
      <c r="M2381">
        <v>16717.403314917126</v>
      </c>
      <c r="N2381">
        <v>8291.27</v>
      </c>
      <c r="O2381">
        <v>16580</v>
      </c>
      <c r="P2381">
        <v>0</v>
      </c>
      <c r="Q2381">
        <f t="shared" si="485"/>
        <v>16580</v>
      </c>
      <c r="R2381">
        <v>6000</v>
      </c>
      <c r="S2381">
        <f t="shared" si="486"/>
        <v>-10580</v>
      </c>
      <c r="T2381">
        <v>0.03</v>
      </c>
      <c r="U2381">
        <f t="shared" si="487"/>
        <v>180</v>
      </c>
      <c r="V2381">
        <f t="shared" si="488"/>
        <v>6180</v>
      </c>
      <c r="W2381">
        <f t="shared" si="489"/>
        <v>-10400</v>
      </c>
      <c r="X2381" t="s">
        <v>1684</v>
      </c>
    </row>
    <row r="2382" spans="1:24" x14ac:dyDescent="0.25">
      <c r="A2382" t="s">
        <v>1948</v>
      </c>
      <c r="B2382" t="s">
        <v>2129</v>
      </c>
      <c r="C2382" t="s">
        <v>2135</v>
      </c>
      <c r="D2382" t="s">
        <v>260</v>
      </c>
      <c r="E2382" t="s">
        <v>47</v>
      </c>
      <c r="F2382" t="s">
        <v>1</v>
      </c>
      <c r="G2382" t="s">
        <v>961</v>
      </c>
      <c r="H2382" t="s">
        <v>447</v>
      </c>
      <c r="I2382" t="s">
        <v>1</v>
      </c>
      <c r="J2382"/>
      <c r="K2382">
        <v>3834.9999999995998</v>
      </c>
      <c r="L2382">
        <v>0</v>
      </c>
      <c r="M2382">
        <v>0</v>
      </c>
      <c r="N2382">
        <v>0</v>
      </c>
      <c r="O2382"/>
      <c r="P2382">
        <v>0</v>
      </c>
      <c r="Q2382">
        <f t="shared" si="485"/>
        <v>0</v>
      </c>
      <c r="R2382">
        <v>0</v>
      </c>
      <c r="S2382">
        <f t="shared" si="486"/>
        <v>0</v>
      </c>
      <c r="T2382">
        <v>0.03</v>
      </c>
      <c r="U2382">
        <f t="shared" si="487"/>
        <v>0</v>
      </c>
      <c r="V2382">
        <f t="shared" si="488"/>
        <v>0</v>
      </c>
      <c r="W2382">
        <f t="shared" si="489"/>
        <v>0</v>
      </c>
      <c r="X2382">
        <v>0</v>
      </c>
    </row>
    <row r="2383" spans="1:24" x14ac:dyDescent="0.25">
      <c r="A2383" t="s">
        <v>1948</v>
      </c>
      <c r="B2383" t="s">
        <v>2129</v>
      </c>
      <c r="C2383" t="s">
        <v>2135</v>
      </c>
      <c r="D2383" t="s">
        <v>260</v>
      </c>
      <c r="E2383" t="s">
        <v>48</v>
      </c>
      <c r="F2383" t="s">
        <v>1</v>
      </c>
      <c r="G2383" t="s">
        <v>961</v>
      </c>
      <c r="H2383" t="s">
        <v>448</v>
      </c>
      <c r="I2383" t="s">
        <v>1</v>
      </c>
      <c r="J2383">
        <v>52.57</v>
      </c>
      <c r="K2383"/>
      <c r="L2383">
        <v>36.64</v>
      </c>
      <c r="M2383">
        <v>73.887292817679551</v>
      </c>
      <c r="N2383">
        <v>72.86</v>
      </c>
      <c r="O2383">
        <v>73.28</v>
      </c>
      <c r="P2383">
        <v>0</v>
      </c>
      <c r="Q2383">
        <f t="shared" si="485"/>
        <v>73.28</v>
      </c>
      <c r="R2383">
        <v>0</v>
      </c>
      <c r="S2383">
        <f t="shared" si="486"/>
        <v>-73.28</v>
      </c>
      <c r="T2383">
        <v>0.03</v>
      </c>
      <c r="U2383">
        <f t="shared" si="487"/>
        <v>0</v>
      </c>
      <c r="V2383">
        <f t="shared" si="488"/>
        <v>0</v>
      </c>
      <c r="W2383">
        <f t="shared" si="489"/>
        <v>-73.28</v>
      </c>
      <c r="X2383">
        <v>0</v>
      </c>
    </row>
    <row r="2384" spans="1:24" x14ac:dyDescent="0.25">
      <c r="A2384" t="s">
        <v>1948</v>
      </c>
      <c r="B2384" t="s">
        <v>2129</v>
      </c>
      <c r="C2384" t="s">
        <v>2135</v>
      </c>
      <c r="D2384" t="s">
        <v>260</v>
      </c>
      <c r="E2384" t="s">
        <v>50</v>
      </c>
      <c r="F2384" t="s">
        <v>1</v>
      </c>
      <c r="G2384" t="s">
        <v>961</v>
      </c>
      <c r="H2384" t="s">
        <v>450</v>
      </c>
      <c r="I2384" t="s">
        <v>1</v>
      </c>
      <c r="J2384">
        <v>518.17999999999995</v>
      </c>
      <c r="K2384">
        <v>579.99999999960005</v>
      </c>
      <c r="L2384">
        <v>196.59</v>
      </c>
      <c r="M2384">
        <v>396.43839779005532</v>
      </c>
      <c r="N2384">
        <v>387.10999999999996</v>
      </c>
      <c r="O2384">
        <v>396.4383977901</v>
      </c>
      <c r="P2384">
        <v>0</v>
      </c>
      <c r="Q2384">
        <f t="shared" si="485"/>
        <v>396.4383977901</v>
      </c>
      <c r="R2384">
        <v>579.99999999960005</v>
      </c>
      <c r="S2384">
        <f t="shared" si="486"/>
        <v>183.56160220950005</v>
      </c>
      <c r="T2384"/>
      <c r="U2384">
        <f t="shared" si="487"/>
        <v>0</v>
      </c>
      <c r="V2384">
        <f t="shared" si="488"/>
        <v>579.99999999960005</v>
      </c>
      <c r="W2384">
        <f t="shared" si="489"/>
        <v>183.56160220950005</v>
      </c>
      <c r="X2384">
        <v>0</v>
      </c>
    </row>
    <row r="2385" spans="1:24" x14ac:dyDescent="0.25">
      <c r="A2385" t="s">
        <v>1948</v>
      </c>
      <c r="B2385" t="s">
        <v>2129</v>
      </c>
      <c r="C2385" t="s">
        <v>2135</v>
      </c>
      <c r="D2385" t="s">
        <v>260</v>
      </c>
      <c r="E2385" t="s">
        <v>51</v>
      </c>
      <c r="F2385" t="s">
        <v>51</v>
      </c>
      <c r="G2385" t="s">
        <v>964</v>
      </c>
      <c r="H2385"/>
      <c r="I2385"/>
      <c r="J2385">
        <v>3654429.8</v>
      </c>
      <c r="K2385">
        <v>3804426.1032982385</v>
      </c>
      <c r="L2385">
        <v>1792606.2400000007</v>
      </c>
      <c r="M2385">
        <v>3614924.1856353604</v>
      </c>
      <c r="N2385">
        <v>3728797.82</v>
      </c>
      <c r="O2385">
        <v>3610091.0174943856</v>
      </c>
      <c r="P2385">
        <f>SUMIF($F$2345:$F$2384,"&lt;&gt;EV_*",$P$2345:$P$2384)</f>
        <v>0</v>
      </c>
      <c r="Q2385">
        <f>SUMIF($F$2345:$F$2384,"&lt;&gt;EV_*",$Q$2345:$Q$2384)</f>
        <v>3610091.0174943856</v>
      </c>
      <c r="R2385">
        <f>SUMIF($F$2345:$F$2384,"&lt;&gt;EV_*",$R$2345:$R$2384)</f>
        <v>3558954.7090965938</v>
      </c>
      <c r="S2385">
        <f>SUMIF($F$2345:$F$2384,"&lt;&gt;EV_*",$S$2345:$S$2384)</f>
        <v>-51136.308397790475</v>
      </c>
      <c r="T2385">
        <v>0</v>
      </c>
      <c r="U2385">
        <f>SUMIF($F$2345:$F$2384,"&lt;&gt;EV_*",$U$2345:$U$2384)</f>
        <v>104058.3506006299</v>
      </c>
      <c r="V2385">
        <f>SUMIF($F$2345:$F$2384,"&lt;&gt;EV_*",$V$2345:$V$2384)</f>
        <v>3663013.059697222</v>
      </c>
      <c r="W2385">
        <f>SUMIF($F$2345:$F$2384,"&lt;&gt;EV_*",$W$2345:$W$2384)</f>
        <v>52922.04220283949</v>
      </c>
      <c r="X2385">
        <f>SUMIF($F$2345:$F$2384,"&lt;&gt;EV_*",$X$2345:$X$2384)</f>
        <v>0</v>
      </c>
    </row>
    <row r="2386" spans="1:24" x14ac:dyDescent="0.25">
      <c r="A2386" t="s">
        <v>1948</v>
      </c>
      <c r="B2386" t="s">
        <v>2129</v>
      </c>
      <c r="C2386" t="s">
        <v>2136</v>
      </c>
      <c r="D2386" t="s">
        <v>263</v>
      </c>
      <c r="E2386" t="s">
        <v>5</v>
      </c>
      <c r="F2386" t="s">
        <v>5</v>
      </c>
      <c r="G2386" t="s">
        <v>965</v>
      </c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</row>
    <row r="2387" spans="1:24" x14ac:dyDescent="0.25">
      <c r="A2387" t="s">
        <v>1948</v>
      </c>
      <c r="B2387" t="s">
        <v>2129</v>
      </c>
      <c r="C2387" t="s">
        <v>2136</v>
      </c>
      <c r="D2387" t="s">
        <v>263</v>
      </c>
      <c r="E2387" t="s">
        <v>61</v>
      </c>
      <c r="F2387" t="s">
        <v>1</v>
      </c>
      <c r="G2387" t="s">
        <v>966</v>
      </c>
      <c r="H2387" t="s">
        <v>470</v>
      </c>
      <c r="I2387" t="s">
        <v>1</v>
      </c>
      <c r="J2387">
        <v>7490</v>
      </c>
      <c r="K2387"/>
      <c r="L2387">
        <v>0</v>
      </c>
      <c r="M2387">
        <v>0</v>
      </c>
      <c r="N2387">
        <v>4930</v>
      </c>
      <c r="O2387"/>
      <c r="P2387">
        <v>0</v>
      </c>
      <c r="Q2387">
        <f t="shared" ref="Q2387:Q2416" si="490">O2387+P2387</f>
        <v>0</v>
      </c>
      <c r="R2387">
        <v>0</v>
      </c>
      <c r="S2387">
        <f t="shared" ref="S2387:S2416" si="491">IF(OR(LEFT(E2387,2)="A_",LEFT(D2387,5)="Total"),R2387-Q2387,"")</f>
        <v>0</v>
      </c>
      <c r="T2387"/>
      <c r="U2387">
        <f t="shared" ref="U2387:U2416" si="492">IFERROR(R2387*T2387,R2387*0)</f>
        <v>0</v>
      </c>
      <c r="V2387">
        <f t="shared" ref="V2387:V2416" si="493">IF(OR(LEFT(E2387,2)="A_",LEFT(D2387,5)="Total"),R2387+U2387,"")</f>
        <v>0</v>
      </c>
      <c r="W2387">
        <f t="shared" ref="W2387:W2416" si="494">IF(OR(LEFT(E2387,2)="A_",LEFT(D2387,5)="Total"),V2387-Q2387,"")</f>
        <v>0</v>
      </c>
      <c r="X2387">
        <v>0</v>
      </c>
    </row>
    <row r="2388" spans="1:24" x14ac:dyDescent="0.25">
      <c r="A2388" t="s">
        <v>1948</v>
      </c>
      <c r="B2388" t="s">
        <v>2129</v>
      </c>
      <c r="C2388" t="s">
        <v>2136</v>
      </c>
      <c r="D2388" t="s">
        <v>263</v>
      </c>
      <c r="E2388" t="s">
        <v>10</v>
      </c>
      <c r="F2388" t="s">
        <v>1</v>
      </c>
      <c r="G2388" t="s">
        <v>966</v>
      </c>
      <c r="H2388" t="s">
        <v>410</v>
      </c>
      <c r="I2388" t="s">
        <v>1</v>
      </c>
      <c r="J2388"/>
      <c r="K2388"/>
      <c r="L2388">
        <v>0</v>
      </c>
      <c r="M2388">
        <v>0</v>
      </c>
      <c r="N2388">
        <v>0</v>
      </c>
      <c r="O2388"/>
      <c r="P2388">
        <v>0</v>
      </c>
      <c r="Q2388">
        <f t="shared" si="490"/>
        <v>0</v>
      </c>
      <c r="R2388">
        <v>0</v>
      </c>
      <c r="S2388">
        <f t="shared" si="491"/>
        <v>0</v>
      </c>
      <c r="T2388"/>
      <c r="U2388">
        <f t="shared" si="492"/>
        <v>0</v>
      </c>
      <c r="V2388">
        <f t="shared" si="493"/>
        <v>0</v>
      </c>
      <c r="W2388">
        <f t="shared" si="494"/>
        <v>0</v>
      </c>
      <c r="X2388">
        <v>0</v>
      </c>
    </row>
    <row r="2389" spans="1:24" x14ac:dyDescent="0.25">
      <c r="A2389" t="s">
        <v>1948</v>
      </c>
      <c r="B2389" t="s">
        <v>2129</v>
      </c>
      <c r="C2389" t="s">
        <v>2136</v>
      </c>
      <c r="D2389" t="s">
        <v>263</v>
      </c>
      <c r="E2389" t="s">
        <v>11</v>
      </c>
      <c r="F2389" t="s">
        <v>1</v>
      </c>
      <c r="G2389" t="s">
        <v>966</v>
      </c>
      <c r="H2389" t="s">
        <v>411</v>
      </c>
      <c r="I2389" t="s">
        <v>1</v>
      </c>
      <c r="J2389">
        <v>1135.6400000000001</v>
      </c>
      <c r="K2389">
        <v>1127.0000000004</v>
      </c>
      <c r="L2389">
        <v>572.96</v>
      </c>
      <c r="M2389">
        <v>1155.4165745856353</v>
      </c>
      <c r="N2389">
        <v>1145.4899999999998</v>
      </c>
      <c r="O2389">
        <v>1145.92</v>
      </c>
      <c r="P2389">
        <v>0</v>
      </c>
      <c r="Q2389">
        <f t="shared" si="490"/>
        <v>1145.92</v>
      </c>
      <c r="R2389">
        <v>1146.3600000000001</v>
      </c>
      <c r="S2389">
        <f t="shared" si="491"/>
        <v>0.44000000000005457</v>
      </c>
      <c r="T2389"/>
      <c r="U2389">
        <f t="shared" si="492"/>
        <v>0</v>
      </c>
      <c r="V2389">
        <f t="shared" si="493"/>
        <v>1146.3600000000001</v>
      </c>
      <c r="W2389">
        <f t="shared" si="494"/>
        <v>0.44000000000005457</v>
      </c>
      <c r="X2389" t="s">
        <v>1685</v>
      </c>
    </row>
    <row r="2390" spans="1:24" x14ac:dyDescent="0.25">
      <c r="A2390" t="s">
        <v>1948</v>
      </c>
      <c r="B2390" t="s">
        <v>2129</v>
      </c>
      <c r="C2390" t="s">
        <v>2136</v>
      </c>
      <c r="D2390" t="s">
        <v>263</v>
      </c>
      <c r="E2390" t="s">
        <v>65</v>
      </c>
      <c r="F2390" t="s">
        <v>1</v>
      </c>
      <c r="G2390" t="s">
        <v>966</v>
      </c>
      <c r="H2390" t="s">
        <v>476</v>
      </c>
      <c r="I2390" t="s">
        <v>1</v>
      </c>
      <c r="J2390">
        <v>-65</v>
      </c>
      <c r="K2390"/>
      <c r="L2390">
        <v>-15</v>
      </c>
      <c r="M2390">
        <v>-30.248618784530386</v>
      </c>
      <c r="N2390">
        <v>-50</v>
      </c>
      <c r="O2390">
        <v>-30.164835164799999</v>
      </c>
      <c r="P2390">
        <v>0</v>
      </c>
      <c r="Q2390">
        <f t="shared" si="490"/>
        <v>-30.164835164799999</v>
      </c>
      <c r="R2390">
        <v>0</v>
      </c>
      <c r="S2390">
        <f t="shared" si="491"/>
        <v>30.164835164799999</v>
      </c>
      <c r="T2390"/>
      <c r="U2390">
        <f t="shared" si="492"/>
        <v>0</v>
      </c>
      <c r="V2390">
        <f t="shared" si="493"/>
        <v>0</v>
      </c>
      <c r="W2390">
        <f t="shared" si="494"/>
        <v>30.164835164799999</v>
      </c>
      <c r="X2390">
        <v>0</v>
      </c>
    </row>
    <row r="2391" spans="1:24" x14ac:dyDescent="0.25">
      <c r="A2391" t="s">
        <v>1948</v>
      </c>
      <c r="B2391" t="s">
        <v>2129</v>
      </c>
      <c r="C2391" t="s">
        <v>2136</v>
      </c>
      <c r="D2391" t="s">
        <v>263</v>
      </c>
      <c r="E2391" t="s">
        <v>17</v>
      </c>
      <c r="F2391" t="s">
        <v>1</v>
      </c>
      <c r="G2391" t="s">
        <v>966</v>
      </c>
      <c r="H2391" t="s">
        <v>417</v>
      </c>
      <c r="I2391" t="s">
        <v>1</v>
      </c>
      <c r="J2391">
        <v>-4053.66</v>
      </c>
      <c r="K2391">
        <v>-5419.9999999999</v>
      </c>
      <c r="L2391">
        <v>-16816.8</v>
      </c>
      <c r="M2391">
        <v>-33912.331491712706</v>
      </c>
      <c r="N2391">
        <v>-20048.489999999998</v>
      </c>
      <c r="O2391">
        <v>-33818.400000000001</v>
      </c>
      <c r="P2391">
        <v>0</v>
      </c>
      <c r="Q2391">
        <f t="shared" si="490"/>
        <v>-33818.400000000001</v>
      </c>
      <c r="R2391">
        <v>-5419.9999999999</v>
      </c>
      <c r="S2391">
        <f t="shared" si="491"/>
        <v>28398.400000000103</v>
      </c>
      <c r="T2391"/>
      <c r="U2391">
        <f t="shared" si="492"/>
        <v>0</v>
      </c>
      <c r="V2391">
        <f t="shared" si="493"/>
        <v>-5419.9999999999</v>
      </c>
      <c r="W2391">
        <f t="shared" si="494"/>
        <v>28398.400000000103</v>
      </c>
      <c r="X2391">
        <v>0</v>
      </c>
    </row>
    <row r="2392" spans="1:24" x14ac:dyDescent="0.25">
      <c r="A2392" t="s">
        <v>1948</v>
      </c>
      <c r="B2392" t="s">
        <v>2129</v>
      </c>
      <c r="C2392" t="s">
        <v>2136</v>
      </c>
      <c r="D2392" t="s">
        <v>263</v>
      </c>
      <c r="E2392" t="s">
        <v>82</v>
      </c>
      <c r="F2392" t="s">
        <v>1</v>
      </c>
      <c r="G2392" t="s">
        <v>966</v>
      </c>
      <c r="H2392" t="s">
        <v>507</v>
      </c>
      <c r="I2392" t="s">
        <v>1</v>
      </c>
      <c r="J2392">
        <v>297085.61</v>
      </c>
      <c r="K2392">
        <v>281430.38337338099</v>
      </c>
      <c r="L2392">
        <v>128644.9</v>
      </c>
      <c r="M2392">
        <v>259422.0359116022</v>
      </c>
      <c r="N2392">
        <v>320757.34999999998</v>
      </c>
      <c r="O2392">
        <v>258703.48021978</v>
      </c>
      <c r="P2392">
        <v>0</v>
      </c>
      <c r="Q2392">
        <f t="shared" si="490"/>
        <v>258703.48021978</v>
      </c>
      <c r="R2392">
        <v>258703.48021978</v>
      </c>
      <c r="S2392">
        <f t="shared" si="491"/>
        <v>0</v>
      </c>
      <c r="T2392">
        <v>2.75E-2</v>
      </c>
      <c r="U2392">
        <f t="shared" si="492"/>
        <v>7114.3457060439505</v>
      </c>
      <c r="V2392">
        <f t="shared" si="493"/>
        <v>265817.82592582394</v>
      </c>
      <c r="W2392">
        <f t="shared" si="494"/>
        <v>7114.3457060439396</v>
      </c>
      <c r="X2392">
        <v>0</v>
      </c>
    </row>
    <row r="2393" spans="1:24" x14ac:dyDescent="0.25">
      <c r="A2393" t="s">
        <v>1948</v>
      </c>
      <c r="B2393" t="s">
        <v>2129</v>
      </c>
      <c r="C2393" t="s">
        <v>2136</v>
      </c>
      <c r="D2393" t="s">
        <v>263</v>
      </c>
      <c r="E2393" t="s">
        <v>72</v>
      </c>
      <c r="F2393" t="s">
        <v>1</v>
      </c>
      <c r="G2393" t="s">
        <v>966</v>
      </c>
      <c r="H2393" t="s">
        <v>489</v>
      </c>
      <c r="I2393" t="s">
        <v>1</v>
      </c>
      <c r="J2393">
        <v>415399.28</v>
      </c>
      <c r="K2393">
        <v>463389.79723181401</v>
      </c>
      <c r="L2393">
        <v>194307.67</v>
      </c>
      <c r="M2393">
        <v>391835.90911602211</v>
      </c>
      <c r="N2393">
        <v>432710.79000000004</v>
      </c>
      <c r="O2393">
        <v>390750.58912087901</v>
      </c>
      <c r="P2393">
        <v>0</v>
      </c>
      <c r="Q2393">
        <f t="shared" si="490"/>
        <v>390750.58912087901</v>
      </c>
      <c r="R2393">
        <v>390750.58912087901</v>
      </c>
      <c r="S2393">
        <f t="shared" si="491"/>
        <v>0</v>
      </c>
      <c r="T2393">
        <v>2.2499999999999999E-2</v>
      </c>
      <c r="U2393">
        <f t="shared" si="492"/>
        <v>8791.8882552197774</v>
      </c>
      <c r="V2393">
        <f t="shared" si="493"/>
        <v>399542.4773760988</v>
      </c>
      <c r="W2393">
        <f t="shared" si="494"/>
        <v>8791.8882552197902</v>
      </c>
      <c r="X2393">
        <v>0</v>
      </c>
    </row>
    <row r="2394" spans="1:24" x14ac:dyDescent="0.25">
      <c r="A2394" t="s">
        <v>1948</v>
      </c>
      <c r="B2394" t="s">
        <v>2129</v>
      </c>
      <c r="C2394" t="s">
        <v>2136</v>
      </c>
      <c r="D2394" t="s">
        <v>263</v>
      </c>
      <c r="E2394" t="s">
        <v>18</v>
      </c>
      <c r="F2394" t="s">
        <v>1</v>
      </c>
      <c r="G2394" t="s">
        <v>966</v>
      </c>
      <c r="H2394" t="s">
        <v>418</v>
      </c>
      <c r="I2394" t="s">
        <v>1</v>
      </c>
      <c r="J2394">
        <v>15134.86</v>
      </c>
      <c r="K2394">
        <v>16126.2165059044</v>
      </c>
      <c r="L2394">
        <v>8692.4599999999991</v>
      </c>
      <c r="M2394">
        <v>17528.993922651931</v>
      </c>
      <c r="N2394">
        <v>16320.650000000001</v>
      </c>
      <c r="O2394">
        <v>17480.441538461499</v>
      </c>
      <c r="P2394">
        <v>0</v>
      </c>
      <c r="Q2394">
        <f t="shared" si="490"/>
        <v>17480.441538461499</v>
      </c>
      <c r="R2394">
        <v>17480.441538461499</v>
      </c>
      <c r="S2394">
        <f t="shared" si="491"/>
        <v>0</v>
      </c>
      <c r="T2394">
        <v>0.02</v>
      </c>
      <c r="U2394">
        <f t="shared" si="492"/>
        <v>349.60883076923</v>
      </c>
      <c r="V2394">
        <f t="shared" si="493"/>
        <v>17830.050369230728</v>
      </c>
      <c r="W2394">
        <f t="shared" si="494"/>
        <v>349.60883076922983</v>
      </c>
      <c r="X2394">
        <v>0</v>
      </c>
    </row>
    <row r="2395" spans="1:24" x14ac:dyDescent="0.25">
      <c r="A2395" t="s">
        <v>1948</v>
      </c>
      <c r="B2395" t="s">
        <v>2129</v>
      </c>
      <c r="C2395" t="s">
        <v>2136</v>
      </c>
      <c r="D2395" t="s">
        <v>263</v>
      </c>
      <c r="E2395" t="s">
        <v>57</v>
      </c>
      <c r="F2395" t="s">
        <v>1</v>
      </c>
      <c r="G2395" t="s">
        <v>966</v>
      </c>
      <c r="H2395" t="s">
        <v>462</v>
      </c>
      <c r="I2395" t="s">
        <v>1</v>
      </c>
      <c r="J2395">
        <v>5131.96</v>
      </c>
      <c r="K2395">
        <v>4355.0093991771</v>
      </c>
      <c r="L2395">
        <v>989.83</v>
      </c>
      <c r="M2395">
        <v>1996.0660220994475</v>
      </c>
      <c r="N2395">
        <v>4870.9800000000005</v>
      </c>
      <c r="O2395">
        <v>1990.5372527473</v>
      </c>
      <c r="P2395">
        <v>0</v>
      </c>
      <c r="Q2395">
        <f t="shared" si="490"/>
        <v>1990.5372527473</v>
      </c>
      <c r="R2395">
        <v>1990.5372527473</v>
      </c>
      <c r="S2395">
        <f t="shared" si="491"/>
        <v>0</v>
      </c>
      <c r="T2395">
        <v>0.04</v>
      </c>
      <c r="U2395">
        <f t="shared" si="492"/>
        <v>79.621490109892008</v>
      </c>
      <c r="V2395">
        <f t="shared" si="493"/>
        <v>2070.158742857192</v>
      </c>
      <c r="W2395">
        <f t="shared" si="494"/>
        <v>79.621490109891965</v>
      </c>
      <c r="X2395">
        <v>0</v>
      </c>
    </row>
    <row r="2396" spans="1:24" x14ac:dyDescent="0.25">
      <c r="A2396" t="s">
        <v>1948</v>
      </c>
      <c r="B2396" t="s">
        <v>2129</v>
      </c>
      <c r="C2396" t="s">
        <v>2136</v>
      </c>
      <c r="D2396" t="s">
        <v>263</v>
      </c>
      <c r="E2396" t="s">
        <v>74</v>
      </c>
      <c r="F2396" t="s">
        <v>1</v>
      </c>
      <c r="G2396" t="s">
        <v>966</v>
      </c>
      <c r="H2396" t="s">
        <v>491</v>
      </c>
      <c r="I2396" t="s">
        <v>1</v>
      </c>
      <c r="J2396">
        <v>171</v>
      </c>
      <c r="K2396"/>
      <c r="L2396">
        <v>0</v>
      </c>
      <c r="M2396">
        <v>0</v>
      </c>
      <c r="N2396">
        <v>0</v>
      </c>
      <c r="O2396"/>
      <c r="P2396">
        <v>0</v>
      </c>
      <c r="Q2396">
        <f t="shared" si="490"/>
        <v>0</v>
      </c>
      <c r="R2396">
        <v>0</v>
      </c>
      <c r="S2396">
        <f t="shared" si="491"/>
        <v>0</v>
      </c>
      <c r="T2396">
        <v>3.5000000000000003E-2</v>
      </c>
      <c r="U2396">
        <f t="shared" si="492"/>
        <v>0</v>
      </c>
      <c r="V2396">
        <f t="shared" si="493"/>
        <v>0</v>
      </c>
      <c r="W2396">
        <f t="shared" si="494"/>
        <v>0</v>
      </c>
      <c r="X2396">
        <v>0</v>
      </c>
    </row>
    <row r="2397" spans="1:24" x14ac:dyDescent="0.25">
      <c r="A2397" t="s">
        <v>1948</v>
      </c>
      <c r="B2397" t="s">
        <v>2129</v>
      </c>
      <c r="C2397" t="s">
        <v>2136</v>
      </c>
      <c r="D2397" t="s">
        <v>263</v>
      </c>
      <c r="E2397" t="s">
        <v>85</v>
      </c>
      <c r="F2397" t="s">
        <v>1</v>
      </c>
      <c r="G2397" t="s">
        <v>966</v>
      </c>
      <c r="H2397" t="s">
        <v>510</v>
      </c>
      <c r="I2397" t="s">
        <v>1</v>
      </c>
      <c r="J2397">
        <v>367.9</v>
      </c>
      <c r="K2397"/>
      <c r="L2397">
        <v>0</v>
      </c>
      <c r="M2397">
        <v>0</v>
      </c>
      <c r="N2397">
        <v>367.9</v>
      </c>
      <c r="O2397"/>
      <c r="P2397">
        <v>0</v>
      </c>
      <c r="Q2397">
        <f t="shared" si="490"/>
        <v>0</v>
      </c>
      <c r="R2397">
        <v>367.9</v>
      </c>
      <c r="S2397">
        <f t="shared" si="491"/>
        <v>367.9</v>
      </c>
      <c r="T2397">
        <v>0.02</v>
      </c>
      <c r="U2397">
        <f t="shared" si="492"/>
        <v>7.3579999999999997</v>
      </c>
      <c r="V2397">
        <f t="shared" si="493"/>
        <v>375.25799999999998</v>
      </c>
      <c r="W2397">
        <f t="shared" si="494"/>
        <v>375.25799999999998</v>
      </c>
      <c r="X2397">
        <v>0</v>
      </c>
    </row>
    <row r="2398" spans="1:24" x14ac:dyDescent="0.25">
      <c r="A2398" t="s">
        <v>1948</v>
      </c>
      <c r="B2398" t="s">
        <v>2129</v>
      </c>
      <c r="C2398" t="s">
        <v>2136</v>
      </c>
      <c r="D2398" t="s">
        <v>263</v>
      </c>
      <c r="E2398" t="s">
        <v>20</v>
      </c>
      <c r="F2398" t="s">
        <v>1</v>
      </c>
      <c r="G2398" t="s">
        <v>966</v>
      </c>
      <c r="H2398" t="s">
        <v>420</v>
      </c>
      <c r="I2398" t="s">
        <v>1</v>
      </c>
      <c r="J2398">
        <v>20523.12</v>
      </c>
      <c r="K2398">
        <v>19170.0811851853</v>
      </c>
      <c r="L2398">
        <v>6029.64</v>
      </c>
      <c r="M2398">
        <v>12159.218784530387</v>
      </c>
      <c r="N2398">
        <v>19227.780000000002</v>
      </c>
      <c r="O2398">
        <v>12125.5397802198</v>
      </c>
      <c r="P2398">
        <v>0</v>
      </c>
      <c r="Q2398">
        <f t="shared" si="490"/>
        <v>12125.5397802198</v>
      </c>
      <c r="R2398">
        <v>12125.5397802198</v>
      </c>
      <c r="S2398">
        <f t="shared" si="491"/>
        <v>0</v>
      </c>
      <c r="T2398">
        <v>0.04</v>
      </c>
      <c r="U2398">
        <f t="shared" si="492"/>
        <v>485.02159120879202</v>
      </c>
      <c r="V2398">
        <f t="shared" si="493"/>
        <v>12610.561371428592</v>
      </c>
      <c r="W2398">
        <f t="shared" si="494"/>
        <v>485.02159120879151</v>
      </c>
      <c r="X2398">
        <v>0</v>
      </c>
    </row>
    <row r="2399" spans="1:24" x14ac:dyDescent="0.25">
      <c r="A2399" t="s">
        <v>1948</v>
      </c>
      <c r="B2399" t="s">
        <v>2129</v>
      </c>
      <c r="C2399" t="s">
        <v>2136</v>
      </c>
      <c r="D2399" t="s">
        <v>263</v>
      </c>
      <c r="E2399" t="s">
        <v>21</v>
      </c>
      <c r="F2399" t="s">
        <v>1</v>
      </c>
      <c r="G2399" t="s">
        <v>966</v>
      </c>
      <c r="H2399" t="s">
        <v>421</v>
      </c>
      <c r="I2399" t="s">
        <v>1</v>
      </c>
      <c r="J2399">
        <v>12881.09</v>
      </c>
      <c r="K2399">
        <v>5623.7999999999001</v>
      </c>
      <c r="L2399">
        <v>5176.3100000000004</v>
      </c>
      <c r="M2399">
        <v>10438.415193370167</v>
      </c>
      <c r="N2399">
        <v>15327.730000000001</v>
      </c>
      <c r="O2399">
        <v>10438.4151933702</v>
      </c>
      <c r="P2399">
        <v>0</v>
      </c>
      <c r="Q2399">
        <f t="shared" si="490"/>
        <v>10438.4151933702</v>
      </c>
      <c r="R2399">
        <v>10438.4151933702</v>
      </c>
      <c r="S2399">
        <f t="shared" si="491"/>
        <v>0</v>
      </c>
      <c r="T2399">
        <v>0.03</v>
      </c>
      <c r="U2399">
        <f t="shared" si="492"/>
        <v>313.15245580110599</v>
      </c>
      <c r="V2399">
        <f t="shared" si="493"/>
        <v>10751.567649171306</v>
      </c>
      <c r="W2399">
        <f t="shared" si="494"/>
        <v>313.15245580110604</v>
      </c>
      <c r="X2399">
        <v>0</v>
      </c>
    </row>
    <row r="2400" spans="1:24" x14ac:dyDescent="0.25">
      <c r="A2400" t="s">
        <v>1948</v>
      </c>
      <c r="B2400" t="s">
        <v>2129</v>
      </c>
      <c r="C2400" t="s">
        <v>2136</v>
      </c>
      <c r="D2400" t="s">
        <v>263</v>
      </c>
      <c r="E2400" t="s">
        <v>22</v>
      </c>
      <c r="F2400" t="s">
        <v>1</v>
      </c>
      <c r="G2400" t="s">
        <v>966</v>
      </c>
      <c r="H2400" t="s">
        <v>422</v>
      </c>
      <c r="I2400" t="s">
        <v>1</v>
      </c>
      <c r="J2400">
        <v>13678.07</v>
      </c>
      <c r="K2400">
        <v>11467.799999999899</v>
      </c>
      <c r="L2400">
        <v>4413.03</v>
      </c>
      <c r="M2400">
        <v>8899.2041436464096</v>
      </c>
      <c r="N2400">
        <v>12552.8</v>
      </c>
      <c r="O2400">
        <v>8899.2041436464006</v>
      </c>
      <c r="P2400">
        <v>0</v>
      </c>
      <c r="Q2400">
        <f t="shared" si="490"/>
        <v>8899.2041436464006</v>
      </c>
      <c r="R2400">
        <v>11467.799999999899</v>
      </c>
      <c r="S2400">
        <f t="shared" si="491"/>
        <v>2568.5958563534987</v>
      </c>
      <c r="T2400">
        <v>3.5000000000000003E-2</v>
      </c>
      <c r="U2400">
        <f t="shared" si="492"/>
        <v>401.37299999999652</v>
      </c>
      <c r="V2400">
        <f t="shared" si="493"/>
        <v>11869.172999999895</v>
      </c>
      <c r="W2400">
        <f t="shared" si="494"/>
        <v>2969.9688563534946</v>
      </c>
      <c r="X2400">
        <v>0</v>
      </c>
    </row>
    <row r="2401" spans="1:24" x14ac:dyDescent="0.25">
      <c r="A2401" t="s">
        <v>1948</v>
      </c>
      <c r="B2401" t="s">
        <v>2129</v>
      </c>
      <c r="C2401" t="s">
        <v>2136</v>
      </c>
      <c r="D2401" t="s">
        <v>263</v>
      </c>
      <c r="E2401" t="s">
        <v>23</v>
      </c>
      <c r="F2401" t="s">
        <v>1</v>
      </c>
      <c r="G2401" t="s">
        <v>966</v>
      </c>
      <c r="H2401" t="s">
        <v>423</v>
      </c>
      <c r="I2401" t="s">
        <v>1</v>
      </c>
      <c r="J2401">
        <v>2790.88</v>
      </c>
      <c r="K2401">
        <v>2515.0500000000002</v>
      </c>
      <c r="L2401">
        <v>1780.9</v>
      </c>
      <c r="M2401">
        <v>3591.3176795580116</v>
      </c>
      <c r="N2401">
        <v>3356.1000000000004</v>
      </c>
      <c r="O2401">
        <v>3591.3176795579998</v>
      </c>
      <c r="P2401">
        <v>0</v>
      </c>
      <c r="Q2401">
        <f t="shared" si="490"/>
        <v>3591.3176795579998</v>
      </c>
      <c r="R2401">
        <v>3591.3176795579998</v>
      </c>
      <c r="S2401">
        <f t="shared" si="491"/>
        <v>0</v>
      </c>
      <c r="T2401">
        <v>3.5000000000000003E-2</v>
      </c>
      <c r="U2401">
        <f t="shared" si="492"/>
        <v>125.69611878453</v>
      </c>
      <c r="V2401">
        <f t="shared" si="493"/>
        <v>3717.0137983425298</v>
      </c>
      <c r="W2401">
        <f t="shared" si="494"/>
        <v>125.69611878452997</v>
      </c>
      <c r="X2401">
        <v>0</v>
      </c>
    </row>
    <row r="2402" spans="1:24" x14ac:dyDescent="0.25">
      <c r="A2402" t="s">
        <v>1948</v>
      </c>
      <c r="B2402" t="s">
        <v>2129</v>
      </c>
      <c r="C2402" t="s">
        <v>2136</v>
      </c>
      <c r="D2402" t="s">
        <v>263</v>
      </c>
      <c r="E2402" t="s">
        <v>26</v>
      </c>
      <c r="F2402" t="s">
        <v>1</v>
      </c>
      <c r="G2402" t="s">
        <v>966</v>
      </c>
      <c r="H2402" t="s">
        <v>426</v>
      </c>
      <c r="I2402" t="s">
        <v>1</v>
      </c>
      <c r="J2402"/>
      <c r="K2402">
        <v>372.87057995160001</v>
      </c>
      <c r="L2402">
        <v>399</v>
      </c>
      <c r="M2402">
        <v>804.61325966850825</v>
      </c>
      <c r="N2402">
        <v>399</v>
      </c>
      <c r="O2402">
        <v>798</v>
      </c>
      <c r="P2402">
        <v>0</v>
      </c>
      <c r="Q2402">
        <f t="shared" si="490"/>
        <v>798</v>
      </c>
      <c r="R2402">
        <v>399</v>
      </c>
      <c r="S2402">
        <f t="shared" si="491"/>
        <v>-399</v>
      </c>
      <c r="T2402"/>
      <c r="U2402">
        <f t="shared" si="492"/>
        <v>0</v>
      </c>
      <c r="V2402">
        <f t="shared" si="493"/>
        <v>399</v>
      </c>
      <c r="W2402">
        <f t="shared" si="494"/>
        <v>-399</v>
      </c>
      <c r="X2402" t="s">
        <v>1686</v>
      </c>
    </row>
    <row r="2403" spans="1:24" x14ac:dyDescent="0.25">
      <c r="A2403" t="s">
        <v>1948</v>
      </c>
      <c r="B2403" t="s">
        <v>2129</v>
      </c>
      <c r="C2403" t="s">
        <v>2136</v>
      </c>
      <c r="D2403" t="s">
        <v>263</v>
      </c>
      <c r="E2403" t="s">
        <v>27</v>
      </c>
      <c r="F2403" t="s">
        <v>1</v>
      </c>
      <c r="G2403" t="s">
        <v>966</v>
      </c>
      <c r="H2403" t="s">
        <v>427</v>
      </c>
      <c r="I2403" t="s">
        <v>1</v>
      </c>
      <c r="J2403">
        <v>38120.61</v>
      </c>
      <c r="K2403">
        <v>27270</v>
      </c>
      <c r="L2403">
        <v>8275</v>
      </c>
      <c r="M2403">
        <v>16687.154696132595</v>
      </c>
      <c r="N2403">
        <v>12265.32</v>
      </c>
      <c r="O2403">
        <v>16550</v>
      </c>
      <c r="P2403">
        <v>0</v>
      </c>
      <c r="Q2403">
        <f t="shared" si="490"/>
        <v>16550</v>
      </c>
      <c r="R2403">
        <v>21360</v>
      </c>
      <c r="S2403">
        <f t="shared" si="491"/>
        <v>4810</v>
      </c>
      <c r="T2403"/>
      <c r="U2403">
        <f t="shared" si="492"/>
        <v>0</v>
      </c>
      <c r="V2403">
        <f t="shared" si="493"/>
        <v>21360</v>
      </c>
      <c r="W2403">
        <f t="shared" si="494"/>
        <v>4810</v>
      </c>
      <c r="X2403" t="s">
        <v>1687</v>
      </c>
    </row>
    <row r="2404" spans="1:24" x14ac:dyDescent="0.25">
      <c r="A2404" t="s">
        <v>1948</v>
      </c>
      <c r="B2404" t="s">
        <v>2129</v>
      </c>
      <c r="C2404" t="s">
        <v>2136</v>
      </c>
      <c r="D2404" t="s">
        <v>263</v>
      </c>
      <c r="E2404" t="s">
        <v>28</v>
      </c>
      <c r="F2404" t="s">
        <v>1</v>
      </c>
      <c r="G2404" t="s">
        <v>966</v>
      </c>
      <c r="H2404" t="s">
        <v>428</v>
      </c>
      <c r="I2404" t="s">
        <v>1</v>
      </c>
      <c r="J2404">
        <v>6718.21</v>
      </c>
      <c r="K2404">
        <v>5700</v>
      </c>
      <c r="L2404">
        <v>2869.09</v>
      </c>
      <c r="M2404">
        <v>5785.7339779005524</v>
      </c>
      <c r="N2404">
        <v>8162.3</v>
      </c>
      <c r="O2404">
        <v>5738.18</v>
      </c>
      <c r="P2404">
        <v>0</v>
      </c>
      <c r="Q2404">
        <f t="shared" si="490"/>
        <v>5738.18</v>
      </c>
      <c r="R2404">
        <v>0</v>
      </c>
      <c r="S2404">
        <f t="shared" si="491"/>
        <v>-5738.18</v>
      </c>
      <c r="T2404"/>
      <c r="U2404">
        <f t="shared" si="492"/>
        <v>0</v>
      </c>
      <c r="V2404">
        <f t="shared" si="493"/>
        <v>0</v>
      </c>
      <c r="W2404">
        <f t="shared" si="494"/>
        <v>-5738.18</v>
      </c>
      <c r="X2404">
        <v>0</v>
      </c>
    </row>
    <row r="2405" spans="1:24" x14ac:dyDescent="0.25">
      <c r="A2405" t="s">
        <v>1948</v>
      </c>
      <c r="B2405" t="s">
        <v>2129</v>
      </c>
      <c r="C2405" t="s">
        <v>2136</v>
      </c>
      <c r="D2405" t="s">
        <v>263</v>
      </c>
      <c r="E2405" t="s">
        <v>34</v>
      </c>
      <c r="F2405" t="s">
        <v>1</v>
      </c>
      <c r="G2405" t="s">
        <v>966</v>
      </c>
      <c r="H2405" t="s">
        <v>434</v>
      </c>
      <c r="I2405" t="s">
        <v>1</v>
      </c>
      <c r="J2405"/>
      <c r="K2405">
        <v>98.123836830000002</v>
      </c>
      <c r="L2405">
        <v>689.46</v>
      </c>
      <c r="M2405">
        <v>1390.3475138121548</v>
      </c>
      <c r="N2405">
        <v>689.46</v>
      </c>
      <c r="O2405">
        <v>1378.92</v>
      </c>
      <c r="P2405">
        <v>0</v>
      </c>
      <c r="Q2405">
        <f t="shared" si="490"/>
        <v>1378.92</v>
      </c>
      <c r="R2405">
        <v>0</v>
      </c>
      <c r="S2405">
        <f t="shared" si="491"/>
        <v>-1378.92</v>
      </c>
      <c r="T2405"/>
      <c r="U2405">
        <f t="shared" si="492"/>
        <v>0</v>
      </c>
      <c r="V2405">
        <f t="shared" si="493"/>
        <v>0</v>
      </c>
      <c r="W2405">
        <f t="shared" si="494"/>
        <v>-1378.92</v>
      </c>
      <c r="X2405">
        <v>0</v>
      </c>
    </row>
    <row r="2406" spans="1:24" x14ac:dyDescent="0.25">
      <c r="A2406" t="s">
        <v>1948</v>
      </c>
      <c r="B2406" t="s">
        <v>2129</v>
      </c>
      <c r="C2406" t="s">
        <v>2136</v>
      </c>
      <c r="D2406" t="s">
        <v>263</v>
      </c>
      <c r="E2406" t="s">
        <v>35</v>
      </c>
      <c r="F2406" t="s">
        <v>1</v>
      </c>
      <c r="G2406" t="s">
        <v>966</v>
      </c>
      <c r="H2406" t="s">
        <v>435</v>
      </c>
      <c r="I2406" t="s">
        <v>1</v>
      </c>
      <c r="J2406"/>
      <c r="K2406">
        <v>150</v>
      </c>
      <c r="L2406">
        <v>0</v>
      </c>
      <c r="M2406">
        <v>0</v>
      </c>
      <c r="N2406">
        <v>0</v>
      </c>
      <c r="O2406"/>
      <c r="P2406">
        <v>0</v>
      </c>
      <c r="Q2406">
        <f t="shared" si="490"/>
        <v>0</v>
      </c>
      <c r="R2406">
        <v>0</v>
      </c>
      <c r="S2406">
        <f t="shared" si="491"/>
        <v>0</v>
      </c>
      <c r="T2406"/>
      <c r="U2406">
        <f t="shared" si="492"/>
        <v>0</v>
      </c>
      <c r="V2406">
        <f t="shared" si="493"/>
        <v>0</v>
      </c>
      <c r="W2406">
        <f t="shared" si="494"/>
        <v>0</v>
      </c>
      <c r="X2406">
        <v>0</v>
      </c>
    </row>
    <row r="2407" spans="1:24" x14ac:dyDescent="0.25">
      <c r="A2407" t="s">
        <v>1948</v>
      </c>
      <c r="B2407" t="s">
        <v>2129</v>
      </c>
      <c r="C2407" t="s">
        <v>2136</v>
      </c>
      <c r="D2407" t="s">
        <v>263</v>
      </c>
      <c r="E2407" t="s">
        <v>37</v>
      </c>
      <c r="F2407" t="s">
        <v>1</v>
      </c>
      <c r="G2407" t="s">
        <v>966</v>
      </c>
      <c r="H2407" t="s">
        <v>437</v>
      </c>
      <c r="I2407" t="s">
        <v>1</v>
      </c>
      <c r="J2407">
        <v>70.760000000000005</v>
      </c>
      <c r="K2407"/>
      <c r="L2407">
        <v>1907.9</v>
      </c>
      <c r="M2407">
        <v>3847.4226519337017</v>
      </c>
      <c r="N2407">
        <v>1907.9</v>
      </c>
      <c r="O2407">
        <v>3815.8</v>
      </c>
      <c r="P2407">
        <v>0</v>
      </c>
      <c r="Q2407">
        <f t="shared" si="490"/>
        <v>3815.8</v>
      </c>
      <c r="R2407">
        <v>1800</v>
      </c>
      <c r="S2407">
        <f t="shared" si="491"/>
        <v>-2015.8000000000002</v>
      </c>
      <c r="T2407"/>
      <c r="U2407">
        <f t="shared" si="492"/>
        <v>0</v>
      </c>
      <c r="V2407">
        <f t="shared" si="493"/>
        <v>1800</v>
      </c>
      <c r="W2407">
        <f t="shared" si="494"/>
        <v>-2015.8000000000002</v>
      </c>
      <c r="X2407" t="s">
        <v>1688</v>
      </c>
    </row>
    <row r="2408" spans="1:24" x14ac:dyDescent="0.25">
      <c r="A2408" t="s">
        <v>1948</v>
      </c>
      <c r="B2408" t="s">
        <v>2129</v>
      </c>
      <c r="C2408" t="s">
        <v>2136</v>
      </c>
      <c r="D2408" t="s">
        <v>263</v>
      </c>
      <c r="E2408" t="s">
        <v>121</v>
      </c>
      <c r="F2408" t="s">
        <v>1</v>
      </c>
      <c r="G2408" t="s">
        <v>966</v>
      </c>
      <c r="H2408" t="s">
        <v>590</v>
      </c>
      <c r="I2408" t="s">
        <v>1</v>
      </c>
      <c r="J2408"/>
      <c r="K2408">
        <v>29382.6933647892</v>
      </c>
      <c r="L2408">
        <v>0</v>
      </c>
      <c r="M2408">
        <v>0</v>
      </c>
      <c r="N2408">
        <v>0</v>
      </c>
      <c r="O2408"/>
      <c r="P2408">
        <v>0</v>
      </c>
      <c r="Q2408">
        <f t="shared" si="490"/>
        <v>0</v>
      </c>
      <c r="R2408">
        <v>0</v>
      </c>
      <c r="S2408">
        <f t="shared" si="491"/>
        <v>0</v>
      </c>
      <c r="T2408"/>
      <c r="U2408">
        <f t="shared" si="492"/>
        <v>0</v>
      </c>
      <c r="V2408">
        <f t="shared" si="493"/>
        <v>0</v>
      </c>
      <c r="W2408">
        <f t="shared" si="494"/>
        <v>0</v>
      </c>
      <c r="X2408">
        <v>0</v>
      </c>
    </row>
    <row r="2409" spans="1:24" x14ac:dyDescent="0.25">
      <c r="A2409" t="s">
        <v>1948</v>
      </c>
      <c r="B2409" t="s">
        <v>2129</v>
      </c>
      <c r="C2409" t="s">
        <v>2136</v>
      </c>
      <c r="D2409" t="s">
        <v>263</v>
      </c>
      <c r="E2409" t="s">
        <v>40</v>
      </c>
      <c r="F2409" t="s">
        <v>1</v>
      </c>
      <c r="G2409" t="s">
        <v>966</v>
      </c>
      <c r="H2409" t="s">
        <v>440</v>
      </c>
      <c r="I2409" t="s">
        <v>1</v>
      </c>
      <c r="J2409">
        <v>62487.29</v>
      </c>
      <c r="K2409">
        <v>4500</v>
      </c>
      <c r="L2409">
        <v>16750</v>
      </c>
      <c r="M2409">
        <v>33777.62430939226</v>
      </c>
      <c r="N2409">
        <v>45695.76</v>
      </c>
      <c r="O2409">
        <v>33500</v>
      </c>
      <c r="P2409">
        <v>0</v>
      </c>
      <c r="Q2409">
        <f t="shared" si="490"/>
        <v>33500</v>
      </c>
      <c r="R2409">
        <v>172000</v>
      </c>
      <c r="S2409">
        <f t="shared" si="491"/>
        <v>138500</v>
      </c>
      <c r="T2409">
        <v>0.03</v>
      </c>
      <c r="U2409">
        <f t="shared" si="492"/>
        <v>5160</v>
      </c>
      <c r="V2409">
        <f t="shared" si="493"/>
        <v>177160</v>
      </c>
      <c r="W2409">
        <f t="shared" si="494"/>
        <v>143660</v>
      </c>
      <c r="X2409" t="s">
        <v>1689</v>
      </c>
    </row>
    <row r="2410" spans="1:24" x14ac:dyDescent="0.25">
      <c r="A2410" t="s">
        <v>1948</v>
      </c>
      <c r="B2410" t="s">
        <v>2129</v>
      </c>
      <c r="C2410" t="s">
        <v>2136</v>
      </c>
      <c r="D2410" t="s">
        <v>263</v>
      </c>
      <c r="E2410" t="s">
        <v>76</v>
      </c>
      <c r="F2410" t="s">
        <v>1</v>
      </c>
      <c r="G2410" t="s">
        <v>966</v>
      </c>
      <c r="H2410" t="s">
        <v>493</v>
      </c>
      <c r="I2410" t="s">
        <v>1</v>
      </c>
      <c r="J2410">
        <v>60000</v>
      </c>
      <c r="K2410">
        <v>72765</v>
      </c>
      <c r="L2410">
        <v>0</v>
      </c>
      <c r="M2410">
        <v>0</v>
      </c>
      <c r="N2410">
        <v>0</v>
      </c>
      <c r="O2410"/>
      <c r="P2410">
        <v>0</v>
      </c>
      <c r="Q2410">
        <f t="shared" si="490"/>
        <v>0</v>
      </c>
      <c r="R2410">
        <v>66000</v>
      </c>
      <c r="S2410">
        <f t="shared" si="491"/>
        <v>66000</v>
      </c>
      <c r="T2410">
        <v>0.03</v>
      </c>
      <c r="U2410">
        <f t="shared" si="492"/>
        <v>1980</v>
      </c>
      <c r="V2410">
        <f t="shared" si="493"/>
        <v>67980</v>
      </c>
      <c r="W2410">
        <f t="shared" si="494"/>
        <v>67980</v>
      </c>
      <c r="X2410" t="s">
        <v>1690</v>
      </c>
    </row>
    <row r="2411" spans="1:24" x14ac:dyDescent="0.25">
      <c r="A2411" t="s">
        <v>1948</v>
      </c>
      <c r="B2411" t="s">
        <v>2129</v>
      </c>
      <c r="C2411" t="s">
        <v>2136</v>
      </c>
      <c r="D2411" t="s">
        <v>263</v>
      </c>
      <c r="E2411" t="s">
        <v>41</v>
      </c>
      <c r="F2411" t="s">
        <v>1</v>
      </c>
      <c r="G2411" t="s">
        <v>966</v>
      </c>
      <c r="H2411" t="s">
        <v>441</v>
      </c>
      <c r="I2411" t="s">
        <v>1</v>
      </c>
      <c r="J2411">
        <v>35529.1</v>
      </c>
      <c r="K2411">
        <v>34755.908536129202</v>
      </c>
      <c r="L2411">
        <v>19049.25</v>
      </c>
      <c r="M2411">
        <v>38414.233425414364</v>
      </c>
      <c r="N2411">
        <v>36885.06</v>
      </c>
      <c r="O2411">
        <v>38098.5</v>
      </c>
      <c r="P2411">
        <v>0</v>
      </c>
      <c r="Q2411">
        <f t="shared" si="490"/>
        <v>38098.5</v>
      </c>
      <c r="R2411">
        <v>38098.5</v>
      </c>
      <c r="S2411">
        <f t="shared" si="491"/>
        <v>0</v>
      </c>
      <c r="T2411">
        <v>0.03</v>
      </c>
      <c r="U2411">
        <f t="shared" si="492"/>
        <v>1142.9549999999999</v>
      </c>
      <c r="V2411">
        <f t="shared" si="493"/>
        <v>39241.455000000002</v>
      </c>
      <c r="W2411">
        <f t="shared" si="494"/>
        <v>1142.9550000000017</v>
      </c>
      <c r="X2411">
        <v>0</v>
      </c>
    </row>
    <row r="2412" spans="1:24" x14ac:dyDescent="0.25">
      <c r="A2412" t="s">
        <v>1948</v>
      </c>
      <c r="B2412" t="s">
        <v>2129</v>
      </c>
      <c r="C2412" t="s">
        <v>2136</v>
      </c>
      <c r="D2412" t="s">
        <v>263</v>
      </c>
      <c r="E2412" t="s">
        <v>42</v>
      </c>
      <c r="F2412" t="s">
        <v>1</v>
      </c>
      <c r="G2412" t="s">
        <v>966</v>
      </c>
      <c r="H2412" t="s">
        <v>442</v>
      </c>
      <c r="I2412" t="s">
        <v>1</v>
      </c>
      <c r="J2412">
        <v>11596.75</v>
      </c>
      <c r="K2412">
        <v>30246</v>
      </c>
      <c r="L2412">
        <v>0</v>
      </c>
      <c r="M2412">
        <v>0</v>
      </c>
      <c r="N2412">
        <v>676.92</v>
      </c>
      <c r="O2412"/>
      <c r="P2412">
        <v>0</v>
      </c>
      <c r="Q2412">
        <f t="shared" si="490"/>
        <v>0</v>
      </c>
      <c r="R2412">
        <v>15000</v>
      </c>
      <c r="S2412">
        <f t="shared" si="491"/>
        <v>15000</v>
      </c>
      <c r="T2412">
        <v>0.03</v>
      </c>
      <c r="U2412">
        <f t="shared" si="492"/>
        <v>450</v>
      </c>
      <c r="V2412">
        <f t="shared" si="493"/>
        <v>15450</v>
      </c>
      <c r="W2412">
        <f t="shared" si="494"/>
        <v>15450</v>
      </c>
      <c r="X2412" t="s">
        <v>1691</v>
      </c>
    </row>
    <row r="2413" spans="1:24" x14ac:dyDescent="0.25">
      <c r="A2413" t="s">
        <v>1948</v>
      </c>
      <c r="B2413" t="s">
        <v>2129</v>
      </c>
      <c r="C2413" t="s">
        <v>2136</v>
      </c>
      <c r="D2413" t="s">
        <v>263</v>
      </c>
      <c r="E2413" t="s">
        <v>43</v>
      </c>
      <c r="F2413" t="s">
        <v>1</v>
      </c>
      <c r="G2413" t="s">
        <v>966</v>
      </c>
      <c r="H2413" t="s">
        <v>443</v>
      </c>
      <c r="I2413" t="s">
        <v>1</v>
      </c>
      <c r="J2413">
        <v>8846.75</v>
      </c>
      <c r="K2413"/>
      <c r="L2413">
        <v>14679</v>
      </c>
      <c r="M2413">
        <v>29601.298342541435</v>
      </c>
      <c r="N2413">
        <v>23525.75</v>
      </c>
      <c r="O2413">
        <v>29358</v>
      </c>
      <c r="P2413">
        <v>0</v>
      </c>
      <c r="Q2413">
        <f t="shared" si="490"/>
        <v>29358</v>
      </c>
      <c r="R2413">
        <v>0</v>
      </c>
      <c r="S2413">
        <f t="shared" si="491"/>
        <v>-29358</v>
      </c>
      <c r="T2413">
        <v>0.03</v>
      </c>
      <c r="U2413">
        <f t="shared" si="492"/>
        <v>0</v>
      </c>
      <c r="V2413">
        <f t="shared" si="493"/>
        <v>0</v>
      </c>
      <c r="W2413">
        <f t="shared" si="494"/>
        <v>-29358</v>
      </c>
      <c r="X2413">
        <v>0</v>
      </c>
    </row>
    <row r="2414" spans="1:24" x14ac:dyDescent="0.25">
      <c r="A2414" t="s">
        <v>1948</v>
      </c>
      <c r="B2414" t="s">
        <v>2129</v>
      </c>
      <c r="C2414" t="s">
        <v>2136</v>
      </c>
      <c r="D2414" t="s">
        <v>263</v>
      </c>
      <c r="E2414" t="s">
        <v>134</v>
      </c>
      <c r="F2414" t="s">
        <v>1</v>
      </c>
      <c r="G2414" t="s">
        <v>966</v>
      </c>
      <c r="H2414" t="s">
        <v>623</v>
      </c>
      <c r="I2414" t="s">
        <v>1</v>
      </c>
      <c r="J2414">
        <v>2800</v>
      </c>
      <c r="K2414"/>
      <c r="L2414">
        <v>0</v>
      </c>
      <c r="M2414">
        <v>0</v>
      </c>
      <c r="N2414">
        <v>0</v>
      </c>
      <c r="O2414"/>
      <c r="P2414">
        <v>0</v>
      </c>
      <c r="Q2414">
        <f t="shared" si="490"/>
        <v>0</v>
      </c>
      <c r="R2414">
        <v>0</v>
      </c>
      <c r="S2414">
        <f t="shared" si="491"/>
        <v>0</v>
      </c>
      <c r="T2414">
        <v>0.03</v>
      </c>
      <c r="U2414">
        <f t="shared" si="492"/>
        <v>0</v>
      </c>
      <c r="V2414">
        <f t="shared" si="493"/>
        <v>0</v>
      </c>
      <c r="W2414">
        <f t="shared" si="494"/>
        <v>0</v>
      </c>
      <c r="X2414">
        <v>0</v>
      </c>
    </row>
    <row r="2415" spans="1:24" x14ac:dyDescent="0.25">
      <c r="A2415" t="s">
        <v>1948</v>
      </c>
      <c r="B2415" t="s">
        <v>2129</v>
      </c>
      <c r="C2415" t="s">
        <v>2136</v>
      </c>
      <c r="D2415" t="s">
        <v>263</v>
      </c>
      <c r="E2415" t="s">
        <v>46</v>
      </c>
      <c r="F2415" t="s">
        <v>1</v>
      </c>
      <c r="G2415" t="s">
        <v>966</v>
      </c>
      <c r="H2415" t="s">
        <v>446</v>
      </c>
      <c r="I2415" t="s">
        <v>1</v>
      </c>
      <c r="J2415">
        <v>16137.56</v>
      </c>
      <c r="K2415"/>
      <c r="L2415">
        <v>11634.16</v>
      </c>
      <c r="M2415">
        <v>23461.15138121547</v>
      </c>
      <c r="N2415">
        <v>20967.04</v>
      </c>
      <c r="O2415">
        <v>23268.32</v>
      </c>
      <c r="P2415">
        <v>0</v>
      </c>
      <c r="Q2415">
        <f t="shared" si="490"/>
        <v>23268.32</v>
      </c>
      <c r="R2415">
        <v>2500</v>
      </c>
      <c r="S2415">
        <f t="shared" si="491"/>
        <v>-20768.32</v>
      </c>
      <c r="T2415">
        <v>0.03</v>
      </c>
      <c r="U2415">
        <f t="shared" si="492"/>
        <v>75</v>
      </c>
      <c r="V2415">
        <f t="shared" si="493"/>
        <v>2575</v>
      </c>
      <c r="W2415">
        <f t="shared" si="494"/>
        <v>-20693.32</v>
      </c>
      <c r="X2415" t="s">
        <v>1692</v>
      </c>
    </row>
    <row r="2416" spans="1:24" x14ac:dyDescent="0.25">
      <c r="A2416" t="s">
        <v>1948</v>
      </c>
      <c r="B2416" t="s">
        <v>2129</v>
      </c>
      <c r="C2416" t="s">
        <v>2136</v>
      </c>
      <c r="D2416" t="s">
        <v>263</v>
      </c>
      <c r="E2416" t="s">
        <v>48</v>
      </c>
      <c r="F2416" t="s">
        <v>1</v>
      </c>
      <c r="G2416" t="s">
        <v>966</v>
      </c>
      <c r="H2416" t="s">
        <v>448</v>
      </c>
      <c r="I2416" t="s">
        <v>1</v>
      </c>
      <c r="J2416">
        <v>10691.31</v>
      </c>
      <c r="K2416">
        <v>9204</v>
      </c>
      <c r="L2416">
        <v>3972.01</v>
      </c>
      <c r="M2416">
        <v>8009.8544198895024</v>
      </c>
      <c r="N2416">
        <v>9767.6200000000008</v>
      </c>
      <c r="O2416">
        <v>7944.02</v>
      </c>
      <c r="P2416">
        <v>0</v>
      </c>
      <c r="Q2416">
        <f t="shared" si="490"/>
        <v>7944.02</v>
      </c>
      <c r="R2416">
        <v>7944.02</v>
      </c>
      <c r="S2416">
        <f t="shared" si="491"/>
        <v>0</v>
      </c>
      <c r="T2416">
        <v>0.03</v>
      </c>
      <c r="U2416">
        <f t="shared" si="492"/>
        <v>238.32060000000001</v>
      </c>
      <c r="V2416">
        <f t="shared" si="493"/>
        <v>8182.3406000000004</v>
      </c>
      <c r="W2416">
        <f t="shared" si="494"/>
        <v>238.32060000000001</v>
      </c>
      <c r="X2416">
        <v>0</v>
      </c>
    </row>
    <row r="2417" spans="1:24" x14ac:dyDescent="0.25">
      <c r="A2417" t="s">
        <v>1948</v>
      </c>
      <c r="B2417" t="s">
        <v>2129</v>
      </c>
      <c r="C2417" t="s">
        <v>2136</v>
      </c>
      <c r="D2417" t="s">
        <v>263</v>
      </c>
      <c r="E2417" t="s">
        <v>51</v>
      </c>
      <c r="F2417" t="s">
        <v>51</v>
      </c>
      <c r="G2417" t="s">
        <v>967</v>
      </c>
      <c r="H2417"/>
      <c r="I2417"/>
      <c r="J2417">
        <v>1040669.09</v>
      </c>
      <c r="K2417">
        <v>1014229.7340131623</v>
      </c>
      <c r="L2417">
        <v>414000.77000000014</v>
      </c>
      <c r="M2417">
        <v>834863.43121546984</v>
      </c>
      <c r="N2417">
        <v>972411.2100000002</v>
      </c>
      <c r="O2417">
        <v>831726.62009349745</v>
      </c>
      <c r="P2417">
        <f>SUMIF($F$2386:$F$2416,"&lt;&gt;EV_*",$P$2386:$P$2416)</f>
        <v>0</v>
      </c>
      <c r="Q2417">
        <f>SUMIF($F$2386:$F$2416,"&lt;&gt;EV_*",$Q$2386:$Q$2416)</f>
        <v>831726.62009349745</v>
      </c>
      <c r="R2417">
        <f>SUMIF($F$2386:$F$2416,"&lt;&gt;EV_*",$R$2386:$R$2416)</f>
        <v>1027743.9007850159</v>
      </c>
      <c r="S2417">
        <f>SUMIF($F$2386:$F$2416,"&lt;&gt;EV_*",$S$2386:$S$2416)</f>
        <v>196017.28069151839</v>
      </c>
      <c r="T2417">
        <v>0</v>
      </c>
      <c r="U2417">
        <f>SUMIF($F$2386:$F$2416,"&lt;&gt;EV_*",$U$2386:$U$2416)</f>
        <v>26714.341047937269</v>
      </c>
      <c r="V2417">
        <f>SUMIF($F$2386:$F$2416,"&lt;&gt;EV_*",$V$2386:$V$2416)</f>
        <v>1054458.2418329532</v>
      </c>
      <c r="W2417">
        <f>SUMIF($F$2386:$F$2416,"&lt;&gt;EV_*",$W$2386:$W$2416)</f>
        <v>222731.6217394557</v>
      </c>
      <c r="X2417">
        <f>SUMIF($F$2386:$F$2416,"&lt;&gt;EV_*",$X$2386:$X$2416)</f>
        <v>0</v>
      </c>
    </row>
    <row r="2418" spans="1:24" x14ac:dyDescent="0.25">
      <c r="A2418" t="s">
        <v>1948</v>
      </c>
      <c r="B2418" t="s">
        <v>2129</v>
      </c>
      <c r="C2418" t="s">
        <v>2137</v>
      </c>
      <c r="D2418" t="s">
        <v>264</v>
      </c>
      <c r="E2418" t="s">
        <v>5</v>
      </c>
      <c r="F2418" t="s">
        <v>5</v>
      </c>
      <c r="G2418" t="s">
        <v>968</v>
      </c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</row>
    <row r="2419" spans="1:24" x14ac:dyDescent="0.25">
      <c r="A2419" t="s">
        <v>1948</v>
      </c>
      <c r="B2419" t="s">
        <v>2129</v>
      </c>
      <c r="C2419" t="s">
        <v>2137</v>
      </c>
      <c r="D2419" t="s">
        <v>264</v>
      </c>
      <c r="E2419" t="s">
        <v>61</v>
      </c>
      <c r="F2419" t="s">
        <v>1</v>
      </c>
      <c r="G2419" t="s">
        <v>969</v>
      </c>
      <c r="H2419" t="s">
        <v>470</v>
      </c>
      <c r="I2419" t="s">
        <v>1</v>
      </c>
      <c r="J2419">
        <v>3815</v>
      </c>
      <c r="K2419"/>
      <c r="L2419">
        <v>0</v>
      </c>
      <c r="M2419">
        <v>0</v>
      </c>
      <c r="N2419">
        <v>3815</v>
      </c>
      <c r="O2419"/>
      <c r="P2419">
        <v>0</v>
      </c>
      <c r="Q2419">
        <f t="shared" ref="Q2419:Q2449" si="495">O2419+P2419</f>
        <v>0</v>
      </c>
      <c r="R2419">
        <v>0</v>
      </c>
      <c r="S2419">
        <f t="shared" ref="S2419:S2449" si="496">IF(OR(LEFT(E2419,2)="A_",LEFT(D2419,5)="Total"),R2419-Q2419,"")</f>
        <v>0</v>
      </c>
      <c r="T2419"/>
      <c r="U2419">
        <f t="shared" ref="U2419:U2449" si="497">IFERROR(R2419*T2419,R2419*0)</f>
        <v>0</v>
      </c>
      <c r="V2419">
        <f t="shared" ref="V2419:V2449" si="498">IF(OR(LEFT(E2419,2)="A_",LEFT(D2419,5)="Total"),R2419+U2419,"")</f>
        <v>0</v>
      </c>
      <c r="W2419">
        <f t="shared" ref="W2419:W2449" si="499">IF(OR(LEFT(E2419,2)="A_",LEFT(D2419,5)="Total"),V2419-Q2419,"")</f>
        <v>0</v>
      </c>
      <c r="X2419">
        <v>0</v>
      </c>
    </row>
    <row r="2420" spans="1:24" x14ac:dyDescent="0.25">
      <c r="A2420" t="s">
        <v>1948</v>
      </c>
      <c r="B2420" t="s">
        <v>2129</v>
      </c>
      <c r="C2420" t="s">
        <v>2137</v>
      </c>
      <c r="D2420" t="s">
        <v>264</v>
      </c>
      <c r="E2420" t="s">
        <v>8</v>
      </c>
      <c r="F2420" t="s">
        <v>1</v>
      </c>
      <c r="G2420" t="s">
        <v>969</v>
      </c>
      <c r="H2420" t="s">
        <v>408</v>
      </c>
      <c r="I2420" t="s">
        <v>1</v>
      </c>
      <c r="J2420">
        <v>4183.42</v>
      </c>
      <c r="K2420">
        <v>4045.0872928178001</v>
      </c>
      <c r="L2420">
        <v>296.25</v>
      </c>
      <c r="M2420">
        <v>597.41022099447514</v>
      </c>
      <c r="N2420">
        <v>2473.75</v>
      </c>
      <c r="O2420">
        <v>597.41022099450004</v>
      </c>
      <c r="P2420">
        <v>0</v>
      </c>
      <c r="Q2420">
        <f t="shared" si="495"/>
        <v>597.41022099450004</v>
      </c>
      <c r="R2420">
        <v>4045.0872928178001</v>
      </c>
      <c r="S2420">
        <f t="shared" si="496"/>
        <v>3447.6770718233001</v>
      </c>
      <c r="T2420"/>
      <c r="U2420">
        <f t="shared" si="497"/>
        <v>0</v>
      </c>
      <c r="V2420">
        <f t="shared" si="498"/>
        <v>4045.0872928178001</v>
      </c>
      <c r="W2420">
        <f t="shared" si="499"/>
        <v>3447.6770718233001</v>
      </c>
      <c r="X2420">
        <v>0</v>
      </c>
    </row>
    <row r="2421" spans="1:24" x14ac:dyDescent="0.25">
      <c r="A2421" t="s">
        <v>1948</v>
      </c>
      <c r="B2421" t="s">
        <v>2129</v>
      </c>
      <c r="C2421" t="s">
        <v>2137</v>
      </c>
      <c r="D2421" t="s">
        <v>264</v>
      </c>
      <c r="E2421" t="s">
        <v>10</v>
      </c>
      <c r="F2421" t="s">
        <v>1</v>
      </c>
      <c r="G2421" t="s">
        <v>969</v>
      </c>
      <c r="H2421" t="s">
        <v>410</v>
      </c>
      <c r="I2421" t="s">
        <v>1</v>
      </c>
      <c r="J2421">
        <v>5868.51</v>
      </c>
      <c r="K2421">
        <v>5732.0000000004002</v>
      </c>
      <c r="L2421">
        <v>1067.81</v>
      </c>
      <c r="M2421">
        <v>2153.3185082872928</v>
      </c>
      <c r="N2421">
        <v>6582.8099999999995</v>
      </c>
      <c r="O2421">
        <v>2135.62</v>
      </c>
      <c r="P2421">
        <v>0</v>
      </c>
      <c r="Q2421">
        <f t="shared" si="495"/>
        <v>2135.62</v>
      </c>
      <c r="R2421">
        <v>1804.1999999999998</v>
      </c>
      <c r="S2421">
        <f t="shared" si="496"/>
        <v>-331.42000000000007</v>
      </c>
      <c r="T2421"/>
      <c r="U2421">
        <f t="shared" si="497"/>
        <v>0</v>
      </c>
      <c r="V2421">
        <f t="shared" si="498"/>
        <v>1804.1999999999998</v>
      </c>
      <c r="W2421">
        <f t="shared" si="499"/>
        <v>-331.42000000000007</v>
      </c>
      <c r="X2421" t="s">
        <v>1693</v>
      </c>
    </row>
    <row r="2422" spans="1:24" x14ac:dyDescent="0.25">
      <c r="A2422" t="s">
        <v>1948</v>
      </c>
      <c r="B2422" t="s">
        <v>2129</v>
      </c>
      <c r="C2422" t="s">
        <v>2137</v>
      </c>
      <c r="D2422" t="s">
        <v>264</v>
      </c>
      <c r="E2422" t="s">
        <v>11</v>
      </c>
      <c r="F2422" t="s">
        <v>1</v>
      </c>
      <c r="G2422" t="s">
        <v>969</v>
      </c>
      <c r="H2422" t="s">
        <v>411</v>
      </c>
      <c r="I2422" t="s">
        <v>1</v>
      </c>
      <c r="J2422">
        <v>8525.83</v>
      </c>
      <c r="K2422">
        <v>6550.8999999996004</v>
      </c>
      <c r="L2422">
        <v>3290.19</v>
      </c>
      <c r="M2422">
        <v>6634.9135359116026</v>
      </c>
      <c r="N2422">
        <v>7334.25</v>
      </c>
      <c r="O2422">
        <v>6580.38</v>
      </c>
      <c r="P2422">
        <v>0</v>
      </c>
      <c r="Q2422">
        <f t="shared" si="495"/>
        <v>6580.38</v>
      </c>
      <c r="R2422">
        <v>6454.08</v>
      </c>
      <c r="S2422">
        <f t="shared" si="496"/>
        <v>-126.30000000000018</v>
      </c>
      <c r="T2422"/>
      <c r="U2422">
        <f t="shared" si="497"/>
        <v>0</v>
      </c>
      <c r="V2422">
        <f t="shared" si="498"/>
        <v>6454.08</v>
      </c>
      <c r="W2422">
        <f t="shared" si="499"/>
        <v>-126.30000000000018</v>
      </c>
      <c r="X2422" t="s">
        <v>1694</v>
      </c>
    </row>
    <row r="2423" spans="1:24" x14ac:dyDescent="0.25">
      <c r="A2423" t="s">
        <v>1948</v>
      </c>
      <c r="B2423" t="s">
        <v>2129</v>
      </c>
      <c r="C2423" t="s">
        <v>2137</v>
      </c>
      <c r="D2423" t="s">
        <v>264</v>
      </c>
      <c r="E2423" t="s">
        <v>12</v>
      </c>
      <c r="F2423" t="s">
        <v>1</v>
      </c>
      <c r="G2423" t="s">
        <v>969</v>
      </c>
      <c r="H2423" t="s">
        <v>412</v>
      </c>
      <c r="I2423" t="s">
        <v>1</v>
      </c>
      <c r="J2423"/>
      <c r="K2423"/>
      <c r="L2423">
        <v>32268.63</v>
      </c>
      <c r="M2423">
        <v>65072.099171270725</v>
      </c>
      <c r="N2423">
        <v>32268.629999999997</v>
      </c>
      <c r="O2423">
        <v>64537.26</v>
      </c>
      <c r="P2423">
        <v>0</v>
      </c>
      <c r="Q2423">
        <f t="shared" si="495"/>
        <v>64537.26</v>
      </c>
      <c r="R2423">
        <v>32268.63</v>
      </c>
      <c r="S2423">
        <f t="shared" si="496"/>
        <v>-32268.63</v>
      </c>
      <c r="T2423"/>
      <c r="U2423">
        <f t="shared" si="497"/>
        <v>0</v>
      </c>
      <c r="V2423">
        <f t="shared" si="498"/>
        <v>32268.63</v>
      </c>
      <c r="W2423">
        <f t="shared" si="499"/>
        <v>-32268.63</v>
      </c>
      <c r="X2423" t="s">
        <v>1695</v>
      </c>
    </row>
    <row r="2424" spans="1:24" x14ac:dyDescent="0.25">
      <c r="A2424" t="s">
        <v>1948</v>
      </c>
      <c r="B2424" t="s">
        <v>2129</v>
      </c>
      <c r="C2424" t="s">
        <v>2137</v>
      </c>
      <c r="D2424" t="s">
        <v>264</v>
      </c>
      <c r="E2424" t="s">
        <v>17</v>
      </c>
      <c r="F2424" t="s">
        <v>1</v>
      </c>
      <c r="G2424" t="s">
        <v>969</v>
      </c>
      <c r="H2424" t="s">
        <v>417</v>
      </c>
      <c r="I2424" t="s">
        <v>1</v>
      </c>
      <c r="J2424">
        <v>-297</v>
      </c>
      <c r="K2424"/>
      <c r="L2424">
        <v>-1189</v>
      </c>
      <c r="M2424">
        <v>-2397.7071823204419</v>
      </c>
      <c r="N2424">
        <v>-1275.82</v>
      </c>
      <c r="O2424">
        <v>-2391.0659340658999</v>
      </c>
      <c r="P2424">
        <v>0</v>
      </c>
      <c r="Q2424">
        <f t="shared" si="495"/>
        <v>-2391.0659340658999</v>
      </c>
      <c r="R2424">
        <v>-2391.0659340658999</v>
      </c>
      <c r="S2424">
        <f t="shared" si="496"/>
        <v>0</v>
      </c>
      <c r="T2424"/>
      <c r="U2424">
        <f t="shared" si="497"/>
        <v>0</v>
      </c>
      <c r="V2424">
        <f t="shared" si="498"/>
        <v>-2391.0659340658999</v>
      </c>
      <c r="W2424">
        <f t="shared" si="499"/>
        <v>0</v>
      </c>
      <c r="X2424">
        <v>0</v>
      </c>
    </row>
    <row r="2425" spans="1:24" x14ac:dyDescent="0.25">
      <c r="A2425" t="s">
        <v>1948</v>
      </c>
      <c r="B2425" t="s">
        <v>2129</v>
      </c>
      <c r="C2425" t="s">
        <v>2137</v>
      </c>
      <c r="D2425" t="s">
        <v>264</v>
      </c>
      <c r="E2425" t="s">
        <v>82</v>
      </c>
      <c r="F2425" t="s">
        <v>1</v>
      </c>
      <c r="G2425" t="s">
        <v>969</v>
      </c>
      <c r="H2425" t="s">
        <v>507</v>
      </c>
      <c r="I2425" t="s">
        <v>1</v>
      </c>
      <c r="J2425">
        <v>46445.59</v>
      </c>
      <c r="K2425">
        <v>6078.8846063226001</v>
      </c>
      <c r="L2425">
        <v>11160.43</v>
      </c>
      <c r="M2425">
        <v>22505.839502762432</v>
      </c>
      <c r="N2425">
        <v>54904.500000000007</v>
      </c>
      <c r="O2425">
        <v>22443.5020879121</v>
      </c>
      <c r="P2425">
        <v>0</v>
      </c>
      <c r="Q2425">
        <f t="shared" si="495"/>
        <v>22443.5020879121</v>
      </c>
      <c r="R2425">
        <v>22443.5020879121</v>
      </c>
      <c r="S2425">
        <f t="shared" si="496"/>
        <v>0</v>
      </c>
      <c r="T2425">
        <v>2.75E-2</v>
      </c>
      <c r="U2425">
        <f t="shared" si="497"/>
        <v>617.19630741758272</v>
      </c>
      <c r="V2425">
        <f t="shared" si="498"/>
        <v>23060.698395329684</v>
      </c>
      <c r="W2425">
        <f t="shared" si="499"/>
        <v>617.19630741758374</v>
      </c>
      <c r="X2425">
        <v>0</v>
      </c>
    </row>
    <row r="2426" spans="1:24" x14ac:dyDescent="0.25">
      <c r="A2426" t="s">
        <v>1948</v>
      </c>
      <c r="B2426" t="s">
        <v>2129</v>
      </c>
      <c r="C2426" t="s">
        <v>2137</v>
      </c>
      <c r="D2426" t="s">
        <v>264</v>
      </c>
      <c r="E2426" t="s">
        <v>72</v>
      </c>
      <c r="F2426" t="s">
        <v>1</v>
      </c>
      <c r="G2426" t="s">
        <v>969</v>
      </c>
      <c r="H2426" t="s">
        <v>489</v>
      </c>
      <c r="I2426" t="s">
        <v>1</v>
      </c>
      <c r="J2426">
        <v>13332.6</v>
      </c>
      <c r="K2426">
        <v>12277.1841020836</v>
      </c>
      <c r="L2426">
        <v>21902.21</v>
      </c>
      <c r="M2426">
        <v>44167.440055248619</v>
      </c>
      <c r="N2426">
        <v>27255.87</v>
      </c>
      <c r="O2426">
        <v>44045.103626373602</v>
      </c>
      <c r="P2426">
        <v>0</v>
      </c>
      <c r="Q2426">
        <f t="shared" si="495"/>
        <v>44045.103626373602</v>
      </c>
      <c r="R2426">
        <v>44045.103626373602</v>
      </c>
      <c r="S2426">
        <f t="shared" si="496"/>
        <v>0</v>
      </c>
      <c r="T2426">
        <v>2.2499999999999999E-2</v>
      </c>
      <c r="U2426">
        <f t="shared" si="497"/>
        <v>991.01483159340603</v>
      </c>
      <c r="V2426">
        <f t="shared" si="498"/>
        <v>45036.118457967008</v>
      </c>
      <c r="W2426">
        <f t="shared" si="499"/>
        <v>991.01483159340569</v>
      </c>
      <c r="X2426">
        <v>0</v>
      </c>
    </row>
    <row r="2427" spans="1:24" x14ac:dyDescent="0.25">
      <c r="A2427" t="s">
        <v>1948</v>
      </c>
      <c r="B2427" t="s">
        <v>2129</v>
      </c>
      <c r="C2427" t="s">
        <v>2137</v>
      </c>
      <c r="D2427" t="s">
        <v>264</v>
      </c>
      <c r="E2427" t="s">
        <v>18</v>
      </c>
      <c r="F2427" t="s">
        <v>1</v>
      </c>
      <c r="G2427" t="s">
        <v>969</v>
      </c>
      <c r="H2427" t="s">
        <v>418</v>
      </c>
      <c r="I2427" t="s">
        <v>1</v>
      </c>
      <c r="J2427">
        <v>8644.0400000000009</v>
      </c>
      <c r="K2427">
        <v>9635.1451521147992</v>
      </c>
      <c r="L2427">
        <v>17793.04</v>
      </c>
      <c r="M2427">
        <v>35880.992265193367</v>
      </c>
      <c r="N2427">
        <v>20140.940000000002</v>
      </c>
      <c r="O2427">
        <v>35781.6079120879</v>
      </c>
      <c r="P2427">
        <v>0</v>
      </c>
      <c r="Q2427">
        <f t="shared" si="495"/>
        <v>35781.6079120879</v>
      </c>
      <c r="R2427">
        <v>35781.6079120879</v>
      </c>
      <c r="S2427">
        <f t="shared" si="496"/>
        <v>0</v>
      </c>
      <c r="T2427">
        <v>0.02</v>
      </c>
      <c r="U2427">
        <f t="shared" si="497"/>
        <v>715.63215824175802</v>
      </c>
      <c r="V2427">
        <f t="shared" si="498"/>
        <v>36497.240070329659</v>
      </c>
      <c r="W2427">
        <f t="shared" si="499"/>
        <v>715.63215824175859</v>
      </c>
      <c r="X2427">
        <v>0</v>
      </c>
    </row>
    <row r="2428" spans="1:24" x14ac:dyDescent="0.25">
      <c r="A2428" t="s">
        <v>1948</v>
      </c>
      <c r="B2428" t="s">
        <v>2129</v>
      </c>
      <c r="C2428" t="s">
        <v>2137</v>
      </c>
      <c r="D2428" t="s">
        <v>264</v>
      </c>
      <c r="E2428" t="s">
        <v>20</v>
      </c>
      <c r="F2428" t="s">
        <v>1</v>
      </c>
      <c r="G2428" t="s">
        <v>969</v>
      </c>
      <c r="H2428" t="s">
        <v>420</v>
      </c>
      <c r="I2428" t="s">
        <v>1</v>
      </c>
      <c r="J2428">
        <v>-30.95</v>
      </c>
      <c r="K2428">
        <v>1.3695472000000001E-3</v>
      </c>
      <c r="L2428">
        <v>247.12</v>
      </c>
      <c r="M2428">
        <v>498.33591160220993</v>
      </c>
      <c r="N2428">
        <v>247.12</v>
      </c>
      <c r="O2428">
        <v>496.95560439560001</v>
      </c>
      <c r="P2428">
        <v>0</v>
      </c>
      <c r="Q2428">
        <f t="shared" si="495"/>
        <v>496.95560439560001</v>
      </c>
      <c r="R2428">
        <v>496.95560439560001</v>
      </c>
      <c r="S2428">
        <f t="shared" si="496"/>
        <v>0</v>
      </c>
      <c r="T2428">
        <v>0.04</v>
      </c>
      <c r="U2428">
        <f t="shared" si="497"/>
        <v>19.878224175824002</v>
      </c>
      <c r="V2428">
        <f t="shared" si="498"/>
        <v>516.83382857142396</v>
      </c>
      <c r="W2428">
        <f t="shared" si="499"/>
        <v>19.878224175823959</v>
      </c>
      <c r="X2428">
        <v>0</v>
      </c>
    </row>
    <row r="2429" spans="1:24" x14ac:dyDescent="0.25">
      <c r="A2429" t="s">
        <v>1948</v>
      </c>
      <c r="B2429" t="s">
        <v>2129</v>
      </c>
      <c r="C2429" t="s">
        <v>2137</v>
      </c>
      <c r="D2429" t="s">
        <v>264</v>
      </c>
      <c r="E2429" t="s">
        <v>22</v>
      </c>
      <c r="F2429" t="s">
        <v>1</v>
      </c>
      <c r="G2429" t="s">
        <v>969</v>
      </c>
      <c r="H2429" t="s">
        <v>422</v>
      </c>
      <c r="I2429" t="s">
        <v>1</v>
      </c>
      <c r="J2429">
        <v>3437.41</v>
      </c>
      <c r="K2429">
        <v>703.79999999970005</v>
      </c>
      <c r="L2429">
        <v>170.37</v>
      </c>
      <c r="M2429">
        <v>343.56381215469617</v>
      </c>
      <c r="N2429">
        <v>3269.45</v>
      </c>
      <c r="O2429">
        <v>343.56381215469997</v>
      </c>
      <c r="P2429">
        <v>0</v>
      </c>
      <c r="Q2429">
        <f t="shared" si="495"/>
        <v>343.56381215469997</v>
      </c>
      <c r="R2429">
        <v>703.79999999970005</v>
      </c>
      <c r="S2429">
        <f t="shared" si="496"/>
        <v>360.23618784500007</v>
      </c>
      <c r="T2429">
        <v>3.5000000000000003E-2</v>
      </c>
      <c r="U2429">
        <f t="shared" si="497"/>
        <v>24.632999999989504</v>
      </c>
      <c r="V2429">
        <f t="shared" si="498"/>
        <v>728.43299999968951</v>
      </c>
      <c r="W2429">
        <f t="shared" si="499"/>
        <v>384.86918784498954</v>
      </c>
      <c r="X2429">
        <v>0</v>
      </c>
    </row>
    <row r="2430" spans="1:24" x14ac:dyDescent="0.25">
      <c r="A2430" t="s">
        <v>1948</v>
      </c>
      <c r="B2430" t="s">
        <v>2129</v>
      </c>
      <c r="C2430" t="s">
        <v>2137</v>
      </c>
      <c r="D2430" t="s">
        <v>264</v>
      </c>
      <c r="E2430" t="s">
        <v>23</v>
      </c>
      <c r="F2430" t="s">
        <v>1</v>
      </c>
      <c r="G2430" t="s">
        <v>969</v>
      </c>
      <c r="H2430" t="s">
        <v>423</v>
      </c>
      <c r="I2430" t="s">
        <v>1</v>
      </c>
      <c r="J2430">
        <v>3302.86</v>
      </c>
      <c r="K2430">
        <v>3933</v>
      </c>
      <c r="L2430">
        <v>2045.49</v>
      </c>
      <c r="M2430">
        <v>4124.8831491712708</v>
      </c>
      <c r="N2430">
        <v>3446.6400000000003</v>
      </c>
      <c r="O2430">
        <v>4124.8831491712999</v>
      </c>
      <c r="P2430">
        <v>0</v>
      </c>
      <c r="Q2430">
        <f t="shared" si="495"/>
        <v>4124.8831491712999</v>
      </c>
      <c r="R2430">
        <v>4124.8831491712999</v>
      </c>
      <c r="S2430">
        <f t="shared" si="496"/>
        <v>0</v>
      </c>
      <c r="T2430">
        <v>3.5000000000000003E-2</v>
      </c>
      <c r="U2430">
        <f t="shared" si="497"/>
        <v>144.37091022099551</v>
      </c>
      <c r="V2430">
        <f t="shared" si="498"/>
        <v>4269.2540593922959</v>
      </c>
      <c r="W2430">
        <f t="shared" si="499"/>
        <v>144.37091022099594</v>
      </c>
      <c r="X2430">
        <v>0</v>
      </c>
    </row>
    <row r="2431" spans="1:24" x14ac:dyDescent="0.25">
      <c r="A2431" t="s">
        <v>1948</v>
      </c>
      <c r="B2431" t="s">
        <v>2129</v>
      </c>
      <c r="C2431" t="s">
        <v>2137</v>
      </c>
      <c r="D2431" t="s">
        <v>264</v>
      </c>
      <c r="E2431" t="s">
        <v>24</v>
      </c>
      <c r="F2431" t="s">
        <v>1</v>
      </c>
      <c r="G2431" t="s">
        <v>969</v>
      </c>
      <c r="H2431" t="s">
        <v>424</v>
      </c>
      <c r="I2431" t="s">
        <v>1</v>
      </c>
      <c r="J2431">
        <v>2442.42</v>
      </c>
      <c r="K2431"/>
      <c r="L2431">
        <v>0</v>
      </c>
      <c r="M2431">
        <v>0</v>
      </c>
      <c r="N2431">
        <v>2442.42</v>
      </c>
      <c r="O2431"/>
      <c r="P2431">
        <v>0</v>
      </c>
      <c r="Q2431">
        <f t="shared" si="495"/>
        <v>0</v>
      </c>
      <c r="R2431">
        <v>0</v>
      </c>
      <c r="S2431">
        <f t="shared" si="496"/>
        <v>0</v>
      </c>
      <c r="T2431"/>
      <c r="U2431">
        <f t="shared" si="497"/>
        <v>0</v>
      </c>
      <c r="V2431">
        <f t="shared" si="498"/>
        <v>0</v>
      </c>
      <c r="W2431">
        <f t="shared" si="499"/>
        <v>0</v>
      </c>
      <c r="X2431">
        <v>0</v>
      </c>
    </row>
    <row r="2432" spans="1:24" x14ac:dyDescent="0.25">
      <c r="A2432" t="s">
        <v>1948</v>
      </c>
      <c r="B2432" t="s">
        <v>2129</v>
      </c>
      <c r="C2432" t="s">
        <v>2137</v>
      </c>
      <c r="D2432" t="s">
        <v>264</v>
      </c>
      <c r="E2432" t="s">
        <v>26</v>
      </c>
      <c r="F2432" t="s">
        <v>1</v>
      </c>
      <c r="G2432" t="s">
        <v>969</v>
      </c>
      <c r="H2432" t="s">
        <v>426</v>
      </c>
      <c r="I2432" t="s">
        <v>1</v>
      </c>
      <c r="J2432">
        <v>140</v>
      </c>
      <c r="K2432"/>
      <c r="L2432">
        <v>3100</v>
      </c>
      <c r="M2432">
        <v>6251.3812154696134</v>
      </c>
      <c r="N2432">
        <v>3240</v>
      </c>
      <c r="O2432">
        <v>6200</v>
      </c>
      <c r="P2432">
        <v>0</v>
      </c>
      <c r="Q2432">
        <f t="shared" si="495"/>
        <v>6200</v>
      </c>
      <c r="R2432">
        <v>3240</v>
      </c>
      <c r="S2432">
        <f t="shared" si="496"/>
        <v>-2960</v>
      </c>
      <c r="T2432"/>
      <c r="U2432">
        <f t="shared" si="497"/>
        <v>0</v>
      </c>
      <c r="V2432">
        <f t="shared" si="498"/>
        <v>3240</v>
      </c>
      <c r="W2432">
        <f t="shared" si="499"/>
        <v>-2960</v>
      </c>
      <c r="X2432" t="s">
        <v>1696</v>
      </c>
    </row>
    <row r="2433" spans="1:24" x14ac:dyDescent="0.25">
      <c r="A2433" t="s">
        <v>1948</v>
      </c>
      <c r="B2433" t="s">
        <v>2129</v>
      </c>
      <c r="C2433" t="s">
        <v>2137</v>
      </c>
      <c r="D2433" t="s">
        <v>264</v>
      </c>
      <c r="E2433" t="s">
        <v>27</v>
      </c>
      <c r="F2433" t="s">
        <v>1</v>
      </c>
      <c r="G2433" t="s">
        <v>969</v>
      </c>
      <c r="H2433" t="s">
        <v>427</v>
      </c>
      <c r="I2433" t="s">
        <v>1</v>
      </c>
      <c r="J2433">
        <v>104844.1</v>
      </c>
      <c r="K2433">
        <v>71979.999999999607</v>
      </c>
      <c r="L2433">
        <v>115763.53</v>
      </c>
      <c r="M2433">
        <v>233445.79254143647</v>
      </c>
      <c r="N2433">
        <v>165386.12</v>
      </c>
      <c r="O2433">
        <v>231527.06</v>
      </c>
      <c r="P2433">
        <v>0</v>
      </c>
      <c r="Q2433">
        <f t="shared" si="495"/>
        <v>231527.06</v>
      </c>
      <c r="R2433">
        <v>180000</v>
      </c>
      <c r="S2433">
        <f t="shared" si="496"/>
        <v>-51527.06</v>
      </c>
      <c r="T2433"/>
      <c r="U2433">
        <f t="shared" si="497"/>
        <v>0</v>
      </c>
      <c r="V2433">
        <f t="shared" si="498"/>
        <v>180000</v>
      </c>
      <c r="W2433">
        <f t="shared" si="499"/>
        <v>-51527.06</v>
      </c>
      <c r="X2433" t="s">
        <v>1697</v>
      </c>
    </row>
    <row r="2434" spans="1:24" x14ac:dyDescent="0.25">
      <c r="A2434" t="s">
        <v>1948</v>
      </c>
      <c r="B2434" t="s">
        <v>2129</v>
      </c>
      <c r="C2434" t="s">
        <v>2137</v>
      </c>
      <c r="D2434" t="s">
        <v>264</v>
      </c>
      <c r="E2434" t="s">
        <v>28</v>
      </c>
      <c r="F2434" t="s">
        <v>1</v>
      </c>
      <c r="G2434" t="s">
        <v>969</v>
      </c>
      <c r="H2434" t="s">
        <v>428</v>
      </c>
      <c r="I2434" t="s">
        <v>1</v>
      </c>
      <c r="J2434">
        <v>1432</v>
      </c>
      <c r="K2434">
        <v>1430.0000000004</v>
      </c>
      <c r="L2434">
        <v>0</v>
      </c>
      <c r="M2434">
        <v>0</v>
      </c>
      <c r="N2434">
        <v>0</v>
      </c>
      <c r="O2434"/>
      <c r="P2434">
        <v>0</v>
      </c>
      <c r="Q2434">
        <f t="shared" si="495"/>
        <v>0</v>
      </c>
      <c r="R2434">
        <v>0</v>
      </c>
      <c r="S2434">
        <f t="shared" si="496"/>
        <v>0</v>
      </c>
      <c r="T2434"/>
      <c r="U2434">
        <f t="shared" si="497"/>
        <v>0</v>
      </c>
      <c r="V2434">
        <f t="shared" si="498"/>
        <v>0</v>
      </c>
      <c r="W2434">
        <f t="shared" si="499"/>
        <v>0</v>
      </c>
      <c r="X2434">
        <v>0</v>
      </c>
    </row>
    <row r="2435" spans="1:24" x14ac:dyDescent="0.25">
      <c r="A2435" t="s">
        <v>1948</v>
      </c>
      <c r="B2435" t="s">
        <v>2129</v>
      </c>
      <c r="C2435" t="s">
        <v>2137</v>
      </c>
      <c r="D2435" t="s">
        <v>264</v>
      </c>
      <c r="E2435" t="s">
        <v>31</v>
      </c>
      <c r="F2435" t="s">
        <v>1</v>
      </c>
      <c r="G2435" t="s">
        <v>969</v>
      </c>
      <c r="H2435" t="s">
        <v>431</v>
      </c>
      <c r="I2435" t="s">
        <v>1</v>
      </c>
      <c r="J2435">
        <v>9371.25</v>
      </c>
      <c r="K2435">
        <v>8640.9999999995998</v>
      </c>
      <c r="L2435">
        <v>7988.9</v>
      </c>
      <c r="M2435">
        <v>16110.21270718232</v>
      </c>
      <c r="N2435">
        <v>7988.9</v>
      </c>
      <c r="O2435">
        <v>15977.8</v>
      </c>
      <c r="P2435">
        <v>0</v>
      </c>
      <c r="Q2435">
        <f t="shared" si="495"/>
        <v>15977.8</v>
      </c>
      <c r="R2435">
        <v>8640.9999999995998</v>
      </c>
      <c r="S2435">
        <f t="shared" si="496"/>
        <v>-7336.8000000003995</v>
      </c>
      <c r="T2435"/>
      <c r="U2435">
        <f t="shared" si="497"/>
        <v>0</v>
      </c>
      <c r="V2435">
        <f t="shared" si="498"/>
        <v>8640.9999999995998</v>
      </c>
      <c r="W2435">
        <f t="shared" si="499"/>
        <v>-7336.8000000003995</v>
      </c>
      <c r="X2435">
        <v>0</v>
      </c>
    </row>
    <row r="2436" spans="1:24" x14ac:dyDescent="0.25">
      <c r="A2436" t="s">
        <v>1948</v>
      </c>
      <c r="B2436" t="s">
        <v>2129</v>
      </c>
      <c r="C2436" t="s">
        <v>2137</v>
      </c>
      <c r="D2436" t="s">
        <v>264</v>
      </c>
      <c r="E2436" t="s">
        <v>34</v>
      </c>
      <c r="F2436" t="s">
        <v>1</v>
      </c>
      <c r="G2436" t="s">
        <v>969</v>
      </c>
      <c r="H2436" t="s">
        <v>434</v>
      </c>
      <c r="I2436" t="s">
        <v>1</v>
      </c>
      <c r="J2436">
        <v>3614.3</v>
      </c>
      <c r="K2436">
        <v>4023.0773100084002</v>
      </c>
      <c r="L2436">
        <v>2900.79</v>
      </c>
      <c r="M2436">
        <v>5849.6593922651937</v>
      </c>
      <c r="N2436">
        <v>4727.92</v>
      </c>
      <c r="O2436">
        <v>5801.58</v>
      </c>
      <c r="P2436">
        <v>0</v>
      </c>
      <c r="Q2436">
        <f t="shared" si="495"/>
        <v>5801.58</v>
      </c>
      <c r="R2436">
        <v>4023.0773100084002</v>
      </c>
      <c r="S2436">
        <f t="shared" si="496"/>
        <v>-1778.5026899915997</v>
      </c>
      <c r="T2436"/>
      <c r="U2436">
        <f t="shared" si="497"/>
        <v>0</v>
      </c>
      <c r="V2436">
        <f t="shared" si="498"/>
        <v>4023.0773100084002</v>
      </c>
      <c r="W2436">
        <f t="shared" si="499"/>
        <v>-1778.5026899915997</v>
      </c>
      <c r="X2436">
        <v>0</v>
      </c>
    </row>
    <row r="2437" spans="1:24" x14ac:dyDescent="0.25">
      <c r="A2437" t="s">
        <v>1948</v>
      </c>
      <c r="B2437" t="s">
        <v>2129</v>
      </c>
      <c r="C2437" t="s">
        <v>2137</v>
      </c>
      <c r="D2437" t="s">
        <v>264</v>
      </c>
      <c r="E2437" t="s">
        <v>37</v>
      </c>
      <c r="F2437" t="s">
        <v>1</v>
      </c>
      <c r="G2437" t="s">
        <v>969</v>
      </c>
      <c r="H2437" t="s">
        <v>437</v>
      </c>
      <c r="I2437" t="s">
        <v>1</v>
      </c>
      <c r="J2437">
        <v>2270.91</v>
      </c>
      <c r="K2437"/>
      <c r="L2437">
        <v>2056.23</v>
      </c>
      <c r="M2437">
        <v>4146.5411602209942</v>
      </c>
      <c r="N2437">
        <v>3424.58</v>
      </c>
      <c r="O2437">
        <v>4112.46</v>
      </c>
      <c r="P2437">
        <v>0</v>
      </c>
      <c r="Q2437">
        <f t="shared" si="495"/>
        <v>4112.46</v>
      </c>
      <c r="R2437">
        <v>2000</v>
      </c>
      <c r="S2437">
        <f t="shared" si="496"/>
        <v>-2112.46</v>
      </c>
      <c r="T2437"/>
      <c r="U2437">
        <f t="shared" si="497"/>
        <v>0</v>
      </c>
      <c r="V2437">
        <f t="shared" si="498"/>
        <v>2000</v>
      </c>
      <c r="W2437">
        <f t="shared" si="499"/>
        <v>-2112.46</v>
      </c>
      <c r="X2437" t="s">
        <v>1698</v>
      </c>
    </row>
    <row r="2438" spans="1:24" x14ac:dyDescent="0.25">
      <c r="A2438" t="s">
        <v>1948</v>
      </c>
      <c r="B2438" t="s">
        <v>2129</v>
      </c>
      <c r="C2438" t="s">
        <v>2137</v>
      </c>
      <c r="D2438" t="s">
        <v>264</v>
      </c>
      <c r="E2438" t="s">
        <v>40</v>
      </c>
      <c r="F2438" t="s">
        <v>1</v>
      </c>
      <c r="G2438" t="s">
        <v>969</v>
      </c>
      <c r="H2438" t="s">
        <v>440</v>
      </c>
      <c r="I2438" t="s">
        <v>1</v>
      </c>
      <c r="J2438">
        <v>24622.94</v>
      </c>
      <c r="K2438">
        <v>36363.9999999996</v>
      </c>
      <c r="L2438">
        <v>20520.02</v>
      </c>
      <c r="M2438">
        <v>41380.150828729282</v>
      </c>
      <c r="N2438">
        <v>37591.759999999995</v>
      </c>
      <c r="O2438">
        <v>41040.04</v>
      </c>
      <c r="P2438">
        <v>0</v>
      </c>
      <c r="Q2438">
        <f t="shared" si="495"/>
        <v>41040.04</v>
      </c>
      <c r="R2438">
        <v>41040.04</v>
      </c>
      <c r="S2438">
        <f t="shared" si="496"/>
        <v>0</v>
      </c>
      <c r="T2438">
        <v>0.03</v>
      </c>
      <c r="U2438">
        <f t="shared" si="497"/>
        <v>1231.2012</v>
      </c>
      <c r="V2438">
        <f t="shared" si="498"/>
        <v>42271.241200000004</v>
      </c>
      <c r="W2438">
        <f t="shared" si="499"/>
        <v>1231.2012000000032</v>
      </c>
      <c r="X2438" t="s">
        <v>1699</v>
      </c>
    </row>
    <row r="2439" spans="1:24" x14ac:dyDescent="0.25">
      <c r="A2439" t="s">
        <v>1948</v>
      </c>
      <c r="B2439" t="s">
        <v>2129</v>
      </c>
      <c r="C2439" t="s">
        <v>2137</v>
      </c>
      <c r="D2439" t="s">
        <v>264</v>
      </c>
      <c r="E2439" t="s">
        <v>76</v>
      </c>
      <c r="F2439" t="s">
        <v>1</v>
      </c>
      <c r="G2439" t="s">
        <v>969</v>
      </c>
      <c r="H2439" t="s">
        <v>493</v>
      </c>
      <c r="I2439" t="s">
        <v>1</v>
      </c>
      <c r="J2439">
        <v>4980</v>
      </c>
      <c r="K2439">
        <v>3080.0000000004002</v>
      </c>
      <c r="L2439">
        <v>0</v>
      </c>
      <c r="M2439">
        <v>0</v>
      </c>
      <c r="N2439">
        <v>0</v>
      </c>
      <c r="O2439"/>
      <c r="P2439">
        <v>0</v>
      </c>
      <c r="Q2439">
        <f t="shared" si="495"/>
        <v>0</v>
      </c>
      <c r="R2439">
        <v>4000</v>
      </c>
      <c r="S2439">
        <f t="shared" si="496"/>
        <v>4000</v>
      </c>
      <c r="T2439">
        <v>0.03</v>
      </c>
      <c r="U2439">
        <f t="shared" si="497"/>
        <v>120</v>
      </c>
      <c r="V2439">
        <f t="shared" si="498"/>
        <v>4120</v>
      </c>
      <c r="W2439">
        <f t="shared" si="499"/>
        <v>4120</v>
      </c>
      <c r="X2439" t="s">
        <v>1700</v>
      </c>
    </row>
    <row r="2440" spans="1:24" x14ac:dyDescent="0.25">
      <c r="A2440" t="s">
        <v>1948</v>
      </c>
      <c r="B2440" t="s">
        <v>2129</v>
      </c>
      <c r="C2440" t="s">
        <v>2137</v>
      </c>
      <c r="D2440" t="s">
        <v>264</v>
      </c>
      <c r="E2440" t="s">
        <v>41</v>
      </c>
      <c r="F2440" t="s">
        <v>1</v>
      </c>
      <c r="G2440" t="s">
        <v>969</v>
      </c>
      <c r="H2440" t="s">
        <v>441</v>
      </c>
      <c r="I2440" t="s">
        <v>1</v>
      </c>
      <c r="J2440">
        <v>2052.79</v>
      </c>
      <c r="K2440">
        <v>2883.8111309219998</v>
      </c>
      <c r="L2440">
        <v>2602.48</v>
      </c>
      <c r="M2440">
        <v>5248.0950276243093</v>
      </c>
      <c r="N2440">
        <v>3187.2000000000003</v>
      </c>
      <c r="O2440">
        <v>5204.96</v>
      </c>
      <c r="P2440">
        <v>0</v>
      </c>
      <c r="Q2440">
        <f t="shared" si="495"/>
        <v>5204.96</v>
      </c>
      <c r="R2440">
        <v>5204.96</v>
      </c>
      <c r="S2440">
        <f t="shared" si="496"/>
        <v>0</v>
      </c>
      <c r="T2440">
        <v>0.03</v>
      </c>
      <c r="U2440">
        <f t="shared" si="497"/>
        <v>156.14879999999999</v>
      </c>
      <c r="V2440">
        <f t="shared" si="498"/>
        <v>5361.1088</v>
      </c>
      <c r="W2440">
        <f t="shared" si="499"/>
        <v>156.14879999999994</v>
      </c>
      <c r="X2440">
        <v>0</v>
      </c>
    </row>
    <row r="2441" spans="1:24" x14ac:dyDescent="0.25">
      <c r="A2441" t="s">
        <v>1948</v>
      </c>
      <c r="B2441" t="s">
        <v>2129</v>
      </c>
      <c r="C2441" t="s">
        <v>2137</v>
      </c>
      <c r="D2441" t="s">
        <v>264</v>
      </c>
      <c r="E2441" t="s">
        <v>42</v>
      </c>
      <c r="F2441" t="s">
        <v>1</v>
      </c>
      <c r="G2441" t="s">
        <v>969</v>
      </c>
      <c r="H2441" t="s">
        <v>442</v>
      </c>
      <c r="I2441" t="s">
        <v>1</v>
      </c>
      <c r="J2441">
        <v>31463.439999999999</v>
      </c>
      <c r="K2441">
        <v>31463.0000000004</v>
      </c>
      <c r="L2441">
        <v>4000</v>
      </c>
      <c r="M2441">
        <v>8066.2983425414368</v>
      </c>
      <c r="N2441">
        <v>1990.7199999999993</v>
      </c>
      <c r="O2441">
        <v>8000</v>
      </c>
      <c r="P2441">
        <v>0</v>
      </c>
      <c r="Q2441">
        <f t="shared" si="495"/>
        <v>8000</v>
      </c>
      <c r="R2441">
        <v>8000</v>
      </c>
      <c r="S2441">
        <f t="shared" si="496"/>
        <v>0</v>
      </c>
      <c r="T2441">
        <v>0.03</v>
      </c>
      <c r="U2441">
        <f t="shared" si="497"/>
        <v>240</v>
      </c>
      <c r="V2441">
        <f t="shared" si="498"/>
        <v>8240</v>
      </c>
      <c r="W2441">
        <f t="shared" si="499"/>
        <v>240</v>
      </c>
      <c r="X2441">
        <v>0</v>
      </c>
    </row>
    <row r="2442" spans="1:24" x14ac:dyDescent="0.25">
      <c r="A2442" t="s">
        <v>1948</v>
      </c>
      <c r="B2442" t="s">
        <v>2129</v>
      </c>
      <c r="C2442" t="s">
        <v>2137</v>
      </c>
      <c r="D2442" t="s">
        <v>264</v>
      </c>
      <c r="E2442" t="s">
        <v>67</v>
      </c>
      <c r="F2442" t="s">
        <v>1</v>
      </c>
      <c r="G2442" t="s">
        <v>969</v>
      </c>
      <c r="H2442" t="s">
        <v>478</v>
      </c>
      <c r="I2442" t="s">
        <v>1</v>
      </c>
      <c r="J2442">
        <v>5339</v>
      </c>
      <c r="K2442"/>
      <c r="L2442">
        <v>0</v>
      </c>
      <c r="M2442">
        <v>0</v>
      </c>
      <c r="N2442">
        <v>5339</v>
      </c>
      <c r="O2442"/>
      <c r="P2442">
        <v>0</v>
      </c>
      <c r="Q2442">
        <f t="shared" si="495"/>
        <v>0</v>
      </c>
      <c r="R2442">
        <v>0</v>
      </c>
      <c r="S2442">
        <f t="shared" si="496"/>
        <v>0</v>
      </c>
      <c r="T2442">
        <v>0.03</v>
      </c>
      <c r="U2442">
        <f t="shared" si="497"/>
        <v>0</v>
      </c>
      <c r="V2442">
        <f t="shared" si="498"/>
        <v>0</v>
      </c>
      <c r="W2442">
        <f t="shared" si="499"/>
        <v>0</v>
      </c>
      <c r="X2442">
        <v>0</v>
      </c>
    </row>
    <row r="2443" spans="1:24" x14ac:dyDescent="0.25">
      <c r="A2443" t="s">
        <v>1948</v>
      </c>
      <c r="B2443" t="s">
        <v>2129</v>
      </c>
      <c r="C2443" t="s">
        <v>2137</v>
      </c>
      <c r="D2443" t="s">
        <v>264</v>
      </c>
      <c r="E2443" t="s">
        <v>43</v>
      </c>
      <c r="F2443" t="s">
        <v>1</v>
      </c>
      <c r="G2443" t="s">
        <v>969</v>
      </c>
      <c r="H2443" t="s">
        <v>443</v>
      </c>
      <c r="I2443" t="s">
        <v>1</v>
      </c>
      <c r="J2443">
        <v>2042.73</v>
      </c>
      <c r="K2443"/>
      <c r="L2443">
        <v>6425</v>
      </c>
      <c r="M2443">
        <v>12956.491712707182</v>
      </c>
      <c r="N2443">
        <v>8467.73</v>
      </c>
      <c r="O2443">
        <v>12850</v>
      </c>
      <c r="P2443">
        <v>0</v>
      </c>
      <c r="Q2443">
        <f t="shared" si="495"/>
        <v>12850</v>
      </c>
      <c r="R2443">
        <v>2042.73</v>
      </c>
      <c r="S2443">
        <f t="shared" si="496"/>
        <v>-10807.27</v>
      </c>
      <c r="T2443">
        <v>0.03</v>
      </c>
      <c r="U2443">
        <f t="shared" si="497"/>
        <v>61.2819</v>
      </c>
      <c r="V2443">
        <f t="shared" si="498"/>
        <v>2104.0119</v>
      </c>
      <c r="W2443">
        <f t="shared" si="499"/>
        <v>-10745.9881</v>
      </c>
      <c r="X2443">
        <v>0</v>
      </c>
    </row>
    <row r="2444" spans="1:24" x14ac:dyDescent="0.25">
      <c r="A2444" t="s">
        <v>1948</v>
      </c>
      <c r="B2444" t="s">
        <v>2129</v>
      </c>
      <c r="C2444" t="s">
        <v>2137</v>
      </c>
      <c r="D2444" t="s">
        <v>264</v>
      </c>
      <c r="E2444" t="s">
        <v>45</v>
      </c>
      <c r="F2444" t="s">
        <v>1</v>
      </c>
      <c r="G2444" t="s">
        <v>969</v>
      </c>
      <c r="H2444" t="s">
        <v>445</v>
      </c>
      <c r="I2444" t="s">
        <v>1</v>
      </c>
      <c r="J2444">
        <v>3000</v>
      </c>
      <c r="K2444"/>
      <c r="L2444">
        <v>3000</v>
      </c>
      <c r="M2444">
        <v>6049.7237569060781</v>
      </c>
      <c r="N2444">
        <v>6000</v>
      </c>
      <c r="O2444">
        <v>6000</v>
      </c>
      <c r="P2444">
        <v>0</v>
      </c>
      <c r="Q2444">
        <f t="shared" si="495"/>
        <v>6000</v>
      </c>
      <c r="R2444">
        <v>0</v>
      </c>
      <c r="S2444">
        <f t="shared" si="496"/>
        <v>-6000</v>
      </c>
      <c r="T2444">
        <v>0.03</v>
      </c>
      <c r="U2444">
        <f t="shared" si="497"/>
        <v>0</v>
      </c>
      <c r="V2444">
        <f t="shared" si="498"/>
        <v>0</v>
      </c>
      <c r="W2444">
        <f t="shared" si="499"/>
        <v>-6000</v>
      </c>
      <c r="X2444" t="s">
        <v>1701</v>
      </c>
    </row>
    <row r="2445" spans="1:24" x14ac:dyDescent="0.25">
      <c r="A2445" t="s">
        <v>1948</v>
      </c>
      <c r="B2445" t="s">
        <v>2129</v>
      </c>
      <c r="C2445" t="s">
        <v>2137</v>
      </c>
      <c r="D2445" t="s">
        <v>264</v>
      </c>
      <c r="E2445" t="s">
        <v>265</v>
      </c>
      <c r="F2445" t="s">
        <v>1</v>
      </c>
      <c r="G2445" t="s">
        <v>969</v>
      </c>
      <c r="H2445" t="s">
        <v>970</v>
      </c>
      <c r="I2445" t="s">
        <v>1</v>
      </c>
      <c r="J2445">
        <v>1480352.47</v>
      </c>
      <c r="K2445">
        <v>1436206</v>
      </c>
      <c r="L2445">
        <v>705459.18</v>
      </c>
      <c r="M2445">
        <v>1422611.0535911603</v>
      </c>
      <c r="N2445">
        <v>1476767.85</v>
      </c>
      <c r="O2445">
        <v>1410918.36</v>
      </c>
      <c r="P2445">
        <v>0</v>
      </c>
      <c r="Q2445">
        <f t="shared" si="495"/>
        <v>1410918.36</v>
      </c>
      <c r="R2445">
        <v>1500000</v>
      </c>
      <c r="S2445">
        <f t="shared" si="496"/>
        <v>89081.639999999898</v>
      </c>
      <c r="T2445">
        <v>0.03</v>
      </c>
      <c r="U2445">
        <f t="shared" si="497"/>
        <v>45000</v>
      </c>
      <c r="V2445">
        <f t="shared" si="498"/>
        <v>1545000</v>
      </c>
      <c r="W2445">
        <f t="shared" si="499"/>
        <v>134081.6399999999</v>
      </c>
      <c r="X2445">
        <v>0</v>
      </c>
    </row>
    <row r="2446" spans="1:24" x14ac:dyDescent="0.25">
      <c r="A2446" t="s">
        <v>1948</v>
      </c>
      <c r="B2446" t="s">
        <v>2129</v>
      </c>
      <c r="C2446" t="s">
        <v>2137</v>
      </c>
      <c r="D2446" t="s">
        <v>264</v>
      </c>
      <c r="E2446" t="s">
        <v>46</v>
      </c>
      <c r="F2446" t="s">
        <v>1</v>
      </c>
      <c r="G2446" t="s">
        <v>969</v>
      </c>
      <c r="H2446" t="s">
        <v>446</v>
      </c>
      <c r="I2446" t="s">
        <v>1</v>
      </c>
      <c r="J2446">
        <v>204142.33</v>
      </c>
      <c r="K2446">
        <v>195816</v>
      </c>
      <c r="L2446">
        <v>70466.39</v>
      </c>
      <c r="M2446">
        <v>142100.7312154696</v>
      </c>
      <c r="N2446">
        <v>186420.16999999995</v>
      </c>
      <c r="O2446">
        <v>140932.78</v>
      </c>
      <c r="P2446">
        <v>0</v>
      </c>
      <c r="Q2446">
        <f t="shared" si="495"/>
        <v>140932.78</v>
      </c>
      <c r="R2446">
        <v>195816</v>
      </c>
      <c r="S2446">
        <f t="shared" si="496"/>
        <v>54883.22</v>
      </c>
      <c r="T2446">
        <v>0.03</v>
      </c>
      <c r="U2446">
        <f t="shared" si="497"/>
        <v>5874.48</v>
      </c>
      <c r="V2446">
        <f t="shared" si="498"/>
        <v>201690.48</v>
      </c>
      <c r="W2446">
        <f t="shared" si="499"/>
        <v>60757.700000000012</v>
      </c>
      <c r="X2446">
        <v>0</v>
      </c>
    </row>
    <row r="2447" spans="1:24" x14ac:dyDescent="0.25">
      <c r="A2447" t="s">
        <v>1948</v>
      </c>
      <c r="B2447" t="s">
        <v>2129</v>
      </c>
      <c r="C2447" t="s">
        <v>2137</v>
      </c>
      <c r="D2447" t="s">
        <v>264</v>
      </c>
      <c r="E2447" t="s">
        <v>47</v>
      </c>
      <c r="F2447" t="s">
        <v>1</v>
      </c>
      <c r="G2447" t="s">
        <v>969</v>
      </c>
      <c r="H2447" t="s">
        <v>447</v>
      </c>
      <c r="I2447" t="s">
        <v>1</v>
      </c>
      <c r="J2447">
        <v>16509.560000000001</v>
      </c>
      <c r="K2447">
        <v>50409</v>
      </c>
      <c r="L2447">
        <v>26414.67</v>
      </c>
      <c r="M2447">
        <v>53267.152209944747</v>
      </c>
      <c r="N2447">
        <v>29309.3</v>
      </c>
      <c r="O2447">
        <v>52829.34</v>
      </c>
      <c r="P2447">
        <v>0</v>
      </c>
      <c r="Q2447">
        <f t="shared" si="495"/>
        <v>52829.34</v>
      </c>
      <c r="R2447">
        <v>60000</v>
      </c>
      <c r="S2447">
        <f t="shared" si="496"/>
        <v>7170.6600000000035</v>
      </c>
      <c r="T2447">
        <v>0.03</v>
      </c>
      <c r="U2447">
        <f t="shared" si="497"/>
        <v>1800</v>
      </c>
      <c r="V2447">
        <f t="shared" si="498"/>
        <v>61800</v>
      </c>
      <c r="W2447">
        <f t="shared" si="499"/>
        <v>8970.6600000000035</v>
      </c>
      <c r="X2447" t="s">
        <v>1702</v>
      </c>
    </row>
    <row r="2448" spans="1:24" x14ac:dyDescent="0.25">
      <c r="A2448" t="s">
        <v>1948</v>
      </c>
      <c r="B2448" t="s">
        <v>2129</v>
      </c>
      <c r="C2448" t="s">
        <v>2137</v>
      </c>
      <c r="D2448" t="s">
        <v>264</v>
      </c>
      <c r="E2448" t="s">
        <v>48</v>
      </c>
      <c r="F2448" t="s">
        <v>1</v>
      </c>
      <c r="G2448" t="s">
        <v>969</v>
      </c>
      <c r="H2448" t="s">
        <v>448</v>
      </c>
      <c r="I2448" t="s">
        <v>1</v>
      </c>
      <c r="J2448">
        <v>40368.730000000003</v>
      </c>
      <c r="K2448">
        <v>29976</v>
      </c>
      <c r="L2448">
        <v>24583.4</v>
      </c>
      <c r="M2448">
        <v>49574.25966850829</v>
      </c>
      <c r="N2448">
        <v>49388.039999999994</v>
      </c>
      <c r="O2448">
        <v>49166.8</v>
      </c>
      <c r="P2448">
        <v>0</v>
      </c>
      <c r="Q2448">
        <f t="shared" si="495"/>
        <v>49166.8</v>
      </c>
      <c r="R2448">
        <v>40368.730000000003</v>
      </c>
      <c r="S2448">
        <f t="shared" si="496"/>
        <v>-8798.07</v>
      </c>
      <c r="T2448">
        <v>0.03</v>
      </c>
      <c r="U2448">
        <f t="shared" si="497"/>
        <v>1211.0619000000002</v>
      </c>
      <c r="V2448">
        <f t="shared" si="498"/>
        <v>41579.791900000004</v>
      </c>
      <c r="W2448">
        <f t="shared" si="499"/>
        <v>-7587.0080999999991</v>
      </c>
      <c r="X2448">
        <v>0</v>
      </c>
    </row>
    <row r="2449" spans="1:24" x14ac:dyDescent="0.25">
      <c r="A2449" t="s">
        <v>1948</v>
      </c>
      <c r="B2449" t="s">
        <v>2129</v>
      </c>
      <c r="C2449" t="s">
        <v>2137</v>
      </c>
      <c r="D2449" t="s">
        <v>264</v>
      </c>
      <c r="E2449" t="s">
        <v>50</v>
      </c>
      <c r="F2449" t="s">
        <v>1</v>
      </c>
      <c r="G2449" t="s">
        <v>969</v>
      </c>
      <c r="H2449" t="s">
        <v>450</v>
      </c>
      <c r="I2449" t="s">
        <v>1</v>
      </c>
      <c r="J2449">
        <v>2058.66</v>
      </c>
      <c r="K2449">
        <v>2049.9999999995998</v>
      </c>
      <c r="L2449">
        <v>920.3</v>
      </c>
      <c r="M2449">
        <v>1855.853591160221</v>
      </c>
      <c r="N2449">
        <v>1960.2900000000002</v>
      </c>
      <c r="O2449">
        <v>1855.8535911602</v>
      </c>
      <c r="P2449">
        <v>0</v>
      </c>
      <c r="Q2449">
        <f t="shared" si="495"/>
        <v>1855.8535911602</v>
      </c>
      <c r="R2449">
        <v>2049.9999999995998</v>
      </c>
      <c r="S2449">
        <f t="shared" si="496"/>
        <v>194.14640883939978</v>
      </c>
      <c r="T2449"/>
      <c r="U2449">
        <f t="shared" si="497"/>
        <v>0</v>
      </c>
      <c r="V2449">
        <f t="shared" si="498"/>
        <v>2049.9999999995998</v>
      </c>
      <c r="W2449">
        <f t="shared" si="499"/>
        <v>194.14640883939978</v>
      </c>
      <c r="X2449">
        <v>0</v>
      </c>
    </row>
    <row r="2450" spans="1:24" x14ac:dyDescent="0.25">
      <c r="A2450" t="s">
        <v>1948</v>
      </c>
      <c r="B2450" t="s">
        <v>2129</v>
      </c>
      <c r="C2450" t="s">
        <v>2137</v>
      </c>
      <c r="D2450" t="s">
        <v>264</v>
      </c>
      <c r="E2450" t="s">
        <v>51</v>
      </c>
      <c r="F2450" t="s">
        <v>51</v>
      </c>
      <c r="G2450" t="s">
        <v>971</v>
      </c>
      <c r="H2450"/>
      <c r="I2450"/>
      <c r="J2450">
        <v>2038274.94</v>
      </c>
      <c r="K2450">
        <v>1923277.8909638156</v>
      </c>
      <c r="L2450">
        <v>1085253.43</v>
      </c>
      <c r="M2450">
        <v>2188494.4859116022</v>
      </c>
      <c r="N2450">
        <v>2154095.14</v>
      </c>
      <c r="O2450">
        <v>2171112.2540701842</v>
      </c>
      <c r="P2450">
        <f>SUMIF($F$2418:$F$2449,"&lt;&gt;EV_*",$P$2418:$P$2449)</f>
        <v>0</v>
      </c>
      <c r="Q2450">
        <f>SUMIF($F$2418:$F$2449,"&lt;&gt;EV_*",$Q$2418:$Q$2449)</f>
        <v>2171112.2540701842</v>
      </c>
      <c r="R2450">
        <f>SUMIF($F$2418:$F$2449,"&lt;&gt;EV_*",$R$2418:$R$2449)</f>
        <v>2206203.3210486993</v>
      </c>
      <c r="S2450">
        <f>SUMIF($F$2418:$F$2449,"&lt;&gt;EV_*",$S$2418:$S$2449)</f>
        <v>35091.066978515599</v>
      </c>
      <c r="T2450">
        <v>0</v>
      </c>
      <c r="U2450">
        <f>SUMIF($F$2418:$F$2449,"&lt;&gt;EV_*",$U$2418:$U$2449)</f>
        <v>58206.899231649557</v>
      </c>
      <c r="V2450">
        <f>SUMIF($F$2418:$F$2449,"&lt;&gt;EV_*",$V$2418:$V$2449)</f>
        <v>2264410.2202803493</v>
      </c>
      <c r="W2450">
        <f>SUMIF($F$2418:$F$2449,"&lt;&gt;EV_*",$W$2418:$W$2449)</f>
        <v>93297.966210165192</v>
      </c>
      <c r="X2450">
        <f>SUMIF($F$2418:$F$2449,"&lt;&gt;EV_*",$X$2418:$X$2449)</f>
        <v>0</v>
      </c>
    </row>
    <row r="2451" spans="1:24" x14ac:dyDescent="0.25">
      <c r="A2451" t="s">
        <v>1948</v>
      </c>
      <c r="B2451" t="s">
        <v>2129</v>
      </c>
      <c r="C2451" t="s">
        <v>2138</v>
      </c>
      <c r="D2451" t="s">
        <v>266</v>
      </c>
      <c r="E2451" t="s">
        <v>5</v>
      </c>
      <c r="F2451" t="s">
        <v>5</v>
      </c>
      <c r="G2451" t="s">
        <v>972</v>
      </c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</row>
    <row r="2452" spans="1:24" x14ac:dyDescent="0.25">
      <c r="A2452" t="s">
        <v>1948</v>
      </c>
      <c r="B2452" t="s">
        <v>2129</v>
      </c>
      <c r="C2452" t="s">
        <v>2138</v>
      </c>
      <c r="D2452" t="s">
        <v>266</v>
      </c>
      <c r="E2452" t="s">
        <v>61</v>
      </c>
      <c r="F2452" t="s">
        <v>1</v>
      </c>
      <c r="G2452" t="s">
        <v>973</v>
      </c>
      <c r="H2452" t="s">
        <v>470</v>
      </c>
      <c r="I2452" t="s">
        <v>1</v>
      </c>
      <c r="J2452">
        <v>6000</v>
      </c>
      <c r="K2452"/>
      <c r="L2452">
        <v>0</v>
      </c>
      <c r="M2452">
        <v>0</v>
      </c>
      <c r="N2452">
        <v>3000</v>
      </c>
      <c r="O2452"/>
      <c r="P2452">
        <v>0</v>
      </c>
      <c r="Q2452">
        <f t="shared" ref="Q2452:Q2476" si="500">O2452+P2452</f>
        <v>0</v>
      </c>
      <c r="R2452">
        <v>0</v>
      </c>
      <c r="S2452">
        <f t="shared" ref="S2452:S2476" si="501">IF(OR(LEFT(E2452,2)="A_",LEFT(D2452,5)="Total"),R2452-Q2452,"")</f>
        <v>0</v>
      </c>
      <c r="T2452"/>
      <c r="U2452">
        <f t="shared" ref="U2452:U2476" si="502">IFERROR(R2452*T2452,R2452*0)</f>
        <v>0</v>
      </c>
      <c r="V2452">
        <f t="shared" ref="V2452:V2476" si="503">IF(OR(LEFT(E2452,2)="A_",LEFT(D2452,5)="Total"),R2452+U2452,"")</f>
        <v>0</v>
      </c>
      <c r="W2452">
        <f t="shared" ref="W2452:W2476" si="504">IF(OR(LEFT(E2452,2)="A_",LEFT(D2452,5)="Total"),V2452-Q2452,"")</f>
        <v>0</v>
      </c>
      <c r="X2452">
        <v>0</v>
      </c>
    </row>
    <row r="2453" spans="1:24" x14ac:dyDescent="0.25">
      <c r="A2453" t="s">
        <v>1948</v>
      </c>
      <c r="B2453" t="s">
        <v>2129</v>
      </c>
      <c r="C2453" t="s">
        <v>2138</v>
      </c>
      <c r="D2453" t="s">
        <v>266</v>
      </c>
      <c r="E2453" t="s">
        <v>259</v>
      </c>
      <c r="F2453" t="s">
        <v>1</v>
      </c>
      <c r="G2453" t="s">
        <v>973</v>
      </c>
      <c r="H2453" t="s">
        <v>958</v>
      </c>
      <c r="I2453" t="s">
        <v>1</v>
      </c>
      <c r="J2453">
        <v>424049.07</v>
      </c>
      <c r="K2453">
        <v>384000</v>
      </c>
      <c r="L2453">
        <v>219762.3</v>
      </c>
      <c r="M2453">
        <v>443167.06906077347</v>
      </c>
      <c r="N2453">
        <v>438614.08999999997</v>
      </c>
      <c r="O2453">
        <v>439524.6</v>
      </c>
      <c r="P2453">
        <v>0</v>
      </c>
      <c r="Q2453">
        <f t="shared" si="500"/>
        <v>439524.6</v>
      </c>
      <c r="R2453">
        <v>0</v>
      </c>
      <c r="S2453">
        <f t="shared" si="501"/>
        <v>-439524.6</v>
      </c>
      <c r="T2453"/>
      <c r="U2453">
        <f t="shared" si="502"/>
        <v>0</v>
      </c>
      <c r="V2453">
        <f t="shared" si="503"/>
        <v>0</v>
      </c>
      <c r="W2453">
        <f t="shared" si="504"/>
        <v>-439524.6</v>
      </c>
      <c r="X2453" t="s">
        <v>1703</v>
      </c>
    </row>
    <row r="2454" spans="1:24" x14ac:dyDescent="0.25">
      <c r="A2454" t="s">
        <v>1948</v>
      </c>
      <c r="B2454" t="s">
        <v>2129</v>
      </c>
      <c r="C2454" t="s">
        <v>2138</v>
      </c>
      <c r="D2454" t="s">
        <v>266</v>
      </c>
      <c r="E2454" t="s">
        <v>11</v>
      </c>
      <c r="F2454" t="s">
        <v>1</v>
      </c>
      <c r="G2454" t="s">
        <v>973</v>
      </c>
      <c r="H2454" t="s">
        <v>411</v>
      </c>
      <c r="I2454" t="s">
        <v>1</v>
      </c>
      <c r="J2454">
        <v>1995.05</v>
      </c>
      <c r="K2454">
        <v>1741.7800000008001</v>
      </c>
      <c r="L2454">
        <v>849.64</v>
      </c>
      <c r="M2454">
        <v>1713.3624309392264</v>
      </c>
      <c r="N2454">
        <v>1775.17</v>
      </c>
      <c r="O2454">
        <v>1699.28</v>
      </c>
      <c r="P2454">
        <v>0</v>
      </c>
      <c r="Q2454">
        <f t="shared" si="500"/>
        <v>1699.28</v>
      </c>
      <c r="R2454">
        <v>1700.16</v>
      </c>
      <c r="S2454">
        <f t="shared" si="501"/>
        <v>0.88000000000010914</v>
      </c>
      <c r="T2454"/>
      <c r="U2454">
        <f t="shared" si="502"/>
        <v>0</v>
      </c>
      <c r="V2454">
        <f t="shared" si="503"/>
        <v>1700.16</v>
      </c>
      <c r="W2454">
        <f t="shared" si="504"/>
        <v>0.88000000000010914</v>
      </c>
      <c r="X2454">
        <v>0</v>
      </c>
    </row>
    <row r="2455" spans="1:24" x14ac:dyDescent="0.25">
      <c r="A2455" t="s">
        <v>1948</v>
      </c>
      <c r="B2455" t="s">
        <v>2129</v>
      </c>
      <c r="C2455" t="s">
        <v>2138</v>
      </c>
      <c r="D2455" t="s">
        <v>266</v>
      </c>
      <c r="E2455" t="s">
        <v>13</v>
      </c>
      <c r="F2455" t="s">
        <v>1</v>
      </c>
      <c r="G2455" t="s">
        <v>973</v>
      </c>
      <c r="H2455" t="s">
        <v>413</v>
      </c>
      <c r="I2455" t="s">
        <v>1</v>
      </c>
      <c r="J2455">
        <v>163.93</v>
      </c>
      <c r="K2455"/>
      <c r="L2455">
        <v>-36.43</v>
      </c>
      <c r="M2455">
        <v>-73.463812154696129</v>
      </c>
      <c r="N2455">
        <v>127.5</v>
      </c>
      <c r="O2455">
        <v>-72.86</v>
      </c>
      <c r="P2455">
        <v>0</v>
      </c>
      <c r="Q2455">
        <f t="shared" si="500"/>
        <v>-72.86</v>
      </c>
      <c r="R2455">
        <v>0</v>
      </c>
      <c r="S2455">
        <f t="shared" si="501"/>
        <v>72.86</v>
      </c>
      <c r="T2455"/>
      <c r="U2455">
        <f t="shared" si="502"/>
        <v>0</v>
      </c>
      <c r="V2455">
        <f t="shared" si="503"/>
        <v>0</v>
      </c>
      <c r="W2455">
        <f t="shared" si="504"/>
        <v>72.86</v>
      </c>
      <c r="X2455">
        <v>0</v>
      </c>
    </row>
    <row r="2456" spans="1:24" x14ac:dyDescent="0.25">
      <c r="A2456" t="s">
        <v>1948</v>
      </c>
      <c r="B2456" t="s">
        <v>2129</v>
      </c>
      <c r="C2456" t="s">
        <v>2138</v>
      </c>
      <c r="D2456" t="s">
        <v>266</v>
      </c>
      <c r="E2456" t="s">
        <v>17</v>
      </c>
      <c r="F2456" t="s">
        <v>1</v>
      </c>
      <c r="G2456" t="s">
        <v>973</v>
      </c>
      <c r="H2456" t="s">
        <v>417</v>
      </c>
      <c r="I2456" t="s">
        <v>1</v>
      </c>
      <c r="J2456">
        <v>-1264.4100000000001</v>
      </c>
      <c r="K2456">
        <v>-2010</v>
      </c>
      <c r="L2456">
        <v>-6090.18</v>
      </c>
      <c r="M2456">
        <v>-12281.302209944752</v>
      </c>
      <c r="N2456">
        <v>-6573.59</v>
      </c>
      <c r="O2456">
        <v>-12247.2850549451</v>
      </c>
      <c r="P2456">
        <v>0</v>
      </c>
      <c r="Q2456">
        <f t="shared" si="500"/>
        <v>-12247.2850549451</v>
      </c>
      <c r="R2456">
        <v>-12247.2850549451</v>
      </c>
      <c r="S2456">
        <f t="shared" si="501"/>
        <v>0</v>
      </c>
      <c r="T2456"/>
      <c r="U2456">
        <f t="shared" si="502"/>
        <v>0</v>
      </c>
      <c r="V2456">
        <f t="shared" si="503"/>
        <v>-12247.2850549451</v>
      </c>
      <c r="W2456">
        <f t="shared" si="504"/>
        <v>0</v>
      </c>
      <c r="X2456">
        <v>0</v>
      </c>
    </row>
    <row r="2457" spans="1:24" x14ac:dyDescent="0.25">
      <c r="A2457" t="s">
        <v>1948</v>
      </c>
      <c r="B2457" t="s">
        <v>2129</v>
      </c>
      <c r="C2457" t="s">
        <v>2138</v>
      </c>
      <c r="D2457" t="s">
        <v>266</v>
      </c>
      <c r="E2457" t="s">
        <v>82</v>
      </c>
      <c r="F2457" t="s">
        <v>1</v>
      </c>
      <c r="G2457" t="s">
        <v>973</v>
      </c>
      <c r="H2457" t="s">
        <v>507</v>
      </c>
      <c r="I2457" t="s">
        <v>1</v>
      </c>
      <c r="J2457">
        <v>55539.79</v>
      </c>
      <c r="K2457">
        <v>62417.672016927201</v>
      </c>
      <c r="L2457">
        <v>18555.439999999999</v>
      </c>
      <c r="M2457">
        <v>37418.428729281761</v>
      </c>
      <c r="N2457">
        <v>40549.910000000003</v>
      </c>
      <c r="O2457">
        <v>37314.785934065898</v>
      </c>
      <c r="P2457">
        <v>0</v>
      </c>
      <c r="Q2457">
        <f t="shared" si="500"/>
        <v>37314.785934065898</v>
      </c>
      <c r="R2457">
        <v>37314.785934065898</v>
      </c>
      <c r="S2457">
        <f t="shared" si="501"/>
        <v>0</v>
      </c>
      <c r="T2457">
        <v>2.75E-2</v>
      </c>
      <c r="U2457">
        <f t="shared" si="502"/>
        <v>1026.1566131868121</v>
      </c>
      <c r="V2457">
        <f t="shared" si="503"/>
        <v>38340.942547252707</v>
      </c>
      <c r="W2457">
        <f t="shared" si="504"/>
        <v>1026.1566131868094</v>
      </c>
      <c r="X2457">
        <v>0</v>
      </c>
    </row>
    <row r="2458" spans="1:24" x14ac:dyDescent="0.25">
      <c r="A2458" t="s">
        <v>1948</v>
      </c>
      <c r="B2458" t="s">
        <v>2129</v>
      </c>
      <c r="C2458" t="s">
        <v>2138</v>
      </c>
      <c r="D2458" t="s">
        <v>266</v>
      </c>
      <c r="E2458" t="s">
        <v>72</v>
      </c>
      <c r="F2458" t="s">
        <v>1</v>
      </c>
      <c r="G2458" t="s">
        <v>973</v>
      </c>
      <c r="H2458" t="s">
        <v>489</v>
      </c>
      <c r="I2458" t="s">
        <v>1</v>
      </c>
      <c r="J2458">
        <v>149456.88</v>
      </c>
      <c r="K2458">
        <v>141377.810854223</v>
      </c>
      <c r="L2458">
        <v>79988.42</v>
      </c>
      <c r="M2458">
        <v>161302.61491712707</v>
      </c>
      <c r="N2458">
        <v>175241.41999999998</v>
      </c>
      <c r="O2458">
        <v>160855.83362637399</v>
      </c>
      <c r="P2458">
        <v>0</v>
      </c>
      <c r="Q2458">
        <f t="shared" si="500"/>
        <v>160855.83362637399</v>
      </c>
      <c r="R2458">
        <v>160855.83362637399</v>
      </c>
      <c r="S2458">
        <f t="shared" si="501"/>
        <v>0</v>
      </c>
      <c r="T2458">
        <v>2.2499999999999999E-2</v>
      </c>
      <c r="U2458">
        <f t="shared" si="502"/>
        <v>3619.2562565934145</v>
      </c>
      <c r="V2458">
        <f t="shared" si="503"/>
        <v>164475.08988296741</v>
      </c>
      <c r="W2458">
        <f t="shared" si="504"/>
        <v>3619.2562565934204</v>
      </c>
      <c r="X2458">
        <v>0</v>
      </c>
    </row>
    <row r="2459" spans="1:24" x14ac:dyDescent="0.25">
      <c r="A2459" t="s">
        <v>1948</v>
      </c>
      <c r="B2459" t="s">
        <v>2129</v>
      </c>
      <c r="C2459" t="s">
        <v>2138</v>
      </c>
      <c r="D2459" t="s">
        <v>266</v>
      </c>
      <c r="E2459" t="s">
        <v>18</v>
      </c>
      <c r="F2459" t="s">
        <v>1</v>
      </c>
      <c r="G2459" t="s">
        <v>973</v>
      </c>
      <c r="H2459" t="s">
        <v>418</v>
      </c>
      <c r="I2459" t="s">
        <v>1</v>
      </c>
      <c r="J2459">
        <v>66630.31</v>
      </c>
      <c r="K2459">
        <v>19272.687172823898</v>
      </c>
      <c r="L2459">
        <v>68666.820000000007</v>
      </c>
      <c r="M2459">
        <v>138471.76408839782</v>
      </c>
      <c r="N2459">
        <v>125962.07</v>
      </c>
      <c r="O2459">
        <v>138088.22043956001</v>
      </c>
      <c r="P2459">
        <v>0</v>
      </c>
      <c r="Q2459">
        <f t="shared" si="500"/>
        <v>138088.22043956001</v>
      </c>
      <c r="R2459">
        <v>138088.22043956001</v>
      </c>
      <c r="S2459">
        <f t="shared" si="501"/>
        <v>0</v>
      </c>
      <c r="T2459">
        <v>0.02</v>
      </c>
      <c r="U2459">
        <f t="shared" si="502"/>
        <v>2761.7644087912004</v>
      </c>
      <c r="V2459">
        <f t="shared" si="503"/>
        <v>140849.98484835122</v>
      </c>
      <c r="W2459">
        <f t="shared" si="504"/>
        <v>2761.7644087912049</v>
      </c>
      <c r="X2459">
        <v>0</v>
      </c>
    </row>
    <row r="2460" spans="1:24" x14ac:dyDescent="0.25">
      <c r="A2460" t="s">
        <v>1948</v>
      </c>
      <c r="B2460" t="s">
        <v>2129</v>
      </c>
      <c r="C2460" t="s">
        <v>2138</v>
      </c>
      <c r="D2460" t="s">
        <v>266</v>
      </c>
      <c r="E2460" t="s">
        <v>74</v>
      </c>
      <c r="F2460" t="s">
        <v>1</v>
      </c>
      <c r="G2460" t="s">
        <v>973</v>
      </c>
      <c r="H2460" t="s">
        <v>491</v>
      </c>
      <c r="I2460" t="s">
        <v>1</v>
      </c>
      <c r="J2460">
        <v>47834.12</v>
      </c>
      <c r="K2460">
        <v>71840.5029073646</v>
      </c>
      <c r="L2460">
        <v>0</v>
      </c>
      <c r="M2460">
        <v>0</v>
      </c>
      <c r="N2460">
        <v>17370.55</v>
      </c>
      <c r="O2460"/>
      <c r="P2460">
        <v>0</v>
      </c>
      <c r="Q2460">
        <f t="shared" si="500"/>
        <v>0</v>
      </c>
      <c r="R2460">
        <v>47834.12</v>
      </c>
      <c r="S2460">
        <f t="shared" si="501"/>
        <v>47834.12</v>
      </c>
      <c r="T2460">
        <v>3.5000000000000003E-2</v>
      </c>
      <c r="U2460">
        <f t="shared" si="502"/>
        <v>1674.1942000000004</v>
      </c>
      <c r="V2460">
        <f t="shared" si="503"/>
        <v>49508.314200000001</v>
      </c>
      <c r="W2460">
        <f t="shared" si="504"/>
        <v>49508.314200000001</v>
      </c>
      <c r="X2460">
        <v>0</v>
      </c>
    </row>
    <row r="2461" spans="1:24" x14ac:dyDescent="0.25">
      <c r="A2461" t="s">
        <v>1948</v>
      </c>
      <c r="B2461" t="s">
        <v>2129</v>
      </c>
      <c r="C2461" t="s">
        <v>2138</v>
      </c>
      <c r="D2461" t="s">
        <v>266</v>
      </c>
      <c r="E2461" t="s">
        <v>20</v>
      </c>
      <c r="F2461" t="s">
        <v>1</v>
      </c>
      <c r="G2461" t="s">
        <v>973</v>
      </c>
      <c r="H2461" t="s">
        <v>420</v>
      </c>
      <c r="I2461" t="s">
        <v>1</v>
      </c>
      <c r="J2461">
        <v>4903.28</v>
      </c>
      <c r="K2461">
        <v>5642.7149465019002</v>
      </c>
      <c r="L2461">
        <v>1089.55</v>
      </c>
      <c r="M2461">
        <v>2197.1588397790051</v>
      </c>
      <c r="N2461">
        <v>3899.7800000000007</v>
      </c>
      <c r="O2461">
        <v>2191.0730769231</v>
      </c>
      <c r="P2461">
        <v>0</v>
      </c>
      <c r="Q2461">
        <f t="shared" si="500"/>
        <v>2191.0730769231</v>
      </c>
      <c r="R2461">
        <v>2191.0730769231</v>
      </c>
      <c r="S2461">
        <f t="shared" si="501"/>
        <v>0</v>
      </c>
      <c r="T2461">
        <v>0.04</v>
      </c>
      <c r="U2461">
        <f t="shared" si="502"/>
        <v>87.642923076924006</v>
      </c>
      <c r="V2461">
        <f t="shared" si="503"/>
        <v>2278.716000000024</v>
      </c>
      <c r="W2461">
        <f t="shared" si="504"/>
        <v>87.642923076924035</v>
      </c>
      <c r="X2461">
        <v>0</v>
      </c>
    </row>
    <row r="2462" spans="1:24" x14ac:dyDescent="0.25">
      <c r="A2462" t="s">
        <v>1948</v>
      </c>
      <c r="B2462" t="s">
        <v>2129</v>
      </c>
      <c r="C2462" t="s">
        <v>2138</v>
      </c>
      <c r="D2462" t="s">
        <v>266</v>
      </c>
      <c r="E2462" t="s">
        <v>21</v>
      </c>
      <c r="F2462" t="s">
        <v>1</v>
      </c>
      <c r="G2462" t="s">
        <v>973</v>
      </c>
      <c r="H2462" t="s">
        <v>421</v>
      </c>
      <c r="I2462" t="s">
        <v>1</v>
      </c>
      <c r="J2462">
        <v>10462.709999999999</v>
      </c>
      <c r="K2462">
        <v>11431.37</v>
      </c>
      <c r="L2462">
        <v>3788.79</v>
      </c>
      <c r="M2462">
        <v>7640.3776243093926</v>
      </c>
      <c r="N2462">
        <v>8341.5</v>
      </c>
      <c r="O2462">
        <v>7640.3776243093998</v>
      </c>
      <c r="P2462">
        <v>0</v>
      </c>
      <c r="Q2462">
        <f t="shared" si="500"/>
        <v>7640.3776243093998</v>
      </c>
      <c r="R2462">
        <v>7640.3776243093998</v>
      </c>
      <c r="S2462">
        <f t="shared" si="501"/>
        <v>0</v>
      </c>
      <c r="T2462">
        <v>0.03</v>
      </c>
      <c r="U2462">
        <f t="shared" si="502"/>
        <v>229.21132872928197</v>
      </c>
      <c r="V2462">
        <f t="shared" si="503"/>
        <v>7869.5889530386821</v>
      </c>
      <c r="W2462">
        <f t="shared" si="504"/>
        <v>229.21132872928229</v>
      </c>
      <c r="X2462">
        <v>0</v>
      </c>
    </row>
    <row r="2463" spans="1:24" x14ac:dyDescent="0.25">
      <c r="A2463" t="s">
        <v>1948</v>
      </c>
      <c r="B2463" t="s">
        <v>2129</v>
      </c>
      <c r="C2463" t="s">
        <v>2138</v>
      </c>
      <c r="D2463" t="s">
        <v>266</v>
      </c>
      <c r="E2463" t="s">
        <v>22</v>
      </c>
      <c r="F2463" t="s">
        <v>1</v>
      </c>
      <c r="G2463" t="s">
        <v>973</v>
      </c>
      <c r="H2463" t="s">
        <v>422</v>
      </c>
      <c r="I2463" t="s">
        <v>1</v>
      </c>
      <c r="J2463">
        <v>27942.65</v>
      </c>
      <c r="K2463">
        <v>31950.449999999899</v>
      </c>
      <c r="L2463">
        <v>9607.66</v>
      </c>
      <c r="M2463">
        <v>19374.562983425414</v>
      </c>
      <c r="N2463">
        <v>22116.34</v>
      </c>
      <c r="O2463">
        <v>19374.5629834254</v>
      </c>
      <c r="P2463">
        <v>0</v>
      </c>
      <c r="Q2463">
        <f t="shared" si="500"/>
        <v>19374.5629834254</v>
      </c>
      <c r="R2463">
        <v>19374.5629834254</v>
      </c>
      <c r="S2463">
        <f t="shared" si="501"/>
        <v>0</v>
      </c>
      <c r="T2463">
        <v>3.5000000000000003E-2</v>
      </c>
      <c r="U2463">
        <f t="shared" si="502"/>
        <v>678.109704419889</v>
      </c>
      <c r="V2463">
        <f t="shared" si="503"/>
        <v>20052.67268784529</v>
      </c>
      <c r="W2463">
        <f t="shared" si="504"/>
        <v>678.10970441989048</v>
      </c>
      <c r="X2463">
        <v>0</v>
      </c>
    </row>
    <row r="2464" spans="1:24" x14ac:dyDescent="0.25">
      <c r="A2464" t="s">
        <v>1948</v>
      </c>
      <c r="B2464" t="s">
        <v>2129</v>
      </c>
      <c r="C2464" t="s">
        <v>2138</v>
      </c>
      <c r="D2464" t="s">
        <v>266</v>
      </c>
      <c r="E2464" t="s">
        <v>23</v>
      </c>
      <c r="F2464" t="s">
        <v>1</v>
      </c>
      <c r="G2464" t="s">
        <v>973</v>
      </c>
      <c r="H2464" t="s">
        <v>423</v>
      </c>
      <c r="I2464" t="s">
        <v>1</v>
      </c>
      <c r="J2464"/>
      <c r="K2464"/>
      <c r="L2464">
        <v>334.54</v>
      </c>
      <c r="M2464">
        <v>674.62486187845309</v>
      </c>
      <c r="N2464">
        <v>334.54</v>
      </c>
      <c r="O2464">
        <v>674.62486187850004</v>
      </c>
      <c r="P2464">
        <v>0</v>
      </c>
      <c r="Q2464">
        <f t="shared" si="500"/>
        <v>674.62486187850004</v>
      </c>
      <c r="R2464">
        <v>0</v>
      </c>
      <c r="S2464">
        <f t="shared" si="501"/>
        <v>-674.62486187850004</v>
      </c>
      <c r="T2464">
        <v>3.5000000000000003E-2</v>
      </c>
      <c r="U2464">
        <f t="shared" si="502"/>
        <v>0</v>
      </c>
      <c r="V2464">
        <f t="shared" si="503"/>
        <v>0</v>
      </c>
      <c r="W2464">
        <f t="shared" si="504"/>
        <v>-674.62486187850004</v>
      </c>
      <c r="X2464">
        <v>0</v>
      </c>
    </row>
    <row r="2465" spans="1:24" x14ac:dyDescent="0.25">
      <c r="A2465" t="s">
        <v>1948</v>
      </c>
      <c r="B2465" t="s">
        <v>2129</v>
      </c>
      <c r="C2465" t="s">
        <v>2138</v>
      </c>
      <c r="D2465" t="s">
        <v>266</v>
      </c>
      <c r="E2465" t="s">
        <v>26</v>
      </c>
      <c r="F2465" t="s">
        <v>1</v>
      </c>
      <c r="G2465" t="s">
        <v>973</v>
      </c>
      <c r="H2465" t="s">
        <v>426</v>
      </c>
      <c r="I2465" t="s">
        <v>1</v>
      </c>
      <c r="J2465">
        <v>100</v>
      </c>
      <c r="K2465"/>
      <c r="L2465">
        <v>0</v>
      </c>
      <c r="M2465">
        <v>0</v>
      </c>
      <c r="N2465">
        <v>100</v>
      </c>
      <c r="O2465"/>
      <c r="P2465">
        <v>0</v>
      </c>
      <c r="Q2465">
        <f t="shared" si="500"/>
        <v>0</v>
      </c>
      <c r="R2465">
        <v>0</v>
      </c>
      <c r="S2465">
        <f t="shared" si="501"/>
        <v>0</v>
      </c>
      <c r="T2465"/>
      <c r="U2465">
        <f t="shared" si="502"/>
        <v>0</v>
      </c>
      <c r="V2465">
        <f t="shared" si="503"/>
        <v>0</v>
      </c>
      <c r="W2465">
        <f t="shared" si="504"/>
        <v>0</v>
      </c>
      <c r="X2465">
        <v>0</v>
      </c>
    </row>
    <row r="2466" spans="1:24" x14ac:dyDescent="0.25">
      <c r="A2466" t="s">
        <v>1948</v>
      </c>
      <c r="B2466" t="s">
        <v>2129</v>
      </c>
      <c r="C2466" t="s">
        <v>2138</v>
      </c>
      <c r="D2466" t="s">
        <v>266</v>
      </c>
      <c r="E2466" t="s">
        <v>27</v>
      </c>
      <c r="F2466" t="s">
        <v>1</v>
      </c>
      <c r="G2466" t="s">
        <v>973</v>
      </c>
      <c r="H2466" t="s">
        <v>427</v>
      </c>
      <c r="I2466" t="s">
        <v>1</v>
      </c>
      <c r="J2466">
        <v>1294.53</v>
      </c>
      <c r="K2466">
        <v>1170</v>
      </c>
      <c r="L2466">
        <v>571.65</v>
      </c>
      <c r="M2466">
        <v>1152.7748618784531</v>
      </c>
      <c r="N2466">
        <v>1178.9299999999998</v>
      </c>
      <c r="O2466">
        <v>1143.3</v>
      </c>
      <c r="P2466">
        <v>0</v>
      </c>
      <c r="Q2466">
        <f t="shared" si="500"/>
        <v>1143.3</v>
      </c>
      <c r="R2466">
        <v>1371.96</v>
      </c>
      <c r="S2466">
        <f t="shared" si="501"/>
        <v>228.66000000000008</v>
      </c>
      <c r="T2466"/>
      <c r="U2466">
        <f t="shared" si="502"/>
        <v>0</v>
      </c>
      <c r="V2466">
        <f t="shared" si="503"/>
        <v>1371.96</v>
      </c>
      <c r="W2466">
        <f t="shared" si="504"/>
        <v>228.66000000000008</v>
      </c>
      <c r="X2466" t="s">
        <v>1704</v>
      </c>
    </row>
    <row r="2467" spans="1:24" x14ac:dyDescent="0.25">
      <c r="A2467" t="s">
        <v>1948</v>
      </c>
      <c r="B2467" t="s">
        <v>2129</v>
      </c>
      <c r="C2467" t="s">
        <v>2138</v>
      </c>
      <c r="D2467" t="s">
        <v>266</v>
      </c>
      <c r="E2467" t="s">
        <v>28</v>
      </c>
      <c r="F2467" t="s">
        <v>1</v>
      </c>
      <c r="G2467" t="s">
        <v>973</v>
      </c>
      <c r="H2467" t="s">
        <v>428</v>
      </c>
      <c r="I2467" t="s">
        <v>1</v>
      </c>
      <c r="J2467">
        <v>3314.18</v>
      </c>
      <c r="K2467">
        <v>2240.0000000004002</v>
      </c>
      <c r="L2467">
        <v>772.46</v>
      </c>
      <c r="M2467">
        <v>1557.7232044198897</v>
      </c>
      <c r="N2467">
        <v>2794.3</v>
      </c>
      <c r="O2467">
        <v>1544.92</v>
      </c>
      <c r="P2467">
        <v>0</v>
      </c>
      <c r="Q2467">
        <f t="shared" si="500"/>
        <v>1544.92</v>
      </c>
      <c r="R2467">
        <v>1544.92</v>
      </c>
      <c r="S2467">
        <f t="shared" si="501"/>
        <v>0</v>
      </c>
      <c r="T2467"/>
      <c r="U2467">
        <f t="shared" si="502"/>
        <v>0</v>
      </c>
      <c r="V2467">
        <f t="shared" si="503"/>
        <v>1544.92</v>
      </c>
      <c r="W2467">
        <f t="shared" si="504"/>
        <v>0</v>
      </c>
      <c r="X2467">
        <v>0</v>
      </c>
    </row>
    <row r="2468" spans="1:24" x14ac:dyDescent="0.25">
      <c r="A2468" t="s">
        <v>1948</v>
      </c>
      <c r="B2468" t="s">
        <v>2129</v>
      </c>
      <c r="C2468" t="s">
        <v>2138</v>
      </c>
      <c r="D2468" t="s">
        <v>266</v>
      </c>
      <c r="E2468" t="s">
        <v>29</v>
      </c>
      <c r="F2468" t="s">
        <v>1</v>
      </c>
      <c r="G2468" t="s">
        <v>973</v>
      </c>
      <c r="H2468" t="s">
        <v>429</v>
      </c>
      <c r="I2468" t="s">
        <v>1</v>
      </c>
      <c r="J2468"/>
      <c r="K2468"/>
      <c r="L2468">
        <v>8825.36</v>
      </c>
      <c r="M2468">
        <v>17796.996685082875</v>
      </c>
      <c r="N2468">
        <v>8825.36</v>
      </c>
      <c r="O2468">
        <v>17650.72</v>
      </c>
      <c r="P2468">
        <v>0</v>
      </c>
      <c r="Q2468">
        <f t="shared" si="500"/>
        <v>17650.72</v>
      </c>
      <c r="R2468">
        <v>8825.36</v>
      </c>
      <c r="S2468">
        <f t="shared" si="501"/>
        <v>-8825.36</v>
      </c>
      <c r="T2468"/>
      <c r="U2468">
        <f t="shared" si="502"/>
        <v>0</v>
      </c>
      <c r="V2468">
        <f t="shared" si="503"/>
        <v>8825.36</v>
      </c>
      <c r="W2468">
        <f t="shared" si="504"/>
        <v>-8825.36</v>
      </c>
      <c r="X2468" t="s">
        <v>1705</v>
      </c>
    </row>
    <row r="2469" spans="1:24" x14ac:dyDescent="0.25">
      <c r="A2469" t="s">
        <v>1948</v>
      </c>
      <c r="B2469" t="s">
        <v>2129</v>
      </c>
      <c r="C2469" t="s">
        <v>2138</v>
      </c>
      <c r="D2469" t="s">
        <v>266</v>
      </c>
      <c r="E2469" t="s">
        <v>34</v>
      </c>
      <c r="F2469" t="s">
        <v>1</v>
      </c>
      <c r="G2469" t="s">
        <v>973</v>
      </c>
      <c r="H2469" t="s">
        <v>434</v>
      </c>
      <c r="I2469" t="s">
        <v>1</v>
      </c>
      <c r="J2469">
        <v>21.67</v>
      </c>
      <c r="K2469">
        <v>98.123836830000002</v>
      </c>
      <c r="L2469">
        <v>229.55</v>
      </c>
      <c r="M2469">
        <v>462.90469613259665</v>
      </c>
      <c r="N2469">
        <v>251.22000000000003</v>
      </c>
      <c r="O2469">
        <v>459.1</v>
      </c>
      <c r="P2469">
        <v>0</v>
      </c>
      <c r="Q2469">
        <f t="shared" si="500"/>
        <v>459.1</v>
      </c>
      <c r="R2469">
        <v>0</v>
      </c>
      <c r="S2469">
        <f t="shared" si="501"/>
        <v>-459.1</v>
      </c>
      <c r="T2469"/>
      <c r="U2469">
        <f t="shared" si="502"/>
        <v>0</v>
      </c>
      <c r="V2469">
        <f t="shared" si="503"/>
        <v>0</v>
      </c>
      <c r="W2469">
        <f t="shared" si="504"/>
        <v>-459.1</v>
      </c>
      <c r="X2469">
        <v>0</v>
      </c>
    </row>
    <row r="2470" spans="1:24" x14ac:dyDescent="0.25">
      <c r="A2470" t="s">
        <v>1948</v>
      </c>
      <c r="B2470" t="s">
        <v>2129</v>
      </c>
      <c r="C2470" t="s">
        <v>2138</v>
      </c>
      <c r="D2470" t="s">
        <v>266</v>
      </c>
      <c r="E2470" t="s">
        <v>37</v>
      </c>
      <c r="F2470" t="s">
        <v>1</v>
      </c>
      <c r="G2470" t="s">
        <v>973</v>
      </c>
      <c r="H2470" t="s">
        <v>437</v>
      </c>
      <c r="I2470" t="s">
        <v>1</v>
      </c>
      <c r="J2470">
        <v>283.23</v>
      </c>
      <c r="K2470"/>
      <c r="L2470">
        <v>242.48</v>
      </c>
      <c r="M2470">
        <v>488.97900552486186</v>
      </c>
      <c r="N2470">
        <v>322</v>
      </c>
      <c r="O2470">
        <v>484.96</v>
      </c>
      <c r="P2470">
        <v>0</v>
      </c>
      <c r="Q2470">
        <f t="shared" si="500"/>
        <v>484.96</v>
      </c>
      <c r="R2470">
        <v>242.48</v>
      </c>
      <c r="S2470">
        <f t="shared" si="501"/>
        <v>-242.48</v>
      </c>
      <c r="T2470"/>
      <c r="U2470">
        <f t="shared" si="502"/>
        <v>0</v>
      </c>
      <c r="V2470">
        <f t="shared" si="503"/>
        <v>242.48</v>
      </c>
      <c r="W2470">
        <f t="shared" si="504"/>
        <v>-242.48</v>
      </c>
      <c r="X2470">
        <v>0</v>
      </c>
    </row>
    <row r="2471" spans="1:24" x14ac:dyDescent="0.25">
      <c r="A2471" t="s">
        <v>1948</v>
      </c>
      <c r="B2471" t="s">
        <v>2129</v>
      </c>
      <c r="C2471" t="s">
        <v>2138</v>
      </c>
      <c r="D2471" t="s">
        <v>266</v>
      </c>
      <c r="E2471" t="s">
        <v>40</v>
      </c>
      <c r="F2471" t="s">
        <v>1</v>
      </c>
      <c r="G2471" t="s">
        <v>973</v>
      </c>
      <c r="H2471" t="s">
        <v>440</v>
      </c>
      <c r="I2471" t="s">
        <v>1</v>
      </c>
      <c r="J2471"/>
      <c r="K2471"/>
      <c r="L2471">
        <v>5982</v>
      </c>
      <c r="M2471">
        <v>12063.149171270717</v>
      </c>
      <c r="N2471">
        <v>5982</v>
      </c>
      <c r="O2471">
        <v>11964</v>
      </c>
      <c r="P2471">
        <v>0</v>
      </c>
      <c r="Q2471">
        <f t="shared" si="500"/>
        <v>11964</v>
      </c>
      <c r="R2471">
        <v>7000</v>
      </c>
      <c r="S2471">
        <f t="shared" si="501"/>
        <v>-4964</v>
      </c>
      <c r="T2471">
        <v>0.03</v>
      </c>
      <c r="U2471">
        <f t="shared" si="502"/>
        <v>210</v>
      </c>
      <c r="V2471">
        <f t="shared" si="503"/>
        <v>7210</v>
      </c>
      <c r="W2471">
        <f t="shared" si="504"/>
        <v>-4754</v>
      </c>
      <c r="X2471" t="s">
        <v>1706</v>
      </c>
    </row>
    <row r="2472" spans="1:24" x14ac:dyDescent="0.25">
      <c r="A2472" t="s">
        <v>1948</v>
      </c>
      <c r="B2472" t="s">
        <v>2129</v>
      </c>
      <c r="C2472" t="s">
        <v>2138</v>
      </c>
      <c r="D2472" t="s">
        <v>266</v>
      </c>
      <c r="E2472" t="s">
        <v>41</v>
      </c>
      <c r="F2472" t="s">
        <v>1</v>
      </c>
      <c r="G2472" t="s">
        <v>973</v>
      </c>
      <c r="H2472" t="s">
        <v>441</v>
      </c>
      <c r="I2472" t="s">
        <v>1</v>
      </c>
      <c r="J2472">
        <v>66.64</v>
      </c>
      <c r="K2472">
        <v>130.9046392644</v>
      </c>
      <c r="L2472">
        <v>138.93</v>
      </c>
      <c r="M2472">
        <v>280.16270718232045</v>
      </c>
      <c r="N2472">
        <v>138.93</v>
      </c>
      <c r="O2472">
        <v>277.86</v>
      </c>
      <c r="P2472">
        <v>0</v>
      </c>
      <c r="Q2472">
        <f t="shared" si="500"/>
        <v>277.86</v>
      </c>
      <c r="R2472">
        <v>277.86</v>
      </c>
      <c r="S2472">
        <f t="shared" si="501"/>
        <v>0</v>
      </c>
      <c r="T2472">
        <v>0.03</v>
      </c>
      <c r="U2472">
        <f t="shared" si="502"/>
        <v>8.3358000000000008</v>
      </c>
      <c r="V2472">
        <f t="shared" si="503"/>
        <v>286.19580000000002</v>
      </c>
      <c r="W2472">
        <f t="shared" si="504"/>
        <v>8.3358000000000061</v>
      </c>
      <c r="X2472">
        <v>0</v>
      </c>
    </row>
    <row r="2473" spans="1:24" x14ac:dyDescent="0.25">
      <c r="A2473" t="s">
        <v>1948</v>
      </c>
      <c r="B2473" t="s">
        <v>2129</v>
      </c>
      <c r="C2473" t="s">
        <v>2138</v>
      </c>
      <c r="D2473" t="s">
        <v>266</v>
      </c>
      <c r="E2473" t="s">
        <v>42</v>
      </c>
      <c r="F2473" t="s">
        <v>1</v>
      </c>
      <c r="G2473" t="s">
        <v>973</v>
      </c>
      <c r="H2473" t="s">
        <v>442</v>
      </c>
      <c r="I2473" t="s">
        <v>1</v>
      </c>
      <c r="J2473">
        <v>33.229999999999997</v>
      </c>
      <c r="K2473"/>
      <c r="L2473">
        <v>0</v>
      </c>
      <c r="M2473">
        <v>0</v>
      </c>
      <c r="N2473">
        <v>33.229999999999997</v>
      </c>
      <c r="O2473"/>
      <c r="P2473">
        <v>0</v>
      </c>
      <c r="Q2473">
        <f t="shared" si="500"/>
        <v>0</v>
      </c>
      <c r="R2473">
        <v>0</v>
      </c>
      <c r="S2473">
        <f t="shared" si="501"/>
        <v>0</v>
      </c>
      <c r="T2473">
        <v>0.03</v>
      </c>
      <c r="U2473">
        <f t="shared" si="502"/>
        <v>0</v>
      </c>
      <c r="V2473">
        <f t="shared" si="503"/>
        <v>0</v>
      </c>
      <c r="W2473">
        <f t="shared" si="504"/>
        <v>0</v>
      </c>
      <c r="X2473">
        <v>0</v>
      </c>
    </row>
    <row r="2474" spans="1:24" x14ac:dyDescent="0.25">
      <c r="A2474" t="s">
        <v>1948</v>
      </c>
      <c r="B2474" t="s">
        <v>2129</v>
      </c>
      <c r="C2474" t="s">
        <v>2138</v>
      </c>
      <c r="D2474" t="s">
        <v>266</v>
      </c>
      <c r="E2474" t="s">
        <v>134</v>
      </c>
      <c r="F2474" t="s">
        <v>1</v>
      </c>
      <c r="G2474" t="s">
        <v>973</v>
      </c>
      <c r="H2474" t="s">
        <v>623</v>
      </c>
      <c r="I2474" t="s">
        <v>1</v>
      </c>
      <c r="J2474">
        <v>24715.24</v>
      </c>
      <c r="K2474"/>
      <c r="L2474">
        <v>0</v>
      </c>
      <c r="M2474">
        <v>0</v>
      </c>
      <c r="N2474">
        <v>0</v>
      </c>
      <c r="O2474"/>
      <c r="P2474">
        <v>0</v>
      </c>
      <c r="Q2474">
        <f t="shared" si="500"/>
        <v>0</v>
      </c>
      <c r="R2474">
        <v>0</v>
      </c>
      <c r="S2474">
        <f t="shared" si="501"/>
        <v>0</v>
      </c>
      <c r="T2474">
        <v>0.03</v>
      </c>
      <c r="U2474">
        <f t="shared" si="502"/>
        <v>0</v>
      </c>
      <c r="V2474">
        <f t="shared" si="503"/>
        <v>0</v>
      </c>
      <c r="W2474">
        <f t="shared" si="504"/>
        <v>0</v>
      </c>
      <c r="X2474">
        <v>0</v>
      </c>
    </row>
    <row r="2475" spans="1:24" x14ac:dyDescent="0.25">
      <c r="A2475" t="s">
        <v>1948</v>
      </c>
      <c r="B2475" t="s">
        <v>2129</v>
      </c>
      <c r="C2475" t="s">
        <v>2138</v>
      </c>
      <c r="D2475" t="s">
        <v>266</v>
      </c>
      <c r="E2475" t="s">
        <v>47</v>
      </c>
      <c r="F2475" t="s">
        <v>1</v>
      </c>
      <c r="G2475" t="s">
        <v>973</v>
      </c>
      <c r="H2475" t="s">
        <v>447</v>
      </c>
      <c r="I2475" t="s">
        <v>1</v>
      </c>
      <c r="J2475">
        <v>50.5</v>
      </c>
      <c r="K2475"/>
      <c r="L2475">
        <v>0</v>
      </c>
      <c r="M2475">
        <v>0</v>
      </c>
      <c r="N2475">
        <v>50.5</v>
      </c>
      <c r="O2475"/>
      <c r="P2475">
        <v>0</v>
      </c>
      <c r="Q2475">
        <f t="shared" si="500"/>
        <v>0</v>
      </c>
      <c r="R2475">
        <v>0</v>
      </c>
      <c r="S2475">
        <f t="shared" si="501"/>
        <v>0</v>
      </c>
      <c r="T2475">
        <v>0.03</v>
      </c>
      <c r="U2475">
        <f t="shared" si="502"/>
        <v>0</v>
      </c>
      <c r="V2475">
        <f t="shared" si="503"/>
        <v>0</v>
      </c>
      <c r="W2475">
        <f t="shared" si="504"/>
        <v>0</v>
      </c>
      <c r="X2475">
        <v>0</v>
      </c>
    </row>
    <row r="2476" spans="1:24" x14ac:dyDescent="0.25">
      <c r="A2476" t="s">
        <v>1948</v>
      </c>
      <c r="B2476" t="s">
        <v>2129</v>
      </c>
      <c r="C2476" t="s">
        <v>2138</v>
      </c>
      <c r="D2476" t="s">
        <v>266</v>
      </c>
      <c r="E2476" t="s">
        <v>48</v>
      </c>
      <c r="F2476" t="s">
        <v>1</v>
      </c>
      <c r="G2476" t="s">
        <v>973</v>
      </c>
      <c r="H2476" t="s">
        <v>448</v>
      </c>
      <c r="I2476" t="s">
        <v>1</v>
      </c>
      <c r="J2476">
        <v>509.88</v>
      </c>
      <c r="K2476">
        <v>351</v>
      </c>
      <c r="L2476">
        <v>644.53</v>
      </c>
      <c r="M2476">
        <v>1299.7428176795579</v>
      </c>
      <c r="N2476">
        <v>953.68</v>
      </c>
      <c r="O2476">
        <v>1289.06</v>
      </c>
      <c r="P2476">
        <v>0</v>
      </c>
      <c r="Q2476">
        <f t="shared" si="500"/>
        <v>1289.06</v>
      </c>
      <c r="R2476">
        <v>1289.06</v>
      </c>
      <c r="S2476">
        <f t="shared" si="501"/>
        <v>0</v>
      </c>
      <c r="T2476">
        <v>0.03</v>
      </c>
      <c r="U2476">
        <f t="shared" si="502"/>
        <v>38.671799999999998</v>
      </c>
      <c r="V2476">
        <f t="shared" si="503"/>
        <v>1327.7318</v>
      </c>
      <c r="W2476">
        <f t="shared" si="504"/>
        <v>38.671800000000076</v>
      </c>
      <c r="X2476">
        <v>0</v>
      </c>
    </row>
    <row r="2477" spans="1:24" x14ac:dyDescent="0.25">
      <c r="A2477" t="s">
        <v>1948</v>
      </c>
      <c r="B2477" t="s">
        <v>2129</v>
      </c>
      <c r="C2477" t="s">
        <v>2138</v>
      </c>
      <c r="D2477" t="s">
        <v>266</v>
      </c>
      <c r="E2477" t="s">
        <v>51</v>
      </c>
      <c r="F2477" t="s">
        <v>51</v>
      </c>
      <c r="G2477" t="s">
        <v>974</v>
      </c>
      <c r="H2477"/>
      <c r="I2477"/>
      <c r="J2477">
        <v>824102.48000000021</v>
      </c>
      <c r="K2477">
        <v>731655.0163739362</v>
      </c>
      <c r="L2477">
        <v>413923.50999999995</v>
      </c>
      <c r="M2477">
        <v>834707.63066298352</v>
      </c>
      <c r="N2477">
        <v>851389.43000000028</v>
      </c>
      <c r="O2477">
        <v>829857.13349159132</v>
      </c>
      <c r="P2477">
        <f>SUMIF($F$2451:$F$2476,"&lt;&gt;EV_*",$P$2451:$P$2476)</f>
        <v>0</v>
      </c>
      <c r="Q2477">
        <f>SUMIF($F$2451:$F$2476,"&lt;&gt;EV_*",$Q$2451:$Q$2476)</f>
        <v>829857.13349159132</v>
      </c>
      <c r="R2477">
        <f>SUMIF($F$2451:$F$2476,"&lt;&gt;EV_*",$R$2451:$R$2476)</f>
        <v>423303.48862971261</v>
      </c>
      <c r="S2477">
        <f>SUMIF($F$2451:$F$2476,"&lt;&gt;EV_*",$S$2451:$S$2476)</f>
        <v>-406553.64486187848</v>
      </c>
      <c r="T2477">
        <v>0</v>
      </c>
      <c r="U2477">
        <f>SUMIF($F$2451:$F$2476,"&lt;&gt;EV_*",$U$2451:$U$2476)</f>
        <v>10333.343034797523</v>
      </c>
      <c r="V2477">
        <f>SUMIF($F$2451:$F$2476,"&lt;&gt;EV_*",$V$2451:$V$2476)</f>
        <v>433636.83166451025</v>
      </c>
      <c r="W2477">
        <f>SUMIF($F$2451:$F$2476,"&lt;&gt;EV_*",$W$2451:$W$2476)</f>
        <v>-396220.3018270809</v>
      </c>
      <c r="X2477">
        <f>SUMIF($F$2451:$F$2476,"&lt;&gt;EV_*",$X$2451:$X$2476)</f>
        <v>0</v>
      </c>
    </row>
    <row r="2478" spans="1:24" x14ac:dyDescent="0.25">
      <c r="A2478" t="s">
        <v>1948</v>
      </c>
      <c r="B2478" t="s">
        <v>2129</v>
      </c>
      <c r="C2478" t="s">
        <v>2139</v>
      </c>
      <c r="D2478" t="s">
        <v>267</v>
      </c>
      <c r="E2478" t="s">
        <v>5</v>
      </c>
      <c r="F2478" t="s">
        <v>5</v>
      </c>
      <c r="G2478" t="s">
        <v>975</v>
      </c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</row>
    <row r="2479" spans="1:24" x14ac:dyDescent="0.25">
      <c r="A2479" t="s">
        <v>1948</v>
      </c>
      <c r="B2479" t="s">
        <v>2129</v>
      </c>
      <c r="C2479" t="s">
        <v>2139</v>
      </c>
      <c r="D2479" t="s">
        <v>267</v>
      </c>
      <c r="E2479" t="s">
        <v>11</v>
      </c>
      <c r="F2479" t="s">
        <v>1</v>
      </c>
      <c r="G2479" t="s">
        <v>976</v>
      </c>
      <c r="H2479" t="s">
        <v>411</v>
      </c>
      <c r="I2479" t="s">
        <v>1</v>
      </c>
      <c r="J2479">
        <v>3973.95</v>
      </c>
      <c r="K2479">
        <v>5625.99</v>
      </c>
      <c r="L2479">
        <v>1350.79</v>
      </c>
      <c r="M2479">
        <v>2723.9687845303865</v>
      </c>
      <c r="N2479">
        <v>2763.7000000000003</v>
      </c>
      <c r="O2479">
        <v>2701.58</v>
      </c>
      <c r="P2479">
        <v>0</v>
      </c>
      <c r="Q2479">
        <f t="shared" ref="Q2479:Q2497" si="505">O2479+P2479</f>
        <v>2701.58</v>
      </c>
      <c r="R2479">
        <v>2652</v>
      </c>
      <c r="S2479">
        <f t="shared" ref="S2479:S2497" si="506">IF(OR(LEFT(E2479,2)="A_",LEFT(D2479,5)="Total"),R2479-Q2479,"")</f>
        <v>-49.579999999999927</v>
      </c>
      <c r="T2479"/>
      <c r="U2479">
        <f t="shared" ref="U2479:U2497" si="507">IFERROR(R2479*T2479,R2479*0)</f>
        <v>0</v>
      </c>
      <c r="V2479">
        <f t="shared" ref="V2479:V2497" si="508">IF(OR(LEFT(E2479,2)="A_",LEFT(D2479,5)="Total"),R2479+U2479,"")</f>
        <v>2652</v>
      </c>
      <c r="W2479">
        <f t="shared" ref="W2479:W2497" si="509">IF(OR(LEFT(E2479,2)="A_",LEFT(D2479,5)="Total"),V2479-Q2479,"")</f>
        <v>-49.579999999999927</v>
      </c>
      <c r="X2479" t="s">
        <v>1707</v>
      </c>
    </row>
    <row r="2480" spans="1:24" x14ac:dyDescent="0.25">
      <c r="A2480" t="s">
        <v>1948</v>
      </c>
      <c r="B2480" t="s">
        <v>2129</v>
      </c>
      <c r="C2480" t="s">
        <v>2139</v>
      </c>
      <c r="D2480" t="s">
        <v>267</v>
      </c>
      <c r="E2480" t="s">
        <v>17</v>
      </c>
      <c r="F2480" t="s">
        <v>1</v>
      </c>
      <c r="G2480" t="s">
        <v>976</v>
      </c>
      <c r="H2480" t="s">
        <v>417</v>
      </c>
      <c r="I2480" t="s">
        <v>1</v>
      </c>
      <c r="J2480">
        <v>-144.28</v>
      </c>
      <c r="K2480">
        <v>-10</v>
      </c>
      <c r="L2480">
        <v>-52.66</v>
      </c>
      <c r="M2480">
        <v>-106.192817679558</v>
      </c>
      <c r="N2480">
        <v>-195.68</v>
      </c>
      <c r="O2480">
        <v>-105.8986813187</v>
      </c>
      <c r="P2480">
        <v>0</v>
      </c>
      <c r="Q2480">
        <f t="shared" si="505"/>
        <v>-105.8986813187</v>
      </c>
      <c r="R2480">
        <v>-10</v>
      </c>
      <c r="S2480">
        <f t="shared" si="506"/>
        <v>95.8986813187</v>
      </c>
      <c r="T2480"/>
      <c r="U2480">
        <f t="shared" si="507"/>
        <v>0</v>
      </c>
      <c r="V2480">
        <f t="shared" si="508"/>
        <v>-10</v>
      </c>
      <c r="W2480">
        <f t="shared" si="509"/>
        <v>95.8986813187</v>
      </c>
      <c r="X2480">
        <v>0</v>
      </c>
    </row>
    <row r="2481" spans="1:24" x14ac:dyDescent="0.25">
      <c r="A2481" t="s">
        <v>1948</v>
      </c>
      <c r="B2481" t="s">
        <v>2129</v>
      </c>
      <c r="C2481" t="s">
        <v>2139</v>
      </c>
      <c r="D2481" t="s">
        <v>267</v>
      </c>
      <c r="E2481" t="s">
        <v>82</v>
      </c>
      <c r="F2481" t="s">
        <v>1</v>
      </c>
      <c r="G2481" t="s">
        <v>976</v>
      </c>
      <c r="H2481" t="s">
        <v>507</v>
      </c>
      <c r="I2481" t="s">
        <v>1</v>
      </c>
      <c r="J2481">
        <v>22558.14</v>
      </c>
      <c r="K2481">
        <v>24431.023104938398</v>
      </c>
      <c r="L2481">
        <v>14707.03</v>
      </c>
      <c r="M2481">
        <v>29657.822928176796</v>
      </c>
      <c r="N2481">
        <v>25604.61</v>
      </c>
      <c r="O2481">
        <v>29575.675714285699</v>
      </c>
      <c r="P2481">
        <v>0</v>
      </c>
      <c r="Q2481">
        <f t="shared" si="505"/>
        <v>29575.675714285699</v>
      </c>
      <c r="R2481">
        <v>29575.675714285699</v>
      </c>
      <c r="S2481">
        <f t="shared" si="506"/>
        <v>0</v>
      </c>
      <c r="T2481">
        <v>2.75E-2</v>
      </c>
      <c r="U2481">
        <f t="shared" si="507"/>
        <v>813.33108214285676</v>
      </c>
      <c r="V2481">
        <f t="shared" si="508"/>
        <v>30389.006796428555</v>
      </c>
      <c r="W2481">
        <f t="shared" si="509"/>
        <v>813.33108214285676</v>
      </c>
      <c r="X2481">
        <v>0</v>
      </c>
    </row>
    <row r="2482" spans="1:24" x14ac:dyDescent="0.25">
      <c r="A2482" t="s">
        <v>1948</v>
      </c>
      <c r="B2482" t="s">
        <v>2129</v>
      </c>
      <c r="C2482" t="s">
        <v>2139</v>
      </c>
      <c r="D2482" t="s">
        <v>267</v>
      </c>
      <c r="E2482" t="s">
        <v>72</v>
      </c>
      <c r="F2482" t="s">
        <v>1</v>
      </c>
      <c r="G2482" t="s">
        <v>976</v>
      </c>
      <c r="H2482" t="s">
        <v>489</v>
      </c>
      <c r="I2482" t="s">
        <v>1</v>
      </c>
      <c r="J2482">
        <v>9427.98</v>
      </c>
      <c r="K2482">
        <v>8208.6476728395992</v>
      </c>
      <c r="L2482">
        <v>3209.86</v>
      </c>
      <c r="M2482">
        <v>6472.9220994475136</v>
      </c>
      <c r="N2482">
        <v>8560.32</v>
      </c>
      <c r="O2482">
        <v>6454.9931868131998</v>
      </c>
      <c r="P2482">
        <v>0</v>
      </c>
      <c r="Q2482">
        <f t="shared" si="505"/>
        <v>6454.9931868131998</v>
      </c>
      <c r="R2482">
        <v>6454.9931868131998</v>
      </c>
      <c r="S2482">
        <f t="shared" si="506"/>
        <v>0</v>
      </c>
      <c r="T2482">
        <v>2.2499999999999999E-2</v>
      </c>
      <c r="U2482">
        <f t="shared" si="507"/>
        <v>145.23734670329699</v>
      </c>
      <c r="V2482">
        <f t="shared" si="508"/>
        <v>6600.2305335164965</v>
      </c>
      <c r="W2482">
        <f t="shared" si="509"/>
        <v>145.23734670329668</v>
      </c>
      <c r="X2482">
        <v>0</v>
      </c>
    </row>
    <row r="2483" spans="1:24" x14ac:dyDescent="0.25">
      <c r="A2483" t="s">
        <v>1948</v>
      </c>
      <c r="B2483" t="s">
        <v>2129</v>
      </c>
      <c r="C2483" t="s">
        <v>2139</v>
      </c>
      <c r="D2483" t="s">
        <v>267</v>
      </c>
      <c r="E2483" t="s">
        <v>18</v>
      </c>
      <c r="F2483" t="s">
        <v>1</v>
      </c>
      <c r="G2483" t="s">
        <v>976</v>
      </c>
      <c r="H2483" t="s">
        <v>418</v>
      </c>
      <c r="I2483" t="s">
        <v>1</v>
      </c>
      <c r="J2483">
        <v>4534.38</v>
      </c>
      <c r="K2483">
        <v>5584.1097407404995</v>
      </c>
      <c r="L2483">
        <v>406.98</v>
      </c>
      <c r="M2483">
        <v>820.70552486187842</v>
      </c>
      <c r="N2483">
        <v>4491.8499999999995</v>
      </c>
      <c r="O2483">
        <v>818.43230769230001</v>
      </c>
      <c r="P2483">
        <v>0</v>
      </c>
      <c r="Q2483">
        <f t="shared" si="505"/>
        <v>818.43230769230001</v>
      </c>
      <c r="R2483">
        <v>5584.1097407404995</v>
      </c>
      <c r="S2483">
        <f t="shared" si="506"/>
        <v>4765.6774330481994</v>
      </c>
      <c r="T2483">
        <v>0.02</v>
      </c>
      <c r="U2483">
        <f t="shared" si="507"/>
        <v>111.68219481480999</v>
      </c>
      <c r="V2483">
        <f t="shared" si="508"/>
        <v>5695.7919355553095</v>
      </c>
      <c r="W2483">
        <f t="shared" si="509"/>
        <v>4877.3596278630093</v>
      </c>
      <c r="X2483">
        <v>0</v>
      </c>
    </row>
    <row r="2484" spans="1:24" x14ac:dyDescent="0.25">
      <c r="A2484" t="s">
        <v>1948</v>
      </c>
      <c r="B2484" t="s">
        <v>2129</v>
      </c>
      <c r="C2484" t="s">
        <v>2139</v>
      </c>
      <c r="D2484" t="s">
        <v>267</v>
      </c>
      <c r="E2484" t="s">
        <v>57</v>
      </c>
      <c r="F2484" t="s">
        <v>1</v>
      </c>
      <c r="G2484" t="s">
        <v>976</v>
      </c>
      <c r="H2484" t="s">
        <v>462</v>
      </c>
      <c r="I2484" t="s">
        <v>1</v>
      </c>
      <c r="J2484">
        <v>90.01</v>
      </c>
      <c r="K2484"/>
      <c r="L2484">
        <v>68.400000000000006</v>
      </c>
      <c r="M2484">
        <v>137.93370165745858</v>
      </c>
      <c r="N2484">
        <v>86.410000000000011</v>
      </c>
      <c r="O2484">
        <v>137.55164835159999</v>
      </c>
      <c r="P2484">
        <v>0</v>
      </c>
      <c r="Q2484">
        <f t="shared" si="505"/>
        <v>137.55164835159999</v>
      </c>
      <c r="R2484">
        <v>137.55164835159999</v>
      </c>
      <c r="S2484">
        <f t="shared" si="506"/>
        <v>0</v>
      </c>
      <c r="T2484">
        <v>0.04</v>
      </c>
      <c r="U2484">
        <f t="shared" si="507"/>
        <v>5.5020659340639995</v>
      </c>
      <c r="V2484">
        <f t="shared" si="508"/>
        <v>143.053714285664</v>
      </c>
      <c r="W2484">
        <f t="shared" si="509"/>
        <v>5.5020659340640066</v>
      </c>
      <c r="X2484">
        <v>0</v>
      </c>
    </row>
    <row r="2485" spans="1:24" x14ac:dyDescent="0.25">
      <c r="A2485" t="s">
        <v>1948</v>
      </c>
      <c r="B2485" t="s">
        <v>2129</v>
      </c>
      <c r="C2485" t="s">
        <v>2139</v>
      </c>
      <c r="D2485" t="s">
        <v>267</v>
      </c>
      <c r="E2485" t="s">
        <v>20</v>
      </c>
      <c r="F2485" t="s">
        <v>1</v>
      </c>
      <c r="G2485" t="s">
        <v>976</v>
      </c>
      <c r="H2485" t="s">
        <v>420</v>
      </c>
      <c r="I2485" t="s">
        <v>1</v>
      </c>
      <c r="J2485">
        <v>67</v>
      </c>
      <c r="K2485"/>
      <c r="L2485">
        <v>0</v>
      </c>
      <c r="M2485">
        <v>0</v>
      </c>
      <c r="N2485">
        <v>67</v>
      </c>
      <c r="O2485"/>
      <c r="P2485">
        <v>0</v>
      </c>
      <c r="Q2485">
        <f t="shared" si="505"/>
        <v>0</v>
      </c>
      <c r="R2485">
        <v>0</v>
      </c>
      <c r="S2485">
        <f t="shared" si="506"/>
        <v>0</v>
      </c>
      <c r="T2485">
        <v>0.04</v>
      </c>
      <c r="U2485">
        <f t="shared" si="507"/>
        <v>0</v>
      </c>
      <c r="V2485">
        <f t="shared" si="508"/>
        <v>0</v>
      </c>
      <c r="W2485">
        <f t="shared" si="509"/>
        <v>0</v>
      </c>
      <c r="X2485">
        <v>0</v>
      </c>
    </row>
    <row r="2486" spans="1:24" x14ac:dyDescent="0.25">
      <c r="A2486" t="s">
        <v>1948</v>
      </c>
      <c r="B2486" t="s">
        <v>2129</v>
      </c>
      <c r="C2486" t="s">
        <v>2139</v>
      </c>
      <c r="D2486" t="s">
        <v>267</v>
      </c>
      <c r="E2486" t="s">
        <v>21</v>
      </c>
      <c r="F2486" t="s">
        <v>1</v>
      </c>
      <c r="G2486" t="s">
        <v>976</v>
      </c>
      <c r="H2486" t="s">
        <v>421</v>
      </c>
      <c r="I2486" t="s">
        <v>1</v>
      </c>
      <c r="J2486">
        <v>1743.34</v>
      </c>
      <c r="K2486">
        <v>2049.6999999999998</v>
      </c>
      <c r="L2486">
        <v>806.57</v>
      </c>
      <c r="M2486">
        <v>1626.5085635359117</v>
      </c>
      <c r="N2486">
        <v>1557.13</v>
      </c>
      <c r="O2486">
        <v>1626.5085635359001</v>
      </c>
      <c r="P2486">
        <v>0</v>
      </c>
      <c r="Q2486">
        <f t="shared" si="505"/>
        <v>1626.5085635359001</v>
      </c>
      <c r="R2486">
        <v>2049.6999999999998</v>
      </c>
      <c r="S2486">
        <f t="shared" si="506"/>
        <v>423.19143646409975</v>
      </c>
      <c r="T2486">
        <v>0.03</v>
      </c>
      <c r="U2486">
        <f t="shared" si="507"/>
        <v>61.490999999999993</v>
      </c>
      <c r="V2486">
        <f t="shared" si="508"/>
        <v>2111.1909999999998</v>
      </c>
      <c r="W2486">
        <f t="shared" si="509"/>
        <v>484.68243646409974</v>
      </c>
      <c r="X2486">
        <v>0</v>
      </c>
    </row>
    <row r="2487" spans="1:24" x14ac:dyDescent="0.25">
      <c r="A2487" t="s">
        <v>1948</v>
      </c>
      <c r="B2487" t="s">
        <v>2129</v>
      </c>
      <c r="C2487" t="s">
        <v>2139</v>
      </c>
      <c r="D2487" t="s">
        <v>267</v>
      </c>
      <c r="E2487" t="s">
        <v>22</v>
      </c>
      <c r="F2487" t="s">
        <v>1</v>
      </c>
      <c r="G2487" t="s">
        <v>976</v>
      </c>
      <c r="H2487" t="s">
        <v>422</v>
      </c>
      <c r="I2487" t="s">
        <v>1</v>
      </c>
      <c r="J2487">
        <v>3970.57</v>
      </c>
      <c r="K2487">
        <v>5371.65</v>
      </c>
      <c r="L2487">
        <v>984.06</v>
      </c>
      <c r="M2487">
        <v>1984.4303867403312</v>
      </c>
      <c r="N2487">
        <v>2361.0099999999998</v>
      </c>
      <c r="O2487">
        <v>1984.4303867403</v>
      </c>
      <c r="P2487">
        <v>0</v>
      </c>
      <c r="Q2487">
        <f t="shared" si="505"/>
        <v>1984.4303867403</v>
      </c>
      <c r="R2487">
        <v>5371.65</v>
      </c>
      <c r="S2487">
        <f t="shared" si="506"/>
        <v>3387.2196132596996</v>
      </c>
      <c r="T2487">
        <v>3.5000000000000003E-2</v>
      </c>
      <c r="U2487">
        <f t="shared" si="507"/>
        <v>188.00775000000002</v>
      </c>
      <c r="V2487">
        <f t="shared" si="508"/>
        <v>5559.6577499999994</v>
      </c>
      <c r="W2487">
        <f t="shared" si="509"/>
        <v>3575.2273632596994</v>
      </c>
      <c r="X2487">
        <v>0</v>
      </c>
    </row>
    <row r="2488" spans="1:24" x14ac:dyDescent="0.25">
      <c r="A2488" t="s">
        <v>1948</v>
      </c>
      <c r="B2488" t="s">
        <v>2129</v>
      </c>
      <c r="C2488" t="s">
        <v>2139</v>
      </c>
      <c r="D2488" t="s">
        <v>267</v>
      </c>
      <c r="E2488" t="s">
        <v>23</v>
      </c>
      <c r="F2488" t="s">
        <v>1</v>
      </c>
      <c r="G2488" t="s">
        <v>976</v>
      </c>
      <c r="H2488" t="s">
        <v>423</v>
      </c>
      <c r="I2488" t="s">
        <v>1</v>
      </c>
      <c r="J2488">
        <v>248.75</v>
      </c>
      <c r="K2488">
        <v>476.10000000010001</v>
      </c>
      <c r="L2488">
        <v>0</v>
      </c>
      <c r="M2488">
        <v>0</v>
      </c>
      <c r="N2488">
        <v>19.55</v>
      </c>
      <c r="O2488"/>
      <c r="P2488">
        <v>0</v>
      </c>
      <c r="Q2488">
        <f t="shared" si="505"/>
        <v>0</v>
      </c>
      <c r="R2488">
        <v>476.10000000010001</v>
      </c>
      <c r="S2488">
        <f t="shared" si="506"/>
        <v>476.10000000010001</v>
      </c>
      <c r="T2488">
        <v>3.5000000000000003E-2</v>
      </c>
      <c r="U2488">
        <f t="shared" si="507"/>
        <v>16.663500000003502</v>
      </c>
      <c r="V2488">
        <f t="shared" si="508"/>
        <v>492.76350000010353</v>
      </c>
      <c r="W2488">
        <f t="shared" si="509"/>
        <v>492.76350000010353</v>
      </c>
      <c r="X2488">
        <v>0</v>
      </c>
    </row>
    <row r="2489" spans="1:24" x14ac:dyDescent="0.25">
      <c r="A2489" t="s">
        <v>1948</v>
      </c>
      <c r="B2489" t="s">
        <v>2129</v>
      </c>
      <c r="C2489" t="s">
        <v>2139</v>
      </c>
      <c r="D2489" t="s">
        <v>267</v>
      </c>
      <c r="E2489" t="s">
        <v>28</v>
      </c>
      <c r="F2489" t="s">
        <v>1</v>
      </c>
      <c r="G2489" t="s">
        <v>976</v>
      </c>
      <c r="H2489" t="s">
        <v>428</v>
      </c>
      <c r="I2489" t="s">
        <v>1</v>
      </c>
      <c r="J2489">
        <v>2503.39</v>
      </c>
      <c r="K2489">
        <v>4779.9999999995998</v>
      </c>
      <c r="L2489">
        <v>538.13</v>
      </c>
      <c r="M2489">
        <v>1085.1792817679557</v>
      </c>
      <c r="N2489">
        <v>1973.6999999999998</v>
      </c>
      <c r="O2489">
        <v>1076.26</v>
      </c>
      <c r="P2489">
        <v>0</v>
      </c>
      <c r="Q2489">
        <f t="shared" si="505"/>
        <v>1076.26</v>
      </c>
      <c r="R2489">
        <v>1076.26</v>
      </c>
      <c r="S2489">
        <f t="shared" si="506"/>
        <v>0</v>
      </c>
      <c r="T2489"/>
      <c r="U2489">
        <f t="shared" si="507"/>
        <v>0</v>
      </c>
      <c r="V2489">
        <f t="shared" si="508"/>
        <v>1076.26</v>
      </c>
      <c r="W2489">
        <f t="shared" si="509"/>
        <v>0</v>
      </c>
      <c r="X2489">
        <v>0</v>
      </c>
    </row>
    <row r="2490" spans="1:24" x14ac:dyDescent="0.25">
      <c r="A2490" t="s">
        <v>1948</v>
      </c>
      <c r="B2490" t="s">
        <v>2129</v>
      </c>
      <c r="C2490" t="s">
        <v>2139</v>
      </c>
      <c r="D2490" t="s">
        <v>267</v>
      </c>
      <c r="E2490" t="s">
        <v>34</v>
      </c>
      <c r="F2490" t="s">
        <v>1</v>
      </c>
      <c r="G2490" t="s">
        <v>976</v>
      </c>
      <c r="H2490" t="s">
        <v>434</v>
      </c>
      <c r="I2490" t="s">
        <v>1</v>
      </c>
      <c r="J2490"/>
      <c r="K2490">
        <v>98.123836830000002</v>
      </c>
      <c r="L2490">
        <v>0</v>
      </c>
      <c r="M2490">
        <v>0</v>
      </c>
      <c r="N2490">
        <v>0</v>
      </c>
      <c r="O2490"/>
      <c r="P2490">
        <v>0</v>
      </c>
      <c r="Q2490">
        <f t="shared" si="505"/>
        <v>0</v>
      </c>
      <c r="R2490">
        <v>0</v>
      </c>
      <c r="S2490">
        <f t="shared" si="506"/>
        <v>0</v>
      </c>
      <c r="T2490"/>
      <c r="U2490">
        <f t="shared" si="507"/>
        <v>0</v>
      </c>
      <c r="V2490">
        <f t="shared" si="508"/>
        <v>0</v>
      </c>
      <c r="W2490">
        <f t="shared" si="509"/>
        <v>0</v>
      </c>
      <c r="X2490">
        <v>0</v>
      </c>
    </row>
    <row r="2491" spans="1:24" x14ac:dyDescent="0.25">
      <c r="A2491" t="s">
        <v>1948</v>
      </c>
      <c r="B2491" t="s">
        <v>2129</v>
      </c>
      <c r="C2491" t="s">
        <v>2139</v>
      </c>
      <c r="D2491" t="s">
        <v>267</v>
      </c>
      <c r="E2491" t="s">
        <v>37</v>
      </c>
      <c r="F2491" t="s">
        <v>1</v>
      </c>
      <c r="G2491" t="s">
        <v>976</v>
      </c>
      <c r="H2491" t="s">
        <v>437</v>
      </c>
      <c r="I2491" t="s">
        <v>1</v>
      </c>
      <c r="J2491">
        <v>64.69</v>
      </c>
      <c r="K2491"/>
      <c r="L2491">
        <v>0</v>
      </c>
      <c r="M2491">
        <v>0</v>
      </c>
      <c r="N2491">
        <v>64.69</v>
      </c>
      <c r="O2491"/>
      <c r="P2491">
        <v>0</v>
      </c>
      <c r="Q2491">
        <f t="shared" si="505"/>
        <v>0</v>
      </c>
      <c r="R2491">
        <v>0</v>
      </c>
      <c r="S2491">
        <f t="shared" si="506"/>
        <v>0</v>
      </c>
      <c r="T2491"/>
      <c r="U2491">
        <f t="shared" si="507"/>
        <v>0</v>
      </c>
      <c r="V2491">
        <f t="shared" si="508"/>
        <v>0</v>
      </c>
      <c r="W2491">
        <f t="shared" si="509"/>
        <v>0</v>
      </c>
      <c r="X2491">
        <v>0</v>
      </c>
    </row>
    <row r="2492" spans="1:24" x14ac:dyDescent="0.25">
      <c r="A2492" t="s">
        <v>1948</v>
      </c>
      <c r="B2492" t="s">
        <v>2129</v>
      </c>
      <c r="C2492" t="s">
        <v>2139</v>
      </c>
      <c r="D2492" t="s">
        <v>267</v>
      </c>
      <c r="E2492" t="s">
        <v>40</v>
      </c>
      <c r="F2492" t="s">
        <v>1</v>
      </c>
      <c r="G2492" t="s">
        <v>976</v>
      </c>
      <c r="H2492" t="s">
        <v>440</v>
      </c>
      <c r="I2492" t="s">
        <v>1</v>
      </c>
      <c r="J2492">
        <v>6400</v>
      </c>
      <c r="K2492">
        <v>6399.9999999995998</v>
      </c>
      <c r="L2492">
        <v>12800</v>
      </c>
      <c r="M2492">
        <v>25812.154696132598</v>
      </c>
      <c r="N2492">
        <v>19200</v>
      </c>
      <c r="O2492">
        <v>25600</v>
      </c>
      <c r="P2492">
        <v>0</v>
      </c>
      <c r="Q2492">
        <f t="shared" si="505"/>
        <v>25600</v>
      </c>
      <c r="R2492">
        <v>12800</v>
      </c>
      <c r="S2492">
        <f t="shared" si="506"/>
        <v>-12800</v>
      </c>
      <c r="T2492">
        <v>0.03</v>
      </c>
      <c r="U2492">
        <f t="shared" si="507"/>
        <v>384</v>
      </c>
      <c r="V2492">
        <f t="shared" si="508"/>
        <v>13184</v>
      </c>
      <c r="W2492">
        <f t="shared" si="509"/>
        <v>-12416</v>
      </c>
      <c r="X2492" t="s">
        <v>1708</v>
      </c>
    </row>
    <row r="2493" spans="1:24" x14ac:dyDescent="0.25">
      <c r="A2493" t="s">
        <v>1948</v>
      </c>
      <c r="B2493" t="s">
        <v>2129</v>
      </c>
      <c r="C2493" t="s">
        <v>2139</v>
      </c>
      <c r="D2493" t="s">
        <v>267</v>
      </c>
      <c r="E2493" t="s">
        <v>41</v>
      </c>
      <c r="F2493" t="s">
        <v>1</v>
      </c>
      <c r="G2493" t="s">
        <v>976</v>
      </c>
      <c r="H2493" t="s">
        <v>441</v>
      </c>
      <c r="I2493" t="s">
        <v>1</v>
      </c>
      <c r="J2493">
        <v>1122.06</v>
      </c>
      <c r="K2493">
        <v>1113.3180274524</v>
      </c>
      <c r="L2493">
        <v>399.5</v>
      </c>
      <c r="M2493">
        <v>805.62154696132598</v>
      </c>
      <c r="N2493">
        <v>954.80000000000018</v>
      </c>
      <c r="O2493">
        <v>799</v>
      </c>
      <c r="P2493">
        <v>0</v>
      </c>
      <c r="Q2493">
        <f t="shared" si="505"/>
        <v>799</v>
      </c>
      <c r="R2493">
        <v>799</v>
      </c>
      <c r="S2493">
        <f t="shared" si="506"/>
        <v>0</v>
      </c>
      <c r="T2493">
        <v>0.03</v>
      </c>
      <c r="U2493">
        <f t="shared" si="507"/>
        <v>23.97</v>
      </c>
      <c r="V2493">
        <f t="shared" si="508"/>
        <v>822.97</v>
      </c>
      <c r="W2493">
        <f t="shared" si="509"/>
        <v>23.970000000000027</v>
      </c>
      <c r="X2493">
        <v>0</v>
      </c>
    </row>
    <row r="2494" spans="1:24" x14ac:dyDescent="0.25">
      <c r="A2494" t="s">
        <v>1948</v>
      </c>
      <c r="B2494" t="s">
        <v>2129</v>
      </c>
      <c r="C2494" t="s">
        <v>2139</v>
      </c>
      <c r="D2494" t="s">
        <v>267</v>
      </c>
      <c r="E2494" t="s">
        <v>43</v>
      </c>
      <c r="F2494" t="s">
        <v>1</v>
      </c>
      <c r="G2494" t="s">
        <v>976</v>
      </c>
      <c r="H2494" t="s">
        <v>443</v>
      </c>
      <c r="I2494" t="s">
        <v>1</v>
      </c>
      <c r="J2494">
        <v>5465</v>
      </c>
      <c r="K2494"/>
      <c r="L2494">
        <v>-2485</v>
      </c>
      <c r="M2494">
        <v>-5011.1878453038671</v>
      </c>
      <c r="N2494">
        <v>-390</v>
      </c>
      <c r="O2494">
        <v>-4970</v>
      </c>
      <c r="P2494">
        <v>0</v>
      </c>
      <c r="Q2494">
        <f t="shared" si="505"/>
        <v>-4970</v>
      </c>
      <c r="R2494">
        <v>0</v>
      </c>
      <c r="S2494">
        <f t="shared" si="506"/>
        <v>4970</v>
      </c>
      <c r="T2494">
        <v>0.03</v>
      </c>
      <c r="U2494">
        <f t="shared" si="507"/>
        <v>0</v>
      </c>
      <c r="V2494">
        <f t="shared" si="508"/>
        <v>0</v>
      </c>
      <c r="W2494">
        <f t="shared" si="509"/>
        <v>4970</v>
      </c>
      <c r="X2494">
        <v>0</v>
      </c>
    </row>
    <row r="2495" spans="1:24" x14ac:dyDescent="0.25">
      <c r="A2495" t="s">
        <v>1948</v>
      </c>
      <c r="B2495" t="s">
        <v>2129</v>
      </c>
      <c r="C2495" t="s">
        <v>2139</v>
      </c>
      <c r="D2495" t="s">
        <v>267</v>
      </c>
      <c r="E2495" t="s">
        <v>134</v>
      </c>
      <c r="F2495" t="s">
        <v>1</v>
      </c>
      <c r="G2495" t="s">
        <v>976</v>
      </c>
      <c r="H2495" t="s">
        <v>623</v>
      </c>
      <c r="I2495" t="s">
        <v>1</v>
      </c>
      <c r="J2495">
        <v>32.1</v>
      </c>
      <c r="K2495"/>
      <c r="L2495">
        <v>-32.1</v>
      </c>
      <c r="M2495">
        <v>-64.732044198895025</v>
      </c>
      <c r="N2495">
        <v>-32.1</v>
      </c>
      <c r="O2495">
        <v>-64.2</v>
      </c>
      <c r="P2495">
        <v>0</v>
      </c>
      <c r="Q2495">
        <f t="shared" si="505"/>
        <v>-64.2</v>
      </c>
      <c r="R2495">
        <v>0</v>
      </c>
      <c r="S2495">
        <f t="shared" si="506"/>
        <v>64.2</v>
      </c>
      <c r="T2495">
        <v>0.03</v>
      </c>
      <c r="U2495">
        <f t="shared" si="507"/>
        <v>0</v>
      </c>
      <c r="V2495">
        <f t="shared" si="508"/>
        <v>0</v>
      </c>
      <c r="W2495">
        <f t="shared" si="509"/>
        <v>64.2</v>
      </c>
      <c r="X2495">
        <v>0</v>
      </c>
    </row>
    <row r="2496" spans="1:24" x14ac:dyDescent="0.25">
      <c r="A2496" t="s">
        <v>1948</v>
      </c>
      <c r="B2496" t="s">
        <v>2129</v>
      </c>
      <c r="C2496" t="s">
        <v>2139</v>
      </c>
      <c r="D2496" t="s">
        <v>267</v>
      </c>
      <c r="E2496" t="s">
        <v>46</v>
      </c>
      <c r="F2496" t="s">
        <v>1</v>
      </c>
      <c r="G2496" t="s">
        <v>976</v>
      </c>
      <c r="H2496" t="s">
        <v>446</v>
      </c>
      <c r="I2496" t="s">
        <v>1</v>
      </c>
      <c r="J2496">
        <v>2543.5</v>
      </c>
      <c r="K2496"/>
      <c r="L2496">
        <v>0</v>
      </c>
      <c r="M2496">
        <v>0</v>
      </c>
      <c r="N2496">
        <v>0</v>
      </c>
      <c r="O2496"/>
      <c r="P2496">
        <v>0</v>
      </c>
      <c r="Q2496">
        <f t="shared" si="505"/>
        <v>0</v>
      </c>
      <c r="R2496">
        <v>0</v>
      </c>
      <c r="S2496">
        <f t="shared" si="506"/>
        <v>0</v>
      </c>
      <c r="T2496">
        <v>0.03</v>
      </c>
      <c r="U2496">
        <f t="shared" si="507"/>
        <v>0</v>
      </c>
      <c r="V2496">
        <f t="shared" si="508"/>
        <v>0</v>
      </c>
      <c r="W2496">
        <f t="shared" si="509"/>
        <v>0</v>
      </c>
      <c r="X2496">
        <v>0</v>
      </c>
    </row>
    <row r="2497" spans="1:24" x14ac:dyDescent="0.25">
      <c r="A2497" t="s">
        <v>1948</v>
      </c>
      <c r="B2497" t="s">
        <v>2129</v>
      </c>
      <c r="C2497" t="s">
        <v>2139</v>
      </c>
      <c r="D2497" t="s">
        <v>267</v>
      </c>
      <c r="E2497" t="s">
        <v>48</v>
      </c>
      <c r="F2497" t="s">
        <v>1</v>
      </c>
      <c r="G2497" t="s">
        <v>976</v>
      </c>
      <c r="H2497" t="s">
        <v>448</v>
      </c>
      <c r="I2497" t="s">
        <v>1</v>
      </c>
      <c r="J2497">
        <v>511.75</v>
      </c>
      <c r="K2497"/>
      <c r="L2497">
        <v>18.27</v>
      </c>
      <c r="M2497">
        <v>36.84281767955801</v>
      </c>
      <c r="N2497">
        <v>530.02</v>
      </c>
      <c r="O2497">
        <v>36.54</v>
      </c>
      <c r="P2497">
        <v>0</v>
      </c>
      <c r="Q2497">
        <f t="shared" si="505"/>
        <v>36.54</v>
      </c>
      <c r="R2497">
        <v>0</v>
      </c>
      <c r="S2497">
        <f t="shared" si="506"/>
        <v>-36.54</v>
      </c>
      <c r="T2497">
        <v>0.03</v>
      </c>
      <c r="U2497">
        <f t="shared" si="507"/>
        <v>0</v>
      </c>
      <c r="V2497">
        <f t="shared" si="508"/>
        <v>0</v>
      </c>
      <c r="W2497">
        <f t="shared" si="509"/>
        <v>-36.54</v>
      </c>
      <c r="X2497">
        <v>0</v>
      </c>
    </row>
    <row r="2498" spans="1:24" x14ac:dyDescent="0.25">
      <c r="A2498" t="s">
        <v>1948</v>
      </c>
      <c r="B2498" t="s">
        <v>2129</v>
      </c>
      <c r="C2498" t="s">
        <v>2139</v>
      </c>
      <c r="D2498" t="s">
        <v>267</v>
      </c>
      <c r="E2498" t="s">
        <v>51</v>
      </c>
      <c r="F2498" t="s">
        <v>51</v>
      </c>
      <c r="G2498" t="s">
        <v>977</v>
      </c>
      <c r="H2498"/>
      <c r="I2498"/>
      <c r="J2498">
        <v>65112.329999999987</v>
      </c>
      <c r="K2498">
        <v>64128.662382800198</v>
      </c>
      <c r="L2498">
        <v>32719.830000000005</v>
      </c>
      <c r="M2498">
        <v>65981.97762430938</v>
      </c>
      <c r="N2498">
        <v>67617.010000000009</v>
      </c>
      <c r="O2498">
        <v>65670.873126100298</v>
      </c>
      <c r="P2498">
        <f>SUMIF($F$2478:$F$2497,"&lt;&gt;EV_*",$P$2478:$P$2497)</f>
        <v>0</v>
      </c>
      <c r="Q2498">
        <f>SUMIF($F$2478:$F$2497,"&lt;&gt;EV_*",$Q$2478:$Q$2497)</f>
        <v>65670.873126100298</v>
      </c>
      <c r="R2498">
        <f>SUMIF($F$2478:$F$2497,"&lt;&gt;EV_*",$R$2478:$R$2497)</f>
        <v>66967.0402901911</v>
      </c>
      <c r="S2498">
        <f>SUMIF($F$2478:$F$2497,"&lt;&gt;EV_*",$S$2478:$S$2497)</f>
        <v>1296.1671640907991</v>
      </c>
      <c r="T2498">
        <v>0</v>
      </c>
      <c r="U2498">
        <f>SUMIF($F$2478:$F$2497,"&lt;&gt;EV_*",$U$2478:$U$2497)</f>
        <v>1749.8849395950313</v>
      </c>
      <c r="V2498">
        <f>SUMIF($F$2478:$F$2497,"&lt;&gt;EV_*",$V$2478:$V$2497)</f>
        <v>68716.925229786139</v>
      </c>
      <c r="W2498">
        <f>SUMIF($F$2478:$F$2497,"&lt;&gt;EV_*",$W$2478:$W$2497)</f>
        <v>3046.052103685829</v>
      </c>
      <c r="X2498">
        <f>SUMIF($F$2478:$F$2497,"&lt;&gt;EV_*",$X$2478:$X$2497)</f>
        <v>0</v>
      </c>
    </row>
    <row r="2499" spans="1:24" x14ac:dyDescent="0.25">
      <c r="A2499" t="s">
        <v>1968</v>
      </c>
      <c r="B2499" t="s">
        <v>2140</v>
      </c>
      <c r="C2499" t="s">
        <v>2141</v>
      </c>
      <c r="D2499" t="s">
        <v>268</v>
      </c>
      <c r="E2499" t="s">
        <v>5</v>
      </c>
      <c r="F2499" t="s">
        <v>5</v>
      </c>
      <c r="G2499" t="s">
        <v>978</v>
      </c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</row>
    <row r="2500" spans="1:24" x14ac:dyDescent="0.25">
      <c r="A2500" t="s">
        <v>1968</v>
      </c>
      <c r="B2500" t="s">
        <v>2140</v>
      </c>
      <c r="C2500" t="s">
        <v>2141</v>
      </c>
      <c r="D2500" t="s">
        <v>268</v>
      </c>
      <c r="E2500" t="s">
        <v>11</v>
      </c>
      <c r="F2500" t="s">
        <v>1</v>
      </c>
      <c r="G2500" t="s">
        <v>979</v>
      </c>
      <c r="H2500" t="s">
        <v>411</v>
      </c>
      <c r="I2500" t="s">
        <v>1</v>
      </c>
      <c r="J2500">
        <v>471.18</v>
      </c>
      <c r="K2500"/>
      <c r="L2500">
        <v>701.9</v>
      </c>
      <c r="M2500">
        <v>1415.4337016574586</v>
      </c>
      <c r="N2500">
        <v>1173.08</v>
      </c>
      <c r="O2500">
        <v>1403.8</v>
      </c>
      <c r="P2500">
        <v>0</v>
      </c>
      <c r="Q2500">
        <f>O2500+P2500</f>
        <v>1403.8</v>
      </c>
      <c r="R2500">
        <v>0</v>
      </c>
      <c r="S2500">
        <f>IF(OR(LEFT(E2500,2)="A_",LEFT(D2500,5)="Total"),R2500-Q2500,"")</f>
        <v>-1403.8</v>
      </c>
      <c r="T2500"/>
      <c r="U2500">
        <f>IFERROR(R2500*T2500,R2500*0)</f>
        <v>0</v>
      </c>
      <c r="V2500">
        <f>IF(OR(LEFT(E2500,2)="A_",LEFT(D2500,5)="Total"),R2500+U2500,"")</f>
        <v>0</v>
      </c>
      <c r="W2500">
        <f>IF(OR(LEFT(E2500,2)="A_",LEFT(D2500,5)="Total"),V2500-Q2500,"")</f>
        <v>-1403.8</v>
      </c>
      <c r="X2500">
        <v>0</v>
      </c>
    </row>
    <row r="2501" spans="1:24" x14ac:dyDescent="0.25">
      <c r="A2501" t="s">
        <v>1968</v>
      </c>
      <c r="B2501" t="s">
        <v>2140</v>
      </c>
      <c r="C2501" t="s">
        <v>2141</v>
      </c>
      <c r="D2501" t="s">
        <v>268</v>
      </c>
      <c r="E2501" t="s">
        <v>50</v>
      </c>
      <c r="F2501" t="s">
        <v>1</v>
      </c>
      <c r="G2501" t="s">
        <v>979</v>
      </c>
      <c r="H2501" t="s">
        <v>450</v>
      </c>
      <c r="I2501" t="s">
        <v>1</v>
      </c>
      <c r="J2501">
        <v>720.82</v>
      </c>
      <c r="K2501">
        <v>690</v>
      </c>
      <c r="L2501">
        <v>193.46</v>
      </c>
      <c r="M2501">
        <v>390.12651933701659</v>
      </c>
      <c r="N2501">
        <v>586.62</v>
      </c>
      <c r="O2501">
        <v>390.12651933699999</v>
      </c>
      <c r="P2501">
        <v>0</v>
      </c>
      <c r="Q2501">
        <f>O2501+P2501</f>
        <v>390.12651933699999</v>
      </c>
      <c r="R2501">
        <v>0</v>
      </c>
      <c r="S2501">
        <f>IF(OR(LEFT(E2501,2)="A_",LEFT(D2501,5)="Total"),R2501-Q2501,"")</f>
        <v>-390.12651933699999</v>
      </c>
      <c r="T2501"/>
      <c r="U2501">
        <f>IFERROR(R2501*T2501,R2501*0)</f>
        <v>0</v>
      </c>
      <c r="V2501">
        <f>IF(OR(LEFT(E2501,2)="A_",LEFT(D2501,5)="Total"),R2501+U2501,"")</f>
        <v>0</v>
      </c>
      <c r="W2501">
        <f>IF(OR(LEFT(E2501,2)="A_",LEFT(D2501,5)="Total"),V2501-Q2501,"")</f>
        <v>-390.12651933699999</v>
      </c>
      <c r="X2501">
        <v>0</v>
      </c>
    </row>
    <row r="2502" spans="1:24" x14ac:dyDescent="0.25">
      <c r="A2502" t="s">
        <v>1968</v>
      </c>
      <c r="B2502" t="s">
        <v>2140</v>
      </c>
      <c r="C2502" t="s">
        <v>2141</v>
      </c>
      <c r="D2502" t="s">
        <v>268</v>
      </c>
      <c r="E2502" t="s">
        <v>51</v>
      </c>
      <c r="F2502" t="s">
        <v>51</v>
      </c>
      <c r="G2502" t="s">
        <v>980</v>
      </c>
      <c r="H2502"/>
      <c r="I2502"/>
      <c r="J2502">
        <v>1192</v>
      </c>
      <c r="K2502">
        <v>690</v>
      </c>
      <c r="L2502">
        <v>895.36</v>
      </c>
      <c r="M2502">
        <v>1805.5602209944752</v>
      </c>
      <c r="N2502">
        <v>1759.6999999999998</v>
      </c>
      <c r="O2502">
        <v>1793.9265193369999</v>
      </c>
      <c r="P2502">
        <f>SUMIF($F$2499:$F$2501,"&lt;&gt;EV_*",$P$2499:$P$2501)</f>
        <v>0</v>
      </c>
      <c r="Q2502">
        <f>SUMIF($F$2499:$F$2501,"&lt;&gt;EV_*",$Q$2499:$Q$2501)</f>
        <v>1793.9265193369999</v>
      </c>
      <c r="R2502">
        <f>SUMIF($F$2499:$F$2501,"&lt;&gt;EV_*",$R$2499:$R$2501)</f>
        <v>0</v>
      </c>
      <c r="S2502">
        <f>SUMIF($F$2499:$F$2501,"&lt;&gt;EV_*",$S$2499:$S$2501)</f>
        <v>-1793.9265193369999</v>
      </c>
      <c r="T2502">
        <v>0</v>
      </c>
      <c r="U2502">
        <f>SUMIF($F$2499:$F$2501,"&lt;&gt;EV_*",$U$2499:$U$2501)</f>
        <v>0</v>
      </c>
      <c r="V2502">
        <f>SUMIF($F$2499:$F$2501,"&lt;&gt;EV_*",$V$2499:$V$2501)</f>
        <v>0</v>
      </c>
      <c r="W2502">
        <f>SUMIF($F$2499:$F$2501,"&lt;&gt;EV_*",$W$2499:$W$2501)</f>
        <v>-1793.9265193369999</v>
      </c>
      <c r="X2502">
        <f>SUMIF($F$2499:$F$2501,"&lt;&gt;EV_*",$X$2499:$X$2501)</f>
        <v>0</v>
      </c>
    </row>
    <row r="2503" spans="1:24" x14ac:dyDescent="0.25">
      <c r="A2503" t="s">
        <v>1968</v>
      </c>
      <c r="B2503" t="s">
        <v>2142</v>
      </c>
      <c r="C2503" t="s">
        <v>2143</v>
      </c>
      <c r="D2503" t="s">
        <v>269</v>
      </c>
      <c r="E2503" t="s">
        <v>5</v>
      </c>
      <c r="F2503" t="s">
        <v>5</v>
      </c>
      <c r="G2503" t="s">
        <v>981</v>
      </c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</row>
    <row r="2504" spans="1:24" x14ac:dyDescent="0.25">
      <c r="A2504" t="s">
        <v>1968</v>
      </c>
      <c r="B2504" t="s">
        <v>2142</v>
      </c>
      <c r="C2504" t="s">
        <v>2143</v>
      </c>
      <c r="D2504" t="s">
        <v>269</v>
      </c>
      <c r="E2504" t="s">
        <v>6</v>
      </c>
      <c r="F2504" t="s">
        <v>1</v>
      </c>
      <c r="G2504" t="s">
        <v>982</v>
      </c>
      <c r="H2504" t="s">
        <v>406</v>
      </c>
      <c r="I2504" t="s">
        <v>1</v>
      </c>
      <c r="J2504"/>
      <c r="K2504"/>
      <c r="L2504">
        <v>2163</v>
      </c>
      <c r="M2504">
        <v>4361.8508287292816</v>
      </c>
      <c r="N2504">
        <v>2163</v>
      </c>
      <c r="O2504">
        <v>4326</v>
      </c>
      <c r="P2504">
        <v>0</v>
      </c>
      <c r="Q2504">
        <f t="shared" ref="Q2504:Q2535" si="510">O2504+P2504</f>
        <v>4326</v>
      </c>
      <c r="R2504">
        <v>0</v>
      </c>
      <c r="S2504">
        <f t="shared" ref="S2504:S2535" si="511">IF(OR(LEFT(E2504,2)="A_",LEFT(D2504,5)="Total"),R2504-Q2504,"")</f>
        <v>-4326</v>
      </c>
      <c r="T2504"/>
      <c r="U2504">
        <f t="shared" ref="U2504:U2535" si="512">IFERROR(R2504*T2504,R2504*0)</f>
        <v>0</v>
      </c>
      <c r="V2504">
        <f t="shared" ref="V2504:V2535" si="513">IF(OR(LEFT(E2504,2)="A_",LEFT(D2504,5)="Total"),R2504+U2504,"")</f>
        <v>0</v>
      </c>
      <c r="W2504">
        <f t="shared" ref="W2504:W2535" si="514">IF(OR(LEFT(E2504,2)="A_",LEFT(D2504,5)="Total"),V2504-Q2504,"")</f>
        <v>-4326</v>
      </c>
      <c r="X2504">
        <v>0</v>
      </c>
    </row>
    <row r="2505" spans="1:24" x14ac:dyDescent="0.25">
      <c r="A2505" t="s">
        <v>1968</v>
      </c>
      <c r="B2505" t="s">
        <v>2142</v>
      </c>
      <c r="C2505" t="s">
        <v>2143</v>
      </c>
      <c r="D2505" t="s">
        <v>269</v>
      </c>
      <c r="E2505" t="s">
        <v>124</v>
      </c>
      <c r="F2505" t="s">
        <v>1</v>
      </c>
      <c r="G2505" t="s">
        <v>982</v>
      </c>
      <c r="H2505" t="s">
        <v>597</v>
      </c>
      <c r="I2505" t="s">
        <v>1</v>
      </c>
      <c r="J2505"/>
      <c r="K2505"/>
      <c r="L2505">
        <v>119522.27</v>
      </c>
      <c r="M2505">
        <v>241025.57209944754</v>
      </c>
      <c r="N2505">
        <v>119522.27</v>
      </c>
      <c r="O2505">
        <v>239044.54</v>
      </c>
      <c r="P2505">
        <v>0</v>
      </c>
      <c r="Q2505">
        <f t="shared" si="510"/>
        <v>239044.54</v>
      </c>
      <c r="R2505">
        <v>0</v>
      </c>
      <c r="S2505">
        <f t="shared" si="511"/>
        <v>-239044.54</v>
      </c>
      <c r="T2505"/>
      <c r="U2505">
        <f t="shared" si="512"/>
        <v>0</v>
      </c>
      <c r="V2505">
        <f t="shared" si="513"/>
        <v>0</v>
      </c>
      <c r="W2505">
        <f t="shared" si="514"/>
        <v>-239044.54</v>
      </c>
      <c r="X2505">
        <v>0</v>
      </c>
    </row>
    <row r="2506" spans="1:24" x14ac:dyDescent="0.25">
      <c r="A2506" t="s">
        <v>1968</v>
      </c>
      <c r="B2506" t="s">
        <v>2142</v>
      </c>
      <c r="C2506" t="s">
        <v>2143</v>
      </c>
      <c r="D2506" t="s">
        <v>269</v>
      </c>
      <c r="E2506" t="s">
        <v>8</v>
      </c>
      <c r="F2506" t="s">
        <v>1</v>
      </c>
      <c r="G2506" t="s">
        <v>982</v>
      </c>
      <c r="H2506" t="s">
        <v>408</v>
      </c>
      <c r="I2506" t="s">
        <v>1</v>
      </c>
      <c r="J2506">
        <v>189018.13</v>
      </c>
      <c r="K2506">
        <v>262070.98812154701</v>
      </c>
      <c r="L2506">
        <v>52144.13</v>
      </c>
      <c r="M2506">
        <v>105152.5273480663</v>
      </c>
      <c r="N2506">
        <v>111203.77</v>
      </c>
      <c r="O2506">
        <v>105152.527348066</v>
      </c>
      <c r="P2506">
        <v>0</v>
      </c>
      <c r="Q2506">
        <f t="shared" si="510"/>
        <v>105152.527348066</v>
      </c>
      <c r="R2506">
        <v>105152.527348066</v>
      </c>
      <c r="S2506">
        <f t="shared" si="511"/>
        <v>0</v>
      </c>
      <c r="T2506"/>
      <c r="U2506">
        <f t="shared" si="512"/>
        <v>0</v>
      </c>
      <c r="V2506">
        <f t="shared" si="513"/>
        <v>105152.527348066</v>
      </c>
      <c r="W2506">
        <f t="shared" si="514"/>
        <v>0</v>
      </c>
      <c r="X2506" t="s">
        <v>1709</v>
      </c>
    </row>
    <row r="2507" spans="1:24" x14ac:dyDescent="0.25">
      <c r="A2507" t="s">
        <v>1968</v>
      </c>
      <c r="B2507" t="s">
        <v>2142</v>
      </c>
      <c r="C2507" t="s">
        <v>2143</v>
      </c>
      <c r="D2507" t="s">
        <v>269</v>
      </c>
      <c r="E2507" t="s">
        <v>10</v>
      </c>
      <c r="F2507" t="s">
        <v>1</v>
      </c>
      <c r="G2507" t="s">
        <v>982</v>
      </c>
      <c r="H2507" t="s">
        <v>410</v>
      </c>
      <c r="I2507" t="s">
        <v>1</v>
      </c>
      <c r="J2507">
        <v>511227.56</v>
      </c>
      <c r="K2507">
        <v>524009</v>
      </c>
      <c r="L2507">
        <v>327832.23</v>
      </c>
      <c r="M2507">
        <v>661098.14337016572</v>
      </c>
      <c r="N2507">
        <v>564836.51</v>
      </c>
      <c r="O2507">
        <v>655664.46</v>
      </c>
      <c r="P2507">
        <v>0</v>
      </c>
      <c r="Q2507">
        <f t="shared" si="510"/>
        <v>655664.46</v>
      </c>
      <c r="R2507">
        <v>1081368</v>
      </c>
      <c r="S2507">
        <f t="shared" si="511"/>
        <v>425703.54000000004</v>
      </c>
      <c r="T2507"/>
      <c r="U2507">
        <f t="shared" si="512"/>
        <v>0</v>
      </c>
      <c r="V2507">
        <f t="shared" si="513"/>
        <v>1081368</v>
      </c>
      <c r="W2507">
        <f t="shared" si="514"/>
        <v>425703.54000000004</v>
      </c>
      <c r="X2507" t="s">
        <v>1710</v>
      </c>
    </row>
    <row r="2508" spans="1:24" x14ac:dyDescent="0.25">
      <c r="A2508" t="s">
        <v>1968</v>
      </c>
      <c r="B2508" t="s">
        <v>2142</v>
      </c>
      <c r="C2508" t="s">
        <v>2143</v>
      </c>
      <c r="D2508" t="s">
        <v>269</v>
      </c>
      <c r="E2508" t="s">
        <v>11</v>
      </c>
      <c r="F2508" t="s">
        <v>1</v>
      </c>
      <c r="G2508" t="s">
        <v>982</v>
      </c>
      <c r="H2508" t="s">
        <v>411</v>
      </c>
      <c r="I2508" t="s">
        <v>1</v>
      </c>
      <c r="J2508">
        <v>4797.59</v>
      </c>
      <c r="K2508">
        <v>6220.9599999995999</v>
      </c>
      <c r="L2508">
        <v>1495.04</v>
      </c>
      <c r="M2508">
        <v>3014.8596685082871</v>
      </c>
      <c r="N2508">
        <v>2946</v>
      </c>
      <c r="O2508">
        <v>2990.08</v>
      </c>
      <c r="P2508">
        <v>0</v>
      </c>
      <c r="Q2508">
        <f t="shared" si="510"/>
        <v>2990.08</v>
      </c>
      <c r="R2508">
        <v>2990.08</v>
      </c>
      <c r="S2508">
        <f t="shared" si="511"/>
        <v>0</v>
      </c>
      <c r="T2508"/>
      <c r="U2508">
        <f t="shared" si="512"/>
        <v>0</v>
      </c>
      <c r="V2508">
        <f t="shared" si="513"/>
        <v>2990.08</v>
      </c>
      <c r="W2508">
        <f t="shared" si="514"/>
        <v>0</v>
      </c>
      <c r="X2508">
        <v>0</v>
      </c>
    </row>
    <row r="2509" spans="1:24" x14ac:dyDescent="0.25">
      <c r="A2509" t="s">
        <v>1968</v>
      </c>
      <c r="B2509" t="s">
        <v>2142</v>
      </c>
      <c r="C2509" t="s">
        <v>2143</v>
      </c>
      <c r="D2509" t="s">
        <v>269</v>
      </c>
      <c r="E2509" t="s">
        <v>270</v>
      </c>
      <c r="F2509" t="s">
        <v>1</v>
      </c>
      <c r="G2509" t="s">
        <v>982</v>
      </c>
      <c r="H2509" t="s">
        <v>983</v>
      </c>
      <c r="I2509" t="s">
        <v>1</v>
      </c>
      <c r="J2509">
        <v>1788745</v>
      </c>
      <c r="K2509">
        <v>1517743</v>
      </c>
      <c r="L2509">
        <v>894166</v>
      </c>
      <c r="M2509">
        <v>1803152.4309392266</v>
      </c>
      <c r="N2509">
        <v>1782911</v>
      </c>
      <c r="O2509">
        <v>1788332</v>
      </c>
      <c r="P2509">
        <v>0</v>
      </c>
      <c r="Q2509">
        <f t="shared" si="510"/>
        <v>1788332</v>
      </c>
      <c r="R2509">
        <v>1788332</v>
      </c>
      <c r="S2509">
        <f t="shared" si="511"/>
        <v>0</v>
      </c>
      <c r="T2509"/>
      <c r="U2509">
        <f t="shared" si="512"/>
        <v>0</v>
      </c>
      <c r="V2509">
        <f t="shared" si="513"/>
        <v>1788332</v>
      </c>
      <c r="W2509">
        <f t="shared" si="514"/>
        <v>0</v>
      </c>
      <c r="X2509">
        <v>0</v>
      </c>
    </row>
    <row r="2510" spans="1:24" x14ac:dyDescent="0.25">
      <c r="A2510" t="s">
        <v>1968</v>
      </c>
      <c r="B2510" t="s">
        <v>2142</v>
      </c>
      <c r="C2510" t="s">
        <v>2143</v>
      </c>
      <c r="D2510" t="s">
        <v>269</v>
      </c>
      <c r="E2510" t="s">
        <v>12</v>
      </c>
      <c r="F2510" t="s">
        <v>1</v>
      </c>
      <c r="G2510" t="s">
        <v>982</v>
      </c>
      <c r="H2510" t="s">
        <v>412</v>
      </c>
      <c r="I2510" t="s">
        <v>1</v>
      </c>
      <c r="J2510">
        <v>540.22</v>
      </c>
      <c r="K2510"/>
      <c r="L2510">
        <v>577.20000000000005</v>
      </c>
      <c r="M2510">
        <v>1163.9668508287295</v>
      </c>
      <c r="N2510">
        <v>1117.42</v>
      </c>
      <c r="O2510">
        <v>1154.4000000000001</v>
      </c>
      <c r="P2510">
        <v>0</v>
      </c>
      <c r="Q2510">
        <f t="shared" si="510"/>
        <v>1154.4000000000001</v>
      </c>
      <c r="R2510">
        <v>577.20000000000005</v>
      </c>
      <c r="S2510">
        <f t="shared" si="511"/>
        <v>-577.20000000000005</v>
      </c>
      <c r="T2510"/>
      <c r="U2510">
        <f t="shared" si="512"/>
        <v>0</v>
      </c>
      <c r="V2510">
        <f t="shared" si="513"/>
        <v>577.20000000000005</v>
      </c>
      <c r="W2510">
        <f t="shared" si="514"/>
        <v>-577.20000000000005</v>
      </c>
      <c r="X2510" t="s">
        <v>1711</v>
      </c>
    </row>
    <row r="2511" spans="1:24" x14ac:dyDescent="0.25">
      <c r="A2511" t="s">
        <v>1968</v>
      </c>
      <c r="B2511" t="s">
        <v>2142</v>
      </c>
      <c r="C2511" t="s">
        <v>2143</v>
      </c>
      <c r="D2511" t="s">
        <v>269</v>
      </c>
      <c r="E2511" t="s">
        <v>271</v>
      </c>
      <c r="F2511" t="s">
        <v>1</v>
      </c>
      <c r="G2511" t="s">
        <v>982</v>
      </c>
      <c r="H2511" t="s">
        <v>984</v>
      </c>
      <c r="I2511" t="s">
        <v>1</v>
      </c>
      <c r="J2511">
        <v>148210</v>
      </c>
      <c r="K2511">
        <v>137439</v>
      </c>
      <c r="L2511">
        <v>60893</v>
      </c>
      <c r="M2511">
        <v>122795.27624309392</v>
      </c>
      <c r="N2511">
        <v>154511</v>
      </c>
      <c r="O2511">
        <v>121786</v>
      </c>
      <c r="P2511">
        <v>0</v>
      </c>
      <c r="Q2511">
        <f t="shared" si="510"/>
        <v>121786</v>
      </c>
      <c r="R2511">
        <v>121786</v>
      </c>
      <c r="S2511">
        <f t="shared" si="511"/>
        <v>0</v>
      </c>
      <c r="T2511"/>
      <c r="U2511">
        <f t="shared" si="512"/>
        <v>0</v>
      </c>
      <c r="V2511">
        <f t="shared" si="513"/>
        <v>121786</v>
      </c>
      <c r="W2511">
        <f t="shared" si="514"/>
        <v>0</v>
      </c>
      <c r="X2511" t="s">
        <v>1712</v>
      </c>
    </row>
    <row r="2512" spans="1:24" x14ac:dyDescent="0.25">
      <c r="A2512" t="s">
        <v>1968</v>
      </c>
      <c r="B2512" t="s">
        <v>2142</v>
      </c>
      <c r="C2512" t="s">
        <v>2143</v>
      </c>
      <c r="D2512" t="s">
        <v>269</v>
      </c>
      <c r="E2512" t="s">
        <v>65</v>
      </c>
      <c r="F2512" t="s">
        <v>1</v>
      </c>
      <c r="G2512" t="s">
        <v>982</v>
      </c>
      <c r="H2512" t="s">
        <v>476</v>
      </c>
      <c r="I2512" t="s">
        <v>1</v>
      </c>
      <c r="J2512">
        <v>-17512.68</v>
      </c>
      <c r="K2512">
        <v>-19835.14</v>
      </c>
      <c r="L2512">
        <v>-10219.15</v>
      </c>
      <c r="M2512">
        <v>-20607.67817679558</v>
      </c>
      <c r="N2512">
        <v>-15169.909999999998</v>
      </c>
      <c r="O2512">
        <v>-20550.598351648401</v>
      </c>
      <c r="P2512">
        <v>0</v>
      </c>
      <c r="Q2512">
        <f t="shared" si="510"/>
        <v>-20550.598351648401</v>
      </c>
      <c r="R2512">
        <v>-20550.598351648401</v>
      </c>
      <c r="S2512">
        <f t="shared" si="511"/>
        <v>0</v>
      </c>
      <c r="T2512"/>
      <c r="U2512">
        <f t="shared" si="512"/>
        <v>0</v>
      </c>
      <c r="V2512">
        <f t="shared" si="513"/>
        <v>-20550.598351648401</v>
      </c>
      <c r="W2512">
        <f t="shared" si="514"/>
        <v>0</v>
      </c>
      <c r="X2512">
        <v>0</v>
      </c>
    </row>
    <row r="2513" spans="1:24" x14ac:dyDescent="0.25">
      <c r="A2513" t="s">
        <v>1968</v>
      </c>
      <c r="B2513" t="s">
        <v>2142</v>
      </c>
      <c r="C2513" t="s">
        <v>2143</v>
      </c>
      <c r="D2513" t="s">
        <v>269</v>
      </c>
      <c r="E2513" t="s">
        <v>17</v>
      </c>
      <c r="F2513" t="s">
        <v>1</v>
      </c>
      <c r="G2513" t="s">
        <v>982</v>
      </c>
      <c r="H2513" t="s">
        <v>417</v>
      </c>
      <c r="I2513" t="s">
        <v>1</v>
      </c>
      <c r="J2513">
        <v>-2173454.5299999998</v>
      </c>
      <c r="K2513">
        <v>-3091985</v>
      </c>
      <c r="L2513">
        <v>-1545925.64</v>
      </c>
      <c r="M2513">
        <v>-3117474.3569060774</v>
      </c>
      <c r="N2513">
        <v>-2423380.71</v>
      </c>
      <c r="O2513">
        <v>-3108839.4738461501</v>
      </c>
      <c r="P2513">
        <v>0</v>
      </c>
      <c r="Q2513">
        <f t="shared" si="510"/>
        <v>-3108839.4738461501</v>
      </c>
      <c r="R2513">
        <v>-3108839.4738461501</v>
      </c>
      <c r="S2513">
        <f t="shared" si="511"/>
        <v>0</v>
      </c>
      <c r="T2513"/>
      <c r="U2513">
        <f t="shared" si="512"/>
        <v>0</v>
      </c>
      <c r="V2513">
        <f t="shared" si="513"/>
        <v>-3108839.4738461501</v>
      </c>
      <c r="W2513">
        <f t="shared" si="514"/>
        <v>0</v>
      </c>
      <c r="X2513">
        <v>0</v>
      </c>
    </row>
    <row r="2514" spans="1:24" x14ac:dyDescent="0.25">
      <c r="A2514" t="s">
        <v>1968</v>
      </c>
      <c r="B2514" t="s">
        <v>2142</v>
      </c>
      <c r="C2514" t="s">
        <v>2143</v>
      </c>
      <c r="D2514" t="s">
        <v>269</v>
      </c>
      <c r="E2514" t="s">
        <v>82</v>
      </c>
      <c r="F2514" t="s">
        <v>1</v>
      </c>
      <c r="G2514" t="s">
        <v>982</v>
      </c>
      <c r="H2514" t="s">
        <v>507</v>
      </c>
      <c r="I2514" t="s">
        <v>1</v>
      </c>
      <c r="J2514">
        <v>30405.96</v>
      </c>
      <c r="K2514">
        <v>31046.962410493699</v>
      </c>
      <c r="L2514">
        <v>17229.14</v>
      </c>
      <c r="M2514">
        <v>34743.84585635359</v>
      </c>
      <c r="N2514">
        <v>33232</v>
      </c>
      <c r="O2514">
        <v>34647.611208791197</v>
      </c>
      <c r="P2514">
        <v>0</v>
      </c>
      <c r="Q2514">
        <f t="shared" si="510"/>
        <v>34647.611208791197</v>
      </c>
      <c r="R2514">
        <v>34647.611208791197</v>
      </c>
      <c r="S2514">
        <f t="shared" si="511"/>
        <v>0</v>
      </c>
      <c r="T2514">
        <v>2.75E-2</v>
      </c>
      <c r="U2514">
        <f t="shared" si="512"/>
        <v>952.80930824175789</v>
      </c>
      <c r="V2514">
        <f t="shared" si="513"/>
        <v>35600.420517032951</v>
      </c>
      <c r="W2514">
        <f t="shared" si="514"/>
        <v>952.80930824175448</v>
      </c>
      <c r="X2514">
        <v>0</v>
      </c>
    </row>
    <row r="2515" spans="1:24" x14ac:dyDescent="0.25">
      <c r="A2515" t="s">
        <v>1968</v>
      </c>
      <c r="B2515" t="s">
        <v>2142</v>
      </c>
      <c r="C2515" t="s">
        <v>2143</v>
      </c>
      <c r="D2515" t="s">
        <v>269</v>
      </c>
      <c r="E2515" t="s">
        <v>72</v>
      </c>
      <c r="F2515" t="s">
        <v>1</v>
      </c>
      <c r="G2515" t="s">
        <v>982</v>
      </c>
      <c r="H2515" t="s">
        <v>489</v>
      </c>
      <c r="I2515" t="s">
        <v>1</v>
      </c>
      <c r="J2515">
        <v>59270.09</v>
      </c>
      <c r="K2515">
        <v>59064.430045377798</v>
      </c>
      <c r="L2515">
        <v>41525.660000000003</v>
      </c>
      <c r="M2515">
        <v>83739.590607734805</v>
      </c>
      <c r="N2515">
        <v>71794.52</v>
      </c>
      <c r="O2515">
        <v>83507.645934065993</v>
      </c>
      <c r="P2515">
        <v>0</v>
      </c>
      <c r="Q2515">
        <f t="shared" si="510"/>
        <v>83507.645934065993</v>
      </c>
      <c r="R2515">
        <v>83507.645934065993</v>
      </c>
      <c r="S2515">
        <f t="shared" si="511"/>
        <v>0</v>
      </c>
      <c r="T2515">
        <v>2.2499999999999999E-2</v>
      </c>
      <c r="U2515">
        <f t="shared" si="512"/>
        <v>1878.9220335164848</v>
      </c>
      <c r="V2515">
        <f t="shared" si="513"/>
        <v>85386.567967582479</v>
      </c>
      <c r="W2515">
        <f t="shared" si="514"/>
        <v>1878.9220335164864</v>
      </c>
      <c r="X2515">
        <v>0</v>
      </c>
    </row>
    <row r="2516" spans="1:24" x14ac:dyDescent="0.25">
      <c r="A2516" t="s">
        <v>1968</v>
      </c>
      <c r="B2516" t="s">
        <v>2142</v>
      </c>
      <c r="C2516" t="s">
        <v>2143</v>
      </c>
      <c r="D2516" t="s">
        <v>269</v>
      </c>
      <c r="E2516" t="s">
        <v>196</v>
      </c>
      <c r="F2516" t="s">
        <v>1</v>
      </c>
      <c r="G2516" t="s">
        <v>982</v>
      </c>
      <c r="H2516" t="s">
        <v>785</v>
      </c>
      <c r="I2516" t="s">
        <v>1</v>
      </c>
      <c r="J2516">
        <v>13808796.52</v>
      </c>
      <c r="K2516">
        <v>13960790.3489509</v>
      </c>
      <c r="L2516">
        <v>6322852.4500000002</v>
      </c>
      <c r="M2516">
        <v>12750503.559392266</v>
      </c>
      <c r="N2516">
        <v>13213315.739999998</v>
      </c>
      <c r="O2516">
        <v>12715186.7950549</v>
      </c>
      <c r="P2516">
        <v>0</v>
      </c>
      <c r="Q2516">
        <f t="shared" si="510"/>
        <v>12715186.7950549</v>
      </c>
      <c r="R2516">
        <v>12715186.7950549</v>
      </c>
      <c r="S2516">
        <f t="shared" si="511"/>
        <v>0</v>
      </c>
      <c r="T2516">
        <v>2.2499999999999999E-2</v>
      </c>
      <c r="U2516">
        <f t="shared" si="512"/>
        <v>286091.70288873522</v>
      </c>
      <c r="V2516">
        <f t="shared" si="513"/>
        <v>13001278.497943634</v>
      </c>
      <c r="W2516">
        <f t="shared" si="514"/>
        <v>286091.70288873464</v>
      </c>
      <c r="X2516">
        <v>0</v>
      </c>
    </row>
    <row r="2517" spans="1:24" x14ac:dyDescent="0.25">
      <c r="A2517" t="s">
        <v>1968</v>
      </c>
      <c r="B2517" t="s">
        <v>2142</v>
      </c>
      <c r="C2517" t="s">
        <v>2143</v>
      </c>
      <c r="D2517" t="s">
        <v>269</v>
      </c>
      <c r="E2517" t="s">
        <v>83</v>
      </c>
      <c r="F2517" t="s">
        <v>1</v>
      </c>
      <c r="G2517" t="s">
        <v>982</v>
      </c>
      <c r="H2517" t="s">
        <v>508</v>
      </c>
      <c r="I2517" t="s">
        <v>1</v>
      </c>
      <c r="J2517">
        <v>1604925.58</v>
      </c>
      <c r="K2517">
        <v>1903874.7479264</v>
      </c>
      <c r="L2517">
        <v>956347.05</v>
      </c>
      <c r="M2517">
        <v>1928545.1560773482</v>
      </c>
      <c r="N2517">
        <v>1692317.4500000002</v>
      </c>
      <c r="O2517">
        <v>1923203.40824176</v>
      </c>
      <c r="P2517">
        <v>0</v>
      </c>
      <c r="Q2517">
        <f t="shared" si="510"/>
        <v>1923203.40824176</v>
      </c>
      <c r="R2517">
        <v>1923203.40824176</v>
      </c>
      <c r="S2517">
        <f t="shared" si="511"/>
        <v>0</v>
      </c>
      <c r="T2517">
        <v>1.4999999999999999E-2</v>
      </c>
      <c r="U2517">
        <f t="shared" si="512"/>
        <v>28848.051123626399</v>
      </c>
      <c r="V2517">
        <f t="shared" si="513"/>
        <v>1952051.4593653863</v>
      </c>
      <c r="W2517">
        <f t="shared" si="514"/>
        <v>28848.051123626297</v>
      </c>
      <c r="X2517">
        <v>0</v>
      </c>
    </row>
    <row r="2518" spans="1:24" x14ac:dyDescent="0.25">
      <c r="A2518" t="s">
        <v>1968</v>
      </c>
      <c r="B2518" t="s">
        <v>2142</v>
      </c>
      <c r="C2518" t="s">
        <v>2143</v>
      </c>
      <c r="D2518" t="s">
        <v>269</v>
      </c>
      <c r="E2518" t="s">
        <v>84</v>
      </c>
      <c r="F2518" t="s">
        <v>1</v>
      </c>
      <c r="G2518" t="s">
        <v>982</v>
      </c>
      <c r="H2518" t="s">
        <v>509</v>
      </c>
      <c r="I2518" t="s">
        <v>1</v>
      </c>
      <c r="J2518">
        <v>2978319.34</v>
      </c>
      <c r="K2518">
        <v>3482380.9783373601</v>
      </c>
      <c r="L2518">
        <v>1603074.46</v>
      </c>
      <c r="M2518">
        <v>3232719.2149171275</v>
      </c>
      <c r="N2518">
        <v>3069670.0599999996</v>
      </c>
      <c r="O2518">
        <v>3223765.1228571399</v>
      </c>
      <c r="P2518">
        <v>0</v>
      </c>
      <c r="Q2518">
        <f t="shared" si="510"/>
        <v>3223765.1228571399</v>
      </c>
      <c r="R2518">
        <v>3223765.1228571399</v>
      </c>
      <c r="S2518">
        <f t="shared" si="511"/>
        <v>0</v>
      </c>
      <c r="T2518">
        <v>2.5000000000000001E-2</v>
      </c>
      <c r="U2518">
        <f t="shared" si="512"/>
        <v>80594.128071428509</v>
      </c>
      <c r="V2518">
        <f t="shared" si="513"/>
        <v>3304359.2509285687</v>
      </c>
      <c r="W2518">
        <f t="shared" si="514"/>
        <v>80594.128071428742</v>
      </c>
      <c r="X2518">
        <v>0</v>
      </c>
    </row>
    <row r="2519" spans="1:24" x14ac:dyDescent="0.25">
      <c r="A2519" t="s">
        <v>1968</v>
      </c>
      <c r="B2519" t="s">
        <v>2142</v>
      </c>
      <c r="C2519" t="s">
        <v>2143</v>
      </c>
      <c r="D2519" t="s">
        <v>269</v>
      </c>
      <c r="E2519" t="s">
        <v>168</v>
      </c>
      <c r="F2519" t="s">
        <v>1</v>
      </c>
      <c r="G2519" t="s">
        <v>982</v>
      </c>
      <c r="H2519" t="s">
        <v>715</v>
      </c>
      <c r="I2519" t="s">
        <v>1</v>
      </c>
      <c r="J2519">
        <v>3927077.67</v>
      </c>
      <c r="K2519">
        <v>3954203.6216261</v>
      </c>
      <c r="L2519">
        <v>1982991.86</v>
      </c>
      <c r="M2519">
        <v>3998850.9883977901</v>
      </c>
      <c r="N2519">
        <v>4372488.6399999997</v>
      </c>
      <c r="O2519">
        <v>3987774.8393406598</v>
      </c>
      <c r="P2519">
        <v>0</v>
      </c>
      <c r="Q2519">
        <f t="shared" si="510"/>
        <v>3987774.8393406598</v>
      </c>
      <c r="R2519">
        <v>3987774.8393406598</v>
      </c>
      <c r="S2519">
        <f t="shared" si="511"/>
        <v>0</v>
      </c>
      <c r="T2519">
        <v>0.03</v>
      </c>
      <c r="U2519">
        <f t="shared" si="512"/>
        <v>119633.24518021979</v>
      </c>
      <c r="V2519">
        <f t="shared" si="513"/>
        <v>4107408.0845208797</v>
      </c>
      <c r="W2519">
        <f t="shared" si="514"/>
        <v>119633.24518021988</v>
      </c>
      <c r="X2519">
        <v>0</v>
      </c>
    </row>
    <row r="2520" spans="1:24" x14ac:dyDescent="0.25">
      <c r="A2520" t="s">
        <v>1968</v>
      </c>
      <c r="B2520" t="s">
        <v>2142</v>
      </c>
      <c r="C2520" t="s">
        <v>2143</v>
      </c>
      <c r="D2520" t="s">
        <v>269</v>
      </c>
      <c r="E2520" t="s">
        <v>118</v>
      </c>
      <c r="F2520" t="s">
        <v>1</v>
      </c>
      <c r="G2520" t="s">
        <v>982</v>
      </c>
      <c r="H2520" t="s">
        <v>587</v>
      </c>
      <c r="I2520" t="s">
        <v>1</v>
      </c>
      <c r="J2520">
        <v>4687784.72</v>
      </c>
      <c r="K2520">
        <v>5109484.52071435</v>
      </c>
      <c r="L2520">
        <v>2594165.0699999998</v>
      </c>
      <c r="M2520">
        <v>5231327.351104972</v>
      </c>
      <c r="N2520">
        <v>5020947.57</v>
      </c>
      <c r="O2520">
        <v>5216837.44846154</v>
      </c>
      <c r="P2520">
        <v>0</v>
      </c>
      <c r="Q2520">
        <f t="shared" si="510"/>
        <v>5216837.44846154</v>
      </c>
      <c r="R2520">
        <v>5216837.44846154</v>
      </c>
      <c r="S2520">
        <f t="shared" si="511"/>
        <v>0</v>
      </c>
      <c r="T2520">
        <v>3.2500000000000001E-2</v>
      </c>
      <c r="U2520">
        <f t="shared" si="512"/>
        <v>169547.21707500005</v>
      </c>
      <c r="V2520">
        <f t="shared" si="513"/>
        <v>5386384.6655365396</v>
      </c>
      <c r="W2520">
        <f t="shared" si="514"/>
        <v>169547.21707499959</v>
      </c>
      <c r="X2520">
        <v>0</v>
      </c>
    </row>
    <row r="2521" spans="1:24" x14ac:dyDescent="0.25">
      <c r="A2521" t="s">
        <v>1968</v>
      </c>
      <c r="B2521" t="s">
        <v>2142</v>
      </c>
      <c r="C2521" t="s">
        <v>2143</v>
      </c>
      <c r="D2521" t="s">
        <v>269</v>
      </c>
      <c r="E2521" t="s">
        <v>18</v>
      </c>
      <c r="F2521" t="s">
        <v>1</v>
      </c>
      <c r="G2521" t="s">
        <v>982</v>
      </c>
      <c r="H2521" t="s">
        <v>418</v>
      </c>
      <c r="I2521" t="s">
        <v>1</v>
      </c>
      <c r="J2521">
        <v>3459467.61</v>
      </c>
      <c r="K2521">
        <v>3643562.44700858</v>
      </c>
      <c r="L2521">
        <v>1741470.36</v>
      </c>
      <c r="M2521">
        <v>3511804.8696132596</v>
      </c>
      <c r="N2521">
        <v>3384508.7300000004</v>
      </c>
      <c r="O2521">
        <v>3502077.75692308</v>
      </c>
      <c r="P2521">
        <v>0</v>
      </c>
      <c r="Q2521">
        <f t="shared" si="510"/>
        <v>3502077.75692308</v>
      </c>
      <c r="R2521">
        <v>3502077.75692308</v>
      </c>
      <c r="S2521">
        <f t="shared" si="511"/>
        <v>0</v>
      </c>
      <c r="T2521">
        <v>0.02</v>
      </c>
      <c r="U2521">
        <f t="shared" si="512"/>
        <v>70041.555138461597</v>
      </c>
      <c r="V2521">
        <f t="shared" si="513"/>
        <v>3572119.3120615417</v>
      </c>
      <c r="W2521">
        <f t="shared" si="514"/>
        <v>70041.555138461757</v>
      </c>
      <c r="X2521">
        <v>0</v>
      </c>
    </row>
    <row r="2522" spans="1:24" x14ac:dyDescent="0.25">
      <c r="A2522" t="s">
        <v>1968</v>
      </c>
      <c r="B2522" t="s">
        <v>2142</v>
      </c>
      <c r="C2522" t="s">
        <v>2143</v>
      </c>
      <c r="D2522" t="s">
        <v>269</v>
      </c>
      <c r="E2522" t="s">
        <v>57</v>
      </c>
      <c r="F2522" t="s">
        <v>1</v>
      </c>
      <c r="G2522" t="s">
        <v>982</v>
      </c>
      <c r="H2522" t="s">
        <v>462</v>
      </c>
      <c r="I2522" t="s">
        <v>1</v>
      </c>
      <c r="J2522">
        <v>87.01</v>
      </c>
      <c r="K2522"/>
      <c r="L2522">
        <v>0</v>
      </c>
      <c r="M2522">
        <v>0</v>
      </c>
      <c r="N2522">
        <v>61.81</v>
      </c>
      <c r="O2522"/>
      <c r="P2522">
        <v>0</v>
      </c>
      <c r="Q2522">
        <f t="shared" si="510"/>
        <v>0</v>
      </c>
      <c r="R2522">
        <v>0</v>
      </c>
      <c r="S2522">
        <f t="shared" si="511"/>
        <v>0</v>
      </c>
      <c r="T2522">
        <v>0.04</v>
      </c>
      <c r="U2522">
        <f t="shared" si="512"/>
        <v>0</v>
      </c>
      <c r="V2522">
        <f t="shared" si="513"/>
        <v>0</v>
      </c>
      <c r="W2522">
        <f t="shared" si="514"/>
        <v>0</v>
      </c>
      <c r="X2522">
        <v>0</v>
      </c>
    </row>
    <row r="2523" spans="1:24" x14ac:dyDescent="0.25">
      <c r="A2523" t="s">
        <v>1968</v>
      </c>
      <c r="B2523" t="s">
        <v>2142</v>
      </c>
      <c r="C2523" t="s">
        <v>2143</v>
      </c>
      <c r="D2523" t="s">
        <v>269</v>
      </c>
      <c r="E2523" t="s">
        <v>189</v>
      </c>
      <c r="F2523" t="s">
        <v>1</v>
      </c>
      <c r="G2523" t="s">
        <v>982</v>
      </c>
      <c r="H2523" t="s">
        <v>768</v>
      </c>
      <c r="I2523" t="s">
        <v>1</v>
      </c>
      <c r="J2523">
        <v>57.92</v>
      </c>
      <c r="K2523"/>
      <c r="L2523">
        <v>0</v>
      </c>
      <c r="M2523">
        <v>0</v>
      </c>
      <c r="N2523">
        <v>0</v>
      </c>
      <c r="O2523"/>
      <c r="P2523">
        <v>0</v>
      </c>
      <c r="Q2523">
        <f t="shared" si="510"/>
        <v>0</v>
      </c>
      <c r="R2523">
        <v>0</v>
      </c>
      <c r="S2523">
        <f t="shared" si="511"/>
        <v>0</v>
      </c>
      <c r="T2523">
        <v>0.04</v>
      </c>
      <c r="U2523">
        <f t="shared" si="512"/>
        <v>0</v>
      </c>
      <c r="V2523">
        <f t="shared" si="513"/>
        <v>0</v>
      </c>
      <c r="W2523">
        <f t="shared" si="514"/>
        <v>0</v>
      </c>
      <c r="X2523">
        <v>0</v>
      </c>
    </row>
    <row r="2524" spans="1:24" x14ac:dyDescent="0.25">
      <c r="A2524" t="s">
        <v>1968</v>
      </c>
      <c r="B2524" t="s">
        <v>2142</v>
      </c>
      <c r="C2524" t="s">
        <v>2143</v>
      </c>
      <c r="D2524" t="s">
        <v>269</v>
      </c>
      <c r="E2524" t="s">
        <v>73</v>
      </c>
      <c r="F2524" t="s">
        <v>1</v>
      </c>
      <c r="G2524" t="s">
        <v>982</v>
      </c>
      <c r="H2524" t="s">
        <v>490</v>
      </c>
      <c r="I2524" t="s">
        <v>1</v>
      </c>
      <c r="J2524">
        <v>234602.84</v>
      </c>
      <c r="K2524">
        <v>260010.51271680801</v>
      </c>
      <c r="L2524">
        <v>77113.73</v>
      </c>
      <c r="M2524">
        <v>155505.58812154696</v>
      </c>
      <c r="N2524">
        <v>160554.57999999999</v>
      </c>
      <c r="O2524">
        <v>155074.86362637399</v>
      </c>
      <c r="P2524">
        <v>0</v>
      </c>
      <c r="Q2524">
        <f t="shared" si="510"/>
        <v>155074.86362637399</v>
      </c>
      <c r="R2524">
        <v>155074.86362637399</v>
      </c>
      <c r="S2524">
        <f t="shared" si="511"/>
        <v>0</v>
      </c>
      <c r="T2524">
        <v>3.5000000000000003E-2</v>
      </c>
      <c r="U2524">
        <f t="shared" si="512"/>
        <v>5427.6202269230898</v>
      </c>
      <c r="V2524">
        <f t="shared" si="513"/>
        <v>160502.48385329708</v>
      </c>
      <c r="W2524">
        <f t="shared" si="514"/>
        <v>5427.6202269230853</v>
      </c>
      <c r="X2524">
        <v>0</v>
      </c>
    </row>
    <row r="2525" spans="1:24" x14ac:dyDescent="0.25">
      <c r="A2525" t="s">
        <v>1968</v>
      </c>
      <c r="B2525" t="s">
        <v>2142</v>
      </c>
      <c r="C2525" t="s">
        <v>2143</v>
      </c>
      <c r="D2525" t="s">
        <v>269</v>
      </c>
      <c r="E2525" t="s">
        <v>19</v>
      </c>
      <c r="F2525" t="s">
        <v>1</v>
      </c>
      <c r="G2525" t="s">
        <v>982</v>
      </c>
      <c r="H2525" t="s">
        <v>419</v>
      </c>
      <c r="I2525" t="s">
        <v>1</v>
      </c>
      <c r="J2525">
        <v>100122.9</v>
      </c>
      <c r="K2525">
        <v>89001.302592592503</v>
      </c>
      <c r="L2525">
        <v>54574.720000000001</v>
      </c>
      <c r="M2525">
        <v>110053.99337016574</v>
      </c>
      <c r="N2525">
        <v>100950.52</v>
      </c>
      <c r="O2525">
        <v>109749.162197802</v>
      </c>
      <c r="P2525">
        <v>0</v>
      </c>
      <c r="Q2525">
        <f t="shared" si="510"/>
        <v>109749.162197802</v>
      </c>
      <c r="R2525">
        <v>109749.162197802</v>
      </c>
      <c r="S2525">
        <f t="shared" si="511"/>
        <v>0</v>
      </c>
      <c r="T2525">
        <v>0.02</v>
      </c>
      <c r="U2525">
        <f t="shared" si="512"/>
        <v>2194.98324395604</v>
      </c>
      <c r="V2525">
        <f t="shared" si="513"/>
        <v>111944.14544175804</v>
      </c>
      <c r="W2525">
        <f t="shared" si="514"/>
        <v>2194.9832439560414</v>
      </c>
      <c r="X2525">
        <v>0</v>
      </c>
    </row>
    <row r="2526" spans="1:24" x14ac:dyDescent="0.25">
      <c r="A2526" t="s">
        <v>1968</v>
      </c>
      <c r="B2526" t="s">
        <v>2142</v>
      </c>
      <c r="C2526" t="s">
        <v>2143</v>
      </c>
      <c r="D2526" t="s">
        <v>269</v>
      </c>
      <c r="E2526" t="s">
        <v>74</v>
      </c>
      <c r="F2526" t="s">
        <v>1</v>
      </c>
      <c r="G2526" t="s">
        <v>982</v>
      </c>
      <c r="H2526" t="s">
        <v>491</v>
      </c>
      <c r="I2526" t="s">
        <v>1</v>
      </c>
      <c r="J2526">
        <v>242887.21</v>
      </c>
      <c r="K2526">
        <v>237825.063749113</v>
      </c>
      <c r="L2526">
        <v>142603.94</v>
      </c>
      <c r="M2526">
        <v>287571.48121546966</v>
      </c>
      <c r="N2526">
        <v>273345.36</v>
      </c>
      <c r="O2526">
        <v>286774.95626373601</v>
      </c>
      <c r="P2526">
        <v>0</v>
      </c>
      <c r="Q2526">
        <f t="shared" si="510"/>
        <v>286774.95626373601</v>
      </c>
      <c r="R2526">
        <v>286774.95626373601</v>
      </c>
      <c r="S2526">
        <f t="shared" si="511"/>
        <v>0</v>
      </c>
      <c r="T2526">
        <v>3.5000000000000003E-2</v>
      </c>
      <c r="U2526">
        <f t="shared" si="512"/>
        <v>10037.123469230761</v>
      </c>
      <c r="V2526">
        <f t="shared" si="513"/>
        <v>296812.07973296678</v>
      </c>
      <c r="W2526">
        <f t="shared" si="514"/>
        <v>10037.123469230777</v>
      </c>
      <c r="X2526">
        <v>0</v>
      </c>
    </row>
    <row r="2527" spans="1:24" x14ac:dyDescent="0.25">
      <c r="A2527" t="s">
        <v>1968</v>
      </c>
      <c r="B2527" t="s">
        <v>2142</v>
      </c>
      <c r="C2527" t="s">
        <v>2143</v>
      </c>
      <c r="D2527" t="s">
        <v>269</v>
      </c>
      <c r="E2527" t="s">
        <v>197</v>
      </c>
      <c r="F2527" t="s">
        <v>1</v>
      </c>
      <c r="G2527" t="s">
        <v>982</v>
      </c>
      <c r="H2527" t="s">
        <v>786</v>
      </c>
      <c r="I2527" t="s">
        <v>1</v>
      </c>
      <c r="J2527">
        <v>34600</v>
      </c>
      <c r="K2527">
        <v>29260.305984700699</v>
      </c>
      <c r="L2527">
        <v>6125</v>
      </c>
      <c r="M2527">
        <v>12351.519337016574</v>
      </c>
      <c r="N2527">
        <v>20650</v>
      </c>
      <c r="O2527">
        <v>12317.307692307701</v>
      </c>
      <c r="P2527">
        <v>0</v>
      </c>
      <c r="Q2527">
        <f t="shared" si="510"/>
        <v>12317.307692307701</v>
      </c>
      <c r="R2527">
        <v>12317.307692307701</v>
      </c>
      <c r="S2527">
        <f t="shared" si="511"/>
        <v>0</v>
      </c>
      <c r="T2527">
        <v>0.02</v>
      </c>
      <c r="U2527">
        <f t="shared" si="512"/>
        <v>246.34615384615401</v>
      </c>
      <c r="V2527">
        <f t="shared" si="513"/>
        <v>12563.653846153855</v>
      </c>
      <c r="W2527">
        <f t="shared" si="514"/>
        <v>246.34615384615427</v>
      </c>
      <c r="X2527">
        <v>0</v>
      </c>
    </row>
    <row r="2528" spans="1:24" x14ac:dyDescent="0.25">
      <c r="A2528" t="s">
        <v>1968</v>
      </c>
      <c r="B2528" t="s">
        <v>2142</v>
      </c>
      <c r="C2528" t="s">
        <v>2143</v>
      </c>
      <c r="D2528" t="s">
        <v>269</v>
      </c>
      <c r="E2528" t="s">
        <v>198</v>
      </c>
      <c r="F2528" t="s">
        <v>1</v>
      </c>
      <c r="G2528" t="s">
        <v>982</v>
      </c>
      <c r="H2528" t="s">
        <v>787</v>
      </c>
      <c r="I2528" t="s">
        <v>1</v>
      </c>
      <c r="J2528">
        <v>2267247.14</v>
      </c>
      <c r="K2528">
        <v>2017601.22020411</v>
      </c>
      <c r="L2528">
        <v>1338794.92</v>
      </c>
      <c r="M2528">
        <v>2699779.8110497235</v>
      </c>
      <c r="N2528">
        <v>2662191.98</v>
      </c>
      <c r="O2528">
        <v>2692301.8720879098</v>
      </c>
      <c r="P2528">
        <v>0</v>
      </c>
      <c r="Q2528">
        <f t="shared" si="510"/>
        <v>2692301.8720879098</v>
      </c>
      <c r="R2528">
        <v>2692301.8720879098</v>
      </c>
      <c r="S2528">
        <f t="shared" si="511"/>
        <v>0</v>
      </c>
      <c r="T2528">
        <v>0.02</v>
      </c>
      <c r="U2528">
        <f t="shared" si="512"/>
        <v>53846.037441758199</v>
      </c>
      <c r="V2528">
        <f t="shared" si="513"/>
        <v>2746147.9095296678</v>
      </c>
      <c r="W2528">
        <f t="shared" si="514"/>
        <v>53846.037441757973</v>
      </c>
      <c r="X2528">
        <v>0</v>
      </c>
    </row>
    <row r="2529" spans="1:24" x14ac:dyDescent="0.25">
      <c r="A2529" t="s">
        <v>1968</v>
      </c>
      <c r="B2529" t="s">
        <v>2142</v>
      </c>
      <c r="C2529" t="s">
        <v>2143</v>
      </c>
      <c r="D2529" t="s">
        <v>269</v>
      </c>
      <c r="E2529" t="s">
        <v>85</v>
      </c>
      <c r="F2529" t="s">
        <v>1</v>
      </c>
      <c r="G2529" t="s">
        <v>982</v>
      </c>
      <c r="H2529" t="s">
        <v>510</v>
      </c>
      <c r="I2529" t="s">
        <v>1</v>
      </c>
      <c r="J2529">
        <v>2743631.64</v>
      </c>
      <c r="K2529">
        <v>2893387.5431074002</v>
      </c>
      <c r="L2529">
        <v>1497388.15</v>
      </c>
      <c r="M2529">
        <v>3019594.8881215467</v>
      </c>
      <c r="N2529">
        <v>2886572.25</v>
      </c>
      <c r="O2529">
        <v>3011231.1148351599</v>
      </c>
      <c r="P2529">
        <v>0</v>
      </c>
      <c r="Q2529">
        <f t="shared" si="510"/>
        <v>3011231.1148351599</v>
      </c>
      <c r="R2529">
        <v>3011231.1148351599</v>
      </c>
      <c r="S2529">
        <f t="shared" si="511"/>
        <v>0</v>
      </c>
      <c r="T2529">
        <v>0.02</v>
      </c>
      <c r="U2529">
        <f t="shared" si="512"/>
        <v>60224.622296703201</v>
      </c>
      <c r="V2529">
        <f t="shared" si="513"/>
        <v>3071455.7371318629</v>
      </c>
      <c r="W2529">
        <f t="shared" si="514"/>
        <v>60224.622296703048</v>
      </c>
      <c r="X2529">
        <v>0</v>
      </c>
    </row>
    <row r="2530" spans="1:24" x14ac:dyDescent="0.25">
      <c r="A2530" t="s">
        <v>1968</v>
      </c>
      <c r="B2530" t="s">
        <v>2142</v>
      </c>
      <c r="C2530" t="s">
        <v>2143</v>
      </c>
      <c r="D2530" t="s">
        <v>269</v>
      </c>
      <c r="E2530" t="s">
        <v>119</v>
      </c>
      <c r="F2530" t="s">
        <v>1</v>
      </c>
      <c r="G2530" t="s">
        <v>982</v>
      </c>
      <c r="H2530" t="s">
        <v>588</v>
      </c>
      <c r="I2530" t="s">
        <v>1</v>
      </c>
      <c r="J2530">
        <v>3439424.07</v>
      </c>
      <c r="K2530">
        <v>3979790.4400470001</v>
      </c>
      <c r="L2530">
        <v>1583950.08</v>
      </c>
      <c r="M2530">
        <v>3194153.4762430941</v>
      </c>
      <c r="N2530">
        <v>3201730.02</v>
      </c>
      <c r="O2530">
        <v>3185306.2048351602</v>
      </c>
      <c r="P2530">
        <v>0</v>
      </c>
      <c r="Q2530">
        <f t="shared" si="510"/>
        <v>3185306.2048351602</v>
      </c>
      <c r="R2530">
        <v>3185306.2048351602</v>
      </c>
      <c r="S2530">
        <f t="shared" si="511"/>
        <v>0</v>
      </c>
      <c r="T2530">
        <v>1.4999999999999999E-2</v>
      </c>
      <c r="U2530">
        <f t="shared" si="512"/>
        <v>47779.593072527401</v>
      </c>
      <c r="V2530">
        <f t="shared" si="513"/>
        <v>3233085.7979076877</v>
      </c>
      <c r="W2530">
        <f t="shared" si="514"/>
        <v>47779.593072527554</v>
      </c>
      <c r="X2530">
        <v>0</v>
      </c>
    </row>
    <row r="2531" spans="1:24" x14ac:dyDescent="0.25">
      <c r="A2531" t="s">
        <v>1968</v>
      </c>
      <c r="B2531" t="s">
        <v>2142</v>
      </c>
      <c r="C2531" t="s">
        <v>2143</v>
      </c>
      <c r="D2531" t="s">
        <v>269</v>
      </c>
      <c r="E2531" t="s">
        <v>272</v>
      </c>
      <c r="F2531" t="s">
        <v>1</v>
      </c>
      <c r="G2531" t="s">
        <v>982</v>
      </c>
      <c r="H2531" t="s">
        <v>985</v>
      </c>
      <c r="I2531" t="s">
        <v>1</v>
      </c>
      <c r="J2531">
        <v>92601.7</v>
      </c>
      <c r="K2531">
        <v>47766.554885537997</v>
      </c>
      <c r="L2531">
        <v>42707.15</v>
      </c>
      <c r="M2531">
        <v>86122.15331491713</v>
      </c>
      <c r="N2531">
        <v>108583.25</v>
      </c>
      <c r="O2531">
        <v>85883.609340659401</v>
      </c>
      <c r="P2531">
        <v>0</v>
      </c>
      <c r="Q2531">
        <f t="shared" si="510"/>
        <v>85883.609340659401</v>
      </c>
      <c r="R2531">
        <v>85883.609340659401</v>
      </c>
      <c r="S2531">
        <f t="shared" si="511"/>
        <v>0</v>
      </c>
      <c r="T2531">
        <v>0.02</v>
      </c>
      <c r="U2531">
        <f t="shared" si="512"/>
        <v>1717.6721868131881</v>
      </c>
      <c r="V2531">
        <f t="shared" si="513"/>
        <v>87601.281527472587</v>
      </c>
      <c r="W2531">
        <f t="shared" si="514"/>
        <v>1717.6721868131863</v>
      </c>
      <c r="X2531">
        <v>0</v>
      </c>
    </row>
    <row r="2532" spans="1:24" x14ac:dyDescent="0.25">
      <c r="A2532" t="s">
        <v>1968</v>
      </c>
      <c r="B2532" t="s">
        <v>2142</v>
      </c>
      <c r="C2532" t="s">
        <v>2143</v>
      </c>
      <c r="D2532" t="s">
        <v>269</v>
      </c>
      <c r="E2532" t="s">
        <v>273</v>
      </c>
      <c r="F2532" t="s">
        <v>1</v>
      </c>
      <c r="G2532" t="s">
        <v>982</v>
      </c>
      <c r="H2532" t="s">
        <v>986</v>
      </c>
      <c r="I2532" t="s">
        <v>1</v>
      </c>
      <c r="J2532">
        <v>68860</v>
      </c>
      <c r="K2532">
        <v>62268.8753086422</v>
      </c>
      <c r="L2532">
        <v>0</v>
      </c>
      <c r="M2532">
        <v>0</v>
      </c>
      <c r="N2532">
        <v>23831</v>
      </c>
      <c r="O2532"/>
      <c r="P2532">
        <v>0</v>
      </c>
      <c r="Q2532">
        <f t="shared" si="510"/>
        <v>0</v>
      </c>
      <c r="R2532">
        <v>0</v>
      </c>
      <c r="S2532">
        <f t="shared" si="511"/>
        <v>0</v>
      </c>
      <c r="T2532">
        <v>0.02</v>
      </c>
      <c r="U2532">
        <f t="shared" si="512"/>
        <v>0</v>
      </c>
      <c r="V2532">
        <f t="shared" si="513"/>
        <v>0</v>
      </c>
      <c r="W2532">
        <f t="shared" si="514"/>
        <v>0</v>
      </c>
      <c r="X2532">
        <v>0</v>
      </c>
    </row>
    <row r="2533" spans="1:24" x14ac:dyDescent="0.25">
      <c r="A2533" t="s">
        <v>1968</v>
      </c>
      <c r="B2533" t="s">
        <v>2142</v>
      </c>
      <c r="C2533" t="s">
        <v>2143</v>
      </c>
      <c r="D2533" t="s">
        <v>269</v>
      </c>
      <c r="E2533" t="s">
        <v>136</v>
      </c>
      <c r="F2533" t="s">
        <v>1</v>
      </c>
      <c r="G2533" t="s">
        <v>982</v>
      </c>
      <c r="H2533" t="s">
        <v>627</v>
      </c>
      <c r="I2533" t="s">
        <v>1</v>
      </c>
      <c r="J2533">
        <v>3242304.36</v>
      </c>
      <c r="K2533">
        <v>3947631.6667198101</v>
      </c>
      <c r="L2533">
        <v>2118762.2000000002</v>
      </c>
      <c r="M2533">
        <v>4272642.0055248626</v>
      </c>
      <c r="N2533">
        <v>3904021.3199999994</v>
      </c>
      <c r="O2533">
        <v>4260807.5010989001</v>
      </c>
      <c r="P2533">
        <v>0</v>
      </c>
      <c r="Q2533">
        <f t="shared" si="510"/>
        <v>4260807.5010989001</v>
      </c>
      <c r="R2533">
        <v>4260807.5010989001</v>
      </c>
      <c r="S2533">
        <f t="shared" si="511"/>
        <v>0</v>
      </c>
      <c r="T2533">
        <v>0.03</v>
      </c>
      <c r="U2533">
        <f t="shared" si="512"/>
        <v>127824.22503296699</v>
      </c>
      <c r="V2533">
        <f t="shared" si="513"/>
        <v>4388631.7261318667</v>
      </c>
      <c r="W2533">
        <f t="shared" si="514"/>
        <v>127824.22503296658</v>
      </c>
      <c r="X2533">
        <v>0</v>
      </c>
    </row>
    <row r="2534" spans="1:24" x14ac:dyDescent="0.25">
      <c r="A2534" t="s">
        <v>1968</v>
      </c>
      <c r="B2534" t="s">
        <v>2142</v>
      </c>
      <c r="C2534" t="s">
        <v>2143</v>
      </c>
      <c r="D2534" t="s">
        <v>269</v>
      </c>
      <c r="E2534" t="s">
        <v>86</v>
      </c>
      <c r="F2534" t="s">
        <v>1</v>
      </c>
      <c r="G2534" t="s">
        <v>982</v>
      </c>
      <c r="H2534" t="s">
        <v>511</v>
      </c>
      <c r="I2534" t="s">
        <v>1</v>
      </c>
      <c r="J2534">
        <v>77823.75</v>
      </c>
      <c r="K2534">
        <v>-1.1074071E-3</v>
      </c>
      <c r="L2534">
        <v>144015.5</v>
      </c>
      <c r="M2534">
        <v>290417.99723756907</v>
      </c>
      <c r="N2534">
        <v>199822.75</v>
      </c>
      <c r="O2534">
        <v>289613.58791208803</v>
      </c>
      <c r="P2534">
        <v>0</v>
      </c>
      <c r="Q2534">
        <f t="shared" si="510"/>
        <v>289613.58791208803</v>
      </c>
      <c r="R2534">
        <v>289613.58791208803</v>
      </c>
      <c r="S2534">
        <f t="shared" si="511"/>
        <v>0</v>
      </c>
      <c r="T2534">
        <v>3.5000000000000003E-2</v>
      </c>
      <c r="U2534">
        <f t="shared" si="512"/>
        <v>10136.475576923081</v>
      </c>
      <c r="V2534">
        <f t="shared" si="513"/>
        <v>299750.06348901108</v>
      </c>
      <c r="W2534">
        <f t="shared" si="514"/>
        <v>10136.475576923054</v>
      </c>
      <c r="X2534">
        <v>0</v>
      </c>
    </row>
    <row r="2535" spans="1:24" x14ac:dyDescent="0.25">
      <c r="A2535" t="s">
        <v>1968</v>
      </c>
      <c r="B2535" t="s">
        <v>2142</v>
      </c>
      <c r="C2535" t="s">
        <v>2143</v>
      </c>
      <c r="D2535" t="s">
        <v>269</v>
      </c>
      <c r="E2535" t="s">
        <v>147</v>
      </c>
      <c r="F2535" t="s">
        <v>1</v>
      </c>
      <c r="G2535" t="s">
        <v>982</v>
      </c>
      <c r="H2535" t="s">
        <v>656</v>
      </c>
      <c r="I2535" t="s">
        <v>1</v>
      </c>
      <c r="J2535">
        <v>1323534.23</v>
      </c>
      <c r="K2535">
        <v>1259127.80154702</v>
      </c>
      <c r="L2535">
        <v>553631.84</v>
      </c>
      <c r="M2535">
        <v>1116439.8983425414</v>
      </c>
      <c r="N2535">
        <v>1288071.78</v>
      </c>
      <c r="O2535">
        <v>1113347.5463736299</v>
      </c>
      <c r="P2535">
        <v>0</v>
      </c>
      <c r="Q2535">
        <f t="shared" si="510"/>
        <v>1113347.5463736299</v>
      </c>
      <c r="R2535">
        <v>1113347.5463736299</v>
      </c>
      <c r="S2535">
        <f t="shared" si="511"/>
        <v>0</v>
      </c>
      <c r="T2535">
        <v>2.2499999999999999E-2</v>
      </c>
      <c r="U2535">
        <f t="shared" si="512"/>
        <v>25050.319793406674</v>
      </c>
      <c r="V2535">
        <f t="shared" si="513"/>
        <v>1138397.8661670366</v>
      </c>
      <c r="W2535">
        <f t="shared" si="514"/>
        <v>25050.319793406641</v>
      </c>
      <c r="X2535">
        <v>0</v>
      </c>
    </row>
    <row r="2536" spans="1:24" x14ac:dyDescent="0.25">
      <c r="A2536" t="s">
        <v>1968</v>
      </c>
      <c r="B2536" t="s">
        <v>2142</v>
      </c>
      <c r="C2536" t="s">
        <v>2143</v>
      </c>
      <c r="D2536" t="s">
        <v>269</v>
      </c>
      <c r="E2536" t="s">
        <v>274</v>
      </c>
      <c r="F2536" t="s">
        <v>1</v>
      </c>
      <c r="G2536" t="s">
        <v>982</v>
      </c>
      <c r="H2536" t="s">
        <v>987</v>
      </c>
      <c r="I2536" t="s">
        <v>1</v>
      </c>
      <c r="J2536">
        <v>7900</v>
      </c>
      <c r="K2536">
        <v>7532.1805555554001</v>
      </c>
      <c r="L2536">
        <v>1470</v>
      </c>
      <c r="M2536">
        <v>2964.3646408839777</v>
      </c>
      <c r="N2536">
        <v>4525</v>
      </c>
      <c r="O2536">
        <v>2956.1538461538998</v>
      </c>
      <c r="P2536">
        <v>0</v>
      </c>
      <c r="Q2536">
        <f t="shared" ref="Q2536:Q2567" si="515">O2536+P2536</f>
        <v>2956.1538461538998</v>
      </c>
      <c r="R2536">
        <v>2956.1538461538998</v>
      </c>
      <c r="S2536">
        <f t="shared" ref="S2536:S2567" si="516">IF(OR(LEFT(E2536,2)="A_",LEFT(D2536,5)="Total"),R2536-Q2536,"")</f>
        <v>0</v>
      </c>
      <c r="T2536">
        <v>3.5000000000000003E-2</v>
      </c>
      <c r="U2536">
        <f t="shared" ref="U2536:U2567" si="517">IFERROR(R2536*T2536,R2536*0)</f>
        <v>103.4653846153865</v>
      </c>
      <c r="V2536">
        <f t="shared" ref="V2536:V2567" si="518">IF(OR(LEFT(E2536,2)="A_",LEFT(D2536,5)="Total"),R2536+U2536,"")</f>
        <v>3059.6192307692863</v>
      </c>
      <c r="W2536">
        <f t="shared" ref="W2536:W2567" si="519">IF(OR(LEFT(E2536,2)="A_",LEFT(D2536,5)="Total"),V2536-Q2536,"")</f>
        <v>103.46538461538648</v>
      </c>
      <c r="X2536">
        <v>0</v>
      </c>
    </row>
    <row r="2537" spans="1:24" x14ac:dyDescent="0.25">
      <c r="A2537" t="s">
        <v>1968</v>
      </c>
      <c r="B2537" t="s">
        <v>2142</v>
      </c>
      <c r="C2537" t="s">
        <v>2143</v>
      </c>
      <c r="D2537" t="s">
        <v>269</v>
      </c>
      <c r="E2537" t="s">
        <v>120</v>
      </c>
      <c r="F2537" t="s">
        <v>1</v>
      </c>
      <c r="G2537" t="s">
        <v>982</v>
      </c>
      <c r="H2537" t="s">
        <v>589</v>
      </c>
      <c r="I2537" t="s">
        <v>1</v>
      </c>
      <c r="J2537">
        <v>12496867.27</v>
      </c>
      <c r="K2537">
        <v>12727676.9887312</v>
      </c>
      <c r="L2537">
        <v>7469797.6399999997</v>
      </c>
      <c r="M2537">
        <v>15063404.080662983</v>
      </c>
      <c r="N2537">
        <v>13979926.4</v>
      </c>
      <c r="O2537">
        <v>15021680.968351601</v>
      </c>
      <c r="P2537">
        <v>0</v>
      </c>
      <c r="Q2537">
        <f t="shared" si="515"/>
        <v>15021680.968351601</v>
      </c>
      <c r="R2537">
        <v>15021680.968351601</v>
      </c>
      <c r="S2537">
        <f t="shared" si="516"/>
        <v>0</v>
      </c>
      <c r="T2537">
        <v>3.5000000000000003E-2</v>
      </c>
      <c r="U2537">
        <f t="shared" si="517"/>
        <v>525758.83389230608</v>
      </c>
      <c r="V2537">
        <f t="shared" si="518"/>
        <v>15547439.802243907</v>
      </c>
      <c r="W2537">
        <f t="shared" si="519"/>
        <v>525758.83389230631</v>
      </c>
      <c r="X2537">
        <v>0</v>
      </c>
    </row>
    <row r="2538" spans="1:24" x14ac:dyDescent="0.25">
      <c r="A2538" t="s">
        <v>1968</v>
      </c>
      <c r="B2538" t="s">
        <v>2142</v>
      </c>
      <c r="C2538" t="s">
        <v>2143</v>
      </c>
      <c r="D2538" t="s">
        <v>269</v>
      </c>
      <c r="E2538" t="s">
        <v>275</v>
      </c>
      <c r="F2538" t="s">
        <v>1</v>
      </c>
      <c r="G2538" t="s">
        <v>982</v>
      </c>
      <c r="H2538" t="s">
        <v>988</v>
      </c>
      <c r="I2538" t="s">
        <v>1</v>
      </c>
      <c r="J2538">
        <v>9271116.25</v>
      </c>
      <c r="K2538">
        <v>9834238.9351851791</v>
      </c>
      <c r="L2538">
        <v>4463061</v>
      </c>
      <c r="M2538">
        <v>9000095.3867403325</v>
      </c>
      <c r="N2538">
        <v>9420989.25</v>
      </c>
      <c r="O2538">
        <v>8975166.62637363</v>
      </c>
      <c r="P2538">
        <v>0</v>
      </c>
      <c r="Q2538">
        <f t="shared" si="515"/>
        <v>8975166.62637363</v>
      </c>
      <c r="R2538">
        <v>8975166.62637363</v>
      </c>
      <c r="S2538">
        <f t="shared" si="516"/>
        <v>0</v>
      </c>
      <c r="T2538"/>
      <c r="U2538">
        <f t="shared" si="517"/>
        <v>0</v>
      </c>
      <c r="V2538">
        <f t="shared" si="518"/>
        <v>8975166.62637363</v>
      </c>
      <c r="W2538">
        <f t="shared" si="519"/>
        <v>0</v>
      </c>
      <c r="X2538">
        <v>0</v>
      </c>
    </row>
    <row r="2539" spans="1:24" x14ac:dyDescent="0.25">
      <c r="A2539" t="s">
        <v>1968</v>
      </c>
      <c r="B2539" t="s">
        <v>2142</v>
      </c>
      <c r="C2539" t="s">
        <v>2143</v>
      </c>
      <c r="D2539" t="s">
        <v>269</v>
      </c>
      <c r="E2539" t="s">
        <v>276</v>
      </c>
      <c r="F2539" t="s">
        <v>1</v>
      </c>
      <c r="G2539" t="s">
        <v>982</v>
      </c>
      <c r="H2539" t="s">
        <v>989</v>
      </c>
      <c r="I2539" t="s">
        <v>1</v>
      </c>
      <c r="J2539">
        <v>343000</v>
      </c>
      <c r="K2539">
        <v>383024.69135802501</v>
      </c>
      <c r="L2539">
        <v>27000</v>
      </c>
      <c r="M2539">
        <v>54447.513812154699</v>
      </c>
      <c r="N2539">
        <v>115000</v>
      </c>
      <c r="O2539">
        <v>54296.703296703301</v>
      </c>
      <c r="P2539">
        <v>0</v>
      </c>
      <c r="Q2539">
        <f t="shared" si="515"/>
        <v>54296.703296703301</v>
      </c>
      <c r="R2539">
        <v>54296.703296703301</v>
      </c>
      <c r="S2539">
        <f t="shared" si="516"/>
        <v>0</v>
      </c>
      <c r="T2539">
        <v>0</v>
      </c>
      <c r="U2539">
        <f t="shared" si="517"/>
        <v>0</v>
      </c>
      <c r="V2539">
        <f t="shared" si="518"/>
        <v>54296.703296703301</v>
      </c>
      <c r="W2539">
        <f t="shared" si="519"/>
        <v>0</v>
      </c>
      <c r="X2539">
        <v>0</v>
      </c>
    </row>
    <row r="2540" spans="1:24" x14ac:dyDescent="0.25">
      <c r="A2540" t="s">
        <v>1968</v>
      </c>
      <c r="B2540" t="s">
        <v>2142</v>
      </c>
      <c r="C2540" t="s">
        <v>2143</v>
      </c>
      <c r="D2540" t="s">
        <v>269</v>
      </c>
      <c r="E2540" t="s">
        <v>277</v>
      </c>
      <c r="F2540" t="s">
        <v>1</v>
      </c>
      <c r="G2540" t="s">
        <v>982</v>
      </c>
      <c r="H2540" t="s">
        <v>990</v>
      </c>
      <c r="I2540" t="s">
        <v>1</v>
      </c>
      <c r="J2540">
        <v>2273431.0099999998</v>
      </c>
      <c r="K2540">
        <v>2186742.0520576099</v>
      </c>
      <c r="L2540">
        <v>951400</v>
      </c>
      <c r="M2540">
        <v>1918569.0607734807</v>
      </c>
      <c r="N2540">
        <v>1929800</v>
      </c>
      <c r="O2540">
        <v>1913254.94505495</v>
      </c>
      <c r="P2540">
        <v>0</v>
      </c>
      <c r="Q2540">
        <f t="shared" si="515"/>
        <v>1913254.94505495</v>
      </c>
      <c r="R2540">
        <v>1913254.94505495</v>
      </c>
      <c r="S2540">
        <f t="shared" si="516"/>
        <v>0</v>
      </c>
      <c r="T2540">
        <v>0</v>
      </c>
      <c r="U2540">
        <f t="shared" si="517"/>
        <v>0</v>
      </c>
      <c r="V2540">
        <f t="shared" si="518"/>
        <v>1913254.94505495</v>
      </c>
      <c r="W2540">
        <f t="shared" si="519"/>
        <v>0</v>
      </c>
      <c r="X2540">
        <v>0</v>
      </c>
    </row>
    <row r="2541" spans="1:24" x14ac:dyDescent="0.25">
      <c r="A2541" t="s">
        <v>1968</v>
      </c>
      <c r="B2541" t="s">
        <v>2142</v>
      </c>
      <c r="C2541" t="s">
        <v>2143</v>
      </c>
      <c r="D2541" t="s">
        <v>269</v>
      </c>
      <c r="E2541" t="s">
        <v>278</v>
      </c>
      <c r="F2541" t="s">
        <v>1</v>
      </c>
      <c r="G2541" t="s">
        <v>982</v>
      </c>
      <c r="H2541" t="s">
        <v>991</v>
      </c>
      <c r="I2541" t="s">
        <v>1</v>
      </c>
      <c r="J2541">
        <v>535300</v>
      </c>
      <c r="K2541">
        <v>619598.765432099</v>
      </c>
      <c r="L2541">
        <v>249400</v>
      </c>
      <c r="M2541">
        <v>502933.7016574585</v>
      </c>
      <c r="N2541">
        <v>511400</v>
      </c>
      <c r="O2541">
        <v>501540.65934065898</v>
      </c>
      <c r="P2541">
        <v>0</v>
      </c>
      <c r="Q2541">
        <f t="shared" si="515"/>
        <v>501540.65934065898</v>
      </c>
      <c r="R2541">
        <v>501540.65934065898</v>
      </c>
      <c r="S2541">
        <f t="shared" si="516"/>
        <v>0</v>
      </c>
      <c r="T2541">
        <v>0</v>
      </c>
      <c r="U2541">
        <f t="shared" si="517"/>
        <v>0</v>
      </c>
      <c r="V2541">
        <f t="shared" si="518"/>
        <v>501540.65934065898</v>
      </c>
      <c r="W2541">
        <f t="shared" si="519"/>
        <v>0</v>
      </c>
      <c r="X2541">
        <v>0</v>
      </c>
    </row>
    <row r="2542" spans="1:24" x14ac:dyDescent="0.25">
      <c r="A2542" t="s">
        <v>1968</v>
      </c>
      <c r="B2542" t="s">
        <v>2142</v>
      </c>
      <c r="C2542" t="s">
        <v>2143</v>
      </c>
      <c r="D2542" t="s">
        <v>269</v>
      </c>
      <c r="E2542" t="s">
        <v>279</v>
      </c>
      <c r="F2542" t="s">
        <v>1</v>
      </c>
      <c r="G2542" t="s">
        <v>982</v>
      </c>
      <c r="H2542" t="s">
        <v>992</v>
      </c>
      <c r="I2542" t="s">
        <v>1</v>
      </c>
      <c r="J2542">
        <v>86758.56</v>
      </c>
      <c r="K2542">
        <v>88573.333333333503</v>
      </c>
      <c r="L2542">
        <v>0</v>
      </c>
      <c r="M2542">
        <v>0</v>
      </c>
      <c r="N2542">
        <v>30058.559999999998</v>
      </c>
      <c r="O2542"/>
      <c r="P2542">
        <v>0</v>
      </c>
      <c r="Q2542">
        <f t="shared" si="515"/>
        <v>0</v>
      </c>
      <c r="R2542">
        <v>0</v>
      </c>
      <c r="S2542">
        <f t="shared" si="516"/>
        <v>0</v>
      </c>
      <c r="T2542">
        <v>0.04</v>
      </c>
      <c r="U2542">
        <f t="shared" si="517"/>
        <v>0</v>
      </c>
      <c r="V2542">
        <f t="shared" si="518"/>
        <v>0</v>
      </c>
      <c r="W2542">
        <f t="shared" si="519"/>
        <v>0</v>
      </c>
      <c r="X2542">
        <v>0</v>
      </c>
    </row>
    <row r="2543" spans="1:24" x14ac:dyDescent="0.25">
      <c r="A2543" t="s">
        <v>1968</v>
      </c>
      <c r="B2543" t="s">
        <v>2142</v>
      </c>
      <c r="C2543" t="s">
        <v>2143</v>
      </c>
      <c r="D2543" t="s">
        <v>269</v>
      </c>
      <c r="E2543" t="s">
        <v>280</v>
      </c>
      <c r="F2543" t="s">
        <v>1</v>
      </c>
      <c r="G2543" t="s">
        <v>982</v>
      </c>
      <c r="H2543" t="s">
        <v>993</v>
      </c>
      <c r="I2543" t="s">
        <v>1</v>
      </c>
      <c r="J2543"/>
      <c r="K2543"/>
      <c r="L2543">
        <v>4500</v>
      </c>
      <c r="M2543">
        <v>9074.5856353591153</v>
      </c>
      <c r="N2543">
        <v>4500</v>
      </c>
      <c r="O2543">
        <v>9049.4505494505993</v>
      </c>
      <c r="P2543">
        <v>0</v>
      </c>
      <c r="Q2543">
        <f t="shared" si="515"/>
        <v>9049.4505494505993</v>
      </c>
      <c r="R2543">
        <v>9049.4505494505993</v>
      </c>
      <c r="S2543">
        <f t="shared" si="516"/>
        <v>0</v>
      </c>
      <c r="T2543">
        <v>0.02</v>
      </c>
      <c r="U2543">
        <f t="shared" si="517"/>
        <v>180.989010989012</v>
      </c>
      <c r="V2543">
        <f t="shared" si="518"/>
        <v>9230.4395604396104</v>
      </c>
      <c r="W2543">
        <f t="shared" si="519"/>
        <v>180.98901098901115</v>
      </c>
      <c r="X2543">
        <v>0</v>
      </c>
    </row>
    <row r="2544" spans="1:24" x14ac:dyDescent="0.25">
      <c r="A2544" t="s">
        <v>1968</v>
      </c>
      <c r="B2544" t="s">
        <v>2142</v>
      </c>
      <c r="C2544" t="s">
        <v>2143</v>
      </c>
      <c r="D2544" t="s">
        <v>269</v>
      </c>
      <c r="E2544" t="s">
        <v>20</v>
      </c>
      <c r="F2544" t="s">
        <v>1</v>
      </c>
      <c r="G2544" t="s">
        <v>982</v>
      </c>
      <c r="H2544" t="s">
        <v>420</v>
      </c>
      <c r="I2544" t="s">
        <v>1</v>
      </c>
      <c r="J2544">
        <v>17628297.16</v>
      </c>
      <c r="K2544">
        <v>18168761.807889301</v>
      </c>
      <c r="L2544">
        <v>11198602.49</v>
      </c>
      <c r="M2544">
        <v>22582817.175966851</v>
      </c>
      <c r="N2544">
        <v>20847995.140000001</v>
      </c>
      <c r="O2544">
        <v>22520266.5458242</v>
      </c>
      <c r="P2544">
        <v>0</v>
      </c>
      <c r="Q2544">
        <f t="shared" si="515"/>
        <v>22520266.5458242</v>
      </c>
      <c r="R2544">
        <v>22520266.5458242</v>
      </c>
      <c r="S2544">
        <f t="shared" si="516"/>
        <v>0</v>
      </c>
      <c r="T2544">
        <v>0.04</v>
      </c>
      <c r="U2544">
        <f t="shared" si="517"/>
        <v>900810.66183296801</v>
      </c>
      <c r="V2544">
        <f t="shared" si="518"/>
        <v>23421077.20765717</v>
      </c>
      <c r="W2544">
        <f t="shared" si="519"/>
        <v>900810.66183296964</v>
      </c>
      <c r="X2544">
        <v>0</v>
      </c>
    </row>
    <row r="2545" spans="1:24" x14ac:dyDescent="0.25">
      <c r="A2545" t="s">
        <v>1968</v>
      </c>
      <c r="B2545" t="s">
        <v>2142</v>
      </c>
      <c r="C2545" t="s">
        <v>2143</v>
      </c>
      <c r="D2545" t="s">
        <v>269</v>
      </c>
      <c r="E2545" t="s">
        <v>21</v>
      </c>
      <c r="F2545" t="s">
        <v>1</v>
      </c>
      <c r="G2545" t="s">
        <v>982</v>
      </c>
      <c r="H2545" t="s">
        <v>421</v>
      </c>
      <c r="I2545" t="s">
        <v>1</v>
      </c>
      <c r="J2545">
        <v>9293.36</v>
      </c>
      <c r="K2545">
        <v>10066.869999999801</v>
      </c>
      <c r="L2545">
        <v>6181.75</v>
      </c>
      <c r="M2545">
        <v>12465.959944751381</v>
      </c>
      <c r="N2545">
        <v>10585.249999999998</v>
      </c>
      <c r="O2545">
        <v>12465.959944751399</v>
      </c>
      <c r="P2545">
        <v>0</v>
      </c>
      <c r="Q2545">
        <f t="shared" si="515"/>
        <v>12465.959944751399</v>
      </c>
      <c r="R2545">
        <v>12465.959944751399</v>
      </c>
      <c r="S2545">
        <f t="shared" si="516"/>
        <v>0</v>
      </c>
      <c r="T2545">
        <v>0.03</v>
      </c>
      <c r="U2545">
        <f t="shared" si="517"/>
        <v>373.97879834254195</v>
      </c>
      <c r="V2545">
        <f t="shared" si="518"/>
        <v>12839.938743093941</v>
      </c>
      <c r="W2545">
        <f t="shared" si="519"/>
        <v>373.97879834254127</v>
      </c>
      <c r="X2545">
        <v>0</v>
      </c>
    </row>
    <row r="2546" spans="1:24" x14ac:dyDescent="0.25">
      <c r="A2546" t="s">
        <v>1968</v>
      </c>
      <c r="B2546" t="s">
        <v>2142</v>
      </c>
      <c r="C2546" t="s">
        <v>2143</v>
      </c>
      <c r="D2546" t="s">
        <v>269</v>
      </c>
      <c r="E2546" t="s">
        <v>22</v>
      </c>
      <c r="F2546" t="s">
        <v>1</v>
      </c>
      <c r="G2546" t="s">
        <v>982</v>
      </c>
      <c r="H2546" t="s">
        <v>422</v>
      </c>
      <c r="I2546" t="s">
        <v>1</v>
      </c>
      <c r="J2546">
        <v>41921.660000000003</v>
      </c>
      <c r="K2546">
        <v>40489.200000000099</v>
      </c>
      <c r="L2546">
        <v>31842.7</v>
      </c>
      <c r="M2546">
        <v>64213.179558011048</v>
      </c>
      <c r="N2546">
        <v>54205.67</v>
      </c>
      <c r="O2546">
        <v>64213.179558010997</v>
      </c>
      <c r="P2546">
        <v>0</v>
      </c>
      <c r="Q2546">
        <f t="shared" si="515"/>
        <v>64213.179558010997</v>
      </c>
      <c r="R2546">
        <v>64213.179558010997</v>
      </c>
      <c r="S2546">
        <f t="shared" si="516"/>
        <v>0</v>
      </c>
      <c r="T2546">
        <v>3.5000000000000003E-2</v>
      </c>
      <c r="U2546">
        <f t="shared" si="517"/>
        <v>2247.461284530385</v>
      </c>
      <c r="V2546">
        <f t="shared" si="518"/>
        <v>66460.640842541383</v>
      </c>
      <c r="W2546">
        <f t="shared" si="519"/>
        <v>2247.4612845303855</v>
      </c>
      <c r="X2546">
        <v>0</v>
      </c>
    </row>
    <row r="2547" spans="1:24" x14ac:dyDescent="0.25">
      <c r="A2547" t="s">
        <v>1968</v>
      </c>
      <c r="B2547" t="s">
        <v>2142</v>
      </c>
      <c r="C2547" t="s">
        <v>2143</v>
      </c>
      <c r="D2547" t="s">
        <v>269</v>
      </c>
      <c r="E2547" t="s">
        <v>23</v>
      </c>
      <c r="F2547" t="s">
        <v>1</v>
      </c>
      <c r="G2547" t="s">
        <v>982</v>
      </c>
      <c r="H2547" t="s">
        <v>423</v>
      </c>
      <c r="I2547" t="s">
        <v>1</v>
      </c>
      <c r="J2547">
        <v>99694.45</v>
      </c>
      <c r="K2547">
        <v>135833.4</v>
      </c>
      <c r="L2547">
        <v>47771.5</v>
      </c>
      <c r="M2547">
        <v>96334.792817679554</v>
      </c>
      <c r="N2547">
        <v>81843.69</v>
      </c>
      <c r="O2547">
        <v>96334.792817679598</v>
      </c>
      <c r="P2547">
        <v>0</v>
      </c>
      <c r="Q2547">
        <f t="shared" si="515"/>
        <v>96334.792817679598</v>
      </c>
      <c r="R2547">
        <v>96334.792817679598</v>
      </c>
      <c r="S2547">
        <f t="shared" si="516"/>
        <v>0</v>
      </c>
      <c r="T2547">
        <v>3.5000000000000003E-2</v>
      </c>
      <c r="U2547">
        <f t="shared" si="517"/>
        <v>3371.7177486187861</v>
      </c>
      <c r="V2547">
        <f t="shared" si="518"/>
        <v>99706.510566298384</v>
      </c>
      <c r="W2547">
        <f t="shared" si="519"/>
        <v>3371.7177486187866</v>
      </c>
      <c r="X2547">
        <v>0</v>
      </c>
    </row>
    <row r="2548" spans="1:24" x14ac:dyDescent="0.25">
      <c r="A2548" t="s">
        <v>1968</v>
      </c>
      <c r="B2548" t="s">
        <v>2142</v>
      </c>
      <c r="C2548" t="s">
        <v>2143</v>
      </c>
      <c r="D2548" t="s">
        <v>269</v>
      </c>
      <c r="E2548" t="s">
        <v>26</v>
      </c>
      <c r="F2548" t="s">
        <v>1</v>
      </c>
      <c r="G2548" t="s">
        <v>982</v>
      </c>
      <c r="H2548" t="s">
        <v>426</v>
      </c>
      <c r="I2548" t="s">
        <v>1</v>
      </c>
      <c r="J2548"/>
      <c r="K2548">
        <v>461.18203309799998</v>
      </c>
      <c r="L2548">
        <v>0</v>
      </c>
      <c r="M2548">
        <v>0</v>
      </c>
      <c r="N2548">
        <v>0</v>
      </c>
      <c r="O2548"/>
      <c r="P2548">
        <v>0</v>
      </c>
      <c r="Q2548">
        <f t="shared" si="515"/>
        <v>0</v>
      </c>
      <c r="R2548">
        <v>0</v>
      </c>
      <c r="S2548">
        <f t="shared" si="516"/>
        <v>0</v>
      </c>
      <c r="T2548"/>
      <c r="U2548">
        <f t="shared" si="517"/>
        <v>0</v>
      </c>
      <c r="V2548">
        <f t="shared" si="518"/>
        <v>0</v>
      </c>
      <c r="W2548">
        <f t="shared" si="519"/>
        <v>0</v>
      </c>
      <c r="X2548">
        <v>0</v>
      </c>
    </row>
    <row r="2549" spans="1:24" x14ac:dyDescent="0.25">
      <c r="A2549" t="s">
        <v>1968</v>
      </c>
      <c r="B2549" t="s">
        <v>2142</v>
      </c>
      <c r="C2549" t="s">
        <v>2143</v>
      </c>
      <c r="D2549" t="s">
        <v>269</v>
      </c>
      <c r="E2549" t="s">
        <v>27</v>
      </c>
      <c r="F2549" t="s">
        <v>1</v>
      </c>
      <c r="G2549" t="s">
        <v>982</v>
      </c>
      <c r="H2549" t="s">
        <v>427</v>
      </c>
      <c r="I2549" t="s">
        <v>1</v>
      </c>
      <c r="J2549">
        <v>2578.77</v>
      </c>
      <c r="K2549">
        <v>2589.9999999995998</v>
      </c>
      <c r="L2549">
        <v>957.79</v>
      </c>
      <c r="M2549">
        <v>1931.4549723756904</v>
      </c>
      <c r="N2549">
        <v>2013.7199999999998</v>
      </c>
      <c r="O2549">
        <v>1915.58</v>
      </c>
      <c r="P2549">
        <v>0</v>
      </c>
      <c r="Q2549">
        <f t="shared" si="515"/>
        <v>1915.58</v>
      </c>
      <c r="R2549">
        <v>1915.58</v>
      </c>
      <c r="S2549">
        <f t="shared" si="516"/>
        <v>0</v>
      </c>
      <c r="T2549"/>
      <c r="U2549">
        <f t="shared" si="517"/>
        <v>0</v>
      </c>
      <c r="V2549">
        <f t="shared" si="518"/>
        <v>1915.58</v>
      </c>
      <c r="W2549">
        <f t="shared" si="519"/>
        <v>0</v>
      </c>
      <c r="X2549">
        <v>0</v>
      </c>
    </row>
    <row r="2550" spans="1:24" x14ac:dyDescent="0.25">
      <c r="A2550" t="s">
        <v>1968</v>
      </c>
      <c r="B2550" t="s">
        <v>2142</v>
      </c>
      <c r="C2550" t="s">
        <v>2143</v>
      </c>
      <c r="D2550" t="s">
        <v>269</v>
      </c>
      <c r="E2550" t="s">
        <v>28</v>
      </c>
      <c r="F2550" t="s">
        <v>1</v>
      </c>
      <c r="G2550" t="s">
        <v>982</v>
      </c>
      <c r="H2550" t="s">
        <v>428</v>
      </c>
      <c r="I2550" t="s">
        <v>1</v>
      </c>
      <c r="J2550">
        <v>34524.65</v>
      </c>
      <c r="K2550">
        <v>33789.9999999996</v>
      </c>
      <c r="L2550">
        <v>1839.55</v>
      </c>
      <c r="M2550">
        <v>3709.5897790055246</v>
      </c>
      <c r="N2550">
        <v>19791.04</v>
      </c>
      <c r="O2550">
        <v>3679.1</v>
      </c>
      <c r="P2550">
        <v>0</v>
      </c>
      <c r="Q2550">
        <f t="shared" si="515"/>
        <v>3679.1</v>
      </c>
      <c r="R2550">
        <v>3679.1</v>
      </c>
      <c r="S2550">
        <f t="shared" si="516"/>
        <v>0</v>
      </c>
      <c r="T2550"/>
      <c r="U2550">
        <f t="shared" si="517"/>
        <v>0</v>
      </c>
      <c r="V2550">
        <f t="shared" si="518"/>
        <v>3679.1</v>
      </c>
      <c r="W2550">
        <f t="shared" si="519"/>
        <v>0</v>
      </c>
      <c r="X2550">
        <v>0</v>
      </c>
    </row>
    <row r="2551" spans="1:24" x14ac:dyDescent="0.25">
      <c r="A2551" t="s">
        <v>1968</v>
      </c>
      <c r="B2551" t="s">
        <v>2142</v>
      </c>
      <c r="C2551" t="s">
        <v>2143</v>
      </c>
      <c r="D2551" t="s">
        <v>269</v>
      </c>
      <c r="E2551" t="s">
        <v>29</v>
      </c>
      <c r="F2551" t="s">
        <v>1</v>
      </c>
      <c r="G2551" t="s">
        <v>982</v>
      </c>
      <c r="H2551" t="s">
        <v>429</v>
      </c>
      <c r="I2551" t="s">
        <v>1</v>
      </c>
      <c r="J2551"/>
      <c r="K2551"/>
      <c r="L2551">
        <v>1301.01</v>
      </c>
      <c r="M2551">
        <v>2623.5837016574583</v>
      </c>
      <c r="N2551">
        <v>1301.01</v>
      </c>
      <c r="O2551">
        <v>2602.02</v>
      </c>
      <c r="P2551">
        <v>0</v>
      </c>
      <c r="Q2551">
        <f t="shared" si="515"/>
        <v>2602.02</v>
      </c>
      <c r="R2551">
        <v>0</v>
      </c>
      <c r="S2551">
        <f t="shared" si="516"/>
        <v>-2602.02</v>
      </c>
      <c r="T2551"/>
      <c r="U2551">
        <f t="shared" si="517"/>
        <v>0</v>
      </c>
      <c r="V2551">
        <f t="shared" si="518"/>
        <v>0</v>
      </c>
      <c r="W2551">
        <f t="shared" si="519"/>
        <v>-2602.02</v>
      </c>
      <c r="X2551">
        <v>0</v>
      </c>
    </row>
    <row r="2552" spans="1:24" x14ac:dyDescent="0.25">
      <c r="A2552" t="s">
        <v>1968</v>
      </c>
      <c r="B2552" t="s">
        <v>2142</v>
      </c>
      <c r="C2552" t="s">
        <v>2143</v>
      </c>
      <c r="D2552" t="s">
        <v>269</v>
      </c>
      <c r="E2552" t="s">
        <v>31</v>
      </c>
      <c r="F2552" t="s">
        <v>1</v>
      </c>
      <c r="G2552" t="s">
        <v>982</v>
      </c>
      <c r="H2552" t="s">
        <v>431</v>
      </c>
      <c r="I2552" t="s">
        <v>1</v>
      </c>
      <c r="J2552">
        <v>64</v>
      </c>
      <c r="K2552">
        <v>500.00000000040001</v>
      </c>
      <c r="L2552">
        <v>0</v>
      </c>
      <c r="M2552">
        <v>0</v>
      </c>
      <c r="N2552">
        <v>64</v>
      </c>
      <c r="O2552"/>
      <c r="P2552">
        <v>0</v>
      </c>
      <c r="Q2552">
        <f t="shared" si="515"/>
        <v>0</v>
      </c>
      <c r="R2552">
        <v>0</v>
      </c>
      <c r="S2552">
        <f t="shared" si="516"/>
        <v>0</v>
      </c>
      <c r="T2552"/>
      <c r="U2552">
        <f t="shared" si="517"/>
        <v>0</v>
      </c>
      <c r="V2552">
        <f t="shared" si="518"/>
        <v>0</v>
      </c>
      <c r="W2552">
        <f t="shared" si="519"/>
        <v>0</v>
      </c>
      <c r="X2552">
        <v>0</v>
      </c>
    </row>
    <row r="2553" spans="1:24" x14ac:dyDescent="0.25">
      <c r="A2553" t="s">
        <v>1968</v>
      </c>
      <c r="B2553" t="s">
        <v>2142</v>
      </c>
      <c r="C2553" t="s">
        <v>2143</v>
      </c>
      <c r="D2553" t="s">
        <v>269</v>
      </c>
      <c r="E2553" t="s">
        <v>33</v>
      </c>
      <c r="F2553" t="s">
        <v>1</v>
      </c>
      <c r="G2553" t="s">
        <v>982</v>
      </c>
      <c r="H2553" t="s">
        <v>433</v>
      </c>
      <c r="I2553" t="s">
        <v>1</v>
      </c>
      <c r="J2553">
        <v>2545.09</v>
      </c>
      <c r="K2553">
        <v>3532.4581258608</v>
      </c>
      <c r="L2553">
        <v>586.41</v>
      </c>
      <c r="M2553">
        <v>1182.5395027624309</v>
      </c>
      <c r="N2553">
        <v>3131.5</v>
      </c>
      <c r="O2553">
        <v>1172.82</v>
      </c>
      <c r="P2553">
        <v>0</v>
      </c>
      <c r="Q2553">
        <f t="shared" si="515"/>
        <v>1172.82</v>
      </c>
      <c r="R2553">
        <v>600</v>
      </c>
      <c r="S2553">
        <f t="shared" si="516"/>
        <v>-572.81999999999994</v>
      </c>
      <c r="T2553"/>
      <c r="U2553">
        <f t="shared" si="517"/>
        <v>0</v>
      </c>
      <c r="V2553">
        <f t="shared" si="518"/>
        <v>600</v>
      </c>
      <c r="W2553">
        <f t="shared" si="519"/>
        <v>-572.81999999999994</v>
      </c>
      <c r="X2553" t="s">
        <v>1713</v>
      </c>
    </row>
    <row r="2554" spans="1:24" x14ac:dyDescent="0.25">
      <c r="A2554" t="s">
        <v>1968</v>
      </c>
      <c r="B2554" t="s">
        <v>2142</v>
      </c>
      <c r="C2554" t="s">
        <v>2143</v>
      </c>
      <c r="D2554" t="s">
        <v>269</v>
      </c>
      <c r="E2554" t="s">
        <v>34</v>
      </c>
      <c r="F2554" t="s">
        <v>1</v>
      </c>
      <c r="G2554" t="s">
        <v>982</v>
      </c>
      <c r="H2554" t="s">
        <v>434</v>
      </c>
      <c r="I2554" t="s">
        <v>1</v>
      </c>
      <c r="J2554">
        <v>260.07</v>
      </c>
      <c r="K2554"/>
      <c r="L2554">
        <v>0</v>
      </c>
      <c r="M2554">
        <v>0</v>
      </c>
      <c r="N2554">
        <v>260.07</v>
      </c>
      <c r="O2554"/>
      <c r="P2554">
        <v>0</v>
      </c>
      <c r="Q2554">
        <f t="shared" si="515"/>
        <v>0</v>
      </c>
      <c r="R2554">
        <v>0</v>
      </c>
      <c r="S2554">
        <f t="shared" si="516"/>
        <v>0</v>
      </c>
      <c r="T2554"/>
      <c r="U2554">
        <f t="shared" si="517"/>
        <v>0</v>
      </c>
      <c r="V2554">
        <f t="shared" si="518"/>
        <v>0</v>
      </c>
      <c r="W2554">
        <f t="shared" si="519"/>
        <v>0</v>
      </c>
      <c r="X2554">
        <v>0</v>
      </c>
    </row>
    <row r="2555" spans="1:24" x14ac:dyDescent="0.25">
      <c r="A2555" t="s">
        <v>1968</v>
      </c>
      <c r="B2555" t="s">
        <v>2142</v>
      </c>
      <c r="C2555" t="s">
        <v>2143</v>
      </c>
      <c r="D2555" t="s">
        <v>269</v>
      </c>
      <c r="E2555" t="s">
        <v>35</v>
      </c>
      <c r="F2555" t="s">
        <v>1</v>
      </c>
      <c r="G2555" t="s">
        <v>982</v>
      </c>
      <c r="H2555" t="s">
        <v>435</v>
      </c>
      <c r="I2555" t="s">
        <v>1</v>
      </c>
      <c r="J2555">
        <v>1329.52</v>
      </c>
      <c r="K2555">
        <v>1790.0000000004</v>
      </c>
      <c r="L2555">
        <v>435.63</v>
      </c>
      <c r="M2555">
        <v>878.48038674033148</v>
      </c>
      <c r="N2555">
        <v>1012.5600000000001</v>
      </c>
      <c r="O2555">
        <v>871.26</v>
      </c>
      <c r="P2555">
        <v>0</v>
      </c>
      <c r="Q2555">
        <f t="shared" si="515"/>
        <v>871.26</v>
      </c>
      <c r="R2555">
        <v>871.26</v>
      </c>
      <c r="S2555">
        <f t="shared" si="516"/>
        <v>0</v>
      </c>
      <c r="T2555"/>
      <c r="U2555">
        <f t="shared" si="517"/>
        <v>0</v>
      </c>
      <c r="V2555">
        <f t="shared" si="518"/>
        <v>871.26</v>
      </c>
      <c r="W2555">
        <f t="shared" si="519"/>
        <v>0</v>
      </c>
      <c r="X2555">
        <v>0</v>
      </c>
    </row>
    <row r="2556" spans="1:24" x14ac:dyDescent="0.25">
      <c r="A2556" t="s">
        <v>1968</v>
      </c>
      <c r="B2556" t="s">
        <v>2142</v>
      </c>
      <c r="C2556" t="s">
        <v>2143</v>
      </c>
      <c r="D2556" t="s">
        <v>269</v>
      </c>
      <c r="E2556" t="s">
        <v>37</v>
      </c>
      <c r="F2556" t="s">
        <v>1</v>
      </c>
      <c r="G2556" t="s">
        <v>982</v>
      </c>
      <c r="H2556" t="s">
        <v>437</v>
      </c>
      <c r="I2556" t="s">
        <v>1</v>
      </c>
      <c r="J2556">
        <v>7171.35</v>
      </c>
      <c r="K2556"/>
      <c r="L2556">
        <v>801.2</v>
      </c>
      <c r="M2556">
        <v>1615.6795580110497</v>
      </c>
      <c r="N2556">
        <v>5988.62</v>
      </c>
      <c r="O2556">
        <v>1602.4</v>
      </c>
      <c r="P2556">
        <v>0</v>
      </c>
      <c r="Q2556">
        <f t="shared" si="515"/>
        <v>1602.4</v>
      </c>
      <c r="R2556">
        <v>1602.4</v>
      </c>
      <c r="S2556">
        <f t="shared" si="516"/>
        <v>0</v>
      </c>
      <c r="T2556"/>
      <c r="U2556">
        <f t="shared" si="517"/>
        <v>0</v>
      </c>
      <c r="V2556">
        <f t="shared" si="518"/>
        <v>1602.4</v>
      </c>
      <c r="W2556">
        <f t="shared" si="519"/>
        <v>0</v>
      </c>
      <c r="X2556">
        <v>0</v>
      </c>
    </row>
    <row r="2557" spans="1:24" x14ac:dyDescent="0.25">
      <c r="A2557" t="s">
        <v>1968</v>
      </c>
      <c r="B2557" t="s">
        <v>2142</v>
      </c>
      <c r="C2557" t="s">
        <v>2143</v>
      </c>
      <c r="D2557" t="s">
        <v>269</v>
      </c>
      <c r="E2557" t="s">
        <v>121</v>
      </c>
      <c r="F2557" t="s">
        <v>1</v>
      </c>
      <c r="G2557" t="s">
        <v>982</v>
      </c>
      <c r="H2557" t="s">
        <v>590</v>
      </c>
      <c r="I2557" t="s">
        <v>1</v>
      </c>
      <c r="J2557">
        <v>450428.42</v>
      </c>
      <c r="K2557">
        <v>220369.290635916</v>
      </c>
      <c r="L2557">
        <v>312040.44</v>
      </c>
      <c r="M2557">
        <v>629252.82099447516</v>
      </c>
      <c r="N2557">
        <v>595378.29</v>
      </c>
      <c r="O2557">
        <v>624080.88</v>
      </c>
      <c r="P2557">
        <v>0</v>
      </c>
      <c r="Q2557">
        <f t="shared" si="515"/>
        <v>624080.88</v>
      </c>
      <c r="R2557">
        <v>0</v>
      </c>
      <c r="S2557">
        <f t="shared" si="516"/>
        <v>-624080.88</v>
      </c>
      <c r="T2557"/>
      <c r="U2557">
        <f t="shared" si="517"/>
        <v>0</v>
      </c>
      <c r="V2557">
        <f t="shared" si="518"/>
        <v>0</v>
      </c>
      <c r="W2557">
        <f t="shared" si="519"/>
        <v>-624080.88</v>
      </c>
      <c r="X2557">
        <v>0</v>
      </c>
    </row>
    <row r="2558" spans="1:24" x14ac:dyDescent="0.25">
      <c r="A2558" t="s">
        <v>1968</v>
      </c>
      <c r="B2558" t="s">
        <v>2142</v>
      </c>
      <c r="C2558" t="s">
        <v>2143</v>
      </c>
      <c r="D2558" t="s">
        <v>269</v>
      </c>
      <c r="E2558" t="s">
        <v>40</v>
      </c>
      <c r="F2558" t="s">
        <v>1</v>
      </c>
      <c r="G2558" t="s">
        <v>982</v>
      </c>
      <c r="H2558" t="s">
        <v>440</v>
      </c>
      <c r="I2558" t="s">
        <v>1</v>
      </c>
      <c r="J2558">
        <v>449252.55</v>
      </c>
      <c r="K2558">
        <v>427123.14579396101</v>
      </c>
      <c r="L2558">
        <v>202038.27</v>
      </c>
      <c r="M2558">
        <v>407425.24060773477</v>
      </c>
      <c r="N2558">
        <v>433615.28</v>
      </c>
      <c r="O2558">
        <v>404076.54</v>
      </c>
      <c r="P2558">
        <v>0</v>
      </c>
      <c r="Q2558">
        <f t="shared" si="515"/>
        <v>404076.54</v>
      </c>
      <c r="R2558">
        <v>429610</v>
      </c>
      <c r="S2558">
        <f t="shared" si="516"/>
        <v>25533.460000000021</v>
      </c>
      <c r="T2558">
        <v>0.03</v>
      </c>
      <c r="U2558">
        <f t="shared" si="517"/>
        <v>12888.3</v>
      </c>
      <c r="V2558">
        <f t="shared" si="518"/>
        <v>442498.3</v>
      </c>
      <c r="W2558">
        <f t="shared" si="519"/>
        <v>38421.760000000009</v>
      </c>
      <c r="X2558" t="s">
        <v>1714</v>
      </c>
    </row>
    <row r="2559" spans="1:24" x14ac:dyDescent="0.25">
      <c r="A2559" t="s">
        <v>1968</v>
      </c>
      <c r="B2559" t="s">
        <v>2142</v>
      </c>
      <c r="C2559" t="s">
        <v>2143</v>
      </c>
      <c r="D2559" t="s">
        <v>269</v>
      </c>
      <c r="E2559" t="s">
        <v>76</v>
      </c>
      <c r="F2559" t="s">
        <v>1</v>
      </c>
      <c r="G2559" t="s">
        <v>982</v>
      </c>
      <c r="H2559" t="s">
        <v>493</v>
      </c>
      <c r="I2559" t="s">
        <v>1</v>
      </c>
      <c r="J2559">
        <v>1466121.47</v>
      </c>
      <c r="K2559">
        <v>1486930.87508583</v>
      </c>
      <c r="L2559">
        <v>785311.48</v>
      </c>
      <c r="M2559">
        <v>1583639.1723756907</v>
      </c>
      <c r="N2559">
        <v>1456478.4</v>
      </c>
      <c r="O2559">
        <v>1570622.96</v>
      </c>
      <c r="P2559">
        <v>0</v>
      </c>
      <c r="Q2559">
        <f t="shared" si="515"/>
        <v>1570622.96</v>
      </c>
      <c r="R2559">
        <v>1631488</v>
      </c>
      <c r="S2559">
        <f t="shared" si="516"/>
        <v>60865.040000000037</v>
      </c>
      <c r="T2559">
        <v>0.03</v>
      </c>
      <c r="U2559">
        <f t="shared" si="517"/>
        <v>48944.639999999999</v>
      </c>
      <c r="V2559">
        <f t="shared" si="518"/>
        <v>1680432.64</v>
      </c>
      <c r="W2559">
        <f t="shared" si="519"/>
        <v>109809.67999999993</v>
      </c>
      <c r="X2559" t="s">
        <v>1715</v>
      </c>
    </row>
    <row r="2560" spans="1:24" x14ac:dyDescent="0.25">
      <c r="A2560" t="s">
        <v>1968</v>
      </c>
      <c r="B2560" t="s">
        <v>2142</v>
      </c>
      <c r="C2560" t="s">
        <v>2143</v>
      </c>
      <c r="D2560" t="s">
        <v>269</v>
      </c>
      <c r="E2560" t="s">
        <v>41</v>
      </c>
      <c r="F2560" t="s">
        <v>1</v>
      </c>
      <c r="G2560" t="s">
        <v>982</v>
      </c>
      <c r="H2560" t="s">
        <v>441</v>
      </c>
      <c r="I2560" t="s">
        <v>1</v>
      </c>
      <c r="J2560">
        <v>407841.48</v>
      </c>
      <c r="K2560">
        <v>338438.62047783402</v>
      </c>
      <c r="L2560">
        <v>229487.98</v>
      </c>
      <c r="M2560">
        <v>462779.62817679561</v>
      </c>
      <c r="N2560">
        <v>457660.52999999997</v>
      </c>
      <c r="O2560">
        <v>458975.96</v>
      </c>
      <c r="P2560">
        <v>0</v>
      </c>
      <c r="Q2560">
        <f t="shared" si="515"/>
        <v>458975.96</v>
      </c>
      <c r="R2560">
        <v>458975.96</v>
      </c>
      <c r="S2560">
        <f t="shared" si="516"/>
        <v>0</v>
      </c>
      <c r="T2560">
        <v>0.03</v>
      </c>
      <c r="U2560">
        <f t="shared" si="517"/>
        <v>13769.2788</v>
      </c>
      <c r="V2560">
        <f t="shared" si="518"/>
        <v>472745.23880000005</v>
      </c>
      <c r="W2560">
        <f t="shared" si="519"/>
        <v>13769.278800000029</v>
      </c>
      <c r="X2560">
        <v>0</v>
      </c>
    </row>
    <row r="2561" spans="1:24" x14ac:dyDescent="0.25">
      <c r="A2561" t="s">
        <v>1968</v>
      </c>
      <c r="B2561" t="s">
        <v>2142</v>
      </c>
      <c r="C2561" t="s">
        <v>2143</v>
      </c>
      <c r="D2561" t="s">
        <v>269</v>
      </c>
      <c r="E2561" t="s">
        <v>140</v>
      </c>
      <c r="F2561" t="s">
        <v>1</v>
      </c>
      <c r="G2561" t="s">
        <v>982</v>
      </c>
      <c r="H2561" t="s">
        <v>637</v>
      </c>
      <c r="I2561" t="s">
        <v>1</v>
      </c>
      <c r="J2561">
        <v>4964.3</v>
      </c>
      <c r="K2561">
        <v>4997.0000000004002</v>
      </c>
      <c r="L2561">
        <v>2271.54</v>
      </c>
      <c r="M2561">
        <v>4580.7298342541435</v>
      </c>
      <c r="N2561">
        <v>4729.59</v>
      </c>
      <c r="O2561">
        <v>4543.08</v>
      </c>
      <c r="P2561">
        <v>0</v>
      </c>
      <c r="Q2561">
        <f t="shared" si="515"/>
        <v>4543.08</v>
      </c>
      <c r="R2561">
        <v>4543.08</v>
      </c>
      <c r="S2561">
        <f t="shared" si="516"/>
        <v>0</v>
      </c>
      <c r="T2561">
        <v>0.03</v>
      </c>
      <c r="U2561">
        <f t="shared" si="517"/>
        <v>136.29239999999999</v>
      </c>
      <c r="V2561">
        <f t="shared" si="518"/>
        <v>4679.3724000000002</v>
      </c>
      <c r="W2561">
        <f t="shared" si="519"/>
        <v>136.29240000000027</v>
      </c>
      <c r="X2561">
        <v>0</v>
      </c>
    </row>
    <row r="2562" spans="1:24" x14ac:dyDescent="0.25">
      <c r="A2562" t="s">
        <v>1968</v>
      </c>
      <c r="B2562" t="s">
        <v>2142</v>
      </c>
      <c r="C2562" t="s">
        <v>2143</v>
      </c>
      <c r="D2562" t="s">
        <v>269</v>
      </c>
      <c r="E2562" t="s">
        <v>42</v>
      </c>
      <c r="F2562" t="s">
        <v>1</v>
      </c>
      <c r="G2562" t="s">
        <v>982</v>
      </c>
      <c r="H2562" t="s">
        <v>442</v>
      </c>
      <c r="I2562" t="s">
        <v>1</v>
      </c>
      <c r="J2562">
        <v>43700.68</v>
      </c>
      <c r="K2562"/>
      <c r="L2562">
        <v>12176.91</v>
      </c>
      <c r="M2562">
        <v>24555.647237569061</v>
      </c>
      <c r="N2562">
        <v>64320.530000000013</v>
      </c>
      <c r="O2562">
        <v>24353.82</v>
      </c>
      <c r="P2562">
        <v>0</v>
      </c>
      <c r="Q2562">
        <f t="shared" si="515"/>
        <v>24353.82</v>
      </c>
      <c r="R2562">
        <v>24353.82</v>
      </c>
      <c r="S2562">
        <f t="shared" si="516"/>
        <v>0</v>
      </c>
      <c r="T2562">
        <v>0.03</v>
      </c>
      <c r="U2562">
        <f t="shared" si="517"/>
        <v>730.6146</v>
      </c>
      <c r="V2562">
        <f t="shared" si="518"/>
        <v>25084.434600000001</v>
      </c>
      <c r="W2562">
        <f t="shared" si="519"/>
        <v>730.61460000000079</v>
      </c>
      <c r="X2562" t="s">
        <v>1716</v>
      </c>
    </row>
    <row r="2563" spans="1:24" x14ac:dyDescent="0.25">
      <c r="A2563" t="s">
        <v>1968</v>
      </c>
      <c r="B2563" t="s">
        <v>2142</v>
      </c>
      <c r="C2563" t="s">
        <v>2143</v>
      </c>
      <c r="D2563" t="s">
        <v>269</v>
      </c>
      <c r="E2563" t="s">
        <v>43</v>
      </c>
      <c r="F2563" t="s">
        <v>1</v>
      </c>
      <c r="G2563" t="s">
        <v>982</v>
      </c>
      <c r="H2563" t="s">
        <v>443</v>
      </c>
      <c r="I2563" t="s">
        <v>1</v>
      </c>
      <c r="J2563">
        <v>-3604.82</v>
      </c>
      <c r="K2563">
        <v>31169.000400000001</v>
      </c>
      <c r="L2563">
        <v>82039.520000000004</v>
      </c>
      <c r="M2563">
        <v>165438.81104972376</v>
      </c>
      <c r="N2563">
        <v>67702.69</v>
      </c>
      <c r="O2563">
        <v>164079.04000000001</v>
      </c>
      <c r="P2563">
        <v>0</v>
      </c>
      <c r="Q2563">
        <f t="shared" si="515"/>
        <v>164079.04000000001</v>
      </c>
      <c r="R2563">
        <v>164079.04000000001</v>
      </c>
      <c r="S2563">
        <f t="shared" si="516"/>
        <v>0</v>
      </c>
      <c r="T2563">
        <v>0.03</v>
      </c>
      <c r="U2563">
        <f t="shared" si="517"/>
        <v>4922.3712000000005</v>
      </c>
      <c r="V2563">
        <f t="shared" si="518"/>
        <v>169001.4112</v>
      </c>
      <c r="W2563">
        <f t="shared" si="519"/>
        <v>4922.3711999999941</v>
      </c>
      <c r="X2563">
        <v>0</v>
      </c>
    </row>
    <row r="2564" spans="1:24" x14ac:dyDescent="0.25">
      <c r="A2564" t="s">
        <v>1968</v>
      </c>
      <c r="B2564" t="s">
        <v>2142</v>
      </c>
      <c r="C2564" t="s">
        <v>2143</v>
      </c>
      <c r="D2564" t="s">
        <v>269</v>
      </c>
      <c r="E2564" t="s">
        <v>134</v>
      </c>
      <c r="F2564" t="s">
        <v>1</v>
      </c>
      <c r="G2564" t="s">
        <v>982</v>
      </c>
      <c r="H2564" t="s">
        <v>623</v>
      </c>
      <c r="I2564" t="s">
        <v>1</v>
      </c>
      <c r="J2564">
        <v>1312824.5</v>
      </c>
      <c r="K2564">
        <v>1156850.29065431</v>
      </c>
      <c r="L2564">
        <v>488918.14</v>
      </c>
      <c r="M2564">
        <v>985939.89558011061</v>
      </c>
      <c r="N2564">
        <v>1232909.76</v>
      </c>
      <c r="O2564">
        <v>977836.28</v>
      </c>
      <c r="P2564">
        <v>0</v>
      </c>
      <c r="Q2564">
        <f t="shared" si="515"/>
        <v>977836.28</v>
      </c>
      <c r="R2564">
        <v>977836.28</v>
      </c>
      <c r="S2564">
        <f t="shared" si="516"/>
        <v>0</v>
      </c>
      <c r="T2564">
        <v>0.03</v>
      </c>
      <c r="U2564">
        <f t="shared" si="517"/>
        <v>29335.088400000001</v>
      </c>
      <c r="V2564">
        <f t="shared" si="518"/>
        <v>1007171.3684</v>
      </c>
      <c r="W2564">
        <f t="shared" si="519"/>
        <v>29335.088400000008</v>
      </c>
      <c r="X2564">
        <v>0</v>
      </c>
    </row>
    <row r="2565" spans="1:24" x14ac:dyDescent="0.25">
      <c r="A2565" t="s">
        <v>1968</v>
      </c>
      <c r="B2565" t="s">
        <v>2142</v>
      </c>
      <c r="C2565" t="s">
        <v>2143</v>
      </c>
      <c r="D2565" t="s">
        <v>269</v>
      </c>
      <c r="E2565" t="s">
        <v>45</v>
      </c>
      <c r="F2565" t="s">
        <v>1</v>
      </c>
      <c r="G2565" t="s">
        <v>982</v>
      </c>
      <c r="H2565" t="s">
        <v>445</v>
      </c>
      <c r="I2565" t="s">
        <v>1</v>
      </c>
      <c r="J2565">
        <v>245182</v>
      </c>
      <c r="K2565">
        <v>304968</v>
      </c>
      <c r="L2565">
        <v>105538</v>
      </c>
      <c r="M2565">
        <v>212825.24861878454</v>
      </c>
      <c r="N2565">
        <v>184986</v>
      </c>
      <c r="O2565">
        <v>211076</v>
      </c>
      <c r="P2565">
        <v>0</v>
      </c>
      <c r="Q2565">
        <f t="shared" si="515"/>
        <v>211076</v>
      </c>
      <c r="R2565">
        <v>211076</v>
      </c>
      <c r="S2565">
        <f t="shared" si="516"/>
        <v>0</v>
      </c>
      <c r="T2565">
        <v>0.03</v>
      </c>
      <c r="U2565">
        <f t="shared" si="517"/>
        <v>6332.28</v>
      </c>
      <c r="V2565">
        <f t="shared" si="518"/>
        <v>217408.28</v>
      </c>
      <c r="W2565">
        <f t="shared" si="519"/>
        <v>6332.2799999999988</v>
      </c>
      <c r="X2565" t="s">
        <v>1717</v>
      </c>
    </row>
    <row r="2566" spans="1:24" x14ac:dyDescent="0.25">
      <c r="A2566" t="s">
        <v>1968</v>
      </c>
      <c r="B2566" t="s">
        <v>2142</v>
      </c>
      <c r="C2566" t="s">
        <v>2143</v>
      </c>
      <c r="D2566" t="s">
        <v>269</v>
      </c>
      <c r="E2566" t="s">
        <v>281</v>
      </c>
      <c r="F2566" t="s">
        <v>1</v>
      </c>
      <c r="G2566" t="s">
        <v>982</v>
      </c>
      <c r="H2566" t="s">
        <v>994</v>
      </c>
      <c r="I2566" t="s">
        <v>1</v>
      </c>
      <c r="J2566">
        <v>0</v>
      </c>
      <c r="K2566"/>
      <c r="L2566">
        <v>0</v>
      </c>
      <c r="M2566">
        <v>0</v>
      </c>
      <c r="N2566">
        <v>0</v>
      </c>
      <c r="O2566"/>
      <c r="P2566">
        <v>0</v>
      </c>
      <c r="Q2566">
        <f t="shared" si="515"/>
        <v>0</v>
      </c>
      <c r="R2566">
        <v>0</v>
      </c>
      <c r="S2566">
        <f t="shared" si="516"/>
        <v>0</v>
      </c>
      <c r="T2566">
        <v>0.03</v>
      </c>
      <c r="U2566">
        <f t="shared" si="517"/>
        <v>0</v>
      </c>
      <c r="V2566">
        <f t="shared" si="518"/>
        <v>0</v>
      </c>
      <c r="W2566">
        <f t="shared" si="519"/>
        <v>0</v>
      </c>
      <c r="X2566">
        <v>0</v>
      </c>
    </row>
    <row r="2567" spans="1:24" x14ac:dyDescent="0.25">
      <c r="A2567" t="s">
        <v>1968</v>
      </c>
      <c r="B2567" t="s">
        <v>2142</v>
      </c>
      <c r="C2567" t="s">
        <v>2143</v>
      </c>
      <c r="D2567" t="s">
        <v>269</v>
      </c>
      <c r="E2567" t="s">
        <v>46</v>
      </c>
      <c r="F2567" t="s">
        <v>1</v>
      </c>
      <c r="G2567" t="s">
        <v>982</v>
      </c>
      <c r="H2567" t="s">
        <v>446</v>
      </c>
      <c r="I2567" t="s">
        <v>1</v>
      </c>
      <c r="J2567">
        <v>307558.53999999998</v>
      </c>
      <c r="K2567">
        <v>360000</v>
      </c>
      <c r="L2567">
        <v>237599.45</v>
      </c>
      <c r="M2567">
        <v>479137.0124309393</v>
      </c>
      <c r="N2567">
        <v>395073.79</v>
      </c>
      <c r="O2567">
        <v>475198.9</v>
      </c>
      <c r="P2567">
        <v>0</v>
      </c>
      <c r="Q2567">
        <f t="shared" si="515"/>
        <v>475198.9</v>
      </c>
      <c r="R2567">
        <v>475198.9</v>
      </c>
      <c r="S2567">
        <f t="shared" si="516"/>
        <v>0</v>
      </c>
      <c r="T2567">
        <v>0.03</v>
      </c>
      <c r="U2567">
        <f t="shared" si="517"/>
        <v>14255.967000000001</v>
      </c>
      <c r="V2567">
        <f t="shared" si="518"/>
        <v>489454.86700000003</v>
      </c>
      <c r="W2567">
        <f t="shared" si="519"/>
        <v>14255.967000000004</v>
      </c>
      <c r="X2567" t="s">
        <v>1718</v>
      </c>
    </row>
    <row r="2568" spans="1:24" x14ac:dyDescent="0.25">
      <c r="A2568" t="s">
        <v>1968</v>
      </c>
      <c r="B2568" t="s">
        <v>2142</v>
      </c>
      <c r="C2568" t="s">
        <v>2143</v>
      </c>
      <c r="D2568" t="s">
        <v>269</v>
      </c>
      <c r="E2568" t="s">
        <v>47</v>
      </c>
      <c r="F2568" t="s">
        <v>1</v>
      </c>
      <c r="G2568" t="s">
        <v>982</v>
      </c>
      <c r="H2568" t="s">
        <v>447</v>
      </c>
      <c r="I2568" t="s">
        <v>1</v>
      </c>
      <c r="J2568">
        <v>1831</v>
      </c>
      <c r="K2568">
        <v>2316</v>
      </c>
      <c r="L2568">
        <v>1492.56</v>
      </c>
      <c r="M2568">
        <v>3009.8585635359113</v>
      </c>
      <c r="N2568">
        <v>3220.56</v>
      </c>
      <c r="O2568">
        <v>2985.12</v>
      </c>
      <c r="P2568">
        <v>0</v>
      </c>
      <c r="Q2568">
        <f t="shared" ref="Q2568:Q2571" si="520">O2568+P2568</f>
        <v>2985.12</v>
      </c>
      <c r="R2568">
        <v>2985.12</v>
      </c>
      <c r="S2568">
        <f t="shared" ref="S2568:S2571" si="521">IF(OR(LEFT(E2568,2)="A_",LEFT(D2568,5)="Total"),R2568-Q2568,"")</f>
        <v>0</v>
      </c>
      <c r="T2568">
        <v>0.03</v>
      </c>
      <c r="U2568">
        <f t="shared" ref="U2568:U2571" si="522">IFERROR(R2568*T2568,R2568*0)</f>
        <v>89.553599999999989</v>
      </c>
      <c r="V2568">
        <f t="shared" ref="V2568:V2571" si="523">IF(OR(LEFT(E2568,2)="A_",LEFT(D2568,5)="Total"),R2568+U2568,"")</f>
        <v>3074.6736000000001</v>
      </c>
      <c r="W2568">
        <f t="shared" ref="W2568:W2571" si="524">IF(OR(LEFT(E2568,2)="A_",LEFT(D2568,5)="Total"),V2568-Q2568,"")</f>
        <v>89.553600000000188</v>
      </c>
      <c r="X2568">
        <v>0</v>
      </c>
    </row>
    <row r="2569" spans="1:24" x14ac:dyDescent="0.25">
      <c r="A2569" t="s">
        <v>1968</v>
      </c>
      <c r="B2569" t="s">
        <v>2142</v>
      </c>
      <c r="C2569" t="s">
        <v>2143</v>
      </c>
      <c r="D2569" t="s">
        <v>269</v>
      </c>
      <c r="E2569" t="s">
        <v>48</v>
      </c>
      <c r="F2569" t="s">
        <v>1</v>
      </c>
      <c r="G2569" t="s">
        <v>982</v>
      </c>
      <c r="H2569" t="s">
        <v>448</v>
      </c>
      <c r="I2569" t="s">
        <v>1</v>
      </c>
      <c r="J2569">
        <v>7296.32</v>
      </c>
      <c r="K2569">
        <v>7830</v>
      </c>
      <c r="L2569">
        <v>7073.27</v>
      </c>
      <c r="M2569">
        <v>14263.776519337018</v>
      </c>
      <c r="N2569">
        <v>10335.030000000001</v>
      </c>
      <c r="O2569">
        <v>14146.54</v>
      </c>
      <c r="P2569">
        <v>0</v>
      </c>
      <c r="Q2569">
        <f t="shared" si="520"/>
        <v>14146.54</v>
      </c>
      <c r="R2569">
        <v>14146.54</v>
      </c>
      <c r="S2569">
        <f t="shared" si="521"/>
        <v>0</v>
      </c>
      <c r="T2569">
        <v>0.03</v>
      </c>
      <c r="U2569">
        <f t="shared" si="522"/>
        <v>424.39620000000002</v>
      </c>
      <c r="V2569">
        <f t="shared" si="523"/>
        <v>14570.9362</v>
      </c>
      <c r="W2569">
        <f t="shared" si="524"/>
        <v>424.39619999999923</v>
      </c>
      <c r="X2569" t="s">
        <v>1719</v>
      </c>
    </row>
    <row r="2570" spans="1:24" x14ac:dyDescent="0.25">
      <c r="A2570" t="s">
        <v>1968</v>
      </c>
      <c r="B2570" t="s">
        <v>2142</v>
      </c>
      <c r="C2570" t="s">
        <v>2143</v>
      </c>
      <c r="D2570" t="s">
        <v>269</v>
      </c>
      <c r="E2570" t="s">
        <v>282</v>
      </c>
      <c r="F2570" t="s">
        <v>1</v>
      </c>
      <c r="G2570" t="s">
        <v>982</v>
      </c>
      <c r="H2570" t="s">
        <v>995</v>
      </c>
      <c r="I2570" t="s">
        <v>1</v>
      </c>
      <c r="J2570">
        <v>57425</v>
      </c>
      <c r="K2570"/>
      <c r="L2570">
        <v>0</v>
      </c>
      <c r="M2570">
        <v>0</v>
      </c>
      <c r="N2570">
        <v>57425</v>
      </c>
      <c r="O2570"/>
      <c r="P2570">
        <v>0</v>
      </c>
      <c r="Q2570">
        <f t="shared" si="520"/>
        <v>0</v>
      </c>
      <c r="R2570">
        <v>0</v>
      </c>
      <c r="S2570">
        <f t="shared" si="521"/>
        <v>0</v>
      </c>
      <c r="T2570">
        <v>0.03</v>
      </c>
      <c r="U2570">
        <f t="shared" si="522"/>
        <v>0</v>
      </c>
      <c r="V2570">
        <f t="shared" si="523"/>
        <v>0</v>
      </c>
      <c r="W2570">
        <f t="shared" si="524"/>
        <v>0</v>
      </c>
      <c r="X2570">
        <v>0</v>
      </c>
    </row>
    <row r="2571" spans="1:24" x14ac:dyDescent="0.25">
      <c r="A2571" t="s">
        <v>1968</v>
      </c>
      <c r="B2571" t="s">
        <v>2142</v>
      </c>
      <c r="C2571" t="s">
        <v>2143</v>
      </c>
      <c r="D2571" t="s">
        <v>269</v>
      </c>
      <c r="E2571" t="s">
        <v>50</v>
      </c>
      <c r="F2571" t="s">
        <v>1</v>
      </c>
      <c r="G2571" t="s">
        <v>982</v>
      </c>
      <c r="H2571" t="s">
        <v>450</v>
      </c>
      <c r="I2571" t="s">
        <v>1</v>
      </c>
      <c r="J2571">
        <v>6852.48</v>
      </c>
      <c r="K2571">
        <v>6170.0000000004002</v>
      </c>
      <c r="L2571">
        <v>3434.62</v>
      </c>
      <c r="M2571">
        <v>6926.1674033149175</v>
      </c>
      <c r="N2571">
        <v>7361.87</v>
      </c>
      <c r="O2571">
        <v>6926.1674033149002</v>
      </c>
      <c r="P2571">
        <v>0</v>
      </c>
      <c r="Q2571">
        <f t="shared" si="520"/>
        <v>6926.1674033149002</v>
      </c>
      <c r="R2571">
        <v>6926.1674033149002</v>
      </c>
      <c r="S2571">
        <f t="shared" si="521"/>
        <v>0</v>
      </c>
      <c r="T2571"/>
      <c r="U2571">
        <f t="shared" si="522"/>
        <v>0</v>
      </c>
      <c r="V2571">
        <f t="shared" si="523"/>
        <v>6926.1674033149002</v>
      </c>
      <c r="W2571">
        <f t="shared" si="524"/>
        <v>0</v>
      </c>
      <c r="X2571">
        <v>0</v>
      </c>
    </row>
    <row r="2572" spans="1:24" x14ac:dyDescent="0.25">
      <c r="A2572" t="s">
        <v>1968</v>
      </c>
      <c r="B2572" t="s">
        <v>2142</v>
      </c>
      <c r="C2572" t="s">
        <v>2143</v>
      </c>
      <c r="D2572" t="s">
        <v>269</v>
      </c>
      <c r="E2572" t="s">
        <v>51</v>
      </c>
      <c r="F2572" t="s">
        <v>51</v>
      </c>
      <c r="G2572" t="s">
        <v>996</v>
      </c>
      <c r="H2572"/>
      <c r="I2572"/>
      <c r="J2572">
        <v>92475130.640000015</v>
      </c>
      <c r="K2572">
        <v>94896106.238645554</v>
      </c>
      <c r="L2572">
        <v>49648342.209999993</v>
      </c>
      <c r="M2572">
        <v>100119585.11961327</v>
      </c>
      <c r="N2572">
        <v>97984910.480000049</v>
      </c>
      <c r="O2572">
        <v>99800438.741797045</v>
      </c>
      <c r="P2572">
        <f>SUMIF($F$2503:$F$2571,"&lt;&gt;EV_*",$P$2503:$P$2571)</f>
        <v>0</v>
      </c>
      <c r="Q2572">
        <f>SUMIF($F$2503:$F$2571,"&lt;&gt;EV_*",$Q$2503:$Q$2571)</f>
        <v>99800438.741797045</v>
      </c>
      <c r="R2572">
        <f>SUMIF($F$2503:$F$2571,"&lt;&gt;EV_*",$R$2503:$R$2571)</f>
        <v>99441337.321797058</v>
      </c>
      <c r="S2572">
        <f>SUMIF($F$2503:$F$2571,"&lt;&gt;EV_*",$S$2503:$S$2571)</f>
        <v>-359101.41999999993</v>
      </c>
      <c r="T2572">
        <v>0</v>
      </c>
      <c r="U2572">
        <f>SUMIF($F$2503:$F$2571,"&lt;&gt;EV_*",$U$2503:$U$2571)</f>
        <v>2666748.539466654</v>
      </c>
      <c r="V2572">
        <f>SUMIF($F$2503:$F$2571,"&lt;&gt;EV_*",$V$2503:$V$2571)</f>
        <v>102108085.86126372</v>
      </c>
      <c r="W2572">
        <f>SUMIF($F$2503:$F$2571,"&lt;&gt;EV_*",$W$2503:$W$2571)</f>
        <v>2307647.119466655</v>
      </c>
      <c r="X2572">
        <f>SUMIF($F$2503:$F$2571,"&lt;&gt;EV_*",$X$2503:$X$2571)</f>
        <v>0</v>
      </c>
    </row>
    <row r="2573" spans="1:24" x14ac:dyDescent="0.25">
      <c r="A2573" t="s">
        <v>1968</v>
      </c>
      <c r="B2573" t="s">
        <v>2098</v>
      </c>
      <c r="C2573" t="s">
        <v>2144</v>
      </c>
      <c r="D2573" t="s">
        <v>283</v>
      </c>
      <c r="E2573" t="s">
        <v>5</v>
      </c>
      <c r="F2573" t="s">
        <v>5</v>
      </c>
      <c r="G2573" t="s">
        <v>997</v>
      </c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</row>
    <row r="2574" spans="1:24" x14ac:dyDescent="0.25">
      <c r="A2574" t="s">
        <v>1968</v>
      </c>
      <c r="B2574" t="s">
        <v>2098</v>
      </c>
      <c r="C2574" t="s">
        <v>2144</v>
      </c>
      <c r="D2574" t="s">
        <v>283</v>
      </c>
      <c r="E2574" t="s">
        <v>8</v>
      </c>
      <c r="F2574" t="s">
        <v>1</v>
      </c>
      <c r="G2574" t="s">
        <v>998</v>
      </c>
      <c r="H2574" t="s">
        <v>408</v>
      </c>
      <c r="I2574" t="s">
        <v>1</v>
      </c>
      <c r="J2574">
        <v>20787.919999999998</v>
      </c>
      <c r="K2574">
        <v>20649.300276243099</v>
      </c>
      <c r="L2574">
        <v>9937.8799999999992</v>
      </c>
      <c r="M2574">
        <v>20040.476243093919</v>
      </c>
      <c r="N2574">
        <v>20486.009999999998</v>
      </c>
      <c r="O2574">
        <v>20040.476243093901</v>
      </c>
      <c r="P2574">
        <v>0</v>
      </c>
      <c r="Q2574">
        <f t="shared" ref="Q2574:Q2600" si="525">O2574+P2574</f>
        <v>20040.476243093901</v>
      </c>
      <c r="R2574">
        <v>20040.476243093901</v>
      </c>
      <c r="S2574">
        <f t="shared" ref="S2574:S2600" si="526">IF(OR(LEFT(E2574,2)="A_",LEFT(D2574,5)="Total"),R2574-Q2574,"")</f>
        <v>0</v>
      </c>
      <c r="T2574"/>
      <c r="U2574">
        <f t="shared" ref="U2574:U2600" si="527">IFERROR(R2574*T2574,R2574*0)</f>
        <v>0</v>
      </c>
      <c r="V2574">
        <f t="shared" ref="V2574:V2600" si="528">IF(OR(LEFT(E2574,2)="A_",LEFT(D2574,5)="Total"),R2574+U2574,"")</f>
        <v>20040.476243093901</v>
      </c>
      <c r="W2574">
        <f t="shared" ref="W2574:W2600" si="529">IF(OR(LEFT(E2574,2)="A_",LEFT(D2574,5)="Total"),V2574-Q2574,"")</f>
        <v>0</v>
      </c>
      <c r="X2574" t="s">
        <v>1560</v>
      </c>
    </row>
    <row r="2575" spans="1:24" x14ac:dyDescent="0.25">
      <c r="A2575" t="s">
        <v>1968</v>
      </c>
      <c r="B2575" t="s">
        <v>2098</v>
      </c>
      <c r="C2575" t="s">
        <v>2144</v>
      </c>
      <c r="D2575" t="s">
        <v>283</v>
      </c>
      <c r="E2575" t="s">
        <v>11</v>
      </c>
      <c r="F2575" t="s">
        <v>1</v>
      </c>
      <c r="G2575" t="s">
        <v>998</v>
      </c>
      <c r="H2575" t="s">
        <v>411</v>
      </c>
      <c r="I2575" t="s">
        <v>1</v>
      </c>
      <c r="J2575">
        <v>2004.14</v>
      </c>
      <c r="K2575">
        <v>1743.0999999996</v>
      </c>
      <c r="L2575">
        <v>853.88</v>
      </c>
      <c r="M2575">
        <v>1721.9127071823204</v>
      </c>
      <c r="N2575">
        <v>1781.96</v>
      </c>
      <c r="O2575">
        <v>1707.76</v>
      </c>
      <c r="P2575">
        <v>0</v>
      </c>
      <c r="Q2575">
        <f t="shared" si="525"/>
        <v>1707.76</v>
      </c>
      <c r="R2575">
        <v>1700.16</v>
      </c>
      <c r="S2575">
        <f t="shared" si="526"/>
        <v>-7.5999999999999091</v>
      </c>
      <c r="T2575"/>
      <c r="U2575">
        <f t="shared" si="527"/>
        <v>0</v>
      </c>
      <c r="V2575">
        <f t="shared" si="528"/>
        <v>1700.16</v>
      </c>
      <c r="W2575">
        <f t="shared" si="529"/>
        <v>-7.5999999999999091</v>
      </c>
      <c r="X2575" t="s">
        <v>1720</v>
      </c>
    </row>
    <row r="2576" spans="1:24" x14ac:dyDescent="0.25">
      <c r="A2576" t="s">
        <v>1968</v>
      </c>
      <c r="B2576" t="s">
        <v>2098</v>
      </c>
      <c r="C2576" t="s">
        <v>2144</v>
      </c>
      <c r="D2576" t="s">
        <v>283</v>
      </c>
      <c r="E2576" t="s">
        <v>65</v>
      </c>
      <c r="F2576" t="s">
        <v>1</v>
      </c>
      <c r="G2576" t="s">
        <v>998</v>
      </c>
      <c r="H2576" t="s">
        <v>476</v>
      </c>
      <c r="I2576" t="s">
        <v>1</v>
      </c>
      <c r="J2576">
        <v>-685.97</v>
      </c>
      <c r="K2576"/>
      <c r="L2576">
        <v>-265.5</v>
      </c>
      <c r="M2576">
        <v>-535.40055248618785</v>
      </c>
      <c r="N2576">
        <v>-490.8</v>
      </c>
      <c r="O2576">
        <v>-533.91758241759999</v>
      </c>
      <c r="P2576">
        <v>0</v>
      </c>
      <c r="Q2576">
        <f t="shared" si="525"/>
        <v>-533.91758241759999</v>
      </c>
      <c r="R2576">
        <v>-533.91758241759999</v>
      </c>
      <c r="S2576">
        <f t="shared" si="526"/>
        <v>0</v>
      </c>
      <c r="T2576"/>
      <c r="U2576">
        <f t="shared" si="527"/>
        <v>0</v>
      </c>
      <c r="V2576">
        <f t="shared" si="528"/>
        <v>-533.91758241759999</v>
      </c>
      <c r="W2576">
        <f t="shared" si="529"/>
        <v>0</v>
      </c>
      <c r="X2576">
        <v>0</v>
      </c>
    </row>
    <row r="2577" spans="1:24" x14ac:dyDescent="0.25">
      <c r="A2577" t="s">
        <v>1968</v>
      </c>
      <c r="B2577" t="s">
        <v>2098</v>
      </c>
      <c r="C2577" t="s">
        <v>2144</v>
      </c>
      <c r="D2577" t="s">
        <v>283</v>
      </c>
      <c r="E2577" t="s">
        <v>17</v>
      </c>
      <c r="F2577" t="s">
        <v>1</v>
      </c>
      <c r="G2577" t="s">
        <v>998</v>
      </c>
      <c r="H2577" t="s">
        <v>417</v>
      </c>
      <c r="I2577" t="s">
        <v>1</v>
      </c>
      <c r="J2577">
        <v>-5295.87</v>
      </c>
      <c r="K2577">
        <v>-4160.0000000002001</v>
      </c>
      <c r="L2577">
        <v>-2836.69</v>
      </c>
      <c r="M2577">
        <v>-5720.3969613259669</v>
      </c>
      <c r="N2577">
        <v>-5897.74</v>
      </c>
      <c r="O2577">
        <v>-5704.5524175824003</v>
      </c>
      <c r="P2577">
        <v>0</v>
      </c>
      <c r="Q2577">
        <f t="shared" si="525"/>
        <v>-5704.5524175824003</v>
      </c>
      <c r="R2577">
        <v>-5704.5524175824003</v>
      </c>
      <c r="S2577">
        <f t="shared" si="526"/>
        <v>0</v>
      </c>
      <c r="T2577"/>
      <c r="U2577">
        <f t="shared" si="527"/>
        <v>0</v>
      </c>
      <c r="V2577">
        <f t="shared" si="528"/>
        <v>-5704.5524175824003</v>
      </c>
      <c r="W2577">
        <f t="shared" si="529"/>
        <v>0</v>
      </c>
      <c r="X2577">
        <v>0</v>
      </c>
    </row>
    <row r="2578" spans="1:24" x14ac:dyDescent="0.25">
      <c r="A2578" t="s">
        <v>1968</v>
      </c>
      <c r="B2578" t="s">
        <v>2098</v>
      </c>
      <c r="C2578" t="s">
        <v>2144</v>
      </c>
      <c r="D2578" t="s">
        <v>283</v>
      </c>
      <c r="E2578" t="s">
        <v>82</v>
      </c>
      <c r="F2578" t="s">
        <v>1</v>
      </c>
      <c r="G2578" t="s">
        <v>998</v>
      </c>
      <c r="H2578" t="s">
        <v>507</v>
      </c>
      <c r="I2578" t="s">
        <v>1</v>
      </c>
      <c r="J2578">
        <v>5156.57</v>
      </c>
      <c r="K2578">
        <v>4673.9058996911999</v>
      </c>
      <c r="L2578">
        <v>2062.0100000000002</v>
      </c>
      <c r="M2578">
        <v>4158.1969613259671</v>
      </c>
      <c r="N2578">
        <v>4754.7299999999996</v>
      </c>
      <c r="O2578">
        <v>4146.6794505495</v>
      </c>
      <c r="P2578">
        <v>0</v>
      </c>
      <c r="Q2578">
        <f t="shared" si="525"/>
        <v>4146.6794505495</v>
      </c>
      <c r="R2578">
        <v>4146.6794505495</v>
      </c>
      <c r="S2578">
        <f t="shared" si="526"/>
        <v>0</v>
      </c>
      <c r="T2578">
        <v>2.75E-2</v>
      </c>
      <c r="U2578">
        <f t="shared" si="527"/>
        <v>114.03368489011125</v>
      </c>
      <c r="V2578">
        <f t="shared" si="528"/>
        <v>4260.7131354396115</v>
      </c>
      <c r="W2578">
        <f t="shared" si="529"/>
        <v>114.03368489011154</v>
      </c>
      <c r="X2578">
        <v>0</v>
      </c>
    </row>
    <row r="2579" spans="1:24" x14ac:dyDescent="0.25">
      <c r="A2579" t="s">
        <v>1968</v>
      </c>
      <c r="B2579" t="s">
        <v>2098</v>
      </c>
      <c r="C2579" t="s">
        <v>2144</v>
      </c>
      <c r="D2579" t="s">
        <v>283</v>
      </c>
      <c r="E2579" t="s">
        <v>72</v>
      </c>
      <c r="F2579" t="s">
        <v>1</v>
      </c>
      <c r="G2579" t="s">
        <v>998</v>
      </c>
      <c r="H2579" t="s">
        <v>489</v>
      </c>
      <c r="I2579" t="s">
        <v>1</v>
      </c>
      <c r="J2579">
        <v>7107.86</v>
      </c>
      <c r="K2579">
        <v>10086.0140576131</v>
      </c>
      <c r="L2579">
        <v>507.64</v>
      </c>
      <c r="M2579">
        <v>1023.6939226519338</v>
      </c>
      <c r="N2579">
        <v>4286.2199999999993</v>
      </c>
      <c r="O2579">
        <v>1020.8584615385</v>
      </c>
      <c r="P2579">
        <v>0</v>
      </c>
      <c r="Q2579">
        <f t="shared" si="525"/>
        <v>1020.8584615385</v>
      </c>
      <c r="R2579">
        <v>1020.8584615385</v>
      </c>
      <c r="S2579">
        <f t="shared" si="526"/>
        <v>0</v>
      </c>
      <c r="T2579">
        <v>2.2499999999999999E-2</v>
      </c>
      <c r="U2579">
        <f t="shared" si="527"/>
        <v>22.969315384616248</v>
      </c>
      <c r="V2579">
        <f t="shared" si="528"/>
        <v>1043.8277769231163</v>
      </c>
      <c r="W2579">
        <f t="shared" si="529"/>
        <v>22.969315384616266</v>
      </c>
      <c r="X2579">
        <v>0</v>
      </c>
    </row>
    <row r="2580" spans="1:24" x14ac:dyDescent="0.25">
      <c r="A2580" t="s">
        <v>1968</v>
      </c>
      <c r="B2580" t="s">
        <v>2098</v>
      </c>
      <c r="C2580" t="s">
        <v>2144</v>
      </c>
      <c r="D2580" t="s">
        <v>283</v>
      </c>
      <c r="E2580" t="s">
        <v>18</v>
      </c>
      <c r="F2580" t="s">
        <v>1</v>
      </c>
      <c r="G2580" t="s">
        <v>998</v>
      </c>
      <c r="H2580" t="s">
        <v>418</v>
      </c>
      <c r="I2580" t="s">
        <v>1</v>
      </c>
      <c r="J2580">
        <v>158982.31</v>
      </c>
      <c r="K2580">
        <v>157633.007500951</v>
      </c>
      <c r="L2580">
        <v>92469.28</v>
      </c>
      <c r="M2580">
        <v>186471.2</v>
      </c>
      <c r="N2580">
        <v>182159.03999999998</v>
      </c>
      <c r="O2580">
        <v>185954.70593406601</v>
      </c>
      <c r="P2580">
        <v>0</v>
      </c>
      <c r="Q2580">
        <f t="shared" si="525"/>
        <v>185954.70593406601</v>
      </c>
      <c r="R2580">
        <v>185954.70593406601</v>
      </c>
      <c r="S2580">
        <f t="shared" si="526"/>
        <v>0</v>
      </c>
      <c r="T2580">
        <v>0.02</v>
      </c>
      <c r="U2580">
        <f t="shared" si="527"/>
        <v>3719.0941186813202</v>
      </c>
      <c r="V2580">
        <f t="shared" si="528"/>
        <v>189673.80005274733</v>
      </c>
      <c r="W2580">
        <f t="shared" si="529"/>
        <v>3719.0941186813288</v>
      </c>
      <c r="X2580">
        <v>0</v>
      </c>
    </row>
    <row r="2581" spans="1:24" x14ac:dyDescent="0.25">
      <c r="A2581" t="s">
        <v>1968</v>
      </c>
      <c r="B2581" t="s">
        <v>2098</v>
      </c>
      <c r="C2581" t="s">
        <v>2144</v>
      </c>
      <c r="D2581" t="s">
        <v>283</v>
      </c>
      <c r="E2581" t="s">
        <v>57</v>
      </c>
      <c r="F2581" t="s">
        <v>1</v>
      </c>
      <c r="G2581" t="s">
        <v>998</v>
      </c>
      <c r="H2581" t="s">
        <v>462</v>
      </c>
      <c r="I2581" t="s">
        <v>1</v>
      </c>
      <c r="J2581">
        <v>184.91</v>
      </c>
      <c r="K2581"/>
      <c r="L2581">
        <v>92.76</v>
      </c>
      <c r="M2581">
        <v>187.0574585635359</v>
      </c>
      <c r="N2581">
        <v>169.92000000000002</v>
      </c>
      <c r="O2581">
        <v>186.5393406593</v>
      </c>
      <c r="P2581">
        <v>0</v>
      </c>
      <c r="Q2581">
        <f t="shared" si="525"/>
        <v>186.5393406593</v>
      </c>
      <c r="R2581">
        <v>186.5393406593</v>
      </c>
      <c r="S2581">
        <f t="shared" si="526"/>
        <v>0</v>
      </c>
      <c r="T2581">
        <v>0.04</v>
      </c>
      <c r="U2581">
        <f t="shared" si="527"/>
        <v>7.4615736263720001</v>
      </c>
      <c r="V2581">
        <f t="shared" si="528"/>
        <v>194.000914285672</v>
      </c>
      <c r="W2581">
        <f t="shared" si="529"/>
        <v>7.4615736263720009</v>
      </c>
      <c r="X2581">
        <v>0</v>
      </c>
    </row>
    <row r="2582" spans="1:24" x14ac:dyDescent="0.25">
      <c r="A2582" t="s">
        <v>1968</v>
      </c>
      <c r="B2582" t="s">
        <v>2098</v>
      </c>
      <c r="C2582" t="s">
        <v>2144</v>
      </c>
      <c r="D2582" t="s">
        <v>283</v>
      </c>
      <c r="E2582" t="s">
        <v>19</v>
      </c>
      <c r="F2582" t="s">
        <v>1</v>
      </c>
      <c r="G2582" t="s">
        <v>998</v>
      </c>
      <c r="H2582" t="s">
        <v>419</v>
      </c>
      <c r="I2582" t="s">
        <v>1</v>
      </c>
      <c r="J2582">
        <v>2021.81</v>
      </c>
      <c r="K2582">
        <v>3385.9382716051</v>
      </c>
      <c r="L2582">
        <v>1437.1</v>
      </c>
      <c r="M2582">
        <v>2898.0193370165744</v>
      </c>
      <c r="N2582">
        <v>1248.9100000000001</v>
      </c>
      <c r="O2582">
        <v>2889.9923076923001</v>
      </c>
      <c r="P2582">
        <v>0</v>
      </c>
      <c r="Q2582">
        <f t="shared" si="525"/>
        <v>2889.9923076923001</v>
      </c>
      <c r="R2582">
        <v>2889.9923076923001</v>
      </c>
      <c r="S2582">
        <f t="shared" si="526"/>
        <v>0</v>
      </c>
      <c r="T2582">
        <v>0.02</v>
      </c>
      <c r="U2582">
        <f t="shared" si="527"/>
        <v>57.799846153846005</v>
      </c>
      <c r="V2582">
        <f t="shared" si="528"/>
        <v>2947.792153846146</v>
      </c>
      <c r="W2582">
        <f t="shared" si="529"/>
        <v>57.79984615384592</v>
      </c>
      <c r="X2582">
        <v>0</v>
      </c>
    </row>
    <row r="2583" spans="1:24" x14ac:dyDescent="0.25">
      <c r="A2583" t="s">
        <v>1968</v>
      </c>
      <c r="B2583" t="s">
        <v>2098</v>
      </c>
      <c r="C2583" t="s">
        <v>2144</v>
      </c>
      <c r="D2583" t="s">
        <v>283</v>
      </c>
      <c r="E2583" t="s">
        <v>74</v>
      </c>
      <c r="F2583" t="s">
        <v>1</v>
      </c>
      <c r="G2583" t="s">
        <v>998</v>
      </c>
      <c r="H2583" t="s">
        <v>491</v>
      </c>
      <c r="I2583" t="s">
        <v>1</v>
      </c>
      <c r="J2583">
        <v>43942.81</v>
      </c>
      <c r="K2583">
        <v>45397.855694444297</v>
      </c>
      <c r="L2583">
        <v>20482.810000000001</v>
      </c>
      <c r="M2583">
        <v>41305.114088397793</v>
      </c>
      <c r="N2583">
        <v>42729.289999999994</v>
      </c>
      <c r="O2583">
        <v>41190.705824175799</v>
      </c>
      <c r="P2583">
        <v>0</v>
      </c>
      <c r="Q2583">
        <f t="shared" si="525"/>
        <v>41190.705824175799</v>
      </c>
      <c r="R2583">
        <v>41190.705824175799</v>
      </c>
      <c r="S2583">
        <f t="shared" si="526"/>
        <v>0</v>
      </c>
      <c r="T2583">
        <v>3.5000000000000003E-2</v>
      </c>
      <c r="U2583">
        <f t="shared" si="527"/>
        <v>1441.6747038461531</v>
      </c>
      <c r="V2583">
        <f t="shared" si="528"/>
        <v>42632.380528021953</v>
      </c>
      <c r="W2583">
        <f t="shared" si="529"/>
        <v>1441.6747038461544</v>
      </c>
      <c r="X2583">
        <v>0</v>
      </c>
    </row>
    <row r="2584" spans="1:24" x14ac:dyDescent="0.25">
      <c r="A2584" t="s">
        <v>1968</v>
      </c>
      <c r="B2584" t="s">
        <v>2098</v>
      </c>
      <c r="C2584" t="s">
        <v>2144</v>
      </c>
      <c r="D2584" t="s">
        <v>283</v>
      </c>
      <c r="E2584" t="s">
        <v>85</v>
      </c>
      <c r="F2584" t="s">
        <v>1</v>
      </c>
      <c r="G2584" t="s">
        <v>998</v>
      </c>
      <c r="H2584" t="s">
        <v>510</v>
      </c>
      <c r="I2584" t="s">
        <v>1</v>
      </c>
      <c r="J2584">
        <v>318.7</v>
      </c>
      <c r="K2584"/>
      <c r="L2584">
        <v>0</v>
      </c>
      <c r="M2584">
        <v>0</v>
      </c>
      <c r="N2584">
        <v>29.64</v>
      </c>
      <c r="O2584"/>
      <c r="P2584">
        <v>0</v>
      </c>
      <c r="Q2584">
        <f t="shared" si="525"/>
        <v>0</v>
      </c>
      <c r="R2584">
        <v>0</v>
      </c>
      <c r="S2584">
        <f t="shared" si="526"/>
        <v>0</v>
      </c>
      <c r="T2584">
        <v>0.02</v>
      </c>
      <c r="U2584">
        <f t="shared" si="527"/>
        <v>0</v>
      </c>
      <c r="V2584">
        <f t="shared" si="528"/>
        <v>0</v>
      </c>
      <c r="W2584">
        <f t="shared" si="529"/>
        <v>0</v>
      </c>
      <c r="X2584">
        <v>0</v>
      </c>
    </row>
    <row r="2585" spans="1:24" x14ac:dyDescent="0.25">
      <c r="A2585" t="s">
        <v>1968</v>
      </c>
      <c r="B2585" t="s">
        <v>2098</v>
      </c>
      <c r="C2585" t="s">
        <v>2144</v>
      </c>
      <c r="D2585" t="s">
        <v>283</v>
      </c>
      <c r="E2585" t="s">
        <v>119</v>
      </c>
      <c r="F2585" t="s">
        <v>1</v>
      </c>
      <c r="G2585" t="s">
        <v>998</v>
      </c>
      <c r="H2585" t="s">
        <v>588</v>
      </c>
      <c r="I2585" t="s">
        <v>1</v>
      </c>
      <c r="J2585">
        <v>39</v>
      </c>
      <c r="K2585"/>
      <c r="L2585">
        <v>0</v>
      </c>
      <c r="M2585">
        <v>0</v>
      </c>
      <c r="N2585">
        <v>39</v>
      </c>
      <c r="O2585"/>
      <c r="P2585">
        <v>0</v>
      </c>
      <c r="Q2585">
        <f t="shared" si="525"/>
        <v>0</v>
      </c>
      <c r="R2585">
        <v>0</v>
      </c>
      <c r="S2585">
        <f t="shared" si="526"/>
        <v>0</v>
      </c>
      <c r="T2585">
        <v>1.4999999999999999E-2</v>
      </c>
      <c r="U2585">
        <f t="shared" si="527"/>
        <v>0</v>
      </c>
      <c r="V2585">
        <f t="shared" si="528"/>
        <v>0</v>
      </c>
      <c r="W2585">
        <f t="shared" si="529"/>
        <v>0</v>
      </c>
      <c r="X2585">
        <v>0</v>
      </c>
    </row>
    <row r="2586" spans="1:24" x14ac:dyDescent="0.25">
      <c r="A2586" t="s">
        <v>1968</v>
      </c>
      <c r="B2586" t="s">
        <v>2098</v>
      </c>
      <c r="C2586" t="s">
        <v>2144</v>
      </c>
      <c r="D2586" t="s">
        <v>283</v>
      </c>
      <c r="E2586" t="s">
        <v>20</v>
      </c>
      <c r="F2586" t="s">
        <v>1</v>
      </c>
      <c r="G2586" t="s">
        <v>998</v>
      </c>
      <c r="H2586" t="s">
        <v>420</v>
      </c>
      <c r="I2586" t="s">
        <v>1</v>
      </c>
      <c r="J2586">
        <v>28280.5</v>
      </c>
      <c r="K2586">
        <v>30535.424403347599</v>
      </c>
      <c r="L2586">
        <v>15077.46</v>
      </c>
      <c r="M2586">
        <v>30404.822651933704</v>
      </c>
      <c r="N2586">
        <v>30922.7</v>
      </c>
      <c r="O2586">
        <v>30320.6063736264</v>
      </c>
      <c r="P2586">
        <v>0</v>
      </c>
      <c r="Q2586">
        <f t="shared" si="525"/>
        <v>30320.6063736264</v>
      </c>
      <c r="R2586">
        <v>30320.6063736264</v>
      </c>
      <c r="S2586">
        <f t="shared" si="526"/>
        <v>0</v>
      </c>
      <c r="T2586">
        <v>0.04</v>
      </c>
      <c r="U2586">
        <f t="shared" si="527"/>
        <v>1212.8242549450561</v>
      </c>
      <c r="V2586">
        <f t="shared" si="528"/>
        <v>31533.430628571456</v>
      </c>
      <c r="W2586">
        <f t="shared" si="529"/>
        <v>1212.8242549450551</v>
      </c>
      <c r="X2586">
        <v>0</v>
      </c>
    </row>
    <row r="2587" spans="1:24" x14ac:dyDescent="0.25">
      <c r="A2587" t="s">
        <v>1968</v>
      </c>
      <c r="B2587" t="s">
        <v>2098</v>
      </c>
      <c r="C2587" t="s">
        <v>2144</v>
      </c>
      <c r="D2587" t="s">
        <v>283</v>
      </c>
      <c r="E2587" t="s">
        <v>21</v>
      </c>
      <c r="F2587" t="s">
        <v>1</v>
      </c>
      <c r="G2587" t="s">
        <v>998</v>
      </c>
      <c r="H2587" t="s">
        <v>421</v>
      </c>
      <c r="I2587" t="s">
        <v>1</v>
      </c>
      <c r="J2587">
        <v>10360.99</v>
      </c>
      <c r="K2587">
        <v>10955.860000000201</v>
      </c>
      <c r="L2587">
        <v>5523.76</v>
      </c>
      <c r="M2587">
        <v>11139.074033149171</v>
      </c>
      <c r="N2587">
        <v>10501.560000000001</v>
      </c>
      <c r="O2587">
        <v>11139.0740331492</v>
      </c>
      <c r="P2587">
        <v>0</v>
      </c>
      <c r="Q2587">
        <f t="shared" si="525"/>
        <v>11139.0740331492</v>
      </c>
      <c r="R2587">
        <v>11139.0740331492</v>
      </c>
      <c r="S2587">
        <f t="shared" si="526"/>
        <v>0</v>
      </c>
      <c r="T2587">
        <v>0.03</v>
      </c>
      <c r="U2587">
        <f t="shared" si="527"/>
        <v>334.17222099447599</v>
      </c>
      <c r="V2587">
        <f t="shared" si="528"/>
        <v>11473.246254143676</v>
      </c>
      <c r="W2587">
        <f t="shared" si="529"/>
        <v>334.17222099447645</v>
      </c>
      <c r="X2587" t="s">
        <v>1721</v>
      </c>
    </row>
    <row r="2588" spans="1:24" x14ac:dyDescent="0.25">
      <c r="A2588" t="s">
        <v>1968</v>
      </c>
      <c r="B2588" t="s">
        <v>2098</v>
      </c>
      <c r="C2588" t="s">
        <v>2144</v>
      </c>
      <c r="D2588" t="s">
        <v>283</v>
      </c>
      <c r="E2588" t="s">
        <v>22</v>
      </c>
      <c r="F2588" t="s">
        <v>1</v>
      </c>
      <c r="G2588" t="s">
        <v>998</v>
      </c>
      <c r="H2588" t="s">
        <v>422</v>
      </c>
      <c r="I2588" t="s">
        <v>1</v>
      </c>
      <c r="J2588">
        <v>12020.41</v>
      </c>
      <c r="K2588">
        <v>8797.4999999997999</v>
      </c>
      <c r="L2588">
        <v>3876.89</v>
      </c>
      <c r="M2588">
        <v>7818.0378453038675</v>
      </c>
      <c r="N2588">
        <v>11647.099999999999</v>
      </c>
      <c r="O2588">
        <v>7818.0378453039002</v>
      </c>
      <c r="P2588">
        <v>0</v>
      </c>
      <c r="Q2588">
        <f t="shared" si="525"/>
        <v>7818.0378453039002</v>
      </c>
      <c r="R2588">
        <v>7818.0378453039002</v>
      </c>
      <c r="S2588">
        <f t="shared" si="526"/>
        <v>0</v>
      </c>
      <c r="T2588">
        <v>3.5000000000000003E-2</v>
      </c>
      <c r="U2588">
        <f t="shared" si="527"/>
        <v>273.63132458563655</v>
      </c>
      <c r="V2588">
        <f t="shared" si="528"/>
        <v>8091.6691698895365</v>
      </c>
      <c r="W2588">
        <f t="shared" si="529"/>
        <v>273.63132458563632</v>
      </c>
      <c r="X2588">
        <v>0</v>
      </c>
    </row>
    <row r="2589" spans="1:24" x14ac:dyDescent="0.25">
      <c r="A2589" t="s">
        <v>1968</v>
      </c>
      <c r="B2589" t="s">
        <v>2098</v>
      </c>
      <c r="C2589" t="s">
        <v>2144</v>
      </c>
      <c r="D2589" t="s">
        <v>283</v>
      </c>
      <c r="E2589" t="s">
        <v>23</v>
      </c>
      <c r="F2589" t="s">
        <v>1</v>
      </c>
      <c r="G2589" t="s">
        <v>998</v>
      </c>
      <c r="H2589" t="s">
        <v>423</v>
      </c>
      <c r="I2589" t="s">
        <v>1</v>
      </c>
      <c r="J2589">
        <v>4819.9399999999996</v>
      </c>
      <c r="K2589">
        <v>8745.75</v>
      </c>
      <c r="L2589">
        <v>214.16</v>
      </c>
      <c r="M2589">
        <v>431.86961325966848</v>
      </c>
      <c r="N2589">
        <v>807.9899999999999</v>
      </c>
      <c r="O2589">
        <v>431.86961325969997</v>
      </c>
      <c r="P2589">
        <v>0</v>
      </c>
      <c r="Q2589">
        <f t="shared" si="525"/>
        <v>431.86961325969997</v>
      </c>
      <c r="R2589">
        <v>300</v>
      </c>
      <c r="S2589">
        <f t="shared" si="526"/>
        <v>-131.86961325969997</v>
      </c>
      <c r="T2589">
        <v>3.5000000000000003E-2</v>
      </c>
      <c r="U2589">
        <f t="shared" si="527"/>
        <v>10.500000000000002</v>
      </c>
      <c r="V2589">
        <f t="shared" si="528"/>
        <v>310.5</v>
      </c>
      <c r="W2589">
        <f t="shared" si="529"/>
        <v>-121.36961325969997</v>
      </c>
      <c r="X2589" t="s">
        <v>1722</v>
      </c>
    </row>
    <row r="2590" spans="1:24" x14ac:dyDescent="0.25">
      <c r="A2590" t="s">
        <v>1968</v>
      </c>
      <c r="B2590" t="s">
        <v>2098</v>
      </c>
      <c r="C2590" t="s">
        <v>2144</v>
      </c>
      <c r="D2590" t="s">
        <v>283</v>
      </c>
      <c r="E2590" t="s">
        <v>28</v>
      </c>
      <c r="F2590" t="s">
        <v>1</v>
      </c>
      <c r="G2590" t="s">
        <v>998</v>
      </c>
      <c r="H2590" t="s">
        <v>428</v>
      </c>
      <c r="I2590" t="s">
        <v>1</v>
      </c>
      <c r="J2590">
        <v>7771</v>
      </c>
      <c r="K2590">
        <v>7509.9999999995998</v>
      </c>
      <c r="L2590">
        <v>2488.7600000000002</v>
      </c>
      <c r="M2590">
        <v>5018.7701657458565</v>
      </c>
      <c r="N2590">
        <v>6729.63</v>
      </c>
      <c r="O2590">
        <v>4977.5200000000004</v>
      </c>
      <c r="P2590">
        <v>0</v>
      </c>
      <c r="Q2590">
        <f t="shared" si="525"/>
        <v>4977.5200000000004</v>
      </c>
      <c r="R2590">
        <v>4977.5200000000004</v>
      </c>
      <c r="S2590">
        <f t="shared" si="526"/>
        <v>0</v>
      </c>
      <c r="T2590"/>
      <c r="U2590">
        <f t="shared" si="527"/>
        <v>0</v>
      </c>
      <c r="V2590">
        <f t="shared" si="528"/>
        <v>4977.5200000000004</v>
      </c>
      <c r="W2590">
        <f t="shared" si="529"/>
        <v>0</v>
      </c>
      <c r="X2590">
        <v>0</v>
      </c>
    </row>
    <row r="2591" spans="1:24" x14ac:dyDescent="0.25">
      <c r="A2591" t="s">
        <v>1968</v>
      </c>
      <c r="B2591" t="s">
        <v>2098</v>
      </c>
      <c r="C2591" t="s">
        <v>2144</v>
      </c>
      <c r="D2591" t="s">
        <v>283</v>
      </c>
      <c r="E2591" t="s">
        <v>29</v>
      </c>
      <c r="F2591" t="s">
        <v>1</v>
      </c>
      <c r="G2591" t="s">
        <v>998</v>
      </c>
      <c r="H2591" t="s">
        <v>429</v>
      </c>
      <c r="I2591" t="s">
        <v>1</v>
      </c>
      <c r="J2591">
        <v>317.5</v>
      </c>
      <c r="K2591">
        <v>309.99999999959999</v>
      </c>
      <c r="L2591">
        <v>501</v>
      </c>
      <c r="M2591">
        <v>1010.3038674033149</v>
      </c>
      <c r="N2591">
        <v>663.5</v>
      </c>
      <c r="O2591">
        <v>1002</v>
      </c>
      <c r="P2591">
        <v>0</v>
      </c>
      <c r="Q2591">
        <f t="shared" si="525"/>
        <v>1002</v>
      </c>
      <c r="R2591">
        <v>309.99999999959999</v>
      </c>
      <c r="S2591">
        <f t="shared" si="526"/>
        <v>-692.00000000039995</v>
      </c>
      <c r="T2591"/>
      <c r="U2591">
        <f t="shared" si="527"/>
        <v>0</v>
      </c>
      <c r="V2591">
        <f t="shared" si="528"/>
        <v>309.99999999959999</v>
      </c>
      <c r="W2591">
        <f t="shared" si="529"/>
        <v>-692.00000000039995</v>
      </c>
      <c r="X2591" t="s">
        <v>1383</v>
      </c>
    </row>
    <row r="2592" spans="1:24" x14ac:dyDescent="0.25">
      <c r="A2592" t="s">
        <v>1968</v>
      </c>
      <c r="B2592" t="s">
        <v>2098</v>
      </c>
      <c r="C2592" t="s">
        <v>2144</v>
      </c>
      <c r="D2592" t="s">
        <v>283</v>
      </c>
      <c r="E2592" t="s">
        <v>33</v>
      </c>
      <c r="F2592" t="s">
        <v>1</v>
      </c>
      <c r="G2592" t="s">
        <v>998</v>
      </c>
      <c r="H2592" t="s">
        <v>433</v>
      </c>
      <c r="I2592" t="s">
        <v>1</v>
      </c>
      <c r="J2592"/>
      <c r="K2592"/>
      <c r="L2592">
        <v>718.78</v>
      </c>
      <c r="M2592">
        <v>1449.4734806629833</v>
      </c>
      <c r="N2592">
        <v>718.78</v>
      </c>
      <c r="O2592">
        <v>1437.56</v>
      </c>
      <c r="P2592">
        <v>0</v>
      </c>
      <c r="Q2592">
        <f t="shared" si="525"/>
        <v>1437.56</v>
      </c>
      <c r="R2592">
        <v>817.12383682999996</v>
      </c>
      <c r="S2592">
        <f t="shared" si="526"/>
        <v>-620.43616316999999</v>
      </c>
      <c r="T2592"/>
      <c r="U2592">
        <f t="shared" si="527"/>
        <v>0</v>
      </c>
      <c r="V2592">
        <f t="shared" si="528"/>
        <v>817.12383682999996</v>
      </c>
      <c r="W2592">
        <f t="shared" si="529"/>
        <v>-620.43616316999999</v>
      </c>
      <c r="X2592" t="s">
        <v>1723</v>
      </c>
    </row>
    <row r="2593" spans="1:24" x14ac:dyDescent="0.25">
      <c r="A2593" t="s">
        <v>1968</v>
      </c>
      <c r="B2593" t="s">
        <v>2098</v>
      </c>
      <c r="C2593" t="s">
        <v>2144</v>
      </c>
      <c r="D2593" t="s">
        <v>283</v>
      </c>
      <c r="E2593" t="s">
        <v>34</v>
      </c>
      <c r="F2593" t="s">
        <v>1</v>
      </c>
      <c r="G2593" t="s">
        <v>998</v>
      </c>
      <c r="H2593" t="s">
        <v>434</v>
      </c>
      <c r="I2593" t="s">
        <v>1</v>
      </c>
      <c r="J2593"/>
      <c r="K2593">
        <v>98.123836830000002</v>
      </c>
      <c r="L2593">
        <v>0</v>
      </c>
      <c r="M2593">
        <v>0</v>
      </c>
      <c r="N2593">
        <v>0</v>
      </c>
      <c r="O2593"/>
      <c r="P2593">
        <v>0</v>
      </c>
      <c r="Q2593">
        <f t="shared" si="525"/>
        <v>0</v>
      </c>
      <c r="R2593">
        <v>0</v>
      </c>
      <c r="S2593">
        <f t="shared" si="526"/>
        <v>0</v>
      </c>
      <c r="T2593"/>
      <c r="U2593">
        <f t="shared" si="527"/>
        <v>0</v>
      </c>
      <c r="V2593">
        <f t="shared" si="528"/>
        <v>0</v>
      </c>
      <c r="W2593">
        <f t="shared" si="529"/>
        <v>0</v>
      </c>
      <c r="X2593" t="s">
        <v>1724</v>
      </c>
    </row>
    <row r="2594" spans="1:24" x14ac:dyDescent="0.25">
      <c r="A2594" t="s">
        <v>1968</v>
      </c>
      <c r="B2594" t="s">
        <v>2098</v>
      </c>
      <c r="C2594" t="s">
        <v>2144</v>
      </c>
      <c r="D2594" t="s">
        <v>283</v>
      </c>
      <c r="E2594" t="s">
        <v>37</v>
      </c>
      <c r="F2594" t="s">
        <v>1</v>
      </c>
      <c r="G2594" t="s">
        <v>998</v>
      </c>
      <c r="H2594" t="s">
        <v>437</v>
      </c>
      <c r="I2594" t="s">
        <v>1</v>
      </c>
      <c r="J2594">
        <v>325.77999999999997</v>
      </c>
      <c r="K2594"/>
      <c r="L2594">
        <v>819.27</v>
      </c>
      <c r="M2594">
        <v>1652.1190607734804</v>
      </c>
      <c r="N2594">
        <v>1145.05</v>
      </c>
      <c r="O2594">
        <v>1638.54</v>
      </c>
      <c r="P2594">
        <v>0</v>
      </c>
      <c r="Q2594">
        <f t="shared" si="525"/>
        <v>1638.54</v>
      </c>
      <c r="R2594">
        <v>819.27</v>
      </c>
      <c r="S2594">
        <f t="shared" si="526"/>
        <v>-819.27</v>
      </c>
      <c r="T2594"/>
      <c r="U2594">
        <f t="shared" si="527"/>
        <v>0</v>
      </c>
      <c r="V2594">
        <f t="shared" si="528"/>
        <v>819.27</v>
      </c>
      <c r="W2594">
        <f t="shared" si="529"/>
        <v>-819.27</v>
      </c>
      <c r="X2594" t="s">
        <v>1725</v>
      </c>
    </row>
    <row r="2595" spans="1:24" x14ac:dyDescent="0.25">
      <c r="A2595" t="s">
        <v>1968</v>
      </c>
      <c r="B2595" t="s">
        <v>2098</v>
      </c>
      <c r="C2595" t="s">
        <v>2144</v>
      </c>
      <c r="D2595" t="s">
        <v>283</v>
      </c>
      <c r="E2595" t="s">
        <v>121</v>
      </c>
      <c r="F2595" t="s">
        <v>1</v>
      </c>
      <c r="G2595" t="s">
        <v>998</v>
      </c>
      <c r="H2595" t="s">
        <v>590</v>
      </c>
      <c r="I2595" t="s">
        <v>1</v>
      </c>
      <c r="J2595">
        <v>41855</v>
      </c>
      <c r="K2595">
        <v>18364.183752993598</v>
      </c>
      <c r="L2595">
        <v>37085.32</v>
      </c>
      <c r="M2595">
        <v>74785.313812154694</v>
      </c>
      <c r="N2595">
        <v>37085.32</v>
      </c>
      <c r="O2595">
        <v>74170.64</v>
      </c>
      <c r="P2595">
        <v>0</v>
      </c>
      <c r="Q2595">
        <f t="shared" si="525"/>
        <v>74170.64</v>
      </c>
      <c r="R2595">
        <v>0</v>
      </c>
      <c r="S2595">
        <f t="shared" si="526"/>
        <v>-74170.64</v>
      </c>
      <c r="T2595"/>
      <c r="U2595">
        <f t="shared" si="527"/>
        <v>0</v>
      </c>
      <c r="V2595">
        <f t="shared" si="528"/>
        <v>0</v>
      </c>
      <c r="W2595">
        <f t="shared" si="529"/>
        <v>-74170.64</v>
      </c>
      <c r="X2595">
        <v>0</v>
      </c>
    </row>
    <row r="2596" spans="1:24" x14ac:dyDescent="0.25">
      <c r="A2596" t="s">
        <v>1968</v>
      </c>
      <c r="B2596" t="s">
        <v>2098</v>
      </c>
      <c r="C2596" t="s">
        <v>2144</v>
      </c>
      <c r="D2596" t="s">
        <v>283</v>
      </c>
      <c r="E2596" t="s">
        <v>76</v>
      </c>
      <c r="F2596" t="s">
        <v>1</v>
      </c>
      <c r="G2596" t="s">
        <v>998</v>
      </c>
      <c r="H2596" t="s">
        <v>493</v>
      </c>
      <c r="I2596" t="s">
        <v>1</v>
      </c>
      <c r="J2596"/>
      <c r="K2596"/>
      <c r="L2596">
        <v>175</v>
      </c>
      <c r="M2596">
        <v>352.90055248618785</v>
      </c>
      <c r="N2596">
        <v>175</v>
      </c>
      <c r="O2596">
        <v>350</v>
      </c>
      <c r="P2596">
        <v>0</v>
      </c>
      <c r="Q2596">
        <f t="shared" si="525"/>
        <v>350</v>
      </c>
      <c r="R2596">
        <v>0</v>
      </c>
      <c r="S2596">
        <f t="shared" si="526"/>
        <v>-350</v>
      </c>
      <c r="T2596">
        <v>0.03</v>
      </c>
      <c r="U2596">
        <f t="shared" si="527"/>
        <v>0</v>
      </c>
      <c r="V2596">
        <f t="shared" si="528"/>
        <v>0</v>
      </c>
      <c r="W2596">
        <f t="shared" si="529"/>
        <v>-350</v>
      </c>
      <c r="X2596">
        <v>0</v>
      </c>
    </row>
    <row r="2597" spans="1:24" x14ac:dyDescent="0.25">
      <c r="A2597" t="s">
        <v>1968</v>
      </c>
      <c r="B2597" t="s">
        <v>2098</v>
      </c>
      <c r="C2597" t="s">
        <v>2144</v>
      </c>
      <c r="D2597" t="s">
        <v>283</v>
      </c>
      <c r="E2597" t="s">
        <v>41</v>
      </c>
      <c r="F2597" t="s">
        <v>1</v>
      </c>
      <c r="G2597" t="s">
        <v>998</v>
      </c>
      <c r="H2597" t="s">
        <v>441</v>
      </c>
      <c r="I2597" t="s">
        <v>1</v>
      </c>
      <c r="J2597">
        <v>1569.86</v>
      </c>
      <c r="K2597">
        <v>2214.7617190055998</v>
      </c>
      <c r="L2597">
        <v>344.75</v>
      </c>
      <c r="M2597">
        <v>695.21408839779008</v>
      </c>
      <c r="N2597">
        <v>745.90000000000009</v>
      </c>
      <c r="O2597">
        <v>689.5</v>
      </c>
      <c r="P2597">
        <v>0</v>
      </c>
      <c r="Q2597">
        <f t="shared" si="525"/>
        <v>689.5</v>
      </c>
      <c r="R2597">
        <v>689.5</v>
      </c>
      <c r="S2597">
        <f t="shared" si="526"/>
        <v>0</v>
      </c>
      <c r="T2597">
        <v>0.03</v>
      </c>
      <c r="U2597">
        <f t="shared" si="527"/>
        <v>20.684999999999999</v>
      </c>
      <c r="V2597">
        <f t="shared" si="528"/>
        <v>710.18499999999995</v>
      </c>
      <c r="W2597">
        <f t="shared" si="529"/>
        <v>20.684999999999945</v>
      </c>
      <c r="X2597">
        <v>0</v>
      </c>
    </row>
    <row r="2598" spans="1:24" x14ac:dyDescent="0.25">
      <c r="A2598" t="s">
        <v>1968</v>
      </c>
      <c r="B2598" t="s">
        <v>2098</v>
      </c>
      <c r="C2598" t="s">
        <v>2144</v>
      </c>
      <c r="D2598" t="s">
        <v>283</v>
      </c>
      <c r="E2598" t="s">
        <v>43</v>
      </c>
      <c r="F2598" t="s">
        <v>1</v>
      </c>
      <c r="G2598" t="s">
        <v>998</v>
      </c>
      <c r="H2598" t="s">
        <v>443</v>
      </c>
      <c r="I2598" t="s">
        <v>1</v>
      </c>
      <c r="J2598"/>
      <c r="K2598"/>
      <c r="L2598">
        <v>1300</v>
      </c>
      <c r="M2598">
        <v>2621.546961325967</v>
      </c>
      <c r="N2598">
        <v>1300</v>
      </c>
      <c r="O2598">
        <v>2600</v>
      </c>
      <c r="P2598">
        <v>0</v>
      </c>
      <c r="Q2598">
        <f t="shared" si="525"/>
        <v>2600</v>
      </c>
      <c r="R2598">
        <v>2600</v>
      </c>
      <c r="S2598">
        <f t="shared" si="526"/>
        <v>0</v>
      </c>
      <c r="T2598">
        <v>0.03</v>
      </c>
      <c r="U2598">
        <f t="shared" si="527"/>
        <v>78</v>
      </c>
      <c r="V2598">
        <f t="shared" si="528"/>
        <v>2678</v>
      </c>
      <c r="W2598">
        <f t="shared" si="529"/>
        <v>78</v>
      </c>
      <c r="X2598">
        <v>0</v>
      </c>
    </row>
    <row r="2599" spans="1:24" x14ac:dyDescent="0.25">
      <c r="A2599" t="s">
        <v>1968</v>
      </c>
      <c r="B2599" t="s">
        <v>2098</v>
      </c>
      <c r="C2599" t="s">
        <v>2144</v>
      </c>
      <c r="D2599" t="s">
        <v>283</v>
      </c>
      <c r="E2599" t="s">
        <v>134</v>
      </c>
      <c r="F2599" t="s">
        <v>1</v>
      </c>
      <c r="G2599" t="s">
        <v>998</v>
      </c>
      <c r="H2599" t="s">
        <v>623</v>
      </c>
      <c r="I2599" t="s">
        <v>1</v>
      </c>
      <c r="J2599">
        <v>2052</v>
      </c>
      <c r="K2599"/>
      <c r="L2599">
        <v>1300</v>
      </c>
      <c r="M2599">
        <v>2621.546961325967</v>
      </c>
      <c r="N2599">
        <v>1300</v>
      </c>
      <c r="O2599">
        <v>2600</v>
      </c>
      <c r="P2599">
        <v>0</v>
      </c>
      <c r="Q2599">
        <f t="shared" si="525"/>
        <v>2600</v>
      </c>
      <c r="R2599">
        <v>2600</v>
      </c>
      <c r="S2599">
        <f t="shared" si="526"/>
        <v>0</v>
      </c>
      <c r="T2599">
        <v>0.03</v>
      </c>
      <c r="U2599">
        <f t="shared" si="527"/>
        <v>78</v>
      </c>
      <c r="V2599">
        <f t="shared" si="528"/>
        <v>2678</v>
      </c>
      <c r="W2599">
        <f t="shared" si="529"/>
        <v>78</v>
      </c>
      <c r="X2599">
        <v>0</v>
      </c>
    </row>
    <row r="2600" spans="1:24" x14ac:dyDescent="0.25">
      <c r="A2600" t="s">
        <v>1968</v>
      </c>
      <c r="B2600" t="s">
        <v>2098</v>
      </c>
      <c r="C2600" t="s">
        <v>2144</v>
      </c>
      <c r="D2600" t="s">
        <v>283</v>
      </c>
      <c r="E2600" t="s">
        <v>50</v>
      </c>
      <c r="F2600" t="s">
        <v>1</v>
      </c>
      <c r="G2600" t="s">
        <v>998</v>
      </c>
      <c r="H2600" t="s">
        <v>450</v>
      </c>
      <c r="I2600" t="s">
        <v>1</v>
      </c>
      <c r="J2600">
        <v>1479.24</v>
      </c>
      <c r="K2600">
        <v>1449.9999999996</v>
      </c>
      <c r="L2600">
        <v>776.05</v>
      </c>
      <c r="M2600">
        <v>1564.9627071823202</v>
      </c>
      <c r="N2600">
        <v>1565.6399999999999</v>
      </c>
      <c r="O2600">
        <v>1564.9627071822999</v>
      </c>
      <c r="P2600">
        <v>0</v>
      </c>
      <c r="Q2600">
        <f t="shared" si="525"/>
        <v>1564.9627071822999</v>
      </c>
      <c r="R2600">
        <v>1552.3200000000002</v>
      </c>
      <c r="S2600">
        <f t="shared" si="526"/>
        <v>-12.642707182299773</v>
      </c>
      <c r="T2600"/>
      <c r="U2600">
        <f t="shared" si="527"/>
        <v>0</v>
      </c>
      <c r="V2600">
        <f t="shared" si="528"/>
        <v>1552.3200000000002</v>
      </c>
      <c r="W2600">
        <f t="shared" si="529"/>
        <v>-12.642707182299773</v>
      </c>
      <c r="X2600" t="s">
        <v>1726</v>
      </c>
    </row>
    <row r="2601" spans="1:24" x14ac:dyDescent="0.25">
      <c r="A2601" t="s">
        <v>1968</v>
      </c>
      <c r="B2601" t="s">
        <v>2098</v>
      </c>
      <c r="C2601" t="s">
        <v>2144</v>
      </c>
      <c r="D2601" t="s">
        <v>283</v>
      </c>
      <c r="E2601" t="s">
        <v>51</v>
      </c>
      <c r="F2601" t="s">
        <v>51</v>
      </c>
      <c r="G2601" t="s">
        <v>999</v>
      </c>
      <c r="H2601"/>
      <c r="I2601"/>
      <c r="J2601">
        <v>345416.41</v>
      </c>
      <c r="K2601">
        <v>328390.72541272279</v>
      </c>
      <c r="L2601">
        <v>194942.37000000002</v>
      </c>
      <c r="M2601">
        <v>393115.82900552492</v>
      </c>
      <c r="N2601">
        <v>356604.35000000003</v>
      </c>
      <c r="O2601">
        <v>391639.55813429679</v>
      </c>
      <c r="P2601">
        <f>SUMIF($F$2573:$F$2600,"&lt;&gt;EV_*",$P$2573:$P$2600)</f>
        <v>0</v>
      </c>
      <c r="Q2601">
        <f>SUMIF($F$2573:$F$2600,"&lt;&gt;EV_*",$Q$2573:$Q$2600)</f>
        <v>391639.55813429679</v>
      </c>
      <c r="R2601">
        <f>SUMIF($F$2573:$F$2600,"&lt;&gt;EV_*",$R$2573:$R$2600)</f>
        <v>314835.09965068451</v>
      </c>
      <c r="S2601">
        <f>SUMIF($F$2573:$F$2600,"&lt;&gt;EV_*",$S$2573:$S$2600)</f>
        <v>-76804.458483612398</v>
      </c>
      <c r="T2601">
        <v>0</v>
      </c>
      <c r="U2601">
        <f>SUMIF($F$2573:$F$2600,"&lt;&gt;EV_*",$U$2573:$U$2600)</f>
        <v>7370.8460431075864</v>
      </c>
      <c r="V2601">
        <f>SUMIF($F$2573:$F$2600,"&lt;&gt;EV_*",$V$2573:$V$2600)</f>
        <v>322205.94569379202</v>
      </c>
      <c r="W2601">
        <f>SUMIF($F$2573:$F$2600,"&lt;&gt;EV_*",$W$2573:$W$2600)</f>
        <v>-69433.612440504803</v>
      </c>
      <c r="X2601">
        <f>SUMIF($F$2573:$F$2600,"&lt;&gt;EV_*",$X$2573:$X$2600)</f>
        <v>0</v>
      </c>
    </row>
    <row r="2602" spans="1:24" x14ac:dyDescent="0.25">
      <c r="A2602" t="s">
        <v>1968</v>
      </c>
      <c r="B2602" t="s">
        <v>2098</v>
      </c>
      <c r="C2602" t="s">
        <v>2145</v>
      </c>
      <c r="D2602" t="s">
        <v>284</v>
      </c>
      <c r="E2602" t="s">
        <v>5</v>
      </c>
      <c r="F2602" t="s">
        <v>5</v>
      </c>
      <c r="G2602" t="s">
        <v>1000</v>
      </c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</row>
    <row r="2603" spans="1:24" x14ac:dyDescent="0.25">
      <c r="A2603" t="s">
        <v>1968</v>
      </c>
      <c r="B2603" t="s">
        <v>2098</v>
      </c>
      <c r="C2603" t="s">
        <v>2145</v>
      </c>
      <c r="D2603" t="s">
        <v>284</v>
      </c>
      <c r="E2603" t="s">
        <v>11</v>
      </c>
      <c r="F2603" t="s">
        <v>1</v>
      </c>
      <c r="G2603" t="s">
        <v>1001</v>
      </c>
      <c r="H2603" t="s">
        <v>411</v>
      </c>
      <c r="I2603" t="s">
        <v>1</v>
      </c>
      <c r="J2603">
        <v>2352.85</v>
      </c>
      <c r="K2603">
        <v>2122.1300000003998</v>
      </c>
      <c r="L2603">
        <v>926.03</v>
      </c>
      <c r="M2603">
        <v>1867.4085635359115</v>
      </c>
      <c r="N2603">
        <v>2041.3100000000002</v>
      </c>
      <c r="O2603">
        <v>1852.06</v>
      </c>
      <c r="P2603">
        <v>0</v>
      </c>
      <c r="Q2603">
        <f>O2603+P2603</f>
        <v>1852.06</v>
      </c>
      <c r="R2603">
        <v>1700.16</v>
      </c>
      <c r="S2603">
        <f>IF(OR(LEFT(E2603,2)="A_",LEFT(D2603,5)="Total"),R2603-Q2603,"")</f>
        <v>-151.89999999999986</v>
      </c>
      <c r="T2603"/>
      <c r="U2603">
        <f>IFERROR(R2603*T2603,R2603*0)</f>
        <v>0</v>
      </c>
      <c r="V2603">
        <f>IF(OR(LEFT(E2603,2)="A_",LEFT(D2603,5)="Total"),R2603+U2603,"")</f>
        <v>1700.16</v>
      </c>
      <c r="W2603">
        <f>IF(OR(LEFT(E2603,2)="A_",LEFT(D2603,5)="Total"),V2603-Q2603,"")</f>
        <v>-151.89999999999986</v>
      </c>
      <c r="X2603" t="s">
        <v>1727</v>
      </c>
    </row>
    <row r="2604" spans="1:24" x14ac:dyDescent="0.25">
      <c r="A2604" t="s">
        <v>1968</v>
      </c>
      <c r="B2604" t="s">
        <v>2098</v>
      </c>
      <c r="C2604" t="s">
        <v>2145</v>
      </c>
      <c r="D2604" t="s">
        <v>284</v>
      </c>
      <c r="E2604" t="s">
        <v>22</v>
      </c>
      <c r="F2604" t="s">
        <v>1</v>
      </c>
      <c r="G2604" t="s">
        <v>1001</v>
      </c>
      <c r="H2604" t="s">
        <v>422</v>
      </c>
      <c r="I2604" t="s">
        <v>1</v>
      </c>
      <c r="J2604"/>
      <c r="K2604"/>
      <c r="L2604">
        <v>1265</v>
      </c>
      <c r="M2604">
        <v>2550.9668508287295</v>
      </c>
      <c r="N2604">
        <v>1265</v>
      </c>
      <c r="O2604">
        <v>2550.9668508287</v>
      </c>
      <c r="P2604">
        <v>0</v>
      </c>
      <c r="Q2604">
        <f>O2604+P2604</f>
        <v>2550.9668508287</v>
      </c>
      <c r="R2604">
        <v>0</v>
      </c>
      <c r="S2604">
        <f>IF(OR(LEFT(E2604,2)="A_",LEFT(D2604,5)="Total"),R2604-Q2604,"")</f>
        <v>-2550.9668508287</v>
      </c>
      <c r="T2604">
        <v>3.5000000000000003E-2</v>
      </c>
      <c r="U2604">
        <f>IFERROR(R2604*T2604,R2604*0)</f>
        <v>0</v>
      </c>
      <c r="V2604">
        <f>IF(OR(LEFT(E2604,2)="A_",LEFT(D2604,5)="Total"),R2604+U2604,"")</f>
        <v>0</v>
      </c>
      <c r="W2604">
        <f>IF(OR(LEFT(E2604,2)="A_",LEFT(D2604,5)="Total"),V2604-Q2604,"")</f>
        <v>-2550.9668508287</v>
      </c>
      <c r="X2604" t="s">
        <v>1728</v>
      </c>
    </row>
    <row r="2605" spans="1:24" x14ac:dyDescent="0.25">
      <c r="A2605" t="s">
        <v>1968</v>
      </c>
      <c r="B2605" t="s">
        <v>2098</v>
      </c>
      <c r="C2605" t="s">
        <v>2145</v>
      </c>
      <c r="D2605" t="s">
        <v>284</v>
      </c>
      <c r="E2605" t="s">
        <v>41</v>
      </c>
      <c r="F2605" t="s">
        <v>1</v>
      </c>
      <c r="G2605" t="s">
        <v>1001</v>
      </c>
      <c r="H2605" t="s">
        <v>441</v>
      </c>
      <c r="I2605" t="s">
        <v>1</v>
      </c>
      <c r="J2605"/>
      <c r="K2605"/>
      <c r="L2605">
        <v>55</v>
      </c>
      <c r="M2605">
        <v>110.91160220994475</v>
      </c>
      <c r="N2605">
        <v>55</v>
      </c>
      <c r="O2605">
        <v>110</v>
      </c>
      <c r="P2605">
        <v>0</v>
      </c>
      <c r="Q2605">
        <f>O2605+P2605</f>
        <v>110</v>
      </c>
      <c r="R2605">
        <v>0</v>
      </c>
      <c r="S2605">
        <f>IF(OR(LEFT(E2605,2)="A_",LEFT(D2605,5)="Total"),R2605-Q2605,"")</f>
        <v>-110</v>
      </c>
      <c r="T2605">
        <v>0.03</v>
      </c>
      <c r="U2605">
        <f>IFERROR(R2605*T2605,R2605*0)</f>
        <v>0</v>
      </c>
      <c r="V2605">
        <f>IF(OR(LEFT(E2605,2)="A_",LEFT(D2605,5)="Total"),R2605+U2605,"")</f>
        <v>0</v>
      </c>
      <c r="W2605">
        <f>IF(OR(LEFT(E2605,2)="A_",LEFT(D2605,5)="Total"),V2605-Q2605,"")</f>
        <v>-110</v>
      </c>
      <c r="X2605" t="s">
        <v>1729</v>
      </c>
    </row>
    <row r="2606" spans="1:24" x14ac:dyDescent="0.25">
      <c r="A2606" t="s">
        <v>1968</v>
      </c>
      <c r="B2606" t="s">
        <v>2098</v>
      </c>
      <c r="C2606" t="s">
        <v>2145</v>
      </c>
      <c r="D2606" t="s">
        <v>284</v>
      </c>
      <c r="E2606" t="s">
        <v>51</v>
      </c>
      <c r="F2606" t="s">
        <v>51</v>
      </c>
      <c r="G2606" t="s">
        <v>1002</v>
      </c>
      <c r="H2606"/>
      <c r="I2606"/>
      <c r="J2606">
        <v>2352.85</v>
      </c>
      <c r="K2606">
        <v>2122.1300000003998</v>
      </c>
      <c r="L2606">
        <v>2246.0299999999997</v>
      </c>
      <c r="M2606">
        <v>4529.2870165745862</v>
      </c>
      <c r="N2606">
        <v>3361.3100000000004</v>
      </c>
      <c r="O2606">
        <v>4513.0268508286999</v>
      </c>
      <c r="P2606">
        <f>SUMIF($F$2602:$F$2605,"&lt;&gt;EV_*",$P$2602:$P$2605)</f>
        <v>0</v>
      </c>
      <c r="Q2606">
        <f>SUMIF($F$2602:$F$2605,"&lt;&gt;EV_*",$Q$2602:$Q$2605)</f>
        <v>4513.0268508286999</v>
      </c>
      <c r="R2606">
        <f>SUMIF($F$2602:$F$2605,"&lt;&gt;EV_*",$R$2602:$R$2605)</f>
        <v>1700.16</v>
      </c>
      <c r="S2606">
        <f>SUMIF($F$2602:$F$2605,"&lt;&gt;EV_*",$S$2602:$S$2605)</f>
        <v>-2812.8668508287001</v>
      </c>
      <c r="T2606">
        <v>0</v>
      </c>
      <c r="U2606">
        <f>SUMIF($F$2602:$F$2605,"&lt;&gt;EV_*",$U$2602:$U$2605)</f>
        <v>0</v>
      </c>
      <c r="V2606">
        <f>SUMIF($F$2602:$F$2605,"&lt;&gt;EV_*",$V$2602:$V$2605)</f>
        <v>1700.16</v>
      </c>
      <c r="W2606">
        <f>SUMIF($F$2602:$F$2605,"&lt;&gt;EV_*",$W$2602:$W$2605)</f>
        <v>-2812.8668508287001</v>
      </c>
      <c r="X2606">
        <f>SUMIF($F$2602:$F$2605,"&lt;&gt;EV_*",$X$2602:$X$2605)</f>
        <v>0</v>
      </c>
    </row>
    <row r="2607" spans="1:24" x14ac:dyDescent="0.25">
      <c r="A2607" t="s">
        <v>1968</v>
      </c>
      <c r="B2607" t="s">
        <v>2146</v>
      </c>
      <c r="C2607" t="s">
        <v>2147</v>
      </c>
      <c r="D2607" t="s">
        <v>285</v>
      </c>
      <c r="E2607" t="s">
        <v>5</v>
      </c>
      <c r="F2607" t="s">
        <v>5</v>
      </c>
      <c r="G2607" t="s">
        <v>1003</v>
      </c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</row>
    <row r="2608" spans="1:24" x14ac:dyDescent="0.25">
      <c r="A2608" t="s">
        <v>1968</v>
      </c>
      <c r="B2608" t="s">
        <v>2146</v>
      </c>
      <c r="C2608" t="s">
        <v>2147</v>
      </c>
      <c r="D2608" t="s">
        <v>285</v>
      </c>
      <c r="E2608" t="s">
        <v>124</v>
      </c>
      <c r="F2608" t="s">
        <v>1</v>
      </c>
      <c r="G2608" t="s">
        <v>1004</v>
      </c>
      <c r="H2608" t="s">
        <v>597</v>
      </c>
      <c r="I2608" t="s">
        <v>1</v>
      </c>
      <c r="J2608">
        <v>35307.5</v>
      </c>
      <c r="K2608"/>
      <c r="L2608">
        <v>0</v>
      </c>
      <c r="M2608">
        <v>0</v>
      </c>
      <c r="N2608">
        <v>33060</v>
      </c>
      <c r="O2608"/>
      <c r="P2608">
        <v>0</v>
      </c>
      <c r="Q2608">
        <f t="shared" ref="Q2608:Q2635" si="530">O2608+P2608</f>
        <v>0</v>
      </c>
      <c r="R2608">
        <v>0</v>
      </c>
      <c r="S2608">
        <f t="shared" ref="S2608:S2635" si="531">IF(OR(LEFT(E2608,2)="A_",LEFT(D2608,5)="Total"),R2608-Q2608,"")</f>
        <v>0</v>
      </c>
      <c r="T2608"/>
      <c r="U2608">
        <f t="shared" ref="U2608:U2635" si="532">IFERROR(R2608*T2608,R2608*0)</f>
        <v>0</v>
      </c>
      <c r="V2608">
        <f t="shared" ref="V2608:V2635" si="533">IF(OR(LEFT(E2608,2)="A_",LEFT(D2608,5)="Total"),R2608+U2608,"")</f>
        <v>0</v>
      </c>
      <c r="W2608">
        <f t="shared" ref="W2608:W2635" si="534">IF(OR(LEFT(E2608,2)="A_",LEFT(D2608,5)="Total"),V2608-Q2608,"")</f>
        <v>0</v>
      </c>
      <c r="X2608">
        <v>0</v>
      </c>
    </row>
    <row r="2609" spans="1:24" x14ac:dyDescent="0.25">
      <c r="A2609" t="s">
        <v>1968</v>
      </c>
      <c r="B2609" t="s">
        <v>2146</v>
      </c>
      <c r="C2609" t="s">
        <v>2147</v>
      </c>
      <c r="D2609" t="s">
        <v>285</v>
      </c>
      <c r="E2609" t="s">
        <v>10</v>
      </c>
      <c r="F2609" t="s">
        <v>1</v>
      </c>
      <c r="G2609" t="s">
        <v>1004</v>
      </c>
      <c r="H2609" t="s">
        <v>410</v>
      </c>
      <c r="I2609" t="s">
        <v>1</v>
      </c>
      <c r="J2609">
        <v>228</v>
      </c>
      <c r="K2609"/>
      <c r="L2609">
        <v>153</v>
      </c>
      <c r="M2609">
        <v>308.53591160220992</v>
      </c>
      <c r="N2609">
        <v>381</v>
      </c>
      <c r="O2609">
        <v>306</v>
      </c>
      <c r="P2609">
        <v>0</v>
      </c>
      <c r="Q2609">
        <f t="shared" si="530"/>
        <v>306</v>
      </c>
      <c r="R2609">
        <v>0</v>
      </c>
      <c r="S2609">
        <f t="shared" si="531"/>
        <v>-306</v>
      </c>
      <c r="T2609"/>
      <c r="U2609">
        <f t="shared" si="532"/>
        <v>0</v>
      </c>
      <c r="V2609">
        <f t="shared" si="533"/>
        <v>0</v>
      </c>
      <c r="W2609">
        <f t="shared" si="534"/>
        <v>-306</v>
      </c>
      <c r="X2609">
        <v>0</v>
      </c>
    </row>
    <row r="2610" spans="1:24" x14ac:dyDescent="0.25">
      <c r="A2610" t="s">
        <v>1968</v>
      </c>
      <c r="B2610" t="s">
        <v>2146</v>
      </c>
      <c r="C2610" t="s">
        <v>2147</v>
      </c>
      <c r="D2610" t="s">
        <v>285</v>
      </c>
      <c r="E2610" t="s">
        <v>11</v>
      </c>
      <c r="F2610" t="s">
        <v>1</v>
      </c>
      <c r="G2610" t="s">
        <v>1004</v>
      </c>
      <c r="H2610" t="s">
        <v>411</v>
      </c>
      <c r="I2610" t="s">
        <v>1</v>
      </c>
      <c r="J2610">
        <v>1986.55</v>
      </c>
      <c r="K2610">
        <v>1953</v>
      </c>
      <c r="L2610">
        <v>1014.7</v>
      </c>
      <c r="M2610">
        <v>2046.2182320441989</v>
      </c>
      <c r="N2610">
        <v>2037.4899999999998</v>
      </c>
      <c r="O2610">
        <v>2029.4</v>
      </c>
      <c r="P2610">
        <v>0</v>
      </c>
      <c r="Q2610">
        <f t="shared" si="530"/>
        <v>2029.4</v>
      </c>
      <c r="R2610">
        <v>2029.4</v>
      </c>
      <c r="S2610">
        <f t="shared" si="531"/>
        <v>0</v>
      </c>
      <c r="T2610"/>
      <c r="U2610">
        <f t="shared" si="532"/>
        <v>0</v>
      </c>
      <c r="V2610">
        <f t="shared" si="533"/>
        <v>2029.4</v>
      </c>
      <c r="W2610">
        <f t="shared" si="534"/>
        <v>0</v>
      </c>
      <c r="X2610">
        <v>0</v>
      </c>
    </row>
    <row r="2611" spans="1:24" x14ac:dyDescent="0.25">
      <c r="A2611" t="s">
        <v>1968</v>
      </c>
      <c r="B2611" t="s">
        <v>2146</v>
      </c>
      <c r="C2611" t="s">
        <v>2147</v>
      </c>
      <c r="D2611" t="s">
        <v>285</v>
      </c>
      <c r="E2611" t="s">
        <v>65</v>
      </c>
      <c r="F2611" t="s">
        <v>1</v>
      </c>
      <c r="G2611" t="s">
        <v>1004</v>
      </c>
      <c r="H2611" t="s">
        <v>476</v>
      </c>
      <c r="I2611" t="s">
        <v>1</v>
      </c>
      <c r="J2611">
        <v>-743.79</v>
      </c>
      <c r="K2611"/>
      <c r="L2611">
        <v>-654.91</v>
      </c>
      <c r="M2611">
        <v>-1320.6748618784529</v>
      </c>
      <c r="N2611">
        <v>-946.69999999999982</v>
      </c>
      <c r="O2611">
        <v>-1317.0168131867999</v>
      </c>
      <c r="P2611">
        <v>0</v>
      </c>
      <c r="Q2611">
        <f t="shared" si="530"/>
        <v>-1317.0168131867999</v>
      </c>
      <c r="R2611">
        <v>-1317.0168131867999</v>
      </c>
      <c r="S2611">
        <f t="shared" si="531"/>
        <v>0</v>
      </c>
      <c r="T2611"/>
      <c r="U2611">
        <f t="shared" si="532"/>
        <v>0</v>
      </c>
      <c r="V2611">
        <f t="shared" si="533"/>
        <v>-1317.0168131867999</v>
      </c>
      <c r="W2611">
        <f t="shared" si="534"/>
        <v>0</v>
      </c>
      <c r="X2611">
        <v>0</v>
      </c>
    </row>
    <row r="2612" spans="1:24" x14ac:dyDescent="0.25">
      <c r="A2612" t="s">
        <v>1968</v>
      </c>
      <c r="B2612" t="s">
        <v>2146</v>
      </c>
      <c r="C2612" t="s">
        <v>2147</v>
      </c>
      <c r="D2612" t="s">
        <v>285</v>
      </c>
      <c r="E2612" t="s">
        <v>17</v>
      </c>
      <c r="F2612" t="s">
        <v>1</v>
      </c>
      <c r="G2612" t="s">
        <v>1004</v>
      </c>
      <c r="H2612" t="s">
        <v>417</v>
      </c>
      <c r="I2612" t="s">
        <v>1</v>
      </c>
      <c r="J2612">
        <v>-8397.5499999999993</v>
      </c>
      <c r="K2612">
        <v>-13170.0000000001</v>
      </c>
      <c r="L2612">
        <v>-3564.93</v>
      </c>
      <c r="M2612">
        <v>-7188.9472375690602</v>
      </c>
      <c r="N2612">
        <v>-8202.7900000000009</v>
      </c>
      <c r="O2612">
        <v>-7169.0350549450995</v>
      </c>
      <c r="P2612">
        <v>0</v>
      </c>
      <c r="Q2612">
        <f t="shared" si="530"/>
        <v>-7169.0350549450995</v>
      </c>
      <c r="R2612">
        <v>-7169.0350549450995</v>
      </c>
      <c r="S2612">
        <f t="shared" si="531"/>
        <v>0</v>
      </c>
      <c r="T2612"/>
      <c r="U2612">
        <f t="shared" si="532"/>
        <v>0</v>
      </c>
      <c r="V2612">
        <f t="shared" si="533"/>
        <v>-7169.0350549450995</v>
      </c>
      <c r="W2612">
        <f t="shared" si="534"/>
        <v>0</v>
      </c>
      <c r="X2612">
        <v>0</v>
      </c>
    </row>
    <row r="2613" spans="1:24" x14ac:dyDescent="0.25">
      <c r="A2613" t="s">
        <v>1968</v>
      </c>
      <c r="B2613" t="s">
        <v>2146</v>
      </c>
      <c r="C2613" t="s">
        <v>2147</v>
      </c>
      <c r="D2613" t="s">
        <v>285</v>
      </c>
      <c r="E2613" t="s">
        <v>82</v>
      </c>
      <c r="F2613" t="s">
        <v>1</v>
      </c>
      <c r="G2613" t="s">
        <v>1004</v>
      </c>
      <c r="H2613" t="s">
        <v>507</v>
      </c>
      <c r="I2613" t="s">
        <v>1</v>
      </c>
      <c r="J2613">
        <v>127.06</v>
      </c>
      <c r="K2613"/>
      <c r="L2613">
        <v>123.99</v>
      </c>
      <c r="M2613">
        <v>250.03508287292817</v>
      </c>
      <c r="N2613">
        <v>183.28999999999996</v>
      </c>
      <c r="O2613">
        <v>249.3425274725</v>
      </c>
      <c r="P2613">
        <v>0</v>
      </c>
      <c r="Q2613">
        <f t="shared" si="530"/>
        <v>249.3425274725</v>
      </c>
      <c r="R2613">
        <v>249.3425274725</v>
      </c>
      <c r="S2613">
        <f t="shared" si="531"/>
        <v>0</v>
      </c>
      <c r="T2613">
        <v>2.75E-2</v>
      </c>
      <c r="U2613">
        <f t="shared" si="532"/>
        <v>6.8569195054937495</v>
      </c>
      <c r="V2613">
        <f t="shared" si="533"/>
        <v>256.19944697799372</v>
      </c>
      <c r="W2613">
        <f t="shared" si="534"/>
        <v>6.8569195054937211</v>
      </c>
      <c r="X2613">
        <v>0</v>
      </c>
    </row>
    <row r="2614" spans="1:24" x14ac:dyDescent="0.25">
      <c r="A2614" t="s">
        <v>1968</v>
      </c>
      <c r="B2614" t="s">
        <v>2146</v>
      </c>
      <c r="C2614" t="s">
        <v>2147</v>
      </c>
      <c r="D2614" t="s">
        <v>285</v>
      </c>
      <c r="E2614" t="s">
        <v>84</v>
      </c>
      <c r="F2614" t="s">
        <v>1</v>
      </c>
      <c r="G2614" t="s">
        <v>1004</v>
      </c>
      <c r="H2614" t="s">
        <v>509</v>
      </c>
      <c r="I2614" t="s">
        <v>1</v>
      </c>
      <c r="J2614">
        <v>2343.65</v>
      </c>
      <c r="K2614"/>
      <c r="L2614">
        <v>3704.83</v>
      </c>
      <c r="M2614">
        <v>7471.0660220994469</v>
      </c>
      <c r="N2614">
        <v>6048.48</v>
      </c>
      <c r="O2614">
        <v>7450.3724175824</v>
      </c>
      <c r="P2614">
        <v>0</v>
      </c>
      <c r="Q2614">
        <f t="shared" si="530"/>
        <v>7450.3724175824</v>
      </c>
      <c r="R2614">
        <v>7450.3724175824</v>
      </c>
      <c r="S2614">
        <f t="shared" si="531"/>
        <v>0</v>
      </c>
      <c r="T2614">
        <v>2.5000000000000001E-2</v>
      </c>
      <c r="U2614">
        <f t="shared" si="532"/>
        <v>186.25931043956001</v>
      </c>
      <c r="V2614">
        <f t="shared" si="533"/>
        <v>7636.63172802196</v>
      </c>
      <c r="W2614">
        <f t="shared" si="534"/>
        <v>186.25931043956007</v>
      </c>
      <c r="X2614">
        <v>0</v>
      </c>
    </row>
    <row r="2615" spans="1:24" x14ac:dyDescent="0.25">
      <c r="A2615" t="s">
        <v>1968</v>
      </c>
      <c r="B2615" t="s">
        <v>2146</v>
      </c>
      <c r="C2615" t="s">
        <v>2147</v>
      </c>
      <c r="D2615" t="s">
        <v>285</v>
      </c>
      <c r="E2615" t="s">
        <v>18</v>
      </c>
      <c r="F2615" t="s">
        <v>1</v>
      </c>
      <c r="G2615" t="s">
        <v>1004</v>
      </c>
      <c r="H2615" t="s">
        <v>418</v>
      </c>
      <c r="I2615" t="s">
        <v>1</v>
      </c>
      <c r="J2615">
        <v>132735.20000000001</v>
      </c>
      <c r="K2615">
        <v>142430.25566298599</v>
      </c>
      <c r="L2615">
        <v>61919.06</v>
      </c>
      <c r="M2615">
        <v>124864.40276243094</v>
      </c>
      <c r="N2615">
        <v>129297.07999999999</v>
      </c>
      <c r="O2615">
        <v>124518.549230769</v>
      </c>
      <c r="P2615">
        <v>0</v>
      </c>
      <c r="Q2615">
        <f t="shared" si="530"/>
        <v>124518.549230769</v>
      </c>
      <c r="R2615">
        <v>124518.549230769</v>
      </c>
      <c r="S2615">
        <f t="shared" si="531"/>
        <v>0</v>
      </c>
      <c r="T2615">
        <v>0.02</v>
      </c>
      <c r="U2615">
        <f t="shared" si="532"/>
        <v>2490.3709846153802</v>
      </c>
      <c r="V2615">
        <f t="shared" si="533"/>
        <v>127008.92021538438</v>
      </c>
      <c r="W2615">
        <f t="shared" si="534"/>
        <v>2490.3709846153797</v>
      </c>
      <c r="X2615">
        <v>0</v>
      </c>
    </row>
    <row r="2616" spans="1:24" x14ac:dyDescent="0.25">
      <c r="A2616" t="s">
        <v>1968</v>
      </c>
      <c r="B2616" t="s">
        <v>2146</v>
      </c>
      <c r="C2616" t="s">
        <v>2147</v>
      </c>
      <c r="D2616" t="s">
        <v>285</v>
      </c>
      <c r="E2616" t="s">
        <v>57</v>
      </c>
      <c r="F2616" t="s">
        <v>1</v>
      </c>
      <c r="G2616" t="s">
        <v>1004</v>
      </c>
      <c r="H2616" t="s">
        <v>462</v>
      </c>
      <c r="I2616" t="s">
        <v>1</v>
      </c>
      <c r="J2616">
        <v>9195.6</v>
      </c>
      <c r="K2616">
        <v>7622.8835061727996</v>
      </c>
      <c r="L2616">
        <v>3679.87</v>
      </c>
      <c r="M2616">
        <v>7420.732320441989</v>
      </c>
      <c r="N2616">
        <v>9449.52</v>
      </c>
      <c r="O2616">
        <v>7400.1781318680996</v>
      </c>
      <c r="P2616">
        <v>0</v>
      </c>
      <c r="Q2616">
        <f t="shared" si="530"/>
        <v>7400.1781318680996</v>
      </c>
      <c r="R2616">
        <v>7400.1781318680996</v>
      </c>
      <c r="S2616">
        <f t="shared" si="531"/>
        <v>0</v>
      </c>
      <c r="T2616">
        <v>0.04</v>
      </c>
      <c r="U2616">
        <f t="shared" si="532"/>
        <v>296.00712527472399</v>
      </c>
      <c r="V2616">
        <f t="shared" si="533"/>
        <v>7696.1852571428235</v>
      </c>
      <c r="W2616">
        <f t="shared" si="534"/>
        <v>296.00712527472388</v>
      </c>
      <c r="X2616">
        <v>0</v>
      </c>
    </row>
    <row r="2617" spans="1:24" x14ac:dyDescent="0.25">
      <c r="A2617" t="s">
        <v>1968</v>
      </c>
      <c r="B2617" t="s">
        <v>2146</v>
      </c>
      <c r="C2617" t="s">
        <v>2147</v>
      </c>
      <c r="D2617" t="s">
        <v>285</v>
      </c>
      <c r="E2617" t="s">
        <v>20</v>
      </c>
      <c r="F2617" t="s">
        <v>1</v>
      </c>
      <c r="G2617" t="s">
        <v>1004</v>
      </c>
      <c r="H2617" t="s">
        <v>420</v>
      </c>
      <c r="I2617" t="s">
        <v>1</v>
      </c>
      <c r="J2617">
        <v>811095.52</v>
      </c>
      <c r="K2617">
        <v>760753.78535805806</v>
      </c>
      <c r="L2617">
        <v>561285.4</v>
      </c>
      <c r="M2617">
        <v>1131873.8729281768</v>
      </c>
      <c r="N2617">
        <v>1011366.8399999999</v>
      </c>
      <c r="O2617">
        <v>1128738.7714285699</v>
      </c>
      <c r="P2617">
        <v>0</v>
      </c>
      <c r="Q2617">
        <f t="shared" si="530"/>
        <v>1128738.7714285699</v>
      </c>
      <c r="R2617">
        <v>1128738.7714285699</v>
      </c>
      <c r="S2617">
        <f t="shared" si="531"/>
        <v>0</v>
      </c>
      <c r="T2617">
        <v>0.04</v>
      </c>
      <c r="U2617">
        <f t="shared" si="532"/>
        <v>45149.5508571428</v>
      </c>
      <c r="V2617">
        <f t="shared" si="533"/>
        <v>1173888.3222857127</v>
      </c>
      <c r="W2617">
        <f t="shared" si="534"/>
        <v>45149.550857142778</v>
      </c>
      <c r="X2617">
        <v>0</v>
      </c>
    </row>
    <row r="2618" spans="1:24" x14ac:dyDescent="0.25">
      <c r="A2618" t="s">
        <v>1968</v>
      </c>
      <c r="B2618" t="s">
        <v>2146</v>
      </c>
      <c r="C2618" t="s">
        <v>2147</v>
      </c>
      <c r="D2618" t="s">
        <v>285</v>
      </c>
      <c r="E2618" t="s">
        <v>21</v>
      </c>
      <c r="F2618" t="s">
        <v>1</v>
      </c>
      <c r="G2618" t="s">
        <v>1004</v>
      </c>
      <c r="H2618" t="s">
        <v>421</v>
      </c>
      <c r="I2618" t="s">
        <v>1</v>
      </c>
      <c r="J2618">
        <v>9864.31</v>
      </c>
      <c r="K2618">
        <v>6103.9699999999002</v>
      </c>
      <c r="L2618">
        <v>4005.06</v>
      </c>
      <c r="M2618">
        <v>8076.5022099447515</v>
      </c>
      <c r="N2618">
        <v>10835.72</v>
      </c>
      <c r="O2618">
        <v>8076.5022099447997</v>
      </c>
      <c r="P2618">
        <v>0</v>
      </c>
      <c r="Q2618">
        <f t="shared" si="530"/>
        <v>8076.5022099447997</v>
      </c>
      <c r="R2618">
        <v>8076.5022099447997</v>
      </c>
      <c r="S2618">
        <f t="shared" si="531"/>
        <v>0</v>
      </c>
      <c r="T2618">
        <v>0.03</v>
      </c>
      <c r="U2618">
        <f t="shared" si="532"/>
        <v>242.29506629834398</v>
      </c>
      <c r="V2618">
        <f t="shared" si="533"/>
        <v>8318.7972762431436</v>
      </c>
      <c r="W2618">
        <f t="shared" si="534"/>
        <v>242.29506629834395</v>
      </c>
      <c r="X2618">
        <v>0</v>
      </c>
    </row>
    <row r="2619" spans="1:24" x14ac:dyDescent="0.25">
      <c r="A2619" t="s">
        <v>1968</v>
      </c>
      <c r="B2619" t="s">
        <v>2146</v>
      </c>
      <c r="C2619" t="s">
        <v>2147</v>
      </c>
      <c r="D2619" t="s">
        <v>285</v>
      </c>
      <c r="E2619" t="s">
        <v>22</v>
      </c>
      <c r="F2619" t="s">
        <v>1</v>
      </c>
      <c r="G2619" t="s">
        <v>1004</v>
      </c>
      <c r="H2619" t="s">
        <v>422</v>
      </c>
      <c r="I2619" t="s">
        <v>1</v>
      </c>
      <c r="J2619">
        <v>30005.82</v>
      </c>
      <c r="K2619">
        <v>22521.5999999999</v>
      </c>
      <c r="L2619">
        <v>12272.26</v>
      </c>
      <c r="M2619">
        <v>24747.927624309395</v>
      </c>
      <c r="N2619">
        <v>31398.03</v>
      </c>
      <c r="O2619">
        <v>24747.927624309399</v>
      </c>
      <c r="P2619">
        <v>0</v>
      </c>
      <c r="Q2619">
        <f t="shared" si="530"/>
        <v>24747.927624309399</v>
      </c>
      <c r="R2619">
        <v>24747.927624309399</v>
      </c>
      <c r="S2619">
        <f t="shared" si="531"/>
        <v>0</v>
      </c>
      <c r="T2619">
        <v>3.5000000000000003E-2</v>
      </c>
      <c r="U2619">
        <f t="shared" si="532"/>
        <v>866.17746685082909</v>
      </c>
      <c r="V2619">
        <f t="shared" si="533"/>
        <v>25614.105091160229</v>
      </c>
      <c r="W2619">
        <f t="shared" si="534"/>
        <v>866.17746685082966</v>
      </c>
      <c r="X2619">
        <v>0</v>
      </c>
    </row>
    <row r="2620" spans="1:24" x14ac:dyDescent="0.25">
      <c r="A2620" t="s">
        <v>1968</v>
      </c>
      <c r="B2620" t="s">
        <v>2146</v>
      </c>
      <c r="C2620" t="s">
        <v>2147</v>
      </c>
      <c r="D2620" t="s">
        <v>285</v>
      </c>
      <c r="E2620" t="s">
        <v>23</v>
      </c>
      <c r="F2620" t="s">
        <v>1</v>
      </c>
      <c r="G2620" t="s">
        <v>1004</v>
      </c>
      <c r="H2620" t="s">
        <v>423</v>
      </c>
      <c r="I2620" t="s">
        <v>1</v>
      </c>
      <c r="J2620">
        <v>6236.04</v>
      </c>
      <c r="K2620">
        <v>9025.2000000001008</v>
      </c>
      <c r="L2620">
        <v>7843.68</v>
      </c>
      <c r="M2620">
        <v>15817.365745856354</v>
      </c>
      <c r="N2620">
        <v>9720.68</v>
      </c>
      <c r="O2620">
        <v>15817.365745856399</v>
      </c>
      <c r="P2620">
        <v>0</v>
      </c>
      <c r="Q2620">
        <f t="shared" si="530"/>
        <v>15817.365745856399</v>
      </c>
      <c r="R2620">
        <v>15817.365745856399</v>
      </c>
      <c r="S2620">
        <f t="shared" si="531"/>
        <v>0</v>
      </c>
      <c r="T2620">
        <v>3.5000000000000003E-2</v>
      </c>
      <c r="U2620">
        <f t="shared" si="532"/>
        <v>553.60780110497399</v>
      </c>
      <c r="V2620">
        <f t="shared" si="533"/>
        <v>16370.973546961373</v>
      </c>
      <c r="W2620">
        <f t="shared" si="534"/>
        <v>553.60780110497399</v>
      </c>
      <c r="X2620">
        <v>0</v>
      </c>
    </row>
    <row r="2621" spans="1:24" x14ac:dyDescent="0.25">
      <c r="A2621" t="s">
        <v>1968</v>
      </c>
      <c r="B2621" t="s">
        <v>2146</v>
      </c>
      <c r="C2621" t="s">
        <v>2147</v>
      </c>
      <c r="D2621" t="s">
        <v>285</v>
      </c>
      <c r="E2621" t="s">
        <v>27</v>
      </c>
      <c r="F2621" t="s">
        <v>1</v>
      </c>
      <c r="G2621" t="s">
        <v>1004</v>
      </c>
      <c r="H2621" t="s">
        <v>427</v>
      </c>
      <c r="I2621" t="s">
        <v>1</v>
      </c>
      <c r="J2621">
        <v>7394.37</v>
      </c>
      <c r="K2621">
        <v>8559.9999999995998</v>
      </c>
      <c r="L2621">
        <v>1681.68</v>
      </c>
      <c r="M2621">
        <v>3391.2331491712707</v>
      </c>
      <c r="N2621">
        <v>3741.85</v>
      </c>
      <c r="O2621">
        <v>3363.36</v>
      </c>
      <c r="P2621">
        <v>0</v>
      </c>
      <c r="Q2621">
        <f t="shared" si="530"/>
        <v>3363.36</v>
      </c>
      <c r="R2621">
        <v>3363.36</v>
      </c>
      <c r="S2621">
        <f t="shared" si="531"/>
        <v>0</v>
      </c>
      <c r="T2621"/>
      <c r="U2621">
        <f t="shared" si="532"/>
        <v>0</v>
      </c>
      <c r="V2621">
        <f t="shared" si="533"/>
        <v>3363.36</v>
      </c>
      <c r="W2621">
        <f t="shared" si="534"/>
        <v>0</v>
      </c>
      <c r="X2621">
        <v>0</v>
      </c>
    </row>
    <row r="2622" spans="1:24" x14ac:dyDescent="0.25">
      <c r="A2622" t="s">
        <v>1968</v>
      </c>
      <c r="B2622" t="s">
        <v>2146</v>
      </c>
      <c r="C2622" t="s">
        <v>2147</v>
      </c>
      <c r="D2622" t="s">
        <v>285</v>
      </c>
      <c r="E2622" t="s">
        <v>28</v>
      </c>
      <c r="F2622" t="s">
        <v>1</v>
      </c>
      <c r="G2622" t="s">
        <v>1004</v>
      </c>
      <c r="H2622" t="s">
        <v>428</v>
      </c>
      <c r="I2622" t="s">
        <v>1</v>
      </c>
      <c r="J2622">
        <v>5742.26</v>
      </c>
      <c r="K2622">
        <v>9039.9999999995998</v>
      </c>
      <c r="L2622">
        <v>600.44000000000005</v>
      </c>
      <c r="M2622">
        <v>1210.8320441988951</v>
      </c>
      <c r="N2622">
        <v>2663.75</v>
      </c>
      <c r="O2622">
        <v>1200.8800000000001</v>
      </c>
      <c r="P2622">
        <v>0</v>
      </c>
      <c r="Q2622">
        <f t="shared" si="530"/>
        <v>1200.8800000000001</v>
      </c>
      <c r="R2622">
        <v>1200.8800000000001</v>
      </c>
      <c r="S2622">
        <f t="shared" si="531"/>
        <v>0</v>
      </c>
      <c r="T2622"/>
      <c r="U2622">
        <f t="shared" si="532"/>
        <v>0</v>
      </c>
      <c r="V2622">
        <f t="shared" si="533"/>
        <v>1200.8800000000001</v>
      </c>
      <c r="W2622">
        <f t="shared" si="534"/>
        <v>0</v>
      </c>
      <c r="X2622">
        <v>0</v>
      </c>
    </row>
    <row r="2623" spans="1:24" x14ac:dyDescent="0.25">
      <c r="A2623" t="s">
        <v>1968</v>
      </c>
      <c r="B2623" t="s">
        <v>2146</v>
      </c>
      <c r="C2623" t="s">
        <v>2147</v>
      </c>
      <c r="D2623" t="s">
        <v>285</v>
      </c>
      <c r="E2623" t="s">
        <v>31</v>
      </c>
      <c r="F2623" t="s">
        <v>1</v>
      </c>
      <c r="G2623" t="s">
        <v>1004</v>
      </c>
      <c r="H2623" t="s">
        <v>431</v>
      </c>
      <c r="I2623" t="s">
        <v>1</v>
      </c>
      <c r="J2623"/>
      <c r="K2623">
        <v>2786.0000000004002</v>
      </c>
      <c r="L2623">
        <v>0</v>
      </c>
      <c r="M2623">
        <v>0</v>
      </c>
      <c r="N2623">
        <v>0</v>
      </c>
      <c r="O2623"/>
      <c r="P2623">
        <v>0</v>
      </c>
      <c r="Q2623">
        <f t="shared" si="530"/>
        <v>0</v>
      </c>
      <c r="R2623">
        <v>0</v>
      </c>
      <c r="S2623">
        <f t="shared" si="531"/>
        <v>0</v>
      </c>
      <c r="T2623"/>
      <c r="U2623">
        <f t="shared" si="532"/>
        <v>0</v>
      </c>
      <c r="V2623">
        <f t="shared" si="533"/>
        <v>0</v>
      </c>
      <c r="W2623">
        <f t="shared" si="534"/>
        <v>0</v>
      </c>
      <c r="X2623">
        <v>0</v>
      </c>
    </row>
    <row r="2624" spans="1:24" x14ac:dyDescent="0.25">
      <c r="A2624" t="s">
        <v>1968</v>
      </c>
      <c r="B2624" t="s">
        <v>2146</v>
      </c>
      <c r="C2624" t="s">
        <v>2147</v>
      </c>
      <c r="D2624" t="s">
        <v>285</v>
      </c>
      <c r="E2624" t="s">
        <v>34</v>
      </c>
      <c r="F2624" t="s">
        <v>1</v>
      </c>
      <c r="G2624" t="s">
        <v>1004</v>
      </c>
      <c r="H2624" t="s">
        <v>434</v>
      </c>
      <c r="I2624" t="s">
        <v>1</v>
      </c>
      <c r="J2624"/>
      <c r="K2624"/>
      <c r="L2624">
        <v>287.11</v>
      </c>
      <c r="M2624">
        <v>578.97872928176798</v>
      </c>
      <c r="N2624">
        <v>287.11</v>
      </c>
      <c r="O2624">
        <v>574.22</v>
      </c>
      <c r="P2624">
        <v>0</v>
      </c>
      <c r="Q2624">
        <f t="shared" si="530"/>
        <v>574.22</v>
      </c>
      <c r="R2624">
        <v>0</v>
      </c>
      <c r="S2624">
        <f t="shared" si="531"/>
        <v>-574.22</v>
      </c>
      <c r="T2624"/>
      <c r="U2624">
        <f t="shared" si="532"/>
        <v>0</v>
      </c>
      <c r="V2624">
        <f t="shared" si="533"/>
        <v>0</v>
      </c>
      <c r="W2624">
        <f t="shared" si="534"/>
        <v>-574.22</v>
      </c>
      <c r="X2624">
        <v>0</v>
      </c>
    </row>
    <row r="2625" spans="1:24" x14ac:dyDescent="0.25">
      <c r="A2625" t="s">
        <v>1968</v>
      </c>
      <c r="B2625" t="s">
        <v>2146</v>
      </c>
      <c r="C2625" t="s">
        <v>2147</v>
      </c>
      <c r="D2625" t="s">
        <v>285</v>
      </c>
      <c r="E2625" t="s">
        <v>37</v>
      </c>
      <c r="F2625" t="s">
        <v>1</v>
      </c>
      <c r="G2625" t="s">
        <v>1004</v>
      </c>
      <c r="H2625" t="s">
        <v>437</v>
      </c>
      <c r="I2625" t="s">
        <v>1</v>
      </c>
      <c r="J2625"/>
      <c r="K2625"/>
      <c r="L2625">
        <v>1094.43</v>
      </c>
      <c r="M2625">
        <v>2206.9997237569064</v>
      </c>
      <c r="N2625">
        <v>1094.43</v>
      </c>
      <c r="O2625">
        <v>2188.86</v>
      </c>
      <c r="P2625">
        <v>0</v>
      </c>
      <c r="Q2625">
        <f t="shared" si="530"/>
        <v>2188.86</v>
      </c>
      <c r="R2625">
        <v>0</v>
      </c>
      <c r="S2625">
        <f t="shared" si="531"/>
        <v>-2188.86</v>
      </c>
      <c r="T2625"/>
      <c r="U2625">
        <f t="shared" si="532"/>
        <v>0</v>
      </c>
      <c r="V2625">
        <f t="shared" si="533"/>
        <v>0</v>
      </c>
      <c r="W2625">
        <f t="shared" si="534"/>
        <v>-2188.86</v>
      </c>
      <c r="X2625">
        <v>0</v>
      </c>
    </row>
    <row r="2626" spans="1:24" x14ac:dyDescent="0.25">
      <c r="A2626" t="s">
        <v>1968</v>
      </c>
      <c r="B2626" t="s">
        <v>2146</v>
      </c>
      <c r="C2626" t="s">
        <v>2147</v>
      </c>
      <c r="D2626" t="s">
        <v>285</v>
      </c>
      <c r="E2626" t="s">
        <v>121</v>
      </c>
      <c r="F2626" t="s">
        <v>1</v>
      </c>
      <c r="G2626" t="s">
        <v>1004</v>
      </c>
      <c r="H2626" t="s">
        <v>590</v>
      </c>
      <c r="I2626" t="s">
        <v>1</v>
      </c>
      <c r="J2626"/>
      <c r="K2626">
        <v>128549.28347095101</v>
      </c>
      <c r="L2626">
        <v>0</v>
      </c>
      <c r="M2626">
        <v>0</v>
      </c>
      <c r="N2626">
        <v>0</v>
      </c>
      <c r="O2626"/>
      <c r="P2626">
        <v>0</v>
      </c>
      <c r="Q2626">
        <f t="shared" si="530"/>
        <v>0</v>
      </c>
      <c r="R2626">
        <v>0</v>
      </c>
      <c r="S2626">
        <f t="shared" si="531"/>
        <v>0</v>
      </c>
      <c r="T2626"/>
      <c r="U2626">
        <f t="shared" si="532"/>
        <v>0</v>
      </c>
      <c r="V2626">
        <f t="shared" si="533"/>
        <v>0</v>
      </c>
      <c r="W2626">
        <f t="shared" si="534"/>
        <v>0</v>
      </c>
      <c r="X2626">
        <v>0</v>
      </c>
    </row>
    <row r="2627" spans="1:24" x14ac:dyDescent="0.25">
      <c r="A2627" t="s">
        <v>1968</v>
      </c>
      <c r="B2627" t="s">
        <v>2146</v>
      </c>
      <c r="C2627" t="s">
        <v>2147</v>
      </c>
      <c r="D2627" t="s">
        <v>285</v>
      </c>
      <c r="E2627" t="s">
        <v>40</v>
      </c>
      <c r="F2627" t="s">
        <v>1</v>
      </c>
      <c r="G2627" t="s">
        <v>1004</v>
      </c>
      <c r="H2627" t="s">
        <v>440</v>
      </c>
      <c r="I2627" t="s">
        <v>1</v>
      </c>
      <c r="J2627">
        <v>55982.9</v>
      </c>
      <c r="K2627">
        <v>67179.999999999607</v>
      </c>
      <c r="L2627">
        <v>11196.58</v>
      </c>
      <c r="M2627">
        <v>22578.738674033149</v>
      </c>
      <c r="N2627">
        <v>44786.32</v>
      </c>
      <c r="O2627">
        <v>22393.16</v>
      </c>
      <c r="P2627">
        <v>0</v>
      </c>
      <c r="Q2627">
        <f t="shared" si="530"/>
        <v>22393.16</v>
      </c>
      <c r="R2627">
        <v>22393.16</v>
      </c>
      <c r="S2627">
        <f t="shared" si="531"/>
        <v>0</v>
      </c>
      <c r="T2627">
        <v>0.03</v>
      </c>
      <c r="U2627">
        <f t="shared" si="532"/>
        <v>671.79480000000001</v>
      </c>
      <c r="V2627">
        <f t="shared" si="533"/>
        <v>23064.9548</v>
      </c>
      <c r="W2627">
        <f t="shared" si="534"/>
        <v>671.79479999999967</v>
      </c>
      <c r="X2627" t="s">
        <v>1730</v>
      </c>
    </row>
    <row r="2628" spans="1:24" x14ac:dyDescent="0.25">
      <c r="A2628" t="s">
        <v>1968</v>
      </c>
      <c r="B2628" t="s">
        <v>2146</v>
      </c>
      <c r="C2628" t="s">
        <v>2147</v>
      </c>
      <c r="D2628" t="s">
        <v>285</v>
      </c>
      <c r="E2628" t="s">
        <v>76</v>
      </c>
      <c r="F2628" t="s">
        <v>1</v>
      </c>
      <c r="G2628" t="s">
        <v>1004</v>
      </c>
      <c r="H2628" t="s">
        <v>493</v>
      </c>
      <c r="I2628" t="s">
        <v>1</v>
      </c>
      <c r="J2628">
        <v>124311.43</v>
      </c>
      <c r="K2628">
        <v>125197</v>
      </c>
      <c r="L2628">
        <v>66766</v>
      </c>
      <c r="M2628">
        <v>134638.61878453038</v>
      </c>
      <c r="N2628">
        <v>125124.64999999998</v>
      </c>
      <c r="O2628">
        <v>133532</v>
      </c>
      <c r="P2628">
        <v>0</v>
      </c>
      <c r="Q2628">
        <f t="shared" si="530"/>
        <v>133532</v>
      </c>
      <c r="R2628">
        <v>125197</v>
      </c>
      <c r="S2628">
        <f t="shared" si="531"/>
        <v>-8335</v>
      </c>
      <c r="T2628">
        <v>0.03</v>
      </c>
      <c r="U2628">
        <f t="shared" si="532"/>
        <v>3755.91</v>
      </c>
      <c r="V2628">
        <f t="shared" si="533"/>
        <v>128952.91</v>
      </c>
      <c r="W2628">
        <f t="shared" si="534"/>
        <v>-4579.0899999999965</v>
      </c>
      <c r="X2628" t="s">
        <v>1731</v>
      </c>
    </row>
    <row r="2629" spans="1:24" x14ac:dyDescent="0.25">
      <c r="A2629" t="s">
        <v>1968</v>
      </c>
      <c r="B2629" t="s">
        <v>2146</v>
      </c>
      <c r="C2629" t="s">
        <v>2147</v>
      </c>
      <c r="D2629" t="s">
        <v>285</v>
      </c>
      <c r="E2629" t="s">
        <v>41</v>
      </c>
      <c r="F2629" t="s">
        <v>1</v>
      </c>
      <c r="G2629" t="s">
        <v>1004</v>
      </c>
      <c r="H2629" t="s">
        <v>441</v>
      </c>
      <c r="I2629" t="s">
        <v>1</v>
      </c>
      <c r="J2629">
        <v>29782.71</v>
      </c>
      <c r="K2629">
        <v>21437.1600755172</v>
      </c>
      <c r="L2629">
        <v>29219.68</v>
      </c>
      <c r="M2629">
        <v>58923.664088397789</v>
      </c>
      <c r="N2629">
        <v>47597.039999999994</v>
      </c>
      <c r="O2629">
        <v>58439.360000000001</v>
      </c>
      <c r="P2629">
        <v>0</v>
      </c>
      <c r="Q2629">
        <f t="shared" si="530"/>
        <v>58439.360000000001</v>
      </c>
      <c r="R2629">
        <v>0</v>
      </c>
      <c r="S2629">
        <f t="shared" si="531"/>
        <v>-58439.360000000001</v>
      </c>
      <c r="T2629">
        <v>0.03</v>
      </c>
      <c r="U2629">
        <f t="shared" si="532"/>
        <v>0</v>
      </c>
      <c r="V2629">
        <f t="shared" si="533"/>
        <v>0</v>
      </c>
      <c r="W2629">
        <f t="shared" si="534"/>
        <v>-58439.360000000001</v>
      </c>
      <c r="X2629">
        <v>0</v>
      </c>
    </row>
    <row r="2630" spans="1:24" x14ac:dyDescent="0.25">
      <c r="A2630" t="s">
        <v>1968</v>
      </c>
      <c r="B2630" t="s">
        <v>2146</v>
      </c>
      <c r="C2630" t="s">
        <v>2147</v>
      </c>
      <c r="D2630" t="s">
        <v>285</v>
      </c>
      <c r="E2630" t="s">
        <v>42</v>
      </c>
      <c r="F2630" t="s">
        <v>1</v>
      </c>
      <c r="G2630" t="s">
        <v>1004</v>
      </c>
      <c r="H2630" t="s">
        <v>442</v>
      </c>
      <c r="I2630" t="s">
        <v>1</v>
      </c>
      <c r="J2630">
        <v>1257.06</v>
      </c>
      <c r="K2630">
        <v>2514</v>
      </c>
      <c r="L2630">
        <v>1294.77</v>
      </c>
      <c r="M2630">
        <v>2611.000276243094</v>
      </c>
      <c r="N2630">
        <v>1294.77</v>
      </c>
      <c r="O2630">
        <v>2589.54</v>
      </c>
      <c r="P2630">
        <v>0</v>
      </c>
      <c r="Q2630">
        <f t="shared" si="530"/>
        <v>2589.54</v>
      </c>
      <c r="R2630">
        <v>2589.54</v>
      </c>
      <c r="S2630">
        <f t="shared" si="531"/>
        <v>0</v>
      </c>
      <c r="T2630">
        <v>0.03</v>
      </c>
      <c r="U2630">
        <f t="shared" si="532"/>
        <v>77.686199999999999</v>
      </c>
      <c r="V2630">
        <f t="shared" si="533"/>
        <v>2667.2262000000001</v>
      </c>
      <c r="W2630">
        <f t="shared" si="534"/>
        <v>77.686200000000099</v>
      </c>
      <c r="X2630" t="s">
        <v>1732</v>
      </c>
    </row>
    <row r="2631" spans="1:24" x14ac:dyDescent="0.25">
      <c r="A2631" t="s">
        <v>1968</v>
      </c>
      <c r="B2631" t="s">
        <v>2146</v>
      </c>
      <c r="C2631" t="s">
        <v>2147</v>
      </c>
      <c r="D2631" t="s">
        <v>285</v>
      </c>
      <c r="E2631" t="s">
        <v>43</v>
      </c>
      <c r="F2631" t="s">
        <v>1</v>
      </c>
      <c r="G2631" t="s">
        <v>1004</v>
      </c>
      <c r="H2631" t="s">
        <v>443</v>
      </c>
      <c r="I2631" t="s">
        <v>1</v>
      </c>
      <c r="J2631">
        <v>2170</v>
      </c>
      <c r="K2631"/>
      <c r="L2631">
        <v>8065.58</v>
      </c>
      <c r="M2631">
        <v>16264.843646408839</v>
      </c>
      <c r="N2631">
        <v>8065.58</v>
      </c>
      <c r="O2631">
        <v>16131.16</v>
      </c>
      <c r="P2631">
        <v>0</v>
      </c>
      <c r="Q2631">
        <f t="shared" si="530"/>
        <v>16131.16</v>
      </c>
      <c r="R2631">
        <v>16131.16</v>
      </c>
      <c r="S2631">
        <f t="shared" si="531"/>
        <v>0</v>
      </c>
      <c r="T2631">
        <v>0.03</v>
      </c>
      <c r="U2631">
        <f t="shared" si="532"/>
        <v>483.9348</v>
      </c>
      <c r="V2631">
        <f t="shared" si="533"/>
        <v>16615.094799999999</v>
      </c>
      <c r="W2631">
        <f t="shared" si="534"/>
        <v>483.93479999999909</v>
      </c>
      <c r="X2631">
        <v>0</v>
      </c>
    </row>
    <row r="2632" spans="1:24" x14ac:dyDescent="0.25">
      <c r="A2632" t="s">
        <v>1968</v>
      </c>
      <c r="B2632" t="s">
        <v>2146</v>
      </c>
      <c r="C2632" t="s">
        <v>2147</v>
      </c>
      <c r="D2632" t="s">
        <v>285</v>
      </c>
      <c r="E2632" t="s">
        <v>134</v>
      </c>
      <c r="F2632" t="s">
        <v>1</v>
      </c>
      <c r="G2632" t="s">
        <v>1004</v>
      </c>
      <c r="H2632" t="s">
        <v>623</v>
      </c>
      <c r="I2632" t="s">
        <v>1</v>
      </c>
      <c r="J2632">
        <v>6683.38</v>
      </c>
      <c r="K2632">
        <v>6494.0000000004002</v>
      </c>
      <c r="L2632">
        <v>-2195</v>
      </c>
      <c r="M2632">
        <v>-4426.3812154696134</v>
      </c>
      <c r="N2632">
        <v>-412.5</v>
      </c>
      <c r="O2632">
        <v>-4390</v>
      </c>
      <c r="P2632">
        <v>0</v>
      </c>
      <c r="Q2632">
        <f t="shared" si="530"/>
        <v>-4390</v>
      </c>
      <c r="R2632">
        <v>0</v>
      </c>
      <c r="S2632">
        <f t="shared" si="531"/>
        <v>4390</v>
      </c>
      <c r="T2632">
        <v>0.03</v>
      </c>
      <c r="U2632">
        <f t="shared" si="532"/>
        <v>0</v>
      </c>
      <c r="V2632">
        <f t="shared" si="533"/>
        <v>0</v>
      </c>
      <c r="W2632">
        <f t="shared" si="534"/>
        <v>4390</v>
      </c>
      <c r="X2632">
        <v>0</v>
      </c>
    </row>
    <row r="2633" spans="1:24" x14ac:dyDescent="0.25">
      <c r="A2633" t="s">
        <v>1968</v>
      </c>
      <c r="B2633" t="s">
        <v>2146</v>
      </c>
      <c r="C2633" t="s">
        <v>2147</v>
      </c>
      <c r="D2633" t="s">
        <v>285</v>
      </c>
      <c r="E2633" t="s">
        <v>46</v>
      </c>
      <c r="F2633" t="s">
        <v>1</v>
      </c>
      <c r="G2633" t="s">
        <v>1004</v>
      </c>
      <c r="H2633" t="s">
        <v>446</v>
      </c>
      <c r="I2633" t="s">
        <v>1</v>
      </c>
      <c r="J2633">
        <v>7273.58</v>
      </c>
      <c r="K2633"/>
      <c r="L2633">
        <v>180.5</v>
      </c>
      <c r="M2633">
        <v>363.99171270718233</v>
      </c>
      <c r="N2633">
        <v>5105.38</v>
      </c>
      <c r="O2633">
        <v>361</v>
      </c>
      <c r="P2633">
        <v>0</v>
      </c>
      <c r="Q2633">
        <f t="shared" si="530"/>
        <v>361</v>
      </c>
      <c r="R2633">
        <v>361</v>
      </c>
      <c r="S2633">
        <f t="shared" si="531"/>
        <v>0</v>
      </c>
      <c r="T2633">
        <v>0.03</v>
      </c>
      <c r="U2633">
        <f t="shared" si="532"/>
        <v>10.83</v>
      </c>
      <c r="V2633">
        <f t="shared" si="533"/>
        <v>371.83</v>
      </c>
      <c r="W2633">
        <f t="shared" si="534"/>
        <v>10.829999999999984</v>
      </c>
      <c r="X2633">
        <v>0</v>
      </c>
    </row>
    <row r="2634" spans="1:24" x14ac:dyDescent="0.25">
      <c r="A2634" t="s">
        <v>1968</v>
      </c>
      <c r="B2634" t="s">
        <v>2146</v>
      </c>
      <c r="C2634" t="s">
        <v>2147</v>
      </c>
      <c r="D2634" t="s">
        <v>285</v>
      </c>
      <c r="E2634" t="s">
        <v>48</v>
      </c>
      <c r="F2634" t="s">
        <v>1</v>
      </c>
      <c r="G2634" t="s">
        <v>1004</v>
      </c>
      <c r="H2634" t="s">
        <v>448</v>
      </c>
      <c r="I2634" t="s">
        <v>1</v>
      </c>
      <c r="J2634">
        <v>455.04</v>
      </c>
      <c r="K2634">
        <v>134.00000000040001</v>
      </c>
      <c r="L2634">
        <v>451.62</v>
      </c>
      <c r="M2634">
        <v>910.72541436464087</v>
      </c>
      <c r="N2634">
        <v>723.6099999999999</v>
      </c>
      <c r="O2634">
        <v>903.24</v>
      </c>
      <c r="P2634">
        <v>0</v>
      </c>
      <c r="Q2634">
        <f t="shared" si="530"/>
        <v>903.24</v>
      </c>
      <c r="R2634">
        <v>903.24</v>
      </c>
      <c r="S2634">
        <f t="shared" si="531"/>
        <v>0</v>
      </c>
      <c r="T2634">
        <v>0.03</v>
      </c>
      <c r="U2634">
        <f t="shared" si="532"/>
        <v>27.097200000000001</v>
      </c>
      <c r="V2634">
        <f t="shared" si="533"/>
        <v>930.33720000000005</v>
      </c>
      <c r="W2634">
        <f t="shared" si="534"/>
        <v>27.097200000000043</v>
      </c>
      <c r="X2634">
        <v>0</v>
      </c>
    </row>
    <row r="2635" spans="1:24" x14ac:dyDescent="0.25">
      <c r="A2635" t="s">
        <v>1968</v>
      </c>
      <c r="B2635" t="s">
        <v>2146</v>
      </c>
      <c r="C2635" t="s">
        <v>2147</v>
      </c>
      <c r="D2635" t="s">
        <v>285</v>
      </c>
      <c r="E2635" t="s">
        <v>50</v>
      </c>
      <c r="F2635" t="s">
        <v>1</v>
      </c>
      <c r="G2635" t="s">
        <v>1004</v>
      </c>
      <c r="H2635" t="s">
        <v>450</v>
      </c>
      <c r="I2635" t="s">
        <v>1</v>
      </c>
      <c r="J2635">
        <v>55.46</v>
      </c>
      <c r="K2635"/>
      <c r="L2635">
        <v>196.85</v>
      </c>
      <c r="M2635">
        <v>396.96270718232046</v>
      </c>
      <c r="N2635">
        <v>252.31</v>
      </c>
      <c r="O2635">
        <v>396.96270718229999</v>
      </c>
      <c r="P2635">
        <v>0</v>
      </c>
      <c r="Q2635">
        <f t="shared" si="530"/>
        <v>396.96270718229999</v>
      </c>
      <c r="R2635">
        <v>396.96270718229999</v>
      </c>
      <c r="S2635">
        <f t="shared" si="531"/>
        <v>0</v>
      </c>
      <c r="T2635"/>
      <c r="U2635">
        <f t="shared" si="532"/>
        <v>0</v>
      </c>
      <c r="V2635">
        <f t="shared" si="533"/>
        <v>396.96270718229999</v>
      </c>
      <c r="W2635">
        <f t="shared" si="534"/>
        <v>0</v>
      </c>
      <c r="X2635">
        <v>0</v>
      </c>
    </row>
    <row r="2636" spans="1:24" x14ac:dyDescent="0.25">
      <c r="A2636" t="s">
        <v>1968</v>
      </c>
      <c r="B2636" t="s">
        <v>2146</v>
      </c>
      <c r="C2636" t="s">
        <v>2147</v>
      </c>
      <c r="D2636" t="s">
        <v>285</v>
      </c>
      <c r="E2636" t="s">
        <v>51</v>
      </c>
      <c r="F2636" t="s">
        <v>51</v>
      </c>
      <c r="G2636" t="s">
        <v>1005</v>
      </c>
      <c r="H2636"/>
      <c r="I2636"/>
      <c r="J2636">
        <v>1271092.0999999999</v>
      </c>
      <c r="K2636">
        <v>1309132.1380736846</v>
      </c>
      <c r="L2636">
        <v>770622.25000000012</v>
      </c>
      <c r="M2636">
        <v>1554017.2444751379</v>
      </c>
      <c r="N2636">
        <v>1474952.94</v>
      </c>
      <c r="O2636">
        <v>1548532.1001554232</v>
      </c>
      <c r="P2636">
        <f>SUMIF($F$2607:$F$2635,"&lt;&gt;EV_*",$P$2607:$P$2635)</f>
        <v>0</v>
      </c>
      <c r="Q2636">
        <f>SUMIF($F$2607:$F$2635,"&lt;&gt;EV_*",$Q$2607:$Q$2635)</f>
        <v>1548532.1001554232</v>
      </c>
      <c r="R2636">
        <f>SUMIF($F$2607:$F$2635,"&lt;&gt;EV_*",$R$2607:$R$2635)</f>
        <v>1483078.660155423</v>
      </c>
      <c r="S2636">
        <f>SUMIF($F$2607:$F$2635,"&lt;&gt;EV_*",$S$2607:$S$2635)</f>
        <v>-65453.440000000002</v>
      </c>
      <c r="T2636">
        <v>0</v>
      </c>
      <c r="U2636">
        <f>SUMIF($F$2607:$F$2635,"&lt;&gt;EV_*",$U$2607:$U$2635)</f>
        <v>54818.378531232105</v>
      </c>
      <c r="V2636">
        <f>SUMIF($F$2607:$F$2635,"&lt;&gt;EV_*",$V$2607:$V$2635)</f>
        <v>1537897.0386866548</v>
      </c>
      <c r="W2636">
        <f>SUMIF($F$2607:$F$2635,"&lt;&gt;EV_*",$W$2607:$W$2635)</f>
        <v>-10635.06146876791</v>
      </c>
      <c r="X2636">
        <f>SUMIF($F$2607:$F$2635,"&lt;&gt;EV_*",$X$2607:$X$2635)</f>
        <v>0</v>
      </c>
    </row>
    <row r="2637" spans="1:24" x14ac:dyDescent="0.25">
      <c r="A2637" t="s">
        <v>1968</v>
      </c>
      <c r="B2637" t="s">
        <v>2098</v>
      </c>
      <c r="C2637" t="s">
        <v>2148</v>
      </c>
      <c r="D2637" t="s">
        <v>286</v>
      </c>
      <c r="E2637" t="s">
        <v>5</v>
      </c>
      <c r="F2637" t="s">
        <v>5</v>
      </c>
      <c r="G2637" t="s">
        <v>1006</v>
      </c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</row>
    <row r="2638" spans="1:24" x14ac:dyDescent="0.25">
      <c r="A2638" t="s">
        <v>1968</v>
      </c>
      <c r="B2638" t="s">
        <v>2098</v>
      </c>
      <c r="C2638" t="s">
        <v>2148</v>
      </c>
      <c r="D2638" t="s">
        <v>286</v>
      </c>
      <c r="E2638" t="s">
        <v>149</v>
      </c>
      <c r="F2638" t="s">
        <v>1</v>
      </c>
      <c r="G2638" t="s">
        <v>1007</v>
      </c>
      <c r="H2638" t="s">
        <v>660</v>
      </c>
      <c r="I2638" t="s">
        <v>1</v>
      </c>
      <c r="J2638"/>
      <c r="K2638"/>
      <c r="L2638">
        <v>141</v>
      </c>
      <c r="M2638">
        <v>284.33701657458562</v>
      </c>
      <c r="N2638">
        <v>141</v>
      </c>
      <c r="O2638">
        <v>284.3370165746</v>
      </c>
      <c r="P2638">
        <v>0</v>
      </c>
      <c r="Q2638">
        <f t="shared" ref="Q2638:Q2677" si="535">O2638+P2638</f>
        <v>284.3370165746</v>
      </c>
      <c r="R2638">
        <v>0</v>
      </c>
      <c r="S2638">
        <f t="shared" ref="S2638:S2677" si="536">IF(OR(LEFT(E2638,2)="A_",LEFT(D2638,5)="Total"),R2638-Q2638,"")</f>
        <v>-284.3370165746</v>
      </c>
      <c r="T2638">
        <v>0.02</v>
      </c>
      <c r="U2638">
        <f t="shared" ref="U2638:U2677" si="537">IFERROR(R2638*T2638,R2638*0)</f>
        <v>0</v>
      </c>
      <c r="V2638">
        <f t="shared" ref="V2638:V2677" si="538">IF(OR(LEFT(E2638,2)="A_",LEFT(D2638,5)="Total"),R2638+U2638,"")</f>
        <v>0</v>
      </c>
      <c r="W2638">
        <f t="shared" ref="W2638:W2677" si="539">IF(OR(LEFT(E2638,2)="A_",LEFT(D2638,5)="Total"),V2638-Q2638,"")</f>
        <v>-284.3370165746</v>
      </c>
      <c r="X2638">
        <v>0</v>
      </c>
    </row>
    <row r="2639" spans="1:24" x14ac:dyDescent="0.25">
      <c r="A2639" t="s">
        <v>1968</v>
      </c>
      <c r="B2639" t="s">
        <v>2098</v>
      </c>
      <c r="C2639" t="s">
        <v>2148</v>
      </c>
      <c r="D2639" t="s">
        <v>286</v>
      </c>
      <c r="E2639" t="s">
        <v>8</v>
      </c>
      <c r="F2639" t="s">
        <v>1</v>
      </c>
      <c r="G2639" t="s">
        <v>1007</v>
      </c>
      <c r="H2639" t="s">
        <v>408</v>
      </c>
      <c r="I2639" t="s">
        <v>1</v>
      </c>
      <c r="J2639">
        <v>7528.13</v>
      </c>
      <c r="K2639">
        <v>8135.8903314917998</v>
      </c>
      <c r="L2639">
        <v>4077.72</v>
      </c>
      <c r="M2639">
        <v>8223.026519337016</v>
      </c>
      <c r="N2639">
        <v>7571.3399999999992</v>
      </c>
      <c r="O2639">
        <v>8223.0265193369996</v>
      </c>
      <c r="P2639">
        <v>0</v>
      </c>
      <c r="Q2639">
        <f t="shared" si="535"/>
        <v>8223.0265193369996</v>
      </c>
      <c r="R2639">
        <v>8223.0265193369996</v>
      </c>
      <c r="S2639">
        <f t="shared" si="536"/>
        <v>0</v>
      </c>
      <c r="T2639"/>
      <c r="U2639">
        <f t="shared" si="537"/>
        <v>0</v>
      </c>
      <c r="V2639">
        <f t="shared" si="538"/>
        <v>8223.0265193369996</v>
      </c>
      <c r="W2639">
        <f t="shared" si="539"/>
        <v>0</v>
      </c>
      <c r="X2639">
        <v>0</v>
      </c>
    </row>
    <row r="2640" spans="1:24" x14ac:dyDescent="0.25">
      <c r="A2640" t="s">
        <v>1968</v>
      </c>
      <c r="B2640" t="s">
        <v>2098</v>
      </c>
      <c r="C2640" t="s">
        <v>2148</v>
      </c>
      <c r="D2640" t="s">
        <v>286</v>
      </c>
      <c r="E2640" t="s">
        <v>10</v>
      </c>
      <c r="F2640" t="s">
        <v>1</v>
      </c>
      <c r="G2640" t="s">
        <v>1007</v>
      </c>
      <c r="H2640" t="s">
        <v>410</v>
      </c>
      <c r="I2640" t="s">
        <v>1</v>
      </c>
      <c r="J2640">
        <v>214539.2</v>
      </c>
      <c r="K2640">
        <v>240439</v>
      </c>
      <c r="L2640">
        <v>133770.29999999999</v>
      </c>
      <c r="M2640">
        <v>269757.78729281767</v>
      </c>
      <c r="N2640">
        <v>241184.99999999997</v>
      </c>
      <c r="O2640">
        <v>267540.59999999998</v>
      </c>
      <c r="P2640">
        <v>0</v>
      </c>
      <c r="Q2640">
        <f t="shared" si="535"/>
        <v>267540.59999999998</v>
      </c>
      <c r="R2640">
        <v>267540.60000000003</v>
      </c>
      <c r="S2640">
        <f t="shared" si="536"/>
        <v>5.8207660913467407E-11</v>
      </c>
      <c r="T2640"/>
      <c r="U2640">
        <f t="shared" si="537"/>
        <v>0</v>
      </c>
      <c r="V2640">
        <f t="shared" si="538"/>
        <v>267540.60000000003</v>
      </c>
      <c r="W2640">
        <f t="shared" si="539"/>
        <v>5.8207660913467407E-11</v>
      </c>
      <c r="X2640" t="s">
        <v>1733</v>
      </c>
    </row>
    <row r="2641" spans="1:24" x14ac:dyDescent="0.25">
      <c r="A2641" t="s">
        <v>1968</v>
      </c>
      <c r="B2641" t="s">
        <v>2098</v>
      </c>
      <c r="C2641" t="s">
        <v>2148</v>
      </c>
      <c r="D2641" t="s">
        <v>286</v>
      </c>
      <c r="E2641" t="s">
        <v>11</v>
      </c>
      <c r="F2641" t="s">
        <v>1</v>
      </c>
      <c r="G2641" t="s">
        <v>1007</v>
      </c>
      <c r="H2641" t="s">
        <v>411</v>
      </c>
      <c r="I2641" t="s">
        <v>1</v>
      </c>
      <c r="J2641">
        <v>2618.8200000000002</v>
      </c>
      <c r="K2641">
        <v>2308.9100000004</v>
      </c>
      <c r="L2641">
        <v>1786.84</v>
      </c>
      <c r="M2641">
        <v>3603.2961325966849</v>
      </c>
      <c r="N2641">
        <v>3022.5</v>
      </c>
      <c r="O2641">
        <v>3573.68</v>
      </c>
      <c r="P2641">
        <v>0</v>
      </c>
      <c r="Q2641">
        <f t="shared" si="535"/>
        <v>3573.68</v>
      </c>
      <c r="R2641">
        <v>2340.2399999999998</v>
      </c>
      <c r="S2641">
        <f t="shared" si="536"/>
        <v>-1233.44</v>
      </c>
      <c r="T2641"/>
      <c r="U2641">
        <f t="shared" si="537"/>
        <v>0</v>
      </c>
      <c r="V2641">
        <f t="shared" si="538"/>
        <v>2340.2399999999998</v>
      </c>
      <c r="W2641">
        <f t="shared" si="539"/>
        <v>-1233.44</v>
      </c>
      <c r="X2641">
        <v>0</v>
      </c>
    </row>
    <row r="2642" spans="1:24" x14ac:dyDescent="0.25">
      <c r="A2642" t="s">
        <v>1968</v>
      </c>
      <c r="B2642" t="s">
        <v>2098</v>
      </c>
      <c r="C2642" t="s">
        <v>2148</v>
      </c>
      <c r="D2642" t="s">
        <v>286</v>
      </c>
      <c r="E2642" t="s">
        <v>65</v>
      </c>
      <c r="F2642" t="s">
        <v>1</v>
      </c>
      <c r="G2642" t="s">
        <v>1007</v>
      </c>
      <c r="H2642" t="s">
        <v>476</v>
      </c>
      <c r="I2642" t="s">
        <v>1</v>
      </c>
      <c r="J2642">
        <v>-199.32</v>
      </c>
      <c r="K2642"/>
      <c r="L2642">
        <v>-130.96</v>
      </c>
      <c r="M2642">
        <v>-264.09060773480667</v>
      </c>
      <c r="N2642">
        <v>-183.28</v>
      </c>
      <c r="O2642">
        <v>-263.35912087909998</v>
      </c>
      <c r="P2642">
        <v>0</v>
      </c>
      <c r="Q2642">
        <f t="shared" si="535"/>
        <v>-263.35912087909998</v>
      </c>
      <c r="R2642">
        <v>-263.35912087909998</v>
      </c>
      <c r="S2642">
        <f t="shared" si="536"/>
        <v>0</v>
      </c>
      <c r="T2642"/>
      <c r="U2642">
        <f t="shared" si="537"/>
        <v>0</v>
      </c>
      <c r="V2642">
        <f t="shared" si="538"/>
        <v>-263.35912087909998</v>
      </c>
      <c r="W2642">
        <f t="shared" si="539"/>
        <v>0</v>
      </c>
      <c r="X2642">
        <v>0</v>
      </c>
    </row>
    <row r="2643" spans="1:24" x14ac:dyDescent="0.25">
      <c r="A2643" t="s">
        <v>1968</v>
      </c>
      <c r="B2643" t="s">
        <v>2098</v>
      </c>
      <c r="C2643" t="s">
        <v>2148</v>
      </c>
      <c r="D2643" t="s">
        <v>286</v>
      </c>
      <c r="E2643" t="s">
        <v>17</v>
      </c>
      <c r="F2643" t="s">
        <v>1</v>
      </c>
      <c r="G2643" t="s">
        <v>1007</v>
      </c>
      <c r="H2643" t="s">
        <v>417</v>
      </c>
      <c r="I2643" t="s">
        <v>1</v>
      </c>
      <c r="J2643">
        <v>-14359.67</v>
      </c>
      <c r="K2643">
        <v>-13880</v>
      </c>
      <c r="L2643">
        <v>-7369.24</v>
      </c>
      <c r="M2643">
        <v>-14860.622099447513</v>
      </c>
      <c r="N2643">
        <v>-12617.500000000002</v>
      </c>
      <c r="O2643">
        <v>-14819.460659340701</v>
      </c>
      <c r="P2643">
        <v>0</v>
      </c>
      <c r="Q2643">
        <f t="shared" si="535"/>
        <v>-14819.460659340701</v>
      </c>
      <c r="R2643">
        <v>-14819.460659340701</v>
      </c>
      <c r="S2643">
        <f t="shared" si="536"/>
        <v>0</v>
      </c>
      <c r="T2643"/>
      <c r="U2643">
        <f t="shared" si="537"/>
        <v>0</v>
      </c>
      <c r="V2643">
        <f t="shared" si="538"/>
        <v>-14819.460659340701</v>
      </c>
      <c r="W2643">
        <f t="shared" si="539"/>
        <v>0</v>
      </c>
      <c r="X2643">
        <v>0</v>
      </c>
    </row>
    <row r="2644" spans="1:24" x14ac:dyDescent="0.25">
      <c r="A2644" t="s">
        <v>1968</v>
      </c>
      <c r="B2644" t="s">
        <v>2098</v>
      </c>
      <c r="C2644" t="s">
        <v>2148</v>
      </c>
      <c r="D2644" t="s">
        <v>286</v>
      </c>
      <c r="E2644" t="s">
        <v>82</v>
      </c>
      <c r="F2644" t="s">
        <v>1</v>
      </c>
      <c r="G2644" t="s">
        <v>1007</v>
      </c>
      <c r="H2644" t="s">
        <v>507</v>
      </c>
      <c r="I2644" t="s">
        <v>1</v>
      </c>
      <c r="J2644">
        <v>6881.53</v>
      </c>
      <c r="K2644">
        <v>5702.9622145064004</v>
      </c>
      <c r="L2644">
        <v>5583.22</v>
      </c>
      <c r="M2644">
        <v>11258.979558011051</v>
      </c>
      <c r="N2644">
        <v>10094.52</v>
      </c>
      <c r="O2644">
        <v>11227.7940659341</v>
      </c>
      <c r="P2644">
        <v>0</v>
      </c>
      <c r="Q2644">
        <f t="shared" si="535"/>
        <v>11227.7940659341</v>
      </c>
      <c r="R2644">
        <v>11227.7940659341</v>
      </c>
      <c r="S2644">
        <f t="shared" si="536"/>
        <v>0</v>
      </c>
      <c r="T2644">
        <v>2.75E-2</v>
      </c>
      <c r="U2644">
        <f t="shared" si="537"/>
        <v>308.76433681318775</v>
      </c>
      <c r="V2644">
        <f t="shared" si="538"/>
        <v>11536.558402747289</v>
      </c>
      <c r="W2644">
        <f t="shared" si="539"/>
        <v>308.76433681318849</v>
      </c>
      <c r="X2644">
        <v>0</v>
      </c>
    </row>
    <row r="2645" spans="1:24" x14ac:dyDescent="0.25">
      <c r="A2645" t="s">
        <v>1968</v>
      </c>
      <c r="B2645" t="s">
        <v>2098</v>
      </c>
      <c r="C2645" t="s">
        <v>2148</v>
      </c>
      <c r="D2645" t="s">
        <v>286</v>
      </c>
      <c r="E2645" t="s">
        <v>72</v>
      </c>
      <c r="F2645" t="s">
        <v>1</v>
      </c>
      <c r="G2645" t="s">
        <v>1007</v>
      </c>
      <c r="H2645" t="s">
        <v>489</v>
      </c>
      <c r="I2645" t="s">
        <v>1</v>
      </c>
      <c r="J2645">
        <v>2104.4299999999998</v>
      </c>
      <c r="K2645">
        <v>2627.0781121399</v>
      </c>
      <c r="L2645">
        <v>3028.43</v>
      </c>
      <c r="M2645">
        <v>6107.0549723756903</v>
      </c>
      <c r="N2645">
        <v>4619.3399999999992</v>
      </c>
      <c r="O2645">
        <v>6090.1394505495</v>
      </c>
      <c r="P2645">
        <v>0</v>
      </c>
      <c r="Q2645">
        <f t="shared" si="535"/>
        <v>6090.1394505495</v>
      </c>
      <c r="R2645">
        <v>6090.1394505495</v>
      </c>
      <c r="S2645">
        <f t="shared" si="536"/>
        <v>0</v>
      </c>
      <c r="T2645">
        <v>2.2499999999999999E-2</v>
      </c>
      <c r="U2645">
        <f t="shared" si="537"/>
        <v>137.02813763736376</v>
      </c>
      <c r="V2645">
        <f t="shared" si="538"/>
        <v>6227.1675881868641</v>
      </c>
      <c r="W2645">
        <f t="shared" si="539"/>
        <v>137.02813763736413</v>
      </c>
      <c r="X2645">
        <v>0</v>
      </c>
    </row>
    <row r="2646" spans="1:24" x14ac:dyDescent="0.25">
      <c r="A2646" t="s">
        <v>1968</v>
      </c>
      <c r="B2646" t="s">
        <v>2098</v>
      </c>
      <c r="C2646" t="s">
        <v>2148</v>
      </c>
      <c r="D2646" t="s">
        <v>286</v>
      </c>
      <c r="E2646" t="s">
        <v>84</v>
      </c>
      <c r="F2646" t="s">
        <v>1</v>
      </c>
      <c r="G2646" t="s">
        <v>1007</v>
      </c>
      <c r="H2646" t="s">
        <v>509</v>
      </c>
      <c r="I2646" t="s">
        <v>1</v>
      </c>
      <c r="J2646">
        <v>12383.94</v>
      </c>
      <c r="K2646">
        <v>57346.627748953899</v>
      </c>
      <c r="L2646">
        <v>0</v>
      </c>
      <c r="M2646">
        <v>0</v>
      </c>
      <c r="N2646">
        <v>-20665</v>
      </c>
      <c r="O2646"/>
      <c r="P2646">
        <v>0</v>
      </c>
      <c r="Q2646">
        <f t="shared" si="535"/>
        <v>0</v>
      </c>
      <c r="R2646">
        <v>0</v>
      </c>
      <c r="S2646">
        <f t="shared" si="536"/>
        <v>0</v>
      </c>
      <c r="T2646">
        <v>2.5000000000000001E-2</v>
      </c>
      <c r="U2646">
        <f t="shared" si="537"/>
        <v>0</v>
      </c>
      <c r="V2646">
        <f t="shared" si="538"/>
        <v>0</v>
      </c>
      <c r="W2646">
        <f t="shared" si="539"/>
        <v>0</v>
      </c>
      <c r="X2646">
        <v>0</v>
      </c>
    </row>
    <row r="2647" spans="1:24" x14ac:dyDescent="0.25">
      <c r="A2647" t="s">
        <v>1968</v>
      </c>
      <c r="B2647" t="s">
        <v>2098</v>
      </c>
      <c r="C2647" t="s">
        <v>2148</v>
      </c>
      <c r="D2647" t="s">
        <v>286</v>
      </c>
      <c r="E2647" t="s">
        <v>118</v>
      </c>
      <c r="F2647" t="s">
        <v>1</v>
      </c>
      <c r="G2647" t="s">
        <v>1007</v>
      </c>
      <c r="H2647" t="s">
        <v>587</v>
      </c>
      <c r="I2647" t="s">
        <v>1</v>
      </c>
      <c r="J2647">
        <v>109544</v>
      </c>
      <c r="K2647">
        <v>108942.240615895</v>
      </c>
      <c r="L2647">
        <v>71128.639999999999</v>
      </c>
      <c r="M2647">
        <v>143436.20773480661</v>
      </c>
      <c r="N2647">
        <v>135065.64000000001</v>
      </c>
      <c r="O2647">
        <v>143038.913406593</v>
      </c>
      <c r="P2647">
        <v>0</v>
      </c>
      <c r="Q2647">
        <f t="shared" si="535"/>
        <v>143038.913406593</v>
      </c>
      <c r="R2647">
        <v>143038.913406593</v>
      </c>
      <c r="S2647">
        <f t="shared" si="536"/>
        <v>0</v>
      </c>
      <c r="T2647">
        <v>3.2500000000000001E-2</v>
      </c>
      <c r="U2647">
        <f t="shared" si="537"/>
        <v>4648.7646857142727</v>
      </c>
      <c r="V2647">
        <f t="shared" si="538"/>
        <v>147687.67809230727</v>
      </c>
      <c r="W2647">
        <f t="shared" si="539"/>
        <v>4648.7646857142681</v>
      </c>
      <c r="X2647">
        <v>0</v>
      </c>
    </row>
    <row r="2648" spans="1:24" x14ac:dyDescent="0.25">
      <c r="A2648" t="s">
        <v>1968</v>
      </c>
      <c r="B2648" t="s">
        <v>2098</v>
      </c>
      <c r="C2648" t="s">
        <v>2148</v>
      </c>
      <c r="D2648" t="s">
        <v>286</v>
      </c>
      <c r="E2648" t="s">
        <v>18</v>
      </c>
      <c r="F2648" t="s">
        <v>1</v>
      </c>
      <c r="G2648" t="s">
        <v>1007</v>
      </c>
      <c r="H2648" t="s">
        <v>418</v>
      </c>
      <c r="I2648" t="s">
        <v>1</v>
      </c>
      <c r="J2648">
        <v>376336.73</v>
      </c>
      <c r="K2648">
        <v>394418.35534853803</v>
      </c>
      <c r="L2648">
        <v>190513.07</v>
      </c>
      <c r="M2648">
        <v>384183.81519337022</v>
      </c>
      <c r="N2648">
        <v>367475.13</v>
      </c>
      <c r="O2648">
        <v>383119.69021978002</v>
      </c>
      <c r="P2648">
        <v>0</v>
      </c>
      <c r="Q2648">
        <f t="shared" si="535"/>
        <v>383119.69021978002</v>
      </c>
      <c r="R2648">
        <v>383119.69021978002</v>
      </c>
      <c r="S2648">
        <f t="shared" si="536"/>
        <v>0</v>
      </c>
      <c r="T2648">
        <v>0.02</v>
      </c>
      <c r="U2648">
        <f t="shared" si="537"/>
        <v>7662.3938043956005</v>
      </c>
      <c r="V2648">
        <f t="shared" si="538"/>
        <v>390782.08402417565</v>
      </c>
      <c r="W2648">
        <f t="shared" si="539"/>
        <v>7662.3938043956296</v>
      </c>
      <c r="X2648">
        <v>0</v>
      </c>
    </row>
    <row r="2649" spans="1:24" x14ac:dyDescent="0.25">
      <c r="A2649" t="s">
        <v>1968</v>
      </c>
      <c r="B2649" t="s">
        <v>2098</v>
      </c>
      <c r="C2649" t="s">
        <v>2148</v>
      </c>
      <c r="D2649" t="s">
        <v>286</v>
      </c>
      <c r="E2649" t="s">
        <v>57</v>
      </c>
      <c r="F2649" t="s">
        <v>1</v>
      </c>
      <c r="G2649" t="s">
        <v>1007</v>
      </c>
      <c r="H2649" t="s">
        <v>462</v>
      </c>
      <c r="I2649" t="s">
        <v>1</v>
      </c>
      <c r="J2649">
        <v>3180.77</v>
      </c>
      <c r="K2649">
        <v>4015.8243292182001</v>
      </c>
      <c r="L2649">
        <v>811.44</v>
      </c>
      <c r="M2649">
        <v>1636.3292817679558</v>
      </c>
      <c r="N2649">
        <v>1812.93</v>
      </c>
      <c r="O2649">
        <v>1631.7969230768999</v>
      </c>
      <c r="P2649">
        <v>0</v>
      </c>
      <c r="Q2649">
        <f t="shared" si="535"/>
        <v>1631.7969230768999</v>
      </c>
      <c r="R2649">
        <v>1631.7969230768999</v>
      </c>
      <c r="S2649">
        <f t="shared" si="536"/>
        <v>0</v>
      </c>
      <c r="T2649">
        <v>0.04</v>
      </c>
      <c r="U2649">
        <f t="shared" si="537"/>
        <v>65.271876923075993</v>
      </c>
      <c r="V2649">
        <f t="shared" si="538"/>
        <v>1697.0687999999759</v>
      </c>
      <c r="W2649">
        <f t="shared" si="539"/>
        <v>65.271876923075979</v>
      </c>
      <c r="X2649">
        <v>0</v>
      </c>
    </row>
    <row r="2650" spans="1:24" x14ac:dyDescent="0.25">
      <c r="A2650" t="s">
        <v>1968</v>
      </c>
      <c r="B2650" t="s">
        <v>2098</v>
      </c>
      <c r="C2650" t="s">
        <v>2148</v>
      </c>
      <c r="D2650" t="s">
        <v>286</v>
      </c>
      <c r="E2650" t="s">
        <v>73</v>
      </c>
      <c r="F2650" t="s">
        <v>1</v>
      </c>
      <c r="G2650" t="s">
        <v>1007</v>
      </c>
      <c r="H2650" t="s">
        <v>490</v>
      </c>
      <c r="I2650" t="s">
        <v>1</v>
      </c>
      <c r="J2650">
        <v>19006.55</v>
      </c>
      <c r="K2650">
        <v>26001.258287036999</v>
      </c>
      <c r="L2650">
        <v>205.62</v>
      </c>
      <c r="M2650">
        <v>414.64806629834254</v>
      </c>
      <c r="N2650">
        <v>13072.17</v>
      </c>
      <c r="O2650">
        <v>413.49956043959997</v>
      </c>
      <c r="P2650">
        <v>0</v>
      </c>
      <c r="Q2650">
        <f t="shared" si="535"/>
        <v>413.49956043959997</v>
      </c>
      <c r="R2650">
        <v>413.49956043959997</v>
      </c>
      <c r="S2650">
        <f t="shared" si="536"/>
        <v>0</v>
      </c>
      <c r="T2650">
        <v>3.5000000000000003E-2</v>
      </c>
      <c r="U2650">
        <f t="shared" si="537"/>
        <v>14.472484615386</v>
      </c>
      <c r="V2650">
        <f t="shared" si="538"/>
        <v>427.97204505498598</v>
      </c>
      <c r="W2650">
        <f t="shared" si="539"/>
        <v>14.472484615386008</v>
      </c>
      <c r="X2650">
        <v>0</v>
      </c>
    </row>
    <row r="2651" spans="1:24" x14ac:dyDescent="0.25">
      <c r="A2651" t="s">
        <v>1968</v>
      </c>
      <c r="B2651" t="s">
        <v>2098</v>
      </c>
      <c r="C2651" t="s">
        <v>2148</v>
      </c>
      <c r="D2651" t="s">
        <v>286</v>
      </c>
      <c r="E2651" t="s">
        <v>19</v>
      </c>
      <c r="F2651" t="s">
        <v>1</v>
      </c>
      <c r="G2651" t="s">
        <v>1007</v>
      </c>
      <c r="H2651" t="s">
        <v>419</v>
      </c>
      <c r="I2651" t="s">
        <v>1</v>
      </c>
      <c r="J2651">
        <v>38605.81</v>
      </c>
      <c r="K2651">
        <v>23839.809172839501</v>
      </c>
      <c r="L2651">
        <v>5535.89</v>
      </c>
      <c r="M2651">
        <v>11163.535082872928</v>
      </c>
      <c r="N2651">
        <v>42575.740000000013</v>
      </c>
      <c r="O2651">
        <v>11132.613956044001</v>
      </c>
      <c r="P2651">
        <v>0</v>
      </c>
      <c r="Q2651">
        <f t="shared" si="535"/>
        <v>11132.613956044001</v>
      </c>
      <c r="R2651">
        <v>11132.613956044001</v>
      </c>
      <c r="S2651">
        <f t="shared" si="536"/>
        <v>0</v>
      </c>
      <c r="T2651">
        <v>0.02</v>
      </c>
      <c r="U2651">
        <f t="shared" si="537"/>
        <v>222.65227912088002</v>
      </c>
      <c r="V2651">
        <f t="shared" si="538"/>
        <v>11355.266235164881</v>
      </c>
      <c r="W2651">
        <f t="shared" si="539"/>
        <v>222.65227912088085</v>
      </c>
      <c r="X2651">
        <v>0</v>
      </c>
    </row>
    <row r="2652" spans="1:24" x14ac:dyDescent="0.25">
      <c r="A2652" t="s">
        <v>1968</v>
      </c>
      <c r="B2652" t="s">
        <v>2098</v>
      </c>
      <c r="C2652" t="s">
        <v>2148</v>
      </c>
      <c r="D2652" t="s">
        <v>286</v>
      </c>
      <c r="E2652" t="s">
        <v>74</v>
      </c>
      <c r="F2652" t="s">
        <v>1</v>
      </c>
      <c r="G2652" t="s">
        <v>1007</v>
      </c>
      <c r="H2652" t="s">
        <v>491</v>
      </c>
      <c r="I2652" t="s">
        <v>1</v>
      </c>
      <c r="J2652">
        <v>37076.800000000003</v>
      </c>
      <c r="K2652">
        <v>40071.283009259401</v>
      </c>
      <c r="L2652">
        <v>19802.93</v>
      </c>
      <c r="M2652">
        <v>39934.085359116027</v>
      </c>
      <c r="N2652">
        <v>37571.799999999996</v>
      </c>
      <c r="O2652">
        <v>39823.474615384599</v>
      </c>
      <c r="P2652">
        <v>0</v>
      </c>
      <c r="Q2652">
        <f t="shared" si="535"/>
        <v>39823.474615384599</v>
      </c>
      <c r="R2652">
        <v>39823.474615384599</v>
      </c>
      <c r="S2652">
        <f t="shared" si="536"/>
        <v>0</v>
      </c>
      <c r="T2652">
        <v>3.5000000000000003E-2</v>
      </c>
      <c r="U2652">
        <f t="shared" si="537"/>
        <v>1393.8216115384612</v>
      </c>
      <c r="V2652">
        <f t="shared" si="538"/>
        <v>41217.296226923063</v>
      </c>
      <c r="W2652">
        <f t="shared" si="539"/>
        <v>1393.8216115384639</v>
      </c>
      <c r="X2652">
        <v>0</v>
      </c>
    </row>
    <row r="2653" spans="1:24" x14ac:dyDescent="0.25">
      <c r="A2653" t="s">
        <v>1968</v>
      </c>
      <c r="B2653" t="s">
        <v>2098</v>
      </c>
      <c r="C2653" t="s">
        <v>2148</v>
      </c>
      <c r="D2653" t="s">
        <v>286</v>
      </c>
      <c r="E2653" t="s">
        <v>85</v>
      </c>
      <c r="F2653" t="s">
        <v>1</v>
      </c>
      <c r="G2653" t="s">
        <v>1007</v>
      </c>
      <c r="H2653" t="s">
        <v>510</v>
      </c>
      <c r="I2653" t="s">
        <v>1</v>
      </c>
      <c r="J2653">
        <v>78802.899999999994</v>
      </c>
      <c r="K2653">
        <v>82214.386269919007</v>
      </c>
      <c r="L2653">
        <v>41869.9</v>
      </c>
      <c r="M2653">
        <v>84433.776243093918</v>
      </c>
      <c r="N2653">
        <v>83233.200000000012</v>
      </c>
      <c r="O2653">
        <v>84199.9087912088</v>
      </c>
      <c r="P2653">
        <v>0</v>
      </c>
      <c r="Q2653">
        <f t="shared" si="535"/>
        <v>84199.9087912088</v>
      </c>
      <c r="R2653">
        <v>84199.9087912088</v>
      </c>
      <c r="S2653">
        <f t="shared" si="536"/>
        <v>0</v>
      </c>
      <c r="T2653">
        <v>0.02</v>
      </c>
      <c r="U2653">
        <f t="shared" si="537"/>
        <v>1683.9981758241761</v>
      </c>
      <c r="V2653">
        <f t="shared" si="538"/>
        <v>85883.906967032977</v>
      </c>
      <c r="W2653">
        <f t="shared" si="539"/>
        <v>1683.9981758241775</v>
      </c>
      <c r="X2653">
        <v>0</v>
      </c>
    </row>
    <row r="2654" spans="1:24" x14ac:dyDescent="0.25">
      <c r="A2654" t="s">
        <v>1968</v>
      </c>
      <c r="B2654" t="s">
        <v>2098</v>
      </c>
      <c r="C2654" t="s">
        <v>2148</v>
      </c>
      <c r="D2654" t="s">
        <v>286</v>
      </c>
      <c r="E2654" t="s">
        <v>119</v>
      </c>
      <c r="F2654" t="s">
        <v>1</v>
      </c>
      <c r="G2654" t="s">
        <v>1007</v>
      </c>
      <c r="H2654" t="s">
        <v>588</v>
      </c>
      <c r="I2654" t="s">
        <v>1</v>
      </c>
      <c r="J2654">
        <v>1898.38</v>
      </c>
      <c r="K2654"/>
      <c r="L2654">
        <v>540.72</v>
      </c>
      <c r="M2654">
        <v>1090.4022099447513</v>
      </c>
      <c r="N2654">
        <v>2267.38</v>
      </c>
      <c r="O2654">
        <v>1087.3819780220001</v>
      </c>
      <c r="P2654">
        <v>0</v>
      </c>
      <c r="Q2654">
        <f t="shared" si="535"/>
        <v>1087.3819780220001</v>
      </c>
      <c r="R2654">
        <v>1087.3819780220001</v>
      </c>
      <c r="S2654">
        <f t="shared" si="536"/>
        <v>0</v>
      </c>
      <c r="T2654">
        <v>1.4999999999999999E-2</v>
      </c>
      <c r="U2654">
        <f t="shared" si="537"/>
        <v>16.310729670330002</v>
      </c>
      <c r="V2654">
        <f t="shared" si="538"/>
        <v>1103.69270769233</v>
      </c>
      <c r="W2654">
        <f t="shared" si="539"/>
        <v>16.31072967032992</v>
      </c>
      <c r="X2654">
        <v>0</v>
      </c>
    </row>
    <row r="2655" spans="1:24" x14ac:dyDescent="0.25">
      <c r="A2655" t="s">
        <v>1968</v>
      </c>
      <c r="B2655" t="s">
        <v>2098</v>
      </c>
      <c r="C2655" t="s">
        <v>2148</v>
      </c>
      <c r="D2655" t="s">
        <v>286</v>
      </c>
      <c r="E2655" t="s">
        <v>136</v>
      </c>
      <c r="F2655" t="s">
        <v>1</v>
      </c>
      <c r="G2655" t="s">
        <v>1007</v>
      </c>
      <c r="H2655" t="s">
        <v>627</v>
      </c>
      <c r="I2655" t="s">
        <v>1</v>
      </c>
      <c r="J2655">
        <v>13170.9</v>
      </c>
      <c r="K2655">
        <v>14325.5515432099</v>
      </c>
      <c r="L2655">
        <v>5607.6</v>
      </c>
      <c r="M2655">
        <v>11308.14364640884</v>
      </c>
      <c r="N2655">
        <v>14018.999999999998</v>
      </c>
      <c r="O2655">
        <v>11276.821978022001</v>
      </c>
      <c r="P2655">
        <v>0</v>
      </c>
      <c r="Q2655">
        <f t="shared" si="535"/>
        <v>11276.821978022001</v>
      </c>
      <c r="R2655">
        <v>11276.821978022001</v>
      </c>
      <c r="S2655">
        <f t="shared" si="536"/>
        <v>0</v>
      </c>
      <c r="T2655">
        <v>0.03</v>
      </c>
      <c r="U2655">
        <f t="shared" si="537"/>
        <v>338.30465934066001</v>
      </c>
      <c r="V2655">
        <f t="shared" si="538"/>
        <v>11615.12663736266</v>
      </c>
      <c r="W2655">
        <f t="shared" si="539"/>
        <v>338.30465934065978</v>
      </c>
      <c r="X2655">
        <v>0</v>
      </c>
    </row>
    <row r="2656" spans="1:24" x14ac:dyDescent="0.25">
      <c r="A2656" t="s">
        <v>1968</v>
      </c>
      <c r="B2656" t="s">
        <v>2098</v>
      </c>
      <c r="C2656" t="s">
        <v>2148</v>
      </c>
      <c r="D2656" t="s">
        <v>286</v>
      </c>
      <c r="E2656" t="s">
        <v>147</v>
      </c>
      <c r="F2656" t="s">
        <v>1</v>
      </c>
      <c r="G2656" t="s">
        <v>1007</v>
      </c>
      <c r="H2656" t="s">
        <v>656</v>
      </c>
      <c r="I2656" t="s">
        <v>1</v>
      </c>
      <c r="J2656">
        <v>1466.9</v>
      </c>
      <c r="K2656">
        <v>2252.9440997942002</v>
      </c>
      <c r="L2656">
        <v>5331.1</v>
      </c>
      <c r="M2656">
        <v>10750.560773480664</v>
      </c>
      <c r="N2656">
        <v>5601.4</v>
      </c>
      <c r="O2656">
        <v>10720.7835164835</v>
      </c>
      <c r="P2656">
        <v>0</v>
      </c>
      <c r="Q2656">
        <f t="shared" si="535"/>
        <v>10720.7835164835</v>
      </c>
      <c r="R2656">
        <v>10720.7835164835</v>
      </c>
      <c r="S2656">
        <f t="shared" si="536"/>
        <v>0</v>
      </c>
      <c r="T2656">
        <v>2.2499999999999999E-2</v>
      </c>
      <c r="U2656">
        <f t="shared" si="537"/>
        <v>241.21762912087874</v>
      </c>
      <c r="V2656">
        <f t="shared" si="538"/>
        <v>10962.001145604378</v>
      </c>
      <c r="W2656">
        <f t="shared" si="539"/>
        <v>241.21762912087797</v>
      </c>
      <c r="X2656">
        <v>0</v>
      </c>
    </row>
    <row r="2657" spans="1:24" x14ac:dyDescent="0.25">
      <c r="A2657" t="s">
        <v>1968</v>
      </c>
      <c r="B2657" t="s">
        <v>2098</v>
      </c>
      <c r="C2657" t="s">
        <v>2148</v>
      </c>
      <c r="D2657" t="s">
        <v>286</v>
      </c>
      <c r="E2657" t="s">
        <v>120</v>
      </c>
      <c r="F2657" t="s">
        <v>1</v>
      </c>
      <c r="G2657" t="s">
        <v>1007</v>
      </c>
      <c r="H2657" t="s">
        <v>589</v>
      </c>
      <c r="I2657" t="s">
        <v>1</v>
      </c>
      <c r="J2657">
        <v>1464818.92</v>
      </c>
      <c r="K2657">
        <v>1539208.23507463</v>
      </c>
      <c r="L2657">
        <v>996801.29</v>
      </c>
      <c r="M2657">
        <v>2010124.1483425414</v>
      </c>
      <c r="N2657">
        <v>1726075.9300000004</v>
      </c>
      <c r="O2657">
        <v>2004556.44032967</v>
      </c>
      <c r="P2657">
        <v>0</v>
      </c>
      <c r="Q2657">
        <f t="shared" si="535"/>
        <v>2004556.44032967</v>
      </c>
      <c r="R2657">
        <v>2004556.44032967</v>
      </c>
      <c r="S2657">
        <f t="shared" si="536"/>
        <v>0</v>
      </c>
      <c r="T2657">
        <v>3.5000000000000003E-2</v>
      </c>
      <c r="U2657">
        <f t="shared" si="537"/>
        <v>70159.475411538457</v>
      </c>
      <c r="V2657">
        <f t="shared" si="538"/>
        <v>2074715.9157412085</v>
      </c>
      <c r="W2657">
        <f t="shared" si="539"/>
        <v>70159.4754115385</v>
      </c>
      <c r="X2657">
        <v>0</v>
      </c>
    </row>
    <row r="2658" spans="1:24" x14ac:dyDescent="0.25">
      <c r="A2658" t="s">
        <v>1968</v>
      </c>
      <c r="B2658" t="s">
        <v>2098</v>
      </c>
      <c r="C2658" t="s">
        <v>2148</v>
      </c>
      <c r="D2658" t="s">
        <v>286</v>
      </c>
      <c r="E2658" t="s">
        <v>20</v>
      </c>
      <c r="F2658" t="s">
        <v>1</v>
      </c>
      <c r="G2658" t="s">
        <v>1007</v>
      </c>
      <c r="H2658" t="s">
        <v>420</v>
      </c>
      <c r="I2658" t="s">
        <v>1</v>
      </c>
      <c r="J2658">
        <v>968357.85</v>
      </c>
      <c r="K2658">
        <v>756939.688343502</v>
      </c>
      <c r="L2658">
        <v>444490.39</v>
      </c>
      <c r="M2658">
        <v>896348.02403314924</v>
      </c>
      <c r="N2658">
        <v>1087647.8899999999</v>
      </c>
      <c r="O2658">
        <v>893865.28978022002</v>
      </c>
      <c r="P2658">
        <v>0</v>
      </c>
      <c r="Q2658">
        <f t="shared" si="535"/>
        <v>893865.28978022002</v>
      </c>
      <c r="R2658">
        <v>893865.28978022002</v>
      </c>
      <c r="S2658">
        <f t="shared" si="536"/>
        <v>0</v>
      </c>
      <c r="T2658">
        <v>0.04</v>
      </c>
      <c r="U2658">
        <f t="shared" si="537"/>
        <v>35754.611591208799</v>
      </c>
      <c r="V2658">
        <f t="shared" si="538"/>
        <v>929619.90137142886</v>
      </c>
      <c r="W2658">
        <f t="shared" si="539"/>
        <v>35754.611591208843</v>
      </c>
      <c r="X2658">
        <v>0</v>
      </c>
    </row>
    <row r="2659" spans="1:24" x14ac:dyDescent="0.25">
      <c r="A2659" t="s">
        <v>1968</v>
      </c>
      <c r="B2659" t="s">
        <v>2098</v>
      </c>
      <c r="C2659" t="s">
        <v>2148</v>
      </c>
      <c r="D2659" t="s">
        <v>286</v>
      </c>
      <c r="E2659" t="s">
        <v>21</v>
      </c>
      <c r="F2659" t="s">
        <v>1</v>
      </c>
      <c r="G2659" t="s">
        <v>1007</v>
      </c>
      <c r="H2659" t="s">
        <v>421</v>
      </c>
      <c r="I2659" t="s">
        <v>1</v>
      </c>
      <c r="J2659">
        <v>23464.53</v>
      </c>
      <c r="K2659">
        <v>19906.270000000299</v>
      </c>
      <c r="L2659">
        <v>14356.43</v>
      </c>
      <c r="M2659">
        <v>28950.811878453038</v>
      </c>
      <c r="N2659">
        <v>28118.920000000002</v>
      </c>
      <c r="O2659">
        <v>28950.811878453002</v>
      </c>
      <c r="P2659">
        <v>0</v>
      </c>
      <c r="Q2659">
        <f t="shared" si="535"/>
        <v>28950.811878453002</v>
      </c>
      <c r="R2659">
        <v>19906.270000000299</v>
      </c>
      <c r="S2659">
        <f t="shared" si="536"/>
        <v>-9044.5418784527028</v>
      </c>
      <c r="T2659">
        <v>0.03</v>
      </c>
      <c r="U2659">
        <f t="shared" si="537"/>
        <v>597.18810000000894</v>
      </c>
      <c r="V2659">
        <f t="shared" si="538"/>
        <v>20503.458100000309</v>
      </c>
      <c r="W2659">
        <f t="shared" si="539"/>
        <v>-8447.3537784526925</v>
      </c>
      <c r="X2659" t="s">
        <v>1734</v>
      </c>
    </row>
    <row r="2660" spans="1:24" x14ac:dyDescent="0.25">
      <c r="A2660" t="s">
        <v>1968</v>
      </c>
      <c r="B2660" t="s">
        <v>2098</v>
      </c>
      <c r="C2660" t="s">
        <v>2148</v>
      </c>
      <c r="D2660" t="s">
        <v>286</v>
      </c>
      <c r="E2660" t="s">
        <v>66</v>
      </c>
      <c r="F2660" t="s">
        <v>1</v>
      </c>
      <c r="G2660" t="s">
        <v>1007</v>
      </c>
      <c r="H2660" t="s">
        <v>477</v>
      </c>
      <c r="I2660" t="s">
        <v>1</v>
      </c>
      <c r="J2660"/>
      <c r="K2660"/>
      <c r="L2660">
        <v>1015.6</v>
      </c>
      <c r="M2660">
        <v>2048.0331491712709</v>
      </c>
      <c r="N2660">
        <v>1015.6</v>
      </c>
      <c r="O2660">
        <v>2048.0331491713</v>
      </c>
      <c r="P2660">
        <v>0</v>
      </c>
      <c r="Q2660">
        <f t="shared" si="535"/>
        <v>2048.0331491713</v>
      </c>
      <c r="R2660">
        <v>0</v>
      </c>
      <c r="S2660">
        <f t="shared" si="536"/>
        <v>-2048.0331491713</v>
      </c>
      <c r="T2660">
        <v>3.5000000000000003E-2</v>
      </c>
      <c r="U2660">
        <f t="shared" si="537"/>
        <v>0</v>
      </c>
      <c r="V2660">
        <f t="shared" si="538"/>
        <v>0</v>
      </c>
      <c r="W2660">
        <f t="shared" si="539"/>
        <v>-2048.0331491713</v>
      </c>
      <c r="X2660" t="s">
        <v>1735</v>
      </c>
    </row>
    <row r="2661" spans="1:24" x14ac:dyDescent="0.25">
      <c r="A2661" t="s">
        <v>1968</v>
      </c>
      <c r="B2661" t="s">
        <v>2098</v>
      </c>
      <c r="C2661" t="s">
        <v>2148</v>
      </c>
      <c r="D2661" t="s">
        <v>286</v>
      </c>
      <c r="E2661" t="s">
        <v>22</v>
      </c>
      <c r="F2661" t="s">
        <v>1</v>
      </c>
      <c r="G2661" t="s">
        <v>1007</v>
      </c>
      <c r="H2661" t="s">
        <v>422</v>
      </c>
      <c r="I2661" t="s">
        <v>1</v>
      </c>
      <c r="J2661">
        <v>13706.66</v>
      </c>
      <c r="K2661">
        <v>13423.950000000201</v>
      </c>
      <c r="L2661">
        <v>6862.66</v>
      </c>
      <c r="M2661">
        <v>13839.065745856355</v>
      </c>
      <c r="N2661">
        <v>14084.219999999998</v>
      </c>
      <c r="O2661">
        <v>13839.0657458564</v>
      </c>
      <c r="P2661">
        <v>0</v>
      </c>
      <c r="Q2661">
        <f t="shared" si="535"/>
        <v>13839.0657458564</v>
      </c>
      <c r="R2661">
        <v>13839.0657458564</v>
      </c>
      <c r="S2661">
        <f t="shared" si="536"/>
        <v>0</v>
      </c>
      <c r="T2661">
        <v>3.5000000000000003E-2</v>
      </c>
      <c r="U2661">
        <f t="shared" si="537"/>
        <v>484.36730110497405</v>
      </c>
      <c r="V2661">
        <f t="shared" si="538"/>
        <v>14323.433046961374</v>
      </c>
      <c r="W2661">
        <f t="shared" si="539"/>
        <v>484.3673011049741</v>
      </c>
      <c r="X2661">
        <v>0</v>
      </c>
    </row>
    <row r="2662" spans="1:24" x14ac:dyDescent="0.25">
      <c r="A2662" t="s">
        <v>1968</v>
      </c>
      <c r="B2662" t="s">
        <v>2098</v>
      </c>
      <c r="C2662" t="s">
        <v>2148</v>
      </c>
      <c r="D2662" t="s">
        <v>286</v>
      </c>
      <c r="E2662" t="s">
        <v>23</v>
      </c>
      <c r="F2662" t="s">
        <v>1</v>
      </c>
      <c r="G2662" t="s">
        <v>1007</v>
      </c>
      <c r="H2662" t="s">
        <v>423</v>
      </c>
      <c r="I2662" t="s">
        <v>1</v>
      </c>
      <c r="J2662">
        <v>22751.7</v>
      </c>
      <c r="K2662">
        <v>35541.8999999999</v>
      </c>
      <c r="L2662">
        <v>3310.6</v>
      </c>
      <c r="M2662">
        <v>6676.0718232044192</v>
      </c>
      <c r="N2662">
        <v>8892.75</v>
      </c>
      <c r="O2662">
        <v>6676.0718232044001</v>
      </c>
      <c r="P2662">
        <v>0</v>
      </c>
      <c r="Q2662">
        <f t="shared" si="535"/>
        <v>6676.0718232044001</v>
      </c>
      <c r="R2662">
        <v>6676.0718232044001</v>
      </c>
      <c r="S2662">
        <f t="shared" si="536"/>
        <v>0</v>
      </c>
      <c r="T2662">
        <v>3.5000000000000003E-2</v>
      </c>
      <c r="U2662">
        <f t="shared" si="537"/>
        <v>233.66251381215403</v>
      </c>
      <c r="V2662">
        <f t="shared" si="538"/>
        <v>6909.7343370165545</v>
      </c>
      <c r="W2662">
        <f t="shared" si="539"/>
        <v>233.66251381215443</v>
      </c>
      <c r="X2662" t="s">
        <v>1736</v>
      </c>
    </row>
    <row r="2663" spans="1:24" x14ac:dyDescent="0.25">
      <c r="A2663" t="s">
        <v>1968</v>
      </c>
      <c r="B2663" t="s">
        <v>2098</v>
      </c>
      <c r="C2663" t="s">
        <v>2148</v>
      </c>
      <c r="D2663" t="s">
        <v>286</v>
      </c>
      <c r="E2663" t="s">
        <v>26</v>
      </c>
      <c r="F2663" t="s">
        <v>1</v>
      </c>
      <c r="G2663" t="s">
        <v>1007</v>
      </c>
      <c r="H2663" t="s">
        <v>426</v>
      </c>
      <c r="I2663" t="s">
        <v>1</v>
      </c>
      <c r="J2663">
        <v>249</v>
      </c>
      <c r="K2663">
        <v>637.80493939200005</v>
      </c>
      <c r="L2663">
        <v>0</v>
      </c>
      <c r="M2663">
        <v>0</v>
      </c>
      <c r="N2663">
        <v>249</v>
      </c>
      <c r="O2663"/>
      <c r="P2663">
        <v>0</v>
      </c>
      <c r="Q2663">
        <f t="shared" si="535"/>
        <v>0</v>
      </c>
      <c r="R2663">
        <v>0</v>
      </c>
      <c r="S2663">
        <f t="shared" si="536"/>
        <v>0</v>
      </c>
      <c r="T2663"/>
      <c r="U2663">
        <f t="shared" si="537"/>
        <v>0</v>
      </c>
      <c r="V2663">
        <f t="shared" si="538"/>
        <v>0</v>
      </c>
      <c r="W2663">
        <f t="shared" si="539"/>
        <v>0</v>
      </c>
      <c r="X2663">
        <v>0</v>
      </c>
    </row>
    <row r="2664" spans="1:24" x14ac:dyDescent="0.25">
      <c r="A2664" t="s">
        <v>1968</v>
      </c>
      <c r="B2664" t="s">
        <v>2098</v>
      </c>
      <c r="C2664" t="s">
        <v>2148</v>
      </c>
      <c r="D2664" t="s">
        <v>286</v>
      </c>
      <c r="E2664" t="s">
        <v>27</v>
      </c>
      <c r="F2664" t="s">
        <v>1</v>
      </c>
      <c r="G2664" t="s">
        <v>1007</v>
      </c>
      <c r="H2664" t="s">
        <v>427</v>
      </c>
      <c r="I2664" t="s">
        <v>1</v>
      </c>
      <c r="J2664">
        <v>1229.3399999999999</v>
      </c>
      <c r="K2664">
        <v>1170</v>
      </c>
      <c r="L2664">
        <v>502.4</v>
      </c>
      <c r="M2664">
        <v>1013.1270718232043</v>
      </c>
      <c r="N2664">
        <v>1044.54</v>
      </c>
      <c r="O2664">
        <v>1004.8</v>
      </c>
      <c r="P2664">
        <v>0</v>
      </c>
      <c r="Q2664">
        <f t="shared" si="535"/>
        <v>1004.8</v>
      </c>
      <c r="R2664">
        <v>1200</v>
      </c>
      <c r="S2664">
        <f t="shared" si="536"/>
        <v>195.20000000000005</v>
      </c>
      <c r="T2664"/>
      <c r="U2664">
        <f t="shared" si="537"/>
        <v>0</v>
      </c>
      <c r="V2664">
        <f t="shared" si="538"/>
        <v>1200</v>
      </c>
      <c r="W2664">
        <f t="shared" si="539"/>
        <v>195.20000000000005</v>
      </c>
      <c r="X2664" t="s">
        <v>1737</v>
      </c>
    </row>
    <row r="2665" spans="1:24" x14ac:dyDescent="0.25">
      <c r="A2665" t="s">
        <v>1968</v>
      </c>
      <c r="B2665" t="s">
        <v>2098</v>
      </c>
      <c r="C2665" t="s">
        <v>2148</v>
      </c>
      <c r="D2665" t="s">
        <v>286</v>
      </c>
      <c r="E2665" t="s">
        <v>28</v>
      </c>
      <c r="F2665" t="s">
        <v>1</v>
      </c>
      <c r="G2665" t="s">
        <v>1007</v>
      </c>
      <c r="H2665" t="s">
        <v>428</v>
      </c>
      <c r="I2665" t="s">
        <v>1</v>
      </c>
      <c r="J2665">
        <v>48995.47</v>
      </c>
      <c r="K2665">
        <v>44840.0000000004</v>
      </c>
      <c r="L2665">
        <v>4994.47</v>
      </c>
      <c r="M2665">
        <v>10071.721270718232</v>
      </c>
      <c r="N2665">
        <v>27669.89</v>
      </c>
      <c r="O2665">
        <v>9988.94</v>
      </c>
      <c r="P2665">
        <v>0</v>
      </c>
      <c r="Q2665">
        <f t="shared" si="535"/>
        <v>9988.94</v>
      </c>
      <c r="R2665">
        <v>9988.94</v>
      </c>
      <c r="S2665">
        <f t="shared" si="536"/>
        <v>0</v>
      </c>
      <c r="T2665"/>
      <c r="U2665">
        <f t="shared" si="537"/>
        <v>0</v>
      </c>
      <c r="V2665">
        <f t="shared" si="538"/>
        <v>9988.94</v>
      </c>
      <c r="W2665">
        <f t="shared" si="539"/>
        <v>0</v>
      </c>
      <c r="X2665">
        <v>0</v>
      </c>
    </row>
    <row r="2666" spans="1:24" x14ac:dyDescent="0.25">
      <c r="A2666" t="s">
        <v>1968</v>
      </c>
      <c r="B2666" t="s">
        <v>2098</v>
      </c>
      <c r="C2666" t="s">
        <v>2148</v>
      </c>
      <c r="D2666" t="s">
        <v>286</v>
      </c>
      <c r="E2666" t="s">
        <v>33</v>
      </c>
      <c r="F2666" t="s">
        <v>1</v>
      </c>
      <c r="G2666" t="s">
        <v>1007</v>
      </c>
      <c r="H2666" t="s">
        <v>433</v>
      </c>
      <c r="I2666" t="s">
        <v>1</v>
      </c>
      <c r="J2666">
        <v>1046.72</v>
      </c>
      <c r="K2666"/>
      <c r="L2666">
        <v>1163.8399999999999</v>
      </c>
      <c r="M2666">
        <v>2346.9701657458559</v>
      </c>
      <c r="N2666">
        <v>1163.8399999999999</v>
      </c>
      <c r="O2666">
        <v>2327.6799999999998</v>
      </c>
      <c r="P2666">
        <v>0</v>
      </c>
      <c r="Q2666">
        <f t="shared" si="535"/>
        <v>2327.6799999999998</v>
      </c>
      <c r="R2666">
        <v>1000</v>
      </c>
      <c r="S2666">
        <f t="shared" si="536"/>
        <v>-1327.6799999999998</v>
      </c>
      <c r="T2666"/>
      <c r="U2666">
        <f t="shared" si="537"/>
        <v>0</v>
      </c>
      <c r="V2666">
        <f t="shared" si="538"/>
        <v>1000</v>
      </c>
      <c r="W2666">
        <f t="shared" si="539"/>
        <v>-1327.6799999999998</v>
      </c>
      <c r="X2666" t="s">
        <v>1738</v>
      </c>
    </row>
    <row r="2667" spans="1:24" x14ac:dyDescent="0.25">
      <c r="A2667" t="s">
        <v>1968</v>
      </c>
      <c r="B2667" t="s">
        <v>2098</v>
      </c>
      <c r="C2667" t="s">
        <v>2148</v>
      </c>
      <c r="D2667" t="s">
        <v>286</v>
      </c>
      <c r="E2667" t="s">
        <v>34</v>
      </c>
      <c r="F2667" t="s">
        <v>1</v>
      </c>
      <c r="G2667" t="s">
        <v>1007</v>
      </c>
      <c r="H2667" t="s">
        <v>434</v>
      </c>
      <c r="I2667" t="s">
        <v>1</v>
      </c>
      <c r="J2667"/>
      <c r="K2667"/>
      <c r="L2667">
        <v>173.49</v>
      </c>
      <c r="M2667">
        <v>349.85552486187851</v>
      </c>
      <c r="N2667">
        <v>173.49</v>
      </c>
      <c r="O2667">
        <v>346.98</v>
      </c>
      <c r="P2667">
        <v>0</v>
      </c>
      <c r="Q2667">
        <f t="shared" si="535"/>
        <v>346.98</v>
      </c>
      <c r="R2667">
        <v>100</v>
      </c>
      <c r="S2667">
        <f t="shared" si="536"/>
        <v>-246.98000000000002</v>
      </c>
      <c r="T2667"/>
      <c r="U2667">
        <f t="shared" si="537"/>
        <v>0</v>
      </c>
      <c r="V2667">
        <f t="shared" si="538"/>
        <v>100</v>
      </c>
      <c r="W2667">
        <f t="shared" si="539"/>
        <v>-246.98000000000002</v>
      </c>
      <c r="X2667">
        <v>0</v>
      </c>
    </row>
    <row r="2668" spans="1:24" x14ac:dyDescent="0.25">
      <c r="A2668" t="s">
        <v>1968</v>
      </c>
      <c r="B2668" t="s">
        <v>2098</v>
      </c>
      <c r="C2668" t="s">
        <v>2148</v>
      </c>
      <c r="D2668" t="s">
        <v>286</v>
      </c>
      <c r="E2668" t="s">
        <v>37</v>
      </c>
      <c r="F2668" t="s">
        <v>1</v>
      </c>
      <c r="G2668" t="s">
        <v>1007</v>
      </c>
      <c r="H2668" t="s">
        <v>437</v>
      </c>
      <c r="I2668" t="s">
        <v>1</v>
      </c>
      <c r="J2668">
        <v>285.05</v>
      </c>
      <c r="K2668"/>
      <c r="L2668">
        <v>0</v>
      </c>
      <c r="M2668">
        <v>0</v>
      </c>
      <c r="N2668">
        <v>285.05</v>
      </c>
      <c r="O2668"/>
      <c r="P2668">
        <v>0</v>
      </c>
      <c r="Q2668">
        <f t="shared" si="535"/>
        <v>0</v>
      </c>
      <c r="R2668">
        <v>0</v>
      </c>
      <c r="S2668">
        <f t="shared" si="536"/>
        <v>0</v>
      </c>
      <c r="T2668"/>
      <c r="U2668">
        <f t="shared" si="537"/>
        <v>0</v>
      </c>
      <c r="V2668">
        <f t="shared" si="538"/>
        <v>0</v>
      </c>
      <c r="W2668">
        <f t="shared" si="539"/>
        <v>0</v>
      </c>
      <c r="X2668">
        <v>0</v>
      </c>
    </row>
    <row r="2669" spans="1:24" x14ac:dyDescent="0.25">
      <c r="A2669" t="s">
        <v>1968</v>
      </c>
      <c r="B2669" t="s">
        <v>2098</v>
      </c>
      <c r="C2669" t="s">
        <v>2148</v>
      </c>
      <c r="D2669" t="s">
        <v>286</v>
      </c>
      <c r="E2669" t="s">
        <v>121</v>
      </c>
      <c r="F2669" t="s">
        <v>1</v>
      </c>
      <c r="G2669" t="s">
        <v>1007</v>
      </c>
      <c r="H2669" t="s">
        <v>590</v>
      </c>
      <c r="I2669" t="s">
        <v>1</v>
      </c>
      <c r="J2669">
        <v>94795.58</v>
      </c>
      <c r="K2669">
        <v>66111.060470775599</v>
      </c>
      <c r="L2669">
        <v>0</v>
      </c>
      <c r="M2669">
        <v>0</v>
      </c>
      <c r="N2669">
        <v>19411</v>
      </c>
      <c r="O2669"/>
      <c r="P2669">
        <v>0</v>
      </c>
      <c r="Q2669">
        <f t="shared" si="535"/>
        <v>0</v>
      </c>
      <c r="R2669">
        <v>0</v>
      </c>
      <c r="S2669">
        <f t="shared" si="536"/>
        <v>0</v>
      </c>
      <c r="T2669"/>
      <c r="U2669">
        <f t="shared" si="537"/>
        <v>0</v>
      </c>
      <c r="V2669">
        <f t="shared" si="538"/>
        <v>0</v>
      </c>
      <c r="W2669">
        <f t="shared" si="539"/>
        <v>0</v>
      </c>
      <c r="X2669">
        <v>0</v>
      </c>
    </row>
    <row r="2670" spans="1:24" x14ac:dyDescent="0.25">
      <c r="A2670" t="s">
        <v>1968</v>
      </c>
      <c r="B2670" t="s">
        <v>2098</v>
      </c>
      <c r="C2670" t="s">
        <v>2148</v>
      </c>
      <c r="D2670" t="s">
        <v>286</v>
      </c>
      <c r="E2670" t="s">
        <v>76</v>
      </c>
      <c r="F2670" t="s">
        <v>1</v>
      </c>
      <c r="G2670" t="s">
        <v>1007</v>
      </c>
      <c r="H2670" t="s">
        <v>493</v>
      </c>
      <c r="I2670" t="s">
        <v>1</v>
      </c>
      <c r="J2670">
        <v>193135.2</v>
      </c>
      <c r="K2670">
        <v>173700</v>
      </c>
      <c r="L2670">
        <v>130802.02</v>
      </c>
      <c r="M2670">
        <v>263772.02928176796</v>
      </c>
      <c r="N2670">
        <v>243853.85</v>
      </c>
      <c r="O2670">
        <v>261604.04</v>
      </c>
      <c r="P2670">
        <v>0</v>
      </c>
      <c r="Q2670">
        <f t="shared" si="535"/>
        <v>261604.04</v>
      </c>
      <c r="R2670">
        <v>276169.80000000005</v>
      </c>
      <c r="S2670">
        <f t="shared" si="536"/>
        <v>14565.760000000038</v>
      </c>
      <c r="T2670">
        <v>0.03</v>
      </c>
      <c r="U2670">
        <f t="shared" si="537"/>
        <v>8285.094000000001</v>
      </c>
      <c r="V2670">
        <f t="shared" si="538"/>
        <v>284454.89400000003</v>
      </c>
      <c r="W2670">
        <f t="shared" si="539"/>
        <v>22850.854000000021</v>
      </c>
      <c r="X2670" t="s">
        <v>1739</v>
      </c>
    </row>
    <row r="2671" spans="1:24" x14ac:dyDescent="0.25">
      <c r="A2671" t="s">
        <v>1968</v>
      </c>
      <c r="B2671" t="s">
        <v>2098</v>
      </c>
      <c r="C2671" t="s">
        <v>2148</v>
      </c>
      <c r="D2671" t="s">
        <v>286</v>
      </c>
      <c r="E2671" t="s">
        <v>41</v>
      </c>
      <c r="F2671" t="s">
        <v>1</v>
      </c>
      <c r="G2671" t="s">
        <v>1007</v>
      </c>
      <c r="H2671" t="s">
        <v>441</v>
      </c>
      <c r="I2671" t="s">
        <v>1</v>
      </c>
      <c r="J2671">
        <v>29029.09</v>
      </c>
      <c r="K2671">
        <v>24166.439794688398</v>
      </c>
      <c r="L2671">
        <v>23292.080000000002</v>
      </c>
      <c r="M2671">
        <v>46970.21657458564</v>
      </c>
      <c r="N2671">
        <v>39514.199999999997</v>
      </c>
      <c r="O2671">
        <v>46584.160000000003</v>
      </c>
      <c r="P2671">
        <v>0</v>
      </c>
      <c r="Q2671">
        <f t="shared" si="535"/>
        <v>46584.160000000003</v>
      </c>
      <c r="R2671">
        <v>30000</v>
      </c>
      <c r="S2671">
        <f t="shared" si="536"/>
        <v>-16584.160000000003</v>
      </c>
      <c r="T2671">
        <v>0.03</v>
      </c>
      <c r="U2671">
        <f t="shared" si="537"/>
        <v>900</v>
      </c>
      <c r="V2671">
        <f t="shared" si="538"/>
        <v>30900</v>
      </c>
      <c r="W2671">
        <f t="shared" si="539"/>
        <v>-15684.160000000003</v>
      </c>
      <c r="X2671">
        <v>0</v>
      </c>
    </row>
    <row r="2672" spans="1:24" x14ac:dyDescent="0.25">
      <c r="A2672" t="s">
        <v>1968</v>
      </c>
      <c r="B2672" t="s">
        <v>2098</v>
      </c>
      <c r="C2672" t="s">
        <v>2148</v>
      </c>
      <c r="D2672" t="s">
        <v>286</v>
      </c>
      <c r="E2672" t="s">
        <v>140</v>
      </c>
      <c r="F2672" t="s">
        <v>1</v>
      </c>
      <c r="G2672" t="s">
        <v>1007</v>
      </c>
      <c r="H2672" t="s">
        <v>637</v>
      </c>
      <c r="I2672" t="s">
        <v>1</v>
      </c>
      <c r="J2672">
        <v>10219.66</v>
      </c>
      <c r="K2672">
        <v>10266.9999999996</v>
      </c>
      <c r="L2672">
        <v>4906.54</v>
      </c>
      <c r="M2672">
        <v>9894.4038674033145</v>
      </c>
      <c r="N2672">
        <v>9984.9500000000007</v>
      </c>
      <c r="O2672">
        <v>9813.08</v>
      </c>
      <c r="P2672">
        <v>0</v>
      </c>
      <c r="Q2672">
        <f t="shared" si="535"/>
        <v>9813.08</v>
      </c>
      <c r="R2672">
        <v>10252</v>
      </c>
      <c r="S2672">
        <f t="shared" si="536"/>
        <v>438.92000000000007</v>
      </c>
      <c r="T2672">
        <v>0.03</v>
      </c>
      <c r="U2672">
        <f t="shared" si="537"/>
        <v>307.56</v>
      </c>
      <c r="V2672">
        <f t="shared" si="538"/>
        <v>10559.56</v>
      </c>
      <c r="W2672">
        <f t="shared" si="539"/>
        <v>746.47999999999956</v>
      </c>
      <c r="X2672" t="s">
        <v>1740</v>
      </c>
    </row>
    <row r="2673" spans="1:24" x14ac:dyDescent="0.25">
      <c r="A2673" t="s">
        <v>1968</v>
      </c>
      <c r="B2673" t="s">
        <v>2098</v>
      </c>
      <c r="C2673" t="s">
        <v>2148</v>
      </c>
      <c r="D2673" t="s">
        <v>286</v>
      </c>
      <c r="E2673" t="s">
        <v>134</v>
      </c>
      <c r="F2673" t="s">
        <v>1</v>
      </c>
      <c r="G2673" t="s">
        <v>1007</v>
      </c>
      <c r="H2673" t="s">
        <v>623</v>
      </c>
      <c r="I2673" t="s">
        <v>1</v>
      </c>
      <c r="J2673">
        <v>1024</v>
      </c>
      <c r="K2673"/>
      <c r="L2673">
        <v>5765.62</v>
      </c>
      <c r="M2673">
        <v>11626.802762430938</v>
      </c>
      <c r="N2673">
        <v>6789.62</v>
      </c>
      <c r="O2673">
        <v>11531.24</v>
      </c>
      <c r="P2673">
        <v>0</v>
      </c>
      <c r="Q2673">
        <f t="shared" si="535"/>
        <v>11531.24</v>
      </c>
      <c r="R2673">
        <v>11531.24</v>
      </c>
      <c r="S2673">
        <f t="shared" si="536"/>
        <v>0</v>
      </c>
      <c r="T2673">
        <v>0.03</v>
      </c>
      <c r="U2673">
        <f t="shared" si="537"/>
        <v>345.93719999999996</v>
      </c>
      <c r="V2673">
        <f t="shared" si="538"/>
        <v>11877.1772</v>
      </c>
      <c r="W2673">
        <f t="shared" si="539"/>
        <v>345.9372000000003</v>
      </c>
      <c r="X2673">
        <v>0</v>
      </c>
    </row>
    <row r="2674" spans="1:24" x14ac:dyDescent="0.25">
      <c r="A2674" t="s">
        <v>1968</v>
      </c>
      <c r="B2674" t="s">
        <v>2098</v>
      </c>
      <c r="C2674" t="s">
        <v>2148</v>
      </c>
      <c r="D2674" t="s">
        <v>286</v>
      </c>
      <c r="E2674" t="s">
        <v>46</v>
      </c>
      <c r="F2674" t="s">
        <v>1</v>
      </c>
      <c r="G2674" t="s">
        <v>1007</v>
      </c>
      <c r="H2674" t="s">
        <v>446</v>
      </c>
      <c r="I2674" t="s">
        <v>1</v>
      </c>
      <c r="J2674">
        <v>2176.8200000000002</v>
      </c>
      <c r="K2674"/>
      <c r="L2674">
        <v>0</v>
      </c>
      <c r="M2674">
        <v>0</v>
      </c>
      <c r="N2674">
        <v>2160</v>
      </c>
      <c r="O2674"/>
      <c r="P2674">
        <v>0</v>
      </c>
      <c r="Q2674">
        <f t="shared" si="535"/>
        <v>0</v>
      </c>
      <c r="R2674">
        <v>0</v>
      </c>
      <c r="S2674">
        <f t="shared" si="536"/>
        <v>0</v>
      </c>
      <c r="T2674">
        <v>0.03</v>
      </c>
      <c r="U2674">
        <f t="shared" si="537"/>
        <v>0</v>
      </c>
      <c r="V2674">
        <f t="shared" si="538"/>
        <v>0</v>
      </c>
      <c r="W2674">
        <f t="shared" si="539"/>
        <v>0</v>
      </c>
      <c r="X2674">
        <v>0</v>
      </c>
    </row>
    <row r="2675" spans="1:24" x14ac:dyDescent="0.25">
      <c r="A2675" t="s">
        <v>1968</v>
      </c>
      <c r="B2675" t="s">
        <v>2098</v>
      </c>
      <c r="C2675" t="s">
        <v>2148</v>
      </c>
      <c r="D2675" t="s">
        <v>286</v>
      </c>
      <c r="E2675" t="s">
        <v>47</v>
      </c>
      <c r="F2675" t="s">
        <v>1</v>
      </c>
      <c r="G2675" t="s">
        <v>1007</v>
      </c>
      <c r="H2675" t="s">
        <v>447</v>
      </c>
      <c r="I2675" t="s">
        <v>1</v>
      </c>
      <c r="J2675"/>
      <c r="K2675"/>
      <c r="L2675">
        <v>390</v>
      </c>
      <c r="M2675">
        <v>786.46408839779008</v>
      </c>
      <c r="N2675">
        <v>390</v>
      </c>
      <c r="O2675">
        <v>780</v>
      </c>
      <c r="P2675">
        <v>0</v>
      </c>
      <c r="Q2675">
        <f t="shared" si="535"/>
        <v>780</v>
      </c>
      <c r="R2675">
        <v>390</v>
      </c>
      <c r="S2675">
        <f t="shared" si="536"/>
        <v>-390</v>
      </c>
      <c r="T2675">
        <v>0.03</v>
      </c>
      <c r="U2675">
        <f t="shared" si="537"/>
        <v>11.7</v>
      </c>
      <c r="V2675">
        <f t="shared" si="538"/>
        <v>401.7</v>
      </c>
      <c r="W2675">
        <f t="shared" si="539"/>
        <v>-378.3</v>
      </c>
      <c r="X2675">
        <v>0</v>
      </c>
    </row>
    <row r="2676" spans="1:24" x14ac:dyDescent="0.25">
      <c r="A2676" t="s">
        <v>1968</v>
      </c>
      <c r="B2676" t="s">
        <v>2098</v>
      </c>
      <c r="C2676" t="s">
        <v>2148</v>
      </c>
      <c r="D2676" t="s">
        <v>286</v>
      </c>
      <c r="E2676" t="s">
        <v>48</v>
      </c>
      <c r="F2676" t="s">
        <v>1</v>
      </c>
      <c r="G2676" t="s">
        <v>1007</v>
      </c>
      <c r="H2676" t="s">
        <v>448</v>
      </c>
      <c r="I2676" t="s">
        <v>1</v>
      </c>
      <c r="J2676"/>
      <c r="K2676"/>
      <c r="L2676">
        <v>142.77000000000001</v>
      </c>
      <c r="M2676">
        <v>287.90635359116021</v>
      </c>
      <c r="N2676">
        <v>142.77000000000001</v>
      </c>
      <c r="O2676">
        <v>285.54000000000002</v>
      </c>
      <c r="P2676">
        <v>0</v>
      </c>
      <c r="Q2676">
        <f t="shared" si="535"/>
        <v>285.54000000000002</v>
      </c>
      <c r="R2676">
        <v>285.54000000000002</v>
      </c>
      <c r="S2676">
        <f t="shared" si="536"/>
        <v>0</v>
      </c>
      <c r="T2676">
        <v>0.03</v>
      </c>
      <c r="U2676">
        <f t="shared" si="537"/>
        <v>8.5662000000000003</v>
      </c>
      <c r="V2676">
        <f t="shared" si="538"/>
        <v>294.1062</v>
      </c>
      <c r="W2676">
        <f t="shared" si="539"/>
        <v>8.5661999999999807</v>
      </c>
      <c r="X2676">
        <v>0</v>
      </c>
    </row>
    <row r="2677" spans="1:24" x14ac:dyDescent="0.25">
      <c r="A2677" t="s">
        <v>1968</v>
      </c>
      <c r="B2677" t="s">
        <v>2098</v>
      </c>
      <c r="C2677" t="s">
        <v>2148</v>
      </c>
      <c r="D2677" t="s">
        <v>286</v>
      </c>
      <c r="E2677" t="s">
        <v>50</v>
      </c>
      <c r="F2677" t="s">
        <v>1</v>
      </c>
      <c r="G2677" t="s">
        <v>1007</v>
      </c>
      <c r="H2677" t="s">
        <v>450</v>
      </c>
      <c r="I2677" t="s">
        <v>1</v>
      </c>
      <c r="J2677">
        <v>360.41</v>
      </c>
      <c r="K2677">
        <v>339.99999999959999</v>
      </c>
      <c r="L2677">
        <v>498.21</v>
      </c>
      <c r="M2677">
        <v>1004.6776243093923</v>
      </c>
      <c r="N2677">
        <v>694.79</v>
      </c>
      <c r="O2677">
        <v>1004.6776243094</v>
      </c>
      <c r="P2677">
        <v>0</v>
      </c>
      <c r="Q2677">
        <f t="shared" si="535"/>
        <v>1004.6776243094</v>
      </c>
      <c r="R2677">
        <v>1004.6776243094</v>
      </c>
      <c r="S2677">
        <f t="shared" si="536"/>
        <v>0</v>
      </c>
      <c r="T2677"/>
      <c r="U2677">
        <f t="shared" si="537"/>
        <v>0</v>
      </c>
      <c r="V2677">
        <f t="shared" si="538"/>
        <v>1004.6776243094</v>
      </c>
      <c r="W2677">
        <f t="shared" si="539"/>
        <v>0</v>
      </c>
      <c r="X2677">
        <v>0</v>
      </c>
    </row>
    <row r="2678" spans="1:24" x14ac:dyDescent="0.25">
      <c r="A2678" t="s">
        <v>1968</v>
      </c>
      <c r="B2678" t="s">
        <v>2098</v>
      </c>
      <c r="C2678" t="s">
        <v>2148</v>
      </c>
      <c r="D2678" t="s">
        <v>286</v>
      </c>
      <c r="E2678" t="s">
        <v>51</v>
      </c>
      <c r="F2678" t="s">
        <v>51</v>
      </c>
      <c r="G2678" t="s">
        <v>1008</v>
      </c>
      <c r="H2678"/>
      <c r="I2678"/>
      <c r="J2678">
        <v>3786232.8000000007</v>
      </c>
      <c r="K2678">
        <v>3685014.4697057912</v>
      </c>
      <c r="L2678">
        <v>2121702.63</v>
      </c>
      <c r="M2678">
        <v>4278571.601933701</v>
      </c>
      <c r="N2678">
        <v>4155224.6100000008</v>
      </c>
      <c r="O2678">
        <v>4263508.4925481146</v>
      </c>
      <c r="P2678">
        <f>SUMIF($F$2637:$F$2677,"&lt;&gt;EV_*",$P$2637:$P$2677)</f>
        <v>0</v>
      </c>
      <c r="Q2678">
        <f>SUMIF($F$2637:$F$2677,"&lt;&gt;EV_*",$Q$2637:$Q$2677)</f>
        <v>4263508.4925481146</v>
      </c>
      <c r="R2678">
        <f>SUMIF($F$2637:$F$2677,"&lt;&gt;EV_*",$R$2637:$R$2677)</f>
        <v>4247549.2005039165</v>
      </c>
      <c r="S2678">
        <f>SUMIF($F$2637:$F$2677,"&lt;&gt;EV_*",$S$2637:$S$2677)</f>
        <v>-15959.29204419851</v>
      </c>
      <c r="T2678">
        <v>0</v>
      </c>
      <c r="U2678">
        <f>SUMIF($F$2637:$F$2677,"&lt;&gt;EV_*",$U$2637:$U$2677)</f>
        <v>133821.16272837867</v>
      </c>
      <c r="V2678">
        <f>SUMIF($F$2637:$F$2677,"&lt;&gt;EV_*",$V$2637:$V$2677)</f>
        <v>4381370.3632322941</v>
      </c>
      <c r="W2678">
        <f>SUMIF($F$2637:$F$2677,"&lt;&gt;EV_*",$W$2637:$W$2677)</f>
        <v>117861.87068418025</v>
      </c>
      <c r="X2678">
        <f>SUMIF($F$2637:$F$2677,"&lt;&gt;EV_*",$X$2637:$X$2677)</f>
        <v>0</v>
      </c>
    </row>
    <row r="2679" spans="1:24" x14ac:dyDescent="0.25">
      <c r="A2679" t="s">
        <v>1968</v>
      </c>
      <c r="B2679" t="s">
        <v>2098</v>
      </c>
      <c r="C2679" t="s">
        <v>2149</v>
      </c>
      <c r="D2679" t="s">
        <v>287</v>
      </c>
      <c r="E2679" t="s">
        <v>5</v>
      </c>
      <c r="F2679" t="s">
        <v>5</v>
      </c>
      <c r="G2679" t="s">
        <v>1009</v>
      </c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</row>
    <row r="2680" spans="1:24" x14ac:dyDescent="0.25">
      <c r="A2680" t="s">
        <v>1968</v>
      </c>
      <c r="B2680" t="s">
        <v>2098</v>
      </c>
      <c r="C2680" t="s">
        <v>2149</v>
      </c>
      <c r="D2680" t="s">
        <v>287</v>
      </c>
      <c r="E2680" t="s">
        <v>8</v>
      </c>
      <c r="F2680" t="s">
        <v>1</v>
      </c>
      <c r="G2680" t="s">
        <v>1010</v>
      </c>
      <c r="H2680" t="s">
        <v>408</v>
      </c>
      <c r="I2680" t="s">
        <v>1</v>
      </c>
      <c r="J2680">
        <v>3376.02</v>
      </c>
      <c r="K2680">
        <v>4233.0320441988997</v>
      </c>
      <c r="L2680">
        <v>795.55</v>
      </c>
      <c r="M2680">
        <v>1604.2859116022098</v>
      </c>
      <c r="N2680">
        <v>2072.4499999999998</v>
      </c>
      <c r="O2680">
        <v>1604.2859116022</v>
      </c>
      <c r="P2680">
        <v>0</v>
      </c>
      <c r="Q2680">
        <f t="shared" ref="Q2680:Q2701" si="540">O2680+P2680</f>
        <v>1604.2859116022</v>
      </c>
      <c r="R2680">
        <v>1604.2859116022</v>
      </c>
      <c r="S2680">
        <f t="shared" ref="S2680:S2701" si="541">IF(OR(LEFT(E2680,2)="A_",LEFT(D2680,5)="Total"),R2680-Q2680,"")</f>
        <v>0</v>
      </c>
      <c r="T2680"/>
      <c r="U2680">
        <f t="shared" ref="U2680:U2701" si="542">IFERROR(R2680*T2680,R2680*0)</f>
        <v>0</v>
      </c>
      <c r="V2680">
        <f t="shared" ref="V2680:V2701" si="543">IF(OR(LEFT(E2680,2)="A_",LEFT(D2680,5)="Total"),R2680+U2680,"")</f>
        <v>1604.2859116022</v>
      </c>
      <c r="W2680">
        <f t="shared" ref="W2680:W2701" si="544">IF(OR(LEFT(E2680,2)="A_",LEFT(D2680,5)="Total"),V2680-Q2680,"")</f>
        <v>0</v>
      </c>
      <c r="X2680">
        <v>0</v>
      </c>
    </row>
    <row r="2681" spans="1:24" x14ac:dyDescent="0.25">
      <c r="A2681" t="s">
        <v>1968</v>
      </c>
      <c r="B2681" t="s">
        <v>2098</v>
      </c>
      <c r="C2681" t="s">
        <v>2149</v>
      </c>
      <c r="D2681" t="s">
        <v>287</v>
      </c>
      <c r="E2681" t="s">
        <v>65</v>
      </c>
      <c r="F2681" t="s">
        <v>1</v>
      </c>
      <c r="G2681" t="s">
        <v>1010</v>
      </c>
      <c r="H2681" t="s">
        <v>476</v>
      </c>
      <c r="I2681" t="s">
        <v>1</v>
      </c>
      <c r="J2681">
        <v>-170.37</v>
      </c>
      <c r="K2681"/>
      <c r="L2681">
        <v>-124.06</v>
      </c>
      <c r="M2681">
        <v>-250.17624309392266</v>
      </c>
      <c r="N2681">
        <v>-162.26000000000002</v>
      </c>
      <c r="O2681">
        <v>-249.4832967033</v>
      </c>
      <c r="P2681">
        <v>0</v>
      </c>
      <c r="Q2681">
        <f t="shared" si="540"/>
        <v>-249.4832967033</v>
      </c>
      <c r="R2681">
        <v>-249.4832967033</v>
      </c>
      <c r="S2681">
        <f t="shared" si="541"/>
        <v>0</v>
      </c>
      <c r="T2681"/>
      <c r="U2681">
        <f t="shared" si="542"/>
        <v>0</v>
      </c>
      <c r="V2681">
        <f t="shared" si="543"/>
        <v>-249.4832967033</v>
      </c>
      <c r="W2681">
        <f t="shared" si="544"/>
        <v>0</v>
      </c>
      <c r="X2681">
        <v>0</v>
      </c>
    </row>
    <row r="2682" spans="1:24" x14ac:dyDescent="0.25">
      <c r="A2682" t="s">
        <v>1968</v>
      </c>
      <c r="B2682" t="s">
        <v>2098</v>
      </c>
      <c r="C2682" t="s">
        <v>2149</v>
      </c>
      <c r="D2682" t="s">
        <v>287</v>
      </c>
      <c r="E2682" t="s">
        <v>17</v>
      </c>
      <c r="F2682" t="s">
        <v>1</v>
      </c>
      <c r="G2682" t="s">
        <v>1010</v>
      </c>
      <c r="H2682" t="s">
        <v>417</v>
      </c>
      <c r="I2682" t="s">
        <v>1</v>
      </c>
      <c r="J2682">
        <v>-4063.6</v>
      </c>
      <c r="K2682">
        <v>-1960.0000000001</v>
      </c>
      <c r="L2682">
        <v>-1233.29</v>
      </c>
      <c r="M2682">
        <v>-2487.0212707182318</v>
      </c>
      <c r="N2682">
        <v>-3360.2599999999998</v>
      </c>
      <c r="O2682">
        <v>-2480.1326373625998</v>
      </c>
      <c r="P2682">
        <v>0</v>
      </c>
      <c r="Q2682">
        <f t="shared" si="540"/>
        <v>-2480.1326373625998</v>
      </c>
      <c r="R2682">
        <v>-2480.1326373625998</v>
      </c>
      <c r="S2682">
        <f t="shared" si="541"/>
        <v>0</v>
      </c>
      <c r="T2682"/>
      <c r="U2682">
        <f t="shared" si="542"/>
        <v>0</v>
      </c>
      <c r="V2682">
        <f t="shared" si="543"/>
        <v>-2480.1326373625998</v>
      </c>
      <c r="W2682">
        <f t="shared" si="544"/>
        <v>0</v>
      </c>
      <c r="X2682">
        <v>0</v>
      </c>
    </row>
    <row r="2683" spans="1:24" x14ac:dyDescent="0.25">
      <c r="A2683" t="s">
        <v>1968</v>
      </c>
      <c r="B2683" t="s">
        <v>2098</v>
      </c>
      <c r="C2683" t="s">
        <v>2149</v>
      </c>
      <c r="D2683" t="s">
        <v>287</v>
      </c>
      <c r="E2683" t="s">
        <v>82</v>
      </c>
      <c r="F2683" t="s">
        <v>1</v>
      </c>
      <c r="G2683" t="s">
        <v>1010</v>
      </c>
      <c r="H2683" t="s">
        <v>507</v>
      </c>
      <c r="I2683" t="s">
        <v>1</v>
      </c>
      <c r="J2683">
        <v>5694.14</v>
      </c>
      <c r="K2683">
        <v>5177.7595601849998</v>
      </c>
      <c r="L2683">
        <v>2166.89</v>
      </c>
      <c r="M2683">
        <v>4369.6953038674028</v>
      </c>
      <c r="N2683">
        <v>4861.71</v>
      </c>
      <c r="O2683">
        <v>4357.5919780220001</v>
      </c>
      <c r="P2683">
        <v>0</v>
      </c>
      <c r="Q2683">
        <f t="shared" si="540"/>
        <v>4357.5919780220001</v>
      </c>
      <c r="R2683">
        <v>4357.5919780220001</v>
      </c>
      <c r="S2683">
        <f t="shared" si="541"/>
        <v>0</v>
      </c>
      <c r="T2683">
        <v>2.75E-2</v>
      </c>
      <c r="U2683">
        <f t="shared" si="542"/>
        <v>119.83377939560501</v>
      </c>
      <c r="V2683">
        <f t="shared" si="543"/>
        <v>4477.4257574176054</v>
      </c>
      <c r="W2683">
        <f t="shared" si="544"/>
        <v>119.83377939560523</v>
      </c>
      <c r="X2683">
        <v>0</v>
      </c>
    </row>
    <row r="2684" spans="1:24" x14ac:dyDescent="0.25">
      <c r="A2684" t="s">
        <v>1968</v>
      </c>
      <c r="B2684" t="s">
        <v>2098</v>
      </c>
      <c r="C2684" t="s">
        <v>2149</v>
      </c>
      <c r="D2684" t="s">
        <v>287</v>
      </c>
      <c r="E2684" t="s">
        <v>72</v>
      </c>
      <c r="F2684" t="s">
        <v>1</v>
      </c>
      <c r="G2684" t="s">
        <v>1010</v>
      </c>
      <c r="H2684" t="s">
        <v>489</v>
      </c>
      <c r="I2684" t="s">
        <v>1</v>
      </c>
      <c r="J2684">
        <v>6276.28</v>
      </c>
      <c r="K2684">
        <v>8038.0143034980001</v>
      </c>
      <c r="L2684">
        <v>890.5</v>
      </c>
      <c r="M2684">
        <v>1795.7596685082874</v>
      </c>
      <c r="N2684">
        <v>2110.1599999999994</v>
      </c>
      <c r="O2684">
        <v>1790.7857142856999</v>
      </c>
      <c r="P2684">
        <v>0</v>
      </c>
      <c r="Q2684">
        <f t="shared" si="540"/>
        <v>1790.7857142856999</v>
      </c>
      <c r="R2684">
        <v>1790.7857142856999</v>
      </c>
      <c r="S2684">
        <f t="shared" si="541"/>
        <v>0</v>
      </c>
      <c r="T2684">
        <v>2.2499999999999999E-2</v>
      </c>
      <c r="U2684">
        <f t="shared" si="542"/>
        <v>40.292678571428247</v>
      </c>
      <c r="V2684">
        <f t="shared" si="543"/>
        <v>1831.0783928571282</v>
      </c>
      <c r="W2684">
        <f t="shared" si="544"/>
        <v>40.292678571428269</v>
      </c>
      <c r="X2684">
        <v>0</v>
      </c>
    </row>
    <row r="2685" spans="1:24" x14ac:dyDescent="0.25">
      <c r="A2685" t="s">
        <v>1968</v>
      </c>
      <c r="B2685" t="s">
        <v>2098</v>
      </c>
      <c r="C2685" t="s">
        <v>2149</v>
      </c>
      <c r="D2685" t="s">
        <v>287</v>
      </c>
      <c r="E2685" t="s">
        <v>18</v>
      </c>
      <c r="F2685" t="s">
        <v>1</v>
      </c>
      <c r="G2685" t="s">
        <v>1010</v>
      </c>
      <c r="H2685" t="s">
        <v>418</v>
      </c>
      <c r="I2685" t="s">
        <v>1</v>
      </c>
      <c r="J2685">
        <v>128409.16</v>
      </c>
      <c r="K2685">
        <v>108529.51728241899</v>
      </c>
      <c r="L2685">
        <v>78679.72</v>
      </c>
      <c r="M2685">
        <v>158663.5237569061</v>
      </c>
      <c r="N2685">
        <v>164032.43</v>
      </c>
      <c r="O2685">
        <v>158224.05230769201</v>
      </c>
      <c r="P2685">
        <v>0</v>
      </c>
      <c r="Q2685">
        <f t="shared" si="540"/>
        <v>158224.05230769201</v>
      </c>
      <c r="R2685">
        <v>158224.05230769201</v>
      </c>
      <c r="S2685">
        <f t="shared" si="541"/>
        <v>0</v>
      </c>
      <c r="T2685">
        <v>0.02</v>
      </c>
      <c r="U2685">
        <f t="shared" si="542"/>
        <v>3164.48104615384</v>
      </c>
      <c r="V2685">
        <f t="shared" si="543"/>
        <v>161388.53335384585</v>
      </c>
      <c r="W2685">
        <f t="shared" si="544"/>
        <v>3164.4810461538436</v>
      </c>
      <c r="X2685">
        <v>0</v>
      </c>
    </row>
    <row r="2686" spans="1:24" x14ac:dyDescent="0.25">
      <c r="A2686" t="s">
        <v>1968</v>
      </c>
      <c r="B2686" t="s">
        <v>2098</v>
      </c>
      <c r="C2686" t="s">
        <v>2149</v>
      </c>
      <c r="D2686" t="s">
        <v>287</v>
      </c>
      <c r="E2686" t="s">
        <v>19</v>
      </c>
      <c r="F2686" t="s">
        <v>1</v>
      </c>
      <c r="G2686" t="s">
        <v>1010</v>
      </c>
      <c r="H2686" t="s">
        <v>419</v>
      </c>
      <c r="I2686" t="s">
        <v>1</v>
      </c>
      <c r="J2686">
        <v>1000</v>
      </c>
      <c r="K2686">
        <v>1532.0987654321</v>
      </c>
      <c r="L2686">
        <v>0</v>
      </c>
      <c r="M2686">
        <v>0</v>
      </c>
      <c r="N2686">
        <v>0</v>
      </c>
      <c r="O2686"/>
      <c r="P2686">
        <v>0</v>
      </c>
      <c r="Q2686">
        <f t="shared" si="540"/>
        <v>0</v>
      </c>
      <c r="R2686">
        <v>0</v>
      </c>
      <c r="S2686">
        <f t="shared" si="541"/>
        <v>0</v>
      </c>
      <c r="T2686">
        <v>0.02</v>
      </c>
      <c r="U2686">
        <f t="shared" si="542"/>
        <v>0</v>
      </c>
      <c r="V2686">
        <f t="shared" si="543"/>
        <v>0</v>
      </c>
      <c r="W2686">
        <f t="shared" si="544"/>
        <v>0</v>
      </c>
      <c r="X2686">
        <v>0</v>
      </c>
    </row>
    <row r="2687" spans="1:24" x14ac:dyDescent="0.25">
      <c r="A2687" t="s">
        <v>1968</v>
      </c>
      <c r="B2687" t="s">
        <v>2098</v>
      </c>
      <c r="C2687" t="s">
        <v>2149</v>
      </c>
      <c r="D2687" t="s">
        <v>287</v>
      </c>
      <c r="E2687" t="s">
        <v>74</v>
      </c>
      <c r="F2687" t="s">
        <v>1</v>
      </c>
      <c r="G2687" t="s">
        <v>1010</v>
      </c>
      <c r="H2687" t="s">
        <v>491</v>
      </c>
      <c r="I2687" t="s">
        <v>1</v>
      </c>
      <c r="J2687">
        <v>37147.32</v>
      </c>
      <c r="K2687">
        <v>37216.860388888999</v>
      </c>
      <c r="L2687">
        <v>21269.01</v>
      </c>
      <c r="M2687">
        <v>42890.545027624306</v>
      </c>
      <c r="N2687">
        <v>40958.149999999994</v>
      </c>
      <c r="O2687">
        <v>42771.745384615402</v>
      </c>
      <c r="P2687">
        <v>0</v>
      </c>
      <c r="Q2687">
        <f t="shared" si="540"/>
        <v>42771.745384615402</v>
      </c>
      <c r="R2687">
        <v>42771.745384615402</v>
      </c>
      <c r="S2687">
        <f t="shared" si="541"/>
        <v>0</v>
      </c>
      <c r="T2687">
        <v>3.5000000000000003E-2</v>
      </c>
      <c r="U2687">
        <f t="shared" si="542"/>
        <v>1497.0110884615392</v>
      </c>
      <c r="V2687">
        <f t="shared" si="543"/>
        <v>44268.756473076945</v>
      </c>
      <c r="W2687">
        <f t="shared" si="544"/>
        <v>1497.0110884615424</v>
      </c>
      <c r="X2687">
        <v>0</v>
      </c>
    </row>
    <row r="2688" spans="1:24" x14ac:dyDescent="0.25">
      <c r="A2688" t="s">
        <v>1968</v>
      </c>
      <c r="B2688" t="s">
        <v>2098</v>
      </c>
      <c r="C2688" t="s">
        <v>2149</v>
      </c>
      <c r="D2688" t="s">
        <v>287</v>
      </c>
      <c r="E2688" t="s">
        <v>85</v>
      </c>
      <c r="F2688" t="s">
        <v>1</v>
      </c>
      <c r="G2688" t="s">
        <v>1010</v>
      </c>
      <c r="H2688" t="s">
        <v>510</v>
      </c>
      <c r="I2688" t="s">
        <v>1</v>
      </c>
      <c r="J2688">
        <v>155.58000000000001</v>
      </c>
      <c r="K2688"/>
      <c r="L2688">
        <v>0</v>
      </c>
      <c r="M2688">
        <v>0</v>
      </c>
      <c r="N2688">
        <v>0</v>
      </c>
      <c r="O2688"/>
      <c r="P2688">
        <v>0</v>
      </c>
      <c r="Q2688">
        <f t="shared" si="540"/>
        <v>0</v>
      </c>
      <c r="R2688">
        <v>0</v>
      </c>
      <c r="S2688">
        <f t="shared" si="541"/>
        <v>0</v>
      </c>
      <c r="T2688">
        <v>0.02</v>
      </c>
      <c r="U2688">
        <f t="shared" si="542"/>
        <v>0</v>
      </c>
      <c r="V2688">
        <f t="shared" si="543"/>
        <v>0</v>
      </c>
      <c r="W2688">
        <f t="shared" si="544"/>
        <v>0</v>
      </c>
      <c r="X2688">
        <v>0</v>
      </c>
    </row>
    <row r="2689" spans="1:24" x14ac:dyDescent="0.25">
      <c r="A2689" t="s">
        <v>1968</v>
      </c>
      <c r="B2689" t="s">
        <v>2098</v>
      </c>
      <c r="C2689" t="s">
        <v>2149</v>
      </c>
      <c r="D2689" t="s">
        <v>287</v>
      </c>
      <c r="E2689" t="s">
        <v>20</v>
      </c>
      <c r="F2689" t="s">
        <v>1</v>
      </c>
      <c r="G2689" t="s">
        <v>1010</v>
      </c>
      <c r="H2689" t="s">
        <v>420</v>
      </c>
      <c r="I2689" t="s">
        <v>1</v>
      </c>
      <c r="J2689">
        <v>59257.52</v>
      </c>
      <c r="K2689">
        <v>58480.537936645</v>
      </c>
      <c r="L2689">
        <v>35216.46</v>
      </c>
      <c r="M2689">
        <v>71016.618232044202</v>
      </c>
      <c r="N2689">
        <v>68701.989999999991</v>
      </c>
      <c r="O2689">
        <v>70819.914065934106</v>
      </c>
      <c r="P2689">
        <v>0</v>
      </c>
      <c r="Q2689">
        <f t="shared" si="540"/>
        <v>70819.914065934106</v>
      </c>
      <c r="R2689">
        <v>70819.914065934106</v>
      </c>
      <c r="S2689">
        <f t="shared" si="541"/>
        <v>0</v>
      </c>
      <c r="T2689">
        <v>0.04</v>
      </c>
      <c r="U2689">
        <f t="shared" si="542"/>
        <v>2832.7965626373643</v>
      </c>
      <c r="V2689">
        <f t="shared" si="543"/>
        <v>73652.710628571469</v>
      </c>
      <c r="W2689">
        <f t="shared" si="544"/>
        <v>2832.7965626373625</v>
      </c>
      <c r="X2689">
        <v>0</v>
      </c>
    </row>
    <row r="2690" spans="1:24" x14ac:dyDescent="0.25">
      <c r="A2690" t="s">
        <v>1968</v>
      </c>
      <c r="B2690" t="s">
        <v>2098</v>
      </c>
      <c r="C2690" t="s">
        <v>2149</v>
      </c>
      <c r="D2690" t="s">
        <v>287</v>
      </c>
      <c r="E2690" t="s">
        <v>21</v>
      </c>
      <c r="F2690" t="s">
        <v>1</v>
      </c>
      <c r="G2690" t="s">
        <v>1010</v>
      </c>
      <c r="H2690" t="s">
        <v>421</v>
      </c>
      <c r="I2690" t="s">
        <v>1</v>
      </c>
      <c r="J2690">
        <v>4761.87</v>
      </c>
      <c r="K2690">
        <v>4842.78</v>
      </c>
      <c r="L2690">
        <v>2158.94</v>
      </c>
      <c r="M2690">
        <v>4353.6635359116026</v>
      </c>
      <c r="N2690">
        <v>4549.29</v>
      </c>
      <c r="O2690">
        <v>4353.6635359115999</v>
      </c>
      <c r="P2690">
        <v>0</v>
      </c>
      <c r="Q2690">
        <f t="shared" si="540"/>
        <v>4353.6635359115999</v>
      </c>
      <c r="R2690">
        <v>4353.6635359115999</v>
      </c>
      <c r="S2690">
        <f t="shared" si="541"/>
        <v>0</v>
      </c>
      <c r="T2690">
        <v>0.03</v>
      </c>
      <c r="U2690">
        <f t="shared" si="542"/>
        <v>130.609906077348</v>
      </c>
      <c r="V2690">
        <f t="shared" si="543"/>
        <v>4484.2734419889475</v>
      </c>
      <c r="W2690">
        <f t="shared" si="544"/>
        <v>130.60990607734766</v>
      </c>
      <c r="X2690">
        <v>0</v>
      </c>
    </row>
    <row r="2691" spans="1:24" x14ac:dyDescent="0.25">
      <c r="A2691" t="s">
        <v>1968</v>
      </c>
      <c r="B2691" t="s">
        <v>2098</v>
      </c>
      <c r="C2691" t="s">
        <v>2149</v>
      </c>
      <c r="D2691" t="s">
        <v>287</v>
      </c>
      <c r="E2691" t="s">
        <v>66</v>
      </c>
      <c r="F2691" t="s">
        <v>1</v>
      </c>
      <c r="G2691" t="s">
        <v>1010</v>
      </c>
      <c r="H2691" t="s">
        <v>477</v>
      </c>
      <c r="I2691" t="s">
        <v>1</v>
      </c>
      <c r="J2691">
        <v>1269</v>
      </c>
      <c r="K2691">
        <v>2628.9</v>
      </c>
      <c r="L2691">
        <v>0</v>
      </c>
      <c r="M2691">
        <v>0</v>
      </c>
      <c r="N2691">
        <v>0</v>
      </c>
      <c r="O2691"/>
      <c r="P2691">
        <v>0</v>
      </c>
      <c r="Q2691">
        <f t="shared" si="540"/>
        <v>0</v>
      </c>
      <c r="R2691">
        <v>0</v>
      </c>
      <c r="S2691">
        <f t="shared" si="541"/>
        <v>0</v>
      </c>
      <c r="T2691">
        <v>3.5000000000000003E-2</v>
      </c>
      <c r="U2691">
        <f t="shared" si="542"/>
        <v>0</v>
      </c>
      <c r="V2691">
        <f t="shared" si="543"/>
        <v>0</v>
      </c>
      <c r="W2691">
        <f t="shared" si="544"/>
        <v>0</v>
      </c>
      <c r="X2691">
        <v>0</v>
      </c>
    </row>
    <row r="2692" spans="1:24" x14ac:dyDescent="0.25">
      <c r="A2692" t="s">
        <v>1968</v>
      </c>
      <c r="B2692" t="s">
        <v>2098</v>
      </c>
      <c r="C2692" t="s">
        <v>2149</v>
      </c>
      <c r="D2692" t="s">
        <v>287</v>
      </c>
      <c r="E2692" t="s">
        <v>22</v>
      </c>
      <c r="F2692" t="s">
        <v>1</v>
      </c>
      <c r="G2692" t="s">
        <v>1010</v>
      </c>
      <c r="H2692" t="s">
        <v>422</v>
      </c>
      <c r="I2692" t="s">
        <v>1</v>
      </c>
      <c r="J2692">
        <v>13852.02</v>
      </c>
      <c r="K2692">
        <v>15276.5999999999</v>
      </c>
      <c r="L2692">
        <v>2597.33</v>
      </c>
      <c r="M2692">
        <v>5237.709668508287</v>
      </c>
      <c r="N2692">
        <v>9069.5299999999988</v>
      </c>
      <c r="O2692">
        <v>5237.7096685082997</v>
      </c>
      <c r="P2692">
        <v>0</v>
      </c>
      <c r="Q2692">
        <f t="shared" si="540"/>
        <v>5237.7096685082997</v>
      </c>
      <c r="R2692">
        <v>5237.7096685082997</v>
      </c>
      <c r="S2692">
        <f t="shared" si="541"/>
        <v>0</v>
      </c>
      <c r="T2692">
        <v>3.5000000000000003E-2</v>
      </c>
      <c r="U2692">
        <f t="shared" si="542"/>
        <v>183.31983839779051</v>
      </c>
      <c r="V2692">
        <f t="shared" si="543"/>
        <v>5421.0295069060903</v>
      </c>
      <c r="W2692">
        <f t="shared" si="544"/>
        <v>183.31983839779059</v>
      </c>
      <c r="X2692">
        <v>0</v>
      </c>
    </row>
    <row r="2693" spans="1:24" x14ac:dyDescent="0.25">
      <c r="A2693" t="s">
        <v>1968</v>
      </c>
      <c r="B2693" t="s">
        <v>2098</v>
      </c>
      <c r="C2693" t="s">
        <v>2149</v>
      </c>
      <c r="D2693" t="s">
        <v>287</v>
      </c>
      <c r="E2693" t="s">
        <v>23</v>
      </c>
      <c r="F2693" t="s">
        <v>1</v>
      </c>
      <c r="G2693" t="s">
        <v>1010</v>
      </c>
      <c r="H2693" t="s">
        <v>423</v>
      </c>
      <c r="I2693" t="s">
        <v>1</v>
      </c>
      <c r="J2693">
        <v>2743.89</v>
      </c>
      <c r="K2693">
        <v>2287.3499999998999</v>
      </c>
      <c r="L2693">
        <v>4369.7299999999996</v>
      </c>
      <c r="M2693">
        <v>8811.8864640883967</v>
      </c>
      <c r="N2693">
        <v>6006.65</v>
      </c>
      <c r="O2693">
        <v>8811.8864640884003</v>
      </c>
      <c r="P2693">
        <v>0</v>
      </c>
      <c r="Q2693">
        <f t="shared" si="540"/>
        <v>8811.8864640884003</v>
      </c>
      <c r="R2693">
        <v>8811.8864640884003</v>
      </c>
      <c r="S2693">
        <f t="shared" si="541"/>
        <v>0</v>
      </c>
      <c r="T2693">
        <v>3.5000000000000003E-2</v>
      </c>
      <c r="U2693">
        <f t="shared" si="542"/>
        <v>308.41602624309405</v>
      </c>
      <c r="V2693">
        <f t="shared" si="543"/>
        <v>9120.3024903314945</v>
      </c>
      <c r="W2693">
        <f t="shared" si="544"/>
        <v>308.41602624309417</v>
      </c>
      <c r="X2693">
        <v>0</v>
      </c>
    </row>
    <row r="2694" spans="1:24" x14ac:dyDescent="0.25">
      <c r="A2694" t="s">
        <v>1968</v>
      </c>
      <c r="B2694" t="s">
        <v>2098</v>
      </c>
      <c r="C2694" t="s">
        <v>2149</v>
      </c>
      <c r="D2694" t="s">
        <v>287</v>
      </c>
      <c r="E2694" t="s">
        <v>28</v>
      </c>
      <c r="F2694" t="s">
        <v>1</v>
      </c>
      <c r="G2694" t="s">
        <v>1010</v>
      </c>
      <c r="H2694" t="s">
        <v>428</v>
      </c>
      <c r="I2694" t="s">
        <v>1</v>
      </c>
      <c r="J2694">
        <v>29860.01</v>
      </c>
      <c r="K2694">
        <v>28869.9999999996</v>
      </c>
      <c r="L2694">
        <v>4872.22</v>
      </c>
      <c r="M2694">
        <v>9825.1950276243097</v>
      </c>
      <c r="N2694">
        <v>19285.66</v>
      </c>
      <c r="O2694">
        <v>9744.44</v>
      </c>
      <c r="P2694">
        <v>0</v>
      </c>
      <c r="Q2694">
        <f t="shared" si="540"/>
        <v>9744.44</v>
      </c>
      <c r="R2694">
        <v>9744.44</v>
      </c>
      <c r="S2694">
        <f t="shared" si="541"/>
        <v>0</v>
      </c>
      <c r="T2694"/>
      <c r="U2694">
        <f t="shared" si="542"/>
        <v>0</v>
      </c>
      <c r="V2694">
        <f t="shared" si="543"/>
        <v>9744.44</v>
      </c>
      <c r="W2694">
        <f t="shared" si="544"/>
        <v>0</v>
      </c>
      <c r="X2694">
        <v>0</v>
      </c>
    </row>
    <row r="2695" spans="1:24" x14ac:dyDescent="0.25">
      <c r="A2695" t="s">
        <v>1968</v>
      </c>
      <c r="B2695" t="s">
        <v>2098</v>
      </c>
      <c r="C2695" t="s">
        <v>2149</v>
      </c>
      <c r="D2695" t="s">
        <v>287</v>
      </c>
      <c r="E2695" t="s">
        <v>29</v>
      </c>
      <c r="F2695" t="s">
        <v>1</v>
      </c>
      <c r="G2695" t="s">
        <v>1010</v>
      </c>
      <c r="H2695" t="s">
        <v>429</v>
      </c>
      <c r="I2695" t="s">
        <v>1</v>
      </c>
      <c r="J2695">
        <v>52.5</v>
      </c>
      <c r="K2695"/>
      <c r="L2695">
        <v>0</v>
      </c>
      <c r="M2695">
        <v>0</v>
      </c>
      <c r="N2695">
        <v>52.5</v>
      </c>
      <c r="O2695"/>
      <c r="P2695">
        <v>0</v>
      </c>
      <c r="Q2695">
        <f t="shared" si="540"/>
        <v>0</v>
      </c>
      <c r="R2695">
        <v>0</v>
      </c>
      <c r="S2695">
        <f t="shared" si="541"/>
        <v>0</v>
      </c>
      <c r="T2695"/>
      <c r="U2695">
        <f t="shared" si="542"/>
        <v>0</v>
      </c>
      <c r="V2695">
        <f t="shared" si="543"/>
        <v>0</v>
      </c>
      <c r="W2695">
        <f t="shared" si="544"/>
        <v>0</v>
      </c>
      <c r="X2695">
        <v>0</v>
      </c>
    </row>
    <row r="2696" spans="1:24" x14ac:dyDescent="0.25">
      <c r="A2696" t="s">
        <v>1968</v>
      </c>
      <c r="B2696" t="s">
        <v>2098</v>
      </c>
      <c r="C2696" t="s">
        <v>2149</v>
      </c>
      <c r="D2696" t="s">
        <v>287</v>
      </c>
      <c r="E2696" t="s">
        <v>35</v>
      </c>
      <c r="F2696" t="s">
        <v>1</v>
      </c>
      <c r="G2696" t="s">
        <v>1010</v>
      </c>
      <c r="H2696" t="s">
        <v>435</v>
      </c>
      <c r="I2696" t="s">
        <v>1</v>
      </c>
      <c r="J2696"/>
      <c r="K2696">
        <v>260.00000000040001</v>
      </c>
      <c r="L2696">
        <v>0</v>
      </c>
      <c r="M2696">
        <v>0</v>
      </c>
      <c r="N2696">
        <v>0</v>
      </c>
      <c r="O2696"/>
      <c r="P2696">
        <v>0</v>
      </c>
      <c r="Q2696">
        <f t="shared" si="540"/>
        <v>0</v>
      </c>
      <c r="R2696">
        <v>0</v>
      </c>
      <c r="S2696">
        <f t="shared" si="541"/>
        <v>0</v>
      </c>
      <c r="T2696"/>
      <c r="U2696">
        <f t="shared" si="542"/>
        <v>0</v>
      </c>
      <c r="V2696">
        <f t="shared" si="543"/>
        <v>0</v>
      </c>
      <c r="W2696">
        <f t="shared" si="544"/>
        <v>0</v>
      </c>
      <c r="X2696">
        <v>0</v>
      </c>
    </row>
    <row r="2697" spans="1:24" x14ac:dyDescent="0.25">
      <c r="A2697" t="s">
        <v>1968</v>
      </c>
      <c r="B2697" t="s">
        <v>2098</v>
      </c>
      <c r="C2697" t="s">
        <v>2149</v>
      </c>
      <c r="D2697" t="s">
        <v>287</v>
      </c>
      <c r="E2697" t="s">
        <v>37</v>
      </c>
      <c r="F2697" t="s">
        <v>1</v>
      </c>
      <c r="G2697" t="s">
        <v>1010</v>
      </c>
      <c r="H2697" t="s">
        <v>437</v>
      </c>
      <c r="I2697" t="s">
        <v>1</v>
      </c>
      <c r="J2697">
        <v>2481.5500000000002</v>
      </c>
      <c r="K2697"/>
      <c r="L2697">
        <v>0</v>
      </c>
      <c r="M2697">
        <v>0</v>
      </c>
      <c r="N2697">
        <v>930.74</v>
      </c>
      <c r="O2697"/>
      <c r="P2697">
        <v>0</v>
      </c>
      <c r="Q2697">
        <f t="shared" si="540"/>
        <v>0</v>
      </c>
      <c r="R2697">
        <v>0</v>
      </c>
      <c r="S2697">
        <f t="shared" si="541"/>
        <v>0</v>
      </c>
      <c r="T2697"/>
      <c r="U2697">
        <f t="shared" si="542"/>
        <v>0</v>
      </c>
      <c r="V2697">
        <f t="shared" si="543"/>
        <v>0</v>
      </c>
      <c r="W2697">
        <f t="shared" si="544"/>
        <v>0</v>
      </c>
      <c r="X2697">
        <v>0</v>
      </c>
    </row>
    <row r="2698" spans="1:24" x14ac:dyDescent="0.25">
      <c r="A2698" t="s">
        <v>1968</v>
      </c>
      <c r="B2698" t="s">
        <v>2098</v>
      </c>
      <c r="C2698" t="s">
        <v>2149</v>
      </c>
      <c r="D2698" t="s">
        <v>287</v>
      </c>
      <c r="E2698" t="s">
        <v>121</v>
      </c>
      <c r="F2698" t="s">
        <v>1</v>
      </c>
      <c r="G2698" t="s">
        <v>1010</v>
      </c>
      <c r="H2698" t="s">
        <v>590</v>
      </c>
      <c r="I2698" t="s">
        <v>1</v>
      </c>
      <c r="J2698">
        <v>146054</v>
      </c>
      <c r="K2698">
        <v>55092.549658978802</v>
      </c>
      <c r="L2698">
        <v>19570.86</v>
      </c>
      <c r="M2698">
        <v>39466.09889502763</v>
      </c>
      <c r="N2698">
        <v>70751.86</v>
      </c>
      <c r="O2698">
        <v>39141.72</v>
      </c>
      <c r="P2698">
        <v>0</v>
      </c>
      <c r="Q2698">
        <f t="shared" si="540"/>
        <v>39141.72</v>
      </c>
      <c r="R2698">
        <v>39141.72</v>
      </c>
      <c r="S2698">
        <f t="shared" si="541"/>
        <v>0</v>
      </c>
      <c r="T2698"/>
      <c r="U2698">
        <f t="shared" si="542"/>
        <v>0</v>
      </c>
      <c r="V2698">
        <f t="shared" si="543"/>
        <v>39141.72</v>
      </c>
      <c r="W2698">
        <f t="shared" si="544"/>
        <v>0</v>
      </c>
      <c r="X2698">
        <v>0</v>
      </c>
    </row>
    <row r="2699" spans="1:24" x14ac:dyDescent="0.25">
      <c r="A2699" t="s">
        <v>1968</v>
      </c>
      <c r="B2699" t="s">
        <v>2098</v>
      </c>
      <c r="C2699" t="s">
        <v>2149</v>
      </c>
      <c r="D2699" t="s">
        <v>287</v>
      </c>
      <c r="E2699" t="s">
        <v>41</v>
      </c>
      <c r="F2699" t="s">
        <v>1</v>
      </c>
      <c r="G2699" t="s">
        <v>1010</v>
      </c>
      <c r="H2699" t="s">
        <v>441</v>
      </c>
      <c r="I2699" t="s">
        <v>1</v>
      </c>
      <c r="J2699">
        <v>1023.02</v>
      </c>
      <c r="K2699">
        <v>966.49092089040005</v>
      </c>
      <c r="L2699">
        <v>970.35</v>
      </c>
      <c r="M2699">
        <v>1956.7831491712709</v>
      </c>
      <c r="N2699">
        <v>1482.52</v>
      </c>
      <c r="O2699">
        <v>1940.7</v>
      </c>
      <c r="P2699">
        <v>0</v>
      </c>
      <c r="Q2699">
        <f t="shared" si="540"/>
        <v>1940.7</v>
      </c>
      <c r="R2699">
        <v>1940.7</v>
      </c>
      <c r="S2699">
        <f t="shared" si="541"/>
        <v>0</v>
      </c>
      <c r="T2699">
        <v>0.03</v>
      </c>
      <c r="U2699">
        <f t="shared" si="542"/>
        <v>58.220999999999997</v>
      </c>
      <c r="V2699">
        <f t="shared" si="543"/>
        <v>1998.921</v>
      </c>
      <c r="W2699">
        <f t="shared" si="544"/>
        <v>58.221000000000004</v>
      </c>
      <c r="X2699">
        <v>0</v>
      </c>
    </row>
    <row r="2700" spans="1:24" x14ac:dyDescent="0.25">
      <c r="A2700" t="s">
        <v>1968</v>
      </c>
      <c r="B2700" t="s">
        <v>2098</v>
      </c>
      <c r="C2700" t="s">
        <v>2149</v>
      </c>
      <c r="D2700" t="s">
        <v>287</v>
      </c>
      <c r="E2700" t="s">
        <v>46</v>
      </c>
      <c r="F2700" t="s">
        <v>1</v>
      </c>
      <c r="G2700" t="s">
        <v>1010</v>
      </c>
      <c r="H2700" t="s">
        <v>446</v>
      </c>
      <c r="I2700" t="s">
        <v>1</v>
      </c>
      <c r="J2700"/>
      <c r="K2700"/>
      <c r="L2700">
        <v>191</v>
      </c>
      <c r="M2700">
        <v>385.16574585635362</v>
      </c>
      <c r="N2700">
        <v>191</v>
      </c>
      <c r="O2700">
        <v>382</v>
      </c>
      <c r="P2700">
        <v>0</v>
      </c>
      <c r="Q2700">
        <f t="shared" si="540"/>
        <v>382</v>
      </c>
      <c r="R2700">
        <v>382</v>
      </c>
      <c r="S2700">
        <f t="shared" si="541"/>
        <v>0</v>
      </c>
      <c r="T2700">
        <v>0.03</v>
      </c>
      <c r="U2700">
        <f t="shared" si="542"/>
        <v>11.459999999999999</v>
      </c>
      <c r="V2700">
        <f t="shared" si="543"/>
        <v>393.46</v>
      </c>
      <c r="W2700">
        <f t="shared" si="544"/>
        <v>11.45999999999998</v>
      </c>
      <c r="X2700">
        <v>0</v>
      </c>
    </row>
    <row r="2701" spans="1:24" x14ac:dyDescent="0.25">
      <c r="A2701" t="s">
        <v>1968</v>
      </c>
      <c r="B2701" t="s">
        <v>2098</v>
      </c>
      <c r="C2701" t="s">
        <v>2149</v>
      </c>
      <c r="D2701" t="s">
        <v>287</v>
      </c>
      <c r="E2701" t="s">
        <v>47</v>
      </c>
      <c r="F2701" t="s">
        <v>1</v>
      </c>
      <c r="G2701" t="s">
        <v>1010</v>
      </c>
      <c r="H2701" t="s">
        <v>447</v>
      </c>
      <c r="I2701" t="s">
        <v>1</v>
      </c>
      <c r="J2701"/>
      <c r="K2701"/>
      <c r="L2701">
        <v>731.99</v>
      </c>
      <c r="M2701">
        <v>1476.1124309392264</v>
      </c>
      <c r="N2701">
        <v>731.99</v>
      </c>
      <c r="O2701">
        <v>1463.98</v>
      </c>
      <c r="P2701">
        <v>0</v>
      </c>
      <c r="Q2701">
        <f t="shared" si="540"/>
        <v>1463.98</v>
      </c>
      <c r="R2701">
        <v>1463.98</v>
      </c>
      <c r="S2701">
        <f t="shared" si="541"/>
        <v>0</v>
      </c>
      <c r="T2701">
        <v>0.03</v>
      </c>
      <c r="U2701">
        <f t="shared" si="542"/>
        <v>43.919399999999996</v>
      </c>
      <c r="V2701">
        <f t="shared" si="543"/>
        <v>1507.8994</v>
      </c>
      <c r="W2701">
        <f t="shared" si="544"/>
        <v>43.919399999999996</v>
      </c>
      <c r="X2701">
        <v>0</v>
      </c>
    </row>
    <row r="2702" spans="1:24" x14ac:dyDescent="0.25">
      <c r="A2702" t="s">
        <v>1968</v>
      </c>
      <c r="B2702" t="s">
        <v>2098</v>
      </c>
      <c r="C2702" t="s">
        <v>2149</v>
      </c>
      <c r="D2702" t="s">
        <v>287</v>
      </c>
      <c r="E2702" t="s">
        <v>51</v>
      </c>
      <c r="F2702" t="s">
        <v>51</v>
      </c>
      <c r="G2702" t="s">
        <v>1011</v>
      </c>
      <c r="H2702"/>
      <c r="I2702"/>
      <c r="J2702">
        <v>439179.91</v>
      </c>
      <c r="K2702">
        <v>331472.49086113594</v>
      </c>
      <c r="L2702">
        <v>173123.19999999998</v>
      </c>
      <c r="M2702">
        <v>349115.84530386742</v>
      </c>
      <c r="N2702">
        <v>392266.10999999993</v>
      </c>
      <c r="O2702">
        <v>347914.85909659386</v>
      </c>
      <c r="P2702">
        <f>SUMIF($F$2679:$F$2701,"&lt;&gt;EV_*",$P$2679:$P$2701)</f>
        <v>0</v>
      </c>
      <c r="Q2702">
        <f>SUMIF($F$2679:$F$2701,"&lt;&gt;EV_*",$Q$2679:$Q$2701)</f>
        <v>347914.85909659386</v>
      </c>
      <c r="R2702">
        <f>SUMIF($F$2679:$F$2701,"&lt;&gt;EV_*",$R$2679:$R$2701)</f>
        <v>347914.85909659386</v>
      </c>
      <c r="S2702">
        <f>SUMIF($F$2679:$F$2701,"&lt;&gt;EV_*",$S$2679:$S$2701)</f>
        <v>0</v>
      </c>
      <c r="T2702">
        <v>0</v>
      </c>
      <c r="U2702">
        <f>SUMIF($F$2679:$F$2701,"&lt;&gt;EV_*",$U$2679:$U$2701)</f>
        <v>8390.3613259380072</v>
      </c>
      <c r="V2702">
        <f>SUMIF($F$2679:$F$2701,"&lt;&gt;EV_*",$V$2679:$V$2701)</f>
        <v>356305.22042253189</v>
      </c>
      <c r="W2702">
        <f>SUMIF($F$2679:$F$2701,"&lt;&gt;EV_*",$W$2679:$W$2701)</f>
        <v>8390.3613259380145</v>
      </c>
      <c r="X2702">
        <f>SUMIF($F$2679:$F$2701,"&lt;&gt;EV_*",$X$2679:$X$2701)</f>
        <v>0</v>
      </c>
    </row>
    <row r="2703" spans="1:24" x14ac:dyDescent="0.25">
      <c r="A2703" t="s">
        <v>1928</v>
      </c>
      <c r="B2703" t="s">
        <v>2007</v>
      </c>
      <c r="C2703" t="s">
        <v>2150</v>
      </c>
      <c r="D2703" t="s">
        <v>288</v>
      </c>
      <c r="E2703" t="s">
        <v>5</v>
      </c>
      <c r="F2703" t="s">
        <v>5</v>
      </c>
      <c r="G2703" t="s">
        <v>1012</v>
      </c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</row>
    <row r="2704" spans="1:24" x14ac:dyDescent="0.25">
      <c r="A2704" t="s">
        <v>1928</v>
      </c>
      <c r="B2704" t="s">
        <v>2007</v>
      </c>
      <c r="C2704" t="s">
        <v>2150</v>
      </c>
      <c r="D2704" t="s">
        <v>288</v>
      </c>
      <c r="E2704" t="s">
        <v>11</v>
      </c>
      <c r="F2704" t="s">
        <v>1</v>
      </c>
      <c r="G2704" t="s">
        <v>1013</v>
      </c>
      <c r="H2704" t="s">
        <v>411</v>
      </c>
      <c r="I2704" t="s">
        <v>1</v>
      </c>
      <c r="J2704">
        <v>1508.69</v>
      </c>
      <c r="K2704">
        <v>1363.0699999992</v>
      </c>
      <c r="L2704">
        <v>701.9</v>
      </c>
      <c r="M2704">
        <v>1415.4337016574586</v>
      </c>
      <c r="N2704">
        <v>1430.6999999999998</v>
      </c>
      <c r="O2704">
        <v>1403.8</v>
      </c>
      <c r="P2704">
        <v>0</v>
      </c>
      <c r="Q2704">
        <f>O2704+P2704</f>
        <v>1403.8</v>
      </c>
      <c r="R2704">
        <v>1403.8</v>
      </c>
      <c r="S2704">
        <f>IF(OR(LEFT(E2704,2)="A_",LEFT(D2704,5)="Total"),R2704-Q2704,"")</f>
        <v>0</v>
      </c>
      <c r="T2704"/>
      <c r="U2704">
        <f>IFERROR(R2704*T2704,R2704*0)</f>
        <v>0</v>
      </c>
      <c r="V2704">
        <f>IF(OR(LEFT(E2704,2)="A_",LEFT(D2704,5)="Total"),R2704+U2704,"")</f>
        <v>1403.8</v>
      </c>
      <c r="W2704">
        <f>IF(OR(LEFT(E2704,2)="A_",LEFT(D2704,5)="Total"),V2704-Q2704,"")</f>
        <v>0</v>
      </c>
      <c r="X2704">
        <v>0</v>
      </c>
    </row>
    <row r="2705" spans="1:24" x14ac:dyDescent="0.25">
      <c r="A2705" t="s">
        <v>1928</v>
      </c>
      <c r="B2705" t="s">
        <v>2007</v>
      </c>
      <c r="C2705" t="s">
        <v>2150</v>
      </c>
      <c r="D2705" t="s">
        <v>288</v>
      </c>
      <c r="E2705" t="s">
        <v>18</v>
      </c>
      <c r="F2705" t="s">
        <v>1</v>
      </c>
      <c r="G2705" t="s">
        <v>1013</v>
      </c>
      <c r="H2705" t="s">
        <v>418</v>
      </c>
      <c r="I2705" t="s">
        <v>1</v>
      </c>
      <c r="J2705"/>
      <c r="K2705"/>
      <c r="L2705">
        <v>342.72</v>
      </c>
      <c r="M2705">
        <v>691.12044198895035</v>
      </c>
      <c r="N2705">
        <v>342.72</v>
      </c>
      <c r="O2705">
        <v>689.20615384619998</v>
      </c>
      <c r="P2705">
        <v>0</v>
      </c>
      <c r="Q2705">
        <f>O2705+P2705</f>
        <v>689.20615384619998</v>
      </c>
      <c r="R2705">
        <v>689.20615384619998</v>
      </c>
      <c r="S2705">
        <f>IF(OR(LEFT(E2705,2)="A_",LEFT(D2705,5)="Total"),R2705-Q2705,"")</f>
        <v>0</v>
      </c>
      <c r="T2705">
        <v>0.02</v>
      </c>
      <c r="U2705">
        <f>IFERROR(R2705*T2705,R2705*0)</f>
        <v>13.784123076924001</v>
      </c>
      <c r="V2705">
        <f>IF(OR(LEFT(E2705,2)="A_",LEFT(D2705,5)="Total"),R2705+U2705,"")</f>
        <v>702.99027692312393</v>
      </c>
      <c r="W2705">
        <f>IF(OR(LEFT(E2705,2)="A_",LEFT(D2705,5)="Total"),V2705-Q2705,"")</f>
        <v>13.784123076923947</v>
      </c>
      <c r="X2705">
        <v>0</v>
      </c>
    </row>
    <row r="2706" spans="1:24" x14ac:dyDescent="0.25">
      <c r="A2706" t="s">
        <v>1928</v>
      </c>
      <c r="B2706" t="s">
        <v>2007</v>
      </c>
      <c r="C2706" t="s">
        <v>2150</v>
      </c>
      <c r="D2706" t="s">
        <v>288</v>
      </c>
      <c r="E2706" t="s">
        <v>27</v>
      </c>
      <c r="F2706" t="s">
        <v>1</v>
      </c>
      <c r="G2706" t="s">
        <v>1013</v>
      </c>
      <c r="H2706" t="s">
        <v>427</v>
      </c>
      <c r="I2706" t="s">
        <v>1</v>
      </c>
      <c r="J2706">
        <v>1664.59</v>
      </c>
      <c r="K2706">
        <v>3110.0000000004002</v>
      </c>
      <c r="L2706">
        <v>592.1</v>
      </c>
      <c r="M2706">
        <v>1194.0138121546961</v>
      </c>
      <c r="N2706">
        <v>1257.19</v>
      </c>
      <c r="O2706">
        <v>1184.2</v>
      </c>
      <c r="P2706">
        <v>0</v>
      </c>
      <c r="Q2706">
        <f>O2706+P2706</f>
        <v>1184.2</v>
      </c>
      <c r="R2706">
        <v>1184.2</v>
      </c>
      <c r="S2706">
        <f>IF(OR(LEFT(E2706,2)="A_",LEFT(D2706,5)="Total"),R2706-Q2706,"")</f>
        <v>0</v>
      </c>
      <c r="T2706"/>
      <c r="U2706">
        <f>IFERROR(R2706*T2706,R2706*0)</f>
        <v>0</v>
      </c>
      <c r="V2706">
        <f>IF(OR(LEFT(E2706,2)="A_",LEFT(D2706,5)="Total"),R2706+U2706,"")</f>
        <v>1184.2</v>
      </c>
      <c r="W2706">
        <f>IF(OR(LEFT(E2706,2)="A_",LEFT(D2706,5)="Total"),V2706-Q2706,"")</f>
        <v>0</v>
      </c>
      <c r="X2706">
        <v>0</v>
      </c>
    </row>
    <row r="2707" spans="1:24" x14ac:dyDescent="0.25">
      <c r="A2707" t="s">
        <v>1928</v>
      </c>
      <c r="B2707" t="s">
        <v>2007</v>
      </c>
      <c r="C2707" t="s">
        <v>2150</v>
      </c>
      <c r="D2707" t="s">
        <v>288</v>
      </c>
      <c r="E2707" t="s">
        <v>140</v>
      </c>
      <c r="F2707" t="s">
        <v>1</v>
      </c>
      <c r="G2707" t="s">
        <v>1013</v>
      </c>
      <c r="H2707" t="s">
        <v>637</v>
      </c>
      <c r="I2707" t="s">
        <v>1</v>
      </c>
      <c r="J2707">
        <v>-5955.77</v>
      </c>
      <c r="K2707"/>
      <c r="L2707">
        <v>0</v>
      </c>
      <c r="M2707">
        <v>0</v>
      </c>
      <c r="N2707">
        <v>-5955.77</v>
      </c>
      <c r="O2707"/>
      <c r="P2707">
        <v>0</v>
      </c>
      <c r="Q2707">
        <f>O2707+P2707</f>
        <v>0</v>
      </c>
      <c r="R2707">
        <v>0</v>
      </c>
      <c r="S2707">
        <f>IF(OR(LEFT(E2707,2)="A_",LEFT(D2707,5)="Total"),R2707-Q2707,"")</f>
        <v>0</v>
      </c>
      <c r="T2707">
        <v>0.03</v>
      </c>
      <c r="U2707">
        <f>IFERROR(R2707*T2707,R2707*0)</f>
        <v>0</v>
      </c>
      <c r="V2707">
        <f>IF(OR(LEFT(E2707,2)="A_",LEFT(D2707,5)="Total"),R2707+U2707,"")</f>
        <v>0</v>
      </c>
      <c r="W2707">
        <f>IF(OR(LEFT(E2707,2)="A_",LEFT(D2707,5)="Total"),V2707-Q2707,"")</f>
        <v>0</v>
      </c>
      <c r="X2707">
        <v>0</v>
      </c>
    </row>
    <row r="2708" spans="1:24" x14ac:dyDescent="0.25">
      <c r="A2708" t="s">
        <v>1928</v>
      </c>
      <c r="B2708" t="s">
        <v>2007</v>
      </c>
      <c r="C2708" t="s">
        <v>2150</v>
      </c>
      <c r="D2708" t="s">
        <v>288</v>
      </c>
      <c r="E2708" t="s">
        <v>42</v>
      </c>
      <c r="F2708" t="s">
        <v>1</v>
      </c>
      <c r="G2708" t="s">
        <v>1013</v>
      </c>
      <c r="H2708" t="s">
        <v>442</v>
      </c>
      <c r="I2708" t="s">
        <v>1</v>
      </c>
      <c r="J2708">
        <v>21869.68</v>
      </c>
      <c r="K2708">
        <v>21870</v>
      </c>
      <c r="L2708">
        <v>10934.34</v>
      </c>
      <c r="M2708">
        <v>22049.912154696132</v>
      </c>
      <c r="N2708">
        <v>21869.079999999998</v>
      </c>
      <c r="O2708">
        <v>21868.68</v>
      </c>
      <c r="P2708">
        <v>0</v>
      </c>
      <c r="Q2708">
        <f>O2708+P2708</f>
        <v>21868.68</v>
      </c>
      <c r="R2708">
        <v>21868.68</v>
      </c>
      <c r="S2708">
        <f>IF(OR(LEFT(E2708,2)="A_",LEFT(D2708,5)="Total"),R2708-Q2708,"")</f>
        <v>0</v>
      </c>
      <c r="T2708">
        <v>0.03</v>
      </c>
      <c r="U2708">
        <f>IFERROR(R2708*T2708,R2708*0)</f>
        <v>656.06039999999996</v>
      </c>
      <c r="V2708">
        <f>IF(OR(LEFT(E2708,2)="A_",LEFT(D2708,5)="Total"),R2708+U2708,"")</f>
        <v>22524.740399999999</v>
      </c>
      <c r="W2708">
        <f>IF(OR(LEFT(E2708,2)="A_",LEFT(D2708,5)="Total"),V2708-Q2708,"")</f>
        <v>656.06039999999848</v>
      </c>
      <c r="X2708" t="s">
        <v>1741</v>
      </c>
    </row>
    <row r="2709" spans="1:24" x14ac:dyDescent="0.25">
      <c r="A2709" t="s">
        <v>1928</v>
      </c>
      <c r="B2709" t="s">
        <v>2007</v>
      </c>
      <c r="C2709" t="s">
        <v>2150</v>
      </c>
      <c r="D2709" t="s">
        <v>288</v>
      </c>
      <c r="E2709" t="s">
        <v>51</v>
      </c>
      <c r="F2709" t="s">
        <v>51</v>
      </c>
      <c r="G2709" t="s">
        <v>1014</v>
      </c>
      <c r="H2709"/>
      <c r="I2709"/>
      <c r="J2709">
        <v>19087.189999999999</v>
      </c>
      <c r="K2709">
        <v>26343.0699999996</v>
      </c>
      <c r="L2709">
        <v>12571.06</v>
      </c>
      <c r="M2709">
        <v>25350.480110497236</v>
      </c>
      <c r="N2709">
        <v>18943.919999999998</v>
      </c>
      <c r="O2709">
        <v>25145.886153846201</v>
      </c>
      <c r="P2709">
        <f>SUMIF($F$2703:$F$2708,"&lt;&gt;EV_*",$P$2703:$P$2708)</f>
        <v>0</v>
      </c>
      <c r="Q2709">
        <f>SUMIF($F$2703:$F$2708,"&lt;&gt;EV_*",$Q$2703:$Q$2708)</f>
        <v>25145.886153846201</v>
      </c>
      <c r="R2709">
        <f>SUMIF($F$2703:$F$2708,"&lt;&gt;EV_*",$R$2703:$R$2708)</f>
        <v>25145.886153846201</v>
      </c>
      <c r="S2709">
        <f>SUMIF($F$2703:$F$2708,"&lt;&gt;EV_*",$S$2703:$S$2708)</f>
        <v>0</v>
      </c>
      <c r="T2709">
        <v>0</v>
      </c>
      <c r="U2709">
        <f>SUMIF($F$2703:$F$2708,"&lt;&gt;EV_*",$U$2703:$U$2708)</f>
        <v>669.84452307692391</v>
      </c>
      <c r="V2709">
        <f>SUMIF($F$2703:$F$2708,"&lt;&gt;EV_*",$V$2703:$V$2708)</f>
        <v>25815.730676923122</v>
      </c>
      <c r="W2709">
        <f>SUMIF($F$2703:$F$2708,"&lt;&gt;EV_*",$W$2703:$W$2708)</f>
        <v>669.84452307692243</v>
      </c>
      <c r="X2709">
        <f>SUMIF($F$2703:$F$2708,"&lt;&gt;EV_*",$X$2703:$X$2708)</f>
        <v>0</v>
      </c>
    </row>
    <row r="2710" spans="1:24" x14ac:dyDescent="0.25">
      <c r="A2710" t="s">
        <v>1928</v>
      </c>
      <c r="B2710" t="s">
        <v>2007</v>
      </c>
      <c r="C2710" t="s">
        <v>2151</v>
      </c>
      <c r="D2710" t="s">
        <v>289</v>
      </c>
      <c r="E2710" t="s">
        <v>5</v>
      </c>
      <c r="F2710" t="s">
        <v>5</v>
      </c>
      <c r="G2710" t="s">
        <v>1015</v>
      </c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</row>
    <row r="2711" spans="1:24" x14ac:dyDescent="0.25">
      <c r="A2711" t="s">
        <v>1928</v>
      </c>
      <c r="B2711" t="s">
        <v>2007</v>
      </c>
      <c r="C2711" t="s">
        <v>2151</v>
      </c>
      <c r="D2711" t="s">
        <v>289</v>
      </c>
      <c r="E2711" t="s">
        <v>8</v>
      </c>
      <c r="F2711" t="s">
        <v>1</v>
      </c>
      <c r="G2711" t="s">
        <v>1016</v>
      </c>
      <c r="H2711" t="s">
        <v>408</v>
      </c>
      <c r="I2711" t="s">
        <v>1</v>
      </c>
      <c r="J2711"/>
      <c r="K2711"/>
      <c r="L2711">
        <v>623</v>
      </c>
      <c r="M2711">
        <v>1256.3259668508288</v>
      </c>
      <c r="N2711">
        <v>623</v>
      </c>
      <c r="O2711">
        <v>1256.3259668507999</v>
      </c>
      <c r="P2711">
        <v>-1256</v>
      </c>
      <c r="Q2711">
        <f t="shared" ref="Q2711:Q2737" si="545">O2711+P2711</f>
        <v>0.32596685079988674</v>
      </c>
      <c r="R2711">
        <v>0</v>
      </c>
      <c r="S2711">
        <f t="shared" ref="S2711:S2737" si="546">IF(OR(LEFT(E2711,2)="A_",LEFT(D2711,5)="Total"),R2711-Q2711,"")</f>
        <v>-0.32596685079988674</v>
      </c>
      <c r="T2711"/>
      <c r="U2711">
        <f t="shared" ref="U2711:U2737" si="547">IFERROR(R2711*T2711,R2711*0)</f>
        <v>0</v>
      </c>
      <c r="V2711">
        <f t="shared" ref="V2711:V2737" si="548">IF(OR(LEFT(E2711,2)="A_",LEFT(D2711,5)="Total"),R2711+U2711,"")</f>
        <v>0</v>
      </c>
      <c r="W2711">
        <f t="shared" ref="W2711:W2737" si="549">IF(OR(LEFT(E2711,2)="A_",LEFT(D2711,5)="Total"),V2711-Q2711,"")</f>
        <v>-0.32596685079988674</v>
      </c>
      <c r="X2711">
        <v>0</v>
      </c>
    </row>
    <row r="2712" spans="1:24" x14ac:dyDescent="0.25">
      <c r="A2712" t="s">
        <v>1928</v>
      </c>
      <c r="B2712" t="s">
        <v>2007</v>
      </c>
      <c r="C2712" t="s">
        <v>2151</v>
      </c>
      <c r="D2712" t="s">
        <v>289</v>
      </c>
      <c r="E2712" t="s">
        <v>65</v>
      </c>
      <c r="F2712" t="s">
        <v>1</v>
      </c>
      <c r="G2712" t="s">
        <v>1016</v>
      </c>
      <c r="H2712" t="s">
        <v>476</v>
      </c>
      <c r="I2712" t="s">
        <v>1</v>
      </c>
      <c r="J2712">
        <v>-101.24</v>
      </c>
      <c r="K2712"/>
      <c r="L2712">
        <v>-60.51</v>
      </c>
      <c r="M2712">
        <v>-122.02292817679557</v>
      </c>
      <c r="N2712">
        <v>-104.75000000000001</v>
      </c>
      <c r="O2712">
        <v>-121.6849450549</v>
      </c>
      <c r="P2712">
        <v>0</v>
      </c>
      <c r="Q2712">
        <f t="shared" si="545"/>
        <v>-121.6849450549</v>
      </c>
      <c r="R2712">
        <v>0</v>
      </c>
      <c r="S2712">
        <f t="shared" si="546"/>
        <v>121.6849450549</v>
      </c>
      <c r="T2712"/>
      <c r="U2712">
        <f t="shared" si="547"/>
        <v>0</v>
      </c>
      <c r="V2712">
        <f t="shared" si="548"/>
        <v>0</v>
      </c>
      <c r="W2712">
        <f t="shared" si="549"/>
        <v>121.6849450549</v>
      </c>
      <c r="X2712">
        <v>0</v>
      </c>
    </row>
    <row r="2713" spans="1:24" x14ac:dyDescent="0.25">
      <c r="A2713" t="s">
        <v>1928</v>
      </c>
      <c r="B2713" t="s">
        <v>2007</v>
      </c>
      <c r="C2713" t="s">
        <v>2151</v>
      </c>
      <c r="D2713" t="s">
        <v>289</v>
      </c>
      <c r="E2713" t="s">
        <v>17</v>
      </c>
      <c r="F2713" t="s">
        <v>1</v>
      </c>
      <c r="G2713" t="s">
        <v>1016</v>
      </c>
      <c r="H2713" t="s">
        <v>417</v>
      </c>
      <c r="I2713" t="s">
        <v>1</v>
      </c>
      <c r="J2713">
        <v>-648.58000000000004</v>
      </c>
      <c r="K2713">
        <v>-2030</v>
      </c>
      <c r="L2713">
        <v>-565.47</v>
      </c>
      <c r="M2713">
        <v>-1140.3124309392265</v>
      </c>
      <c r="N2713">
        <v>-673.68</v>
      </c>
      <c r="O2713">
        <v>-1137.1539560440001</v>
      </c>
      <c r="P2713">
        <v>0</v>
      </c>
      <c r="Q2713">
        <f t="shared" si="545"/>
        <v>-1137.1539560440001</v>
      </c>
      <c r="R2713">
        <v>-1137.1539560440001</v>
      </c>
      <c r="S2713">
        <f t="shared" si="546"/>
        <v>0</v>
      </c>
      <c r="T2713"/>
      <c r="U2713">
        <f t="shared" si="547"/>
        <v>0</v>
      </c>
      <c r="V2713">
        <f t="shared" si="548"/>
        <v>-1137.1539560440001</v>
      </c>
      <c r="W2713">
        <f t="shared" si="549"/>
        <v>0</v>
      </c>
      <c r="X2713">
        <v>0</v>
      </c>
    </row>
    <row r="2714" spans="1:24" x14ac:dyDescent="0.25">
      <c r="A2714" t="s">
        <v>1928</v>
      </c>
      <c r="B2714" t="s">
        <v>2007</v>
      </c>
      <c r="C2714" t="s">
        <v>2151</v>
      </c>
      <c r="D2714" t="s">
        <v>289</v>
      </c>
      <c r="E2714" t="s">
        <v>82</v>
      </c>
      <c r="F2714" t="s">
        <v>1</v>
      </c>
      <c r="G2714" t="s">
        <v>1016</v>
      </c>
      <c r="H2714" t="s">
        <v>507</v>
      </c>
      <c r="I2714" t="s">
        <v>1</v>
      </c>
      <c r="J2714">
        <v>188</v>
      </c>
      <c r="K2714"/>
      <c r="L2714">
        <v>93.74</v>
      </c>
      <c r="M2714">
        <v>189.03370165745855</v>
      </c>
      <c r="N2714">
        <v>201.02000000000004</v>
      </c>
      <c r="O2714">
        <v>188.51010989010001</v>
      </c>
      <c r="P2714">
        <v>0</v>
      </c>
      <c r="Q2714">
        <f t="shared" si="545"/>
        <v>188.51010989010001</v>
      </c>
      <c r="R2714">
        <v>188.51010989010001</v>
      </c>
      <c r="S2714">
        <f t="shared" si="546"/>
        <v>0</v>
      </c>
      <c r="T2714">
        <v>2.75E-2</v>
      </c>
      <c r="U2714">
        <f t="shared" si="547"/>
        <v>5.1840280219777499</v>
      </c>
      <c r="V2714">
        <f t="shared" si="548"/>
        <v>193.69413791207776</v>
      </c>
      <c r="W2714">
        <f t="shared" si="549"/>
        <v>5.1840280219777526</v>
      </c>
      <c r="X2714">
        <v>0</v>
      </c>
    </row>
    <row r="2715" spans="1:24" x14ac:dyDescent="0.25">
      <c r="A2715" t="s">
        <v>1928</v>
      </c>
      <c r="B2715" t="s">
        <v>2007</v>
      </c>
      <c r="C2715" t="s">
        <v>2151</v>
      </c>
      <c r="D2715" t="s">
        <v>289</v>
      </c>
      <c r="E2715" t="s">
        <v>72</v>
      </c>
      <c r="F2715" t="s">
        <v>1</v>
      </c>
      <c r="G2715" t="s">
        <v>1016</v>
      </c>
      <c r="H2715" t="s">
        <v>489</v>
      </c>
      <c r="I2715" t="s">
        <v>1</v>
      </c>
      <c r="J2715"/>
      <c r="K2715"/>
      <c r="L2715">
        <v>52.26</v>
      </c>
      <c r="M2715">
        <v>105.38618784530387</v>
      </c>
      <c r="N2715">
        <v>52.26</v>
      </c>
      <c r="O2715">
        <v>105.0942857143</v>
      </c>
      <c r="P2715">
        <v>0</v>
      </c>
      <c r="Q2715">
        <f t="shared" si="545"/>
        <v>105.0942857143</v>
      </c>
      <c r="R2715">
        <v>105.0942857143</v>
      </c>
      <c r="S2715">
        <f t="shared" si="546"/>
        <v>0</v>
      </c>
      <c r="T2715">
        <v>2.2499999999999999E-2</v>
      </c>
      <c r="U2715">
        <f t="shared" si="547"/>
        <v>2.3646214285717497</v>
      </c>
      <c r="V2715">
        <f t="shared" si="548"/>
        <v>107.45890714287175</v>
      </c>
      <c r="W2715">
        <f t="shared" si="549"/>
        <v>2.3646214285717519</v>
      </c>
      <c r="X2715">
        <v>0</v>
      </c>
    </row>
    <row r="2716" spans="1:24" x14ac:dyDescent="0.25">
      <c r="A2716" t="s">
        <v>1928</v>
      </c>
      <c r="B2716" t="s">
        <v>2007</v>
      </c>
      <c r="C2716" t="s">
        <v>2151</v>
      </c>
      <c r="D2716" t="s">
        <v>289</v>
      </c>
      <c r="E2716" t="s">
        <v>18</v>
      </c>
      <c r="F2716" t="s">
        <v>1</v>
      </c>
      <c r="G2716" t="s">
        <v>1016</v>
      </c>
      <c r="H2716" t="s">
        <v>418</v>
      </c>
      <c r="I2716" t="s">
        <v>1</v>
      </c>
      <c r="J2716">
        <v>39625.879999999997</v>
      </c>
      <c r="K2716">
        <v>43612.208925855201</v>
      </c>
      <c r="L2716">
        <v>17517.22</v>
      </c>
      <c r="M2716">
        <v>35324.78066298343</v>
      </c>
      <c r="N2716">
        <v>35292.550000000003</v>
      </c>
      <c r="O2716">
        <v>35226.936923076901</v>
      </c>
      <c r="P2716">
        <v>0</v>
      </c>
      <c r="Q2716">
        <f t="shared" si="545"/>
        <v>35226.936923076901</v>
      </c>
      <c r="R2716">
        <v>35226.936923076901</v>
      </c>
      <c r="S2716">
        <f t="shared" si="546"/>
        <v>0</v>
      </c>
      <c r="T2716">
        <v>0.02</v>
      </c>
      <c r="U2716">
        <f t="shared" si="547"/>
        <v>704.53873846153806</v>
      </c>
      <c r="V2716">
        <f t="shared" si="548"/>
        <v>35931.475661538439</v>
      </c>
      <c r="W2716">
        <f t="shared" si="549"/>
        <v>704.53873846153874</v>
      </c>
      <c r="X2716">
        <v>0</v>
      </c>
    </row>
    <row r="2717" spans="1:24" x14ac:dyDescent="0.25">
      <c r="A2717" t="s">
        <v>1928</v>
      </c>
      <c r="B2717" t="s">
        <v>2007</v>
      </c>
      <c r="C2717" t="s">
        <v>2151</v>
      </c>
      <c r="D2717" t="s">
        <v>289</v>
      </c>
      <c r="E2717" t="s">
        <v>57</v>
      </c>
      <c r="F2717" t="s">
        <v>1</v>
      </c>
      <c r="G2717" t="s">
        <v>1016</v>
      </c>
      <c r="H2717" t="s">
        <v>462</v>
      </c>
      <c r="I2717" t="s">
        <v>1</v>
      </c>
      <c r="J2717">
        <v>746.29</v>
      </c>
      <c r="K2717"/>
      <c r="L2717">
        <v>301.38</v>
      </c>
      <c r="M2717">
        <v>607.75524861878455</v>
      </c>
      <c r="N2717">
        <v>594.23000000000013</v>
      </c>
      <c r="O2717">
        <v>606.07186813190003</v>
      </c>
      <c r="P2717">
        <v>0</v>
      </c>
      <c r="Q2717">
        <f t="shared" si="545"/>
        <v>606.07186813190003</v>
      </c>
      <c r="R2717">
        <v>606.07186813190003</v>
      </c>
      <c r="S2717">
        <f t="shared" si="546"/>
        <v>0</v>
      </c>
      <c r="T2717">
        <v>0.04</v>
      </c>
      <c r="U2717">
        <f t="shared" si="547"/>
        <v>24.242874725276003</v>
      </c>
      <c r="V2717">
        <f t="shared" si="548"/>
        <v>630.31474285717604</v>
      </c>
      <c r="W2717">
        <f t="shared" si="549"/>
        <v>24.24287472527601</v>
      </c>
      <c r="X2717">
        <v>0</v>
      </c>
    </row>
    <row r="2718" spans="1:24" x14ac:dyDescent="0.25">
      <c r="A2718" t="s">
        <v>1928</v>
      </c>
      <c r="B2718" t="s">
        <v>2007</v>
      </c>
      <c r="C2718" t="s">
        <v>2151</v>
      </c>
      <c r="D2718" t="s">
        <v>289</v>
      </c>
      <c r="E2718" t="s">
        <v>73</v>
      </c>
      <c r="F2718" t="s">
        <v>1</v>
      </c>
      <c r="G2718" t="s">
        <v>1016</v>
      </c>
      <c r="H2718" t="s">
        <v>490</v>
      </c>
      <c r="I2718" t="s">
        <v>1</v>
      </c>
      <c r="J2718">
        <v>297933.48</v>
      </c>
      <c r="K2718">
        <v>302348.57208501699</v>
      </c>
      <c r="L2718">
        <v>152969.79999999999</v>
      </c>
      <c r="M2718">
        <v>308475.01104972372</v>
      </c>
      <c r="N2718">
        <v>320343.28000000003</v>
      </c>
      <c r="O2718">
        <v>307620.58681318699</v>
      </c>
      <c r="P2718">
        <v>0</v>
      </c>
      <c r="Q2718">
        <f t="shared" si="545"/>
        <v>307620.58681318699</v>
      </c>
      <c r="R2718">
        <v>307620.58681318699</v>
      </c>
      <c r="S2718">
        <f t="shared" si="546"/>
        <v>0</v>
      </c>
      <c r="T2718">
        <v>3.5000000000000003E-2</v>
      </c>
      <c r="U2718">
        <f t="shared" si="547"/>
        <v>10766.720538461546</v>
      </c>
      <c r="V2718">
        <f t="shared" si="548"/>
        <v>318387.30735164852</v>
      </c>
      <c r="W2718">
        <f t="shared" si="549"/>
        <v>10766.720538461523</v>
      </c>
      <c r="X2718">
        <v>0</v>
      </c>
    </row>
    <row r="2719" spans="1:24" x14ac:dyDescent="0.25">
      <c r="A2719" t="s">
        <v>1928</v>
      </c>
      <c r="B2719" t="s">
        <v>2007</v>
      </c>
      <c r="C2719" t="s">
        <v>2151</v>
      </c>
      <c r="D2719" t="s">
        <v>289</v>
      </c>
      <c r="E2719" t="s">
        <v>19</v>
      </c>
      <c r="F2719" t="s">
        <v>1</v>
      </c>
      <c r="G2719" t="s">
        <v>1016</v>
      </c>
      <c r="H2719" t="s">
        <v>419</v>
      </c>
      <c r="I2719" t="s">
        <v>1</v>
      </c>
      <c r="J2719"/>
      <c r="K2719"/>
      <c r="L2719">
        <v>3964</v>
      </c>
      <c r="M2719">
        <v>7993.7016574585632</v>
      </c>
      <c r="N2719">
        <v>3964</v>
      </c>
      <c r="O2719">
        <v>7971.5604395603996</v>
      </c>
      <c r="P2719">
        <v>0</v>
      </c>
      <c r="Q2719">
        <f t="shared" si="545"/>
        <v>7971.5604395603996</v>
      </c>
      <c r="R2719">
        <v>7971.5604395603996</v>
      </c>
      <c r="S2719">
        <f t="shared" si="546"/>
        <v>0</v>
      </c>
      <c r="T2719">
        <v>0.02</v>
      </c>
      <c r="U2719">
        <f t="shared" si="547"/>
        <v>159.43120879120801</v>
      </c>
      <c r="V2719">
        <f t="shared" si="548"/>
        <v>8130.9916483516072</v>
      </c>
      <c r="W2719">
        <f t="shared" si="549"/>
        <v>159.43120879120761</v>
      </c>
      <c r="X2719">
        <v>0</v>
      </c>
    </row>
    <row r="2720" spans="1:24" x14ac:dyDescent="0.25">
      <c r="A2720" t="s">
        <v>1928</v>
      </c>
      <c r="B2720" t="s">
        <v>2007</v>
      </c>
      <c r="C2720" t="s">
        <v>2151</v>
      </c>
      <c r="D2720" t="s">
        <v>289</v>
      </c>
      <c r="E2720" t="s">
        <v>74</v>
      </c>
      <c r="F2720" t="s">
        <v>1</v>
      </c>
      <c r="G2720" t="s">
        <v>1016</v>
      </c>
      <c r="H2720" t="s">
        <v>491</v>
      </c>
      <c r="I2720" t="s">
        <v>1</v>
      </c>
      <c r="J2720">
        <v>11285.63</v>
      </c>
      <c r="K2720">
        <v>11874.9102607638</v>
      </c>
      <c r="L2720">
        <v>6555.53</v>
      </c>
      <c r="M2720">
        <v>13219.715193370166</v>
      </c>
      <c r="N2720">
        <v>11573.390000000001</v>
      </c>
      <c r="O2720">
        <v>13183.0987912088</v>
      </c>
      <c r="P2720">
        <v>0</v>
      </c>
      <c r="Q2720">
        <f t="shared" si="545"/>
        <v>13183.0987912088</v>
      </c>
      <c r="R2720">
        <v>13183.0987912088</v>
      </c>
      <c r="S2720">
        <f t="shared" si="546"/>
        <v>0</v>
      </c>
      <c r="T2720">
        <v>3.5000000000000003E-2</v>
      </c>
      <c r="U2720">
        <f t="shared" si="547"/>
        <v>461.40845769230805</v>
      </c>
      <c r="V2720">
        <f t="shared" si="548"/>
        <v>13644.507248901109</v>
      </c>
      <c r="W2720">
        <f t="shared" si="549"/>
        <v>461.40845769230873</v>
      </c>
      <c r="X2720">
        <v>0</v>
      </c>
    </row>
    <row r="2721" spans="1:24" x14ac:dyDescent="0.25">
      <c r="A2721" t="s">
        <v>1928</v>
      </c>
      <c r="B2721" t="s">
        <v>2007</v>
      </c>
      <c r="C2721" t="s">
        <v>2151</v>
      </c>
      <c r="D2721" t="s">
        <v>289</v>
      </c>
      <c r="E2721" t="s">
        <v>85</v>
      </c>
      <c r="F2721" t="s">
        <v>1</v>
      </c>
      <c r="G2721" t="s">
        <v>1016</v>
      </c>
      <c r="H2721" t="s">
        <v>510</v>
      </c>
      <c r="I2721" t="s">
        <v>1</v>
      </c>
      <c r="J2721">
        <v>1640.71</v>
      </c>
      <c r="K2721">
        <v>1584.2499980388</v>
      </c>
      <c r="L2721">
        <v>752.39</v>
      </c>
      <c r="M2721">
        <v>1517.2505524861879</v>
      </c>
      <c r="N2721">
        <v>1739</v>
      </c>
      <c r="O2721">
        <v>1513.048021978</v>
      </c>
      <c r="P2721">
        <v>0</v>
      </c>
      <c r="Q2721">
        <f t="shared" si="545"/>
        <v>1513.048021978</v>
      </c>
      <c r="R2721">
        <v>1513.048021978</v>
      </c>
      <c r="S2721">
        <f t="shared" si="546"/>
        <v>0</v>
      </c>
      <c r="T2721">
        <v>0.02</v>
      </c>
      <c r="U2721">
        <f t="shared" si="547"/>
        <v>30.260960439559998</v>
      </c>
      <c r="V2721">
        <f t="shared" si="548"/>
        <v>1543.3089824175599</v>
      </c>
      <c r="W2721">
        <f t="shared" si="549"/>
        <v>30.260960439559994</v>
      </c>
      <c r="X2721">
        <v>0</v>
      </c>
    </row>
    <row r="2722" spans="1:24" x14ac:dyDescent="0.25">
      <c r="A2722" t="s">
        <v>1928</v>
      </c>
      <c r="B2722" t="s">
        <v>2007</v>
      </c>
      <c r="C2722" t="s">
        <v>2151</v>
      </c>
      <c r="D2722" t="s">
        <v>289</v>
      </c>
      <c r="E2722" t="s">
        <v>20</v>
      </c>
      <c r="F2722" t="s">
        <v>1</v>
      </c>
      <c r="G2722" t="s">
        <v>1016</v>
      </c>
      <c r="H2722" t="s">
        <v>420</v>
      </c>
      <c r="I2722" t="s">
        <v>1</v>
      </c>
      <c r="J2722">
        <v>7552.15</v>
      </c>
      <c r="K2722">
        <v>9419.3152482734004</v>
      </c>
      <c r="L2722">
        <v>6018.89</v>
      </c>
      <c r="M2722">
        <v>12137.540607734807</v>
      </c>
      <c r="N2722">
        <v>9559.6200000000008</v>
      </c>
      <c r="O2722">
        <v>12103.921648351599</v>
      </c>
      <c r="P2722">
        <v>0</v>
      </c>
      <c r="Q2722">
        <f t="shared" si="545"/>
        <v>12103.921648351599</v>
      </c>
      <c r="R2722">
        <v>12103.921648351599</v>
      </c>
      <c r="S2722">
        <f t="shared" si="546"/>
        <v>0</v>
      </c>
      <c r="T2722">
        <v>0.04</v>
      </c>
      <c r="U2722">
        <f t="shared" si="547"/>
        <v>484.156865934064</v>
      </c>
      <c r="V2722">
        <f t="shared" si="548"/>
        <v>12588.078514285664</v>
      </c>
      <c r="W2722">
        <f t="shared" si="549"/>
        <v>484.15686593406463</v>
      </c>
      <c r="X2722">
        <v>0</v>
      </c>
    </row>
    <row r="2723" spans="1:24" x14ac:dyDescent="0.25">
      <c r="A2723" t="s">
        <v>1928</v>
      </c>
      <c r="B2723" t="s">
        <v>2007</v>
      </c>
      <c r="C2723" t="s">
        <v>2151</v>
      </c>
      <c r="D2723" t="s">
        <v>289</v>
      </c>
      <c r="E2723" t="s">
        <v>21</v>
      </c>
      <c r="F2723" t="s">
        <v>1</v>
      </c>
      <c r="G2723" t="s">
        <v>1016</v>
      </c>
      <c r="H2723" t="s">
        <v>421</v>
      </c>
      <c r="I2723" t="s">
        <v>1</v>
      </c>
      <c r="J2723">
        <v>1534.89</v>
      </c>
      <c r="K2723">
        <v>1408.3799999998</v>
      </c>
      <c r="L2723">
        <v>1131.28</v>
      </c>
      <c r="M2723">
        <v>2281.3104972375691</v>
      </c>
      <c r="N2723">
        <v>1981.49</v>
      </c>
      <c r="O2723">
        <v>2281.3104972376</v>
      </c>
      <c r="P2723">
        <v>0</v>
      </c>
      <c r="Q2723">
        <f t="shared" si="545"/>
        <v>2281.3104972376</v>
      </c>
      <c r="R2723">
        <v>2281.3104972376</v>
      </c>
      <c r="S2723">
        <f t="shared" si="546"/>
        <v>0</v>
      </c>
      <c r="T2723">
        <v>0.03</v>
      </c>
      <c r="U2723">
        <f t="shared" si="547"/>
        <v>68.439314917128002</v>
      </c>
      <c r="V2723">
        <f t="shared" si="548"/>
        <v>2349.7498121547278</v>
      </c>
      <c r="W2723">
        <f t="shared" si="549"/>
        <v>68.439314917127831</v>
      </c>
      <c r="X2723">
        <v>0</v>
      </c>
    </row>
    <row r="2724" spans="1:24" x14ac:dyDescent="0.25">
      <c r="A2724" t="s">
        <v>1928</v>
      </c>
      <c r="B2724" t="s">
        <v>2007</v>
      </c>
      <c r="C2724" t="s">
        <v>2151</v>
      </c>
      <c r="D2724" t="s">
        <v>289</v>
      </c>
      <c r="E2724" t="s">
        <v>22</v>
      </c>
      <c r="F2724" t="s">
        <v>1</v>
      </c>
      <c r="G2724" t="s">
        <v>1016</v>
      </c>
      <c r="H2724" t="s">
        <v>422</v>
      </c>
      <c r="I2724" t="s">
        <v>1</v>
      </c>
      <c r="J2724">
        <v>1470.3</v>
      </c>
      <c r="K2724">
        <v>1293.7500000002001</v>
      </c>
      <c r="L2724">
        <v>900.99</v>
      </c>
      <c r="M2724">
        <v>1816.9135359116024</v>
      </c>
      <c r="N2724">
        <v>1745.5500000000002</v>
      </c>
      <c r="O2724">
        <v>1816.9135359116001</v>
      </c>
      <c r="P2724">
        <v>0</v>
      </c>
      <c r="Q2724">
        <f t="shared" si="545"/>
        <v>1816.9135359116001</v>
      </c>
      <c r="R2724">
        <v>1816.9135359116001</v>
      </c>
      <c r="S2724">
        <f t="shared" si="546"/>
        <v>0</v>
      </c>
      <c r="T2724">
        <v>3.5000000000000003E-2</v>
      </c>
      <c r="U2724">
        <f t="shared" si="547"/>
        <v>63.591973756906008</v>
      </c>
      <c r="V2724">
        <f t="shared" si="548"/>
        <v>1880.5055096685062</v>
      </c>
      <c r="W2724">
        <f t="shared" si="549"/>
        <v>63.5919737569061</v>
      </c>
      <c r="X2724">
        <v>0</v>
      </c>
    </row>
    <row r="2725" spans="1:24" x14ac:dyDescent="0.25">
      <c r="A2725" t="s">
        <v>1928</v>
      </c>
      <c r="B2725" t="s">
        <v>2007</v>
      </c>
      <c r="C2725" t="s">
        <v>2151</v>
      </c>
      <c r="D2725" t="s">
        <v>289</v>
      </c>
      <c r="E2725" t="s">
        <v>23</v>
      </c>
      <c r="F2725" t="s">
        <v>1</v>
      </c>
      <c r="G2725" t="s">
        <v>1016</v>
      </c>
      <c r="H2725" t="s">
        <v>423</v>
      </c>
      <c r="I2725" t="s">
        <v>1</v>
      </c>
      <c r="J2725">
        <v>825.66</v>
      </c>
      <c r="K2725"/>
      <c r="L2725">
        <v>32.72</v>
      </c>
      <c r="M2725">
        <v>65.982320441988946</v>
      </c>
      <c r="N2725">
        <v>858.38</v>
      </c>
      <c r="O2725">
        <v>65.982320442000002</v>
      </c>
      <c r="P2725">
        <v>0</v>
      </c>
      <c r="Q2725">
        <f t="shared" si="545"/>
        <v>65.982320442000002</v>
      </c>
      <c r="R2725">
        <v>65.982320442000002</v>
      </c>
      <c r="S2725">
        <f t="shared" si="546"/>
        <v>0</v>
      </c>
      <c r="T2725">
        <v>3.5000000000000003E-2</v>
      </c>
      <c r="U2725">
        <f t="shared" si="547"/>
        <v>2.3093812154700002</v>
      </c>
      <c r="V2725">
        <f t="shared" si="548"/>
        <v>68.29170165747</v>
      </c>
      <c r="W2725">
        <f t="shared" si="549"/>
        <v>2.3093812154699975</v>
      </c>
      <c r="X2725">
        <v>0</v>
      </c>
    </row>
    <row r="2726" spans="1:24" x14ac:dyDescent="0.25">
      <c r="A2726" t="s">
        <v>1928</v>
      </c>
      <c r="B2726" t="s">
        <v>2007</v>
      </c>
      <c r="C2726" t="s">
        <v>2151</v>
      </c>
      <c r="D2726" t="s">
        <v>289</v>
      </c>
      <c r="E2726" t="s">
        <v>26</v>
      </c>
      <c r="F2726" t="s">
        <v>1</v>
      </c>
      <c r="G2726" t="s">
        <v>1016</v>
      </c>
      <c r="H2726" t="s">
        <v>426</v>
      </c>
      <c r="I2726" t="s">
        <v>1</v>
      </c>
      <c r="J2726">
        <v>120</v>
      </c>
      <c r="K2726">
        <v>29.437151048400001</v>
      </c>
      <c r="L2726">
        <v>0</v>
      </c>
      <c r="M2726">
        <v>0</v>
      </c>
      <c r="N2726">
        <v>0</v>
      </c>
      <c r="O2726"/>
      <c r="P2726">
        <v>0</v>
      </c>
      <c r="Q2726">
        <f t="shared" si="545"/>
        <v>0</v>
      </c>
      <c r="R2726">
        <v>0</v>
      </c>
      <c r="S2726">
        <f t="shared" si="546"/>
        <v>0</v>
      </c>
      <c r="T2726"/>
      <c r="U2726">
        <f t="shared" si="547"/>
        <v>0</v>
      </c>
      <c r="V2726">
        <f t="shared" si="548"/>
        <v>0</v>
      </c>
      <c r="W2726">
        <f t="shared" si="549"/>
        <v>0</v>
      </c>
      <c r="X2726">
        <v>0</v>
      </c>
    </row>
    <row r="2727" spans="1:24" x14ac:dyDescent="0.25">
      <c r="A2727" t="s">
        <v>1928</v>
      </c>
      <c r="B2727" t="s">
        <v>2007</v>
      </c>
      <c r="C2727" t="s">
        <v>2151</v>
      </c>
      <c r="D2727" t="s">
        <v>289</v>
      </c>
      <c r="E2727" t="s">
        <v>27</v>
      </c>
      <c r="F2727" t="s">
        <v>1</v>
      </c>
      <c r="G2727" t="s">
        <v>1016</v>
      </c>
      <c r="H2727" t="s">
        <v>427</v>
      </c>
      <c r="I2727" t="s">
        <v>1</v>
      </c>
      <c r="J2727">
        <v>6764.92</v>
      </c>
      <c r="K2727">
        <v>6620.0000000004002</v>
      </c>
      <c r="L2727">
        <v>1623.5</v>
      </c>
      <c r="M2727">
        <v>3273.9088397790056</v>
      </c>
      <c r="N2727">
        <v>3575.4900000000002</v>
      </c>
      <c r="O2727">
        <v>3247</v>
      </c>
      <c r="P2727">
        <v>0</v>
      </c>
      <c r="Q2727">
        <f t="shared" si="545"/>
        <v>3247</v>
      </c>
      <c r="R2727">
        <v>3247</v>
      </c>
      <c r="S2727">
        <f t="shared" si="546"/>
        <v>0</v>
      </c>
      <c r="T2727"/>
      <c r="U2727">
        <f t="shared" si="547"/>
        <v>0</v>
      </c>
      <c r="V2727">
        <f t="shared" si="548"/>
        <v>3247</v>
      </c>
      <c r="W2727">
        <f t="shared" si="549"/>
        <v>0</v>
      </c>
      <c r="X2727">
        <v>0</v>
      </c>
    </row>
    <row r="2728" spans="1:24" x14ac:dyDescent="0.25">
      <c r="A2728" t="s">
        <v>1928</v>
      </c>
      <c r="B2728" t="s">
        <v>2007</v>
      </c>
      <c r="C2728" t="s">
        <v>2151</v>
      </c>
      <c r="D2728" t="s">
        <v>289</v>
      </c>
      <c r="E2728" t="s">
        <v>28</v>
      </c>
      <c r="F2728" t="s">
        <v>1</v>
      </c>
      <c r="G2728" t="s">
        <v>1016</v>
      </c>
      <c r="H2728" t="s">
        <v>428</v>
      </c>
      <c r="I2728" t="s">
        <v>1</v>
      </c>
      <c r="J2728">
        <v>323.88</v>
      </c>
      <c r="K2728">
        <v>650.00000000039995</v>
      </c>
      <c r="L2728">
        <v>709.6</v>
      </c>
      <c r="M2728">
        <v>1430.9613259668508</v>
      </c>
      <c r="N2728">
        <v>709.6</v>
      </c>
      <c r="O2728">
        <v>1419.2</v>
      </c>
      <c r="P2728">
        <v>0</v>
      </c>
      <c r="Q2728">
        <f t="shared" si="545"/>
        <v>1419.2</v>
      </c>
      <c r="R2728">
        <v>1419.2</v>
      </c>
      <c r="S2728">
        <f t="shared" si="546"/>
        <v>0</v>
      </c>
      <c r="T2728"/>
      <c r="U2728">
        <f t="shared" si="547"/>
        <v>0</v>
      </c>
      <c r="V2728">
        <f t="shared" si="548"/>
        <v>1419.2</v>
      </c>
      <c r="W2728">
        <f t="shared" si="549"/>
        <v>0</v>
      </c>
      <c r="X2728">
        <v>0</v>
      </c>
    </row>
    <row r="2729" spans="1:24" x14ac:dyDescent="0.25">
      <c r="A2729" t="s">
        <v>1928</v>
      </c>
      <c r="B2729" t="s">
        <v>2007</v>
      </c>
      <c r="C2729" t="s">
        <v>2151</v>
      </c>
      <c r="D2729" t="s">
        <v>289</v>
      </c>
      <c r="E2729" t="s">
        <v>29</v>
      </c>
      <c r="F2729" t="s">
        <v>1</v>
      </c>
      <c r="G2729" t="s">
        <v>1016</v>
      </c>
      <c r="H2729" t="s">
        <v>429</v>
      </c>
      <c r="I2729" t="s">
        <v>1</v>
      </c>
      <c r="J2729">
        <v>82.73</v>
      </c>
      <c r="K2729">
        <v>170.00000000040001</v>
      </c>
      <c r="L2729">
        <v>0</v>
      </c>
      <c r="M2729">
        <v>0</v>
      </c>
      <c r="N2729">
        <v>0</v>
      </c>
      <c r="O2729"/>
      <c r="P2729">
        <v>0</v>
      </c>
      <c r="Q2729">
        <f t="shared" si="545"/>
        <v>0</v>
      </c>
      <c r="R2729">
        <v>0</v>
      </c>
      <c r="S2729">
        <f t="shared" si="546"/>
        <v>0</v>
      </c>
      <c r="T2729"/>
      <c r="U2729">
        <f t="shared" si="547"/>
        <v>0</v>
      </c>
      <c r="V2729">
        <f t="shared" si="548"/>
        <v>0</v>
      </c>
      <c r="W2729">
        <f t="shared" si="549"/>
        <v>0</v>
      </c>
      <c r="X2729">
        <v>0</v>
      </c>
    </row>
    <row r="2730" spans="1:24" x14ac:dyDescent="0.25">
      <c r="A2730" t="s">
        <v>1928</v>
      </c>
      <c r="B2730" t="s">
        <v>2007</v>
      </c>
      <c r="C2730" t="s">
        <v>2151</v>
      </c>
      <c r="D2730" t="s">
        <v>289</v>
      </c>
      <c r="E2730" t="s">
        <v>33</v>
      </c>
      <c r="F2730" t="s">
        <v>1</v>
      </c>
      <c r="G2730" t="s">
        <v>1016</v>
      </c>
      <c r="H2730" t="s">
        <v>433</v>
      </c>
      <c r="I2730" t="s">
        <v>1</v>
      </c>
      <c r="J2730"/>
      <c r="K2730">
        <v>245.30959207320001</v>
      </c>
      <c r="L2730">
        <v>0</v>
      </c>
      <c r="M2730">
        <v>0</v>
      </c>
      <c r="N2730">
        <v>0</v>
      </c>
      <c r="O2730"/>
      <c r="P2730">
        <v>500</v>
      </c>
      <c r="Q2730">
        <f t="shared" si="545"/>
        <v>500</v>
      </c>
      <c r="R2730">
        <v>500</v>
      </c>
      <c r="S2730">
        <f t="shared" si="546"/>
        <v>0</v>
      </c>
      <c r="T2730"/>
      <c r="U2730">
        <f t="shared" si="547"/>
        <v>0</v>
      </c>
      <c r="V2730">
        <f t="shared" si="548"/>
        <v>500</v>
      </c>
      <c r="W2730">
        <f t="shared" si="549"/>
        <v>0</v>
      </c>
      <c r="X2730" t="s">
        <v>1742</v>
      </c>
    </row>
    <row r="2731" spans="1:24" x14ac:dyDescent="0.25">
      <c r="A2731" t="s">
        <v>1928</v>
      </c>
      <c r="B2731" t="s">
        <v>2007</v>
      </c>
      <c r="C2731" t="s">
        <v>2151</v>
      </c>
      <c r="D2731" t="s">
        <v>289</v>
      </c>
      <c r="E2731" t="s">
        <v>76</v>
      </c>
      <c r="F2731" t="s">
        <v>1</v>
      </c>
      <c r="G2731" t="s">
        <v>1016</v>
      </c>
      <c r="H2731" t="s">
        <v>493</v>
      </c>
      <c r="I2731" t="s">
        <v>1</v>
      </c>
      <c r="J2731">
        <v>129609.5</v>
      </c>
      <c r="K2731">
        <v>110154</v>
      </c>
      <c r="L2731">
        <v>94760.8</v>
      </c>
      <c r="M2731">
        <v>191092.22099447515</v>
      </c>
      <c r="N2731">
        <v>159599.4</v>
      </c>
      <c r="O2731">
        <v>189521.6</v>
      </c>
      <c r="P2731">
        <v>0</v>
      </c>
      <c r="Q2731">
        <f t="shared" si="545"/>
        <v>189521.6</v>
      </c>
      <c r="R2731">
        <v>189521.6</v>
      </c>
      <c r="S2731">
        <f t="shared" si="546"/>
        <v>0</v>
      </c>
      <c r="T2731">
        <v>0.03</v>
      </c>
      <c r="U2731">
        <f t="shared" si="547"/>
        <v>5685.6480000000001</v>
      </c>
      <c r="V2731">
        <f t="shared" si="548"/>
        <v>195207.24799999999</v>
      </c>
      <c r="W2731">
        <f t="shared" si="549"/>
        <v>5685.6479999999865</v>
      </c>
      <c r="X2731" t="s">
        <v>1743</v>
      </c>
    </row>
    <row r="2732" spans="1:24" x14ac:dyDescent="0.25">
      <c r="A2732" t="s">
        <v>1928</v>
      </c>
      <c r="B2732" t="s">
        <v>2007</v>
      </c>
      <c r="C2732" t="s">
        <v>2151</v>
      </c>
      <c r="D2732" t="s">
        <v>289</v>
      </c>
      <c r="E2732" t="s">
        <v>41</v>
      </c>
      <c r="F2732" t="s">
        <v>1</v>
      </c>
      <c r="G2732" t="s">
        <v>1016</v>
      </c>
      <c r="H2732" t="s">
        <v>441</v>
      </c>
      <c r="I2732" t="s">
        <v>1</v>
      </c>
      <c r="J2732">
        <v>2053.58</v>
      </c>
      <c r="K2732">
        <v>1870.02</v>
      </c>
      <c r="L2732">
        <v>3642.19</v>
      </c>
      <c r="M2732">
        <v>7344.7477900552485</v>
      </c>
      <c r="N2732">
        <v>4418.84</v>
      </c>
      <c r="O2732">
        <v>7284.38</v>
      </c>
      <c r="P2732">
        <v>0</v>
      </c>
      <c r="Q2732">
        <f t="shared" si="545"/>
        <v>7284.38</v>
      </c>
      <c r="R2732">
        <v>7284.38</v>
      </c>
      <c r="S2732">
        <f t="shared" si="546"/>
        <v>0</v>
      </c>
      <c r="T2732">
        <v>0.03</v>
      </c>
      <c r="U2732">
        <f t="shared" si="547"/>
        <v>218.53139999999999</v>
      </c>
      <c r="V2732">
        <f t="shared" si="548"/>
        <v>7502.9114</v>
      </c>
      <c r="W2732">
        <f t="shared" si="549"/>
        <v>218.53139999999985</v>
      </c>
      <c r="X2732">
        <v>0</v>
      </c>
    </row>
    <row r="2733" spans="1:24" x14ac:dyDescent="0.25">
      <c r="A2733" t="s">
        <v>1928</v>
      </c>
      <c r="B2733" t="s">
        <v>2007</v>
      </c>
      <c r="C2733" t="s">
        <v>2151</v>
      </c>
      <c r="D2733" t="s">
        <v>289</v>
      </c>
      <c r="E2733" t="s">
        <v>42</v>
      </c>
      <c r="F2733" t="s">
        <v>1</v>
      </c>
      <c r="G2733" t="s">
        <v>1016</v>
      </c>
      <c r="H2733" t="s">
        <v>442</v>
      </c>
      <c r="I2733" t="s">
        <v>1</v>
      </c>
      <c r="J2733">
        <v>66960</v>
      </c>
      <c r="K2733">
        <v>59760</v>
      </c>
      <c r="L2733">
        <v>29880</v>
      </c>
      <c r="M2733">
        <v>60255.248618784528</v>
      </c>
      <c r="N2733">
        <v>66780</v>
      </c>
      <c r="O2733">
        <v>59760</v>
      </c>
      <c r="P2733">
        <v>0</v>
      </c>
      <c r="Q2733">
        <f t="shared" si="545"/>
        <v>59760</v>
      </c>
      <c r="R2733">
        <v>59760</v>
      </c>
      <c r="S2733">
        <f t="shared" si="546"/>
        <v>0</v>
      </c>
      <c r="T2733">
        <v>0.03</v>
      </c>
      <c r="U2733">
        <f t="shared" si="547"/>
        <v>1792.8</v>
      </c>
      <c r="V2733">
        <f t="shared" si="548"/>
        <v>61552.800000000003</v>
      </c>
      <c r="W2733">
        <f t="shared" si="549"/>
        <v>1792.8000000000029</v>
      </c>
      <c r="X2733" t="s">
        <v>1744</v>
      </c>
    </row>
    <row r="2734" spans="1:24" x14ac:dyDescent="0.25">
      <c r="A2734" t="s">
        <v>1928</v>
      </c>
      <c r="B2734" t="s">
        <v>2007</v>
      </c>
      <c r="C2734" t="s">
        <v>2151</v>
      </c>
      <c r="D2734" t="s">
        <v>289</v>
      </c>
      <c r="E2734" t="s">
        <v>43</v>
      </c>
      <c r="F2734" t="s">
        <v>1</v>
      </c>
      <c r="G2734" t="s">
        <v>1016</v>
      </c>
      <c r="H2734" t="s">
        <v>443</v>
      </c>
      <c r="I2734" t="s">
        <v>1</v>
      </c>
      <c r="J2734">
        <v>195</v>
      </c>
      <c r="K2734"/>
      <c r="L2734">
        <v>0</v>
      </c>
      <c r="M2734">
        <v>0</v>
      </c>
      <c r="N2734">
        <v>0</v>
      </c>
      <c r="O2734"/>
      <c r="P2734">
        <v>0</v>
      </c>
      <c r="Q2734">
        <f t="shared" si="545"/>
        <v>0</v>
      </c>
      <c r="R2734">
        <v>0</v>
      </c>
      <c r="S2734">
        <f t="shared" si="546"/>
        <v>0</v>
      </c>
      <c r="T2734">
        <v>0.03</v>
      </c>
      <c r="U2734">
        <f t="shared" si="547"/>
        <v>0</v>
      </c>
      <c r="V2734">
        <f t="shared" si="548"/>
        <v>0</v>
      </c>
      <c r="W2734">
        <f t="shared" si="549"/>
        <v>0</v>
      </c>
      <c r="X2734">
        <v>0</v>
      </c>
    </row>
    <row r="2735" spans="1:24" x14ac:dyDescent="0.25">
      <c r="A2735" t="s">
        <v>1928</v>
      </c>
      <c r="B2735" t="s">
        <v>2007</v>
      </c>
      <c r="C2735" t="s">
        <v>2151</v>
      </c>
      <c r="D2735" t="s">
        <v>289</v>
      </c>
      <c r="E2735" t="s">
        <v>134</v>
      </c>
      <c r="F2735" t="s">
        <v>1</v>
      </c>
      <c r="G2735" t="s">
        <v>1016</v>
      </c>
      <c r="H2735" t="s">
        <v>623</v>
      </c>
      <c r="I2735" t="s">
        <v>1</v>
      </c>
      <c r="J2735"/>
      <c r="K2735"/>
      <c r="L2735">
        <v>3458</v>
      </c>
      <c r="M2735">
        <v>6973.3149171270716</v>
      </c>
      <c r="N2735">
        <v>3458</v>
      </c>
      <c r="O2735">
        <v>6916</v>
      </c>
      <c r="P2735">
        <v>-3458</v>
      </c>
      <c r="Q2735">
        <f t="shared" si="545"/>
        <v>3458</v>
      </c>
      <c r="R2735">
        <v>3458</v>
      </c>
      <c r="S2735">
        <f t="shared" si="546"/>
        <v>0</v>
      </c>
      <c r="T2735">
        <v>0.03</v>
      </c>
      <c r="U2735">
        <f t="shared" si="547"/>
        <v>103.74</v>
      </c>
      <c r="V2735">
        <f t="shared" si="548"/>
        <v>3561.74</v>
      </c>
      <c r="W2735">
        <f t="shared" si="549"/>
        <v>103.73999999999978</v>
      </c>
      <c r="X2735" t="s">
        <v>1745</v>
      </c>
    </row>
    <row r="2736" spans="1:24" x14ac:dyDescent="0.25">
      <c r="A2736" t="s">
        <v>1928</v>
      </c>
      <c r="B2736" t="s">
        <v>2007</v>
      </c>
      <c r="C2736" t="s">
        <v>2151</v>
      </c>
      <c r="D2736" t="s">
        <v>289</v>
      </c>
      <c r="E2736" t="s">
        <v>45</v>
      </c>
      <c r="F2736" t="s">
        <v>1</v>
      </c>
      <c r="G2736" t="s">
        <v>1016</v>
      </c>
      <c r="H2736" t="s">
        <v>445</v>
      </c>
      <c r="I2736" t="s">
        <v>1</v>
      </c>
      <c r="J2736">
        <v>313900</v>
      </c>
      <c r="K2736">
        <v>343200</v>
      </c>
      <c r="L2736">
        <v>173800</v>
      </c>
      <c r="M2736">
        <v>350480.66298342543</v>
      </c>
      <c r="N2736">
        <v>335900</v>
      </c>
      <c r="O2736">
        <v>347600</v>
      </c>
      <c r="P2736">
        <v>0</v>
      </c>
      <c r="Q2736">
        <f t="shared" si="545"/>
        <v>347600</v>
      </c>
      <c r="R2736">
        <v>347600</v>
      </c>
      <c r="S2736">
        <f t="shared" si="546"/>
        <v>0</v>
      </c>
      <c r="T2736">
        <v>0.03</v>
      </c>
      <c r="U2736">
        <f t="shared" si="547"/>
        <v>10428</v>
      </c>
      <c r="V2736">
        <f t="shared" si="548"/>
        <v>358028</v>
      </c>
      <c r="W2736">
        <f t="shared" si="549"/>
        <v>10428</v>
      </c>
      <c r="X2736">
        <v>0</v>
      </c>
    </row>
    <row r="2737" spans="1:24" x14ac:dyDescent="0.25">
      <c r="A2737" t="s">
        <v>1928</v>
      </c>
      <c r="B2737" t="s">
        <v>2007</v>
      </c>
      <c r="C2737" t="s">
        <v>2151</v>
      </c>
      <c r="D2737" t="s">
        <v>289</v>
      </c>
      <c r="E2737" t="s">
        <v>50</v>
      </c>
      <c r="F2737" t="s">
        <v>1</v>
      </c>
      <c r="G2737" t="s">
        <v>1016</v>
      </c>
      <c r="H2737" t="s">
        <v>450</v>
      </c>
      <c r="I2737" t="s">
        <v>1</v>
      </c>
      <c r="J2737">
        <v>360.41</v>
      </c>
      <c r="K2737">
        <v>339.99999999969998</v>
      </c>
      <c r="L2737">
        <v>196.59</v>
      </c>
      <c r="M2737">
        <v>396.43839779005532</v>
      </c>
      <c r="N2737">
        <v>393.16999999999996</v>
      </c>
      <c r="O2737">
        <v>396.4383977901</v>
      </c>
      <c r="P2737">
        <v>0</v>
      </c>
      <c r="Q2737">
        <f t="shared" si="545"/>
        <v>396.4383977901</v>
      </c>
      <c r="R2737">
        <v>396.4383977901</v>
      </c>
      <c r="S2737">
        <f t="shared" si="546"/>
        <v>0</v>
      </c>
      <c r="T2737"/>
      <c r="U2737">
        <f t="shared" si="547"/>
        <v>0</v>
      </c>
      <c r="V2737">
        <f t="shared" si="548"/>
        <v>396.4383977901</v>
      </c>
      <c r="W2737">
        <f t="shared" si="549"/>
        <v>0</v>
      </c>
      <c r="X2737">
        <v>0</v>
      </c>
    </row>
    <row r="2738" spans="1:24" x14ac:dyDescent="0.25">
      <c r="A2738" t="s">
        <v>1928</v>
      </c>
      <c r="B2738" t="s">
        <v>2007</v>
      </c>
      <c r="C2738" t="s">
        <v>2151</v>
      </c>
      <c r="D2738" t="s">
        <v>289</v>
      </c>
      <c r="E2738" t="s">
        <v>51</v>
      </c>
      <c r="F2738" t="s">
        <v>51</v>
      </c>
      <c r="G2738" t="s">
        <v>1017</v>
      </c>
      <c r="H2738"/>
      <c r="I2738"/>
      <c r="J2738">
        <v>882423.19000000006</v>
      </c>
      <c r="K2738">
        <v>892550.15326107072</v>
      </c>
      <c r="L2738">
        <v>498357.9</v>
      </c>
      <c r="M2738">
        <v>1004975.8756906076</v>
      </c>
      <c r="N2738">
        <v>962583.84</v>
      </c>
      <c r="O2738">
        <v>998825.14071823214</v>
      </c>
      <c r="P2738">
        <f>SUMIF($F$2710:$F$2737,"&lt;&gt;EV_*",$P$2710:$P$2737)</f>
        <v>-4214</v>
      </c>
      <c r="Q2738">
        <f>SUMIF($F$2710:$F$2737,"&lt;&gt;EV_*",$Q$2710:$Q$2737)</f>
        <v>994611.14071823214</v>
      </c>
      <c r="R2738">
        <f>SUMIF($F$2710:$F$2737,"&lt;&gt;EV_*",$R$2710:$R$2737)</f>
        <v>994732.49969643622</v>
      </c>
      <c r="S2738">
        <f>SUMIF($F$2710:$F$2737,"&lt;&gt;EV_*",$S$2710:$S$2737)</f>
        <v>121.35897820410011</v>
      </c>
      <c r="T2738">
        <v>0</v>
      </c>
      <c r="U2738">
        <f>SUMIF($F$2710:$F$2737,"&lt;&gt;EV_*",$U$2710:$U$2737)</f>
        <v>31001.368363845555</v>
      </c>
      <c r="V2738">
        <f>SUMIF($F$2710:$F$2737,"&lt;&gt;EV_*",$V$2710:$V$2737)</f>
        <v>1025733.8680602818</v>
      </c>
      <c r="W2738">
        <f>SUMIF($F$2710:$F$2737,"&lt;&gt;EV_*",$W$2710:$W$2737)</f>
        <v>31122.72734204962</v>
      </c>
      <c r="X2738">
        <f>SUMIF($F$2710:$F$2737,"&lt;&gt;EV_*",$X$2710:$X$2737)</f>
        <v>0</v>
      </c>
    </row>
    <row r="2739" spans="1:24" x14ac:dyDescent="0.25">
      <c r="A2739" t="s">
        <v>1928</v>
      </c>
      <c r="B2739" t="s">
        <v>2007</v>
      </c>
      <c r="C2739" t="s">
        <v>2152</v>
      </c>
      <c r="D2739" t="s">
        <v>290</v>
      </c>
      <c r="E2739" t="s">
        <v>5</v>
      </c>
      <c r="F2739" t="s">
        <v>5</v>
      </c>
      <c r="G2739" t="s">
        <v>1018</v>
      </c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</row>
    <row r="2740" spans="1:24" x14ac:dyDescent="0.25">
      <c r="A2740" t="s">
        <v>1928</v>
      </c>
      <c r="B2740" t="s">
        <v>2007</v>
      </c>
      <c r="C2740" t="s">
        <v>2152</v>
      </c>
      <c r="D2740" t="s">
        <v>290</v>
      </c>
      <c r="E2740" t="s">
        <v>259</v>
      </c>
      <c r="F2740" t="s">
        <v>1</v>
      </c>
      <c r="G2740" t="s">
        <v>1019</v>
      </c>
      <c r="H2740" t="s">
        <v>958</v>
      </c>
      <c r="I2740" t="s">
        <v>1</v>
      </c>
      <c r="J2740">
        <v>-1068.78</v>
      </c>
      <c r="K2740"/>
      <c r="L2740">
        <v>0</v>
      </c>
      <c r="M2740">
        <v>0</v>
      </c>
      <c r="N2740">
        <v>-1068.78</v>
      </c>
      <c r="O2740"/>
      <c r="P2740">
        <v>0</v>
      </c>
      <c r="Q2740">
        <f t="shared" ref="Q2740:Q2771" si="550">O2740+P2740</f>
        <v>0</v>
      </c>
      <c r="R2740">
        <v>0</v>
      </c>
      <c r="S2740">
        <f t="shared" ref="S2740:S2771" si="551">IF(OR(LEFT(E2740,2)="A_",LEFT(D2740,5)="Total"),R2740-Q2740,"")</f>
        <v>0</v>
      </c>
      <c r="T2740"/>
      <c r="U2740">
        <f t="shared" ref="U2740:U2771" si="552">IFERROR(R2740*T2740,R2740*0)</f>
        <v>0</v>
      </c>
      <c r="V2740">
        <f t="shared" ref="V2740:V2771" si="553">IF(OR(LEFT(E2740,2)="A_",LEFT(D2740,5)="Total"),R2740+U2740,"")</f>
        <v>0</v>
      </c>
      <c r="W2740">
        <f t="shared" ref="W2740:W2771" si="554">IF(OR(LEFT(E2740,2)="A_",LEFT(D2740,5)="Total"),V2740-Q2740,"")</f>
        <v>0</v>
      </c>
      <c r="X2740">
        <v>0</v>
      </c>
    </row>
    <row r="2741" spans="1:24" x14ac:dyDescent="0.25">
      <c r="A2741" t="s">
        <v>1928</v>
      </c>
      <c r="B2741" t="s">
        <v>2007</v>
      </c>
      <c r="C2741" t="s">
        <v>2152</v>
      </c>
      <c r="D2741" t="s">
        <v>290</v>
      </c>
      <c r="E2741" t="s">
        <v>124</v>
      </c>
      <c r="F2741" t="s">
        <v>1</v>
      </c>
      <c r="G2741" t="s">
        <v>1019</v>
      </c>
      <c r="H2741" t="s">
        <v>597</v>
      </c>
      <c r="I2741" t="s">
        <v>1</v>
      </c>
      <c r="J2741">
        <v>209337.88</v>
      </c>
      <c r="K2741">
        <v>420000</v>
      </c>
      <c r="L2741">
        <v>0</v>
      </c>
      <c r="M2741">
        <v>0</v>
      </c>
      <c r="N2741">
        <v>2310</v>
      </c>
      <c r="O2741"/>
      <c r="P2741">
        <v>0</v>
      </c>
      <c r="Q2741">
        <f t="shared" si="550"/>
        <v>0</v>
      </c>
      <c r="R2741">
        <v>0</v>
      </c>
      <c r="S2741">
        <f t="shared" si="551"/>
        <v>0</v>
      </c>
      <c r="T2741"/>
      <c r="U2741">
        <f t="shared" si="552"/>
        <v>0</v>
      </c>
      <c r="V2741">
        <f t="shared" si="553"/>
        <v>0</v>
      </c>
      <c r="W2741">
        <f t="shared" si="554"/>
        <v>0</v>
      </c>
      <c r="X2741">
        <v>0</v>
      </c>
    </row>
    <row r="2742" spans="1:24" x14ac:dyDescent="0.25">
      <c r="A2742" t="s">
        <v>1928</v>
      </c>
      <c r="B2742" t="s">
        <v>2007</v>
      </c>
      <c r="C2742" t="s">
        <v>2152</v>
      </c>
      <c r="D2742" t="s">
        <v>290</v>
      </c>
      <c r="E2742" t="s">
        <v>8</v>
      </c>
      <c r="F2742" t="s">
        <v>1</v>
      </c>
      <c r="G2742" t="s">
        <v>1019</v>
      </c>
      <c r="H2742" t="s">
        <v>408</v>
      </c>
      <c r="I2742" t="s">
        <v>1</v>
      </c>
      <c r="J2742">
        <v>70272.740000000005</v>
      </c>
      <c r="K2742">
        <v>82765.625414364695</v>
      </c>
      <c r="L2742">
        <v>35274.76</v>
      </c>
      <c r="M2742">
        <v>71134.184530386745</v>
      </c>
      <c r="N2742">
        <v>64504.820000000007</v>
      </c>
      <c r="O2742">
        <v>71134.184530386803</v>
      </c>
      <c r="P2742">
        <v>-71134</v>
      </c>
      <c r="Q2742">
        <f t="shared" si="550"/>
        <v>0.18453038680308964</v>
      </c>
      <c r="R2742">
        <v>0</v>
      </c>
      <c r="S2742">
        <f t="shared" si="551"/>
        <v>-0.18453038680308964</v>
      </c>
      <c r="T2742"/>
      <c r="U2742">
        <f t="shared" si="552"/>
        <v>0</v>
      </c>
      <c r="V2742">
        <f t="shared" si="553"/>
        <v>0</v>
      </c>
      <c r="W2742">
        <f t="shared" si="554"/>
        <v>-0.18453038680308964</v>
      </c>
      <c r="X2742">
        <v>0</v>
      </c>
    </row>
    <row r="2743" spans="1:24" x14ac:dyDescent="0.25">
      <c r="A2743" t="s">
        <v>1928</v>
      </c>
      <c r="B2743" t="s">
        <v>2007</v>
      </c>
      <c r="C2743" t="s">
        <v>2152</v>
      </c>
      <c r="D2743" t="s">
        <v>290</v>
      </c>
      <c r="E2743" t="s">
        <v>13</v>
      </c>
      <c r="F2743" t="s">
        <v>1</v>
      </c>
      <c r="G2743" t="s">
        <v>1019</v>
      </c>
      <c r="H2743" t="s">
        <v>413</v>
      </c>
      <c r="I2743" t="s">
        <v>1</v>
      </c>
      <c r="J2743">
        <v>163.93</v>
      </c>
      <c r="K2743"/>
      <c r="L2743">
        <v>-36.43</v>
      </c>
      <c r="M2743">
        <v>-73.463812154696129</v>
      </c>
      <c r="N2743">
        <v>127.5</v>
      </c>
      <c r="O2743">
        <v>-72.86</v>
      </c>
      <c r="P2743">
        <v>0</v>
      </c>
      <c r="Q2743">
        <f t="shared" si="550"/>
        <v>-72.86</v>
      </c>
      <c r="R2743">
        <v>0</v>
      </c>
      <c r="S2743">
        <f t="shared" si="551"/>
        <v>72.86</v>
      </c>
      <c r="T2743"/>
      <c r="U2743">
        <f t="shared" si="552"/>
        <v>0</v>
      </c>
      <c r="V2743">
        <f t="shared" si="553"/>
        <v>0</v>
      </c>
      <c r="W2743">
        <f t="shared" si="554"/>
        <v>72.86</v>
      </c>
      <c r="X2743">
        <v>0</v>
      </c>
    </row>
    <row r="2744" spans="1:24" x14ac:dyDescent="0.25">
      <c r="A2744" t="s">
        <v>1928</v>
      </c>
      <c r="B2744" t="s">
        <v>2007</v>
      </c>
      <c r="C2744" t="s">
        <v>2152</v>
      </c>
      <c r="D2744" t="s">
        <v>290</v>
      </c>
      <c r="E2744" t="s">
        <v>65</v>
      </c>
      <c r="F2744" t="s">
        <v>1</v>
      </c>
      <c r="G2744" t="s">
        <v>1019</v>
      </c>
      <c r="H2744" t="s">
        <v>476</v>
      </c>
      <c r="I2744" t="s">
        <v>1</v>
      </c>
      <c r="J2744">
        <v>-215.91</v>
      </c>
      <c r="K2744"/>
      <c r="L2744">
        <v>-280.74</v>
      </c>
      <c r="M2744">
        <v>-566.1331491712707</v>
      </c>
      <c r="N2744">
        <v>-321.64999999999998</v>
      </c>
      <c r="O2744">
        <v>-564.56505494509997</v>
      </c>
      <c r="P2744">
        <v>0</v>
      </c>
      <c r="Q2744">
        <f t="shared" si="550"/>
        <v>-564.56505494509997</v>
      </c>
      <c r="R2744">
        <v>0</v>
      </c>
      <c r="S2744">
        <f t="shared" si="551"/>
        <v>564.56505494509997</v>
      </c>
      <c r="T2744"/>
      <c r="U2744">
        <f t="shared" si="552"/>
        <v>0</v>
      </c>
      <c r="V2744">
        <f t="shared" si="553"/>
        <v>0</v>
      </c>
      <c r="W2744">
        <f t="shared" si="554"/>
        <v>564.56505494509997</v>
      </c>
      <c r="X2744">
        <v>0</v>
      </c>
    </row>
    <row r="2745" spans="1:24" x14ac:dyDescent="0.25">
      <c r="A2745" t="s">
        <v>1928</v>
      </c>
      <c r="B2745" t="s">
        <v>2007</v>
      </c>
      <c r="C2745" t="s">
        <v>2152</v>
      </c>
      <c r="D2745" t="s">
        <v>290</v>
      </c>
      <c r="E2745" t="s">
        <v>17</v>
      </c>
      <c r="F2745" t="s">
        <v>1</v>
      </c>
      <c r="G2745" t="s">
        <v>1019</v>
      </c>
      <c r="H2745" t="s">
        <v>417</v>
      </c>
      <c r="I2745" t="s">
        <v>1</v>
      </c>
      <c r="J2745">
        <v>-3037288.08</v>
      </c>
      <c r="K2745">
        <v>-1488431</v>
      </c>
      <c r="L2745">
        <v>-951792.31</v>
      </c>
      <c r="M2745">
        <v>-1919360.1831491715</v>
      </c>
      <c r="N2745">
        <v>-2724469.2799999993</v>
      </c>
      <c r="O2745">
        <v>-1914043.87615385</v>
      </c>
      <c r="P2745">
        <v>0</v>
      </c>
      <c r="Q2745">
        <f t="shared" si="550"/>
        <v>-1914043.87615385</v>
      </c>
      <c r="R2745">
        <v>-1914043.87615385</v>
      </c>
      <c r="S2745">
        <f t="shared" si="551"/>
        <v>0</v>
      </c>
      <c r="T2745"/>
      <c r="U2745">
        <f t="shared" si="552"/>
        <v>0</v>
      </c>
      <c r="V2745">
        <f t="shared" si="553"/>
        <v>-1914043.87615385</v>
      </c>
      <c r="W2745">
        <f t="shared" si="554"/>
        <v>0</v>
      </c>
      <c r="X2745">
        <v>0</v>
      </c>
    </row>
    <row r="2746" spans="1:24" x14ac:dyDescent="0.25">
      <c r="A2746" t="s">
        <v>1928</v>
      </c>
      <c r="B2746" t="s">
        <v>2007</v>
      </c>
      <c r="C2746" t="s">
        <v>2152</v>
      </c>
      <c r="D2746" t="s">
        <v>290</v>
      </c>
      <c r="E2746" t="s">
        <v>82</v>
      </c>
      <c r="F2746" t="s">
        <v>1</v>
      </c>
      <c r="G2746" t="s">
        <v>1019</v>
      </c>
      <c r="H2746" t="s">
        <v>507</v>
      </c>
      <c r="I2746" t="s">
        <v>1</v>
      </c>
      <c r="J2746">
        <v>559.51</v>
      </c>
      <c r="K2746"/>
      <c r="L2746">
        <v>4521.45</v>
      </c>
      <c r="M2746">
        <v>9117.8411602209944</v>
      </c>
      <c r="N2746">
        <v>4717.45</v>
      </c>
      <c r="O2746">
        <v>9092.5862637363007</v>
      </c>
      <c r="P2746">
        <v>0</v>
      </c>
      <c r="Q2746">
        <f t="shared" si="550"/>
        <v>9092.5862637363007</v>
      </c>
      <c r="R2746">
        <v>9092.5862637363007</v>
      </c>
      <c r="S2746">
        <f t="shared" si="551"/>
        <v>0</v>
      </c>
      <c r="T2746">
        <v>2.75E-2</v>
      </c>
      <c r="U2746">
        <f t="shared" si="552"/>
        <v>250.04612225274826</v>
      </c>
      <c r="V2746">
        <f t="shared" si="553"/>
        <v>9342.632385989049</v>
      </c>
      <c r="W2746">
        <f t="shared" si="554"/>
        <v>250.04612225274832</v>
      </c>
      <c r="X2746">
        <v>0</v>
      </c>
    </row>
    <row r="2747" spans="1:24" x14ac:dyDescent="0.25">
      <c r="A2747" t="s">
        <v>1928</v>
      </c>
      <c r="B2747" t="s">
        <v>2007</v>
      </c>
      <c r="C2747" t="s">
        <v>2152</v>
      </c>
      <c r="D2747" t="s">
        <v>290</v>
      </c>
      <c r="E2747" t="s">
        <v>72</v>
      </c>
      <c r="F2747" t="s">
        <v>1</v>
      </c>
      <c r="G2747" t="s">
        <v>1019</v>
      </c>
      <c r="H2747" t="s">
        <v>489</v>
      </c>
      <c r="I2747" t="s">
        <v>1</v>
      </c>
      <c r="J2747">
        <v>70366.28</v>
      </c>
      <c r="K2747">
        <v>64755.575633298198</v>
      </c>
      <c r="L2747">
        <v>36474.36</v>
      </c>
      <c r="M2747">
        <v>73553.267403314923</v>
      </c>
      <c r="N2747">
        <v>77514.210000000006</v>
      </c>
      <c r="O2747">
        <v>73349.537142857094</v>
      </c>
      <c r="P2747">
        <v>0</v>
      </c>
      <c r="Q2747">
        <f t="shared" si="550"/>
        <v>73349.537142857094</v>
      </c>
      <c r="R2747">
        <v>73349.537142857094</v>
      </c>
      <c r="S2747">
        <f t="shared" si="551"/>
        <v>0</v>
      </c>
      <c r="T2747">
        <v>2.2499999999999999E-2</v>
      </c>
      <c r="U2747">
        <f t="shared" si="552"/>
        <v>1650.3645857142847</v>
      </c>
      <c r="V2747">
        <f t="shared" si="553"/>
        <v>74999.901728571378</v>
      </c>
      <c r="W2747">
        <f t="shared" si="554"/>
        <v>1650.3645857142837</v>
      </c>
      <c r="X2747">
        <v>0</v>
      </c>
    </row>
    <row r="2748" spans="1:24" x14ac:dyDescent="0.25">
      <c r="A2748" t="s">
        <v>1928</v>
      </c>
      <c r="B2748" t="s">
        <v>2007</v>
      </c>
      <c r="C2748" t="s">
        <v>2152</v>
      </c>
      <c r="D2748" t="s">
        <v>290</v>
      </c>
      <c r="E2748" t="s">
        <v>83</v>
      </c>
      <c r="F2748" t="s">
        <v>1</v>
      </c>
      <c r="G2748" t="s">
        <v>1019</v>
      </c>
      <c r="H2748" t="s">
        <v>508</v>
      </c>
      <c r="I2748" t="s">
        <v>1</v>
      </c>
      <c r="J2748">
        <v>10705</v>
      </c>
      <c r="K2748">
        <v>16804.723899724901</v>
      </c>
      <c r="L2748">
        <v>0</v>
      </c>
      <c r="M2748">
        <v>0</v>
      </c>
      <c r="N2748">
        <v>925</v>
      </c>
      <c r="O2748"/>
      <c r="P2748">
        <v>0</v>
      </c>
      <c r="Q2748">
        <f t="shared" si="550"/>
        <v>0</v>
      </c>
      <c r="R2748">
        <v>0</v>
      </c>
      <c r="S2748">
        <f t="shared" si="551"/>
        <v>0</v>
      </c>
      <c r="T2748">
        <v>1.4999999999999999E-2</v>
      </c>
      <c r="U2748">
        <f t="shared" si="552"/>
        <v>0</v>
      </c>
      <c r="V2748">
        <f t="shared" si="553"/>
        <v>0</v>
      </c>
      <c r="W2748">
        <f t="shared" si="554"/>
        <v>0</v>
      </c>
      <c r="X2748">
        <v>0</v>
      </c>
    </row>
    <row r="2749" spans="1:24" x14ac:dyDescent="0.25">
      <c r="A2749" t="s">
        <v>1928</v>
      </c>
      <c r="B2749" t="s">
        <v>2007</v>
      </c>
      <c r="C2749" t="s">
        <v>2152</v>
      </c>
      <c r="D2749" t="s">
        <v>290</v>
      </c>
      <c r="E2749" t="s">
        <v>84</v>
      </c>
      <c r="F2749" t="s">
        <v>1</v>
      </c>
      <c r="G2749" t="s">
        <v>1019</v>
      </c>
      <c r="H2749" t="s">
        <v>509</v>
      </c>
      <c r="I2749" t="s">
        <v>1</v>
      </c>
      <c r="J2749">
        <v>65</v>
      </c>
      <c r="K2749">
        <v>-17.0099999999</v>
      </c>
      <c r="L2749">
        <v>0</v>
      </c>
      <c r="M2749">
        <v>0</v>
      </c>
      <c r="N2749">
        <v>65</v>
      </c>
      <c r="O2749"/>
      <c r="P2749">
        <v>0</v>
      </c>
      <c r="Q2749">
        <f t="shared" si="550"/>
        <v>0</v>
      </c>
      <c r="R2749">
        <v>0</v>
      </c>
      <c r="S2749">
        <f t="shared" si="551"/>
        <v>0</v>
      </c>
      <c r="T2749">
        <v>2.5000000000000001E-2</v>
      </c>
      <c r="U2749">
        <f t="shared" si="552"/>
        <v>0</v>
      </c>
      <c r="V2749">
        <f t="shared" si="553"/>
        <v>0</v>
      </c>
      <c r="W2749">
        <f t="shared" si="554"/>
        <v>0</v>
      </c>
      <c r="X2749">
        <v>0</v>
      </c>
    </row>
    <row r="2750" spans="1:24" x14ac:dyDescent="0.25">
      <c r="A2750" t="s">
        <v>1928</v>
      </c>
      <c r="B2750" t="s">
        <v>2007</v>
      </c>
      <c r="C2750" t="s">
        <v>2152</v>
      </c>
      <c r="D2750" t="s">
        <v>290</v>
      </c>
      <c r="E2750" t="s">
        <v>168</v>
      </c>
      <c r="F2750" t="s">
        <v>1</v>
      </c>
      <c r="G2750" t="s">
        <v>1019</v>
      </c>
      <c r="H2750" t="s">
        <v>715</v>
      </c>
      <c r="I2750" t="s">
        <v>1</v>
      </c>
      <c r="J2750">
        <v>-3424.3</v>
      </c>
      <c r="K2750">
        <v>-35.0162852785</v>
      </c>
      <c r="L2750">
        <v>6500</v>
      </c>
      <c r="M2750">
        <v>13107.734806629835</v>
      </c>
      <c r="N2750">
        <v>3075.7</v>
      </c>
      <c r="O2750">
        <v>13071.4285714286</v>
      </c>
      <c r="P2750">
        <v>0</v>
      </c>
      <c r="Q2750">
        <f t="shared" si="550"/>
        <v>13071.4285714286</v>
      </c>
      <c r="R2750">
        <v>13071.4285714286</v>
      </c>
      <c r="S2750">
        <f t="shared" si="551"/>
        <v>0</v>
      </c>
      <c r="T2750">
        <v>0.03</v>
      </c>
      <c r="U2750">
        <f t="shared" si="552"/>
        <v>392.14285714285796</v>
      </c>
      <c r="V2750">
        <f t="shared" si="553"/>
        <v>13463.571428571458</v>
      </c>
      <c r="W2750">
        <f t="shared" si="554"/>
        <v>392.1428571428587</v>
      </c>
      <c r="X2750">
        <v>0</v>
      </c>
    </row>
    <row r="2751" spans="1:24" x14ac:dyDescent="0.25">
      <c r="A2751" t="s">
        <v>1928</v>
      </c>
      <c r="B2751" t="s">
        <v>2007</v>
      </c>
      <c r="C2751" t="s">
        <v>2152</v>
      </c>
      <c r="D2751" t="s">
        <v>290</v>
      </c>
      <c r="E2751" t="s">
        <v>118</v>
      </c>
      <c r="F2751" t="s">
        <v>1</v>
      </c>
      <c r="G2751" t="s">
        <v>1019</v>
      </c>
      <c r="H2751" t="s">
        <v>587</v>
      </c>
      <c r="I2751" t="s">
        <v>1</v>
      </c>
      <c r="J2751">
        <v>20684.400000000001</v>
      </c>
      <c r="K2751">
        <v>22564.9322611141</v>
      </c>
      <c r="L2751">
        <v>12233.16</v>
      </c>
      <c r="M2751">
        <v>24669.079558011046</v>
      </c>
      <c r="N2751">
        <v>22829.609999999997</v>
      </c>
      <c r="O2751">
        <v>24600.7503296703</v>
      </c>
      <c r="P2751">
        <v>0</v>
      </c>
      <c r="Q2751">
        <f t="shared" si="550"/>
        <v>24600.7503296703</v>
      </c>
      <c r="R2751">
        <v>24600.7503296703</v>
      </c>
      <c r="S2751">
        <f t="shared" si="551"/>
        <v>0</v>
      </c>
      <c r="T2751">
        <v>3.2500000000000001E-2</v>
      </c>
      <c r="U2751">
        <f t="shared" si="552"/>
        <v>799.52438571428479</v>
      </c>
      <c r="V2751">
        <f t="shared" si="553"/>
        <v>25400.274715384585</v>
      </c>
      <c r="W2751">
        <f t="shared" si="554"/>
        <v>799.52438571428502</v>
      </c>
      <c r="X2751">
        <v>0</v>
      </c>
    </row>
    <row r="2752" spans="1:24" x14ac:dyDescent="0.25">
      <c r="A2752" t="s">
        <v>1928</v>
      </c>
      <c r="B2752" t="s">
        <v>2007</v>
      </c>
      <c r="C2752" t="s">
        <v>2152</v>
      </c>
      <c r="D2752" t="s">
        <v>290</v>
      </c>
      <c r="E2752" t="s">
        <v>18</v>
      </c>
      <c r="F2752" t="s">
        <v>1</v>
      </c>
      <c r="G2752" t="s">
        <v>1019</v>
      </c>
      <c r="H2752" t="s">
        <v>418</v>
      </c>
      <c r="I2752" t="s">
        <v>1</v>
      </c>
      <c r="J2752">
        <v>981414.6</v>
      </c>
      <c r="K2752">
        <v>933294.82627418695</v>
      </c>
      <c r="L2752">
        <v>288019.84000000003</v>
      </c>
      <c r="M2752">
        <v>580813.48950276244</v>
      </c>
      <c r="N2752">
        <v>815538.62</v>
      </c>
      <c r="O2752">
        <v>579204.73318681295</v>
      </c>
      <c r="P2752">
        <v>0</v>
      </c>
      <c r="Q2752">
        <f t="shared" si="550"/>
        <v>579204.73318681295</v>
      </c>
      <c r="R2752">
        <v>579204.73318681295</v>
      </c>
      <c r="S2752">
        <f t="shared" si="551"/>
        <v>0</v>
      </c>
      <c r="T2752">
        <v>0.02</v>
      </c>
      <c r="U2752">
        <f t="shared" si="552"/>
        <v>11584.094663736259</v>
      </c>
      <c r="V2752">
        <f t="shared" si="553"/>
        <v>590788.82785054925</v>
      </c>
      <c r="W2752">
        <f t="shared" si="554"/>
        <v>11584.094663736294</v>
      </c>
      <c r="X2752">
        <v>0</v>
      </c>
    </row>
    <row r="2753" spans="1:24" x14ac:dyDescent="0.25">
      <c r="A2753" t="s">
        <v>1928</v>
      </c>
      <c r="B2753" t="s">
        <v>2007</v>
      </c>
      <c r="C2753" t="s">
        <v>2152</v>
      </c>
      <c r="D2753" t="s">
        <v>290</v>
      </c>
      <c r="E2753" t="s">
        <v>73</v>
      </c>
      <c r="F2753" t="s">
        <v>1</v>
      </c>
      <c r="G2753" t="s">
        <v>1019</v>
      </c>
      <c r="H2753" t="s">
        <v>490</v>
      </c>
      <c r="I2753" t="s">
        <v>1</v>
      </c>
      <c r="J2753">
        <v>27727.91</v>
      </c>
      <c r="K2753">
        <v>41561.154990279101</v>
      </c>
      <c r="L2753">
        <v>-16423.61</v>
      </c>
      <c r="M2753">
        <v>-33119.434530386745</v>
      </c>
      <c r="N2753">
        <v>-9125.0399999999991</v>
      </c>
      <c r="O2753">
        <v>-33027.699230769198</v>
      </c>
      <c r="P2753">
        <v>33028</v>
      </c>
      <c r="Q2753">
        <f t="shared" si="550"/>
        <v>0.30076923080196138</v>
      </c>
      <c r="R2753">
        <v>0</v>
      </c>
      <c r="S2753">
        <f t="shared" si="551"/>
        <v>-0.30076923080196138</v>
      </c>
      <c r="T2753">
        <v>3.5000000000000003E-2</v>
      </c>
      <c r="U2753">
        <f t="shared" si="552"/>
        <v>0</v>
      </c>
      <c r="V2753">
        <f t="shared" si="553"/>
        <v>0</v>
      </c>
      <c r="W2753">
        <f t="shared" si="554"/>
        <v>-0.30076923080196138</v>
      </c>
      <c r="X2753">
        <v>0</v>
      </c>
    </row>
    <row r="2754" spans="1:24" x14ac:dyDescent="0.25">
      <c r="A2754" t="s">
        <v>1928</v>
      </c>
      <c r="B2754" t="s">
        <v>2007</v>
      </c>
      <c r="C2754" t="s">
        <v>2152</v>
      </c>
      <c r="D2754" t="s">
        <v>290</v>
      </c>
      <c r="E2754" t="s">
        <v>19</v>
      </c>
      <c r="F2754" t="s">
        <v>1</v>
      </c>
      <c r="G2754" t="s">
        <v>1019</v>
      </c>
      <c r="H2754" t="s">
        <v>419</v>
      </c>
      <c r="I2754" t="s">
        <v>1</v>
      </c>
      <c r="J2754"/>
      <c r="K2754"/>
      <c r="L2754">
        <v>1657</v>
      </c>
      <c r="M2754">
        <v>3341.46408839779</v>
      </c>
      <c r="N2754">
        <v>1657</v>
      </c>
      <c r="O2754">
        <v>3332.2087912088</v>
      </c>
      <c r="P2754">
        <v>0</v>
      </c>
      <c r="Q2754">
        <f t="shared" si="550"/>
        <v>3332.2087912088</v>
      </c>
      <c r="R2754">
        <v>3332.2087912088</v>
      </c>
      <c r="S2754">
        <f t="shared" si="551"/>
        <v>0</v>
      </c>
      <c r="T2754">
        <v>0.02</v>
      </c>
      <c r="U2754">
        <f t="shared" si="552"/>
        <v>66.644175824176003</v>
      </c>
      <c r="V2754">
        <f t="shared" si="553"/>
        <v>3398.8529670329758</v>
      </c>
      <c r="W2754">
        <f t="shared" si="554"/>
        <v>66.644175824175818</v>
      </c>
      <c r="X2754">
        <v>0</v>
      </c>
    </row>
    <row r="2755" spans="1:24" x14ac:dyDescent="0.25">
      <c r="A2755" t="s">
        <v>1928</v>
      </c>
      <c r="B2755" t="s">
        <v>2007</v>
      </c>
      <c r="C2755" t="s">
        <v>2152</v>
      </c>
      <c r="D2755" t="s">
        <v>290</v>
      </c>
      <c r="E2755" t="s">
        <v>74</v>
      </c>
      <c r="F2755" t="s">
        <v>1</v>
      </c>
      <c r="G2755" t="s">
        <v>1019</v>
      </c>
      <c r="H2755" t="s">
        <v>491</v>
      </c>
      <c r="I2755" t="s">
        <v>1</v>
      </c>
      <c r="J2755">
        <v>10398.33</v>
      </c>
      <c r="K2755">
        <v>10340.919102007399</v>
      </c>
      <c r="L2755">
        <v>4926.9799999999996</v>
      </c>
      <c r="M2755">
        <v>9935.6226519336997</v>
      </c>
      <c r="N2755">
        <v>10736.65</v>
      </c>
      <c r="O2755">
        <v>9908.1026373625991</v>
      </c>
      <c r="P2755">
        <v>0</v>
      </c>
      <c r="Q2755">
        <f t="shared" si="550"/>
        <v>9908.1026373625991</v>
      </c>
      <c r="R2755">
        <v>9908.1026373625991</v>
      </c>
      <c r="S2755">
        <f t="shared" si="551"/>
        <v>0</v>
      </c>
      <c r="T2755">
        <v>3.5000000000000003E-2</v>
      </c>
      <c r="U2755">
        <f t="shared" si="552"/>
        <v>346.78359230769098</v>
      </c>
      <c r="V2755">
        <f t="shared" si="553"/>
        <v>10254.88622967029</v>
      </c>
      <c r="W2755">
        <f t="shared" si="554"/>
        <v>346.78359230769092</v>
      </c>
      <c r="X2755">
        <v>0</v>
      </c>
    </row>
    <row r="2756" spans="1:24" x14ac:dyDescent="0.25">
      <c r="A2756" t="s">
        <v>1928</v>
      </c>
      <c r="B2756" t="s">
        <v>2007</v>
      </c>
      <c r="C2756" t="s">
        <v>2152</v>
      </c>
      <c r="D2756" t="s">
        <v>290</v>
      </c>
      <c r="E2756" t="s">
        <v>197</v>
      </c>
      <c r="F2756" t="s">
        <v>1</v>
      </c>
      <c r="G2756" t="s">
        <v>1019</v>
      </c>
      <c r="H2756" t="s">
        <v>786</v>
      </c>
      <c r="I2756" t="s">
        <v>1</v>
      </c>
      <c r="J2756"/>
      <c r="K2756"/>
      <c r="L2756">
        <v>7650</v>
      </c>
      <c r="M2756">
        <v>15426.795580110498</v>
      </c>
      <c r="N2756">
        <v>7650</v>
      </c>
      <c r="O2756">
        <v>15384.0659340659</v>
      </c>
      <c r="P2756">
        <v>0</v>
      </c>
      <c r="Q2756">
        <f t="shared" si="550"/>
        <v>15384.0659340659</v>
      </c>
      <c r="R2756">
        <v>15384.0659340659</v>
      </c>
      <c r="S2756">
        <f t="shared" si="551"/>
        <v>0</v>
      </c>
      <c r="T2756">
        <v>0.02</v>
      </c>
      <c r="U2756">
        <f t="shared" si="552"/>
        <v>307.68131868131803</v>
      </c>
      <c r="V2756">
        <f t="shared" si="553"/>
        <v>15691.747252747218</v>
      </c>
      <c r="W2756">
        <f t="shared" si="554"/>
        <v>307.68131868131786</v>
      </c>
      <c r="X2756">
        <v>0</v>
      </c>
    </row>
    <row r="2757" spans="1:24" x14ac:dyDescent="0.25">
      <c r="A2757" t="s">
        <v>1928</v>
      </c>
      <c r="B2757" t="s">
        <v>2007</v>
      </c>
      <c r="C2757" t="s">
        <v>2152</v>
      </c>
      <c r="D2757" t="s">
        <v>290</v>
      </c>
      <c r="E2757" t="s">
        <v>198</v>
      </c>
      <c r="F2757" t="s">
        <v>1</v>
      </c>
      <c r="G2757" t="s">
        <v>1019</v>
      </c>
      <c r="H2757" t="s">
        <v>787</v>
      </c>
      <c r="I2757" t="s">
        <v>1</v>
      </c>
      <c r="J2757">
        <v>54043</v>
      </c>
      <c r="K2757">
        <v>82799.213580247102</v>
      </c>
      <c r="L2757">
        <v>4085.99</v>
      </c>
      <c r="M2757">
        <v>8239.7035911602215</v>
      </c>
      <c r="N2757">
        <v>4085.99</v>
      </c>
      <c r="O2757">
        <v>8216.8809890110006</v>
      </c>
      <c r="P2757">
        <v>0</v>
      </c>
      <c r="Q2757">
        <f t="shared" si="550"/>
        <v>8216.8809890110006</v>
      </c>
      <c r="R2757">
        <v>8216.8809890110006</v>
      </c>
      <c r="S2757">
        <f t="shared" si="551"/>
        <v>0</v>
      </c>
      <c r="T2757">
        <v>0.02</v>
      </c>
      <c r="U2757">
        <f t="shared" si="552"/>
        <v>164.33761978022002</v>
      </c>
      <c r="V2757">
        <f t="shared" si="553"/>
        <v>8381.2186087912214</v>
      </c>
      <c r="W2757">
        <f t="shared" si="554"/>
        <v>164.33761978022085</v>
      </c>
      <c r="X2757">
        <v>0</v>
      </c>
    </row>
    <row r="2758" spans="1:24" x14ac:dyDescent="0.25">
      <c r="A2758" t="s">
        <v>1928</v>
      </c>
      <c r="B2758" t="s">
        <v>2007</v>
      </c>
      <c r="C2758" t="s">
        <v>2152</v>
      </c>
      <c r="D2758" t="s">
        <v>290</v>
      </c>
      <c r="E2758" t="s">
        <v>85</v>
      </c>
      <c r="F2758" t="s">
        <v>1</v>
      </c>
      <c r="G2758" t="s">
        <v>1019</v>
      </c>
      <c r="H2758" t="s">
        <v>510</v>
      </c>
      <c r="I2758" t="s">
        <v>1</v>
      </c>
      <c r="J2758">
        <v>23696</v>
      </c>
      <c r="K2758">
        <v>24164.029352451998</v>
      </c>
      <c r="L2758">
        <v>12397.68</v>
      </c>
      <c r="M2758">
        <v>25000.846408839781</v>
      </c>
      <c r="N2758">
        <v>24109.53</v>
      </c>
      <c r="O2758">
        <v>24931.598241758202</v>
      </c>
      <c r="P2758">
        <v>0</v>
      </c>
      <c r="Q2758">
        <f t="shared" si="550"/>
        <v>24931.598241758202</v>
      </c>
      <c r="R2758">
        <v>24931.598241758202</v>
      </c>
      <c r="S2758">
        <f t="shared" si="551"/>
        <v>0</v>
      </c>
      <c r="T2758">
        <v>0.02</v>
      </c>
      <c r="U2758">
        <f t="shared" si="552"/>
        <v>498.63196483516407</v>
      </c>
      <c r="V2758">
        <f t="shared" si="553"/>
        <v>25430.230206593365</v>
      </c>
      <c r="W2758">
        <f t="shared" si="554"/>
        <v>498.63196483516367</v>
      </c>
      <c r="X2758">
        <v>0</v>
      </c>
    </row>
    <row r="2759" spans="1:24" x14ac:dyDescent="0.25">
      <c r="A2759" t="s">
        <v>1928</v>
      </c>
      <c r="B2759" t="s">
        <v>2007</v>
      </c>
      <c r="C2759" t="s">
        <v>2152</v>
      </c>
      <c r="D2759" t="s">
        <v>290</v>
      </c>
      <c r="E2759" t="s">
        <v>119</v>
      </c>
      <c r="F2759" t="s">
        <v>1</v>
      </c>
      <c r="G2759" t="s">
        <v>1019</v>
      </c>
      <c r="H2759" t="s">
        <v>588</v>
      </c>
      <c r="I2759" t="s">
        <v>1</v>
      </c>
      <c r="J2759">
        <v>630495.17000000004</v>
      </c>
      <c r="K2759">
        <v>642840.67335906904</v>
      </c>
      <c r="L2759">
        <v>402038.46</v>
      </c>
      <c r="M2759">
        <v>810740.5408839779</v>
      </c>
      <c r="N2759">
        <v>728009.03000000014</v>
      </c>
      <c r="O2759">
        <v>808494.92505494505</v>
      </c>
      <c r="P2759">
        <v>0</v>
      </c>
      <c r="Q2759">
        <f t="shared" si="550"/>
        <v>808494.92505494505</v>
      </c>
      <c r="R2759">
        <v>808494.92505494505</v>
      </c>
      <c r="S2759">
        <f t="shared" si="551"/>
        <v>0</v>
      </c>
      <c r="T2759">
        <v>1.4999999999999999E-2</v>
      </c>
      <c r="U2759">
        <f t="shared" si="552"/>
        <v>12127.423875824175</v>
      </c>
      <c r="V2759">
        <f t="shared" si="553"/>
        <v>820622.34893076925</v>
      </c>
      <c r="W2759">
        <f t="shared" si="554"/>
        <v>12127.423875824199</v>
      </c>
      <c r="X2759">
        <v>0</v>
      </c>
    </row>
    <row r="2760" spans="1:24" x14ac:dyDescent="0.25">
      <c r="A2760" t="s">
        <v>1928</v>
      </c>
      <c r="B2760" t="s">
        <v>2007</v>
      </c>
      <c r="C2760" t="s">
        <v>2152</v>
      </c>
      <c r="D2760" t="s">
        <v>290</v>
      </c>
      <c r="E2760" t="s">
        <v>272</v>
      </c>
      <c r="F2760" t="s">
        <v>1</v>
      </c>
      <c r="G2760" t="s">
        <v>1019</v>
      </c>
      <c r="H2760" t="s">
        <v>985</v>
      </c>
      <c r="I2760" t="s">
        <v>1</v>
      </c>
      <c r="J2760">
        <v>2298591.7200000002</v>
      </c>
      <c r="K2760">
        <v>2237098.9697612301</v>
      </c>
      <c r="L2760">
        <v>1102630.8</v>
      </c>
      <c r="M2760">
        <v>2223537.2486187844</v>
      </c>
      <c r="N2760">
        <v>2304636.5999999996</v>
      </c>
      <c r="O2760">
        <v>2217378.4219780201</v>
      </c>
      <c r="P2760">
        <v>0</v>
      </c>
      <c r="Q2760">
        <f t="shared" si="550"/>
        <v>2217378.4219780201</v>
      </c>
      <c r="R2760">
        <v>2217378.4219780201</v>
      </c>
      <c r="S2760">
        <f t="shared" si="551"/>
        <v>0</v>
      </c>
      <c r="T2760">
        <v>0.02</v>
      </c>
      <c r="U2760">
        <f t="shared" si="552"/>
        <v>44347.568439560404</v>
      </c>
      <c r="V2760">
        <f t="shared" si="553"/>
        <v>2261725.9904175806</v>
      </c>
      <c r="W2760">
        <f t="shared" si="554"/>
        <v>44347.568439560477</v>
      </c>
      <c r="X2760">
        <v>0</v>
      </c>
    </row>
    <row r="2761" spans="1:24" x14ac:dyDescent="0.25">
      <c r="A2761" t="s">
        <v>1928</v>
      </c>
      <c r="B2761" t="s">
        <v>2007</v>
      </c>
      <c r="C2761" t="s">
        <v>2152</v>
      </c>
      <c r="D2761" t="s">
        <v>290</v>
      </c>
      <c r="E2761" t="s">
        <v>273</v>
      </c>
      <c r="F2761" t="s">
        <v>1</v>
      </c>
      <c r="G2761" t="s">
        <v>1019</v>
      </c>
      <c r="H2761" t="s">
        <v>986</v>
      </c>
      <c r="I2761" t="s">
        <v>1</v>
      </c>
      <c r="J2761">
        <v>2367794.2999999998</v>
      </c>
      <c r="K2761">
        <v>2306435.5632501999</v>
      </c>
      <c r="L2761">
        <v>912385.1</v>
      </c>
      <c r="M2761">
        <v>1839892.6049723758</v>
      </c>
      <c r="N2761">
        <v>2020494.3999999997</v>
      </c>
      <c r="O2761">
        <v>1834796.4098901099</v>
      </c>
      <c r="P2761">
        <v>0</v>
      </c>
      <c r="Q2761">
        <f t="shared" si="550"/>
        <v>1834796.4098901099</v>
      </c>
      <c r="R2761">
        <v>1834796.4098901099</v>
      </c>
      <c r="S2761">
        <f t="shared" si="551"/>
        <v>0</v>
      </c>
      <c r="T2761">
        <v>0.02</v>
      </c>
      <c r="U2761">
        <f t="shared" si="552"/>
        <v>36695.928197802197</v>
      </c>
      <c r="V2761">
        <f t="shared" si="553"/>
        <v>1871492.3380879122</v>
      </c>
      <c r="W2761">
        <f t="shared" si="554"/>
        <v>36695.928197802277</v>
      </c>
      <c r="X2761">
        <v>0</v>
      </c>
    </row>
    <row r="2762" spans="1:24" x14ac:dyDescent="0.25">
      <c r="A2762" t="s">
        <v>1928</v>
      </c>
      <c r="B2762" t="s">
        <v>2007</v>
      </c>
      <c r="C2762" t="s">
        <v>2152</v>
      </c>
      <c r="D2762" t="s">
        <v>290</v>
      </c>
      <c r="E2762" t="s">
        <v>136</v>
      </c>
      <c r="F2762" t="s">
        <v>1</v>
      </c>
      <c r="G2762" t="s">
        <v>1019</v>
      </c>
      <c r="H2762" t="s">
        <v>627</v>
      </c>
      <c r="I2762" t="s">
        <v>1</v>
      </c>
      <c r="J2762">
        <v>12750711.689999999</v>
      </c>
      <c r="K2762">
        <v>12880102.9321726</v>
      </c>
      <c r="L2762">
        <v>6313521.7999999998</v>
      </c>
      <c r="M2762">
        <v>12731687.607734807</v>
      </c>
      <c r="N2762">
        <v>12690776.200000001</v>
      </c>
      <c r="O2762">
        <v>12696422.9604396</v>
      </c>
      <c r="P2762">
        <v>0</v>
      </c>
      <c r="Q2762">
        <f t="shared" si="550"/>
        <v>12696422.9604396</v>
      </c>
      <c r="R2762">
        <v>12696422.9604396</v>
      </c>
      <c r="S2762">
        <f t="shared" si="551"/>
        <v>0</v>
      </c>
      <c r="T2762">
        <v>0.03</v>
      </c>
      <c r="U2762">
        <f t="shared" si="552"/>
        <v>380892.688813188</v>
      </c>
      <c r="V2762">
        <f t="shared" si="553"/>
        <v>13077315.649252787</v>
      </c>
      <c r="W2762">
        <f t="shared" si="554"/>
        <v>380892.68881318718</v>
      </c>
      <c r="X2762">
        <v>0</v>
      </c>
    </row>
    <row r="2763" spans="1:24" x14ac:dyDescent="0.25">
      <c r="A2763" t="s">
        <v>1928</v>
      </c>
      <c r="B2763" t="s">
        <v>2007</v>
      </c>
      <c r="C2763" t="s">
        <v>2152</v>
      </c>
      <c r="D2763" t="s">
        <v>290</v>
      </c>
      <c r="E2763" t="s">
        <v>120</v>
      </c>
      <c r="F2763" t="s">
        <v>1</v>
      </c>
      <c r="G2763" t="s">
        <v>1019</v>
      </c>
      <c r="H2763" t="s">
        <v>589</v>
      </c>
      <c r="I2763" t="s">
        <v>1</v>
      </c>
      <c r="J2763">
        <v>21213.5</v>
      </c>
      <c r="K2763">
        <v>27604.8374601504</v>
      </c>
      <c r="L2763">
        <v>12990.73</v>
      </c>
      <c r="M2763">
        <v>26196.775966850826</v>
      </c>
      <c r="N2763">
        <v>19061.280000000002</v>
      </c>
      <c r="O2763">
        <v>26124.215274725299</v>
      </c>
      <c r="P2763">
        <v>0</v>
      </c>
      <c r="Q2763">
        <f t="shared" si="550"/>
        <v>26124.215274725299</v>
      </c>
      <c r="R2763">
        <v>26124.215274725299</v>
      </c>
      <c r="S2763">
        <f t="shared" si="551"/>
        <v>0</v>
      </c>
      <c r="T2763">
        <v>3.5000000000000003E-2</v>
      </c>
      <c r="U2763">
        <f t="shared" si="552"/>
        <v>914.34753461538548</v>
      </c>
      <c r="V2763">
        <f t="shared" si="553"/>
        <v>27038.562809340685</v>
      </c>
      <c r="W2763">
        <f t="shared" si="554"/>
        <v>914.34753461538639</v>
      </c>
      <c r="X2763">
        <v>0</v>
      </c>
    </row>
    <row r="2764" spans="1:24" x14ac:dyDescent="0.25">
      <c r="A2764" t="s">
        <v>1928</v>
      </c>
      <c r="B2764" t="s">
        <v>2007</v>
      </c>
      <c r="C2764" t="s">
        <v>2152</v>
      </c>
      <c r="D2764" t="s">
        <v>290</v>
      </c>
      <c r="E2764" t="s">
        <v>276</v>
      </c>
      <c r="F2764" t="s">
        <v>1</v>
      </c>
      <c r="G2764" t="s">
        <v>1019</v>
      </c>
      <c r="H2764" t="s">
        <v>989</v>
      </c>
      <c r="I2764" t="s">
        <v>1</v>
      </c>
      <c r="J2764">
        <v>54000</v>
      </c>
      <c r="K2764"/>
      <c r="L2764">
        <v>54000</v>
      </c>
      <c r="M2764">
        <v>108895.0276243094</v>
      </c>
      <c r="N2764">
        <v>108000</v>
      </c>
      <c r="O2764">
        <v>108593.40659340699</v>
      </c>
      <c r="P2764">
        <v>0</v>
      </c>
      <c r="Q2764">
        <f t="shared" si="550"/>
        <v>108593.40659340699</v>
      </c>
      <c r="R2764">
        <v>108593.40659340699</v>
      </c>
      <c r="S2764">
        <f t="shared" si="551"/>
        <v>0</v>
      </c>
      <c r="T2764">
        <v>0</v>
      </c>
      <c r="U2764">
        <f t="shared" si="552"/>
        <v>0</v>
      </c>
      <c r="V2764">
        <f t="shared" si="553"/>
        <v>108593.40659340699</v>
      </c>
      <c r="W2764">
        <f t="shared" si="554"/>
        <v>0</v>
      </c>
      <c r="X2764">
        <v>0</v>
      </c>
    </row>
    <row r="2765" spans="1:24" x14ac:dyDescent="0.25">
      <c r="A2765" t="s">
        <v>1928</v>
      </c>
      <c r="B2765" t="s">
        <v>2007</v>
      </c>
      <c r="C2765" t="s">
        <v>2152</v>
      </c>
      <c r="D2765" t="s">
        <v>290</v>
      </c>
      <c r="E2765" t="s">
        <v>278</v>
      </c>
      <c r="F2765" t="s">
        <v>1</v>
      </c>
      <c r="G2765" t="s">
        <v>1019</v>
      </c>
      <c r="H2765" t="s">
        <v>991</v>
      </c>
      <c r="I2765" t="s">
        <v>1</v>
      </c>
      <c r="J2765">
        <v>2278500</v>
      </c>
      <c r="K2765">
        <v>1947868.3127572001</v>
      </c>
      <c r="L2765">
        <v>1171800</v>
      </c>
      <c r="M2765">
        <v>2363022.0994475139</v>
      </c>
      <c r="N2765">
        <v>2643600</v>
      </c>
      <c r="O2765">
        <v>2356476.9230769202</v>
      </c>
      <c r="P2765">
        <v>0</v>
      </c>
      <c r="Q2765">
        <f t="shared" si="550"/>
        <v>2356476.9230769202</v>
      </c>
      <c r="R2765">
        <v>2356476.9230769202</v>
      </c>
      <c r="S2765">
        <f t="shared" si="551"/>
        <v>0</v>
      </c>
      <c r="T2765">
        <v>0</v>
      </c>
      <c r="U2765">
        <f t="shared" si="552"/>
        <v>0</v>
      </c>
      <c r="V2765">
        <f t="shared" si="553"/>
        <v>2356476.9230769202</v>
      </c>
      <c r="W2765">
        <f t="shared" si="554"/>
        <v>0</v>
      </c>
      <c r="X2765">
        <v>0</v>
      </c>
    </row>
    <row r="2766" spans="1:24" x14ac:dyDescent="0.25">
      <c r="A2766" t="s">
        <v>1928</v>
      </c>
      <c r="B2766" t="s">
        <v>2007</v>
      </c>
      <c r="C2766" t="s">
        <v>2152</v>
      </c>
      <c r="D2766" t="s">
        <v>290</v>
      </c>
      <c r="E2766" t="s">
        <v>291</v>
      </c>
      <c r="F2766" t="s">
        <v>1</v>
      </c>
      <c r="G2766" t="s">
        <v>1019</v>
      </c>
      <c r="H2766" t="s">
        <v>1020</v>
      </c>
      <c r="I2766" t="s">
        <v>1</v>
      </c>
      <c r="J2766">
        <v>92500</v>
      </c>
      <c r="K2766"/>
      <c r="L2766">
        <v>0</v>
      </c>
      <c r="M2766">
        <v>0</v>
      </c>
      <c r="N2766">
        <v>92500</v>
      </c>
      <c r="O2766"/>
      <c r="P2766">
        <v>0</v>
      </c>
      <c r="Q2766">
        <f t="shared" si="550"/>
        <v>0</v>
      </c>
      <c r="R2766">
        <v>0</v>
      </c>
      <c r="S2766">
        <f t="shared" si="551"/>
        <v>0</v>
      </c>
      <c r="T2766">
        <v>0</v>
      </c>
      <c r="U2766">
        <f t="shared" si="552"/>
        <v>0</v>
      </c>
      <c r="V2766">
        <f t="shared" si="553"/>
        <v>0</v>
      </c>
      <c r="W2766">
        <f t="shared" si="554"/>
        <v>0</v>
      </c>
      <c r="X2766">
        <v>0</v>
      </c>
    </row>
    <row r="2767" spans="1:24" x14ac:dyDescent="0.25">
      <c r="A2767" t="s">
        <v>1928</v>
      </c>
      <c r="B2767" t="s">
        <v>2007</v>
      </c>
      <c r="C2767" t="s">
        <v>2152</v>
      </c>
      <c r="D2767" t="s">
        <v>290</v>
      </c>
      <c r="E2767" t="s">
        <v>280</v>
      </c>
      <c r="F2767" t="s">
        <v>1</v>
      </c>
      <c r="G2767" t="s">
        <v>1019</v>
      </c>
      <c r="H2767" t="s">
        <v>993</v>
      </c>
      <c r="I2767" t="s">
        <v>1</v>
      </c>
      <c r="J2767">
        <v>1322520</v>
      </c>
      <c r="K2767">
        <v>1556757.8950617299</v>
      </c>
      <c r="L2767">
        <v>285865</v>
      </c>
      <c r="M2767">
        <v>576468.09392265195</v>
      </c>
      <c r="N2767">
        <v>837750</v>
      </c>
      <c r="O2767">
        <v>574871.37362637406</v>
      </c>
      <c r="P2767">
        <v>0</v>
      </c>
      <c r="Q2767">
        <f t="shared" si="550"/>
        <v>574871.37362637406</v>
      </c>
      <c r="R2767">
        <v>574871.37362637406</v>
      </c>
      <c r="S2767">
        <f t="shared" si="551"/>
        <v>0</v>
      </c>
      <c r="T2767">
        <v>0.02</v>
      </c>
      <c r="U2767">
        <f t="shared" si="552"/>
        <v>11497.427472527481</v>
      </c>
      <c r="V2767">
        <f t="shared" si="553"/>
        <v>586368.80109890155</v>
      </c>
      <c r="W2767">
        <f t="shared" si="554"/>
        <v>11497.427472527488</v>
      </c>
      <c r="X2767">
        <v>0</v>
      </c>
    </row>
    <row r="2768" spans="1:24" x14ac:dyDescent="0.25">
      <c r="A2768" t="s">
        <v>1928</v>
      </c>
      <c r="B2768" t="s">
        <v>2007</v>
      </c>
      <c r="C2768" t="s">
        <v>2152</v>
      </c>
      <c r="D2768" t="s">
        <v>290</v>
      </c>
      <c r="E2768" t="s">
        <v>20</v>
      </c>
      <c r="F2768" t="s">
        <v>1</v>
      </c>
      <c r="G2768" t="s">
        <v>1019</v>
      </c>
      <c r="H2768" t="s">
        <v>420</v>
      </c>
      <c r="I2768" t="s">
        <v>1</v>
      </c>
      <c r="J2768">
        <v>2646975.8199999998</v>
      </c>
      <c r="K2768">
        <v>2256688.3855398302</v>
      </c>
      <c r="L2768">
        <v>1765892.87</v>
      </c>
      <c r="M2768">
        <v>3561054.6825966854</v>
      </c>
      <c r="N2768">
        <v>3264853.9699999997</v>
      </c>
      <c r="O2768">
        <v>3551191.1561538498</v>
      </c>
      <c r="P2768">
        <v>0</v>
      </c>
      <c r="Q2768">
        <f t="shared" si="550"/>
        <v>3551191.1561538498</v>
      </c>
      <c r="R2768">
        <v>3551191.1561538498</v>
      </c>
      <c r="S2768">
        <f t="shared" si="551"/>
        <v>0</v>
      </c>
      <c r="T2768">
        <v>0.04</v>
      </c>
      <c r="U2768">
        <f t="shared" si="552"/>
        <v>142047.64624615401</v>
      </c>
      <c r="V2768">
        <f t="shared" si="553"/>
        <v>3693238.8024000037</v>
      </c>
      <c r="W2768">
        <f t="shared" si="554"/>
        <v>142047.64624615386</v>
      </c>
      <c r="X2768">
        <v>0</v>
      </c>
    </row>
    <row r="2769" spans="1:24" x14ac:dyDescent="0.25">
      <c r="A2769" t="s">
        <v>1928</v>
      </c>
      <c r="B2769" t="s">
        <v>2007</v>
      </c>
      <c r="C2769" t="s">
        <v>2152</v>
      </c>
      <c r="D2769" t="s">
        <v>290</v>
      </c>
      <c r="E2769" t="s">
        <v>21</v>
      </c>
      <c r="F2769" t="s">
        <v>1</v>
      </c>
      <c r="G2769" t="s">
        <v>1019</v>
      </c>
      <c r="H2769" t="s">
        <v>421</v>
      </c>
      <c r="I2769" t="s">
        <v>1</v>
      </c>
      <c r="J2769">
        <v>1363.32</v>
      </c>
      <c r="K2769">
        <v>1161.8400000001</v>
      </c>
      <c r="L2769">
        <v>555.17999999999995</v>
      </c>
      <c r="M2769">
        <v>1119.5618784530384</v>
      </c>
      <c r="N2769">
        <v>1318.6000000000004</v>
      </c>
      <c r="O2769">
        <v>1119.561878453</v>
      </c>
      <c r="P2769">
        <v>0</v>
      </c>
      <c r="Q2769">
        <f t="shared" si="550"/>
        <v>1119.561878453</v>
      </c>
      <c r="R2769">
        <v>1119.561878453</v>
      </c>
      <c r="S2769">
        <f t="shared" si="551"/>
        <v>0</v>
      </c>
      <c r="T2769">
        <v>0.03</v>
      </c>
      <c r="U2769">
        <f t="shared" si="552"/>
        <v>33.586856353590001</v>
      </c>
      <c r="V2769">
        <f t="shared" si="553"/>
        <v>1153.14873480659</v>
      </c>
      <c r="W2769">
        <f t="shared" si="554"/>
        <v>33.586856353590065</v>
      </c>
      <c r="X2769">
        <v>0</v>
      </c>
    </row>
    <row r="2770" spans="1:24" x14ac:dyDescent="0.25">
      <c r="A2770" t="s">
        <v>1928</v>
      </c>
      <c r="B2770" t="s">
        <v>2007</v>
      </c>
      <c r="C2770" t="s">
        <v>2152</v>
      </c>
      <c r="D2770" t="s">
        <v>290</v>
      </c>
      <c r="E2770" t="s">
        <v>22</v>
      </c>
      <c r="F2770" t="s">
        <v>1</v>
      </c>
      <c r="G2770" t="s">
        <v>1019</v>
      </c>
      <c r="H2770" t="s">
        <v>422</v>
      </c>
      <c r="I2770" t="s">
        <v>1</v>
      </c>
      <c r="J2770">
        <v>1354.64</v>
      </c>
      <c r="K2770">
        <v>2173.4999999999</v>
      </c>
      <c r="L2770">
        <v>222.07</v>
      </c>
      <c r="M2770">
        <v>447.82071823204416</v>
      </c>
      <c r="N2770">
        <v>524.87000000000012</v>
      </c>
      <c r="O2770">
        <v>447.82071823199999</v>
      </c>
      <c r="P2770">
        <v>0</v>
      </c>
      <c r="Q2770">
        <f t="shared" si="550"/>
        <v>447.82071823199999</v>
      </c>
      <c r="R2770">
        <v>447.82071823199999</v>
      </c>
      <c r="S2770">
        <f t="shared" si="551"/>
        <v>0</v>
      </c>
      <c r="T2770">
        <v>3.5000000000000003E-2</v>
      </c>
      <c r="U2770">
        <f t="shared" si="552"/>
        <v>15.673725138120002</v>
      </c>
      <c r="V2770">
        <f t="shared" si="553"/>
        <v>463.49444337012</v>
      </c>
      <c r="W2770">
        <f t="shared" si="554"/>
        <v>15.673725138120005</v>
      </c>
      <c r="X2770">
        <v>0</v>
      </c>
    </row>
    <row r="2771" spans="1:24" x14ac:dyDescent="0.25">
      <c r="A2771" t="s">
        <v>1928</v>
      </c>
      <c r="B2771" t="s">
        <v>2007</v>
      </c>
      <c r="C2771" t="s">
        <v>2152</v>
      </c>
      <c r="D2771" t="s">
        <v>290</v>
      </c>
      <c r="E2771" t="s">
        <v>23</v>
      </c>
      <c r="F2771" t="s">
        <v>1</v>
      </c>
      <c r="G2771" t="s">
        <v>1019</v>
      </c>
      <c r="H2771" t="s">
        <v>423</v>
      </c>
      <c r="I2771" t="s">
        <v>1</v>
      </c>
      <c r="J2771">
        <v>6544.21</v>
      </c>
      <c r="K2771">
        <v>14593.5000000003</v>
      </c>
      <c r="L2771">
        <v>3067.12</v>
      </c>
      <c r="M2771">
        <v>6185.0762430939221</v>
      </c>
      <c r="N2771">
        <v>2561.94</v>
      </c>
      <c r="O2771">
        <v>6185.0762430939003</v>
      </c>
      <c r="P2771">
        <v>0</v>
      </c>
      <c r="Q2771">
        <f t="shared" si="550"/>
        <v>6185.0762430939003</v>
      </c>
      <c r="R2771">
        <v>6185.0762430939003</v>
      </c>
      <c r="S2771">
        <f t="shared" si="551"/>
        <v>0</v>
      </c>
      <c r="T2771">
        <v>3.5000000000000003E-2</v>
      </c>
      <c r="U2771">
        <f t="shared" si="552"/>
        <v>216.47766850828654</v>
      </c>
      <c r="V2771">
        <f t="shared" si="553"/>
        <v>6401.5539116021864</v>
      </c>
      <c r="W2771">
        <f t="shared" si="554"/>
        <v>216.47766850828611</v>
      </c>
      <c r="X2771">
        <v>0</v>
      </c>
    </row>
    <row r="2772" spans="1:24" x14ac:dyDescent="0.25">
      <c r="A2772" t="s">
        <v>1928</v>
      </c>
      <c r="B2772" t="s">
        <v>2007</v>
      </c>
      <c r="C2772" t="s">
        <v>2152</v>
      </c>
      <c r="D2772" t="s">
        <v>290</v>
      </c>
      <c r="E2772" t="s">
        <v>26</v>
      </c>
      <c r="F2772" t="s">
        <v>1</v>
      </c>
      <c r="G2772" t="s">
        <v>1019</v>
      </c>
      <c r="H2772" t="s">
        <v>426</v>
      </c>
      <c r="I2772" t="s">
        <v>1</v>
      </c>
      <c r="J2772">
        <v>120</v>
      </c>
      <c r="K2772">
        <v>981.23836829519996</v>
      </c>
      <c r="L2772">
        <v>0</v>
      </c>
      <c r="M2772">
        <v>0</v>
      </c>
      <c r="N2772">
        <v>120</v>
      </c>
      <c r="O2772"/>
      <c r="P2772">
        <v>1000</v>
      </c>
      <c r="Q2772">
        <f t="shared" ref="Q2772:Q2788" si="555">O2772+P2772</f>
        <v>1000</v>
      </c>
      <c r="R2772">
        <v>1000</v>
      </c>
      <c r="S2772">
        <f t="shared" ref="S2772:S2788" si="556">IF(OR(LEFT(E2772,2)="A_",LEFT(D2772,5)="Total"),R2772-Q2772,"")</f>
        <v>0</v>
      </c>
      <c r="T2772"/>
      <c r="U2772">
        <f t="shared" ref="U2772:U2788" si="557">IFERROR(R2772*T2772,R2772*0)</f>
        <v>0</v>
      </c>
      <c r="V2772">
        <f t="shared" ref="V2772:V2788" si="558">IF(OR(LEFT(E2772,2)="A_",LEFT(D2772,5)="Total"),R2772+U2772,"")</f>
        <v>1000</v>
      </c>
      <c r="W2772">
        <f t="shared" ref="W2772:W2788" si="559">IF(OR(LEFT(E2772,2)="A_",LEFT(D2772,5)="Total"),V2772-Q2772,"")</f>
        <v>0</v>
      </c>
      <c r="X2772" t="s">
        <v>1460</v>
      </c>
    </row>
    <row r="2773" spans="1:24" x14ac:dyDescent="0.25">
      <c r="A2773" t="s">
        <v>1928</v>
      </c>
      <c r="B2773" t="s">
        <v>2007</v>
      </c>
      <c r="C2773" t="s">
        <v>2152</v>
      </c>
      <c r="D2773" t="s">
        <v>290</v>
      </c>
      <c r="E2773" t="s">
        <v>28</v>
      </c>
      <c r="F2773" t="s">
        <v>1</v>
      </c>
      <c r="G2773" t="s">
        <v>1019</v>
      </c>
      <c r="H2773" t="s">
        <v>428</v>
      </c>
      <c r="I2773" t="s">
        <v>1</v>
      </c>
      <c r="J2773">
        <v>2905.93</v>
      </c>
      <c r="K2773">
        <v>2610</v>
      </c>
      <c r="L2773">
        <v>39.99</v>
      </c>
      <c r="M2773">
        <v>80.642817679558021</v>
      </c>
      <c r="N2773">
        <v>536.92999999999995</v>
      </c>
      <c r="O2773">
        <v>79.98</v>
      </c>
      <c r="P2773">
        <v>0</v>
      </c>
      <c r="Q2773">
        <f t="shared" si="555"/>
        <v>79.98</v>
      </c>
      <c r="R2773">
        <v>79.98</v>
      </c>
      <c r="S2773">
        <f t="shared" si="556"/>
        <v>0</v>
      </c>
      <c r="T2773"/>
      <c r="U2773">
        <f t="shared" si="557"/>
        <v>0</v>
      </c>
      <c r="V2773">
        <f t="shared" si="558"/>
        <v>79.98</v>
      </c>
      <c r="W2773">
        <f t="shared" si="559"/>
        <v>0</v>
      </c>
      <c r="X2773">
        <v>0</v>
      </c>
    </row>
    <row r="2774" spans="1:24" x14ac:dyDescent="0.25">
      <c r="A2774" t="s">
        <v>1928</v>
      </c>
      <c r="B2774" t="s">
        <v>2007</v>
      </c>
      <c r="C2774" t="s">
        <v>2152</v>
      </c>
      <c r="D2774" t="s">
        <v>290</v>
      </c>
      <c r="E2774" t="s">
        <v>33</v>
      </c>
      <c r="F2774" t="s">
        <v>1</v>
      </c>
      <c r="G2774" t="s">
        <v>1019</v>
      </c>
      <c r="H2774" t="s">
        <v>433</v>
      </c>
      <c r="I2774" t="s">
        <v>1</v>
      </c>
      <c r="J2774"/>
      <c r="K2774">
        <v>245.30959207320001</v>
      </c>
      <c r="L2774">
        <v>0</v>
      </c>
      <c r="M2774">
        <v>0</v>
      </c>
      <c r="N2774">
        <v>0</v>
      </c>
      <c r="O2774"/>
      <c r="P2774">
        <v>500</v>
      </c>
      <c r="Q2774">
        <f t="shared" si="555"/>
        <v>500</v>
      </c>
      <c r="R2774">
        <v>500</v>
      </c>
      <c r="S2774">
        <f t="shared" si="556"/>
        <v>0</v>
      </c>
      <c r="T2774"/>
      <c r="U2774">
        <f t="shared" si="557"/>
        <v>0</v>
      </c>
      <c r="V2774">
        <f t="shared" si="558"/>
        <v>500</v>
      </c>
      <c r="W2774">
        <f t="shared" si="559"/>
        <v>0</v>
      </c>
      <c r="X2774" t="s">
        <v>1422</v>
      </c>
    </row>
    <row r="2775" spans="1:24" x14ac:dyDescent="0.25">
      <c r="A2775" t="s">
        <v>1928</v>
      </c>
      <c r="B2775" t="s">
        <v>2007</v>
      </c>
      <c r="C2775" t="s">
        <v>2152</v>
      </c>
      <c r="D2775" t="s">
        <v>290</v>
      </c>
      <c r="E2775" t="s">
        <v>34</v>
      </c>
      <c r="F2775" t="s">
        <v>1</v>
      </c>
      <c r="G2775" t="s">
        <v>1019</v>
      </c>
      <c r="H2775" t="s">
        <v>434</v>
      </c>
      <c r="I2775" t="s">
        <v>1</v>
      </c>
      <c r="J2775"/>
      <c r="K2775">
        <v>490.61918414759998</v>
      </c>
      <c r="L2775">
        <v>0</v>
      </c>
      <c r="M2775">
        <v>0</v>
      </c>
      <c r="N2775">
        <v>0</v>
      </c>
      <c r="O2775"/>
      <c r="P2775">
        <v>0</v>
      </c>
      <c r="Q2775">
        <f t="shared" si="555"/>
        <v>0</v>
      </c>
      <c r="R2775">
        <v>0</v>
      </c>
      <c r="S2775">
        <f t="shared" si="556"/>
        <v>0</v>
      </c>
      <c r="T2775"/>
      <c r="U2775">
        <f t="shared" si="557"/>
        <v>0</v>
      </c>
      <c r="V2775">
        <f t="shared" si="558"/>
        <v>0</v>
      </c>
      <c r="W2775">
        <f t="shared" si="559"/>
        <v>0</v>
      </c>
      <c r="X2775">
        <v>0</v>
      </c>
    </row>
    <row r="2776" spans="1:24" x14ac:dyDescent="0.25">
      <c r="A2776" t="s">
        <v>1928</v>
      </c>
      <c r="B2776" t="s">
        <v>2007</v>
      </c>
      <c r="C2776" t="s">
        <v>2152</v>
      </c>
      <c r="D2776" t="s">
        <v>290</v>
      </c>
      <c r="E2776" t="s">
        <v>37</v>
      </c>
      <c r="F2776" t="s">
        <v>1</v>
      </c>
      <c r="G2776" t="s">
        <v>1019</v>
      </c>
      <c r="H2776" t="s">
        <v>437</v>
      </c>
      <c r="I2776" t="s">
        <v>1</v>
      </c>
      <c r="J2776">
        <v>294.3</v>
      </c>
      <c r="K2776">
        <v>1471.8575524416001</v>
      </c>
      <c r="L2776">
        <v>0</v>
      </c>
      <c r="M2776">
        <v>0</v>
      </c>
      <c r="N2776">
        <v>0</v>
      </c>
      <c r="O2776"/>
      <c r="P2776">
        <v>1500</v>
      </c>
      <c r="Q2776">
        <f t="shared" si="555"/>
        <v>1500</v>
      </c>
      <c r="R2776">
        <v>1500</v>
      </c>
      <c r="S2776">
        <f t="shared" si="556"/>
        <v>0</v>
      </c>
      <c r="T2776"/>
      <c r="U2776">
        <f t="shared" si="557"/>
        <v>0</v>
      </c>
      <c r="V2776">
        <f t="shared" si="558"/>
        <v>1500</v>
      </c>
      <c r="W2776">
        <f t="shared" si="559"/>
        <v>0</v>
      </c>
      <c r="X2776" t="s">
        <v>1423</v>
      </c>
    </row>
    <row r="2777" spans="1:24" x14ac:dyDescent="0.25">
      <c r="A2777" t="s">
        <v>1928</v>
      </c>
      <c r="B2777" t="s">
        <v>2007</v>
      </c>
      <c r="C2777" t="s">
        <v>2152</v>
      </c>
      <c r="D2777" t="s">
        <v>290</v>
      </c>
      <c r="E2777" t="s">
        <v>121</v>
      </c>
      <c r="F2777" t="s">
        <v>1</v>
      </c>
      <c r="G2777" t="s">
        <v>1019</v>
      </c>
      <c r="H2777" t="s">
        <v>590</v>
      </c>
      <c r="I2777" t="s">
        <v>1</v>
      </c>
      <c r="J2777"/>
      <c r="K2777">
        <v>55092.550058979599</v>
      </c>
      <c r="L2777">
        <v>0</v>
      </c>
      <c r="M2777">
        <v>0</v>
      </c>
      <c r="N2777">
        <v>0</v>
      </c>
      <c r="O2777"/>
      <c r="P2777">
        <v>0</v>
      </c>
      <c r="Q2777">
        <f t="shared" si="555"/>
        <v>0</v>
      </c>
      <c r="R2777">
        <v>0</v>
      </c>
      <c r="S2777">
        <f t="shared" si="556"/>
        <v>0</v>
      </c>
      <c r="T2777"/>
      <c r="U2777">
        <f t="shared" si="557"/>
        <v>0</v>
      </c>
      <c r="V2777">
        <f t="shared" si="558"/>
        <v>0</v>
      </c>
      <c r="W2777">
        <f t="shared" si="559"/>
        <v>0</v>
      </c>
      <c r="X2777">
        <v>0</v>
      </c>
    </row>
    <row r="2778" spans="1:24" x14ac:dyDescent="0.25">
      <c r="A2778" t="s">
        <v>1928</v>
      </c>
      <c r="B2778" t="s">
        <v>2007</v>
      </c>
      <c r="C2778" t="s">
        <v>2152</v>
      </c>
      <c r="D2778" t="s">
        <v>290</v>
      </c>
      <c r="E2778" t="s">
        <v>292</v>
      </c>
      <c r="F2778" t="s">
        <v>1</v>
      </c>
      <c r="G2778" t="s">
        <v>1019</v>
      </c>
      <c r="H2778" t="s">
        <v>1021</v>
      </c>
      <c r="I2778" t="s">
        <v>1</v>
      </c>
      <c r="J2778"/>
      <c r="K2778"/>
      <c r="L2778">
        <v>-100000</v>
      </c>
      <c r="M2778">
        <v>-201657.45856353591</v>
      </c>
      <c r="N2778">
        <v>-100000</v>
      </c>
      <c r="O2778">
        <v>-200000</v>
      </c>
      <c r="P2778">
        <v>200000</v>
      </c>
      <c r="Q2778">
        <f t="shared" si="555"/>
        <v>0</v>
      </c>
      <c r="R2778">
        <v>0</v>
      </c>
      <c r="S2778">
        <f t="shared" si="556"/>
        <v>0</v>
      </c>
      <c r="T2778"/>
      <c r="U2778">
        <f t="shared" si="557"/>
        <v>0</v>
      </c>
      <c r="V2778">
        <f t="shared" si="558"/>
        <v>0</v>
      </c>
      <c r="W2778">
        <f t="shared" si="559"/>
        <v>0</v>
      </c>
      <c r="X2778">
        <v>0</v>
      </c>
    </row>
    <row r="2779" spans="1:24" x14ac:dyDescent="0.25">
      <c r="A2779" t="s">
        <v>1928</v>
      </c>
      <c r="B2779" t="s">
        <v>2007</v>
      </c>
      <c r="C2779" t="s">
        <v>2152</v>
      </c>
      <c r="D2779" t="s">
        <v>290</v>
      </c>
      <c r="E2779" t="s">
        <v>40</v>
      </c>
      <c r="F2779" t="s">
        <v>1</v>
      </c>
      <c r="G2779" t="s">
        <v>1019</v>
      </c>
      <c r="H2779" t="s">
        <v>440</v>
      </c>
      <c r="I2779" t="s">
        <v>1</v>
      </c>
      <c r="J2779">
        <v>26533.32</v>
      </c>
      <c r="K2779">
        <v>26499.9999999996</v>
      </c>
      <c r="L2779">
        <v>13300</v>
      </c>
      <c r="M2779">
        <v>26820.441988950279</v>
      </c>
      <c r="N2779">
        <v>26600</v>
      </c>
      <c r="O2779">
        <v>26600</v>
      </c>
      <c r="P2779">
        <v>0</v>
      </c>
      <c r="Q2779">
        <f t="shared" si="555"/>
        <v>26600</v>
      </c>
      <c r="R2779">
        <v>26600</v>
      </c>
      <c r="S2779">
        <f t="shared" si="556"/>
        <v>0</v>
      </c>
      <c r="T2779">
        <v>0.03</v>
      </c>
      <c r="U2779">
        <f t="shared" si="557"/>
        <v>798</v>
      </c>
      <c r="V2779">
        <f t="shared" si="558"/>
        <v>27398</v>
      </c>
      <c r="W2779">
        <f t="shared" si="559"/>
        <v>798</v>
      </c>
      <c r="X2779">
        <v>0</v>
      </c>
    </row>
    <row r="2780" spans="1:24" x14ac:dyDescent="0.25">
      <c r="A2780" t="s">
        <v>1928</v>
      </c>
      <c r="B2780" t="s">
        <v>2007</v>
      </c>
      <c r="C2780" t="s">
        <v>2152</v>
      </c>
      <c r="D2780" t="s">
        <v>290</v>
      </c>
      <c r="E2780" t="s">
        <v>76</v>
      </c>
      <c r="F2780" t="s">
        <v>1</v>
      </c>
      <c r="G2780" t="s">
        <v>1019</v>
      </c>
      <c r="H2780" t="s">
        <v>493</v>
      </c>
      <c r="I2780" t="s">
        <v>1</v>
      </c>
      <c r="J2780">
        <v>392897.41</v>
      </c>
      <c r="K2780">
        <v>344554</v>
      </c>
      <c r="L2780">
        <v>230338.44</v>
      </c>
      <c r="M2780">
        <v>464494.64419889502</v>
      </c>
      <c r="N2780">
        <v>450537.14999999997</v>
      </c>
      <c r="O2780">
        <v>460676.88</v>
      </c>
      <c r="P2780">
        <v>0</v>
      </c>
      <c r="Q2780">
        <f t="shared" si="555"/>
        <v>460676.88</v>
      </c>
      <c r="R2780">
        <v>460676.88</v>
      </c>
      <c r="S2780">
        <f t="shared" si="556"/>
        <v>0</v>
      </c>
      <c r="T2780">
        <v>0.03</v>
      </c>
      <c r="U2780">
        <f t="shared" si="557"/>
        <v>13820.306399999999</v>
      </c>
      <c r="V2780">
        <f t="shared" si="558"/>
        <v>474497.18640000001</v>
      </c>
      <c r="W2780">
        <f t="shared" si="559"/>
        <v>13820.306400000001</v>
      </c>
      <c r="X2780">
        <v>0</v>
      </c>
    </row>
    <row r="2781" spans="1:24" x14ac:dyDescent="0.25">
      <c r="A2781" t="s">
        <v>1928</v>
      </c>
      <c r="B2781" t="s">
        <v>2007</v>
      </c>
      <c r="C2781" t="s">
        <v>2152</v>
      </c>
      <c r="D2781" t="s">
        <v>290</v>
      </c>
      <c r="E2781" t="s">
        <v>41</v>
      </c>
      <c r="F2781" t="s">
        <v>1</v>
      </c>
      <c r="G2781" t="s">
        <v>1019</v>
      </c>
      <c r="H2781" t="s">
        <v>441</v>
      </c>
      <c r="I2781" t="s">
        <v>1</v>
      </c>
      <c r="J2781">
        <v>46513.67</v>
      </c>
      <c r="K2781">
        <v>45692.409999999603</v>
      </c>
      <c r="L2781">
        <v>15547.45</v>
      </c>
      <c r="M2781">
        <v>31352.592541436465</v>
      </c>
      <c r="N2781">
        <v>40300.900000000009</v>
      </c>
      <c r="O2781">
        <v>31094.9</v>
      </c>
      <c r="P2781">
        <v>0</v>
      </c>
      <c r="Q2781">
        <f t="shared" si="555"/>
        <v>31094.9</v>
      </c>
      <c r="R2781">
        <v>31094.9</v>
      </c>
      <c r="S2781">
        <f t="shared" si="556"/>
        <v>0</v>
      </c>
      <c r="T2781">
        <v>0.03</v>
      </c>
      <c r="U2781">
        <f t="shared" si="557"/>
        <v>932.84699999999998</v>
      </c>
      <c r="V2781">
        <f t="shared" si="558"/>
        <v>32027.747000000003</v>
      </c>
      <c r="W2781">
        <f t="shared" si="559"/>
        <v>932.84700000000157</v>
      </c>
      <c r="X2781">
        <v>0</v>
      </c>
    </row>
    <row r="2782" spans="1:24" x14ac:dyDescent="0.25">
      <c r="A2782" t="s">
        <v>1928</v>
      </c>
      <c r="B2782" t="s">
        <v>2007</v>
      </c>
      <c r="C2782" t="s">
        <v>2152</v>
      </c>
      <c r="D2782" t="s">
        <v>290</v>
      </c>
      <c r="E2782" t="s">
        <v>140</v>
      </c>
      <c r="F2782" t="s">
        <v>1</v>
      </c>
      <c r="G2782" t="s">
        <v>1019</v>
      </c>
      <c r="H2782" t="s">
        <v>637</v>
      </c>
      <c r="I2782" t="s">
        <v>1</v>
      </c>
      <c r="J2782">
        <v>149108.07</v>
      </c>
      <c r="K2782">
        <v>143772</v>
      </c>
      <c r="L2782">
        <v>74327.19</v>
      </c>
      <c r="M2782">
        <v>149886.32237569059</v>
      </c>
      <c r="N2782">
        <v>151710.66999999998</v>
      </c>
      <c r="O2782">
        <v>148654.38</v>
      </c>
      <c r="P2782">
        <v>0</v>
      </c>
      <c r="Q2782">
        <f t="shared" si="555"/>
        <v>148654.38</v>
      </c>
      <c r="R2782">
        <v>148654.38</v>
      </c>
      <c r="S2782">
        <f t="shared" si="556"/>
        <v>0</v>
      </c>
      <c r="T2782">
        <v>0.03</v>
      </c>
      <c r="U2782">
        <f t="shared" si="557"/>
        <v>4459.6314000000002</v>
      </c>
      <c r="V2782">
        <f t="shared" si="558"/>
        <v>153114.01140000002</v>
      </c>
      <c r="W2782">
        <f t="shared" si="559"/>
        <v>4459.6314000000129</v>
      </c>
      <c r="X2782" t="s">
        <v>1746</v>
      </c>
    </row>
    <row r="2783" spans="1:24" x14ac:dyDescent="0.25">
      <c r="A2783" t="s">
        <v>1928</v>
      </c>
      <c r="B2783" t="s">
        <v>2007</v>
      </c>
      <c r="C2783" t="s">
        <v>2152</v>
      </c>
      <c r="D2783" t="s">
        <v>290</v>
      </c>
      <c r="E2783" t="s">
        <v>42</v>
      </c>
      <c r="F2783" t="s">
        <v>1</v>
      </c>
      <c r="G2783" t="s">
        <v>1019</v>
      </c>
      <c r="H2783" t="s">
        <v>442</v>
      </c>
      <c r="I2783" t="s">
        <v>1</v>
      </c>
      <c r="J2783">
        <v>14904.45</v>
      </c>
      <c r="K2783">
        <v>13755</v>
      </c>
      <c r="L2783">
        <v>8551.86</v>
      </c>
      <c r="M2783">
        <v>17245.463535911604</v>
      </c>
      <c r="N2783">
        <v>16578.809999999998</v>
      </c>
      <c r="O2783">
        <v>17103.72</v>
      </c>
      <c r="P2783">
        <v>0</v>
      </c>
      <c r="Q2783">
        <f t="shared" si="555"/>
        <v>17103.72</v>
      </c>
      <c r="R2783">
        <v>17103.72</v>
      </c>
      <c r="S2783">
        <f t="shared" si="556"/>
        <v>0</v>
      </c>
      <c r="T2783">
        <v>0.03</v>
      </c>
      <c r="U2783">
        <f t="shared" si="557"/>
        <v>513.11160000000007</v>
      </c>
      <c r="V2783">
        <f t="shared" si="558"/>
        <v>17616.831600000001</v>
      </c>
      <c r="W2783">
        <f t="shared" si="559"/>
        <v>513.11160000000018</v>
      </c>
      <c r="X2783">
        <v>0</v>
      </c>
    </row>
    <row r="2784" spans="1:24" x14ac:dyDescent="0.25">
      <c r="A2784" t="s">
        <v>1928</v>
      </c>
      <c r="B2784" t="s">
        <v>2007</v>
      </c>
      <c r="C2784" t="s">
        <v>2152</v>
      </c>
      <c r="D2784" t="s">
        <v>290</v>
      </c>
      <c r="E2784" t="s">
        <v>43</v>
      </c>
      <c r="F2784" t="s">
        <v>1</v>
      </c>
      <c r="G2784" t="s">
        <v>1019</v>
      </c>
      <c r="H2784" t="s">
        <v>443</v>
      </c>
      <c r="I2784" t="s">
        <v>1</v>
      </c>
      <c r="J2784">
        <v>1442</v>
      </c>
      <c r="K2784"/>
      <c r="L2784">
        <v>0</v>
      </c>
      <c r="M2784">
        <v>0</v>
      </c>
      <c r="N2784">
        <v>0</v>
      </c>
      <c r="O2784"/>
      <c r="P2784">
        <v>0</v>
      </c>
      <c r="Q2784">
        <f t="shared" si="555"/>
        <v>0</v>
      </c>
      <c r="R2784">
        <v>0</v>
      </c>
      <c r="S2784">
        <f t="shared" si="556"/>
        <v>0</v>
      </c>
      <c r="T2784">
        <v>0.03</v>
      </c>
      <c r="U2784">
        <f t="shared" si="557"/>
        <v>0</v>
      </c>
      <c r="V2784">
        <f t="shared" si="558"/>
        <v>0</v>
      </c>
      <c r="W2784">
        <f t="shared" si="559"/>
        <v>0</v>
      </c>
      <c r="X2784">
        <v>0</v>
      </c>
    </row>
    <row r="2785" spans="1:24" x14ac:dyDescent="0.25">
      <c r="A2785" t="s">
        <v>1928</v>
      </c>
      <c r="B2785" t="s">
        <v>2007</v>
      </c>
      <c r="C2785" t="s">
        <v>2152</v>
      </c>
      <c r="D2785" t="s">
        <v>290</v>
      </c>
      <c r="E2785" t="s">
        <v>46</v>
      </c>
      <c r="F2785" t="s">
        <v>1</v>
      </c>
      <c r="G2785" t="s">
        <v>1019</v>
      </c>
      <c r="H2785" t="s">
        <v>446</v>
      </c>
      <c r="I2785" t="s">
        <v>1</v>
      </c>
      <c r="J2785">
        <v>8857.84</v>
      </c>
      <c r="K2785"/>
      <c r="L2785">
        <v>25</v>
      </c>
      <c r="M2785">
        <v>50.414364640883981</v>
      </c>
      <c r="N2785">
        <v>7552</v>
      </c>
      <c r="O2785">
        <v>50</v>
      </c>
      <c r="P2785">
        <v>0</v>
      </c>
      <c r="Q2785">
        <f t="shared" si="555"/>
        <v>50</v>
      </c>
      <c r="R2785">
        <v>50</v>
      </c>
      <c r="S2785">
        <f t="shared" si="556"/>
        <v>0</v>
      </c>
      <c r="T2785">
        <v>0.03</v>
      </c>
      <c r="U2785">
        <f t="shared" si="557"/>
        <v>1.5</v>
      </c>
      <c r="V2785">
        <f t="shared" si="558"/>
        <v>51.5</v>
      </c>
      <c r="W2785">
        <f t="shared" si="559"/>
        <v>1.5</v>
      </c>
      <c r="X2785" t="s">
        <v>1747</v>
      </c>
    </row>
    <row r="2786" spans="1:24" x14ac:dyDescent="0.25">
      <c r="A2786" t="s">
        <v>1928</v>
      </c>
      <c r="B2786" t="s">
        <v>2007</v>
      </c>
      <c r="C2786" t="s">
        <v>2152</v>
      </c>
      <c r="D2786" t="s">
        <v>290</v>
      </c>
      <c r="E2786" t="s">
        <v>47</v>
      </c>
      <c r="F2786" t="s">
        <v>1</v>
      </c>
      <c r="G2786" t="s">
        <v>1019</v>
      </c>
      <c r="H2786" t="s">
        <v>447</v>
      </c>
      <c r="I2786" t="s">
        <v>1</v>
      </c>
      <c r="J2786">
        <v>530</v>
      </c>
      <c r="K2786">
        <v>564</v>
      </c>
      <c r="L2786">
        <v>0</v>
      </c>
      <c r="M2786">
        <v>0</v>
      </c>
      <c r="N2786">
        <v>530</v>
      </c>
      <c r="O2786"/>
      <c r="P2786">
        <v>0</v>
      </c>
      <c r="Q2786">
        <f t="shared" si="555"/>
        <v>0</v>
      </c>
      <c r="R2786">
        <v>0</v>
      </c>
      <c r="S2786">
        <f t="shared" si="556"/>
        <v>0</v>
      </c>
      <c r="T2786">
        <v>0.03</v>
      </c>
      <c r="U2786">
        <f t="shared" si="557"/>
        <v>0</v>
      </c>
      <c r="V2786">
        <f t="shared" si="558"/>
        <v>0</v>
      </c>
      <c r="W2786">
        <f t="shared" si="559"/>
        <v>0</v>
      </c>
      <c r="X2786">
        <v>0</v>
      </c>
    </row>
    <row r="2787" spans="1:24" x14ac:dyDescent="0.25">
      <c r="A2787" t="s">
        <v>1928</v>
      </c>
      <c r="B2787" t="s">
        <v>2007</v>
      </c>
      <c r="C2787" t="s">
        <v>2152</v>
      </c>
      <c r="D2787" t="s">
        <v>290</v>
      </c>
      <c r="E2787" t="s">
        <v>48</v>
      </c>
      <c r="F2787" t="s">
        <v>1</v>
      </c>
      <c r="G2787" t="s">
        <v>1019</v>
      </c>
      <c r="H2787" t="s">
        <v>448</v>
      </c>
      <c r="I2787" t="s">
        <v>1</v>
      </c>
      <c r="J2787">
        <v>57.44</v>
      </c>
      <c r="K2787"/>
      <c r="L2787">
        <v>68.13</v>
      </c>
      <c r="M2787">
        <v>137.38922651933703</v>
      </c>
      <c r="N2787">
        <v>125.57</v>
      </c>
      <c r="O2787">
        <v>136.26</v>
      </c>
      <c r="P2787">
        <v>0</v>
      </c>
      <c r="Q2787">
        <f t="shared" si="555"/>
        <v>136.26</v>
      </c>
      <c r="R2787">
        <v>136.26</v>
      </c>
      <c r="S2787">
        <f t="shared" si="556"/>
        <v>0</v>
      </c>
      <c r="T2787">
        <v>0.03</v>
      </c>
      <c r="U2787">
        <f t="shared" si="557"/>
        <v>4.0877999999999997</v>
      </c>
      <c r="V2787">
        <f t="shared" si="558"/>
        <v>140.34779999999998</v>
      </c>
      <c r="W2787">
        <f t="shared" si="559"/>
        <v>4.0877999999999872</v>
      </c>
      <c r="X2787">
        <v>0</v>
      </c>
    </row>
    <row r="2788" spans="1:24" x14ac:dyDescent="0.25">
      <c r="A2788" t="s">
        <v>1928</v>
      </c>
      <c r="B2788" t="s">
        <v>2007</v>
      </c>
      <c r="C2788" t="s">
        <v>2152</v>
      </c>
      <c r="D2788" t="s">
        <v>290</v>
      </c>
      <c r="E2788" t="s">
        <v>50</v>
      </c>
      <c r="F2788" t="s">
        <v>1</v>
      </c>
      <c r="G2788" t="s">
        <v>1019</v>
      </c>
      <c r="H2788" t="s">
        <v>450</v>
      </c>
      <c r="I2788" t="s">
        <v>1</v>
      </c>
      <c r="J2788">
        <v>1599.77</v>
      </c>
      <c r="K2788">
        <v>1460.0000000001</v>
      </c>
      <c r="L2788">
        <v>914.28</v>
      </c>
      <c r="M2788">
        <v>1843.7138121546961</v>
      </c>
      <c r="N2788">
        <v>1801.01</v>
      </c>
      <c r="O2788">
        <v>1843.7138121547</v>
      </c>
      <c r="P2788">
        <v>0</v>
      </c>
      <c r="Q2788">
        <f t="shared" si="555"/>
        <v>1843.7138121547</v>
      </c>
      <c r="R2788">
        <v>1843.7138121547</v>
      </c>
      <c r="S2788">
        <f t="shared" si="556"/>
        <v>0</v>
      </c>
      <c r="T2788"/>
      <c r="U2788">
        <f t="shared" si="557"/>
        <v>0</v>
      </c>
      <c r="V2788">
        <f t="shared" si="558"/>
        <v>1843.7138121547</v>
      </c>
      <c r="W2788">
        <f t="shared" si="559"/>
        <v>0</v>
      </c>
      <c r="X2788">
        <v>0</v>
      </c>
    </row>
    <row r="2789" spans="1:24" x14ac:dyDescent="0.25">
      <c r="A2789" t="s">
        <v>1928</v>
      </c>
      <c r="B2789" t="s">
        <v>2007</v>
      </c>
      <c r="C2789" t="s">
        <v>2152</v>
      </c>
      <c r="D2789" t="s">
        <v>290</v>
      </c>
      <c r="E2789" t="s">
        <v>51</v>
      </c>
      <c r="F2789" t="s">
        <v>51</v>
      </c>
      <c r="G2789" t="s">
        <v>1022</v>
      </c>
      <c r="H2789"/>
      <c r="I2789"/>
      <c r="J2789">
        <v>23555766.080000006</v>
      </c>
      <c r="K2789">
        <v>24721083.368340343</v>
      </c>
      <c r="L2789">
        <v>11713289.599999998</v>
      </c>
      <c r="M2789">
        <v>23620722.121546965</v>
      </c>
      <c r="N2789">
        <v>23615342.260000005</v>
      </c>
      <c r="O2789">
        <v>23552859.160918619</v>
      </c>
      <c r="P2789">
        <f>SUMIF($F$2739:$F$2788,"&lt;&gt;EV_*",$P$2739:$P$2788)</f>
        <v>164894</v>
      </c>
      <c r="Q2789">
        <f>SUMIF($F$2739:$F$2788,"&lt;&gt;EV_*",$Q$2739:$Q$2788)</f>
        <v>23717753.160918619</v>
      </c>
      <c r="R2789">
        <f>SUMIF($F$2739:$F$2788,"&lt;&gt;EV_*",$R$2739:$R$2788)</f>
        <v>23718390.100673947</v>
      </c>
      <c r="S2789">
        <f>SUMIF($F$2739:$F$2788,"&lt;&gt;EV_*",$S$2739:$S$2788)</f>
        <v>636.93975532749494</v>
      </c>
      <c r="T2789">
        <v>0</v>
      </c>
      <c r="U2789">
        <f>SUMIF($F$2739:$F$2788,"&lt;&gt;EV_*",$U$2739:$U$2788)</f>
        <v>665378.50431566045</v>
      </c>
      <c r="V2789">
        <f>SUMIF($F$2739:$F$2788,"&lt;&gt;EV_*",$V$2739:$V$2788)</f>
        <v>24383768.604989614</v>
      </c>
      <c r="W2789">
        <f>SUMIF($F$2739:$F$2788,"&lt;&gt;EV_*",$W$2739:$W$2788)</f>
        <v>666015.44407098729</v>
      </c>
      <c r="X2789">
        <f>SUMIF($F$2739:$F$2788,"&lt;&gt;EV_*",$X$2739:$X$2788)</f>
        <v>0</v>
      </c>
    </row>
    <row r="2790" spans="1:24" x14ac:dyDescent="0.25">
      <c r="A2790" t="s">
        <v>1948</v>
      </c>
      <c r="B2790" t="s">
        <v>2126</v>
      </c>
      <c r="C2790" t="s">
        <v>2153</v>
      </c>
      <c r="D2790" t="s">
        <v>293</v>
      </c>
      <c r="E2790" t="s">
        <v>5</v>
      </c>
      <c r="F2790" t="s">
        <v>5</v>
      </c>
      <c r="G2790" t="s">
        <v>1023</v>
      </c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</row>
    <row r="2791" spans="1:24" x14ac:dyDescent="0.25">
      <c r="A2791" t="s">
        <v>1948</v>
      </c>
      <c r="B2791" t="s">
        <v>2126</v>
      </c>
      <c r="C2791" t="s">
        <v>2153</v>
      </c>
      <c r="D2791" t="s">
        <v>293</v>
      </c>
      <c r="E2791" t="s">
        <v>11</v>
      </c>
      <c r="F2791" t="s">
        <v>1</v>
      </c>
      <c r="G2791" t="s">
        <v>1024</v>
      </c>
      <c r="H2791" t="s">
        <v>411</v>
      </c>
      <c r="I2791" t="s">
        <v>1</v>
      </c>
      <c r="J2791">
        <v>5690.19</v>
      </c>
      <c r="K2791">
        <v>5588.0000000004002</v>
      </c>
      <c r="L2791">
        <v>2916</v>
      </c>
      <c r="M2791">
        <v>5880.3314917127072</v>
      </c>
      <c r="N2791">
        <v>5820.86</v>
      </c>
      <c r="O2791">
        <v>5832</v>
      </c>
      <c r="P2791">
        <v>0</v>
      </c>
      <c r="Q2791">
        <f t="shared" ref="Q2791:Q2797" si="560">O2791+P2791</f>
        <v>5832</v>
      </c>
      <c r="R2791">
        <v>5832</v>
      </c>
      <c r="S2791">
        <f t="shared" ref="S2791:S2797" si="561">IF(OR(LEFT(E2791,2)="A_",LEFT(D2791,5)="Total"),R2791-Q2791,"")</f>
        <v>0</v>
      </c>
      <c r="T2791"/>
      <c r="U2791">
        <f t="shared" ref="U2791:U2797" si="562">IFERROR(R2791*T2791,R2791*0)</f>
        <v>0</v>
      </c>
      <c r="V2791">
        <f t="shared" ref="V2791:V2797" si="563">IF(OR(LEFT(E2791,2)="A_",LEFT(D2791,5)="Total"),R2791+U2791,"")</f>
        <v>5832</v>
      </c>
      <c r="W2791">
        <f t="shared" ref="W2791:W2797" si="564">IF(OR(LEFT(E2791,2)="A_",LEFT(D2791,5)="Total"),V2791-Q2791,"")</f>
        <v>0</v>
      </c>
      <c r="X2791">
        <v>0</v>
      </c>
    </row>
    <row r="2792" spans="1:24" x14ac:dyDescent="0.25">
      <c r="A2792" t="s">
        <v>1948</v>
      </c>
      <c r="B2792" t="s">
        <v>2126</v>
      </c>
      <c r="C2792" t="s">
        <v>2153</v>
      </c>
      <c r="D2792" t="s">
        <v>293</v>
      </c>
      <c r="E2792" t="s">
        <v>18</v>
      </c>
      <c r="F2792" t="s">
        <v>1</v>
      </c>
      <c r="G2792" t="s">
        <v>1024</v>
      </c>
      <c r="H2792" t="s">
        <v>418</v>
      </c>
      <c r="I2792" t="s">
        <v>1</v>
      </c>
      <c r="J2792">
        <v>481</v>
      </c>
      <c r="K2792"/>
      <c r="L2792">
        <v>0</v>
      </c>
      <c r="M2792">
        <v>0</v>
      </c>
      <c r="N2792">
        <v>0</v>
      </c>
      <c r="O2792"/>
      <c r="P2792">
        <v>0</v>
      </c>
      <c r="Q2792">
        <f t="shared" si="560"/>
        <v>0</v>
      </c>
      <c r="R2792">
        <v>0</v>
      </c>
      <c r="S2792">
        <f t="shared" si="561"/>
        <v>0</v>
      </c>
      <c r="T2792">
        <v>0.02</v>
      </c>
      <c r="U2792">
        <f t="shared" si="562"/>
        <v>0</v>
      </c>
      <c r="V2792">
        <f t="shared" si="563"/>
        <v>0</v>
      </c>
      <c r="W2792">
        <f t="shared" si="564"/>
        <v>0</v>
      </c>
      <c r="X2792">
        <v>0</v>
      </c>
    </row>
    <row r="2793" spans="1:24" x14ac:dyDescent="0.25">
      <c r="A2793" t="s">
        <v>1948</v>
      </c>
      <c r="B2793" t="s">
        <v>2126</v>
      </c>
      <c r="C2793" t="s">
        <v>2153</v>
      </c>
      <c r="D2793" t="s">
        <v>293</v>
      </c>
      <c r="E2793" t="s">
        <v>76</v>
      </c>
      <c r="F2793" t="s">
        <v>1</v>
      </c>
      <c r="G2793" t="s">
        <v>1024</v>
      </c>
      <c r="H2793" t="s">
        <v>493</v>
      </c>
      <c r="I2793" t="s">
        <v>1</v>
      </c>
      <c r="J2793">
        <v>37524.54</v>
      </c>
      <c r="K2793">
        <v>19662</v>
      </c>
      <c r="L2793">
        <v>9831</v>
      </c>
      <c r="M2793">
        <v>19824.944751381216</v>
      </c>
      <c r="N2793">
        <v>37524.539999999994</v>
      </c>
      <c r="O2793">
        <v>19662</v>
      </c>
      <c r="P2793">
        <v>0</v>
      </c>
      <c r="Q2793">
        <f t="shared" si="560"/>
        <v>19662</v>
      </c>
      <c r="R2793">
        <v>19662</v>
      </c>
      <c r="S2793">
        <f t="shared" si="561"/>
        <v>0</v>
      </c>
      <c r="T2793">
        <v>0.03</v>
      </c>
      <c r="U2793">
        <f t="shared" si="562"/>
        <v>589.86</v>
      </c>
      <c r="V2793">
        <f t="shared" si="563"/>
        <v>20251.86</v>
      </c>
      <c r="W2793">
        <f t="shared" si="564"/>
        <v>589.86000000000058</v>
      </c>
      <c r="X2793">
        <v>0</v>
      </c>
    </row>
    <row r="2794" spans="1:24" x14ac:dyDescent="0.25">
      <c r="A2794" t="s">
        <v>1948</v>
      </c>
      <c r="B2794" t="s">
        <v>2126</v>
      </c>
      <c r="C2794" t="s">
        <v>2153</v>
      </c>
      <c r="D2794" t="s">
        <v>293</v>
      </c>
      <c r="E2794" t="s">
        <v>41</v>
      </c>
      <c r="F2794" t="s">
        <v>1</v>
      </c>
      <c r="G2794" t="s">
        <v>1024</v>
      </c>
      <c r="H2794" t="s">
        <v>441</v>
      </c>
      <c r="I2794" t="s">
        <v>1</v>
      </c>
      <c r="J2794">
        <v>16.2</v>
      </c>
      <c r="K2794">
        <v>31.822556364</v>
      </c>
      <c r="L2794">
        <v>0</v>
      </c>
      <c r="M2794">
        <v>0</v>
      </c>
      <c r="N2794">
        <v>0</v>
      </c>
      <c r="O2794"/>
      <c r="P2794">
        <v>0</v>
      </c>
      <c r="Q2794">
        <f t="shared" si="560"/>
        <v>0</v>
      </c>
      <c r="R2794">
        <v>0</v>
      </c>
      <c r="S2794">
        <f t="shared" si="561"/>
        <v>0</v>
      </c>
      <c r="T2794">
        <v>0.03</v>
      </c>
      <c r="U2794">
        <f t="shared" si="562"/>
        <v>0</v>
      </c>
      <c r="V2794">
        <f t="shared" si="563"/>
        <v>0</v>
      </c>
      <c r="W2794">
        <f t="shared" si="564"/>
        <v>0</v>
      </c>
      <c r="X2794">
        <v>0</v>
      </c>
    </row>
    <row r="2795" spans="1:24" x14ac:dyDescent="0.25">
      <c r="A2795" t="s">
        <v>1948</v>
      </c>
      <c r="B2795" t="s">
        <v>2126</v>
      </c>
      <c r="C2795" t="s">
        <v>2153</v>
      </c>
      <c r="D2795" t="s">
        <v>293</v>
      </c>
      <c r="E2795" t="s">
        <v>140</v>
      </c>
      <c r="F2795" t="s">
        <v>1</v>
      </c>
      <c r="G2795" t="s">
        <v>1024</v>
      </c>
      <c r="H2795" t="s">
        <v>637</v>
      </c>
      <c r="I2795" t="s">
        <v>1</v>
      </c>
      <c r="J2795">
        <v>36579.699999999997</v>
      </c>
      <c r="K2795">
        <v>37391.0000000004</v>
      </c>
      <c r="L2795">
        <v>18000</v>
      </c>
      <c r="M2795">
        <v>36298.342541436461</v>
      </c>
      <c r="N2795">
        <v>36000</v>
      </c>
      <c r="O2795">
        <v>36000</v>
      </c>
      <c r="P2795">
        <v>0</v>
      </c>
      <c r="Q2795">
        <f t="shared" si="560"/>
        <v>36000</v>
      </c>
      <c r="R2795">
        <v>36000</v>
      </c>
      <c r="S2795">
        <f t="shared" si="561"/>
        <v>0</v>
      </c>
      <c r="T2795">
        <v>0.03</v>
      </c>
      <c r="U2795">
        <f t="shared" si="562"/>
        <v>1080</v>
      </c>
      <c r="V2795">
        <f t="shared" si="563"/>
        <v>37080</v>
      </c>
      <c r="W2795">
        <f t="shared" si="564"/>
        <v>1080</v>
      </c>
      <c r="X2795">
        <v>0</v>
      </c>
    </row>
    <row r="2796" spans="1:24" x14ac:dyDescent="0.25">
      <c r="A2796" t="s">
        <v>1948</v>
      </c>
      <c r="B2796" t="s">
        <v>2126</v>
      </c>
      <c r="C2796" t="s">
        <v>2153</v>
      </c>
      <c r="D2796" t="s">
        <v>293</v>
      </c>
      <c r="E2796" t="s">
        <v>42</v>
      </c>
      <c r="F2796" t="s">
        <v>1</v>
      </c>
      <c r="G2796" t="s">
        <v>1024</v>
      </c>
      <c r="H2796" t="s">
        <v>442</v>
      </c>
      <c r="I2796" t="s">
        <v>1</v>
      </c>
      <c r="J2796"/>
      <c r="K2796"/>
      <c r="L2796">
        <v>35736.18</v>
      </c>
      <c r="M2796">
        <v>72064.672375690614</v>
      </c>
      <c r="N2796">
        <v>35736.18</v>
      </c>
      <c r="O2796">
        <v>71472.36</v>
      </c>
      <c r="P2796">
        <v>0</v>
      </c>
      <c r="Q2796">
        <f t="shared" si="560"/>
        <v>71472.36</v>
      </c>
      <c r="R2796">
        <v>71472.36</v>
      </c>
      <c r="S2796">
        <f t="shared" si="561"/>
        <v>0</v>
      </c>
      <c r="T2796">
        <v>0.03</v>
      </c>
      <c r="U2796">
        <f t="shared" si="562"/>
        <v>2144.1707999999999</v>
      </c>
      <c r="V2796">
        <f t="shared" si="563"/>
        <v>73616.530800000008</v>
      </c>
      <c r="W2796">
        <f t="shared" si="564"/>
        <v>2144.1708000000071</v>
      </c>
      <c r="X2796" t="s">
        <v>1748</v>
      </c>
    </row>
    <row r="2797" spans="1:24" x14ac:dyDescent="0.25">
      <c r="A2797" t="s">
        <v>1948</v>
      </c>
      <c r="B2797" t="s">
        <v>2126</v>
      </c>
      <c r="C2797" t="s">
        <v>2153</v>
      </c>
      <c r="D2797" t="s">
        <v>293</v>
      </c>
      <c r="E2797" t="s">
        <v>48</v>
      </c>
      <c r="F2797" t="s">
        <v>1</v>
      </c>
      <c r="G2797" t="s">
        <v>1024</v>
      </c>
      <c r="H2797" t="s">
        <v>448</v>
      </c>
      <c r="I2797" t="s">
        <v>1</v>
      </c>
      <c r="J2797"/>
      <c r="K2797"/>
      <c r="L2797">
        <v>48.66</v>
      </c>
      <c r="M2797">
        <v>98.126519337016575</v>
      </c>
      <c r="N2797">
        <v>48.66</v>
      </c>
      <c r="O2797">
        <v>97.32</v>
      </c>
      <c r="P2797">
        <v>0</v>
      </c>
      <c r="Q2797">
        <f t="shared" si="560"/>
        <v>97.32</v>
      </c>
      <c r="R2797">
        <v>97.32</v>
      </c>
      <c r="S2797">
        <f t="shared" si="561"/>
        <v>0</v>
      </c>
      <c r="T2797">
        <v>0.03</v>
      </c>
      <c r="U2797">
        <f t="shared" si="562"/>
        <v>2.9195999999999995</v>
      </c>
      <c r="V2797">
        <f t="shared" si="563"/>
        <v>100.2396</v>
      </c>
      <c r="W2797">
        <f t="shared" si="564"/>
        <v>2.9196000000000026</v>
      </c>
      <c r="X2797">
        <v>0</v>
      </c>
    </row>
    <row r="2798" spans="1:24" x14ac:dyDescent="0.25">
      <c r="A2798" t="s">
        <v>1948</v>
      </c>
      <c r="B2798" t="s">
        <v>2126</v>
      </c>
      <c r="C2798" t="s">
        <v>2153</v>
      </c>
      <c r="D2798" t="s">
        <v>293</v>
      </c>
      <c r="E2798" t="s">
        <v>51</v>
      </c>
      <c r="F2798" t="s">
        <v>51</v>
      </c>
      <c r="G2798" t="s">
        <v>1025</v>
      </c>
      <c r="H2798"/>
      <c r="I2798"/>
      <c r="J2798">
        <v>80291.63</v>
      </c>
      <c r="K2798">
        <v>62672.822556364801</v>
      </c>
      <c r="L2798">
        <v>66531.839999999997</v>
      </c>
      <c r="M2798">
        <v>134166.41767955798</v>
      </c>
      <c r="N2798">
        <v>115130.23999999999</v>
      </c>
      <c r="O2798">
        <v>133063.67999999999</v>
      </c>
      <c r="P2798">
        <f>SUMIF($F$2790:$F$2797,"&lt;&gt;EV_*",$P$2790:$P$2797)</f>
        <v>0</v>
      </c>
      <c r="Q2798">
        <f>SUMIF($F$2790:$F$2797,"&lt;&gt;EV_*",$Q$2790:$Q$2797)</f>
        <v>133063.67999999999</v>
      </c>
      <c r="R2798">
        <f>SUMIF($F$2790:$F$2797,"&lt;&gt;EV_*",$R$2790:$R$2797)</f>
        <v>133063.67999999999</v>
      </c>
      <c r="S2798">
        <f>SUMIF($F$2790:$F$2797,"&lt;&gt;EV_*",$S$2790:$S$2797)</f>
        <v>0</v>
      </c>
      <c r="T2798">
        <v>0</v>
      </c>
      <c r="U2798">
        <f>SUMIF($F$2790:$F$2797,"&lt;&gt;EV_*",$U$2790:$U$2797)</f>
        <v>3816.9504000000002</v>
      </c>
      <c r="V2798">
        <f>SUMIF($F$2790:$F$2797,"&lt;&gt;EV_*",$V$2790:$V$2797)</f>
        <v>136880.63039999999</v>
      </c>
      <c r="W2798">
        <f>SUMIF($F$2790:$F$2797,"&lt;&gt;EV_*",$W$2790:$W$2797)</f>
        <v>3816.9504000000079</v>
      </c>
      <c r="X2798">
        <f>SUMIF($F$2790:$F$2797,"&lt;&gt;EV_*",$X$2790:$X$2797)</f>
        <v>0</v>
      </c>
    </row>
    <row r="2799" spans="1:24" x14ac:dyDescent="0.25">
      <c r="A2799" t="s">
        <v>2025</v>
      </c>
      <c r="B2799" t="s">
        <v>2126</v>
      </c>
      <c r="C2799" t="s">
        <v>2154</v>
      </c>
      <c r="D2799" t="s">
        <v>294</v>
      </c>
      <c r="E2799" t="s">
        <v>5</v>
      </c>
      <c r="F2799" t="s">
        <v>5</v>
      </c>
      <c r="G2799" t="s">
        <v>1026</v>
      </c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</row>
    <row r="2800" spans="1:24" x14ac:dyDescent="0.25">
      <c r="A2800" t="s">
        <v>2025</v>
      </c>
      <c r="B2800" t="s">
        <v>2126</v>
      </c>
      <c r="C2800" t="s">
        <v>2154</v>
      </c>
      <c r="D2800" t="s">
        <v>294</v>
      </c>
      <c r="E2800" t="s">
        <v>6</v>
      </c>
      <c r="F2800" t="s">
        <v>1</v>
      </c>
      <c r="G2800" t="s">
        <v>1027</v>
      </c>
      <c r="H2800" t="s">
        <v>406</v>
      </c>
      <c r="I2800" t="s">
        <v>1</v>
      </c>
      <c r="J2800">
        <v>23786.04</v>
      </c>
      <c r="K2800">
        <v>23786.0000000004</v>
      </c>
      <c r="L2800">
        <v>16242.48</v>
      </c>
      <c r="M2800">
        <v>32754.172375690607</v>
      </c>
      <c r="N2800">
        <v>28135.500000000007</v>
      </c>
      <c r="O2800">
        <v>32484.959999999999</v>
      </c>
      <c r="P2800">
        <v>0</v>
      </c>
      <c r="Q2800">
        <f t="shared" ref="Q2800:Q2817" si="565">O2800+P2800</f>
        <v>32484.959999999999</v>
      </c>
      <c r="R2800">
        <v>32484.959999999999</v>
      </c>
      <c r="S2800">
        <f t="shared" ref="S2800:S2817" si="566">IF(OR(LEFT(E2800,2)="A_",LEFT(D2800,5)="Total"),R2800-Q2800,"")</f>
        <v>0</v>
      </c>
      <c r="T2800"/>
      <c r="U2800">
        <f t="shared" ref="U2800:U2817" si="567">IFERROR(R2800*T2800,R2800*0)</f>
        <v>0</v>
      </c>
      <c r="V2800">
        <f t="shared" ref="V2800:V2817" si="568">IF(OR(LEFT(E2800,2)="A_",LEFT(D2800,5)="Total"),R2800+U2800,"")</f>
        <v>32484.959999999999</v>
      </c>
      <c r="W2800">
        <f t="shared" ref="W2800:W2817" si="569">IF(OR(LEFT(E2800,2)="A_",LEFT(D2800,5)="Total"),V2800-Q2800,"")</f>
        <v>0</v>
      </c>
      <c r="X2800" t="s">
        <v>1749</v>
      </c>
    </row>
    <row r="2801" spans="1:24" x14ac:dyDescent="0.25">
      <c r="A2801" t="s">
        <v>2025</v>
      </c>
      <c r="B2801" t="s">
        <v>2126</v>
      </c>
      <c r="C2801" t="s">
        <v>2154</v>
      </c>
      <c r="D2801" t="s">
        <v>294</v>
      </c>
      <c r="E2801" t="s">
        <v>11</v>
      </c>
      <c r="F2801" t="s">
        <v>1</v>
      </c>
      <c r="G2801" t="s">
        <v>1027</v>
      </c>
      <c r="H2801" t="s">
        <v>411</v>
      </c>
      <c r="I2801" t="s">
        <v>1</v>
      </c>
      <c r="J2801">
        <v>23363.46</v>
      </c>
      <c r="K2801">
        <v>20784.27</v>
      </c>
      <c r="L2801">
        <v>7836.86</v>
      </c>
      <c r="M2801">
        <v>15803.612707182319</v>
      </c>
      <c r="N2801">
        <v>19167.919999999998</v>
      </c>
      <c r="O2801">
        <v>15673.72</v>
      </c>
      <c r="P2801">
        <v>0</v>
      </c>
      <c r="Q2801">
        <f t="shared" si="565"/>
        <v>15673.72</v>
      </c>
      <c r="R2801">
        <v>15673.72</v>
      </c>
      <c r="S2801">
        <f t="shared" si="566"/>
        <v>0</v>
      </c>
      <c r="T2801"/>
      <c r="U2801">
        <f t="shared" si="567"/>
        <v>0</v>
      </c>
      <c r="V2801">
        <f t="shared" si="568"/>
        <v>15673.72</v>
      </c>
      <c r="W2801">
        <f t="shared" si="569"/>
        <v>0</v>
      </c>
      <c r="X2801">
        <v>0</v>
      </c>
    </row>
    <row r="2802" spans="1:24" x14ac:dyDescent="0.25">
      <c r="A2802" t="s">
        <v>2025</v>
      </c>
      <c r="B2802" t="s">
        <v>2126</v>
      </c>
      <c r="C2802" t="s">
        <v>2154</v>
      </c>
      <c r="D2802" t="s">
        <v>294</v>
      </c>
      <c r="E2802" t="s">
        <v>12</v>
      </c>
      <c r="F2802" t="s">
        <v>1</v>
      </c>
      <c r="G2802" t="s">
        <v>1027</v>
      </c>
      <c r="H2802" t="s">
        <v>412</v>
      </c>
      <c r="I2802" t="s">
        <v>1</v>
      </c>
      <c r="J2802">
        <v>89302.47</v>
      </c>
      <c r="K2802">
        <v>89301.999999999607</v>
      </c>
      <c r="L2802">
        <v>44651.28</v>
      </c>
      <c r="M2802">
        <v>90042.636464088398</v>
      </c>
      <c r="N2802">
        <v>89302.53</v>
      </c>
      <c r="O2802">
        <v>89302.56</v>
      </c>
      <c r="P2802">
        <v>0</v>
      </c>
      <c r="Q2802">
        <f t="shared" si="565"/>
        <v>89302.56</v>
      </c>
      <c r="R2802">
        <v>89302.56</v>
      </c>
      <c r="S2802">
        <f t="shared" si="566"/>
        <v>0</v>
      </c>
      <c r="T2802"/>
      <c r="U2802">
        <f t="shared" si="567"/>
        <v>0</v>
      </c>
      <c r="V2802">
        <f t="shared" si="568"/>
        <v>89302.56</v>
      </c>
      <c r="W2802">
        <f t="shared" si="569"/>
        <v>0</v>
      </c>
      <c r="X2802" t="s">
        <v>1750</v>
      </c>
    </row>
    <row r="2803" spans="1:24" x14ac:dyDescent="0.25">
      <c r="A2803" t="s">
        <v>2025</v>
      </c>
      <c r="B2803" t="s">
        <v>2126</v>
      </c>
      <c r="C2803" t="s">
        <v>2154</v>
      </c>
      <c r="D2803" t="s">
        <v>294</v>
      </c>
      <c r="E2803" t="s">
        <v>72</v>
      </c>
      <c r="F2803" t="s">
        <v>1</v>
      </c>
      <c r="G2803" t="s">
        <v>1027</v>
      </c>
      <c r="H2803" t="s">
        <v>489</v>
      </c>
      <c r="I2803" t="s">
        <v>1</v>
      </c>
      <c r="J2803"/>
      <c r="K2803"/>
      <c r="L2803">
        <v>1214.29</v>
      </c>
      <c r="M2803">
        <v>2448.7063535911602</v>
      </c>
      <c r="N2803">
        <v>1214.29</v>
      </c>
      <c r="O2803">
        <v>2441.9238461538998</v>
      </c>
      <c r="P2803">
        <v>0</v>
      </c>
      <c r="Q2803">
        <f t="shared" si="565"/>
        <v>2441.9238461538998</v>
      </c>
      <c r="R2803">
        <v>0</v>
      </c>
      <c r="S2803">
        <f t="shared" si="566"/>
        <v>-2441.9238461538998</v>
      </c>
      <c r="T2803">
        <v>2.2499999999999999E-2</v>
      </c>
      <c r="U2803">
        <f t="shared" si="567"/>
        <v>0</v>
      </c>
      <c r="V2803">
        <f t="shared" si="568"/>
        <v>0</v>
      </c>
      <c r="W2803">
        <f t="shared" si="569"/>
        <v>-2441.9238461538998</v>
      </c>
      <c r="X2803">
        <v>0</v>
      </c>
    </row>
    <row r="2804" spans="1:24" x14ac:dyDescent="0.25">
      <c r="A2804" t="s">
        <v>2025</v>
      </c>
      <c r="B2804" t="s">
        <v>2126</v>
      </c>
      <c r="C2804" t="s">
        <v>2154</v>
      </c>
      <c r="D2804" t="s">
        <v>294</v>
      </c>
      <c r="E2804" t="s">
        <v>18</v>
      </c>
      <c r="F2804" t="s">
        <v>1</v>
      </c>
      <c r="G2804" t="s">
        <v>1027</v>
      </c>
      <c r="H2804" t="s">
        <v>418</v>
      </c>
      <c r="I2804" t="s">
        <v>1</v>
      </c>
      <c r="J2804"/>
      <c r="K2804">
        <v>510</v>
      </c>
      <c r="L2804">
        <v>0</v>
      </c>
      <c r="M2804">
        <v>0</v>
      </c>
      <c r="N2804">
        <v>0</v>
      </c>
      <c r="O2804"/>
      <c r="P2804">
        <v>0</v>
      </c>
      <c r="Q2804">
        <f t="shared" si="565"/>
        <v>0</v>
      </c>
      <c r="R2804">
        <v>0</v>
      </c>
      <c r="S2804">
        <f t="shared" si="566"/>
        <v>0</v>
      </c>
      <c r="T2804">
        <v>0.02</v>
      </c>
      <c r="U2804">
        <f t="shared" si="567"/>
        <v>0</v>
      </c>
      <c r="V2804">
        <f t="shared" si="568"/>
        <v>0</v>
      </c>
      <c r="W2804">
        <f t="shared" si="569"/>
        <v>0</v>
      </c>
      <c r="X2804">
        <v>0</v>
      </c>
    </row>
    <row r="2805" spans="1:24" x14ac:dyDescent="0.25">
      <c r="A2805" t="s">
        <v>2025</v>
      </c>
      <c r="B2805" t="s">
        <v>2126</v>
      </c>
      <c r="C2805" t="s">
        <v>2154</v>
      </c>
      <c r="D2805" t="s">
        <v>294</v>
      </c>
      <c r="E2805" t="s">
        <v>21</v>
      </c>
      <c r="F2805" t="s">
        <v>1</v>
      </c>
      <c r="G2805" t="s">
        <v>1027</v>
      </c>
      <c r="H2805" t="s">
        <v>421</v>
      </c>
      <c r="I2805" t="s">
        <v>1</v>
      </c>
      <c r="J2805">
        <v>280.17</v>
      </c>
      <c r="K2805">
        <v>206.00000000009999</v>
      </c>
      <c r="L2805">
        <v>0</v>
      </c>
      <c r="M2805">
        <v>0</v>
      </c>
      <c r="N2805">
        <v>50.36</v>
      </c>
      <c r="O2805"/>
      <c r="P2805">
        <v>0</v>
      </c>
      <c r="Q2805">
        <f t="shared" si="565"/>
        <v>0</v>
      </c>
      <c r="R2805">
        <v>0</v>
      </c>
      <c r="S2805">
        <f t="shared" si="566"/>
        <v>0</v>
      </c>
      <c r="T2805">
        <v>0.03</v>
      </c>
      <c r="U2805">
        <f t="shared" si="567"/>
        <v>0</v>
      </c>
      <c r="V2805">
        <f t="shared" si="568"/>
        <v>0</v>
      </c>
      <c r="W2805">
        <f t="shared" si="569"/>
        <v>0</v>
      </c>
      <c r="X2805">
        <v>0</v>
      </c>
    </row>
    <row r="2806" spans="1:24" x14ac:dyDescent="0.25">
      <c r="A2806" t="s">
        <v>2025</v>
      </c>
      <c r="B2806" t="s">
        <v>2126</v>
      </c>
      <c r="C2806" t="s">
        <v>2154</v>
      </c>
      <c r="D2806" t="s">
        <v>294</v>
      </c>
      <c r="E2806" t="s">
        <v>22</v>
      </c>
      <c r="F2806" t="s">
        <v>1</v>
      </c>
      <c r="G2806" t="s">
        <v>1027</v>
      </c>
      <c r="H2806" t="s">
        <v>422</v>
      </c>
      <c r="I2806" t="s">
        <v>1</v>
      </c>
      <c r="J2806">
        <v>1068.2</v>
      </c>
      <c r="K2806">
        <v>1035</v>
      </c>
      <c r="L2806">
        <v>451.65</v>
      </c>
      <c r="M2806">
        <v>910.78591160220992</v>
      </c>
      <c r="N2806">
        <v>1068.04</v>
      </c>
      <c r="O2806">
        <v>910.78591160220003</v>
      </c>
      <c r="P2806">
        <v>0</v>
      </c>
      <c r="Q2806">
        <f t="shared" si="565"/>
        <v>910.78591160220003</v>
      </c>
      <c r="R2806">
        <v>1000</v>
      </c>
      <c r="S2806">
        <f t="shared" si="566"/>
        <v>89.214088397799969</v>
      </c>
      <c r="T2806">
        <v>3.5000000000000003E-2</v>
      </c>
      <c r="U2806">
        <f t="shared" si="567"/>
        <v>35</v>
      </c>
      <c r="V2806">
        <f t="shared" si="568"/>
        <v>1035</v>
      </c>
      <c r="W2806">
        <f t="shared" si="569"/>
        <v>124.21408839779997</v>
      </c>
      <c r="X2806">
        <v>0</v>
      </c>
    </row>
    <row r="2807" spans="1:24" x14ac:dyDescent="0.25">
      <c r="A2807" t="s">
        <v>2025</v>
      </c>
      <c r="B2807" t="s">
        <v>2126</v>
      </c>
      <c r="C2807" t="s">
        <v>2154</v>
      </c>
      <c r="D2807" t="s">
        <v>294</v>
      </c>
      <c r="E2807" t="s">
        <v>23</v>
      </c>
      <c r="F2807" t="s">
        <v>1</v>
      </c>
      <c r="G2807" t="s">
        <v>1027</v>
      </c>
      <c r="H2807" t="s">
        <v>423</v>
      </c>
      <c r="I2807" t="s">
        <v>1</v>
      </c>
      <c r="J2807"/>
      <c r="K2807"/>
      <c r="L2807">
        <v>3.26</v>
      </c>
      <c r="M2807">
        <v>6.5740331491712709</v>
      </c>
      <c r="N2807">
        <v>3.26</v>
      </c>
      <c r="O2807">
        <v>6.5740331491999999</v>
      </c>
      <c r="P2807">
        <v>0</v>
      </c>
      <c r="Q2807">
        <f t="shared" si="565"/>
        <v>6.5740331491999999</v>
      </c>
      <c r="R2807">
        <v>0</v>
      </c>
      <c r="S2807">
        <f t="shared" si="566"/>
        <v>-6.5740331491999999</v>
      </c>
      <c r="T2807">
        <v>3.5000000000000003E-2</v>
      </c>
      <c r="U2807">
        <f t="shared" si="567"/>
        <v>0</v>
      </c>
      <c r="V2807">
        <f t="shared" si="568"/>
        <v>0</v>
      </c>
      <c r="W2807">
        <f t="shared" si="569"/>
        <v>-6.5740331491999999</v>
      </c>
      <c r="X2807">
        <v>0</v>
      </c>
    </row>
    <row r="2808" spans="1:24" x14ac:dyDescent="0.25">
      <c r="A2808" t="s">
        <v>2025</v>
      </c>
      <c r="B2808" t="s">
        <v>2126</v>
      </c>
      <c r="C2808" t="s">
        <v>2154</v>
      </c>
      <c r="D2808" t="s">
        <v>294</v>
      </c>
      <c r="E2808" t="s">
        <v>25</v>
      </c>
      <c r="F2808" t="s">
        <v>1</v>
      </c>
      <c r="G2808" t="s">
        <v>1027</v>
      </c>
      <c r="H2808" t="s">
        <v>425</v>
      </c>
      <c r="I2808" t="s">
        <v>1</v>
      </c>
      <c r="J2808">
        <v>19151.28</v>
      </c>
      <c r="K2808">
        <v>9576</v>
      </c>
      <c r="L2808">
        <v>0</v>
      </c>
      <c r="M2808">
        <v>0</v>
      </c>
      <c r="N2808">
        <v>9575.64</v>
      </c>
      <c r="O2808"/>
      <c r="P2808">
        <v>0</v>
      </c>
      <c r="Q2808">
        <f t="shared" si="565"/>
        <v>0</v>
      </c>
      <c r="R2808">
        <v>0</v>
      </c>
      <c r="S2808">
        <f t="shared" si="566"/>
        <v>0</v>
      </c>
      <c r="T2808"/>
      <c r="U2808">
        <f t="shared" si="567"/>
        <v>0</v>
      </c>
      <c r="V2808">
        <f t="shared" si="568"/>
        <v>0</v>
      </c>
      <c r="W2808">
        <f t="shared" si="569"/>
        <v>0</v>
      </c>
      <c r="X2808">
        <v>0</v>
      </c>
    </row>
    <row r="2809" spans="1:24" x14ac:dyDescent="0.25">
      <c r="A2809" t="s">
        <v>2025</v>
      </c>
      <c r="B2809" t="s">
        <v>2126</v>
      </c>
      <c r="C2809" t="s">
        <v>2154</v>
      </c>
      <c r="D2809" t="s">
        <v>294</v>
      </c>
      <c r="E2809" t="s">
        <v>26</v>
      </c>
      <c r="F2809" t="s">
        <v>1</v>
      </c>
      <c r="G2809" t="s">
        <v>1027</v>
      </c>
      <c r="H2809" t="s">
        <v>426</v>
      </c>
      <c r="I2809" t="s">
        <v>1</v>
      </c>
      <c r="J2809"/>
      <c r="K2809">
        <v>3758.1429505679998</v>
      </c>
      <c r="L2809">
        <v>0</v>
      </c>
      <c r="M2809">
        <v>0</v>
      </c>
      <c r="N2809">
        <v>0</v>
      </c>
      <c r="O2809"/>
      <c r="P2809">
        <v>0</v>
      </c>
      <c r="Q2809">
        <f t="shared" si="565"/>
        <v>0</v>
      </c>
      <c r="R2809">
        <v>2500</v>
      </c>
      <c r="S2809">
        <f t="shared" si="566"/>
        <v>2500</v>
      </c>
      <c r="T2809"/>
      <c r="U2809">
        <f t="shared" si="567"/>
        <v>0</v>
      </c>
      <c r="V2809">
        <f t="shared" si="568"/>
        <v>2500</v>
      </c>
      <c r="W2809">
        <f t="shared" si="569"/>
        <v>2500</v>
      </c>
      <c r="X2809">
        <v>0</v>
      </c>
    </row>
    <row r="2810" spans="1:24" x14ac:dyDescent="0.25">
      <c r="A2810" t="s">
        <v>2025</v>
      </c>
      <c r="B2810" t="s">
        <v>2126</v>
      </c>
      <c r="C2810" t="s">
        <v>2154</v>
      </c>
      <c r="D2810" t="s">
        <v>294</v>
      </c>
      <c r="E2810" t="s">
        <v>28</v>
      </c>
      <c r="F2810" t="s">
        <v>1</v>
      </c>
      <c r="G2810" t="s">
        <v>1027</v>
      </c>
      <c r="H2810" t="s">
        <v>428</v>
      </c>
      <c r="I2810" t="s">
        <v>1</v>
      </c>
      <c r="J2810">
        <v>13.29</v>
      </c>
      <c r="K2810">
        <v>30</v>
      </c>
      <c r="L2810">
        <v>0</v>
      </c>
      <c r="M2810">
        <v>0</v>
      </c>
      <c r="N2810">
        <v>0</v>
      </c>
      <c r="O2810"/>
      <c r="P2810">
        <v>0</v>
      </c>
      <c r="Q2810">
        <f t="shared" si="565"/>
        <v>0</v>
      </c>
      <c r="R2810">
        <v>0</v>
      </c>
      <c r="S2810">
        <f t="shared" si="566"/>
        <v>0</v>
      </c>
      <c r="T2810"/>
      <c r="U2810">
        <f t="shared" si="567"/>
        <v>0</v>
      </c>
      <c r="V2810">
        <f t="shared" si="568"/>
        <v>0</v>
      </c>
      <c r="W2810">
        <f t="shared" si="569"/>
        <v>0</v>
      </c>
      <c r="X2810">
        <v>0</v>
      </c>
    </row>
    <row r="2811" spans="1:24" x14ac:dyDescent="0.25">
      <c r="A2811" t="s">
        <v>2025</v>
      </c>
      <c r="B2811" t="s">
        <v>2126</v>
      </c>
      <c r="C2811" t="s">
        <v>2154</v>
      </c>
      <c r="D2811" t="s">
        <v>294</v>
      </c>
      <c r="E2811" t="s">
        <v>34</v>
      </c>
      <c r="F2811" t="s">
        <v>1</v>
      </c>
      <c r="G2811" t="s">
        <v>1027</v>
      </c>
      <c r="H2811" t="s">
        <v>434</v>
      </c>
      <c r="I2811" t="s">
        <v>1</v>
      </c>
      <c r="J2811"/>
      <c r="K2811">
        <v>981.23836829519996</v>
      </c>
      <c r="L2811">
        <v>0</v>
      </c>
      <c r="M2811">
        <v>0</v>
      </c>
      <c r="N2811">
        <v>0</v>
      </c>
      <c r="O2811"/>
      <c r="P2811">
        <v>0</v>
      </c>
      <c r="Q2811">
        <f t="shared" si="565"/>
        <v>0</v>
      </c>
      <c r="R2811">
        <v>981.23836829519996</v>
      </c>
      <c r="S2811">
        <f t="shared" si="566"/>
        <v>981.23836829519996</v>
      </c>
      <c r="T2811"/>
      <c r="U2811">
        <f t="shared" si="567"/>
        <v>0</v>
      </c>
      <c r="V2811">
        <f t="shared" si="568"/>
        <v>981.23836829519996</v>
      </c>
      <c r="W2811">
        <f t="shared" si="569"/>
        <v>981.23836829519996</v>
      </c>
      <c r="X2811">
        <v>0</v>
      </c>
    </row>
    <row r="2812" spans="1:24" x14ac:dyDescent="0.25">
      <c r="A2812" t="s">
        <v>2025</v>
      </c>
      <c r="B2812" t="s">
        <v>2126</v>
      </c>
      <c r="C2812" t="s">
        <v>2154</v>
      </c>
      <c r="D2812" t="s">
        <v>294</v>
      </c>
      <c r="E2812" t="s">
        <v>37</v>
      </c>
      <c r="F2812" t="s">
        <v>1</v>
      </c>
      <c r="G2812" t="s">
        <v>1027</v>
      </c>
      <c r="H2812" t="s">
        <v>437</v>
      </c>
      <c r="I2812" t="s">
        <v>1</v>
      </c>
      <c r="J2812"/>
      <c r="K2812">
        <v>490.61918414759998</v>
      </c>
      <c r="L2812">
        <v>0</v>
      </c>
      <c r="M2812">
        <v>0</v>
      </c>
      <c r="N2812">
        <v>0</v>
      </c>
      <c r="O2812"/>
      <c r="P2812">
        <v>0</v>
      </c>
      <c r="Q2812">
        <f t="shared" si="565"/>
        <v>0</v>
      </c>
      <c r="R2812">
        <v>490.61918414759998</v>
      </c>
      <c r="S2812">
        <f t="shared" si="566"/>
        <v>490.61918414759998</v>
      </c>
      <c r="T2812"/>
      <c r="U2812">
        <f t="shared" si="567"/>
        <v>0</v>
      </c>
      <c r="V2812">
        <f t="shared" si="568"/>
        <v>490.61918414759998</v>
      </c>
      <c r="W2812">
        <f t="shared" si="569"/>
        <v>490.61918414759998</v>
      </c>
      <c r="X2812">
        <v>0</v>
      </c>
    </row>
    <row r="2813" spans="1:24" x14ac:dyDescent="0.25">
      <c r="A2813" t="s">
        <v>2025</v>
      </c>
      <c r="B2813" t="s">
        <v>2126</v>
      </c>
      <c r="C2813" t="s">
        <v>2154</v>
      </c>
      <c r="D2813" t="s">
        <v>294</v>
      </c>
      <c r="E2813" t="s">
        <v>38</v>
      </c>
      <c r="F2813" t="s">
        <v>1</v>
      </c>
      <c r="G2813" t="s">
        <v>1027</v>
      </c>
      <c r="H2813" t="s">
        <v>438</v>
      </c>
      <c r="I2813" t="s">
        <v>1</v>
      </c>
      <c r="J2813">
        <v>34141.46</v>
      </c>
      <c r="K2813">
        <v>32400</v>
      </c>
      <c r="L2813">
        <v>0</v>
      </c>
      <c r="M2813">
        <v>0</v>
      </c>
      <c r="N2813">
        <v>19517.82</v>
      </c>
      <c r="O2813"/>
      <c r="P2813">
        <v>0</v>
      </c>
      <c r="Q2813">
        <f t="shared" si="565"/>
        <v>0</v>
      </c>
      <c r="R2813">
        <v>32400</v>
      </c>
      <c r="S2813">
        <f t="shared" si="566"/>
        <v>32400</v>
      </c>
      <c r="T2813"/>
      <c r="U2813">
        <f t="shared" si="567"/>
        <v>0</v>
      </c>
      <c r="V2813">
        <f t="shared" si="568"/>
        <v>32400</v>
      </c>
      <c r="W2813">
        <f t="shared" si="569"/>
        <v>32400</v>
      </c>
      <c r="X2813" t="s">
        <v>1751</v>
      </c>
    </row>
    <row r="2814" spans="1:24" x14ac:dyDescent="0.25">
      <c r="A2814" t="s">
        <v>2025</v>
      </c>
      <c r="B2814" t="s">
        <v>2126</v>
      </c>
      <c r="C2814" t="s">
        <v>2154</v>
      </c>
      <c r="D2814" t="s">
        <v>294</v>
      </c>
      <c r="E2814" t="s">
        <v>42</v>
      </c>
      <c r="F2814" t="s">
        <v>1</v>
      </c>
      <c r="G2814" t="s">
        <v>1027</v>
      </c>
      <c r="H2814" t="s">
        <v>442</v>
      </c>
      <c r="I2814" t="s">
        <v>1</v>
      </c>
      <c r="J2814">
        <v>4921</v>
      </c>
      <c r="K2814">
        <v>89303.000400000004</v>
      </c>
      <c r="L2814">
        <v>44700</v>
      </c>
      <c r="M2814">
        <v>90140.88397790055</v>
      </c>
      <c r="N2814">
        <v>44700</v>
      </c>
      <c r="O2814">
        <v>89400</v>
      </c>
      <c r="P2814">
        <v>0</v>
      </c>
      <c r="Q2814">
        <f t="shared" si="565"/>
        <v>89400</v>
      </c>
      <c r="R2814">
        <v>89400</v>
      </c>
      <c r="S2814">
        <f t="shared" si="566"/>
        <v>0</v>
      </c>
      <c r="T2814">
        <v>0.03</v>
      </c>
      <c r="U2814">
        <f t="shared" si="567"/>
        <v>2682</v>
      </c>
      <c r="V2814">
        <f t="shared" si="568"/>
        <v>92082</v>
      </c>
      <c r="W2814">
        <f t="shared" si="569"/>
        <v>2682</v>
      </c>
      <c r="X2814" t="s">
        <v>1752</v>
      </c>
    </row>
    <row r="2815" spans="1:24" x14ac:dyDescent="0.25">
      <c r="A2815" t="s">
        <v>2025</v>
      </c>
      <c r="B2815" t="s">
        <v>2126</v>
      </c>
      <c r="C2815" t="s">
        <v>2154</v>
      </c>
      <c r="D2815" t="s">
        <v>294</v>
      </c>
      <c r="E2815" t="s">
        <v>47</v>
      </c>
      <c r="F2815" t="s">
        <v>1</v>
      </c>
      <c r="G2815" t="s">
        <v>1027</v>
      </c>
      <c r="H2815" t="s">
        <v>447</v>
      </c>
      <c r="I2815" t="s">
        <v>1</v>
      </c>
      <c r="J2815">
        <v>675</v>
      </c>
      <c r="K2815"/>
      <c r="L2815">
        <v>3009.48</v>
      </c>
      <c r="M2815">
        <v>6068.8408839779004</v>
      </c>
      <c r="N2815">
        <v>3009.48</v>
      </c>
      <c r="O2815">
        <v>6018.96</v>
      </c>
      <c r="P2815">
        <v>0</v>
      </c>
      <c r="Q2815">
        <f t="shared" si="565"/>
        <v>6018.96</v>
      </c>
      <c r="R2815">
        <v>3009.48</v>
      </c>
      <c r="S2815">
        <f t="shared" si="566"/>
        <v>-3009.48</v>
      </c>
      <c r="T2815">
        <v>0.03</v>
      </c>
      <c r="U2815">
        <f t="shared" si="567"/>
        <v>90.284399999999991</v>
      </c>
      <c r="V2815">
        <f t="shared" si="568"/>
        <v>3099.7644</v>
      </c>
      <c r="W2815">
        <f t="shared" si="569"/>
        <v>-2919.1956</v>
      </c>
      <c r="X2815">
        <v>0</v>
      </c>
    </row>
    <row r="2816" spans="1:24" x14ac:dyDescent="0.25">
      <c r="A2816" t="s">
        <v>2025</v>
      </c>
      <c r="B2816" t="s">
        <v>2126</v>
      </c>
      <c r="C2816" t="s">
        <v>2154</v>
      </c>
      <c r="D2816" t="s">
        <v>294</v>
      </c>
      <c r="E2816" t="s">
        <v>48</v>
      </c>
      <c r="F2816" t="s">
        <v>1</v>
      </c>
      <c r="G2816" t="s">
        <v>1027</v>
      </c>
      <c r="H2816" t="s">
        <v>448</v>
      </c>
      <c r="I2816" t="s">
        <v>1</v>
      </c>
      <c r="J2816">
        <v>22.91</v>
      </c>
      <c r="K2816"/>
      <c r="L2816">
        <v>0</v>
      </c>
      <c r="M2816">
        <v>0</v>
      </c>
      <c r="N2816">
        <v>22.91</v>
      </c>
      <c r="O2816"/>
      <c r="P2816">
        <v>0</v>
      </c>
      <c r="Q2816">
        <f t="shared" si="565"/>
        <v>0</v>
      </c>
      <c r="R2816">
        <v>0</v>
      </c>
      <c r="S2816">
        <f t="shared" si="566"/>
        <v>0</v>
      </c>
      <c r="T2816">
        <v>0.03</v>
      </c>
      <c r="U2816">
        <f t="shared" si="567"/>
        <v>0</v>
      </c>
      <c r="V2816">
        <f t="shared" si="568"/>
        <v>0</v>
      </c>
      <c r="W2816">
        <f t="shared" si="569"/>
        <v>0</v>
      </c>
      <c r="X2816">
        <v>0</v>
      </c>
    </row>
    <row r="2817" spans="1:24" x14ac:dyDescent="0.25">
      <c r="A2817" t="s">
        <v>2025</v>
      </c>
      <c r="B2817" t="s">
        <v>2126</v>
      </c>
      <c r="C2817" t="s">
        <v>2154</v>
      </c>
      <c r="D2817" t="s">
        <v>294</v>
      </c>
      <c r="E2817" t="s">
        <v>50</v>
      </c>
      <c r="F2817" t="s">
        <v>1</v>
      </c>
      <c r="G2817" t="s">
        <v>1027</v>
      </c>
      <c r="H2817" t="s">
        <v>450</v>
      </c>
      <c r="I2817" t="s">
        <v>1</v>
      </c>
      <c r="J2817">
        <v>360.41</v>
      </c>
      <c r="K2817">
        <v>339.99999999969998</v>
      </c>
      <c r="L2817">
        <v>196.59</v>
      </c>
      <c r="M2817">
        <v>396.43839779005532</v>
      </c>
      <c r="N2817">
        <v>393.16999999999996</v>
      </c>
      <c r="O2817">
        <v>396.4383977901</v>
      </c>
      <c r="P2817">
        <v>0</v>
      </c>
      <c r="Q2817">
        <f t="shared" si="565"/>
        <v>396.4383977901</v>
      </c>
      <c r="R2817">
        <v>396.4383977901</v>
      </c>
      <c r="S2817">
        <f t="shared" si="566"/>
        <v>0</v>
      </c>
      <c r="T2817"/>
      <c r="U2817">
        <f t="shared" si="567"/>
        <v>0</v>
      </c>
      <c r="V2817">
        <f t="shared" si="568"/>
        <v>396.4383977901</v>
      </c>
      <c r="W2817">
        <f t="shared" si="569"/>
        <v>0</v>
      </c>
      <c r="X2817">
        <v>0</v>
      </c>
    </row>
    <row r="2818" spans="1:24" x14ac:dyDescent="0.25">
      <c r="A2818" t="s">
        <v>2025</v>
      </c>
      <c r="B2818" t="s">
        <v>2126</v>
      </c>
      <c r="C2818" t="s">
        <v>2154</v>
      </c>
      <c r="D2818" t="s">
        <v>294</v>
      </c>
      <c r="E2818" t="s">
        <v>51</v>
      </c>
      <c r="F2818" t="s">
        <v>51</v>
      </c>
      <c r="G2818" t="s">
        <v>1028</v>
      </c>
      <c r="H2818"/>
      <c r="I2818"/>
      <c r="J2818">
        <v>197085.69000000003</v>
      </c>
      <c r="K2818">
        <v>272502.27090301062</v>
      </c>
      <c r="L2818">
        <v>118305.88999999997</v>
      </c>
      <c r="M2818">
        <v>238572.65110497238</v>
      </c>
      <c r="N2818">
        <v>216160.92000000007</v>
      </c>
      <c r="O2818">
        <v>236635.92218869537</v>
      </c>
      <c r="P2818">
        <f>SUMIF($F$2799:$F$2817,"&lt;&gt;EV_*",$P$2799:$P$2817)</f>
        <v>0</v>
      </c>
      <c r="Q2818">
        <f>SUMIF($F$2799:$F$2817,"&lt;&gt;EV_*",$Q$2799:$Q$2817)</f>
        <v>236635.92218869537</v>
      </c>
      <c r="R2818">
        <f>SUMIF($F$2799:$F$2817,"&lt;&gt;EV_*",$R$2799:$R$2817)</f>
        <v>267639.01595023286</v>
      </c>
      <c r="S2818">
        <f>SUMIF($F$2799:$F$2817,"&lt;&gt;EV_*",$S$2799:$S$2817)</f>
        <v>31003.093761537497</v>
      </c>
      <c r="T2818">
        <v>0</v>
      </c>
      <c r="U2818">
        <f>SUMIF($F$2799:$F$2817,"&lt;&gt;EV_*",$U$2799:$U$2817)</f>
        <v>2807.2844</v>
      </c>
      <c r="V2818">
        <f>SUMIF($F$2799:$F$2817,"&lt;&gt;EV_*",$V$2799:$V$2817)</f>
        <v>270446.30035023286</v>
      </c>
      <c r="W2818">
        <f>SUMIF($F$2799:$F$2817,"&lt;&gt;EV_*",$W$2799:$W$2817)</f>
        <v>33810.378161537497</v>
      </c>
      <c r="X2818">
        <f>SUMIF($F$2799:$F$2817,"&lt;&gt;EV_*",$X$2799:$X$2817)</f>
        <v>0</v>
      </c>
    </row>
    <row r="2819" spans="1:24" x14ac:dyDescent="0.25">
      <c r="A2819" t="s">
        <v>1965</v>
      </c>
      <c r="B2819" t="s">
        <v>2017</v>
      </c>
      <c r="C2819" t="s">
        <v>2155</v>
      </c>
      <c r="D2819" t="s">
        <v>295</v>
      </c>
      <c r="E2819" t="s">
        <v>5</v>
      </c>
      <c r="F2819" t="s">
        <v>5</v>
      </c>
      <c r="G2819" t="s">
        <v>1029</v>
      </c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</row>
    <row r="2820" spans="1:24" x14ac:dyDescent="0.25">
      <c r="A2820" t="s">
        <v>1965</v>
      </c>
      <c r="B2820" t="s">
        <v>2017</v>
      </c>
      <c r="C2820" t="s">
        <v>2155</v>
      </c>
      <c r="D2820" t="s">
        <v>295</v>
      </c>
      <c r="E2820" t="s">
        <v>11</v>
      </c>
      <c r="F2820" t="s">
        <v>1</v>
      </c>
      <c r="G2820" t="s">
        <v>1030</v>
      </c>
      <c r="H2820" t="s">
        <v>411</v>
      </c>
      <c r="I2820" t="s">
        <v>1</v>
      </c>
      <c r="J2820">
        <v>965.36</v>
      </c>
      <c r="K2820">
        <v>869.31</v>
      </c>
      <c r="L2820">
        <v>424.82</v>
      </c>
      <c r="M2820">
        <v>856.68121546961322</v>
      </c>
      <c r="N2820">
        <v>883.7700000000001</v>
      </c>
      <c r="O2820">
        <v>849.64</v>
      </c>
      <c r="P2820">
        <v>0</v>
      </c>
      <c r="Q2820">
        <f t="shared" ref="Q2820:Q2830" si="570">O2820+P2820</f>
        <v>849.64</v>
      </c>
      <c r="R2820">
        <v>849.64</v>
      </c>
      <c r="S2820">
        <f t="shared" ref="S2820:S2830" si="571">IF(OR(LEFT(E2820,2)="A_",LEFT(D2820,5)="Total"),R2820-Q2820,"")</f>
        <v>0</v>
      </c>
      <c r="T2820"/>
      <c r="U2820">
        <f t="shared" ref="U2820:U2830" si="572">IFERROR(R2820*T2820,R2820*0)</f>
        <v>0</v>
      </c>
      <c r="V2820">
        <f t="shared" ref="V2820:V2830" si="573">IF(OR(LEFT(E2820,2)="A_",LEFT(D2820,5)="Total"),R2820+U2820,"")</f>
        <v>849.64</v>
      </c>
      <c r="W2820">
        <f t="shared" ref="W2820:W2830" si="574">IF(OR(LEFT(E2820,2)="A_",LEFT(D2820,5)="Total"),V2820-Q2820,"")</f>
        <v>0</v>
      </c>
      <c r="X2820" t="s">
        <v>1753</v>
      </c>
    </row>
    <row r="2821" spans="1:24" x14ac:dyDescent="0.25">
      <c r="A2821" t="s">
        <v>1965</v>
      </c>
      <c r="B2821" t="s">
        <v>2017</v>
      </c>
      <c r="C2821" t="s">
        <v>2155</v>
      </c>
      <c r="D2821" t="s">
        <v>295</v>
      </c>
      <c r="E2821" t="s">
        <v>13</v>
      </c>
      <c r="F2821" t="s">
        <v>1</v>
      </c>
      <c r="G2821" t="s">
        <v>1030</v>
      </c>
      <c r="H2821" t="s">
        <v>413</v>
      </c>
      <c r="I2821" t="s">
        <v>1</v>
      </c>
      <c r="J2821">
        <v>601.09</v>
      </c>
      <c r="K2821"/>
      <c r="L2821">
        <v>1867.96</v>
      </c>
      <c r="M2821">
        <v>3766.8806629834253</v>
      </c>
      <c r="N2821">
        <v>2469.0499999999993</v>
      </c>
      <c r="O2821">
        <v>3735.92</v>
      </c>
      <c r="P2821">
        <v>0</v>
      </c>
      <c r="Q2821">
        <f t="shared" si="570"/>
        <v>3735.92</v>
      </c>
      <c r="R2821">
        <v>3736</v>
      </c>
      <c r="S2821">
        <f t="shared" si="571"/>
        <v>7.999999999992724E-2</v>
      </c>
      <c r="T2821"/>
      <c r="U2821">
        <f t="shared" si="572"/>
        <v>0</v>
      </c>
      <c r="V2821">
        <f t="shared" si="573"/>
        <v>3736</v>
      </c>
      <c r="W2821">
        <f t="shared" si="574"/>
        <v>7.999999999992724E-2</v>
      </c>
      <c r="X2821" t="s">
        <v>1573</v>
      </c>
    </row>
    <row r="2822" spans="1:24" x14ac:dyDescent="0.25">
      <c r="A2822" t="s">
        <v>1965</v>
      </c>
      <c r="B2822" t="s">
        <v>2017</v>
      </c>
      <c r="C2822" t="s">
        <v>2155</v>
      </c>
      <c r="D2822" t="s">
        <v>295</v>
      </c>
      <c r="E2822" t="s">
        <v>18</v>
      </c>
      <c r="F2822" t="s">
        <v>1</v>
      </c>
      <c r="G2822" t="s">
        <v>1030</v>
      </c>
      <c r="H2822" t="s">
        <v>418</v>
      </c>
      <c r="I2822" t="s">
        <v>1</v>
      </c>
      <c r="J2822"/>
      <c r="K2822"/>
      <c r="L2822">
        <v>52.5</v>
      </c>
      <c r="M2822">
        <v>105.87016574585634</v>
      </c>
      <c r="N2822">
        <v>52.5</v>
      </c>
      <c r="O2822">
        <v>105.5769230769</v>
      </c>
      <c r="P2822">
        <v>0</v>
      </c>
      <c r="Q2822">
        <f t="shared" si="570"/>
        <v>105.5769230769</v>
      </c>
      <c r="R2822">
        <v>106</v>
      </c>
      <c r="S2822">
        <f t="shared" si="571"/>
        <v>0.42307692309999823</v>
      </c>
      <c r="T2822">
        <v>0.02</v>
      </c>
      <c r="U2822">
        <f t="shared" si="572"/>
        <v>2.12</v>
      </c>
      <c r="V2822">
        <f t="shared" si="573"/>
        <v>108.12</v>
      </c>
      <c r="W2822">
        <f t="shared" si="574"/>
        <v>2.5430769231000028</v>
      </c>
      <c r="X2822">
        <v>0</v>
      </c>
    </row>
    <row r="2823" spans="1:24" x14ac:dyDescent="0.25">
      <c r="A2823" t="s">
        <v>1965</v>
      </c>
      <c r="B2823" t="s">
        <v>2017</v>
      </c>
      <c r="C2823" t="s">
        <v>2155</v>
      </c>
      <c r="D2823" t="s">
        <v>295</v>
      </c>
      <c r="E2823" t="s">
        <v>23</v>
      </c>
      <c r="F2823" t="s">
        <v>1</v>
      </c>
      <c r="G2823" t="s">
        <v>1030</v>
      </c>
      <c r="H2823" t="s">
        <v>423</v>
      </c>
      <c r="I2823" t="s">
        <v>1</v>
      </c>
      <c r="J2823">
        <v>71.66</v>
      </c>
      <c r="K2823"/>
      <c r="L2823">
        <v>0</v>
      </c>
      <c r="M2823">
        <v>0</v>
      </c>
      <c r="N2823">
        <v>71.66</v>
      </c>
      <c r="O2823"/>
      <c r="P2823">
        <v>0</v>
      </c>
      <c r="Q2823">
        <f t="shared" si="570"/>
        <v>0</v>
      </c>
      <c r="R2823">
        <v>72</v>
      </c>
      <c r="S2823">
        <f t="shared" si="571"/>
        <v>72</v>
      </c>
      <c r="T2823">
        <v>3.5000000000000003E-2</v>
      </c>
      <c r="U2823">
        <f t="shared" si="572"/>
        <v>2.5200000000000005</v>
      </c>
      <c r="V2823">
        <f t="shared" si="573"/>
        <v>74.52</v>
      </c>
      <c r="W2823">
        <f t="shared" si="574"/>
        <v>74.52</v>
      </c>
      <c r="X2823">
        <v>0</v>
      </c>
    </row>
    <row r="2824" spans="1:24" x14ac:dyDescent="0.25">
      <c r="A2824" t="s">
        <v>1965</v>
      </c>
      <c r="B2824" t="s">
        <v>2017</v>
      </c>
      <c r="C2824" t="s">
        <v>2155</v>
      </c>
      <c r="D2824" t="s">
        <v>295</v>
      </c>
      <c r="E2824" t="s">
        <v>24</v>
      </c>
      <c r="F2824" t="s">
        <v>1</v>
      </c>
      <c r="G2824" t="s">
        <v>1030</v>
      </c>
      <c r="H2824" t="s">
        <v>424</v>
      </c>
      <c r="I2824" t="s">
        <v>1</v>
      </c>
      <c r="J2824">
        <v>1245.5</v>
      </c>
      <c r="K2824">
        <v>1938</v>
      </c>
      <c r="L2824">
        <v>543.6</v>
      </c>
      <c r="M2824">
        <v>1096.2099447513813</v>
      </c>
      <c r="N2824">
        <v>823.85</v>
      </c>
      <c r="O2824">
        <v>1087.2</v>
      </c>
      <c r="P2824">
        <v>0</v>
      </c>
      <c r="Q2824">
        <f t="shared" si="570"/>
        <v>1087.2</v>
      </c>
      <c r="R2824">
        <v>0</v>
      </c>
      <c r="S2824">
        <f t="shared" si="571"/>
        <v>-1087.2</v>
      </c>
      <c r="T2824"/>
      <c r="U2824">
        <f t="shared" si="572"/>
        <v>0</v>
      </c>
      <c r="V2824">
        <f t="shared" si="573"/>
        <v>0</v>
      </c>
      <c r="W2824">
        <f t="shared" si="574"/>
        <v>-1087.2</v>
      </c>
      <c r="X2824">
        <v>0</v>
      </c>
    </row>
    <row r="2825" spans="1:24" x14ac:dyDescent="0.25">
      <c r="A2825" t="s">
        <v>1965</v>
      </c>
      <c r="B2825" t="s">
        <v>2017</v>
      </c>
      <c r="C2825" t="s">
        <v>2155</v>
      </c>
      <c r="D2825" t="s">
        <v>295</v>
      </c>
      <c r="E2825" t="s">
        <v>26</v>
      </c>
      <c r="F2825" t="s">
        <v>1</v>
      </c>
      <c r="G2825" t="s">
        <v>1030</v>
      </c>
      <c r="H2825" t="s">
        <v>426</v>
      </c>
      <c r="I2825" t="s">
        <v>1</v>
      </c>
      <c r="J2825">
        <v>3380</v>
      </c>
      <c r="K2825">
        <v>37701.824455444803</v>
      </c>
      <c r="L2825">
        <v>7105</v>
      </c>
      <c r="M2825">
        <v>14327.762430939227</v>
      </c>
      <c r="N2825">
        <v>8227</v>
      </c>
      <c r="O2825">
        <v>14210</v>
      </c>
      <c r="P2825">
        <v>0</v>
      </c>
      <c r="Q2825">
        <f t="shared" si="570"/>
        <v>14210</v>
      </c>
      <c r="R2825">
        <v>0</v>
      </c>
      <c r="S2825">
        <f t="shared" si="571"/>
        <v>-14210</v>
      </c>
      <c r="T2825"/>
      <c r="U2825">
        <f t="shared" si="572"/>
        <v>0</v>
      </c>
      <c r="V2825">
        <f t="shared" si="573"/>
        <v>0</v>
      </c>
      <c r="W2825">
        <f t="shared" si="574"/>
        <v>-14210</v>
      </c>
      <c r="X2825" t="s">
        <v>1639</v>
      </c>
    </row>
    <row r="2826" spans="1:24" x14ac:dyDescent="0.25">
      <c r="A2826" t="s">
        <v>1965</v>
      </c>
      <c r="B2826" t="s">
        <v>2017</v>
      </c>
      <c r="C2826" t="s">
        <v>2155</v>
      </c>
      <c r="D2826" t="s">
        <v>295</v>
      </c>
      <c r="E2826" t="s">
        <v>121</v>
      </c>
      <c r="F2826" t="s">
        <v>1</v>
      </c>
      <c r="G2826" t="s">
        <v>1030</v>
      </c>
      <c r="H2826" t="s">
        <v>590</v>
      </c>
      <c r="I2826" t="s">
        <v>1</v>
      </c>
      <c r="J2826"/>
      <c r="K2826">
        <v>55092.550058979599</v>
      </c>
      <c r="L2826">
        <v>0</v>
      </c>
      <c r="M2826">
        <v>0</v>
      </c>
      <c r="N2826">
        <v>0</v>
      </c>
      <c r="O2826"/>
      <c r="P2826">
        <v>0</v>
      </c>
      <c r="Q2826">
        <f t="shared" si="570"/>
        <v>0</v>
      </c>
      <c r="R2826">
        <v>0</v>
      </c>
      <c r="S2826">
        <f t="shared" si="571"/>
        <v>0</v>
      </c>
      <c r="T2826"/>
      <c r="U2826">
        <f t="shared" si="572"/>
        <v>0</v>
      </c>
      <c r="V2826">
        <f t="shared" si="573"/>
        <v>0</v>
      </c>
      <c r="W2826">
        <f t="shared" si="574"/>
        <v>0</v>
      </c>
      <c r="X2826">
        <v>0</v>
      </c>
    </row>
    <row r="2827" spans="1:24" x14ac:dyDescent="0.25">
      <c r="A2827" t="s">
        <v>1965</v>
      </c>
      <c r="B2827" t="s">
        <v>2017</v>
      </c>
      <c r="C2827" t="s">
        <v>2155</v>
      </c>
      <c r="D2827" t="s">
        <v>295</v>
      </c>
      <c r="E2827" t="s">
        <v>42</v>
      </c>
      <c r="F2827" t="s">
        <v>1</v>
      </c>
      <c r="G2827" t="s">
        <v>1030</v>
      </c>
      <c r="H2827" t="s">
        <v>442</v>
      </c>
      <c r="I2827" t="s">
        <v>1</v>
      </c>
      <c r="J2827">
        <v>33.229999999999997</v>
      </c>
      <c r="K2827"/>
      <c r="L2827">
        <v>174.74</v>
      </c>
      <c r="M2827">
        <v>352.37624309392265</v>
      </c>
      <c r="N2827">
        <v>207.97</v>
      </c>
      <c r="O2827">
        <v>349.48</v>
      </c>
      <c r="P2827">
        <v>0</v>
      </c>
      <c r="Q2827">
        <f t="shared" si="570"/>
        <v>349.48</v>
      </c>
      <c r="R2827">
        <v>349</v>
      </c>
      <c r="S2827">
        <f t="shared" si="571"/>
        <v>-0.48000000000001819</v>
      </c>
      <c r="T2827">
        <v>0.03</v>
      </c>
      <c r="U2827">
        <f t="shared" si="572"/>
        <v>10.469999999999999</v>
      </c>
      <c r="V2827">
        <f t="shared" si="573"/>
        <v>359.47</v>
      </c>
      <c r="W2827">
        <f t="shared" si="574"/>
        <v>9.9900000000000091</v>
      </c>
      <c r="X2827" t="s">
        <v>1573</v>
      </c>
    </row>
    <row r="2828" spans="1:24" x14ac:dyDescent="0.25">
      <c r="A2828" t="s">
        <v>1965</v>
      </c>
      <c r="B2828" t="s">
        <v>2017</v>
      </c>
      <c r="C2828" t="s">
        <v>2155</v>
      </c>
      <c r="D2828" t="s">
        <v>295</v>
      </c>
      <c r="E2828" t="s">
        <v>46</v>
      </c>
      <c r="F2828" t="s">
        <v>1</v>
      </c>
      <c r="G2828" t="s">
        <v>1030</v>
      </c>
      <c r="H2828" t="s">
        <v>446</v>
      </c>
      <c r="I2828" t="s">
        <v>1</v>
      </c>
      <c r="J2828">
        <v>2724.4</v>
      </c>
      <c r="K2828"/>
      <c r="L2828">
        <v>148.5</v>
      </c>
      <c r="M2828">
        <v>299.46132596685084</v>
      </c>
      <c r="N2828">
        <v>2872.9</v>
      </c>
      <c r="O2828">
        <v>297</v>
      </c>
      <c r="P2828">
        <v>0</v>
      </c>
      <c r="Q2828">
        <f t="shared" si="570"/>
        <v>297</v>
      </c>
      <c r="R2828">
        <v>0</v>
      </c>
      <c r="S2828">
        <f t="shared" si="571"/>
        <v>-297</v>
      </c>
      <c r="T2828">
        <v>0.03</v>
      </c>
      <c r="U2828">
        <f t="shared" si="572"/>
        <v>0</v>
      </c>
      <c r="V2828">
        <f t="shared" si="573"/>
        <v>0</v>
      </c>
      <c r="W2828">
        <f t="shared" si="574"/>
        <v>-297</v>
      </c>
      <c r="X2828">
        <v>0</v>
      </c>
    </row>
    <row r="2829" spans="1:24" x14ac:dyDescent="0.25">
      <c r="A2829" t="s">
        <v>1965</v>
      </c>
      <c r="B2829" t="s">
        <v>2017</v>
      </c>
      <c r="C2829" t="s">
        <v>2155</v>
      </c>
      <c r="D2829" t="s">
        <v>295</v>
      </c>
      <c r="E2829" t="s">
        <v>47</v>
      </c>
      <c r="F2829" t="s">
        <v>1</v>
      </c>
      <c r="G2829" t="s">
        <v>1030</v>
      </c>
      <c r="H2829" t="s">
        <v>447</v>
      </c>
      <c r="I2829" t="s">
        <v>1</v>
      </c>
      <c r="J2829">
        <v>3269</v>
      </c>
      <c r="K2829">
        <v>4209.9999999995998</v>
      </c>
      <c r="L2829">
        <v>1816</v>
      </c>
      <c r="M2829">
        <v>3662.0994475138123</v>
      </c>
      <c r="N2829">
        <v>4842</v>
      </c>
      <c r="O2829">
        <v>3632</v>
      </c>
      <c r="P2829">
        <v>0</v>
      </c>
      <c r="Q2829">
        <f t="shared" si="570"/>
        <v>3632</v>
      </c>
      <c r="R2829">
        <v>46500</v>
      </c>
      <c r="S2829">
        <f t="shared" si="571"/>
        <v>42868</v>
      </c>
      <c r="T2829">
        <v>0.03</v>
      </c>
      <c r="U2829">
        <f t="shared" si="572"/>
        <v>1395</v>
      </c>
      <c r="V2829">
        <f t="shared" si="573"/>
        <v>47895</v>
      </c>
      <c r="W2829">
        <f t="shared" si="574"/>
        <v>44263</v>
      </c>
      <c r="X2829" t="s">
        <v>1619</v>
      </c>
    </row>
    <row r="2830" spans="1:24" x14ac:dyDescent="0.25">
      <c r="A2830" t="s">
        <v>1965</v>
      </c>
      <c r="B2830" t="s">
        <v>2017</v>
      </c>
      <c r="C2830" t="s">
        <v>2155</v>
      </c>
      <c r="D2830" t="s">
        <v>295</v>
      </c>
      <c r="E2830" t="s">
        <v>48</v>
      </c>
      <c r="F2830" t="s">
        <v>1</v>
      </c>
      <c r="G2830" t="s">
        <v>1030</v>
      </c>
      <c r="H2830" t="s">
        <v>448</v>
      </c>
      <c r="I2830" t="s">
        <v>1</v>
      </c>
      <c r="J2830"/>
      <c r="K2830"/>
      <c r="L2830">
        <v>159.94999999999999</v>
      </c>
      <c r="M2830">
        <v>322.55110497237564</v>
      </c>
      <c r="N2830">
        <v>159.94999999999999</v>
      </c>
      <c r="O2830">
        <v>319.89999999999998</v>
      </c>
      <c r="P2830">
        <v>0</v>
      </c>
      <c r="Q2830">
        <f t="shared" si="570"/>
        <v>319.89999999999998</v>
      </c>
      <c r="R2830">
        <v>319.89999999999998</v>
      </c>
      <c r="S2830">
        <f t="shared" si="571"/>
        <v>0</v>
      </c>
      <c r="T2830">
        <v>0.03</v>
      </c>
      <c r="U2830">
        <f t="shared" si="572"/>
        <v>9.5969999999999995</v>
      </c>
      <c r="V2830">
        <f t="shared" si="573"/>
        <v>329.49699999999996</v>
      </c>
      <c r="W2830">
        <f t="shared" si="574"/>
        <v>9.59699999999998</v>
      </c>
      <c r="X2830" t="s">
        <v>1754</v>
      </c>
    </row>
    <row r="2831" spans="1:24" x14ac:dyDescent="0.25">
      <c r="A2831" t="s">
        <v>1965</v>
      </c>
      <c r="B2831" t="s">
        <v>2017</v>
      </c>
      <c r="C2831" t="s">
        <v>2155</v>
      </c>
      <c r="D2831" t="s">
        <v>295</v>
      </c>
      <c r="E2831" t="s">
        <v>51</v>
      </c>
      <c r="F2831" t="s">
        <v>51</v>
      </c>
      <c r="G2831" t="s">
        <v>1031</v>
      </c>
      <c r="H2831"/>
      <c r="I2831"/>
      <c r="J2831">
        <v>12290.24</v>
      </c>
      <c r="K2831">
        <v>99811.684514424007</v>
      </c>
      <c r="L2831">
        <v>12293.070000000002</v>
      </c>
      <c r="M2831">
        <v>24789.892541436468</v>
      </c>
      <c r="N2831">
        <v>20610.649999999998</v>
      </c>
      <c r="O2831">
        <v>24586.716923076903</v>
      </c>
      <c r="P2831">
        <f>SUMIF($F$2819:$F$2830,"&lt;&gt;EV_*",$P$2819:$P$2830)</f>
        <v>0</v>
      </c>
      <c r="Q2831">
        <f>SUMIF($F$2819:$F$2830,"&lt;&gt;EV_*",$Q$2819:$Q$2830)</f>
        <v>24586.716923076903</v>
      </c>
      <c r="R2831">
        <f>SUMIF($F$2819:$F$2830,"&lt;&gt;EV_*",$R$2819:$R$2830)</f>
        <v>51932.54</v>
      </c>
      <c r="S2831">
        <f>SUMIF($F$2819:$F$2830,"&lt;&gt;EV_*",$S$2819:$S$2830)</f>
        <v>27345.823076923101</v>
      </c>
      <c r="T2831">
        <v>0</v>
      </c>
      <c r="U2831">
        <f>SUMIF($F$2819:$F$2830,"&lt;&gt;EV_*",$U$2819:$U$2830)</f>
        <v>1419.7069999999999</v>
      </c>
      <c r="V2831">
        <f>SUMIF($F$2819:$F$2830,"&lt;&gt;EV_*",$V$2819:$V$2830)</f>
        <v>53352.247000000003</v>
      </c>
      <c r="W2831">
        <f>SUMIF($F$2819:$F$2830,"&lt;&gt;EV_*",$W$2819:$W$2830)</f>
        <v>28765.530076923103</v>
      </c>
      <c r="X2831">
        <f>SUMIF($F$2819:$F$2830,"&lt;&gt;EV_*",$X$2819:$X$2830)</f>
        <v>0</v>
      </c>
    </row>
    <row r="2832" spans="1:24" x14ac:dyDescent="0.25">
      <c r="A2832" t="s">
        <v>1928</v>
      </c>
      <c r="B2832" t="s">
        <v>2030</v>
      </c>
      <c r="C2832" t="s">
        <v>2156</v>
      </c>
      <c r="D2832" t="s">
        <v>296</v>
      </c>
      <c r="E2832" t="s">
        <v>5</v>
      </c>
      <c r="F2832" t="s">
        <v>5</v>
      </c>
      <c r="G2832" t="s">
        <v>1032</v>
      </c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</row>
    <row r="2833" spans="1:24" x14ac:dyDescent="0.25">
      <c r="A2833" t="s">
        <v>1928</v>
      </c>
      <c r="B2833" t="s">
        <v>2030</v>
      </c>
      <c r="C2833" t="s">
        <v>2156</v>
      </c>
      <c r="D2833" t="s">
        <v>296</v>
      </c>
      <c r="E2833" t="s">
        <v>297</v>
      </c>
      <c r="F2833" t="s">
        <v>1</v>
      </c>
      <c r="G2833" t="s">
        <v>1033</v>
      </c>
      <c r="H2833" t="s">
        <v>1034</v>
      </c>
      <c r="I2833" t="s">
        <v>1</v>
      </c>
      <c r="J2833">
        <v>138200</v>
      </c>
      <c r="K2833">
        <v>103680</v>
      </c>
      <c r="L2833">
        <v>65240</v>
      </c>
      <c r="M2833">
        <v>131561.32596685083</v>
      </c>
      <c r="N2833">
        <v>134300</v>
      </c>
      <c r="O2833">
        <v>130480</v>
      </c>
      <c r="P2833">
        <v>-130480</v>
      </c>
      <c r="Q2833">
        <f t="shared" ref="Q2833:Q2875" si="575">O2833+P2833</f>
        <v>0</v>
      </c>
      <c r="R2833">
        <v>0</v>
      </c>
      <c r="S2833">
        <f t="shared" ref="S2833:S2875" si="576">IF(OR(LEFT(E2833,2)="A_",LEFT(D2833,5)="Total"),R2833-Q2833,"")</f>
        <v>0</v>
      </c>
      <c r="T2833"/>
      <c r="U2833">
        <f t="shared" ref="U2833:U2875" si="577">IFERROR(R2833*T2833,R2833*0)</f>
        <v>0</v>
      </c>
      <c r="V2833">
        <f t="shared" ref="V2833:V2875" si="578">IF(OR(LEFT(E2833,2)="A_",LEFT(D2833,5)="Total"),R2833+U2833,"")</f>
        <v>0</v>
      </c>
      <c r="W2833">
        <f t="shared" ref="W2833:W2875" si="579">IF(OR(LEFT(E2833,2)="A_",LEFT(D2833,5)="Total"),V2833-Q2833,"")</f>
        <v>0</v>
      </c>
      <c r="X2833" t="s">
        <v>1755</v>
      </c>
    </row>
    <row r="2834" spans="1:24" x14ac:dyDescent="0.25">
      <c r="A2834" t="s">
        <v>1928</v>
      </c>
      <c r="B2834" t="s">
        <v>2030</v>
      </c>
      <c r="C2834" t="s">
        <v>2156</v>
      </c>
      <c r="D2834" t="s">
        <v>296</v>
      </c>
      <c r="E2834" t="s">
        <v>149</v>
      </c>
      <c r="F2834" t="s">
        <v>1</v>
      </c>
      <c r="G2834" t="s">
        <v>1033</v>
      </c>
      <c r="H2834" t="s">
        <v>660</v>
      </c>
      <c r="I2834" t="s">
        <v>1</v>
      </c>
      <c r="J2834">
        <v>812.7</v>
      </c>
      <c r="K2834"/>
      <c r="L2834">
        <v>0</v>
      </c>
      <c r="M2834">
        <v>0</v>
      </c>
      <c r="N2834">
        <v>0</v>
      </c>
      <c r="O2834"/>
      <c r="P2834">
        <v>0</v>
      </c>
      <c r="Q2834">
        <f t="shared" si="575"/>
        <v>0</v>
      </c>
      <c r="R2834">
        <v>0</v>
      </c>
      <c r="S2834">
        <f t="shared" si="576"/>
        <v>0</v>
      </c>
      <c r="T2834">
        <v>0.02</v>
      </c>
      <c r="U2834">
        <f t="shared" si="577"/>
        <v>0</v>
      </c>
      <c r="V2834">
        <f t="shared" si="578"/>
        <v>0</v>
      </c>
      <c r="W2834">
        <f t="shared" si="579"/>
        <v>0</v>
      </c>
      <c r="X2834">
        <v>0</v>
      </c>
    </row>
    <row r="2835" spans="1:24" x14ac:dyDescent="0.25">
      <c r="A2835" t="s">
        <v>1928</v>
      </c>
      <c r="B2835" t="s">
        <v>2030</v>
      </c>
      <c r="C2835" t="s">
        <v>2156</v>
      </c>
      <c r="D2835" t="s">
        <v>296</v>
      </c>
      <c r="E2835" t="s">
        <v>8</v>
      </c>
      <c r="F2835" t="s">
        <v>1</v>
      </c>
      <c r="G2835" t="s">
        <v>1033</v>
      </c>
      <c r="H2835" t="s">
        <v>408</v>
      </c>
      <c r="I2835" t="s">
        <v>1</v>
      </c>
      <c r="J2835">
        <v>8061.44</v>
      </c>
      <c r="K2835">
        <v>426.84834254150002</v>
      </c>
      <c r="L2835">
        <v>691.63</v>
      </c>
      <c r="M2835">
        <v>1394.7234806629833</v>
      </c>
      <c r="N2835">
        <v>8541.4</v>
      </c>
      <c r="O2835">
        <v>1394.7234806629999</v>
      </c>
      <c r="P2835">
        <v>0</v>
      </c>
      <c r="Q2835">
        <f t="shared" si="575"/>
        <v>1394.7234806629999</v>
      </c>
      <c r="R2835">
        <v>1394.7234806629999</v>
      </c>
      <c r="S2835">
        <f t="shared" si="576"/>
        <v>0</v>
      </c>
      <c r="T2835"/>
      <c r="U2835">
        <f t="shared" si="577"/>
        <v>0</v>
      </c>
      <c r="V2835">
        <f t="shared" si="578"/>
        <v>1394.7234806629999</v>
      </c>
      <c r="W2835">
        <f t="shared" si="579"/>
        <v>0</v>
      </c>
      <c r="X2835">
        <v>0</v>
      </c>
    </row>
    <row r="2836" spans="1:24" x14ac:dyDescent="0.25">
      <c r="A2836" t="s">
        <v>1928</v>
      </c>
      <c r="B2836" t="s">
        <v>2030</v>
      </c>
      <c r="C2836" t="s">
        <v>2156</v>
      </c>
      <c r="D2836" t="s">
        <v>296</v>
      </c>
      <c r="E2836" t="s">
        <v>10</v>
      </c>
      <c r="F2836" t="s">
        <v>1</v>
      </c>
      <c r="G2836" t="s">
        <v>1033</v>
      </c>
      <c r="H2836" t="s">
        <v>410</v>
      </c>
      <c r="I2836" t="s">
        <v>1</v>
      </c>
      <c r="J2836">
        <v>91728</v>
      </c>
      <c r="K2836">
        <v>900</v>
      </c>
      <c r="L2836">
        <v>19653</v>
      </c>
      <c r="M2836">
        <v>39631.74033149171</v>
      </c>
      <c r="N2836">
        <v>58881</v>
      </c>
      <c r="O2836">
        <v>39306</v>
      </c>
      <c r="P2836">
        <v>0</v>
      </c>
      <c r="Q2836">
        <f t="shared" si="575"/>
        <v>39306</v>
      </c>
      <c r="R2836">
        <v>39306</v>
      </c>
      <c r="S2836">
        <f t="shared" si="576"/>
        <v>0</v>
      </c>
      <c r="T2836"/>
      <c r="U2836">
        <f t="shared" si="577"/>
        <v>0</v>
      </c>
      <c r="V2836">
        <f t="shared" si="578"/>
        <v>39306</v>
      </c>
      <c r="W2836">
        <f t="shared" si="579"/>
        <v>0</v>
      </c>
      <c r="X2836">
        <v>0</v>
      </c>
    </row>
    <row r="2837" spans="1:24" x14ac:dyDescent="0.25">
      <c r="A2837" t="s">
        <v>1928</v>
      </c>
      <c r="B2837" t="s">
        <v>2030</v>
      </c>
      <c r="C2837" t="s">
        <v>2156</v>
      </c>
      <c r="D2837" t="s">
        <v>296</v>
      </c>
      <c r="E2837" t="s">
        <v>11</v>
      </c>
      <c r="F2837" t="s">
        <v>1</v>
      </c>
      <c r="G2837" t="s">
        <v>1033</v>
      </c>
      <c r="H2837" t="s">
        <v>411</v>
      </c>
      <c r="I2837" t="s">
        <v>1</v>
      </c>
      <c r="J2837">
        <v>2935.48</v>
      </c>
      <c r="K2837">
        <v>2803.0700000003999</v>
      </c>
      <c r="L2837">
        <v>1399.54</v>
      </c>
      <c r="M2837">
        <v>2822.2767955801105</v>
      </c>
      <c r="N2837">
        <v>2845.74</v>
      </c>
      <c r="O2837">
        <v>2799.08</v>
      </c>
      <c r="P2837">
        <v>0</v>
      </c>
      <c r="Q2837">
        <f t="shared" si="575"/>
        <v>2799.08</v>
      </c>
      <c r="R2837">
        <v>2799.08</v>
      </c>
      <c r="S2837">
        <f t="shared" si="576"/>
        <v>0</v>
      </c>
      <c r="T2837"/>
      <c r="U2837">
        <f t="shared" si="577"/>
        <v>0</v>
      </c>
      <c r="V2837">
        <f t="shared" si="578"/>
        <v>2799.08</v>
      </c>
      <c r="W2837">
        <f t="shared" si="579"/>
        <v>0</v>
      </c>
      <c r="X2837">
        <v>0</v>
      </c>
    </row>
    <row r="2838" spans="1:24" x14ac:dyDescent="0.25">
      <c r="A2838" t="s">
        <v>1928</v>
      </c>
      <c r="B2838" t="s">
        <v>2030</v>
      </c>
      <c r="C2838" t="s">
        <v>2156</v>
      </c>
      <c r="D2838" t="s">
        <v>296</v>
      </c>
      <c r="E2838" t="s">
        <v>65</v>
      </c>
      <c r="F2838" t="s">
        <v>1</v>
      </c>
      <c r="G2838" t="s">
        <v>1033</v>
      </c>
      <c r="H2838" t="s">
        <v>476</v>
      </c>
      <c r="I2838" t="s">
        <v>1</v>
      </c>
      <c r="J2838">
        <v>-1304.49</v>
      </c>
      <c r="K2838"/>
      <c r="L2838">
        <v>-1005.09</v>
      </c>
      <c r="M2838">
        <v>-2026.8389502762429</v>
      </c>
      <c r="N2838">
        <v>-1423.5800000000002</v>
      </c>
      <c r="O2838">
        <v>-2021.2249450549</v>
      </c>
      <c r="P2838">
        <v>0</v>
      </c>
      <c r="Q2838">
        <f t="shared" si="575"/>
        <v>-2021.2249450549</v>
      </c>
      <c r="R2838">
        <v>0</v>
      </c>
      <c r="S2838">
        <f t="shared" si="576"/>
        <v>2021.2249450549</v>
      </c>
      <c r="T2838"/>
      <c r="U2838">
        <f t="shared" si="577"/>
        <v>0</v>
      </c>
      <c r="V2838">
        <f t="shared" si="578"/>
        <v>0</v>
      </c>
      <c r="W2838">
        <f t="shared" si="579"/>
        <v>2021.2249450549</v>
      </c>
      <c r="X2838">
        <v>0</v>
      </c>
    </row>
    <row r="2839" spans="1:24" x14ac:dyDescent="0.25">
      <c r="A2839" t="s">
        <v>1928</v>
      </c>
      <c r="B2839" t="s">
        <v>2030</v>
      </c>
      <c r="C2839" t="s">
        <v>2156</v>
      </c>
      <c r="D2839" t="s">
        <v>296</v>
      </c>
      <c r="E2839" t="s">
        <v>17</v>
      </c>
      <c r="F2839" t="s">
        <v>1</v>
      </c>
      <c r="G2839" t="s">
        <v>1033</v>
      </c>
      <c r="H2839" t="s">
        <v>417</v>
      </c>
      <c r="I2839" t="s">
        <v>1</v>
      </c>
      <c r="J2839">
        <v>-1928402.67</v>
      </c>
      <c r="K2839">
        <v>-2375690</v>
      </c>
      <c r="L2839">
        <v>-836425.23</v>
      </c>
      <c r="M2839">
        <v>-1686713.86160221</v>
      </c>
      <c r="N2839">
        <v>-1951951.94</v>
      </c>
      <c r="O2839">
        <v>-1682041.9460439601</v>
      </c>
      <c r="P2839">
        <v>0</v>
      </c>
      <c r="Q2839">
        <f t="shared" si="575"/>
        <v>-1682041.9460439601</v>
      </c>
      <c r="R2839">
        <v>-1682041.9460439601</v>
      </c>
      <c r="S2839">
        <f t="shared" si="576"/>
        <v>0</v>
      </c>
      <c r="T2839"/>
      <c r="U2839">
        <f t="shared" si="577"/>
        <v>0</v>
      </c>
      <c r="V2839">
        <f t="shared" si="578"/>
        <v>-1682041.9460439601</v>
      </c>
      <c r="W2839">
        <f t="shared" si="579"/>
        <v>0</v>
      </c>
      <c r="X2839">
        <v>0</v>
      </c>
    </row>
    <row r="2840" spans="1:24" x14ac:dyDescent="0.25">
      <c r="A2840" t="s">
        <v>1928</v>
      </c>
      <c r="B2840" t="s">
        <v>2030</v>
      </c>
      <c r="C2840" t="s">
        <v>2156</v>
      </c>
      <c r="D2840" t="s">
        <v>296</v>
      </c>
      <c r="E2840" t="s">
        <v>82</v>
      </c>
      <c r="F2840" t="s">
        <v>1</v>
      </c>
      <c r="G2840" t="s">
        <v>1033</v>
      </c>
      <c r="H2840" t="s">
        <v>507</v>
      </c>
      <c r="I2840" t="s">
        <v>1</v>
      </c>
      <c r="J2840">
        <v>9178.1200000000008</v>
      </c>
      <c r="K2840">
        <v>9273.3394104939998</v>
      </c>
      <c r="L2840">
        <v>4489.8</v>
      </c>
      <c r="M2840">
        <v>9054.0165745856357</v>
      </c>
      <c r="N2840">
        <v>8358.8799999999992</v>
      </c>
      <c r="O2840">
        <v>9028.9384615385006</v>
      </c>
      <c r="P2840">
        <v>0</v>
      </c>
      <c r="Q2840">
        <f t="shared" si="575"/>
        <v>9028.9384615385006</v>
      </c>
      <c r="R2840">
        <v>9028.9384615385006</v>
      </c>
      <c r="S2840">
        <f t="shared" si="576"/>
        <v>0</v>
      </c>
      <c r="T2840">
        <v>2.75E-2</v>
      </c>
      <c r="U2840">
        <f t="shared" si="577"/>
        <v>248.29580769230876</v>
      </c>
      <c r="V2840">
        <f t="shared" si="578"/>
        <v>9277.2342692308102</v>
      </c>
      <c r="W2840">
        <f t="shared" si="579"/>
        <v>248.29580769230961</v>
      </c>
      <c r="X2840">
        <v>0</v>
      </c>
    </row>
    <row r="2841" spans="1:24" x14ac:dyDescent="0.25">
      <c r="A2841" t="s">
        <v>1928</v>
      </c>
      <c r="B2841" t="s">
        <v>2030</v>
      </c>
      <c r="C2841" t="s">
        <v>2156</v>
      </c>
      <c r="D2841" t="s">
        <v>296</v>
      </c>
      <c r="E2841" t="s">
        <v>72</v>
      </c>
      <c r="F2841" t="s">
        <v>1</v>
      </c>
      <c r="G2841" t="s">
        <v>1033</v>
      </c>
      <c r="H2841" t="s">
        <v>489</v>
      </c>
      <c r="I2841" t="s">
        <v>1</v>
      </c>
      <c r="J2841">
        <v>69963.67</v>
      </c>
      <c r="K2841">
        <v>69937.196528806497</v>
      </c>
      <c r="L2841">
        <v>32318.28</v>
      </c>
      <c r="M2841">
        <v>65172.222099447514</v>
      </c>
      <c r="N2841">
        <v>75840.13</v>
      </c>
      <c r="O2841">
        <v>64991.705934065903</v>
      </c>
      <c r="P2841">
        <v>0</v>
      </c>
      <c r="Q2841">
        <f t="shared" si="575"/>
        <v>64991.705934065903</v>
      </c>
      <c r="R2841">
        <v>64991.705934065903</v>
      </c>
      <c r="S2841">
        <f t="shared" si="576"/>
        <v>0</v>
      </c>
      <c r="T2841">
        <v>2.2499999999999999E-2</v>
      </c>
      <c r="U2841">
        <f t="shared" si="577"/>
        <v>1462.3133835164829</v>
      </c>
      <c r="V2841">
        <f t="shared" si="578"/>
        <v>66454.019317582381</v>
      </c>
      <c r="W2841">
        <f t="shared" si="579"/>
        <v>1462.3133835164772</v>
      </c>
      <c r="X2841">
        <v>0</v>
      </c>
    </row>
    <row r="2842" spans="1:24" x14ac:dyDescent="0.25">
      <c r="A2842" t="s">
        <v>1928</v>
      </c>
      <c r="B2842" t="s">
        <v>2030</v>
      </c>
      <c r="C2842" t="s">
        <v>2156</v>
      </c>
      <c r="D2842" t="s">
        <v>296</v>
      </c>
      <c r="E2842" t="s">
        <v>168</v>
      </c>
      <c r="F2842" t="s">
        <v>1</v>
      </c>
      <c r="G2842" t="s">
        <v>1033</v>
      </c>
      <c r="H2842" t="s">
        <v>715</v>
      </c>
      <c r="I2842" t="s">
        <v>1</v>
      </c>
      <c r="J2842">
        <v>333541.23</v>
      </c>
      <c r="K2842">
        <v>352670.185087363</v>
      </c>
      <c r="L2842">
        <v>261874.93</v>
      </c>
      <c r="M2842">
        <v>528090.3284530387</v>
      </c>
      <c r="N2842">
        <v>441368.76</v>
      </c>
      <c r="O2842">
        <v>526627.60648351605</v>
      </c>
      <c r="P2842">
        <v>0</v>
      </c>
      <c r="Q2842">
        <f t="shared" si="575"/>
        <v>526627.60648351605</v>
      </c>
      <c r="R2842">
        <v>526627.60648351605</v>
      </c>
      <c r="S2842">
        <f t="shared" si="576"/>
        <v>0</v>
      </c>
      <c r="T2842">
        <v>0.03</v>
      </c>
      <c r="U2842">
        <f t="shared" si="577"/>
        <v>15798.82819450548</v>
      </c>
      <c r="V2842">
        <f t="shared" si="578"/>
        <v>542426.43467802159</v>
      </c>
      <c r="W2842">
        <f t="shared" si="579"/>
        <v>15798.828194505535</v>
      </c>
      <c r="X2842">
        <v>0</v>
      </c>
    </row>
    <row r="2843" spans="1:24" x14ac:dyDescent="0.25">
      <c r="A2843" t="s">
        <v>1928</v>
      </c>
      <c r="B2843" t="s">
        <v>2030</v>
      </c>
      <c r="C2843" t="s">
        <v>2156</v>
      </c>
      <c r="D2843" t="s">
        <v>296</v>
      </c>
      <c r="E2843" t="s">
        <v>118</v>
      </c>
      <c r="F2843" t="s">
        <v>1</v>
      </c>
      <c r="G2843" t="s">
        <v>1033</v>
      </c>
      <c r="H2843" t="s">
        <v>587</v>
      </c>
      <c r="I2843" t="s">
        <v>1</v>
      </c>
      <c r="J2843">
        <v>1634.25</v>
      </c>
      <c r="K2843">
        <v>1558.6288580245</v>
      </c>
      <c r="L2843">
        <v>391.72</v>
      </c>
      <c r="M2843">
        <v>789.9325966850829</v>
      </c>
      <c r="N2843">
        <v>1871.7700000000002</v>
      </c>
      <c r="O2843">
        <v>787.74461538460002</v>
      </c>
      <c r="P2843">
        <v>0</v>
      </c>
      <c r="Q2843">
        <f t="shared" si="575"/>
        <v>787.74461538460002</v>
      </c>
      <c r="R2843">
        <v>787.74461538460002</v>
      </c>
      <c r="S2843">
        <f t="shared" si="576"/>
        <v>0</v>
      </c>
      <c r="T2843">
        <v>3.2500000000000001E-2</v>
      </c>
      <c r="U2843">
        <f t="shared" si="577"/>
        <v>25.6016999999995</v>
      </c>
      <c r="V2843">
        <f t="shared" si="578"/>
        <v>813.34631538459951</v>
      </c>
      <c r="W2843">
        <f t="shared" si="579"/>
        <v>25.601699999999482</v>
      </c>
      <c r="X2843">
        <v>0</v>
      </c>
    </row>
    <row r="2844" spans="1:24" x14ac:dyDescent="0.25">
      <c r="A2844" t="s">
        <v>1928</v>
      </c>
      <c r="B2844" t="s">
        <v>2030</v>
      </c>
      <c r="C2844" t="s">
        <v>2156</v>
      </c>
      <c r="D2844" t="s">
        <v>296</v>
      </c>
      <c r="E2844" t="s">
        <v>18</v>
      </c>
      <c r="F2844" t="s">
        <v>1</v>
      </c>
      <c r="G2844" t="s">
        <v>1033</v>
      </c>
      <c r="H2844" t="s">
        <v>418</v>
      </c>
      <c r="I2844" t="s">
        <v>1</v>
      </c>
      <c r="J2844">
        <v>983817.06</v>
      </c>
      <c r="K2844">
        <v>1051676.82567405</v>
      </c>
      <c r="L2844">
        <v>497576.67</v>
      </c>
      <c r="M2844">
        <v>1003400.4671270717</v>
      </c>
      <c r="N2844">
        <v>956857.22</v>
      </c>
      <c r="O2844">
        <v>1000621.21549451</v>
      </c>
      <c r="P2844">
        <v>0</v>
      </c>
      <c r="Q2844">
        <f t="shared" si="575"/>
        <v>1000621.21549451</v>
      </c>
      <c r="R2844">
        <v>1000621.21549451</v>
      </c>
      <c r="S2844">
        <f t="shared" si="576"/>
        <v>0</v>
      </c>
      <c r="T2844">
        <v>0.02</v>
      </c>
      <c r="U2844">
        <f t="shared" si="577"/>
        <v>20012.424309890201</v>
      </c>
      <c r="V2844">
        <f t="shared" si="578"/>
        <v>1020633.6398044003</v>
      </c>
      <c r="W2844">
        <f t="shared" si="579"/>
        <v>20012.424309890252</v>
      </c>
      <c r="X2844">
        <v>0</v>
      </c>
    </row>
    <row r="2845" spans="1:24" x14ac:dyDescent="0.25">
      <c r="A2845" t="s">
        <v>1928</v>
      </c>
      <c r="B2845" t="s">
        <v>2030</v>
      </c>
      <c r="C2845" t="s">
        <v>2156</v>
      </c>
      <c r="D2845" t="s">
        <v>296</v>
      </c>
      <c r="E2845" t="s">
        <v>189</v>
      </c>
      <c r="F2845" t="s">
        <v>1</v>
      </c>
      <c r="G2845" t="s">
        <v>1033</v>
      </c>
      <c r="H2845" t="s">
        <v>768</v>
      </c>
      <c r="I2845" t="s">
        <v>1</v>
      </c>
      <c r="J2845">
        <v>5545</v>
      </c>
      <c r="K2845">
        <v>8662.0658436214999</v>
      </c>
      <c r="L2845">
        <v>950</v>
      </c>
      <c r="M2845">
        <v>1915.7458563535913</v>
      </c>
      <c r="N2845">
        <v>1900</v>
      </c>
      <c r="O2845">
        <v>1910.4395604396</v>
      </c>
      <c r="P2845">
        <v>0</v>
      </c>
      <c r="Q2845">
        <f t="shared" si="575"/>
        <v>1910.4395604396</v>
      </c>
      <c r="R2845">
        <v>1910.4395604396</v>
      </c>
      <c r="S2845">
        <f t="shared" si="576"/>
        <v>0</v>
      </c>
      <c r="T2845">
        <v>0.04</v>
      </c>
      <c r="U2845">
        <f t="shared" si="577"/>
        <v>76.417582417584001</v>
      </c>
      <c r="V2845">
        <f t="shared" si="578"/>
        <v>1986.857142857184</v>
      </c>
      <c r="W2845">
        <f t="shared" si="579"/>
        <v>76.417582417584072</v>
      </c>
      <c r="X2845">
        <v>0</v>
      </c>
    </row>
    <row r="2846" spans="1:24" x14ac:dyDescent="0.25">
      <c r="A2846" t="s">
        <v>1928</v>
      </c>
      <c r="B2846" t="s">
        <v>2030</v>
      </c>
      <c r="C2846" t="s">
        <v>2156</v>
      </c>
      <c r="D2846" t="s">
        <v>296</v>
      </c>
      <c r="E2846" t="s">
        <v>73</v>
      </c>
      <c r="F2846" t="s">
        <v>1</v>
      </c>
      <c r="G2846" t="s">
        <v>1033</v>
      </c>
      <c r="H2846" t="s">
        <v>490</v>
      </c>
      <c r="I2846" t="s">
        <v>1</v>
      </c>
      <c r="J2846">
        <v>684277.16</v>
      </c>
      <c r="K2846">
        <v>701405.27587290702</v>
      </c>
      <c r="L2846">
        <v>243432.65</v>
      </c>
      <c r="M2846">
        <v>490900.09530386736</v>
      </c>
      <c r="N2846">
        <v>595897.80999999994</v>
      </c>
      <c r="O2846">
        <v>489540.38406593399</v>
      </c>
      <c r="P2846">
        <v>0</v>
      </c>
      <c r="Q2846">
        <f t="shared" si="575"/>
        <v>489540.38406593399</v>
      </c>
      <c r="R2846">
        <v>489540.38406593399</v>
      </c>
      <c r="S2846">
        <f t="shared" si="576"/>
        <v>0</v>
      </c>
      <c r="T2846">
        <v>3.5000000000000003E-2</v>
      </c>
      <c r="U2846">
        <f t="shared" si="577"/>
        <v>17133.91344230769</v>
      </c>
      <c r="V2846">
        <f t="shared" si="578"/>
        <v>506674.29750824167</v>
      </c>
      <c r="W2846">
        <f t="shared" si="579"/>
        <v>17133.913442307676</v>
      </c>
      <c r="X2846">
        <v>0</v>
      </c>
    </row>
    <row r="2847" spans="1:24" x14ac:dyDescent="0.25">
      <c r="A2847" t="s">
        <v>1928</v>
      </c>
      <c r="B2847" t="s">
        <v>2030</v>
      </c>
      <c r="C2847" t="s">
        <v>2156</v>
      </c>
      <c r="D2847" t="s">
        <v>296</v>
      </c>
      <c r="E2847" t="s">
        <v>19</v>
      </c>
      <c r="F2847" t="s">
        <v>1</v>
      </c>
      <c r="G2847" t="s">
        <v>1033</v>
      </c>
      <c r="H2847" t="s">
        <v>419</v>
      </c>
      <c r="I2847" t="s">
        <v>1</v>
      </c>
      <c r="J2847">
        <v>34633.800000000003</v>
      </c>
      <c r="K2847">
        <v>31872.005481481301</v>
      </c>
      <c r="L2847">
        <v>0</v>
      </c>
      <c r="M2847">
        <v>0</v>
      </c>
      <c r="N2847">
        <v>15186.96</v>
      </c>
      <c r="O2847"/>
      <c r="P2847">
        <v>0</v>
      </c>
      <c r="Q2847">
        <f t="shared" si="575"/>
        <v>0</v>
      </c>
      <c r="R2847">
        <v>0</v>
      </c>
      <c r="S2847">
        <f t="shared" si="576"/>
        <v>0</v>
      </c>
      <c r="T2847">
        <v>0.02</v>
      </c>
      <c r="U2847">
        <f t="shared" si="577"/>
        <v>0</v>
      </c>
      <c r="V2847">
        <f t="shared" si="578"/>
        <v>0</v>
      </c>
      <c r="W2847">
        <f t="shared" si="579"/>
        <v>0</v>
      </c>
      <c r="X2847">
        <v>0</v>
      </c>
    </row>
    <row r="2848" spans="1:24" x14ac:dyDescent="0.25">
      <c r="A2848" t="s">
        <v>1928</v>
      </c>
      <c r="B2848" t="s">
        <v>2030</v>
      </c>
      <c r="C2848" t="s">
        <v>2156</v>
      </c>
      <c r="D2848" t="s">
        <v>296</v>
      </c>
      <c r="E2848" t="s">
        <v>74</v>
      </c>
      <c r="F2848" t="s">
        <v>1</v>
      </c>
      <c r="G2848" t="s">
        <v>1033</v>
      </c>
      <c r="H2848" t="s">
        <v>491</v>
      </c>
      <c r="I2848" t="s">
        <v>1</v>
      </c>
      <c r="J2848">
        <v>137683.20000000001</v>
      </c>
      <c r="K2848">
        <v>144264.26049185201</v>
      </c>
      <c r="L2848">
        <v>68711.789999999994</v>
      </c>
      <c r="M2848">
        <v>138562.44944751382</v>
      </c>
      <c r="N2848">
        <v>136562.6</v>
      </c>
      <c r="O2848">
        <v>138178.65461538499</v>
      </c>
      <c r="P2848">
        <v>0</v>
      </c>
      <c r="Q2848">
        <f t="shared" si="575"/>
        <v>138178.65461538499</v>
      </c>
      <c r="R2848">
        <v>138178.65461538499</v>
      </c>
      <c r="S2848">
        <f t="shared" si="576"/>
        <v>0</v>
      </c>
      <c r="T2848">
        <v>3.5000000000000003E-2</v>
      </c>
      <c r="U2848">
        <f t="shared" si="577"/>
        <v>4836.252911538475</v>
      </c>
      <c r="V2848">
        <f t="shared" si="578"/>
        <v>143014.90752692346</v>
      </c>
      <c r="W2848">
        <f t="shared" si="579"/>
        <v>4836.2529115384677</v>
      </c>
      <c r="X2848">
        <v>0</v>
      </c>
    </row>
    <row r="2849" spans="1:24" x14ac:dyDescent="0.25">
      <c r="A2849" t="s">
        <v>1928</v>
      </c>
      <c r="B2849" t="s">
        <v>2030</v>
      </c>
      <c r="C2849" t="s">
        <v>2156</v>
      </c>
      <c r="D2849" t="s">
        <v>296</v>
      </c>
      <c r="E2849" t="s">
        <v>197</v>
      </c>
      <c r="F2849" t="s">
        <v>1</v>
      </c>
      <c r="G2849" t="s">
        <v>1033</v>
      </c>
      <c r="H2849" t="s">
        <v>786</v>
      </c>
      <c r="I2849" t="s">
        <v>1</v>
      </c>
      <c r="J2849">
        <v>2726775</v>
      </c>
      <c r="K2849">
        <v>2394332.8562775101</v>
      </c>
      <c r="L2849">
        <v>817800</v>
      </c>
      <c r="M2849">
        <v>1649154.6961325966</v>
      </c>
      <c r="N2849">
        <v>2035225</v>
      </c>
      <c r="O2849">
        <v>1644586.8131868099</v>
      </c>
      <c r="P2849">
        <v>0</v>
      </c>
      <c r="Q2849">
        <f t="shared" si="575"/>
        <v>1644586.8131868099</v>
      </c>
      <c r="R2849">
        <v>1644586.8131868099</v>
      </c>
      <c r="S2849">
        <f t="shared" si="576"/>
        <v>0</v>
      </c>
      <c r="T2849">
        <v>0.02</v>
      </c>
      <c r="U2849">
        <f t="shared" si="577"/>
        <v>32891.736263736195</v>
      </c>
      <c r="V2849">
        <f t="shared" si="578"/>
        <v>1677478.549450546</v>
      </c>
      <c r="W2849">
        <f t="shared" si="579"/>
        <v>32891.736263736151</v>
      </c>
      <c r="X2849">
        <v>0</v>
      </c>
    </row>
    <row r="2850" spans="1:24" x14ac:dyDescent="0.25">
      <c r="A2850" t="s">
        <v>1928</v>
      </c>
      <c r="B2850" t="s">
        <v>2030</v>
      </c>
      <c r="C2850" t="s">
        <v>2156</v>
      </c>
      <c r="D2850" t="s">
        <v>296</v>
      </c>
      <c r="E2850" t="s">
        <v>198</v>
      </c>
      <c r="F2850" t="s">
        <v>1</v>
      </c>
      <c r="G2850" t="s">
        <v>1033</v>
      </c>
      <c r="H2850" t="s">
        <v>787</v>
      </c>
      <c r="I2850" t="s">
        <v>1</v>
      </c>
      <c r="J2850">
        <v>1602577.39</v>
      </c>
      <c r="K2850">
        <v>1517680.7908091201</v>
      </c>
      <c r="L2850">
        <v>873840.55</v>
      </c>
      <c r="M2850">
        <v>1762164.6450276244</v>
      </c>
      <c r="N2850">
        <v>1808319.7199999997</v>
      </c>
      <c r="O2850">
        <v>1757283.7434065901</v>
      </c>
      <c r="P2850">
        <v>0</v>
      </c>
      <c r="Q2850">
        <f t="shared" si="575"/>
        <v>1757283.7434065901</v>
      </c>
      <c r="R2850">
        <v>1757283.7434065901</v>
      </c>
      <c r="S2850">
        <f t="shared" si="576"/>
        <v>0</v>
      </c>
      <c r="T2850">
        <v>0.02</v>
      </c>
      <c r="U2850">
        <f t="shared" si="577"/>
        <v>35145.674868131806</v>
      </c>
      <c r="V2850">
        <f t="shared" si="578"/>
        <v>1792429.4182747218</v>
      </c>
      <c r="W2850">
        <f t="shared" si="579"/>
        <v>35145.674868131755</v>
      </c>
      <c r="X2850">
        <v>0</v>
      </c>
    </row>
    <row r="2851" spans="1:24" x14ac:dyDescent="0.25">
      <c r="A2851" t="s">
        <v>1928</v>
      </c>
      <c r="B2851" t="s">
        <v>2030</v>
      </c>
      <c r="C2851" t="s">
        <v>2156</v>
      </c>
      <c r="D2851" t="s">
        <v>296</v>
      </c>
      <c r="E2851" t="s">
        <v>85</v>
      </c>
      <c r="F2851" t="s">
        <v>1</v>
      </c>
      <c r="G2851" t="s">
        <v>1033</v>
      </c>
      <c r="H2851" t="s">
        <v>510</v>
      </c>
      <c r="I2851" t="s">
        <v>1</v>
      </c>
      <c r="J2851">
        <v>565330.19999999995</v>
      </c>
      <c r="K2851">
        <v>632610.14704490395</v>
      </c>
      <c r="L2851">
        <v>270702.34000000003</v>
      </c>
      <c r="M2851">
        <v>545891.45911602222</v>
      </c>
      <c r="N2851">
        <v>527814.15999999992</v>
      </c>
      <c r="O2851">
        <v>544379.43098901096</v>
      </c>
      <c r="P2851">
        <v>0</v>
      </c>
      <c r="Q2851">
        <f t="shared" si="575"/>
        <v>544379.43098901096</v>
      </c>
      <c r="R2851">
        <v>544379.43098901096</v>
      </c>
      <c r="S2851">
        <f t="shared" si="576"/>
        <v>0</v>
      </c>
      <c r="T2851">
        <v>0.02</v>
      </c>
      <c r="U2851">
        <f t="shared" si="577"/>
        <v>10887.588619780219</v>
      </c>
      <c r="V2851">
        <f t="shared" si="578"/>
        <v>555267.01960879122</v>
      </c>
      <c r="W2851">
        <f t="shared" si="579"/>
        <v>10887.588619780261</v>
      </c>
      <c r="X2851">
        <v>0</v>
      </c>
    </row>
    <row r="2852" spans="1:24" x14ac:dyDescent="0.25">
      <c r="A2852" t="s">
        <v>1928</v>
      </c>
      <c r="B2852" t="s">
        <v>2030</v>
      </c>
      <c r="C2852" t="s">
        <v>2156</v>
      </c>
      <c r="D2852" t="s">
        <v>296</v>
      </c>
      <c r="E2852" t="s">
        <v>119</v>
      </c>
      <c r="F2852" t="s">
        <v>1</v>
      </c>
      <c r="G2852" t="s">
        <v>1033</v>
      </c>
      <c r="H2852" t="s">
        <v>588</v>
      </c>
      <c r="I2852" t="s">
        <v>1</v>
      </c>
      <c r="J2852">
        <v>2700052.42</v>
      </c>
      <c r="K2852">
        <v>2444181.0893074502</v>
      </c>
      <c r="L2852">
        <v>1852326.57</v>
      </c>
      <c r="M2852">
        <v>3735354.6853591162</v>
      </c>
      <c r="N2852">
        <v>3397071.9400000004</v>
      </c>
      <c r="O2852">
        <v>3725008.3770329701</v>
      </c>
      <c r="P2852">
        <v>0</v>
      </c>
      <c r="Q2852">
        <f t="shared" si="575"/>
        <v>3725008.3770329701</v>
      </c>
      <c r="R2852">
        <v>3725008.3770329701</v>
      </c>
      <c r="S2852">
        <f t="shared" si="576"/>
        <v>0</v>
      </c>
      <c r="T2852">
        <v>1.4999999999999999E-2</v>
      </c>
      <c r="U2852">
        <f t="shared" si="577"/>
        <v>55875.12565549455</v>
      </c>
      <c r="V2852">
        <f t="shared" si="578"/>
        <v>3780883.5026884647</v>
      </c>
      <c r="W2852">
        <f t="shared" si="579"/>
        <v>55875.12565549463</v>
      </c>
      <c r="X2852">
        <v>0</v>
      </c>
    </row>
    <row r="2853" spans="1:24" x14ac:dyDescent="0.25">
      <c r="A2853" t="s">
        <v>1928</v>
      </c>
      <c r="B2853" t="s">
        <v>2030</v>
      </c>
      <c r="C2853" t="s">
        <v>2156</v>
      </c>
      <c r="D2853" t="s">
        <v>296</v>
      </c>
      <c r="E2853" t="s">
        <v>272</v>
      </c>
      <c r="F2853" t="s">
        <v>1</v>
      </c>
      <c r="G2853" t="s">
        <v>1033</v>
      </c>
      <c r="H2853" t="s">
        <v>985</v>
      </c>
      <c r="I2853" t="s">
        <v>1</v>
      </c>
      <c r="J2853">
        <v>68190</v>
      </c>
      <c r="K2853">
        <v>7700.5138049673997</v>
      </c>
      <c r="L2853">
        <v>0</v>
      </c>
      <c r="M2853">
        <v>0</v>
      </c>
      <c r="N2853">
        <v>62790</v>
      </c>
      <c r="O2853"/>
      <c r="P2853">
        <v>0</v>
      </c>
      <c r="Q2853">
        <f t="shared" si="575"/>
        <v>0</v>
      </c>
      <c r="R2853">
        <v>0</v>
      </c>
      <c r="S2853">
        <f t="shared" si="576"/>
        <v>0</v>
      </c>
      <c r="T2853">
        <v>0.02</v>
      </c>
      <c r="U2853">
        <f t="shared" si="577"/>
        <v>0</v>
      </c>
      <c r="V2853">
        <f t="shared" si="578"/>
        <v>0</v>
      </c>
      <c r="W2853">
        <f t="shared" si="579"/>
        <v>0</v>
      </c>
      <c r="X2853">
        <v>0</v>
      </c>
    </row>
    <row r="2854" spans="1:24" x14ac:dyDescent="0.25">
      <c r="A2854" t="s">
        <v>1928</v>
      </c>
      <c r="B2854" t="s">
        <v>2030</v>
      </c>
      <c r="C2854" t="s">
        <v>2156</v>
      </c>
      <c r="D2854" t="s">
        <v>296</v>
      </c>
      <c r="E2854" t="s">
        <v>136</v>
      </c>
      <c r="F2854" t="s">
        <v>1</v>
      </c>
      <c r="G2854" t="s">
        <v>1033</v>
      </c>
      <c r="H2854" t="s">
        <v>627</v>
      </c>
      <c r="I2854" t="s">
        <v>1</v>
      </c>
      <c r="J2854">
        <v>6076372.5800000001</v>
      </c>
      <c r="K2854">
        <v>6197925.0500224903</v>
      </c>
      <c r="L2854">
        <v>3500884.11</v>
      </c>
      <c r="M2854">
        <v>7059793.9234806625</v>
      </c>
      <c r="N2854">
        <v>6453382.2700000005</v>
      </c>
      <c r="O2854">
        <v>7040239.4739560401</v>
      </c>
      <c r="P2854">
        <v>0</v>
      </c>
      <c r="Q2854">
        <f t="shared" si="575"/>
        <v>7040239.4739560401</v>
      </c>
      <c r="R2854">
        <v>7040239.4739560401</v>
      </c>
      <c r="S2854">
        <f t="shared" si="576"/>
        <v>0</v>
      </c>
      <c r="T2854">
        <v>0.03</v>
      </c>
      <c r="U2854">
        <f t="shared" si="577"/>
        <v>211207.18421868118</v>
      </c>
      <c r="V2854">
        <f t="shared" si="578"/>
        <v>7251446.6581747215</v>
      </c>
      <c r="W2854">
        <f t="shared" si="579"/>
        <v>211207.18421868142</v>
      </c>
      <c r="X2854">
        <v>0</v>
      </c>
    </row>
    <row r="2855" spans="1:24" x14ac:dyDescent="0.25">
      <c r="A2855" t="s">
        <v>1928</v>
      </c>
      <c r="B2855" t="s">
        <v>2030</v>
      </c>
      <c r="C2855" t="s">
        <v>2156</v>
      </c>
      <c r="D2855" t="s">
        <v>296</v>
      </c>
      <c r="E2855" t="s">
        <v>147</v>
      </c>
      <c r="F2855" t="s">
        <v>1</v>
      </c>
      <c r="G2855" t="s">
        <v>1033</v>
      </c>
      <c r="H2855" t="s">
        <v>656</v>
      </c>
      <c r="I2855" t="s">
        <v>1</v>
      </c>
      <c r="J2855">
        <v>4324.28</v>
      </c>
      <c r="K2855">
        <v>1681.5450113167999</v>
      </c>
      <c r="L2855">
        <v>3154.1</v>
      </c>
      <c r="M2855">
        <v>6360.4779005524861</v>
      </c>
      <c r="N2855">
        <v>6971.4399999999987</v>
      </c>
      <c r="O2855">
        <v>6342.8604395603998</v>
      </c>
      <c r="P2855">
        <v>0</v>
      </c>
      <c r="Q2855">
        <f t="shared" si="575"/>
        <v>6342.8604395603998</v>
      </c>
      <c r="R2855">
        <v>6342.8604395603998</v>
      </c>
      <c r="S2855">
        <f t="shared" si="576"/>
        <v>0</v>
      </c>
      <c r="T2855">
        <v>2.2499999999999999E-2</v>
      </c>
      <c r="U2855">
        <f t="shared" si="577"/>
        <v>142.71435989010899</v>
      </c>
      <c r="V2855">
        <f t="shared" si="578"/>
        <v>6485.5747994505091</v>
      </c>
      <c r="W2855">
        <f t="shared" si="579"/>
        <v>142.71435989010934</v>
      </c>
      <c r="X2855">
        <v>0</v>
      </c>
    </row>
    <row r="2856" spans="1:24" x14ac:dyDescent="0.25">
      <c r="A2856" t="s">
        <v>1928</v>
      </c>
      <c r="B2856" t="s">
        <v>2030</v>
      </c>
      <c r="C2856" t="s">
        <v>2156</v>
      </c>
      <c r="D2856" t="s">
        <v>296</v>
      </c>
      <c r="E2856" t="s">
        <v>120</v>
      </c>
      <c r="F2856" t="s">
        <v>1</v>
      </c>
      <c r="G2856" t="s">
        <v>1033</v>
      </c>
      <c r="H2856" t="s">
        <v>589</v>
      </c>
      <c r="I2856" t="s">
        <v>1</v>
      </c>
      <c r="J2856">
        <v>347622.41</v>
      </c>
      <c r="K2856">
        <v>436500.27427288698</v>
      </c>
      <c r="L2856">
        <v>143591.1</v>
      </c>
      <c r="M2856">
        <v>289562.16298342543</v>
      </c>
      <c r="N2856">
        <v>328382.13</v>
      </c>
      <c r="O2856">
        <v>288760.12417582399</v>
      </c>
      <c r="P2856">
        <v>0</v>
      </c>
      <c r="Q2856">
        <f t="shared" si="575"/>
        <v>288760.12417582399</v>
      </c>
      <c r="R2856">
        <v>288760.12417582399</v>
      </c>
      <c r="S2856">
        <f t="shared" si="576"/>
        <v>0</v>
      </c>
      <c r="T2856">
        <v>3.5000000000000003E-2</v>
      </c>
      <c r="U2856">
        <f t="shared" si="577"/>
        <v>10106.604346153841</v>
      </c>
      <c r="V2856">
        <f t="shared" si="578"/>
        <v>298866.72852197784</v>
      </c>
      <c r="W2856">
        <f t="shared" si="579"/>
        <v>10106.60434615385</v>
      </c>
      <c r="X2856">
        <v>0</v>
      </c>
    </row>
    <row r="2857" spans="1:24" x14ac:dyDescent="0.25">
      <c r="A2857" t="s">
        <v>1928</v>
      </c>
      <c r="B2857" t="s">
        <v>2030</v>
      </c>
      <c r="C2857" t="s">
        <v>2156</v>
      </c>
      <c r="D2857" t="s">
        <v>296</v>
      </c>
      <c r="E2857" t="s">
        <v>276</v>
      </c>
      <c r="F2857" t="s">
        <v>1</v>
      </c>
      <c r="G2857" t="s">
        <v>1033</v>
      </c>
      <c r="H2857" t="s">
        <v>989</v>
      </c>
      <c r="I2857" t="s">
        <v>1</v>
      </c>
      <c r="J2857">
        <v>1166000</v>
      </c>
      <c r="K2857">
        <v>752530.86419753102</v>
      </c>
      <c r="L2857">
        <v>698000</v>
      </c>
      <c r="M2857">
        <v>1407569.0607734807</v>
      </c>
      <c r="N2857">
        <v>1606000</v>
      </c>
      <c r="O2857">
        <v>1403670.32967033</v>
      </c>
      <c r="P2857">
        <v>0</v>
      </c>
      <c r="Q2857">
        <f t="shared" si="575"/>
        <v>1403670.32967033</v>
      </c>
      <c r="R2857">
        <v>1403670.32967033</v>
      </c>
      <c r="S2857">
        <f t="shared" si="576"/>
        <v>0</v>
      </c>
      <c r="T2857">
        <v>0</v>
      </c>
      <c r="U2857">
        <f t="shared" si="577"/>
        <v>0</v>
      </c>
      <c r="V2857">
        <f t="shared" si="578"/>
        <v>1403670.32967033</v>
      </c>
      <c r="W2857">
        <f t="shared" si="579"/>
        <v>0</v>
      </c>
      <c r="X2857">
        <v>0</v>
      </c>
    </row>
    <row r="2858" spans="1:24" x14ac:dyDescent="0.25">
      <c r="A2858" t="s">
        <v>1928</v>
      </c>
      <c r="B2858" t="s">
        <v>2030</v>
      </c>
      <c r="C2858" t="s">
        <v>2156</v>
      </c>
      <c r="D2858" t="s">
        <v>296</v>
      </c>
      <c r="E2858" t="s">
        <v>278</v>
      </c>
      <c r="F2858" t="s">
        <v>1</v>
      </c>
      <c r="G2858" t="s">
        <v>1033</v>
      </c>
      <c r="H2858" t="s">
        <v>991</v>
      </c>
      <c r="I2858" t="s">
        <v>1</v>
      </c>
      <c r="J2858">
        <v>20500</v>
      </c>
      <c r="K2858"/>
      <c r="L2858">
        <v>0</v>
      </c>
      <c r="M2858">
        <v>0</v>
      </c>
      <c r="N2858">
        <v>20500</v>
      </c>
      <c r="O2858"/>
      <c r="P2858">
        <v>0</v>
      </c>
      <c r="Q2858">
        <f t="shared" si="575"/>
        <v>0</v>
      </c>
      <c r="R2858">
        <v>0</v>
      </c>
      <c r="S2858">
        <f t="shared" si="576"/>
        <v>0</v>
      </c>
      <c r="T2858">
        <v>0</v>
      </c>
      <c r="U2858">
        <f t="shared" si="577"/>
        <v>0</v>
      </c>
      <c r="V2858">
        <f t="shared" si="578"/>
        <v>0</v>
      </c>
      <c r="W2858">
        <f t="shared" si="579"/>
        <v>0</v>
      </c>
      <c r="X2858">
        <v>0</v>
      </c>
    </row>
    <row r="2859" spans="1:24" x14ac:dyDescent="0.25">
      <c r="A2859" t="s">
        <v>1928</v>
      </c>
      <c r="B2859" t="s">
        <v>2030</v>
      </c>
      <c r="C2859" t="s">
        <v>2156</v>
      </c>
      <c r="D2859" t="s">
        <v>296</v>
      </c>
      <c r="E2859" t="s">
        <v>291</v>
      </c>
      <c r="F2859" t="s">
        <v>1</v>
      </c>
      <c r="G2859" t="s">
        <v>1033</v>
      </c>
      <c r="H2859" t="s">
        <v>1020</v>
      </c>
      <c r="I2859" t="s">
        <v>1</v>
      </c>
      <c r="J2859">
        <v>563500</v>
      </c>
      <c r="K2859">
        <v>485164.60905349802</v>
      </c>
      <c r="L2859">
        <v>277500</v>
      </c>
      <c r="M2859">
        <v>559599.44751381211</v>
      </c>
      <c r="N2859">
        <v>573500</v>
      </c>
      <c r="O2859">
        <v>558049.45054945</v>
      </c>
      <c r="P2859">
        <v>0</v>
      </c>
      <c r="Q2859">
        <f t="shared" si="575"/>
        <v>558049.45054945</v>
      </c>
      <c r="R2859">
        <v>558049.45054945</v>
      </c>
      <c r="S2859">
        <f t="shared" si="576"/>
        <v>0</v>
      </c>
      <c r="T2859">
        <v>0</v>
      </c>
      <c r="U2859">
        <f t="shared" si="577"/>
        <v>0</v>
      </c>
      <c r="V2859">
        <f t="shared" si="578"/>
        <v>558049.45054945</v>
      </c>
      <c r="W2859">
        <f t="shared" si="579"/>
        <v>0</v>
      </c>
      <c r="X2859">
        <v>0</v>
      </c>
    </row>
    <row r="2860" spans="1:24" x14ac:dyDescent="0.25">
      <c r="A2860" t="s">
        <v>1928</v>
      </c>
      <c r="B2860" t="s">
        <v>2030</v>
      </c>
      <c r="C2860" t="s">
        <v>2156</v>
      </c>
      <c r="D2860" t="s">
        <v>296</v>
      </c>
      <c r="E2860" t="s">
        <v>20</v>
      </c>
      <c r="F2860" t="s">
        <v>1</v>
      </c>
      <c r="G2860" t="s">
        <v>1033</v>
      </c>
      <c r="H2860" t="s">
        <v>420</v>
      </c>
      <c r="I2860" t="s">
        <v>1</v>
      </c>
      <c r="J2860">
        <v>771549.11</v>
      </c>
      <c r="K2860">
        <v>936968.52844881103</v>
      </c>
      <c r="L2860">
        <v>463738.92</v>
      </c>
      <c r="M2860">
        <v>935164.12044198893</v>
      </c>
      <c r="N2860">
        <v>797886.48</v>
      </c>
      <c r="O2860">
        <v>932573.87208791205</v>
      </c>
      <c r="P2860">
        <v>0</v>
      </c>
      <c r="Q2860">
        <f t="shared" si="575"/>
        <v>932573.87208791205</v>
      </c>
      <c r="R2860">
        <v>932573.87208791205</v>
      </c>
      <c r="S2860">
        <f t="shared" si="576"/>
        <v>0</v>
      </c>
      <c r="T2860">
        <v>0.04</v>
      </c>
      <c r="U2860">
        <f t="shared" si="577"/>
        <v>37302.954883516482</v>
      </c>
      <c r="V2860">
        <f t="shared" si="578"/>
        <v>969876.82697142859</v>
      </c>
      <c r="W2860">
        <f t="shared" si="579"/>
        <v>37302.954883516533</v>
      </c>
      <c r="X2860">
        <v>0</v>
      </c>
    </row>
    <row r="2861" spans="1:24" x14ac:dyDescent="0.25">
      <c r="A2861" t="s">
        <v>1928</v>
      </c>
      <c r="B2861" t="s">
        <v>2030</v>
      </c>
      <c r="C2861" t="s">
        <v>2156</v>
      </c>
      <c r="D2861" t="s">
        <v>296</v>
      </c>
      <c r="E2861" t="s">
        <v>21</v>
      </c>
      <c r="F2861" t="s">
        <v>1</v>
      </c>
      <c r="G2861" t="s">
        <v>1033</v>
      </c>
      <c r="H2861" t="s">
        <v>421</v>
      </c>
      <c r="I2861" t="s">
        <v>1</v>
      </c>
      <c r="J2861">
        <v>12965.42</v>
      </c>
      <c r="K2861">
        <v>12888.3499999996</v>
      </c>
      <c r="L2861">
        <v>6227.02</v>
      </c>
      <c r="M2861">
        <v>12557.250276243094</v>
      </c>
      <c r="N2861">
        <v>12743.6</v>
      </c>
      <c r="O2861">
        <v>12557.2502762431</v>
      </c>
      <c r="P2861">
        <v>0</v>
      </c>
      <c r="Q2861">
        <f t="shared" si="575"/>
        <v>12557.2502762431</v>
      </c>
      <c r="R2861">
        <v>12557.2502762431</v>
      </c>
      <c r="S2861">
        <f t="shared" si="576"/>
        <v>0</v>
      </c>
      <c r="T2861">
        <v>0.03</v>
      </c>
      <c r="U2861">
        <f t="shared" si="577"/>
        <v>376.71750828729296</v>
      </c>
      <c r="V2861">
        <f t="shared" si="578"/>
        <v>12933.967784530392</v>
      </c>
      <c r="W2861">
        <f t="shared" si="579"/>
        <v>376.71750828729273</v>
      </c>
      <c r="X2861">
        <v>0</v>
      </c>
    </row>
    <row r="2862" spans="1:24" x14ac:dyDescent="0.25">
      <c r="A2862" t="s">
        <v>1928</v>
      </c>
      <c r="B2862" t="s">
        <v>2030</v>
      </c>
      <c r="C2862" t="s">
        <v>2156</v>
      </c>
      <c r="D2862" t="s">
        <v>296</v>
      </c>
      <c r="E2862" t="s">
        <v>22</v>
      </c>
      <c r="F2862" t="s">
        <v>1</v>
      </c>
      <c r="G2862" t="s">
        <v>1033</v>
      </c>
      <c r="H2862" t="s">
        <v>422</v>
      </c>
      <c r="I2862" t="s">
        <v>1</v>
      </c>
      <c r="J2862">
        <v>14814.28</v>
      </c>
      <c r="K2862">
        <v>21403.800000000199</v>
      </c>
      <c r="L2862">
        <v>4161.97</v>
      </c>
      <c r="M2862">
        <v>8392.9229281767966</v>
      </c>
      <c r="N2862">
        <v>8635.7199999999993</v>
      </c>
      <c r="O2862">
        <v>8392.9229281768003</v>
      </c>
      <c r="P2862">
        <v>0</v>
      </c>
      <c r="Q2862">
        <f t="shared" si="575"/>
        <v>8392.9229281768003</v>
      </c>
      <c r="R2862">
        <v>8392.9229281768003</v>
      </c>
      <c r="S2862">
        <f t="shared" si="576"/>
        <v>0</v>
      </c>
      <c r="T2862">
        <v>3.5000000000000003E-2</v>
      </c>
      <c r="U2862">
        <f t="shared" si="577"/>
        <v>293.75230248618806</v>
      </c>
      <c r="V2862">
        <f t="shared" si="578"/>
        <v>8686.6752306629878</v>
      </c>
      <c r="W2862">
        <f t="shared" si="579"/>
        <v>293.75230248618755</v>
      </c>
      <c r="X2862">
        <v>0</v>
      </c>
    </row>
    <row r="2863" spans="1:24" x14ac:dyDescent="0.25">
      <c r="A2863" t="s">
        <v>1928</v>
      </c>
      <c r="B2863" t="s">
        <v>2030</v>
      </c>
      <c r="C2863" t="s">
        <v>2156</v>
      </c>
      <c r="D2863" t="s">
        <v>296</v>
      </c>
      <c r="E2863" t="s">
        <v>23</v>
      </c>
      <c r="F2863" t="s">
        <v>1</v>
      </c>
      <c r="G2863" t="s">
        <v>1033</v>
      </c>
      <c r="H2863" t="s">
        <v>423</v>
      </c>
      <c r="I2863" t="s">
        <v>1</v>
      </c>
      <c r="J2863">
        <v>23298.76</v>
      </c>
      <c r="K2863">
        <v>39806.1</v>
      </c>
      <c r="L2863">
        <v>11738.9</v>
      </c>
      <c r="M2863">
        <v>23672.367403314915</v>
      </c>
      <c r="N2863">
        <v>15806.16</v>
      </c>
      <c r="O2863">
        <v>23672.3674033149</v>
      </c>
      <c r="P2863">
        <v>0</v>
      </c>
      <c r="Q2863">
        <f t="shared" si="575"/>
        <v>23672.3674033149</v>
      </c>
      <c r="R2863">
        <v>23672.3674033149</v>
      </c>
      <c r="S2863">
        <f t="shared" si="576"/>
        <v>0</v>
      </c>
      <c r="T2863">
        <v>3.5000000000000003E-2</v>
      </c>
      <c r="U2863">
        <f t="shared" si="577"/>
        <v>828.53285911602154</v>
      </c>
      <c r="V2863">
        <f t="shared" si="578"/>
        <v>24500.900262430921</v>
      </c>
      <c r="W2863">
        <f t="shared" si="579"/>
        <v>828.53285911602143</v>
      </c>
      <c r="X2863">
        <v>0</v>
      </c>
    </row>
    <row r="2864" spans="1:24" x14ac:dyDescent="0.25">
      <c r="A2864" t="s">
        <v>1928</v>
      </c>
      <c r="B2864" t="s">
        <v>2030</v>
      </c>
      <c r="C2864" t="s">
        <v>2156</v>
      </c>
      <c r="D2864" t="s">
        <v>296</v>
      </c>
      <c r="E2864" t="s">
        <v>27</v>
      </c>
      <c r="F2864" t="s">
        <v>1</v>
      </c>
      <c r="G2864" t="s">
        <v>1033</v>
      </c>
      <c r="H2864" t="s">
        <v>427</v>
      </c>
      <c r="I2864" t="s">
        <v>1</v>
      </c>
      <c r="J2864">
        <v>2303.4</v>
      </c>
      <c r="K2864">
        <v>2090.0000000004002</v>
      </c>
      <c r="L2864">
        <v>986.8</v>
      </c>
      <c r="M2864">
        <v>1989.9558011049724</v>
      </c>
      <c r="N2864">
        <v>2062.3000000000002</v>
      </c>
      <c r="O2864">
        <v>1973.6</v>
      </c>
      <c r="P2864">
        <v>0</v>
      </c>
      <c r="Q2864">
        <f t="shared" si="575"/>
        <v>1973.6</v>
      </c>
      <c r="R2864">
        <v>1973.6</v>
      </c>
      <c r="S2864">
        <f t="shared" si="576"/>
        <v>0</v>
      </c>
      <c r="T2864"/>
      <c r="U2864">
        <f t="shared" si="577"/>
        <v>0</v>
      </c>
      <c r="V2864">
        <f t="shared" si="578"/>
        <v>1973.6</v>
      </c>
      <c r="W2864">
        <f t="shared" si="579"/>
        <v>0</v>
      </c>
      <c r="X2864">
        <v>0</v>
      </c>
    </row>
    <row r="2865" spans="1:24" x14ac:dyDescent="0.25">
      <c r="A2865" t="s">
        <v>1928</v>
      </c>
      <c r="B2865" t="s">
        <v>2030</v>
      </c>
      <c r="C2865" t="s">
        <v>2156</v>
      </c>
      <c r="D2865" t="s">
        <v>296</v>
      </c>
      <c r="E2865" t="s">
        <v>28</v>
      </c>
      <c r="F2865" t="s">
        <v>1</v>
      </c>
      <c r="G2865" t="s">
        <v>1033</v>
      </c>
      <c r="H2865" t="s">
        <v>428</v>
      </c>
      <c r="I2865" t="s">
        <v>1</v>
      </c>
      <c r="J2865">
        <v>27203.93</v>
      </c>
      <c r="K2865">
        <v>34310.0000000004</v>
      </c>
      <c r="L2865">
        <v>1867.72</v>
      </c>
      <c r="M2865">
        <v>3766.3966850828729</v>
      </c>
      <c r="N2865">
        <v>12523.62</v>
      </c>
      <c r="O2865">
        <v>3735.44</v>
      </c>
      <c r="P2865">
        <v>0</v>
      </c>
      <c r="Q2865">
        <f t="shared" si="575"/>
        <v>3735.44</v>
      </c>
      <c r="R2865">
        <v>3735.44</v>
      </c>
      <c r="S2865">
        <f t="shared" si="576"/>
        <v>0</v>
      </c>
      <c r="T2865"/>
      <c r="U2865">
        <f t="shared" si="577"/>
        <v>0</v>
      </c>
      <c r="V2865">
        <f t="shared" si="578"/>
        <v>3735.44</v>
      </c>
      <c r="W2865">
        <f t="shared" si="579"/>
        <v>0</v>
      </c>
      <c r="X2865">
        <v>0</v>
      </c>
    </row>
    <row r="2866" spans="1:24" x14ac:dyDescent="0.25">
      <c r="A2866" t="s">
        <v>1928</v>
      </c>
      <c r="B2866" t="s">
        <v>2030</v>
      </c>
      <c r="C2866" t="s">
        <v>2156</v>
      </c>
      <c r="D2866" t="s">
        <v>296</v>
      </c>
      <c r="E2866" t="s">
        <v>31</v>
      </c>
      <c r="F2866" t="s">
        <v>1</v>
      </c>
      <c r="G2866" t="s">
        <v>1033</v>
      </c>
      <c r="H2866" t="s">
        <v>431</v>
      </c>
      <c r="I2866" t="s">
        <v>1</v>
      </c>
      <c r="J2866">
        <v>279.60000000000002</v>
      </c>
      <c r="K2866"/>
      <c r="L2866">
        <v>0</v>
      </c>
      <c r="M2866">
        <v>0</v>
      </c>
      <c r="N2866">
        <v>0</v>
      </c>
      <c r="O2866"/>
      <c r="P2866">
        <v>0</v>
      </c>
      <c r="Q2866">
        <f t="shared" si="575"/>
        <v>0</v>
      </c>
      <c r="R2866">
        <v>0</v>
      </c>
      <c r="S2866">
        <f t="shared" si="576"/>
        <v>0</v>
      </c>
      <c r="T2866"/>
      <c r="U2866">
        <f t="shared" si="577"/>
        <v>0</v>
      </c>
      <c r="V2866">
        <f t="shared" si="578"/>
        <v>0</v>
      </c>
      <c r="W2866">
        <f t="shared" si="579"/>
        <v>0</v>
      </c>
      <c r="X2866">
        <v>0</v>
      </c>
    </row>
    <row r="2867" spans="1:24" x14ac:dyDescent="0.25">
      <c r="A2867" t="s">
        <v>1928</v>
      </c>
      <c r="B2867" t="s">
        <v>2030</v>
      </c>
      <c r="C2867" t="s">
        <v>2156</v>
      </c>
      <c r="D2867" t="s">
        <v>296</v>
      </c>
      <c r="E2867" t="s">
        <v>33</v>
      </c>
      <c r="F2867" t="s">
        <v>1</v>
      </c>
      <c r="G2867" t="s">
        <v>1033</v>
      </c>
      <c r="H2867" t="s">
        <v>433</v>
      </c>
      <c r="I2867" t="s">
        <v>1</v>
      </c>
      <c r="J2867"/>
      <c r="K2867">
        <v>245.30959207320001</v>
      </c>
      <c r="L2867">
        <v>0</v>
      </c>
      <c r="M2867">
        <v>0</v>
      </c>
      <c r="N2867">
        <v>0</v>
      </c>
      <c r="O2867"/>
      <c r="P2867">
        <v>500</v>
      </c>
      <c r="Q2867">
        <f t="shared" si="575"/>
        <v>500</v>
      </c>
      <c r="R2867">
        <v>500</v>
      </c>
      <c r="S2867">
        <f t="shared" si="576"/>
        <v>0</v>
      </c>
      <c r="T2867"/>
      <c r="U2867">
        <f t="shared" si="577"/>
        <v>0</v>
      </c>
      <c r="V2867">
        <f t="shared" si="578"/>
        <v>500</v>
      </c>
      <c r="W2867">
        <f t="shared" si="579"/>
        <v>0</v>
      </c>
      <c r="X2867" t="s">
        <v>1422</v>
      </c>
    </row>
    <row r="2868" spans="1:24" x14ac:dyDescent="0.25">
      <c r="A2868" t="s">
        <v>1928</v>
      </c>
      <c r="B2868" t="s">
        <v>2030</v>
      </c>
      <c r="C2868" t="s">
        <v>2156</v>
      </c>
      <c r="D2868" t="s">
        <v>296</v>
      </c>
      <c r="E2868" t="s">
        <v>40</v>
      </c>
      <c r="F2868" t="s">
        <v>1</v>
      </c>
      <c r="G2868" t="s">
        <v>1033</v>
      </c>
      <c r="H2868" t="s">
        <v>440</v>
      </c>
      <c r="I2868" t="s">
        <v>1</v>
      </c>
      <c r="J2868">
        <v>19775</v>
      </c>
      <c r="K2868">
        <v>19775.0000000004</v>
      </c>
      <c r="L2868">
        <v>0</v>
      </c>
      <c r="M2868">
        <v>0</v>
      </c>
      <c r="N2868">
        <v>0</v>
      </c>
      <c r="O2868"/>
      <c r="P2868">
        <v>0</v>
      </c>
      <c r="Q2868">
        <f t="shared" si="575"/>
        <v>0</v>
      </c>
      <c r="R2868">
        <v>0</v>
      </c>
      <c r="S2868">
        <f t="shared" si="576"/>
        <v>0</v>
      </c>
      <c r="T2868">
        <v>0.03</v>
      </c>
      <c r="U2868">
        <f t="shared" si="577"/>
        <v>0</v>
      </c>
      <c r="V2868">
        <f t="shared" si="578"/>
        <v>0</v>
      </c>
      <c r="W2868">
        <f t="shared" si="579"/>
        <v>0</v>
      </c>
      <c r="X2868">
        <v>0</v>
      </c>
    </row>
    <row r="2869" spans="1:24" x14ac:dyDescent="0.25">
      <c r="A2869" t="s">
        <v>1928</v>
      </c>
      <c r="B2869" t="s">
        <v>2030</v>
      </c>
      <c r="C2869" t="s">
        <v>2156</v>
      </c>
      <c r="D2869" t="s">
        <v>296</v>
      </c>
      <c r="E2869" t="s">
        <v>76</v>
      </c>
      <c r="F2869" t="s">
        <v>1</v>
      </c>
      <c r="G2869" t="s">
        <v>1033</v>
      </c>
      <c r="H2869" t="s">
        <v>493</v>
      </c>
      <c r="I2869" t="s">
        <v>1</v>
      </c>
      <c r="J2869">
        <v>350643.62</v>
      </c>
      <c r="K2869">
        <v>327502</v>
      </c>
      <c r="L2869">
        <v>200225.5</v>
      </c>
      <c r="M2869">
        <v>403769.65469613258</v>
      </c>
      <c r="N2869">
        <v>394283.62</v>
      </c>
      <c r="O2869">
        <v>400451</v>
      </c>
      <c r="P2869">
        <v>0</v>
      </c>
      <c r="Q2869">
        <f t="shared" si="575"/>
        <v>400451</v>
      </c>
      <c r="R2869">
        <v>400451</v>
      </c>
      <c r="S2869">
        <f t="shared" si="576"/>
        <v>0</v>
      </c>
      <c r="T2869">
        <v>0.03</v>
      </c>
      <c r="U2869">
        <f t="shared" si="577"/>
        <v>12013.529999999999</v>
      </c>
      <c r="V2869">
        <f t="shared" si="578"/>
        <v>412464.53</v>
      </c>
      <c r="W2869">
        <f t="shared" si="579"/>
        <v>12013.530000000028</v>
      </c>
      <c r="X2869">
        <v>0</v>
      </c>
    </row>
    <row r="2870" spans="1:24" x14ac:dyDescent="0.25">
      <c r="A2870" t="s">
        <v>1928</v>
      </c>
      <c r="B2870" t="s">
        <v>2030</v>
      </c>
      <c r="C2870" t="s">
        <v>2156</v>
      </c>
      <c r="D2870" t="s">
        <v>296</v>
      </c>
      <c r="E2870" t="s">
        <v>41</v>
      </c>
      <c r="F2870" t="s">
        <v>1</v>
      </c>
      <c r="G2870" t="s">
        <v>1033</v>
      </c>
      <c r="H2870" t="s">
        <v>441</v>
      </c>
      <c r="I2870" t="s">
        <v>1</v>
      </c>
      <c r="J2870">
        <v>115224.37</v>
      </c>
      <c r="K2870">
        <v>123236.41999999899</v>
      </c>
      <c r="L2870">
        <v>52016.57</v>
      </c>
      <c r="M2870">
        <v>104895.29309392265</v>
      </c>
      <c r="N2870">
        <v>108230.23</v>
      </c>
      <c r="O2870">
        <v>104033.14</v>
      </c>
      <c r="P2870">
        <v>0</v>
      </c>
      <c r="Q2870">
        <f t="shared" si="575"/>
        <v>104033.14</v>
      </c>
      <c r="R2870">
        <v>104033.14</v>
      </c>
      <c r="S2870">
        <f t="shared" si="576"/>
        <v>0</v>
      </c>
      <c r="T2870">
        <v>0.03</v>
      </c>
      <c r="U2870">
        <f t="shared" si="577"/>
        <v>3120.9942000000001</v>
      </c>
      <c r="V2870">
        <f t="shared" si="578"/>
        <v>107154.1342</v>
      </c>
      <c r="W2870">
        <f t="shared" si="579"/>
        <v>3120.994200000001</v>
      </c>
      <c r="X2870">
        <v>0</v>
      </c>
    </row>
    <row r="2871" spans="1:24" x14ac:dyDescent="0.25">
      <c r="A2871" t="s">
        <v>1928</v>
      </c>
      <c r="B2871" t="s">
        <v>2030</v>
      </c>
      <c r="C2871" t="s">
        <v>2156</v>
      </c>
      <c r="D2871" t="s">
        <v>296</v>
      </c>
      <c r="E2871" t="s">
        <v>42</v>
      </c>
      <c r="F2871" t="s">
        <v>1</v>
      </c>
      <c r="G2871" t="s">
        <v>1033</v>
      </c>
      <c r="H2871" t="s">
        <v>442</v>
      </c>
      <c r="I2871" t="s">
        <v>1</v>
      </c>
      <c r="J2871">
        <v>20214.96</v>
      </c>
      <c r="K2871">
        <v>38640</v>
      </c>
      <c r="L2871">
        <v>10830.45</v>
      </c>
      <c r="M2871">
        <v>21840.410220994476</v>
      </c>
      <c r="N2871">
        <v>-5301.9000000000033</v>
      </c>
      <c r="O2871">
        <v>21660.9</v>
      </c>
      <c r="P2871">
        <v>0</v>
      </c>
      <c r="Q2871">
        <f t="shared" si="575"/>
        <v>21660.9</v>
      </c>
      <c r="R2871">
        <v>21660.9</v>
      </c>
      <c r="S2871">
        <f t="shared" si="576"/>
        <v>0</v>
      </c>
      <c r="T2871">
        <v>0.03</v>
      </c>
      <c r="U2871">
        <f t="shared" si="577"/>
        <v>649.827</v>
      </c>
      <c r="V2871">
        <f t="shared" si="578"/>
        <v>22310.727000000003</v>
      </c>
      <c r="W2871">
        <f t="shared" si="579"/>
        <v>649.82700000000114</v>
      </c>
      <c r="X2871">
        <v>0</v>
      </c>
    </row>
    <row r="2872" spans="1:24" x14ac:dyDescent="0.25">
      <c r="A2872" t="s">
        <v>1928</v>
      </c>
      <c r="B2872" t="s">
        <v>2030</v>
      </c>
      <c r="C2872" t="s">
        <v>2156</v>
      </c>
      <c r="D2872" t="s">
        <v>296</v>
      </c>
      <c r="E2872" t="s">
        <v>43</v>
      </c>
      <c r="F2872" t="s">
        <v>1</v>
      </c>
      <c r="G2872" t="s">
        <v>1033</v>
      </c>
      <c r="H2872" t="s">
        <v>443</v>
      </c>
      <c r="I2872" t="s">
        <v>1</v>
      </c>
      <c r="J2872">
        <v>3052.42</v>
      </c>
      <c r="K2872"/>
      <c r="L2872">
        <v>7924</v>
      </c>
      <c r="M2872">
        <v>15979.337016574586</v>
      </c>
      <c r="N2872">
        <v>9726.42</v>
      </c>
      <c r="O2872">
        <v>15848</v>
      </c>
      <c r="P2872">
        <v>-6122</v>
      </c>
      <c r="Q2872">
        <f t="shared" si="575"/>
        <v>9726</v>
      </c>
      <c r="R2872">
        <v>9726</v>
      </c>
      <c r="S2872">
        <f t="shared" si="576"/>
        <v>0</v>
      </c>
      <c r="T2872">
        <v>0.03</v>
      </c>
      <c r="U2872">
        <f t="shared" si="577"/>
        <v>291.77999999999997</v>
      </c>
      <c r="V2872">
        <f t="shared" si="578"/>
        <v>10017.780000000001</v>
      </c>
      <c r="W2872">
        <f t="shared" si="579"/>
        <v>291.78000000000065</v>
      </c>
      <c r="X2872" t="s">
        <v>1421</v>
      </c>
    </row>
    <row r="2873" spans="1:24" x14ac:dyDescent="0.25">
      <c r="A2873" t="s">
        <v>1928</v>
      </c>
      <c r="B2873" t="s">
        <v>2030</v>
      </c>
      <c r="C2873" t="s">
        <v>2156</v>
      </c>
      <c r="D2873" t="s">
        <v>296</v>
      </c>
      <c r="E2873" t="s">
        <v>134</v>
      </c>
      <c r="F2873" t="s">
        <v>1</v>
      </c>
      <c r="G2873" t="s">
        <v>1033</v>
      </c>
      <c r="H2873" t="s">
        <v>623</v>
      </c>
      <c r="I2873" t="s">
        <v>1</v>
      </c>
      <c r="J2873">
        <v>5651.63</v>
      </c>
      <c r="K2873">
        <v>6927.9999999995998</v>
      </c>
      <c r="L2873">
        <v>14860</v>
      </c>
      <c r="M2873">
        <v>29966.298342541435</v>
      </c>
      <c r="N2873">
        <v>22381.65</v>
      </c>
      <c r="O2873">
        <v>29720</v>
      </c>
      <c r="P2873">
        <v>-7338</v>
      </c>
      <c r="Q2873">
        <f t="shared" si="575"/>
        <v>22382</v>
      </c>
      <c r="R2873">
        <v>22382</v>
      </c>
      <c r="S2873">
        <f t="shared" si="576"/>
        <v>0</v>
      </c>
      <c r="T2873">
        <v>0.03</v>
      </c>
      <c r="U2873">
        <f t="shared" si="577"/>
        <v>671.45999999999992</v>
      </c>
      <c r="V2873">
        <f t="shared" si="578"/>
        <v>23053.46</v>
      </c>
      <c r="W2873">
        <f t="shared" si="579"/>
        <v>671.45999999999913</v>
      </c>
      <c r="X2873" t="s">
        <v>1421</v>
      </c>
    </row>
    <row r="2874" spans="1:24" x14ac:dyDescent="0.25">
      <c r="A2874" t="s">
        <v>1928</v>
      </c>
      <c r="B2874" t="s">
        <v>2030</v>
      </c>
      <c r="C2874" t="s">
        <v>2156</v>
      </c>
      <c r="D2874" t="s">
        <v>296</v>
      </c>
      <c r="E2874" t="s">
        <v>48</v>
      </c>
      <c r="F2874" t="s">
        <v>1</v>
      </c>
      <c r="G2874" t="s">
        <v>1033</v>
      </c>
      <c r="H2874" t="s">
        <v>448</v>
      </c>
      <c r="I2874" t="s">
        <v>1</v>
      </c>
      <c r="J2874">
        <v>1533.54</v>
      </c>
      <c r="K2874">
        <v>2627.0000000004002</v>
      </c>
      <c r="L2874">
        <v>0</v>
      </c>
      <c r="M2874">
        <v>0</v>
      </c>
      <c r="N2874">
        <v>219.87</v>
      </c>
      <c r="O2874"/>
      <c r="P2874">
        <v>0</v>
      </c>
      <c r="Q2874">
        <f t="shared" si="575"/>
        <v>0</v>
      </c>
      <c r="R2874">
        <v>0</v>
      </c>
      <c r="S2874">
        <f t="shared" si="576"/>
        <v>0</v>
      </c>
      <c r="T2874">
        <v>0.03</v>
      </c>
      <c r="U2874">
        <f t="shared" si="577"/>
        <v>0</v>
      </c>
      <c r="V2874">
        <f t="shared" si="578"/>
        <v>0</v>
      </c>
      <c r="W2874">
        <f t="shared" si="579"/>
        <v>0</v>
      </c>
      <c r="X2874">
        <v>0</v>
      </c>
    </row>
    <row r="2875" spans="1:24" x14ac:dyDescent="0.25">
      <c r="A2875" t="s">
        <v>1928</v>
      </c>
      <c r="B2875" t="s">
        <v>2030</v>
      </c>
      <c r="C2875" t="s">
        <v>2156</v>
      </c>
      <c r="D2875" t="s">
        <v>296</v>
      </c>
      <c r="E2875" t="s">
        <v>50</v>
      </c>
      <c r="F2875" t="s">
        <v>1</v>
      </c>
      <c r="G2875" t="s">
        <v>1033</v>
      </c>
      <c r="H2875" t="s">
        <v>450</v>
      </c>
      <c r="I2875" t="s">
        <v>1</v>
      </c>
      <c r="J2875">
        <v>923.95</v>
      </c>
      <c r="K2875">
        <v>1030.0000000004</v>
      </c>
      <c r="L2875">
        <v>393.18</v>
      </c>
      <c r="M2875">
        <v>792.87679558011064</v>
      </c>
      <c r="N2875">
        <v>825.64</v>
      </c>
      <c r="O2875">
        <v>792.87679558009995</v>
      </c>
      <c r="P2875">
        <v>0</v>
      </c>
      <c r="Q2875">
        <f t="shared" si="575"/>
        <v>792.87679558009995</v>
      </c>
      <c r="R2875">
        <v>792.87679558009995</v>
      </c>
      <c r="S2875">
        <f t="shared" si="576"/>
        <v>0</v>
      </c>
      <c r="T2875"/>
      <c r="U2875">
        <f t="shared" si="577"/>
        <v>0</v>
      </c>
      <c r="V2875">
        <f t="shared" si="578"/>
        <v>792.87679558009995</v>
      </c>
      <c r="W2875">
        <f t="shared" si="579"/>
        <v>0</v>
      </c>
      <c r="X2875">
        <v>0</v>
      </c>
    </row>
    <row r="2876" spans="1:24" x14ac:dyDescent="0.25">
      <c r="A2876" t="s">
        <v>1928</v>
      </c>
      <c r="B2876" t="s">
        <v>2030</v>
      </c>
      <c r="C2876" t="s">
        <v>2156</v>
      </c>
      <c r="D2876" t="s">
        <v>296</v>
      </c>
      <c r="E2876" t="s">
        <v>51</v>
      </c>
      <c r="F2876" t="s">
        <v>51</v>
      </c>
      <c r="G2876" t="s">
        <v>1035</v>
      </c>
      <c r="H2876"/>
      <c r="I2876"/>
      <c r="J2876">
        <v>17782982.220000006</v>
      </c>
      <c r="K2876">
        <v>16541197.949433699</v>
      </c>
      <c r="L2876">
        <v>9572069.4900000002</v>
      </c>
      <c r="M2876">
        <v>19302792.065469608</v>
      </c>
      <c r="N2876">
        <v>18685016.820000008</v>
      </c>
      <c r="O2876">
        <v>19245335.294620231</v>
      </c>
      <c r="P2876">
        <f>SUMIF($F$2832:$F$2875,"&lt;&gt;EV_*",$P$2832:$P$2875)</f>
        <v>-143440</v>
      </c>
      <c r="Q2876">
        <f>SUMIF($F$2832:$F$2875,"&lt;&gt;EV_*",$Q$2832:$Q$2875)</f>
        <v>19101895.294620231</v>
      </c>
      <c r="R2876">
        <f>SUMIF($F$2832:$F$2875,"&lt;&gt;EV_*",$R$2832:$R$2875)</f>
        <v>19103916.519565284</v>
      </c>
      <c r="S2876">
        <f>SUMIF($F$2832:$F$2875,"&lt;&gt;EV_*",$S$2832:$S$2875)</f>
        <v>2021.2249450549</v>
      </c>
      <c r="T2876">
        <v>0</v>
      </c>
      <c r="U2876">
        <f>SUMIF($F$2832:$F$2875,"&lt;&gt;EV_*",$U$2832:$U$2875)</f>
        <v>471400.22441714216</v>
      </c>
      <c r="V2876">
        <f>SUMIF($F$2832:$F$2875,"&lt;&gt;EV_*",$V$2832:$V$2875)</f>
        <v>19575316.743982442</v>
      </c>
      <c r="W2876">
        <f>SUMIF($F$2832:$F$2875,"&lt;&gt;EV_*",$W$2832:$W$2875)</f>
        <v>473421.44936219743</v>
      </c>
      <c r="X2876">
        <f>SUMIF($F$2832:$F$2875,"&lt;&gt;EV_*",$X$2832:$X$2875)</f>
        <v>0</v>
      </c>
    </row>
    <row r="2877" spans="1:24" x14ac:dyDescent="0.25">
      <c r="A2877" t="s">
        <v>2025</v>
      </c>
      <c r="B2877" t="s">
        <v>2126</v>
      </c>
      <c r="C2877" t="s">
        <v>2157</v>
      </c>
      <c r="D2877" t="s">
        <v>298</v>
      </c>
      <c r="E2877" t="s">
        <v>5</v>
      </c>
      <c r="F2877" t="s">
        <v>5</v>
      </c>
      <c r="G2877" t="s">
        <v>1036</v>
      </c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</row>
    <row r="2878" spans="1:24" x14ac:dyDescent="0.25">
      <c r="A2878" t="s">
        <v>2025</v>
      </c>
      <c r="B2878" t="s">
        <v>2126</v>
      </c>
      <c r="C2878" t="s">
        <v>2157</v>
      </c>
      <c r="D2878" t="s">
        <v>298</v>
      </c>
      <c r="E2878" t="s">
        <v>6</v>
      </c>
      <c r="F2878" t="s">
        <v>1</v>
      </c>
      <c r="G2878" t="s">
        <v>1037</v>
      </c>
      <c r="H2878" t="s">
        <v>406</v>
      </c>
      <c r="I2878" t="s">
        <v>1</v>
      </c>
      <c r="J2878">
        <v>13190.04</v>
      </c>
      <c r="K2878">
        <v>13190.0000000004</v>
      </c>
      <c r="L2878">
        <v>6825</v>
      </c>
      <c r="M2878">
        <v>13763.121546961325</v>
      </c>
      <c r="N2878">
        <v>13420.02</v>
      </c>
      <c r="O2878">
        <v>13650</v>
      </c>
      <c r="P2878">
        <v>0</v>
      </c>
      <c r="Q2878">
        <f t="shared" ref="Q2878:Q2908" si="580">O2878+P2878</f>
        <v>13650</v>
      </c>
      <c r="R2878">
        <v>13650</v>
      </c>
      <c r="S2878">
        <f t="shared" ref="S2878:S2908" si="581">IF(OR(LEFT(E2878,2)="A_",LEFT(D2878,5)="Total"),R2878-Q2878,"")</f>
        <v>0</v>
      </c>
      <c r="T2878"/>
      <c r="U2878">
        <f t="shared" ref="U2878:U2908" si="582">IFERROR(R2878*T2878,R2878*0)</f>
        <v>0</v>
      </c>
      <c r="V2878">
        <f t="shared" ref="V2878:V2908" si="583">IF(OR(LEFT(E2878,2)="A_",LEFT(D2878,5)="Total"),R2878+U2878,"")</f>
        <v>13650</v>
      </c>
      <c r="W2878">
        <f t="shared" ref="W2878:W2908" si="584">IF(OR(LEFT(E2878,2)="A_",LEFT(D2878,5)="Total"),V2878-Q2878,"")</f>
        <v>0</v>
      </c>
      <c r="X2878">
        <v>0</v>
      </c>
    </row>
    <row r="2879" spans="1:24" x14ac:dyDescent="0.25">
      <c r="A2879" t="s">
        <v>2025</v>
      </c>
      <c r="B2879" t="s">
        <v>2126</v>
      </c>
      <c r="C2879" t="s">
        <v>2157</v>
      </c>
      <c r="D2879" t="s">
        <v>298</v>
      </c>
      <c r="E2879" t="s">
        <v>11</v>
      </c>
      <c r="F2879" t="s">
        <v>1</v>
      </c>
      <c r="G2879" t="s">
        <v>1037</v>
      </c>
      <c r="H2879" t="s">
        <v>411</v>
      </c>
      <c r="I2879" t="s">
        <v>1</v>
      </c>
      <c r="J2879">
        <v>5168.67</v>
      </c>
      <c r="K2879">
        <v>4151.5400000004001</v>
      </c>
      <c r="L2879">
        <v>2091.81</v>
      </c>
      <c r="M2879">
        <v>4218.2908839779011</v>
      </c>
      <c r="N2879">
        <v>4822.1099999999997</v>
      </c>
      <c r="O2879">
        <v>4183.62</v>
      </c>
      <c r="P2879">
        <v>0</v>
      </c>
      <c r="Q2879">
        <f t="shared" si="580"/>
        <v>4183.62</v>
      </c>
      <c r="R2879">
        <v>4151.5400000004001</v>
      </c>
      <c r="S2879">
        <f t="shared" si="581"/>
        <v>-32.07999999959975</v>
      </c>
      <c r="T2879"/>
      <c r="U2879">
        <f t="shared" si="582"/>
        <v>0</v>
      </c>
      <c r="V2879">
        <f t="shared" si="583"/>
        <v>4151.5400000004001</v>
      </c>
      <c r="W2879">
        <f t="shared" si="584"/>
        <v>-32.07999999959975</v>
      </c>
      <c r="X2879">
        <v>0</v>
      </c>
    </row>
    <row r="2880" spans="1:24" x14ac:dyDescent="0.25">
      <c r="A2880" t="s">
        <v>2025</v>
      </c>
      <c r="B2880" t="s">
        <v>2126</v>
      </c>
      <c r="C2880" t="s">
        <v>2157</v>
      </c>
      <c r="D2880" t="s">
        <v>298</v>
      </c>
      <c r="E2880" t="s">
        <v>12</v>
      </c>
      <c r="F2880" t="s">
        <v>1</v>
      </c>
      <c r="G2880" t="s">
        <v>1037</v>
      </c>
      <c r="H2880" t="s">
        <v>412</v>
      </c>
      <c r="I2880" t="s">
        <v>1</v>
      </c>
      <c r="J2880"/>
      <c r="K2880"/>
      <c r="L2880">
        <v>708</v>
      </c>
      <c r="M2880">
        <v>1427.7348066298341</v>
      </c>
      <c r="N2880">
        <v>708</v>
      </c>
      <c r="O2880">
        <v>1416</v>
      </c>
      <c r="P2880">
        <v>0</v>
      </c>
      <c r="Q2880">
        <f t="shared" si="580"/>
        <v>1416</v>
      </c>
      <c r="R2880">
        <v>0</v>
      </c>
      <c r="S2880">
        <f t="shared" si="581"/>
        <v>-1416</v>
      </c>
      <c r="T2880"/>
      <c r="U2880">
        <f t="shared" si="582"/>
        <v>0</v>
      </c>
      <c r="V2880">
        <f t="shared" si="583"/>
        <v>0</v>
      </c>
      <c r="W2880">
        <f t="shared" si="584"/>
        <v>-1416</v>
      </c>
      <c r="X2880">
        <v>0</v>
      </c>
    </row>
    <row r="2881" spans="1:24" x14ac:dyDescent="0.25">
      <c r="A2881" t="s">
        <v>2025</v>
      </c>
      <c r="B2881" t="s">
        <v>2126</v>
      </c>
      <c r="C2881" t="s">
        <v>2157</v>
      </c>
      <c r="D2881" t="s">
        <v>298</v>
      </c>
      <c r="E2881" t="s">
        <v>17</v>
      </c>
      <c r="F2881" t="s">
        <v>1</v>
      </c>
      <c r="G2881" t="s">
        <v>1037</v>
      </c>
      <c r="H2881" t="s">
        <v>417</v>
      </c>
      <c r="I2881" t="s">
        <v>1</v>
      </c>
      <c r="J2881">
        <v>-8475.23</v>
      </c>
      <c r="K2881">
        <v>-12760</v>
      </c>
      <c r="L2881">
        <v>-4081.37</v>
      </c>
      <c r="M2881">
        <v>-8230.3870165745866</v>
      </c>
      <c r="N2881">
        <v>-8870.4700000000012</v>
      </c>
      <c r="O2881">
        <v>-8207.5902197802006</v>
      </c>
      <c r="P2881">
        <v>0</v>
      </c>
      <c r="Q2881">
        <f t="shared" si="580"/>
        <v>-8207.5902197802006</v>
      </c>
      <c r="R2881">
        <v>-8207.5902197802006</v>
      </c>
      <c r="S2881">
        <f t="shared" si="581"/>
        <v>0</v>
      </c>
      <c r="T2881"/>
      <c r="U2881">
        <f t="shared" si="582"/>
        <v>0</v>
      </c>
      <c r="V2881">
        <f t="shared" si="583"/>
        <v>-8207.5902197802006</v>
      </c>
      <c r="W2881">
        <f t="shared" si="584"/>
        <v>0</v>
      </c>
      <c r="X2881">
        <v>0</v>
      </c>
    </row>
    <row r="2882" spans="1:24" x14ac:dyDescent="0.25">
      <c r="A2882" t="s">
        <v>2025</v>
      </c>
      <c r="B2882" t="s">
        <v>2126</v>
      </c>
      <c r="C2882" t="s">
        <v>2157</v>
      </c>
      <c r="D2882" t="s">
        <v>298</v>
      </c>
      <c r="E2882" t="s">
        <v>82</v>
      </c>
      <c r="F2882" t="s">
        <v>1</v>
      </c>
      <c r="G2882" t="s">
        <v>1037</v>
      </c>
      <c r="H2882" t="s">
        <v>507</v>
      </c>
      <c r="I2882" t="s">
        <v>1</v>
      </c>
      <c r="J2882">
        <v>10360</v>
      </c>
      <c r="K2882">
        <v>12562.9845679013</v>
      </c>
      <c r="L2882">
        <v>370</v>
      </c>
      <c r="M2882">
        <v>746.13259668508283</v>
      </c>
      <c r="N2882">
        <v>4810</v>
      </c>
      <c r="O2882">
        <v>744.06593406590002</v>
      </c>
      <c r="P2882">
        <v>0</v>
      </c>
      <c r="Q2882">
        <f t="shared" si="580"/>
        <v>744.06593406590002</v>
      </c>
      <c r="R2882">
        <v>0</v>
      </c>
      <c r="S2882">
        <f t="shared" si="581"/>
        <v>-744.06593406590002</v>
      </c>
      <c r="T2882">
        <v>2.75E-2</v>
      </c>
      <c r="U2882">
        <f t="shared" si="582"/>
        <v>0</v>
      </c>
      <c r="V2882">
        <f t="shared" si="583"/>
        <v>0</v>
      </c>
      <c r="W2882">
        <f t="shared" si="584"/>
        <v>-744.06593406590002</v>
      </c>
      <c r="X2882">
        <v>0</v>
      </c>
    </row>
    <row r="2883" spans="1:24" x14ac:dyDescent="0.25">
      <c r="A2883" t="s">
        <v>2025</v>
      </c>
      <c r="B2883" t="s">
        <v>2126</v>
      </c>
      <c r="C2883" t="s">
        <v>2157</v>
      </c>
      <c r="D2883" t="s">
        <v>298</v>
      </c>
      <c r="E2883" t="s">
        <v>72</v>
      </c>
      <c r="F2883" t="s">
        <v>1</v>
      </c>
      <c r="G2883" t="s">
        <v>1037</v>
      </c>
      <c r="H2883" t="s">
        <v>489</v>
      </c>
      <c r="I2883" t="s">
        <v>1</v>
      </c>
      <c r="J2883">
        <v>1980</v>
      </c>
      <c r="K2883">
        <v>3040.9907407406999</v>
      </c>
      <c r="L2883">
        <v>0</v>
      </c>
      <c r="M2883">
        <v>0</v>
      </c>
      <c r="N2883">
        <v>0</v>
      </c>
      <c r="O2883"/>
      <c r="P2883">
        <v>0</v>
      </c>
      <c r="Q2883">
        <f t="shared" si="580"/>
        <v>0</v>
      </c>
      <c r="R2883">
        <v>0</v>
      </c>
      <c r="S2883">
        <f t="shared" si="581"/>
        <v>0</v>
      </c>
      <c r="T2883">
        <v>2.2499999999999999E-2</v>
      </c>
      <c r="U2883">
        <f t="shared" si="582"/>
        <v>0</v>
      </c>
      <c r="V2883">
        <f t="shared" si="583"/>
        <v>0</v>
      </c>
      <c r="W2883">
        <f t="shared" si="584"/>
        <v>0</v>
      </c>
      <c r="X2883" t="s">
        <v>1756</v>
      </c>
    </row>
    <row r="2884" spans="1:24" x14ac:dyDescent="0.25">
      <c r="A2884" t="s">
        <v>2025</v>
      </c>
      <c r="B2884" t="s">
        <v>2126</v>
      </c>
      <c r="C2884" t="s">
        <v>2157</v>
      </c>
      <c r="D2884" t="s">
        <v>298</v>
      </c>
      <c r="E2884" t="s">
        <v>18</v>
      </c>
      <c r="F2884" t="s">
        <v>1</v>
      </c>
      <c r="G2884" t="s">
        <v>1037</v>
      </c>
      <c r="H2884" t="s">
        <v>418</v>
      </c>
      <c r="I2884" t="s">
        <v>1</v>
      </c>
      <c r="J2884">
        <v>7702.09</v>
      </c>
      <c r="K2884">
        <v>7815.2597010080999</v>
      </c>
      <c r="L2884">
        <v>3639.33</v>
      </c>
      <c r="M2884">
        <v>7338.9803867403316</v>
      </c>
      <c r="N2884">
        <v>6418.83</v>
      </c>
      <c r="O2884">
        <v>7318.6526373626002</v>
      </c>
      <c r="P2884">
        <v>0</v>
      </c>
      <c r="Q2884">
        <f t="shared" si="580"/>
        <v>7318.6526373626002</v>
      </c>
      <c r="R2884">
        <v>5000</v>
      </c>
      <c r="S2884">
        <f t="shared" si="581"/>
        <v>-2318.6526373626002</v>
      </c>
      <c r="T2884">
        <v>0.02</v>
      </c>
      <c r="U2884">
        <f t="shared" si="582"/>
        <v>100</v>
      </c>
      <c r="V2884">
        <f t="shared" si="583"/>
        <v>5100</v>
      </c>
      <c r="W2884">
        <f t="shared" si="584"/>
        <v>-2218.6526373626002</v>
      </c>
      <c r="X2884" t="s">
        <v>1757</v>
      </c>
    </row>
    <row r="2885" spans="1:24" x14ac:dyDescent="0.25">
      <c r="A2885" t="s">
        <v>2025</v>
      </c>
      <c r="B2885" t="s">
        <v>2126</v>
      </c>
      <c r="C2885" t="s">
        <v>2157</v>
      </c>
      <c r="D2885" t="s">
        <v>298</v>
      </c>
      <c r="E2885" t="s">
        <v>19</v>
      </c>
      <c r="F2885" t="s">
        <v>1</v>
      </c>
      <c r="G2885" t="s">
        <v>1037</v>
      </c>
      <c r="H2885" t="s">
        <v>419</v>
      </c>
      <c r="I2885" t="s">
        <v>1</v>
      </c>
      <c r="J2885"/>
      <c r="K2885"/>
      <c r="L2885">
        <v>366.9</v>
      </c>
      <c r="M2885">
        <v>739.88121546961315</v>
      </c>
      <c r="N2885">
        <v>366.9</v>
      </c>
      <c r="O2885">
        <v>737.83186813190002</v>
      </c>
      <c r="P2885">
        <v>0</v>
      </c>
      <c r="Q2885">
        <f t="shared" si="580"/>
        <v>737.83186813190002</v>
      </c>
      <c r="R2885">
        <v>0</v>
      </c>
      <c r="S2885">
        <f t="shared" si="581"/>
        <v>-737.83186813190002</v>
      </c>
      <c r="T2885">
        <v>0.02</v>
      </c>
      <c r="U2885">
        <f t="shared" si="582"/>
        <v>0</v>
      </c>
      <c r="V2885">
        <f t="shared" si="583"/>
        <v>0</v>
      </c>
      <c r="W2885">
        <f t="shared" si="584"/>
        <v>-737.83186813190002</v>
      </c>
      <c r="X2885">
        <v>0</v>
      </c>
    </row>
    <row r="2886" spans="1:24" x14ac:dyDescent="0.25">
      <c r="A2886" t="s">
        <v>2025</v>
      </c>
      <c r="B2886" t="s">
        <v>2126</v>
      </c>
      <c r="C2886" t="s">
        <v>2157</v>
      </c>
      <c r="D2886" t="s">
        <v>298</v>
      </c>
      <c r="E2886" t="s">
        <v>85</v>
      </c>
      <c r="F2886" t="s">
        <v>1</v>
      </c>
      <c r="G2886" t="s">
        <v>1037</v>
      </c>
      <c r="H2886" t="s">
        <v>510</v>
      </c>
      <c r="I2886" t="s">
        <v>1</v>
      </c>
      <c r="J2886">
        <v>2846</v>
      </c>
      <c r="K2886">
        <v>2374.7530864198998</v>
      </c>
      <c r="L2886">
        <v>2284</v>
      </c>
      <c r="M2886">
        <v>4605.8563535911599</v>
      </c>
      <c r="N2886">
        <v>3580</v>
      </c>
      <c r="O2886">
        <v>4593.0989010988997</v>
      </c>
      <c r="P2886">
        <v>0</v>
      </c>
      <c r="Q2886">
        <f t="shared" si="580"/>
        <v>4593.0989010988997</v>
      </c>
      <c r="R2886">
        <v>4593.0989010988997</v>
      </c>
      <c r="S2886">
        <f t="shared" si="581"/>
        <v>0</v>
      </c>
      <c r="T2886">
        <v>0.02</v>
      </c>
      <c r="U2886">
        <f t="shared" si="582"/>
        <v>91.86197802197799</v>
      </c>
      <c r="V2886">
        <f t="shared" si="583"/>
        <v>4684.9608791208775</v>
      </c>
      <c r="W2886">
        <f t="shared" si="584"/>
        <v>91.861978021977848</v>
      </c>
      <c r="X2886">
        <v>0</v>
      </c>
    </row>
    <row r="2887" spans="1:24" x14ac:dyDescent="0.25">
      <c r="A2887" t="s">
        <v>2025</v>
      </c>
      <c r="B2887" t="s">
        <v>2126</v>
      </c>
      <c r="C2887" t="s">
        <v>2157</v>
      </c>
      <c r="D2887" t="s">
        <v>298</v>
      </c>
      <c r="E2887" t="s">
        <v>119</v>
      </c>
      <c r="F2887" t="s">
        <v>1</v>
      </c>
      <c r="G2887" t="s">
        <v>1037</v>
      </c>
      <c r="H2887" t="s">
        <v>588</v>
      </c>
      <c r="I2887" t="s">
        <v>1</v>
      </c>
      <c r="J2887">
        <v>91345</v>
      </c>
      <c r="K2887">
        <v>139263.53446502</v>
      </c>
      <c r="L2887">
        <v>43915</v>
      </c>
      <c r="M2887">
        <v>88557.872928176788</v>
      </c>
      <c r="N2887">
        <v>83260</v>
      </c>
      <c r="O2887">
        <v>88312.582417582395</v>
      </c>
      <c r="P2887">
        <v>0</v>
      </c>
      <c r="Q2887">
        <f t="shared" si="580"/>
        <v>88312.582417582395</v>
      </c>
      <c r="R2887">
        <v>88312.582417582395</v>
      </c>
      <c r="S2887">
        <f t="shared" si="581"/>
        <v>0</v>
      </c>
      <c r="T2887">
        <v>1.4999999999999999E-2</v>
      </c>
      <c r="U2887">
        <f t="shared" si="582"/>
        <v>1324.6887362637358</v>
      </c>
      <c r="V2887">
        <f t="shared" si="583"/>
        <v>89637.27115384613</v>
      </c>
      <c r="W2887">
        <f t="shared" si="584"/>
        <v>1324.6887362637353</v>
      </c>
      <c r="X2887">
        <v>0</v>
      </c>
    </row>
    <row r="2888" spans="1:24" x14ac:dyDescent="0.25">
      <c r="A2888" t="s">
        <v>2025</v>
      </c>
      <c r="B2888" t="s">
        <v>2126</v>
      </c>
      <c r="C2888" t="s">
        <v>2157</v>
      </c>
      <c r="D2888" t="s">
        <v>298</v>
      </c>
      <c r="E2888" t="s">
        <v>136</v>
      </c>
      <c r="F2888" t="s">
        <v>1</v>
      </c>
      <c r="G2888" t="s">
        <v>1037</v>
      </c>
      <c r="H2888" t="s">
        <v>627</v>
      </c>
      <c r="I2888" t="s">
        <v>1</v>
      </c>
      <c r="J2888">
        <v>15500</v>
      </c>
      <c r="K2888">
        <v>20841.5567057218</v>
      </c>
      <c r="L2888">
        <v>31000</v>
      </c>
      <c r="M2888">
        <v>62513.812154696134</v>
      </c>
      <c r="N2888">
        <v>33500</v>
      </c>
      <c r="O2888">
        <v>62340.659340659397</v>
      </c>
      <c r="P2888">
        <v>0</v>
      </c>
      <c r="Q2888">
        <f t="shared" si="580"/>
        <v>62340.659340659397</v>
      </c>
      <c r="R2888">
        <v>62340.659340659397</v>
      </c>
      <c r="S2888">
        <f t="shared" si="581"/>
        <v>0</v>
      </c>
      <c r="T2888">
        <v>0.03</v>
      </c>
      <c r="U2888">
        <f t="shared" si="582"/>
        <v>1870.2197802197818</v>
      </c>
      <c r="V2888">
        <f t="shared" si="583"/>
        <v>64210.879120879181</v>
      </c>
      <c r="W2888">
        <f t="shared" si="584"/>
        <v>1870.2197802197843</v>
      </c>
      <c r="X2888">
        <v>0</v>
      </c>
    </row>
    <row r="2889" spans="1:24" x14ac:dyDescent="0.25">
      <c r="A2889" t="s">
        <v>2025</v>
      </c>
      <c r="B2889" t="s">
        <v>2126</v>
      </c>
      <c r="C2889" t="s">
        <v>2157</v>
      </c>
      <c r="D2889" t="s">
        <v>298</v>
      </c>
      <c r="E2889" t="s">
        <v>299</v>
      </c>
      <c r="F2889" t="s">
        <v>1</v>
      </c>
      <c r="G2889" t="s">
        <v>1037</v>
      </c>
      <c r="H2889" t="s">
        <v>1038</v>
      </c>
      <c r="I2889" t="s">
        <v>1</v>
      </c>
      <c r="J2889"/>
      <c r="K2889"/>
      <c r="L2889">
        <v>10500</v>
      </c>
      <c r="M2889">
        <v>21174.033149171271</v>
      </c>
      <c r="N2889">
        <v>10500</v>
      </c>
      <c r="O2889">
        <v>21115.384615384599</v>
      </c>
      <c r="P2889">
        <v>0</v>
      </c>
      <c r="Q2889">
        <f t="shared" si="580"/>
        <v>21115.384615384599</v>
      </c>
      <c r="R2889">
        <v>10500</v>
      </c>
      <c r="S2889">
        <f t="shared" si="581"/>
        <v>-10615.384615384599</v>
      </c>
      <c r="T2889"/>
      <c r="U2889">
        <f t="shared" si="582"/>
        <v>0</v>
      </c>
      <c r="V2889">
        <f t="shared" si="583"/>
        <v>10500</v>
      </c>
      <c r="W2889">
        <f t="shared" si="584"/>
        <v>-10615.384615384599</v>
      </c>
      <c r="X2889">
        <v>0</v>
      </c>
    </row>
    <row r="2890" spans="1:24" x14ac:dyDescent="0.25">
      <c r="A2890" t="s">
        <v>2025</v>
      </c>
      <c r="B2890" t="s">
        <v>2126</v>
      </c>
      <c r="C2890" t="s">
        <v>2157</v>
      </c>
      <c r="D2890" t="s">
        <v>298</v>
      </c>
      <c r="E2890" t="s">
        <v>20</v>
      </c>
      <c r="F2890" t="s">
        <v>1</v>
      </c>
      <c r="G2890" t="s">
        <v>1037</v>
      </c>
      <c r="H2890" t="s">
        <v>420</v>
      </c>
      <c r="I2890" t="s">
        <v>1</v>
      </c>
      <c r="J2890">
        <v>673882.53</v>
      </c>
      <c r="K2890">
        <v>707778.47447824699</v>
      </c>
      <c r="L2890">
        <v>358106.35</v>
      </c>
      <c r="M2890">
        <v>722148.16436464083</v>
      </c>
      <c r="N2890">
        <v>678980.09</v>
      </c>
      <c r="O2890">
        <v>720147.93461538397</v>
      </c>
      <c r="P2890">
        <v>0</v>
      </c>
      <c r="Q2890">
        <f t="shared" si="580"/>
        <v>720147.93461538397</v>
      </c>
      <c r="R2890">
        <v>720147.93461538397</v>
      </c>
      <c r="S2890">
        <f t="shared" si="581"/>
        <v>0</v>
      </c>
      <c r="T2890">
        <v>0.04</v>
      </c>
      <c r="U2890">
        <f t="shared" si="582"/>
        <v>28805.917384615361</v>
      </c>
      <c r="V2890">
        <f t="shared" si="583"/>
        <v>748953.85199999937</v>
      </c>
      <c r="W2890">
        <f t="shared" si="584"/>
        <v>28805.917384615401</v>
      </c>
      <c r="X2890" t="s">
        <v>1758</v>
      </c>
    </row>
    <row r="2891" spans="1:24" x14ac:dyDescent="0.25">
      <c r="A2891" t="s">
        <v>2025</v>
      </c>
      <c r="B2891" t="s">
        <v>2126</v>
      </c>
      <c r="C2891" t="s">
        <v>2157</v>
      </c>
      <c r="D2891" t="s">
        <v>298</v>
      </c>
      <c r="E2891" t="s">
        <v>22</v>
      </c>
      <c r="F2891" t="s">
        <v>1</v>
      </c>
      <c r="G2891" t="s">
        <v>1037</v>
      </c>
      <c r="H2891" t="s">
        <v>422</v>
      </c>
      <c r="I2891" t="s">
        <v>1</v>
      </c>
      <c r="J2891">
        <v>1324.91</v>
      </c>
      <c r="K2891">
        <v>2245.9500000000999</v>
      </c>
      <c r="L2891">
        <v>0</v>
      </c>
      <c r="M2891">
        <v>0</v>
      </c>
      <c r="N2891">
        <v>238.2</v>
      </c>
      <c r="O2891"/>
      <c r="P2891">
        <v>0</v>
      </c>
      <c r="Q2891">
        <f t="shared" si="580"/>
        <v>0</v>
      </c>
      <c r="R2891">
        <v>0</v>
      </c>
      <c r="S2891">
        <f t="shared" si="581"/>
        <v>0</v>
      </c>
      <c r="T2891">
        <v>3.5000000000000003E-2</v>
      </c>
      <c r="U2891">
        <f t="shared" si="582"/>
        <v>0</v>
      </c>
      <c r="V2891">
        <f t="shared" si="583"/>
        <v>0</v>
      </c>
      <c r="W2891">
        <f t="shared" si="584"/>
        <v>0</v>
      </c>
      <c r="X2891">
        <v>0</v>
      </c>
    </row>
    <row r="2892" spans="1:24" x14ac:dyDescent="0.25">
      <c r="A2892" t="s">
        <v>2025</v>
      </c>
      <c r="B2892" t="s">
        <v>2126</v>
      </c>
      <c r="C2892" t="s">
        <v>2157</v>
      </c>
      <c r="D2892" t="s">
        <v>298</v>
      </c>
      <c r="E2892" t="s">
        <v>23</v>
      </c>
      <c r="F2892" t="s">
        <v>1</v>
      </c>
      <c r="G2892" t="s">
        <v>1037</v>
      </c>
      <c r="H2892" t="s">
        <v>423</v>
      </c>
      <c r="I2892" t="s">
        <v>1</v>
      </c>
      <c r="J2892">
        <v>2327.16</v>
      </c>
      <c r="K2892">
        <v>4429.8</v>
      </c>
      <c r="L2892">
        <v>854.61</v>
      </c>
      <c r="M2892">
        <v>1723.3848066298342</v>
      </c>
      <c r="N2892">
        <v>1039.6100000000001</v>
      </c>
      <c r="O2892">
        <v>1723.3848066298001</v>
      </c>
      <c r="P2892">
        <v>0</v>
      </c>
      <c r="Q2892">
        <f t="shared" si="580"/>
        <v>1723.3848066298001</v>
      </c>
      <c r="R2892">
        <v>1723.3848066298001</v>
      </c>
      <c r="S2892">
        <f t="shared" si="581"/>
        <v>0</v>
      </c>
      <c r="T2892">
        <v>3.5000000000000003E-2</v>
      </c>
      <c r="U2892">
        <f t="shared" si="582"/>
        <v>60.31846823204301</v>
      </c>
      <c r="V2892">
        <f t="shared" si="583"/>
        <v>1783.7032748618431</v>
      </c>
      <c r="W2892">
        <f t="shared" si="584"/>
        <v>60.31846823204296</v>
      </c>
      <c r="X2892">
        <v>0</v>
      </c>
    </row>
    <row r="2893" spans="1:24" x14ac:dyDescent="0.25">
      <c r="A2893" t="s">
        <v>2025</v>
      </c>
      <c r="B2893" t="s">
        <v>2126</v>
      </c>
      <c r="C2893" t="s">
        <v>2157</v>
      </c>
      <c r="D2893" t="s">
        <v>298</v>
      </c>
      <c r="E2893" t="s">
        <v>24</v>
      </c>
      <c r="F2893" t="s">
        <v>1</v>
      </c>
      <c r="G2893" t="s">
        <v>1037</v>
      </c>
      <c r="H2893" t="s">
        <v>424</v>
      </c>
      <c r="I2893" t="s">
        <v>1</v>
      </c>
      <c r="J2893">
        <v>10000</v>
      </c>
      <c r="K2893"/>
      <c r="L2893">
        <v>100</v>
      </c>
      <c r="M2893">
        <v>201.65745856353593</v>
      </c>
      <c r="N2893">
        <v>10100</v>
      </c>
      <c r="O2893">
        <v>200</v>
      </c>
      <c r="P2893">
        <v>0</v>
      </c>
      <c r="Q2893">
        <f t="shared" si="580"/>
        <v>200</v>
      </c>
      <c r="R2893">
        <v>15000</v>
      </c>
      <c r="S2893">
        <f t="shared" si="581"/>
        <v>14800</v>
      </c>
      <c r="T2893"/>
      <c r="U2893">
        <f t="shared" si="582"/>
        <v>0</v>
      </c>
      <c r="V2893">
        <f t="shared" si="583"/>
        <v>15000</v>
      </c>
      <c r="W2893">
        <f t="shared" si="584"/>
        <v>14800</v>
      </c>
      <c r="X2893" t="s">
        <v>1759</v>
      </c>
    </row>
    <row r="2894" spans="1:24" x14ac:dyDescent="0.25">
      <c r="A2894" t="s">
        <v>2025</v>
      </c>
      <c r="B2894" t="s">
        <v>2126</v>
      </c>
      <c r="C2894" t="s">
        <v>2157</v>
      </c>
      <c r="D2894" t="s">
        <v>298</v>
      </c>
      <c r="E2894" t="s">
        <v>25</v>
      </c>
      <c r="F2894" t="s">
        <v>1</v>
      </c>
      <c r="G2894" t="s">
        <v>1037</v>
      </c>
      <c r="H2894" t="s">
        <v>425</v>
      </c>
      <c r="I2894" t="s">
        <v>1</v>
      </c>
      <c r="J2894">
        <v>399.87</v>
      </c>
      <c r="K2894"/>
      <c r="L2894">
        <v>38</v>
      </c>
      <c r="M2894">
        <v>76.629834254143645</v>
      </c>
      <c r="N2894">
        <v>244.76</v>
      </c>
      <c r="O2894">
        <v>76</v>
      </c>
      <c r="P2894">
        <v>0</v>
      </c>
      <c r="Q2894">
        <f t="shared" si="580"/>
        <v>76</v>
      </c>
      <c r="R2894">
        <v>76</v>
      </c>
      <c r="S2894">
        <f t="shared" si="581"/>
        <v>0</v>
      </c>
      <c r="T2894"/>
      <c r="U2894">
        <f t="shared" si="582"/>
        <v>0</v>
      </c>
      <c r="V2894">
        <f t="shared" si="583"/>
        <v>76</v>
      </c>
      <c r="W2894">
        <f t="shared" si="584"/>
        <v>0</v>
      </c>
      <c r="X2894">
        <v>0</v>
      </c>
    </row>
    <row r="2895" spans="1:24" x14ac:dyDescent="0.25">
      <c r="A2895" t="s">
        <v>2025</v>
      </c>
      <c r="B2895" t="s">
        <v>2126</v>
      </c>
      <c r="C2895" t="s">
        <v>2157</v>
      </c>
      <c r="D2895" t="s">
        <v>298</v>
      </c>
      <c r="E2895" t="s">
        <v>26</v>
      </c>
      <c r="F2895" t="s">
        <v>1</v>
      </c>
      <c r="G2895" t="s">
        <v>1037</v>
      </c>
      <c r="H2895" t="s">
        <v>426</v>
      </c>
      <c r="I2895" t="s">
        <v>1</v>
      </c>
      <c r="J2895">
        <v>1095.46</v>
      </c>
      <c r="K2895">
        <v>500.43156783000001</v>
      </c>
      <c r="L2895">
        <v>150</v>
      </c>
      <c r="M2895">
        <v>302.48618784530385</v>
      </c>
      <c r="N2895">
        <v>1245.46</v>
      </c>
      <c r="O2895">
        <v>300</v>
      </c>
      <c r="P2895">
        <v>0</v>
      </c>
      <c r="Q2895">
        <f t="shared" si="580"/>
        <v>300</v>
      </c>
      <c r="R2895">
        <v>300</v>
      </c>
      <c r="S2895">
        <f t="shared" si="581"/>
        <v>0</v>
      </c>
      <c r="T2895"/>
      <c r="U2895">
        <f t="shared" si="582"/>
        <v>0</v>
      </c>
      <c r="V2895">
        <f t="shared" si="583"/>
        <v>300</v>
      </c>
      <c r="W2895">
        <f t="shared" si="584"/>
        <v>0</v>
      </c>
      <c r="X2895">
        <v>0</v>
      </c>
    </row>
    <row r="2896" spans="1:24" x14ac:dyDescent="0.25">
      <c r="A2896" t="s">
        <v>2025</v>
      </c>
      <c r="B2896" t="s">
        <v>2126</v>
      </c>
      <c r="C2896" t="s">
        <v>2157</v>
      </c>
      <c r="D2896" t="s">
        <v>298</v>
      </c>
      <c r="E2896" t="s">
        <v>58</v>
      </c>
      <c r="F2896" t="s">
        <v>1</v>
      </c>
      <c r="G2896" t="s">
        <v>1037</v>
      </c>
      <c r="H2896" t="s">
        <v>463</v>
      </c>
      <c r="I2896" t="s">
        <v>1</v>
      </c>
      <c r="J2896">
        <v>300</v>
      </c>
      <c r="K2896">
        <v>9.9999999996</v>
      </c>
      <c r="L2896">
        <v>0</v>
      </c>
      <c r="M2896">
        <v>0</v>
      </c>
      <c r="N2896">
        <v>200</v>
      </c>
      <c r="O2896"/>
      <c r="P2896">
        <v>0</v>
      </c>
      <c r="Q2896">
        <f t="shared" si="580"/>
        <v>0</v>
      </c>
      <c r="R2896">
        <v>0</v>
      </c>
      <c r="S2896">
        <f t="shared" si="581"/>
        <v>0</v>
      </c>
      <c r="T2896"/>
      <c r="U2896">
        <f t="shared" si="582"/>
        <v>0</v>
      </c>
      <c r="V2896">
        <f t="shared" si="583"/>
        <v>0</v>
      </c>
      <c r="W2896">
        <f t="shared" si="584"/>
        <v>0</v>
      </c>
      <c r="X2896">
        <v>0</v>
      </c>
    </row>
    <row r="2897" spans="1:24" x14ac:dyDescent="0.25">
      <c r="A2897" t="s">
        <v>2025</v>
      </c>
      <c r="B2897" t="s">
        <v>2126</v>
      </c>
      <c r="C2897" t="s">
        <v>2157</v>
      </c>
      <c r="D2897" t="s">
        <v>298</v>
      </c>
      <c r="E2897" t="s">
        <v>29</v>
      </c>
      <c r="F2897" t="s">
        <v>1</v>
      </c>
      <c r="G2897" t="s">
        <v>1037</v>
      </c>
      <c r="H2897" t="s">
        <v>429</v>
      </c>
      <c r="I2897" t="s">
        <v>1</v>
      </c>
      <c r="J2897">
        <v>2356.04</v>
      </c>
      <c r="K2897">
        <v>2550</v>
      </c>
      <c r="L2897">
        <v>9.99</v>
      </c>
      <c r="M2897">
        <v>20.145580110497239</v>
      </c>
      <c r="N2897">
        <v>1091.73</v>
      </c>
      <c r="O2897">
        <v>19.98</v>
      </c>
      <c r="P2897">
        <v>0</v>
      </c>
      <c r="Q2897">
        <f t="shared" si="580"/>
        <v>19.98</v>
      </c>
      <c r="R2897">
        <v>0</v>
      </c>
      <c r="S2897">
        <f t="shared" si="581"/>
        <v>-19.98</v>
      </c>
      <c r="T2897"/>
      <c r="U2897">
        <f t="shared" si="582"/>
        <v>0</v>
      </c>
      <c r="V2897">
        <f t="shared" si="583"/>
        <v>0</v>
      </c>
      <c r="W2897">
        <f t="shared" si="584"/>
        <v>-19.98</v>
      </c>
      <c r="X2897">
        <v>0</v>
      </c>
    </row>
    <row r="2898" spans="1:24" x14ac:dyDescent="0.25">
      <c r="A2898" t="s">
        <v>2025</v>
      </c>
      <c r="B2898" t="s">
        <v>2126</v>
      </c>
      <c r="C2898" t="s">
        <v>2157</v>
      </c>
      <c r="D2898" t="s">
        <v>298</v>
      </c>
      <c r="E2898" t="s">
        <v>30</v>
      </c>
      <c r="F2898" t="s">
        <v>1</v>
      </c>
      <c r="G2898" t="s">
        <v>1037</v>
      </c>
      <c r="H2898" t="s">
        <v>430</v>
      </c>
      <c r="I2898" t="s">
        <v>1</v>
      </c>
      <c r="J2898">
        <v>8450</v>
      </c>
      <c r="K2898"/>
      <c r="L2898">
        <v>0</v>
      </c>
      <c r="M2898">
        <v>0</v>
      </c>
      <c r="N2898">
        <v>0</v>
      </c>
      <c r="O2898"/>
      <c r="P2898">
        <v>0</v>
      </c>
      <c r="Q2898">
        <f t="shared" si="580"/>
        <v>0</v>
      </c>
      <c r="R2898">
        <v>0</v>
      </c>
      <c r="S2898">
        <f t="shared" si="581"/>
        <v>0</v>
      </c>
      <c r="T2898"/>
      <c r="U2898">
        <f t="shared" si="582"/>
        <v>0</v>
      </c>
      <c r="V2898">
        <f t="shared" si="583"/>
        <v>0</v>
      </c>
      <c r="W2898">
        <f t="shared" si="584"/>
        <v>0</v>
      </c>
      <c r="X2898">
        <v>0</v>
      </c>
    </row>
    <row r="2899" spans="1:24" x14ac:dyDescent="0.25">
      <c r="A2899" t="s">
        <v>2025</v>
      </c>
      <c r="B2899" t="s">
        <v>2126</v>
      </c>
      <c r="C2899" t="s">
        <v>2157</v>
      </c>
      <c r="D2899" t="s">
        <v>298</v>
      </c>
      <c r="E2899" t="s">
        <v>33</v>
      </c>
      <c r="F2899" t="s">
        <v>1</v>
      </c>
      <c r="G2899" t="s">
        <v>1037</v>
      </c>
      <c r="H2899" t="s">
        <v>433</v>
      </c>
      <c r="I2899" t="s">
        <v>1</v>
      </c>
      <c r="J2899">
        <v>3112.17</v>
      </c>
      <c r="K2899">
        <v>754.10903338799994</v>
      </c>
      <c r="L2899">
        <v>0</v>
      </c>
      <c r="M2899">
        <v>0</v>
      </c>
      <c r="N2899">
        <v>1320.55</v>
      </c>
      <c r="O2899"/>
      <c r="P2899">
        <v>0</v>
      </c>
      <c r="Q2899">
        <f t="shared" si="580"/>
        <v>0</v>
      </c>
      <c r="R2899">
        <v>500</v>
      </c>
      <c r="S2899">
        <f t="shared" si="581"/>
        <v>500</v>
      </c>
      <c r="T2899"/>
      <c r="U2899">
        <f t="shared" si="582"/>
        <v>0</v>
      </c>
      <c r="V2899">
        <f t="shared" si="583"/>
        <v>500</v>
      </c>
      <c r="W2899">
        <f t="shared" si="584"/>
        <v>500</v>
      </c>
      <c r="X2899">
        <v>0</v>
      </c>
    </row>
    <row r="2900" spans="1:24" x14ac:dyDescent="0.25">
      <c r="A2900" t="s">
        <v>2025</v>
      </c>
      <c r="B2900" t="s">
        <v>2126</v>
      </c>
      <c r="C2900" t="s">
        <v>2157</v>
      </c>
      <c r="D2900" t="s">
        <v>298</v>
      </c>
      <c r="E2900" t="s">
        <v>34</v>
      </c>
      <c r="F2900" t="s">
        <v>1</v>
      </c>
      <c r="G2900" t="s">
        <v>1037</v>
      </c>
      <c r="H2900" t="s">
        <v>434</v>
      </c>
      <c r="I2900" t="s">
        <v>1</v>
      </c>
      <c r="J2900">
        <v>4106.04</v>
      </c>
      <c r="K2900">
        <v>2158.7244102479999</v>
      </c>
      <c r="L2900">
        <v>114.67</v>
      </c>
      <c r="M2900">
        <v>231.24060773480662</v>
      </c>
      <c r="N2900">
        <v>2394.2399999999998</v>
      </c>
      <c r="O2900">
        <v>229.34</v>
      </c>
      <c r="P2900">
        <v>0</v>
      </c>
      <c r="Q2900">
        <f t="shared" si="580"/>
        <v>229.34</v>
      </c>
      <c r="R2900">
        <v>750</v>
      </c>
      <c r="S2900">
        <f t="shared" si="581"/>
        <v>520.66</v>
      </c>
      <c r="T2900"/>
      <c r="U2900">
        <f t="shared" si="582"/>
        <v>0</v>
      </c>
      <c r="V2900">
        <f t="shared" si="583"/>
        <v>750</v>
      </c>
      <c r="W2900">
        <f t="shared" si="584"/>
        <v>520.66</v>
      </c>
      <c r="X2900">
        <v>0</v>
      </c>
    </row>
    <row r="2901" spans="1:24" x14ac:dyDescent="0.25">
      <c r="A2901" t="s">
        <v>2025</v>
      </c>
      <c r="B2901" t="s">
        <v>2126</v>
      </c>
      <c r="C2901" t="s">
        <v>2157</v>
      </c>
      <c r="D2901" t="s">
        <v>298</v>
      </c>
      <c r="E2901" t="s">
        <v>37</v>
      </c>
      <c r="F2901" t="s">
        <v>1</v>
      </c>
      <c r="G2901" t="s">
        <v>1037</v>
      </c>
      <c r="H2901" t="s">
        <v>437</v>
      </c>
      <c r="I2901" t="s">
        <v>1</v>
      </c>
      <c r="J2901">
        <v>3048.23</v>
      </c>
      <c r="K2901">
        <v>1962.4767365892001</v>
      </c>
      <c r="L2901">
        <v>1218</v>
      </c>
      <c r="M2901">
        <v>2456.1878453038676</v>
      </c>
      <c r="N2901">
        <v>3286.84</v>
      </c>
      <c r="O2901">
        <v>2436</v>
      </c>
      <c r="P2901">
        <v>0</v>
      </c>
      <c r="Q2901">
        <f t="shared" si="580"/>
        <v>2436</v>
      </c>
      <c r="R2901">
        <v>2436</v>
      </c>
      <c r="S2901">
        <f t="shared" si="581"/>
        <v>0</v>
      </c>
      <c r="T2901"/>
      <c r="U2901">
        <f t="shared" si="582"/>
        <v>0</v>
      </c>
      <c r="V2901">
        <f t="shared" si="583"/>
        <v>2436</v>
      </c>
      <c r="W2901">
        <f t="shared" si="584"/>
        <v>0</v>
      </c>
      <c r="X2901">
        <v>0</v>
      </c>
    </row>
    <row r="2902" spans="1:24" x14ac:dyDescent="0.25">
      <c r="A2902" t="s">
        <v>2025</v>
      </c>
      <c r="B2902" t="s">
        <v>2126</v>
      </c>
      <c r="C2902" t="s">
        <v>2157</v>
      </c>
      <c r="D2902" t="s">
        <v>298</v>
      </c>
      <c r="E2902" t="s">
        <v>40</v>
      </c>
      <c r="F2902" t="s">
        <v>1</v>
      </c>
      <c r="G2902" t="s">
        <v>1037</v>
      </c>
      <c r="H2902" t="s">
        <v>440</v>
      </c>
      <c r="I2902" t="s">
        <v>1</v>
      </c>
      <c r="J2902">
        <v>40203.56</v>
      </c>
      <c r="K2902">
        <v>108403</v>
      </c>
      <c r="L2902">
        <v>69928.98</v>
      </c>
      <c r="M2902">
        <v>141017.00386740331</v>
      </c>
      <c r="N2902">
        <v>96787.640000000014</v>
      </c>
      <c r="O2902">
        <v>139857.96</v>
      </c>
      <c r="P2902">
        <v>0</v>
      </c>
      <c r="Q2902">
        <f t="shared" si="580"/>
        <v>139857.96</v>
      </c>
      <c r="R2902">
        <v>139857.96</v>
      </c>
      <c r="S2902">
        <f t="shared" si="581"/>
        <v>0</v>
      </c>
      <c r="T2902">
        <v>0.03</v>
      </c>
      <c r="U2902">
        <f t="shared" si="582"/>
        <v>4195.7387999999992</v>
      </c>
      <c r="V2902">
        <f t="shared" si="583"/>
        <v>144053.69879999998</v>
      </c>
      <c r="W2902">
        <f t="shared" si="584"/>
        <v>4195.7387999999919</v>
      </c>
      <c r="X2902" t="s">
        <v>1760</v>
      </c>
    </row>
    <row r="2903" spans="1:24" x14ac:dyDescent="0.25">
      <c r="A2903" t="s">
        <v>2025</v>
      </c>
      <c r="B2903" t="s">
        <v>2126</v>
      </c>
      <c r="C2903" t="s">
        <v>2157</v>
      </c>
      <c r="D2903" t="s">
        <v>298</v>
      </c>
      <c r="E2903" t="s">
        <v>76</v>
      </c>
      <c r="F2903" t="s">
        <v>1</v>
      </c>
      <c r="G2903" t="s">
        <v>1037</v>
      </c>
      <c r="H2903" t="s">
        <v>493</v>
      </c>
      <c r="I2903" t="s">
        <v>1</v>
      </c>
      <c r="J2903">
        <v>157939</v>
      </c>
      <c r="K2903">
        <v>157939</v>
      </c>
      <c r="L2903">
        <v>78969.5</v>
      </c>
      <c r="M2903">
        <v>159247.88674033148</v>
      </c>
      <c r="N2903">
        <v>157939</v>
      </c>
      <c r="O2903">
        <v>157939</v>
      </c>
      <c r="P2903">
        <v>0</v>
      </c>
      <c r="Q2903">
        <f t="shared" si="580"/>
        <v>157939</v>
      </c>
      <c r="R2903">
        <v>157939</v>
      </c>
      <c r="S2903">
        <f t="shared" si="581"/>
        <v>0</v>
      </c>
      <c r="T2903">
        <v>0.03</v>
      </c>
      <c r="U2903">
        <f t="shared" si="582"/>
        <v>4738.17</v>
      </c>
      <c r="V2903">
        <f t="shared" si="583"/>
        <v>162677.17000000001</v>
      </c>
      <c r="W2903">
        <f t="shared" si="584"/>
        <v>4738.1700000000128</v>
      </c>
      <c r="X2903" t="s">
        <v>1761</v>
      </c>
    </row>
    <row r="2904" spans="1:24" x14ac:dyDescent="0.25">
      <c r="A2904" t="s">
        <v>2025</v>
      </c>
      <c r="B2904" t="s">
        <v>2126</v>
      </c>
      <c r="C2904" t="s">
        <v>2157</v>
      </c>
      <c r="D2904" t="s">
        <v>298</v>
      </c>
      <c r="E2904" t="s">
        <v>41</v>
      </c>
      <c r="F2904" t="s">
        <v>1</v>
      </c>
      <c r="G2904" t="s">
        <v>1037</v>
      </c>
      <c r="H2904" t="s">
        <v>441</v>
      </c>
      <c r="I2904" t="s">
        <v>1</v>
      </c>
      <c r="J2904">
        <v>38247.120000000003</v>
      </c>
      <c r="K2904">
        <v>30612.366293942399</v>
      </c>
      <c r="L2904">
        <v>11266.68</v>
      </c>
      <c r="M2904">
        <v>22720.10055248619</v>
      </c>
      <c r="N2904">
        <v>33196.81</v>
      </c>
      <c r="O2904">
        <v>22533.360000000001</v>
      </c>
      <c r="P2904">
        <v>0</v>
      </c>
      <c r="Q2904">
        <f t="shared" si="580"/>
        <v>22533.360000000001</v>
      </c>
      <c r="R2904">
        <v>22533.360000000001</v>
      </c>
      <c r="S2904">
        <f t="shared" si="581"/>
        <v>0</v>
      </c>
      <c r="T2904">
        <v>0.03</v>
      </c>
      <c r="U2904">
        <f t="shared" si="582"/>
        <v>676.00080000000003</v>
      </c>
      <c r="V2904">
        <f t="shared" si="583"/>
        <v>23209.360800000002</v>
      </c>
      <c r="W2904">
        <f t="shared" si="584"/>
        <v>676.00080000000162</v>
      </c>
      <c r="X2904">
        <v>0</v>
      </c>
    </row>
    <row r="2905" spans="1:24" x14ac:dyDescent="0.25">
      <c r="A2905" t="s">
        <v>2025</v>
      </c>
      <c r="B2905" t="s">
        <v>2126</v>
      </c>
      <c r="C2905" t="s">
        <v>2157</v>
      </c>
      <c r="D2905" t="s">
        <v>298</v>
      </c>
      <c r="E2905" t="s">
        <v>42</v>
      </c>
      <c r="F2905" t="s">
        <v>1</v>
      </c>
      <c r="G2905" t="s">
        <v>1037</v>
      </c>
      <c r="H2905" t="s">
        <v>442</v>
      </c>
      <c r="I2905" t="s">
        <v>1</v>
      </c>
      <c r="J2905">
        <v>69.9299999999985</v>
      </c>
      <c r="K2905">
        <v>21693</v>
      </c>
      <c r="L2905">
        <v>13213.13</v>
      </c>
      <c r="M2905">
        <v>26645.262154696131</v>
      </c>
      <c r="N2905">
        <v>333.11000000000013</v>
      </c>
      <c r="O2905">
        <v>26426.26</v>
      </c>
      <c r="P2905">
        <v>0</v>
      </c>
      <c r="Q2905">
        <f t="shared" si="580"/>
        <v>26426.26</v>
      </c>
      <c r="R2905">
        <v>26426.26</v>
      </c>
      <c r="S2905">
        <f t="shared" si="581"/>
        <v>0</v>
      </c>
      <c r="T2905">
        <v>0.03</v>
      </c>
      <c r="U2905">
        <f t="shared" si="582"/>
        <v>792.78779999999995</v>
      </c>
      <c r="V2905">
        <f t="shared" si="583"/>
        <v>27219.047799999997</v>
      </c>
      <c r="W2905">
        <f t="shared" si="584"/>
        <v>792.78779999999824</v>
      </c>
      <c r="X2905" t="s">
        <v>1762</v>
      </c>
    </row>
    <row r="2906" spans="1:24" x14ac:dyDescent="0.25">
      <c r="A2906" t="s">
        <v>2025</v>
      </c>
      <c r="B2906" t="s">
        <v>2126</v>
      </c>
      <c r="C2906" t="s">
        <v>2157</v>
      </c>
      <c r="D2906" t="s">
        <v>298</v>
      </c>
      <c r="E2906" t="s">
        <v>134</v>
      </c>
      <c r="F2906" t="s">
        <v>1</v>
      </c>
      <c r="G2906" t="s">
        <v>1037</v>
      </c>
      <c r="H2906" t="s">
        <v>623</v>
      </c>
      <c r="I2906" t="s">
        <v>1</v>
      </c>
      <c r="J2906">
        <v>7069.5</v>
      </c>
      <c r="K2906"/>
      <c r="L2906">
        <v>2632.5</v>
      </c>
      <c r="M2906">
        <v>5308.6325966850827</v>
      </c>
      <c r="N2906">
        <v>9702</v>
      </c>
      <c r="O2906">
        <v>5265</v>
      </c>
      <c r="P2906">
        <v>0</v>
      </c>
      <c r="Q2906">
        <f t="shared" si="580"/>
        <v>5265</v>
      </c>
      <c r="R2906">
        <v>5265</v>
      </c>
      <c r="S2906">
        <f t="shared" si="581"/>
        <v>0</v>
      </c>
      <c r="T2906">
        <v>0.03</v>
      </c>
      <c r="U2906">
        <f t="shared" si="582"/>
        <v>157.94999999999999</v>
      </c>
      <c r="V2906">
        <f t="shared" si="583"/>
        <v>5422.95</v>
      </c>
      <c r="W2906">
        <f t="shared" si="584"/>
        <v>157.94999999999982</v>
      </c>
      <c r="X2906" t="s">
        <v>1763</v>
      </c>
    </row>
    <row r="2907" spans="1:24" x14ac:dyDescent="0.25">
      <c r="A2907" t="s">
        <v>2025</v>
      </c>
      <c r="B2907" t="s">
        <v>2126</v>
      </c>
      <c r="C2907" t="s">
        <v>2157</v>
      </c>
      <c r="D2907" t="s">
        <v>298</v>
      </c>
      <c r="E2907" t="s">
        <v>47</v>
      </c>
      <c r="F2907" t="s">
        <v>1</v>
      </c>
      <c r="G2907" t="s">
        <v>1037</v>
      </c>
      <c r="H2907" t="s">
        <v>447</v>
      </c>
      <c r="I2907" t="s">
        <v>1</v>
      </c>
      <c r="J2907">
        <v>1301</v>
      </c>
      <c r="K2907">
        <v>1608</v>
      </c>
      <c r="L2907">
        <v>1030</v>
      </c>
      <c r="M2907">
        <v>2077.0718232044201</v>
      </c>
      <c r="N2907">
        <v>2210</v>
      </c>
      <c r="O2907">
        <v>2060</v>
      </c>
      <c r="P2907">
        <v>0</v>
      </c>
      <c r="Q2907">
        <f t="shared" si="580"/>
        <v>2060</v>
      </c>
      <c r="R2907">
        <v>2060</v>
      </c>
      <c r="S2907">
        <f t="shared" si="581"/>
        <v>0</v>
      </c>
      <c r="T2907">
        <v>0.03</v>
      </c>
      <c r="U2907">
        <f t="shared" si="582"/>
        <v>61.8</v>
      </c>
      <c r="V2907">
        <f t="shared" si="583"/>
        <v>2121.8000000000002</v>
      </c>
      <c r="W2907">
        <f t="shared" si="584"/>
        <v>61.800000000000182</v>
      </c>
      <c r="X2907">
        <v>0</v>
      </c>
    </row>
    <row r="2908" spans="1:24" x14ac:dyDescent="0.25">
      <c r="A2908" t="s">
        <v>2025</v>
      </c>
      <c r="B2908" t="s">
        <v>2126</v>
      </c>
      <c r="C2908" t="s">
        <v>2157</v>
      </c>
      <c r="D2908" t="s">
        <v>298</v>
      </c>
      <c r="E2908" t="s">
        <v>48</v>
      </c>
      <c r="F2908" t="s">
        <v>1</v>
      </c>
      <c r="G2908" t="s">
        <v>1037</v>
      </c>
      <c r="H2908" t="s">
        <v>448</v>
      </c>
      <c r="I2908" t="s">
        <v>1</v>
      </c>
      <c r="J2908">
        <v>139.96</v>
      </c>
      <c r="K2908"/>
      <c r="L2908">
        <v>21.97</v>
      </c>
      <c r="M2908">
        <v>44.304143646408839</v>
      </c>
      <c r="N2908">
        <v>161.93</v>
      </c>
      <c r="O2908">
        <v>43.94</v>
      </c>
      <c r="P2908">
        <v>0</v>
      </c>
      <c r="Q2908">
        <f t="shared" si="580"/>
        <v>43.94</v>
      </c>
      <c r="R2908">
        <v>43.94</v>
      </c>
      <c r="S2908">
        <f t="shared" si="581"/>
        <v>0</v>
      </c>
      <c r="T2908">
        <v>0.03</v>
      </c>
      <c r="U2908">
        <f t="shared" si="582"/>
        <v>1.3181999999999998</v>
      </c>
      <c r="V2908">
        <f t="shared" si="583"/>
        <v>45.258199999999995</v>
      </c>
      <c r="W2908">
        <f t="shared" si="584"/>
        <v>1.3181999999999974</v>
      </c>
      <c r="X2908">
        <v>0</v>
      </c>
    </row>
    <row r="2909" spans="1:24" x14ac:dyDescent="0.25">
      <c r="A2909" t="s">
        <v>2025</v>
      </c>
      <c r="B2909" t="s">
        <v>2126</v>
      </c>
      <c r="C2909" t="s">
        <v>2157</v>
      </c>
      <c r="D2909" t="s">
        <v>298</v>
      </c>
      <c r="E2909" t="s">
        <v>51</v>
      </c>
      <c r="F2909" t="s">
        <v>51</v>
      </c>
      <c r="G2909" t="s">
        <v>1039</v>
      </c>
      <c r="H2909"/>
      <c r="I2909"/>
      <c r="J2909">
        <v>1094989.0500000003</v>
      </c>
      <c r="K2909">
        <v>1233125.9517870569</v>
      </c>
      <c r="L2909">
        <v>635273.04999999993</v>
      </c>
      <c r="M2909">
        <v>1281075.4875690609</v>
      </c>
      <c r="N2909">
        <v>1152987.3599999999</v>
      </c>
      <c r="O2909">
        <v>1275462.4649165194</v>
      </c>
      <c r="P2909">
        <f>SUMIF($F$2877:$F$2908,"&lt;&gt;EV_*",$P$2877:$P$2908)</f>
        <v>0</v>
      </c>
      <c r="Q2909">
        <f>SUMIF($F$2877:$F$2908,"&lt;&gt;EV_*",$Q$2877:$Q$2908)</f>
        <v>1275462.4649165194</v>
      </c>
      <c r="R2909">
        <f>SUMIF($F$2877:$F$2908,"&lt;&gt;EV_*",$R$2877:$R$2908)</f>
        <v>1275399.1298615749</v>
      </c>
      <c r="S2909">
        <f>SUMIF($F$2877:$F$2908,"&lt;&gt;EV_*",$S$2877:$S$2908)</f>
        <v>-63.335054944598937</v>
      </c>
      <c r="T2909">
        <v>0</v>
      </c>
      <c r="U2909">
        <f>SUMIF($F$2877:$F$2908,"&lt;&gt;EV_*",$U$2877:$U$2908)</f>
        <v>42876.7719473529</v>
      </c>
      <c r="V2909">
        <f>SUMIF($F$2877:$F$2908,"&lt;&gt;EV_*",$V$2877:$V$2908)</f>
        <v>1318275.9018089275</v>
      </c>
      <c r="W2909">
        <f>SUMIF($F$2877:$F$2908,"&lt;&gt;EV_*",$W$2877:$W$2908)</f>
        <v>42813.436892408346</v>
      </c>
      <c r="X2909">
        <f>SUMIF($F$2877:$F$2908,"&lt;&gt;EV_*",$X$2877:$X$2908)</f>
        <v>0</v>
      </c>
    </row>
    <row r="2910" spans="1:24" x14ac:dyDescent="0.25">
      <c r="A2910" t="s">
        <v>1928</v>
      </c>
      <c r="B2910" t="s">
        <v>2007</v>
      </c>
      <c r="C2910" t="s">
        <v>2158</v>
      </c>
      <c r="D2910" t="s">
        <v>300</v>
      </c>
      <c r="E2910" t="s">
        <v>5</v>
      </c>
      <c r="F2910" t="s">
        <v>5</v>
      </c>
      <c r="G2910" t="s">
        <v>1040</v>
      </c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</row>
    <row r="2911" spans="1:24" x14ac:dyDescent="0.25">
      <c r="A2911" t="s">
        <v>1928</v>
      </c>
      <c r="B2911" t="s">
        <v>2007</v>
      </c>
      <c r="C2911" t="s">
        <v>2158</v>
      </c>
      <c r="D2911" t="s">
        <v>300</v>
      </c>
      <c r="E2911" t="s">
        <v>8</v>
      </c>
      <c r="F2911" t="s">
        <v>1</v>
      </c>
      <c r="G2911" t="s">
        <v>1041</v>
      </c>
      <c r="H2911" t="s">
        <v>408</v>
      </c>
      <c r="I2911" t="s">
        <v>1</v>
      </c>
      <c r="J2911">
        <v>2840.52</v>
      </c>
      <c r="K2911">
        <v>2793.9237569062002</v>
      </c>
      <c r="L2911">
        <v>20.29</v>
      </c>
      <c r="M2911">
        <v>40.916298342541438</v>
      </c>
      <c r="N2911">
        <v>1475.33</v>
      </c>
      <c r="O2911">
        <v>40.916298342499999</v>
      </c>
      <c r="P2911">
        <v>-41</v>
      </c>
      <c r="Q2911">
        <f t="shared" ref="Q2911:Q2918" si="585">O2911+P2911</f>
        <v>-8.3701657500000692E-2</v>
      </c>
      <c r="R2911">
        <v>0</v>
      </c>
      <c r="S2911">
        <f t="shared" ref="S2911:S2918" si="586">IF(OR(LEFT(E2911,2)="A_",LEFT(D2911,5)="Total"),R2911-Q2911,"")</f>
        <v>8.3701657500000692E-2</v>
      </c>
      <c r="T2911"/>
      <c r="U2911">
        <f t="shared" ref="U2911:U2918" si="587">IFERROR(R2911*T2911,R2911*0)</f>
        <v>0</v>
      </c>
      <c r="V2911">
        <f t="shared" ref="V2911:V2918" si="588">IF(OR(LEFT(E2911,2)="A_",LEFT(D2911,5)="Total"),R2911+U2911,"")</f>
        <v>0</v>
      </c>
      <c r="W2911">
        <f t="shared" ref="W2911:W2918" si="589">IF(OR(LEFT(E2911,2)="A_",LEFT(D2911,5)="Total"),V2911-Q2911,"")</f>
        <v>8.3701657500000692E-2</v>
      </c>
      <c r="X2911">
        <v>0</v>
      </c>
    </row>
    <row r="2912" spans="1:24" x14ac:dyDescent="0.25">
      <c r="A2912" t="s">
        <v>1928</v>
      </c>
      <c r="B2912" t="s">
        <v>2007</v>
      </c>
      <c r="C2912" t="s">
        <v>2158</v>
      </c>
      <c r="D2912" t="s">
        <v>300</v>
      </c>
      <c r="E2912" t="s">
        <v>18</v>
      </c>
      <c r="F2912" t="s">
        <v>1</v>
      </c>
      <c r="G2912" t="s">
        <v>1041</v>
      </c>
      <c r="H2912" t="s">
        <v>418</v>
      </c>
      <c r="I2912" t="s">
        <v>1</v>
      </c>
      <c r="J2912">
        <v>2650.2</v>
      </c>
      <c r="K2912">
        <v>4207.5414080008004</v>
      </c>
      <c r="L2912">
        <v>520</v>
      </c>
      <c r="M2912">
        <v>1048.6187845303868</v>
      </c>
      <c r="N2912">
        <v>1142.5</v>
      </c>
      <c r="O2912">
        <v>1045.7142857143001</v>
      </c>
      <c r="P2912">
        <v>0</v>
      </c>
      <c r="Q2912">
        <f t="shared" si="585"/>
        <v>1045.7142857143001</v>
      </c>
      <c r="R2912">
        <v>1045.7142857143001</v>
      </c>
      <c r="S2912">
        <f t="shared" si="586"/>
        <v>0</v>
      </c>
      <c r="T2912">
        <v>0.02</v>
      </c>
      <c r="U2912">
        <f t="shared" si="587"/>
        <v>20.914285714286002</v>
      </c>
      <c r="V2912">
        <f t="shared" si="588"/>
        <v>1066.6285714285862</v>
      </c>
      <c r="W2912">
        <f t="shared" si="589"/>
        <v>20.914285714286052</v>
      </c>
      <c r="X2912">
        <v>0</v>
      </c>
    </row>
    <row r="2913" spans="1:24" x14ac:dyDescent="0.25">
      <c r="A2913" t="s">
        <v>1928</v>
      </c>
      <c r="B2913" t="s">
        <v>2007</v>
      </c>
      <c r="C2913" t="s">
        <v>2158</v>
      </c>
      <c r="D2913" t="s">
        <v>300</v>
      </c>
      <c r="E2913" t="s">
        <v>21</v>
      </c>
      <c r="F2913" t="s">
        <v>1</v>
      </c>
      <c r="G2913" t="s">
        <v>1041</v>
      </c>
      <c r="H2913" t="s">
        <v>421</v>
      </c>
      <c r="I2913" t="s">
        <v>1</v>
      </c>
      <c r="J2913">
        <v>312.16000000000003</v>
      </c>
      <c r="K2913">
        <v>236.76999999989999</v>
      </c>
      <c r="L2913">
        <v>0</v>
      </c>
      <c r="M2913">
        <v>0</v>
      </c>
      <c r="N2913">
        <v>179.8</v>
      </c>
      <c r="O2913"/>
      <c r="P2913">
        <v>0</v>
      </c>
      <c r="Q2913">
        <f t="shared" si="585"/>
        <v>0</v>
      </c>
      <c r="R2913">
        <v>0</v>
      </c>
      <c r="S2913">
        <f t="shared" si="586"/>
        <v>0</v>
      </c>
      <c r="T2913">
        <v>0.03</v>
      </c>
      <c r="U2913">
        <f t="shared" si="587"/>
        <v>0</v>
      </c>
      <c r="V2913">
        <f t="shared" si="588"/>
        <v>0</v>
      </c>
      <c r="W2913">
        <f t="shared" si="589"/>
        <v>0</v>
      </c>
      <c r="X2913">
        <v>0</v>
      </c>
    </row>
    <row r="2914" spans="1:24" x14ac:dyDescent="0.25">
      <c r="A2914" t="s">
        <v>1928</v>
      </c>
      <c r="B2914" t="s">
        <v>2007</v>
      </c>
      <c r="C2914" t="s">
        <v>2158</v>
      </c>
      <c r="D2914" t="s">
        <v>300</v>
      </c>
      <c r="E2914" t="s">
        <v>22</v>
      </c>
      <c r="F2914" t="s">
        <v>1</v>
      </c>
      <c r="G2914" t="s">
        <v>1041</v>
      </c>
      <c r="H2914" t="s">
        <v>422</v>
      </c>
      <c r="I2914" t="s">
        <v>1</v>
      </c>
      <c r="J2914">
        <v>3876.58</v>
      </c>
      <c r="K2914">
        <v>3198.1500000001001</v>
      </c>
      <c r="L2914">
        <v>753.64</v>
      </c>
      <c r="M2914">
        <v>1519.7712707182318</v>
      </c>
      <c r="N2914">
        <v>3085.48</v>
      </c>
      <c r="O2914">
        <v>1519.7712707182</v>
      </c>
      <c r="P2914">
        <v>0</v>
      </c>
      <c r="Q2914">
        <f t="shared" si="585"/>
        <v>1519.7712707182</v>
      </c>
      <c r="R2914">
        <v>1519.7712707182</v>
      </c>
      <c r="S2914">
        <f t="shared" si="586"/>
        <v>0</v>
      </c>
      <c r="T2914">
        <v>3.5000000000000003E-2</v>
      </c>
      <c r="U2914">
        <f t="shared" si="587"/>
        <v>53.191994475137001</v>
      </c>
      <c r="V2914">
        <f t="shared" si="588"/>
        <v>1572.9632651933371</v>
      </c>
      <c r="W2914">
        <f t="shared" si="589"/>
        <v>53.191994475137108</v>
      </c>
      <c r="X2914">
        <v>0</v>
      </c>
    </row>
    <row r="2915" spans="1:24" x14ac:dyDescent="0.25">
      <c r="A2915" t="s">
        <v>1928</v>
      </c>
      <c r="B2915" t="s">
        <v>2007</v>
      </c>
      <c r="C2915" t="s">
        <v>2158</v>
      </c>
      <c r="D2915" t="s">
        <v>300</v>
      </c>
      <c r="E2915" t="s">
        <v>23</v>
      </c>
      <c r="F2915" t="s">
        <v>1</v>
      </c>
      <c r="G2915" t="s">
        <v>1041</v>
      </c>
      <c r="H2915" t="s">
        <v>423</v>
      </c>
      <c r="I2915" t="s">
        <v>1</v>
      </c>
      <c r="J2915">
        <v>3435.56</v>
      </c>
      <c r="K2915">
        <v>7110.4500000001999</v>
      </c>
      <c r="L2915">
        <v>74.45</v>
      </c>
      <c r="M2915">
        <v>150.13397790055248</v>
      </c>
      <c r="N2915">
        <v>74.45</v>
      </c>
      <c r="O2915">
        <v>150.1339779006</v>
      </c>
      <c r="P2915">
        <v>0</v>
      </c>
      <c r="Q2915">
        <f t="shared" si="585"/>
        <v>150.1339779006</v>
      </c>
      <c r="R2915">
        <v>150.1339779006</v>
      </c>
      <c r="S2915">
        <f t="shared" si="586"/>
        <v>0</v>
      </c>
      <c r="T2915">
        <v>3.5000000000000003E-2</v>
      </c>
      <c r="U2915">
        <f t="shared" si="587"/>
        <v>5.2546892265210001</v>
      </c>
      <c r="V2915">
        <f t="shared" si="588"/>
        <v>155.38866712712101</v>
      </c>
      <c r="W2915">
        <f t="shared" si="589"/>
        <v>5.254689226521009</v>
      </c>
      <c r="X2915">
        <v>0</v>
      </c>
    </row>
    <row r="2916" spans="1:24" x14ac:dyDescent="0.25">
      <c r="A2916" t="s">
        <v>1928</v>
      </c>
      <c r="B2916" t="s">
        <v>2007</v>
      </c>
      <c r="C2916" t="s">
        <v>2158</v>
      </c>
      <c r="D2916" t="s">
        <v>300</v>
      </c>
      <c r="E2916" t="s">
        <v>28</v>
      </c>
      <c r="F2916" t="s">
        <v>1</v>
      </c>
      <c r="G2916" t="s">
        <v>1041</v>
      </c>
      <c r="H2916" t="s">
        <v>428</v>
      </c>
      <c r="I2916" t="s">
        <v>1</v>
      </c>
      <c r="J2916">
        <v>16.489999999999998</v>
      </c>
      <c r="K2916"/>
      <c r="L2916">
        <v>0</v>
      </c>
      <c r="M2916">
        <v>0</v>
      </c>
      <c r="N2916">
        <v>16.489999999999998</v>
      </c>
      <c r="O2916"/>
      <c r="P2916">
        <v>0</v>
      </c>
      <c r="Q2916">
        <f t="shared" si="585"/>
        <v>0</v>
      </c>
      <c r="R2916">
        <v>0</v>
      </c>
      <c r="S2916">
        <f t="shared" si="586"/>
        <v>0</v>
      </c>
      <c r="T2916"/>
      <c r="U2916">
        <f t="shared" si="587"/>
        <v>0</v>
      </c>
      <c r="V2916">
        <f t="shared" si="588"/>
        <v>0</v>
      </c>
      <c r="W2916">
        <f t="shared" si="589"/>
        <v>0</v>
      </c>
      <c r="X2916">
        <v>0</v>
      </c>
    </row>
    <row r="2917" spans="1:24" x14ac:dyDescent="0.25">
      <c r="A2917" t="s">
        <v>1928</v>
      </c>
      <c r="B2917" t="s">
        <v>2007</v>
      </c>
      <c r="C2917" t="s">
        <v>2158</v>
      </c>
      <c r="D2917" t="s">
        <v>300</v>
      </c>
      <c r="E2917" t="s">
        <v>46</v>
      </c>
      <c r="F2917" t="s">
        <v>1</v>
      </c>
      <c r="G2917" t="s">
        <v>1041</v>
      </c>
      <c r="H2917" t="s">
        <v>446</v>
      </c>
      <c r="I2917" t="s">
        <v>1</v>
      </c>
      <c r="J2917">
        <v>1065.1600000000001</v>
      </c>
      <c r="K2917"/>
      <c r="L2917">
        <v>0</v>
      </c>
      <c r="M2917">
        <v>0</v>
      </c>
      <c r="N2917">
        <v>0</v>
      </c>
      <c r="O2917"/>
      <c r="P2917">
        <v>0</v>
      </c>
      <c r="Q2917">
        <f t="shared" si="585"/>
        <v>0</v>
      </c>
      <c r="R2917">
        <v>0</v>
      </c>
      <c r="S2917">
        <f t="shared" si="586"/>
        <v>0</v>
      </c>
      <c r="T2917">
        <v>0.03</v>
      </c>
      <c r="U2917">
        <f t="shared" si="587"/>
        <v>0</v>
      </c>
      <c r="V2917">
        <f t="shared" si="588"/>
        <v>0</v>
      </c>
      <c r="W2917">
        <f t="shared" si="589"/>
        <v>0</v>
      </c>
      <c r="X2917">
        <v>0</v>
      </c>
    </row>
    <row r="2918" spans="1:24" x14ac:dyDescent="0.25">
      <c r="A2918" t="s">
        <v>1928</v>
      </c>
      <c r="B2918" t="s">
        <v>2007</v>
      </c>
      <c r="C2918" t="s">
        <v>2158</v>
      </c>
      <c r="D2918" t="s">
        <v>300</v>
      </c>
      <c r="E2918" t="s">
        <v>50</v>
      </c>
      <c r="F2918" t="s">
        <v>1</v>
      </c>
      <c r="G2918" t="s">
        <v>1041</v>
      </c>
      <c r="H2918" t="s">
        <v>450</v>
      </c>
      <c r="I2918" t="s">
        <v>1</v>
      </c>
      <c r="J2918">
        <v>360.41</v>
      </c>
      <c r="K2918">
        <v>339.99999999969998</v>
      </c>
      <c r="L2918">
        <v>196.59</v>
      </c>
      <c r="M2918">
        <v>396.43839779005532</v>
      </c>
      <c r="N2918">
        <v>393.16999999999996</v>
      </c>
      <c r="O2918">
        <v>396.4383977901</v>
      </c>
      <c r="P2918">
        <v>0</v>
      </c>
      <c r="Q2918">
        <f t="shared" si="585"/>
        <v>396.4383977901</v>
      </c>
      <c r="R2918">
        <v>396.4383977901</v>
      </c>
      <c r="S2918">
        <f t="shared" si="586"/>
        <v>0</v>
      </c>
      <c r="T2918"/>
      <c r="U2918">
        <f t="shared" si="587"/>
        <v>0</v>
      </c>
      <c r="V2918">
        <f t="shared" si="588"/>
        <v>396.4383977901</v>
      </c>
      <c r="W2918">
        <f t="shared" si="589"/>
        <v>0</v>
      </c>
      <c r="X2918">
        <v>0</v>
      </c>
    </row>
    <row r="2919" spans="1:24" x14ac:dyDescent="0.25">
      <c r="A2919" t="s">
        <v>1928</v>
      </c>
      <c r="B2919" t="s">
        <v>2007</v>
      </c>
      <c r="C2919" t="s">
        <v>2158</v>
      </c>
      <c r="D2919" t="s">
        <v>300</v>
      </c>
      <c r="E2919" t="s">
        <v>51</v>
      </c>
      <c r="F2919" t="s">
        <v>51</v>
      </c>
      <c r="G2919" t="s">
        <v>1042</v>
      </c>
      <c r="H2919"/>
      <c r="I2919"/>
      <c r="J2919">
        <v>14557.079999999998</v>
      </c>
      <c r="K2919">
        <v>17886.835164906901</v>
      </c>
      <c r="L2919">
        <v>1564.9699999999998</v>
      </c>
      <c r="M2919">
        <v>3155.8787292817678</v>
      </c>
      <c r="N2919">
        <v>6367.22</v>
      </c>
      <c r="O2919">
        <v>3152.9742304657002</v>
      </c>
      <c r="P2919">
        <f>SUMIF($F$2910:$F$2918,"&lt;&gt;EV_*",$P$2910:$P$2918)</f>
        <v>-41</v>
      </c>
      <c r="Q2919">
        <f>SUMIF($F$2910:$F$2918,"&lt;&gt;EV_*",$Q$2910:$Q$2918)</f>
        <v>3111.9742304657002</v>
      </c>
      <c r="R2919">
        <f>SUMIF($F$2910:$F$2918,"&lt;&gt;EV_*",$R$2910:$R$2918)</f>
        <v>3112.0579321231999</v>
      </c>
      <c r="S2919">
        <f>SUMIF($F$2910:$F$2918,"&lt;&gt;EV_*",$S$2910:$S$2918)</f>
        <v>8.3701657500000692E-2</v>
      </c>
      <c r="T2919">
        <v>0</v>
      </c>
      <c r="U2919">
        <f>SUMIF($F$2910:$F$2918,"&lt;&gt;EV_*",$U$2910:$U$2918)</f>
        <v>79.360969415943998</v>
      </c>
      <c r="V2919">
        <f>SUMIF($F$2910:$F$2918,"&lt;&gt;EV_*",$V$2910:$V$2918)</f>
        <v>3191.4189015391439</v>
      </c>
      <c r="W2919">
        <f>SUMIF($F$2910:$F$2918,"&lt;&gt;EV_*",$W$2910:$W$2918)</f>
        <v>79.444671073444169</v>
      </c>
      <c r="X2919">
        <f>SUMIF($F$2910:$F$2918,"&lt;&gt;EV_*",$X$2910:$X$2918)</f>
        <v>0</v>
      </c>
    </row>
    <row r="2920" spans="1:24" x14ac:dyDescent="0.25">
      <c r="A2920" t="s">
        <v>1965</v>
      </c>
      <c r="B2920" t="s">
        <v>2017</v>
      </c>
      <c r="C2920" t="s">
        <v>2159</v>
      </c>
      <c r="D2920" t="s">
        <v>301</v>
      </c>
      <c r="E2920" t="s">
        <v>5</v>
      </c>
      <c r="F2920" t="s">
        <v>5</v>
      </c>
      <c r="G2920" t="s">
        <v>1043</v>
      </c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</row>
    <row r="2921" spans="1:24" x14ac:dyDescent="0.25">
      <c r="A2921" t="s">
        <v>1965</v>
      </c>
      <c r="B2921" t="s">
        <v>2017</v>
      </c>
      <c r="C2921" t="s">
        <v>2159</v>
      </c>
      <c r="D2921" t="s">
        <v>301</v>
      </c>
      <c r="E2921" t="s">
        <v>13</v>
      </c>
      <c r="F2921" t="s">
        <v>1</v>
      </c>
      <c r="G2921" t="s">
        <v>1044</v>
      </c>
      <c r="H2921" t="s">
        <v>413</v>
      </c>
      <c r="I2921" t="s">
        <v>1</v>
      </c>
      <c r="J2921">
        <v>236.79</v>
      </c>
      <c r="K2921"/>
      <c r="L2921">
        <v>210.19</v>
      </c>
      <c r="M2921">
        <v>423.86381215469606</v>
      </c>
      <c r="N2921">
        <v>446.97999999999996</v>
      </c>
      <c r="O2921">
        <v>420.38</v>
      </c>
      <c r="P2921">
        <v>0</v>
      </c>
      <c r="Q2921">
        <f t="shared" ref="Q2921:Q2926" si="590">O2921+P2921</f>
        <v>420.38</v>
      </c>
      <c r="R2921">
        <v>420</v>
      </c>
      <c r="S2921">
        <f t="shared" ref="S2921:S2926" si="591">IF(OR(LEFT(E2921,2)="A_",LEFT(D2921,5)="Total"),R2921-Q2921,"")</f>
        <v>-0.37999999999999545</v>
      </c>
      <c r="T2921"/>
      <c r="U2921">
        <f t="shared" ref="U2921:U2926" si="592">IFERROR(R2921*T2921,R2921*0)</f>
        <v>0</v>
      </c>
      <c r="V2921">
        <f t="shared" ref="V2921:V2926" si="593">IF(OR(LEFT(E2921,2)="A_",LEFT(D2921,5)="Total"),R2921+U2921,"")</f>
        <v>420</v>
      </c>
      <c r="W2921">
        <f t="shared" ref="W2921:W2926" si="594">IF(OR(LEFT(E2921,2)="A_",LEFT(D2921,5)="Total"),V2921-Q2921,"")</f>
        <v>-0.37999999999999545</v>
      </c>
      <c r="X2921" t="s">
        <v>1573</v>
      </c>
    </row>
    <row r="2922" spans="1:24" x14ac:dyDescent="0.25">
      <c r="A2922" t="s">
        <v>1965</v>
      </c>
      <c r="B2922" t="s">
        <v>2017</v>
      </c>
      <c r="C2922" t="s">
        <v>2159</v>
      </c>
      <c r="D2922" t="s">
        <v>301</v>
      </c>
      <c r="E2922" t="s">
        <v>24</v>
      </c>
      <c r="F2922" t="s">
        <v>1</v>
      </c>
      <c r="G2922" t="s">
        <v>1044</v>
      </c>
      <c r="H2922" t="s">
        <v>424</v>
      </c>
      <c r="I2922" t="s">
        <v>1</v>
      </c>
      <c r="J2922">
        <v>150</v>
      </c>
      <c r="K2922"/>
      <c r="L2922">
        <v>0</v>
      </c>
      <c r="M2922">
        <v>0</v>
      </c>
      <c r="N2922">
        <v>0</v>
      </c>
      <c r="O2922"/>
      <c r="P2922">
        <v>0</v>
      </c>
      <c r="Q2922">
        <f t="shared" si="590"/>
        <v>0</v>
      </c>
      <c r="R2922">
        <v>0</v>
      </c>
      <c r="S2922">
        <f t="shared" si="591"/>
        <v>0</v>
      </c>
      <c r="T2922"/>
      <c r="U2922">
        <f t="shared" si="592"/>
        <v>0</v>
      </c>
      <c r="V2922">
        <f t="shared" si="593"/>
        <v>0</v>
      </c>
      <c r="W2922">
        <f t="shared" si="594"/>
        <v>0</v>
      </c>
      <c r="X2922">
        <v>0</v>
      </c>
    </row>
    <row r="2923" spans="1:24" x14ac:dyDescent="0.25">
      <c r="A2923" t="s">
        <v>1965</v>
      </c>
      <c r="B2923" t="s">
        <v>2017</v>
      </c>
      <c r="C2923" t="s">
        <v>2159</v>
      </c>
      <c r="D2923" t="s">
        <v>301</v>
      </c>
      <c r="E2923" t="s">
        <v>26</v>
      </c>
      <c r="F2923" t="s">
        <v>1</v>
      </c>
      <c r="G2923" t="s">
        <v>1044</v>
      </c>
      <c r="H2923" t="s">
        <v>426</v>
      </c>
      <c r="I2923" t="s">
        <v>1</v>
      </c>
      <c r="J2923">
        <v>770</v>
      </c>
      <c r="K2923">
        <v>987.8091762048</v>
      </c>
      <c r="L2923">
        <v>0</v>
      </c>
      <c r="M2923">
        <v>0</v>
      </c>
      <c r="N2923">
        <v>120</v>
      </c>
      <c r="O2923"/>
      <c r="P2923">
        <v>0</v>
      </c>
      <c r="Q2923">
        <f t="shared" si="590"/>
        <v>0</v>
      </c>
      <c r="R2923">
        <v>0</v>
      </c>
      <c r="S2923">
        <f t="shared" si="591"/>
        <v>0</v>
      </c>
      <c r="T2923"/>
      <c r="U2923">
        <f t="shared" si="592"/>
        <v>0</v>
      </c>
      <c r="V2923">
        <f t="shared" si="593"/>
        <v>0</v>
      </c>
      <c r="W2923">
        <f t="shared" si="594"/>
        <v>0</v>
      </c>
      <c r="X2923" t="s">
        <v>1639</v>
      </c>
    </row>
    <row r="2924" spans="1:24" x14ac:dyDescent="0.25">
      <c r="A2924" t="s">
        <v>1965</v>
      </c>
      <c r="B2924" t="s">
        <v>2017</v>
      </c>
      <c r="C2924" t="s">
        <v>2159</v>
      </c>
      <c r="D2924" t="s">
        <v>301</v>
      </c>
      <c r="E2924" t="s">
        <v>37</v>
      </c>
      <c r="F2924" t="s">
        <v>1</v>
      </c>
      <c r="G2924" t="s">
        <v>1044</v>
      </c>
      <c r="H2924" t="s">
        <v>437</v>
      </c>
      <c r="I2924" t="s">
        <v>1</v>
      </c>
      <c r="J2924">
        <v>801.22</v>
      </c>
      <c r="K2924"/>
      <c r="L2924">
        <v>0</v>
      </c>
      <c r="M2924">
        <v>0</v>
      </c>
      <c r="N2924">
        <v>0</v>
      </c>
      <c r="O2924"/>
      <c r="P2924">
        <v>0</v>
      </c>
      <c r="Q2924">
        <f t="shared" si="590"/>
        <v>0</v>
      </c>
      <c r="R2924">
        <v>0</v>
      </c>
      <c r="S2924">
        <f t="shared" si="591"/>
        <v>0</v>
      </c>
      <c r="T2924"/>
      <c r="U2924">
        <f t="shared" si="592"/>
        <v>0</v>
      </c>
      <c r="V2924">
        <f t="shared" si="593"/>
        <v>0</v>
      </c>
      <c r="W2924">
        <f t="shared" si="594"/>
        <v>0</v>
      </c>
      <c r="X2924">
        <v>0</v>
      </c>
    </row>
    <row r="2925" spans="1:24" x14ac:dyDescent="0.25">
      <c r="A2925" t="s">
        <v>1965</v>
      </c>
      <c r="B2925" t="s">
        <v>2017</v>
      </c>
      <c r="C2925" t="s">
        <v>2159</v>
      </c>
      <c r="D2925" t="s">
        <v>301</v>
      </c>
      <c r="E2925" t="s">
        <v>42</v>
      </c>
      <c r="F2925" t="s">
        <v>1</v>
      </c>
      <c r="G2925" t="s">
        <v>1044</v>
      </c>
      <c r="H2925" t="s">
        <v>442</v>
      </c>
      <c r="I2925" t="s">
        <v>1</v>
      </c>
      <c r="J2925">
        <v>33.229999999999997</v>
      </c>
      <c r="K2925"/>
      <c r="L2925">
        <v>23.3</v>
      </c>
      <c r="M2925">
        <v>46.986187845303874</v>
      </c>
      <c r="N2925">
        <v>56.53</v>
      </c>
      <c r="O2925">
        <v>46.6</v>
      </c>
      <c r="P2925">
        <v>0</v>
      </c>
      <c r="Q2925">
        <f t="shared" si="590"/>
        <v>46.6</v>
      </c>
      <c r="R2925">
        <v>47</v>
      </c>
      <c r="S2925">
        <f t="shared" si="591"/>
        <v>0.39999999999999858</v>
      </c>
      <c r="T2925">
        <v>0.03</v>
      </c>
      <c r="U2925">
        <f t="shared" si="592"/>
        <v>1.41</v>
      </c>
      <c r="V2925">
        <f t="shared" si="593"/>
        <v>48.41</v>
      </c>
      <c r="W2925">
        <f t="shared" si="594"/>
        <v>1.8099999999999952</v>
      </c>
      <c r="X2925" t="s">
        <v>1573</v>
      </c>
    </row>
    <row r="2926" spans="1:24" x14ac:dyDescent="0.25">
      <c r="A2926" t="s">
        <v>1965</v>
      </c>
      <c r="B2926" t="s">
        <v>2017</v>
      </c>
      <c r="C2926" t="s">
        <v>2159</v>
      </c>
      <c r="D2926" t="s">
        <v>301</v>
      </c>
      <c r="E2926" t="s">
        <v>47</v>
      </c>
      <c r="F2926" t="s">
        <v>1</v>
      </c>
      <c r="G2926" t="s">
        <v>1044</v>
      </c>
      <c r="H2926" t="s">
        <v>447</v>
      </c>
      <c r="I2926" t="s">
        <v>1</v>
      </c>
      <c r="J2926">
        <v>539</v>
      </c>
      <c r="K2926">
        <v>902.00000000039995</v>
      </c>
      <c r="L2926">
        <v>560</v>
      </c>
      <c r="M2926">
        <v>1129.2817679558011</v>
      </c>
      <c r="N2926">
        <v>1025</v>
      </c>
      <c r="O2926">
        <v>1120</v>
      </c>
      <c r="P2926">
        <v>0</v>
      </c>
      <c r="Q2926">
        <f t="shared" si="590"/>
        <v>1120</v>
      </c>
      <c r="R2926">
        <v>6900</v>
      </c>
      <c r="S2926">
        <f t="shared" si="591"/>
        <v>5780</v>
      </c>
      <c r="T2926">
        <v>0.03</v>
      </c>
      <c r="U2926">
        <f t="shared" si="592"/>
        <v>207</v>
      </c>
      <c r="V2926">
        <f t="shared" si="593"/>
        <v>7107</v>
      </c>
      <c r="W2926">
        <f t="shared" si="594"/>
        <v>5987</v>
      </c>
      <c r="X2926" t="s">
        <v>1619</v>
      </c>
    </row>
    <row r="2927" spans="1:24" x14ac:dyDescent="0.25">
      <c r="A2927" t="s">
        <v>1965</v>
      </c>
      <c r="B2927" t="s">
        <v>2017</v>
      </c>
      <c r="C2927" t="s">
        <v>2159</v>
      </c>
      <c r="D2927" t="s">
        <v>301</v>
      </c>
      <c r="E2927" t="s">
        <v>51</v>
      </c>
      <c r="F2927" t="s">
        <v>51</v>
      </c>
      <c r="G2927" t="s">
        <v>1045</v>
      </c>
      <c r="H2927"/>
      <c r="I2927"/>
      <c r="J2927">
        <v>2530.2399999999998</v>
      </c>
      <c r="K2927">
        <v>1889.8091762051999</v>
      </c>
      <c r="L2927">
        <v>793.49</v>
      </c>
      <c r="M2927">
        <v>1600.131767955801</v>
      </c>
      <c r="N2927">
        <v>1648.51</v>
      </c>
      <c r="O2927">
        <v>1586.98</v>
      </c>
      <c r="P2927">
        <f>SUMIF($F$2920:$F$2926,"&lt;&gt;EV_*",$P$2920:$P$2926)</f>
        <v>0</v>
      </c>
      <c r="Q2927">
        <f>SUMIF($F$2920:$F$2926,"&lt;&gt;EV_*",$Q$2920:$Q$2926)</f>
        <v>1586.98</v>
      </c>
      <c r="R2927">
        <f>SUMIF($F$2920:$F$2926,"&lt;&gt;EV_*",$R$2920:$R$2926)</f>
        <v>7367</v>
      </c>
      <c r="S2927">
        <f>SUMIF($F$2920:$F$2926,"&lt;&gt;EV_*",$S$2920:$S$2926)</f>
        <v>5780.02</v>
      </c>
      <c r="T2927">
        <v>0</v>
      </c>
      <c r="U2927">
        <f>SUMIF($F$2920:$F$2926,"&lt;&gt;EV_*",$U$2920:$U$2926)</f>
        <v>208.41</v>
      </c>
      <c r="V2927">
        <f>SUMIF($F$2920:$F$2926,"&lt;&gt;EV_*",$V$2920:$V$2926)</f>
        <v>7575.41</v>
      </c>
      <c r="W2927">
        <f>SUMIF($F$2920:$F$2926,"&lt;&gt;EV_*",$W$2920:$W$2926)</f>
        <v>5988.43</v>
      </c>
      <c r="X2927">
        <f>SUMIF($F$2920:$F$2926,"&lt;&gt;EV_*",$X$2920:$X$2926)</f>
        <v>0</v>
      </c>
    </row>
    <row r="2928" spans="1:24" x14ac:dyDescent="0.25">
      <c r="A2928" t="s">
        <v>1948</v>
      </c>
      <c r="B2928" t="s">
        <v>2076</v>
      </c>
      <c r="C2928" t="s">
        <v>2160</v>
      </c>
      <c r="D2928" t="s">
        <v>302</v>
      </c>
      <c r="E2928" t="s">
        <v>5</v>
      </c>
      <c r="F2928" t="s">
        <v>5</v>
      </c>
      <c r="G2928" t="s">
        <v>1046</v>
      </c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</row>
    <row r="2929" spans="1:24" x14ac:dyDescent="0.25">
      <c r="A2929" t="s">
        <v>1948</v>
      </c>
      <c r="B2929" t="s">
        <v>2076</v>
      </c>
      <c r="C2929" t="s">
        <v>2160</v>
      </c>
      <c r="D2929" t="s">
        <v>302</v>
      </c>
      <c r="E2929" t="s">
        <v>7</v>
      </c>
      <c r="F2929" t="s">
        <v>1</v>
      </c>
      <c r="G2929" t="s">
        <v>1047</v>
      </c>
      <c r="H2929" t="s">
        <v>407</v>
      </c>
      <c r="I2929" t="s">
        <v>1</v>
      </c>
      <c r="J2929">
        <v>56.53</v>
      </c>
      <c r="K2929"/>
      <c r="L2929">
        <v>0</v>
      </c>
      <c r="M2929">
        <v>0</v>
      </c>
      <c r="N2929">
        <v>56.53</v>
      </c>
      <c r="O2929"/>
      <c r="P2929">
        <v>0</v>
      </c>
      <c r="Q2929">
        <f t="shared" ref="Q2929:Q2960" si="595">O2929+P2929</f>
        <v>0</v>
      </c>
      <c r="R2929">
        <v>0</v>
      </c>
      <c r="S2929">
        <f t="shared" ref="S2929:S2960" si="596">IF(OR(LEFT(E2929,2)="A_",LEFT(D2929,5)="Total"),R2929-Q2929,"")</f>
        <v>0</v>
      </c>
      <c r="T2929"/>
      <c r="U2929">
        <f t="shared" ref="U2929:U2960" si="597">IFERROR(R2929*T2929,R2929*0)</f>
        <v>0</v>
      </c>
      <c r="V2929">
        <f t="shared" ref="V2929:V2960" si="598">IF(OR(LEFT(E2929,2)="A_",LEFT(D2929,5)="Total"),R2929+U2929,"")</f>
        <v>0</v>
      </c>
      <c r="W2929">
        <f t="shared" ref="W2929:W2960" si="599">IF(OR(LEFT(E2929,2)="A_",LEFT(D2929,5)="Total"),V2929-Q2929,"")</f>
        <v>0</v>
      </c>
      <c r="X2929">
        <v>0</v>
      </c>
    </row>
    <row r="2930" spans="1:24" x14ac:dyDescent="0.25">
      <c r="A2930" t="s">
        <v>1948</v>
      </c>
      <c r="B2930" t="s">
        <v>2076</v>
      </c>
      <c r="C2930" t="s">
        <v>2160</v>
      </c>
      <c r="D2930" t="s">
        <v>302</v>
      </c>
      <c r="E2930" t="s">
        <v>99</v>
      </c>
      <c r="F2930" t="s">
        <v>1</v>
      </c>
      <c r="G2930" t="s">
        <v>1047</v>
      </c>
      <c r="H2930" t="s">
        <v>548</v>
      </c>
      <c r="I2930" t="s">
        <v>1</v>
      </c>
      <c r="J2930"/>
      <c r="K2930"/>
      <c r="L2930">
        <v>54.46</v>
      </c>
      <c r="M2930">
        <v>109.82265193370166</v>
      </c>
      <c r="N2930">
        <v>54.46</v>
      </c>
      <c r="O2930">
        <v>109.8226519337</v>
      </c>
      <c r="P2930">
        <v>0</v>
      </c>
      <c r="Q2930">
        <f t="shared" si="595"/>
        <v>109.8226519337</v>
      </c>
      <c r="R2930">
        <v>109.8226519337</v>
      </c>
      <c r="S2930">
        <f t="shared" si="596"/>
        <v>0</v>
      </c>
      <c r="T2930">
        <v>3.5000000000000003E-2</v>
      </c>
      <c r="U2930">
        <f t="shared" si="597"/>
        <v>3.8437928176795002</v>
      </c>
      <c r="V2930">
        <f t="shared" si="598"/>
        <v>113.6664447513795</v>
      </c>
      <c r="W2930">
        <f t="shared" si="599"/>
        <v>3.8437928176794998</v>
      </c>
      <c r="X2930" t="s">
        <v>1764</v>
      </c>
    </row>
    <row r="2931" spans="1:24" x14ac:dyDescent="0.25">
      <c r="A2931" t="s">
        <v>1948</v>
      </c>
      <c r="B2931" t="s">
        <v>2076</v>
      </c>
      <c r="C2931" t="s">
        <v>2160</v>
      </c>
      <c r="D2931" t="s">
        <v>302</v>
      </c>
      <c r="E2931" t="s">
        <v>149</v>
      </c>
      <c r="F2931" t="s">
        <v>1</v>
      </c>
      <c r="G2931" t="s">
        <v>1047</v>
      </c>
      <c r="H2931" t="s">
        <v>660</v>
      </c>
      <c r="I2931" t="s">
        <v>1</v>
      </c>
      <c r="J2931">
        <v>447.23</v>
      </c>
      <c r="K2931"/>
      <c r="L2931">
        <v>906.54</v>
      </c>
      <c r="M2931">
        <v>1828.1055248618782</v>
      </c>
      <c r="N2931">
        <v>1353.77</v>
      </c>
      <c r="O2931">
        <v>1828.1055248619</v>
      </c>
      <c r="P2931">
        <v>0</v>
      </c>
      <c r="Q2931">
        <f t="shared" si="595"/>
        <v>1828.1055248619</v>
      </c>
      <c r="R2931">
        <v>1828.1055248619</v>
      </c>
      <c r="S2931">
        <f t="shared" si="596"/>
        <v>0</v>
      </c>
      <c r="T2931">
        <v>0.02</v>
      </c>
      <c r="U2931">
        <f t="shared" si="597"/>
        <v>36.562110497238002</v>
      </c>
      <c r="V2931">
        <f t="shared" si="598"/>
        <v>1864.6676353591381</v>
      </c>
      <c r="W2931">
        <f t="shared" si="599"/>
        <v>36.562110497238109</v>
      </c>
      <c r="X2931" t="s">
        <v>1765</v>
      </c>
    </row>
    <row r="2932" spans="1:24" x14ac:dyDescent="0.25">
      <c r="A2932" t="s">
        <v>1948</v>
      </c>
      <c r="B2932" t="s">
        <v>2076</v>
      </c>
      <c r="C2932" t="s">
        <v>2160</v>
      </c>
      <c r="D2932" t="s">
        <v>302</v>
      </c>
      <c r="E2932" t="s">
        <v>8</v>
      </c>
      <c r="F2932" t="s">
        <v>1</v>
      </c>
      <c r="G2932" t="s">
        <v>1047</v>
      </c>
      <c r="H2932" t="s">
        <v>408</v>
      </c>
      <c r="I2932" t="s">
        <v>1</v>
      </c>
      <c r="J2932">
        <v>602.39</v>
      </c>
      <c r="K2932">
        <v>1214.7643646409001</v>
      </c>
      <c r="L2932">
        <v>8438.58</v>
      </c>
      <c r="M2932">
        <v>17017.025966850826</v>
      </c>
      <c r="N2932">
        <v>8438.58</v>
      </c>
      <c r="O2932">
        <v>17017.025966850801</v>
      </c>
      <c r="P2932">
        <v>0</v>
      </c>
      <c r="Q2932">
        <f t="shared" si="595"/>
        <v>17017.025966850801</v>
      </c>
      <c r="R2932">
        <v>17017.025966850801</v>
      </c>
      <c r="S2932">
        <f t="shared" si="596"/>
        <v>0</v>
      </c>
      <c r="T2932"/>
      <c r="U2932">
        <f t="shared" si="597"/>
        <v>0</v>
      </c>
      <c r="V2932">
        <f t="shared" si="598"/>
        <v>17017.025966850801</v>
      </c>
      <c r="W2932">
        <f t="shared" si="599"/>
        <v>0</v>
      </c>
      <c r="X2932" t="s">
        <v>1766</v>
      </c>
    </row>
    <row r="2933" spans="1:24" x14ac:dyDescent="0.25">
      <c r="A2933" t="s">
        <v>1948</v>
      </c>
      <c r="B2933" t="s">
        <v>2076</v>
      </c>
      <c r="C2933" t="s">
        <v>2160</v>
      </c>
      <c r="D2933" t="s">
        <v>302</v>
      </c>
      <c r="E2933" t="s">
        <v>10</v>
      </c>
      <c r="F2933" t="s">
        <v>1</v>
      </c>
      <c r="G2933" t="s">
        <v>1047</v>
      </c>
      <c r="H2933" t="s">
        <v>410</v>
      </c>
      <c r="I2933" t="s">
        <v>1</v>
      </c>
      <c r="J2933">
        <v>495</v>
      </c>
      <c r="K2933">
        <v>1140</v>
      </c>
      <c r="L2933">
        <v>330</v>
      </c>
      <c r="M2933">
        <v>665.46961325966856</v>
      </c>
      <c r="N2933">
        <v>660</v>
      </c>
      <c r="O2933">
        <v>660</v>
      </c>
      <c r="P2933">
        <v>0</v>
      </c>
      <c r="Q2933">
        <f t="shared" si="595"/>
        <v>660</v>
      </c>
      <c r="R2933">
        <v>660</v>
      </c>
      <c r="S2933">
        <f t="shared" si="596"/>
        <v>0</v>
      </c>
      <c r="T2933"/>
      <c r="U2933">
        <f t="shared" si="597"/>
        <v>0</v>
      </c>
      <c r="V2933">
        <f t="shared" si="598"/>
        <v>660</v>
      </c>
      <c r="W2933">
        <f t="shared" si="599"/>
        <v>0</v>
      </c>
      <c r="X2933" t="s">
        <v>1767</v>
      </c>
    </row>
    <row r="2934" spans="1:24" x14ac:dyDescent="0.25">
      <c r="A2934" t="s">
        <v>1948</v>
      </c>
      <c r="B2934" t="s">
        <v>2076</v>
      </c>
      <c r="C2934" t="s">
        <v>2160</v>
      </c>
      <c r="D2934" t="s">
        <v>302</v>
      </c>
      <c r="E2934" t="s">
        <v>11</v>
      </c>
      <c r="F2934" t="s">
        <v>1</v>
      </c>
      <c r="G2934" t="s">
        <v>1047</v>
      </c>
      <c r="H2934" t="s">
        <v>411</v>
      </c>
      <c r="I2934" t="s">
        <v>1</v>
      </c>
      <c r="J2934">
        <v>11283.25</v>
      </c>
      <c r="K2934">
        <v>10529.809999999199</v>
      </c>
      <c r="L2934">
        <v>5297.57</v>
      </c>
      <c r="M2934">
        <v>10682.94502762431</v>
      </c>
      <c r="N2934">
        <v>10921.260000000002</v>
      </c>
      <c r="O2934">
        <v>10595.14</v>
      </c>
      <c r="P2934">
        <v>0</v>
      </c>
      <c r="Q2934">
        <f t="shared" si="595"/>
        <v>10595.14</v>
      </c>
      <c r="R2934">
        <v>10595.14</v>
      </c>
      <c r="S2934">
        <f t="shared" si="596"/>
        <v>0</v>
      </c>
      <c r="T2934"/>
      <c r="U2934">
        <f t="shared" si="597"/>
        <v>0</v>
      </c>
      <c r="V2934">
        <f t="shared" si="598"/>
        <v>10595.14</v>
      </c>
      <c r="W2934">
        <f t="shared" si="599"/>
        <v>0</v>
      </c>
      <c r="X2934" t="s">
        <v>1381</v>
      </c>
    </row>
    <row r="2935" spans="1:24" x14ac:dyDescent="0.25">
      <c r="A2935" t="s">
        <v>1948</v>
      </c>
      <c r="B2935" t="s">
        <v>2076</v>
      </c>
      <c r="C2935" t="s">
        <v>2160</v>
      </c>
      <c r="D2935" t="s">
        <v>302</v>
      </c>
      <c r="E2935" t="s">
        <v>17</v>
      </c>
      <c r="F2935" t="s">
        <v>1</v>
      </c>
      <c r="G2935" t="s">
        <v>1047</v>
      </c>
      <c r="H2935" t="s">
        <v>417</v>
      </c>
      <c r="I2935" t="s">
        <v>1</v>
      </c>
      <c r="J2935"/>
      <c r="K2935">
        <v>-1250.0000000002001</v>
      </c>
      <c r="L2935">
        <v>0</v>
      </c>
      <c r="M2935">
        <v>0</v>
      </c>
      <c r="N2935">
        <v>0</v>
      </c>
      <c r="O2935"/>
      <c r="P2935">
        <v>0</v>
      </c>
      <c r="Q2935">
        <f t="shared" si="595"/>
        <v>0</v>
      </c>
      <c r="R2935">
        <v>0</v>
      </c>
      <c r="S2935">
        <f t="shared" si="596"/>
        <v>0</v>
      </c>
      <c r="T2935"/>
      <c r="U2935">
        <f t="shared" si="597"/>
        <v>0</v>
      </c>
      <c r="V2935">
        <f t="shared" si="598"/>
        <v>0</v>
      </c>
      <c r="W2935">
        <f t="shared" si="599"/>
        <v>0</v>
      </c>
      <c r="X2935">
        <v>0</v>
      </c>
    </row>
    <row r="2936" spans="1:24" x14ac:dyDescent="0.25">
      <c r="A2936" t="s">
        <v>1948</v>
      </c>
      <c r="B2936" t="s">
        <v>2076</v>
      </c>
      <c r="C2936" t="s">
        <v>2160</v>
      </c>
      <c r="D2936" t="s">
        <v>302</v>
      </c>
      <c r="E2936" t="s">
        <v>82</v>
      </c>
      <c r="F2936" t="s">
        <v>1</v>
      </c>
      <c r="G2936" t="s">
        <v>1047</v>
      </c>
      <c r="H2936" t="s">
        <v>507</v>
      </c>
      <c r="I2936" t="s">
        <v>1</v>
      </c>
      <c r="J2936"/>
      <c r="K2936"/>
      <c r="L2936">
        <v>121.68</v>
      </c>
      <c r="M2936">
        <v>245.3767955801105</v>
      </c>
      <c r="N2936">
        <v>121.68</v>
      </c>
      <c r="O2936">
        <v>244.6971428571</v>
      </c>
      <c r="P2936">
        <v>0</v>
      </c>
      <c r="Q2936">
        <f t="shared" si="595"/>
        <v>244.6971428571</v>
      </c>
      <c r="R2936">
        <v>244.6971428571</v>
      </c>
      <c r="S2936">
        <f t="shared" si="596"/>
        <v>0</v>
      </c>
      <c r="T2936">
        <v>2.75E-2</v>
      </c>
      <c r="U2936">
        <f t="shared" si="597"/>
        <v>6.7291714285702504</v>
      </c>
      <c r="V2936">
        <f t="shared" si="598"/>
        <v>251.42631428567026</v>
      </c>
      <c r="W2936">
        <f t="shared" si="599"/>
        <v>6.729171428570254</v>
      </c>
      <c r="X2936">
        <v>0</v>
      </c>
    </row>
    <row r="2937" spans="1:24" x14ac:dyDescent="0.25">
      <c r="A2937" t="s">
        <v>1948</v>
      </c>
      <c r="B2937" t="s">
        <v>2076</v>
      </c>
      <c r="C2937" t="s">
        <v>2160</v>
      </c>
      <c r="D2937" t="s">
        <v>302</v>
      </c>
      <c r="E2937" t="s">
        <v>18</v>
      </c>
      <c r="F2937" t="s">
        <v>1</v>
      </c>
      <c r="G2937" t="s">
        <v>1047</v>
      </c>
      <c r="H2937" t="s">
        <v>418</v>
      </c>
      <c r="I2937" t="s">
        <v>1</v>
      </c>
      <c r="J2937">
        <v>3390.91</v>
      </c>
      <c r="K2937"/>
      <c r="L2937">
        <v>1.73</v>
      </c>
      <c r="M2937">
        <v>3.488674033149171</v>
      </c>
      <c r="N2937">
        <v>3276.13</v>
      </c>
      <c r="O2937">
        <v>3.4790109889999998</v>
      </c>
      <c r="P2937">
        <v>0</v>
      </c>
      <c r="Q2937">
        <f t="shared" si="595"/>
        <v>3.4790109889999998</v>
      </c>
      <c r="R2937">
        <v>3.4790109889999998</v>
      </c>
      <c r="S2937">
        <f t="shared" si="596"/>
        <v>0</v>
      </c>
      <c r="T2937">
        <v>0.02</v>
      </c>
      <c r="U2937">
        <f t="shared" si="597"/>
        <v>6.9580219779999994E-2</v>
      </c>
      <c r="V2937">
        <f t="shared" si="598"/>
        <v>3.54859120878</v>
      </c>
      <c r="W2937">
        <f t="shared" si="599"/>
        <v>6.9580219780000174E-2</v>
      </c>
      <c r="X2937">
        <v>0</v>
      </c>
    </row>
    <row r="2938" spans="1:24" x14ac:dyDescent="0.25">
      <c r="A2938" t="s">
        <v>1948</v>
      </c>
      <c r="B2938" t="s">
        <v>2076</v>
      </c>
      <c r="C2938" t="s">
        <v>2160</v>
      </c>
      <c r="D2938" t="s">
        <v>302</v>
      </c>
      <c r="E2938" t="s">
        <v>21</v>
      </c>
      <c r="F2938" t="s">
        <v>1</v>
      </c>
      <c r="G2938" t="s">
        <v>1047</v>
      </c>
      <c r="H2938" t="s">
        <v>421</v>
      </c>
      <c r="I2938" t="s">
        <v>1</v>
      </c>
      <c r="J2938">
        <v>14594.34</v>
      </c>
      <c r="K2938">
        <v>15175.220000000299</v>
      </c>
      <c r="L2938">
        <v>4976.6899999999996</v>
      </c>
      <c r="M2938">
        <v>10035.866574585634</v>
      </c>
      <c r="N2938">
        <v>11891.039999999999</v>
      </c>
      <c r="O2938">
        <v>10035.8665745856</v>
      </c>
      <c r="P2938">
        <v>0</v>
      </c>
      <c r="Q2938">
        <f t="shared" si="595"/>
        <v>10035.8665745856</v>
      </c>
      <c r="R2938">
        <v>10035.8665745856</v>
      </c>
      <c r="S2938">
        <f t="shared" si="596"/>
        <v>0</v>
      </c>
      <c r="T2938">
        <v>0.03</v>
      </c>
      <c r="U2938">
        <f t="shared" si="597"/>
        <v>301.075997237568</v>
      </c>
      <c r="V2938">
        <f t="shared" si="598"/>
        <v>10336.942571823167</v>
      </c>
      <c r="W2938">
        <f t="shared" si="599"/>
        <v>301.07599723756721</v>
      </c>
      <c r="X2938" t="s">
        <v>1768</v>
      </c>
    </row>
    <row r="2939" spans="1:24" x14ac:dyDescent="0.25">
      <c r="A2939" t="s">
        <v>1948</v>
      </c>
      <c r="B2939" t="s">
        <v>2076</v>
      </c>
      <c r="C2939" t="s">
        <v>2160</v>
      </c>
      <c r="D2939" t="s">
        <v>302</v>
      </c>
      <c r="E2939" t="s">
        <v>66</v>
      </c>
      <c r="F2939" t="s">
        <v>1</v>
      </c>
      <c r="G2939" t="s">
        <v>1047</v>
      </c>
      <c r="H2939" t="s">
        <v>477</v>
      </c>
      <c r="I2939" t="s">
        <v>1</v>
      </c>
      <c r="J2939"/>
      <c r="K2939"/>
      <c r="L2939">
        <v>1328.53</v>
      </c>
      <c r="M2939">
        <v>2679.0798342541434</v>
      </c>
      <c r="N2939">
        <v>1328.53</v>
      </c>
      <c r="O2939">
        <v>2679.0798342541002</v>
      </c>
      <c r="P2939">
        <v>0</v>
      </c>
      <c r="Q2939">
        <f t="shared" si="595"/>
        <v>2679.0798342541002</v>
      </c>
      <c r="R2939">
        <v>2679.0798342541002</v>
      </c>
      <c r="S2939">
        <f t="shared" si="596"/>
        <v>0</v>
      </c>
      <c r="T2939">
        <v>3.5000000000000003E-2</v>
      </c>
      <c r="U2939">
        <f t="shared" si="597"/>
        <v>93.767794198893512</v>
      </c>
      <c r="V2939">
        <f t="shared" si="598"/>
        <v>2772.8476284529938</v>
      </c>
      <c r="W2939">
        <f t="shared" si="599"/>
        <v>93.767794198893625</v>
      </c>
      <c r="X2939" t="s">
        <v>1769</v>
      </c>
    </row>
    <row r="2940" spans="1:24" x14ac:dyDescent="0.25">
      <c r="A2940" t="s">
        <v>1948</v>
      </c>
      <c r="B2940" t="s">
        <v>2076</v>
      </c>
      <c r="C2940" t="s">
        <v>2160</v>
      </c>
      <c r="D2940" t="s">
        <v>302</v>
      </c>
      <c r="E2940" t="s">
        <v>22</v>
      </c>
      <c r="F2940" t="s">
        <v>1</v>
      </c>
      <c r="G2940" t="s">
        <v>1047</v>
      </c>
      <c r="H2940" t="s">
        <v>422</v>
      </c>
      <c r="I2940" t="s">
        <v>1</v>
      </c>
      <c r="J2940">
        <v>4636.57</v>
      </c>
      <c r="K2940">
        <v>4440.1499999998996</v>
      </c>
      <c r="L2940">
        <v>1933.58</v>
      </c>
      <c r="M2940">
        <v>3899.2082872928177</v>
      </c>
      <c r="N2940">
        <v>4427.4699999999993</v>
      </c>
      <c r="O2940">
        <v>3899.2082872927999</v>
      </c>
      <c r="P2940">
        <v>0</v>
      </c>
      <c r="Q2940">
        <f t="shared" si="595"/>
        <v>3899.2082872927999</v>
      </c>
      <c r="R2940">
        <v>3899.2082872927999</v>
      </c>
      <c r="S2940">
        <f t="shared" si="596"/>
        <v>0</v>
      </c>
      <c r="T2940">
        <v>3.5000000000000003E-2</v>
      </c>
      <c r="U2940">
        <f t="shared" si="597"/>
        <v>136.47229005524801</v>
      </c>
      <c r="V2940">
        <f t="shared" si="598"/>
        <v>4035.6805773480478</v>
      </c>
      <c r="W2940">
        <f t="shared" si="599"/>
        <v>136.47229005524787</v>
      </c>
      <c r="X2940" t="s">
        <v>1768</v>
      </c>
    </row>
    <row r="2941" spans="1:24" x14ac:dyDescent="0.25">
      <c r="A2941" t="s">
        <v>1948</v>
      </c>
      <c r="B2941" t="s">
        <v>2076</v>
      </c>
      <c r="C2941" t="s">
        <v>2160</v>
      </c>
      <c r="D2941" t="s">
        <v>302</v>
      </c>
      <c r="E2941" t="s">
        <v>23</v>
      </c>
      <c r="F2941" t="s">
        <v>1</v>
      </c>
      <c r="G2941" t="s">
        <v>1047</v>
      </c>
      <c r="H2941" t="s">
        <v>423</v>
      </c>
      <c r="I2941" t="s">
        <v>1</v>
      </c>
      <c r="J2941">
        <v>11574.79</v>
      </c>
      <c r="K2941">
        <v>22594.050000000101</v>
      </c>
      <c r="L2941">
        <v>3232</v>
      </c>
      <c r="M2941">
        <v>6517.5690607734805</v>
      </c>
      <c r="N2941">
        <v>3892</v>
      </c>
      <c r="O2941">
        <v>6517.5690607734996</v>
      </c>
      <c r="P2941">
        <v>0</v>
      </c>
      <c r="Q2941">
        <f t="shared" si="595"/>
        <v>6517.5690607734996</v>
      </c>
      <c r="R2941">
        <v>6517.5690607734996</v>
      </c>
      <c r="S2941">
        <f t="shared" si="596"/>
        <v>0</v>
      </c>
      <c r="T2941">
        <v>3.5000000000000003E-2</v>
      </c>
      <c r="U2941">
        <f t="shared" si="597"/>
        <v>228.11491712707252</v>
      </c>
      <c r="V2941">
        <f t="shared" si="598"/>
        <v>6745.6839779005722</v>
      </c>
      <c r="W2941">
        <f t="shared" si="599"/>
        <v>228.11491712707266</v>
      </c>
      <c r="X2941">
        <v>0</v>
      </c>
    </row>
    <row r="2942" spans="1:24" x14ac:dyDescent="0.25">
      <c r="A2942" t="s">
        <v>1948</v>
      </c>
      <c r="B2942" t="s">
        <v>2076</v>
      </c>
      <c r="C2942" t="s">
        <v>2160</v>
      </c>
      <c r="D2942" t="s">
        <v>302</v>
      </c>
      <c r="E2942" t="s">
        <v>24</v>
      </c>
      <c r="F2942" t="s">
        <v>1</v>
      </c>
      <c r="G2942" t="s">
        <v>1047</v>
      </c>
      <c r="H2942" t="s">
        <v>424</v>
      </c>
      <c r="I2942" t="s">
        <v>1</v>
      </c>
      <c r="J2942"/>
      <c r="K2942">
        <v>11769</v>
      </c>
      <c r="L2942">
        <v>985</v>
      </c>
      <c r="M2942">
        <v>1986.3259668508285</v>
      </c>
      <c r="N2942">
        <v>985</v>
      </c>
      <c r="O2942">
        <v>1970</v>
      </c>
      <c r="P2942">
        <v>0</v>
      </c>
      <c r="Q2942">
        <f t="shared" si="595"/>
        <v>1970</v>
      </c>
      <c r="R2942">
        <v>1970</v>
      </c>
      <c r="S2942">
        <f t="shared" si="596"/>
        <v>0</v>
      </c>
      <c r="T2942"/>
      <c r="U2942">
        <f t="shared" si="597"/>
        <v>0</v>
      </c>
      <c r="V2942">
        <f t="shared" si="598"/>
        <v>1970</v>
      </c>
      <c r="W2942">
        <f t="shared" si="599"/>
        <v>0</v>
      </c>
      <c r="X2942" t="s">
        <v>1770</v>
      </c>
    </row>
    <row r="2943" spans="1:24" x14ac:dyDescent="0.25">
      <c r="A2943" t="s">
        <v>1948</v>
      </c>
      <c r="B2943" t="s">
        <v>2076</v>
      </c>
      <c r="C2943" t="s">
        <v>2160</v>
      </c>
      <c r="D2943" t="s">
        <v>302</v>
      </c>
      <c r="E2943" t="s">
        <v>26</v>
      </c>
      <c r="F2943" t="s">
        <v>1</v>
      </c>
      <c r="G2943" t="s">
        <v>1047</v>
      </c>
      <c r="H2943" t="s">
        <v>426</v>
      </c>
      <c r="I2943" t="s">
        <v>1</v>
      </c>
      <c r="J2943"/>
      <c r="K2943">
        <v>1697.54237715</v>
      </c>
      <c r="L2943">
        <v>0</v>
      </c>
      <c r="M2943">
        <v>0</v>
      </c>
      <c r="N2943">
        <v>0</v>
      </c>
      <c r="O2943"/>
      <c r="P2943">
        <v>0</v>
      </c>
      <c r="Q2943">
        <f t="shared" si="595"/>
        <v>0</v>
      </c>
      <c r="R2943">
        <v>0</v>
      </c>
      <c r="S2943">
        <f t="shared" si="596"/>
        <v>0</v>
      </c>
      <c r="T2943"/>
      <c r="U2943">
        <f t="shared" si="597"/>
        <v>0</v>
      </c>
      <c r="V2943">
        <f t="shared" si="598"/>
        <v>0</v>
      </c>
      <c r="W2943">
        <f t="shared" si="599"/>
        <v>0</v>
      </c>
      <c r="X2943">
        <v>0</v>
      </c>
    </row>
    <row r="2944" spans="1:24" x14ac:dyDescent="0.25">
      <c r="A2944" t="s">
        <v>1948</v>
      </c>
      <c r="B2944" t="s">
        <v>2076</v>
      </c>
      <c r="C2944" t="s">
        <v>2160</v>
      </c>
      <c r="D2944" t="s">
        <v>302</v>
      </c>
      <c r="E2944" t="s">
        <v>28</v>
      </c>
      <c r="F2944" t="s">
        <v>1</v>
      </c>
      <c r="G2944" t="s">
        <v>1047</v>
      </c>
      <c r="H2944" t="s">
        <v>428</v>
      </c>
      <c r="I2944" t="s">
        <v>1</v>
      </c>
      <c r="J2944">
        <v>5682.06</v>
      </c>
      <c r="K2944">
        <v>5793.99</v>
      </c>
      <c r="L2944">
        <v>2762.51</v>
      </c>
      <c r="M2944">
        <v>5570.8074585635359</v>
      </c>
      <c r="N2944">
        <v>4485.24</v>
      </c>
      <c r="O2944">
        <v>5525.02</v>
      </c>
      <c r="P2944">
        <v>0</v>
      </c>
      <c r="Q2944">
        <f t="shared" si="595"/>
        <v>5525.02</v>
      </c>
      <c r="R2944">
        <v>5525.02</v>
      </c>
      <c r="S2944">
        <f t="shared" si="596"/>
        <v>0</v>
      </c>
      <c r="T2944"/>
      <c r="U2944">
        <f t="shared" si="597"/>
        <v>0</v>
      </c>
      <c r="V2944">
        <f t="shared" si="598"/>
        <v>5525.02</v>
      </c>
      <c r="W2944">
        <f t="shared" si="599"/>
        <v>0</v>
      </c>
      <c r="X2944">
        <v>0</v>
      </c>
    </row>
    <row r="2945" spans="1:24" x14ac:dyDescent="0.25">
      <c r="A2945" t="s">
        <v>1948</v>
      </c>
      <c r="B2945" t="s">
        <v>2076</v>
      </c>
      <c r="C2945" t="s">
        <v>2160</v>
      </c>
      <c r="D2945" t="s">
        <v>302</v>
      </c>
      <c r="E2945" t="s">
        <v>29</v>
      </c>
      <c r="F2945" t="s">
        <v>1</v>
      </c>
      <c r="G2945" t="s">
        <v>1047</v>
      </c>
      <c r="H2945" t="s">
        <v>429</v>
      </c>
      <c r="I2945" t="s">
        <v>1</v>
      </c>
      <c r="J2945"/>
      <c r="K2945"/>
      <c r="L2945">
        <v>155</v>
      </c>
      <c r="M2945">
        <v>312.56906077348066</v>
      </c>
      <c r="N2945">
        <v>155</v>
      </c>
      <c r="O2945">
        <v>310</v>
      </c>
      <c r="P2945">
        <v>0</v>
      </c>
      <c r="Q2945">
        <f t="shared" si="595"/>
        <v>310</v>
      </c>
      <c r="R2945">
        <v>310</v>
      </c>
      <c r="S2945">
        <f t="shared" si="596"/>
        <v>0</v>
      </c>
      <c r="T2945"/>
      <c r="U2945">
        <f t="shared" si="597"/>
        <v>0</v>
      </c>
      <c r="V2945">
        <f t="shared" si="598"/>
        <v>310</v>
      </c>
      <c r="W2945">
        <f t="shared" si="599"/>
        <v>0</v>
      </c>
      <c r="X2945">
        <v>0</v>
      </c>
    </row>
    <row r="2946" spans="1:24" x14ac:dyDescent="0.25">
      <c r="A2946" t="s">
        <v>1948</v>
      </c>
      <c r="B2946" t="s">
        <v>2076</v>
      </c>
      <c r="C2946" t="s">
        <v>2160</v>
      </c>
      <c r="D2946" t="s">
        <v>302</v>
      </c>
      <c r="E2946" t="s">
        <v>30</v>
      </c>
      <c r="F2946" t="s">
        <v>1</v>
      </c>
      <c r="G2946" t="s">
        <v>1047</v>
      </c>
      <c r="H2946" t="s">
        <v>430</v>
      </c>
      <c r="I2946" t="s">
        <v>1</v>
      </c>
      <c r="J2946">
        <v>3800</v>
      </c>
      <c r="K2946"/>
      <c r="L2946">
        <v>0</v>
      </c>
      <c r="M2946">
        <v>0</v>
      </c>
      <c r="N2946">
        <v>3800</v>
      </c>
      <c r="O2946"/>
      <c r="P2946">
        <v>0</v>
      </c>
      <c r="Q2946">
        <f t="shared" si="595"/>
        <v>0</v>
      </c>
      <c r="R2946">
        <v>0</v>
      </c>
      <c r="S2946">
        <f t="shared" si="596"/>
        <v>0</v>
      </c>
      <c r="T2946"/>
      <c r="U2946">
        <f t="shared" si="597"/>
        <v>0</v>
      </c>
      <c r="V2946">
        <f t="shared" si="598"/>
        <v>0</v>
      </c>
      <c r="W2946">
        <f t="shared" si="599"/>
        <v>0</v>
      </c>
      <c r="X2946" t="s">
        <v>1771</v>
      </c>
    </row>
    <row r="2947" spans="1:24" x14ac:dyDescent="0.25">
      <c r="A2947" t="s">
        <v>1948</v>
      </c>
      <c r="B2947" t="s">
        <v>2076</v>
      </c>
      <c r="C2947" t="s">
        <v>2160</v>
      </c>
      <c r="D2947" t="s">
        <v>302</v>
      </c>
      <c r="E2947" t="s">
        <v>31</v>
      </c>
      <c r="F2947" t="s">
        <v>1</v>
      </c>
      <c r="G2947" t="s">
        <v>1047</v>
      </c>
      <c r="H2947" t="s">
        <v>431</v>
      </c>
      <c r="I2947" t="s">
        <v>1</v>
      </c>
      <c r="J2947">
        <v>6998</v>
      </c>
      <c r="K2947">
        <v>9201</v>
      </c>
      <c r="L2947">
        <v>0</v>
      </c>
      <c r="M2947">
        <v>0</v>
      </c>
      <c r="N2947">
        <v>6998</v>
      </c>
      <c r="O2947"/>
      <c r="P2947">
        <v>0</v>
      </c>
      <c r="Q2947">
        <f t="shared" si="595"/>
        <v>0</v>
      </c>
      <c r="R2947">
        <v>0</v>
      </c>
      <c r="S2947">
        <f t="shared" si="596"/>
        <v>0</v>
      </c>
      <c r="T2947"/>
      <c r="U2947">
        <f t="shared" si="597"/>
        <v>0</v>
      </c>
      <c r="V2947">
        <f t="shared" si="598"/>
        <v>0</v>
      </c>
      <c r="W2947">
        <f t="shared" si="599"/>
        <v>0</v>
      </c>
      <c r="X2947">
        <v>0</v>
      </c>
    </row>
    <row r="2948" spans="1:24" x14ac:dyDescent="0.25">
      <c r="A2948" t="s">
        <v>1948</v>
      </c>
      <c r="B2948" t="s">
        <v>2076</v>
      </c>
      <c r="C2948" t="s">
        <v>2160</v>
      </c>
      <c r="D2948" t="s">
        <v>302</v>
      </c>
      <c r="E2948" t="s">
        <v>33</v>
      </c>
      <c r="F2948" t="s">
        <v>1</v>
      </c>
      <c r="G2948" t="s">
        <v>1047</v>
      </c>
      <c r="H2948" t="s">
        <v>433</v>
      </c>
      <c r="I2948" t="s">
        <v>1</v>
      </c>
      <c r="J2948">
        <v>2153.84</v>
      </c>
      <c r="K2948">
        <v>1373.7337156128001</v>
      </c>
      <c r="L2948">
        <v>0</v>
      </c>
      <c r="M2948">
        <v>0</v>
      </c>
      <c r="N2948">
        <v>1935.37</v>
      </c>
      <c r="O2948"/>
      <c r="P2948">
        <v>0</v>
      </c>
      <c r="Q2948">
        <f t="shared" si="595"/>
        <v>0</v>
      </c>
      <c r="R2948">
        <v>2000</v>
      </c>
      <c r="S2948">
        <f t="shared" si="596"/>
        <v>2000</v>
      </c>
      <c r="T2948"/>
      <c r="U2948">
        <f t="shared" si="597"/>
        <v>0</v>
      </c>
      <c r="V2948">
        <f t="shared" si="598"/>
        <v>2000</v>
      </c>
      <c r="W2948">
        <f t="shared" si="599"/>
        <v>2000</v>
      </c>
      <c r="X2948" t="s">
        <v>1772</v>
      </c>
    </row>
    <row r="2949" spans="1:24" x14ac:dyDescent="0.25">
      <c r="A2949" t="s">
        <v>1948</v>
      </c>
      <c r="B2949" t="s">
        <v>2076</v>
      </c>
      <c r="C2949" t="s">
        <v>2160</v>
      </c>
      <c r="D2949" t="s">
        <v>302</v>
      </c>
      <c r="E2949" t="s">
        <v>34</v>
      </c>
      <c r="F2949" t="s">
        <v>1</v>
      </c>
      <c r="G2949" t="s">
        <v>1047</v>
      </c>
      <c r="H2949" t="s">
        <v>434</v>
      </c>
      <c r="I2949" t="s">
        <v>1</v>
      </c>
      <c r="J2949">
        <v>667.3</v>
      </c>
      <c r="K2949">
        <v>981.23836829519996</v>
      </c>
      <c r="L2949">
        <v>0</v>
      </c>
      <c r="M2949">
        <v>0</v>
      </c>
      <c r="N2949">
        <v>661.3</v>
      </c>
      <c r="O2949"/>
      <c r="P2949">
        <v>0</v>
      </c>
      <c r="Q2949">
        <f t="shared" si="595"/>
        <v>0</v>
      </c>
      <c r="R2949">
        <v>650</v>
      </c>
      <c r="S2949">
        <f t="shared" si="596"/>
        <v>650</v>
      </c>
      <c r="T2949"/>
      <c r="U2949">
        <f t="shared" si="597"/>
        <v>0</v>
      </c>
      <c r="V2949">
        <f t="shared" si="598"/>
        <v>650</v>
      </c>
      <c r="W2949">
        <f t="shared" si="599"/>
        <v>650</v>
      </c>
      <c r="X2949">
        <v>0</v>
      </c>
    </row>
    <row r="2950" spans="1:24" x14ac:dyDescent="0.25">
      <c r="A2950" t="s">
        <v>1948</v>
      </c>
      <c r="B2950" t="s">
        <v>2076</v>
      </c>
      <c r="C2950" t="s">
        <v>2160</v>
      </c>
      <c r="D2950" t="s">
        <v>302</v>
      </c>
      <c r="E2950" t="s">
        <v>37</v>
      </c>
      <c r="F2950" t="s">
        <v>1</v>
      </c>
      <c r="G2950" t="s">
        <v>1047</v>
      </c>
      <c r="H2950" t="s">
        <v>437</v>
      </c>
      <c r="I2950" t="s">
        <v>1</v>
      </c>
      <c r="J2950"/>
      <c r="K2950">
        <v>2943.7151048832002</v>
      </c>
      <c r="L2950">
        <v>198.88</v>
      </c>
      <c r="M2950">
        <v>401.05635359116019</v>
      </c>
      <c r="N2950">
        <v>198.88</v>
      </c>
      <c r="O2950">
        <v>397.76</v>
      </c>
      <c r="P2950">
        <v>0</v>
      </c>
      <c r="Q2950">
        <f t="shared" si="595"/>
        <v>397.76</v>
      </c>
      <c r="R2950">
        <v>2943.7151048832002</v>
      </c>
      <c r="S2950">
        <f t="shared" si="596"/>
        <v>2545.9551048832</v>
      </c>
      <c r="T2950"/>
      <c r="U2950">
        <f t="shared" si="597"/>
        <v>0</v>
      </c>
      <c r="V2950">
        <f t="shared" si="598"/>
        <v>2943.7151048832002</v>
      </c>
      <c r="W2950">
        <f t="shared" si="599"/>
        <v>2545.9551048832</v>
      </c>
      <c r="X2950" t="s">
        <v>1773</v>
      </c>
    </row>
    <row r="2951" spans="1:24" x14ac:dyDescent="0.25">
      <c r="A2951" t="s">
        <v>1948</v>
      </c>
      <c r="B2951" t="s">
        <v>2076</v>
      </c>
      <c r="C2951" t="s">
        <v>2160</v>
      </c>
      <c r="D2951" t="s">
        <v>302</v>
      </c>
      <c r="E2951" t="s">
        <v>40</v>
      </c>
      <c r="F2951" t="s">
        <v>1</v>
      </c>
      <c r="G2951" t="s">
        <v>1047</v>
      </c>
      <c r="H2951" t="s">
        <v>440</v>
      </c>
      <c r="I2951" t="s">
        <v>1</v>
      </c>
      <c r="J2951"/>
      <c r="K2951">
        <v>4500</v>
      </c>
      <c r="L2951">
        <v>0</v>
      </c>
      <c r="M2951">
        <v>0</v>
      </c>
      <c r="N2951">
        <v>0</v>
      </c>
      <c r="O2951"/>
      <c r="P2951">
        <v>0</v>
      </c>
      <c r="Q2951">
        <f t="shared" si="595"/>
        <v>0</v>
      </c>
      <c r="R2951">
        <v>0</v>
      </c>
      <c r="S2951">
        <f t="shared" si="596"/>
        <v>0</v>
      </c>
      <c r="T2951">
        <v>0.03</v>
      </c>
      <c r="U2951">
        <f t="shared" si="597"/>
        <v>0</v>
      </c>
      <c r="V2951">
        <f t="shared" si="598"/>
        <v>0</v>
      </c>
      <c r="W2951">
        <f t="shared" si="599"/>
        <v>0</v>
      </c>
      <c r="X2951">
        <v>0</v>
      </c>
    </row>
    <row r="2952" spans="1:24" x14ac:dyDescent="0.25">
      <c r="A2952" t="s">
        <v>1948</v>
      </c>
      <c r="B2952" t="s">
        <v>2076</v>
      </c>
      <c r="C2952" t="s">
        <v>2160</v>
      </c>
      <c r="D2952" t="s">
        <v>302</v>
      </c>
      <c r="E2952" t="s">
        <v>76</v>
      </c>
      <c r="F2952" t="s">
        <v>1</v>
      </c>
      <c r="G2952" t="s">
        <v>1047</v>
      </c>
      <c r="H2952" t="s">
        <v>493</v>
      </c>
      <c r="I2952" t="s">
        <v>1</v>
      </c>
      <c r="J2952">
        <v>9063.27</v>
      </c>
      <c r="K2952">
        <v>9063</v>
      </c>
      <c r="L2952">
        <v>6719</v>
      </c>
      <c r="M2952">
        <v>13549.364640883978</v>
      </c>
      <c r="N2952">
        <v>6719</v>
      </c>
      <c r="O2952">
        <v>13438</v>
      </c>
      <c r="P2952">
        <v>0</v>
      </c>
      <c r="Q2952">
        <f t="shared" si="595"/>
        <v>13438</v>
      </c>
      <c r="R2952">
        <v>13438</v>
      </c>
      <c r="S2952">
        <f t="shared" si="596"/>
        <v>0</v>
      </c>
      <c r="T2952">
        <v>0.03</v>
      </c>
      <c r="U2952">
        <f t="shared" si="597"/>
        <v>403.14</v>
      </c>
      <c r="V2952">
        <f t="shared" si="598"/>
        <v>13841.14</v>
      </c>
      <c r="W2952">
        <f t="shared" si="599"/>
        <v>403.13999999999942</v>
      </c>
      <c r="X2952" t="s">
        <v>1774</v>
      </c>
    </row>
    <row r="2953" spans="1:24" x14ac:dyDescent="0.25">
      <c r="A2953" t="s">
        <v>1948</v>
      </c>
      <c r="B2953" t="s">
        <v>2076</v>
      </c>
      <c r="C2953" t="s">
        <v>2160</v>
      </c>
      <c r="D2953" t="s">
        <v>302</v>
      </c>
      <c r="E2953" t="s">
        <v>41</v>
      </c>
      <c r="F2953" t="s">
        <v>1</v>
      </c>
      <c r="G2953" t="s">
        <v>1047</v>
      </c>
      <c r="H2953" t="s">
        <v>441</v>
      </c>
      <c r="I2953" t="s">
        <v>1</v>
      </c>
      <c r="J2953">
        <v>280.56</v>
      </c>
      <c r="K2953">
        <v>143.24079074400001</v>
      </c>
      <c r="L2953">
        <v>1610.42</v>
      </c>
      <c r="M2953">
        <v>3247.5320441988956</v>
      </c>
      <c r="N2953">
        <v>1818.0600000000002</v>
      </c>
      <c r="O2953">
        <v>3220.84</v>
      </c>
      <c r="P2953">
        <v>0</v>
      </c>
      <c r="Q2953">
        <f t="shared" si="595"/>
        <v>3220.84</v>
      </c>
      <c r="R2953">
        <v>3220.84</v>
      </c>
      <c r="S2953">
        <f t="shared" si="596"/>
        <v>0</v>
      </c>
      <c r="T2953">
        <v>0.03</v>
      </c>
      <c r="U2953">
        <f t="shared" si="597"/>
        <v>96.625200000000007</v>
      </c>
      <c r="V2953">
        <f t="shared" si="598"/>
        <v>3317.4652000000001</v>
      </c>
      <c r="W2953">
        <f t="shared" si="599"/>
        <v>96.62519999999995</v>
      </c>
      <c r="X2953">
        <v>0</v>
      </c>
    </row>
    <row r="2954" spans="1:24" x14ac:dyDescent="0.25">
      <c r="A2954" t="s">
        <v>1948</v>
      </c>
      <c r="B2954" t="s">
        <v>2076</v>
      </c>
      <c r="C2954" t="s">
        <v>2160</v>
      </c>
      <c r="D2954" t="s">
        <v>302</v>
      </c>
      <c r="E2954" t="s">
        <v>42</v>
      </c>
      <c r="F2954" t="s">
        <v>1</v>
      </c>
      <c r="G2954" t="s">
        <v>1047</v>
      </c>
      <c r="H2954" t="s">
        <v>442</v>
      </c>
      <c r="I2954" t="s">
        <v>1</v>
      </c>
      <c r="J2954">
        <v>1015</v>
      </c>
      <c r="K2954"/>
      <c r="L2954">
        <v>0</v>
      </c>
      <c r="M2954">
        <v>0</v>
      </c>
      <c r="N2954">
        <v>1015</v>
      </c>
      <c r="O2954"/>
      <c r="P2954">
        <v>0</v>
      </c>
      <c r="Q2954">
        <f t="shared" si="595"/>
        <v>0</v>
      </c>
      <c r="R2954">
        <v>0</v>
      </c>
      <c r="S2954">
        <f t="shared" si="596"/>
        <v>0</v>
      </c>
      <c r="T2954">
        <v>0.03</v>
      </c>
      <c r="U2954">
        <f t="shared" si="597"/>
        <v>0</v>
      </c>
      <c r="V2954">
        <f t="shared" si="598"/>
        <v>0</v>
      </c>
      <c r="W2954">
        <f t="shared" si="599"/>
        <v>0</v>
      </c>
      <c r="X2954">
        <v>0</v>
      </c>
    </row>
    <row r="2955" spans="1:24" x14ac:dyDescent="0.25">
      <c r="A2955" t="s">
        <v>1948</v>
      </c>
      <c r="B2955" t="s">
        <v>2076</v>
      </c>
      <c r="C2955" t="s">
        <v>2160</v>
      </c>
      <c r="D2955" t="s">
        <v>302</v>
      </c>
      <c r="E2955" t="s">
        <v>134</v>
      </c>
      <c r="F2955" t="s">
        <v>1</v>
      </c>
      <c r="G2955" t="s">
        <v>1047</v>
      </c>
      <c r="H2955" t="s">
        <v>623</v>
      </c>
      <c r="I2955" t="s">
        <v>1</v>
      </c>
      <c r="J2955">
        <v>4485</v>
      </c>
      <c r="K2955"/>
      <c r="L2955">
        <v>0</v>
      </c>
      <c r="M2955">
        <v>0</v>
      </c>
      <c r="N2955">
        <v>0</v>
      </c>
      <c r="O2955"/>
      <c r="P2955">
        <v>0</v>
      </c>
      <c r="Q2955">
        <f t="shared" si="595"/>
        <v>0</v>
      </c>
      <c r="R2955">
        <v>0</v>
      </c>
      <c r="S2955">
        <f t="shared" si="596"/>
        <v>0</v>
      </c>
      <c r="T2955">
        <v>0.03</v>
      </c>
      <c r="U2955">
        <f t="shared" si="597"/>
        <v>0</v>
      </c>
      <c r="V2955">
        <f t="shared" si="598"/>
        <v>0</v>
      </c>
      <c r="W2955">
        <f t="shared" si="599"/>
        <v>0</v>
      </c>
      <c r="X2955">
        <v>0</v>
      </c>
    </row>
    <row r="2956" spans="1:24" x14ac:dyDescent="0.25">
      <c r="A2956" t="s">
        <v>1948</v>
      </c>
      <c r="B2956" t="s">
        <v>2076</v>
      </c>
      <c r="C2956" t="s">
        <v>2160</v>
      </c>
      <c r="D2956" t="s">
        <v>302</v>
      </c>
      <c r="E2956" t="s">
        <v>45</v>
      </c>
      <c r="F2956" t="s">
        <v>1</v>
      </c>
      <c r="G2956" t="s">
        <v>1047</v>
      </c>
      <c r="H2956" t="s">
        <v>445</v>
      </c>
      <c r="I2956" t="s">
        <v>1</v>
      </c>
      <c r="J2956">
        <v>105808</v>
      </c>
      <c r="K2956">
        <v>107518</v>
      </c>
      <c r="L2956">
        <v>53018</v>
      </c>
      <c r="M2956">
        <v>106914.75138121546</v>
      </c>
      <c r="N2956">
        <v>105817</v>
      </c>
      <c r="O2956">
        <v>106036</v>
      </c>
      <c r="P2956">
        <v>0</v>
      </c>
      <c r="Q2956">
        <f t="shared" si="595"/>
        <v>106036</v>
      </c>
      <c r="R2956">
        <v>107518</v>
      </c>
      <c r="S2956">
        <f t="shared" si="596"/>
        <v>1482</v>
      </c>
      <c r="T2956">
        <v>0.03</v>
      </c>
      <c r="U2956">
        <f t="shared" si="597"/>
        <v>3225.54</v>
      </c>
      <c r="V2956">
        <f t="shared" si="598"/>
        <v>110743.54</v>
      </c>
      <c r="W2956">
        <f t="shared" si="599"/>
        <v>4707.5399999999936</v>
      </c>
      <c r="X2956" t="s">
        <v>1775</v>
      </c>
    </row>
    <row r="2957" spans="1:24" x14ac:dyDescent="0.25">
      <c r="A2957" t="s">
        <v>1948</v>
      </c>
      <c r="B2957" t="s">
        <v>2076</v>
      </c>
      <c r="C2957" t="s">
        <v>2160</v>
      </c>
      <c r="D2957" t="s">
        <v>302</v>
      </c>
      <c r="E2957" t="s">
        <v>46</v>
      </c>
      <c r="F2957" t="s">
        <v>1</v>
      </c>
      <c r="G2957" t="s">
        <v>1047</v>
      </c>
      <c r="H2957" t="s">
        <v>446</v>
      </c>
      <c r="I2957" t="s">
        <v>1</v>
      </c>
      <c r="J2957">
        <v>4163.33</v>
      </c>
      <c r="K2957"/>
      <c r="L2957">
        <v>3713</v>
      </c>
      <c r="M2957">
        <v>7487.5414364640883</v>
      </c>
      <c r="N2957">
        <v>4831.8999999999996</v>
      </c>
      <c r="O2957">
        <v>7426</v>
      </c>
      <c r="P2957">
        <v>0</v>
      </c>
      <c r="Q2957">
        <f t="shared" si="595"/>
        <v>7426</v>
      </c>
      <c r="R2957">
        <v>7426</v>
      </c>
      <c r="S2957">
        <f t="shared" si="596"/>
        <v>0</v>
      </c>
      <c r="T2957">
        <v>0.03</v>
      </c>
      <c r="U2957">
        <f t="shared" si="597"/>
        <v>222.78</v>
      </c>
      <c r="V2957">
        <f t="shared" si="598"/>
        <v>7648.78</v>
      </c>
      <c r="W2957">
        <f t="shared" si="599"/>
        <v>222.77999999999975</v>
      </c>
      <c r="X2957">
        <v>0</v>
      </c>
    </row>
    <row r="2958" spans="1:24" x14ac:dyDescent="0.25">
      <c r="A2958" t="s">
        <v>1948</v>
      </c>
      <c r="B2958" t="s">
        <v>2076</v>
      </c>
      <c r="C2958" t="s">
        <v>2160</v>
      </c>
      <c r="D2958" t="s">
        <v>302</v>
      </c>
      <c r="E2958" t="s">
        <v>47</v>
      </c>
      <c r="F2958" t="s">
        <v>1</v>
      </c>
      <c r="G2958" t="s">
        <v>1047</v>
      </c>
      <c r="H2958" t="s">
        <v>447</v>
      </c>
      <c r="I2958" t="s">
        <v>1</v>
      </c>
      <c r="J2958">
        <v>3000</v>
      </c>
      <c r="K2958">
        <v>4839.9999999995998</v>
      </c>
      <c r="L2958">
        <v>0</v>
      </c>
      <c r="M2958">
        <v>0</v>
      </c>
      <c r="N2958">
        <v>0</v>
      </c>
      <c r="O2958"/>
      <c r="P2958">
        <v>0</v>
      </c>
      <c r="Q2958">
        <f t="shared" si="595"/>
        <v>0</v>
      </c>
      <c r="R2958">
        <v>0</v>
      </c>
      <c r="S2958">
        <f t="shared" si="596"/>
        <v>0</v>
      </c>
      <c r="T2958">
        <v>0.03</v>
      </c>
      <c r="U2958">
        <f t="shared" si="597"/>
        <v>0</v>
      </c>
      <c r="V2958">
        <f t="shared" si="598"/>
        <v>0</v>
      </c>
      <c r="W2958">
        <f t="shared" si="599"/>
        <v>0</v>
      </c>
      <c r="X2958" t="s">
        <v>1776</v>
      </c>
    </row>
    <row r="2959" spans="1:24" x14ac:dyDescent="0.25">
      <c r="A2959" t="s">
        <v>1948</v>
      </c>
      <c r="B2959" t="s">
        <v>2076</v>
      </c>
      <c r="C2959" t="s">
        <v>2160</v>
      </c>
      <c r="D2959" t="s">
        <v>302</v>
      </c>
      <c r="E2959" t="s">
        <v>48</v>
      </c>
      <c r="F2959" t="s">
        <v>1</v>
      </c>
      <c r="G2959" t="s">
        <v>1047</v>
      </c>
      <c r="H2959" t="s">
        <v>448</v>
      </c>
      <c r="I2959" t="s">
        <v>1</v>
      </c>
      <c r="J2959">
        <v>894.49</v>
      </c>
      <c r="K2959">
        <v>839.00000000039995</v>
      </c>
      <c r="L2959">
        <v>437</v>
      </c>
      <c r="M2959">
        <v>881.24309392265195</v>
      </c>
      <c r="N2959">
        <v>886.68000000000006</v>
      </c>
      <c r="O2959">
        <v>874</v>
      </c>
      <c r="P2959">
        <v>0</v>
      </c>
      <c r="Q2959">
        <f t="shared" si="595"/>
        <v>874</v>
      </c>
      <c r="R2959">
        <v>874</v>
      </c>
      <c r="S2959">
        <f t="shared" si="596"/>
        <v>0</v>
      </c>
      <c r="T2959">
        <v>0.03</v>
      </c>
      <c r="U2959">
        <f t="shared" si="597"/>
        <v>26.22</v>
      </c>
      <c r="V2959">
        <f t="shared" si="598"/>
        <v>900.22</v>
      </c>
      <c r="W2959">
        <f t="shared" si="599"/>
        <v>26.220000000000027</v>
      </c>
      <c r="X2959" t="s">
        <v>1777</v>
      </c>
    </row>
    <row r="2960" spans="1:24" x14ac:dyDescent="0.25">
      <c r="A2960" t="s">
        <v>1948</v>
      </c>
      <c r="B2960" t="s">
        <v>2076</v>
      </c>
      <c r="C2960" t="s">
        <v>2160</v>
      </c>
      <c r="D2960" t="s">
        <v>302</v>
      </c>
      <c r="E2960" t="s">
        <v>50</v>
      </c>
      <c r="F2960" t="s">
        <v>1</v>
      </c>
      <c r="G2960" t="s">
        <v>1047</v>
      </c>
      <c r="H2960" t="s">
        <v>450</v>
      </c>
      <c r="I2960" t="s">
        <v>1</v>
      </c>
      <c r="J2960">
        <v>8017.66</v>
      </c>
      <c r="K2960">
        <v>6909.9999999995998</v>
      </c>
      <c r="L2960">
        <v>3227.14</v>
      </c>
      <c r="M2960">
        <v>6507.7685082872922</v>
      </c>
      <c r="N2960">
        <v>7431.0999999999995</v>
      </c>
      <c r="O2960">
        <v>6507.7685082873004</v>
      </c>
      <c r="P2960">
        <v>0</v>
      </c>
      <c r="Q2960">
        <f t="shared" si="595"/>
        <v>6507.7685082873004</v>
      </c>
      <c r="R2960">
        <v>6507.7685082873004</v>
      </c>
      <c r="S2960">
        <f t="shared" si="596"/>
        <v>0</v>
      </c>
      <c r="T2960"/>
      <c r="U2960">
        <f t="shared" si="597"/>
        <v>0</v>
      </c>
      <c r="V2960">
        <f t="shared" si="598"/>
        <v>6507.7685082873004</v>
      </c>
      <c r="W2960">
        <f t="shared" si="599"/>
        <v>0</v>
      </c>
      <c r="X2960" t="s">
        <v>1778</v>
      </c>
    </row>
    <row r="2961" spans="1:24" x14ac:dyDescent="0.25">
      <c r="A2961" t="s">
        <v>1948</v>
      </c>
      <c r="B2961" t="s">
        <v>2076</v>
      </c>
      <c r="C2961" t="s">
        <v>2160</v>
      </c>
      <c r="D2961" t="s">
        <v>302</v>
      </c>
      <c r="E2961" t="s">
        <v>51</v>
      </c>
      <c r="F2961" t="s">
        <v>51</v>
      </c>
      <c r="G2961" t="s">
        <v>1048</v>
      </c>
      <c r="H2961"/>
      <c r="I2961"/>
      <c r="J2961">
        <v>203109.52</v>
      </c>
      <c r="K2961">
        <v>221417.45472132502</v>
      </c>
      <c r="L2961">
        <v>99447.31</v>
      </c>
      <c r="M2961">
        <v>200542.91795580109</v>
      </c>
      <c r="N2961">
        <v>194158.97999999998</v>
      </c>
      <c r="O2961">
        <v>199295.38256268579</v>
      </c>
      <c r="P2961">
        <f>SUMIF($F$2928:$F$2960,"&lt;&gt;EV_*",$P$2928:$P$2960)</f>
        <v>0</v>
      </c>
      <c r="Q2961">
        <f>SUMIF($F$2928:$F$2960,"&lt;&gt;EV_*",$Q$2928:$Q$2960)</f>
        <v>199295.38256268579</v>
      </c>
      <c r="R2961">
        <f>SUMIF($F$2928:$F$2960,"&lt;&gt;EV_*",$R$2928:$R$2960)</f>
        <v>205973.33766756899</v>
      </c>
      <c r="S2961">
        <f>SUMIF($F$2928:$F$2960,"&lt;&gt;EV_*",$S$2928:$S$2960)</f>
        <v>6677.9551048832</v>
      </c>
      <c r="T2961">
        <v>0</v>
      </c>
      <c r="U2961">
        <f>SUMIF($F$2928:$F$2960,"&lt;&gt;EV_*",$U$2928:$U$2960)</f>
        <v>4780.9408535820494</v>
      </c>
      <c r="V2961">
        <f>SUMIF($F$2928:$F$2960,"&lt;&gt;EV_*",$V$2928:$V$2960)</f>
        <v>210754.27852115105</v>
      </c>
      <c r="W2961">
        <f>SUMIF($F$2928:$F$2960,"&lt;&gt;EV_*",$W$2928:$W$2960)</f>
        <v>11458.895958465242</v>
      </c>
      <c r="X2961">
        <f>SUMIF($F$2928:$F$2960,"&lt;&gt;EV_*",$X$2928:$X$2960)</f>
        <v>0</v>
      </c>
    </row>
    <row r="2962" spans="1:24" x14ac:dyDescent="0.25">
      <c r="A2962" t="s">
        <v>1948</v>
      </c>
      <c r="B2962" t="s">
        <v>2076</v>
      </c>
      <c r="C2962" t="s">
        <v>2161</v>
      </c>
      <c r="D2962" t="s">
        <v>303</v>
      </c>
      <c r="E2962" t="s">
        <v>5</v>
      </c>
      <c r="F2962" t="s">
        <v>5</v>
      </c>
      <c r="G2962" t="s">
        <v>1049</v>
      </c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</row>
    <row r="2963" spans="1:24" x14ac:dyDescent="0.25">
      <c r="A2963" t="s">
        <v>1948</v>
      </c>
      <c r="B2963" t="s">
        <v>2076</v>
      </c>
      <c r="C2963" t="s">
        <v>2161</v>
      </c>
      <c r="D2963" t="s">
        <v>303</v>
      </c>
      <c r="E2963" t="s">
        <v>11</v>
      </c>
      <c r="F2963" t="s">
        <v>1</v>
      </c>
      <c r="G2963" t="s">
        <v>1050</v>
      </c>
      <c r="H2963" t="s">
        <v>411</v>
      </c>
      <c r="I2963" t="s">
        <v>1</v>
      </c>
      <c r="J2963">
        <v>769.13</v>
      </c>
      <c r="K2963">
        <v>1059.9999999996</v>
      </c>
      <c r="L2963">
        <v>0</v>
      </c>
      <c r="M2963">
        <v>0</v>
      </c>
      <c r="N2963">
        <v>243.63</v>
      </c>
      <c r="O2963"/>
      <c r="P2963">
        <v>0</v>
      </c>
      <c r="Q2963">
        <f t="shared" ref="Q2963:Q2970" si="600">O2963+P2963</f>
        <v>0</v>
      </c>
      <c r="R2963">
        <v>0</v>
      </c>
      <c r="S2963">
        <f t="shared" ref="S2963:S2970" si="601">IF(OR(LEFT(E2963,2)="A_",LEFT(D2963,5)="Total"),R2963-Q2963,"")</f>
        <v>0</v>
      </c>
      <c r="T2963"/>
      <c r="U2963">
        <f t="shared" ref="U2963:U2970" si="602">IFERROR(R2963*T2963,R2963*0)</f>
        <v>0</v>
      </c>
      <c r="V2963">
        <f t="shared" ref="V2963:V2970" si="603">IF(OR(LEFT(E2963,2)="A_",LEFT(D2963,5)="Total"),R2963+U2963,"")</f>
        <v>0</v>
      </c>
      <c r="W2963">
        <f t="shared" ref="W2963:W2970" si="604">IF(OR(LEFT(E2963,2)="A_",LEFT(D2963,5)="Total"),V2963-Q2963,"")</f>
        <v>0</v>
      </c>
      <c r="X2963">
        <v>0</v>
      </c>
    </row>
    <row r="2964" spans="1:24" x14ac:dyDescent="0.25">
      <c r="A2964" t="s">
        <v>1948</v>
      </c>
      <c r="B2964" t="s">
        <v>2076</v>
      </c>
      <c r="C2964" t="s">
        <v>2161</v>
      </c>
      <c r="D2964" t="s">
        <v>303</v>
      </c>
      <c r="E2964" t="s">
        <v>18</v>
      </c>
      <c r="F2964" t="s">
        <v>1</v>
      </c>
      <c r="G2964" t="s">
        <v>1050</v>
      </c>
      <c r="H2964" t="s">
        <v>418</v>
      </c>
      <c r="I2964" t="s">
        <v>1</v>
      </c>
      <c r="J2964">
        <v>287.13</v>
      </c>
      <c r="K2964"/>
      <c r="L2964">
        <v>32.409999999999997</v>
      </c>
      <c r="M2964">
        <v>65.357182320441979</v>
      </c>
      <c r="N2964">
        <v>230.86</v>
      </c>
      <c r="O2964">
        <v>65.176153846199995</v>
      </c>
      <c r="P2964">
        <v>0</v>
      </c>
      <c r="Q2964">
        <f t="shared" si="600"/>
        <v>65.176153846199995</v>
      </c>
      <c r="R2964">
        <v>0</v>
      </c>
      <c r="S2964">
        <f t="shared" si="601"/>
        <v>-65.176153846199995</v>
      </c>
      <c r="T2964">
        <v>0.02</v>
      </c>
      <c r="U2964">
        <f t="shared" si="602"/>
        <v>0</v>
      </c>
      <c r="V2964">
        <f t="shared" si="603"/>
        <v>0</v>
      </c>
      <c r="W2964">
        <f t="shared" si="604"/>
        <v>-65.176153846199995</v>
      </c>
      <c r="X2964">
        <v>0</v>
      </c>
    </row>
    <row r="2965" spans="1:24" x14ac:dyDescent="0.25">
      <c r="A2965" t="s">
        <v>1948</v>
      </c>
      <c r="B2965" t="s">
        <v>2076</v>
      </c>
      <c r="C2965" t="s">
        <v>2161</v>
      </c>
      <c r="D2965" t="s">
        <v>303</v>
      </c>
      <c r="E2965" t="s">
        <v>20</v>
      </c>
      <c r="F2965" t="s">
        <v>1</v>
      </c>
      <c r="G2965" t="s">
        <v>1050</v>
      </c>
      <c r="H2965" t="s">
        <v>420</v>
      </c>
      <c r="I2965" t="s">
        <v>1</v>
      </c>
      <c r="J2965">
        <v>149</v>
      </c>
      <c r="K2965"/>
      <c r="L2965">
        <v>0</v>
      </c>
      <c r="M2965">
        <v>0</v>
      </c>
      <c r="N2965">
        <v>149</v>
      </c>
      <c r="O2965"/>
      <c r="P2965">
        <v>0</v>
      </c>
      <c r="Q2965">
        <f t="shared" si="600"/>
        <v>0</v>
      </c>
      <c r="R2965">
        <v>0</v>
      </c>
      <c r="S2965">
        <f t="shared" si="601"/>
        <v>0</v>
      </c>
      <c r="T2965">
        <v>0.04</v>
      </c>
      <c r="U2965">
        <f t="shared" si="602"/>
        <v>0</v>
      </c>
      <c r="V2965">
        <f t="shared" si="603"/>
        <v>0</v>
      </c>
      <c r="W2965">
        <f t="shared" si="604"/>
        <v>0</v>
      </c>
      <c r="X2965">
        <v>0</v>
      </c>
    </row>
    <row r="2966" spans="1:24" x14ac:dyDescent="0.25">
      <c r="A2966" t="s">
        <v>1948</v>
      </c>
      <c r="B2966" t="s">
        <v>2076</v>
      </c>
      <c r="C2966" t="s">
        <v>2161</v>
      </c>
      <c r="D2966" t="s">
        <v>303</v>
      </c>
      <c r="E2966" t="s">
        <v>21</v>
      </c>
      <c r="F2966" t="s">
        <v>1</v>
      </c>
      <c r="G2966" t="s">
        <v>1050</v>
      </c>
      <c r="H2966" t="s">
        <v>421</v>
      </c>
      <c r="I2966" t="s">
        <v>1</v>
      </c>
      <c r="J2966">
        <v>1516.94</v>
      </c>
      <c r="K2966">
        <v>1116.31</v>
      </c>
      <c r="L2966">
        <v>201.61</v>
      </c>
      <c r="M2966">
        <v>406.56160220994479</v>
      </c>
      <c r="N2966">
        <v>1127.29</v>
      </c>
      <c r="O2966">
        <v>406.5616022099</v>
      </c>
      <c r="P2966">
        <v>0</v>
      </c>
      <c r="Q2966">
        <f t="shared" si="600"/>
        <v>406.5616022099</v>
      </c>
      <c r="R2966">
        <v>406.5616022099</v>
      </c>
      <c r="S2966">
        <f t="shared" si="601"/>
        <v>0</v>
      </c>
      <c r="T2966">
        <v>0.03</v>
      </c>
      <c r="U2966">
        <f t="shared" si="602"/>
        <v>12.196848066296999</v>
      </c>
      <c r="V2966">
        <f t="shared" si="603"/>
        <v>418.75845027619698</v>
      </c>
      <c r="W2966">
        <f t="shared" si="604"/>
        <v>12.19684806629698</v>
      </c>
      <c r="X2966">
        <v>0</v>
      </c>
    </row>
    <row r="2967" spans="1:24" x14ac:dyDescent="0.25">
      <c r="A2967" t="s">
        <v>1948</v>
      </c>
      <c r="B2967" t="s">
        <v>2076</v>
      </c>
      <c r="C2967" t="s">
        <v>2161</v>
      </c>
      <c r="D2967" t="s">
        <v>303</v>
      </c>
      <c r="E2967" t="s">
        <v>22</v>
      </c>
      <c r="F2967" t="s">
        <v>1</v>
      </c>
      <c r="G2967" t="s">
        <v>1050</v>
      </c>
      <c r="H2967" t="s">
        <v>422</v>
      </c>
      <c r="I2967" t="s">
        <v>1</v>
      </c>
      <c r="J2967">
        <v>1858.94</v>
      </c>
      <c r="K2967">
        <v>1159.2</v>
      </c>
      <c r="L2967">
        <v>157.47</v>
      </c>
      <c r="M2967">
        <v>317.55</v>
      </c>
      <c r="N2967">
        <v>1454.05</v>
      </c>
      <c r="O2967">
        <v>317.55</v>
      </c>
      <c r="P2967">
        <v>0</v>
      </c>
      <c r="Q2967">
        <f t="shared" si="600"/>
        <v>317.55</v>
      </c>
      <c r="R2967">
        <v>317.55</v>
      </c>
      <c r="S2967">
        <f t="shared" si="601"/>
        <v>0</v>
      </c>
      <c r="T2967">
        <v>3.5000000000000003E-2</v>
      </c>
      <c r="U2967">
        <f t="shared" si="602"/>
        <v>11.114250000000002</v>
      </c>
      <c r="V2967">
        <f t="shared" si="603"/>
        <v>328.66425000000004</v>
      </c>
      <c r="W2967">
        <f t="shared" si="604"/>
        <v>11.114250000000027</v>
      </c>
      <c r="X2967">
        <v>0</v>
      </c>
    </row>
    <row r="2968" spans="1:24" x14ac:dyDescent="0.25">
      <c r="A2968" t="s">
        <v>1948</v>
      </c>
      <c r="B2968" t="s">
        <v>2076</v>
      </c>
      <c r="C2968" t="s">
        <v>2161</v>
      </c>
      <c r="D2968" t="s">
        <v>303</v>
      </c>
      <c r="E2968" t="s">
        <v>23</v>
      </c>
      <c r="F2968" t="s">
        <v>1</v>
      </c>
      <c r="G2968" t="s">
        <v>1050</v>
      </c>
      <c r="H2968" t="s">
        <v>423</v>
      </c>
      <c r="I2968" t="s">
        <v>1</v>
      </c>
      <c r="J2968">
        <v>-26</v>
      </c>
      <c r="K2968"/>
      <c r="L2968">
        <v>0</v>
      </c>
      <c r="M2968">
        <v>0</v>
      </c>
      <c r="N2968">
        <v>-26</v>
      </c>
      <c r="O2968"/>
      <c r="P2968">
        <v>0</v>
      </c>
      <c r="Q2968">
        <f t="shared" si="600"/>
        <v>0</v>
      </c>
      <c r="R2968">
        <v>0</v>
      </c>
      <c r="S2968">
        <f t="shared" si="601"/>
        <v>0</v>
      </c>
      <c r="T2968">
        <v>3.5000000000000003E-2</v>
      </c>
      <c r="U2968">
        <f t="shared" si="602"/>
        <v>0</v>
      </c>
      <c r="V2968">
        <f t="shared" si="603"/>
        <v>0</v>
      </c>
      <c r="W2968">
        <f t="shared" si="604"/>
        <v>0</v>
      </c>
      <c r="X2968">
        <v>0</v>
      </c>
    </row>
    <row r="2969" spans="1:24" x14ac:dyDescent="0.25">
      <c r="A2969" t="s">
        <v>1948</v>
      </c>
      <c r="B2969" t="s">
        <v>2076</v>
      </c>
      <c r="C2969" t="s">
        <v>2161</v>
      </c>
      <c r="D2969" t="s">
        <v>303</v>
      </c>
      <c r="E2969" t="s">
        <v>28</v>
      </c>
      <c r="F2969" t="s">
        <v>1</v>
      </c>
      <c r="G2969" t="s">
        <v>1050</v>
      </c>
      <c r="H2969" t="s">
        <v>428</v>
      </c>
      <c r="I2969" t="s">
        <v>1</v>
      </c>
      <c r="J2969">
        <v>71.34</v>
      </c>
      <c r="K2969">
        <v>140.00000000040001</v>
      </c>
      <c r="L2969">
        <v>0</v>
      </c>
      <c r="M2969">
        <v>0</v>
      </c>
      <c r="N2969">
        <v>0</v>
      </c>
      <c r="O2969"/>
      <c r="P2969">
        <v>0</v>
      </c>
      <c r="Q2969">
        <f t="shared" si="600"/>
        <v>0</v>
      </c>
      <c r="R2969">
        <v>0</v>
      </c>
      <c r="S2969">
        <f t="shared" si="601"/>
        <v>0</v>
      </c>
      <c r="T2969"/>
      <c r="U2969">
        <f t="shared" si="602"/>
        <v>0</v>
      </c>
      <c r="V2969">
        <f t="shared" si="603"/>
        <v>0</v>
      </c>
      <c r="W2969">
        <f t="shared" si="604"/>
        <v>0</v>
      </c>
      <c r="X2969">
        <v>0</v>
      </c>
    </row>
    <row r="2970" spans="1:24" x14ac:dyDescent="0.25">
      <c r="A2970" t="s">
        <v>1948</v>
      </c>
      <c r="B2970" t="s">
        <v>2076</v>
      </c>
      <c r="C2970" t="s">
        <v>2161</v>
      </c>
      <c r="D2970" t="s">
        <v>303</v>
      </c>
      <c r="E2970" t="s">
        <v>41</v>
      </c>
      <c r="F2970" t="s">
        <v>1</v>
      </c>
      <c r="G2970" t="s">
        <v>1050</v>
      </c>
      <c r="H2970" t="s">
        <v>441</v>
      </c>
      <c r="I2970" t="s">
        <v>1</v>
      </c>
      <c r="J2970">
        <v>30</v>
      </c>
      <c r="K2970"/>
      <c r="L2970">
        <v>85</v>
      </c>
      <c r="M2970">
        <v>171.40883977900555</v>
      </c>
      <c r="N2970">
        <v>115</v>
      </c>
      <c r="O2970">
        <v>170</v>
      </c>
      <c r="P2970">
        <v>0</v>
      </c>
      <c r="Q2970">
        <f t="shared" si="600"/>
        <v>170</v>
      </c>
      <c r="R2970">
        <v>170</v>
      </c>
      <c r="S2970">
        <f t="shared" si="601"/>
        <v>0</v>
      </c>
      <c r="T2970">
        <v>0.03</v>
      </c>
      <c r="U2970">
        <f t="shared" si="602"/>
        <v>5.0999999999999996</v>
      </c>
      <c r="V2970">
        <f t="shared" si="603"/>
        <v>175.1</v>
      </c>
      <c r="W2970">
        <f t="shared" si="604"/>
        <v>5.0999999999999943</v>
      </c>
      <c r="X2970">
        <v>0</v>
      </c>
    </row>
    <row r="2971" spans="1:24" x14ac:dyDescent="0.25">
      <c r="A2971" t="s">
        <v>1948</v>
      </c>
      <c r="B2971" t="s">
        <v>2076</v>
      </c>
      <c r="C2971" t="s">
        <v>2161</v>
      </c>
      <c r="D2971" t="s">
        <v>303</v>
      </c>
      <c r="E2971" t="s">
        <v>51</v>
      </c>
      <c r="F2971" t="s">
        <v>51</v>
      </c>
      <c r="G2971" t="s">
        <v>1051</v>
      </c>
      <c r="H2971"/>
      <c r="I2971"/>
      <c r="J2971">
        <v>4656.4799999999996</v>
      </c>
      <c r="K2971">
        <v>3475.51</v>
      </c>
      <c r="L2971">
        <v>476.49</v>
      </c>
      <c r="M2971">
        <v>960.87762430939233</v>
      </c>
      <c r="N2971">
        <v>3293.83</v>
      </c>
      <c r="O2971">
        <v>959.28775605610008</v>
      </c>
      <c r="P2971">
        <f>SUMIF($F$2962:$F$2970,"&lt;&gt;EV_*",$P$2962:$P$2970)</f>
        <v>0</v>
      </c>
      <c r="Q2971">
        <f>SUMIF($F$2962:$F$2970,"&lt;&gt;EV_*",$Q$2962:$Q$2970)</f>
        <v>959.28775605610008</v>
      </c>
      <c r="R2971">
        <f>SUMIF($F$2962:$F$2970,"&lt;&gt;EV_*",$R$2962:$R$2970)</f>
        <v>894.11160220989996</v>
      </c>
      <c r="S2971">
        <f>SUMIF($F$2962:$F$2970,"&lt;&gt;EV_*",$S$2962:$S$2970)</f>
        <v>-65.176153846199995</v>
      </c>
      <c r="T2971">
        <v>0</v>
      </c>
      <c r="U2971">
        <f>SUMIF($F$2962:$F$2970,"&lt;&gt;EV_*",$U$2962:$U$2970)</f>
        <v>28.411098066297001</v>
      </c>
      <c r="V2971">
        <f>SUMIF($F$2962:$F$2970,"&lt;&gt;EV_*",$V$2962:$V$2970)</f>
        <v>922.52270027619704</v>
      </c>
      <c r="W2971">
        <f>SUMIF($F$2962:$F$2970,"&lt;&gt;EV_*",$W$2962:$W$2970)</f>
        <v>-36.765055779902994</v>
      </c>
      <c r="X2971">
        <f>SUMIF($F$2962:$F$2970,"&lt;&gt;EV_*",$X$2962:$X$2970)</f>
        <v>0</v>
      </c>
    </row>
    <row r="2972" spans="1:24" x14ac:dyDescent="0.25">
      <c r="A2972" t="s">
        <v>1948</v>
      </c>
      <c r="B2972" t="s">
        <v>2076</v>
      </c>
      <c r="C2972" t="s">
        <v>2162</v>
      </c>
      <c r="D2972" t="s">
        <v>304</v>
      </c>
      <c r="E2972" t="s">
        <v>5</v>
      </c>
      <c r="F2972" t="s">
        <v>5</v>
      </c>
      <c r="G2972" t="s">
        <v>1052</v>
      </c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</row>
    <row r="2973" spans="1:24" x14ac:dyDescent="0.25">
      <c r="A2973" t="s">
        <v>1948</v>
      </c>
      <c r="B2973" t="s">
        <v>2076</v>
      </c>
      <c r="C2973" t="s">
        <v>2162</v>
      </c>
      <c r="D2973" t="s">
        <v>304</v>
      </c>
      <c r="E2973" t="s">
        <v>12</v>
      </c>
      <c r="F2973" t="s">
        <v>1</v>
      </c>
      <c r="G2973" t="s">
        <v>1053</v>
      </c>
      <c r="H2973" t="s">
        <v>412</v>
      </c>
      <c r="I2973" t="s">
        <v>1</v>
      </c>
      <c r="J2973">
        <v>40725.199999999997</v>
      </c>
      <c r="K2973"/>
      <c r="L2973">
        <v>0</v>
      </c>
      <c r="M2973">
        <v>0</v>
      </c>
      <c r="N2973">
        <v>20352.400000000001</v>
      </c>
      <c r="O2973"/>
      <c r="P2973">
        <v>0</v>
      </c>
      <c r="Q2973">
        <f t="shared" ref="Q2973:Q2982" si="605">O2973+P2973</f>
        <v>0</v>
      </c>
      <c r="R2973">
        <v>0</v>
      </c>
      <c r="S2973">
        <f t="shared" ref="S2973:S2982" si="606">IF(OR(LEFT(E2973,2)="A_",LEFT(D2973,5)="Total"),R2973-Q2973,"")</f>
        <v>0</v>
      </c>
      <c r="T2973"/>
      <c r="U2973">
        <f t="shared" ref="U2973:U2982" si="607">IFERROR(R2973*T2973,R2973*0)</f>
        <v>0</v>
      </c>
      <c r="V2973">
        <f t="shared" ref="V2973:V2982" si="608">IF(OR(LEFT(E2973,2)="A_",LEFT(D2973,5)="Total"),R2973+U2973,"")</f>
        <v>0</v>
      </c>
      <c r="W2973">
        <f t="shared" ref="W2973:W2982" si="609">IF(OR(LEFT(E2973,2)="A_",LEFT(D2973,5)="Total"),V2973-Q2973,"")</f>
        <v>0</v>
      </c>
      <c r="X2973">
        <v>0</v>
      </c>
    </row>
    <row r="2974" spans="1:24" x14ac:dyDescent="0.25">
      <c r="A2974" t="s">
        <v>1948</v>
      </c>
      <c r="B2974" t="s">
        <v>2076</v>
      </c>
      <c r="C2974" t="s">
        <v>2162</v>
      </c>
      <c r="D2974" t="s">
        <v>304</v>
      </c>
      <c r="E2974" t="s">
        <v>21</v>
      </c>
      <c r="F2974" t="s">
        <v>1</v>
      </c>
      <c r="G2974" t="s">
        <v>1053</v>
      </c>
      <c r="H2974" t="s">
        <v>421</v>
      </c>
      <c r="I2974" t="s">
        <v>1</v>
      </c>
      <c r="J2974">
        <v>822.57</v>
      </c>
      <c r="K2974">
        <v>545.90000000010002</v>
      </c>
      <c r="L2974">
        <v>924.5</v>
      </c>
      <c r="M2974">
        <v>1864.3232044198894</v>
      </c>
      <c r="N2974">
        <v>1483.2000000000003</v>
      </c>
      <c r="O2974">
        <v>1864.3232044199001</v>
      </c>
      <c r="P2974">
        <v>0</v>
      </c>
      <c r="Q2974">
        <f t="shared" si="605"/>
        <v>1864.3232044199001</v>
      </c>
      <c r="R2974">
        <v>1864.3232044199001</v>
      </c>
      <c r="S2974">
        <f t="shared" si="606"/>
        <v>0</v>
      </c>
      <c r="T2974">
        <v>0.03</v>
      </c>
      <c r="U2974">
        <f t="shared" si="607"/>
        <v>55.929696132597002</v>
      </c>
      <c r="V2974">
        <f t="shared" si="608"/>
        <v>1920.2529005524971</v>
      </c>
      <c r="W2974">
        <f t="shared" si="609"/>
        <v>55.929696132596973</v>
      </c>
      <c r="X2974" t="s">
        <v>1768</v>
      </c>
    </row>
    <row r="2975" spans="1:24" x14ac:dyDescent="0.25">
      <c r="A2975" t="s">
        <v>1948</v>
      </c>
      <c r="B2975" t="s">
        <v>2076</v>
      </c>
      <c r="C2975" t="s">
        <v>2162</v>
      </c>
      <c r="D2975" t="s">
        <v>304</v>
      </c>
      <c r="E2975" t="s">
        <v>22</v>
      </c>
      <c r="F2975" t="s">
        <v>1</v>
      </c>
      <c r="G2975" t="s">
        <v>1053</v>
      </c>
      <c r="H2975" t="s">
        <v>422</v>
      </c>
      <c r="I2975" t="s">
        <v>1</v>
      </c>
      <c r="J2975">
        <v>12636.74</v>
      </c>
      <c r="K2975">
        <v>15090.299999999899</v>
      </c>
      <c r="L2975">
        <v>6868.45</v>
      </c>
      <c r="M2975">
        <v>13850.741712707182</v>
      </c>
      <c r="N2975">
        <v>12216.33</v>
      </c>
      <c r="O2975">
        <v>13850.7417127072</v>
      </c>
      <c r="P2975">
        <v>0</v>
      </c>
      <c r="Q2975">
        <f t="shared" si="605"/>
        <v>13850.7417127072</v>
      </c>
      <c r="R2975">
        <v>15090.299999999899</v>
      </c>
      <c r="S2975">
        <f t="shared" si="606"/>
        <v>1239.5582872926989</v>
      </c>
      <c r="T2975">
        <v>3.5000000000000003E-2</v>
      </c>
      <c r="U2975">
        <f t="shared" si="607"/>
        <v>528.16049999999655</v>
      </c>
      <c r="V2975">
        <f t="shared" si="608"/>
        <v>15618.460499999896</v>
      </c>
      <c r="W2975">
        <f t="shared" si="609"/>
        <v>1767.7187872926952</v>
      </c>
      <c r="X2975">
        <v>0</v>
      </c>
    </row>
    <row r="2976" spans="1:24" x14ac:dyDescent="0.25">
      <c r="A2976" t="s">
        <v>1948</v>
      </c>
      <c r="B2976" t="s">
        <v>2076</v>
      </c>
      <c r="C2976" t="s">
        <v>2162</v>
      </c>
      <c r="D2976" t="s">
        <v>304</v>
      </c>
      <c r="E2976" t="s">
        <v>24</v>
      </c>
      <c r="F2976" t="s">
        <v>1</v>
      </c>
      <c r="G2976" t="s">
        <v>1053</v>
      </c>
      <c r="H2976" t="s">
        <v>424</v>
      </c>
      <c r="I2976" t="s">
        <v>1</v>
      </c>
      <c r="J2976">
        <v>209.21</v>
      </c>
      <c r="K2976"/>
      <c r="L2976">
        <v>656.58</v>
      </c>
      <c r="M2976">
        <v>1324.0425414364643</v>
      </c>
      <c r="N2976">
        <v>656.58</v>
      </c>
      <c r="O2976">
        <v>1313.16</v>
      </c>
      <c r="P2976">
        <v>0</v>
      </c>
      <c r="Q2976">
        <f t="shared" si="605"/>
        <v>1313.16</v>
      </c>
      <c r="R2976">
        <v>1313.16</v>
      </c>
      <c r="S2976">
        <f t="shared" si="606"/>
        <v>0</v>
      </c>
      <c r="T2976"/>
      <c r="U2976">
        <f t="shared" si="607"/>
        <v>0</v>
      </c>
      <c r="V2976">
        <f t="shared" si="608"/>
        <v>1313.16</v>
      </c>
      <c r="W2976">
        <f t="shared" si="609"/>
        <v>0</v>
      </c>
      <c r="X2976" t="s">
        <v>1779</v>
      </c>
    </row>
    <row r="2977" spans="1:24" x14ac:dyDescent="0.25">
      <c r="A2977" t="s">
        <v>1948</v>
      </c>
      <c r="B2977" t="s">
        <v>2076</v>
      </c>
      <c r="C2977" t="s">
        <v>2162</v>
      </c>
      <c r="D2977" t="s">
        <v>304</v>
      </c>
      <c r="E2977" t="s">
        <v>27</v>
      </c>
      <c r="F2977" t="s">
        <v>1</v>
      </c>
      <c r="G2977" t="s">
        <v>1053</v>
      </c>
      <c r="H2977" t="s">
        <v>427</v>
      </c>
      <c r="I2977" t="s">
        <v>1</v>
      </c>
      <c r="J2977">
        <v>3186.66</v>
      </c>
      <c r="K2977">
        <v>2510.0000000004002</v>
      </c>
      <c r="L2977">
        <v>1351.35</v>
      </c>
      <c r="M2977">
        <v>2725.0980662983425</v>
      </c>
      <c r="N2977">
        <v>2798.66</v>
      </c>
      <c r="O2977">
        <v>2702.7</v>
      </c>
      <c r="P2977">
        <v>0</v>
      </c>
      <c r="Q2977">
        <f t="shared" si="605"/>
        <v>2702.7</v>
      </c>
      <c r="R2977">
        <v>2702.7</v>
      </c>
      <c r="S2977">
        <f t="shared" si="606"/>
        <v>0</v>
      </c>
      <c r="T2977"/>
      <c r="U2977">
        <f t="shared" si="607"/>
        <v>0</v>
      </c>
      <c r="V2977">
        <f t="shared" si="608"/>
        <v>2702.7</v>
      </c>
      <c r="W2977">
        <f t="shared" si="609"/>
        <v>0</v>
      </c>
      <c r="X2977" t="s">
        <v>1780</v>
      </c>
    </row>
    <row r="2978" spans="1:24" x14ac:dyDescent="0.25">
      <c r="A2978" t="s">
        <v>1948</v>
      </c>
      <c r="B2978" t="s">
        <v>2076</v>
      </c>
      <c r="C2978" t="s">
        <v>2162</v>
      </c>
      <c r="D2978" t="s">
        <v>304</v>
      </c>
      <c r="E2978" t="s">
        <v>28</v>
      </c>
      <c r="F2978" t="s">
        <v>1</v>
      </c>
      <c r="G2978" t="s">
        <v>1053</v>
      </c>
      <c r="H2978" t="s">
        <v>428</v>
      </c>
      <c r="I2978" t="s">
        <v>1</v>
      </c>
      <c r="J2978">
        <v>2969.96</v>
      </c>
      <c r="K2978">
        <v>1680</v>
      </c>
      <c r="L2978">
        <v>328.1</v>
      </c>
      <c r="M2978">
        <v>661.63812154696143</v>
      </c>
      <c r="N2978">
        <v>3074.35</v>
      </c>
      <c r="O2978">
        <v>656.2</v>
      </c>
      <c r="P2978">
        <v>0</v>
      </c>
      <c r="Q2978">
        <f t="shared" si="605"/>
        <v>656.2</v>
      </c>
      <c r="R2978">
        <v>656.2</v>
      </c>
      <c r="S2978">
        <f t="shared" si="606"/>
        <v>0</v>
      </c>
      <c r="T2978"/>
      <c r="U2978">
        <f t="shared" si="607"/>
        <v>0</v>
      </c>
      <c r="V2978">
        <f t="shared" si="608"/>
        <v>656.2</v>
      </c>
      <c r="W2978">
        <f t="shared" si="609"/>
        <v>0</v>
      </c>
      <c r="X2978">
        <v>0</v>
      </c>
    </row>
    <row r="2979" spans="1:24" x14ac:dyDescent="0.25">
      <c r="A2979" t="s">
        <v>1948</v>
      </c>
      <c r="B2979" t="s">
        <v>2076</v>
      </c>
      <c r="C2979" t="s">
        <v>2162</v>
      </c>
      <c r="D2979" t="s">
        <v>304</v>
      </c>
      <c r="E2979" t="s">
        <v>76</v>
      </c>
      <c r="F2979" t="s">
        <v>1</v>
      </c>
      <c r="G2979" t="s">
        <v>1053</v>
      </c>
      <c r="H2979" t="s">
        <v>493</v>
      </c>
      <c r="I2979" t="s">
        <v>1</v>
      </c>
      <c r="J2979">
        <v>265213</v>
      </c>
      <c r="K2979">
        <v>265213</v>
      </c>
      <c r="L2979">
        <v>132606.5</v>
      </c>
      <c r="M2979">
        <v>267410.89779005526</v>
      </c>
      <c r="N2979">
        <v>265213</v>
      </c>
      <c r="O2979">
        <v>265213</v>
      </c>
      <c r="P2979">
        <v>0</v>
      </c>
      <c r="Q2979">
        <f t="shared" si="605"/>
        <v>265213</v>
      </c>
      <c r="R2979">
        <v>265213</v>
      </c>
      <c r="S2979">
        <f t="shared" si="606"/>
        <v>0</v>
      </c>
      <c r="T2979">
        <v>0.03</v>
      </c>
      <c r="U2979">
        <f t="shared" si="607"/>
        <v>7956.3899999999994</v>
      </c>
      <c r="V2979">
        <f t="shared" si="608"/>
        <v>273169.39</v>
      </c>
      <c r="W2979">
        <f t="shared" si="609"/>
        <v>7956.390000000014</v>
      </c>
      <c r="X2979" t="s">
        <v>1781</v>
      </c>
    </row>
    <row r="2980" spans="1:24" x14ac:dyDescent="0.25">
      <c r="A2980" t="s">
        <v>1948</v>
      </c>
      <c r="B2980" t="s">
        <v>2076</v>
      </c>
      <c r="C2980" t="s">
        <v>2162</v>
      </c>
      <c r="D2980" t="s">
        <v>304</v>
      </c>
      <c r="E2980" t="s">
        <v>42</v>
      </c>
      <c r="F2980" t="s">
        <v>1</v>
      </c>
      <c r="G2980" t="s">
        <v>1053</v>
      </c>
      <c r="H2980" t="s">
        <v>442</v>
      </c>
      <c r="I2980" t="s">
        <v>1</v>
      </c>
      <c r="J2980">
        <v>332616.40000000002</v>
      </c>
      <c r="K2980">
        <v>428258</v>
      </c>
      <c r="L2980">
        <v>200150.86</v>
      </c>
      <c r="M2980">
        <v>403619.13756906072</v>
      </c>
      <c r="N2980">
        <v>359840.19</v>
      </c>
      <c r="O2980">
        <v>400301.72</v>
      </c>
      <c r="P2980">
        <v>0</v>
      </c>
      <c r="Q2980">
        <f t="shared" si="605"/>
        <v>400301.72</v>
      </c>
      <c r="R2980">
        <v>428258</v>
      </c>
      <c r="S2980">
        <f t="shared" si="606"/>
        <v>27956.280000000028</v>
      </c>
      <c r="T2980">
        <v>0.03</v>
      </c>
      <c r="U2980">
        <f t="shared" si="607"/>
        <v>12847.74</v>
      </c>
      <c r="V2980">
        <f t="shared" si="608"/>
        <v>441105.74</v>
      </c>
      <c r="W2980">
        <f t="shared" si="609"/>
        <v>40804.020000000019</v>
      </c>
      <c r="X2980" t="s">
        <v>1782</v>
      </c>
    </row>
    <row r="2981" spans="1:24" x14ac:dyDescent="0.25">
      <c r="A2981" t="s">
        <v>1948</v>
      </c>
      <c r="B2981" t="s">
        <v>2076</v>
      </c>
      <c r="C2981" t="s">
        <v>2162</v>
      </c>
      <c r="D2981" t="s">
        <v>304</v>
      </c>
      <c r="E2981" t="s">
        <v>134</v>
      </c>
      <c r="F2981" t="s">
        <v>1</v>
      </c>
      <c r="G2981" t="s">
        <v>1053</v>
      </c>
      <c r="H2981" t="s">
        <v>623</v>
      </c>
      <c r="I2981" t="s">
        <v>1</v>
      </c>
      <c r="J2981">
        <v>792</v>
      </c>
      <c r="K2981"/>
      <c r="L2981">
        <v>0</v>
      </c>
      <c r="M2981">
        <v>0</v>
      </c>
      <c r="N2981">
        <v>792</v>
      </c>
      <c r="O2981"/>
      <c r="P2981">
        <v>0</v>
      </c>
      <c r="Q2981">
        <f t="shared" si="605"/>
        <v>0</v>
      </c>
      <c r="R2981">
        <v>0</v>
      </c>
      <c r="S2981">
        <f t="shared" si="606"/>
        <v>0</v>
      </c>
      <c r="T2981">
        <v>0.03</v>
      </c>
      <c r="U2981">
        <f t="shared" si="607"/>
        <v>0</v>
      </c>
      <c r="V2981">
        <f t="shared" si="608"/>
        <v>0</v>
      </c>
      <c r="W2981">
        <f t="shared" si="609"/>
        <v>0</v>
      </c>
      <c r="X2981">
        <v>0</v>
      </c>
    </row>
    <row r="2982" spans="1:24" x14ac:dyDescent="0.25">
      <c r="A2982" t="s">
        <v>1948</v>
      </c>
      <c r="B2982" t="s">
        <v>2076</v>
      </c>
      <c r="C2982" t="s">
        <v>2162</v>
      </c>
      <c r="D2982" t="s">
        <v>304</v>
      </c>
      <c r="E2982" t="s">
        <v>48</v>
      </c>
      <c r="F2982" t="s">
        <v>1</v>
      </c>
      <c r="G2982" t="s">
        <v>1053</v>
      </c>
      <c r="H2982" t="s">
        <v>448</v>
      </c>
      <c r="I2982" t="s">
        <v>1</v>
      </c>
      <c r="J2982">
        <v>12373.91</v>
      </c>
      <c r="K2982">
        <v>12099.9999999996</v>
      </c>
      <c r="L2982">
        <v>5421.91</v>
      </c>
      <c r="M2982">
        <v>10933.68591160221</v>
      </c>
      <c r="N2982">
        <v>11884.27</v>
      </c>
      <c r="O2982">
        <v>10843.82</v>
      </c>
      <c r="P2982">
        <v>0</v>
      </c>
      <c r="Q2982">
        <f t="shared" si="605"/>
        <v>10843.82</v>
      </c>
      <c r="R2982">
        <v>10843.82</v>
      </c>
      <c r="S2982">
        <f t="shared" si="606"/>
        <v>0</v>
      </c>
      <c r="T2982">
        <v>0.03</v>
      </c>
      <c r="U2982">
        <f t="shared" si="607"/>
        <v>325.31459999999998</v>
      </c>
      <c r="V2982">
        <f t="shared" si="608"/>
        <v>11169.134599999999</v>
      </c>
      <c r="W2982">
        <f t="shared" si="609"/>
        <v>325.3145999999997</v>
      </c>
      <c r="X2982" t="s">
        <v>1783</v>
      </c>
    </row>
    <row r="2983" spans="1:24" x14ac:dyDescent="0.25">
      <c r="A2983" t="s">
        <v>1948</v>
      </c>
      <c r="B2983" t="s">
        <v>2076</v>
      </c>
      <c r="C2983" t="s">
        <v>2162</v>
      </c>
      <c r="D2983" t="s">
        <v>304</v>
      </c>
      <c r="E2983" t="s">
        <v>51</v>
      </c>
      <c r="F2983" t="s">
        <v>51</v>
      </c>
      <c r="G2983" t="s">
        <v>1054</v>
      </c>
      <c r="H2983"/>
      <c r="I2983"/>
      <c r="J2983">
        <v>671545.65</v>
      </c>
      <c r="K2983">
        <v>725397.20000000007</v>
      </c>
      <c r="L2983">
        <v>348308.24999999994</v>
      </c>
      <c r="M2983">
        <v>702389.56491712702</v>
      </c>
      <c r="N2983">
        <v>678310.98</v>
      </c>
      <c r="O2983">
        <v>696745.664917127</v>
      </c>
      <c r="P2983">
        <f>SUMIF($F$2972:$F$2982,"&lt;&gt;EV_*",$P$2972:$P$2982)</f>
        <v>0</v>
      </c>
      <c r="Q2983">
        <f>SUMIF($F$2972:$F$2982,"&lt;&gt;EV_*",$Q$2972:$Q$2982)</f>
        <v>696745.664917127</v>
      </c>
      <c r="R2983">
        <f>SUMIF($F$2972:$F$2982,"&lt;&gt;EV_*",$R$2972:$R$2982)</f>
        <v>725941.50320441974</v>
      </c>
      <c r="S2983">
        <f>SUMIF($F$2972:$F$2982,"&lt;&gt;EV_*",$S$2972:$S$2982)</f>
        <v>29195.838287292725</v>
      </c>
      <c r="T2983">
        <v>0</v>
      </c>
      <c r="U2983">
        <f>SUMIF($F$2972:$F$2982,"&lt;&gt;EV_*",$U$2972:$U$2982)</f>
        <v>21713.534796132593</v>
      </c>
      <c r="V2983">
        <f>SUMIF($F$2972:$F$2982,"&lt;&gt;EV_*",$V$2972:$V$2982)</f>
        <v>747655.03800055245</v>
      </c>
      <c r="W2983">
        <f>SUMIF($F$2972:$F$2982,"&lt;&gt;EV_*",$W$2972:$W$2982)</f>
        <v>50909.373083425322</v>
      </c>
      <c r="X2983">
        <f>SUMIF($F$2972:$F$2982,"&lt;&gt;EV_*",$X$2972:$X$2982)</f>
        <v>0</v>
      </c>
    </row>
    <row r="2984" spans="1:24" x14ac:dyDescent="0.25">
      <c r="A2984" t="s">
        <v>2025</v>
      </c>
      <c r="B2984" t="s">
        <v>2163</v>
      </c>
      <c r="C2984" t="s">
        <v>2164</v>
      </c>
      <c r="D2984" t="s">
        <v>305</v>
      </c>
      <c r="E2984" t="s">
        <v>5</v>
      </c>
      <c r="F2984" t="s">
        <v>5</v>
      </c>
      <c r="G2984" t="s">
        <v>1055</v>
      </c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</row>
    <row r="2985" spans="1:24" x14ac:dyDescent="0.25">
      <c r="A2985" t="s">
        <v>2025</v>
      </c>
      <c r="B2985" t="s">
        <v>2163</v>
      </c>
      <c r="C2985" t="s">
        <v>2164</v>
      </c>
      <c r="D2985" t="s">
        <v>305</v>
      </c>
      <c r="E2985" t="s">
        <v>7</v>
      </c>
      <c r="F2985" t="s">
        <v>1</v>
      </c>
      <c r="G2985" t="s">
        <v>1056</v>
      </c>
      <c r="H2985" t="s">
        <v>407</v>
      </c>
      <c r="I2985" t="s">
        <v>1</v>
      </c>
      <c r="J2985">
        <v>58.11</v>
      </c>
      <c r="K2985"/>
      <c r="L2985">
        <v>0</v>
      </c>
      <c r="M2985">
        <v>0</v>
      </c>
      <c r="N2985">
        <v>58.11</v>
      </c>
      <c r="O2985"/>
      <c r="P2985">
        <v>0</v>
      </c>
      <c r="Q2985">
        <f t="shared" ref="Q2985:Q3032" si="610">O2985+P2985</f>
        <v>0</v>
      </c>
      <c r="R2985">
        <v>0</v>
      </c>
      <c r="S2985">
        <f t="shared" ref="S2985:S3032" si="611">IF(OR(LEFT(E2985,2)="A_",LEFT(D2985,5)="Total"),R2985-Q2985,"")</f>
        <v>0</v>
      </c>
      <c r="T2985"/>
      <c r="U2985">
        <f t="shared" ref="U2985:U3032" si="612">IFERROR(R2985*T2985,R2985*0)</f>
        <v>0</v>
      </c>
      <c r="V2985">
        <f t="shared" ref="V2985:V3032" si="613">IF(OR(LEFT(E2985,2)="A_",LEFT(D2985,5)="Total"),R2985+U2985,"")</f>
        <v>0</v>
      </c>
      <c r="W2985">
        <f t="shared" ref="W2985:W3032" si="614">IF(OR(LEFT(E2985,2)="A_",LEFT(D2985,5)="Total"),V2985-Q2985,"")</f>
        <v>0</v>
      </c>
      <c r="X2985">
        <v>0</v>
      </c>
    </row>
    <row r="2986" spans="1:24" x14ac:dyDescent="0.25">
      <c r="A2986" t="s">
        <v>2025</v>
      </c>
      <c r="B2986" t="s">
        <v>2163</v>
      </c>
      <c r="C2986" t="s">
        <v>2164</v>
      </c>
      <c r="D2986" t="s">
        <v>305</v>
      </c>
      <c r="E2986" t="s">
        <v>9</v>
      </c>
      <c r="F2986" t="s">
        <v>1</v>
      </c>
      <c r="G2986" t="s">
        <v>1056</v>
      </c>
      <c r="H2986" t="s">
        <v>409</v>
      </c>
      <c r="I2986" t="s">
        <v>1</v>
      </c>
      <c r="J2986">
        <v>214456.99</v>
      </c>
      <c r="K2986">
        <v>214100</v>
      </c>
      <c r="L2986">
        <v>109191.06</v>
      </c>
      <c r="M2986">
        <v>220191.91657458563</v>
      </c>
      <c r="N2986">
        <v>216597.97000000003</v>
      </c>
      <c r="O2986">
        <v>218382.12</v>
      </c>
      <c r="P2986">
        <v>0</v>
      </c>
      <c r="Q2986">
        <f t="shared" si="610"/>
        <v>218382.12</v>
      </c>
      <c r="R2986">
        <v>218382.12</v>
      </c>
      <c r="S2986">
        <f t="shared" si="611"/>
        <v>0</v>
      </c>
      <c r="T2986"/>
      <c r="U2986">
        <f t="shared" si="612"/>
        <v>0</v>
      </c>
      <c r="V2986">
        <f t="shared" si="613"/>
        <v>218382.12</v>
      </c>
      <c r="W2986">
        <f t="shared" si="614"/>
        <v>0</v>
      </c>
      <c r="X2986" t="s">
        <v>1784</v>
      </c>
    </row>
    <row r="2987" spans="1:24" x14ac:dyDescent="0.25">
      <c r="A2987" t="s">
        <v>2025</v>
      </c>
      <c r="B2987" t="s">
        <v>2163</v>
      </c>
      <c r="C2987" t="s">
        <v>2164</v>
      </c>
      <c r="D2987" t="s">
        <v>305</v>
      </c>
      <c r="E2987" t="s">
        <v>10</v>
      </c>
      <c r="F2987" t="s">
        <v>1</v>
      </c>
      <c r="G2987" t="s">
        <v>1056</v>
      </c>
      <c r="H2987" t="s">
        <v>410</v>
      </c>
      <c r="I2987" t="s">
        <v>1</v>
      </c>
      <c r="J2987">
        <v>247.5</v>
      </c>
      <c r="K2987">
        <v>8049.9999999995998</v>
      </c>
      <c r="L2987">
        <v>165</v>
      </c>
      <c r="M2987">
        <v>332.73480662983428</v>
      </c>
      <c r="N2987">
        <v>330</v>
      </c>
      <c r="O2987">
        <v>330</v>
      </c>
      <c r="P2987">
        <v>0</v>
      </c>
      <c r="Q2987">
        <f t="shared" si="610"/>
        <v>330</v>
      </c>
      <c r="R2987">
        <v>990</v>
      </c>
      <c r="S2987">
        <f t="shared" si="611"/>
        <v>660</v>
      </c>
      <c r="T2987"/>
      <c r="U2987">
        <f t="shared" si="612"/>
        <v>0</v>
      </c>
      <c r="V2987">
        <f t="shared" si="613"/>
        <v>990</v>
      </c>
      <c r="W2987">
        <f t="shared" si="614"/>
        <v>660</v>
      </c>
      <c r="X2987" t="s">
        <v>1785</v>
      </c>
    </row>
    <row r="2988" spans="1:24" x14ac:dyDescent="0.25">
      <c r="A2988" t="s">
        <v>2025</v>
      </c>
      <c r="B2988" t="s">
        <v>2163</v>
      </c>
      <c r="C2988" t="s">
        <v>2164</v>
      </c>
      <c r="D2988" t="s">
        <v>305</v>
      </c>
      <c r="E2988" t="s">
        <v>11</v>
      </c>
      <c r="F2988" t="s">
        <v>1</v>
      </c>
      <c r="G2988" t="s">
        <v>1056</v>
      </c>
      <c r="H2988" t="s">
        <v>411</v>
      </c>
      <c r="I2988" t="s">
        <v>1</v>
      </c>
      <c r="J2988">
        <v>4309.5</v>
      </c>
      <c r="K2988">
        <v>3575.7200000004</v>
      </c>
      <c r="L2988">
        <v>1769.8</v>
      </c>
      <c r="M2988">
        <v>3568.9337016574582</v>
      </c>
      <c r="N2988">
        <v>3757.3399999999997</v>
      </c>
      <c r="O2988">
        <v>3539.6</v>
      </c>
      <c r="P2988">
        <v>0</v>
      </c>
      <c r="Q2988">
        <f t="shared" si="610"/>
        <v>3539.6</v>
      </c>
      <c r="R2988">
        <v>3540</v>
      </c>
      <c r="S2988">
        <f t="shared" si="611"/>
        <v>0.40000000000009095</v>
      </c>
      <c r="T2988"/>
      <c r="U2988">
        <f t="shared" si="612"/>
        <v>0</v>
      </c>
      <c r="V2988">
        <f t="shared" si="613"/>
        <v>3540</v>
      </c>
      <c r="W2988">
        <f t="shared" si="614"/>
        <v>0.40000000000009095</v>
      </c>
      <c r="X2988" t="s">
        <v>1786</v>
      </c>
    </row>
    <row r="2989" spans="1:24" x14ac:dyDescent="0.25">
      <c r="A2989" t="s">
        <v>2025</v>
      </c>
      <c r="B2989" t="s">
        <v>2163</v>
      </c>
      <c r="C2989" t="s">
        <v>2164</v>
      </c>
      <c r="D2989" t="s">
        <v>305</v>
      </c>
      <c r="E2989" t="s">
        <v>12</v>
      </c>
      <c r="F2989" t="s">
        <v>1</v>
      </c>
      <c r="G2989" t="s">
        <v>1056</v>
      </c>
      <c r="H2989" t="s">
        <v>412</v>
      </c>
      <c r="I2989" t="s">
        <v>1</v>
      </c>
      <c r="J2989">
        <v>269.27999999999997</v>
      </c>
      <c r="K2989"/>
      <c r="L2989">
        <v>1449.28</v>
      </c>
      <c r="M2989">
        <v>2922.5812154696132</v>
      </c>
      <c r="N2989">
        <v>1718.56</v>
      </c>
      <c r="O2989">
        <v>2898.56</v>
      </c>
      <c r="P2989">
        <v>0</v>
      </c>
      <c r="Q2989">
        <f t="shared" si="610"/>
        <v>2898.56</v>
      </c>
      <c r="R2989">
        <v>1180</v>
      </c>
      <c r="S2989">
        <f t="shared" si="611"/>
        <v>-1718.56</v>
      </c>
      <c r="T2989"/>
      <c r="U2989">
        <f t="shared" si="612"/>
        <v>0</v>
      </c>
      <c r="V2989">
        <f t="shared" si="613"/>
        <v>1180</v>
      </c>
      <c r="W2989">
        <f t="shared" si="614"/>
        <v>-1718.56</v>
      </c>
      <c r="X2989" t="s">
        <v>1299</v>
      </c>
    </row>
    <row r="2990" spans="1:24" x14ac:dyDescent="0.25">
      <c r="A2990" t="s">
        <v>2025</v>
      </c>
      <c r="B2990" t="s">
        <v>2163</v>
      </c>
      <c r="C2990" t="s">
        <v>2164</v>
      </c>
      <c r="D2990" t="s">
        <v>305</v>
      </c>
      <c r="E2990" t="s">
        <v>13</v>
      </c>
      <c r="F2990" t="s">
        <v>1</v>
      </c>
      <c r="G2990" t="s">
        <v>1056</v>
      </c>
      <c r="H2990" t="s">
        <v>413</v>
      </c>
      <c r="I2990" t="s">
        <v>1</v>
      </c>
      <c r="J2990"/>
      <c r="K2990"/>
      <c r="L2990">
        <v>424.57</v>
      </c>
      <c r="M2990">
        <v>856.17707182320441</v>
      </c>
      <c r="N2990">
        <v>424.57</v>
      </c>
      <c r="O2990">
        <v>849.14</v>
      </c>
      <c r="P2990">
        <v>0</v>
      </c>
      <c r="Q2990">
        <f t="shared" si="610"/>
        <v>849.14</v>
      </c>
      <c r="R2990">
        <v>636.84</v>
      </c>
      <c r="S2990">
        <f t="shared" si="611"/>
        <v>-212.29999999999995</v>
      </c>
      <c r="T2990"/>
      <c r="U2990">
        <f t="shared" si="612"/>
        <v>0</v>
      </c>
      <c r="V2990">
        <f t="shared" si="613"/>
        <v>636.84</v>
      </c>
      <c r="W2990">
        <f t="shared" si="614"/>
        <v>-212.29999999999995</v>
      </c>
      <c r="X2990" t="s">
        <v>1787</v>
      </c>
    </row>
    <row r="2991" spans="1:24" x14ac:dyDescent="0.25">
      <c r="A2991" t="s">
        <v>2025</v>
      </c>
      <c r="B2991" t="s">
        <v>2163</v>
      </c>
      <c r="C2991" t="s">
        <v>2164</v>
      </c>
      <c r="D2991" t="s">
        <v>305</v>
      </c>
      <c r="E2991" t="s">
        <v>16</v>
      </c>
      <c r="F2991" t="s">
        <v>1</v>
      </c>
      <c r="G2991" t="s">
        <v>1056</v>
      </c>
      <c r="H2991" t="s">
        <v>416</v>
      </c>
      <c r="I2991" t="s">
        <v>1</v>
      </c>
      <c r="J2991">
        <v>6813.65</v>
      </c>
      <c r="K2991"/>
      <c r="L2991">
        <v>0</v>
      </c>
      <c r="M2991">
        <v>0</v>
      </c>
      <c r="N2991">
        <v>6813.65</v>
      </c>
      <c r="O2991"/>
      <c r="P2991">
        <v>0</v>
      </c>
      <c r="Q2991">
        <f t="shared" si="610"/>
        <v>0</v>
      </c>
      <c r="R2991">
        <v>0</v>
      </c>
      <c r="S2991">
        <f t="shared" si="611"/>
        <v>0</v>
      </c>
      <c r="T2991"/>
      <c r="U2991">
        <f t="shared" si="612"/>
        <v>0</v>
      </c>
      <c r="V2991">
        <f t="shared" si="613"/>
        <v>0</v>
      </c>
      <c r="W2991">
        <f t="shared" si="614"/>
        <v>0</v>
      </c>
      <c r="X2991">
        <v>0</v>
      </c>
    </row>
    <row r="2992" spans="1:24" x14ac:dyDescent="0.25">
      <c r="A2992" t="s">
        <v>2025</v>
      </c>
      <c r="B2992" t="s">
        <v>2163</v>
      </c>
      <c r="C2992" t="s">
        <v>2164</v>
      </c>
      <c r="D2992" t="s">
        <v>305</v>
      </c>
      <c r="E2992" t="s">
        <v>17</v>
      </c>
      <c r="F2992" t="s">
        <v>1</v>
      </c>
      <c r="G2992" t="s">
        <v>1056</v>
      </c>
      <c r="H2992" t="s">
        <v>417</v>
      </c>
      <c r="I2992" t="s">
        <v>1</v>
      </c>
      <c r="J2992">
        <v>-1027.02</v>
      </c>
      <c r="K2992">
        <v>-1250.0000000002001</v>
      </c>
      <c r="L2992">
        <v>0</v>
      </c>
      <c r="M2992">
        <v>0</v>
      </c>
      <c r="N2992">
        <v>-43.88</v>
      </c>
      <c r="O2992"/>
      <c r="P2992">
        <v>0</v>
      </c>
      <c r="Q2992">
        <f t="shared" si="610"/>
        <v>0</v>
      </c>
      <c r="R2992">
        <v>0</v>
      </c>
      <c r="S2992">
        <f t="shared" si="611"/>
        <v>0</v>
      </c>
      <c r="T2992"/>
      <c r="U2992">
        <f t="shared" si="612"/>
        <v>0</v>
      </c>
      <c r="V2992">
        <f t="shared" si="613"/>
        <v>0</v>
      </c>
      <c r="W2992">
        <f t="shared" si="614"/>
        <v>0</v>
      </c>
      <c r="X2992">
        <v>0</v>
      </c>
    </row>
    <row r="2993" spans="1:24" x14ac:dyDescent="0.25">
      <c r="A2993" t="s">
        <v>2025</v>
      </c>
      <c r="B2993" t="s">
        <v>2163</v>
      </c>
      <c r="C2993" t="s">
        <v>2164</v>
      </c>
      <c r="D2993" t="s">
        <v>305</v>
      </c>
      <c r="E2993" t="s">
        <v>82</v>
      </c>
      <c r="F2993" t="s">
        <v>1</v>
      </c>
      <c r="G2993" t="s">
        <v>1056</v>
      </c>
      <c r="H2993" t="s">
        <v>507</v>
      </c>
      <c r="I2993" t="s">
        <v>1</v>
      </c>
      <c r="J2993">
        <v>200.37</v>
      </c>
      <c r="K2993"/>
      <c r="L2993">
        <v>526</v>
      </c>
      <c r="M2993">
        <v>1060.7182320441989</v>
      </c>
      <c r="N2993">
        <v>537.89</v>
      </c>
      <c r="O2993">
        <v>1057.7802197802</v>
      </c>
      <c r="P2993">
        <v>0</v>
      </c>
      <c r="Q2993">
        <f t="shared" si="610"/>
        <v>1057.7802197802</v>
      </c>
      <c r="R2993">
        <v>1057.7802197802</v>
      </c>
      <c r="S2993">
        <f t="shared" si="611"/>
        <v>0</v>
      </c>
      <c r="T2993">
        <v>2.75E-2</v>
      </c>
      <c r="U2993">
        <f t="shared" si="612"/>
        <v>29.088956043955502</v>
      </c>
      <c r="V2993">
        <f t="shared" si="613"/>
        <v>1086.8691758241555</v>
      </c>
      <c r="W2993">
        <f t="shared" si="614"/>
        <v>29.088956043955477</v>
      </c>
      <c r="X2993">
        <v>0</v>
      </c>
    </row>
    <row r="2994" spans="1:24" x14ac:dyDescent="0.25">
      <c r="A2994" t="s">
        <v>2025</v>
      </c>
      <c r="B2994" t="s">
        <v>2163</v>
      </c>
      <c r="C2994" t="s">
        <v>2164</v>
      </c>
      <c r="D2994" t="s">
        <v>305</v>
      </c>
      <c r="E2994" t="s">
        <v>18</v>
      </c>
      <c r="F2994" t="s">
        <v>1</v>
      </c>
      <c r="G2994" t="s">
        <v>1056</v>
      </c>
      <c r="H2994" t="s">
        <v>418</v>
      </c>
      <c r="I2994" t="s">
        <v>1</v>
      </c>
      <c r="J2994">
        <v>15082.68</v>
      </c>
      <c r="K2994">
        <v>17623.3231282126</v>
      </c>
      <c r="L2994">
        <v>34554.01</v>
      </c>
      <c r="M2994">
        <v>69680.738397790061</v>
      </c>
      <c r="N2994">
        <v>46852.999999999993</v>
      </c>
      <c r="O2994">
        <v>69487.734395604406</v>
      </c>
      <c r="P2994">
        <v>0</v>
      </c>
      <c r="Q2994">
        <f t="shared" si="610"/>
        <v>69487.734395604406</v>
      </c>
      <c r="R2994">
        <v>69487.734395604406</v>
      </c>
      <c r="S2994">
        <f t="shared" si="611"/>
        <v>0</v>
      </c>
      <c r="T2994">
        <v>0.02</v>
      </c>
      <c r="U2994">
        <f t="shared" si="612"/>
        <v>1389.7546879120882</v>
      </c>
      <c r="V2994">
        <f t="shared" si="613"/>
        <v>70877.489083516499</v>
      </c>
      <c r="W2994">
        <f t="shared" si="614"/>
        <v>1389.7546879120928</v>
      </c>
      <c r="X2994">
        <v>0</v>
      </c>
    </row>
    <row r="2995" spans="1:24" x14ac:dyDescent="0.25">
      <c r="A2995" t="s">
        <v>2025</v>
      </c>
      <c r="B2995" t="s">
        <v>2163</v>
      </c>
      <c r="C2995" t="s">
        <v>2164</v>
      </c>
      <c r="D2995" t="s">
        <v>305</v>
      </c>
      <c r="E2995" t="s">
        <v>73</v>
      </c>
      <c r="F2995" t="s">
        <v>1</v>
      </c>
      <c r="G2995" t="s">
        <v>1056</v>
      </c>
      <c r="H2995" t="s">
        <v>490</v>
      </c>
      <c r="I2995" t="s">
        <v>1</v>
      </c>
      <c r="J2995">
        <v>7951.21</v>
      </c>
      <c r="K2995">
        <v>10117.5296296299</v>
      </c>
      <c r="L2995">
        <v>34474</v>
      </c>
      <c r="M2995">
        <v>69519.392265193368</v>
      </c>
      <c r="N2995">
        <v>35917.21</v>
      </c>
      <c r="O2995">
        <v>69326.835164835196</v>
      </c>
      <c r="P2995">
        <v>0</v>
      </c>
      <c r="Q2995">
        <f t="shared" si="610"/>
        <v>69326.835164835196</v>
      </c>
      <c r="R2995">
        <v>69326.835164835196</v>
      </c>
      <c r="S2995">
        <f t="shared" si="611"/>
        <v>0</v>
      </c>
      <c r="T2995">
        <v>3.5000000000000003E-2</v>
      </c>
      <c r="U2995">
        <f t="shared" si="612"/>
        <v>2426.4392307692319</v>
      </c>
      <c r="V2995">
        <f t="shared" si="613"/>
        <v>71753.274395604429</v>
      </c>
      <c r="W2995">
        <f t="shared" si="614"/>
        <v>2426.4392307692324</v>
      </c>
      <c r="X2995">
        <v>0</v>
      </c>
    </row>
    <row r="2996" spans="1:24" x14ac:dyDescent="0.25">
      <c r="A2996" t="s">
        <v>2025</v>
      </c>
      <c r="B2996" t="s">
        <v>2163</v>
      </c>
      <c r="C2996" t="s">
        <v>2164</v>
      </c>
      <c r="D2996" t="s">
        <v>305</v>
      </c>
      <c r="E2996" t="s">
        <v>74</v>
      </c>
      <c r="F2996" t="s">
        <v>1</v>
      </c>
      <c r="G2996" t="s">
        <v>1056</v>
      </c>
      <c r="H2996" t="s">
        <v>491</v>
      </c>
      <c r="I2996" t="s">
        <v>1</v>
      </c>
      <c r="J2996"/>
      <c r="K2996"/>
      <c r="L2996">
        <v>108.96</v>
      </c>
      <c r="M2996">
        <v>219.72596685082874</v>
      </c>
      <c r="N2996">
        <v>108.96</v>
      </c>
      <c r="O2996">
        <v>219.11736263739999</v>
      </c>
      <c r="P2996">
        <v>0</v>
      </c>
      <c r="Q2996">
        <f t="shared" si="610"/>
        <v>219.11736263739999</v>
      </c>
      <c r="R2996">
        <v>219.11736263739999</v>
      </c>
      <c r="S2996">
        <f t="shared" si="611"/>
        <v>0</v>
      </c>
      <c r="T2996">
        <v>3.5000000000000003E-2</v>
      </c>
      <c r="U2996">
        <f t="shared" si="612"/>
        <v>7.6691076923090007</v>
      </c>
      <c r="V2996">
        <f t="shared" si="613"/>
        <v>226.786470329709</v>
      </c>
      <c r="W2996">
        <f t="shared" si="614"/>
        <v>7.6691076923090122</v>
      </c>
      <c r="X2996">
        <v>0</v>
      </c>
    </row>
    <row r="2997" spans="1:24" x14ac:dyDescent="0.25">
      <c r="A2997" t="s">
        <v>2025</v>
      </c>
      <c r="B2997" t="s">
        <v>2163</v>
      </c>
      <c r="C2997" t="s">
        <v>2164</v>
      </c>
      <c r="D2997" t="s">
        <v>305</v>
      </c>
      <c r="E2997" t="s">
        <v>85</v>
      </c>
      <c r="F2997" t="s">
        <v>1</v>
      </c>
      <c r="G2997" t="s">
        <v>1056</v>
      </c>
      <c r="H2997" t="s">
        <v>510</v>
      </c>
      <c r="I2997" t="s">
        <v>1</v>
      </c>
      <c r="J2997">
        <v>208.14</v>
      </c>
      <c r="K2997"/>
      <c r="L2997">
        <v>75.599999999999994</v>
      </c>
      <c r="M2997">
        <v>152.45303867403314</v>
      </c>
      <c r="N2997">
        <v>170.1</v>
      </c>
      <c r="O2997">
        <v>152.03076923079999</v>
      </c>
      <c r="P2997">
        <v>0</v>
      </c>
      <c r="Q2997">
        <f t="shared" si="610"/>
        <v>152.03076923079999</v>
      </c>
      <c r="R2997">
        <v>152.03076923079999</v>
      </c>
      <c r="S2997">
        <f t="shared" si="611"/>
        <v>0</v>
      </c>
      <c r="T2997">
        <v>0.02</v>
      </c>
      <c r="U2997">
        <f t="shared" si="612"/>
        <v>3.0406153846159998</v>
      </c>
      <c r="V2997">
        <f t="shared" si="613"/>
        <v>155.07138461541598</v>
      </c>
      <c r="W2997">
        <f t="shared" si="614"/>
        <v>3.0406153846159896</v>
      </c>
      <c r="X2997">
        <v>0</v>
      </c>
    </row>
    <row r="2998" spans="1:24" x14ac:dyDescent="0.25">
      <c r="A2998" t="s">
        <v>2025</v>
      </c>
      <c r="B2998" t="s">
        <v>2163</v>
      </c>
      <c r="C2998" t="s">
        <v>2164</v>
      </c>
      <c r="D2998" t="s">
        <v>305</v>
      </c>
      <c r="E2998" t="s">
        <v>120</v>
      </c>
      <c r="F2998" t="s">
        <v>1</v>
      </c>
      <c r="G2998" t="s">
        <v>1056</v>
      </c>
      <c r="H2998" t="s">
        <v>589</v>
      </c>
      <c r="I2998" t="s">
        <v>1</v>
      </c>
      <c r="J2998">
        <v>381555.20000000001</v>
      </c>
      <c r="K2998">
        <v>415776.32529580401</v>
      </c>
      <c r="L2998">
        <v>243499</v>
      </c>
      <c r="M2998">
        <v>491033.89502762433</v>
      </c>
      <c r="N2998">
        <v>434813</v>
      </c>
      <c r="O2998">
        <v>489673.81318681297</v>
      </c>
      <c r="P2998">
        <v>0</v>
      </c>
      <c r="Q2998">
        <f t="shared" si="610"/>
        <v>489673.81318681297</v>
      </c>
      <c r="R2998">
        <v>489673.81318681297</v>
      </c>
      <c r="S2998">
        <f t="shared" si="611"/>
        <v>0</v>
      </c>
      <c r="T2998">
        <v>3.5000000000000003E-2</v>
      </c>
      <c r="U2998">
        <f t="shared" si="612"/>
        <v>17138.583461538456</v>
      </c>
      <c r="V2998">
        <f t="shared" si="613"/>
        <v>506812.39664835145</v>
      </c>
      <c r="W2998">
        <f t="shared" si="614"/>
        <v>17138.583461538481</v>
      </c>
      <c r="X2998">
        <v>0</v>
      </c>
    </row>
    <row r="2999" spans="1:24" x14ac:dyDescent="0.25">
      <c r="A2999" t="s">
        <v>2025</v>
      </c>
      <c r="B2999" t="s">
        <v>2163</v>
      </c>
      <c r="C2999" t="s">
        <v>2164</v>
      </c>
      <c r="D2999" t="s">
        <v>305</v>
      </c>
      <c r="E2999" t="s">
        <v>20</v>
      </c>
      <c r="F2999" t="s">
        <v>1</v>
      </c>
      <c r="G2999" t="s">
        <v>1056</v>
      </c>
      <c r="H2999" t="s">
        <v>420</v>
      </c>
      <c r="I2999" t="s">
        <v>1</v>
      </c>
      <c r="J2999">
        <v>7605.76</v>
      </c>
      <c r="K2999">
        <v>10347.474222221899</v>
      </c>
      <c r="L2999">
        <v>3893.92</v>
      </c>
      <c r="M2999">
        <v>7852.3801104972381</v>
      </c>
      <c r="N2999">
        <v>8966.5400000000009</v>
      </c>
      <c r="O2999">
        <v>7830.6303296702999</v>
      </c>
      <c r="P2999">
        <v>0</v>
      </c>
      <c r="Q2999">
        <f t="shared" si="610"/>
        <v>7830.6303296702999</v>
      </c>
      <c r="R2999">
        <v>7830.6303296702999</v>
      </c>
      <c r="S2999">
        <f t="shared" si="611"/>
        <v>0</v>
      </c>
      <c r="T2999">
        <v>0.04</v>
      </c>
      <c r="U2999">
        <f t="shared" si="612"/>
        <v>313.22521318681203</v>
      </c>
      <c r="V2999">
        <f t="shared" si="613"/>
        <v>8143.8555428571117</v>
      </c>
      <c r="W2999">
        <f t="shared" si="614"/>
        <v>313.22521318681174</v>
      </c>
      <c r="X2999">
        <v>0</v>
      </c>
    </row>
    <row r="3000" spans="1:24" x14ac:dyDescent="0.25">
      <c r="A3000" t="s">
        <v>2025</v>
      </c>
      <c r="B3000" t="s">
        <v>2163</v>
      </c>
      <c r="C3000" t="s">
        <v>2164</v>
      </c>
      <c r="D3000" t="s">
        <v>305</v>
      </c>
      <c r="E3000" t="s">
        <v>21</v>
      </c>
      <c r="F3000" t="s">
        <v>1</v>
      </c>
      <c r="G3000" t="s">
        <v>1056</v>
      </c>
      <c r="H3000" t="s">
        <v>421</v>
      </c>
      <c r="I3000" t="s">
        <v>1</v>
      </c>
      <c r="J3000">
        <v>12137.63</v>
      </c>
      <c r="K3000">
        <v>11732.63</v>
      </c>
      <c r="L3000">
        <v>4507.92</v>
      </c>
      <c r="M3000">
        <v>9090.5569060773487</v>
      </c>
      <c r="N3000">
        <v>10317.24</v>
      </c>
      <c r="O3000">
        <v>9090.5569060773996</v>
      </c>
      <c r="P3000">
        <v>0</v>
      </c>
      <c r="Q3000">
        <f t="shared" si="610"/>
        <v>9090.5569060773996</v>
      </c>
      <c r="R3000">
        <v>9090.5569060773996</v>
      </c>
      <c r="S3000">
        <f t="shared" si="611"/>
        <v>0</v>
      </c>
      <c r="T3000">
        <v>0.03</v>
      </c>
      <c r="U3000">
        <f t="shared" si="612"/>
        <v>272.71670718232195</v>
      </c>
      <c r="V3000">
        <f t="shared" si="613"/>
        <v>9363.273613259722</v>
      </c>
      <c r="W3000">
        <f t="shared" si="614"/>
        <v>272.71670718232235</v>
      </c>
      <c r="X3000">
        <v>0</v>
      </c>
    </row>
    <row r="3001" spans="1:24" x14ac:dyDescent="0.25">
      <c r="A3001" t="s">
        <v>2025</v>
      </c>
      <c r="B3001" t="s">
        <v>2163</v>
      </c>
      <c r="C3001" t="s">
        <v>2164</v>
      </c>
      <c r="D3001" t="s">
        <v>305</v>
      </c>
      <c r="E3001" t="s">
        <v>22</v>
      </c>
      <c r="F3001" t="s">
        <v>1</v>
      </c>
      <c r="G3001" t="s">
        <v>1056</v>
      </c>
      <c r="H3001" t="s">
        <v>422</v>
      </c>
      <c r="I3001" t="s">
        <v>1</v>
      </c>
      <c r="J3001">
        <v>4507.46</v>
      </c>
      <c r="K3001">
        <v>3933</v>
      </c>
      <c r="L3001">
        <v>1650.37</v>
      </c>
      <c r="M3001">
        <v>3328.0941988950271</v>
      </c>
      <c r="N3001">
        <v>4260.3100000000004</v>
      </c>
      <c r="O3001">
        <v>3328.0941988949999</v>
      </c>
      <c r="P3001">
        <v>0</v>
      </c>
      <c r="Q3001">
        <f t="shared" si="610"/>
        <v>3328.0941988949999</v>
      </c>
      <c r="R3001">
        <v>3328.0941988949999</v>
      </c>
      <c r="S3001">
        <f t="shared" si="611"/>
        <v>0</v>
      </c>
      <c r="T3001">
        <v>3.5000000000000003E-2</v>
      </c>
      <c r="U3001">
        <f t="shared" si="612"/>
        <v>116.48329696132501</v>
      </c>
      <c r="V3001">
        <f t="shared" si="613"/>
        <v>3444.5774958563247</v>
      </c>
      <c r="W3001">
        <f t="shared" si="614"/>
        <v>116.48329696132487</v>
      </c>
      <c r="X3001">
        <v>0</v>
      </c>
    </row>
    <row r="3002" spans="1:24" x14ac:dyDescent="0.25">
      <c r="A3002" t="s">
        <v>2025</v>
      </c>
      <c r="B3002" t="s">
        <v>2163</v>
      </c>
      <c r="C3002" t="s">
        <v>2164</v>
      </c>
      <c r="D3002" t="s">
        <v>305</v>
      </c>
      <c r="E3002" t="s">
        <v>23</v>
      </c>
      <c r="F3002" t="s">
        <v>1</v>
      </c>
      <c r="G3002" t="s">
        <v>1056</v>
      </c>
      <c r="H3002" t="s">
        <v>423</v>
      </c>
      <c r="I3002" t="s">
        <v>1</v>
      </c>
      <c r="J3002">
        <v>612.33000000000004</v>
      </c>
      <c r="K3002"/>
      <c r="L3002">
        <v>629.1</v>
      </c>
      <c r="M3002">
        <v>1268.6270718232045</v>
      </c>
      <c r="N3002">
        <v>1204.29</v>
      </c>
      <c r="O3002">
        <v>1268.6270718231999</v>
      </c>
      <c r="P3002">
        <v>0</v>
      </c>
      <c r="Q3002">
        <f t="shared" si="610"/>
        <v>1268.6270718231999</v>
      </c>
      <c r="R3002">
        <v>600</v>
      </c>
      <c r="S3002">
        <f t="shared" si="611"/>
        <v>-668.62707182319991</v>
      </c>
      <c r="T3002">
        <v>3.5000000000000003E-2</v>
      </c>
      <c r="U3002">
        <f t="shared" si="612"/>
        <v>21.000000000000004</v>
      </c>
      <c r="V3002">
        <f t="shared" si="613"/>
        <v>621</v>
      </c>
      <c r="W3002">
        <f t="shared" si="614"/>
        <v>-647.62707182319991</v>
      </c>
      <c r="X3002">
        <v>0</v>
      </c>
    </row>
    <row r="3003" spans="1:24" x14ac:dyDescent="0.25">
      <c r="A3003" t="s">
        <v>2025</v>
      </c>
      <c r="B3003" t="s">
        <v>2163</v>
      </c>
      <c r="C3003" t="s">
        <v>2164</v>
      </c>
      <c r="D3003" t="s">
        <v>305</v>
      </c>
      <c r="E3003" t="s">
        <v>24</v>
      </c>
      <c r="F3003" t="s">
        <v>1</v>
      </c>
      <c r="G3003" t="s">
        <v>1056</v>
      </c>
      <c r="H3003" t="s">
        <v>424</v>
      </c>
      <c r="I3003" t="s">
        <v>1</v>
      </c>
      <c r="J3003">
        <v>3580</v>
      </c>
      <c r="K3003">
        <v>2109.9999999995998</v>
      </c>
      <c r="L3003">
        <v>1867.5</v>
      </c>
      <c r="M3003">
        <v>3765.953038674033</v>
      </c>
      <c r="N3003">
        <v>3427.5</v>
      </c>
      <c r="O3003">
        <v>3735</v>
      </c>
      <c r="P3003">
        <v>0</v>
      </c>
      <c r="Q3003">
        <f t="shared" si="610"/>
        <v>3735</v>
      </c>
      <c r="R3003">
        <v>3580</v>
      </c>
      <c r="S3003">
        <f t="shared" si="611"/>
        <v>-155</v>
      </c>
      <c r="T3003"/>
      <c r="U3003">
        <f t="shared" si="612"/>
        <v>0</v>
      </c>
      <c r="V3003">
        <f t="shared" si="613"/>
        <v>3580</v>
      </c>
      <c r="W3003">
        <f t="shared" si="614"/>
        <v>-155</v>
      </c>
      <c r="X3003" t="s">
        <v>1788</v>
      </c>
    </row>
    <row r="3004" spans="1:24" x14ac:dyDescent="0.25">
      <c r="A3004" t="s">
        <v>2025</v>
      </c>
      <c r="B3004" t="s">
        <v>2163</v>
      </c>
      <c r="C3004" t="s">
        <v>2164</v>
      </c>
      <c r="D3004" t="s">
        <v>305</v>
      </c>
      <c r="E3004" t="s">
        <v>26</v>
      </c>
      <c r="F3004" t="s">
        <v>1</v>
      </c>
      <c r="G3004" t="s">
        <v>1056</v>
      </c>
      <c r="H3004" t="s">
        <v>426</v>
      </c>
      <c r="I3004" t="s">
        <v>1</v>
      </c>
      <c r="J3004">
        <v>1549</v>
      </c>
      <c r="K3004">
        <v>6152.3645692068003</v>
      </c>
      <c r="L3004">
        <v>0</v>
      </c>
      <c r="M3004">
        <v>0</v>
      </c>
      <c r="N3004">
        <v>1549</v>
      </c>
      <c r="O3004"/>
      <c r="P3004">
        <v>0</v>
      </c>
      <c r="Q3004">
        <f t="shared" si="610"/>
        <v>0</v>
      </c>
      <c r="R3004">
        <v>6152.3645692068003</v>
      </c>
      <c r="S3004">
        <f t="shared" si="611"/>
        <v>6152.3645692068003</v>
      </c>
      <c r="T3004"/>
      <c r="U3004">
        <f t="shared" si="612"/>
        <v>0</v>
      </c>
      <c r="V3004">
        <f t="shared" si="613"/>
        <v>6152.3645692068003</v>
      </c>
      <c r="W3004">
        <f t="shared" si="614"/>
        <v>6152.3645692068003</v>
      </c>
      <c r="X3004" t="s">
        <v>1789</v>
      </c>
    </row>
    <row r="3005" spans="1:24" x14ac:dyDescent="0.25">
      <c r="A3005" t="s">
        <v>2025</v>
      </c>
      <c r="B3005" t="s">
        <v>2163</v>
      </c>
      <c r="C3005" t="s">
        <v>2164</v>
      </c>
      <c r="D3005" t="s">
        <v>305</v>
      </c>
      <c r="E3005" t="s">
        <v>27</v>
      </c>
      <c r="F3005" t="s">
        <v>1</v>
      </c>
      <c r="G3005" t="s">
        <v>1056</v>
      </c>
      <c r="H3005" t="s">
        <v>427</v>
      </c>
      <c r="I3005" t="s">
        <v>1</v>
      </c>
      <c r="J3005">
        <v>1919.67</v>
      </c>
      <c r="K3005">
        <v>1730.0000000004</v>
      </c>
      <c r="L3005">
        <v>876.86</v>
      </c>
      <c r="M3005">
        <v>1768.2535911602213</v>
      </c>
      <c r="N3005">
        <v>1768.9799999999998</v>
      </c>
      <c r="O3005">
        <v>1753.72</v>
      </c>
      <c r="P3005">
        <v>0</v>
      </c>
      <c r="Q3005">
        <f t="shared" si="610"/>
        <v>1753.72</v>
      </c>
      <c r="R3005">
        <v>2343.2400000000002</v>
      </c>
      <c r="S3005">
        <f t="shared" si="611"/>
        <v>589.52000000000021</v>
      </c>
      <c r="T3005"/>
      <c r="U3005">
        <f t="shared" si="612"/>
        <v>0</v>
      </c>
      <c r="V3005">
        <f t="shared" si="613"/>
        <v>2343.2400000000002</v>
      </c>
      <c r="W3005">
        <f t="shared" si="614"/>
        <v>589.52000000000021</v>
      </c>
      <c r="X3005" t="s">
        <v>1370</v>
      </c>
    </row>
    <row r="3006" spans="1:24" x14ac:dyDescent="0.25">
      <c r="A3006" t="s">
        <v>2025</v>
      </c>
      <c r="B3006" t="s">
        <v>2163</v>
      </c>
      <c r="C3006" t="s">
        <v>2164</v>
      </c>
      <c r="D3006" t="s">
        <v>305</v>
      </c>
      <c r="E3006" t="s">
        <v>28</v>
      </c>
      <c r="F3006" t="s">
        <v>1</v>
      </c>
      <c r="G3006" t="s">
        <v>1056</v>
      </c>
      <c r="H3006" t="s">
        <v>428</v>
      </c>
      <c r="I3006" t="s">
        <v>1</v>
      </c>
      <c r="J3006">
        <v>8364.4599999999991</v>
      </c>
      <c r="K3006">
        <v>8206.9700000003995</v>
      </c>
      <c r="L3006">
        <v>955.7</v>
      </c>
      <c r="M3006">
        <v>1927.2403314917126</v>
      </c>
      <c r="N3006">
        <v>4387.9999999999991</v>
      </c>
      <c r="O3006">
        <v>1911.4</v>
      </c>
      <c r="P3006">
        <v>0</v>
      </c>
      <c r="Q3006">
        <f t="shared" si="610"/>
        <v>1911.4</v>
      </c>
      <c r="R3006">
        <v>1911.4</v>
      </c>
      <c r="S3006">
        <f t="shared" si="611"/>
        <v>0</v>
      </c>
      <c r="T3006"/>
      <c r="U3006">
        <f t="shared" si="612"/>
        <v>0</v>
      </c>
      <c r="V3006">
        <f t="shared" si="613"/>
        <v>1911.4</v>
      </c>
      <c r="W3006">
        <f t="shared" si="614"/>
        <v>0</v>
      </c>
      <c r="X3006">
        <v>0</v>
      </c>
    </row>
    <row r="3007" spans="1:24" x14ac:dyDescent="0.25">
      <c r="A3007" t="s">
        <v>2025</v>
      </c>
      <c r="B3007" t="s">
        <v>2163</v>
      </c>
      <c r="C3007" t="s">
        <v>2164</v>
      </c>
      <c r="D3007" t="s">
        <v>305</v>
      </c>
      <c r="E3007" t="s">
        <v>29</v>
      </c>
      <c r="F3007" t="s">
        <v>1</v>
      </c>
      <c r="G3007" t="s">
        <v>1056</v>
      </c>
      <c r="H3007" t="s">
        <v>429</v>
      </c>
      <c r="I3007" t="s">
        <v>1</v>
      </c>
      <c r="J3007">
        <v>327.64999999999998</v>
      </c>
      <c r="K3007">
        <v>290.00000000040001</v>
      </c>
      <c r="L3007">
        <v>0</v>
      </c>
      <c r="M3007">
        <v>0</v>
      </c>
      <c r="N3007">
        <v>181.57</v>
      </c>
      <c r="O3007"/>
      <c r="P3007">
        <v>0</v>
      </c>
      <c r="Q3007">
        <f t="shared" si="610"/>
        <v>0</v>
      </c>
      <c r="R3007">
        <v>0</v>
      </c>
      <c r="S3007">
        <f t="shared" si="611"/>
        <v>0</v>
      </c>
      <c r="T3007"/>
      <c r="U3007">
        <f t="shared" si="612"/>
        <v>0</v>
      </c>
      <c r="V3007">
        <f t="shared" si="613"/>
        <v>0</v>
      </c>
      <c r="W3007">
        <f t="shared" si="614"/>
        <v>0</v>
      </c>
      <c r="X3007">
        <v>0</v>
      </c>
    </row>
    <row r="3008" spans="1:24" x14ac:dyDescent="0.25">
      <c r="A3008" t="s">
        <v>2025</v>
      </c>
      <c r="B3008" t="s">
        <v>2163</v>
      </c>
      <c r="C3008" t="s">
        <v>2164</v>
      </c>
      <c r="D3008" t="s">
        <v>305</v>
      </c>
      <c r="E3008" t="s">
        <v>31</v>
      </c>
      <c r="F3008" t="s">
        <v>1</v>
      </c>
      <c r="G3008" t="s">
        <v>1056</v>
      </c>
      <c r="H3008" t="s">
        <v>431</v>
      </c>
      <c r="I3008" t="s">
        <v>1</v>
      </c>
      <c r="J3008">
        <v>486.1</v>
      </c>
      <c r="K3008">
        <v>317.00000000040001</v>
      </c>
      <c r="L3008">
        <v>0</v>
      </c>
      <c r="M3008">
        <v>0</v>
      </c>
      <c r="N3008">
        <v>86.1</v>
      </c>
      <c r="O3008"/>
      <c r="P3008">
        <v>0</v>
      </c>
      <c r="Q3008">
        <f t="shared" si="610"/>
        <v>0</v>
      </c>
      <c r="R3008">
        <v>317.00000000040001</v>
      </c>
      <c r="S3008">
        <f t="shared" si="611"/>
        <v>317.00000000040001</v>
      </c>
      <c r="T3008"/>
      <c r="U3008">
        <f t="shared" si="612"/>
        <v>0</v>
      </c>
      <c r="V3008">
        <f t="shared" si="613"/>
        <v>317.00000000040001</v>
      </c>
      <c r="W3008">
        <f t="shared" si="614"/>
        <v>317.00000000040001</v>
      </c>
      <c r="X3008">
        <v>0</v>
      </c>
    </row>
    <row r="3009" spans="1:24" x14ac:dyDescent="0.25">
      <c r="A3009" t="s">
        <v>2025</v>
      </c>
      <c r="B3009" t="s">
        <v>2163</v>
      </c>
      <c r="C3009" t="s">
        <v>2164</v>
      </c>
      <c r="D3009" t="s">
        <v>305</v>
      </c>
      <c r="E3009" t="s">
        <v>33</v>
      </c>
      <c r="F3009" t="s">
        <v>1</v>
      </c>
      <c r="G3009" t="s">
        <v>1056</v>
      </c>
      <c r="H3009" t="s">
        <v>433</v>
      </c>
      <c r="I3009" t="s">
        <v>1</v>
      </c>
      <c r="J3009">
        <v>362.99</v>
      </c>
      <c r="K3009"/>
      <c r="L3009">
        <v>169.02</v>
      </c>
      <c r="M3009">
        <v>340.84143646408842</v>
      </c>
      <c r="N3009">
        <v>395.04</v>
      </c>
      <c r="O3009">
        <v>338.04</v>
      </c>
      <c r="P3009">
        <v>0</v>
      </c>
      <c r="Q3009">
        <f t="shared" si="610"/>
        <v>338.04</v>
      </c>
      <c r="R3009">
        <v>362.99</v>
      </c>
      <c r="S3009">
        <f t="shared" si="611"/>
        <v>24.949999999999989</v>
      </c>
      <c r="T3009"/>
      <c r="U3009">
        <f t="shared" si="612"/>
        <v>0</v>
      </c>
      <c r="V3009">
        <f t="shared" si="613"/>
        <v>362.99</v>
      </c>
      <c r="W3009">
        <f t="shared" si="614"/>
        <v>24.949999999999989</v>
      </c>
      <c r="X3009">
        <v>0</v>
      </c>
    </row>
    <row r="3010" spans="1:24" x14ac:dyDescent="0.25">
      <c r="A3010" t="s">
        <v>2025</v>
      </c>
      <c r="B3010" t="s">
        <v>2163</v>
      </c>
      <c r="C3010" t="s">
        <v>2164</v>
      </c>
      <c r="D3010" t="s">
        <v>305</v>
      </c>
      <c r="E3010" t="s">
        <v>34</v>
      </c>
      <c r="F3010" t="s">
        <v>1</v>
      </c>
      <c r="G3010" t="s">
        <v>1056</v>
      </c>
      <c r="H3010" t="s">
        <v>434</v>
      </c>
      <c r="I3010" t="s">
        <v>1</v>
      </c>
      <c r="J3010">
        <v>1931.49</v>
      </c>
      <c r="K3010">
        <v>2060.6005734191999</v>
      </c>
      <c r="L3010">
        <v>2284.75</v>
      </c>
      <c r="M3010">
        <v>4607.3687845303866</v>
      </c>
      <c r="N3010">
        <v>2939</v>
      </c>
      <c r="O3010">
        <v>4569.5</v>
      </c>
      <c r="P3010">
        <v>0</v>
      </c>
      <c r="Q3010">
        <f t="shared" si="610"/>
        <v>4569.5</v>
      </c>
      <c r="R3010">
        <v>2000</v>
      </c>
      <c r="S3010">
        <f t="shared" si="611"/>
        <v>-2569.5</v>
      </c>
      <c r="T3010"/>
      <c r="U3010">
        <f t="shared" si="612"/>
        <v>0</v>
      </c>
      <c r="V3010">
        <f t="shared" si="613"/>
        <v>2000</v>
      </c>
      <c r="W3010">
        <f t="shared" si="614"/>
        <v>-2569.5</v>
      </c>
      <c r="X3010">
        <v>0</v>
      </c>
    </row>
    <row r="3011" spans="1:24" x14ac:dyDescent="0.25">
      <c r="A3011" t="s">
        <v>2025</v>
      </c>
      <c r="B3011" t="s">
        <v>2163</v>
      </c>
      <c r="C3011" t="s">
        <v>2164</v>
      </c>
      <c r="D3011" t="s">
        <v>305</v>
      </c>
      <c r="E3011" t="s">
        <v>35</v>
      </c>
      <c r="F3011" t="s">
        <v>1</v>
      </c>
      <c r="G3011" t="s">
        <v>1056</v>
      </c>
      <c r="H3011" t="s">
        <v>435</v>
      </c>
      <c r="I3011" t="s">
        <v>1</v>
      </c>
      <c r="J3011">
        <v>1349.29</v>
      </c>
      <c r="K3011">
        <v>1110</v>
      </c>
      <c r="L3011">
        <v>766.54</v>
      </c>
      <c r="M3011">
        <v>1545.7850828729281</v>
      </c>
      <c r="N3011">
        <v>1441.93</v>
      </c>
      <c r="O3011">
        <v>1533.08</v>
      </c>
      <c r="P3011">
        <v>0</v>
      </c>
      <c r="Q3011">
        <f t="shared" si="610"/>
        <v>1533.08</v>
      </c>
      <c r="R3011">
        <v>1533.08</v>
      </c>
      <c r="S3011">
        <f t="shared" si="611"/>
        <v>0</v>
      </c>
      <c r="T3011"/>
      <c r="U3011">
        <f t="shared" si="612"/>
        <v>0</v>
      </c>
      <c r="V3011">
        <f t="shared" si="613"/>
        <v>1533.08</v>
      </c>
      <c r="W3011">
        <f t="shared" si="614"/>
        <v>0</v>
      </c>
      <c r="X3011">
        <v>0</v>
      </c>
    </row>
    <row r="3012" spans="1:24" x14ac:dyDescent="0.25">
      <c r="A3012" t="s">
        <v>2025</v>
      </c>
      <c r="B3012" t="s">
        <v>2163</v>
      </c>
      <c r="C3012" t="s">
        <v>2164</v>
      </c>
      <c r="D3012" t="s">
        <v>305</v>
      </c>
      <c r="E3012" t="s">
        <v>37</v>
      </c>
      <c r="F3012" t="s">
        <v>1</v>
      </c>
      <c r="G3012" t="s">
        <v>1056</v>
      </c>
      <c r="H3012" t="s">
        <v>437</v>
      </c>
      <c r="I3012" t="s">
        <v>1</v>
      </c>
      <c r="J3012">
        <v>4950.57</v>
      </c>
      <c r="K3012">
        <v>4906.1918339688</v>
      </c>
      <c r="L3012">
        <v>790.17</v>
      </c>
      <c r="M3012">
        <v>1593.4367403314918</v>
      </c>
      <c r="N3012">
        <v>4112.2699999999995</v>
      </c>
      <c r="O3012">
        <v>1580.34</v>
      </c>
      <c r="P3012">
        <v>0</v>
      </c>
      <c r="Q3012">
        <f t="shared" si="610"/>
        <v>1580.34</v>
      </c>
      <c r="R3012">
        <v>1280.44</v>
      </c>
      <c r="S3012">
        <f t="shared" si="611"/>
        <v>-299.89999999999986</v>
      </c>
      <c r="T3012"/>
      <c r="U3012">
        <f t="shared" si="612"/>
        <v>0</v>
      </c>
      <c r="V3012">
        <f t="shared" si="613"/>
        <v>1280.44</v>
      </c>
      <c r="W3012">
        <f t="shared" si="614"/>
        <v>-299.89999999999986</v>
      </c>
      <c r="X3012">
        <v>0</v>
      </c>
    </row>
    <row r="3013" spans="1:24" x14ac:dyDescent="0.25">
      <c r="A3013" t="s">
        <v>2025</v>
      </c>
      <c r="B3013" t="s">
        <v>2163</v>
      </c>
      <c r="C3013" t="s">
        <v>2164</v>
      </c>
      <c r="D3013" t="s">
        <v>305</v>
      </c>
      <c r="E3013" t="s">
        <v>121</v>
      </c>
      <c r="F3013" t="s">
        <v>1</v>
      </c>
      <c r="G3013" t="s">
        <v>1056</v>
      </c>
      <c r="H3013" t="s">
        <v>590</v>
      </c>
      <c r="I3013" t="s">
        <v>1</v>
      </c>
      <c r="J3013">
        <v>44517</v>
      </c>
      <c r="K3013">
        <v>3.9999959999999999E-4</v>
      </c>
      <c r="L3013">
        <v>0</v>
      </c>
      <c r="M3013">
        <v>0</v>
      </c>
      <c r="N3013">
        <v>9823</v>
      </c>
      <c r="O3013"/>
      <c r="P3013">
        <v>0</v>
      </c>
      <c r="Q3013">
        <f t="shared" si="610"/>
        <v>0</v>
      </c>
      <c r="R3013">
        <v>0</v>
      </c>
      <c r="S3013">
        <f t="shared" si="611"/>
        <v>0</v>
      </c>
      <c r="T3013"/>
      <c r="U3013">
        <f t="shared" si="612"/>
        <v>0</v>
      </c>
      <c r="V3013">
        <f t="shared" si="613"/>
        <v>0</v>
      </c>
      <c r="W3013">
        <f t="shared" si="614"/>
        <v>0</v>
      </c>
      <c r="X3013">
        <v>0</v>
      </c>
    </row>
    <row r="3014" spans="1:24" x14ac:dyDescent="0.25">
      <c r="A3014" t="s">
        <v>2025</v>
      </c>
      <c r="B3014" t="s">
        <v>2163</v>
      </c>
      <c r="C3014" t="s">
        <v>2164</v>
      </c>
      <c r="D3014" t="s">
        <v>305</v>
      </c>
      <c r="E3014" t="s">
        <v>205</v>
      </c>
      <c r="F3014" t="s">
        <v>1</v>
      </c>
      <c r="G3014" t="s">
        <v>1056</v>
      </c>
      <c r="H3014" t="s">
        <v>804</v>
      </c>
      <c r="I3014" t="s">
        <v>1</v>
      </c>
      <c r="J3014">
        <v>150046</v>
      </c>
      <c r="K3014">
        <v>154413.21620370299</v>
      </c>
      <c r="L3014">
        <v>13980</v>
      </c>
      <c r="M3014">
        <v>28191.71270718232</v>
      </c>
      <c r="N3014">
        <v>90487</v>
      </c>
      <c r="O3014">
        <v>28191.712707182302</v>
      </c>
      <c r="P3014">
        <v>0</v>
      </c>
      <c r="Q3014">
        <f t="shared" si="610"/>
        <v>28191.712707182302</v>
      </c>
      <c r="R3014">
        <v>90000</v>
      </c>
      <c r="S3014">
        <f t="shared" si="611"/>
        <v>61808.287292817695</v>
      </c>
      <c r="T3014">
        <v>2.2499999999999999E-2</v>
      </c>
      <c r="U3014">
        <f t="shared" si="612"/>
        <v>2025</v>
      </c>
      <c r="V3014">
        <f t="shared" si="613"/>
        <v>92025</v>
      </c>
      <c r="W3014">
        <f t="shared" si="614"/>
        <v>63833.287292817695</v>
      </c>
      <c r="X3014" t="s">
        <v>1790</v>
      </c>
    </row>
    <row r="3015" spans="1:24" x14ac:dyDescent="0.25">
      <c r="A3015" t="s">
        <v>2025</v>
      </c>
      <c r="B3015" t="s">
        <v>2163</v>
      </c>
      <c r="C3015" t="s">
        <v>2164</v>
      </c>
      <c r="D3015" t="s">
        <v>305</v>
      </c>
      <c r="E3015" t="s">
        <v>40</v>
      </c>
      <c r="F3015" t="s">
        <v>1</v>
      </c>
      <c r="G3015" t="s">
        <v>1056</v>
      </c>
      <c r="H3015" t="s">
        <v>440</v>
      </c>
      <c r="I3015" t="s">
        <v>1</v>
      </c>
      <c r="J3015">
        <v>1508.4</v>
      </c>
      <c r="K3015">
        <v>59178.9999999996</v>
      </c>
      <c r="L3015">
        <v>0</v>
      </c>
      <c r="M3015">
        <v>0</v>
      </c>
      <c r="N3015">
        <v>0</v>
      </c>
      <c r="O3015"/>
      <c r="P3015">
        <v>0</v>
      </c>
      <c r="Q3015">
        <f t="shared" si="610"/>
        <v>0</v>
      </c>
      <c r="R3015">
        <v>0</v>
      </c>
      <c r="S3015">
        <f t="shared" si="611"/>
        <v>0</v>
      </c>
      <c r="T3015">
        <v>0.03</v>
      </c>
      <c r="U3015">
        <f t="shared" si="612"/>
        <v>0</v>
      </c>
      <c r="V3015">
        <f t="shared" si="613"/>
        <v>0</v>
      </c>
      <c r="W3015">
        <f t="shared" si="614"/>
        <v>0</v>
      </c>
      <c r="X3015">
        <v>0</v>
      </c>
    </row>
    <row r="3016" spans="1:24" x14ac:dyDescent="0.25">
      <c r="A3016" t="s">
        <v>2025</v>
      </c>
      <c r="B3016" t="s">
        <v>2163</v>
      </c>
      <c r="C3016" t="s">
        <v>2164</v>
      </c>
      <c r="D3016" t="s">
        <v>305</v>
      </c>
      <c r="E3016" t="s">
        <v>76</v>
      </c>
      <c r="F3016" t="s">
        <v>1</v>
      </c>
      <c r="G3016" t="s">
        <v>1056</v>
      </c>
      <c r="H3016" t="s">
        <v>493</v>
      </c>
      <c r="I3016" t="s">
        <v>1</v>
      </c>
      <c r="J3016">
        <v>353494.46</v>
      </c>
      <c r="K3016">
        <v>353494</v>
      </c>
      <c r="L3016">
        <v>181258.94</v>
      </c>
      <c r="M3016">
        <v>365522.17182320444</v>
      </c>
      <c r="N3016">
        <v>353494.4599999999</v>
      </c>
      <c r="O3016">
        <v>362517.88</v>
      </c>
      <c r="P3016">
        <v>0</v>
      </c>
      <c r="Q3016">
        <f t="shared" si="610"/>
        <v>362517.88</v>
      </c>
      <c r="R3016">
        <v>344471.03999999998</v>
      </c>
      <c r="S3016">
        <f t="shared" si="611"/>
        <v>-18046.840000000026</v>
      </c>
      <c r="T3016">
        <v>0.03</v>
      </c>
      <c r="U3016">
        <f t="shared" si="612"/>
        <v>10334.1312</v>
      </c>
      <c r="V3016">
        <f t="shared" si="613"/>
        <v>354805.17119999998</v>
      </c>
      <c r="W3016">
        <f t="shared" si="614"/>
        <v>-7712.7088000000222</v>
      </c>
      <c r="X3016" t="s">
        <v>1791</v>
      </c>
    </row>
    <row r="3017" spans="1:24" x14ac:dyDescent="0.25">
      <c r="A3017" t="s">
        <v>2025</v>
      </c>
      <c r="B3017" t="s">
        <v>2163</v>
      </c>
      <c r="C3017" t="s">
        <v>2164</v>
      </c>
      <c r="D3017" t="s">
        <v>305</v>
      </c>
      <c r="E3017" t="s">
        <v>41</v>
      </c>
      <c r="F3017" t="s">
        <v>1</v>
      </c>
      <c r="G3017" t="s">
        <v>1056</v>
      </c>
      <c r="H3017" t="s">
        <v>441</v>
      </c>
      <c r="I3017" t="s">
        <v>1</v>
      </c>
      <c r="J3017">
        <v>5052.74</v>
      </c>
      <c r="K3017">
        <v>7903.6426053251998</v>
      </c>
      <c r="L3017">
        <v>2726.55</v>
      </c>
      <c r="M3017">
        <v>5498.2914364640892</v>
      </c>
      <c r="N3017">
        <v>3755.76</v>
      </c>
      <c r="O3017">
        <v>5453.1</v>
      </c>
      <c r="P3017">
        <v>0</v>
      </c>
      <c r="Q3017">
        <f t="shared" si="610"/>
        <v>5453.1</v>
      </c>
      <c r="R3017">
        <v>5453.1</v>
      </c>
      <c r="S3017">
        <f t="shared" si="611"/>
        <v>0</v>
      </c>
      <c r="T3017">
        <v>0.03</v>
      </c>
      <c r="U3017">
        <f t="shared" si="612"/>
        <v>163.59300000000002</v>
      </c>
      <c r="V3017">
        <f t="shared" si="613"/>
        <v>5616.6930000000002</v>
      </c>
      <c r="W3017">
        <f t="shared" si="614"/>
        <v>163.59299999999985</v>
      </c>
      <c r="X3017">
        <v>0</v>
      </c>
    </row>
    <row r="3018" spans="1:24" x14ac:dyDescent="0.25">
      <c r="A3018" t="s">
        <v>2025</v>
      </c>
      <c r="B3018" t="s">
        <v>2163</v>
      </c>
      <c r="C3018" t="s">
        <v>2164</v>
      </c>
      <c r="D3018" t="s">
        <v>305</v>
      </c>
      <c r="E3018" t="s">
        <v>42</v>
      </c>
      <c r="F3018" t="s">
        <v>1</v>
      </c>
      <c r="G3018" t="s">
        <v>1056</v>
      </c>
      <c r="H3018" t="s">
        <v>442</v>
      </c>
      <c r="I3018" t="s">
        <v>1</v>
      </c>
      <c r="J3018">
        <v>181238.33</v>
      </c>
      <c r="K3018">
        <v>249956.249873183</v>
      </c>
      <c r="L3018">
        <v>138849.63</v>
      </c>
      <c r="M3018">
        <v>280000.63508287293</v>
      </c>
      <c r="N3018">
        <v>165592.67000000001</v>
      </c>
      <c r="O3018">
        <v>277699.26</v>
      </c>
      <c r="P3018">
        <v>0</v>
      </c>
      <c r="Q3018">
        <f t="shared" si="610"/>
        <v>277699.26</v>
      </c>
      <c r="R3018">
        <v>249956.249873183</v>
      </c>
      <c r="S3018">
        <f t="shared" si="611"/>
        <v>-27743.010126817011</v>
      </c>
      <c r="T3018">
        <v>0.03</v>
      </c>
      <c r="U3018">
        <f t="shared" si="612"/>
        <v>7498.68749619549</v>
      </c>
      <c r="V3018">
        <f t="shared" si="613"/>
        <v>257454.93736937849</v>
      </c>
      <c r="W3018">
        <f t="shared" si="614"/>
        <v>-20244.322630621522</v>
      </c>
      <c r="X3018" t="s">
        <v>1792</v>
      </c>
    </row>
    <row r="3019" spans="1:24" x14ac:dyDescent="0.25">
      <c r="A3019" t="s">
        <v>2025</v>
      </c>
      <c r="B3019" t="s">
        <v>2163</v>
      </c>
      <c r="C3019" t="s">
        <v>2164</v>
      </c>
      <c r="D3019" t="s">
        <v>305</v>
      </c>
      <c r="E3019" t="s">
        <v>306</v>
      </c>
      <c r="F3019" t="s">
        <v>1</v>
      </c>
      <c r="G3019" t="s">
        <v>1056</v>
      </c>
      <c r="H3019" t="s">
        <v>1057</v>
      </c>
      <c r="I3019" t="s">
        <v>1</v>
      </c>
      <c r="J3019">
        <v>106.2</v>
      </c>
      <c r="K3019"/>
      <c r="L3019">
        <v>30.06</v>
      </c>
      <c r="M3019">
        <v>60.618232044198898</v>
      </c>
      <c r="N3019">
        <v>30.06</v>
      </c>
      <c r="O3019">
        <v>60.12</v>
      </c>
      <c r="P3019">
        <v>0</v>
      </c>
      <c r="Q3019">
        <f t="shared" si="610"/>
        <v>60.12</v>
      </c>
      <c r="R3019">
        <v>0</v>
      </c>
      <c r="S3019">
        <f t="shared" si="611"/>
        <v>-60.12</v>
      </c>
      <c r="T3019">
        <v>0.03</v>
      </c>
      <c r="U3019">
        <f t="shared" si="612"/>
        <v>0</v>
      </c>
      <c r="V3019">
        <f t="shared" si="613"/>
        <v>0</v>
      </c>
      <c r="W3019">
        <f t="shared" si="614"/>
        <v>-60.12</v>
      </c>
      <c r="X3019">
        <v>0</v>
      </c>
    </row>
    <row r="3020" spans="1:24" x14ac:dyDescent="0.25">
      <c r="A3020" t="s">
        <v>2025</v>
      </c>
      <c r="B3020" t="s">
        <v>2163</v>
      </c>
      <c r="C3020" t="s">
        <v>2164</v>
      </c>
      <c r="D3020" t="s">
        <v>305</v>
      </c>
      <c r="E3020" t="s">
        <v>43</v>
      </c>
      <c r="F3020" t="s">
        <v>1</v>
      </c>
      <c r="G3020" t="s">
        <v>1056</v>
      </c>
      <c r="H3020" t="s">
        <v>443</v>
      </c>
      <c r="I3020" t="s">
        <v>1</v>
      </c>
      <c r="J3020"/>
      <c r="K3020"/>
      <c r="L3020">
        <v>5078.6099999999997</v>
      </c>
      <c r="M3020">
        <v>10241.395856353591</v>
      </c>
      <c r="N3020">
        <v>5078.6099999999997</v>
      </c>
      <c r="O3020">
        <v>10157.219999999999</v>
      </c>
      <c r="P3020">
        <v>0</v>
      </c>
      <c r="Q3020">
        <f t="shared" si="610"/>
        <v>10157.219999999999</v>
      </c>
      <c r="R3020">
        <v>2000</v>
      </c>
      <c r="S3020">
        <f t="shared" si="611"/>
        <v>-8157.2199999999993</v>
      </c>
      <c r="T3020">
        <v>0.03</v>
      </c>
      <c r="U3020">
        <f t="shared" si="612"/>
        <v>60</v>
      </c>
      <c r="V3020">
        <f t="shared" si="613"/>
        <v>2060</v>
      </c>
      <c r="W3020">
        <f t="shared" si="614"/>
        <v>-8097.2199999999993</v>
      </c>
      <c r="X3020" t="s">
        <v>1793</v>
      </c>
    </row>
    <row r="3021" spans="1:24" x14ac:dyDescent="0.25">
      <c r="A3021" t="s">
        <v>2025</v>
      </c>
      <c r="B3021" t="s">
        <v>2163</v>
      </c>
      <c r="C3021" t="s">
        <v>2164</v>
      </c>
      <c r="D3021" t="s">
        <v>305</v>
      </c>
      <c r="E3021" t="s">
        <v>134</v>
      </c>
      <c r="F3021" t="s">
        <v>1</v>
      </c>
      <c r="G3021" t="s">
        <v>1056</v>
      </c>
      <c r="H3021" t="s">
        <v>623</v>
      </c>
      <c r="I3021" t="s">
        <v>1</v>
      </c>
      <c r="J3021">
        <v>6203.29</v>
      </c>
      <c r="K3021">
        <v>6831</v>
      </c>
      <c r="L3021">
        <v>3295.99</v>
      </c>
      <c r="M3021">
        <v>6646.6096685082866</v>
      </c>
      <c r="N3021">
        <v>5952.2000000000007</v>
      </c>
      <c r="O3021">
        <v>6591.98</v>
      </c>
      <c r="P3021">
        <v>0</v>
      </c>
      <c r="Q3021">
        <f t="shared" si="610"/>
        <v>6591.98</v>
      </c>
      <c r="R3021">
        <v>6591.98</v>
      </c>
      <c r="S3021">
        <f t="shared" si="611"/>
        <v>0</v>
      </c>
      <c r="T3021">
        <v>0.03</v>
      </c>
      <c r="U3021">
        <f t="shared" si="612"/>
        <v>197.75939999999997</v>
      </c>
      <c r="V3021">
        <f t="shared" si="613"/>
        <v>6789.7393999999995</v>
      </c>
      <c r="W3021">
        <f t="shared" si="614"/>
        <v>197.75939999999991</v>
      </c>
      <c r="X3021" t="s">
        <v>1794</v>
      </c>
    </row>
    <row r="3022" spans="1:24" x14ac:dyDescent="0.25">
      <c r="A3022" t="s">
        <v>2025</v>
      </c>
      <c r="B3022" t="s">
        <v>2163</v>
      </c>
      <c r="C3022" t="s">
        <v>2164</v>
      </c>
      <c r="D3022" t="s">
        <v>305</v>
      </c>
      <c r="E3022" t="s">
        <v>46</v>
      </c>
      <c r="F3022" t="s">
        <v>1</v>
      </c>
      <c r="G3022" t="s">
        <v>1056</v>
      </c>
      <c r="H3022" t="s">
        <v>446</v>
      </c>
      <c r="I3022" t="s">
        <v>1</v>
      </c>
      <c r="J3022">
        <v>23266.84</v>
      </c>
      <c r="K3022">
        <v>18300</v>
      </c>
      <c r="L3022">
        <v>18246.18</v>
      </c>
      <c r="M3022">
        <v>36794.782872928175</v>
      </c>
      <c r="N3022">
        <v>28949.079999999998</v>
      </c>
      <c r="O3022">
        <v>36492.36</v>
      </c>
      <c r="P3022">
        <v>0</v>
      </c>
      <c r="Q3022">
        <f t="shared" si="610"/>
        <v>36492.36</v>
      </c>
      <c r="R3022">
        <v>18299.760000000002</v>
      </c>
      <c r="S3022">
        <f t="shared" si="611"/>
        <v>-18192.599999999999</v>
      </c>
      <c r="T3022">
        <v>0.03</v>
      </c>
      <c r="U3022">
        <f t="shared" si="612"/>
        <v>548.99279999999999</v>
      </c>
      <c r="V3022">
        <f t="shared" si="613"/>
        <v>18848.752800000002</v>
      </c>
      <c r="W3022">
        <f t="shared" si="614"/>
        <v>-17643.607199999999</v>
      </c>
      <c r="X3022" t="s">
        <v>1795</v>
      </c>
    </row>
    <row r="3023" spans="1:24" x14ac:dyDescent="0.25">
      <c r="A3023" t="s">
        <v>2025</v>
      </c>
      <c r="B3023" t="s">
        <v>2163</v>
      </c>
      <c r="C3023" t="s">
        <v>2164</v>
      </c>
      <c r="D3023" t="s">
        <v>305</v>
      </c>
      <c r="E3023" t="s">
        <v>47</v>
      </c>
      <c r="F3023" t="s">
        <v>1</v>
      </c>
      <c r="G3023" t="s">
        <v>1056</v>
      </c>
      <c r="H3023" t="s">
        <v>447</v>
      </c>
      <c r="I3023" t="s">
        <v>1</v>
      </c>
      <c r="J3023">
        <v>3026.81</v>
      </c>
      <c r="K3023">
        <v>3741.9999999995998</v>
      </c>
      <c r="L3023">
        <v>102.5</v>
      </c>
      <c r="M3023">
        <v>206.69889502762433</v>
      </c>
      <c r="N3023">
        <v>2040</v>
      </c>
      <c r="O3023">
        <v>205</v>
      </c>
      <c r="P3023">
        <v>0</v>
      </c>
      <c r="Q3023">
        <f t="shared" si="610"/>
        <v>205</v>
      </c>
      <c r="R3023">
        <v>3026.81</v>
      </c>
      <c r="S3023">
        <f t="shared" si="611"/>
        <v>2821.81</v>
      </c>
      <c r="T3023">
        <v>0.03</v>
      </c>
      <c r="U3023">
        <f t="shared" si="612"/>
        <v>90.804299999999998</v>
      </c>
      <c r="V3023">
        <f t="shared" si="613"/>
        <v>3117.6142999999997</v>
      </c>
      <c r="W3023">
        <f t="shared" si="614"/>
        <v>2912.6142999999997</v>
      </c>
      <c r="X3023">
        <v>0</v>
      </c>
    </row>
    <row r="3024" spans="1:24" x14ac:dyDescent="0.25">
      <c r="A3024" t="s">
        <v>2025</v>
      </c>
      <c r="B3024" t="s">
        <v>2163</v>
      </c>
      <c r="C3024" t="s">
        <v>2164</v>
      </c>
      <c r="D3024" t="s">
        <v>305</v>
      </c>
      <c r="E3024" t="s">
        <v>48</v>
      </c>
      <c r="F3024" t="s">
        <v>1</v>
      </c>
      <c r="G3024" t="s">
        <v>1056</v>
      </c>
      <c r="H3024" t="s">
        <v>448</v>
      </c>
      <c r="I3024" t="s">
        <v>1</v>
      </c>
      <c r="J3024">
        <v>11314.85</v>
      </c>
      <c r="K3024">
        <v>9666</v>
      </c>
      <c r="L3024">
        <v>1568.03</v>
      </c>
      <c r="M3024">
        <v>3162.0494475138116</v>
      </c>
      <c r="N3024">
        <v>7372.06</v>
      </c>
      <c r="O3024">
        <v>3136.06</v>
      </c>
      <c r="P3024">
        <v>0</v>
      </c>
      <c r="Q3024">
        <f t="shared" si="610"/>
        <v>3136.06</v>
      </c>
      <c r="R3024">
        <v>3136.06</v>
      </c>
      <c r="S3024">
        <f t="shared" si="611"/>
        <v>0</v>
      </c>
      <c r="T3024">
        <v>0.03</v>
      </c>
      <c r="U3024">
        <f t="shared" si="612"/>
        <v>94.081800000000001</v>
      </c>
      <c r="V3024">
        <f t="shared" si="613"/>
        <v>3230.1417999999999</v>
      </c>
      <c r="W3024">
        <f t="shared" si="614"/>
        <v>94.08179999999993</v>
      </c>
      <c r="X3024">
        <v>0</v>
      </c>
    </row>
    <row r="3025" spans="1:24" x14ac:dyDescent="0.25">
      <c r="A3025" t="s">
        <v>2025</v>
      </c>
      <c r="B3025" t="s">
        <v>2163</v>
      </c>
      <c r="C3025" t="s">
        <v>2164</v>
      </c>
      <c r="D3025" t="s">
        <v>305</v>
      </c>
      <c r="E3025" t="s">
        <v>101</v>
      </c>
      <c r="F3025" t="s">
        <v>1</v>
      </c>
      <c r="G3025" t="s">
        <v>1056</v>
      </c>
      <c r="H3025" t="s">
        <v>550</v>
      </c>
      <c r="I3025" t="s">
        <v>1</v>
      </c>
      <c r="J3025">
        <v>513.16</v>
      </c>
      <c r="K3025"/>
      <c r="L3025">
        <v>0</v>
      </c>
      <c r="M3025">
        <v>0</v>
      </c>
      <c r="N3025">
        <v>0</v>
      </c>
      <c r="O3025"/>
      <c r="P3025">
        <v>0</v>
      </c>
      <c r="Q3025">
        <f t="shared" si="610"/>
        <v>0</v>
      </c>
      <c r="R3025">
        <v>0</v>
      </c>
      <c r="S3025">
        <f t="shared" si="611"/>
        <v>0</v>
      </c>
      <c r="T3025">
        <v>0.03</v>
      </c>
      <c r="U3025">
        <f t="shared" si="612"/>
        <v>0</v>
      </c>
      <c r="V3025">
        <f t="shared" si="613"/>
        <v>0</v>
      </c>
      <c r="W3025">
        <f t="shared" si="614"/>
        <v>0</v>
      </c>
      <c r="X3025">
        <v>0</v>
      </c>
    </row>
    <row r="3026" spans="1:24" x14ac:dyDescent="0.25">
      <c r="A3026" t="s">
        <v>2025</v>
      </c>
      <c r="B3026" t="s">
        <v>2163</v>
      </c>
      <c r="C3026" t="s">
        <v>2164</v>
      </c>
      <c r="D3026" t="s">
        <v>305</v>
      </c>
      <c r="E3026" t="s">
        <v>282</v>
      </c>
      <c r="F3026" t="s">
        <v>1</v>
      </c>
      <c r="G3026" t="s">
        <v>1056</v>
      </c>
      <c r="H3026" t="s">
        <v>995</v>
      </c>
      <c r="I3026" t="s">
        <v>1</v>
      </c>
      <c r="J3026">
        <v>7944</v>
      </c>
      <c r="K3026">
        <v>6456</v>
      </c>
      <c r="L3026">
        <v>3804</v>
      </c>
      <c r="M3026">
        <v>7671.0497237569052</v>
      </c>
      <c r="N3026">
        <v>6494</v>
      </c>
      <c r="O3026">
        <v>7608</v>
      </c>
      <c r="P3026">
        <v>0</v>
      </c>
      <c r="Q3026">
        <f t="shared" si="610"/>
        <v>7608</v>
      </c>
      <c r="R3026">
        <v>6684</v>
      </c>
      <c r="S3026">
        <f t="shared" si="611"/>
        <v>-924</v>
      </c>
      <c r="T3026">
        <v>0.03</v>
      </c>
      <c r="U3026">
        <f t="shared" si="612"/>
        <v>200.51999999999998</v>
      </c>
      <c r="V3026">
        <f t="shared" si="613"/>
        <v>6884.52</v>
      </c>
      <c r="W3026">
        <f t="shared" si="614"/>
        <v>-723.47999999999956</v>
      </c>
      <c r="X3026" t="s">
        <v>1796</v>
      </c>
    </row>
    <row r="3027" spans="1:24" x14ac:dyDescent="0.25">
      <c r="A3027" t="s">
        <v>2025</v>
      </c>
      <c r="B3027" t="s">
        <v>2163</v>
      </c>
      <c r="C3027" t="s">
        <v>2164</v>
      </c>
      <c r="D3027" t="s">
        <v>305</v>
      </c>
      <c r="E3027" t="s">
        <v>183</v>
      </c>
      <c r="F3027" t="s">
        <v>1</v>
      </c>
      <c r="G3027" t="s">
        <v>1056</v>
      </c>
      <c r="H3027" t="s">
        <v>754</v>
      </c>
      <c r="I3027" t="s">
        <v>1</v>
      </c>
      <c r="J3027">
        <v>6513.39</v>
      </c>
      <c r="K3027">
        <v>10520.0000000004</v>
      </c>
      <c r="L3027">
        <v>0</v>
      </c>
      <c r="M3027">
        <v>0</v>
      </c>
      <c r="N3027">
        <v>9551.7100000000009</v>
      </c>
      <c r="O3027"/>
      <c r="P3027">
        <v>0</v>
      </c>
      <c r="Q3027">
        <f t="shared" si="610"/>
        <v>0</v>
      </c>
      <c r="R3027">
        <v>0</v>
      </c>
      <c r="S3027">
        <f t="shared" si="611"/>
        <v>0</v>
      </c>
      <c r="T3027">
        <v>0.03</v>
      </c>
      <c r="U3027">
        <f t="shared" si="612"/>
        <v>0</v>
      </c>
      <c r="V3027">
        <f t="shared" si="613"/>
        <v>0</v>
      </c>
      <c r="W3027">
        <f t="shared" si="614"/>
        <v>0</v>
      </c>
      <c r="X3027" t="s">
        <v>1797</v>
      </c>
    </row>
    <row r="3028" spans="1:24" x14ac:dyDescent="0.25">
      <c r="A3028" t="s">
        <v>2025</v>
      </c>
      <c r="B3028" t="s">
        <v>2163</v>
      </c>
      <c r="C3028" t="s">
        <v>2164</v>
      </c>
      <c r="D3028" t="s">
        <v>305</v>
      </c>
      <c r="E3028" t="s">
        <v>109</v>
      </c>
      <c r="F3028" t="s">
        <v>1</v>
      </c>
      <c r="G3028" t="s">
        <v>1056</v>
      </c>
      <c r="H3028" t="s">
        <v>566</v>
      </c>
      <c r="I3028" t="s">
        <v>1</v>
      </c>
      <c r="J3028">
        <v>60.88</v>
      </c>
      <c r="K3028"/>
      <c r="L3028">
        <v>0</v>
      </c>
      <c r="M3028">
        <v>0</v>
      </c>
      <c r="N3028">
        <v>0</v>
      </c>
      <c r="O3028"/>
      <c r="P3028">
        <v>0</v>
      </c>
      <c r="Q3028">
        <f t="shared" si="610"/>
        <v>0</v>
      </c>
      <c r="R3028">
        <v>0</v>
      </c>
      <c r="S3028">
        <f t="shared" si="611"/>
        <v>0</v>
      </c>
      <c r="T3028"/>
      <c r="U3028">
        <f t="shared" si="612"/>
        <v>0</v>
      </c>
      <c r="V3028">
        <f t="shared" si="613"/>
        <v>0</v>
      </c>
      <c r="W3028">
        <f t="shared" si="614"/>
        <v>0</v>
      </c>
      <c r="X3028">
        <v>0</v>
      </c>
    </row>
    <row r="3029" spans="1:24" x14ac:dyDescent="0.25">
      <c r="A3029" t="s">
        <v>2025</v>
      </c>
      <c r="B3029" t="s">
        <v>2163</v>
      </c>
      <c r="C3029" t="s">
        <v>2164</v>
      </c>
      <c r="D3029" t="s">
        <v>305</v>
      </c>
      <c r="E3029" t="s">
        <v>307</v>
      </c>
      <c r="F3029" t="s">
        <v>1</v>
      </c>
      <c r="G3029" t="s">
        <v>1056</v>
      </c>
      <c r="H3029" t="s">
        <v>1058</v>
      </c>
      <c r="I3029" t="s">
        <v>1</v>
      </c>
      <c r="J3029">
        <v>505.28</v>
      </c>
      <c r="K3029"/>
      <c r="L3029">
        <v>469.47</v>
      </c>
      <c r="M3029">
        <v>946.72127071823206</v>
      </c>
      <c r="N3029">
        <v>974.75</v>
      </c>
      <c r="O3029">
        <v>946.7212707182</v>
      </c>
      <c r="P3029">
        <v>0</v>
      </c>
      <c r="Q3029">
        <f t="shared" si="610"/>
        <v>946.7212707182</v>
      </c>
      <c r="R3029">
        <v>946.7212707182</v>
      </c>
      <c r="S3029">
        <f t="shared" si="611"/>
        <v>0</v>
      </c>
      <c r="T3029"/>
      <c r="U3029">
        <f t="shared" si="612"/>
        <v>0</v>
      </c>
      <c r="V3029">
        <f t="shared" si="613"/>
        <v>946.7212707182</v>
      </c>
      <c r="W3029">
        <f t="shared" si="614"/>
        <v>0</v>
      </c>
      <c r="X3029">
        <v>0</v>
      </c>
    </row>
    <row r="3030" spans="1:24" x14ac:dyDescent="0.25">
      <c r="A3030" t="s">
        <v>2025</v>
      </c>
      <c r="B3030" t="s">
        <v>2163</v>
      </c>
      <c r="C3030" t="s">
        <v>2164</v>
      </c>
      <c r="D3030" t="s">
        <v>305</v>
      </c>
      <c r="E3030" t="s">
        <v>49</v>
      </c>
      <c r="F3030" t="s">
        <v>1</v>
      </c>
      <c r="G3030" t="s">
        <v>1056</v>
      </c>
      <c r="H3030" t="s">
        <v>449</v>
      </c>
      <c r="I3030" t="s">
        <v>1</v>
      </c>
      <c r="J3030">
        <v>1565.41</v>
      </c>
      <c r="K3030">
        <v>1710</v>
      </c>
      <c r="L3030">
        <v>0</v>
      </c>
      <c r="M3030">
        <v>0</v>
      </c>
      <c r="N3030">
        <v>1280.79</v>
      </c>
      <c r="O3030"/>
      <c r="P3030">
        <v>0</v>
      </c>
      <c r="Q3030">
        <f t="shared" si="610"/>
        <v>0</v>
      </c>
      <c r="R3030">
        <v>1707.72</v>
      </c>
      <c r="S3030">
        <f t="shared" si="611"/>
        <v>1707.72</v>
      </c>
      <c r="T3030"/>
      <c r="U3030">
        <f t="shared" si="612"/>
        <v>0</v>
      </c>
      <c r="V3030">
        <f t="shared" si="613"/>
        <v>1707.72</v>
      </c>
      <c r="W3030">
        <f t="shared" si="614"/>
        <v>1707.72</v>
      </c>
      <c r="X3030" t="s">
        <v>1798</v>
      </c>
    </row>
    <row r="3031" spans="1:24" x14ac:dyDescent="0.25">
      <c r="A3031" t="s">
        <v>2025</v>
      </c>
      <c r="B3031" t="s">
        <v>2163</v>
      </c>
      <c r="C3031" t="s">
        <v>2164</v>
      </c>
      <c r="D3031" t="s">
        <v>305</v>
      </c>
      <c r="E3031" t="s">
        <v>50</v>
      </c>
      <c r="F3031" t="s">
        <v>1</v>
      </c>
      <c r="G3031" t="s">
        <v>1056</v>
      </c>
      <c r="H3031" t="s">
        <v>450</v>
      </c>
      <c r="I3031" t="s">
        <v>1</v>
      </c>
      <c r="J3031">
        <v>3515.99</v>
      </c>
      <c r="K3031">
        <v>3380.0000000004002</v>
      </c>
      <c r="L3031">
        <v>2335.33</v>
      </c>
      <c r="M3031">
        <v>4709.3671270718232</v>
      </c>
      <c r="N3031">
        <v>4035.31</v>
      </c>
      <c r="O3031">
        <v>4709.3671270717996</v>
      </c>
      <c r="P3031">
        <v>0</v>
      </c>
      <c r="Q3031">
        <f t="shared" si="610"/>
        <v>4709.3671270717996</v>
      </c>
      <c r="R3031">
        <v>3380.0000000004002</v>
      </c>
      <c r="S3031">
        <f t="shared" si="611"/>
        <v>-1329.3671270713994</v>
      </c>
      <c r="T3031"/>
      <c r="U3031">
        <f t="shared" si="612"/>
        <v>0</v>
      </c>
      <c r="V3031">
        <f t="shared" si="613"/>
        <v>3380.0000000004002</v>
      </c>
      <c r="W3031">
        <f t="shared" si="614"/>
        <v>-1329.3671270713994</v>
      </c>
      <c r="X3031">
        <v>0</v>
      </c>
    </row>
    <row r="3032" spans="1:24" x14ac:dyDescent="0.25">
      <c r="A3032" t="s">
        <v>2025</v>
      </c>
      <c r="B3032" t="s">
        <v>2163</v>
      </c>
      <c r="C3032" t="s">
        <v>2164</v>
      </c>
      <c r="D3032" t="s">
        <v>305</v>
      </c>
      <c r="E3032" t="s">
        <v>308</v>
      </c>
      <c r="F3032" t="s">
        <v>1</v>
      </c>
      <c r="G3032" t="s">
        <v>1056</v>
      </c>
      <c r="H3032" t="s">
        <v>1059</v>
      </c>
      <c r="I3032" t="s">
        <v>1</v>
      </c>
      <c r="J3032">
        <v>381.57</v>
      </c>
      <c r="K3032"/>
      <c r="L3032">
        <v>199.08</v>
      </c>
      <c r="M3032">
        <v>401.45966850828728</v>
      </c>
      <c r="N3032">
        <v>580.65</v>
      </c>
      <c r="O3032">
        <v>401.45966850830001</v>
      </c>
      <c r="P3032">
        <v>0</v>
      </c>
      <c r="Q3032">
        <f t="shared" si="610"/>
        <v>401.45966850830001</v>
      </c>
      <c r="R3032">
        <v>401.45966850830001</v>
      </c>
      <c r="S3032">
        <f t="shared" si="611"/>
        <v>0</v>
      </c>
      <c r="T3032"/>
      <c r="U3032">
        <f t="shared" si="612"/>
        <v>0</v>
      </c>
      <c r="V3032">
        <f t="shared" si="613"/>
        <v>401.45966850830001</v>
      </c>
      <c r="W3032">
        <f t="shared" si="614"/>
        <v>0</v>
      </c>
      <c r="X3032">
        <v>0</v>
      </c>
    </row>
    <row r="3033" spans="1:24" x14ac:dyDescent="0.25">
      <c r="A3033" t="s">
        <v>2025</v>
      </c>
      <c r="B3033" t="s">
        <v>2163</v>
      </c>
      <c r="C3033" t="s">
        <v>2164</v>
      </c>
      <c r="D3033" t="s">
        <v>305</v>
      </c>
      <c r="E3033" t="s">
        <v>51</v>
      </c>
      <c r="F3033" t="s">
        <v>51</v>
      </c>
      <c r="G3033" t="s">
        <v>1060</v>
      </c>
      <c r="H3033"/>
      <c r="I3033"/>
      <c r="J3033">
        <v>1480584.6099999999</v>
      </c>
      <c r="K3033">
        <v>1606440.2383346751</v>
      </c>
      <c r="L3033">
        <v>816573.5</v>
      </c>
      <c r="M3033">
        <v>1646681.3674033149</v>
      </c>
      <c r="N3033">
        <v>1488586.36</v>
      </c>
      <c r="O3033">
        <v>1637025.9603788478</v>
      </c>
      <c r="P3033">
        <f>SUMIF($F$2984:$F$3032,"&lt;&gt;EV_*",$P$2984:$P$3032)</f>
        <v>0</v>
      </c>
      <c r="Q3033">
        <f>SUMIF($F$2984:$F$3032,"&lt;&gt;EV_*",$Q$2984:$Q$3032)</f>
        <v>1637025.9603788478</v>
      </c>
      <c r="R3033">
        <f>SUMIF($F$2984:$F$3032,"&lt;&gt;EV_*",$R$2984:$R$3032)</f>
        <v>1631030.9679151608</v>
      </c>
      <c r="S3033">
        <f>SUMIF($F$2984:$F$3032,"&lt;&gt;EV_*",$S$2984:$S$3032)</f>
        <v>-5994.9924636867399</v>
      </c>
      <c r="T3033">
        <v>0</v>
      </c>
      <c r="U3033">
        <f>SUMIF($F$2984:$F$3032,"&lt;&gt;EV_*",$U$2984:$U$3032)</f>
        <v>42931.571272866604</v>
      </c>
      <c r="V3033">
        <f>SUMIF($F$2984:$F$3032,"&lt;&gt;EV_*",$V$2984:$V$3032)</f>
        <v>1673962.5391880274</v>
      </c>
      <c r="W3033">
        <f>SUMIF($F$2984:$F$3032,"&lt;&gt;EV_*",$W$2984:$W$3032)</f>
        <v>36936.57880917989</v>
      </c>
      <c r="X3033">
        <f>SUMIF($F$2984:$F$3032,"&lt;&gt;EV_*",$X$2984:$X$3032)</f>
        <v>0</v>
      </c>
    </row>
    <row r="3034" spans="1:24" x14ac:dyDescent="0.25">
      <c r="A3034" t="s">
        <v>1948</v>
      </c>
      <c r="B3034" t="s">
        <v>2076</v>
      </c>
      <c r="C3034" t="s">
        <v>2165</v>
      </c>
      <c r="D3034" t="s">
        <v>309</v>
      </c>
      <c r="E3034" t="s">
        <v>5</v>
      </c>
      <c r="F3034" t="s">
        <v>5</v>
      </c>
      <c r="G3034" t="s">
        <v>1061</v>
      </c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</row>
    <row r="3035" spans="1:24" x14ac:dyDescent="0.25">
      <c r="A3035" t="s">
        <v>1948</v>
      </c>
      <c r="B3035" t="s">
        <v>2076</v>
      </c>
      <c r="C3035" t="s">
        <v>2165</v>
      </c>
      <c r="D3035" t="s">
        <v>309</v>
      </c>
      <c r="E3035" t="s">
        <v>11</v>
      </c>
      <c r="F3035" t="s">
        <v>1</v>
      </c>
      <c r="G3035" t="s">
        <v>1062</v>
      </c>
      <c r="H3035" t="s">
        <v>411</v>
      </c>
      <c r="I3035" t="s">
        <v>1</v>
      </c>
      <c r="J3035">
        <v>294.66000000000003</v>
      </c>
      <c r="K3035"/>
      <c r="L3035">
        <v>442.21</v>
      </c>
      <c r="M3035">
        <v>891.74944751381213</v>
      </c>
      <c r="N3035">
        <v>736.87</v>
      </c>
      <c r="O3035">
        <v>884.42</v>
      </c>
      <c r="P3035">
        <v>0</v>
      </c>
      <c r="Q3035">
        <f t="shared" ref="Q3035:Q3066" si="615">O3035+P3035</f>
        <v>884.42</v>
      </c>
      <c r="R3035">
        <v>884.42</v>
      </c>
      <c r="S3035">
        <f t="shared" ref="S3035:S3066" si="616">IF(OR(LEFT(E3035,2)="A_",LEFT(D3035,5)="Total"),R3035-Q3035,"")</f>
        <v>0</v>
      </c>
      <c r="T3035"/>
      <c r="U3035">
        <f t="shared" ref="U3035:U3066" si="617">IFERROR(R3035*T3035,R3035*0)</f>
        <v>0</v>
      </c>
      <c r="V3035">
        <f t="shared" ref="V3035:V3066" si="618">IF(OR(LEFT(E3035,2)="A_",LEFT(D3035,5)="Total"),R3035+U3035,"")</f>
        <v>884.42</v>
      </c>
      <c r="W3035">
        <f t="shared" ref="W3035:W3066" si="619">IF(OR(LEFT(E3035,2)="A_",LEFT(D3035,5)="Total"),V3035-Q3035,"")</f>
        <v>0</v>
      </c>
      <c r="X3035" t="s">
        <v>1799</v>
      </c>
    </row>
    <row r="3036" spans="1:24" x14ac:dyDescent="0.25">
      <c r="A3036" t="s">
        <v>1948</v>
      </c>
      <c r="B3036" t="s">
        <v>2076</v>
      </c>
      <c r="C3036" t="s">
        <v>2165</v>
      </c>
      <c r="D3036" t="s">
        <v>309</v>
      </c>
      <c r="E3036" t="s">
        <v>65</v>
      </c>
      <c r="F3036" t="s">
        <v>1</v>
      </c>
      <c r="G3036" t="s">
        <v>1062</v>
      </c>
      <c r="H3036" t="s">
        <v>476</v>
      </c>
      <c r="I3036" t="s">
        <v>1</v>
      </c>
      <c r="J3036">
        <v>-370.09</v>
      </c>
      <c r="K3036"/>
      <c r="L3036">
        <v>-182.33</v>
      </c>
      <c r="M3036">
        <v>-367.68204419889503</v>
      </c>
      <c r="N3036">
        <v>-278.76</v>
      </c>
      <c r="O3036">
        <v>-366.66362637359998</v>
      </c>
      <c r="P3036">
        <v>0</v>
      </c>
      <c r="Q3036">
        <f t="shared" si="615"/>
        <v>-366.66362637359998</v>
      </c>
      <c r="R3036">
        <v>-366.66362637359998</v>
      </c>
      <c r="S3036">
        <f t="shared" si="616"/>
        <v>0</v>
      </c>
      <c r="T3036"/>
      <c r="U3036">
        <f t="shared" si="617"/>
        <v>0</v>
      </c>
      <c r="V3036">
        <f t="shared" si="618"/>
        <v>-366.66362637359998</v>
      </c>
      <c r="W3036">
        <f t="shared" si="619"/>
        <v>0</v>
      </c>
      <c r="X3036">
        <v>0</v>
      </c>
    </row>
    <row r="3037" spans="1:24" x14ac:dyDescent="0.25">
      <c r="A3037" t="s">
        <v>1948</v>
      </c>
      <c r="B3037" t="s">
        <v>2076</v>
      </c>
      <c r="C3037" t="s">
        <v>2165</v>
      </c>
      <c r="D3037" t="s">
        <v>309</v>
      </c>
      <c r="E3037" t="s">
        <v>17</v>
      </c>
      <c r="F3037" t="s">
        <v>1</v>
      </c>
      <c r="G3037" t="s">
        <v>1062</v>
      </c>
      <c r="H3037" t="s">
        <v>417</v>
      </c>
      <c r="I3037" t="s">
        <v>1</v>
      </c>
      <c r="J3037">
        <v>-25391.37</v>
      </c>
      <c r="K3037">
        <v>-33810.000000000102</v>
      </c>
      <c r="L3037">
        <v>-12779</v>
      </c>
      <c r="M3037">
        <v>-25769.806629834253</v>
      </c>
      <c r="N3037">
        <v>-29063.699999999997</v>
      </c>
      <c r="O3037">
        <v>-25698.428571428602</v>
      </c>
      <c r="P3037">
        <v>0</v>
      </c>
      <c r="Q3037">
        <f t="shared" si="615"/>
        <v>-25698.428571428602</v>
      </c>
      <c r="R3037">
        <v>-25698.428571428602</v>
      </c>
      <c r="S3037">
        <f t="shared" si="616"/>
        <v>0</v>
      </c>
      <c r="T3037"/>
      <c r="U3037">
        <f t="shared" si="617"/>
        <v>0</v>
      </c>
      <c r="V3037">
        <f t="shared" si="618"/>
        <v>-25698.428571428602</v>
      </c>
      <c r="W3037">
        <f t="shared" si="619"/>
        <v>0</v>
      </c>
      <c r="X3037">
        <v>0</v>
      </c>
    </row>
    <row r="3038" spans="1:24" x14ac:dyDescent="0.25">
      <c r="A3038" t="s">
        <v>1948</v>
      </c>
      <c r="B3038" t="s">
        <v>2076</v>
      </c>
      <c r="C3038" t="s">
        <v>2165</v>
      </c>
      <c r="D3038" t="s">
        <v>309</v>
      </c>
      <c r="E3038" t="s">
        <v>82</v>
      </c>
      <c r="F3038" t="s">
        <v>1</v>
      </c>
      <c r="G3038" t="s">
        <v>1062</v>
      </c>
      <c r="H3038" t="s">
        <v>507</v>
      </c>
      <c r="I3038" t="s">
        <v>1</v>
      </c>
      <c r="J3038">
        <v>3604.14</v>
      </c>
      <c r="K3038">
        <v>4118.8069012346996</v>
      </c>
      <c r="L3038">
        <v>1176.08</v>
      </c>
      <c r="M3038">
        <v>2371.6530386740333</v>
      </c>
      <c r="N3038">
        <v>3128.84</v>
      </c>
      <c r="O3038">
        <v>2365.0839560439999</v>
      </c>
      <c r="P3038">
        <v>0</v>
      </c>
      <c r="Q3038">
        <f t="shared" si="615"/>
        <v>2365.0839560439999</v>
      </c>
      <c r="R3038">
        <v>2365.0839560439999</v>
      </c>
      <c r="S3038">
        <f t="shared" si="616"/>
        <v>0</v>
      </c>
      <c r="T3038">
        <v>2.75E-2</v>
      </c>
      <c r="U3038">
        <f t="shared" si="617"/>
        <v>65.039808791209992</v>
      </c>
      <c r="V3038">
        <f t="shared" si="618"/>
        <v>2430.1237648352098</v>
      </c>
      <c r="W3038">
        <f t="shared" si="619"/>
        <v>65.039808791209907</v>
      </c>
      <c r="X3038">
        <v>0</v>
      </c>
    </row>
    <row r="3039" spans="1:24" x14ac:dyDescent="0.25">
      <c r="A3039" t="s">
        <v>1948</v>
      </c>
      <c r="B3039" t="s">
        <v>2076</v>
      </c>
      <c r="C3039" t="s">
        <v>2165</v>
      </c>
      <c r="D3039" t="s">
        <v>309</v>
      </c>
      <c r="E3039" t="s">
        <v>72</v>
      </c>
      <c r="F3039" t="s">
        <v>1</v>
      </c>
      <c r="G3039" t="s">
        <v>1062</v>
      </c>
      <c r="H3039" t="s">
        <v>489</v>
      </c>
      <c r="I3039" t="s">
        <v>1</v>
      </c>
      <c r="J3039">
        <v>757.9</v>
      </c>
      <c r="K3039"/>
      <c r="L3039">
        <v>434.18</v>
      </c>
      <c r="M3039">
        <v>875.55635359116025</v>
      </c>
      <c r="N3039">
        <v>809.59999999999991</v>
      </c>
      <c r="O3039">
        <v>873.13120879120004</v>
      </c>
      <c r="P3039">
        <v>0</v>
      </c>
      <c r="Q3039">
        <f t="shared" si="615"/>
        <v>873.13120879120004</v>
      </c>
      <c r="R3039">
        <v>873.13120879120004</v>
      </c>
      <c r="S3039">
        <f t="shared" si="616"/>
        <v>0</v>
      </c>
      <c r="T3039">
        <v>2.2499999999999999E-2</v>
      </c>
      <c r="U3039">
        <f t="shared" si="617"/>
        <v>19.645452197802001</v>
      </c>
      <c r="V3039">
        <f t="shared" si="618"/>
        <v>892.77666098900204</v>
      </c>
      <c r="W3039">
        <f t="shared" si="619"/>
        <v>19.645452197802001</v>
      </c>
      <c r="X3039">
        <v>0</v>
      </c>
    </row>
    <row r="3040" spans="1:24" x14ac:dyDescent="0.25">
      <c r="A3040" t="s">
        <v>1948</v>
      </c>
      <c r="B3040" t="s">
        <v>2076</v>
      </c>
      <c r="C3040" t="s">
        <v>2165</v>
      </c>
      <c r="D3040" t="s">
        <v>309</v>
      </c>
      <c r="E3040" t="s">
        <v>196</v>
      </c>
      <c r="F3040" t="s">
        <v>1</v>
      </c>
      <c r="G3040" t="s">
        <v>1062</v>
      </c>
      <c r="H3040" t="s">
        <v>785</v>
      </c>
      <c r="I3040" t="s">
        <v>1</v>
      </c>
      <c r="J3040">
        <v>8048.7</v>
      </c>
      <c r="K3040">
        <v>7491.8953703703</v>
      </c>
      <c r="L3040">
        <v>0</v>
      </c>
      <c r="M3040">
        <v>0</v>
      </c>
      <c r="N3040">
        <v>3170.7</v>
      </c>
      <c r="O3040"/>
      <c r="P3040">
        <v>0</v>
      </c>
      <c r="Q3040">
        <f t="shared" si="615"/>
        <v>0</v>
      </c>
      <c r="R3040">
        <v>0</v>
      </c>
      <c r="S3040">
        <f t="shared" si="616"/>
        <v>0</v>
      </c>
      <c r="T3040">
        <v>2.2499999999999999E-2</v>
      </c>
      <c r="U3040">
        <f t="shared" si="617"/>
        <v>0</v>
      </c>
      <c r="V3040">
        <f t="shared" si="618"/>
        <v>0</v>
      </c>
      <c r="W3040">
        <f t="shared" si="619"/>
        <v>0</v>
      </c>
      <c r="X3040">
        <v>0</v>
      </c>
    </row>
    <row r="3041" spans="1:24" x14ac:dyDescent="0.25">
      <c r="A3041" t="s">
        <v>1948</v>
      </c>
      <c r="B3041" t="s">
        <v>2076</v>
      </c>
      <c r="C3041" t="s">
        <v>2165</v>
      </c>
      <c r="D3041" t="s">
        <v>309</v>
      </c>
      <c r="E3041" t="s">
        <v>168</v>
      </c>
      <c r="F3041" t="s">
        <v>1</v>
      </c>
      <c r="G3041" t="s">
        <v>1062</v>
      </c>
      <c r="H3041" t="s">
        <v>715</v>
      </c>
      <c r="I3041" t="s">
        <v>1</v>
      </c>
      <c r="J3041">
        <v>437692.52</v>
      </c>
      <c r="K3041">
        <v>452918.4442723</v>
      </c>
      <c r="L3041">
        <v>161660.91</v>
      </c>
      <c r="M3041">
        <v>326001.28259668511</v>
      </c>
      <c r="N3041">
        <v>388759.5199999999</v>
      </c>
      <c r="O3041">
        <v>325098.31351648399</v>
      </c>
      <c r="P3041">
        <v>0</v>
      </c>
      <c r="Q3041">
        <f t="shared" si="615"/>
        <v>325098.31351648399</v>
      </c>
      <c r="R3041">
        <v>325098.31351648399</v>
      </c>
      <c r="S3041">
        <f t="shared" si="616"/>
        <v>0</v>
      </c>
      <c r="T3041">
        <v>0.03</v>
      </c>
      <c r="U3041">
        <f t="shared" si="617"/>
        <v>9752.9494054945189</v>
      </c>
      <c r="V3041">
        <f t="shared" si="618"/>
        <v>334851.26292197849</v>
      </c>
      <c r="W3041">
        <f t="shared" si="619"/>
        <v>9752.9494054944953</v>
      </c>
      <c r="X3041">
        <v>0</v>
      </c>
    </row>
    <row r="3042" spans="1:24" x14ac:dyDescent="0.25">
      <c r="A3042" t="s">
        <v>1948</v>
      </c>
      <c r="B3042" t="s">
        <v>2076</v>
      </c>
      <c r="C3042" t="s">
        <v>2165</v>
      </c>
      <c r="D3042" t="s">
        <v>309</v>
      </c>
      <c r="E3042" t="s">
        <v>118</v>
      </c>
      <c r="F3042" t="s">
        <v>1</v>
      </c>
      <c r="G3042" t="s">
        <v>1062</v>
      </c>
      <c r="H3042" t="s">
        <v>587</v>
      </c>
      <c r="I3042" t="s">
        <v>1</v>
      </c>
      <c r="J3042">
        <v>14813.84</v>
      </c>
      <c r="K3042">
        <v>14721.3658796297</v>
      </c>
      <c r="L3042">
        <v>6614.67</v>
      </c>
      <c r="M3042">
        <v>13338.975414364641</v>
      </c>
      <c r="N3042">
        <v>14803.049999999997</v>
      </c>
      <c r="O3042">
        <v>13302.028681318699</v>
      </c>
      <c r="P3042">
        <v>0</v>
      </c>
      <c r="Q3042">
        <f t="shared" si="615"/>
        <v>13302.028681318699</v>
      </c>
      <c r="R3042">
        <v>13302.028681318699</v>
      </c>
      <c r="S3042">
        <f t="shared" si="616"/>
        <v>0</v>
      </c>
      <c r="T3042">
        <v>3.2500000000000001E-2</v>
      </c>
      <c r="U3042">
        <f t="shared" si="617"/>
        <v>432.31593214285772</v>
      </c>
      <c r="V3042">
        <f t="shared" si="618"/>
        <v>13734.344613461557</v>
      </c>
      <c r="W3042">
        <f t="shared" si="619"/>
        <v>432.31593214285749</v>
      </c>
      <c r="X3042">
        <v>0</v>
      </c>
    </row>
    <row r="3043" spans="1:24" x14ac:dyDescent="0.25">
      <c r="A3043" t="s">
        <v>1948</v>
      </c>
      <c r="B3043" t="s">
        <v>2076</v>
      </c>
      <c r="C3043" t="s">
        <v>2165</v>
      </c>
      <c r="D3043" t="s">
        <v>309</v>
      </c>
      <c r="E3043" t="s">
        <v>18</v>
      </c>
      <c r="F3043" t="s">
        <v>1</v>
      </c>
      <c r="G3043" t="s">
        <v>1062</v>
      </c>
      <c r="H3043" t="s">
        <v>418</v>
      </c>
      <c r="I3043" t="s">
        <v>1</v>
      </c>
      <c r="J3043">
        <v>162839.46</v>
      </c>
      <c r="K3043">
        <v>168513.97038340801</v>
      </c>
      <c r="L3043">
        <v>63626.400000000001</v>
      </c>
      <c r="M3043">
        <v>128307.38121546962</v>
      </c>
      <c r="N3043">
        <v>144679.67999999999</v>
      </c>
      <c r="O3043">
        <v>127951.99120879101</v>
      </c>
      <c r="P3043">
        <v>0</v>
      </c>
      <c r="Q3043">
        <f t="shared" si="615"/>
        <v>127951.99120879101</v>
      </c>
      <c r="R3043">
        <v>168513.97038340801</v>
      </c>
      <c r="S3043">
        <f t="shared" si="616"/>
        <v>40561.979174617009</v>
      </c>
      <c r="T3043">
        <v>0.02</v>
      </c>
      <c r="U3043">
        <f t="shared" si="617"/>
        <v>3370.2794076681603</v>
      </c>
      <c r="V3043">
        <f t="shared" si="618"/>
        <v>171884.24979107617</v>
      </c>
      <c r="W3043">
        <f t="shared" si="619"/>
        <v>43932.258582285169</v>
      </c>
      <c r="X3043">
        <v>0</v>
      </c>
    </row>
    <row r="3044" spans="1:24" x14ac:dyDescent="0.25">
      <c r="A3044" t="s">
        <v>1948</v>
      </c>
      <c r="B3044" t="s">
        <v>2076</v>
      </c>
      <c r="C3044" t="s">
        <v>2165</v>
      </c>
      <c r="D3044" t="s">
        <v>309</v>
      </c>
      <c r="E3044" t="s">
        <v>57</v>
      </c>
      <c r="F3044" t="s">
        <v>1</v>
      </c>
      <c r="G3044" t="s">
        <v>1062</v>
      </c>
      <c r="H3044" t="s">
        <v>462</v>
      </c>
      <c r="I3044" t="s">
        <v>1</v>
      </c>
      <c r="J3044">
        <v>1061</v>
      </c>
      <c r="K3044">
        <v>1150.6722633744</v>
      </c>
      <c r="L3044">
        <v>397.38</v>
      </c>
      <c r="M3044">
        <v>801.34640883977897</v>
      </c>
      <c r="N3044">
        <v>883.32</v>
      </c>
      <c r="O3044">
        <v>799.12681318679995</v>
      </c>
      <c r="P3044">
        <v>0</v>
      </c>
      <c r="Q3044">
        <f t="shared" si="615"/>
        <v>799.12681318679995</v>
      </c>
      <c r="R3044">
        <v>799.12681318679995</v>
      </c>
      <c r="S3044">
        <f t="shared" si="616"/>
        <v>0</v>
      </c>
      <c r="T3044">
        <v>0.04</v>
      </c>
      <c r="U3044">
        <f t="shared" si="617"/>
        <v>31.965072527472</v>
      </c>
      <c r="V3044">
        <f t="shared" si="618"/>
        <v>831.09188571427194</v>
      </c>
      <c r="W3044">
        <f t="shared" si="619"/>
        <v>31.965072527471989</v>
      </c>
      <c r="X3044">
        <v>0</v>
      </c>
    </row>
    <row r="3045" spans="1:24" x14ac:dyDescent="0.25">
      <c r="A3045" t="s">
        <v>1948</v>
      </c>
      <c r="B3045" t="s">
        <v>2076</v>
      </c>
      <c r="C3045" t="s">
        <v>2165</v>
      </c>
      <c r="D3045" t="s">
        <v>309</v>
      </c>
      <c r="E3045" t="s">
        <v>189</v>
      </c>
      <c r="F3045" t="s">
        <v>1</v>
      </c>
      <c r="G3045" t="s">
        <v>1062</v>
      </c>
      <c r="H3045" t="s">
        <v>768</v>
      </c>
      <c r="I3045" t="s">
        <v>1</v>
      </c>
      <c r="J3045">
        <v>735.74</v>
      </c>
      <c r="K3045">
        <v>1484.0329218106001</v>
      </c>
      <c r="L3045">
        <v>0</v>
      </c>
      <c r="M3045">
        <v>0</v>
      </c>
      <c r="N3045">
        <v>735.74</v>
      </c>
      <c r="O3045"/>
      <c r="P3045">
        <v>0</v>
      </c>
      <c r="Q3045">
        <f t="shared" si="615"/>
        <v>0</v>
      </c>
      <c r="R3045">
        <v>0</v>
      </c>
      <c r="S3045">
        <f t="shared" si="616"/>
        <v>0</v>
      </c>
      <c r="T3045">
        <v>0.04</v>
      </c>
      <c r="U3045">
        <f t="shared" si="617"/>
        <v>0</v>
      </c>
      <c r="V3045">
        <f t="shared" si="618"/>
        <v>0</v>
      </c>
      <c r="W3045">
        <f t="shared" si="619"/>
        <v>0</v>
      </c>
      <c r="X3045">
        <v>0</v>
      </c>
    </row>
    <row r="3046" spans="1:24" x14ac:dyDescent="0.25">
      <c r="A3046" t="s">
        <v>1948</v>
      </c>
      <c r="B3046" t="s">
        <v>2076</v>
      </c>
      <c r="C3046" t="s">
        <v>2165</v>
      </c>
      <c r="D3046" t="s">
        <v>309</v>
      </c>
      <c r="E3046" t="s">
        <v>73</v>
      </c>
      <c r="F3046" t="s">
        <v>1</v>
      </c>
      <c r="G3046" t="s">
        <v>1062</v>
      </c>
      <c r="H3046" t="s">
        <v>490</v>
      </c>
      <c r="I3046" t="s">
        <v>1</v>
      </c>
      <c r="J3046">
        <v>138344.60999999999</v>
      </c>
      <c r="K3046">
        <v>176583.81309390001</v>
      </c>
      <c r="L3046">
        <v>106580.1</v>
      </c>
      <c r="M3046">
        <v>214926.72099447515</v>
      </c>
      <c r="N3046">
        <v>157963.93</v>
      </c>
      <c r="O3046">
        <v>214331.40989010999</v>
      </c>
      <c r="P3046">
        <v>0</v>
      </c>
      <c r="Q3046">
        <f t="shared" si="615"/>
        <v>214331.40989010999</v>
      </c>
      <c r="R3046">
        <v>214331.40989010999</v>
      </c>
      <c r="S3046">
        <f t="shared" si="616"/>
        <v>0</v>
      </c>
      <c r="T3046">
        <v>3.5000000000000003E-2</v>
      </c>
      <c r="U3046">
        <f t="shared" si="617"/>
        <v>7501.5993461538501</v>
      </c>
      <c r="V3046">
        <f t="shared" si="618"/>
        <v>221833.00923626384</v>
      </c>
      <c r="W3046">
        <f t="shared" si="619"/>
        <v>7501.5993461538455</v>
      </c>
      <c r="X3046">
        <v>0</v>
      </c>
    </row>
    <row r="3047" spans="1:24" x14ac:dyDescent="0.25">
      <c r="A3047" t="s">
        <v>1948</v>
      </c>
      <c r="B3047" t="s">
        <v>2076</v>
      </c>
      <c r="C3047" t="s">
        <v>2165</v>
      </c>
      <c r="D3047" t="s">
        <v>309</v>
      </c>
      <c r="E3047" t="s">
        <v>19</v>
      </c>
      <c r="F3047" t="s">
        <v>1</v>
      </c>
      <c r="G3047" t="s">
        <v>1062</v>
      </c>
      <c r="H3047" t="s">
        <v>419</v>
      </c>
      <c r="I3047" t="s">
        <v>1</v>
      </c>
      <c r="J3047">
        <v>-387.41</v>
      </c>
      <c r="K3047"/>
      <c r="L3047">
        <v>0</v>
      </c>
      <c r="M3047">
        <v>0</v>
      </c>
      <c r="N3047">
        <v>-387.41</v>
      </c>
      <c r="O3047"/>
      <c r="P3047">
        <v>0</v>
      </c>
      <c r="Q3047">
        <f t="shared" si="615"/>
        <v>0</v>
      </c>
      <c r="R3047">
        <v>0</v>
      </c>
      <c r="S3047">
        <f t="shared" si="616"/>
        <v>0</v>
      </c>
      <c r="T3047">
        <v>0.02</v>
      </c>
      <c r="U3047">
        <f t="shared" si="617"/>
        <v>0</v>
      </c>
      <c r="V3047">
        <f t="shared" si="618"/>
        <v>0</v>
      </c>
      <c r="W3047">
        <f t="shared" si="619"/>
        <v>0</v>
      </c>
      <c r="X3047">
        <v>0</v>
      </c>
    </row>
    <row r="3048" spans="1:24" x14ac:dyDescent="0.25">
      <c r="A3048" t="s">
        <v>1948</v>
      </c>
      <c r="B3048" t="s">
        <v>2076</v>
      </c>
      <c r="C3048" t="s">
        <v>2165</v>
      </c>
      <c r="D3048" t="s">
        <v>309</v>
      </c>
      <c r="E3048" t="s">
        <v>74</v>
      </c>
      <c r="F3048" t="s">
        <v>1</v>
      </c>
      <c r="G3048" t="s">
        <v>1062</v>
      </c>
      <c r="H3048" t="s">
        <v>491</v>
      </c>
      <c r="I3048" t="s">
        <v>1</v>
      </c>
      <c r="J3048">
        <v>50816.36</v>
      </c>
      <c r="K3048">
        <v>53778.326016696599</v>
      </c>
      <c r="L3048">
        <v>18208.48</v>
      </c>
      <c r="M3048">
        <v>36718.758011049722</v>
      </c>
      <c r="N3048">
        <v>44653.130000000005</v>
      </c>
      <c r="O3048">
        <v>36617.053186813202</v>
      </c>
      <c r="P3048">
        <v>0</v>
      </c>
      <c r="Q3048">
        <f t="shared" si="615"/>
        <v>36617.053186813202</v>
      </c>
      <c r="R3048">
        <v>36617.053186813202</v>
      </c>
      <c r="S3048">
        <f t="shared" si="616"/>
        <v>0</v>
      </c>
      <c r="T3048">
        <v>3.5000000000000003E-2</v>
      </c>
      <c r="U3048">
        <f t="shared" si="617"/>
        <v>1281.5968615384622</v>
      </c>
      <c r="V3048">
        <f t="shared" si="618"/>
        <v>37898.650048351665</v>
      </c>
      <c r="W3048">
        <f t="shared" si="619"/>
        <v>1281.5968615384627</v>
      </c>
      <c r="X3048">
        <v>0</v>
      </c>
    </row>
    <row r="3049" spans="1:24" x14ac:dyDescent="0.25">
      <c r="A3049" t="s">
        <v>1948</v>
      </c>
      <c r="B3049" t="s">
        <v>2076</v>
      </c>
      <c r="C3049" t="s">
        <v>2165</v>
      </c>
      <c r="D3049" t="s">
        <v>309</v>
      </c>
      <c r="E3049" t="s">
        <v>198</v>
      </c>
      <c r="F3049" t="s">
        <v>1</v>
      </c>
      <c r="G3049" t="s">
        <v>1062</v>
      </c>
      <c r="H3049" t="s">
        <v>787</v>
      </c>
      <c r="I3049" t="s">
        <v>1</v>
      </c>
      <c r="J3049">
        <v>21603</v>
      </c>
      <c r="K3049">
        <v>27730.646612643599</v>
      </c>
      <c r="L3049">
        <v>-11087</v>
      </c>
      <c r="M3049">
        <v>-22357.762430939227</v>
      </c>
      <c r="N3049">
        <v>-3737</v>
      </c>
      <c r="O3049">
        <v>-22295.8351648352</v>
      </c>
      <c r="P3049">
        <v>0</v>
      </c>
      <c r="Q3049">
        <f t="shared" si="615"/>
        <v>-22295.8351648352</v>
      </c>
      <c r="R3049">
        <v>-22295.8351648352</v>
      </c>
      <c r="S3049">
        <f t="shared" si="616"/>
        <v>0</v>
      </c>
      <c r="T3049">
        <v>0.02</v>
      </c>
      <c r="U3049">
        <f t="shared" si="617"/>
        <v>-445.91670329670399</v>
      </c>
      <c r="V3049">
        <f t="shared" si="618"/>
        <v>-22741.751868131905</v>
      </c>
      <c r="W3049">
        <f t="shared" si="619"/>
        <v>-445.91670329670524</v>
      </c>
      <c r="X3049">
        <v>0</v>
      </c>
    </row>
    <row r="3050" spans="1:24" x14ac:dyDescent="0.25">
      <c r="A3050" t="s">
        <v>1948</v>
      </c>
      <c r="B3050" t="s">
        <v>2076</v>
      </c>
      <c r="C3050" t="s">
        <v>2165</v>
      </c>
      <c r="D3050" t="s">
        <v>309</v>
      </c>
      <c r="E3050" t="s">
        <v>85</v>
      </c>
      <c r="F3050" t="s">
        <v>1</v>
      </c>
      <c r="G3050" t="s">
        <v>1062</v>
      </c>
      <c r="H3050" t="s">
        <v>510</v>
      </c>
      <c r="I3050" t="s">
        <v>1</v>
      </c>
      <c r="J3050">
        <v>76156.89</v>
      </c>
      <c r="K3050">
        <v>80971.684026192699</v>
      </c>
      <c r="L3050">
        <v>34221.599999999999</v>
      </c>
      <c r="M3050">
        <v>69010.408839779004</v>
      </c>
      <c r="N3050">
        <v>71738.8</v>
      </c>
      <c r="O3050">
        <v>68819.261538461506</v>
      </c>
      <c r="P3050">
        <v>0</v>
      </c>
      <c r="Q3050">
        <f t="shared" si="615"/>
        <v>68819.261538461506</v>
      </c>
      <c r="R3050">
        <v>68819.261538461506</v>
      </c>
      <c r="S3050">
        <f t="shared" si="616"/>
        <v>0</v>
      </c>
      <c r="T3050">
        <v>0.02</v>
      </c>
      <c r="U3050">
        <f t="shared" si="617"/>
        <v>1376.3852307692302</v>
      </c>
      <c r="V3050">
        <f t="shared" si="618"/>
        <v>70195.646769230734</v>
      </c>
      <c r="W3050">
        <f t="shared" si="619"/>
        <v>1376.3852307692287</v>
      </c>
      <c r="X3050">
        <v>0</v>
      </c>
    </row>
    <row r="3051" spans="1:24" x14ac:dyDescent="0.25">
      <c r="A3051" t="s">
        <v>1948</v>
      </c>
      <c r="B3051" t="s">
        <v>2076</v>
      </c>
      <c r="C3051" t="s">
        <v>2165</v>
      </c>
      <c r="D3051" t="s">
        <v>309</v>
      </c>
      <c r="E3051" t="s">
        <v>119</v>
      </c>
      <c r="F3051" t="s">
        <v>1</v>
      </c>
      <c r="G3051" t="s">
        <v>1062</v>
      </c>
      <c r="H3051" t="s">
        <v>588</v>
      </c>
      <c r="I3051" t="s">
        <v>1</v>
      </c>
      <c r="J3051">
        <v>775135.6</v>
      </c>
      <c r="K3051">
        <v>801171.73054436396</v>
      </c>
      <c r="L3051">
        <v>413745.69</v>
      </c>
      <c r="M3051">
        <v>834349.04337016586</v>
      </c>
      <c r="N3051">
        <v>781431.24999999977</v>
      </c>
      <c r="O3051">
        <v>832038.03593406605</v>
      </c>
      <c r="P3051">
        <v>0</v>
      </c>
      <c r="Q3051">
        <f t="shared" si="615"/>
        <v>832038.03593406605</v>
      </c>
      <c r="R3051">
        <v>832038.03593406605</v>
      </c>
      <c r="S3051">
        <f t="shared" si="616"/>
        <v>0</v>
      </c>
      <c r="T3051">
        <v>1.4999999999999999E-2</v>
      </c>
      <c r="U3051">
        <f t="shared" si="617"/>
        <v>12480.570539010991</v>
      </c>
      <c r="V3051">
        <f t="shared" si="618"/>
        <v>844518.60647307709</v>
      </c>
      <c r="W3051">
        <f t="shared" si="619"/>
        <v>12480.570539011038</v>
      </c>
      <c r="X3051">
        <v>0</v>
      </c>
    </row>
    <row r="3052" spans="1:24" x14ac:dyDescent="0.25">
      <c r="A3052" t="s">
        <v>1948</v>
      </c>
      <c r="B3052" t="s">
        <v>2076</v>
      </c>
      <c r="C3052" t="s">
        <v>2165</v>
      </c>
      <c r="D3052" t="s">
        <v>309</v>
      </c>
      <c r="E3052" t="s">
        <v>136</v>
      </c>
      <c r="F3052" t="s">
        <v>1</v>
      </c>
      <c r="G3052" t="s">
        <v>1062</v>
      </c>
      <c r="H3052" t="s">
        <v>627</v>
      </c>
      <c r="I3052" t="s">
        <v>1</v>
      </c>
      <c r="J3052">
        <v>68999.47</v>
      </c>
      <c r="K3052">
        <v>80995.549537698695</v>
      </c>
      <c r="L3052">
        <v>47832.56</v>
      </c>
      <c r="M3052">
        <v>96457.924861878448</v>
      </c>
      <c r="N3052">
        <v>76923.06</v>
      </c>
      <c r="O3052">
        <v>96190.752527472505</v>
      </c>
      <c r="P3052">
        <v>0</v>
      </c>
      <c r="Q3052">
        <f t="shared" si="615"/>
        <v>96190.752527472505</v>
      </c>
      <c r="R3052">
        <v>96190.752527472505</v>
      </c>
      <c r="S3052">
        <f t="shared" si="616"/>
        <v>0</v>
      </c>
      <c r="T3052">
        <v>0.03</v>
      </c>
      <c r="U3052">
        <f t="shared" si="617"/>
        <v>2885.7225758241752</v>
      </c>
      <c r="V3052">
        <f t="shared" si="618"/>
        <v>99076.475103296674</v>
      </c>
      <c r="W3052">
        <f t="shared" si="619"/>
        <v>2885.7225758241693</v>
      </c>
      <c r="X3052">
        <v>0</v>
      </c>
    </row>
    <row r="3053" spans="1:24" x14ac:dyDescent="0.25">
      <c r="A3053" t="s">
        <v>1948</v>
      </c>
      <c r="B3053" t="s">
        <v>2076</v>
      </c>
      <c r="C3053" t="s">
        <v>2165</v>
      </c>
      <c r="D3053" t="s">
        <v>309</v>
      </c>
      <c r="E3053" t="s">
        <v>86</v>
      </c>
      <c r="F3053" t="s">
        <v>1</v>
      </c>
      <c r="G3053" t="s">
        <v>1062</v>
      </c>
      <c r="H3053" t="s">
        <v>511</v>
      </c>
      <c r="I3053" t="s">
        <v>1</v>
      </c>
      <c r="J3053"/>
      <c r="K3053"/>
      <c r="L3053">
        <v>417.4</v>
      </c>
      <c r="M3053">
        <v>841.71823204419888</v>
      </c>
      <c r="N3053">
        <v>417.4</v>
      </c>
      <c r="O3053">
        <v>839.38681318680005</v>
      </c>
      <c r="P3053">
        <v>0</v>
      </c>
      <c r="Q3053">
        <f t="shared" si="615"/>
        <v>839.38681318680005</v>
      </c>
      <c r="R3053">
        <v>839.38681318680005</v>
      </c>
      <c r="S3053">
        <f t="shared" si="616"/>
        <v>0</v>
      </c>
      <c r="T3053">
        <v>3.5000000000000003E-2</v>
      </c>
      <c r="U3053">
        <f t="shared" si="617"/>
        <v>29.378538461538003</v>
      </c>
      <c r="V3053">
        <f t="shared" si="618"/>
        <v>868.76535164833808</v>
      </c>
      <c r="W3053">
        <f t="shared" si="619"/>
        <v>29.378538461538028</v>
      </c>
      <c r="X3053">
        <v>0</v>
      </c>
    </row>
    <row r="3054" spans="1:24" x14ac:dyDescent="0.25">
      <c r="A3054" t="s">
        <v>1948</v>
      </c>
      <c r="B3054" t="s">
        <v>2076</v>
      </c>
      <c r="C3054" t="s">
        <v>2165</v>
      </c>
      <c r="D3054" t="s">
        <v>309</v>
      </c>
      <c r="E3054" t="s">
        <v>147</v>
      </c>
      <c r="F3054" t="s">
        <v>1</v>
      </c>
      <c r="G3054" t="s">
        <v>1062</v>
      </c>
      <c r="H3054" t="s">
        <v>656</v>
      </c>
      <c r="I3054" t="s">
        <v>1</v>
      </c>
      <c r="J3054">
        <v>35639.599999999999</v>
      </c>
      <c r="K3054">
        <v>43725.1003852879</v>
      </c>
      <c r="L3054">
        <v>17334.22</v>
      </c>
      <c r="M3054">
        <v>34955.747513812152</v>
      </c>
      <c r="N3054">
        <v>32346.3</v>
      </c>
      <c r="O3054">
        <v>34858.925934065897</v>
      </c>
      <c r="P3054">
        <v>0</v>
      </c>
      <c r="Q3054">
        <f t="shared" si="615"/>
        <v>34858.925934065897</v>
      </c>
      <c r="R3054">
        <v>34858.925934065897</v>
      </c>
      <c r="S3054">
        <f t="shared" si="616"/>
        <v>0</v>
      </c>
      <c r="T3054">
        <v>2.2499999999999999E-2</v>
      </c>
      <c r="U3054">
        <f t="shared" si="617"/>
        <v>784.3258335164827</v>
      </c>
      <c r="V3054">
        <f t="shared" si="618"/>
        <v>35643.251767582376</v>
      </c>
      <c r="W3054">
        <f t="shared" si="619"/>
        <v>784.32583351647918</v>
      </c>
      <c r="X3054">
        <v>0</v>
      </c>
    </row>
    <row r="3055" spans="1:24" x14ac:dyDescent="0.25">
      <c r="A3055" t="s">
        <v>1948</v>
      </c>
      <c r="B3055" t="s">
        <v>2076</v>
      </c>
      <c r="C3055" t="s">
        <v>2165</v>
      </c>
      <c r="D3055" t="s">
        <v>309</v>
      </c>
      <c r="E3055" t="s">
        <v>120</v>
      </c>
      <c r="F3055" t="s">
        <v>1</v>
      </c>
      <c r="G3055" t="s">
        <v>1062</v>
      </c>
      <c r="H3055" t="s">
        <v>589</v>
      </c>
      <c r="I3055" t="s">
        <v>1</v>
      </c>
      <c r="J3055">
        <v>290860.45</v>
      </c>
      <c r="K3055">
        <v>307772.30445758899</v>
      </c>
      <c r="L3055">
        <v>77349.8</v>
      </c>
      <c r="M3055">
        <v>155981.6408839779</v>
      </c>
      <c r="N3055">
        <v>205363.91999999998</v>
      </c>
      <c r="O3055">
        <v>155549.597802198</v>
      </c>
      <c r="P3055">
        <v>0</v>
      </c>
      <c r="Q3055">
        <f t="shared" si="615"/>
        <v>155549.597802198</v>
      </c>
      <c r="R3055">
        <v>155549.597802198</v>
      </c>
      <c r="S3055">
        <f t="shared" si="616"/>
        <v>0</v>
      </c>
      <c r="T3055">
        <v>3.5000000000000003E-2</v>
      </c>
      <c r="U3055">
        <f t="shared" si="617"/>
        <v>5444.2359230769307</v>
      </c>
      <c r="V3055">
        <f t="shared" si="618"/>
        <v>160993.83372527492</v>
      </c>
      <c r="W3055">
        <f t="shared" si="619"/>
        <v>5444.2359230769216</v>
      </c>
      <c r="X3055">
        <v>0</v>
      </c>
    </row>
    <row r="3056" spans="1:24" x14ac:dyDescent="0.25">
      <c r="A3056" t="s">
        <v>1948</v>
      </c>
      <c r="B3056" t="s">
        <v>2076</v>
      </c>
      <c r="C3056" t="s">
        <v>2165</v>
      </c>
      <c r="D3056" t="s">
        <v>309</v>
      </c>
      <c r="E3056" t="s">
        <v>20</v>
      </c>
      <c r="F3056" t="s">
        <v>1</v>
      </c>
      <c r="G3056" t="s">
        <v>1062</v>
      </c>
      <c r="H3056" t="s">
        <v>420</v>
      </c>
      <c r="I3056" t="s">
        <v>1</v>
      </c>
      <c r="J3056">
        <v>42782.71</v>
      </c>
      <c r="K3056">
        <v>44687.633069959098</v>
      </c>
      <c r="L3056">
        <v>18179.14</v>
      </c>
      <c r="M3056">
        <v>36659.591712707181</v>
      </c>
      <c r="N3056">
        <v>43643.11</v>
      </c>
      <c r="O3056">
        <v>36558.050769230802</v>
      </c>
      <c r="P3056">
        <v>0</v>
      </c>
      <c r="Q3056">
        <f t="shared" si="615"/>
        <v>36558.050769230802</v>
      </c>
      <c r="R3056">
        <v>36558.050769230802</v>
      </c>
      <c r="S3056">
        <f t="shared" si="616"/>
        <v>0</v>
      </c>
      <c r="T3056">
        <v>0.04</v>
      </c>
      <c r="U3056">
        <f t="shared" si="617"/>
        <v>1462.322030769232</v>
      </c>
      <c r="V3056">
        <f t="shared" si="618"/>
        <v>38020.372800000034</v>
      </c>
      <c r="W3056">
        <f t="shared" si="619"/>
        <v>1462.3220307692318</v>
      </c>
      <c r="X3056">
        <v>0</v>
      </c>
    </row>
    <row r="3057" spans="1:24" x14ac:dyDescent="0.25">
      <c r="A3057" t="s">
        <v>1948</v>
      </c>
      <c r="B3057" t="s">
        <v>2076</v>
      </c>
      <c r="C3057" t="s">
        <v>2165</v>
      </c>
      <c r="D3057" t="s">
        <v>309</v>
      </c>
      <c r="E3057" t="s">
        <v>21</v>
      </c>
      <c r="F3057" t="s">
        <v>1</v>
      </c>
      <c r="G3057" t="s">
        <v>1062</v>
      </c>
      <c r="H3057" t="s">
        <v>421</v>
      </c>
      <c r="I3057" t="s">
        <v>1</v>
      </c>
      <c r="J3057">
        <v>5200.43</v>
      </c>
      <c r="K3057">
        <v>3726.5100000000998</v>
      </c>
      <c r="L3057">
        <v>1588.07</v>
      </c>
      <c r="M3057">
        <v>3202.4616022099444</v>
      </c>
      <c r="N3057">
        <v>4947.3200000000006</v>
      </c>
      <c r="O3057">
        <v>3202.4616022098999</v>
      </c>
      <c r="P3057">
        <v>0</v>
      </c>
      <c r="Q3057">
        <f t="shared" si="615"/>
        <v>3202.4616022098999</v>
      </c>
      <c r="R3057">
        <v>3202.4616022098999</v>
      </c>
      <c r="S3057">
        <f t="shared" si="616"/>
        <v>0</v>
      </c>
      <c r="T3057">
        <v>0.03</v>
      </c>
      <c r="U3057">
        <f t="shared" si="617"/>
        <v>96.073848066296989</v>
      </c>
      <c r="V3057">
        <f t="shared" si="618"/>
        <v>3298.535450276197</v>
      </c>
      <c r="W3057">
        <f t="shared" si="619"/>
        <v>96.07384806629716</v>
      </c>
      <c r="X3057" t="s">
        <v>1768</v>
      </c>
    </row>
    <row r="3058" spans="1:24" x14ac:dyDescent="0.25">
      <c r="A3058" t="s">
        <v>1948</v>
      </c>
      <c r="B3058" t="s">
        <v>2076</v>
      </c>
      <c r="C3058" t="s">
        <v>2165</v>
      </c>
      <c r="D3058" t="s">
        <v>309</v>
      </c>
      <c r="E3058" t="s">
        <v>66</v>
      </c>
      <c r="F3058" t="s">
        <v>1</v>
      </c>
      <c r="G3058" t="s">
        <v>1062</v>
      </c>
      <c r="H3058" t="s">
        <v>477</v>
      </c>
      <c r="I3058" t="s">
        <v>1</v>
      </c>
      <c r="J3058">
        <v>505.22</v>
      </c>
      <c r="K3058">
        <v>670.98999999969999</v>
      </c>
      <c r="L3058">
        <v>92.16</v>
      </c>
      <c r="M3058">
        <v>185.84751381215469</v>
      </c>
      <c r="N3058">
        <v>274.81999999999994</v>
      </c>
      <c r="O3058">
        <v>185.84751381219999</v>
      </c>
      <c r="P3058">
        <v>0</v>
      </c>
      <c r="Q3058">
        <f t="shared" si="615"/>
        <v>185.84751381219999</v>
      </c>
      <c r="R3058">
        <v>185.84751381219999</v>
      </c>
      <c r="S3058">
        <f t="shared" si="616"/>
        <v>0</v>
      </c>
      <c r="T3058">
        <v>3.5000000000000003E-2</v>
      </c>
      <c r="U3058">
        <f t="shared" si="617"/>
        <v>6.504662983427</v>
      </c>
      <c r="V3058">
        <f t="shared" si="618"/>
        <v>192.352176795627</v>
      </c>
      <c r="W3058">
        <f t="shared" si="619"/>
        <v>6.5046629834270107</v>
      </c>
      <c r="X3058" t="s">
        <v>1800</v>
      </c>
    </row>
    <row r="3059" spans="1:24" x14ac:dyDescent="0.25">
      <c r="A3059" t="s">
        <v>1948</v>
      </c>
      <c r="B3059" t="s">
        <v>2076</v>
      </c>
      <c r="C3059" t="s">
        <v>2165</v>
      </c>
      <c r="D3059" t="s">
        <v>309</v>
      </c>
      <c r="E3059" t="s">
        <v>22</v>
      </c>
      <c r="F3059" t="s">
        <v>1</v>
      </c>
      <c r="G3059" t="s">
        <v>1062</v>
      </c>
      <c r="H3059" t="s">
        <v>422</v>
      </c>
      <c r="I3059" t="s">
        <v>1</v>
      </c>
      <c r="J3059">
        <v>3209.62</v>
      </c>
      <c r="K3059">
        <v>3746.6999999998998</v>
      </c>
      <c r="L3059">
        <v>0</v>
      </c>
      <c r="M3059">
        <v>0</v>
      </c>
      <c r="N3059">
        <v>1397.77</v>
      </c>
      <c r="O3059"/>
      <c r="P3059">
        <v>0</v>
      </c>
      <c r="Q3059">
        <f t="shared" si="615"/>
        <v>0</v>
      </c>
      <c r="R3059">
        <v>0</v>
      </c>
      <c r="S3059">
        <f t="shared" si="616"/>
        <v>0</v>
      </c>
      <c r="T3059">
        <v>3.5000000000000003E-2</v>
      </c>
      <c r="U3059">
        <f t="shared" si="617"/>
        <v>0</v>
      </c>
      <c r="V3059">
        <f t="shared" si="618"/>
        <v>0</v>
      </c>
      <c r="W3059">
        <f t="shared" si="619"/>
        <v>0</v>
      </c>
      <c r="X3059">
        <v>0</v>
      </c>
    </row>
    <row r="3060" spans="1:24" x14ac:dyDescent="0.25">
      <c r="A3060" t="s">
        <v>1948</v>
      </c>
      <c r="B3060" t="s">
        <v>2076</v>
      </c>
      <c r="C3060" t="s">
        <v>2165</v>
      </c>
      <c r="D3060" t="s">
        <v>309</v>
      </c>
      <c r="E3060" t="s">
        <v>23</v>
      </c>
      <c r="F3060" t="s">
        <v>1</v>
      </c>
      <c r="G3060" t="s">
        <v>1062</v>
      </c>
      <c r="H3060" t="s">
        <v>423</v>
      </c>
      <c r="I3060" t="s">
        <v>1</v>
      </c>
      <c r="J3060">
        <v>564.47</v>
      </c>
      <c r="K3060">
        <v>1169.5500000001</v>
      </c>
      <c r="L3060">
        <v>61.81</v>
      </c>
      <c r="M3060">
        <v>124.64447513812155</v>
      </c>
      <c r="N3060">
        <v>61.81</v>
      </c>
      <c r="O3060">
        <v>124.64447513810001</v>
      </c>
      <c r="P3060">
        <v>0</v>
      </c>
      <c r="Q3060">
        <f t="shared" si="615"/>
        <v>124.64447513810001</v>
      </c>
      <c r="R3060">
        <v>124.64447513810001</v>
      </c>
      <c r="S3060">
        <f t="shared" si="616"/>
        <v>0</v>
      </c>
      <c r="T3060">
        <v>3.5000000000000003E-2</v>
      </c>
      <c r="U3060">
        <f t="shared" si="617"/>
        <v>4.3625566298335006</v>
      </c>
      <c r="V3060">
        <f t="shared" si="618"/>
        <v>129.00703176793351</v>
      </c>
      <c r="W3060">
        <f t="shared" si="619"/>
        <v>4.3625566298335059</v>
      </c>
      <c r="X3060">
        <v>0</v>
      </c>
    </row>
    <row r="3061" spans="1:24" x14ac:dyDescent="0.25">
      <c r="A3061" t="s">
        <v>1948</v>
      </c>
      <c r="B3061" t="s">
        <v>2076</v>
      </c>
      <c r="C3061" t="s">
        <v>2165</v>
      </c>
      <c r="D3061" t="s">
        <v>309</v>
      </c>
      <c r="E3061" t="s">
        <v>27</v>
      </c>
      <c r="F3061" t="s">
        <v>1</v>
      </c>
      <c r="G3061" t="s">
        <v>1062</v>
      </c>
      <c r="H3061" t="s">
        <v>427</v>
      </c>
      <c r="I3061" t="s">
        <v>1</v>
      </c>
      <c r="J3061">
        <v>3120.56</v>
      </c>
      <c r="K3061">
        <v>8090.0000000004002</v>
      </c>
      <c r="L3061">
        <v>0</v>
      </c>
      <c r="M3061">
        <v>0</v>
      </c>
      <c r="N3061">
        <v>1541</v>
      </c>
      <c r="O3061"/>
      <c r="P3061">
        <v>0</v>
      </c>
      <c r="Q3061">
        <f t="shared" si="615"/>
        <v>0</v>
      </c>
      <c r="R3061">
        <v>0</v>
      </c>
      <c r="S3061">
        <f t="shared" si="616"/>
        <v>0</v>
      </c>
      <c r="T3061"/>
      <c r="U3061">
        <f t="shared" si="617"/>
        <v>0</v>
      </c>
      <c r="V3061">
        <f t="shared" si="618"/>
        <v>0</v>
      </c>
      <c r="W3061">
        <f t="shared" si="619"/>
        <v>0</v>
      </c>
      <c r="X3061" t="s">
        <v>1801</v>
      </c>
    </row>
    <row r="3062" spans="1:24" x14ac:dyDescent="0.25">
      <c r="A3062" t="s">
        <v>1948</v>
      </c>
      <c r="B3062" t="s">
        <v>2076</v>
      </c>
      <c r="C3062" t="s">
        <v>2165</v>
      </c>
      <c r="D3062" t="s">
        <v>309</v>
      </c>
      <c r="E3062" t="s">
        <v>28</v>
      </c>
      <c r="F3062" t="s">
        <v>1</v>
      </c>
      <c r="G3062" t="s">
        <v>1062</v>
      </c>
      <c r="H3062" t="s">
        <v>428</v>
      </c>
      <c r="I3062" t="s">
        <v>1</v>
      </c>
      <c r="J3062">
        <v>103.98</v>
      </c>
      <c r="K3062"/>
      <c r="L3062">
        <v>0</v>
      </c>
      <c r="M3062">
        <v>0</v>
      </c>
      <c r="N3062">
        <v>103.98</v>
      </c>
      <c r="O3062"/>
      <c r="P3062">
        <v>0</v>
      </c>
      <c r="Q3062">
        <f t="shared" si="615"/>
        <v>0</v>
      </c>
      <c r="R3062">
        <v>0</v>
      </c>
      <c r="S3062">
        <f t="shared" si="616"/>
        <v>0</v>
      </c>
      <c r="T3062"/>
      <c r="U3062">
        <f t="shared" si="617"/>
        <v>0</v>
      </c>
      <c r="V3062">
        <f t="shared" si="618"/>
        <v>0</v>
      </c>
      <c r="W3062">
        <f t="shared" si="619"/>
        <v>0</v>
      </c>
      <c r="X3062">
        <v>0</v>
      </c>
    </row>
    <row r="3063" spans="1:24" x14ac:dyDescent="0.25">
      <c r="A3063" t="s">
        <v>1948</v>
      </c>
      <c r="B3063" t="s">
        <v>2076</v>
      </c>
      <c r="C3063" t="s">
        <v>2165</v>
      </c>
      <c r="D3063" t="s">
        <v>309</v>
      </c>
      <c r="E3063" t="s">
        <v>76</v>
      </c>
      <c r="F3063" t="s">
        <v>1</v>
      </c>
      <c r="G3063" t="s">
        <v>1062</v>
      </c>
      <c r="H3063" t="s">
        <v>493</v>
      </c>
      <c r="I3063" t="s">
        <v>1</v>
      </c>
      <c r="J3063">
        <v>90806</v>
      </c>
      <c r="K3063">
        <v>90806.000000000393</v>
      </c>
      <c r="L3063">
        <v>45403</v>
      </c>
      <c r="M3063">
        <v>91558.535911602215</v>
      </c>
      <c r="N3063">
        <v>90806</v>
      </c>
      <c r="O3063">
        <v>90806</v>
      </c>
      <c r="P3063">
        <v>0</v>
      </c>
      <c r="Q3063">
        <f t="shared" si="615"/>
        <v>90806</v>
      </c>
      <c r="R3063">
        <v>90806</v>
      </c>
      <c r="S3063">
        <f t="shared" si="616"/>
        <v>0</v>
      </c>
      <c r="T3063">
        <v>0.03</v>
      </c>
      <c r="U3063">
        <f t="shared" si="617"/>
        <v>2724.18</v>
      </c>
      <c r="V3063">
        <f t="shared" si="618"/>
        <v>93530.18</v>
      </c>
      <c r="W3063">
        <f t="shared" si="619"/>
        <v>2724.179999999993</v>
      </c>
      <c r="X3063" t="s">
        <v>1802</v>
      </c>
    </row>
    <row r="3064" spans="1:24" x14ac:dyDescent="0.25">
      <c r="A3064" t="s">
        <v>1948</v>
      </c>
      <c r="B3064" t="s">
        <v>2076</v>
      </c>
      <c r="C3064" t="s">
        <v>2165</v>
      </c>
      <c r="D3064" t="s">
        <v>309</v>
      </c>
      <c r="E3064" t="s">
        <v>41</v>
      </c>
      <c r="F3064" t="s">
        <v>1</v>
      </c>
      <c r="G3064" t="s">
        <v>1062</v>
      </c>
      <c r="H3064" t="s">
        <v>441</v>
      </c>
      <c r="I3064" t="s">
        <v>1</v>
      </c>
      <c r="J3064">
        <v>23791.64</v>
      </c>
      <c r="K3064">
        <v>21278.679139988399</v>
      </c>
      <c r="L3064">
        <v>11492.77</v>
      </c>
      <c r="M3064">
        <v>23176.027900552486</v>
      </c>
      <c r="N3064">
        <v>23964.32</v>
      </c>
      <c r="O3064">
        <v>22985.54</v>
      </c>
      <c r="P3064">
        <v>0</v>
      </c>
      <c r="Q3064">
        <f t="shared" si="615"/>
        <v>22985.54</v>
      </c>
      <c r="R3064">
        <v>22985.54</v>
      </c>
      <c r="S3064">
        <f t="shared" si="616"/>
        <v>0</v>
      </c>
      <c r="T3064">
        <v>0.03</v>
      </c>
      <c r="U3064">
        <f t="shared" si="617"/>
        <v>689.56619999999998</v>
      </c>
      <c r="V3064">
        <f t="shared" si="618"/>
        <v>23675.106200000002</v>
      </c>
      <c r="W3064">
        <f t="shared" si="619"/>
        <v>689.56620000000112</v>
      </c>
      <c r="X3064">
        <v>0</v>
      </c>
    </row>
    <row r="3065" spans="1:24" x14ac:dyDescent="0.25">
      <c r="A3065" t="s">
        <v>1948</v>
      </c>
      <c r="B3065" t="s">
        <v>2076</v>
      </c>
      <c r="C3065" t="s">
        <v>2165</v>
      </c>
      <c r="D3065" t="s">
        <v>309</v>
      </c>
      <c r="E3065" t="s">
        <v>134</v>
      </c>
      <c r="F3065" t="s">
        <v>1</v>
      </c>
      <c r="G3065" t="s">
        <v>1062</v>
      </c>
      <c r="H3065" t="s">
        <v>623</v>
      </c>
      <c r="I3065" t="s">
        <v>1</v>
      </c>
      <c r="J3065"/>
      <c r="K3065"/>
      <c r="L3065">
        <v>28556</v>
      </c>
      <c r="M3065">
        <v>57585.303867403309</v>
      </c>
      <c r="N3065">
        <v>28556</v>
      </c>
      <c r="O3065">
        <v>57112</v>
      </c>
      <c r="P3065">
        <v>0</v>
      </c>
      <c r="Q3065">
        <f t="shared" si="615"/>
        <v>57112</v>
      </c>
      <c r="R3065">
        <v>20000</v>
      </c>
      <c r="S3065">
        <f t="shared" si="616"/>
        <v>-37112</v>
      </c>
      <c r="T3065">
        <v>0.03</v>
      </c>
      <c r="U3065">
        <f t="shared" si="617"/>
        <v>600</v>
      </c>
      <c r="V3065">
        <f t="shared" si="618"/>
        <v>20600</v>
      </c>
      <c r="W3065">
        <f t="shared" si="619"/>
        <v>-36512</v>
      </c>
      <c r="X3065">
        <v>0</v>
      </c>
    </row>
    <row r="3066" spans="1:24" x14ac:dyDescent="0.25">
      <c r="A3066" t="s">
        <v>1948</v>
      </c>
      <c r="B3066" t="s">
        <v>2076</v>
      </c>
      <c r="C3066" t="s">
        <v>2165</v>
      </c>
      <c r="D3066" t="s">
        <v>309</v>
      </c>
      <c r="E3066" t="s">
        <v>46</v>
      </c>
      <c r="F3066" t="s">
        <v>1</v>
      </c>
      <c r="G3066" t="s">
        <v>1062</v>
      </c>
      <c r="H3066" t="s">
        <v>446</v>
      </c>
      <c r="I3066" t="s">
        <v>1</v>
      </c>
      <c r="J3066"/>
      <c r="K3066"/>
      <c r="L3066">
        <v>4000</v>
      </c>
      <c r="M3066">
        <v>8066.2983425414368</v>
      </c>
      <c r="N3066">
        <v>4000</v>
      </c>
      <c r="O3066">
        <v>8000</v>
      </c>
      <c r="P3066">
        <v>0</v>
      </c>
      <c r="Q3066">
        <f t="shared" si="615"/>
        <v>8000</v>
      </c>
      <c r="R3066">
        <v>8000</v>
      </c>
      <c r="S3066">
        <f t="shared" si="616"/>
        <v>0</v>
      </c>
      <c r="T3066">
        <v>0.03</v>
      </c>
      <c r="U3066">
        <f t="shared" si="617"/>
        <v>240</v>
      </c>
      <c r="V3066">
        <f t="shared" si="618"/>
        <v>8240</v>
      </c>
      <c r="W3066">
        <f t="shared" si="619"/>
        <v>240</v>
      </c>
      <c r="X3066">
        <v>0</v>
      </c>
    </row>
    <row r="3067" spans="1:24" x14ac:dyDescent="0.25">
      <c r="A3067" t="s">
        <v>1948</v>
      </c>
      <c r="B3067" t="s">
        <v>2076</v>
      </c>
      <c r="C3067" t="s">
        <v>2165</v>
      </c>
      <c r="D3067" t="s">
        <v>309</v>
      </c>
      <c r="E3067" t="s">
        <v>51</v>
      </c>
      <c r="F3067" t="s">
        <v>51</v>
      </c>
      <c r="G3067" t="s">
        <v>1063</v>
      </c>
      <c r="H3067"/>
      <c r="I3067"/>
      <c r="J3067">
        <v>2231339.7000000007</v>
      </c>
      <c r="K3067">
        <v>2363494.4048764487</v>
      </c>
      <c r="L3067">
        <v>1035366.3</v>
      </c>
      <c r="M3067">
        <v>2087893.3674033147</v>
      </c>
      <c r="N3067">
        <v>2094374.3699999999</v>
      </c>
      <c r="O3067">
        <v>2081132.1360087432</v>
      </c>
      <c r="P3067">
        <f>SUMIF($F$3034:$F$3066,"&lt;&gt;EV_*",$P$3034:$P$3066)</f>
        <v>0</v>
      </c>
      <c r="Q3067">
        <f>SUMIF($F$3034:$F$3066,"&lt;&gt;EV_*",$Q$3034:$Q$3066)</f>
        <v>2081132.1360087432</v>
      </c>
      <c r="R3067">
        <f>SUMIF($F$3034:$F$3066,"&lt;&gt;EV_*",$R$3034:$R$3066)</f>
        <v>2084582.1151833602</v>
      </c>
      <c r="S3067">
        <f>SUMIF($F$3034:$F$3066,"&lt;&gt;EV_*",$S$3034:$S$3066)</f>
        <v>3449.9791746170085</v>
      </c>
      <c r="T3067">
        <v>0</v>
      </c>
      <c r="U3067">
        <f>SUMIF($F$3034:$F$3066,"&lt;&gt;EV_*",$U$3034:$U$3066)</f>
        <v>50833.102522325767</v>
      </c>
      <c r="V3067">
        <f>SUMIF($F$3034:$F$3066,"&lt;&gt;EV_*",$V$3034:$V$3066)</f>
        <v>2135415.2177056861</v>
      </c>
      <c r="W3067">
        <f>SUMIF($F$3034:$F$3066,"&lt;&gt;EV_*",$W$3034:$W$3066)</f>
        <v>54283.08169694274</v>
      </c>
      <c r="X3067">
        <f>SUMIF($F$3034:$F$3066,"&lt;&gt;EV_*",$X$3034:$X$3066)</f>
        <v>0</v>
      </c>
    </row>
    <row r="3068" spans="1:24" x14ac:dyDescent="0.25">
      <c r="A3068" t="s">
        <v>1948</v>
      </c>
      <c r="B3068" t="s">
        <v>2076</v>
      </c>
      <c r="C3068" t="s">
        <v>2166</v>
      </c>
      <c r="D3068" t="s">
        <v>310</v>
      </c>
      <c r="E3068" t="s">
        <v>5</v>
      </c>
      <c r="F3068" t="s">
        <v>5</v>
      </c>
      <c r="G3068" t="s">
        <v>1064</v>
      </c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</row>
    <row r="3069" spans="1:24" x14ac:dyDescent="0.25">
      <c r="A3069" t="s">
        <v>1948</v>
      </c>
      <c r="B3069" t="s">
        <v>2076</v>
      </c>
      <c r="C3069" t="s">
        <v>2166</v>
      </c>
      <c r="D3069" t="s">
        <v>310</v>
      </c>
      <c r="E3069" t="s">
        <v>11</v>
      </c>
      <c r="F3069" t="s">
        <v>1</v>
      </c>
      <c r="G3069" t="s">
        <v>1065</v>
      </c>
      <c r="H3069" t="s">
        <v>411</v>
      </c>
      <c r="I3069" t="s">
        <v>1</v>
      </c>
      <c r="J3069">
        <v>1049.53</v>
      </c>
      <c r="K3069">
        <v>873.83000000039999</v>
      </c>
      <c r="L3069">
        <v>424.82</v>
      </c>
      <c r="M3069">
        <v>856.68121546961322</v>
      </c>
      <c r="N3069">
        <v>901.1</v>
      </c>
      <c r="O3069">
        <v>849.64</v>
      </c>
      <c r="P3069">
        <v>0</v>
      </c>
      <c r="Q3069">
        <f>O3069+P3069</f>
        <v>849.64</v>
      </c>
      <c r="R3069">
        <v>849.64</v>
      </c>
      <c r="S3069">
        <f>IF(OR(LEFT(E3069,2)="A_",LEFT(D3069,5)="Total"),R3069-Q3069,"")</f>
        <v>0</v>
      </c>
      <c r="T3069"/>
      <c r="U3069">
        <f>IFERROR(R3069*T3069,R3069*0)</f>
        <v>0</v>
      </c>
      <c r="V3069">
        <f>IF(OR(LEFT(E3069,2)="A_",LEFT(D3069,5)="Total"),R3069+U3069,"")</f>
        <v>849.64</v>
      </c>
      <c r="W3069">
        <f>IF(OR(LEFT(E3069,2)="A_",LEFT(D3069,5)="Total"),V3069-Q3069,"")</f>
        <v>0</v>
      </c>
      <c r="X3069" t="s">
        <v>1799</v>
      </c>
    </row>
    <row r="3070" spans="1:24" x14ac:dyDescent="0.25">
      <c r="A3070" t="s">
        <v>1948</v>
      </c>
      <c r="B3070" t="s">
        <v>2076</v>
      </c>
      <c r="C3070" t="s">
        <v>2166</v>
      </c>
      <c r="D3070" t="s">
        <v>310</v>
      </c>
      <c r="E3070" t="s">
        <v>51</v>
      </c>
      <c r="F3070" t="s">
        <v>51</v>
      </c>
      <c r="G3070" t="s">
        <v>1066</v>
      </c>
      <c r="H3070"/>
      <c r="I3070"/>
      <c r="J3070">
        <v>1049.53</v>
      </c>
      <c r="K3070">
        <v>873.83000000039999</v>
      </c>
      <c r="L3070">
        <v>424.82</v>
      </c>
      <c r="M3070">
        <v>856.68121546961322</v>
      </c>
      <c r="N3070">
        <v>901.1</v>
      </c>
      <c r="O3070">
        <v>849.64</v>
      </c>
      <c r="P3070">
        <f>SUMIF($F$3068:$F$3069,"&lt;&gt;EV_*",$P$3068:$P$3069)</f>
        <v>0</v>
      </c>
      <c r="Q3070">
        <f>SUMIF($F$3068:$F$3069,"&lt;&gt;EV_*",$Q$3068:$Q$3069)</f>
        <v>849.64</v>
      </c>
      <c r="R3070">
        <f>SUMIF($F$3068:$F$3069,"&lt;&gt;EV_*",$R$3068:$R$3069)</f>
        <v>849.64</v>
      </c>
      <c r="S3070">
        <f>SUMIF($F$3068:$F$3069,"&lt;&gt;EV_*",$S$3068:$S$3069)</f>
        <v>0</v>
      </c>
      <c r="T3070">
        <v>0</v>
      </c>
      <c r="U3070">
        <f>SUMIF($F$3068:$F$3069,"&lt;&gt;EV_*",$U$3068:$U$3069)</f>
        <v>0</v>
      </c>
      <c r="V3070">
        <f>SUMIF($F$3068:$F$3069,"&lt;&gt;EV_*",$V$3068:$V$3069)</f>
        <v>849.64</v>
      </c>
      <c r="W3070">
        <f>SUMIF($F$3068:$F$3069,"&lt;&gt;EV_*",$W$3068:$W$3069)</f>
        <v>0</v>
      </c>
      <c r="X3070">
        <f>SUMIF($F$3068:$F$3069,"&lt;&gt;EV_*",$X$3068:$X$3069)</f>
        <v>0</v>
      </c>
    </row>
    <row r="3071" spans="1:24" x14ac:dyDescent="0.25">
      <c r="A3071" t="s">
        <v>1948</v>
      </c>
      <c r="B3071" t="s">
        <v>2076</v>
      </c>
      <c r="C3071" t="s">
        <v>2167</v>
      </c>
      <c r="D3071" t="s">
        <v>311</v>
      </c>
      <c r="E3071" t="s">
        <v>5</v>
      </c>
      <c r="F3071" t="s">
        <v>5</v>
      </c>
      <c r="G3071" t="s">
        <v>1067</v>
      </c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</row>
    <row r="3072" spans="1:24" x14ac:dyDescent="0.25">
      <c r="A3072" t="s">
        <v>1948</v>
      </c>
      <c r="B3072" t="s">
        <v>2076</v>
      </c>
      <c r="C3072" t="s">
        <v>2167</v>
      </c>
      <c r="D3072" t="s">
        <v>311</v>
      </c>
      <c r="E3072" t="s">
        <v>124</v>
      </c>
      <c r="F3072" t="s">
        <v>1</v>
      </c>
      <c r="G3072" t="s">
        <v>1068</v>
      </c>
      <c r="H3072" t="s">
        <v>597</v>
      </c>
      <c r="I3072" t="s">
        <v>1</v>
      </c>
      <c r="J3072">
        <v>127716.14</v>
      </c>
      <c r="K3072">
        <v>236210.00039999999</v>
      </c>
      <c r="L3072">
        <v>0</v>
      </c>
      <c r="M3072">
        <v>0</v>
      </c>
      <c r="N3072">
        <v>0</v>
      </c>
      <c r="O3072"/>
      <c r="P3072">
        <v>0</v>
      </c>
      <c r="Q3072">
        <f t="shared" ref="Q3072:Q3099" si="620">O3072+P3072</f>
        <v>0</v>
      </c>
      <c r="R3072">
        <v>0</v>
      </c>
      <c r="S3072">
        <f t="shared" ref="S3072:S3099" si="621">IF(OR(LEFT(E3072,2)="A_",LEFT(D3072,5)="Total"),R3072-Q3072,"")</f>
        <v>0</v>
      </c>
      <c r="T3072"/>
      <c r="U3072">
        <f t="shared" ref="U3072:U3099" si="622">IFERROR(R3072*T3072,R3072*0)</f>
        <v>0</v>
      </c>
      <c r="V3072">
        <f t="shared" ref="V3072:V3099" si="623">IF(OR(LEFT(E3072,2)="A_",LEFT(D3072,5)="Total"),R3072+U3072,"")</f>
        <v>0</v>
      </c>
      <c r="W3072">
        <f t="shared" ref="W3072:W3099" si="624">IF(OR(LEFT(E3072,2)="A_",LEFT(D3072,5)="Total"),V3072-Q3072,"")</f>
        <v>0</v>
      </c>
      <c r="X3072" t="s">
        <v>1803</v>
      </c>
    </row>
    <row r="3073" spans="1:24" x14ac:dyDescent="0.25">
      <c r="A3073" t="s">
        <v>1948</v>
      </c>
      <c r="B3073" t="s">
        <v>2076</v>
      </c>
      <c r="C3073" t="s">
        <v>2167</v>
      </c>
      <c r="D3073" t="s">
        <v>311</v>
      </c>
      <c r="E3073" t="s">
        <v>10</v>
      </c>
      <c r="F3073" t="s">
        <v>1</v>
      </c>
      <c r="G3073" t="s">
        <v>1068</v>
      </c>
      <c r="H3073" t="s">
        <v>410</v>
      </c>
      <c r="I3073" t="s">
        <v>1</v>
      </c>
      <c r="J3073">
        <v>247.5</v>
      </c>
      <c r="K3073">
        <v>5610</v>
      </c>
      <c r="L3073">
        <v>165</v>
      </c>
      <c r="M3073">
        <v>332.73480662983428</v>
      </c>
      <c r="N3073">
        <v>330</v>
      </c>
      <c r="O3073">
        <v>330</v>
      </c>
      <c r="P3073">
        <v>0</v>
      </c>
      <c r="Q3073">
        <f t="shared" si="620"/>
        <v>330</v>
      </c>
      <c r="R3073">
        <v>330</v>
      </c>
      <c r="S3073">
        <f t="shared" si="621"/>
        <v>0</v>
      </c>
      <c r="T3073"/>
      <c r="U3073">
        <f t="shared" si="622"/>
        <v>0</v>
      </c>
      <c r="V3073">
        <f t="shared" si="623"/>
        <v>330</v>
      </c>
      <c r="W3073">
        <f t="shared" si="624"/>
        <v>0</v>
      </c>
      <c r="X3073" t="s">
        <v>1804</v>
      </c>
    </row>
    <row r="3074" spans="1:24" x14ac:dyDescent="0.25">
      <c r="A3074" t="s">
        <v>1948</v>
      </c>
      <c r="B3074" t="s">
        <v>2076</v>
      </c>
      <c r="C3074" t="s">
        <v>2167</v>
      </c>
      <c r="D3074" t="s">
        <v>311</v>
      </c>
      <c r="E3074" t="s">
        <v>65</v>
      </c>
      <c r="F3074" t="s">
        <v>1</v>
      </c>
      <c r="G3074" t="s">
        <v>1068</v>
      </c>
      <c r="H3074" t="s">
        <v>476</v>
      </c>
      <c r="I3074" t="s">
        <v>1</v>
      </c>
      <c r="J3074">
        <v>-32.57</v>
      </c>
      <c r="K3074"/>
      <c r="L3074">
        <v>-30.06</v>
      </c>
      <c r="M3074">
        <v>-60.618232044198898</v>
      </c>
      <c r="N3074">
        <v>-37.629999999999995</v>
      </c>
      <c r="O3074">
        <v>-60.4503296703</v>
      </c>
      <c r="P3074">
        <v>0</v>
      </c>
      <c r="Q3074">
        <f t="shared" si="620"/>
        <v>-60.4503296703</v>
      </c>
      <c r="R3074">
        <v>-60.4503296703</v>
      </c>
      <c r="S3074">
        <f t="shared" si="621"/>
        <v>0</v>
      </c>
      <c r="T3074"/>
      <c r="U3074">
        <f t="shared" si="622"/>
        <v>0</v>
      </c>
      <c r="V3074">
        <f t="shared" si="623"/>
        <v>-60.4503296703</v>
      </c>
      <c r="W3074">
        <f t="shared" si="624"/>
        <v>0</v>
      </c>
      <c r="X3074">
        <v>0</v>
      </c>
    </row>
    <row r="3075" spans="1:24" x14ac:dyDescent="0.25">
      <c r="A3075" t="s">
        <v>1948</v>
      </c>
      <c r="B3075" t="s">
        <v>2076</v>
      </c>
      <c r="C3075" t="s">
        <v>2167</v>
      </c>
      <c r="D3075" t="s">
        <v>311</v>
      </c>
      <c r="E3075" t="s">
        <v>17</v>
      </c>
      <c r="F3075" t="s">
        <v>1</v>
      </c>
      <c r="G3075" t="s">
        <v>1068</v>
      </c>
      <c r="H3075" t="s">
        <v>417</v>
      </c>
      <c r="I3075" t="s">
        <v>1</v>
      </c>
      <c r="J3075">
        <v>-930.14</v>
      </c>
      <c r="K3075">
        <v>-5030.0000000001</v>
      </c>
      <c r="L3075">
        <v>-1154.23</v>
      </c>
      <c r="M3075">
        <v>-2327.5908839779004</v>
      </c>
      <c r="N3075">
        <v>-1278.67</v>
      </c>
      <c r="O3075">
        <v>-2321.1438461539001</v>
      </c>
      <c r="P3075">
        <v>0</v>
      </c>
      <c r="Q3075">
        <f t="shared" si="620"/>
        <v>-2321.1438461539001</v>
      </c>
      <c r="R3075">
        <v>-2321.1438461539001</v>
      </c>
      <c r="S3075">
        <f t="shared" si="621"/>
        <v>0</v>
      </c>
      <c r="T3075"/>
      <c r="U3075">
        <f t="shared" si="622"/>
        <v>0</v>
      </c>
      <c r="V3075">
        <f t="shared" si="623"/>
        <v>-2321.1438461539001</v>
      </c>
      <c r="W3075">
        <f t="shared" si="624"/>
        <v>0</v>
      </c>
      <c r="X3075">
        <v>0</v>
      </c>
    </row>
    <row r="3076" spans="1:24" x14ac:dyDescent="0.25">
      <c r="A3076" t="s">
        <v>1948</v>
      </c>
      <c r="B3076" t="s">
        <v>2076</v>
      </c>
      <c r="C3076" t="s">
        <v>2167</v>
      </c>
      <c r="D3076" t="s">
        <v>311</v>
      </c>
      <c r="E3076" t="s">
        <v>82</v>
      </c>
      <c r="F3076" t="s">
        <v>1</v>
      </c>
      <c r="G3076" t="s">
        <v>1068</v>
      </c>
      <c r="H3076" t="s">
        <v>507</v>
      </c>
      <c r="I3076" t="s">
        <v>1</v>
      </c>
      <c r="J3076">
        <v>51.19</v>
      </c>
      <c r="K3076"/>
      <c r="L3076">
        <v>25.6</v>
      </c>
      <c r="M3076">
        <v>51.624309392265197</v>
      </c>
      <c r="N3076">
        <v>51.2</v>
      </c>
      <c r="O3076">
        <v>51.481318681300003</v>
      </c>
      <c r="P3076">
        <v>0</v>
      </c>
      <c r="Q3076">
        <f t="shared" si="620"/>
        <v>51.481318681300003</v>
      </c>
      <c r="R3076">
        <v>51.481318681300003</v>
      </c>
      <c r="S3076">
        <f t="shared" si="621"/>
        <v>0</v>
      </c>
      <c r="T3076">
        <v>2.75E-2</v>
      </c>
      <c r="U3076">
        <f t="shared" si="622"/>
        <v>1.41573626373575</v>
      </c>
      <c r="V3076">
        <f t="shared" si="623"/>
        <v>52.897054945035755</v>
      </c>
      <c r="W3076">
        <f t="shared" si="624"/>
        <v>1.4157362637357522</v>
      </c>
      <c r="X3076">
        <v>0</v>
      </c>
    </row>
    <row r="3077" spans="1:24" x14ac:dyDescent="0.25">
      <c r="A3077" t="s">
        <v>1948</v>
      </c>
      <c r="B3077" t="s">
        <v>2076</v>
      </c>
      <c r="C3077" t="s">
        <v>2167</v>
      </c>
      <c r="D3077" t="s">
        <v>311</v>
      </c>
      <c r="E3077" t="s">
        <v>18</v>
      </c>
      <c r="F3077" t="s">
        <v>1</v>
      </c>
      <c r="G3077" t="s">
        <v>1068</v>
      </c>
      <c r="H3077" t="s">
        <v>418</v>
      </c>
      <c r="I3077" t="s">
        <v>1</v>
      </c>
      <c r="J3077">
        <v>22268.92</v>
      </c>
      <c r="K3077">
        <v>20405.137705438701</v>
      </c>
      <c r="L3077">
        <v>18441.330000000002</v>
      </c>
      <c r="M3077">
        <v>37188.317403314919</v>
      </c>
      <c r="N3077">
        <v>30334.58</v>
      </c>
      <c r="O3077">
        <v>37085.311978022</v>
      </c>
      <c r="P3077">
        <v>0</v>
      </c>
      <c r="Q3077">
        <f t="shared" si="620"/>
        <v>37085.311978022</v>
      </c>
      <c r="R3077">
        <v>37085.311978022</v>
      </c>
      <c r="S3077">
        <f t="shared" si="621"/>
        <v>0</v>
      </c>
      <c r="T3077">
        <v>0.02</v>
      </c>
      <c r="U3077">
        <f t="shared" si="622"/>
        <v>741.70623956044005</v>
      </c>
      <c r="V3077">
        <f t="shared" si="623"/>
        <v>37827.018217582438</v>
      </c>
      <c r="W3077">
        <f t="shared" si="624"/>
        <v>741.7062395604371</v>
      </c>
      <c r="X3077">
        <v>0</v>
      </c>
    </row>
    <row r="3078" spans="1:24" x14ac:dyDescent="0.25">
      <c r="A3078" t="s">
        <v>1948</v>
      </c>
      <c r="B3078" t="s">
        <v>2076</v>
      </c>
      <c r="C3078" t="s">
        <v>2167</v>
      </c>
      <c r="D3078" t="s">
        <v>311</v>
      </c>
      <c r="E3078" t="s">
        <v>57</v>
      </c>
      <c r="F3078" t="s">
        <v>1</v>
      </c>
      <c r="G3078" t="s">
        <v>1068</v>
      </c>
      <c r="H3078" t="s">
        <v>462</v>
      </c>
      <c r="I3078" t="s">
        <v>1</v>
      </c>
      <c r="J3078">
        <v>676.44</v>
      </c>
      <c r="K3078">
        <v>-261.09999999989998</v>
      </c>
      <c r="L3078">
        <v>375.97</v>
      </c>
      <c r="M3078">
        <v>758.17154696132604</v>
      </c>
      <c r="N3078">
        <v>621.8599999999999</v>
      </c>
      <c r="O3078">
        <v>756.07153846150004</v>
      </c>
      <c r="P3078">
        <v>0</v>
      </c>
      <c r="Q3078">
        <f t="shared" si="620"/>
        <v>756.07153846150004</v>
      </c>
      <c r="R3078">
        <v>756.07153846150004</v>
      </c>
      <c r="S3078">
        <f t="shared" si="621"/>
        <v>0</v>
      </c>
      <c r="T3078">
        <v>0.04</v>
      </c>
      <c r="U3078">
        <f t="shared" si="622"/>
        <v>30.242861538460001</v>
      </c>
      <c r="V3078">
        <f t="shared" si="623"/>
        <v>786.31439999996007</v>
      </c>
      <c r="W3078">
        <f t="shared" si="624"/>
        <v>30.242861538460033</v>
      </c>
      <c r="X3078">
        <v>0</v>
      </c>
    </row>
    <row r="3079" spans="1:24" x14ac:dyDescent="0.25">
      <c r="A3079" t="s">
        <v>1948</v>
      </c>
      <c r="B3079" t="s">
        <v>2076</v>
      </c>
      <c r="C3079" t="s">
        <v>2167</v>
      </c>
      <c r="D3079" t="s">
        <v>311</v>
      </c>
      <c r="E3079" t="s">
        <v>73</v>
      </c>
      <c r="F3079" t="s">
        <v>1</v>
      </c>
      <c r="G3079" t="s">
        <v>1068</v>
      </c>
      <c r="H3079" t="s">
        <v>490</v>
      </c>
      <c r="I3079" t="s">
        <v>1</v>
      </c>
      <c r="J3079">
        <v>28998.66</v>
      </c>
      <c r="K3079">
        <v>27904.948907407601</v>
      </c>
      <c r="L3079">
        <v>30479.52</v>
      </c>
      <c r="M3079">
        <v>61464.225414364635</v>
      </c>
      <c r="N3079">
        <v>45270.799999999996</v>
      </c>
      <c r="O3079">
        <v>61293.979780219801</v>
      </c>
      <c r="P3079">
        <v>0</v>
      </c>
      <c r="Q3079">
        <f t="shared" si="620"/>
        <v>61293.979780219801</v>
      </c>
      <c r="R3079">
        <v>61293.979780219801</v>
      </c>
      <c r="S3079">
        <f t="shared" si="621"/>
        <v>0</v>
      </c>
      <c r="T3079">
        <v>3.5000000000000003E-2</v>
      </c>
      <c r="U3079">
        <f t="shared" si="622"/>
        <v>2145.2892923076934</v>
      </c>
      <c r="V3079">
        <f t="shared" si="623"/>
        <v>63439.269072527495</v>
      </c>
      <c r="W3079">
        <f t="shared" si="624"/>
        <v>2145.2892923076943</v>
      </c>
      <c r="X3079">
        <v>0</v>
      </c>
    </row>
    <row r="3080" spans="1:24" x14ac:dyDescent="0.25">
      <c r="A3080" t="s">
        <v>1948</v>
      </c>
      <c r="B3080" t="s">
        <v>2076</v>
      </c>
      <c r="C3080" t="s">
        <v>2167</v>
      </c>
      <c r="D3080" t="s">
        <v>311</v>
      </c>
      <c r="E3080" t="s">
        <v>19</v>
      </c>
      <c r="F3080" t="s">
        <v>1</v>
      </c>
      <c r="G3080" t="s">
        <v>1068</v>
      </c>
      <c r="H3080" t="s">
        <v>419</v>
      </c>
      <c r="I3080" t="s">
        <v>1</v>
      </c>
      <c r="J3080"/>
      <c r="K3080"/>
      <c r="L3080">
        <v>10119</v>
      </c>
      <c r="M3080">
        <v>20405.718232044197</v>
      </c>
      <c r="N3080">
        <v>10119</v>
      </c>
      <c r="O3080">
        <v>20349.197802197799</v>
      </c>
      <c r="P3080">
        <v>0</v>
      </c>
      <c r="Q3080">
        <f t="shared" si="620"/>
        <v>20349.197802197799</v>
      </c>
      <c r="R3080">
        <v>20349.197802197799</v>
      </c>
      <c r="S3080">
        <f t="shared" si="621"/>
        <v>0</v>
      </c>
      <c r="T3080">
        <v>0.02</v>
      </c>
      <c r="U3080">
        <f t="shared" si="622"/>
        <v>406.98395604395597</v>
      </c>
      <c r="V3080">
        <f t="shared" si="623"/>
        <v>20756.181758241757</v>
      </c>
      <c r="W3080">
        <f t="shared" si="624"/>
        <v>406.98395604395773</v>
      </c>
      <c r="X3080">
        <v>0</v>
      </c>
    </row>
    <row r="3081" spans="1:24" x14ac:dyDescent="0.25">
      <c r="A3081" t="s">
        <v>1948</v>
      </c>
      <c r="B3081" t="s">
        <v>2076</v>
      </c>
      <c r="C3081" t="s">
        <v>2167</v>
      </c>
      <c r="D3081" t="s">
        <v>311</v>
      </c>
      <c r="E3081" t="s">
        <v>74</v>
      </c>
      <c r="F3081" t="s">
        <v>1</v>
      </c>
      <c r="G3081" t="s">
        <v>1068</v>
      </c>
      <c r="H3081" t="s">
        <v>491</v>
      </c>
      <c r="I3081" t="s">
        <v>1</v>
      </c>
      <c r="J3081">
        <v>20119.580000000002</v>
      </c>
      <c r="K3081">
        <v>23981.654481481699</v>
      </c>
      <c r="L3081">
        <v>9118</v>
      </c>
      <c r="M3081">
        <v>18387.127071823204</v>
      </c>
      <c r="N3081">
        <v>17059.139999999996</v>
      </c>
      <c r="O3081">
        <v>18336.197802197799</v>
      </c>
      <c r="P3081">
        <v>0</v>
      </c>
      <c r="Q3081">
        <f t="shared" si="620"/>
        <v>18336.197802197799</v>
      </c>
      <c r="R3081">
        <v>23981.654481481699</v>
      </c>
      <c r="S3081">
        <f t="shared" si="621"/>
        <v>5645.4566792838996</v>
      </c>
      <c r="T3081">
        <v>3.5000000000000003E-2</v>
      </c>
      <c r="U3081">
        <f t="shared" si="622"/>
        <v>839.35790685185952</v>
      </c>
      <c r="V3081">
        <f t="shared" si="623"/>
        <v>24821.012388333558</v>
      </c>
      <c r="W3081">
        <f t="shared" si="624"/>
        <v>6484.8145861357589</v>
      </c>
      <c r="X3081">
        <v>0</v>
      </c>
    </row>
    <row r="3082" spans="1:24" x14ac:dyDescent="0.25">
      <c r="A3082" t="s">
        <v>1948</v>
      </c>
      <c r="B3082" t="s">
        <v>2076</v>
      </c>
      <c r="C3082" t="s">
        <v>2167</v>
      </c>
      <c r="D3082" t="s">
        <v>311</v>
      </c>
      <c r="E3082" t="s">
        <v>85</v>
      </c>
      <c r="F3082" t="s">
        <v>1</v>
      </c>
      <c r="G3082" t="s">
        <v>1068</v>
      </c>
      <c r="H3082" t="s">
        <v>510</v>
      </c>
      <c r="I3082" t="s">
        <v>1</v>
      </c>
      <c r="J3082">
        <v>6836.14</v>
      </c>
      <c r="K3082">
        <v>7582.6172469138</v>
      </c>
      <c r="L3082">
        <v>3223.59</v>
      </c>
      <c r="M3082">
        <v>6500.6096685082875</v>
      </c>
      <c r="N3082">
        <v>6766.4999999999991</v>
      </c>
      <c r="O3082">
        <v>6482.6040659340997</v>
      </c>
      <c r="P3082">
        <v>0</v>
      </c>
      <c r="Q3082">
        <f t="shared" si="620"/>
        <v>6482.6040659340997</v>
      </c>
      <c r="R3082">
        <v>6482.6040659340997</v>
      </c>
      <c r="S3082">
        <f t="shared" si="621"/>
        <v>0</v>
      </c>
      <c r="T3082">
        <v>0.02</v>
      </c>
      <c r="U3082">
        <f t="shared" si="622"/>
        <v>129.65208131868201</v>
      </c>
      <c r="V3082">
        <f t="shared" si="623"/>
        <v>6612.2561472527814</v>
      </c>
      <c r="W3082">
        <f t="shared" si="624"/>
        <v>129.65208131868167</v>
      </c>
      <c r="X3082">
        <v>0</v>
      </c>
    </row>
    <row r="3083" spans="1:24" x14ac:dyDescent="0.25">
      <c r="A3083" t="s">
        <v>1948</v>
      </c>
      <c r="B3083" t="s">
        <v>2076</v>
      </c>
      <c r="C3083" t="s">
        <v>2167</v>
      </c>
      <c r="D3083" t="s">
        <v>311</v>
      </c>
      <c r="E3083" t="s">
        <v>120</v>
      </c>
      <c r="F3083" t="s">
        <v>1</v>
      </c>
      <c r="G3083" t="s">
        <v>1068</v>
      </c>
      <c r="H3083" t="s">
        <v>589</v>
      </c>
      <c r="I3083" t="s">
        <v>1</v>
      </c>
      <c r="J3083">
        <v>2655</v>
      </c>
      <c r="K3083">
        <v>2293.0787037035998</v>
      </c>
      <c r="L3083">
        <v>1558.5</v>
      </c>
      <c r="M3083">
        <v>3142.8314917127068</v>
      </c>
      <c r="N3083">
        <v>3033.5</v>
      </c>
      <c r="O3083">
        <v>3134.1263736264</v>
      </c>
      <c r="P3083">
        <v>0</v>
      </c>
      <c r="Q3083">
        <f t="shared" si="620"/>
        <v>3134.1263736264</v>
      </c>
      <c r="R3083">
        <v>3134.1263736264</v>
      </c>
      <c r="S3083">
        <f t="shared" si="621"/>
        <v>0</v>
      </c>
      <c r="T3083">
        <v>3.5000000000000003E-2</v>
      </c>
      <c r="U3083">
        <f t="shared" si="622"/>
        <v>109.69442307692401</v>
      </c>
      <c r="V3083">
        <f t="shared" si="623"/>
        <v>3243.820796703324</v>
      </c>
      <c r="W3083">
        <f t="shared" si="624"/>
        <v>109.69442307692407</v>
      </c>
      <c r="X3083">
        <v>0</v>
      </c>
    </row>
    <row r="3084" spans="1:24" x14ac:dyDescent="0.25">
      <c r="A3084" t="s">
        <v>1948</v>
      </c>
      <c r="B3084" t="s">
        <v>2076</v>
      </c>
      <c r="C3084" t="s">
        <v>2167</v>
      </c>
      <c r="D3084" t="s">
        <v>311</v>
      </c>
      <c r="E3084" t="s">
        <v>20</v>
      </c>
      <c r="F3084" t="s">
        <v>1</v>
      </c>
      <c r="G3084" t="s">
        <v>1068</v>
      </c>
      <c r="H3084" t="s">
        <v>420</v>
      </c>
      <c r="I3084" t="s">
        <v>1</v>
      </c>
      <c r="J3084">
        <v>2794.08</v>
      </c>
      <c r="K3084">
        <v>2993.0600823045002</v>
      </c>
      <c r="L3084">
        <v>953.05</v>
      </c>
      <c r="M3084">
        <v>1921.896408839779</v>
      </c>
      <c r="N3084">
        <v>2331.0099999999998</v>
      </c>
      <c r="O3084">
        <v>1916.5730769231</v>
      </c>
      <c r="P3084">
        <v>0</v>
      </c>
      <c r="Q3084">
        <f t="shared" si="620"/>
        <v>1916.5730769231</v>
      </c>
      <c r="R3084">
        <v>1916.5730769231</v>
      </c>
      <c r="S3084">
        <f t="shared" si="621"/>
        <v>0</v>
      </c>
      <c r="T3084">
        <v>0.04</v>
      </c>
      <c r="U3084">
        <f t="shared" si="622"/>
        <v>76.662923076924002</v>
      </c>
      <c r="V3084">
        <f t="shared" si="623"/>
        <v>1993.236000000024</v>
      </c>
      <c r="W3084">
        <f t="shared" si="624"/>
        <v>76.662923076924017</v>
      </c>
      <c r="X3084">
        <v>0</v>
      </c>
    </row>
    <row r="3085" spans="1:24" x14ac:dyDescent="0.25">
      <c r="A3085" t="s">
        <v>1948</v>
      </c>
      <c r="B3085" t="s">
        <v>2076</v>
      </c>
      <c r="C3085" t="s">
        <v>2167</v>
      </c>
      <c r="D3085" t="s">
        <v>311</v>
      </c>
      <c r="E3085" t="s">
        <v>21</v>
      </c>
      <c r="F3085" t="s">
        <v>1</v>
      </c>
      <c r="G3085" t="s">
        <v>1068</v>
      </c>
      <c r="H3085" t="s">
        <v>421</v>
      </c>
      <c r="I3085" t="s">
        <v>1</v>
      </c>
      <c r="J3085">
        <v>2994.87</v>
      </c>
      <c r="K3085">
        <v>2280.5000000002001</v>
      </c>
      <c r="L3085">
        <v>1937.56</v>
      </c>
      <c r="M3085">
        <v>3907.2342541436465</v>
      </c>
      <c r="N3085">
        <v>3813.88</v>
      </c>
      <c r="O3085">
        <v>3907.2342541437001</v>
      </c>
      <c r="P3085">
        <v>0</v>
      </c>
      <c r="Q3085">
        <f t="shared" si="620"/>
        <v>3907.2342541437001</v>
      </c>
      <c r="R3085">
        <v>3907.2342541437001</v>
      </c>
      <c r="S3085">
        <f t="shared" si="621"/>
        <v>0</v>
      </c>
      <c r="T3085">
        <v>0.03</v>
      </c>
      <c r="U3085">
        <f t="shared" si="622"/>
        <v>117.217027624311</v>
      </c>
      <c r="V3085">
        <f t="shared" si="623"/>
        <v>4024.4512817680111</v>
      </c>
      <c r="W3085">
        <f t="shared" si="624"/>
        <v>117.21702762431096</v>
      </c>
      <c r="X3085" t="s">
        <v>1768</v>
      </c>
    </row>
    <row r="3086" spans="1:24" x14ac:dyDescent="0.25">
      <c r="A3086" t="s">
        <v>1948</v>
      </c>
      <c r="B3086" t="s">
        <v>2076</v>
      </c>
      <c r="C3086" t="s">
        <v>2167</v>
      </c>
      <c r="D3086" t="s">
        <v>311</v>
      </c>
      <c r="E3086" t="s">
        <v>22</v>
      </c>
      <c r="F3086" t="s">
        <v>1</v>
      </c>
      <c r="G3086" t="s">
        <v>1068</v>
      </c>
      <c r="H3086" t="s">
        <v>422</v>
      </c>
      <c r="I3086" t="s">
        <v>1</v>
      </c>
      <c r="J3086">
        <v>22.22</v>
      </c>
      <c r="K3086"/>
      <c r="L3086">
        <v>0</v>
      </c>
      <c r="M3086">
        <v>0</v>
      </c>
      <c r="N3086">
        <v>22.22</v>
      </c>
      <c r="O3086"/>
      <c r="P3086">
        <v>0</v>
      </c>
      <c r="Q3086">
        <f t="shared" si="620"/>
        <v>0</v>
      </c>
      <c r="R3086">
        <v>0</v>
      </c>
      <c r="S3086">
        <f t="shared" si="621"/>
        <v>0</v>
      </c>
      <c r="T3086">
        <v>3.5000000000000003E-2</v>
      </c>
      <c r="U3086">
        <f t="shared" si="622"/>
        <v>0</v>
      </c>
      <c r="V3086">
        <f t="shared" si="623"/>
        <v>0</v>
      </c>
      <c r="W3086">
        <f t="shared" si="624"/>
        <v>0</v>
      </c>
      <c r="X3086">
        <v>0</v>
      </c>
    </row>
    <row r="3087" spans="1:24" x14ac:dyDescent="0.25">
      <c r="A3087" t="s">
        <v>1948</v>
      </c>
      <c r="B3087" t="s">
        <v>2076</v>
      </c>
      <c r="C3087" t="s">
        <v>2167</v>
      </c>
      <c r="D3087" t="s">
        <v>311</v>
      </c>
      <c r="E3087" t="s">
        <v>23</v>
      </c>
      <c r="F3087" t="s">
        <v>1</v>
      </c>
      <c r="G3087" t="s">
        <v>1068</v>
      </c>
      <c r="H3087" t="s">
        <v>423</v>
      </c>
      <c r="I3087" t="s">
        <v>1</v>
      </c>
      <c r="J3087"/>
      <c r="K3087"/>
      <c r="L3087">
        <v>5000</v>
      </c>
      <c r="M3087">
        <v>10082.872928176796</v>
      </c>
      <c r="N3087">
        <v>5000</v>
      </c>
      <c r="O3087">
        <v>10082.872928176799</v>
      </c>
      <c r="P3087">
        <v>0</v>
      </c>
      <c r="Q3087">
        <f t="shared" si="620"/>
        <v>10082.872928176799</v>
      </c>
      <c r="R3087">
        <v>10082.872928176799</v>
      </c>
      <c r="S3087">
        <f t="shared" si="621"/>
        <v>0</v>
      </c>
      <c r="T3087">
        <v>3.5000000000000003E-2</v>
      </c>
      <c r="U3087">
        <f t="shared" si="622"/>
        <v>352.90055248618802</v>
      </c>
      <c r="V3087">
        <f t="shared" si="623"/>
        <v>10435.773480662987</v>
      </c>
      <c r="W3087">
        <f t="shared" si="624"/>
        <v>352.90055248618773</v>
      </c>
      <c r="X3087" t="s">
        <v>1805</v>
      </c>
    </row>
    <row r="3088" spans="1:24" x14ac:dyDescent="0.25">
      <c r="A3088" t="s">
        <v>1948</v>
      </c>
      <c r="B3088" t="s">
        <v>2076</v>
      </c>
      <c r="C3088" t="s">
        <v>2167</v>
      </c>
      <c r="D3088" t="s">
        <v>311</v>
      </c>
      <c r="E3088" t="s">
        <v>33</v>
      </c>
      <c r="F3088" t="s">
        <v>1</v>
      </c>
      <c r="G3088" t="s">
        <v>1068</v>
      </c>
      <c r="H3088" t="s">
        <v>433</v>
      </c>
      <c r="I3088" t="s">
        <v>1</v>
      </c>
      <c r="J3088">
        <v>233.25</v>
      </c>
      <c r="K3088"/>
      <c r="L3088">
        <v>0</v>
      </c>
      <c r="M3088">
        <v>0</v>
      </c>
      <c r="N3088">
        <v>233.25</v>
      </c>
      <c r="O3088"/>
      <c r="P3088">
        <v>0</v>
      </c>
      <c r="Q3088">
        <f t="shared" si="620"/>
        <v>0</v>
      </c>
      <c r="R3088">
        <v>0</v>
      </c>
      <c r="S3088">
        <f t="shared" si="621"/>
        <v>0</v>
      </c>
      <c r="T3088"/>
      <c r="U3088">
        <f t="shared" si="622"/>
        <v>0</v>
      </c>
      <c r="V3088">
        <f t="shared" si="623"/>
        <v>0</v>
      </c>
      <c r="W3088">
        <f t="shared" si="624"/>
        <v>0</v>
      </c>
      <c r="X3088">
        <v>0</v>
      </c>
    </row>
    <row r="3089" spans="1:24" x14ac:dyDescent="0.25">
      <c r="A3089" t="s">
        <v>1948</v>
      </c>
      <c r="B3089" t="s">
        <v>2076</v>
      </c>
      <c r="C3089" t="s">
        <v>2167</v>
      </c>
      <c r="D3089" t="s">
        <v>311</v>
      </c>
      <c r="E3089" t="s">
        <v>34</v>
      </c>
      <c r="F3089" t="s">
        <v>1</v>
      </c>
      <c r="G3089" t="s">
        <v>1068</v>
      </c>
      <c r="H3089" t="s">
        <v>434</v>
      </c>
      <c r="I3089" t="s">
        <v>1</v>
      </c>
      <c r="J3089">
        <v>197.57</v>
      </c>
      <c r="K3089"/>
      <c r="L3089">
        <v>0</v>
      </c>
      <c r="M3089">
        <v>0</v>
      </c>
      <c r="N3089">
        <v>197.57</v>
      </c>
      <c r="O3089"/>
      <c r="P3089">
        <v>0</v>
      </c>
      <c r="Q3089">
        <f t="shared" si="620"/>
        <v>0</v>
      </c>
      <c r="R3089">
        <v>0</v>
      </c>
      <c r="S3089">
        <f t="shared" si="621"/>
        <v>0</v>
      </c>
      <c r="T3089"/>
      <c r="U3089">
        <f t="shared" si="622"/>
        <v>0</v>
      </c>
      <c r="V3089">
        <f t="shared" si="623"/>
        <v>0</v>
      </c>
      <c r="W3089">
        <f t="shared" si="624"/>
        <v>0</v>
      </c>
      <c r="X3089">
        <v>0</v>
      </c>
    </row>
    <row r="3090" spans="1:24" x14ac:dyDescent="0.25">
      <c r="A3090" t="s">
        <v>1948</v>
      </c>
      <c r="B3090" t="s">
        <v>2076</v>
      </c>
      <c r="C3090" t="s">
        <v>2167</v>
      </c>
      <c r="D3090" t="s">
        <v>311</v>
      </c>
      <c r="E3090" t="s">
        <v>121</v>
      </c>
      <c r="F3090" t="s">
        <v>1</v>
      </c>
      <c r="G3090" t="s">
        <v>1068</v>
      </c>
      <c r="H3090" t="s">
        <v>590</v>
      </c>
      <c r="I3090" t="s">
        <v>1</v>
      </c>
      <c r="J3090">
        <v>103908</v>
      </c>
      <c r="K3090">
        <v>73456.733811971993</v>
      </c>
      <c r="L3090">
        <v>2478</v>
      </c>
      <c r="M3090">
        <v>4997.0718232044201</v>
      </c>
      <c r="N3090">
        <v>75369</v>
      </c>
      <c r="O3090">
        <v>4956</v>
      </c>
      <c r="P3090">
        <v>0</v>
      </c>
      <c r="Q3090">
        <f t="shared" si="620"/>
        <v>4956</v>
      </c>
      <c r="R3090">
        <v>41684</v>
      </c>
      <c r="S3090">
        <f t="shared" si="621"/>
        <v>36728</v>
      </c>
      <c r="T3090"/>
      <c r="U3090">
        <f t="shared" si="622"/>
        <v>0</v>
      </c>
      <c r="V3090">
        <f t="shared" si="623"/>
        <v>41684</v>
      </c>
      <c r="W3090">
        <f t="shared" si="624"/>
        <v>36728</v>
      </c>
      <c r="X3090">
        <v>0</v>
      </c>
    </row>
    <row r="3091" spans="1:24" x14ac:dyDescent="0.25">
      <c r="A3091" t="s">
        <v>1948</v>
      </c>
      <c r="B3091" t="s">
        <v>2076</v>
      </c>
      <c r="C3091" t="s">
        <v>2167</v>
      </c>
      <c r="D3091" t="s">
        <v>311</v>
      </c>
      <c r="E3091" t="s">
        <v>40</v>
      </c>
      <c r="F3091" t="s">
        <v>1</v>
      </c>
      <c r="G3091" t="s">
        <v>1068</v>
      </c>
      <c r="H3091" t="s">
        <v>440</v>
      </c>
      <c r="I3091" t="s">
        <v>1</v>
      </c>
      <c r="J3091">
        <v>-5780</v>
      </c>
      <c r="K3091"/>
      <c r="L3091">
        <v>0</v>
      </c>
      <c r="M3091">
        <v>0</v>
      </c>
      <c r="N3091">
        <v>0</v>
      </c>
      <c r="O3091"/>
      <c r="P3091">
        <v>0</v>
      </c>
      <c r="Q3091">
        <f t="shared" si="620"/>
        <v>0</v>
      </c>
      <c r="R3091">
        <v>0</v>
      </c>
      <c r="S3091">
        <f t="shared" si="621"/>
        <v>0</v>
      </c>
      <c r="T3091">
        <v>0.03</v>
      </c>
      <c r="U3091">
        <f t="shared" si="622"/>
        <v>0</v>
      </c>
      <c r="V3091">
        <f t="shared" si="623"/>
        <v>0</v>
      </c>
      <c r="W3091">
        <f t="shared" si="624"/>
        <v>0</v>
      </c>
      <c r="X3091">
        <v>0</v>
      </c>
    </row>
    <row r="3092" spans="1:24" x14ac:dyDescent="0.25">
      <c r="A3092" t="s">
        <v>1948</v>
      </c>
      <c r="B3092" t="s">
        <v>2076</v>
      </c>
      <c r="C3092" t="s">
        <v>2167</v>
      </c>
      <c r="D3092" t="s">
        <v>311</v>
      </c>
      <c r="E3092" t="s">
        <v>76</v>
      </c>
      <c r="F3092" t="s">
        <v>1</v>
      </c>
      <c r="G3092" t="s">
        <v>1068</v>
      </c>
      <c r="H3092" t="s">
        <v>493</v>
      </c>
      <c r="I3092" t="s">
        <v>1</v>
      </c>
      <c r="J3092">
        <v>302533.90000000002</v>
      </c>
      <c r="K3092">
        <v>210949.395085834</v>
      </c>
      <c r="L3092">
        <v>198800.75</v>
      </c>
      <c r="M3092">
        <v>400896.5400552486</v>
      </c>
      <c r="N3092">
        <v>348462.95999999996</v>
      </c>
      <c r="O3092">
        <v>397601.5</v>
      </c>
      <c r="P3092">
        <v>0</v>
      </c>
      <c r="Q3092">
        <f t="shared" si="620"/>
        <v>397601.5</v>
      </c>
      <c r="R3092">
        <v>397601.5</v>
      </c>
      <c r="S3092">
        <f t="shared" si="621"/>
        <v>0</v>
      </c>
      <c r="T3092">
        <v>0.03</v>
      </c>
      <c r="U3092">
        <f t="shared" si="622"/>
        <v>11928.045</v>
      </c>
      <c r="V3092">
        <f t="shared" si="623"/>
        <v>409529.54499999998</v>
      </c>
      <c r="W3092">
        <f t="shared" si="624"/>
        <v>11928.044999999984</v>
      </c>
      <c r="X3092" t="s">
        <v>1806</v>
      </c>
    </row>
    <row r="3093" spans="1:24" x14ac:dyDescent="0.25">
      <c r="A3093" t="s">
        <v>1948</v>
      </c>
      <c r="B3093" t="s">
        <v>2076</v>
      </c>
      <c r="C3093" t="s">
        <v>2167</v>
      </c>
      <c r="D3093" t="s">
        <v>311</v>
      </c>
      <c r="E3093" t="s">
        <v>41</v>
      </c>
      <c r="F3093" t="s">
        <v>1</v>
      </c>
      <c r="G3093" t="s">
        <v>1068</v>
      </c>
      <c r="H3093" t="s">
        <v>441</v>
      </c>
      <c r="I3093" t="s">
        <v>1</v>
      </c>
      <c r="J3093">
        <v>4481.82</v>
      </c>
      <c r="K3093">
        <v>4540.2734074223999</v>
      </c>
      <c r="L3093">
        <v>4245.6400000000003</v>
      </c>
      <c r="M3093">
        <v>8561.6497237569074</v>
      </c>
      <c r="N3093">
        <v>6416.13</v>
      </c>
      <c r="O3093">
        <v>8491.2800000000007</v>
      </c>
      <c r="P3093">
        <v>0</v>
      </c>
      <c r="Q3093">
        <f t="shared" si="620"/>
        <v>8491.2800000000007</v>
      </c>
      <c r="R3093">
        <v>8491.2800000000007</v>
      </c>
      <c r="S3093">
        <f t="shared" si="621"/>
        <v>0</v>
      </c>
      <c r="T3093">
        <v>0.03</v>
      </c>
      <c r="U3093">
        <f t="shared" si="622"/>
        <v>254.73840000000001</v>
      </c>
      <c r="V3093">
        <f t="shared" si="623"/>
        <v>8746.0184000000008</v>
      </c>
      <c r="W3093">
        <f t="shared" si="624"/>
        <v>254.73840000000018</v>
      </c>
      <c r="X3093">
        <v>0</v>
      </c>
    </row>
    <row r="3094" spans="1:24" x14ac:dyDescent="0.25">
      <c r="A3094" t="s">
        <v>1948</v>
      </c>
      <c r="B3094" t="s">
        <v>2076</v>
      </c>
      <c r="C3094" t="s">
        <v>2167</v>
      </c>
      <c r="D3094" t="s">
        <v>311</v>
      </c>
      <c r="E3094" t="s">
        <v>140</v>
      </c>
      <c r="F3094" t="s">
        <v>1</v>
      </c>
      <c r="G3094" t="s">
        <v>1068</v>
      </c>
      <c r="H3094" t="s">
        <v>637</v>
      </c>
      <c r="I3094" t="s">
        <v>1</v>
      </c>
      <c r="J3094">
        <v>81785.25</v>
      </c>
      <c r="K3094">
        <v>81369.999999999607</v>
      </c>
      <c r="L3094">
        <v>38674.82</v>
      </c>
      <c r="M3094">
        <v>77990.6591160221</v>
      </c>
      <c r="N3094">
        <v>79340.94</v>
      </c>
      <c r="O3094">
        <v>77349.64</v>
      </c>
      <c r="P3094">
        <v>0</v>
      </c>
      <c r="Q3094">
        <f t="shared" si="620"/>
        <v>77349.64</v>
      </c>
      <c r="R3094">
        <v>77349.64</v>
      </c>
      <c r="S3094">
        <f t="shared" si="621"/>
        <v>0</v>
      </c>
      <c r="T3094">
        <v>0.03</v>
      </c>
      <c r="U3094">
        <f t="shared" si="622"/>
        <v>2320.4892</v>
      </c>
      <c r="V3094">
        <f t="shared" si="623"/>
        <v>79670.129199999996</v>
      </c>
      <c r="W3094">
        <f t="shared" si="624"/>
        <v>2320.4891999999963</v>
      </c>
      <c r="X3094" t="s">
        <v>1807</v>
      </c>
    </row>
    <row r="3095" spans="1:24" x14ac:dyDescent="0.25">
      <c r="A3095" t="s">
        <v>1948</v>
      </c>
      <c r="B3095" t="s">
        <v>2076</v>
      </c>
      <c r="C3095" t="s">
        <v>2167</v>
      </c>
      <c r="D3095" t="s">
        <v>311</v>
      </c>
      <c r="E3095" t="s">
        <v>43</v>
      </c>
      <c r="F3095" t="s">
        <v>1</v>
      </c>
      <c r="G3095" t="s">
        <v>1068</v>
      </c>
      <c r="H3095" t="s">
        <v>443</v>
      </c>
      <c r="I3095" t="s">
        <v>1</v>
      </c>
      <c r="J3095">
        <v>1573.39</v>
      </c>
      <c r="K3095"/>
      <c r="L3095">
        <v>0</v>
      </c>
      <c r="M3095">
        <v>0</v>
      </c>
      <c r="N3095">
        <v>1573.39</v>
      </c>
      <c r="O3095"/>
      <c r="P3095">
        <v>0</v>
      </c>
      <c r="Q3095">
        <f t="shared" si="620"/>
        <v>0</v>
      </c>
      <c r="R3095">
        <v>0</v>
      </c>
      <c r="S3095">
        <f t="shared" si="621"/>
        <v>0</v>
      </c>
      <c r="T3095">
        <v>0.03</v>
      </c>
      <c r="U3095">
        <f t="shared" si="622"/>
        <v>0</v>
      </c>
      <c r="V3095">
        <f t="shared" si="623"/>
        <v>0</v>
      </c>
      <c r="W3095">
        <f t="shared" si="624"/>
        <v>0</v>
      </c>
      <c r="X3095">
        <v>0</v>
      </c>
    </row>
    <row r="3096" spans="1:24" x14ac:dyDescent="0.25">
      <c r="A3096" t="s">
        <v>1948</v>
      </c>
      <c r="B3096" t="s">
        <v>2076</v>
      </c>
      <c r="C3096" t="s">
        <v>2167</v>
      </c>
      <c r="D3096" t="s">
        <v>311</v>
      </c>
      <c r="E3096" t="s">
        <v>134</v>
      </c>
      <c r="F3096" t="s">
        <v>1</v>
      </c>
      <c r="G3096" t="s">
        <v>1068</v>
      </c>
      <c r="H3096" t="s">
        <v>623</v>
      </c>
      <c r="I3096" t="s">
        <v>1</v>
      </c>
      <c r="J3096">
        <v>3034.65</v>
      </c>
      <c r="K3096"/>
      <c r="L3096">
        <v>11243.9</v>
      </c>
      <c r="M3096">
        <v>22674.162983425413</v>
      </c>
      <c r="N3096">
        <v>12064.550000000001</v>
      </c>
      <c r="O3096">
        <v>22487.8</v>
      </c>
      <c r="P3096">
        <v>0</v>
      </c>
      <c r="Q3096">
        <f t="shared" si="620"/>
        <v>22487.8</v>
      </c>
      <c r="R3096">
        <v>22487.8</v>
      </c>
      <c r="S3096">
        <f t="shared" si="621"/>
        <v>0</v>
      </c>
      <c r="T3096">
        <v>0.03</v>
      </c>
      <c r="U3096">
        <f t="shared" si="622"/>
        <v>674.6339999999999</v>
      </c>
      <c r="V3096">
        <f t="shared" si="623"/>
        <v>23162.433999999997</v>
      </c>
      <c r="W3096">
        <f t="shared" si="624"/>
        <v>674.6339999999982</v>
      </c>
      <c r="X3096">
        <v>0</v>
      </c>
    </row>
    <row r="3097" spans="1:24" x14ac:dyDescent="0.25">
      <c r="A3097" t="s">
        <v>1948</v>
      </c>
      <c r="B3097" t="s">
        <v>2076</v>
      </c>
      <c r="C3097" t="s">
        <v>2167</v>
      </c>
      <c r="D3097" t="s">
        <v>311</v>
      </c>
      <c r="E3097" t="s">
        <v>45</v>
      </c>
      <c r="F3097" t="s">
        <v>1</v>
      </c>
      <c r="G3097" t="s">
        <v>1068</v>
      </c>
      <c r="H3097" t="s">
        <v>445</v>
      </c>
      <c r="I3097" t="s">
        <v>1</v>
      </c>
      <c r="J3097"/>
      <c r="K3097"/>
      <c r="L3097">
        <v>270</v>
      </c>
      <c r="M3097">
        <v>544.47513812154693</v>
      </c>
      <c r="N3097">
        <v>270</v>
      </c>
      <c r="O3097">
        <v>540</v>
      </c>
      <c r="P3097">
        <v>0</v>
      </c>
      <c r="Q3097">
        <f t="shared" si="620"/>
        <v>540</v>
      </c>
      <c r="R3097">
        <v>540</v>
      </c>
      <c r="S3097">
        <f t="shared" si="621"/>
        <v>0</v>
      </c>
      <c r="T3097">
        <v>0.03</v>
      </c>
      <c r="U3097">
        <f t="shared" si="622"/>
        <v>16.2</v>
      </c>
      <c r="V3097">
        <f t="shared" si="623"/>
        <v>556.20000000000005</v>
      </c>
      <c r="W3097">
        <f t="shared" si="624"/>
        <v>16.200000000000045</v>
      </c>
      <c r="X3097">
        <v>0</v>
      </c>
    </row>
    <row r="3098" spans="1:24" x14ac:dyDescent="0.25">
      <c r="A3098" t="s">
        <v>1948</v>
      </c>
      <c r="B3098" t="s">
        <v>2076</v>
      </c>
      <c r="C3098" t="s">
        <v>2167</v>
      </c>
      <c r="D3098" t="s">
        <v>311</v>
      </c>
      <c r="E3098" t="s">
        <v>47</v>
      </c>
      <c r="F3098" t="s">
        <v>1</v>
      </c>
      <c r="G3098" t="s">
        <v>1068</v>
      </c>
      <c r="H3098" t="s">
        <v>447</v>
      </c>
      <c r="I3098" t="s">
        <v>1</v>
      </c>
      <c r="J3098"/>
      <c r="K3098"/>
      <c r="L3098">
        <v>1585</v>
      </c>
      <c r="M3098">
        <v>3196.2707182320441</v>
      </c>
      <c r="N3098">
        <v>1585</v>
      </c>
      <c r="O3098">
        <v>3170</v>
      </c>
      <c r="P3098">
        <v>0</v>
      </c>
      <c r="Q3098">
        <f t="shared" si="620"/>
        <v>3170</v>
      </c>
      <c r="R3098">
        <v>3170</v>
      </c>
      <c r="S3098">
        <f t="shared" si="621"/>
        <v>0</v>
      </c>
      <c r="T3098">
        <v>0.03</v>
      </c>
      <c r="U3098">
        <f t="shared" si="622"/>
        <v>95.1</v>
      </c>
      <c r="V3098">
        <f t="shared" si="623"/>
        <v>3265.1</v>
      </c>
      <c r="W3098">
        <f t="shared" si="624"/>
        <v>95.099999999999909</v>
      </c>
      <c r="X3098" t="s">
        <v>1808</v>
      </c>
    </row>
    <row r="3099" spans="1:24" x14ac:dyDescent="0.25">
      <c r="A3099" t="s">
        <v>1948</v>
      </c>
      <c r="B3099" t="s">
        <v>2076</v>
      </c>
      <c r="C3099" t="s">
        <v>2167</v>
      </c>
      <c r="D3099" t="s">
        <v>311</v>
      </c>
      <c r="E3099" t="s">
        <v>48</v>
      </c>
      <c r="F3099" t="s">
        <v>1</v>
      </c>
      <c r="G3099" t="s">
        <v>1068</v>
      </c>
      <c r="H3099" t="s">
        <v>448</v>
      </c>
      <c r="I3099" t="s">
        <v>1</v>
      </c>
      <c r="J3099">
        <v>17.760000000000002</v>
      </c>
      <c r="K3099"/>
      <c r="L3099">
        <v>0</v>
      </c>
      <c r="M3099">
        <v>0</v>
      </c>
      <c r="N3099">
        <v>0</v>
      </c>
      <c r="O3099"/>
      <c r="P3099">
        <v>0</v>
      </c>
      <c r="Q3099">
        <f t="shared" si="620"/>
        <v>0</v>
      </c>
      <c r="R3099">
        <v>0</v>
      </c>
      <c r="S3099">
        <f t="shared" si="621"/>
        <v>0</v>
      </c>
      <c r="T3099">
        <v>0.03</v>
      </c>
      <c r="U3099">
        <f t="shared" si="622"/>
        <v>0</v>
      </c>
      <c r="V3099">
        <f t="shared" si="623"/>
        <v>0</v>
      </c>
      <c r="W3099">
        <f t="shared" si="624"/>
        <v>0</v>
      </c>
      <c r="X3099">
        <v>0</v>
      </c>
    </row>
    <row r="3100" spans="1:24" x14ac:dyDescent="0.25">
      <c r="A3100" t="s">
        <v>1948</v>
      </c>
      <c r="B3100" t="s">
        <v>2076</v>
      </c>
      <c r="C3100" t="s">
        <v>2167</v>
      </c>
      <c r="D3100" t="s">
        <v>311</v>
      </c>
      <c r="E3100" t="s">
        <v>51</v>
      </c>
      <c r="F3100" t="s">
        <v>51</v>
      </c>
      <c r="G3100" t="s">
        <v>1069</v>
      </c>
      <c r="H3100"/>
      <c r="I3100"/>
      <c r="J3100">
        <v>706403.62</v>
      </c>
      <c r="K3100">
        <v>694286.29983247805</v>
      </c>
      <c r="L3100">
        <v>337510.94000000006</v>
      </c>
      <c r="M3100">
        <v>680615.98397790047</v>
      </c>
      <c r="N3100">
        <v>648950.18000000005</v>
      </c>
      <c r="O3100">
        <v>675940.27674276021</v>
      </c>
      <c r="P3100">
        <f>SUMIF($F$3071:$F$3099,"&lt;&gt;EV_*",$P$3071:$P$3099)</f>
        <v>0</v>
      </c>
      <c r="Q3100">
        <f>SUMIF($F$3071:$F$3099,"&lt;&gt;EV_*",$Q$3071:$Q$3099)</f>
        <v>675940.27674276021</v>
      </c>
      <c r="R3100">
        <f>SUMIF($F$3071:$F$3099,"&lt;&gt;EV_*",$R$3071:$R$3099)</f>
        <v>718313.73342204408</v>
      </c>
      <c r="S3100">
        <f>SUMIF($F$3071:$F$3099,"&lt;&gt;EV_*",$S$3071:$S$3099)</f>
        <v>42373.456679283903</v>
      </c>
      <c r="T3100">
        <v>0</v>
      </c>
      <c r="U3100">
        <f>SUMIF($F$3071:$F$3099,"&lt;&gt;EV_*",$U$3071:$U$3099)</f>
        <v>20240.329600149169</v>
      </c>
      <c r="V3100">
        <f>SUMIF($F$3071:$F$3099,"&lt;&gt;EV_*",$V$3071:$V$3099)</f>
        <v>738554.06302219315</v>
      </c>
      <c r="W3100">
        <f>SUMIF($F$3071:$F$3099,"&lt;&gt;EV_*",$W$3071:$W$3099)</f>
        <v>62613.786279433043</v>
      </c>
      <c r="X3100">
        <f>SUMIF($F$3071:$F$3099,"&lt;&gt;EV_*",$X$3071:$X$3099)</f>
        <v>0</v>
      </c>
    </row>
    <row r="3101" spans="1:24" x14ac:dyDescent="0.25">
      <c r="A3101" t="s">
        <v>1948</v>
      </c>
      <c r="B3101" t="s">
        <v>2076</v>
      </c>
      <c r="C3101" t="s">
        <v>2168</v>
      </c>
      <c r="D3101" t="s">
        <v>312</v>
      </c>
      <c r="E3101" t="s">
        <v>5</v>
      </c>
      <c r="F3101" t="s">
        <v>5</v>
      </c>
      <c r="G3101" t="s">
        <v>1070</v>
      </c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</row>
    <row r="3102" spans="1:24" x14ac:dyDescent="0.25">
      <c r="A3102" t="s">
        <v>1948</v>
      </c>
      <c r="B3102" t="s">
        <v>2076</v>
      </c>
      <c r="C3102" t="s">
        <v>2168</v>
      </c>
      <c r="D3102" t="s">
        <v>312</v>
      </c>
      <c r="E3102" t="s">
        <v>48</v>
      </c>
      <c r="F3102" t="s">
        <v>1</v>
      </c>
      <c r="G3102" t="s">
        <v>1071</v>
      </c>
      <c r="H3102" t="s">
        <v>448</v>
      </c>
      <c r="I3102" t="s">
        <v>1</v>
      </c>
      <c r="J3102">
        <v>25.31</v>
      </c>
      <c r="K3102"/>
      <c r="L3102">
        <v>0</v>
      </c>
      <c r="M3102">
        <v>0</v>
      </c>
      <c r="N3102">
        <v>25.31</v>
      </c>
      <c r="O3102"/>
      <c r="P3102">
        <v>0</v>
      </c>
      <c r="Q3102">
        <f>O3102+P3102</f>
        <v>0</v>
      </c>
      <c r="R3102">
        <v>0</v>
      </c>
      <c r="S3102">
        <f>IF(OR(LEFT(E3102,2)="A_",LEFT(D3102,5)="Total"),R3102-Q3102,"")</f>
        <v>0</v>
      </c>
      <c r="T3102">
        <v>0.03</v>
      </c>
      <c r="U3102">
        <f>IFERROR(R3102*T3102,R3102*0)</f>
        <v>0</v>
      </c>
      <c r="V3102">
        <f>IF(OR(LEFT(E3102,2)="A_",LEFT(D3102,5)="Total"),R3102+U3102,"")</f>
        <v>0</v>
      </c>
      <c r="W3102">
        <f>IF(OR(LEFT(E3102,2)="A_",LEFT(D3102,5)="Total"),V3102-Q3102,"")</f>
        <v>0</v>
      </c>
      <c r="X3102">
        <v>0</v>
      </c>
    </row>
    <row r="3103" spans="1:24" x14ac:dyDescent="0.25">
      <c r="A3103" t="s">
        <v>1948</v>
      </c>
      <c r="B3103" t="s">
        <v>2076</v>
      </c>
      <c r="C3103" t="s">
        <v>2168</v>
      </c>
      <c r="D3103" t="s">
        <v>312</v>
      </c>
      <c r="E3103" t="s">
        <v>51</v>
      </c>
      <c r="F3103" t="s">
        <v>51</v>
      </c>
      <c r="G3103" t="s">
        <v>1072</v>
      </c>
      <c r="H3103"/>
      <c r="I3103"/>
      <c r="J3103">
        <v>25.31</v>
      </c>
      <c r="K3103">
        <v>0</v>
      </c>
      <c r="L3103">
        <v>0</v>
      </c>
      <c r="M3103">
        <v>0</v>
      </c>
      <c r="N3103">
        <v>25.31</v>
      </c>
      <c r="O3103">
        <v>0</v>
      </c>
      <c r="P3103">
        <f>SUMIF($F$3101:$F$3102,"&lt;&gt;EV_*",$P$3101:$P$3102)</f>
        <v>0</v>
      </c>
      <c r="Q3103">
        <f>SUMIF($F$3101:$F$3102,"&lt;&gt;EV_*",$Q$3101:$Q$3102)</f>
        <v>0</v>
      </c>
      <c r="R3103">
        <f>SUMIF($F$3101:$F$3102,"&lt;&gt;EV_*",$R$3101:$R$3102)</f>
        <v>0</v>
      </c>
      <c r="S3103">
        <f>SUMIF($F$3101:$F$3102,"&lt;&gt;EV_*",$S$3101:$S$3102)</f>
        <v>0</v>
      </c>
      <c r="T3103">
        <v>0</v>
      </c>
      <c r="U3103">
        <f>SUMIF($F$3101:$F$3102,"&lt;&gt;EV_*",$U$3101:$U$3102)</f>
        <v>0</v>
      </c>
      <c r="V3103">
        <f>SUMIF($F$3101:$F$3102,"&lt;&gt;EV_*",$V$3101:$V$3102)</f>
        <v>0</v>
      </c>
      <c r="W3103">
        <f>SUMIF($F$3101:$F$3102,"&lt;&gt;EV_*",$W$3101:$W$3102)</f>
        <v>0</v>
      </c>
      <c r="X3103">
        <f>SUMIF($F$3101:$F$3102,"&lt;&gt;EV_*",$X$3101:$X$3102)</f>
        <v>0</v>
      </c>
    </row>
    <row r="3104" spans="1:24" x14ac:dyDescent="0.25">
      <c r="A3104" t="s">
        <v>1948</v>
      </c>
      <c r="B3104" t="s">
        <v>2076</v>
      </c>
      <c r="C3104" t="s">
        <v>2169</v>
      </c>
      <c r="D3104" t="s">
        <v>313</v>
      </c>
      <c r="E3104" t="s">
        <v>5</v>
      </c>
      <c r="F3104" t="s">
        <v>5</v>
      </c>
      <c r="G3104" t="s">
        <v>1073</v>
      </c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</row>
    <row r="3105" spans="1:24" x14ac:dyDescent="0.25">
      <c r="A3105" t="s">
        <v>1948</v>
      </c>
      <c r="B3105" t="s">
        <v>2076</v>
      </c>
      <c r="C3105" t="s">
        <v>2169</v>
      </c>
      <c r="D3105" t="s">
        <v>313</v>
      </c>
      <c r="E3105" t="s">
        <v>149</v>
      </c>
      <c r="F3105" t="s">
        <v>1</v>
      </c>
      <c r="G3105" t="s">
        <v>1074</v>
      </c>
      <c r="H3105" t="s">
        <v>660</v>
      </c>
      <c r="I3105" t="s">
        <v>1</v>
      </c>
      <c r="J3105">
        <v>209.88</v>
      </c>
      <c r="K3105"/>
      <c r="L3105">
        <v>0</v>
      </c>
      <c r="M3105">
        <v>0</v>
      </c>
      <c r="N3105">
        <v>209.88</v>
      </c>
      <c r="O3105"/>
      <c r="P3105">
        <v>0</v>
      </c>
      <c r="Q3105">
        <f t="shared" ref="Q3105:Q3126" si="625">O3105+P3105</f>
        <v>0</v>
      </c>
      <c r="R3105">
        <v>0</v>
      </c>
      <c r="S3105">
        <f t="shared" ref="S3105:S3126" si="626">IF(OR(LEFT(E3105,2)="A_",LEFT(D3105,5)="Total"),R3105-Q3105,"")</f>
        <v>0</v>
      </c>
      <c r="T3105">
        <v>0.02</v>
      </c>
      <c r="U3105">
        <f t="shared" ref="U3105:U3126" si="627">IFERROR(R3105*T3105,R3105*0)</f>
        <v>0</v>
      </c>
      <c r="V3105">
        <f t="shared" ref="V3105:V3126" si="628">IF(OR(LEFT(E3105,2)="A_",LEFT(D3105,5)="Total"),R3105+U3105,"")</f>
        <v>0</v>
      </c>
      <c r="W3105">
        <f t="shared" ref="W3105:W3126" si="629">IF(OR(LEFT(E3105,2)="A_",LEFT(D3105,5)="Total"),V3105-Q3105,"")</f>
        <v>0</v>
      </c>
      <c r="X3105">
        <v>0</v>
      </c>
    </row>
    <row r="3106" spans="1:24" x14ac:dyDescent="0.25">
      <c r="A3106" t="s">
        <v>1948</v>
      </c>
      <c r="B3106" t="s">
        <v>2076</v>
      </c>
      <c r="C3106" t="s">
        <v>2169</v>
      </c>
      <c r="D3106" t="s">
        <v>313</v>
      </c>
      <c r="E3106" t="s">
        <v>13</v>
      </c>
      <c r="F3106" t="s">
        <v>1</v>
      </c>
      <c r="G3106" t="s">
        <v>1074</v>
      </c>
      <c r="H3106" t="s">
        <v>413</v>
      </c>
      <c r="I3106" t="s">
        <v>1</v>
      </c>
      <c r="J3106">
        <v>163.93</v>
      </c>
      <c r="K3106"/>
      <c r="L3106">
        <v>-36.43</v>
      </c>
      <c r="M3106">
        <v>-73.463812154696129</v>
      </c>
      <c r="N3106">
        <v>127.5</v>
      </c>
      <c r="O3106">
        <v>-72.86</v>
      </c>
      <c r="P3106">
        <v>0</v>
      </c>
      <c r="Q3106">
        <f t="shared" si="625"/>
        <v>-72.86</v>
      </c>
      <c r="R3106">
        <v>-72.86</v>
      </c>
      <c r="S3106">
        <f t="shared" si="626"/>
        <v>0</v>
      </c>
      <c r="T3106"/>
      <c r="U3106">
        <f t="shared" si="627"/>
        <v>0</v>
      </c>
      <c r="V3106">
        <f t="shared" si="628"/>
        <v>-72.86</v>
      </c>
      <c r="W3106">
        <f t="shared" si="629"/>
        <v>0</v>
      </c>
      <c r="X3106">
        <v>0</v>
      </c>
    </row>
    <row r="3107" spans="1:24" x14ac:dyDescent="0.25">
      <c r="A3107" t="s">
        <v>1948</v>
      </c>
      <c r="B3107" t="s">
        <v>2076</v>
      </c>
      <c r="C3107" t="s">
        <v>2169</v>
      </c>
      <c r="D3107" t="s">
        <v>313</v>
      </c>
      <c r="E3107" t="s">
        <v>65</v>
      </c>
      <c r="F3107" t="s">
        <v>1</v>
      </c>
      <c r="G3107" t="s">
        <v>1074</v>
      </c>
      <c r="H3107" t="s">
        <v>476</v>
      </c>
      <c r="I3107" t="s">
        <v>1</v>
      </c>
      <c r="J3107"/>
      <c r="K3107"/>
      <c r="L3107">
        <v>-11.23</v>
      </c>
      <c r="M3107">
        <v>-22.646132596685081</v>
      </c>
      <c r="N3107">
        <v>-11.23</v>
      </c>
      <c r="O3107">
        <v>-22.583406593399999</v>
      </c>
      <c r="P3107">
        <v>0</v>
      </c>
      <c r="Q3107">
        <f t="shared" si="625"/>
        <v>-22.583406593399999</v>
      </c>
      <c r="R3107">
        <v>-22.583406593399999</v>
      </c>
      <c r="S3107">
        <f t="shared" si="626"/>
        <v>0</v>
      </c>
      <c r="T3107"/>
      <c r="U3107">
        <f t="shared" si="627"/>
        <v>0</v>
      </c>
      <c r="V3107">
        <f t="shared" si="628"/>
        <v>-22.583406593399999</v>
      </c>
      <c r="W3107">
        <f t="shared" si="629"/>
        <v>0</v>
      </c>
      <c r="X3107">
        <v>0</v>
      </c>
    </row>
    <row r="3108" spans="1:24" x14ac:dyDescent="0.25">
      <c r="A3108" t="s">
        <v>1948</v>
      </c>
      <c r="B3108" t="s">
        <v>2076</v>
      </c>
      <c r="C3108" t="s">
        <v>2169</v>
      </c>
      <c r="D3108" t="s">
        <v>313</v>
      </c>
      <c r="E3108" t="s">
        <v>17</v>
      </c>
      <c r="F3108" t="s">
        <v>1</v>
      </c>
      <c r="G3108" t="s">
        <v>1074</v>
      </c>
      <c r="H3108" t="s">
        <v>417</v>
      </c>
      <c r="I3108" t="s">
        <v>1</v>
      </c>
      <c r="J3108">
        <v>-535.78</v>
      </c>
      <c r="K3108">
        <v>-1059.9999999999</v>
      </c>
      <c r="L3108">
        <v>-329.38</v>
      </c>
      <c r="M3108">
        <v>-664.21933701657463</v>
      </c>
      <c r="N3108">
        <v>-413.49</v>
      </c>
      <c r="O3108">
        <v>-662.37956043960003</v>
      </c>
      <c r="P3108">
        <v>0</v>
      </c>
      <c r="Q3108">
        <f t="shared" si="625"/>
        <v>-662.37956043960003</v>
      </c>
      <c r="R3108">
        <v>-662.37956043960003</v>
      </c>
      <c r="S3108">
        <f t="shared" si="626"/>
        <v>0</v>
      </c>
      <c r="T3108"/>
      <c r="U3108">
        <f t="shared" si="627"/>
        <v>0</v>
      </c>
      <c r="V3108">
        <f t="shared" si="628"/>
        <v>-662.37956043960003</v>
      </c>
      <c r="W3108">
        <f t="shared" si="629"/>
        <v>0</v>
      </c>
      <c r="X3108">
        <v>0</v>
      </c>
    </row>
    <row r="3109" spans="1:24" x14ac:dyDescent="0.25">
      <c r="A3109" t="s">
        <v>1948</v>
      </c>
      <c r="B3109" t="s">
        <v>2076</v>
      </c>
      <c r="C3109" t="s">
        <v>2169</v>
      </c>
      <c r="D3109" t="s">
        <v>313</v>
      </c>
      <c r="E3109" t="s">
        <v>82</v>
      </c>
      <c r="F3109" t="s">
        <v>1</v>
      </c>
      <c r="G3109" t="s">
        <v>1074</v>
      </c>
      <c r="H3109" t="s">
        <v>507</v>
      </c>
      <c r="I3109" t="s">
        <v>1</v>
      </c>
      <c r="J3109">
        <v>697.54</v>
      </c>
      <c r="K3109"/>
      <c r="L3109">
        <v>68.849999999999994</v>
      </c>
      <c r="M3109">
        <v>138.84116022099445</v>
      </c>
      <c r="N3109">
        <v>386.51</v>
      </c>
      <c r="O3109">
        <v>138.45659340660001</v>
      </c>
      <c r="P3109">
        <v>0</v>
      </c>
      <c r="Q3109">
        <f t="shared" si="625"/>
        <v>138.45659340660001</v>
      </c>
      <c r="R3109">
        <v>138.45659340660001</v>
      </c>
      <c r="S3109">
        <f t="shared" si="626"/>
        <v>0</v>
      </c>
      <c r="T3109">
        <v>2.75E-2</v>
      </c>
      <c r="U3109">
        <f t="shared" si="627"/>
        <v>3.8075563186815002</v>
      </c>
      <c r="V3109">
        <f t="shared" si="628"/>
        <v>142.2641497252815</v>
      </c>
      <c r="W3109">
        <f t="shared" si="629"/>
        <v>3.8075563186814918</v>
      </c>
      <c r="X3109">
        <v>0</v>
      </c>
    </row>
    <row r="3110" spans="1:24" x14ac:dyDescent="0.25">
      <c r="A3110" t="s">
        <v>1948</v>
      </c>
      <c r="B3110" t="s">
        <v>2076</v>
      </c>
      <c r="C3110" t="s">
        <v>2169</v>
      </c>
      <c r="D3110" t="s">
        <v>313</v>
      </c>
      <c r="E3110" t="s">
        <v>18</v>
      </c>
      <c r="F3110" t="s">
        <v>1</v>
      </c>
      <c r="G3110" t="s">
        <v>1074</v>
      </c>
      <c r="H3110" t="s">
        <v>418</v>
      </c>
      <c r="I3110" t="s">
        <v>1</v>
      </c>
      <c r="J3110">
        <v>29660.22</v>
      </c>
      <c r="K3110">
        <v>33342.626042681099</v>
      </c>
      <c r="L3110">
        <v>7845.27</v>
      </c>
      <c r="M3110">
        <v>15820.572099447514</v>
      </c>
      <c r="N3110">
        <v>19303.770000000004</v>
      </c>
      <c r="O3110">
        <v>15776.7517582418</v>
      </c>
      <c r="P3110">
        <v>0</v>
      </c>
      <c r="Q3110">
        <f t="shared" si="625"/>
        <v>15776.7517582418</v>
      </c>
      <c r="R3110">
        <v>15776.7517582418</v>
      </c>
      <c r="S3110">
        <f t="shared" si="626"/>
        <v>0</v>
      </c>
      <c r="T3110">
        <v>0.02</v>
      </c>
      <c r="U3110">
        <f t="shared" si="627"/>
        <v>315.53503516483602</v>
      </c>
      <c r="V3110">
        <f t="shared" si="628"/>
        <v>16092.286793406636</v>
      </c>
      <c r="W3110">
        <f t="shared" si="629"/>
        <v>315.53503516483579</v>
      </c>
      <c r="X3110">
        <v>0</v>
      </c>
    </row>
    <row r="3111" spans="1:24" x14ac:dyDescent="0.25">
      <c r="A3111" t="s">
        <v>1948</v>
      </c>
      <c r="B3111" t="s">
        <v>2076</v>
      </c>
      <c r="C3111" t="s">
        <v>2169</v>
      </c>
      <c r="D3111" t="s">
        <v>313</v>
      </c>
      <c r="E3111" t="s">
        <v>57</v>
      </c>
      <c r="F3111" t="s">
        <v>1</v>
      </c>
      <c r="G3111" t="s">
        <v>1074</v>
      </c>
      <c r="H3111" t="s">
        <v>462</v>
      </c>
      <c r="I3111" t="s">
        <v>1</v>
      </c>
      <c r="J3111">
        <v>429.58</v>
      </c>
      <c r="K3111">
        <v>-211.74</v>
      </c>
      <c r="L3111">
        <v>29.06</v>
      </c>
      <c r="M3111">
        <v>58.60165745856353</v>
      </c>
      <c r="N3111">
        <v>338.94</v>
      </c>
      <c r="O3111">
        <v>58.439340659300001</v>
      </c>
      <c r="P3111">
        <v>0</v>
      </c>
      <c r="Q3111">
        <f t="shared" si="625"/>
        <v>58.439340659300001</v>
      </c>
      <c r="R3111">
        <v>58.439340659300001</v>
      </c>
      <c r="S3111">
        <f t="shared" si="626"/>
        <v>0</v>
      </c>
      <c r="T3111">
        <v>0.04</v>
      </c>
      <c r="U3111">
        <f t="shared" si="627"/>
        <v>2.3375736263719999</v>
      </c>
      <c r="V3111">
        <f t="shared" si="628"/>
        <v>60.776914285671999</v>
      </c>
      <c r="W3111">
        <f t="shared" si="629"/>
        <v>2.3375736263719986</v>
      </c>
      <c r="X3111">
        <v>0</v>
      </c>
    </row>
    <row r="3112" spans="1:24" x14ac:dyDescent="0.25">
      <c r="A3112" t="s">
        <v>1948</v>
      </c>
      <c r="B3112" t="s">
        <v>2076</v>
      </c>
      <c r="C3112" t="s">
        <v>2169</v>
      </c>
      <c r="D3112" t="s">
        <v>313</v>
      </c>
      <c r="E3112" t="s">
        <v>73</v>
      </c>
      <c r="F3112" t="s">
        <v>1</v>
      </c>
      <c r="G3112" t="s">
        <v>1074</v>
      </c>
      <c r="H3112" t="s">
        <v>490</v>
      </c>
      <c r="I3112" t="s">
        <v>1</v>
      </c>
      <c r="J3112">
        <v>7483.54</v>
      </c>
      <c r="K3112">
        <v>6425.0666111112996</v>
      </c>
      <c r="L3112">
        <v>6123.48</v>
      </c>
      <c r="M3112">
        <v>12348.454143646408</v>
      </c>
      <c r="N3112">
        <v>9307.76</v>
      </c>
      <c r="O3112">
        <v>12314.250989011</v>
      </c>
      <c r="P3112">
        <v>0</v>
      </c>
      <c r="Q3112">
        <f t="shared" si="625"/>
        <v>12314.250989011</v>
      </c>
      <c r="R3112">
        <v>12314.250989011</v>
      </c>
      <c r="S3112">
        <f t="shared" si="626"/>
        <v>0</v>
      </c>
      <c r="T3112">
        <v>3.5000000000000003E-2</v>
      </c>
      <c r="U3112">
        <f t="shared" si="627"/>
        <v>430.99878461538503</v>
      </c>
      <c r="V3112">
        <f t="shared" si="628"/>
        <v>12745.249773626385</v>
      </c>
      <c r="W3112">
        <f t="shared" si="629"/>
        <v>430.99878461538538</v>
      </c>
      <c r="X3112">
        <v>0</v>
      </c>
    </row>
    <row r="3113" spans="1:24" x14ac:dyDescent="0.25">
      <c r="A3113" t="s">
        <v>1948</v>
      </c>
      <c r="B3113" t="s">
        <v>2076</v>
      </c>
      <c r="C3113" t="s">
        <v>2169</v>
      </c>
      <c r="D3113" t="s">
        <v>313</v>
      </c>
      <c r="E3113" t="s">
        <v>74</v>
      </c>
      <c r="F3113" t="s">
        <v>1</v>
      </c>
      <c r="G3113" t="s">
        <v>1074</v>
      </c>
      <c r="H3113" t="s">
        <v>491</v>
      </c>
      <c r="I3113" t="s">
        <v>1</v>
      </c>
      <c r="J3113">
        <v>5820.46</v>
      </c>
      <c r="K3113">
        <v>6437.0528055555997</v>
      </c>
      <c r="L3113">
        <v>3742.81</v>
      </c>
      <c r="M3113">
        <v>7547.6555248618788</v>
      </c>
      <c r="N3113">
        <v>6494.0999999999995</v>
      </c>
      <c r="O3113">
        <v>7526.7497802198004</v>
      </c>
      <c r="P3113">
        <v>0</v>
      </c>
      <c r="Q3113">
        <f t="shared" si="625"/>
        <v>7526.7497802198004</v>
      </c>
      <c r="R3113">
        <v>7526.7497802198004</v>
      </c>
      <c r="S3113">
        <f t="shared" si="626"/>
        <v>0</v>
      </c>
      <c r="T3113">
        <v>3.5000000000000003E-2</v>
      </c>
      <c r="U3113">
        <f t="shared" si="627"/>
        <v>263.43624230769302</v>
      </c>
      <c r="V3113">
        <f t="shared" si="628"/>
        <v>7790.1860225274932</v>
      </c>
      <c r="W3113">
        <f t="shared" si="629"/>
        <v>263.43624230769274</v>
      </c>
      <c r="X3113">
        <v>0</v>
      </c>
    </row>
    <row r="3114" spans="1:24" x14ac:dyDescent="0.25">
      <c r="A3114" t="s">
        <v>1948</v>
      </c>
      <c r="B3114" t="s">
        <v>2076</v>
      </c>
      <c r="C3114" t="s">
        <v>2169</v>
      </c>
      <c r="D3114" t="s">
        <v>313</v>
      </c>
      <c r="E3114" t="s">
        <v>85</v>
      </c>
      <c r="F3114" t="s">
        <v>1</v>
      </c>
      <c r="G3114" t="s">
        <v>1074</v>
      </c>
      <c r="H3114" t="s">
        <v>510</v>
      </c>
      <c r="I3114" t="s">
        <v>1</v>
      </c>
      <c r="J3114">
        <v>4718.3100000000004</v>
      </c>
      <c r="K3114">
        <v>7070.0689259257997</v>
      </c>
      <c r="L3114">
        <v>3421.27</v>
      </c>
      <c r="M3114">
        <v>6899.2461325966851</v>
      </c>
      <c r="N3114">
        <v>3678.5200000000004</v>
      </c>
      <c r="O3114">
        <v>6880.1363736264002</v>
      </c>
      <c r="P3114">
        <v>0</v>
      </c>
      <c r="Q3114">
        <f t="shared" si="625"/>
        <v>6880.1363736264002</v>
      </c>
      <c r="R3114">
        <v>6880.1363736264002</v>
      </c>
      <c r="S3114">
        <f t="shared" si="626"/>
        <v>0</v>
      </c>
      <c r="T3114">
        <v>0.02</v>
      </c>
      <c r="U3114">
        <f t="shared" si="627"/>
        <v>137.60272747252802</v>
      </c>
      <c r="V3114">
        <f t="shared" si="628"/>
        <v>7017.7391010989286</v>
      </c>
      <c r="W3114">
        <f t="shared" si="629"/>
        <v>137.60272747252839</v>
      </c>
      <c r="X3114">
        <v>0</v>
      </c>
    </row>
    <row r="3115" spans="1:24" x14ac:dyDescent="0.25">
      <c r="A3115" t="s">
        <v>1948</v>
      </c>
      <c r="B3115" t="s">
        <v>2076</v>
      </c>
      <c r="C3115" t="s">
        <v>2169</v>
      </c>
      <c r="D3115" t="s">
        <v>313</v>
      </c>
      <c r="E3115" t="s">
        <v>119</v>
      </c>
      <c r="F3115" t="s">
        <v>1</v>
      </c>
      <c r="G3115" t="s">
        <v>1074</v>
      </c>
      <c r="H3115" t="s">
        <v>588</v>
      </c>
      <c r="I3115" t="s">
        <v>1</v>
      </c>
      <c r="J3115">
        <v>659</v>
      </c>
      <c r="K3115"/>
      <c r="L3115">
        <v>0</v>
      </c>
      <c r="M3115">
        <v>0</v>
      </c>
      <c r="N3115">
        <v>329.5</v>
      </c>
      <c r="O3115"/>
      <c r="P3115">
        <v>0</v>
      </c>
      <c r="Q3115">
        <f t="shared" si="625"/>
        <v>0</v>
      </c>
      <c r="R3115">
        <v>0</v>
      </c>
      <c r="S3115">
        <f t="shared" si="626"/>
        <v>0</v>
      </c>
      <c r="T3115">
        <v>1.4999999999999999E-2</v>
      </c>
      <c r="U3115">
        <f t="shared" si="627"/>
        <v>0</v>
      </c>
      <c r="V3115">
        <f t="shared" si="628"/>
        <v>0</v>
      </c>
      <c r="W3115">
        <f t="shared" si="629"/>
        <v>0</v>
      </c>
      <c r="X3115">
        <v>0</v>
      </c>
    </row>
    <row r="3116" spans="1:24" x14ac:dyDescent="0.25">
      <c r="A3116" t="s">
        <v>1948</v>
      </c>
      <c r="B3116" t="s">
        <v>2076</v>
      </c>
      <c r="C3116" t="s">
        <v>2169</v>
      </c>
      <c r="D3116" t="s">
        <v>313</v>
      </c>
      <c r="E3116" t="s">
        <v>120</v>
      </c>
      <c r="F3116" t="s">
        <v>1</v>
      </c>
      <c r="G3116" t="s">
        <v>1074</v>
      </c>
      <c r="H3116" t="s">
        <v>589</v>
      </c>
      <c r="I3116" t="s">
        <v>1</v>
      </c>
      <c r="J3116">
        <v>1475</v>
      </c>
      <c r="K3116"/>
      <c r="L3116">
        <v>2065</v>
      </c>
      <c r="M3116">
        <v>4164.2265193370167</v>
      </c>
      <c r="N3116">
        <v>3540</v>
      </c>
      <c r="O3116">
        <v>4152.6923076923003</v>
      </c>
      <c r="P3116">
        <v>0</v>
      </c>
      <c r="Q3116">
        <f t="shared" si="625"/>
        <v>4152.6923076923003</v>
      </c>
      <c r="R3116">
        <v>6153</v>
      </c>
      <c r="S3116">
        <f t="shared" si="626"/>
        <v>2000.3076923076997</v>
      </c>
      <c r="T3116">
        <v>3.5000000000000003E-2</v>
      </c>
      <c r="U3116">
        <f t="shared" si="627"/>
        <v>215.35500000000002</v>
      </c>
      <c r="V3116">
        <f t="shared" si="628"/>
        <v>6368.3549999999996</v>
      </c>
      <c r="W3116">
        <f t="shared" si="629"/>
        <v>2215.6626923076992</v>
      </c>
      <c r="X3116" t="s">
        <v>1809</v>
      </c>
    </row>
    <row r="3117" spans="1:24" x14ac:dyDescent="0.25">
      <c r="A3117" t="s">
        <v>1948</v>
      </c>
      <c r="B3117" t="s">
        <v>2076</v>
      </c>
      <c r="C3117" t="s">
        <v>2169</v>
      </c>
      <c r="D3117" t="s">
        <v>313</v>
      </c>
      <c r="E3117" t="s">
        <v>20</v>
      </c>
      <c r="F3117" t="s">
        <v>1</v>
      </c>
      <c r="G3117" t="s">
        <v>1074</v>
      </c>
      <c r="H3117" t="s">
        <v>420</v>
      </c>
      <c r="I3117" t="s">
        <v>1</v>
      </c>
      <c r="J3117">
        <v>7742.07</v>
      </c>
      <c r="K3117">
        <v>7307.9248559671996</v>
      </c>
      <c r="L3117">
        <v>3281.47</v>
      </c>
      <c r="M3117">
        <v>6617.3290055248617</v>
      </c>
      <c r="N3117">
        <v>8207.7099999999991</v>
      </c>
      <c r="O3117">
        <v>6599.0001098901002</v>
      </c>
      <c r="P3117">
        <v>0</v>
      </c>
      <c r="Q3117">
        <f t="shared" si="625"/>
        <v>6599.0001098901002</v>
      </c>
      <c r="R3117">
        <v>6599.0001098901002</v>
      </c>
      <c r="S3117">
        <f t="shared" si="626"/>
        <v>0</v>
      </c>
      <c r="T3117">
        <v>0.04</v>
      </c>
      <c r="U3117">
        <f t="shared" si="627"/>
        <v>263.96000439560402</v>
      </c>
      <c r="V3117">
        <f t="shared" si="628"/>
        <v>6862.9601142857045</v>
      </c>
      <c r="W3117">
        <f t="shared" si="629"/>
        <v>263.9600043956043</v>
      </c>
      <c r="X3117">
        <v>0</v>
      </c>
    </row>
    <row r="3118" spans="1:24" x14ac:dyDescent="0.25">
      <c r="A3118" t="s">
        <v>1948</v>
      </c>
      <c r="B3118" t="s">
        <v>2076</v>
      </c>
      <c r="C3118" t="s">
        <v>2169</v>
      </c>
      <c r="D3118" t="s">
        <v>313</v>
      </c>
      <c r="E3118" t="s">
        <v>21</v>
      </c>
      <c r="F3118" t="s">
        <v>1</v>
      </c>
      <c r="G3118" t="s">
        <v>1074</v>
      </c>
      <c r="H3118" t="s">
        <v>421</v>
      </c>
      <c r="I3118" t="s">
        <v>1</v>
      </c>
      <c r="J3118">
        <v>1325.26</v>
      </c>
      <c r="K3118">
        <v>2187.3100000002</v>
      </c>
      <c r="L3118">
        <v>606.73</v>
      </c>
      <c r="M3118">
        <v>1223.5162983425414</v>
      </c>
      <c r="N3118">
        <v>859.59000000000015</v>
      </c>
      <c r="O3118">
        <v>1223.5162983425</v>
      </c>
      <c r="P3118">
        <v>0</v>
      </c>
      <c r="Q3118">
        <f t="shared" si="625"/>
        <v>1223.5162983425</v>
      </c>
      <c r="R3118">
        <v>1223.5162983425</v>
      </c>
      <c r="S3118">
        <f t="shared" si="626"/>
        <v>0</v>
      </c>
      <c r="T3118">
        <v>0.03</v>
      </c>
      <c r="U3118">
        <f t="shared" si="627"/>
        <v>36.705488950274997</v>
      </c>
      <c r="V3118">
        <f t="shared" si="628"/>
        <v>1260.2217872927749</v>
      </c>
      <c r="W3118">
        <f t="shared" si="629"/>
        <v>36.705488950274912</v>
      </c>
      <c r="X3118">
        <v>0</v>
      </c>
    </row>
    <row r="3119" spans="1:24" x14ac:dyDescent="0.25">
      <c r="A3119" t="s">
        <v>1948</v>
      </c>
      <c r="B3119" t="s">
        <v>2076</v>
      </c>
      <c r="C3119" t="s">
        <v>2169</v>
      </c>
      <c r="D3119" t="s">
        <v>313</v>
      </c>
      <c r="E3119" t="s">
        <v>22</v>
      </c>
      <c r="F3119" t="s">
        <v>1</v>
      </c>
      <c r="G3119" t="s">
        <v>1074</v>
      </c>
      <c r="H3119" t="s">
        <v>422</v>
      </c>
      <c r="I3119" t="s">
        <v>1</v>
      </c>
      <c r="J3119">
        <v>4847.2</v>
      </c>
      <c r="K3119">
        <v>8807.8500000002005</v>
      </c>
      <c r="L3119">
        <v>316</v>
      </c>
      <c r="M3119">
        <v>637.23756906077347</v>
      </c>
      <c r="N3119">
        <v>908</v>
      </c>
      <c r="O3119">
        <v>637.23756906079996</v>
      </c>
      <c r="P3119">
        <v>0</v>
      </c>
      <c r="Q3119">
        <f t="shared" si="625"/>
        <v>637.23756906079996</v>
      </c>
      <c r="R3119">
        <v>637.23756906079996</v>
      </c>
      <c r="S3119">
        <f t="shared" si="626"/>
        <v>0</v>
      </c>
      <c r="T3119">
        <v>3.5000000000000003E-2</v>
      </c>
      <c r="U3119">
        <f t="shared" si="627"/>
        <v>22.303314917128002</v>
      </c>
      <c r="V3119">
        <f t="shared" si="628"/>
        <v>659.54088397792793</v>
      </c>
      <c r="W3119">
        <f t="shared" si="629"/>
        <v>22.303314917127977</v>
      </c>
      <c r="X3119">
        <v>0</v>
      </c>
    </row>
    <row r="3120" spans="1:24" x14ac:dyDescent="0.25">
      <c r="A3120" t="s">
        <v>1948</v>
      </c>
      <c r="B3120" t="s">
        <v>2076</v>
      </c>
      <c r="C3120" t="s">
        <v>2169</v>
      </c>
      <c r="D3120" t="s">
        <v>313</v>
      </c>
      <c r="E3120" t="s">
        <v>23</v>
      </c>
      <c r="F3120" t="s">
        <v>1</v>
      </c>
      <c r="G3120" t="s">
        <v>1074</v>
      </c>
      <c r="H3120" t="s">
        <v>423</v>
      </c>
      <c r="I3120" t="s">
        <v>1</v>
      </c>
      <c r="J3120">
        <v>528.67999999999995</v>
      </c>
      <c r="K3120">
        <v>1097.0999999999999</v>
      </c>
      <c r="L3120">
        <v>0</v>
      </c>
      <c r="M3120">
        <v>0</v>
      </c>
      <c r="N3120">
        <v>0</v>
      </c>
      <c r="O3120"/>
      <c r="P3120">
        <v>0</v>
      </c>
      <c r="Q3120">
        <f t="shared" si="625"/>
        <v>0</v>
      </c>
      <c r="R3120">
        <v>0</v>
      </c>
      <c r="S3120">
        <f t="shared" si="626"/>
        <v>0</v>
      </c>
      <c r="T3120">
        <v>3.5000000000000003E-2</v>
      </c>
      <c r="U3120">
        <f t="shared" si="627"/>
        <v>0</v>
      </c>
      <c r="V3120">
        <f t="shared" si="628"/>
        <v>0</v>
      </c>
      <c r="W3120">
        <f t="shared" si="629"/>
        <v>0</v>
      </c>
      <c r="X3120">
        <v>0</v>
      </c>
    </row>
    <row r="3121" spans="1:24" x14ac:dyDescent="0.25">
      <c r="A3121" t="s">
        <v>1948</v>
      </c>
      <c r="B3121" t="s">
        <v>2076</v>
      </c>
      <c r="C3121" t="s">
        <v>2169</v>
      </c>
      <c r="D3121" t="s">
        <v>313</v>
      </c>
      <c r="E3121" t="s">
        <v>76</v>
      </c>
      <c r="F3121" t="s">
        <v>1</v>
      </c>
      <c r="G3121" t="s">
        <v>1074</v>
      </c>
      <c r="H3121" t="s">
        <v>493</v>
      </c>
      <c r="I3121" t="s">
        <v>1</v>
      </c>
      <c r="J3121">
        <v>21600</v>
      </c>
      <c r="K3121">
        <v>21600</v>
      </c>
      <c r="L3121">
        <v>10800</v>
      </c>
      <c r="M3121">
        <v>21779.005524861877</v>
      </c>
      <c r="N3121">
        <v>21600</v>
      </c>
      <c r="O3121">
        <v>21600</v>
      </c>
      <c r="P3121">
        <v>0</v>
      </c>
      <c r="Q3121">
        <f t="shared" si="625"/>
        <v>21600</v>
      </c>
      <c r="R3121">
        <v>21600</v>
      </c>
      <c r="S3121">
        <f t="shared" si="626"/>
        <v>0</v>
      </c>
      <c r="T3121">
        <v>0.03</v>
      </c>
      <c r="U3121">
        <f t="shared" si="627"/>
        <v>648</v>
      </c>
      <c r="V3121">
        <f t="shared" si="628"/>
        <v>22248</v>
      </c>
      <c r="W3121">
        <f t="shared" si="629"/>
        <v>648</v>
      </c>
      <c r="X3121" t="s">
        <v>1810</v>
      </c>
    </row>
    <row r="3122" spans="1:24" x14ac:dyDescent="0.25">
      <c r="A3122" t="s">
        <v>1948</v>
      </c>
      <c r="B3122" t="s">
        <v>2076</v>
      </c>
      <c r="C3122" t="s">
        <v>2169</v>
      </c>
      <c r="D3122" t="s">
        <v>313</v>
      </c>
      <c r="E3122" t="s">
        <v>41</v>
      </c>
      <c r="F3122" t="s">
        <v>1</v>
      </c>
      <c r="G3122" t="s">
        <v>1074</v>
      </c>
      <c r="H3122" t="s">
        <v>441</v>
      </c>
      <c r="I3122" t="s">
        <v>1</v>
      </c>
      <c r="J3122">
        <v>1739.18</v>
      </c>
      <c r="K3122">
        <v>2548.0242306251998</v>
      </c>
      <c r="L3122">
        <v>494.6</v>
      </c>
      <c r="M3122">
        <v>997.39779005524872</v>
      </c>
      <c r="N3122">
        <v>936.65000000000009</v>
      </c>
      <c r="O3122">
        <v>989.2</v>
      </c>
      <c r="P3122">
        <v>0</v>
      </c>
      <c r="Q3122">
        <f t="shared" si="625"/>
        <v>989.2</v>
      </c>
      <c r="R3122">
        <v>989.2</v>
      </c>
      <c r="S3122">
        <f t="shared" si="626"/>
        <v>0</v>
      </c>
      <c r="T3122">
        <v>0.03</v>
      </c>
      <c r="U3122">
        <f t="shared" si="627"/>
        <v>29.676000000000002</v>
      </c>
      <c r="V3122">
        <f t="shared" si="628"/>
        <v>1018.8760000000001</v>
      </c>
      <c r="W3122">
        <f t="shared" si="629"/>
        <v>29.676000000000045</v>
      </c>
      <c r="X3122">
        <v>0</v>
      </c>
    </row>
    <row r="3123" spans="1:24" x14ac:dyDescent="0.25">
      <c r="A3123" t="s">
        <v>1948</v>
      </c>
      <c r="B3123" t="s">
        <v>2076</v>
      </c>
      <c r="C3123" t="s">
        <v>2169</v>
      </c>
      <c r="D3123" t="s">
        <v>313</v>
      </c>
      <c r="E3123" t="s">
        <v>140</v>
      </c>
      <c r="F3123" t="s">
        <v>1</v>
      </c>
      <c r="G3123" t="s">
        <v>1074</v>
      </c>
      <c r="H3123" t="s">
        <v>637</v>
      </c>
      <c r="I3123" t="s">
        <v>1</v>
      </c>
      <c r="J3123">
        <v>814.1</v>
      </c>
      <c r="K3123"/>
      <c r="L3123">
        <v>1651.26</v>
      </c>
      <c r="M3123">
        <v>3329.8889502762431</v>
      </c>
      <c r="N3123">
        <v>2465.36</v>
      </c>
      <c r="O3123">
        <v>3302.52</v>
      </c>
      <c r="P3123">
        <v>0</v>
      </c>
      <c r="Q3123">
        <f t="shared" si="625"/>
        <v>3302.52</v>
      </c>
      <c r="R3123">
        <v>3302.52</v>
      </c>
      <c r="S3123">
        <f t="shared" si="626"/>
        <v>0</v>
      </c>
      <c r="T3123">
        <v>0.03</v>
      </c>
      <c r="U3123">
        <f t="shared" si="627"/>
        <v>99.075599999999994</v>
      </c>
      <c r="V3123">
        <f t="shared" si="628"/>
        <v>3401.5956000000001</v>
      </c>
      <c r="W3123">
        <f t="shared" si="629"/>
        <v>99.075600000000122</v>
      </c>
      <c r="X3123" t="s">
        <v>1811</v>
      </c>
    </row>
    <row r="3124" spans="1:24" x14ac:dyDescent="0.25">
      <c r="A3124" t="s">
        <v>1948</v>
      </c>
      <c r="B3124" t="s">
        <v>2076</v>
      </c>
      <c r="C3124" t="s">
        <v>2169</v>
      </c>
      <c r="D3124" t="s">
        <v>313</v>
      </c>
      <c r="E3124" t="s">
        <v>42</v>
      </c>
      <c r="F3124" t="s">
        <v>1</v>
      </c>
      <c r="G3124" t="s">
        <v>1074</v>
      </c>
      <c r="H3124" t="s">
        <v>442</v>
      </c>
      <c r="I3124" t="s">
        <v>1</v>
      </c>
      <c r="J3124">
        <v>33.229999999999997</v>
      </c>
      <c r="K3124"/>
      <c r="L3124">
        <v>0</v>
      </c>
      <c r="M3124">
        <v>0</v>
      </c>
      <c r="N3124">
        <v>33.229999999999997</v>
      </c>
      <c r="O3124"/>
      <c r="P3124">
        <v>0</v>
      </c>
      <c r="Q3124">
        <f t="shared" si="625"/>
        <v>0</v>
      </c>
      <c r="R3124">
        <v>0</v>
      </c>
      <c r="S3124">
        <f t="shared" si="626"/>
        <v>0</v>
      </c>
      <c r="T3124">
        <v>0.03</v>
      </c>
      <c r="U3124">
        <f t="shared" si="627"/>
        <v>0</v>
      </c>
      <c r="V3124">
        <f t="shared" si="628"/>
        <v>0</v>
      </c>
      <c r="W3124">
        <f t="shared" si="629"/>
        <v>0</v>
      </c>
      <c r="X3124">
        <v>0</v>
      </c>
    </row>
    <row r="3125" spans="1:24" x14ac:dyDescent="0.25">
      <c r="A3125" t="s">
        <v>1948</v>
      </c>
      <c r="B3125" t="s">
        <v>2076</v>
      </c>
      <c r="C3125" t="s">
        <v>2169</v>
      </c>
      <c r="D3125" t="s">
        <v>313</v>
      </c>
      <c r="E3125" t="s">
        <v>134</v>
      </c>
      <c r="F3125" t="s">
        <v>1</v>
      </c>
      <c r="G3125" t="s">
        <v>1074</v>
      </c>
      <c r="H3125" t="s">
        <v>623</v>
      </c>
      <c r="I3125" t="s">
        <v>1</v>
      </c>
      <c r="J3125">
        <v>6152.25</v>
      </c>
      <c r="K3125"/>
      <c r="L3125">
        <v>0</v>
      </c>
      <c r="M3125">
        <v>0</v>
      </c>
      <c r="N3125">
        <v>752.25</v>
      </c>
      <c r="O3125"/>
      <c r="P3125">
        <v>0</v>
      </c>
      <c r="Q3125">
        <f t="shared" si="625"/>
        <v>0</v>
      </c>
      <c r="R3125">
        <v>0</v>
      </c>
      <c r="S3125">
        <f t="shared" si="626"/>
        <v>0</v>
      </c>
      <c r="T3125">
        <v>0.03</v>
      </c>
      <c r="U3125">
        <f t="shared" si="627"/>
        <v>0</v>
      </c>
      <c r="V3125">
        <f t="shared" si="628"/>
        <v>0</v>
      </c>
      <c r="W3125">
        <f t="shared" si="629"/>
        <v>0</v>
      </c>
      <c r="X3125">
        <v>0</v>
      </c>
    </row>
    <row r="3126" spans="1:24" x14ac:dyDescent="0.25">
      <c r="A3126" t="s">
        <v>1948</v>
      </c>
      <c r="B3126" t="s">
        <v>2076</v>
      </c>
      <c r="C3126" t="s">
        <v>2169</v>
      </c>
      <c r="D3126" t="s">
        <v>313</v>
      </c>
      <c r="E3126" t="s">
        <v>47</v>
      </c>
      <c r="F3126" t="s">
        <v>1</v>
      </c>
      <c r="G3126" t="s">
        <v>1074</v>
      </c>
      <c r="H3126" t="s">
        <v>447</v>
      </c>
      <c r="I3126" t="s">
        <v>1</v>
      </c>
      <c r="J3126"/>
      <c r="K3126">
        <v>1350</v>
      </c>
      <c r="L3126">
        <v>0</v>
      </c>
      <c r="M3126">
        <v>0</v>
      </c>
      <c r="N3126">
        <v>0</v>
      </c>
      <c r="O3126"/>
      <c r="P3126">
        <v>0</v>
      </c>
      <c r="Q3126">
        <f t="shared" si="625"/>
        <v>0</v>
      </c>
      <c r="R3126">
        <v>0</v>
      </c>
      <c r="S3126">
        <f t="shared" si="626"/>
        <v>0</v>
      </c>
      <c r="T3126">
        <v>0.03</v>
      </c>
      <c r="U3126">
        <f t="shared" si="627"/>
        <v>0</v>
      </c>
      <c r="V3126">
        <f t="shared" si="628"/>
        <v>0</v>
      </c>
      <c r="W3126">
        <f t="shared" si="629"/>
        <v>0</v>
      </c>
      <c r="X3126">
        <v>0</v>
      </c>
    </row>
    <row r="3127" spans="1:24" x14ac:dyDescent="0.25">
      <c r="A3127" t="s">
        <v>1948</v>
      </c>
      <c r="B3127" t="s">
        <v>2076</v>
      </c>
      <c r="C3127" t="s">
        <v>2169</v>
      </c>
      <c r="D3127" t="s">
        <v>313</v>
      </c>
      <c r="E3127" t="s">
        <v>51</v>
      </c>
      <c r="F3127" t="s">
        <v>51</v>
      </c>
      <c r="G3127" t="s">
        <v>1075</v>
      </c>
      <c r="H3127"/>
      <c r="I3127"/>
      <c r="J3127">
        <v>95563.65</v>
      </c>
      <c r="K3127">
        <v>96901.2834718667</v>
      </c>
      <c r="L3127">
        <v>40068.76</v>
      </c>
      <c r="M3127">
        <v>80801.643093922641</v>
      </c>
      <c r="N3127">
        <v>79054.549999999988</v>
      </c>
      <c r="O3127">
        <v>80441.128153117606</v>
      </c>
      <c r="P3127">
        <f>SUMIF($F$3104:$F$3126,"&lt;&gt;EV_*",$P$3104:$P$3126)</f>
        <v>0</v>
      </c>
      <c r="Q3127">
        <f>SUMIF($F$3104:$F$3126,"&lt;&gt;EV_*",$Q$3104:$Q$3126)</f>
        <v>80441.128153117606</v>
      </c>
      <c r="R3127">
        <f>SUMIF($F$3104:$F$3126,"&lt;&gt;EV_*",$R$3104:$R$3126)</f>
        <v>82441.435845425309</v>
      </c>
      <c r="S3127">
        <f>SUMIF($F$3104:$F$3126,"&lt;&gt;EV_*",$S$3104:$S$3126)</f>
        <v>2000.3076923076997</v>
      </c>
      <c r="T3127">
        <v>0</v>
      </c>
      <c r="U3127">
        <f>SUMIF($F$3104:$F$3126,"&lt;&gt;EV_*",$U$3104:$U$3126)</f>
        <v>2468.7933277685029</v>
      </c>
      <c r="V3127">
        <f>SUMIF($F$3104:$F$3126,"&lt;&gt;EV_*",$V$3104:$V$3126)</f>
        <v>84910.229173193817</v>
      </c>
      <c r="W3127">
        <f>SUMIF($F$3104:$F$3126,"&lt;&gt;EV_*",$W$3104:$W$3126)</f>
        <v>4469.101020076203</v>
      </c>
      <c r="X3127">
        <f>SUMIF($F$3104:$F$3126,"&lt;&gt;EV_*",$X$3104:$X$3126)</f>
        <v>0</v>
      </c>
    </row>
    <row r="3128" spans="1:24" x14ac:dyDescent="0.25">
      <c r="A3128" t="s">
        <v>1948</v>
      </c>
      <c r="B3128" t="s">
        <v>2076</v>
      </c>
      <c r="C3128" t="s">
        <v>2170</v>
      </c>
      <c r="D3128" t="s">
        <v>314</v>
      </c>
      <c r="E3128" t="s">
        <v>5</v>
      </c>
      <c r="F3128" t="s">
        <v>5</v>
      </c>
      <c r="G3128" t="s">
        <v>1076</v>
      </c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</row>
    <row r="3129" spans="1:24" x14ac:dyDescent="0.25">
      <c r="A3129" t="s">
        <v>1948</v>
      </c>
      <c r="B3129" t="s">
        <v>2076</v>
      </c>
      <c r="C3129" t="s">
        <v>2170</v>
      </c>
      <c r="D3129" t="s">
        <v>314</v>
      </c>
      <c r="E3129" t="s">
        <v>6</v>
      </c>
      <c r="F3129" t="s">
        <v>1</v>
      </c>
      <c r="G3129" t="s">
        <v>1077</v>
      </c>
      <c r="H3129" t="s">
        <v>406</v>
      </c>
      <c r="I3129" t="s">
        <v>1</v>
      </c>
      <c r="J3129">
        <v>270</v>
      </c>
      <c r="K3129"/>
      <c r="L3129">
        <v>0</v>
      </c>
      <c r="M3129">
        <v>0</v>
      </c>
      <c r="N3129">
        <v>270</v>
      </c>
      <c r="O3129"/>
      <c r="P3129">
        <v>0</v>
      </c>
      <c r="Q3129">
        <f t="shared" ref="Q3129:Q3151" si="630">O3129+P3129</f>
        <v>0</v>
      </c>
      <c r="R3129">
        <v>0</v>
      </c>
      <c r="S3129">
        <f t="shared" ref="S3129:S3151" si="631">IF(OR(LEFT(E3129,2)="A_",LEFT(D3129,5)="Total"),R3129-Q3129,"")</f>
        <v>0</v>
      </c>
      <c r="T3129"/>
      <c r="U3129">
        <f t="shared" ref="U3129:U3151" si="632">IFERROR(R3129*T3129,R3129*0)</f>
        <v>0</v>
      </c>
      <c r="V3129">
        <f t="shared" ref="V3129:V3151" si="633">IF(OR(LEFT(E3129,2)="A_",LEFT(D3129,5)="Total"),R3129+U3129,"")</f>
        <v>0</v>
      </c>
      <c r="W3129">
        <f t="shared" ref="W3129:W3151" si="634">IF(OR(LEFT(E3129,2)="A_",LEFT(D3129,5)="Total"),V3129-Q3129,"")</f>
        <v>0</v>
      </c>
      <c r="X3129">
        <v>0</v>
      </c>
    </row>
    <row r="3130" spans="1:24" x14ac:dyDescent="0.25">
      <c r="A3130" t="s">
        <v>1948</v>
      </c>
      <c r="B3130" t="s">
        <v>2076</v>
      </c>
      <c r="C3130" t="s">
        <v>2170</v>
      </c>
      <c r="D3130" t="s">
        <v>314</v>
      </c>
      <c r="E3130" t="s">
        <v>13</v>
      </c>
      <c r="F3130" t="s">
        <v>1</v>
      </c>
      <c r="G3130" t="s">
        <v>1077</v>
      </c>
      <c r="H3130" t="s">
        <v>413</v>
      </c>
      <c r="I3130" t="s">
        <v>1</v>
      </c>
      <c r="J3130">
        <v>163.93</v>
      </c>
      <c r="K3130"/>
      <c r="L3130">
        <v>105.09</v>
      </c>
      <c r="M3130">
        <v>211.92182320441989</v>
      </c>
      <c r="N3130">
        <v>269.02</v>
      </c>
      <c r="O3130">
        <v>210.18</v>
      </c>
      <c r="P3130">
        <v>0</v>
      </c>
      <c r="Q3130">
        <f t="shared" si="630"/>
        <v>210.18</v>
      </c>
      <c r="R3130">
        <v>210.18</v>
      </c>
      <c r="S3130">
        <f t="shared" si="631"/>
        <v>0</v>
      </c>
      <c r="T3130"/>
      <c r="U3130">
        <f t="shared" si="632"/>
        <v>0</v>
      </c>
      <c r="V3130">
        <f t="shared" si="633"/>
        <v>210.18</v>
      </c>
      <c r="W3130">
        <f t="shared" si="634"/>
        <v>0</v>
      </c>
      <c r="X3130">
        <v>0</v>
      </c>
    </row>
    <row r="3131" spans="1:24" x14ac:dyDescent="0.25">
      <c r="A3131" t="s">
        <v>1948</v>
      </c>
      <c r="B3131" t="s">
        <v>2076</v>
      </c>
      <c r="C3131" t="s">
        <v>2170</v>
      </c>
      <c r="D3131" t="s">
        <v>314</v>
      </c>
      <c r="E3131" t="s">
        <v>65</v>
      </c>
      <c r="F3131" t="s">
        <v>1</v>
      </c>
      <c r="G3131" t="s">
        <v>1077</v>
      </c>
      <c r="H3131" t="s">
        <v>476</v>
      </c>
      <c r="I3131" t="s">
        <v>1</v>
      </c>
      <c r="J3131">
        <v>-10.68</v>
      </c>
      <c r="K3131"/>
      <c r="L3131">
        <v>0</v>
      </c>
      <c r="M3131">
        <v>0</v>
      </c>
      <c r="N3131">
        <v>-2.68</v>
      </c>
      <c r="O3131"/>
      <c r="P3131">
        <v>0</v>
      </c>
      <c r="Q3131">
        <f t="shared" si="630"/>
        <v>0</v>
      </c>
      <c r="R3131">
        <v>0</v>
      </c>
      <c r="S3131">
        <f t="shared" si="631"/>
        <v>0</v>
      </c>
      <c r="T3131"/>
      <c r="U3131">
        <f t="shared" si="632"/>
        <v>0</v>
      </c>
      <c r="V3131">
        <f t="shared" si="633"/>
        <v>0</v>
      </c>
      <c r="W3131">
        <f t="shared" si="634"/>
        <v>0</v>
      </c>
      <c r="X3131">
        <v>0</v>
      </c>
    </row>
    <row r="3132" spans="1:24" x14ac:dyDescent="0.25">
      <c r="A3132" t="s">
        <v>1948</v>
      </c>
      <c r="B3132" t="s">
        <v>2076</v>
      </c>
      <c r="C3132" t="s">
        <v>2170</v>
      </c>
      <c r="D3132" t="s">
        <v>314</v>
      </c>
      <c r="E3132" t="s">
        <v>17</v>
      </c>
      <c r="F3132" t="s">
        <v>1</v>
      </c>
      <c r="G3132" t="s">
        <v>1077</v>
      </c>
      <c r="H3132" t="s">
        <v>417</v>
      </c>
      <c r="I3132" t="s">
        <v>1</v>
      </c>
      <c r="J3132">
        <v>-131.56</v>
      </c>
      <c r="K3132">
        <v>-500</v>
      </c>
      <c r="L3132">
        <v>-1649.83</v>
      </c>
      <c r="M3132">
        <v>-3327.0052486187847</v>
      </c>
      <c r="N3132">
        <v>-1682.3899999999999</v>
      </c>
      <c r="O3132">
        <v>-3317.79</v>
      </c>
      <c r="P3132">
        <v>0</v>
      </c>
      <c r="Q3132">
        <f t="shared" si="630"/>
        <v>-3317.79</v>
      </c>
      <c r="R3132">
        <v>-3317.79</v>
      </c>
      <c r="S3132">
        <f t="shared" si="631"/>
        <v>0</v>
      </c>
      <c r="T3132"/>
      <c r="U3132">
        <f t="shared" si="632"/>
        <v>0</v>
      </c>
      <c r="V3132">
        <f t="shared" si="633"/>
        <v>-3317.79</v>
      </c>
      <c r="W3132">
        <f t="shared" si="634"/>
        <v>0</v>
      </c>
      <c r="X3132">
        <v>0</v>
      </c>
    </row>
    <row r="3133" spans="1:24" x14ac:dyDescent="0.25">
      <c r="A3133" t="s">
        <v>1948</v>
      </c>
      <c r="B3133" t="s">
        <v>2076</v>
      </c>
      <c r="C3133" t="s">
        <v>2170</v>
      </c>
      <c r="D3133" t="s">
        <v>314</v>
      </c>
      <c r="E3133" t="s">
        <v>72</v>
      </c>
      <c r="F3133" t="s">
        <v>1</v>
      </c>
      <c r="G3133" t="s">
        <v>1077</v>
      </c>
      <c r="H3133" t="s">
        <v>489</v>
      </c>
      <c r="I3133" t="s">
        <v>1</v>
      </c>
      <c r="J3133">
        <v>51282.400000000001</v>
      </c>
      <c r="K3133">
        <v>58512.040730452798</v>
      </c>
      <c r="L3133">
        <v>10897.26</v>
      </c>
      <c r="M3133">
        <v>21975.137569060775</v>
      </c>
      <c r="N3133">
        <v>31336.36</v>
      </c>
      <c r="O3133">
        <v>21914.270109890102</v>
      </c>
      <c r="P3133">
        <v>0</v>
      </c>
      <c r="Q3133">
        <f t="shared" si="630"/>
        <v>21914.270109890102</v>
      </c>
      <c r="R3133">
        <v>26914</v>
      </c>
      <c r="S3133">
        <f t="shared" si="631"/>
        <v>4999.7298901098984</v>
      </c>
      <c r="T3133">
        <v>2.2499999999999999E-2</v>
      </c>
      <c r="U3133">
        <f t="shared" si="632"/>
        <v>605.56499999999994</v>
      </c>
      <c r="V3133">
        <f t="shared" si="633"/>
        <v>27519.564999999999</v>
      </c>
      <c r="W3133">
        <f t="shared" si="634"/>
        <v>5605.2948901098971</v>
      </c>
      <c r="X3133">
        <v>0</v>
      </c>
    </row>
    <row r="3134" spans="1:24" x14ac:dyDescent="0.25">
      <c r="A3134" t="s">
        <v>1948</v>
      </c>
      <c r="B3134" t="s">
        <v>2076</v>
      </c>
      <c r="C3134" t="s">
        <v>2170</v>
      </c>
      <c r="D3134" t="s">
        <v>314</v>
      </c>
      <c r="E3134" t="s">
        <v>18</v>
      </c>
      <c r="F3134" t="s">
        <v>1</v>
      </c>
      <c r="G3134" t="s">
        <v>1077</v>
      </c>
      <c r="H3134" t="s">
        <v>418</v>
      </c>
      <c r="I3134" t="s">
        <v>1</v>
      </c>
      <c r="J3134">
        <v>126423.36</v>
      </c>
      <c r="K3134">
        <v>131358.891471193</v>
      </c>
      <c r="L3134">
        <v>53652.09</v>
      </c>
      <c r="M3134">
        <v>108193.44116022099</v>
      </c>
      <c r="N3134">
        <v>116327.67000000001</v>
      </c>
      <c r="O3134">
        <v>107893.763406593</v>
      </c>
      <c r="P3134">
        <v>0</v>
      </c>
      <c r="Q3134">
        <f t="shared" si="630"/>
        <v>107893.763406593</v>
      </c>
      <c r="R3134">
        <v>117894</v>
      </c>
      <c r="S3134">
        <f t="shared" si="631"/>
        <v>10000.236593406997</v>
      </c>
      <c r="T3134">
        <v>0.02</v>
      </c>
      <c r="U3134">
        <f t="shared" si="632"/>
        <v>2357.88</v>
      </c>
      <c r="V3134">
        <f t="shared" si="633"/>
        <v>120251.88</v>
      </c>
      <c r="W3134">
        <f t="shared" si="634"/>
        <v>12358.116593407001</v>
      </c>
      <c r="X3134">
        <v>0</v>
      </c>
    </row>
    <row r="3135" spans="1:24" x14ac:dyDescent="0.25">
      <c r="A3135" t="s">
        <v>1948</v>
      </c>
      <c r="B3135" t="s">
        <v>2076</v>
      </c>
      <c r="C3135" t="s">
        <v>2170</v>
      </c>
      <c r="D3135" t="s">
        <v>314</v>
      </c>
      <c r="E3135" t="s">
        <v>57</v>
      </c>
      <c r="F3135" t="s">
        <v>1</v>
      </c>
      <c r="G3135" t="s">
        <v>1077</v>
      </c>
      <c r="H3135" t="s">
        <v>462</v>
      </c>
      <c r="I3135" t="s">
        <v>1</v>
      </c>
      <c r="J3135">
        <v>226.89</v>
      </c>
      <c r="K3135"/>
      <c r="L3135">
        <v>81.2</v>
      </c>
      <c r="M3135">
        <v>163.74585635359117</v>
      </c>
      <c r="N3135">
        <v>207.2</v>
      </c>
      <c r="O3135">
        <v>163.2923076923</v>
      </c>
      <c r="P3135">
        <v>0</v>
      </c>
      <c r="Q3135">
        <f t="shared" si="630"/>
        <v>163.2923076923</v>
      </c>
      <c r="R3135">
        <v>163.2923076923</v>
      </c>
      <c r="S3135">
        <f t="shared" si="631"/>
        <v>0</v>
      </c>
      <c r="T3135">
        <v>0.04</v>
      </c>
      <c r="U3135">
        <f t="shared" si="632"/>
        <v>6.5316923076920004</v>
      </c>
      <c r="V3135">
        <f t="shared" si="633"/>
        <v>169.823999999992</v>
      </c>
      <c r="W3135">
        <f t="shared" si="634"/>
        <v>6.5316923076919977</v>
      </c>
      <c r="X3135">
        <v>0</v>
      </c>
    </row>
    <row r="3136" spans="1:24" x14ac:dyDescent="0.25">
      <c r="A3136" t="s">
        <v>1948</v>
      </c>
      <c r="B3136" t="s">
        <v>2076</v>
      </c>
      <c r="C3136" t="s">
        <v>2170</v>
      </c>
      <c r="D3136" t="s">
        <v>314</v>
      </c>
      <c r="E3136" t="s">
        <v>73</v>
      </c>
      <c r="F3136" t="s">
        <v>1</v>
      </c>
      <c r="G3136" t="s">
        <v>1077</v>
      </c>
      <c r="H3136" t="s">
        <v>490</v>
      </c>
      <c r="I3136" t="s">
        <v>1</v>
      </c>
      <c r="J3136">
        <v>269951.57</v>
      </c>
      <c r="K3136">
        <v>269226.745325536</v>
      </c>
      <c r="L3136">
        <v>157949.06</v>
      </c>
      <c r="M3136">
        <v>318516.06022099446</v>
      </c>
      <c r="N3136">
        <v>298099.47000000003</v>
      </c>
      <c r="O3136">
        <v>317633.82395604398</v>
      </c>
      <c r="P3136">
        <v>0</v>
      </c>
      <c r="Q3136">
        <f t="shared" si="630"/>
        <v>317633.82395604398</v>
      </c>
      <c r="R3136">
        <v>317633.82395604398</v>
      </c>
      <c r="S3136">
        <f t="shared" si="631"/>
        <v>0</v>
      </c>
      <c r="T3136">
        <v>3.5000000000000003E-2</v>
      </c>
      <c r="U3136">
        <f t="shared" si="632"/>
        <v>11117.18383846154</v>
      </c>
      <c r="V3136">
        <f t="shared" si="633"/>
        <v>328751.00779450551</v>
      </c>
      <c r="W3136">
        <f t="shared" si="634"/>
        <v>11117.183838461526</v>
      </c>
      <c r="X3136">
        <v>0</v>
      </c>
    </row>
    <row r="3137" spans="1:24" x14ac:dyDescent="0.25">
      <c r="A3137" t="s">
        <v>1948</v>
      </c>
      <c r="B3137" t="s">
        <v>2076</v>
      </c>
      <c r="C3137" t="s">
        <v>2170</v>
      </c>
      <c r="D3137" t="s">
        <v>314</v>
      </c>
      <c r="E3137" t="s">
        <v>74</v>
      </c>
      <c r="F3137" t="s">
        <v>1</v>
      </c>
      <c r="G3137" t="s">
        <v>1077</v>
      </c>
      <c r="H3137" t="s">
        <v>491</v>
      </c>
      <c r="I3137" t="s">
        <v>1</v>
      </c>
      <c r="J3137">
        <v>4579.26</v>
      </c>
      <c r="K3137">
        <v>4477.3799722223002</v>
      </c>
      <c r="L3137">
        <v>3441.38</v>
      </c>
      <c r="M3137">
        <v>6939.7994475138121</v>
      </c>
      <c r="N3137">
        <v>5942.69</v>
      </c>
      <c r="O3137">
        <v>6920.5773626374003</v>
      </c>
      <c r="P3137">
        <v>0</v>
      </c>
      <c r="Q3137">
        <f t="shared" si="630"/>
        <v>6920.5773626374003</v>
      </c>
      <c r="R3137">
        <v>6920.5773626374003</v>
      </c>
      <c r="S3137">
        <f t="shared" si="631"/>
        <v>0</v>
      </c>
      <c r="T3137">
        <v>3.5000000000000003E-2</v>
      </c>
      <c r="U3137">
        <f t="shared" si="632"/>
        <v>242.22020769230903</v>
      </c>
      <c r="V3137">
        <f t="shared" si="633"/>
        <v>7162.7975703297088</v>
      </c>
      <c r="W3137">
        <f t="shared" si="634"/>
        <v>242.22020769230858</v>
      </c>
      <c r="X3137">
        <v>0</v>
      </c>
    </row>
    <row r="3138" spans="1:24" x14ac:dyDescent="0.25">
      <c r="A3138" t="s">
        <v>1948</v>
      </c>
      <c r="B3138" t="s">
        <v>2076</v>
      </c>
      <c r="C3138" t="s">
        <v>2170</v>
      </c>
      <c r="D3138" t="s">
        <v>314</v>
      </c>
      <c r="E3138" t="s">
        <v>85</v>
      </c>
      <c r="F3138" t="s">
        <v>1</v>
      </c>
      <c r="G3138" t="s">
        <v>1077</v>
      </c>
      <c r="H3138" t="s">
        <v>510</v>
      </c>
      <c r="I3138" t="s">
        <v>1</v>
      </c>
      <c r="J3138">
        <v>213.69</v>
      </c>
      <c r="K3138"/>
      <c r="L3138">
        <v>30.06</v>
      </c>
      <c r="M3138">
        <v>60.618232044198898</v>
      </c>
      <c r="N3138">
        <v>90.179999999999993</v>
      </c>
      <c r="O3138">
        <v>60.4503296703</v>
      </c>
      <c r="P3138">
        <v>0</v>
      </c>
      <c r="Q3138">
        <f t="shared" si="630"/>
        <v>60.4503296703</v>
      </c>
      <c r="R3138">
        <v>60.4503296703</v>
      </c>
      <c r="S3138">
        <f t="shared" si="631"/>
        <v>0</v>
      </c>
      <c r="T3138">
        <v>0.02</v>
      </c>
      <c r="U3138">
        <f t="shared" si="632"/>
        <v>1.2090065934060001</v>
      </c>
      <c r="V3138">
        <f t="shared" si="633"/>
        <v>61.659336263706003</v>
      </c>
      <c r="W3138">
        <f t="shared" si="634"/>
        <v>1.2090065934060021</v>
      </c>
      <c r="X3138">
        <v>0</v>
      </c>
    </row>
    <row r="3139" spans="1:24" x14ac:dyDescent="0.25">
      <c r="A3139" t="s">
        <v>1948</v>
      </c>
      <c r="B3139" t="s">
        <v>2076</v>
      </c>
      <c r="C3139" t="s">
        <v>2170</v>
      </c>
      <c r="D3139" t="s">
        <v>314</v>
      </c>
      <c r="E3139" t="s">
        <v>120</v>
      </c>
      <c r="F3139" t="s">
        <v>1</v>
      </c>
      <c r="G3139" t="s">
        <v>1077</v>
      </c>
      <c r="H3139" t="s">
        <v>589</v>
      </c>
      <c r="I3139" t="s">
        <v>1</v>
      </c>
      <c r="J3139">
        <v>500</v>
      </c>
      <c r="K3139"/>
      <c r="L3139">
        <v>0</v>
      </c>
      <c r="M3139">
        <v>0</v>
      </c>
      <c r="N3139">
        <v>500</v>
      </c>
      <c r="O3139"/>
      <c r="P3139">
        <v>0</v>
      </c>
      <c r="Q3139">
        <f t="shared" si="630"/>
        <v>0</v>
      </c>
      <c r="R3139">
        <v>0</v>
      </c>
      <c r="S3139">
        <f t="shared" si="631"/>
        <v>0</v>
      </c>
      <c r="T3139">
        <v>3.5000000000000003E-2</v>
      </c>
      <c r="U3139">
        <f t="shared" si="632"/>
        <v>0</v>
      </c>
      <c r="V3139">
        <f t="shared" si="633"/>
        <v>0</v>
      </c>
      <c r="W3139">
        <f t="shared" si="634"/>
        <v>0</v>
      </c>
      <c r="X3139">
        <v>0</v>
      </c>
    </row>
    <row r="3140" spans="1:24" x14ac:dyDescent="0.25">
      <c r="A3140" t="s">
        <v>1948</v>
      </c>
      <c r="B3140" t="s">
        <v>2076</v>
      </c>
      <c r="C3140" t="s">
        <v>2170</v>
      </c>
      <c r="D3140" t="s">
        <v>314</v>
      </c>
      <c r="E3140" t="s">
        <v>20</v>
      </c>
      <c r="F3140" t="s">
        <v>1</v>
      </c>
      <c r="G3140" t="s">
        <v>1077</v>
      </c>
      <c r="H3140" t="s">
        <v>420</v>
      </c>
      <c r="I3140" t="s">
        <v>1</v>
      </c>
      <c r="J3140">
        <v>47000</v>
      </c>
      <c r="K3140"/>
      <c r="L3140">
        <v>0</v>
      </c>
      <c r="M3140">
        <v>0</v>
      </c>
      <c r="N3140">
        <v>47000</v>
      </c>
      <c r="O3140"/>
      <c r="P3140">
        <v>0</v>
      </c>
      <c r="Q3140">
        <f t="shared" si="630"/>
        <v>0</v>
      </c>
      <c r="R3140">
        <v>0</v>
      </c>
      <c r="S3140">
        <f t="shared" si="631"/>
        <v>0</v>
      </c>
      <c r="T3140">
        <v>0.04</v>
      </c>
      <c r="U3140">
        <f t="shared" si="632"/>
        <v>0</v>
      </c>
      <c r="V3140">
        <f t="shared" si="633"/>
        <v>0</v>
      </c>
      <c r="W3140">
        <f t="shared" si="634"/>
        <v>0</v>
      </c>
      <c r="X3140">
        <v>0</v>
      </c>
    </row>
    <row r="3141" spans="1:24" x14ac:dyDescent="0.25">
      <c r="A3141" t="s">
        <v>1948</v>
      </c>
      <c r="B3141" t="s">
        <v>2076</v>
      </c>
      <c r="C3141" t="s">
        <v>2170</v>
      </c>
      <c r="D3141" t="s">
        <v>314</v>
      </c>
      <c r="E3141" t="s">
        <v>21</v>
      </c>
      <c r="F3141" t="s">
        <v>1</v>
      </c>
      <c r="G3141" t="s">
        <v>1077</v>
      </c>
      <c r="H3141" t="s">
        <v>421</v>
      </c>
      <c r="I3141" t="s">
        <v>1</v>
      </c>
      <c r="J3141">
        <v>745.1</v>
      </c>
      <c r="K3141">
        <v>1026.1000000003</v>
      </c>
      <c r="L3141">
        <v>59.96</v>
      </c>
      <c r="M3141">
        <v>120.91381215469613</v>
      </c>
      <c r="N3141">
        <v>294.39</v>
      </c>
      <c r="O3141">
        <v>120.9138121547</v>
      </c>
      <c r="P3141">
        <v>0</v>
      </c>
      <c r="Q3141">
        <f t="shared" si="630"/>
        <v>120.9138121547</v>
      </c>
      <c r="R3141">
        <v>120.9138121547</v>
      </c>
      <c r="S3141">
        <f t="shared" si="631"/>
        <v>0</v>
      </c>
      <c r="T3141">
        <v>0.03</v>
      </c>
      <c r="U3141">
        <f t="shared" si="632"/>
        <v>3.627414364641</v>
      </c>
      <c r="V3141">
        <f t="shared" si="633"/>
        <v>124.541226519341</v>
      </c>
      <c r="W3141">
        <f t="shared" si="634"/>
        <v>3.6274143646409982</v>
      </c>
      <c r="X3141">
        <v>0</v>
      </c>
    </row>
    <row r="3142" spans="1:24" x14ac:dyDescent="0.25">
      <c r="A3142" t="s">
        <v>1948</v>
      </c>
      <c r="B3142" t="s">
        <v>2076</v>
      </c>
      <c r="C3142" t="s">
        <v>2170</v>
      </c>
      <c r="D3142" t="s">
        <v>314</v>
      </c>
      <c r="E3142" t="s">
        <v>22</v>
      </c>
      <c r="F3142" t="s">
        <v>1</v>
      </c>
      <c r="G3142" t="s">
        <v>1077</v>
      </c>
      <c r="H3142" t="s">
        <v>422</v>
      </c>
      <c r="I3142" t="s">
        <v>1</v>
      </c>
      <c r="J3142">
        <v>890.2</v>
      </c>
      <c r="K3142">
        <v>724.49999999969998</v>
      </c>
      <c r="L3142">
        <v>9.7200000000000006</v>
      </c>
      <c r="M3142">
        <v>19.601104972375694</v>
      </c>
      <c r="N3142">
        <v>547.80000000000007</v>
      </c>
      <c r="O3142">
        <v>19.601104972400002</v>
      </c>
      <c r="P3142">
        <v>0</v>
      </c>
      <c r="Q3142">
        <f t="shared" si="630"/>
        <v>19.601104972400002</v>
      </c>
      <c r="R3142">
        <v>19.601104972400002</v>
      </c>
      <c r="S3142">
        <f t="shared" si="631"/>
        <v>0</v>
      </c>
      <c r="T3142">
        <v>3.5000000000000003E-2</v>
      </c>
      <c r="U3142">
        <f t="shared" si="632"/>
        <v>0.6860386740340001</v>
      </c>
      <c r="V3142">
        <f t="shared" si="633"/>
        <v>20.287143646434004</v>
      </c>
      <c r="W3142">
        <f t="shared" si="634"/>
        <v>0.68603867403400187</v>
      </c>
      <c r="X3142">
        <v>0</v>
      </c>
    </row>
    <row r="3143" spans="1:24" x14ac:dyDescent="0.25">
      <c r="A3143" t="s">
        <v>1948</v>
      </c>
      <c r="B3143" t="s">
        <v>2076</v>
      </c>
      <c r="C3143" t="s">
        <v>2170</v>
      </c>
      <c r="D3143" t="s">
        <v>314</v>
      </c>
      <c r="E3143" t="s">
        <v>23</v>
      </c>
      <c r="F3143" t="s">
        <v>1</v>
      </c>
      <c r="G3143" t="s">
        <v>1077</v>
      </c>
      <c r="H3143" t="s">
        <v>423</v>
      </c>
      <c r="I3143" t="s">
        <v>1</v>
      </c>
      <c r="J3143">
        <v>351.27</v>
      </c>
      <c r="K3143"/>
      <c r="L3143">
        <v>152.9</v>
      </c>
      <c r="M3143">
        <v>308.33425414364643</v>
      </c>
      <c r="N3143">
        <v>504.16999999999996</v>
      </c>
      <c r="O3143">
        <v>308.33425414359999</v>
      </c>
      <c r="P3143">
        <v>0</v>
      </c>
      <c r="Q3143">
        <f t="shared" si="630"/>
        <v>308.33425414359999</v>
      </c>
      <c r="R3143">
        <v>308.33425414359999</v>
      </c>
      <c r="S3143">
        <f t="shared" si="631"/>
        <v>0</v>
      </c>
      <c r="T3143">
        <v>3.5000000000000003E-2</v>
      </c>
      <c r="U3143">
        <f t="shared" si="632"/>
        <v>10.791698895026</v>
      </c>
      <c r="V3143">
        <f t="shared" si="633"/>
        <v>319.12595303862599</v>
      </c>
      <c r="W3143">
        <f t="shared" si="634"/>
        <v>10.791698895026002</v>
      </c>
      <c r="X3143">
        <v>0</v>
      </c>
    </row>
    <row r="3144" spans="1:24" x14ac:dyDescent="0.25">
      <c r="A3144" t="s">
        <v>1948</v>
      </c>
      <c r="B3144" t="s">
        <v>2076</v>
      </c>
      <c r="C3144" t="s">
        <v>2170</v>
      </c>
      <c r="D3144" t="s">
        <v>314</v>
      </c>
      <c r="E3144" t="s">
        <v>26</v>
      </c>
      <c r="F3144" t="s">
        <v>1</v>
      </c>
      <c r="G3144" t="s">
        <v>1077</v>
      </c>
      <c r="H3144" t="s">
        <v>426</v>
      </c>
      <c r="I3144" t="s">
        <v>1</v>
      </c>
      <c r="J3144">
        <v>1400</v>
      </c>
      <c r="K3144"/>
      <c r="L3144">
        <v>0</v>
      </c>
      <c r="M3144">
        <v>0</v>
      </c>
      <c r="N3144">
        <v>1400</v>
      </c>
      <c r="O3144"/>
      <c r="P3144">
        <v>0</v>
      </c>
      <c r="Q3144">
        <f t="shared" si="630"/>
        <v>0</v>
      </c>
      <c r="R3144">
        <v>0</v>
      </c>
      <c r="S3144">
        <f t="shared" si="631"/>
        <v>0</v>
      </c>
      <c r="T3144"/>
      <c r="U3144">
        <f t="shared" si="632"/>
        <v>0</v>
      </c>
      <c r="V3144">
        <f t="shared" si="633"/>
        <v>0</v>
      </c>
      <c r="W3144">
        <f t="shared" si="634"/>
        <v>0</v>
      </c>
      <c r="X3144">
        <v>0</v>
      </c>
    </row>
    <row r="3145" spans="1:24" x14ac:dyDescent="0.25">
      <c r="A3145" t="s">
        <v>1948</v>
      </c>
      <c r="B3145" t="s">
        <v>2076</v>
      </c>
      <c r="C3145" t="s">
        <v>2170</v>
      </c>
      <c r="D3145" t="s">
        <v>314</v>
      </c>
      <c r="E3145" t="s">
        <v>37</v>
      </c>
      <c r="F3145" t="s">
        <v>1</v>
      </c>
      <c r="G3145" t="s">
        <v>1077</v>
      </c>
      <c r="H3145" t="s">
        <v>437</v>
      </c>
      <c r="I3145" t="s">
        <v>1</v>
      </c>
      <c r="J3145">
        <v>103.26</v>
      </c>
      <c r="K3145"/>
      <c r="L3145">
        <v>0</v>
      </c>
      <c r="M3145">
        <v>0</v>
      </c>
      <c r="N3145">
        <v>103.26</v>
      </c>
      <c r="O3145"/>
      <c r="P3145">
        <v>0</v>
      </c>
      <c r="Q3145">
        <f t="shared" si="630"/>
        <v>0</v>
      </c>
      <c r="R3145">
        <v>0</v>
      </c>
      <c r="S3145">
        <f t="shared" si="631"/>
        <v>0</v>
      </c>
      <c r="T3145"/>
      <c r="U3145">
        <f t="shared" si="632"/>
        <v>0</v>
      </c>
      <c r="V3145">
        <f t="shared" si="633"/>
        <v>0</v>
      </c>
      <c r="W3145">
        <f t="shared" si="634"/>
        <v>0</v>
      </c>
      <c r="X3145">
        <v>0</v>
      </c>
    </row>
    <row r="3146" spans="1:24" x14ac:dyDescent="0.25">
      <c r="A3146" t="s">
        <v>1948</v>
      </c>
      <c r="B3146" t="s">
        <v>2076</v>
      </c>
      <c r="C3146" t="s">
        <v>2170</v>
      </c>
      <c r="D3146" t="s">
        <v>314</v>
      </c>
      <c r="E3146" t="s">
        <v>76</v>
      </c>
      <c r="F3146" t="s">
        <v>1</v>
      </c>
      <c r="G3146" t="s">
        <v>1077</v>
      </c>
      <c r="H3146" t="s">
        <v>493</v>
      </c>
      <c r="I3146" t="s">
        <v>1</v>
      </c>
      <c r="J3146">
        <v>446274.67</v>
      </c>
      <c r="K3146">
        <v>454981</v>
      </c>
      <c r="L3146">
        <v>230284.42</v>
      </c>
      <c r="M3146">
        <v>464385.70883977902</v>
      </c>
      <c r="N3146">
        <v>449829.92000000004</v>
      </c>
      <c r="O3146">
        <v>460568.84</v>
      </c>
      <c r="P3146">
        <v>0</v>
      </c>
      <c r="Q3146">
        <f t="shared" si="630"/>
        <v>460568.84</v>
      </c>
      <c r="R3146">
        <v>505029</v>
      </c>
      <c r="S3146">
        <f t="shared" si="631"/>
        <v>44460.159999999974</v>
      </c>
      <c r="T3146">
        <v>0.03</v>
      </c>
      <c r="U3146">
        <f t="shared" si="632"/>
        <v>15150.869999999999</v>
      </c>
      <c r="V3146">
        <f t="shared" si="633"/>
        <v>520179.87</v>
      </c>
      <c r="W3146">
        <f t="shared" si="634"/>
        <v>59611.02999999997</v>
      </c>
      <c r="X3146" t="s">
        <v>1812</v>
      </c>
    </row>
    <row r="3147" spans="1:24" x14ac:dyDescent="0.25">
      <c r="A3147" t="s">
        <v>1948</v>
      </c>
      <c r="B3147" t="s">
        <v>2076</v>
      </c>
      <c r="C3147" t="s">
        <v>2170</v>
      </c>
      <c r="D3147" t="s">
        <v>314</v>
      </c>
      <c r="E3147" t="s">
        <v>41</v>
      </c>
      <c r="F3147" t="s">
        <v>1</v>
      </c>
      <c r="G3147" t="s">
        <v>1077</v>
      </c>
      <c r="H3147" t="s">
        <v>441</v>
      </c>
      <c r="I3147" t="s">
        <v>1</v>
      </c>
      <c r="J3147">
        <v>14028.75</v>
      </c>
      <c r="K3147">
        <v>15655.735196856</v>
      </c>
      <c r="L3147">
        <v>5111.8599999999997</v>
      </c>
      <c r="M3147">
        <v>10308.446961325966</v>
      </c>
      <c r="N3147">
        <v>11170.699999999999</v>
      </c>
      <c r="O3147">
        <v>10223.719999999999</v>
      </c>
      <c r="P3147">
        <v>0</v>
      </c>
      <c r="Q3147">
        <f t="shared" si="630"/>
        <v>10223.719999999999</v>
      </c>
      <c r="R3147">
        <v>10223.719999999999</v>
      </c>
      <c r="S3147">
        <f t="shared" si="631"/>
        <v>0</v>
      </c>
      <c r="T3147">
        <v>0.03</v>
      </c>
      <c r="U3147">
        <f t="shared" si="632"/>
        <v>306.71159999999998</v>
      </c>
      <c r="V3147">
        <f t="shared" si="633"/>
        <v>10530.4316</v>
      </c>
      <c r="W3147">
        <f t="shared" si="634"/>
        <v>306.71160000000054</v>
      </c>
      <c r="X3147">
        <v>0</v>
      </c>
    </row>
    <row r="3148" spans="1:24" x14ac:dyDescent="0.25">
      <c r="A3148" t="s">
        <v>1948</v>
      </c>
      <c r="B3148" t="s">
        <v>2076</v>
      </c>
      <c r="C3148" t="s">
        <v>2170</v>
      </c>
      <c r="D3148" t="s">
        <v>314</v>
      </c>
      <c r="E3148" t="s">
        <v>42</v>
      </c>
      <c r="F3148" t="s">
        <v>1</v>
      </c>
      <c r="G3148" t="s">
        <v>1077</v>
      </c>
      <c r="H3148" t="s">
        <v>442</v>
      </c>
      <c r="I3148" t="s">
        <v>1</v>
      </c>
      <c r="J3148">
        <v>31710.33</v>
      </c>
      <c r="K3148">
        <v>31677</v>
      </c>
      <c r="L3148">
        <v>11.65</v>
      </c>
      <c r="M3148">
        <v>23.493093922651937</v>
      </c>
      <c r="N3148">
        <v>44.879999999999995</v>
      </c>
      <c r="O3148">
        <v>23.3</v>
      </c>
      <c r="P3148">
        <v>0</v>
      </c>
      <c r="Q3148">
        <f t="shared" si="630"/>
        <v>23.3</v>
      </c>
      <c r="R3148">
        <v>22861</v>
      </c>
      <c r="S3148">
        <f t="shared" si="631"/>
        <v>22837.7</v>
      </c>
      <c r="T3148">
        <v>0.03</v>
      </c>
      <c r="U3148">
        <f t="shared" si="632"/>
        <v>685.82999999999993</v>
      </c>
      <c r="V3148">
        <f t="shared" si="633"/>
        <v>23546.83</v>
      </c>
      <c r="W3148">
        <f t="shared" si="634"/>
        <v>23523.530000000002</v>
      </c>
      <c r="X3148" t="s">
        <v>1813</v>
      </c>
    </row>
    <row r="3149" spans="1:24" x14ac:dyDescent="0.25">
      <c r="A3149" t="s">
        <v>1948</v>
      </c>
      <c r="B3149" t="s">
        <v>2076</v>
      </c>
      <c r="C3149" t="s">
        <v>2170</v>
      </c>
      <c r="D3149" t="s">
        <v>314</v>
      </c>
      <c r="E3149" t="s">
        <v>134</v>
      </c>
      <c r="F3149" t="s">
        <v>1</v>
      </c>
      <c r="G3149" t="s">
        <v>1077</v>
      </c>
      <c r="H3149" t="s">
        <v>623</v>
      </c>
      <c r="I3149" t="s">
        <v>1</v>
      </c>
      <c r="J3149">
        <v>16201</v>
      </c>
      <c r="K3149"/>
      <c r="L3149">
        <v>9103.5</v>
      </c>
      <c r="M3149">
        <v>18357.886740331494</v>
      </c>
      <c r="N3149">
        <v>23492.5</v>
      </c>
      <c r="O3149">
        <v>18207</v>
      </c>
      <c r="P3149">
        <v>0</v>
      </c>
      <c r="Q3149">
        <f t="shared" si="630"/>
        <v>18207</v>
      </c>
      <c r="R3149">
        <v>10000</v>
      </c>
      <c r="S3149">
        <f t="shared" si="631"/>
        <v>-8207</v>
      </c>
      <c r="T3149">
        <v>0.03</v>
      </c>
      <c r="U3149">
        <f t="shared" si="632"/>
        <v>300</v>
      </c>
      <c r="V3149">
        <f t="shared" si="633"/>
        <v>10300</v>
      </c>
      <c r="W3149">
        <f t="shared" si="634"/>
        <v>-7907</v>
      </c>
      <c r="X3149">
        <v>0</v>
      </c>
    </row>
    <row r="3150" spans="1:24" x14ac:dyDescent="0.25">
      <c r="A3150" t="s">
        <v>1948</v>
      </c>
      <c r="B3150" t="s">
        <v>2076</v>
      </c>
      <c r="C3150" t="s">
        <v>2170</v>
      </c>
      <c r="D3150" t="s">
        <v>314</v>
      </c>
      <c r="E3150" t="s">
        <v>46</v>
      </c>
      <c r="F3150" t="s">
        <v>1</v>
      </c>
      <c r="G3150" t="s">
        <v>1077</v>
      </c>
      <c r="H3150" t="s">
        <v>446</v>
      </c>
      <c r="I3150" t="s">
        <v>1</v>
      </c>
      <c r="J3150">
        <v>3840</v>
      </c>
      <c r="K3150"/>
      <c r="L3150">
        <v>2735.23</v>
      </c>
      <c r="M3150">
        <v>5515.7953038674032</v>
      </c>
      <c r="N3150">
        <v>6575.23</v>
      </c>
      <c r="O3150">
        <v>5470.46</v>
      </c>
      <c r="P3150">
        <v>0</v>
      </c>
      <c r="Q3150">
        <f t="shared" si="630"/>
        <v>5470.46</v>
      </c>
      <c r="R3150">
        <v>5470.46</v>
      </c>
      <c r="S3150">
        <f t="shared" si="631"/>
        <v>0</v>
      </c>
      <c r="T3150">
        <v>0.03</v>
      </c>
      <c r="U3150">
        <f t="shared" si="632"/>
        <v>164.1138</v>
      </c>
      <c r="V3150">
        <f t="shared" si="633"/>
        <v>5634.5738000000001</v>
      </c>
      <c r="W3150">
        <f t="shared" si="634"/>
        <v>164.11380000000008</v>
      </c>
      <c r="X3150">
        <v>0</v>
      </c>
    </row>
    <row r="3151" spans="1:24" x14ac:dyDescent="0.25">
      <c r="A3151" t="s">
        <v>1948</v>
      </c>
      <c r="B3151" t="s">
        <v>2076</v>
      </c>
      <c r="C3151" t="s">
        <v>2170</v>
      </c>
      <c r="D3151" t="s">
        <v>314</v>
      </c>
      <c r="E3151" t="s">
        <v>47</v>
      </c>
      <c r="F3151" t="s">
        <v>1</v>
      </c>
      <c r="G3151" t="s">
        <v>1077</v>
      </c>
      <c r="H3151" t="s">
        <v>447</v>
      </c>
      <c r="I3151" t="s">
        <v>1</v>
      </c>
      <c r="J3151">
        <v>11250</v>
      </c>
      <c r="K3151"/>
      <c r="L3151">
        <v>0</v>
      </c>
      <c r="M3151">
        <v>0</v>
      </c>
      <c r="N3151">
        <v>0</v>
      </c>
      <c r="O3151"/>
      <c r="P3151">
        <v>0</v>
      </c>
      <c r="Q3151">
        <f t="shared" si="630"/>
        <v>0</v>
      </c>
      <c r="R3151">
        <v>0</v>
      </c>
      <c r="S3151">
        <f t="shared" si="631"/>
        <v>0</v>
      </c>
      <c r="T3151">
        <v>0.03</v>
      </c>
      <c r="U3151">
        <f t="shared" si="632"/>
        <v>0</v>
      </c>
      <c r="V3151">
        <f t="shared" si="633"/>
        <v>0</v>
      </c>
      <c r="W3151">
        <f t="shared" si="634"/>
        <v>0</v>
      </c>
      <c r="X3151">
        <v>0</v>
      </c>
    </row>
    <row r="3152" spans="1:24" x14ac:dyDescent="0.25">
      <c r="A3152" t="s">
        <v>1948</v>
      </c>
      <c r="B3152" t="s">
        <v>2076</v>
      </c>
      <c r="C3152" t="s">
        <v>2170</v>
      </c>
      <c r="D3152" t="s">
        <v>314</v>
      </c>
      <c r="E3152" t="s">
        <v>51</v>
      </c>
      <c r="F3152" t="s">
        <v>51</v>
      </c>
      <c r="G3152" t="s">
        <v>1078</v>
      </c>
      <c r="H3152"/>
      <c r="I3152"/>
      <c r="J3152">
        <v>1027263.4400000001</v>
      </c>
      <c r="K3152">
        <v>967139.39269626013</v>
      </c>
      <c r="L3152">
        <v>471975.55</v>
      </c>
      <c r="M3152">
        <v>951773.89917127066</v>
      </c>
      <c r="N3152">
        <v>992320.37</v>
      </c>
      <c r="O3152">
        <v>946420.73664379772</v>
      </c>
      <c r="P3152">
        <f>SUMIF($F$3128:$F$3151,"&lt;&gt;EV_*",$P$3128:$P$3151)</f>
        <v>0</v>
      </c>
      <c r="Q3152">
        <f>SUMIF($F$3128:$F$3151,"&lt;&gt;EV_*",$Q$3128:$Q$3151)</f>
        <v>946420.73664379772</v>
      </c>
      <c r="R3152">
        <f>SUMIF($F$3128:$F$3151,"&lt;&gt;EV_*",$R$3128:$R$3151)</f>
        <v>1020511.5631273146</v>
      </c>
      <c r="S3152">
        <f>SUMIF($F$3128:$F$3151,"&lt;&gt;EV_*",$S$3128:$S$3151)</f>
        <v>74090.826483516867</v>
      </c>
      <c r="T3152">
        <v>0</v>
      </c>
      <c r="U3152">
        <f>SUMIF($F$3128:$F$3151,"&lt;&gt;EV_*",$U$3128:$U$3151)</f>
        <v>30953.220296988642</v>
      </c>
      <c r="V3152">
        <f>SUMIF($F$3128:$F$3151,"&lt;&gt;EV_*",$V$3128:$V$3151)</f>
        <v>1051464.7834243032</v>
      </c>
      <c r="W3152">
        <f>SUMIF($F$3128:$F$3151,"&lt;&gt;EV_*",$W$3128:$W$3151)</f>
        <v>105044.04678050551</v>
      </c>
      <c r="X3152">
        <f>SUMIF($F$3128:$F$3151,"&lt;&gt;EV_*",$X$3128:$X$3151)</f>
        <v>0</v>
      </c>
    </row>
    <row r="3153" spans="1:24" x14ac:dyDescent="0.25">
      <c r="A3153" t="s">
        <v>1948</v>
      </c>
      <c r="B3153" t="s">
        <v>2076</v>
      </c>
      <c r="C3153" t="s">
        <v>2171</v>
      </c>
      <c r="D3153" t="s">
        <v>315</v>
      </c>
      <c r="E3153" t="s">
        <v>5</v>
      </c>
      <c r="F3153" t="s">
        <v>5</v>
      </c>
      <c r="G3153" t="s">
        <v>1079</v>
      </c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</row>
    <row r="3154" spans="1:24" x14ac:dyDescent="0.25">
      <c r="A3154" t="s">
        <v>1948</v>
      </c>
      <c r="B3154" t="s">
        <v>2076</v>
      </c>
      <c r="C3154" t="s">
        <v>2171</v>
      </c>
      <c r="D3154" t="s">
        <v>315</v>
      </c>
      <c r="E3154" t="s">
        <v>65</v>
      </c>
      <c r="F3154" t="s">
        <v>1</v>
      </c>
      <c r="G3154" t="s">
        <v>1080</v>
      </c>
      <c r="H3154" t="s">
        <v>476</v>
      </c>
      <c r="I3154" t="s">
        <v>1</v>
      </c>
      <c r="J3154">
        <v>-21.1</v>
      </c>
      <c r="K3154"/>
      <c r="L3154">
        <v>-32.72</v>
      </c>
      <c r="M3154">
        <v>-65.982320441988946</v>
      </c>
      <c r="N3154">
        <v>-33.82</v>
      </c>
      <c r="O3154">
        <v>-65.7995604396</v>
      </c>
      <c r="P3154">
        <v>0</v>
      </c>
      <c r="Q3154">
        <f t="shared" ref="Q3154:Q3171" si="635">O3154+P3154</f>
        <v>-65.7995604396</v>
      </c>
      <c r="R3154">
        <v>-65.7995604396</v>
      </c>
      <c r="S3154">
        <f t="shared" ref="S3154:S3171" si="636">IF(OR(LEFT(E3154,2)="A_",LEFT(D3154,5)="Total"),R3154-Q3154,"")</f>
        <v>0</v>
      </c>
      <c r="T3154"/>
      <c r="U3154">
        <f t="shared" ref="U3154:U3171" si="637">IFERROR(R3154*T3154,R3154*0)</f>
        <v>0</v>
      </c>
      <c r="V3154">
        <f t="shared" ref="V3154:V3171" si="638">IF(OR(LEFT(E3154,2)="A_",LEFT(D3154,5)="Total"),R3154+U3154,"")</f>
        <v>-65.7995604396</v>
      </c>
      <c r="W3154">
        <f t="shared" ref="W3154:W3171" si="639">IF(OR(LEFT(E3154,2)="A_",LEFT(D3154,5)="Total"),V3154-Q3154,"")</f>
        <v>0</v>
      </c>
      <c r="X3154">
        <v>0</v>
      </c>
    </row>
    <row r="3155" spans="1:24" x14ac:dyDescent="0.25">
      <c r="A3155" t="s">
        <v>1948</v>
      </c>
      <c r="B3155" t="s">
        <v>2076</v>
      </c>
      <c r="C3155" t="s">
        <v>2171</v>
      </c>
      <c r="D3155" t="s">
        <v>315</v>
      </c>
      <c r="E3155" t="s">
        <v>17</v>
      </c>
      <c r="F3155" t="s">
        <v>1</v>
      </c>
      <c r="G3155" t="s">
        <v>1080</v>
      </c>
      <c r="H3155" t="s">
        <v>417</v>
      </c>
      <c r="I3155" t="s">
        <v>1</v>
      </c>
      <c r="J3155">
        <v>-96</v>
      </c>
      <c r="K3155">
        <v>-810.00000000010004</v>
      </c>
      <c r="L3155">
        <v>-345.59</v>
      </c>
      <c r="M3155">
        <v>-696.90801104972377</v>
      </c>
      <c r="N3155">
        <v>-345.59</v>
      </c>
      <c r="O3155">
        <v>-694.97769230769995</v>
      </c>
      <c r="P3155">
        <v>0</v>
      </c>
      <c r="Q3155">
        <f t="shared" si="635"/>
        <v>-694.97769230769995</v>
      </c>
      <c r="R3155">
        <v>-694.97769230769995</v>
      </c>
      <c r="S3155">
        <f t="shared" si="636"/>
        <v>0</v>
      </c>
      <c r="T3155"/>
      <c r="U3155">
        <f t="shared" si="637"/>
        <v>0</v>
      </c>
      <c r="V3155">
        <f t="shared" si="638"/>
        <v>-694.97769230769995</v>
      </c>
      <c r="W3155">
        <f t="shared" si="639"/>
        <v>0</v>
      </c>
      <c r="X3155">
        <v>0</v>
      </c>
    </row>
    <row r="3156" spans="1:24" x14ac:dyDescent="0.25">
      <c r="A3156" t="s">
        <v>1948</v>
      </c>
      <c r="B3156" t="s">
        <v>2076</v>
      </c>
      <c r="C3156" t="s">
        <v>2171</v>
      </c>
      <c r="D3156" t="s">
        <v>315</v>
      </c>
      <c r="E3156" t="s">
        <v>18</v>
      </c>
      <c r="F3156" t="s">
        <v>1</v>
      </c>
      <c r="G3156" t="s">
        <v>1080</v>
      </c>
      <c r="H3156" t="s">
        <v>418</v>
      </c>
      <c r="I3156" t="s">
        <v>1</v>
      </c>
      <c r="J3156">
        <v>27595.360000000001</v>
      </c>
      <c r="K3156">
        <v>23902.667421555601</v>
      </c>
      <c r="L3156">
        <v>15573.34</v>
      </c>
      <c r="M3156">
        <v>31404.801657458564</v>
      </c>
      <c r="N3156">
        <v>33176.630000000005</v>
      </c>
      <c r="O3156">
        <v>31317.815604395601</v>
      </c>
      <c r="P3156">
        <v>0</v>
      </c>
      <c r="Q3156">
        <f t="shared" si="635"/>
        <v>31317.815604395601</v>
      </c>
      <c r="R3156">
        <v>31317.815604395601</v>
      </c>
      <c r="S3156">
        <f t="shared" si="636"/>
        <v>0</v>
      </c>
      <c r="T3156">
        <v>0.02</v>
      </c>
      <c r="U3156">
        <f t="shared" si="637"/>
        <v>626.35631208791199</v>
      </c>
      <c r="V3156">
        <f t="shared" si="638"/>
        <v>31944.171916483512</v>
      </c>
      <c r="W3156">
        <f t="shared" si="639"/>
        <v>626.35631208791165</v>
      </c>
      <c r="X3156">
        <v>0</v>
      </c>
    </row>
    <row r="3157" spans="1:24" x14ac:dyDescent="0.25">
      <c r="A3157" t="s">
        <v>1948</v>
      </c>
      <c r="B3157" t="s">
        <v>2076</v>
      </c>
      <c r="C3157" t="s">
        <v>2171</v>
      </c>
      <c r="D3157" t="s">
        <v>315</v>
      </c>
      <c r="E3157" t="s">
        <v>57</v>
      </c>
      <c r="F3157" t="s">
        <v>1</v>
      </c>
      <c r="G3157" t="s">
        <v>1080</v>
      </c>
      <c r="H3157" t="s">
        <v>462</v>
      </c>
      <c r="I3157" t="s">
        <v>1</v>
      </c>
      <c r="J3157">
        <v>127.11</v>
      </c>
      <c r="K3157"/>
      <c r="L3157">
        <v>121.82</v>
      </c>
      <c r="M3157">
        <v>245.65911602209943</v>
      </c>
      <c r="N3157">
        <v>121.82</v>
      </c>
      <c r="O3157">
        <v>244.97868131870001</v>
      </c>
      <c r="P3157">
        <v>0</v>
      </c>
      <c r="Q3157">
        <f t="shared" si="635"/>
        <v>244.97868131870001</v>
      </c>
      <c r="R3157">
        <v>244.97868131870001</v>
      </c>
      <c r="S3157">
        <f t="shared" si="636"/>
        <v>0</v>
      </c>
      <c r="T3157">
        <v>0.04</v>
      </c>
      <c r="U3157">
        <f t="shared" si="637"/>
        <v>9.7991472527479999</v>
      </c>
      <c r="V3157">
        <f t="shared" si="638"/>
        <v>254.77782857144803</v>
      </c>
      <c r="W3157">
        <f t="shared" si="639"/>
        <v>9.7991472527480141</v>
      </c>
      <c r="X3157">
        <v>0</v>
      </c>
    </row>
    <row r="3158" spans="1:24" x14ac:dyDescent="0.25">
      <c r="A3158" t="s">
        <v>1948</v>
      </c>
      <c r="B3158" t="s">
        <v>2076</v>
      </c>
      <c r="C3158" t="s">
        <v>2171</v>
      </c>
      <c r="D3158" t="s">
        <v>315</v>
      </c>
      <c r="E3158" t="s">
        <v>73</v>
      </c>
      <c r="F3158" t="s">
        <v>1</v>
      </c>
      <c r="G3158" t="s">
        <v>1080</v>
      </c>
      <c r="H3158" t="s">
        <v>490</v>
      </c>
      <c r="I3158" t="s">
        <v>1</v>
      </c>
      <c r="J3158">
        <v>158761.13</v>
      </c>
      <c r="K3158">
        <v>164739.95564462899</v>
      </c>
      <c r="L3158">
        <v>81392.02</v>
      </c>
      <c r="M3158">
        <v>164133.07900552487</v>
      </c>
      <c r="N3158">
        <v>163013.65000000002</v>
      </c>
      <c r="O3158">
        <v>163678.45780219801</v>
      </c>
      <c r="P3158">
        <v>0</v>
      </c>
      <c r="Q3158">
        <f t="shared" si="635"/>
        <v>163678.45780219801</v>
      </c>
      <c r="R3158">
        <v>163678.45780219801</v>
      </c>
      <c r="S3158">
        <f t="shared" si="636"/>
        <v>0</v>
      </c>
      <c r="T3158">
        <v>3.5000000000000003E-2</v>
      </c>
      <c r="U3158">
        <f t="shared" si="637"/>
        <v>5728.7460230769311</v>
      </c>
      <c r="V3158">
        <f t="shared" si="638"/>
        <v>169407.20382527495</v>
      </c>
      <c r="W3158">
        <f t="shared" si="639"/>
        <v>5728.7460230769357</v>
      </c>
      <c r="X3158">
        <v>0</v>
      </c>
    </row>
    <row r="3159" spans="1:24" x14ac:dyDescent="0.25">
      <c r="A3159" t="s">
        <v>1948</v>
      </c>
      <c r="B3159" t="s">
        <v>2076</v>
      </c>
      <c r="C3159" t="s">
        <v>2171</v>
      </c>
      <c r="D3159" t="s">
        <v>315</v>
      </c>
      <c r="E3159" t="s">
        <v>74</v>
      </c>
      <c r="F3159" t="s">
        <v>1</v>
      </c>
      <c r="G3159" t="s">
        <v>1080</v>
      </c>
      <c r="H3159" t="s">
        <v>491</v>
      </c>
      <c r="I3159" t="s">
        <v>1</v>
      </c>
      <c r="J3159">
        <v>9271.49</v>
      </c>
      <c r="K3159">
        <v>8528.1073888888004</v>
      </c>
      <c r="L3159">
        <v>6954.86</v>
      </c>
      <c r="M3159">
        <v>14024.993922651935</v>
      </c>
      <c r="N3159">
        <v>12949.89</v>
      </c>
      <c r="O3159">
        <v>13986.147032966999</v>
      </c>
      <c r="P3159">
        <v>0</v>
      </c>
      <c r="Q3159">
        <f t="shared" si="635"/>
        <v>13986.147032966999</v>
      </c>
      <c r="R3159">
        <v>13986.147032966999</v>
      </c>
      <c r="S3159">
        <f t="shared" si="636"/>
        <v>0</v>
      </c>
      <c r="T3159">
        <v>3.5000000000000003E-2</v>
      </c>
      <c r="U3159">
        <f t="shared" si="637"/>
        <v>489.51514615384502</v>
      </c>
      <c r="V3159">
        <f t="shared" si="638"/>
        <v>14475.662179120844</v>
      </c>
      <c r="W3159">
        <f t="shared" si="639"/>
        <v>489.5151461538444</v>
      </c>
      <c r="X3159">
        <v>0</v>
      </c>
    </row>
    <row r="3160" spans="1:24" x14ac:dyDescent="0.25">
      <c r="A3160" t="s">
        <v>1948</v>
      </c>
      <c r="B3160" t="s">
        <v>2076</v>
      </c>
      <c r="C3160" t="s">
        <v>2171</v>
      </c>
      <c r="D3160" t="s">
        <v>315</v>
      </c>
      <c r="E3160" t="s">
        <v>85</v>
      </c>
      <c r="F3160" t="s">
        <v>1</v>
      </c>
      <c r="G3160" t="s">
        <v>1080</v>
      </c>
      <c r="H3160" t="s">
        <v>510</v>
      </c>
      <c r="I3160" t="s">
        <v>1</v>
      </c>
      <c r="J3160">
        <v>90.18</v>
      </c>
      <c r="K3160"/>
      <c r="L3160">
        <v>60.12</v>
      </c>
      <c r="M3160">
        <v>121.2364640883978</v>
      </c>
      <c r="N3160">
        <v>120.24</v>
      </c>
      <c r="O3160">
        <v>120.9006593407</v>
      </c>
      <c r="P3160">
        <v>0</v>
      </c>
      <c r="Q3160">
        <f t="shared" si="635"/>
        <v>120.9006593407</v>
      </c>
      <c r="R3160">
        <v>120.9006593407</v>
      </c>
      <c r="S3160">
        <f t="shared" si="636"/>
        <v>0</v>
      </c>
      <c r="T3160">
        <v>0.02</v>
      </c>
      <c r="U3160">
        <f t="shared" si="637"/>
        <v>2.418013186814</v>
      </c>
      <c r="V3160">
        <f t="shared" si="638"/>
        <v>123.318672527514</v>
      </c>
      <c r="W3160">
        <f t="shared" si="639"/>
        <v>2.4180131868139938</v>
      </c>
      <c r="X3160">
        <v>0</v>
      </c>
    </row>
    <row r="3161" spans="1:24" x14ac:dyDescent="0.25">
      <c r="A3161" t="s">
        <v>1948</v>
      </c>
      <c r="B3161" t="s">
        <v>2076</v>
      </c>
      <c r="C3161" t="s">
        <v>2171</v>
      </c>
      <c r="D3161" t="s">
        <v>315</v>
      </c>
      <c r="E3161" t="s">
        <v>20</v>
      </c>
      <c r="F3161" t="s">
        <v>1</v>
      </c>
      <c r="G3161" t="s">
        <v>1080</v>
      </c>
      <c r="H3161" t="s">
        <v>420</v>
      </c>
      <c r="I3161" t="s">
        <v>1</v>
      </c>
      <c r="J3161">
        <v>615.54</v>
      </c>
      <c r="K3161"/>
      <c r="L3161">
        <v>418.66</v>
      </c>
      <c r="M3161">
        <v>844.25911602209953</v>
      </c>
      <c r="N3161">
        <v>949</v>
      </c>
      <c r="O3161">
        <v>841.92065934070001</v>
      </c>
      <c r="P3161">
        <v>0</v>
      </c>
      <c r="Q3161">
        <f t="shared" si="635"/>
        <v>841.92065934070001</v>
      </c>
      <c r="R3161">
        <v>841.92065934070001</v>
      </c>
      <c r="S3161">
        <f t="shared" si="636"/>
        <v>0</v>
      </c>
      <c r="T3161">
        <v>0.04</v>
      </c>
      <c r="U3161">
        <f t="shared" si="637"/>
        <v>33.676826373628003</v>
      </c>
      <c r="V3161">
        <f t="shared" si="638"/>
        <v>875.59748571432806</v>
      </c>
      <c r="W3161">
        <f t="shared" si="639"/>
        <v>33.676826373628046</v>
      </c>
      <c r="X3161">
        <v>0</v>
      </c>
    </row>
    <row r="3162" spans="1:24" x14ac:dyDescent="0.25">
      <c r="A3162" t="s">
        <v>1948</v>
      </c>
      <c r="B3162" t="s">
        <v>2076</v>
      </c>
      <c r="C3162" t="s">
        <v>2171</v>
      </c>
      <c r="D3162" t="s">
        <v>315</v>
      </c>
      <c r="E3162" t="s">
        <v>21</v>
      </c>
      <c r="F3162" t="s">
        <v>1</v>
      </c>
      <c r="G3162" t="s">
        <v>1080</v>
      </c>
      <c r="H3162" t="s">
        <v>421</v>
      </c>
      <c r="I3162" t="s">
        <v>1</v>
      </c>
      <c r="J3162">
        <v>916.67</v>
      </c>
      <c r="K3162">
        <v>587.1</v>
      </c>
      <c r="L3162">
        <v>465.6</v>
      </c>
      <c r="M3162">
        <v>938.9171270718233</v>
      </c>
      <c r="N3162">
        <v>1098.46</v>
      </c>
      <c r="O3162">
        <v>938.9171270718</v>
      </c>
      <c r="P3162">
        <v>0</v>
      </c>
      <c r="Q3162">
        <f t="shared" si="635"/>
        <v>938.9171270718</v>
      </c>
      <c r="R3162">
        <v>938.9171270718</v>
      </c>
      <c r="S3162">
        <f t="shared" si="636"/>
        <v>0</v>
      </c>
      <c r="T3162">
        <v>0.03</v>
      </c>
      <c r="U3162">
        <f t="shared" si="637"/>
        <v>28.167513812153999</v>
      </c>
      <c r="V3162">
        <f t="shared" si="638"/>
        <v>967.08464088395397</v>
      </c>
      <c r="W3162">
        <f t="shared" si="639"/>
        <v>28.16751381215397</v>
      </c>
      <c r="X3162">
        <v>0</v>
      </c>
    </row>
    <row r="3163" spans="1:24" x14ac:dyDescent="0.25">
      <c r="A3163" t="s">
        <v>1948</v>
      </c>
      <c r="B3163" t="s">
        <v>2076</v>
      </c>
      <c r="C3163" t="s">
        <v>2171</v>
      </c>
      <c r="D3163" t="s">
        <v>315</v>
      </c>
      <c r="E3163" t="s">
        <v>23</v>
      </c>
      <c r="F3163" t="s">
        <v>1</v>
      </c>
      <c r="G3163" t="s">
        <v>1080</v>
      </c>
      <c r="H3163" t="s">
        <v>423</v>
      </c>
      <c r="I3163" t="s">
        <v>1</v>
      </c>
      <c r="J3163">
        <v>7837.18</v>
      </c>
      <c r="K3163">
        <v>445.05</v>
      </c>
      <c r="L3163">
        <v>90.26</v>
      </c>
      <c r="M3163">
        <v>182.01602209944753</v>
      </c>
      <c r="N3163">
        <v>7710.26</v>
      </c>
      <c r="O3163">
        <v>182.0160220994</v>
      </c>
      <c r="P3163">
        <v>0</v>
      </c>
      <c r="Q3163">
        <f t="shared" si="635"/>
        <v>182.0160220994</v>
      </c>
      <c r="R3163">
        <v>182.0160220994</v>
      </c>
      <c r="S3163">
        <f t="shared" si="636"/>
        <v>0</v>
      </c>
      <c r="T3163">
        <v>3.5000000000000003E-2</v>
      </c>
      <c r="U3163">
        <f t="shared" si="637"/>
        <v>6.3705607734790011</v>
      </c>
      <c r="V3163">
        <f t="shared" si="638"/>
        <v>188.38658287287902</v>
      </c>
      <c r="W3163">
        <f t="shared" si="639"/>
        <v>6.3705607734790135</v>
      </c>
      <c r="X3163">
        <v>0</v>
      </c>
    </row>
    <row r="3164" spans="1:24" x14ac:dyDescent="0.25">
      <c r="A3164" t="s">
        <v>1948</v>
      </c>
      <c r="B3164" t="s">
        <v>2076</v>
      </c>
      <c r="C3164" t="s">
        <v>2171</v>
      </c>
      <c r="D3164" t="s">
        <v>315</v>
      </c>
      <c r="E3164" t="s">
        <v>33</v>
      </c>
      <c r="F3164" t="s">
        <v>1</v>
      </c>
      <c r="G3164" t="s">
        <v>1080</v>
      </c>
      <c r="H3164" t="s">
        <v>433</v>
      </c>
      <c r="I3164" t="s">
        <v>1</v>
      </c>
      <c r="J3164"/>
      <c r="K3164"/>
      <c r="L3164">
        <v>337.36</v>
      </c>
      <c r="M3164">
        <v>680.31160220994479</v>
      </c>
      <c r="N3164">
        <v>337.36</v>
      </c>
      <c r="O3164">
        <v>674.72</v>
      </c>
      <c r="P3164">
        <v>0</v>
      </c>
      <c r="Q3164">
        <f t="shared" si="635"/>
        <v>674.72</v>
      </c>
      <c r="R3164">
        <v>674.72</v>
      </c>
      <c r="S3164">
        <f t="shared" si="636"/>
        <v>0</v>
      </c>
      <c r="T3164"/>
      <c r="U3164">
        <f t="shared" si="637"/>
        <v>0</v>
      </c>
      <c r="V3164">
        <f t="shared" si="638"/>
        <v>674.72</v>
      </c>
      <c r="W3164">
        <f t="shared" si="639"/>
        <v>0</v>
      </c>
      <c r="X3164">
        <v>0</v>
      </c>
    </row>
    <row r="3165" spans="1:24" x14ac:dyDescent="0.25">
      <c r="A3165" t="s">
        <v>1948</v>
      </c>
      <c r="B3165" t="s">
        <v>2076</v>
      </c>
      <c r="C3165" t="s">
        <v>2171</v>
      </c>
      <c r="D3165" t="s">
        <v>315</v>
      </c>
      <c r="E3165" t="s">
        <v>40</v>
      </c>
      <c r="F3165" t="s">
        <v>1</v>
      </c>
      <c r="G3165" t="s">
        <v>1080</v>
      </c>
      <c r="H3165" t="s">
        <v>440</v>
      </c>
      <c r="I3165" t="s">
        <v>1</v>
      </c>
      <c r="J3165">
        <v>7135.2</v>
      </c>
      <c r="K3165">
        <v>7134.9999999995998</v>
      </c>
      <c r="L3165">
        <v>7135.2</v>
      </c>
      <c r="M3165">
        <v>14388.662983425414</v>
      </c>
      <c r="N3165">
        <v>7135.2</v>
      </c>
      <c r="O3165">
        <v>14270.4</v>
      </c>
      <c r="P3165">
        <v>0</v>
      </c>
      <c r="Q3165">
        <f t="shared" si="635"/>
        <v>14270.4</v>
      </c>
      <c r="R3165">
        <v>85620</v>
      </c>
      <c r="S3165">
        <f t="shared" si="636"/>
        <v>71349.600000000006</v>
      </c>
      <c r="T3165">
        <v>0.03</v>
      </c>
      <c r="U3165">
        <f t="shared" si="637"/>
        <v>2568.6</v>
      </c>
      <c r="V3165">
        <f t="shared" si="638"/>
        <v>88188.6</v>
      </c>
      <c r="W3165">
        <f t="shared" si="639"/>
        <v>73918.200000000012</v>
      </c>
      <c r="X3165" t="s">
        <v>1814</v>
      </c>
    </row>
    <row r="3166" spans="1:24" x14ac:dyDescent="0.25">
      <c r="A3166" t="s">
        <v>1948</v>
      </c>
      <c r="B3166" t="s">
        <v>2076</v>
      </c>
      <c r="C3166" t="s">
        <v>2171</v>
      </c>
      <c r="D3166" t="s">
        <v>315</v>
      </c>
      <c r="E3166" t="s">
        <v>76</v>
      </c>
      <c r="F3166" t="s">
        <v>1</v>
      </c>
      <c r="G3166" t="s">
        <v>1080</v>
      </c>
      <c r="H3166" t="s">
        <v>493</v>
      </c>
      <c r="I3166" t="s">
        <v>1</v>
      </c>
      <c r="J3166">
        <v>235752.34</v>
      </c>
      <c r="K3166">
        <v>264643</v>
      </c>
      <c r="L3166">
        <v>130007.33</v>
      </c>
      <c r="M3166">
        <v>262169.47762430937</v>
      </c>
      <c r="N3166">
        <v>266732.28999999998</v>
      </c>
      <c r="O3166">
        <v>260014.66</v>
      </c>
      <c r="P3166">
        <v>0</v>
      </c>
      <c r="Q3166">
        <f t="shared" si="635"/>
        <v>260014.66</v>
      </c>
      <c r="R3166">
        <v>260014.66</v>
      </c>
      <c r="S3166">
        <f t="shared" si="636"/>
        <v>0</v>
      </c>
      <c r="T3166">
        <v>0.03</v>
      </c>
      <c r="U3166">
        <f t="shared" si="637"/>
        <v>7800.4398000000001</v>
      </c>
      <c r="V3166">
        <f t="shared" si="638"/>
        <v>267815.09980000003</v>
      </c>
      <c r="W3166">
        <f t="shared" si="639"/>
        <v>7800.4398000000219</v>
      </c>
      <c r="X3166" t="s">
        <v>1815</v>
      </c>
    </row>
    <row r="3167" spans="1:24" x14ac:dyDescent="0.25">
      <c r="A3167" t="s">
        <v>1948</v>
      </c>
      <c r="B3167" t="s">
        <v>2076</v>
      </c>
      <c r="C3167" t="s">
        <v>2171</v>
      </c>
      <c r="D3167" t="s">
        <v>315</v>
      </c>
      <c r="E3167" t="s">
        <v>41</v>
      </c>
      <c r="F3167" t="s">
        <v>1</v>
      </c>
      <c r="G3167" t="s">
        <v>1080</v>
      </c>
      <c r="H3167" t="s">
        <v>441</v>
      </c>
      <c r="I3167" t="s">
        <v>1</v>
      </c>
      <c r="J3167">
        <v>1908</v>
      </c>
      <c r="K3167">
        <v>1240.8046884396001</v>
      </c>
      <c r="L3167">
        <v>1380</v>
      </c>
      <c r="M3167">
        <v>2782.8729281767955</v>
      </c>
      <c r="N3167">
        <v>2656.3399999999997</v>
      </c>
      <c r="O3167">
        <v>2760</v>
      </c>
      <c r="P3167">
        <v>0</v>
      </c>
      <c r="Q3167">
        <f t="shared" si="635"/>
        <v>2760</v>
      </c>
      <c r="R3167">
        <v>2760</v>
      </c>
      <c r="S3167">
        <f t="shared" si="636"/>
        <v>0</v>
      </c>
      <c r="T3167">
        <v>0.03</v>
      </c>
      <c r="U3167">
        <f t="shared" si="637"/>
        <v>82.8</v>
      </c>
      <c r="V3167">
        <f t="shared" si="638"/>
        <v>2842.8</v>
      </c>
      <c r="W3167">
        <f t="shared" si="639"/>
        <v>82.800000000000182</v>
      </c>
      <c r="X3167">
        <v>0</v>
      </c>
    </row>
    <row r="3168" spans="1:24" x14ac:dyDescent="0.25">
      <c r="A3168" t="s">
        <v>1948</v>
      </c>
      <c r="B3168" t="s">
        <v>2076</v>
      </c>
      <c r="C3168" t="s">
        <v>2171</v>
      </c>
      <c r="D3168" t="s">
        <v>315</v>
      </c>
      <c r="E3168" t="s">
        <v>42</v>
      </c>
      <c r="F3168" t="s">
        <v>1</v>
      </c>
      <c r="G3168" t="s">
        <v>1080</v>
      </c>
      <c r="H3168" t="s">
        <v>442</v>
      </c>
      <c r="I3168" t="s">
        <v>1</v>
      </c>
      <c r="J3168">
        <v>4845</v>
      </c>
      <c r="K3168"/>
      <c r="L3168">
        <v>-4845</v>
      </c>
      <c r="M3168">
        <v>-9770.3038674033141</v>
      </c>
      <c r="N3168">
        <v>-4845</v>
      </c>
      <c r="O3168">
        <v>-9690</v>
      </c>
      <c r="P3168">
        <v>0</v>
      </c>
      <c r="Q3168">
        <f t="shared" si="635"/>
        <v>-9690</v>
      </c>
      <c r="R3168">
        <v>-9690</v>
      </c>
      <c r="S3168">
        <f t="shared" si="636"/>
        <v>0</v>
      </c>
      <c r="T3168">
        <v>0.03</v>
      </c>
      <c r="U3168">
        <f t="shared" si="637"/>
        <v>-290.7</v>
      </c>
      <c r="V3168">
        <f t="shared" si="638"/>
        <v>-9980.7000000000007</v>
      </c>
      <c r="W3168">
        <f t="shared" si="639"/>
        <v>-290.70000000000073</v>
      </c>
      <c r="X3168">
        <v>0</v>
      </c>
    </row>
    <row r="3169" spans="1:24" x14ac:dyDescent="0.25">
      <c r="A3169" t="s">
        <v>1948</v>
      </c>
      <c r="B3169" t="s">
        <v>2076</v>
      </c>
      <c r="C3169" t="s">
        <v>2171</v>
      </c>
      <c r="D3169" t="s">
        <v>315</v>
      </c>
      <c r="E3169" t="s">
        <v>43</v>
      </c>
      <c r="F3169" t="s">
        <v>1</v>
      </c>
      <c r="G3169" t="s">
        <v>1080</v>
      </c>
      <c r="H3169" t="s">
        <v>443</v>
      </c>
      <c r="I3169" t="s">
        <v>1</v>
      </c>
      <c r="J3169">
        <v>6205</v>
      </c>
      <c r="K3169"/>
      <c r="L3169">
        <v>0</v>
      </c>
      <c r="M3169">
        <v>0</v>
      </c>
      <c r="N3169">
        <v>0</v>
      </c>
      <c r="O3169"/>
      <c r="P3169">
        <v>0</v>
      </c>
      <c r="Q3169">
        <f t="shared" si="635"/>
        <v>0</v>
      </c>
      <c r="R3169">
        <v>0</v>
      </c>
      <c r="S3169">
        <f t="shared" si="636"/>
        <v>0</v>
      </c>
      <c r="T3169">
        <v>0.03</v>
      </c>
      <c r="U3169">
        <f t="shared" si="637"/>
        <v>0</v>
      </c>
      <c r="V3169">
        <f t="shared" si="638"/>
        <v>0</v>
      </c>
      <c r="W3169">
        <f t="shared" si="639"/>
        <v>0</v>
      </c>
      <c r="X3169">
        <v>0</v>
      </c>
    </row>
    <row r="3170" spans="1:24" x14ac:dyDescent="0.25">
      <c r="A3170" t="s">
        <v>1948</v>
      </c>
      <c r="B3170" t="s">
        <v>2076</v>
      </c>
      <c r="C3170" t="s">
        <v>2171</v>
      </c>
      <c r="D3170" t="s">
        <v>315</v>
      </c>
      <c r="E3170" t="s">
        <v>134</v>
      </c>
      <c r="F3170" t="s">
        <v>1</v>
      </c>
      <c r="G3170" t="s">
        <v>1080</v>
      </c>
      <c r="H3170" t="s">
        <v>623</v>
      </c>
      <c r="I3170" t="s">
        <v>1</v>
      </c>
      <c r="J3170">
        <v>22875.5</v>
      </c>
      <c r="K3170"/>
      <c r="L3170">
        <v>99</v>
      </c>
      <c r="M3170">
        <v>199.64088397790056</v>
      </c>
      <c r="N3170">
        <v>22259</v>
      </c>
      <c r="O3170">
        <v>198</v>
      </c>
      <c r="P3170">
        <v>0</v>
      </c>
      <c r="Q3170">
        <f t="shared" si="635"/>
        <v>198</v>
      </c>
      <c r="R3170">
        <v>198</v>
      </c>
      <c r="S3170">
        <f t="shared" si="636"/>
        <v>0</v>
      </c>
      <c r="T3170">
        <v>0.03</v>
      </c>
      <c r="U3170">
        <f t="shared" si="637"/>
        <v>5.9399999999999995</v>
      </c>
      <c r="V3170">
        <f t="shared" si="638"/>
        <v>203.94</v>
      </c>
      <c r="W3170">
        <f t="shared" si="639"/>
        <v>5.9399999999999977</v>
      </c>
      <c r="X3170">
        <v>0</v>
      </c>
    </row>
    <row r="3171" spans="1:24" x14ac:dyDescent="0.25">
      <c r="A3171" t="s">
        <v>1948</v>
      </c>
      <c r="B3171" t="s">
        <v>2076</v>
      </c>
      <c r="C3171" t="s">
        <v>2171</v>
      </c>
      <c r="D3171" t="s">
        <v>315</v>
      </c>
      <c r="E3171" t="s">
        <v>46</v>
      </c>
      <c r="F3171" t="s">
        <v>1</v>
      </c>
      <c r="G3171" t="s">
        <v>1080</v>
      </c>
      <c r="H3171" t="s">
        <v>446</v>
      </c>
      <c r="I3171" t="s">
        <v>1</v>
      </c>
      <c r="J3171"/>
      <c r="K3171"/>
      <c r="L3171">
        <v>15000</v>
      </c>
      <c r="M3171">
        <v>30248.618784530387</v>
      </c>
      <c r="N3171">
        <v>15000</v>
      </c>
      <c r="O3171">
        <v>30000</v>
      </c>
      <c r="P3171">
        <v>0</v>
      </c>
      <c r="Q3171">
        <f t="shared" si="635"/>
        <v>30000</v>
      </c>
      <c r="R3171">
        <v>20000</v>
      </c>
      <c r="S3171">
        <f t="shared" si="636"/>
        <v>-10000</v>
      </c>
      <c r="T3171">
        <v>0.03</v>
      </c>
      <c r="U3171">
        <f t="shared" si="637"/>
        <v>600</v>
      </c>
      <c r="V3171">
        <f t="shared" si="638"/>
        <v>20600</v>
      </c>
      <c r="W3171">
        <f t="shared" si="639"/>
        <v>-9400</v>
      </c>
      <c r="X3171" t="s">
        <v>1816</v>
      </c>
    </row>
    <row r="3172" spans="1:24" x14ac:dyDescent="0.25">
      <c r="A3172" t="s">
        <v>1948</v>
      </c>
      <c r="B3172" t="s">
        <v>2076</v>
      </c>
      <c r="C3172" t="s">
        <v>2171</v>
      </c>
      <c r="D3172" t="s">
        <v>315</v>
      </c>
      <c r="E3172" t="s">
        <v>51</v>
      </c>
      <c r="F3172" t="s">
        <v>51</v>
      </c>
      <c r="G3172" t="s">
        <v>1081</v>
      </c>
      <c r="H3172"/>
      <c r="I3172"/>
      <c r="J3172">
        <v>483818.6</v>
      </c>
      <c r="K3172">
        <v>470411.68514351244</v>
      </c>
      <c r="L3172">
        <v>253812.26</v>
      </c>
      <c r="M3172">
        <v>511831.35303867393</v>
      </c>
      <c r="N3172">
        <v>528035.73</v>
      </c>
      <c r="O3172">
        <v>508778.15633598459</v>
      </c>
      <c r="P3172">
        <f>SUMIF($F$3153:$F$3171,"&lt;&gt;EV_*",$P$3153:$P$3171)</f>
        <v>0</v>
      </c>
      <c r="Q3172">
        <f>SUMIF($F$3153:$F$3171,"&lt;&gt;EV_*",$Q$3153:$Q$3171)</f>
        <v>508778.15633598459</v>
      </c>
      <c r="R3172">
        <f>SUMIF($F$3153:$F$3171,"&lt;&gt;EV_*",$R$3153:$R$3171)</f>
        <v>570127.75633598468</v>
      </c>
      <c r="S3172">
        <f>SUMIF($F$3153:$F$3171,"&lt;&gt;EV_*",$S$3153:$S$3171)</f>
        <v>61349.600000000006</v>
      </c>
      <c r="T3172">
        <v>0</v>
      </c>
      <c r="U3172">
        <f>SUMIF($F$3153:$F$3171,"&lt;&gt;EV_*",$U$3153:$U$3171)</f>
        <v>17692.129342717508</v>
      </c>
      <c r="V3172">
        <f>SUMIF($F$3153:$F$3171,"&lt;&gt;EV_*",$V$3153:$V$3171)</f>
        <v>587819.88567870227</v>
      </c>
      <c r="W3172">
        <f>SUMIF($F$3153:$F$3171,"&lt;&gt;EV_*",$W$3153:$W$3171)</f>
        <v>79041.729342717561</v>
      </c>
      <c r="X3172">
        <f>SUMIF($F$3153:$F$3171,"&lt;&gt;EV_*",$X$3153:$X$3171)</f>
        <v>0</v>
      </c>
    </row>
    <row r="3173" spans="1:24" x14ac:dyDescent="0.25">
      <c r="A3173" t="s">
        <v>1948</v>
      </c>
      <c r="B3173" t="s">
        <v>2076</v>
      </c>
      <c r="C3173" t="s">
        <v>2172</v>
      </c>
      <c r="D3173" t="s">
        <v>316</v>
      </c>
      <c r="E3173" t="s">
        <v>5</v>
      </c>
      <c r="F3173" t="s">
        <v>5</v>
      </c>
      <c r="G3173" t="s">
        <v>1082</v>
      </c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</row>
    <row r="3174" spans="1:24" x14ac:dyDescent="0.25">
      <c r="A3174" t="s">
        <v>1948</v>
      </c>
      <c r="B3174" t="s">
        <v>2076</v>
      </c>
      <c r="C3174" t="s">
        <v>2172</v>
      </c>
      <c r="D3174" t="s">
        <v>316</v>
      </c>
      <c r="E3174" t="s">
        <v>99</v>
      </c>
      <c r="F3174" t="s">
        <v>1</v>
      </c>
      <c r="G3174" t="s">
        <v>1083</v>
      </c>
      <c r="H3174" t="s">
        <v>548</v>
      </c>
      <c r="I3174" t="s">
        <v>1</v>
      </c>
      <c r="J3174"/>
      <c r="K3174"/>
      <c r="L3174">
        <v>54.46</v>
      </c>
      <c r="M3174">
        <v>109.82265193370166</v>
      </c>
      <c r="N3174">
        <v>54.46</v>
      </c>
      <c r="O3174">
        <v>109.8226519337</v>
      </c>
      <c r="P3174">
        <v>0</v>
      </c>
      <c r="Q3174">
        <f t="shared" ref="Q3174:Q3183" si="640">O3174+P3174</f>
        <v>109.8226519337</v>
      </c>
      <c r="R3174">
        <v>109.8226519337</v>
      </c>
      <c r="S3174">
        <f t="shared" ref="S3174:S3183" si="641">IF(OR(LEFT(E3174,2)="A_",LEFT(D3174,5)="Total"),R3174-Q3174,"")</f>
        <v>0</v>
      </c>
      <c r="T3174">
        <v>3.5000000000000003E-2</v>
      </c>
      <c r="U3174">
        <f t="shared" ref="U3174:U3183" si="642">IFERROR(R3174*T3174,R3174*0)</f>
        <v>3.8437928176795002</v>
      </c>
      <c r="V3174">
        <f t="shared" ref="V3174:V3183" si="643">IF(OR(LEFT(E3174,2)="A_",LEFT(D3174,5)="Total"),R3174+U3174,"")</f>
        <v>113.6664447513795</v>
      </c>
      <c r="W3174">
        <f t="shared" ref="W3174:W3183" si="644">IF(OR(LEFT(E3174,2)="A_",LEFT(D3174,5)="Total"),V3174-Q3174,"")</f>
        <v>3.8437928176794998</v>
      </c>
      <c r="X3174">
        <v>0</v>
      </c>
    </row>
    <row r="3175" spans="1:24" x14ac:dyDescent="0.25">
      <c r="A3175" t="s">
        <v>1948</v>
      </c>
      <c r="B3175" t="s">
        <v>2076</v>
      </c>
      <c r="C3175" t="s">
        <v>2172</v>
      </c>
      <c r="D3175" t="s">
        <v>316</v>
      </c>
      <c r="E3175" t="s">
        <v>149</v>
      </c>
      <c r="F3175" t="s">
        <v>1</v>
      </c>
      <c r="G3175" t="s">
        <v>1083</v>
      </c>
      <c r="H3175" t="s">
        <v>660</v>
      </c>
      <c r="I3175" t="s">
        <v>1</v>
      </c>
      <c r="J3175"/>
      <c r="K3175"/>
      <c r="L3175">
        <v>288.72000000000003</v>
      </c>
      <c r="M3175">
        <v>582.22541436464098</v>
      </c>
      <c r="N3175">
        <v>288.72000000000003</v>
      </c>
      <c r="O3175">
        <v>582.22541436460006</v>
      </c>
      <c r="P3175">
        <v>0</v>
      </c>
      <c r="Q3175">
        <f t="shared" si="640"/>
        <v>582.22541436460006</v>
      </c>
      <c r="R3175">
        <v>582.22541436460006</v>
      </c>
      <c r="S3175">
        <f t="shared" si="641"/>
        <v>0</v>
      </c>
      <c r="T3175">
        <v>0.02</v>
      </c>
      <c r="U3175">
        <f t="shared" si="642"/>
        <v>11.644508287292002</v>
      </c>
      <c r="V3175">
        <f t="shared" si="643"/>
        <v>593.86992265189201</v>
      </c>
      <c r="W3175">
        <f t="shared" si="644"/>
        <v>11.644508287291956</v>
      </c>
      <c r="X3175">
        <v>0</v>
      </c>
    </row>
    <row r="3176" spans="1:24" x14ac:dyDescent="0.25">
      <c r="A3176" t="s">
        <v>1948</v>
      </c>
      <c r="B3176" t="s">
        <v>2076</v>
      </c>
      <c r="C3176" t="s">
        <v>2172</v>
      </c>
      <c r="D3176" t="s">
        <v>316</v>
      </c>
      <c r="E3176" t="s">
        <v>10</v>
      </c>
      <c r="F3176" t="s">
        <v>1</v>
      </c>
      <c r="G3176" t="s">
        <v>1083</v>
      </c>
      <c r="H3176" t="s">
        <v>410</v>
      </c>
      <c r="I3176" t="s">
        <v>1</v>
      </c>
      <c r="J3176"/>
      <c r="K3176">
        <v>1008</v>
      </c>
      <c r="L3176">
        <v>0</v>
      </c>
      <c r="M3176">
        <v>0</v>
      </c>
      <c r="N3176">
        <v>0</v>
      </c>
      <c r="O3176"/>
      <c r="P3176">
        <v>0</v>
      </c>
      <c r="Q3176">
        <f t="shared" si="640"/>
        <v>0</v>
      </c>
      <c r="R3176">
        <v>0</v>
      </c>
      <c r="S3176">
        <f t="shared" si="641"/>
        <v>0</v>
      </c>
      <c r="T3176"/>
      <c r="U3176">
        <f t="shared" si="642"/>
        <v>0</v>
      </c>
      <c r="V3176">
        <f t="shared" si="643"/>
        <v>0</v>
      </c>
      <c r="W3176">
        <f t="shared" si="644"/>
        <v>0</v>
      </c>
      <c r="X3176">
        <v>0</v>
      </c>
    </row>
    <row r="3177" spans="1:24" x14ac:dyDescent="0.25">
      <c r="A3177" t="s">
        <v>1948</v>
      </c>
      <c r="B3177" t="s">
        <v>2076</v>
      </c>
      <c r="C3177" t="s">
        <v>2172</v>
      </c>
      <c r="D3177" t="s">
        <v>316</v>
      </c>
      <c r="E3177" t="s">
        <v>17</v>
      </c>
      <c r="F3177" t="s">
        <v>1</v>
      </c>
      <c r="G3177" t="s">
        <v>1083</v>
      </c>
      <c r="H3177" t="s">
        <v>417</v>
      </c>
      <c r="I3177" t="s">
        <v>1</v>
      </c>
      <c r="J3177"/>
      <c r="K3177"/>
      <c r="L3177">
        <v>-12.66</v>
      </c>
      <c r="M3177">
        <v>-25.529834254143648</v>
      </c>
      <c r="N3177">
        <v>-12.66</v>
      </c>
      <c r="O3177">
        <v>-25.459120879099999</v>
      </c>
      <c r="P3177">
        <v>0</v>
      </c>
      <c r="Q3177">
        <f t="shared" si="640"/>
        <v>-25.459120879099999</v>
      </c>
      <c r="R3177">
        <v>-25.459120879099999</v>
      </c>
      <c r="S3177">
        <f t="shared" si="641"/>
        <v>0</v>
      </c>
      <c r="T3177"/>
      <c r="U3177">
        <f t="shared" si="642"/>
        <v>0</v>
      </c>
      <c r="V3177">
        <f t="shared" si="643"/>
        <v>-25.459120879099999</v>
      </c>
      <c r="W3177">
        <f t="shared" si="644"/>
        <v>0</v>
      </c>
      <c r="X3177">
        <v>0</v>
      </c>
    </row>
    <row r="3178" spans="1:24" x14ac:dyDescent="0.25">
      <c r="A3178" t="s">
        <v>1948</v>
      </c>
      <c r="B3178" t="s">
        <v>2076</v>
      </c>
      <c r="C3178" t="s">
        <v>2172</v>
      </c>
      <c r="D3178" t="s">
        <v>316</v>
      </c>
      <c r="E3178" t="s">
        <v>73</v>
      </c>
      <c r="F3178" t="s">
        <v>1</v>
      </c>
      <c r="G3178" t="s">
        <v>1083</v>
      </c>
      <c r="H3178" t="s">
        <v>490</v>
      </c>
      <c r="I3178" t="s">
        <v>1</v>
      </c>
      <c r="J3178"/>
      <c r="K3178"/>
      <c r="L3178">
        <v>414.66</v>
      </c>
      <c r="M3178">
        <v>836.19281767955817</v>
      </c>
      <c r="N3178">
        <v>414.66</v>
      </c>
      <c r="O3178">
        <v>833.87670329670004</v>
      </c>
      <c r="P3178">
        <v>0</v>
      </c>
      <c r="Q3178">
        <f t="shared" si="640"/>
        <v>833.87670329670004</v>
      </c>
      <c r="R3178">
        <v>833.87670329670004</v>
      </c>
      <c r="S3178">
        <f t="shared" si="641"/>
        <v>0</v>
      </c>
      <c r="T3178">
        <v>3.5000000000000003E-2</v>
      </c>
      <c r="U3178">
        <f t="shared" si="642"/>
        <v>29.185684615384503</v>
      </c>
      <c r="V3178">
        <f t="shared" si="643"/>
        <v>863.06238791208455</v>
      </c>
      <c r="W3178">
        <f t="shared" si="644"/>
        <v>29.185684615384503</v>
      </c>
      <c r="X3178">
        <v>0</v>
      </c>
    </row>
    <row r="3179" spans="1:24" x14ac:dyDescent="0.25">
      <c r="A3179" t="s">
        <v>1948</v>
      </c>
      <c r="B3179" t="s">
        <v>2076</v>
      </c>
      <c r="C3179" t="s">
        <v>2172</v>
      </c>
      <c r="D3179" t="s">
        <v>316</v>
      </c>
      <c r="E3179" t="s">
        <v>21</v>
      </c>
      <c r="F3179" t="s">
        <v>1</v>
      </c>
      <c r="G3179" t="s">
        <v>1083</v>
      </c>
      <c r="H3179" t="s">
        <v>421</v>
      </c>
      <c r="I3179" t="s">
        <v>1</v>
      </c>
      <c r="J3179"/>
      <c r="K3179"/>
      <c r="L3179">
        <v>39.229999999999997</v>
      </c>
      <c r="M3179">
        <v>79.110220994475128</v>
      </c>
      <c r="N3179">
        <v>39.229999999999997</v>
      </c>
      <c r="O3179">
        <v>79.110220994499997</v>
      </c>
      <c r="P3179">
        <v>0</v>
      </c>
      <c r="Q3179">
        <f t="shared" si="640"/>
        <v>79.110220994499997</v>
      </c>
      <c r="R3179">
        <v>79.110220994499997</v>
      </c>
      <c r="S3179">
        <f t="shared" si="641"/>
        <v>0</v>
      </c>
      <c r="T3179">
        <v>0.03</v>
      </c>
      <c r="U3179">
        <f t="shared" si="642"/>
        <v>2.3733066298349996</v>
      </c>
      <c r="V3179">
        <f t="shared" si="643"/>
        <v>81.483527624334997</v>
      </c>
      <c r="W3179">
        <f t="shared" si="644"/>
        <v>2.3733066298349996</v>
      </c>
      <c r="X3179">
        <v>0</v>
      </c>
    </row>
    <row r="3180" spans="1:24" x14ac:dyDescent="0.25">
      <c r="A3180" t="s">
        <v>1948</v>
      </c>
      <c r="B3180" t="s">
        <v>2076</v>
      </c>
      <c r="C3180" t="s">
        <v>2172</v>
      </c>
      <c r="D3180" t="s">
        <v>316</v>
      </c>
      <c r="E3180" t="s">
        <v>23</v>
      </c>
      <c r="F3180" t="s">
        <v>1</v>
      </c>
      <c r="G3180" t="s">
        <v>1083</v>
      </c>
      <c r="H3180" t="s">
        <v>423</v>
      </c>
      <c r="I3180" t="s">
        <v>1</v>
      </c>
      <c r="J3180"/>
      <c r="K3180"/>
      <c r="L3180">
        <v>430</v>
      </c>
      <c r="M3180">
        <v>867.12707182320435</v>
      </c>
      <c r="N3180">
        <v>430</v>
      </c>
      <c r="O3180">
        <v>867.12707182320003</v>
      </c>
      <c r="P3180">
        <v>0</v>
      </c>
      <c r="Q3180">
        <f t="shared" si="640"/>
        <v>867.12707182320003</v>
      </c>
      <c r="R3180">
        <v>0</v>
      </c>
      <c r="S3180">
        <f t="shared" si="641"/>
        <v>-867.12707182320003</v>
      </c>
      <c r="T3180">
        <v>3.5000000000000003E-2</v>
      </c>
      <c r="U3180">
        <f t="shared" si="642"/>
        <v>0</v>
      </c>
      <c r="V3180">
        <f t="shared" si="643"/>
        <v>0</v>
      </c>
      <c r="W3180">
        <f t="shared" si="644"/>
        <v>-867.12707182320003</v>
      </c>
      <c r="X3180">
        <v>0</v>
      </c>
    </row>
    <row r="3181" spans="1:24" x14ac:dyDescent="0.25">
      <c r="A3181" t="s">
        <v>1948</v>
      </c>
      <c r="B3181" t="s">
        <v>2076</v>
      </c>
      <c r="C3181" t="s">
        <v>2172</v>
      </c>
      <c r="D3181" t="s">
        <v>316</v>
      </c>
      <c r="E3181" t="s">
        <v>29</v>
      </c>
      <c r="F3181" t="s">
        <v>1</v>
      </c>
      <c r="G3181" t="s">
        <v>1083</v>
      </c>
      <c r="H3181" t="s">
        <v>429</v>
      </c>
      <c r="I3181" t="s">
        <v>1</v>
      </c>
      <c r="J3181">
        <v>483</v>
      </c>
      <c r="K3181"/>
      <c r="L3181">
        <v>483</v>
      </c>
      <c r="M3181">
        <v>974.00552486187848</v>
      </c>
      <c r="N3181">
        <v>966</v>
      </c>
      <c r="O3181">
        <v>966</v>
      </c>
      <c r="P3181">
        <v>0</v>
      </c>
      <c r="Q3181">
        <f t="shared" si="640"/>
        <v>966</v>
      </c>
      <c r="R3181">
        <v>966</v>
      </c>
      <c r="S3181">
        <f t="shared" si="641"/>
        <v>0</v>
      </c>
      <c r="T3181"/>
      <c r="U3181">
        <f t="shared" si="642"/>
        <v>0</v>
      </c>
      <c r="V3181">
        <f t="shared" si="643"/>
        <v>966</v>
      </c>
      <c r="W3181">
        <f t="shared" si="644"/>
        <v>0</v>
      </c>
      <c r="X3181">
        <v>0</v>
      </c>
    </row>
    <row r="3182" spans="1:24" x14ac:dyDescent="0.25">
      <c r="A3182" t="s">
        <v>1948</v>
      </c>
      <c r="B3182" t="s">
        <v>2076</v>
      </c>
      <c r="C3182" t="s">
        <v>2172</v>
      </c>
      <c r="D3182" t="s">
        <v>316</v>
      </c>
      <c r="E3182" t="s">
        <v>76</v>
      </c>
      <c r="F3182" t="s">
        <v>1</v>
      </c>
      <c r="G3182" t="s">
        <v>1083</v>
      </c>
      <c r="H3182" t="s">
        <v>493</v>
      </c>
      <c r="I3182" t="s">
        <v>1</v>
      </c>
      <c r="J3182"/>
      <c r="K3182">
        <v>21000</v>
      </c>
      <c r="L3182">
        <v>0</v>
      </c>
      <c r="M3182">
        <v>0</v>
      </c>
      <c r="N3182">
        <v>0</v>
      </c>
      <c r="O3182"/>
      <c r="P3182">
        <v>0</v>
      </c>
      <c r="Q3182">
        <f t="shared" si="640"/>
        <v>0</v>
      </c>
      <c r="R3182">
        <v>49350</v>
      </c>
      <c r="S3182">
        <f t="shared" si="641"/>
        <v>49350</v>
      </c>
      <c r="T3182">
        <v>0.03</v>
      </c>
      <c r="U3182">
        <f t="shared" si="642"/>
        <v>1480.5</v>
      </c>
      <c r="V3182">
        <f t="shared" si="643"/>
        <v>50830.5</v>
      </c>
      <c r="W3182">
        <f t="shared" si="644"/>
        <v>50830.5</v>
      </c>
      <c r="X3182">
        <v>0</v>
      </c>
    </row>
    <row r="3183" spans="1:24" x14ac:dyDescent="0.25">
      <c r="A3183" t="s">
        <v>1948</v>
      </c>
      <c r="B3183" t="s">
        <v>2076</v>
      </c>
      <c r="C3183" t="s">
        <v>2172</v>
      </c>
      <c r="D3183" t="s">
        <v>316</v>
      </c>
      <c r="E3183" t="s">
        <v>41</v>
      </c>
      <c r="F3183" t="s">
        <v>1</v>
      </c>
      <c r="G3183" t="s">
        <v>1083</v>
      </c>
      <c r="H3183" t="s">
        <v>441</v>
      </c>
      <c r="I3183" t="s">
        <v>1</v>
      </c>
      <c r="J3183"/>
      <c r="K3183"/>
      <c r="L3183">
        <v>20</v>
      </c>
      <c r="M3183">
        <v>40.331491712707184</v>
      </c>
      <c r="N3183">
        <v>20</v>
      </c>
      <c r="O3183">
        <v>40</v>
      </c>
      <c r="P3183">
        <v>0</v>
      </c>
      <c r="Q3183">
        <f t="shared" si="640"/>
        <v>40</v>
      </c>
      <c r="R3183">
        <v>40</v>
      </c>
      <c r="S3183">
        <f t="shared" si="641"/>
        <v>0</v>
      </c>
      <c r="T3183">
        <v>0.03</v>
      </c>
      <c r="U3183">
        <f t="shared" si="642"/>
        <v>1.2</v>
      </c>
      <c r="V3183">
        <f t="shared" si="643"/>
        <v>41.2</v>
      </c>
      <c r="W3183">
        <f t="shared" si="644"/>
        <v>1.2000000000000028</v>
      </c>
      <c r="X3183">
        <v>0</v>
      </c>
    </row>
    <row r="3184" spans="1:24" x14ac:dyDescent="0.25">
      <c r="A3184" t="s">
        <v>1948</v>
      </c>
      <c r="B3184" t="s">
        <v>2076</v>
      </c>
      <c r="C3184" t="s">
        <v>2172</v>
      </c>
      <c r="D3184" t="s">
        <v>316</v>
      </c>
      <c r="E3184" t="s">
        <v>51</v>
      </c>
      <c r="F3184" t="s">
        <v>51</v>
      </c>
      <c r="G3184" t="s">
        <v>1084</v>
      </c>
      <c r="H3184"/>
      <c r="I3184"/>
      <c r="J3184">
        <v>483</v>
      </c>
      <c r="K3184">
        <v>22008</v>
      </c>
      <c r="L3184">
        <v>1717.41</v>
      </c>
      <c r="M3184">
        <v>3463.2853591160228</v>
      </c>
      <c r="N3184">
        <v>2200.41</v>
      </c>
      <c r="O3184">
        <v>3452.7029415336001</v>
      </c>
      <c r="P3184">
        <f>SUMIF($F$3173:$F$3183,"&lt;&gt;EV_*",$P$3173:$P$3183)</f>
        <v>0</v>
      </c>
      <c r="Q3184">
        <f>SUMIF($F$3173:$F$3183,"&lt;&gt;EV_*",$Q$3173:$Q$3183)</f>
        <v>3452.7029415336001</v>
      </c>
      <c r="R3184">
        <f>SUMIF($F$3173:$F$3183,"&lt;&gt;EV_*",$R$3173:$R$3183)</f>
        <v>51935.575869710403</v>
      </c>
      <c r="S3184">
        <f>SUMIF($F$3173:$F$3183,"&lt;&gt;EV_*",$S$3173:$S$3183)</f>
        <v>48482.872928176803</v>
      </c>
      <c r="T3184">
        <v>0</v>
      </c>
      <c r="U3184">
        <f>SUMIF($F$3173:$F$3183,"&lt;&gt;EV_*",$U$3173:$U$3183)</f>
        <v>1528.7472923501909</v>
      </c>
      <c r="V3184">
        <f>SUMIF($F$3173:$F$3183,"&lt;&gt;EV_*",$V$3173:$V$3183)</f>
        <v>53464.323162060587</v>
      </c>
      <c r="W3184">
        <f>SUMIF($F$3173:$F$3183,"&lt;&gt;EV_*",$W$3173:$W$3183)</f>
        <v>50011.620220526987</v>
      </c>
      <c r="X3184">
        <f>SUMIF($F$3173:$F$3183,"&lt;&gt;EV_*",$X$3173:$X$3183)</f>
        <v>0</v>
      </c>
    </row>
    <row r="3185" spans="1:24" x14ac:dyDescent="0.25">
      <c r="A3185" t="s">
        <v>1948</v>
      </c>
      <c r="B3185" t="s">
        <v>2076</v>
      </c>
      <c r="C3185" t="s">
        <v>2173</v>
      </c>
      <c r="D3185" t="s">
        <v>317</v>
      </c>
      <c r="E3185" t="s">
        <v>5</v>
      </c>
      <c r="F3185" t="s">
        <v>5</v>
      </c>
      <c r="G3185" t="s">
        <v>1085</v>
      </c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</row>
    <row r="3186" spans="1:24" x14ac:dyDescent="0.25">
      <c r="A3186" t="s">
        <v>1948</v>
      </c>
      <c r="B3186" t="s">
        <v>2076</v>
      </c>
      <c r="C3186" t="s">
        <v>2173</v>
      </c>
      <c r="D3186" t="s">
        <v>317</v>
      </c>
      <c r="E3186" t="s">
        <v>11</v>
      </c>
      <c r="F3186" t="s">
        <v>1</v>
      </c>
      <c r="G3186" t="s">
        <v>1086</v>
      </c>
      <c r="H3186" t="s">
        <v>411</v>
      </c>
      <c r="I3186" t="s">
        <v>1</v>
      </c>
      <c r="J3186">
        <v>3551.98</v>
      </c>
      <c r="K3186">
        <v>3191.22</v>
      </c>
      <c r="L3186">
        <v>1574.93</v>
      </c>
      <c r="M3186">
        <v>3175.9638121546959</v>
      </c>
      <c r="N3186">
        <v>3286.6</v>
      </c>
      <c r="O3186">
        <v>3149.86</v>
      </c>
      <c r="P3186">
        <v>0</v>
      </c>
      <c r="Q3186">
        <f t="shared" ref="Q3186:Q3200" si="645">O3186+P3186</f>
        <v>3149.86</v>
      </c>
      <c r="R3186">
        <v>3149.86</v>
      </c>
      <c r="S3186">
        <f t="shared" ref="S3186:S3200" si="646">IF(OR(LEFT(E3186,2)="A_",LEFT(D3186,5)="Total"),R3186-Q3186,"")</f>
        <v>0</v>
      </c>
      <c r="T3186"/>
      <c r="U3186">
        <f t="shared" ref="U3186:U3200" si="647">IFERROR(R3186*T3186,R3186*0)</f>
        <v>0</v>
      </c>
      <c r="V3186">
        <f t="shared" ref="V3186:V3200" si="648">IF(OR(LEFT(E3186,2)="A_",LEFT(D3186,5)="Total"),R3186+U3186,"")</f>
        <v>3149.86</v>
      </c>
      <c r="W3186">
        <f t="shared" ref="W3186:W3200" si="649">IF(OR(LEFT(E3186,2)="A_",LEFT(D3186,5)="Total"),V3186-Q3186,"")</f>
        <v>0</v>
      </c>
      <c r="X3186" t="s">
        <v>1817</v>
      </c>
    </row>
    <row r="3187" spans="1:24" x14ac:dyDescent="0.25">
      <c r="A3187" t="s">
        <v>1948</v>
      </c>
      <c r="B3187" t="s">
        <v>2076</v>
      </c>
      <c r="C3187" t="s">
        <v>2173</v>
      </c>
      <c r="D3187" t="s">
        <v>317</v>
      </c>
      <c r="E3187" t="s">
        <v>17</v>
      </c>
      <c r="F3187" t="s">
        <v>1</v>
      </c>
      <c r="G3187" t="s">
        <v>1086</v>
      </c>
      <c r="H3187" t="s">
        <v>417</v>
      </c>
      <c r="I3187" t="s">
        <v>1</v>
      </c>
      <c r="J3187">
        <v>-146</v>
      </c>
      <c r="K3187">
        <v>-890.00000000019998</v>
      </c>
      <c r="L3187">
        <v>-38.92</v>
      </c>
      <c r="M3187">
        <v>-78.485082872928174</v>
      </c>
      <c r="N3187">
        <v>-38.92</v>
      </c>
      <c r="O3187">
        <v>-78.267692307700003</v>
      </c>
      <c r="P3187">
        <v>0</v>
      </c>
      <c r="Q3187">
        <f t="shared" si="645"/>
        <v>-78.267692307700003</v>
      </c>
      <c r="R3187">
        <v>-78.267692307700003</v>
      </c>
      <c r="S3187">
        <f t="shared" si="646"/>
        <v>0</v>
      </c>
      <c r="T3187"/>
      <c r="U3187">
        <f t="shared" si="647"/>
        <v>0</v>
      </c>
      <c r="V3187">
        <f t="shared" si="648"/>
        <v>-78.267692307700003</v>
      </c>
      <c r="W3187">
        <f t="shared" si="649"/>
        <v>0</v>
      </c>
      <c r="X3187">
        <v>0</v>
      </c>
    </row>
    <row r="3188" spans="1:24" x14ac:dyDescent="0.25">
      <c r="A3188" t="s">
        <v>1948</v>
      </c>
      <c r="B3188" t="s">
        <v>2076</v>
      </c>
      <c r="C3188" t="s">
        <v>2173</v>
      </c>
      <c r="D3188" t="s">
        <v>317</v>
      </c>
      <c r="E3188" t="s">
        <v>18</v>
      </c>
      <c r="F3188" t="s">
        <v>1</v>
      </c>
      <c r="G3188" t="s">
        <v>1086</v>
      </c>
      <c r="H3188" t="s">
        <v>418</v>
      </c>
      <c r="I3188" t="s">
        <v>1</v>
      </c>
      <c r="J3188">
        <v>384.63</v>
      </c>
      <c r="K3188">
        <v>-70.64</v>
      </c>
      <c r="L3188">
        <v>1096.2</v>
      </c>
      <c r="M3188">
        <v>2210.5690607734805</v>
      </c>
      <c r="N3188">
        <v>1096.2</v>
      </c>
      <c r="O3188">
        <v>2204.4461538462001</v>
      </c>
      <c r="P3188">
        <v>0</v>
      </c>
      <c r="Q3188">
        <f t="shared" si="645"/>
        <v>2204.4461538462001</v>
      </c>
      <c r="R3188">
        <v>2204.4461538462001</v>
      </c>
      <c r="S3188">
        <f t="shared" si="646"/>
        <v>0</v>
      </c>
      <c r="T3188">
        <v>0.02</v>
      </c>
      <c r="U3188">
        <f t="shared" si="647"/>
        <v>44.088923076924004</v>
      </c>
      <c r="V3188">
        <f t="shared" si="648"/>
        <v>2248.5350769231241</v>
      </c>
      <c r="W3188">
        <f t="shared" si="649"/>
        <v>44.088923076923948</v>
      </c>
      <c r="X3188">
        <v>0</v>
      </c>
    </row>
    <row r="3189" spans="1:24" x14ac:dyDescent="0.25">
      <c r="A3189" t="s">
        <v>1948</v>
      </c>
      <c r="B3189" t="s">
        <v>2076</v>
      </c>
      <c r="C3189" t="s">
        <v>2173</v>
      </c>
      <c r="D3189" t="s">
        <v>317</v>
      </c>
      <c r="E3189" t="s">
        <v>57</v>
      </c>
      <c r="F3189" t="s">
        <v>1</v>
      </c>
      <c r="G3189" t="s">
        <v>1086</v>
      </c>
      <c r="H3189" t="s">
        <v>462</v>
      </c>
      <c r="I3189" t="s">
        <v>1</v>
      </c>
      <c r="J3189"/>
      <c r="K3189"/>
      <c r="L3189">
        <v>38.64</v>
      </c>
      <c r="M3189">
        <v>77.920441988950273</v>
      </c>
      <c r="N3189">
        <v>38.64</v>
      </c>
      <c r="O3189">
        <v>77.704615384600004</v>
      </c>
      <c r="P3189">
        <v>0</v>
      </c>
      <c r="Q3189">
        <f t="shared" si="645"/>
        <v>77.704615384600004</v>
      </c>
      <c r="R3189">
        <v>77.704615384600004</v>
      </c>
      <c r="S3189">
        <f t="shared" si="646"/>
        <v>0</v>
      </c>
      <c r="T3189">
        <v>0.04</v>
      </c>
      <c r="U3189">
        <f t="shared" si="647"/>
        <v>3.1081846153840003</v>
      </c>
      <c r="V3189">
        <f t="shared" si="648"/>
        <v>80.812799999984009</v>
      </c>
      <c r="W3189">
        <f t="shared" si="649"/>
        <v>3.1081846153840047</v>
      </c>
      <c r="X3189">
        <v>0</v>
      </c>
    </row>
    <row r="3190" spans="1:24" x14ac:dyDescent="0.25">
      <c r="A3190" t="s">
        <v>1948</v>
      </c>
      <c r="B3190" t="s">
        <v>2076</v>
      </c>
      <c r="C3190" t="s">
        <v>2173</v>
      </c>
      <c r="D3190" t="s">
        <v>317</v>
      </c>
      <c r="E3190" t="s">
        <v>73</v>
      </c>
      <c r="F3190" t="s">
        <v>1</v>
      </c>
      <c r="G3190" t="s">
        <v>1086</v>
      </c>
      <c r="H3190" t="s">
        <v>490</v>
      </c>
      <c r="I3190" t="s">
        <v>1</v>
      </c>
      <c r="J3190">
        <v>234.66</v>
      </c>
      <c r="K3190">
        <v>-3.833334E-4</v>
      </c>
      <c r="L3190">
        <v>869.96</v>
      </c>
      <c r="M3190">
        <v>1754.339226519337</v>
      </c>
      <c r="N3190">
        <v>1284.6200000000001</v>
      </c>
      <c r="O3190">
        <v>1749.48</v>
      </c>
      <c r="P3190">
        <v>0</v>
      </c>
      <c r="Q3190">
        <f t="shared" si="645"/>
        <v>1749.48</v>
      </c>
      <c r="R3190">
        <v>1749.48</v>
      </c>
      <c r="S3190">
        <f t="shared" si="646"/>
        <v>0</v>
      </c>
      <c r="T3190">
        <v>3.5000000000000003E-2</v>
      </c>
      <c r="U3190">
        <f t="shared" si="647"/>
        <v>61.231800000000007</v>
      </c>
      <c r="V3190">
        <f t="shared" si="648"/>
        <v>1810.7118</v>
      </c>
      <c r="W3190">
        <f t="shared" si="649"/>
        <v>61.231800000000021</v>
      </c>
      <c r="X3190">
        <v>0</v>
      </c>
    </row>
    <row r="3191" spans="1:24" x14ac:dyDescent="0.25">
      <c r="A3191" t="s">
        <v>1948</v>
      </c>
      <c r="B3191" t="s">
        <v>2076</v>
      </c>
      <c r="C3191" t="s">
        <v>2173</v>
      </c>
      <c r="D3191" t="s">
        <v>317</v>
      </c>
      <c r="E3191" t="s">
        <v>74</v>
      </c>
      <c r="F3191" t="s">
        <v>1</v>
      </c>
      <c r="G3191" t="s">
        <v>1086</v>
      </c>
      <c r="H3191" t="s">
        <v>491</v>
      </c>
      <c r="I3191" t="s">
        <v>1</v>
      </c>
      <c r="J3191"/>
      <c r="K3191"/>
      <c r="L3191">
        <v>1281.47</v>
      </c>
      <c r="M3191">
        <v>2584.1798342541438</v>
      </c>
      <c r="N3191">
        <v>1281.47</v>
      </c>
      <c r="O3191">
        <v>2577.0220879120998</v>
      </c>
      <c r="P3191">
        <v>0</v>
      </c>
      <c r="Q3191">
        <f t="shared" si="645"/>
        <v>2577.0220879120998</v>
      </c>
      <c r="R3191">
        <v>2577.0220879120998</v>
      </c>
      <c r="S3191">
        <f t="shared" si="646"/>
        <v>0</v>
      </c>
      <c r="T3191">
        <v>3.5000000000000003E-2</v>
      </c>
      <c r="U3191">
        <f t="shared" si="647"/>
        <v>90.195773076923501</v>
      </c>
      <c r="V3191">
        <f t="shared" si="648"/>
        <v>2667.2178609890234</v>
      </c>
      <c r="W3191">
        <f t="shared" si="649"/>
        <v>90.195773076923615</v>
      </c>
      <c r="X3191">
        <v>0</v>
      </c>
    </row>
    <row r="3192" spans="1:24" x14ac:dyDescent="0.25">
      <c r="A3192" t="s">
        <v>1948</v>
      </c>
      <c r="B3192" t="s">
        <v>2076</v>
      </c>
      <c r="C3192" t="s">
        <v>2173</v>
      </c>
      <c r="D3192" t="s">
        <v>317</v>
      </c>
      <c r="E3192" t="s">
        <v>85</v>
      </c>
      <c r="F3192" t="s">
        <v>1</v>
      </c>
      <c r="G3192" t="s">
        <v>1086</v>
      </c>
      <c r="H3192" t="s">
        <v>510</v>
      </c>
      <c r="I3192" t="s">
        <v>1</v>
      </c>
      <c r="J3192"/>
      <c r="K3192"/>
      <c r="L3192">
        <v>30.06</v>
      </c>
      <c r="M3192">
        <v>60.618232044198898</v>
      </c>
      <c r="N3192">
        <v>30.06</v>
      </c>
      <c r="O3192">
        <v>60.4503296703</v>
      </c>
      <c r="P3192">
        <v>0</v>
      </c>
      <c r="Q3192">
        <f t="shared" si="645"/>
        <v>60.4503296703</v>
      </c>
      <c r="R3192">
        <v>60.4503296703</v>
      </c>
      <c r="S3192">
        <f t="shared" si="646"/>
        <v>0</v>
      </c>
      <c r="T3192">
        <v>0.02</v>
      </c>
      <c r="U3192">
        <f t="shared" si="647"/>
        <v>1.2090065934060001</v>
      </c>
      <c r="V3192">
        <f t="shared" si="648"/>
        <v>61.659336263706003</v>
      </c>
      <c r="W3192">
        <f t="shared" si="649"/>
        <v>1.2090065934060021</v>
      </c>
      <c r="X3192">
        <v>0</v>
      </c>
    </row>
    <row r="3193" spans="1:24" x14ac:dyDescent="0.25">
      <c r="A3193" t="s">
        <v>1948</v>
      </c>
      <c r="B3193" t="s">
        <v>2076</v>
      </c>
      <c r="C3193" t="s">
        <v>2173</v>
      </c>
      <c r="D3193" t="s">
        <v>317</v>
      </c>
      <c r="E3193" t="s">
        <v>120</v>
      </c>
      <c r="F3193" t="s">
        <v>1</v>
      </c>
      <c r="G3193" t="s">
        <v>1086</v>
      </c>
      <c r="H3193" t="s">
        <v>589</v>
      </c>
      <c r="I3193" t="s">
        <v>1</v>
      </c>
      <c r="J3193">
        <v>-2197</v>
      </c>
      <c r="K3193"/>
      <c r="L3193">
        <v>0</v>
      </c>
      <c r="M3193">
        <v>0</v>
      </c>
      <c r="N3193">
        <v>-2200</v>
      </c>
      <c r="O3193"/>
      <c r="P3193">
        <v>0</v>
      </c>
      <c r="Q3193">
        <f t="shared" si="645"/>
        <v>0</v>
      </c>
      <c r="R3193">
        <v>0</v>
      </c>
      <c r="S3193">
        <f t="shared" si="646"/>
        <v>0</v>
      </c>
      <c r="T3193">
        <v>3.5000000000000003E-2</v>
      </c>
      <c r="U3193">
        <f t="shared" si="647"/>
        <v>0</v>
      </c>
      <c r="V3193">
        <f t="shared" si="648"/>
        <v>0</v>
      </c>
      <c r="W3193">
        <f t="shared" si="649"/>
        <v>0</v>
      </c>
      <c r="X3193">
        <v>0</v>
      </c>
    </row>
    <row r="3194" spans="1:24" x14ac:dyDescent="0.25">
      <c r="A3194" t="s">
        <v>1948</v>
      </c>
      <c r="B3194" t="s">
        <v>2076</v>
      </c>
      <c r="C3194" t="s">
        <v>2173</v>
      </c>
      <c r="D3194" t="s">
        <v>317</v>
      </c>
      <c r="E3194" t="s">
        <v>20</v>
      </c>
      <c r="F3194" t="s">
        <v>1</v>
      </c>
      <c r="G3194" t="s">
        <v>1086</v>
      </c>
      <c r="H3194" t="s">
        <v>420</v>
      </c>
      <c r="I3194" t="s">
        <v>1</v>
      </c>
      <c r="J3194"/>
      <c r="K3194"/>
      <c r="L3194">
        <v>33.5</v>
      </c>
      <c r="M3194">
        <v>67.555248618784532</v>
      </c>
      <c r="N3194">
        <v>33.5</v>
      </c>
      <c r="O3194">
        <v>67.368131868099994</v>
      </c>
      <c r="P3194">
        <v>0</v>
      </c>
      <c r="Q3194">
        <f t="shared" si="645"/>
        <v>67.368131868099994</v>
      </c>
      <c r="R3194">
        <v>67.368131868099994</v>
      </c>
      <c r="S3194">
        <f t="shared" si="646"/>
        <v>0</v>
      </c>
      <c r="T3194">
        <v>0.04</v>
      </c>
      <c r="U3194">
        <f t="shared" si="647"/>
        <v>2.6947252747239996</v>
      </c>
      <c r="V3194">
        <f t="shared" si="648"/>
        <v>70.062857142823987</v>
      </c>
      <c r="W3194">
        <f t="shared" si="649"/>
        <v>2.6947252747239929</v>
      </c>
      <c r="X3194">
        <v>0</v>
      </c>
    </row>
    <row r="3195" spans="1:24" x14ac:dyDescent="0.25">
      <c r="A3195" t="s">
        <v>1948</v>
      </c>
      <c r="B3195" t="s">
        <v>2076</v>
      </c>
      <c r="C3195" t="s">
        <v>2173</v>
      </c>
      <c r="D3195" t="s">
        <v>317</v>
      </c>
      <c r="E3195" t="s">
        <v>21</v>
      </c>
      <c r="F3195" t="s">
        <v>1</v>
      </c>
      <c r="G3195" t="s">
        <v>1086</v>
      </c>
      <c r="H3195" t="s">
        <v>421</v>
      </c>
      <c r="I3195" t="s">
        <v>1</v>
      </c>
      <c r="J3195">
        <v>509.64</v>
      </c>
      <c r="K3195">
        <v>-3.2900000001</v>
      </c>
      <c r="L3195">
        <v>436.08</v>
      </c>
      <c r="M3195">
        <v>879.38784530386738</v>
      </c>
      <c r="N3195">
        <v>945.72</v>
      </c>
      <c r="O3195">
        <v>879.38784530390001</v>
      </c>
      <c r="P3195">
        <v>0</v>
      </c>
      <c r="Q3195">
        <f t="shared" si="645"/>
        <v>879.38784530390001</v>
      </c>
      <c r="R3195">
        <v>879.38784530390001</v>
      </c>
      <c r="S3195">
        <f t="shared" si="646"/>
        <v>0</v>
      </c>
      <c r="T3195">
        <v>0.03</v>
      </c>
      <c r="U3195">
        <f t="shared" si="647"/>
        <v>26.381635359116999</v>
      </c>
      <c r="V3195">
        <f t="shared" si="648"/>
        <v>905.76948066301702</v>
      </c>
      <c r="W3195">
        <f t="shared" si="649"/>
        <v>26.381635359117013</v>
      </c>
      <c r="X3195">
        <v>0</v>
      </c>
    </row>
    <row r="3196" spans="1:24" x14ac:dyDescent="0.25">
      <c r="A3196" t="s">
        <v>1948</v>
      </c>
      <c r="B3196" t="s">
        <v>2076</v>
      </c>
      <c r="C3196" t="s">
        <v>2173</v>
      </c>
      <c r="D3196" t="s">
        <v>317</v>
      </c>
      <c r="E3196" t="s">
        <v>76</v>
      </c>
      <c r="F3196" t="s">
        <v>1</v>
      </c>
      <c r="G3196" t="s">
        <v>1086</v>
      </c>
      <c r="H3196" t="s">
        <v>493</v>
      </c>
      <c r="I3196" t="s">
        <v>1</v>
      </c>
      <c r="J3196">
        <v>75780.22</v>
      </c>
      <c r="K3196">
        <v>83613</v>
      </c>
      <c r="L3196">
        <v>68543.509999999995</v>
      </c>
      <c r="M3196">
        <v>138223.10027624309</v>
      </c>
      <c r="N3196">
        <v>120944.60999999999</v>
      </c>
      <c r="O3196">
        <v>137087.01999999999</v>
      </c>
      <c r="P3196">
        <v>0</v>
      </c>
      <c r="Q3196">
        <f t="shared" si="645"/>
        <v>137087.01999999999</v>
      </c>
      <c r="R3196">
        <v>137087.01999999999</v>
      </c>
      <c r="S3196">
        <f t="shared" si="646"/>
        <v>0</v>
      </c>
      <c r="T3196">
        <v>0.03</v>
      </c>
      <c r="U3196">
        <f t="shared" si="647"/>
        <v>4112.6106</v>
      </c>
      <c r="V3196">
        <f t="shared" si="648"/>
        <v>141199.63059999997</v>
      </c>
      <c r="W3196">
        <f t="shared" si="649"/>
        <v>4112.6105999999854</v>
      </c>
      <c r="X3196" t="s">
        <v>1818</v>
      </c>
    </row>
    <row r="3197" spans="1:24" x14ac:dyDescent="0.25">
      <c r="A3197" t="s">
        <v>1948</v>
      </c>
      <c r="B3197" t="s">
        <v>2076</v>
      </c>
      <c r="C3197" t="s">
        <v>2173</v>
      </c>
      <c r="D3197" t="s">
        <v>317</v>
      </c>
      <c r="E3197" t="s">
        <v>41</v>
      </c>
      <c r="F3197" t="s">
        <v>1</v>
      </c>
      <c r="G3197" t="s">
        <v>1086</v>
      </c>
      <c r="H3197" t="s">
        <v>441</v>
      </c>
      <c r="I3197" t="s">
        <v>1</v>
      </c>
      <c r="J3197">
        <v>32.65</v>
      </c>
      <c r="K3197">
        <v>24.849094938</v>
      </c>
      <c r="L3197">
        <v>13.58</v>
      </c>
      <c r="M3197">
        <v>27.385082872928177</v>
      </c>
      <c r="N3197">
        <v>33.58</v>
      </c>
      <c r="O3197">
        <v>27.16</v>
      </c>
      <c r="P3197">
        <v>0</v>
      </c>
      <c r="Q3197">
        <f t="shared" si="645"/>
        <v>27.16</v>
      </c>
      <c r="R3197">
        <v>27.16</v>
      </c>
      <c r="S3197">
        <f t="shared" si="646"/>
        <v>0</v>
      </c>
      <c r="T3197">
        <v>0.03</v>
      </c>
      <c r="U3197">
        <f t="shared" si="647"/>
        <v>0.81479999999999997</v>
      </c>
      <c r="V3197">
        <f t="shared" si="648"/>
        <v>27.974800000000002</v>
      </c>
      <c r="W3197">
        <f t="shared" si="649"/>
        <v>0.81480000000000175</v>
      </c>
      <c r="X3197">
        <v>0</v>
      </c>
    </row>
    <row r="3198" spans="1:24" x14ac:dyDescent="0.25">
      <c r="A3198" t="s">
        <v>1948</v>
      </c>
      <c r="B3198" t="s">
        <v>2076</v>
      </c>
      <c r="C3198" t="s">
        <v>2173</v>
      </c>
      <c r="D3198" t="s">
        <v>317</v>
      </c>
      <c r="E3198" t="s">
        <v>42</v>
      </c>
      <c r="F3198" t="s">
        <v>1</v>
      </c>
      <c r="G3198" t="s">
        <v>1086</v>
      </c>
      <c r="H3198" t="s">
        <v>442</v>
      </c>
      <c r="I3198" t="s">
        <v>1</v>
      </c>
      <c r="J3198">
        <v>2118.5300000000002</v>
      </c>
      <c r="K3198"/>
      <c r="L3198">
        <v>0</v>
      </c>
      <c r="M3198">
        <v>0</v>
      </c>
      <c r="N3198">
        <v>2117.89</v>
      </c>
      <c r="O3198"/>
      <c r="P3198">
        <v>0</v>
      </c>
      <c r="Q3198">
        <f t="shared" si="645"/>
        <v>0</v>
      </c>
      <c r="R3198">
        <v>2118.5300000000002</v>
      </c>
      <c r="S3198">
        <f t="shared" si="646"/>
        <v>2118.5300000000002</v>
      </c>
      <c r="T3198">
        <v>0.03</v>
      </c>
      <c r="U3198">
        <f t="shared" si="647"/>
        <v>63.555900000000001</v>
      </c>
      <c r="V3198">
        <f t="shared" si="648"/>
        <v>2182.0859</v>
      </c>
      <c r="W3198">
        <f t="shared" si="649"/>
        <v>2182.0859</v>
      </c>
      <c r="X3198">
        <v>0</v>
      </c>
    </row>
    <row r="3199" spans="1:24" x14ac:dyDescent="0.25">
      <c r="A3199" t="s">
        <v>1948</v>
      </c>
      <c r="B3199" t="s">
        <v>2076</v>
      </c>
      <c r="C3199" t="s">
        <v>2173</v>
      </c>
      <c r="D3199" t="s">
        <v>317</v>
      </c>
      <c r="E3199" t="s">
        <v>45</v>
      </c>
      <c r="F3199" t="s">
        <v>1</v>
      </c>
      <c r="G3199" t="s">
        <v>1086</v>
      </c>
      <c r="H3199" t="s">
        <v>445</v>
      </c>
      <c r="I3199" t="s">
        <v>1</v>
      </c>
      <c r="J3199">
        <v>325</v>
      </c>
      <c r="K3199"/>
      <c r="L3199">
        <v>0</v>
      </c>
      <c r="M3199">
        <v>0</v>
      </c>
      <c r="N3199">
        <v>0</v>
      </c>
      <c r="O3199"/>
      <c r="P3199">
        <v>0</v>
      </c>
      <c r="Q3199">
        <f t="shared" si="645"/>
        <v>0</v>
      </c>
      <c r="R3199">
        <v>0</v>
      </c>
      <c r="S3199">
        <f t="shared" si="646"/>
        <v>0</v>
      </c>
      <c r="T3199">
        <v>0.03</v>
      </c>
      <c r="U3199">
        <f t="shared" si="647"/>
        <v>0</v>
      </c>
      <c r="V3199">
        <f t="shared" si="648"/>
        <v>0</v>
      </c>
      <c r="W3199">
        <f t="shared" si="649"/>
        <v>0</v>
      </c>
      <c r="X3199">
        <v>0</v>
      </c>
    </row>
    <row r="3200" spans="1:24" x14ac:dyDescent="0.25">
      <c r="A3200" t="s">
        <v>1948</v>
      </c>
      <c r="B3200" t="s">
        <v>2076</v>
      </c>
      <c r="C3200" t="s">
        <v>2173</v>
      </c>
      <c r="D3200" t="s">
        <v>317</v>
      </c>
      <c r="E3200" t="s">
        <v>47</v>
      </c>
      <c r="F3200" t="s">
        <v>1</v>
      </c>
      <c r="G3200" t="s">
        <v>1086</v>
      </c>
      <c r="H3200" t="s">
        <v>447</v>
      </c>
      <c r="I3200" t="s">
        <v>1</v>
      </c>
      <c r="J3200">
        <v>2400</v>
      </c>
      <c r="K3200"/>
      <c r="L3200">
        <v>0</v>
      </c>
      <c r="M3200">
        <v>0</v>
      </c>
      <c r="N3200">
        <v>2400</v>
      </c>
      <c r="O3200"/>
      <c r="P3200">
        <v>0</v>
      </c>
      <c r="Q3200">
        <f t="shared" si="645"/>
        <v>0</v>
      </c>
      <c r="R3200">
        <v>2400</v>
      </c>
      <c r="S3200">
        <f t="shared" si="646"/>
        <v>2400</v>
      </c>
      <c r="T3200">
        <v>0.03</v>
      </c>
      <c r="U3200">
        <f t="shared" si="647"/>
        <v>72</v>
      </c>
      <c r="V3200">
        <f t="shared" si="648"/>
        <v>2472</v>
      </c>
      <c r="W3200">
        <f t="shared" si="649"/>
        <v>2472</v>
      </c>
      <c r="X3200">
        <v>0</v>
      </c>
    </row>
    <row r="3201" spans="1:24" x14ac:dyDescent="0.25">
      <c r="A3201" t="s">
        <v>1948</v>
      </c>
      <c r="B3201" t="s">
        <v>2076</v>
      </c>
      <c r="C3201" t="s">
        <v>2173</v>
      </c>
      <c r="D3201" t="s">
        <v>317</v>
      </c>
      <c r="E3201" t="s">
        <v>51</v>
      </c>
      <c r="F3201" t="s">
        <v>51</v>
      </c>
      <c r="G3201" t="s">
        <v>1087</v>
      </c>
      <c r="H3201"/>
      <c r="I3201"/>
      <c r="J3201">
        <v>82994.31</v>
      </c>
      <c r="K3201">
        <v>85865.138711604304</v>
      </c>
      <c r="L3201">
        <v>73879.009999999995</v>
      </c>
      <c r="M3201">
        <v>148982.53397790054</v>
      </c>
      <c r="N3201">
        <v>131253.96999999997</v>
      </c>
      <c r="O3201">
        <v>147801.63147167748</v>
      </c>
      <c r="P3201">
        <f>SUMIF($F$3185:$F$3200,"&lt;&gt;EV_*",$P$3185:$P$3200)</f>
        <v>0</v>
      </c>
      <c r="Q3201">
        <f>SUMIF($F$3185:$F$3200,"&lt;&gt;EV_*",$Q$3185:$Q$3200)</f>
        <v>147801.63147167748</v>
      </c>
      <c r="R3201">
        <f>SUMIF($F$3185:$F$3200,"&lt;&gt;EV_*",$R$3185:$R$3200)</f>
        <v>152320.16147167748</v>
      </c>
      <c r="S3201">
        <f>SUMIF($F$3185:$F$3200,"&lt;&gt;EV_*",$S$3185:$S$3200)</f>
        <v>4518.5300000000007</v>
      </c>
      <c r="T3201">
        <v>0</v>
      </c>
      <c r="U3201">
        <f>SUMIF($F$3185:$F$3200,"&lt;&gt;EV_*",$U$3185:$U$3200)</f>
        <v>4477.8913479964785</v>
      </c>
      <c r="V3201">
        <f>SUMIF($F$3185:$F$3200,"&lt;&gt;EV_*",$V$3185:$V$3200)</f>
        <v>156798.05281967396</v>
      </c>
      <c r="W3201">
        <f>SUMIF($F$3185:$F$3200,"&lt;&gt;EV_*",$W$3185:$W$3200)</f>
        <v>8996.4213479964637</v>
      </c>
      <c r="X3201">
        <f>SUMIF($F$3185:$F$3200,"&lt;&gt;EV_*",$X$3185:$X$3200)</f>
        <v>0</v>
      </c>
    </row>
    <row r="3202" spans="1:24" x14ac:dyDescent="0.25">
      <c r="A3202" t="s">
        <v>1928</v>
      </c>
      <c r="B3202" t="s">
        <v>2007</v>
      </c>
      <c r="C3202" t="s">
        <v>2174</v>
      </c>
      <c r="D3202" t="s">
        <v>318</v>
      </c>
      <c r="E3202" t="s">
        <v>5</v>
      </c>
      <c r="F3202" t="s">
        <v>5</v>
      </c>
      <c r="G3202" t="s">
        <v>1088</v>
      </c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</row>
    <row r="3203" spans="1:24" x14ac:dyDescent="0.25">
      <c r="A3203" t="s">
        <v>1928</v>
      </c>
      <c r="B3203" t="s">
        <v>2007</v>
      </c>
      <c r="C3203" t="s">
        <v>2174</v>
      </c>
      <c r="D3203" t="s">
        <v>318</v>
      </c>
      <c r="E3203" t="s">
        <v>8</v>
      </c>
      <c r="F3203" t="s">
        <v>1</v>
      </c>
      <c r="G3203" t="s">
        <v>1089</v>
      </c>
      <c r="H3203" t="s">
        <v>408</v>
      </c>
      <c r="I3203" t="s">
        <v>1</v>
      </c>
      <c r="J3203">
        <v>10067.18</v>
      </c>
      <c r="K3203">
        <v>6976.7834254141999</v>
      </c>
      <c r="L3203">
        <v>14994.75</v>
      </c>
      <c r="M3203">
        <v>30238.031767955799</v>
      </c>
      <c r="N3203">
        <v>21602.21</v>
      </c>
      <c r="O3203">
        <v>30238.031767955799</v>
      </c>
      <c r="P3203">
        <v>-30238</v>
      </c>
      <c r="Q3203">
        <f t="shared" ref="Q3203:Q3229" si="650">O3203+P3203</f>
        <v>3.1767955799296033E-2</v>
      </c>
      <c r="R3203">
        <v>0</v>
      </c>
      <c r="S3203">
        <f t="shared" ref="S3203:S3229" si="651">IF(OR(LEFT(E3203,2)="A_",LEFT(D3203,5)="Total"),R3203-Q3203,"")</f>
        <v>-3.1767955799296033E-2</v>
      </c>
      <c r="T3203"/>
      <c r="U3203">
        <f t="shared" ref="U3203:U3229" si="652">IFERROR(R3203*T3203,R3203*0)</f>
        <v>0</v>
      </c>
      <c r="V3203">
        <f t="shared" ref="V3203:V3229" si="653">IF(OR(LEFT(E3203,2)="A_",LEFT(D3203,5)="Total"),R3203+U3203,"")</f>
        <v>0</v>
      </c>
      <c r="W3203">
        <f t="shared" ref="W3203:W3229" si="654">IF(OR(LEFT(E3203,2)="A_",LEFT(D3203,5)="Total"),V3203-Q3203,"")</f>
        <v>-3.1767955799296033E-2</v>
      </c>
      <c r="X3203">
        <v>0</v>
      </c>
    </row>
    <row r="3204" spans="1:24" x14ac:dyDescent="0.25">
      <c r="A3204" t="s">
        <v>1928</v>
      </c>
      <c r="B3204" t="s">
        <v>2007</v>
      </c>
      <c r="C3204" t="s">
        <v>2174</v>
      </c>
      <c r="D3204" t="s">
        <v>318</v>
      </c>
      <c r="E3204" t="s">
        <v>65</v>
      </c>
      <c r="F3204" t="s">
        <v>1</v>
      </c>
      <c r="G3204" t="s">
        <v>1089</v>
      </c>
      <c r="H3204" t="s">
        <v>476</v>
      </c>
      <c r="I3204" t="s">
        <v>1</v>
      </c>
      <c r="J3204">
        <v>-38.979999999999997</v>
      </c>
      <c r="K3204"/>
      <c r="L3204">
        <v>-21.38</v>
      </c>
      <c r="M3204">
        <v>-43.114364640883977</v>
      </c>
      <c r="N3204">
        <v>-38.36</v>
      </c>
      <c r="O3204">
        <v>-42.994945054900001</v>
      </c>
      <c r="P3204">
        <v>0</v>
      </c>
      <c r="Q3204">
        <f t="shared" si="650"/>
        <v>-42.994945054900001</v>
      </c>
      <c r="R3204">
        <v>0</v>
      </c>
      <c r="S3204">
        <f t="shared" si="651"/>
        <v>42.994945054900001</v>
      </c>
      <c r="T3204"/>
      <c r="U3204">
        <f t="shared" si="652"/>
        <v>0</v>
      </c>
      <c r="V3204">
        <f t="shared" si="653"/>
        <v>0</v>
      </c>
      <c r="W3204">
        <f t="shared" si="654"/>
        <v>42.994945054900001</v>
      </c>
      <c r="X3204">
        <v>0</v>
      </c>
    </row>
    <row r="3205" spans="1:24" x14ac:dyDescent="0.25">
      <c r="A3205" t="s">
        <v>1928</v>
      </c>
      <c r="B3205" t="s">
        <v>2007</v>
      </c>
      <c r="C3205" t="s">
        <v>2174</v>
      </c>
      <c r="D3205" t="s">
        <v>318</v>
      </c>
      <c r="E3205" t="s">
        <v>17</v>
      </c>
      <c r="F3205" t="s">
        <v>1</v>
      </c>
      <c r="G3205" t="s">
        <v>1089</v>
      </c>
      <c r="H3205" t="s">
        <v>417</v>
      </c>
      <c r="I3205" t="s">
        <v>1</v>
      </c>
      <c r="J3205">
        <v>-388.26</v>
      </c>
      <c r="K3205">
        <v>-480.00000000009999</v>
      </c>
      <c r="L3205">
        <v>-218.65</v>
      </c>
      <c r="M3205">
        <v>-440.92403314917124</v>
      </c>
      <c r="N3205">
        <v>-309.81</v>
      </c>
      <c r="O3205">
        <v>-439.70274725270002</v>
      </c>
      <c r="P3205">
        <v>0</v>
      </c>
      <c r="Q3205">
        <f t="shared" si="650"/>
        <v>-439.70274725270002</v>
      </c>
      <c r="R3205">
        <v>-439.70274725270002</v>
      </c>
      <c r="S3205">
        <f t="shared" si="651"/>
        <v>0</v>
      </c>
      <c r="T3205"/>
      <c r="U3205">
        <f t="shared" si="652"/>
        <v>0</v>
      </c>
      <c r="V3205">
        <f t="shared" si="653"/>
        <v>-439.70274725270002</v>
      </c>
      <c r="W3205">
        <f t="shared" si="654"/>
        <v>0</v>
      </c>
      <c r="X3205">
        <v>0</v>
      </c>
    </row>
    <row r="3206" spans="1:24" x14ac:dyDescent="0.25">
      <c r="A3206" t="s">
        <v>1928</v>
      </c>
      <c r="B3206" t="s">
        <v>2007</v>
      </c>
      <c r="C3206" t="s">
        <v>2174</v>
      </c>
      <c r="D3206" t="s">
        <v>318</v>
      </c>
      <c r="E3206" t="s">
        <v>82</v>
      </c>
      <c r="F3206" t="s">
        <v>1</v>
      </c>
      <c r="G3206" t="s">
        <v>1089</v>
      </c>
      <c r="H3206" t="s">
        <v>507</v>
      </c>
      <c r="I3206" t="s">
        <v>1</v>
      </c>
      <c r="J3206">
        <v>213.61</v>
      </c>
      <c r="K3206"/>
      <c r="L3206">
        <v>113.43</v>
      </c>
      <c r="M3206">
        <v>228.7400552486188</v>
      </c>
      <c r="N3206">
        <v>193.82</v>
      </c>
      <c r="O3206">
        <v>228.10648351649999</v>
      </c>
      <c r="P3206">
        <v>0</v>
      </c>
      <c r="Q3206">
        <f t="shared" si="650"/>
        <v>228.10648351649999</v>
      </c>
      <c r="R3206">
        <v>228.10648351649999</v>
      </c>
      <c r="S3206">
        <f t="shared" si="651"/>
        <v>0</v>
      </c>
      <c r="T3206">
        <v>2.75E-2</v>
      </c>
      <c r="U3206">
        <f t="shared" si="652"/>
        <v>6.2729282967037499</v>
      </c>
      <c r="V3206">
        <f t="shared" si="653"/>
        <v>234.37941181320375</v>
      </c>
      <c r="W3206">
        <f t="shared" si="654"/>
        <v>6.2729282967037534</v>
      </c>
      <c r="X3206">
        <v>0</v>
      </c>
    </row>
    <row r="3207" spans="1:24" x14ac:dyDescent="0.25">
      <c r="A3207" t="s">
        <v>1928</v>
      </c>
      <c r="B3207" t="s">
        <v>2007</v>
      </c>
      <c r="C3207" t="s">
        <v>2174</v>
      </c>
      <c r="D3207" t="s">
        <v>318</v>
      </c>
      <c r="E3207" t="s">
        <v>72</v>
      </c>
      <c r="F3207" t="s">
        <v>1</v>
      </c>
      <c r="G3207" t="s">
        <v>1089</v>
      </c>
      <c r="H3207" t="s">
        <v>489</v>
      </c>
      <c r="I3207" t="s">
        <v>1</v>
      </c>
      <c r="J3207">
        <v>294</v>
      </c>
      <c r="K3207"/>
      <c r="L3207">
        <v>161.28</v>
      </c>
      <c r="M3207">
        <v>325.23314917127072</v>
      </c>
      <c r="N3207">
        <v>341.18</v>
      </c>
      <c r="O3207">
        <v>324.33230769229999</v>
      </c>
      <c r="P3207">
        <v>0</v>
      </c>
      <c r="Q3207">
        <f t="shared" si="650"/>
        <v>324.33230769229999</v>
      </c>
      <c r="R3207">
        <v>324.33230769229999</v>
      </c>
      <c r="S3207">
        <f t="shared" si="651"/>
        <v>0</v>
      </c>
      <c r="T3207">
        <v>2.2499999999999999E-2</v>
      </c>
      <c r="U3207">
        <f t="shared" si="652"/>
        <v>7.2974769230767498</v>
      </c>
      <c r="V3207">
        <f t="shared" si="653"/>
        <v>331.62978461537676</v>
      </c>
      <c r="W3207">
        <f t="shared" si="654"/>
        <v>7.297476923076772</v>
      </c>
      <c r="X3207">
        <v>0</v>
      </c>
    </row>
    <row r="3208" spans="1:24" x14ac:dyDescent="0.25">
      <c r="A3208" t="s">
        <v>1928</v>
      </c>
      <c r="B3208" t="s">
        <v>2007</v>
      </c>
      <c r="C3208" t="s">
        <v>2174</v>
      </c>
      <c r="D3208" t="s">
        <v>318</v>
      </c>
      <c r="E3208" t="s">
        <v>18</v>
      </c>
      <c r="F3208" t="s">
        <v>1</v>
      </c>
      <c r="G3208" t="s">
        <v>1089</v>
      </c>
      <c r="H3208" t="s">
        <v>418</v>
      </c>
      <c r="I3208" t="s">
        <v>1</v>
      </c>
      <c r="J3208">
        <v>8086.99</v>
      </c>
      <c r="K3208">
        <v>7037.4819540101998</v>
      </c>
      <c r="L3208">
        <v>4452.3</v>
      </c>
      <c r="M3208">
        <v>8978.3950276243104</v>
      </c>
      <c r="N3208">
        <v>8837.2099999999991</v>
      </c>
      <c r="O3208">
        <v>8953.5263736264005</v>
      </c>
      <c r="P3208">
        <v>0</v>
      </c>
      <c r="Q3208">
        <f t="shared" si="650"/>
        <v>8953.5263736264005</v>
      </c>
      <c r="R3208">
        <v>8953.5263736264005</v>
      </c>
      <c r="S3208">
        <f t="shared" si="651"/>
        <v>0</v>
      </c>
      <c r="T3208">
        <v>0.02</v>
      </c>
      <c r="U3208">
        <f t="shared" si="652"/>
        <v>179.07052747252803</v>
      </c>
      <c r="V3208">
        <f t="shared" si="653"/>
        <v>9132.5969010989284</v>
      </c>
      <c r="W3208">
        <f t="shared" si="654"/>
        <v>179.07052747252783</v>
      </c>
      <c r="X3208">
        <v>0</v>
      </c>
    </row>
    <row r="3209" spans="1:24" x14ac:dyDescent="0.25">
      <c r="A3209" t="s">
        <v>1928</v>
      </c>
      <c r="B3209" t="s">
        <v>2007</v>
      </c>
      <c r="C3209" t="s">
        <v>2174</v>
      </c>
      <c r="D3209" t="s">
        <v>318</v>
      </c>
      <c r="E3209" t="s">
        <v>57</v>
      </c>
      <c r="F3209" t="s">
        <v>1</v>
      </c>
      <c r="G3209" t="s">
        <v>1089</v>
      </c>
      <c r="H3209" t="s">
        <v>462</v>
      </c>
      <c r="I3209" t="s">
        <v>1</v>
      </c>
      <c r="J3209"/>
      <c r="K3209"/>
      <c r="L3209">
        <v>7.73</v>
      </c>
      <c r="M3209">
        <v>15.588121546961325</v>
      </c>
      <c r="N3209">
        <v>7.73</v>
      </c>
      <c r="O3209">
        <v>15.544945054899999</v>
      </c>
      <c r="P3209">
        <v>0</v>
      </c>
      <c r="Q3209">
        <f t="shared" si="650"/>
        <v>15.544945054899999</v>
      </c>
      <c r="R3209">
        <v>15.544945054899999</v>
      </c>
      <c r="S3209">
        <f t="shared" si="651"/>
        <v>0</v>
      </c>
      <c r="T3209">
        <v>0.04</v>
      </c>
      <c r="U3209">
        <f t="shared" si="652"/>
        <v>0.621797802196</v>
      </c>
      <c r="V3209">
        <f t="shared" si="653"/>
        <v>16.166742857096001</v>
      </c>
      <c r="W3209">
        <f t="shared" si="654"/>
        <v>0.62179780219600111</v>
      </c>
      <c r="X3209">
        <v>0</v>
      </c>
    </row>
    <row r="3210" spans="1:24" x14ac:dyDescent="0.25">
      <c r="A3210" t="s">
        <v>1928</v>
      </c>
      <c r="B3210" t="s">
        <v>2007</v>
      </c>
      <c r="C3210" t="s">
        <v>2174</v>
      </c>
      <c r="D3210" t="s">
        <v>318</v>
      </c>
      <c r="E3210" t="s">
        <v>73</v>
      </c>
      <c r="F3210" t="s">
        <v>1</v>
      </c>
      <c r="G3210" t="s">
        <v>1089</v>
      </c>
      <c r="H3210" t="s">
        <v>490</v>
      </c>
      <c r="I3210" t="s">
        <v>1</v>
      </c>
      <c r="J3210">
        <v>5440</v>
      </c>
      <c r="K3210">
        <v>5985.1851851852998</v>
      </c>
      <c r="L3210">
        <v>0</v>
      </c>
      <c r="M3210">
        <v>0</v>
      </c>
      <c r="N3210">
        <v>0</v>
      </c>
      <c r="O3210"/>
      <c r="P3210">
        <v>0</v>
      </c>
      <c r="Q3210">
        <f t="shared" si="650"/>
        <v>0</v>
      </c>
      <c r="R3210">
        <v>0</v>
      </c>
      <c r="S3210">
        <f t="shared" si="651"/>
        <v>0</v>
      </c>
      <c r="T3210">
        <v>3.5000000000000003E-2</v>
      </c>
      <c r="U3210">
        <f t="shared" si="652"/>
        <v>0</v>
      </c>
      <c r="V3210">
        <f t="shared" si="653"/>
        <v>0</v>
      </c>
      <c r="W3210">
        <f t="shared" si="654"/>
        <v>0</v>
      </c>
      <c r="X3210">
        <v>0</v>
      </c>
    </row>
    <row r="3211" spans="1:24" x14ac:dyDescent="0.25">
      <c r="A3211" t="s">
        <v>1928</v>
      </c>
      <c r="B3211" t="s">
        <v>2007</v>
      </c>
      <c r="C3211" t="s">
        <v>2174</v>
      </c>
      <c r="D3211" t="s">
        <v>318</v>
      </c>
      <c r="E3211" t="s">
        <v>19</v>
      </c>
      <c r="F3211" t="s">
        <v>1</v>
      </c>
      <c r="G3211" t="s">
        <v>1089</v>
      </c>
      <c r="H3211" t="s">
        <v>419</v>
      </c>
      <c r="I3211" t="s">
        <v>1</v>
      </c>
      <c r="J3211">
        <v>-213.68</v>
      </c>
      <c r="K3211">
        <v>3.3580250000000002E-4</v>
      </c>
      <c r="L3211">
        <v>0</v>
      </c>
      <c r="M3211">
        <v>0</v>
      </c>
      <c r="N3211">
        <v>-213.68</v>
      </c>
      <c r="O3211"/>
      <c r="P3211">
        <v>0</v>
      </c>
      <c r="Q3211">
        <f t="shared" si="650"/>
        <v>0</v>
      </c>
      <c r="R3211">
        <v>0</v>
      </c>
      <c r="S3211">
        <f t="shared" si="651"/>
        <v>0</v>
      </c>
      <c r="T3211">
        <v>0.02</v>
      </c>
      <c r="U3211">
        <f t="shared" si="652"/>
        <v>0</v>
      </c>
      <c r="V3211">
        <f t="shared" si="653"/>
        <v>0</v>
      </c>
      <c r="W3211">
        <f t="shared" si="654"/>
        <v>0</v>
      </c>
      <c r="X3211">
        <v>0</v>
      </c>
    </row>
    <row r="3212" spans="1:24" x14ac:dyDescent="0.25">
      <c r="A3212" t="s">
        <v>1928</v>
      </c>
      <c r="B3212" t="s">
        <v>2007</v>
      </c>
      <c r="C3212" t="s">
        <v>2174</v>
      </c>
      <c r="D3212" t="s">
        <v>318</v>
      </c>
      <c r="E3212" t="s">
        <v>74</v>
      </c>
      <c r="F3212" t="s">
        <v>1</v>
      </c>
      <c r="G3212" t="s">
        <v>1089</v>
      </c>
      <c r="H3212" t="s">
        <v>491</v>
      </c>
      <c r="I3212" t="s">
        <v>1</v>
      </c>
      <c r="J3212">
        <v>6306.84</v>
      </c>
      <c r="K3212">
        <v>6290.7613888886999</v>
      </c>
      <c r="L3212">
        <v>2354.77</v>
      </c>
      <c r="M3212">
        <v>4748.5693370165745</v>
      </c>
      <c r="N3212">
        <v>5260.6600000000008</v>
      </c>
      <c r="O3212">
        <v>4735.4165934066004</v>
      </c>
      <c r="P3212">
        <v>0</v>
      </c>
      <c r="Q3212">
        <f t="shared" si="650"/>
        <v>4735.4165934066004</v>
      </c>
      <c r="R3212">
        <v>4735.4165934066004</v>
      </c>
      <c r="S3212">
        <f t="shared" si="651"/>
        <v>0</v>
      </c>
      <c r="T3212">
        <v>3.5000000000000003E-2</v>
      </c>
      <c r="U3212">
        <f t="shared" si="652"/>
        <v>165.73958076923103</v>
      </c>
      <c r="V3212">
        <f t="shared" si="653"/>
        <v>4901.1561741758314</v>
      </c>
      <c r="W3212">
        <f t="shared" si="654"/>
        <v>165.739580769231</v>
      </c>
      <c r="X3212">
        <v>0</v>
      </c>
    </row>
    <row r="3213" spans="1:24" x14ac:dyDescent="0.25">
      <c r="A3213" t="s">
        <v>1928</v>
      </c>
      <c r="B3213" t="s">
        <v>2007</v>
      </c>
      <c r="C3213" t="s">
        <v>2174</v>
      </c>
      <c r="D3213" t="s">
        <v>318</v>
      </c>
      <c r="E3213" t="s">
        <v>85</v>
      </c>
      <c r="F3213" t="s">
        <v>1</v>
      </c>
      <c r="G3213" t="s">
        <v>1089</v>
      </c>
      <c r="H3213" t="s">
        <v>510</v>
      </c>
      <c r="I3213" t="s">
        <v>1</v>
      </c>
      <c r="J3213">
        <v>769.76</v>
      </c>
      <c r="K3213"/>
      <c r="L3213">
        <v>418.4</v>
      </c>
      <c r="M3213">
        <v>843.73480662983411</v>
      </c>
      <c r="N3213">
        <v>631.95000000000005</v>
      </c>
      <c r="O3213">
        <v>841.39780219780005</v>
      </c>
      <c r="P3213">
        <v>0</v>
      </c>
      <c r="Q3213">
        <f t="shared" si="650"/>
        <v>841.39780219780005</v>
      </c>
      <c r="R3213">
        <v>841.39780219780005</v>
      </c>
      <c r="S3213">
        <f t="shared" si="651"/>
        <v>0</v>
      </c>
      <c r="T3213">
        <v>0.02</v>
      </c>
      <c r="U3213">
        <f t="shared" si="652"/>
        <v>16.827956043956</v>
      </c>
      <c r="V3213">
        <f t="shared" si="653"/>
        <v>858.22575824175601</v>
      </c>
      <c r="W3213">
        <f t="shared" si="654"/>
        <v>16.827956043955965</v>
      </c>
      <c r="X3213">
        <v>0</v>
      </c>
    </row>
    <row r="3214" spans="1:24" x14ac:dyDescent="0.25">
      <c r="A3214" t="s">
        <v>1928</v>
      </c>
      <c r="B3214" t="s">
        <v>2007</v>
      </c>
      <c r="C3214" t="s">
        <v>2174</v>
      </c>
      <c r="D3214" t="s">
        <v>318</v>
      </c>
      <c r="E3214" t="s">
        <v>20</v>
      </c>
      <c r="F3214" t="s">
        <v>1</v>
      </c>
      <c r="G3214" t="s">
        <v>1089</v>
      </c>
      <c r="H3214" t="s">
        <v>420</v>
      </c>
      <c r="I3214" t="s">
        <v>1</v>
      </c>
      <c r="J3214">
        <v>633.65</v>
      </c>
      <c r="K3214"/>
      <c r="L3214">
        <v>181.27</v>
      </c>
      <c r="M3214">
        <v>365.54447513812153</v>
      </c>
      <c r="N3214">
        <v>410.52000000000004</v>
      </c>
      <c r="O3214">
        <v>364.53197802199998</v>
      </c>
      <c r="P3214">
        <v>0</v>
      </c>
      <c r="Q3214">
        <f t="shared" si="650"/>
        <v>364.53197802199998</v>
      </c>
      <c r="R3214">
        <v>364.53197802199998</v>
      </c>
      <c r="S3214">
        <f t="shared" si="651"/>
        <v>0</v>
      </c>
      <c r="T3214">
        <v>0.04</v>
      </c>
      <c r="U3214">
        <f t="shared" si="652"/>
        <v>14.58127912088</v>
      </c>
      <c r="V3214">
        <f t="shared" si="653"/>
        <v>379.11325714288</v>
      </c>
      <c r="W3214">
        <f t="shared" si="654"/>
        <v>14.581279120880026</v>
      </c>
      <c r="X3214">
        <v>0</v>
      </c>
    </row>
    <row r="3215" spans="1:24" x14ac:dyDescent="0.25">
      <c r="A3215" t="s">
        <v>1928</v>
      </c>
      <c r="B3215" t="s">
        <v>2007</v>
      </c>
      <c r="C3215" t="s">
        <v>2174</v>
      </c>
      <c r="D3215" t="s">
        <v>318</v>
      </c>
      <c r="E3215" t="s">
        <v>21</v>
      </c>
      <c r="F3215" t="s">
        <v>1</v>
      </c>
      <c r="G3215" t="s">
        <v>1089</v>
      </c>
      <c r="H3215" t="s">
        <v>421</v>
      </c>
      <c r="I3215" t="s">
        <v>1</v>
      </c>
      <c r="J3215">
        <v>1122.78</v>
      </c>
      <c r="K3215">
        <v>1240.8999999998</v>
      </c>
      <c r="L3215">
        <v>304.62</v>
      </c>
      <c r="M3215">
        <v>614.2889502762431</v>
      </c>
      <c r="N3215">
        <v>812.91</v>
      </c>
      <c r="O3215">
        <v>614.28895027620001</v>
      </c>
      <c r="P3215">
        <v>0</v>
      </c>
      <c r="Q3215">
        <f t="shared" si="650"/>
        <v>614.28895027620001</v>
      </c>
      <c r="R3215">
        <v>614.28895027620001</v>
      </c>
      <c r="S3215">
        <f t="shared" si="651"/>
        <v>0</v>
      </c>
      <c r="T3215">
        <v>0.03</v>
      </c>
      <c r="U3215">
        <f t="shared" si="652"/>
        <v>18.428668508285998</v>
      </c>
      <c r="V3215">
        <f t="shared" si="653"/>
        <v>632.71761878448604</v>
      </c>
      <c r="W3215">
        <f t="shared" si="654"/>
        <v>18.428668508286023</v>
      </c>
      <c r="X3215">
        <v>0</v>
      </c>
    </row>
    <row r="3216" spans="1:24" x14ac:dyDescent="0.25">
      <c r="A3216" t="s">
        <v>1928</v>
      </c>
      <c r="B3216" t="s">
        <v>2007</v>
      </c>
      <c r="C3216" t="s">
        <v>2174</v>
      </c>
      <c r="D3216" t="s">
        <v>318</v>
      </c>
      <c r="E3216" t="s">
        <v>66</v>
      </c>
      <c r="F3216" t="s">
        <v>1</v>
      </c>
      <c r="G3216" t="s">
        <v>1089</v>
      </c>
      <c r="H3216" t="s">
        <v>477</v>
      </c>
      <c r="I3216" t="s">
        <v>1</v>
      </c>
      <c r="J3216">
        <v>2432.64</v>
      </c>
      <c r="K3216">
        <v>2277.0000000001</v>
      </c>
      <c r="L3216">
        <v>1046.31</v>
      </c>
      <c r="M3216">
        <v>2109.9621546961325</v>
      </c>
      <c r="N3216">
        <v>2376.87</v>
      </c>
      <c r="O3216">
        <v>2109.9621546960998</v>
      </c>
      <c r="P3216">
        <v>0</v>
      </c>
      <c r="Q3216">
        <f t="shared" si="650"/>
        <v>2109.9621546960998</v>
      </c>
      <c r="R3216">
        <v>2109.9621546960998</v>
      </c>
      <c r="S3216">
        <f t="shared" si="651"/>
        <v>0</v>
      </c>
      <c r="T3216">
        <v>3.5000000000000003E-2</v>
      </c>
      <c r="U3216">
        <f t="shared" si="652"/>
        <v>73.848675414363498</v>
      </c>
      <c r="V3216">
        <f t="shared" si="653"/>
        <v>2183.8108301104635</v>
      </c>
      <c r="W3216">
        <f t="shared" si="654"/>
        <v>73.848675414363697</v>
      </c>
      <c r="X3216">
        <v>0</v>
      </c>
    </row>
    <row r="3217" spans="1:24" x14ac:dyDescent="0.25">
      <c r="A3217" t="s">
        <v>1928</v>
      </c>
      <c r="B3217" t="s">
        <v>2007</v>
      </c>
      <c r="C3217" t="s">
        <v>2174</v>
      </c>
      <c r="D3217" t="s">
        <v>318</v>
      </c>
      <c r="E3217" t="s">
        <v>22</v>
      </c>
      <c r="F3217" t="s">
        <v>1</v>
      </c>
      <c r="G3217" t="s">
        <v>1089</v>
      </c>
      <c r="H3217" t="s">
        <v>422</v>
      </c>
      <c r="I3217" t="s">
        <v>1</v>
      </c>
      <c r="J3217">
        <v>1785.74</v>
      </c>
      <c r="K3217">
        <v>1397.25</v>
      </c>
      <c r="L3217">
        <v>0</v>
      </c>
      <c r="M3217">
        <v>0</v>
      </c>
      <c r="N3217">
        <v>1111.0999999999999</v>
      </c>
      <c r="O3217"/>
      <c r="P3217">
        <v>0</v>
      </c>
      <c r="Q3217">
        <f t="shared" si="650"/>
        <v>0</v>
      </c>
      <c r="R3217">
        <v>0</v>
      </c>
      <c r="S3217">
        <f t="shared" si="651"/>
        <v>0</v>
      </c>
      <c r="T3217">
        <v>3.5000000000000003E-2</v>
      </c>
      <c r="U3217">
        <f t="shared" si="652"/>
        <v>0</v>
      </c>
      <c r="V3217">
        <f t="shared" si="653"/>
        <v>0</v>
      </c>
      <c r="W3217">
        <f t="shared" si="654"/>
        <v>0</v>
      </c>
      <c r="X3217">
        <v>0</v>
      </c>
    </row>
    <row r="3218" spans="1:24" x14ac:dyDescent="0.25">
      <c r="A3218" t="s">
        <v>1928</v>
      </c>
      <c r="B3218" t="s">
        <v>2007</v>
      </c>
      <c r="C3218" t="s">
        <v>2174</v>
      </c>
      <c r="D3218" t="s">
        <v>318</v>
      </c>
      <c r="E3218" t="s">
        <v>23</v>
      </c>
      <c r="F3218" t="s">
        <v>1</v>
      </c>
      <c r="G3218" t="s">
        <v>1089</v>
      </c>
      <c r="H3218" t="s">
        <v>423</v>
      </c>
      <c r="I3218" t="s">
        <v>1</v>
      </c>
      <c r="J3218">
        <v>759.78</v>
      </c>
      <c r="K3218">
        <v>589.9499999999</v>
      </c>
      <c r="L3218">
        <v>442.2</v>
      </c>
      <c r="M3218">
        <v>891.72928176795585</v>
      </c>
      <c r="N3218">
        <v>916.38</v>
      </c>
      <c r="O3218">
        <v>891.72928176799996</v>
      </c>
      <c r="P3218">
        <v>0</v>
      </c>
      <c r="Q3218">
        <f t="shared" si="650"/>
        <v>891.72928176799996</v>
      </c>
      <c r="R3218">
        <v>891.72928176799996</v>
      </c>
      <c r="S3218">
        <f t="shared" si="651"/>
        <v>0</v>
      </c>
      <c r="T3218">
        <v>3.5000000000000003E-2</v>
      </c>
      <c r="U3218">
        <f t="shared" si="652"/>
        <v>31.210524861880003</v>
      </c>
      <c r="V3218">
        <f t="shared" si="653"/>
        <v>922.93980662987997</v>
      </c>
      <c r="W3218">
        <f t="shared" si="654"/>
        <v>31.210524861880003</v>
      </c>
      <c r="X3218">
        <v>0</v>
      </c>
    </row>
    <row r="3219" spans="1:24" x14ac:dyDescent="0.25">
      <c r="A3219" t="s">
        <v>1928</v>
      </c>
      <c r="B3219" t="s">
        <v>2007</v>
      </c>
      <c r="C3219" t="s">
        <v>2174</v>
      </c>
      <c r="D3219" t="s">
        <v>318</v>
      </c>
      <c r="E3219" t="s">
        <v>24</v>
      </c>
      <c r="F3219" t="s">
        <v>1</v>
      </c>
      <c r="G3219" t="s">
        <v>1089</v>
      </c>
      <c r="H3219" t="s">
        <v>424</v>
      </c>
      <c r="I3219" t="s">
        <v>1</v>
      </c>
      <c r="J3219"/>
      <c r="K3219"/>
      <c r="L3219">
        <v>95.24</v>
      </c>
      <c r="M3219">
        <v>192.05856353591162</v>
      </c>
      <c r="N3219">
        <v>95.24</v>
      </c>
      <c r="O3219">
        <v>190.48</v>
      </c>
      <c r="P3219">
        <v>0</v>
      </c>
      <c r="Q3219">
        <f t="shared" si="650"/>
        <v>190.48</v>
      </c>
      <c r="R3219">
        <v>190.48</v>
      </c>
      <c r="S3219">
        <f t="shared" si="651"/>
        <v>0</v>
      </c>
      <c r="T3219"/>
      <c r="U3219">
        <f t="shared" si="652"/>
        <v>0</v>
      </c>
      <c r="V3219">
        <f t="shared" si="653"/>
        <v>190.48</v>
      </c>
      <c r="W3219">
        <f t="shared" si="654"/>
        <v>0</v>
      </c>
      <c r="X3219">
        <v>0</v>
      </c>
    </row>
    <row r="3220" spans="1:24" x14ac:dyDescent="0.25">
      <c r="A3220" t="s">
        <v>1928</v>
      </c>
      <c r="B3220" t="s">
        <v>2007</v>
      </c>
      <c r="C3220" t="s">
        <v>2174</v>
      </c>
      <c r="D3220" t="s">
        <v>318</v>
      </c>
      <c r="E3220" t="s">
        <v>26</v>
      </c>
      <c r="F3220" t="s">
        <v>1</v>
      </c>
      <c r="G3220" t="s">
        <v>1089</v>
      </c>
      <c r="H3220" t="s">
        <v>426</v>
      </c>
      <c r="I3220" t="s">
        <v>1</v>
      </c>
      <c r="J3220"/>
      <c r="K3220">
        <v>29.437151048400001</v>
      </c>
      <c r="L3220">
        <v>0</v>
      </c>
      <c r="M3220">
        <v>0</v>
      </c>
      <c r="N3220">
        <v>0</v>
      </c>
      <c r="O3220"/>
      <c r="P3220">
        <v>0</v>
      </c>
      <c r="Q3220">
        <f t="shared" si="650"/>
        <v>0</v>
      </c>
      <c r="R3220">
        <v>0</v>
      </c>
      <c r="S3220">
        <f t="shared" si="651"/>
        <v>0</v>
      </c>
      <c r="T3220"/>
      <c r="U3220">
        <f t="shared" si="652"/>
        <v>0</v>
      </c>
      <c r="V3220">
        <f t="shared" si="653"/>
        <v>0</v>
      </c>
      <c r="W3220">
        <f t="shared" si="654"/>
        <v>0</v>
      </c>
      <c r="X3220">
        <v>0</v>
      </c>
    </row>
    <row r="3221" spans="1:24" x14ac:dyDescent="0.25">
      <c r="A3221" t="s">
        <v>1928</v>
      </c>
      <c r="B3221" t="s">
        <v>2007</v>
      </c>
      <c r="C3221" t="s">
        <v>2174</v>
      </c>
      <c r="D3221" t="s">
        <v>318</v>
      </c>
      <c r="E3221" t="s">
        <v>27</v>
      </c>
      <c r="F3221" t="s">
        <v>1</v>
      </c>
      <c r="G3221" t="s">
        <v>1089</v>
      </c>
      <c r="H3221" t="s">
        <v>427</v>
      </c>
      <c r="I3221" t="s">
        <v>1</v>
      </c>
      <c r="J3221">
        <v>3539.92</v>
      </c>
      <c r="K3221">
        <v>4800</v>
      </c>
      <c r="L3221">
        <v>1400.4</v>
      </c>
      <c r="M3221">
        <v>2824.011049723757</v>
      </c>
      <c r="N3221">
        <v>2944.66</v>
      </c>
      <c r="O3221">
        <v>2800.8</v>
      </c>
      <c r="P3221">
        <v>0</v>
      </c>
      <c r="Q3221">
        <f t="shared" si="650"/>
        <v>2800.8</v>
      </c>
      <c r="R3221">
        <v>2800.8</v>
      </c>
      <c r="S3221">
        <f t="shared" si="651"/>
        <v>0</v>
      </c>
      <c r="T3221"/>
      <c r="U3221">
        <f t="shared" si="652"/>
        <v>0</v>
      </c>
      <c r="V3221">
        <f t="shared" si="653"/>
        <v>2800.8</v>
      </c>
      <c r="W3221">
        <f t="shared" si="654"/>
        <v>0</v>
      </c>
      <c r="X3221">
        <v>0</v>
      </c>
    </row>
    <row r="3222" spans="1:24" x14ac:dyDescent="0.25">
      <c r="A3222" t="s">
        <v>1928</v>
      </c>
      <c r="B3222" t="s">
        <v>2007</v>
      </c>
      <c r="C3222" t="s">
        <v>2174</v>
      </c>
      <c r="D3222" t="s">
        <v>318</v>
      </c>
      <c r="E3222" t="s">
        <v>28</v>
      </c>
      <c r="F3222" t="s">
        <v>1</v>
      </c>
      <c r="G3222" t="s">
        <v>1089</v>
      </c>
      <c r="H3222" t="s">
        <v>428</v>
      </c>
      <c r="I3222" t="s">
        <v>1</v>
      </c>
      <c r="J3222">
        <v>136.32</v>
      </c>
      <c r="K3222"/>
      <c r="L3222">
        <v>0</v>
      </c>
      <c r="M3222">
        <v>0</v>
      </c>
      <c r="N3222">
        <v>136.32</v>
      </c>
      <c r="O3222"/>
      <c r="P3222">
        <v>0</v>
      </c>
      <c r="Q3222">
        <f t="shared" si="650"/>
        <v>0</v>
      </c>
      <c r="R3222">
        <v>0</v>
      </c>
      <c r="S3222">
        <f t="shared" si="651"/>
        <v>0</v>
      </c>
      <c r="T3222"/>
      <c r="U3222">
        <f t="shared" si="652"/>
        <v>0</v>
      </c>
      <c r="V3222">
        <f t="shared" si="653"/>
        <v>0</v>
      </c>
      <c r="W3222">
        <f t="shared" si="654"/>
        <v>0</v>
      </c>
      <c r="X3222">
        <v>0</v>
      </c>
    </row>
    <row r="3223" spans="1:24" x14ac:dyDescent="0.25">
      <c r="A3223" t="s">
        <v>1928</v>
      </c>
      <c r="B3223" t="s">
        <v>2007</v>
      </c>
      <c r="C3223" t="s">
        <v>2174</v>
      </c>
      <c r="D3223" t="s">
        <v>318</v>
      </c>
      <c r="E3223" t="s">
        <v>33</v>
      </c>
      <c r="F3223" t="s">
        <v>1</v>
      </c>
      <c r="G3223" t="s">
        <v>1089</v>
      </c>
      <c r="H3223" t="s">
        <v>433</v>
      </c>
      <c r="I3223" t="s">
        <v>1</v>
      </c>
      <c r="J3223"/>
      <c r="K3223">
        <v>245.30959207320001</v>
      </c>
      <c r="L3223">
        <v>0</v>
      </c>
      <c r="M3223">
        <v>0</v>
      </c>
      <c r="N3223">
        <v>0</v>
      </c>
      <c r="O3223"/>
      <c r="P3223">
        <v>0</v>
      </c>
      <c r="Q3223">
        <f t="shared" si="650"/>
        <v>0</v>
      </c>
      <c r="R3223">
        <v>0</v>
      </c>
      <c r="S3223">
        <f t="shared" si="651"/>
        <v>0</v>
      </c>
      <c r="T3223"/>
      <c r="U3223">
        <f t="shared" si="652"/>
        <v>0</v>
      </c>
      <c r="V3223">
        <f t="shared" si="653"/>
        <v>0</v>
      </c>
      <c r="W3223">
        <f t="shared" si="654"/>
        <v>0</v>
      </c>
      <c r="X3223" t="s">
        <v>1819</v>
      </c>
    </row>
    <row r="3224" spans="1:24" x14ac:dyDescent="0.25">
      <c r="A3224" t="s">
        <v>1928</v>
      </c>
      <c r="B3224" t="s">
        <v>2007</v>
      </c>
      <c r="C3224" t="s">
        <v>2174</v>
      </c>
      <c r="D3224" t="s">
        <v>318</v>
      </c>
      <c r="E3224" t="s">
        <v>205</v>
      </c>
      <c r="F3224" t="s">
        <v>1</v>
      </c>
      <c r="G3224" t="s">
        <v>1089</v>
      </c>
      <c r="H3224" t="s">
        <v>804</v>
      </c>
      <c r="I3224" t="s">
        <v>1</v>
      </c>
      <c r="J3224">
        <v>60022.06</v>
      </c>
      <c r="K3224">
        <v>63592.4150848766</v>
      </c>
      <c r="L3224">
        <v>24416.25</v>
      </c>
      <c r="M3224">
        <v>49237.189226519338</v>
      </c>
      <c r="N3224">
        <v>52915.81</v>
      </c>
      <c r="O3224">
        <v>49237.189226519302</v>
      </c>
      <c r="P3224">
        <v>0</v>
      </c>
      <c r="Q3224">
        <f t="shared" si="650"/>
        <v>49237.189226519302</v>
      </c>
      <c r="R3224">
        <v>49237.189226519302</v>
      </c>
      <c r="S3224">
        <f t="shared" si="651"/>
        <v>0</v>
      </c>
      <c r="T3224">
        <v>2.2499999999999999E-2</v>
      </c>
      <c r="U3224">
        <f t="shared" si="652"/>
        <v>1107.8367575966843</v>
      </c>
      <c r="V3224">
        <f t="shared" si="653"/>
        <v>50345.025984115986</v>
      </c>
      <c r="W3224">
        <f t="shared" si="654"/>
        <v>1107.836757596684</v>
      </c>
      <c r="X3224">
        <v>0</v>
      </c>
    </row>
    <row r="3225" spans="1:24" x14ac:dyDescent="0.25">
      <c r="A3225" t="s">
        <v>1928</v>
      </c>
      <c r="B3225" t="s">
        <v>2007</v>
      </c>
      <c r="C3225" t="s">
        <v>2174</v>
      </c>
      <c r="D3225" t="s">
        <v>318</v>
      </c>
      <c r="E3225" t="s">
        <v>76</v>
      </c>
      <c r="F3225" t="s">
        <v>1</v>
      </c>
      <c r="G3225" t="s">
        <v>1089</v>
      </c>
      <c r="H3225" t="s">
        <v>493</v>
      </c>
      <c r="I3225" t="s">
        <v>1</v>
      </c>
      <c r="J3225">
        <v>20000</v>
      </c>
      <c r="K3225">
        <v>9600</v>
      </c>
      <c r="L3225">
        <v>1938</v>
      </c>
      <c r="M3225">
        <v>3908.1215469613257</v>
      </c>
      <c r="N3225">
        <v>-28062</v>
      </c>
      <c r="O3225">
        <v>3876</v>
      </c>
      <c r="P3225">
        <v>-1376</v>
      </c>
      <c r="Q3225">
        <f t="shared" si="650"/>
        <v>2500</v>
      </c>
      <c r="R3225">
        <v>2500</v>
      </c>
      <c r="S3225">
        <f t="shared" si="651"/>
        <v>0</v>
      </c>
      <c r="T3225">
        <v>0.03</v>
      </c>
      <c r="U3225">
        <f t="shared" si="652"/>
        <v>75</v>
      </c>
      <c r="V3225">
        <f t="shared" si="653"/>
        <v>2575</v>
      </c>
      <c r="W3225">
        <f t="shared" si="654"/>
        <v>75</v>
      </c>
      <c r="X3225" t="s">
        <v>1820</v>
      </c>
    </row>
    <row r="3226" spans="1:24" x14ac:dyDescent="0.25">
      <c r="A3226" t="s">
        <v>1928</v>
      </c>
      <c r="B3226" t="s">
        <v>2007</v>
      </c>
      <c r="C3226" t="s">
        <v>2174</v>
      </c>
      <c r="D3226" t="s">
        <v>318</v>
      </c>
      <c r="E3226" t="s">
        <v>41</v>
      </c>
      <c r="F3226" t="s">
        <v>1</v>
      </c>
      <c r="G3226" t="s">
        <v>1089</v>
      </c>
      <c r="H3226" t="s">
        <v>441</v>
      </c>
      <c r="I3226" t="s">
        <v>1</v>
      </c>
      <c r="J3226">
        <v>-37.46</v>
      </c>
      <c r="K3226">
        <v>72.249999999600007</v>
      </c>
      <c r="L3226">
        <v>0</v>
      </c>
      <c r="M3226">
        <v>0</v>
      </c>
      <c r="N3226">
        <v>15.82</v>
      </c>
      <c r="O3226"/>
      <c r="P3226">
        <v>0</v>
      </c>
      <c r="Q3226">
        <f t="shared" si="650"/>
        <v>0</v>
      </c>
      <c r="R3226">
        <v>0</v>
      </c>
      <c r="S3226">
        <f t="shared" si="651"/>
        <v>0</v>
      </c>
      <c r="T3226">
        <v>0.03</v>
      </c>
      <c r="U3226">
        <f t="shared" si="652"/>
        <v>0</v>
      </c>
      <c r="V3226">
        <f t="shared" si="653"/>
        <v>0</v>
      </c>
      <c r="W3226">
        <f t="shared" si="654"/>
        <v>0</v>
      </c>
      <c r="X3226">
        <v>0</v>
      </c>
    </row>
    <row r="3227" spans="1:24" x14ac:dyDescent="0.25">
      <c r="A3227" t="s">
        <v>1928</v>
      </c>
      <c r="B3227" t="s">
        <v>2007</v>
      </c>
      <c r="C3227" t="s">
        <v>2174</v>
      </c>
      <c r="D3227" t="s">
        <v>318</v>
      </c>
      <c r="E3227" t="s">
        <v>140</v>
      </c>
      <c r="F3227" t="s">
        <v>1</v>
      </c>
      <c r="G3227" t="s">
        <v>1089</v>
      </c>
      <c r="H3227" t="s">
        <v>637</v>
      </c>
      <c r="I3227" t="s">
        <v>1</v>
      </c>
      <c r="J3227">
        <v>27731.29</v>
      </c>
      <c r="K3227">
        <v>3168.9999999995998</v>
      </c>
      <c r="L3227">
        <v>24562</v>
      </c>
      <c r="M3227">
        <v>49531.104972375695</v>
      </c>
      <c r="N3227">
        <v>49124</v>
      </c>
      <c r="O3227">
        <v>49124</v>
      </c>
      <c r="P3227">
        <v>0</v>
      </c>
      <c r="Q3227">
        <f t="shared" si="650"/>
        <v>49124</v>
      </c>
      <c r="R3227">
        <v>49124</v>
      </c>
      <c r="S3227">
        <f t="shared" si="651"/>
        <v>0</v>
      </c>
      <c r="T3227">
        <v>0.03</v>
      </c>
      <c r="U3227">
        <f t="shared" si="652"/>
        <v>1473.72</v>
      </c>
      <c r="V3227">
        <f t="shared" si="653"/>
        <v>50597.72</v>
      </c>
      <c r="W3227">
        <f t="shared" si="654"/>
        <v>1473.7200000000012</v>
      </c>
      <c r="X3227">
        <v>0</v>
      </c>
    </row>
    <row r="3228" spans="1:24" x14ac:dyDescent="0.25">
      <c r="A3228" t="s">
        <v>1928</v>
      </c>
      <c r="B3228" t="s">
        <v>2007</v>
      </c>
      <c r="C3228" t="s">
        <v>2174</v>
      </c>
      <c r="D3228" t="s">
        <v>318</v>
      </c>
      <c r="E3228" t="s">
        <v>42</v>
      </c>
      <c r="F3228" t="s">
        <v>1</v>
      </c>
      <c r="G3228" t="s">
        <v>1089</v>
      </c>
      <c r="H3228" t="s">
        <v>442</v>
      </c>
      <c r="I3228" t="s">
        <v>1</v>
      </c>
      <c r="J3228">
        <v>3690</v>
      </c>
      <c r="K3228">
        <v>1845</v>
      </c>
      <c r="L3228">
        <v>0</v>
      </c>
      <c r="M3228">
        <v>0</v>
      </c>
      <c r="N3228">
        <v>0</v>
      </c>
      <c r="O3228"/>
      <c r="P3228">
        <v>0</v>
      </c>
      <c r="Q3228">
        <f t="shared" si="650"/>
        <v>0</v>
      </c>
      <c r="R3228">
        <v>0</v>
      </c>
      <c r="S3228">
        <f t="shared" si="651"/>
        <v>0</v>
      </c>
      <c r="T3228">
        <v>0.03</v>
      </c>
      <c r="U3228">
        <f t="shared" si="652"/>
        <v>0</v>
      </c>
      <c r="V3228">
        <f t="shared" si="653"/>
        <v>0</v>
      </c>
      <c r="W3228">
        <f t="shared" si="654"/>
        <v>0</v>
      </c>
      <c r="X3228">
        <v>0</v>
      </c>
    </row>
    <row r="3229" spans="1:24" x14ac:dyDescent="0.25">
      <c r="A3229" t="s">
        <v>1928</v>
      </c>
      <c r="B3229" t="s">
        <v>2007</v>
      </c>
      <c r="C3229" t="s">
        <v>2174</v>
      </c>
      <c r="D3229" t="s">
        <v>318</v>
      </c>
      <c r="E3229" t="s">
        <v>47</v>
      </c>
      <c r="F3229" t="s">
        <v>1</v>
      </c>
      <c r="G3229" t="s">
        <v>1089</v>
      </c>
      <c r="H3229" t="s">
        <v>447</v>
      </c>
      <c r="I3229" t="s">
        <v>1</v>
      </c>
      <c r="J3229"/>
      <c r="K3229">
        <v>29.0000000004</v>
      </c>
      <c r="L3229">
        <v>0</v>
      </c>
      <c r="M3229">
        <v>0</v>
      </c>
      <c r="N3229">
        <v>0</v>
      </c>
      <c r="O3229"/>
      <c r="P3229">
        <v>0</v>
      </c>
      <c r="Q3229">
        <f t="shared" si="650"/>
        <v>0</v>
      </c>
      <c r="R3229">
        <v>0</v>
      </c>
      <c r="S3229">
        <f t="shared" si="651"/>
        <v>0</v>
      </c>
      <c r="T3229">
        <v>0.03</v>
      </c>
      <c r="U3229">
        <f t="shared" si="652"/>
        <v>0</v>
      </c>
      <c r="V3229">
        <f t="shared" si="653"/>
        <v>0</v>
      </c>
      <c r="W3229">
        <f t="shared" si="654"/>
        <v>0</v>
      </c>
      <c r="X3229">
        <v>0</v>
      </c>
    </row>
    <row r="3230" spans="1:24" x14ac:dyDescent="0.25">
      <c r="A3230" t="s">
        <v>1928</v>
      </c>
      <c r="B3230" t="s">
        <v>2007</v>
      </c>
      <c r="C3230" t="s">
        <v>2174</v>
      </c>
      <c r="D3230" t="s">
        <v>318</v>
      </c>
      <c r="E3230" t="s">
        <v>51</v>
      </c>
      <c r="F3230" t="s">
        <v>51</v>
      </c>
      <c r="G3230" t="s">
        <v>1090</v>
      </c>
      <c r="H3230"/>
      <c r="I3230"/>
      <c r="J3230">
        <v>152354.18</v>
      </c>
      <c r="K3230">
        <v>114697.72411729839</v>
      </c>
      <c r="L3230">
        <v>76648.920000000013</v>
      </c>
      <c r="M3230">
        <v>154568.26408839779</v>
      </c>
      <c r="N3230">
        <v>119110.54000000001</v>
      </c>
      <c r="O3230">
        <v>154062.64017242429</v>
      </c>
      <c r="P3230">
        <f>SUMIF($F$3202:$F$3229,"&lt;&gt;EV_*",$P$3202:$P$3229)</f>
        <v>-31614</v>
      </c>
      <c r="Q3230">
        <f>SUMIF($F$3202:$F$3229,"&lt;&gt;EV_*",$Q$3202:$Q$3229)</f>
        <v>122448.6401724243</v>
      </c>
      <c r="R3230">
        <f>SUMIF($F$3202:$F$3229,"&lt;&gt;EV_*",$R$3202:$R$3229)</f>
        <v>122491.6033495234</v>
      </c>
      <c r="S3230">
        <f>SUMIF($F$3202:$F$3229,"&lt;&gt;EV_*",$S$3202:$S$3229)</f>
        <v>42.963177099100704</v>
      </c>
      <c r="T3230">
        <v>0</v>
      </c>
      <c r="U3230">
        <f>SUMIF($F$3202:$F$3229,"&lt;&gt;EV_*",$U$3202:$U$3229)</f>
        <v>3170.4561728097851</v>
      </c>
      <c r="V3230">
        <f>SUMIF($F$3202:$F$3229,"&lt;&gt;EV_*",$V$3202:$V$3229)</f>
        <v>125662.05952233318</v>
      </c>
      <c r="W3230">
        <f>SUMIF($F$3202:$F$3229,"&lt;&gt;EV_*",$W$3202:$W$3229)</f>
        <v>3213.4193499088869</v>
      </c>
      <c r="X3230">
        <f>SUMIF($F$3202:$F$3229,"&lt;&gt;EV_*",$X$3202:$X$3229)</f>
        <v>0</v>
      </c>
    </row>
    <row r="3231" spans="1:24" x14ac:dyDescent="0.25">
      <c r="A3231" t="s">
        <v>1928</v>
      </c>
      <c r="B3231" t="s">
        <v>1929</v>
      </c>
      <c r="C3231" t="s">
        <v>2175</v>
      </c>
      <c r="D3231" t="s">
        <v>319</v>
      </c>
      <c r="E3231" t="s">
        <v>5</v>
      </c>
      <c r="F3231" t="s">
        <v>5</v>
      </c>
      <c r="G3231" t="s">
        <v>1091</v>
      </c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</row>
    <row r="3232" spans="1:24" x14ac:dyDescent="0.25">
      <c r="A3232" t="s">
        <v>1928</v>
      </c>
      <c r="B3232" t="s">
        <v>1929</v>
      </c>
      <c r="C3232" t="s">
        <v>2175</v>
      </c>
      <c r="D3232" t="s">
        <v>319</v>
      </c>
      <c r="E3232" t="s">
        <v>8</v>
      </c>
      <c r="F3232" t="s">
        <v>1</v>
      </c>
      <c r="G3232" t="s">
        <v>1092</v>
      </c>
      <c r="H3232" t="s">
        <v>408</v>
      </c>
      <c r="I3232" t="s">
        <v>1</v>
      </c>
      <c r="J3232">
        <v>149.52000000000001</v>
      </c>
      <c r="K3232">
        <v>201.01215469600001</v>
      </c>
      <c r="L3232">
        <v>28.82</v>
      </c>
      <c r="M3232">
        <v>58.117679558011048</v>
      </c>
      <c r="N3232">
        <v>78.66</v>
      </c>
      <c r="O3232">
        <v>58.117679557999999</v>
      </c>
      <c r="P3232">
        <v>-58</v>
      </c>
      <c r="Q3232">
        <f t="shared" ref="Q3232:Q3255" si="655">O3232+P3232</f>
        <v>0.11767955799999896</v>
      </c>
      <c r="R3232">
        <v>0</v>
      </c>
      <c r="S3232">
        <f t="shared" ref="S3232:S3255" si="656">IF(OR(LEFT(E3232,2)="A_",LEFT(D3232,5)="Total"),R3232-Q3232,"")</f>
        <v>-0.11767955799999896</v>
      </c>
      <c r="T3232"/>
      <c r="U3232">
        <f t="shared" ref="U3232:U3255" si="657">IFERROR(R3232*T3232,R3232*0)</f>
        <v>0</v>
      </c>
      <c r="V3232">
        <f t="shared" ref="V3232:V3255" si="658">IF(OR(LEFT(E3232,2)="A_",LEFT(D3232,5)="Total"),R3232+U3232,"")</f>
        <v>0</v>
      </c>
      <c r="W3232">
        <f t="shared" ref="W3232:W3255" si="659">IF(OR(LEFT(E3232,2)="A_",LEFT(D3232,5)="Total"),V3232-Q3232,"")</f>
        <v>-0.11767955799999896</v>
      </c>
      <c r="X3232">
        <v>0</v>
      </c>
    </row>
    <row r="3233" spans="1:24" x14ac:dyDescent="0.25">
      <c r="A3233" t="s">
        <v>1928</v>
      </c>
      <c r="B3233" t="s">
        <v>1929</v>
      </c>
      <c r="C3233" t="s">
        <v>2175</v>
      </c>
      <c r="D3233" t="s">
        <v>319</v>
      </c>
      <c r="E3233" t="s">
        <v>10</v>
      </c>
      <c r="F3233" t="s">
        <v>1</v>
      </c>
      <c r="G3233" t="s">
        <v>1092</v>
      </c>
      <c r="H3233" t="s">
        <v>410</v>
      </c>
      <c r="I3233" t="s">
        <v>1</v>
      </c>
      <c r="J3233">
        <v>1296</v>
      </c>
      <c r="K3233"/>
      <c r="L3233">
        <v>0</v>
      </c>
      <c r="M3233">
        <v>0</v>
      </c>
      <c r="N3233">
        <v>1296</v>
      </c>
      <c r="O3233"/>
      <c r="P3233">
        <v>0</v>
      </c>
      <c r="Q3233">
        <f t="shared" si="655"/>
        <v>0</v>
      </c>
      <c r="R3233">
        <v>0</v>
      </c>
      <c r="S3233">
        <f t="shared" si="656"/>
        <v>0</v>
      </c>
      <c r="T3233"/>
      <c r="U3233">
        <f t="shared" si="657"/>
        <v>0</v>
      </c>
      <c r="V3233">
        <f t="shared" si="658"/>
        <v>0</v>
      </c>
      <c r="W3233">
        <f t="shared" si="659"/>
        <v>0</v>
      </c>
      <c r="X3233">
        <v>0</v>
      </c>
    </row>
    <row r="3234" spans="1:24" x14ac:dyDescent="0.25">
      <c r="A3234" t="s">
        <v>1928</v>
      </c>
      <c r="B3234" t="s">
        <v>1929</v>
      </c>
      <c r="C3234" t="s">
        <v>2175</v>
      </c>
      <c r="D3234" t="s">
        <v>319</v>
      </c>
      <c r="E3234" t="s">
        <v>11</v>
      </c>
      <c r="F3234" t="s">
        <v>1</v>
      </c>
      <c r="G3234" t="s">
        <v>1092</v>
      </c>
      <c r="H3234" t="s">
        <v>411</v>
      </c>
      <c r="I3234" t="s">
        <v>1</v>
      </c>
      <c r="J3234">
        <v>1473.13</v>
      </c>
      <c r="K3234">
        <v>1361.61</v>
      </c>
      <c r="L3234">
        <v>701.9</v>
      </c>
      <c r="M3234">
        <v>1415.4337016574586</v>
      </c>
      <c r="N3234">
        <v>1422.26</v>
      </c>
      <c r="O3234">
        <v>1403.8</v>
      </c>
      <c r="P3234">
        <v>0</v>
      </c>
      <c r="Q3234">
        <f t="shared" si="655"/>
        <v>1403.8</v>
      </c>
      <c r="R3234">
        <v>1403.8</v>
      </c>
      <c r="S3234">
        <f t="shared" si="656"/>
        <v>0</v>
      </c>
      <c r="T3234"/>
      <c r="U3234">
        <f t="shared" si="657"/>
        <v>0</v>
      </c>
      <c r="V3234">
        <f t="shared" si="658"/>
        <v>1403.8</v>
      </c>
      <c r="W3234">
        <f t="shared" si="659"/>
        <v>0</v>
      </c>
      <c r="X3234">
        <v>0</v>
      </c>
    </row>
    <row r="3235" spans="1:24" x14ac:dyDescent="0.25">
      <c r="A3235" t="s">
        <v>1928</v>
      </c>
      <c r="B3235" t="s">
        <v>1929</v>
      </c>
      <c r="C3235" t="s">
        <v>2175</v>
      </c>
      <c r="D3235" t="s">
        <v>319</v>
      </c>
      <c r="E3235" t="s">
        <v>65</v>
      </c>
      <c r="F3235" t="s">
        <v>1</v>
      </c>
      <c r="G3235" t="s">
        <v>1092</v>
      </c>
      <c r="H3235" t="s">
        <v>476</v>
      </c>
      <c r="I3235" t="s">
        <v>1</v>
      </c>
      <c r="J3235">
        <v>-64</v>
      </c>
      <c r="K3235"/>
      <c r="L3235">
        <v>-73.459999999999994</v>
      </c>
      <c r="M3235">
        <v>-148.13756906077347</v>
      </c>
      <c r="N3235">
        <v>-79.459999999999994</v>
      </c>
      <c r="O3235">
        <v>-147.72725274730001</v>
      </c>
      <c r="P3235">
        <v>0</v>
      </c>
      <c r="Q3235">
        <f t="shared" si="655"/>
        <v>-147.72725274730001</v>
      </c>
      <c r="R3235">
        <v>0</v>
      </c>
      <c r="S3235">
        <f t="shared" si="656"/>
        <v>147.72725274730001</v>
      </c>
      <c r="T3235"/>
      <c r="U3235">
        <f t="shared" si="657"/>
        <v>0</v>
      </c>
      <c r="V3235">
        <f t="shared" si="658"/>
        <v>0</v>
      </c>
      <c r="W3235">
        <f t="shared" si="659"/>
        <v>147.72725274730001</v>
      </c>
      <c r="X3235">
        <v>0</v>
      </c>
    </row>
    <row r="3236" spans="1:24" x14ac:dyDescent="0.25">
      <c r="A3236" t="s">
        <v>1928</v>
      </c>
      <c r="B3236" t="s">
        <v>1929</v>
      </c>
      <c r="C3236" t="s">
        <v>2175</v>
      </c>
      <c r="D3236" t="s">
        <v>319</v>
      </c>
      <c r="E3236" t="s">
        <v>17</v>
      </c>
      <c r="F3236" t="s">
        <v>1</v>
      </c>
      <c r="G3236" t="s">
        <v>1092</v>
      </c>
      <c r="H3236" t="s">
        <v>417</v>
      </c>
      <c r="I3236" t="s">
        <v>1</v>
      </c>
      <c r="J3236">
        <v>-1554.92</v>
      </c>
      <c r="K3236">
        <v>-1949.9999999999</v>
      </c>
      <c r="L3236">
        <v>-1882.97</v>
      </c>
      <c r="M3236">
        <v>-3797.149447513812</v>
      </c>
      <c r="N3236">
        <v>-2462.2799999999997</v>
      </c>
      <c r="O3236">
        <v>-3786.6319780220001</v>
      </c>
      <c r="P3236">
        <v>0</v>
      </c>
      <c r="Q3236">
        <f t="shared" si="655"/>
        <v>-3786.6319780220001</v>
      </c>
      <c r="R3236">
        <v>-3786.6319780220001</v>
      </c>
      <c r="S3236">
        <f t="shared" si="656"/>
        <v>0</v>
      </c>
      <c r="T3236"/>
      <c r="U3236">
        <f t="shared" si="657"/>
        <v>0</v>
      </c>
      <c r="V3236">
        <f t="shared" si="658"/>
        <v>-3786.6319780220001</v>
      </c>
      <c r="W3236">
        <f t="shared" si="659"/>
        <v>0</v>
      </c>
      <c r="X3236">
        <v>0</v>
      </c>
    </row>
    <row r="3237" spans="1:24" x14ac:dyDescent="0.25">
      <c r="A3237" t="s">
        <v>1928</v>
      </c>
      <c r="B3237" t="s">
        <v>1929</v>
      </c>
      <c r="C3237" t="s">
        <v>2175</v>
      </c>
      <c r="D3237" t="s">
        <v>319</v>
      </c>
      <c r="E3237" t="s">
        <v>82</v>
      </c>
      <c r="F3237" t="s">
        <v>1</v>
      </c>
      <c r="G3237" t="s">
        <v>1092</v>
      </c>
      <c r="H3237" t="s">
        <v>507</v>
      </c>
      <c r="I3237" t="s">
        <v>1</v>
      </c>
      <c r="J3237">
        <v>14131.56</v>
      </c>
      <c r="K3237">
        <v>3540.4682901236001</v>
      </c>
      <c r="L3237">
        <v>409.91</v>
      </c>
      <c r="M3237">
        <v>826.61408839779006</v>
      </c>
      <c r="N3237">
        <v>12573.31</v>
      </c>
      <c r="O3237">
        <v>824.32450549450004</v>
      </c>
      <c r="P3237">
        <v>0</v>
      </c>
      <c r="Q3237">
        <f t="shared" si="655"/>
        <v>824.32450549450004</v>
      </c>
      <c r="R3237">
        <v>824.32450549450004</v>
      </c>
      <c r="S3237">
        <f t="shared" si="656"/>
        <v>0</v>
      </c>
      <c r="T3237">
        <v>2.75E-2</v>
      </c>
      <c r="U3237">
        <f t="shared" si="657"/>
        <v>22.668923901098751</v>
      </c>
      <c r="V3237">
        <f t="shared" si="658"/>
        <v>846.99342939559881</v>
      </c>
      <c r="W3237">
        <f t="shared" si="659"/>
        <v>22.668923901098765</v>
      </c>
      <c r="X3237">
        <v>0</v>
      </c>
    </row>
    <row r="3238" spans="1:24" x14ac:dyDescent="0.25">
      <c r="A3238" t="s">
        <v>1928</v>
      </c>
      <c r="B3238" t="s">
        <v>1929</v>
      </c>
      <c r="C3238" t="s">
        <v>2175</v>
      </c>
      <c r="D3238" t="s">
        <v>319</v>
      </c>
      <c r="E3238" t="s">
        <v>72</v>
      </c>
      <c r="F3238" t="s">
        <v>1</v>
      </c>
      <c r="G3238" t="s">
        <v>1092</v>
      </c>
      <c r="H3238" t="s">
        <v>489</v>
      </c>
      <c r="I3238" t="s">
        <v>1</v>
      </c>
      <c r="J3238">
        <v>4444.32</v>
      </c>
      <c r="K3238">
        <v>3936.5164382715998</v>
      </c>
      <c r="L3238">
        <v>1498.28</v>
      </c>
      <c r="M3238">
        <v>3021.3933701657461</v>
      </c>
      <c r="N3238">
        <v>3592.16</v>
      </c>
      <c r="O3238">
        <v>3013.0246153846001</v>
      </c>
      <c r="P3238">
        <v>0</v>
      </c>
      <c r="Q3238">
        <f t="shared" si="655"/>
        <v>3013.0246153846001</v>
      </c>
      <c r="R3238">
        <v>3013.0246153846001</v>
      </c>
      <c r="S3238">
        <f t="shared" si="656"/>
        <v>0</v>
      </c>
      <c r="T3238">
        <v>2.2499999999999999E-2</v>
      </c>
      <c r="U3238">
        <f t="shared" si="657"/>
        <v>67.793053846153498</v>
      </c>
      <c r="V3238">
        <f t="shared" si="658"/>
        <v>3080.8176692307534</v>
      </c>
      <c r="W3238">
        <f t="shared" si="659"/>
        <v>67.793053846153271</v>
      </c>
      <c r="X3238">
        <v>0</v>
      </c>
    </row>
    <row r="3239" spans="1:24" x14ac:dyDescent="0.25">
      <c r="A3239" t="s">
        <v>1928</v>
      </c>
      <c r="B3239" t="s">
        <v>1929</v>
      </c>
      <c r="C3239" t="s">
        <v>2175</v>
      </c>
      <c r="D3239" t="s">
        <v>319</v>
      </c>
      <c r="E3239" t="s">
        <v>18</v>
      </c>
      <c r="F3239" t="s">
        <v>1</v>
      </c>
      <c r="G3239" t="s">
        <v>1092</v>
      </c>
      <c r="H3239" t="s">
        <v>418</v>
      </c>
      <c r="I3239" t="s">
        <v>1</v>
      </c>
      <c r="J3239">
        <v>24020.09</v>
      </c>
      <c r="K3239">
        <v>25351.670733582501</v>
      </c>
      <c r="L3239">
        <v>9741.65</v>
      </c>
      <c r="M3239">
        <v>19644.763812154695</v>
      </c>
      <c r="N3239">
        <v>21017.33</v>
      </c>
      <c r="O3239">
        <v>19590.351098901101</v>
      </c>
      <c r="P3239">
        <v>0</v>
      </c>
      <c r="Q3239">
        <f t="shared" si="655"/>
        <v>19590.351098901101</v>
      </c>
      <c r="R3239">
        <v>19590.351098901101</v>
      </c>
      <c r="S3239">
        <f t="shared" si="656"/>
        <v>0</v>
      </c>
      <c r="T3239">
        <v>0.02</v>
      </c>
      <c r="U3239">
        <f t="shared" si="657"/>
        <v>391.80702197802202</v>
      </c>
      <c r="V3239">
        <f t="shared" si="658"/>
        <v>19982.158120879125</v>
      </c>
      <c r="W3239">
        <f t="shared" si="659"/>
        <v>391.80702197802384</v>
      </c>
      <c r="X3239">
        <v>0</v>
      </c>
    </row>
    <row r="3240" spans="1:24" x14ac:dyDescent="0.25">
      <c r="A3240" t="s">
        <v>1928</v>
      </c>
      <c r="B3240" t="s">
        <v>1929</v>
      </c>
      <c r="C3240" t="s">
        <v>2175</v>
      </c>
      <c r="D3240" t="s">
        <v>319</v>
      </c>
      <c r="E3240" t="s">
        <v>57</v>
      </c>
      <c r="F3240" t="s">
        <v>1</v>
      </c>
      <c r="G3240" t="s">
        <v>1092</v>
      </c>
      <c r="H3240" t="s">
        <v>462</v>
      </c>
      <c r="I3240" t="s">
        <v>1</v>
      </c>
      <c r="J3240">
        <v>182.15</v>
      </c>
      <c r="K3240"/>
      <c r="L3240">
        <v>185.52</v>
      </c>
      <c r="M3240">
        <v>374.11491712707181</v>
      </c>
      <c r="N3240">
        <v>247.36</v>
      </c>
      <c r="O3240">
        <v>373.07868131869998</v>
      </c>
      <c r="P3240">
        <v>0</v>
      </c>
      <c r="Q3240">
        <f t="shared" si="655"/>
        <v>373.07868131869998</v>
      </c>
      <c r="R3240">
        <v>373.07868131869998</v>
      </c>
      <c r="S3240">
        <f t="shared" si="656"/>
        <v>0</v>
      </c>
      <c r="T3240">
        <v>0.04</v>
      </c>
      <c r="U3240">
        <f t="shared" si="657"/>
        <v>14.923147252747999</v>
      </c>
      <c r="V3240">
        <f t="shared" si="658"/>
        <v>388.00182857144796</v>
      </c>
      <c r="W3240">
        <f t="shared" si="659"/>
        <v>14.923147252747981</v>
      </c>
      <c r="X3240">
        <v>0</v>
      </c>
    </row>
    <row r="3241" spans="1:24" x14ac:dyDescent="0.25">
      <c r="A3241" t="s">
        <v>1928</v>
      </c>
      <c r="B3241" t="s">
        <v>1929</v>
      </c>
      <c r="C3241" t="s">
        <v>2175</v>
      </c>
      <c r="D3241" t="s">
        <v>319</v>
      </c>
      <c r="E3241" t="s">
        <v>19</v>
      </c>
      <c r="F3241" t="s">
        <v>1</v>
      </c>
      <c r="G3241" t="s">
        <v>1092</v>
      </c>
      <c r="H3241" t="s">
        <v>419</v>
      </c>
      <c r="I3241" t="s">
        <v>1</v>
      </c>
      <c r="J3241"/>
      <c r="K3241"/>
      <c r="L3241">
        <v>3488.96</v>
      </c>
      <c r="M3241">
        <v>7035.7480662983426</v>
      </c>
      <c r="N3241">
        <v>3488.96</v>
      </c>
      <c r="O3241">
        <v>7016.2602197801998</v>
      </c>
      <c r="P3241">
        <v>0</v>
      </c>
      <c r="Q3241">
        <f t="shared" si="655"/>
        <v>7016.2602197801998</v>
      </c>
      <c r="R3241">
        <v>7016.2602197801998</v>
      </c>
      <c r="S3241">
        <f t="shared" si="656"/>
        <v>0</v>
      </c>
      <c r="T3241">
        <v>0.02</v>
      </c>
      <c r="U3241">
        <f t="shared" si="657"/>
        <v>140.325204395604</v>
      </c>
      <c r="V3241">
        <f t="shared" si="658"/>
        <v>7156.5854241758034</v>
      </c>
      <c r="W3241">
        <f t="shared" si="659"/>
        <v>140.32520439560358</v>
      </c>
      <c r="X3241">
        <v>0</v>
      </c>
    </row>
    <row r="3242" spans="1:24" x14ac:dyDescent="0.25">
      <c r="A3242" t="s">
        <v>1928</v>
      </c>
      <c r="B3242" t="s">
        <v>1929</v>
      </c>
      <c r="C3242" t="s">
        <v>2175</v>
      </c>
      <c r="D3242" t="s">
        <v>319</v>
      </c>
      <c r="E3242" t="s">
        <v>74</v>
      </c>
      <c r="F3242" t="s">
        <v>1</v>
      </c>
      <c r="G3242" t="s">
        <v>1092</v>
      </c>
      <c r="H3242" t="s">
        <v>491</v>
      </c>
      <c r="I3242" t="s">
        <v>1</v>
      </c>
      <c r="J3242">
        <v>12191</v>
      </c>
      <c r="K3242">
        <v>12283.735009259201</v>
      </c>
      <c r="L3242">
        <v>7420.9</v>
      </c>
      <c r="M3242">
        <v>14964.798342541435</v>
      </c>
      <c r="N3242">
        <v>13299.51</v>
      </c>
      <c r="O3242">
        <v>14923.348351648399</v>
      </c>
      <c r="P3242">
        <v>0</v>
      </c>
      <c r="Q3242">
        <f t="shared" si="655"/>
        <v>14923.348351648399</v>
      </c>
      <c r="R3242">
        <v>14923.348351648399</v>
      </c>
      <c r="S3242">
        <f t="shared" si="656"/>
        <v>0</v>
      </c>
      <c r="T3242">
        <v>3.5000000000000003E-2</v>
      </c>
      <c r="U3242">
        <f t="shared" si="657"/>
        <v>522.31719230769397</v>
      </c>
      <c r="V3242">
        <f t="shared" si="658"/>
        <v>15445.665543956093</v>
      </c>
      <c r="W3242">
        <f t="shared" si="659"/>
        <v>522.3171923076934</v>
      </c>
      <c r="X3242">
        <v>0</v>
      </c>
    </row>
    <row r="3243" spans="1:24" x14ac:dyDescent="0.25">
      <c r="A3243" t="s">
        <v>1928</v>
      </c>
      <c r="B3243" t="s">
        <v>1929</v>
      </c>
      <c r="C3243" t="s">
        <v>2175</v>
      </c>
      <c r="D3243" t="s">
        <v>319</v>
      </c>
      <c r="E3243" t="s">
        <v>119</v>
      </c>
      <c r="F3243" t="s">
        <v>1</v>
      </c>
      <c r="G3243" t="s">
        <v>1092</v>
      </c>
      <c r="H3243" t="s">
        <v>588</v>
      </c>
      <c r="I3243" t="s">
        <v>1</v>
      </c>
      <c r="J3243"/>
      <c r="K3243"/>
      <c r="L3243">
        <v>1880</v>
      </c>
      <c r="M3243">
        <v>3791.1602209944749</v>
      </c>
      <c r="N3243">
        <v>1880</v>
      </c>
      <c r="O3243">
        <v>3780.6593406593001</v>
      </c>
      <c r="P3243">
        <v>0</v>
      </c>
      <c r="Q3243">
        <f t="shared" si="655"/>
        <v>3780.6593406593001</v>
      </c>
      <c r="R3243">
        <v>3780.6593406593001</v>
      </c>
      <c r="S3243">
        <f t="shared" si="656"/>
        <v>0</v>
      </c>
      <c r="T3243">
        <v>1.4999999999999999E-2</v>
      </c>
      <c r="U3243">
        <f t="shared" si="657"/>
        <v>56.7098901098895</v>
      </c>
      <c r="V3243">
        <f t="shared" si="658"/>
        <v>3837.3692307691895</v>
      </c>
      <c r="W3243">
        <f t="shared" si="659"/>
        <v>56.709890109889329</v>
      </c>
      <c r="X3243">
        <v>0</v>
      </c>
    </row>
    <row r="3244" spans="1:24" x14ac:dyDescent="0.25">
      <c r="A3244" t="s">
        <v>1928</v>
      </c>
      <c r="B3244" t="s">
        <v>1929</v>
      </c>
      <c r="C3244" t="s">
        <v>2175</v>
      </c>
      <c r="D3244" t="s">
        <v>319</v>
      </c>
      <c r="E3244" t="s">
        <v>20</v>
      </c>
      <c r="F3244" t="s">
        <v>1</v>
      </c>
      <c r="G3244" t="s">
        <v>1092</v>
      </c>
      <c r="H3244" t="s">
        <v>420</v>
      </c>
      <c r="I3244" t="s">
        <v>1</v>
      </c>
      <c r="J3244">
        <v>89381.05</v>
      </c>
      <c r="K3244">
        <v>89751.978820787597</v>
      </c>
      <c r="L3244">
        <v>45904.85</v>
      </c>
      <c r="M3244">
        <v>92570.553867403301</v>
      </c>
      <c r="N3244">
        <v>91681.449999999983</v>
      </c>
      <c r="O3244">
        <v>92314.148901098903</v>
      </c>
      <c r="P3244">
        <v>0</v>
      </c>
      <c r="Q3244">
        <f t="shared" si="655"/>
        <v>92314.148901098903</v>
      </c>
      <c r="R3244">
        <v>92314.148901098903</v>
      </c>
      <c r="S3244">
        <f t="shared" si="656"/>
        <v>0</v>
      </c>
      <c r="T3244">
        <v>0.04</v>
      </c>
      <c r="U3244">
        <f t="shared" si="657"/>
        <v>3692.5659560439562</v>
      </c>
      <c r="V3244">
        <f t="shared" si="658"/>
        <v>96006.714857142855</v>
      </c>
      <c r="W3244">
        <f t="shared" si="659"/>
        <v>3692.5659560439526</v>
      </c>
      <c r="X3244">
        <v>0</v>
      </c>
    </row>
    <row r="3245" spans="1:24" x14ac:dyDescent="0.25">
      <c r="A3245" t="s">
        <v>1928</v>
      </c>
      <c r="B3245" t="s">
        <v>1929</v>
      </c>
      <c r="C3245" t="s">
        <v>2175</v>
      </c>
      <c r="D3245" t="s">
        <v>319</v>
      </c>
      <c r="E3245" t="s">
        <v>21</v>
      </c>
      <c r="F3245" t="s">
        <v>1</v>
      </c>
      <c r="G3245" t="s">
        <v>1092</v>
      </c>
      <c r="H3245" t="s">
        <v>421</v>
      </c>
      <c r="I3245" t="s">
        <v>1</v>
      </c>
      <c r="J3245">
        <v>3395.3</v>
      </c>
      <c r="K3245">
        <v>1646.2899999998999</v>
      </c>
      <c r="L3245">
        <v>1993.23</v>
      </c>
      <c r="M3245">
        <v>4019.4969613259673</v>
      </c>
      <c r="N3245">
        <v>4581.92</v>
      </c>
      <c r="O3245">
        <v>4019.496961326</v>
      </c>
      <c r="P3245">
        <v>0</v>
      </c>
      <c r="Q3245">
        <f t="shared" si="655"/>
        <v>4019.496961326</v>
      </c>
      <c r="R3245">
        <v>4019.496961326</v>
      </c>
      <c r="S3245">
        <f t="shared" si="656"/>
        <v>0</v>
      </c>
      <c r="T3245">
        <v>0.03</v>
      </c>
      <c r="U3245">
        <f t="shared" si="657"/>
        <v>120.58490883978</v>
      </c>
      <c r="V3245">
        <f t="shared" si="658"/>
        <v>4140.0818701657799</v>
      </c>
      <c r="W3245">
        <f t="shared" si="659"/>
        <v>120.58490883977993</v>
      </c>
      <c r="X3245">
        <v>0</v>
      </c>
    </row>
    <row r="3246" spans="1:24" x14ac:dyDescent="0.25">
      <c r="A3246" t="s">
        <v>1928</v>
      </c>
      <c r="B3246" t="s">
        <v>1929</v>
      </c>
      <c r="C3246" t="s">
        <v>2175</v>
      </c>
      <c r="D3246" t="s">
        <v>319</v>
      </c>
      <c r="E3246" t="s">
        <v>22</v>
      </c>
      <c r="F3246" t="s">
        <v>1</v>
      </c>
      <c r="G3246" t="s">
        <v>1092</v>
      </c>
      <c r="H3246" t="s">
        <v>422</v>
      </c>
      <c r="I3246" t="s">
        <v>1</v>
      </c>
      <c r="J3246">
        <v>1149.8499999999999</v>
      </c>
      <c r="K3246">
        <v>1231.6500000000001</v>
      </c>
      <c r="L3246">
        <v>22.21</v>
      </c>
      <c r="M3246">
        <v>44.788121546961328</v>
      </c>
      <c r="N3246">
        <v>575.74</v>
      </c>
      <c r="O3246">
        <v>44.788121547000003</v>
      </c>
      <c r="P3246">
        <v>0</v>
      </c>
      <c r="Q3246">
        <f t="shared" si="655"/>
        <v>44.788121547000003</v>
      </c>
      <c r="R3246">
        <v>44.788121547000003</v>
      </c>
      <c r="S3246">
        <f t="shared" si="656"/>
        <v>0</v>
      </c>
      <c r="T3246">
        <v>3.5000000000000003E-2</v>
      </c>
      <c r="U3246">
        <f t="shared" si="657"/>
        <v>1.5675842541450002</v>
      </c>
      <c r="V3246">
        <f t="shared" si="658"/>
        <v>46.355705801145007</v>
      </c>
      <c r="W3246">
        <f t="shared" si="659"/>
        <v>1.5675842541450038</v>
      </c>
      <c r="X3246">
        <v>0</v>
      </c>
    </row>
    <row r="3247" spans="1:24" x14ac:dyDescent="0.25">
      <c r="A3247" t="s">
        <v>1928</v>
      </c>
      <c r="B3247" t="s">
        <v>1929</v>
      </c>
      <c r="C3247" t="s">
        <v>2175</v>
      </c>
      <c r="D3247" t="s">
        <v>319</v>
      </c>
      <c r="E3247" t="s">
        <v>23</v>
      </c>
      <c r="F3247" t="s">
        <v>1</v>
      </c>
      <c r="G3247" t="s">
        <v>1092</v>
      </c>
      <c r="H3247" t="s">
        <v>423</v>
      </c>
      <c r="I3247" t="s">
        <v>1</v>
      </c>
      <c r="J3247">
        <v>1121.3699999999999</v>
      </c>
      <c r="K3247">
        <v>1645.6500000000999</v>
      </c>
      <c r="L3247">
        <v>2524.89</v>
      </c>
      <c r="M3247">
        <v>5091.6290055248619</v>
      </c>
      <c r="N3247">
        <v>2853.1400000000003</v>
      </c>
      <c r="O3247">
        <v>5091.6290055249001</v>
      </c>
      <c r="P3247">
        <v>0</v>
      </c>
      <c r="Q3247">
        <f t="shared" si="655"/>
        <v>5091.6290055249001</v>
      </c>
      <c r="R3247">
        <v>5091.6290055249001</v>
      </c>
      <c r="S3247">
        <f t="shared" si="656"/>
        <v>0</v>
      </c>
      <c r="T3247">
        <v>3.5000000000000003E-2</v>
      </c>
      <c r="U3247">
        <f t="shared" si="657"/>
        <v>178.20701519337152</v>
      </c>
      <c r="V3247">
        <f t="shared" si="658"/>
        <v>5269.8360207182714</v>
      </c>
      <c r="W3247">
        <f t="shared" si="659"/>
        <v>178.20701519337126</v>
      </c>
      <c r="X3247">
        <v>0</v>
      </c>
    </row>
    <row r="3248" spans="1:24" x14ac:dyDescent="0.25">
      <c r="A3248" t="s">
        <v>1928</v>
      </c>
      <c r="B3248" t="s">
        <v>1929</v>
      </c>
      <c r="C3248" t="s">
        <v>2175</v>
      </c>
      <c r="D3248" t="s">
        <v>319</v>
      </c>
      <c r="E3248" t="s">
        <v>27</v>
      </c>
      <c r="F3248" t="s">
        <v>1</v>
      </c>
      <c r="G3248" t="s">
        <v>1092</v>
      </c>
      <c r="H3248" t="s">
        <v>427</v>
      </c>
      <c r="I3248" t="s">
        <v>1</v>
      </c>
      <c r="J3248">
        <v>2004.59</v>
      </c>
      <c r="K3248">
        <v>1830</v>
      </c>
      <c r="L3248">
        <v>852.5</v>
      </c>
      <c r="M3248">
        <v>1719.1298342541436</v>
      </c>
      <c r="N3248">
        <v>1777.8799999999999</v>
      </c>
      <c r="O3248">
        <v>1705</v>
      </c>
      <c r="P3248">
        <v>0</v>
      </c>
      <c r="Q3248">
        <f t="shared" si="655"/>
        <v>1705</v>
      </c>
      <c r="R3248">
        <v>1705</v>
      </c>
      <c r="S3248">
        <f t="shared" si="656"/>
        <v>0</v>
      </c>
      <c r="T3248"/>
      <c r="U3248">
        <f t="shared" si="657"/>
        <v>0</v>
      </c>
      <c r="V3248">
        <f t="shared" si="658"/>
        <v>1705</v>
      </c>
      <c r="W3248">
        <f t="shared" si="659"/>
        <v>0</v>
      </c>
      <c r="X3248">
        <v>0</v>
      </c>
    </row>
    <row r="3249" spans="1:24" x14ac:dyDescent="0.25">
      <c r="A3249" t="s">
        <v>1928</v>
      </c>
      <c r="B3249" t="s">
        <v>1929</v>
      </c>
      <c r="C3249" t="s">
        <v>2175</v>
      </c>
      <c r="D3249" t="s">
        <v>319</v>
      </c>
      <c r="E3249" t="s">
        <v>28</v>
      </c>
      <c r="F3249" t="s">
        <v>1</v>
      </c>
      <c r="G3249" t="s">
        <v>1092</v>
      </c>
      <c r="H3249" t="s">
        <v>428</v>
      </c>
      <c r="I3249" t="s">
        <v>1</v>
      </c>
      <c r="J3249">
        <v>2405.14</v>
      </c>
      <c r="K3249">
        <v>639.99999999960005</v>
      </c>
      <c r="L3249">
        <v>0</v>
      </c>
      <c r="M3249">
        <v>0</v>
      </c>
      <c r="N3249">
        <v>1278.24</v>
      </c>
      <c r="O3249"/>
      <c r="P3249">
        <v>0</v>
      </c>
      <c r="Q3249">
        <f t="shared" si="655"/>
        <v>0</v>
      </c>
      <c r="R3249">
        <v>0</v>
      </c>
      <c r="S3249">
        <f t="shared" si="656"/>
        <v>0</v>
      </c>
      <c r="T3249"/>
      <c r="U3249">
        <f t="shared" si="657"/>
        <v>0</v>
      </c>
      <c r="V3249">
        <f t="shared" si="658"/>
        <v>0</v>
      </c>
      <c r="W3249">
        <f t="shared" si="659"/>
        <v>0</v>
      </c>
      <c r="X3249">
        <v>0</v>
      </c>
    </row>
    <row r="3250" spans="1:24" x14ac:dyDescent="0.25">
      <c r="A3250" t="s">
        <v>1928</v>
      </c>
      <c r="B3250" t="s">
        <v>1929</v>
      </c>
      <c r="C3250" t="s">
        <v>2175</v>
      </c>
      <c r="D3250" t="s">
        <v>319</v>
      </c>
      <c r="E3250" t="s">
        <v>29</v>
      </c>
      <c r="F3250" t="s">
        <v>1</v>
      </c>
      <c r="G3250" t="s">
        <v>1092</v>
      </c>
      <c r="H3250" t="s">
        <v>429</v>
      </c>
      <c r="I3250" t="s">
        <v>1</v>
      </c>
      <c r="J3250">
        <v>222.5</v>
      </c>
      <c r="K3250"/>
      <c r="L3250">
        <v>0</v>
      </c>
      <c r="M3250">
        <v>0</v>
      </c>
      <c r="N3250">
        <v>222.5</v>
      </c>
      <c r="O3250"/>
      <c r="P3250">
        <v>0</v>
      </c>
      <c r="Q3250">
        <f t="shared" si="655"/>
        <v>0</v>
      </c>
      <c r="R3250">
        <v>0</v>
      </c>
      <c r="S3250">
        <f t="shared" si="656"/>
        <v>0</v>
      </c>
      <c r="T3250"/>
      <c r="U3250">
        <f t="shared" si="657"/>
        <v>0</v>
      </c>
      <c r="V3250">
        <f t="shared" si="658"/>
        <v>0</v>
      </c>
      <c r="W3250">
        <f t="shared" si="659"/>
        <v>0</v>
      </c>
      <c r="X3250">
        <v>0</v>
      </c>
    </row>
    <row r="3251" spans="1:24" x14ac:dyDescent="0.25">
      <c r="A3251" t="s">
        <v>1928</v>
      </c>
      <c r="B3251" t="s">
        <v>1929</v>
      </c>
      <c r="C3251" t="s">
        <v>2175</v>
      </c>
      <c r="D3251" t="s">
        <v>319</v>
      </c>
      <c r="E3251" t="s">
        <v>40</v>
      </c>
      <c r="F3251" t="s">
        <v>1</v>
      </c>
      <c r="G3251" t="s">
        <v>1092</v>
      </c>
      <c r="H3251" t="s">
        <v>440</v>
      </c>
      <c r="I3251" t="s">
        <v>1</v>
      </c>
      <c r="J3251">
        <v>2669.73</v>
      </c>
      <c r="K3251"/>
      <c r="L3251">
        <v>0</v>
      </c>
      <c r="M3251">
        <v>0</v>
      </c>
      <c r="N3251">
        <v>0</v>
      </c>
      <c r="O3251"/>
      <c r="P3251">
        <v>0</v>
      </c>
      <c r="Q3251">
        <f t="shared" si="655"/>
        <v>0</v>
      </c>
      <c r="R3251">
        <v>0</v>
      </c>
      <c r="S3251">
        <f t="shared" si="656"/>
        <v>0</v>
      </c>
      <c r="T3251">
        <v>0.03</v>
      </c>
      <c r="U3251">
        <f t="shared" si="657"/>
        <v>0</v>
      </c>
      <c r="V3251">
        <f t="shared" si="658"/>
        <v>0</v>
      </c>
      <c r="W3251">
        <f t="shared" si="659"/>
        <v>0</v>
      </c>
      <c r="X3251">
        <v>0</v>
      </c>
    </row>
    <row r="3252" spans="1:24" x14ac:dyDescent="0.25">
      <c r="A3252" t="s">
        <v>1928</v>
      </c>
      <c r="B3252" t="s">
        <v>1929</v>
      </c>
      <c r="C3252" t="s">
        <v>2175</v>
      </c>
      <c r="D3252" t="s">
        <v>319</v>
      </c>
      <c r="E3252" t="s">
        <v>76</v>
      </c>
      <c r="F3252" t="s">
        <v>1</v>
      </c>
      <c r="G3252" t="s">
        <v>1092</v>
      </c>
      <c r="H3252" t="s">
        <v>493</v>
      </c>
      <c r="I3252" t="s">
        <v>1</v>
      </c>
      <c r="J3252">
        <v>1399.68</v>
      </c>
      <c r="K3252"/>
      <c r="L3252">
        <v>1351.4</v>
      </c>
      <c r="M3252">
        <v>2725.1988950276245</v>
      </c>
      <c r="N3252">
        <v>1351.4</v>
      </c>
      <c r="O3252">
        <v>2702.8</v>
      </c>
      <c r="P3252">
        <v>0</v>
      </c>
      <c r="Q3252">
        <f t="shared" si="655"/>
        <v>2702.8</v>
      </c>
      <c r="R3252">
        <v>0</v>
      </c>
      <c r="S3252">
        <f t="shared" si="656"/>
        <v>-2702.8</v>
      </c>
      <c r="T3252">
        <v>0.03</v>
      </c>
      <c r="U3252">
        <f t="shared" si="657"/>
        <v>0</v>
      </c>
      <c r="V3252">
        <f t="shared" si="658"/>
        <v>0</v>
      </c>
      <c r="W3252">
        <f t="shared" si="659"/>
        <v>-2702.8</v>
      </c>
      <c r="X3252">
        <v>0</v>
      </c>
    </row>
    <row r="3253" spans="1:24" x14ac:dyDescent="0.25">
      <c r="A3253" t="s">
        <v>1928</v>
      </c>
      <c r="B3253" t="s">
        <v>1929</v>
      </c>
      <c r="C3253" t="s">
        <v>2175</v>
      </c>
      <c r="D3253" t="s">
        <v>319</v>
      </c>
      <c r="E3253" t="s">
        <v>41</v>
      </c>
      <c r="F3253" t="s">
        <v>1</v>
      </c>
      <c r="G3253" t="s">
        <v>1092</v>
      </c>
      <c r="H3253" t="s">
        <v>441</v>
      </c>
      <c r="I3253" t="s">
        <v>1</v>
      </c>
      <c r="J3253">
        <v>2572.6999999999998</v>
      </c>
      <c r="K3253">
        <v>2045.91</v>
      </c>
      <c r="L3253">
        <v>764.69</v>
      </c>
      <c r="M3253">
        <v>1542.0544198895027</v>
      </c>
      <c r="N3253">
        <v>2512.3599999999997</v>
      </c>
      <c r="O3253">
        <v>1529.38</v>
      </c>
      <c r="P3253">
        <v>517</v>
      </c>
      <c r="Q3253">
        <f t="shared" si="655"/>
        <v>2046.38</v>
      </c>
      <c r="R3253">
        <v>2046</v>
      </c>
      <c r="S3253">
        <f t="shared" si="656"/>
        <v>-0.38000000000010914</v>
      </c>
      <c r="T3253">
        <v>0.03</v>
      </c>
      <c r="U3253">
        <f t="shared" si="657"/>
        <v>61.379999999999995</v>
      </c>
      <c r="V3253">
        <f t="shared" si="658"/>
        <v>2107.38</v>
      </c>
      <c r="W3253">
        <f t="shared" si="659"/>
        <v>61</v>
      </c>
      <c r="X3253" t="s">
        <v>1821</v>
      </c>
    </row>
    <row r="3254" spans="1:24" x14ac:dyDescent="0.25">
      <c r="A3254" t="s">
        <v>1928</v>
      </c>
      <c r="B3254" t="s">
        <v>1929</v>
      </c>
      <c r="C3254" t="s">
        <v>2175</v>
      </c>
      <c r="D3254" t="s">
        <v>319</v>
      </c>
      <c r="E3254" t="s">
        <v>134</v>
      </c>
      <c r="F3254" t="s">
        <v>1</v>
      </c>
      <c r="G3254" t="s">
        <v>1092</v>
      </c>
      <c r="H3254" t="s">
        <v>623</v>
      </c>
      <c r="I3254" t="s">
        <v>1</v>
      </c>
      <c r="J3254">
        <v>500</v>
      </c>
      <c r="K3254"/>
      <c r="L3254">
        <v>3249.01</v>
      </c>
      <c r="M3254">
        <v>6551.870994475139</v>
      </c>
      <c r="N3254">
        <v>5249.01</v>
      </c>
      <c r="O3254">
        <v>6498.02</v>
      </c>
      <c r="P3254">
        <v>-1249</v>
      </c>
      <c r="Q3254">
        <f t="shared" si="655"/>
        <v>5249.02</v>
      </c>
      <c r="R3254">
        <v>5249</v>
      </c>
      <c r="S3254">
        <f t="shared" si="656"/>
        <v>-2.0000000000436557E-2</v>
      </c>
      <c r="T3254">
        <v>0.03</v>
      </c>
      <c r="U3254">
        <f t="shared" si="657"/>
        <v>157.47</v>
      </c>
      <c r="V3254">
        <f t="shared" si="658"/>
        <v>5406.47</v>
      </c>
      <c r="W3254">
        <f t="shared" si="659"/>
        <v>157.44999999999982</v>
      </c>
      <c r="X3254" t="s">
        <v>1421</v>
      </c>
    </row>
    <row r="3255" spans="1:24" x14ac:dyDescent="0.25">
      <c r="A3255" t="s">
        <v>1928</v>
      </c>
      <c r="B3255" t="s">
        <v>1929</v>
      </c>
      <c r="C3255" t="s">
        <v>2175</v>
      </c>
      <c r="D3255" t="s">
        <v>319</v>
      </c>
      <c r="E3255" t="s">
        <v>45</v>
      </c>
      <c r="F3255" t="s">
        <v>1</v>
      </c>
      <c r="G3255" t="s">
        <v>1092</v>
      </c>
      <c r="H3255" t="s">
        <v>445</v>
      </c>
      <c r="I3255" t="s">
        <v>1</v>
      </c>
      <c r="J3255">
        <v>4514.5</v>
      </c>
      <c r="K3255"/>
      <c r="L3255">
        <v>0</v>
      </c>
      <c r="M3255">
        <v>0</v>
      </c>
      <c r="N3255">
        <v>4514.5</v>
      </c>
      <c r="O3255"/>
      <c r="P3255">
        <v>0</v>
      </c>
      <c r="Q3255">
        <f t="shared" si="655"/>
        <v>0</v>
      </c>
      <c r="R3255">
        <v>0</v>
      </c>
      <c r="S3255">
        <f t="shared" si="656"/>
        <v>0</v>
      </c>
      <c r="T3255">
        <v>0.03</v>
      </c>
      <c r="U3255">
        <f t="shared" si="657"/>
        <v>0</v>
      </c>
      <c r="V3255">
        <f t="shared" si="658"/>
        <v>0</v>
      </c>
      <c r="W3255">
        <f t="shared" si="659"/>
        <v>0</v>
      </c>
      <c r="X3255">
        <v>0</v>
      </c>
    </row>
    <row r="3256" spans="1:24" x14ac:dyDescent="0.25">
      <c r="A3256" t="s">
        <v>1928</v>
      </c>
      <c r="B3256" t="s">
        <v>1929</v>
      </c>
      <c r="C3256" t="s">
        <v>2175</v>
      </c>
      <c r="D3256" t="s">
        <v>319</v>
      </c>
      <c r="E3256" t="s">
        <v>51</v>
      </c>
      <c r="F3256" t="s">
        <v>51</v>
      </c>
      <c r="G3256" t="s">
        <v>1093</v>
      </c>
      <c r="H3256"/>
      <c r="I3256"/>
      <c r="J3256">
        <v>167605.26</v>
      </c>
      <c r="K3256">
        <v>143516.4914467202</v>
      </c>
      <c r="L3256">
        <v>80062.289999999994</v>
      </c>
      <c r="M3256">
        <v>161451.57928176795</v>
      </c>
      <c r="N3256">
        <v>172951.94999999998</v>
      </c>
      <c r="O3256">
        <v>160953.8682514723</v>
      </c>
      <c r="P3256">
        <f>SUMIF($F$3231:$F$3255,"&lt;&gt;EV_*",$P$3231:$P$3255)</f>
        <v>-790</v>
      </c>
      <c r="Q3256">
        <f>SUMIF($F$3231:$F$3255,"&lt;&gt;EV_*",$Q$3231:$Q$3255)</f>
        <v>160163.8682514723</v>
      </c>
      <c r="R3256">
        <f>SUMIF($F$3231:$F$3255,"&lt;&gt;EV_*",$R$3231:$R$3255)</f>
        <v>157608.27782466161</v>
      </c>
      <c r="S3256">
        <f>SUMIF($F$3231:$F$3255,"&lt;&gt;EV_*",$S$3231:$S$3255)</f>
        <v>-2555.5904268107006</v>
      </c>
      <c r="T3256">
        <v>0</v>
      </c>
      <c r="U3256">
        <f>SUMIF($F$3231:$F$3255,"&lt;&gt;EV_*",$U$3231:$U$3255)</f>
        <v>5428.3198981224623</v>
      </c>
      <c r="V3256">
        <f>SUMIF($F$3231:$F$3255,"&lt;&gt;EV_*",$V$3231:$V$3255)</f>
        <v>163036.59772278403</v>
      </c>
      <c r="W3256">
        <f>SUMIF($F$3231:$F$3255,"&lt;&gt;EV_*",$W$3231:$W$3255)</f>
        <v>2872.729471311759</v>
      </c>
      <c r="X3256">
        <f>SUMIF($F$3231:$F$3255,"&lt;&gt;EV_*",$X$3231:$X$3255)</f>
        <v>0</v>
      </c>
    </row>
    <row r="3257" spans="1:24" x14ac:dyDescent="0.25">
      <c r="A3257" t="s">
        <v>1943</v>
      </c>
      <c r="B3257" t="s">
        <v>2176</v>
      </c>
      <c r="C3257" t="s">
        <v>2177</v>
      </c>
      <c r="D3257" t="s">
        <v>320</v>
      </c>
      <c r="E3257" t="s">
        <v>5</v>
      </c>
      <c r="F3257" t="s">
        <v>5</v>
      </c>
      <c r="G3257" t="s">
        <v>1094</v>
      </c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</row>
    <row r="3258" spans="1:24" x14ac:dyDescent="0.25">
      <c r="A3258" t="s">
        <v>1943</v>
      </c>
      <c r="B3258" t="s">
        <v>2176</v>
      </c>
      <c r="C3258" t="s">
        <v>2177</v>
      </c>
      <c r="D3258" t="s">
        <v>320</v>
      </c>
      <c r="E3258" t="s">
        <v>321</v>
      </c>
      <c r="F3258" t="s">
        <v>1</v>
      </c>
      <c r="G3258" t="s">
        <v>1095</v>
      </c>
      <c r="H3258" t="s">
        <v>1096</v>
      </c>
      <c r="I3258" t="s">
        <v>1</v>
      </c>
      <c r="J3258">
        <v>19491.900000000001</v>
      </c>
      <c r="K3258">
        <v>15066.957176145101</v>
      </c>
      <c r="L3258">
        <v>20425.54</v>
      </c>
      <c r="M3258">
        <v>41189.624861878459</v>
      </c>
      <c r="N3258">
        <v>39917.440000000002</v>
      </c>
      <c r="O3258">
        <v>41189.624861878503</v>
      </c>
      <c r="P3258">
        <v>0</v>
      </c>
      <c r="Q3258">
        <f t="shared" ref="Q3258:Q3289" si="660">O3258+P3258</f>
        <v>41189.624861878503</v>
      </c>
      <c r="R3258">
        <v>41189.624861878503</v>
      </c>
      <c r="S3258">
        <f t="shared" ref="S3258:S3289" si="661">IF(OR(LEFT(E3258,2)="A_",LEFT(D3258,5)="Total"),R3258-Q3258,"")</f>
        <v>0</v>
      </c>
      <c r="T3258">
        <v>0.03</v>
      </c>
      <c r="U3258">
        <f t="shared" ref="U3258:U3289" si="662">IFERROR(R3258*T3258,R3258*0)</f>
        <v>1235.6887458563551</v>
      </c>
      <c r="V3258">
        <f t="shared" ref="V3258:V3289" si="663">IF(OR(LEFT(E3258,2)="A_",LEFT(D3258,5)="Total"),R3258+U3258,"")</f>
        <v>42425.313607734861</v>
      </c>
      <c r="W3258">
        <f t="shared" ref="W3258:W3289" si="664">IF(OR(LEFT(E3258,2)="A_",LEFT(D3258,5)="Total"),V3258-Q3258,"")</f>
        <v>1235.6887458563579</v>
      </c>
      <c r="X3258">
        <v>0</v>
      </c>
    </row>
    <row r="3259" spans="1:24" x14ac:dyDescent="0.25">
      <c r="A3259" t="s">
        <v>1943</v>
      </c>
      <c r="B3259" t="s">
        <v>2176</v>
      </c>
      <c r="C3259" t="s">
        <v>2177</v>
      </c>
      <c r="D3259" t="s">
        <v>320</v>
      </c>
      <c r="E3259" t="s">
        <v>8</v>
      </c>
      <c r="F3259" t="s">
        <v>1</v>
      </c>
      <c r="G3259" t="s">
        <v>1095</v>
      </c>
      <c r="H3259" t="s">
        <v>408</v>
      </c>
      <c r="I3259" t="s">
        <v>1</v>
      </c>
      <c r="J3259">
        <v>2841.29</v>
      </c>
      <c r="K3259">
        <v>1818.2243093920999</v>
      </c>
      <c r="L3259">
        <v>72.27</v>
      </c>
      <c r="M3259">
        <v>145.73784530386737</v>
      </c>
      <c r="N3259">
        <v>2011.9199999999998</v>
      </c>
      <c r="O3259">
        <v>145.7378453039</v>
      </c>
      <c r="P3259">
        <v>0</v>
      </c>
      <c r="Q3259">
        <f t="shared" si="660"/>
        <v>145.7378453039</v>
      </c>
      <c r="R3259">
        <v>145.7378453039</v>
      </c>
      <c r="S3259">
        <f t="shared" si="661"/>
        <v>0</v>
      </c>
      <c r="T3259"/>
      <c r="U3259">
        <f t="shared" si="662"/>
        <v>0</v>
      </c>
      <c r="V3259">
        <f t="shared" si="663"/>
        <v>145.7378453039</v>
      </c>
      <c r="W3259">
        <f t="shared" si="664"/>
        <v>0</v>
      </c>
      <c r="X3259">
        <v>0</v>
      </c>
    </row>
    <row r="3260" spans="1:24" x14ac:dyDescent="0.25">
      <c r="A3260" t="s">
        <v>1943</v>
      </c>
      <c r="B3260" t="s">
        <v>2176</v>
      </c>
      <c r="C3260" t="s">
        <v>2177</v>
      </c>
      <c r="D3260" t="s">
        <v>320</v>
      </c>
      <c r="E3260" t="s">
        <v>10</v>
      </c>
      <c r="F3260" t="s">
        <v>1</v>
      </c>
      <c r="G3260" t="s">
        <v>1095</v>
      </c>
      <c r="H3260" t="s">
        <v>410</v>
      </c>
      <c r="I3260" t="s">
        <v>1</v>
      </c>
      <c r="J3260">
        <v>60300</v>
      </c>
      <c r="K3260">
        <v>67580.000000000393</v>
      </c>
      <c r="L3260">
        <v>30150</v>
      </c>
      <c r="M3260">
        <v>60799.723756906074</v>
      </c>
      <c r="N3260">
        <v>60300</v>
      </c>
      <c r="O3260">
        <v>60300</v>
      </c>
      <c r="P3260">
        <v>0</v>
      </c>
      <c r="Q3260">
        <f t="shared" si="660"/>
        <v>60300</v>
      </c>
      <c r="R3260">
        <v>60300</v>
      </c>
      <c r="S3260">
        <f t="shared" si="661"/>
        <v>0</v>
      </c>
      <c r="T3260"/>
      <c r="U3260">
        <f t="shared" si="662"/>
        <v>0</v>
      </c>
      <c r="V3260">
        <f t="shared" si="663"/>
        <v>60300</v>
      </c>
      <c r="W3260">
        <f t="shared" si="664"/>
        <v>0</v>
      </c>
      <c r="X3260" t="s">
        <v>1822</v>
      </c>
    </row>
    <row r="3261" spans="1:24" x14ac:dyDescent="0.25">
      <c r="A3261" t="s">
        <v>1943</v>
      </c>
      <c r="B3261" t="s">
        <v>2176</v>
      </c>
      <c r="C3261" t="s">
        <v>2177</v>
      </c>
      <c r="D3261" t="s">
        <v>320</v>
      </c>
      <c r="E3261" t="s">
        <v>11</v>
      </c>
      <c r="F3261" t="s">
        <v>1</v>
      </c>
      <c r="G3261" t="s">
        <v>1095</v>
      </c>
      <c r="H3261" t="s">
        <v>411</v>
      </c>
      <c r="I3261" t="s">
        <v>1</v>
      </c>
      <c r="J3261">
        <v>9617.84</v>
      </c>
      <c r="K3261">
        <v>9524.4</v>
      </c>
      <c r="L3261">
        <v>4859.04</v>
      </c>
      <c r="M3261">
        <v>9798.6165745856342</v>
      </c>
      <c r="N3261">
        <v>9717.43</v>
      </c>
      <c r="O3261">
        <v>9718.08</v>
      </c>
      <c r="P3261">
        <v>0</v>
      </c>
      <c r="Q3261">
        <f t="shared" si="660"/>
        <v>9718.08</v>
      </c>
      <c r="R3261">
        <v>9718.08</v>
      </c>
      <c r="S3261">
        <f t="shared" si="661"/>
        <v>0</v>
      </c>
      <c r="T3261"/>
      <c r="U3261">
        <f t="shared" si="662"/>
        <v>0</v>
      </c>
      <c r="V3261">
        <f t="shared" si="663"/>
        <v>9718.08</v>
      </c>
      <c r="W3261">
        <f t="shared" si="664"/>
        <v>0</v>
      </c>
      <c r="X3261">
        <v>0</v>
      </c>
    </row>
    <row r="3262" spans="1:24" x14ac:dyDescent="0.25">
      <c r="A3262" t="s">
        <v>1943</v>
      </c>
      <c r="B3262" t="s">
        <v>2176</v>
      </c>
      <c r="C3262" t="s">
        <v>2177</v>
      </c>
      <c r="D3262" t="s">
        <v>320</v>
      </c>
      <c r="E3262" t="s">
        <v>12</v>
      </c>
      <c r="F3262" t="s">
        <v>1</v>
      </c>
      <c r="G3262" t="s">
        <v>1095</v>
      </c>
      <c r="H3262" t="s">
        <v>412</v>
      </c>
      <c r="I3262" t="s">
        <v>1</v>
      </c>
      <c r="J3262">
        <v>540.22</v>
      </c>
      <c r="K3262"/>
      <c r="L3262">
        <v>0</v>
      </c>
      <c r="M3262">
        <v>0</v>
      </c>
      <c r="N3262">
        <v>540.22</v>
      </c>
      <c r="O3262"/>
      <c r="P3262">
        <v>0</v>
      </c>
      <c r="Q3262">
        <f t="shared" si="660"/>
        <v>0</v>
      </c>
      <c r="R3262">
        <v>0</v>
      </c>
      <c r="S3262">
        <f t="shared" si="661"/>
        <v>0</v>
      </c>
      <c r="T3262"/>
      <c r="U3262">
        <f t="shared" si="662"/>
        <v>0</v>
      </c>
      <c r="V3262">
        <f t="shared" si="663"/>
        <v>0</v>
      </c>
      <c r="W3262">
        <f t="shared" si="664"/>
        <v>0</v>
      </c>
      <c r="X3262">
        <v>0</v>
      </c>
    </row>
    <row r="3263" spans="1:24" x14ac:dyDescent="0.25">
      <c r="A3263" t="s">
        <v>1943</v>
      </c>
      <c r="B3263" t="s">
        <v>2176</v>
      </c>
      <c r="C3263" t="s">
        <v>2177</v>
      </c>
      <c r="D3263" t="s">
        <v>320</v>
      </c>
      <c r="E3263" t="s">
        <v>13</v>
      </c>
      <c r="F3263" t="s">
        <v>1</v>
      </c>
      <c r="G3263" t="s">
        <v>1095</v>
      </c>
      <c r="H3263" t="s">
        <v>413</v>
      </c>
      <c r="I3263" t="s">
        <v>1</v>
      </c>
      <c r="J3263">
        <v>268.92</v>
      </c>
      <c r="K3263"/>
      <c r="L3263">
        <v>268.92</v>
      </c>
      <c r="M3263">
        <v>542.29723756906083</v>
      </c>
      <c r="N3263">
        <v>537.84</v>
      </c>
      <c r="O3263">
        <v>537.84</v>
      </c>
      <c r="P3263">
        <v>0</v>
      </c>
      <c r="Q3263">
        <f t="shared" si="660"/>
        <v>537.84</v>
      </c>
      <c r="R3263">
        <v>537.84</v>
      </c>
      <c r="S3263">
        <f t="shared" si="661"/>
        <v>0</v>
      </c>
      <c r="T3263"/>
      <c r="U3263">
        <f t="shared" si="662"/>
        <v>0</v>
      </c>
      <c r="V3263">
        <f t="shared" si="663"/>
        <v>537.84</v>
      </c>
      <c r="W3263">
        <f t="shared" si="664"/>
        <v>0</v>
      </c>
      <c r="X3263">
        <v>0</v>
      </c>
    </row>
    <row r="3264" spans="1:24" x14ac:dyDescent="0.25">
      <c r="A3264" t="s">
        <v>1943</v>
      </c>
      <c r="B3264" t="s">
        <v>2176</v>
      </c>
      <c r="C3264" t="s">
        <v>2177</v>
      </c>
      <c r="D3264" t="s">
        <v>320</v>
      </c>
      <c r="E3264" t="s">
        <v>65</v>
      </c>
      <c r="F3264" t="s">
        <v>1</v>
      </c>
      <c r="G3264" t="s">
        <v>1095</v>
      </c>
      <c r="H3264" t="s">
        <v>476</v>
      </c>
      <c r="I3264" t="s">
        <v>1</v>
      </c>
      <c r="J3264">
        <v>-427.32</v>
      </c>
      <c r="K3264"/>
      <c r="L3264">
        <v>-304.95</v>
      </c>
      <c r="M3264">
        <v>-614.95441988950279</v>
      </c>
      <c r="N3264">
        <v>-332.27000000000004</v>
      </c>
      <c r="O3264">
        <v>-613.25109890110002</v>
      </c>
      <c r="P3264">
        <v>0</v>
      </c>
      <c r="Q3264">
        <f t="shared" si="660"/>
        <v>-613.25109890110002</v>
      </c>
      <c r="R3264">
        <v>0</v>
      </c>
      <c r="S3264">
        <f t="shared" si="661"/>
        <v>613.25109890110002</v>
      </c>
      <c r="T3264"/>
      <c r="U3264">
        <f t="shared" si="662"/>
        <v>0</v>
      </c>
      <c r="V3264">
        <f t="shared" si="663"/>
        <v>0</v>
      </c>
      <c r="W3264">
        <f t="shared" si="664"/>
        <v>613.25109890110002</v>
      </c>
      <c r="X3264">
        <v>0</v>
      </c>
    </row>
    <row r="3265" spans="1:24" x14ac:dyDescent="0.25">
      <c r="A3265" t="s">
        <v>1943</v>
      </c>
      <c r="B3265" t="s">
        <v>2176</v>
      </c>
      <c r="C3265" t="s">
        <v>2177</v>
      </c>
      <c r="D3265" t="s">
        <v>320</v>
      </c>
      <c r="E3265" t="s">
        <v>17</v>
      </c>
      <c r="F3265" t="s">
        <v>1</v>
      </c>
      <c r="G3265" t="s">
        <v>1095</v>
      </c>
      <c r="H3265" t="s">
        <v>417</v>
      </c>
      <c r="I3265" t="s">
        <v>1</v>
      </c>
      <c r="J3265">
        <v>-14143.73</v>
      </c>
      <c r="K3265">
        <v>-7700</v>
      </c>
      <c r="L3265">
        <v>-3794.06</v>
      </c>
      <c r="M3265">
        <v>-7651.0049723756911</v>
      </c>
      <c r="N3265">
        <v>-8327.4</v>
      </c>
      <c r="O3265">
        <v>-7629.8129670329999</v>
      </c>
      <c r="P3265">
        <v>0</v>
      </c>
      <c r="Q3265">
        <f t="shared" si="660"/>
        <v>-7629.8129670329999</v>
      </c>
      <c r="R3265">
        <v>-7629.8129670329999</v>
      </c>
      <c r="S3265">
        <f t="shared" si="661"/>
        <v>0</v>
      </c>
      <c r="T3265"/>
      <c r="U3265">
        <f t="shared" si="662"/>
        <v>0</v>
      </c>
      <c r="V3265">
        <f t="shared" si="663"/>
        <v>-7629.8129670329999</v>
      </c>
      <c r="W3265">
        <f t="shared" si="664"/>
        <v>0</v>
      </c>
      <c r="X3265">
        <v>0</v>
      </c>
    </row>
    <row r="3266" spans="1:24" x14ac:dyDescent="0.25">
      <c r="A3266" t="s">
        <v>1943</v>
      </c>
      <c r="B3266" t="s">
        <v>2176</v>
      </c>
      <c r="C3266" t="s">
        <v>2177</v>
      </c>
      <c r="D3266" t="s">
        <v>320</v>
      </c>
      <c r="E3266" t="s">
        <v>82</v>
      </c>
      <c r="F3266" t="s">
        <v>1</v>
      </c>
      <c r="G3266" t="s">
        <v>1095</v>
      </c>
      <c r="H3266" t="s">
        <v>507</v>
      </c>
      <c r="I3266" t="s">
        <v>1</v>
      </c>
      <c r="J3266">
        <v>14.45</v>
      </c>
      <c r="K3266"/>
      <c r="L3266">
        <v>0</v>
      </c>
      <c r="M3266">
        <v>0</v>
      </c>
      <c r="N3266">
        <v>14.45</v>
      </c>
      <c r="O3266"/>
      <c r="P3266">
        <v>0</v>
      </c>
      <c r="Q3266">
        <f t="shared" si="660"/>
        <v>0</v>
      </c>
      <c r="R3266">
        <v>0</v>
      </c>
      <c r="S3266">
        <f t="shared" si="661"/>
        <v>0</v>
      </c>
      <c r="T3266">
        <v>2.75E-2</v>
      </c>
      <c r="U3266">
        <f t="shared" si="662"/>
        <v>0</v>
      </c>
      <c r="V3266">
        <f t="shared" si="663"/>
        <v>0</v>
      </c>
      <c r="W3266">
        <f t="shared" si="664"/>
        <v>0</v>
      </c>
      <c r="X3266">
        <v>0</v>
      </c>
    </row>
    <row r="3267" spans="1:24" x14ac:dyDescent="0.25">
      <c r="A3267" t="s">
        <v>1943</v>
      </c>
      <c r="B3267" t="s">
        <v>2176</v>
      </c>
      <c r="C3267" t="s">
        <v>2177</v>
      </c>
      <c r="D3267" t="s">
        <v>320</v>
      </c>
      <c r="E3267" t="s">
        <v>72</v>
      </c>
      <c r="F3267" t="s">
        <v>1</v>
      </c>
      <c r="G3267" t="s">
        <v>1095</v>
      </c>
      <c r="H3267" t="s">
        <v>489</v>
      </c>
      <c r="I3267" t="s">
        <v>1</v>
      </c>
      <c r="J3267">
        <v>42.06</v>
      </c>
      <c r="K3267"/>
      <c r="L3267">
        <v>0</v>
      </c>
      <c r="M3267">
        <v>0</v>
      </c>
      <c r="N3267">
        <v>0</v>
      </c>
      <c r="O3267"/>
      <c r="P3267">
        <v>0</v>
      </c>
      <c r="Q3267">
        <f t="shared" si="660"/>
        <v>0</v>
      </c>
      <c r="R3267">
        <v>0</v>
      </c>
      <c r="S3267">
        <f t="shared" si="661"/>
        <v>0</v>
      </c>
      <c r="T3267">
        <v>2.2499999999999999E-2</v>
      </c>
      <c r="U3267">
        <f t="shared" si="662"/>
        <v>0</v>
      </c>
      <c r="V3267">
        <f t="shared" si="663"/>
        <v>0</v>
      </c>
      <c r="W3267">
        <f t="shared" si="664"/>
        <v>0</v>
      </c>
      <c r="X3267">
        <v>0</v>
      </c>
    </row>
    <row r="3268" spans="1:24" x14ac:dyDescent="0.25">
      <c r="A3268" t="s">
        <v>1943</v>
      </c>
      <c r="B3268" t="s">
        <v>2176</v>
      </c>
      <c r="C3268" t="s">
        <v>2177</v>
      </c>
      <c r="D3268" t="s">
        <v>320</v>
      </c>
      <c r="E3268" t="s">
        <v>18</v>
      </c>
      <c r="F3268" t="s">
        <v>1</v>
      </c>
      <c r="G3268" t="s">
        <v>1095</v>
      </c>
      <c r="H3268" t="s">
        <v>418</v>
      </c>
      <c r="I3268" t="s">
        <v>1</v>
      </c>
      <c r="J3268">
        <v>190191.32</v>
      </c>
      <c r="K3268">
        <v>172676.38728628401</v>
      </c>
      <c r="L3268">
        <v>89684.56</v>
      </c>
      <c r="M3268">
        <v>180855.60441988948</v>
      </c>
      <c r="N3268">
        <v>183892.89</v>
      </c>
      <c r="O3268">
        <v>180354.664615385</v>
      </c>
      <c r="P3268">
        <v>0</v>
      </c>
      <c r="Q3268">
        <f t="shared" si="660"/>
        <v>180354.664615385</v>
      </c>
      <c r="R3268">
        <v>180354.664615385</v>
      </c>
      <c r="S3268">
        <f t="shared" si="661"/>
        <v>0</v>
      </c>
      <c r="T3268">
        <v>0.02</v>
      </c>
      <c r="U3268">
        <f t="shared" si="662"/>
        <v>3607.0932923077003</v>
      </c>
      <c r="V3268">
        <f t="shared" si="663"/>
        <v>183961.75790769269</v>
      </c>
      <c r="W3268">
        <f t="shared" si="664"/>
        <v>3607.0932923076907</v>
      </c>
      <c r="X3268">
        <v>0</v>
      </c>
    </row>
    <row r="3269" spans="1:24" x14ac:dyDescent="0.25">
      <c r="A3269" t="s">
        <v>1943</v>
      </c>
      <c r="B3269" t="s">
        <v>2176</v>
      </c>
      <c r="C3269" t="s">
        <v>2177</v>
      </c>
      <c r="D3269" t="s">
        <v>320</v>
      </c>
      <c r="E3269" t="s">
        <v>57</v>
      </c>
      <c r="F3269" t="s">
        <v>1</v>
      </c>
      <c r="G3269" t="s">
        <v>1095</v>
      </c>
      <c r="H3269" t="s">
        <v>462</v>
      </c>
      <c r="I3269" t="s">
        <v>1</v>
      </c>
      <c r="J3269">
        <v>18.5</v>
      </c>
      <c r="K3269"/>
      <c r="L3269">
        <v>0</v>
      </c>
      <c r="M3269">
        <v>0</v>
      </c>
      <c r="N3269">
        <v>18.5</v>
      </c>
      <c r="O3269"/>
      <c r="P3269">
        <v>0</v>
      </c>
      <c r="Q3269">
        <f t="shared" si="660"/>
        <v>0</v>
      </c>
      <c r="R3269">
        <v>0</v>
      </c>
      <c r="S3269">
        <f t="shared" si="661"/>
        <v>0</v>
      </c>
      <c r="T3269">
        <v>0.04</v>
      </c>
      <c r="U3269">
        <f t="shared" si="662"/>
        <v>0</v>
      </c>
      <c r="V3269">
        <f t="shared" si="663"/>
        <v>0</v>
      </c>
      <c r="W3269">
        <f t="shared" si="664"/>
        <v>0</v>
      </c>
      <c r="X3269">
        <v>0</v>
      </c>
    </row>
    <row r="3270" spans="1:24" x14ac:dyDescent="0.25">
      <c r="A3270" t="s">
        <v>1943</v>
      </c>
      <c r="B3270" t="s">
        <v>2176</v>
      </c>
      <c r="C3270" t="s">
        <v>2177</v>
      </c>
      <c r="D3270" t="s">
        <v>320</v>
      </c>
      <c r="E3270" t="s">
        <v>74</v>
      </c>
      <c r="F3270" t="s">
        <v>1</v>
      </c>
      <c r="G3270" t="s">
        <v>1095</v>
      </c>
      <c r="H3270" t="s">
        <v>491</v>
      </c>
      <c r="I3270" t="s">
        <v>1</v>
      </c>
      <c r="J3270">
        <v>709829.28</v>
      </c>
      <c r="K3270">
        <v>767024.90998297301</v>
      </c>
      <c r="L3270">
        <v>349362.51</v>
      </c>
      <c r="M3270">
        <v>704515.558839779</v>
      </c>
      <c r="N3270">
        <v>682035.05</v>
      </c>
      <c r="O3270">
        <v>702564.16846153804</v>
      </c>
      <c r="P3270">
        <v>0</v>
      </c>
      <c r="Q3270">
        <f t="shared" si="660"/>
        <v>702564.16846153804</v>
      </c>
      <c r="R3270">
        <v>702564.16846153804</v>
      </c>
      <c r="S3270">
        <f t="shared" si="661"/>
        <v>0</v>
      </c>
      <c r="T3270">
        <v>3.5000000000000003E-2</v>
      </c>
      <c r="U3270">
        <f t="shared" si="662"/>
        <v>24589.745896153832</v>
      </c>
      <c r="V3270">
        <f t="shared" si="663"/>
        <v>727153.91435769189</v>
      </c>
      <c r="W3270">
        <f t="shared" si="664"/>
        <v>24589.74589615385</v>
      </c>
      <c r="X3270">
        <v>0</v>
      </c>
    </row>
    <row r="3271" spans="1:24" x14ac:dyDescent="0.25">
      <c r="A3271" t="s">
        <v>1943</v>
      </c>
      <c r="B3271" t="s">
        <v>2176</v>
      </c>
      <c r="C3271" t="s">
        <v>2177</v>
      </c>
      <c r="D3271" t="s">
        <v>320</v>
      </c>
      <c r="E3271" t="s">
        <v>85</v>
      </c>
      <c r="F3271" t="s">
        <v>1</v>
      </c>
      <c r="G3271" t="s">
        <v>1095</v>
      </c>
      <c r="H3271" t="s">
        <v>510</v>
      </c>
      <c r="I3271" t="s">
        <v>1</v>
      </c>
      <c r="J3271">
        <v>14387.45</v>
      </c>
      <c r="K3271">
        <v>15790.017786259799</v>
      </c>
      <c r="L3271">
        <v>5754.98</v>
      </c>
      <c r="M3271">
        <v>11605.346408839778</v>
      </c>
      <c r="N3271">
        <v>11771.550000000001</v>
      </c>
      <c r="O3271">
        <v>11573.201538461501</v>
      </c>
      <c r="P3271">
        <v>0</v>
      </c>
      <c r="Q3271">
        <f t="shared" si="660"/>
        <v>11573.201538461501</v>
      </c>
      <c r="R3271">
        <v>11573.201538461501</v>
      </c>
      <c r="S3271">
        <f t="shared" si="661"/>
        <v>0</v>
      </c>
      <c r="T3271">
        <v>0.02</v>
      </c>
      <c r="U3271">
        <f t="shared" si="662"/>
        <v>231.46403076923002</v>
      </c>
      <c r="V3271">
        <f t="shared" si="663"/>
        <v>11804.66556923073</v>
      </c>
      <c r="W3271">
        <f t="shared" si="664"/>
        <v>231.46403076922979</v>
      </c>
      <c r="X3271">
        <v>0</v>
      </c>
    </row>
    <row r="3272" spans="1:24" x14ac:dyDescent="0.25">
      <c r="A3272" t="s">
        <v>1943</v>
      </c>
      <c r="B3272" t="s">
        <v>2176</v>
      </c>
      <c r="C3272" t="s">
        <v>2177</v>
      </c>
      <c r="D3272" t="s">
        <v>320</v>
      </c>
      <c r="E3272" t="s">
        <v>20</v>
      </c>
      <c r="F3272" t="s">
        <v>1</v>
      </c>
      <c r="G3272" t="s">
        <v>1095</v>
      </c>
      <c r="H3272" t="s">
        <v>420</v>
      </c>
      <c r="I3272" t="s">
        <v>1</v>
      </c>
      <c r="J3272">
        <v>168205.35</v>
      </c>
      <c r="K3272">
        <v>223304.411146714</v>
      </c>
      <c r="L3272">
        <v>83629.69</v>
      </c>
      <c r="M3272">
        <v>168645.50745856354</v>
      </c>
      <c r="N3272">
        <v>164595.63999999998</v>
      </c>
      <c r="O3272">
        <v>168178.38758241801</v>
      </c>
      <c r="P3272">
        <v>0</v>
      </c>
      <c r="Q3272">
        <f t="shared" si="660"/>
        <v>168178.38758241801</v>
      </c>
      <c r="R3272">
        <v>168178.38758241801</v>
      </c>
      <c r="S3272">
        <f t="shared" si="661"/>
        <v>0</v>
      </c>
      <c r="T3272">
        <v>0.04</v>
      </c>
      <c r="U3272">
        <f t="shared" si="662"/>
        <v>6727.1355032967203</v>
      </c>
      <c r="V3272">
        <f t="shared" si="663"/>
        <v>174905.52308571473</v>
      </c>
      <c r="W3272">
        <f t="shared" si="664"/>
        <v>6727.1355032967112</v>
      </c>
      <c r="X3272">
        <v>0</v>
      </c>
    </row>
    <row r="3273" spans="1:24" x14ac:dyDescent="0.25">
      <c r="A3273" t="s">
        <v>1943</v>
      </c>
      <c r="B3273" t="s">
        <v>2176</v>
      </c>
      <c r="C3273" t="s">
        <v>2177</v>
      </c>
      <c r="D3273" t="s">
        <v>320</v>
      </c>
      <c r="E3273" t="s">
        <v>21</v>
      </c>
      <c r="F3273" t="s">
        <v>1</v>
      </c>
      <c r="G3273" t="s">
        <v>1095</v>
      </c>
      <c r="H3273" t="s">
        <v>421</v>
      </c>
      <c r="I3273" t="s">
        <v>1</v>
      </c>
      <c r="J3273">
        <v>5468.4</v>
      </c>
      <c r="K3273">
        <v>8404.6200000001008</v>
      </c>
      <c r="L3273">
        <v>8273.14</v>
      </c>
      <c r="M3273">
        <v>16683.403867403315</v>
      </c>
      <c r="N3273">
        <v>9560.6200000000008</v>
      </c>
      <c r="O3273">
        <v>16683.4038674033</v>
      </c>
      <c r="P3273">
        <v>0</v>
      </c>
      <c r="Q3273">
        <f t="shared" si="660"/>
        <v>16683.4038674033</v>
      </c>
      <c r="R3273">
        <v>16683.4038674033</v>
      </c>
      <c r="S3273">
        <f t="shared" si="661"/>
        <v>0</v>
      </c>
      <c r="T3273">
        <v>0.03</v>
      </c>
      <c r="U3273">
        <f t="shared" si="662"/>
        <v>500.50211602209896</v>
      </c>
      <c r="V3273">
        <f t="shared" si="663"/>
        <v>17183.9059834254</v>
      </c>
      <c r="W3273">
        <f t="shared" si="664"/>
        <v>500.50211602210038</v>
      </c>
      <c r="X3273">
        <v>0</v>
      </c>
    </row>
    <row r="3274" spans="1:24" x14ac:dyDescent="0.25">
      <c r="A3274" t="s">
        <v>1943</v>
      </c>
      <c r="B3274" t="s">
        <v>2176</v>
      </c>
      <c r="C3274" t="s">
        <v>2177</v>
      </c>
      <c r="D3274" t="s">
        <v>320</v>
      </c>
      <c r="E3274" t="s">
        <v>22</v>
      </c>
      <c r="F3274" t="s">
        <v>1</v>
      </c>
      <c r="G3274" t="s">
        <v>1095</v>
      </c>
      <c r="H3274" t="s">
        <v>422</v>
      </c>
      <c r="I3274" t="s">
        <v>1</v>
      </c>
      <c r="J3274">
        <v>19128.98</v>
      </c>
      <c r="K3274">
        <v>18309.1500000001</v>
      </c>
      <c r="L3274">
        <v>9551.7099999999991</v>
      </c>
      <c r="M3274">
        <v>19261.735635359113</v>
      </c>
      <c r="N3274">
        <v>19833.45</v>
      </c>
      <c r="O3274">
        <v>19261.735635359099</v>
      </c>
      <c r="P3274">
        <v>0</v>
      </c>
      <c r="Q3274">
        <f t="shared" si="660"/>
        <v>19261.735635359099</v>
      </c>
      <c r="R3274">
        <v>19261.735635359099</v>
      </c>
      <c r="S3274">
        <f t="shared" si="661"/>
        <v>0</v>
      </c>
      <c r="T3274">
        <v>3.5000000000000003E-2</v>
      </c>
      <c r="U3274">
        <f t="shared" si="662"/>
        <v>674.16074723756856</v>
      </c>
      <c r="V3274">
        <f t="shared" si="663"/>
        <v>19935.896382596668</v>
      </c>
      <c r="W3274">
        <f t="shared" si="664"/>
        <v>674.16074723756901</v>
      </c>
      <c r="X3274">
        <v>0</v>
      </c>
    </row>
    <row r="3275" spans="1:24" x14ac:dyDescent="0.25">
      <c r="A3275" t="s">
        <v>1943</v>
      </c>
      <c r="B3275" t="s">
        <v>2176</v>
      </c>
      <c r="C3275" t="s">
        <v>2177</v>
      </c>
      <c r="D3275" t="s">
        <v>320</v>
      </c>
      <c r="E3275" t="s">
        <v>23</v>
      </c>
      <c r="F3275" t="s">
        <v>1</v>
      </c>
      <c r="G3275" t="s">
        <v>1095</v>
      </c>
      <c r="H3275" t="s">
        <v>423</v>
      </c>
      <c r="I3275" t="s">
        <v>1</v>
      </c>
      <c r="J3275">
        <v>17301.84</v>
      </c>
      <c r="K3275">
        <v>23960.2500000002</v>
      </c>
      <c r="L3275">
        <v>8200.7900000000009</v>
      </c>
      <c r="M3275">
        <v>16537.504696132601</v>
      </c>
      <c r="N3275">
        <v>13926.079999999998</v>
      </c>
      <c r="O3275">
        <v>16537.504696132601</v>
      </c>
      <c r="P3275">
        <v>0</v>
      </c>
      <c r="Q3275">
        <f t="shared" si="660"/>
        <v>16537.504696132601</v>
      </c>
      <c r="R3275">
        <v>16537.504696132601</v>
      </c>
      <c r="S3275">
        <f t="shared" si="661"/>
        <v>0</v>
      </c>
      <c r="T3275">
        <v>3.5000000000000003E-2</v>
      </c>
      <c r="U3275">
        <f t="shared" si="662"/>
        <v>578.81266436464102</v>
      </c>
      <c r="V3275">
        <f t="shared" si="663"/>
        <v>17116.31736049724</v>
      </c>
      <c r="W3275">
        <f t="shared" si="664"/>
        <v>578.8126643646392</v>
      </c>
      <c r="X3275">
        <v>0</v>
      </c>
    </row>
    <row r="3276" spans="1:24" x14ac:dyDescent="0.25">
      <c r="A3276" t="s">
        <v>1943</v>
      </c>
      <c r="B3276" t="s">
        <v>2176</v>
      </c>
      <c r="C3276" t="s">
        <v>2177</v>
      </c>
      <c r="D3276" t="s">
        <v>320</v>
      </c>
      <c r="E3276" t="s">
        <v>24</v>
      </c>
      <c r="F3276" t="s">
        <v>1</v>
      </c>
      <c r="G3276" t="s">
        <v>1095</v>
      </c>
      <c r="H3276" t="s">
        <v>424</v>
      </c>
      <c r="I3276" t="s">
        <v>1</v>
      </c>
      <c r="J3276">
        <v>250</v>
      </c>
      <c r="K3276">
        <v>260.00000000040001</v>
      </c>
      <c r="L3276">
        <v>0</v>
      </c>
      <c r="M3276">
        <v>0</v>
      </c>
      <c r="N3276">
        <v>0</v>
      </c>
      <c r="O3276"/>
      <c r="P3276">
        <v>0</v>
      </c>
      <c r="Q3276">
        <f t="shared" si="660"/>
        <v>0</v>
      </c>
      <c r="R3276">
        <v>0</v>
      </c>
      <c r="S3276">
        <f t="shared" si="661"/>
        <v>0</v>
      </c>
      <c r="T3276"/>
      <c r="U3276">
        <f t="shared" si="662"/>
        <v>0</v>
      </c>
      <c r="V3276">
        <f t="shared" si="663"/>
        <v>0</v>
      </c>
      <c r="W3276">
        <f t="shared" si="664"/>
        <v>0</v>
      </c>
      <c r="X3276">
        <v>0</v>
      </c>
    </row>
    <row r="3277" spans="1:24" x14ac:dyDescent="0.25">
      <c r="A3277" t="s">
        <v>1943</v>
      </c>
      <c r="B3277" t="s">
        <v>2176</v>
      </c>
      <c r="C3277" t="s">
        <v>2177</v>
      </c>
      <c r="D3277" t="s">
        <v>320</v>
      </c>
      <c r="E3277" t="s">
        <v>26</v>
      </c>
      <c r="F3277" t="s">
        <v>1</v>
      </c>
      <c r="G3277" t="s">
        <v>1095</v>
      </c>
      <c r="H3277" t="s">
        <v>426</v>
      </c>
      <c r="I3277" t="s">
        <v>1</v>
      </c>
      <c r="J3277">
        <v>780.02</v>
      </c>
      <c r="K3277">
        <v>1030.3002867096</v>
      </c>
      <c r="L3277">
        <v>642.16</v>
      </c>
      <c r="M3277">
        <v>1294.9635359116021</v>
      </c>
      <c r="N3277">
        <v>937.16</v>
      </c>
      <c r="O3277">
        <v>1284.32</v>
      </c>
      <c r="P3277">
        <v>0</v>
      </c>
      <c r="Q3277">
        <f t="shared" si="660"/>
        <v>1284.32</v>
      </c>
      <c r="R3277">
        <v>1284.32</v>
      </c>
      <c r="S3277">
        <f t="shared" si="661"/>
        <v>0</v>
      </c>
      <c r="T3277"/>
      <c r="U3277">
        <f t="shared" si="662"/>
        <v>0</v>
      </c>
      <c r="V3277">
        <f t="shared" si="663"/>
        <v>1284.32</v>
      </c>
      <c r="W3277">
        <f t="shared" si="664"/>
        <v>0</v>
      </c>
      <c r="X3277">
        <v>0</v>
      </c>
    </row>
    <row r="3278" spans="1:24" x14ac:dyDescent="0.25">
      <c r="A3278" t="s">
        <v>1943</v>
      </c>
      <c r="B3278" t="s">
        <v>2176</v>
      </c>
      <c r="C3278" t="s">
        <v>2177</v>
      </c>
      <c r="D3278" t="s">
        <v>320</v>
      </c>
      <c r="E3278" t="s">
        <v>27</v>
      </c>
      <c r="F3278" t="s">
        <v>1</v>
      </c>
      <c r="G3278" t="s">
        <v>1095</v>
      </c>
      <c r="H3278" t="s">
        <v>427</v>
      </c>
      <c r="I3278" t="s">
        <v>1</v>
      </c>
      <c r="J3278">
        <v>3535.99</v>
      </c>
      <c r="K3278">
        <v>4119.9999999995998</v>
      </c>
      <c r="L3278">
        <v>860.84</v>
      </c>
      <c r="M3278">
        <v>1735.9480662983426</v>
      </c>
      <c r="N3278">
        <v>1975.2500000000002</v>
      </c>
      <c r="O3278">
        <v>1721.68</v>
      </c>
      <c r="P3278">
        <v>0</v>
      </c>
      <c r="Q3278">
        <f t="shared" si="660"/>
        <v>1721.68</v>
      </c>
      <c r="R3278">
        <v>1721.68</v>
      </c>
      <c r="S3278">
        <f t="shared" si="661"/>
        <v>0</v>
      </c>
      <c r="T3278"/>
      <c r="U3278">
        <f t="shared" si="662"/>
        <v>0</v>
      </c>
      <c r="V3278">
        <f t="shared" si="663"/>
        <v>1721.68</v>
      </c>
      <c r="W3278">
        <f t="shared" si="664"/>
        <v>0</v>
      </c>
      <c r="X3278">
        <v>0</v>
      </c>
    </row>
    <row r="3279" spans="1:24" x14ac:dyDescent="0.25">
      <c r="A3279" t="s">
        <v>1943</v>
      </c>
      <c r="B3279" t="s">
        <v>2176</v>
      </c>
      <c r="C3279" t="s">
        <v>2177</v>
      </c>
      <c r="D3279" t="s">
        <v>320</v>
      </c>
      <c r="E3279" t="s">
        <v>28</v>
      </c>
      <c r="F3279" t="s">
        <v>1</v>
      </c>
      <c r="G3279" t="s">
        <v>1095</v>
      </c>
      <c r="H3279" t="s">
        <v>428</v>
      </c>
      <c r="I3279" t="s">
        <v>1</v>
      </c>
      <c r="J3279">
        <v>4487.74</v>
      </c>
      <c r="K3279">
        <v>110.00000000039999</v>
      </c>
      <c r="L3279">
        <v>66.489999999999995</v>
      </c>
      <c r="M3279">
        <v>134.08204419889501</v>
      </c>
      <c r="N3279">
        <v>4228.29</v>
      </c>
      <c r="O3279">
        <v>132.97999999999999</v>
      </c>
      <c r="P3279">
        <v>0</v>
      </c>
      <c r="Q3279">
        <f t="shared" si="660"/>
        <v>132.97999999999999</v>
      </c>
      <c r="R3279">
        <v>132.97999999999999</v>
      </c>
      <c r="S3279">
        <f t="shared" si="661"/>
        <v>0</v>
      </c>
      <c r="T3279"/>
      <c r="U3279">
        <f t="shared" si="662"/>
        <v>0</v>
      </c>
      <c r="V3279">
        <f t="shared" si="663"/>
        <v>132.97999999999999</v>
      </c>
      <c r="W3279">
        <f t="shared" si="664"/>
        <v>0</v>
      </c>
      <c r="X3279">
        <v>0</v>
      </c>
    </row>
    <row r="3280" spans="1:24" x14ac:dyDescent="0.25">
      <c r="A3280" t="s">
        <v>1943</v>
      </c>
      <c r="B3280" t="s">
        <v>2176</v>
      </c>
      <c r="C3280" t="s">
        <v>2177</v>
      </c>
      <c r="D3280" t="s">
        <v>320</v>
      </c>
      <c r="E3280" t="s">
        <v>29</v>
      </c>
      <c r="F3280" t="s">
        <v>1</v>
      </c>
      <c r="G3280" t="s">
        <v>1095</v>
      </c>
      <c r="H3280" t="s">
        <v>429</v>
      </c>
      <c r="I3280" t="s">
        <v>1</v>
      </c>
      <c r="J3280">
        <v>973.56</v>
      </c>
      <c r="K3280">
        <v>1269.9999999996</v>
      </c>
      <c r="L3280">
        <v>564.03</v>
      </c>
      <c r="M3280">
        <v>1137.4085635359115</v>
      </c>
      <c r="N3280">
        <v>902.91</v>
      </c>
      <c r="O3280">
        <v>1128.06</v>
      </c>
      <c r="P3280">
        <v>0</v>
      </c>
      <c r="Q3280">
        <f t="shared" si="660"/>
        <v>1128.06</v>
      </c>
      <c r="R3280">
        <v>1128.06</v>
      </c>
      <c r="S3280">
        <f t="shared" si="661"/>
        <v>0</v>
      </c>
      <c r="T3280"/>
      <c r="U3280">
        <f t="shared" si="662"/>
        <v>0</v>
      </c>
      <c r="V3280">
        <f t="shared" si="663"/>
        <v>1128.06</v>
      </c>
      <c r="W3280">
        <f t="shared" si="664"/>
        <v>0</v>
      </c>
      <c r="X3280">
        <v>0</v>
      </c>
    </row>
    <row r="3281" spans="1:24" x14ac:dyDescent="0.25">
      <c r="A3281" t="s">
        <v>1943</v>
      </c>
      <c r="B3281" t="s">
        <v>2176</v>
      </c>
      <c r="C3281" t="s">
        <v>2177</v>
      </c>
      <c r="D3281" t="s">
        <v>320</v>
      </c>
      <c r="E3281" t="s">
        <v>31</v>
      </c>
      <c r="F3281" t="s">
        <v>1</v>
      </c>
      <c r="G3281" t="s">
        <v>1095</v>
      </c>
      <c r="H3281" t="s">
        <v>431</v>
      </c>
      <c r="I3281" t="s">
        <v>1</v>
      </c>
      <c r="J3281"/>
      <c r="K3281">
        <v>3420</v>
      </c>
      <c r="L3281">
        <v>213</v>
      </c>
      <c r="M3281">
        <v>429.53038674033149</v>
      </c>
      <c r="N3281">
        <v>213</v>
      </c>
      <c r="O3281">
        <v>426</v>
      </c>
      <c r="P3281">
        <v>0</v>
      </c>
      <c r="Q3281">
        <f t="shared" si="660"/>
        <v>426</v>
      </c>
      <c r="R3281">
        <v>426</v>
      </c>
      <c r="S3281">
        <f t="shared" si="661"/>
        <v>0</v>
      </c>
      <c r="T3281"/>
      <c r="U3281">
        <f t="shared" si="662"/>
        <v>0</v>
      </c>
      <c r="V3281">
        <f t="shared" si="663"/>
        <v>426</v>
      </c>
      <c r="W3281">
        <f t="shared" si="664"/>
        <v>0</v>
      </c>
      <c r="X3281">
        <v>0</v>
      </c>
    </row>
    <row r="3282" spans="1:24" x14ac:dyDescent="0.25">
      <c r="A3282" t="s">
        <v>1943</v>
      </c>
      <c r="B3282" t="s">
        <v>2176</v>
      </c>
      <c r="C3282" t="s">
        <v>2177</v>
      </c>
      <c r="D3282" t="s">
        <v>320</v>
      </c>
      <c r="E3282" t="s">
        <v>34</v>
      </c>
      <c r="F3282" t="s">
        <v>1</v>
      </c>
      <c r="G3282" t="s">
        <v>1095</v>
      </c>
      <c r="H3282" t="s">
        <v>434</v>
      </c>
      <c r="I3282" t="s">
        <v>1</v>
      </c>
      <c r="J3282">
        <v>30.89</v>
      </c>
      <c r="K3282">
        <v>196.24767365880001</v>
      </c>
      <c r="L3282">
        <v>0</v>
      </c>
      <c r="M3282">
        <v>0</v>
      </c>
      <c r="N3282">
        <v>0</v>
      </c>
      <c r="O3282"/>
      <c r="P3282">
        <v>0</v>
      </c>
      <c r="Q3282">
        <f t="shared" si="660"/>
        <v>0</v>
      </c>
      <c r="R3282">
        <v>0</v>
      </c>
      <c r="S3282">
        <f t="shared" si="661"/>
        <v>0</v>
      </c>
      <c r="T3282"/>
      <c r="U3282">
        <f t="shared" si="662"/>
        <v>0</v>
      </c>
      <c r="V3282">
        <f t="shared" si="663"/>
        <v>0</v>
      </c>
      <c r="W3282">
        <f t="shared" si="664"/>
        <v>0</v>
      </c>
      <c r="X3282">
        <v>0</v>
      </c>
    </row>
    <row r="3283" spans="1:24" x14ac:dyDescent="0.25">
      <c r="A3283" t="s">
        <v>1943</v>
      </c>
      <c r="B3283" t="s">
        <v>2176</v>
      </c>
      <c r="C3283" t="s">
        <v>2177</v>
      </c>
      <c r="D3283" t="s">
        <v>320</v>
      </c>
      <c r="E3283" t="s">
        <v>37</v>
      </c>
      <c r="F3283" t="s">
        <v>1</v>
      </c>
      <c r="G3283" t="s">
        <v>1095</v>
      </c>
      <c r="H3283" t="s">
        <v>437</v>
      </c>
      <c r="I3283" t="s">
        <v>1</v>
      </c>
      <c r="J3283">
        <v>4258.51</v>
      </c>
      <c r="K3283">
        <v>5298.6871887912002</v>
      </c>
      <c r="L3283">
        <v>2100.7600000000002</v>
      </c>
      <c r="M3283">
        <v>4236.3392265193379</v>
      </c>
      <c r="N3283">
        <v>3546.66</v>
      </c>
      <c r="O3283">
        <v>4201.5200000000004</v>
      </c>
      <c r="P3283">
        <v>0</v>
      </c>
      <c r="Q3283">
        <f t="shared" si="660"/>
        <v>4201.5200000000004</v>
      </c>
      <c r="R3283">
        <v>4201.5200000000004</v>
      </c>
      <c r="S3283">
        <f t="shared" si="661"/>
        <v>0</v>
      </c>
      <c r="T3283"/>
      <c r="U3283">
        <f t="shared" si="662"/>
        <v>0</v>
      </c>
      <c r="V3283">
        <f t="shared" si="663"/>
        <v>4201.5200000000004</v>
      </c>
      <c r="W3283">
        <f t="shared" si="664"/>
        <v>0</v>
      </c>
      <c r="X3283">
        <v>0</v>
      </c>
    </row>
    <row r="3284" spans="1:24" x14ac:dyDescent="0.25">
      <c r="A3284" t="s">
        <v>1943</v>
      </c>
      <c r="B3284" t="s">
        <v>2176</v>
      </c>
      <c r="C3284" t="s">
        <v>2177</v>
      </c>
      <c r="D3284" t="s">
        <v>320</v>
      </c>
      <c r="E3284" t="s">
        <v>121</v>
      </c>
      <c r="F3284" t="s">
        <v>1</v>
      </c>
      <c r="G3284" t="s">
        <v>1095</v>
      </c>
      <c r="H3284" t="s">
        <v>590</v>
      </c>
      <c r="I3284" t="s">
        <v>1</v>
      </c>
      <c r="J3284"/>
      <c r="K3284">
        <v>47746.876717781997</v>
      </c>
      <c r="L3284">
        <v>0</v>
      </c>
      <c r="M3284">
        <v>0</v>
      </c>
      <c r="N3284">
        <v>0</v>
      </c>
      <c r="O3284"/>
      <c r="P3284">
        <v>0</v>
      </c>
      <c r="Q3284">
        <f t="shared" si="660"/>
        <v>0</v>
      </c>
      <c r="R3284">
        <v>0</v>
      </c>
      <c r="S3284">
        <f t="shared" si="661"/>
        <v>0</v>
      </c>
      <c r="T3284"/>
      <c r="U3284">
        <f t="shared" si="662"/>
        <v>0</v>
      </c>
      <c r="V3284">
        <f t="shared" si="663"/>
        <v>0</v>
      </c>
      <c r="W3284">
        <f t="shared" si="664"/>
        <v>0</v>
      </c>
      <c r="X3284">
        <v>0</v>
      </c>
    </row>
    <row r="3285" spans="1:24" x14ac:dyDescent="0.25">
      <c r="A3285" t="s">
        <v>1943</v>
      </c>
      <c r="B3285" t="s">
        <v>2176</v>
      </c>
      <c r="C3285" t="s">
        <v>2177</v>
      </c>
      <c r="D3285" t="s">
        <v>320</v>
      </c>
      <c r="E3285" t="s">
        <v>39</v>
      </c>
      <c r="F3285" t="s">
        <v>1</v>
      </c>
      <c r="G3285" t="s">
        <v>1095</v>
      </c>
      <c r="H3285" t="s">
        <v>439</v>
      </c>
      <c r="I3285" t="s">
        <v>1</v>
      </c>
      <c r="J3285">
        <v>-609007.19999999995</v>
      </c>
      <c r="K3285">
        <v>-760068.782468491</v>
      </c>
      <c r="L3285">
        <v>-282464.82</v>
      </c>
      <c r="M3285">
        <v>-569611.37734806631</v>
      </c>
      <c r="N3285">
        <v>-494182.19999999995</v>
      </c>
      <c r="O3285">
        <v>-569611.37734806596</v>
      </c>
      <c r="P3285">
        <v>0</v>
      </c>
      <c r="Q3285">
        <f t="shared" si="660"/>
        <v>-569611.37734806596</v>
      </c>
      <c r="R3285">
        <v>-569611.37734806596</v>
      </c>
      <c r="S3285">
        <f t="shared" si="661"/>
        <v>0</v>
      </c>
      <c r="T3285"/>
      <c r="U3285">
        <f t="shared" si="662"/>
        <v>0</v>
      </c>
      <c r="V3285">
        <f t="shared" si="663"/>
        <v>-569611.37734806596</v>
      </c>
      <c r="W3285">
        <f t="shared" si="664"/>
        <v>0</v>
      </c>
      <c r="X3285">
        <v>0</v>
      </c>
    </row>
    <row r="3286" spans="1:24" x14ac:dyDescent="0.25">
      <c r="A3286" t="s">
        <v>1943</v>
      </c>
      <c r="B3286" t="s">
        <v>2176</v>
      </c>
      <c r="C3286" t="s">
        <v>2177</v>
      </c>
      <c r="D3286" t="s">
        <v>320</v>
      </c>
      <c r="E3286" t="s">
        <v>75</v>
      </c>
      <c r="F3286" t="s">
        <v>1</v>
      </c>
      <c r="G3286" t="s">
        <v>1095</v>
      </c>
      <c r="H3286" t="s">
        <v>492</v>
      </c>
      <c r="I3286" t="s">
        <v>1</v>
      </c>
      <c r="J3286">
        <v>13047626.58</v>
      </c>
      <c r="K3286">
        <v>13138963.997220701</v>
      </c>
      <c r="L3286">
        <v>5647819.4800000004</v>
      </c>
      <c r="M3286">
        <v>11389249.22762431</v>
      </c>
      <c r="N3286">
        <v>12176835.849999998</v>
      </c>
      <c r="O3286">
        <v>11389249.227624301</v>
      </c>
      <c r="P3286">
        <v>0</v>
      </c>
      <c r="Q3286">
        <f t="shared" si="660"/>
        <v>11389249.227624301</v>
      </c>
      <c r="R3286">
        <v>11389249.227624301</v>
      </c>
      <c r="S3286">
        <f t="shared" si="661"/>
        <v>0</v>
      </c>
      <c r="T3286">
        <v>3.2500000000000001E-2</v>
      </c>
      <c r="U3286">
        <f t="shared" si="662"/>
        <v>370150.59989778977</v>
      </c>
      <c r="V3286">
        <f t="shared" si="663"/>
        <v>11759399.827522092</v>
      </c>
      <c r="W3286">
        <f t="shared" si="664"/>
        <v>370150.5998977907</v>
      </c>
      <c r="X3286">
        <v>0</v>
      </c>
    </row>
    <row r="3287" spans="1:24" x14ac:dyDescent="0.25">
      <c r="A3287" t="s">
        <v>1943</v>
      </c>
      <c r="B3287" t="s">
        <v>2176</v>
      </c>
      <c r="C3287" t="s">
        <v>2177</v>
      </c>
      <c r="D3287" t="s">
        <v>320</v>
      </c>
      <c r="E3287" t="s">
        <v>322</v>
      </c>
      <c r="F3287" t="s">
        <v>1</v>
      </c>
      <c r="G3287" t="s">
        <v>1095</v>
      </c>
      <c r="H3287" t="s">
        <v>1097</v>
      </c>
      <c r="I3287" t="s">
        <v>1</v>
      </c>
      <c r="J3287">
        <v>306592.99</v>
      </c>
      <c r="K3287">
        <v>299524.72426084802</v>
      </c>
      <c r="L3287">
        <v>107445.66</v>
      </c>
      <c r="M3287">
        <v>216672.18729281769</v>
      </c>
      <c r="N3287">
        <v>256614.28</v>
      </c>
      <c r="O3287">
        <v>216672.18729281801</v>
      </c>
      <c r="P3287">
        <v>0</v>
      </c>
      <c r="Q3287">
        <f t="shared" si="660"/>
        <v>216672.18729281801</v>
      </c>
      <c r="R3287">
        <v>216672.18729281801</v>
      </c>
      <c r="S3287">
        <f t="shared" si="661"/>
        <v>0</v>
      </c>
      <c r="T3287">
        <v>2.8000000000000001E-2</v>
      </c>
      <c r="U3287">
        <f t="shared" si="662"/>
        <v>6066.8212441989044</v>
      </c>
      <c r="V3287">
        <f t="shared" si="663"/>
        <v>222739.00853701693</v>
      </c>
      <c r="W3287">
        <f t="shared" si="664"/>
        <v>6066.8212441989162</v>
      </c>
      <c r="X3287">
        <v>0</v>
      </c>
    </row>
    <row r="3288" spans="1:24" x14ac:dyDescent="0.25">
      <c r="A3288" t="s">
        <v>1943</v>
      </c>
      <c r="B3288" t="s">
        <v>2176</v>
      </c>
      <c r="C3288" t="s">
        <v>2177</v>
      </c>
      <c r="D3288" t="s">
        <v>320</v>
      </c>
      <c r="E3288" t="s">
        <v>323</v>
      </c>
      <c r="F3288" t="s">
        <v>1</v>
      </c>
      <c r="G3288" t="s">
        <v>1095</v>
      </c>
      <c r="H3288" t="s">
        <v>1098</v>
      </c>
      <c r="I3288" t="s">
        <v>1</v>
      </c>
      <c r="J3288">
        <v>784511.92</v>
      </c>
      <c r="K3288">
        <v>825595.45499686396</v>
      </c>
      <c r="L3288">
        <v>400270.38</v>
      </c>
      <c r="M3288">
        <v>807175.07569060777</v>
      </c>
      <c r="N3288">
        <v>810545.83999999985</v>
      </c>
      <c r="O3288">
        <v>807175.07569060801</v>
      </c>
      <c r="P3288">
        <v>0</v>
      </c>
      <c r="Q3288">
        <f t="shared" si="660"/>
        <v>807175.07569060801</v>
      </c>
      <c r="R3288">
        <v>807175.07569060801</v>
      </c>
      <c r="S3288">
        <f t="shared" si="661"/>
        <v>0</v>
      </c>
      <c r="T3288">
        <v>3.5000000000000003E-2</v>
      </c>
      <c r="U3288">
        <f t="shared" si="662"/>
        <v>28251.127649171282</v>
      </c>
      <c r="V3288">
        <f t="shared" si="663"/>
        <v>835426.20333977928</v>
      </c>
      <c r="W3288">
        <f t="shared" si="664"/>
        <v>28251.127649171278</v>
      </c>
      <c r="X3288">
        <v>0</v>
      </c>
    </row>
    <row r="3289" spans="1:24" x14ac:dyDescent="0.25">
      <c r="A3289" t="s">
        <v>1943</v>
      </c>
      <c r="B3289" t="s">
        <v>2176</v>
      </c>
      <c r="C3289" t="s">
        <v>2177</v>
      </c>
      <c r="D3289" t="s">
        <v>320</v>
      </c>
      <c r="E3289" t="s">
        <v>324</v>
      </c>
      <c r="F3289" t="s">
        <v>1</v>
      </c>
      <c r="G3289" t="s">
        <v>1095</v>
      </c>
      <c r="H3289" t="s">
        <v>1099</v>
      </c>
      <c r="I3289" t="s">
        <v>1</v>
      </c>
      <c r="J3289">
        <v>308691.99</v>
      </c>
      <c r="K3289">
        <v>349411.934665101</v>
      </c>
      <c r="L3289">
        <v>267227.63</v>
      </c>
      <c r="M3289">
        <v>538884.44723756902</v>
      </c>
      <c r="N3289">
        <v>408310.26</v>
      </c>
      <c r="O3289">
        <v>538884.44723756902</v>
      </c>
      <c r="P3289">
        <v>0</v>
      </c>
      <c r="Q3289">
        <f t="shared" si="660"/>
        <v>538884.44723756902</v>
      </c>
      <c r="R3289">
        <v>538884.44723756902</v>
      </c>
      <c r="S3289">
        <f t="shared" si="661"/>
        <v>0</v>
      </c>
      <c r="T3289">
        <v>4.4999999999999998E-2</v>
      </c>
      <c r="U3289">
        <f t="shared" si="662"/>
        <v>24249.800125690606</v>
      </c>
      <c r="V3289">
        <f t="shared" si="663"/>
        <v>563134.24736325967</v>
      </c>
      <c r="W3289">
        <f t="shared" si="664"/>
        <v>24249.800125690643</v>
      </c>
      <c r="X3289">
        <v>0</v>
      </c>
    </row>
    <row r="3290" spans="1:24" x14ac:dyDescent="0.25">
      <c r="A3290" t="s">
        <v>1943</v>
      </c>
      <c r="B3290" t="s">
        <v>2176</v>
      </c>
      <c r="C3290" t="s">
        <v>2177</v>
      </c>
      <c r="D3290" t="s">
        <v>320</v>
      </c>
      <c r="E3290" t="s">
        <v>325</v>
      </c>
      <c r="F3290" t="s">
        <v>1</v>
      </c>
      <c r="G3290" t="s">
        <v>1095</v>
      </c>
      <c r="H3290" t="s">
        <v>1100</v>
      </c>
      <c r="I3290" t="s">
        <v>1</v>
      </c>
      <c r="J3290">
        <v>114351.92</v>
      </c>
      <c r="K3290">
        <v>112317.022793945</v>
      </c>
      <c r="L3290">
        <v>59770.8</v>
      </c>
      <c r="M3290">
        <v>120532.27624309393</v>
      </c>
      <c r="N3290">
        <v>112064.95000000001</v>
      </c>
      <c r="O3290">
        <v>120532.27624309401</v>
      </c>
      <c r="P3290">
        <v>0</v>
      </c>
      <c r="Q3290">
        <f t="shared" ref="Q3290:Q3313" si="665">O3290+P3290</f>
        <v>120532.27624309401</v>
      </c>
      <c r="R3290">
        <v>120532.27624309401</v>
      </c>
      <c r="S3290">
        <f t="shared" ref="S3290:S3313" si="666">IF(OR(LEFT(E3290,2)="A_",LEFT(D3290,5)="Total"),R3290-Q3290,"")</f>
        <v>0</v>
      </c>
      <c r="T3290">
        <v>2.8000000000000001E-2</v>
      </c>
      <c r="U3290">
        <f t="shared" ref="U3290:U3313" si="667">IFERROR(R3290*T3290,R3290*0)</f>
        <v>3374.9037348066322</v>
      </c>
      <c r="V3290">
        <f t="shared" ref="V3290:V3313" si="668">IF(OR(LEFT(E3290,2)="A_",LEFT(D3290,5)="Total"),R3290+U3290,"")</f>
        <v>123907.17997790064</v>
      </c>
      <c r="W3290">
        <f t="shared" ref="W3290:W3313" si="669">IF(OR(LEFT(E3290,2)="A_",LEFT(D3290,5)="Total"),V3290-Q3290,"")</f>
        <v>3374.903734806634</v>
      </c>
      <c r="X3290">
        <v>0</v>
      </c>
    </row>
    <row r="3291" spans="1:24" x14ac:dyDescent="0.25">
      <c r="A3291" t="s">
        <v>1943</v>
      </c>
      <c r="B3291" t="s">
        <v>2176</v>
      </c>
      <c r="C3291" t="s">
        <v>2177</v>
      </c>
      <c r="D3291" t="s">
        <v>320</v>
      </c>
      <c r="E3291" t="s">
        <v>326</v>
      </c>
      <c r="F3291" t="s">
        <v>1</v>
      </c>
      <c r="G3291" t="s">
        <v>1095</v>
      </c>
      <c r="H3291" t="s">
        <v>1101</v>
      </c>
      <c r="I3291" t="s">
        <v>1</v>
      </c>
      <c r="J3291">
        <v>2127447.2599999998</v>
      </c>
      <c r="K3291">
        <v>2232462.1103876098</v>
      </c>
      <c r="L3291">
        <v>926363.05</v>
      </c>
      <c r="M3291">
        <v>1868080.1837016575</v>
      </c>
      <c r="N3291">
        <v>1965749.58</v>
      </c>
      <c r="O3291">
        <v>1868080.18370166</v>
      </c>
      <c r="P3291">
        <v>0</v>
      </c>
      <c r="Q3291">
        <f t="shared" si="665"/>
        <v>1868080.18370166</v>
      </c>
      <c r="R3291">
        <v>1300000</v>
      </c>
      <c r="S3291">
        <f t="shared" si="666"/>
        <v>-568080.18370166002</v>
      </c>
      <c r="T3291">
        <v>2.5000000000000001E-2</v>
      </c>
      <c r="U3291">
        <f t="shared" si="667"/>
        <v>32500</v>
      </c>
      <c r="V3291">
        <f t="shared" si="668"/>
        <v>1332500</v>
      </c>
      <c r="W3291">
        <f t="shared" si="669"/>
        <v>-535580.18370166002</v>
      </c>
      <c r="X3291" t="s">
        <v>1823</v>
      </c>
    </row>
    <row r="3292" spans="1:24" x14ac:dyDescent="0.25">
      <c r="A3292" t="s">
        <v>1943</v>
      </c>
      <c r="B3292" t="s">
        <v>2176</v>
      </c>
      <c r="C3292" t="s">
        <v>2177</v>
      </c>
      <c r="D3292" t="s">
        <v>320</v>
      </c>
      <c r="E3292" t="s">
        <v>205</v>
      </c>
      <c r="F3292" t="s">
        <v>1</v>
      </c>
      <c r="G3292" t="s">
        <v>1095</v>
      </c>
      <c r="H3292" t="s">
        <v>804</v>
      </c>
      <c r="I3292" t="s">
        <v>1</v>
      </c>
      <c r="J3292">
        <v>135878.06</v>
      </c>
      <c r="K3292">
        <v>193438.75308899299</v>
      </c>
      <c r="L3292">
        <v>15258.29</v>
      </c>
      <c r="M3292">
        <v>30769.479834254143</v>
      </c>
      <c r="N3292">
        <v>30471.27</v>
      </c>
      <c r="O3292">
        <v>30769.4798342541</v>
      </c>
      <c r="P3292">
        <v>0</v>
      </c>
      <c r="Q3292">
        <f t="shared" si="665"/>
        <v>30769.4798342541</v>
      </c>
      <c r="R3292">
        <v>30769.4798342541</v>
      </c>
      <c r="S3292">
        <f t="shared" si="666"/>
        <v>0</v>
      </c>
      <c r="T3292">
        <v>2.2499999999999999E-2</v>
      </c>
      <c r="U3292">
        <f t="shared" si="667"/>
        <v>692.31329627071727</v>
      </c>
      <c r="V3292">
        <f t="shared" si="668"/>
        <v>31461.793130524817</v>
      </c>
      <c r="W3292">
        <f t="shared" si="669"/>
        <v>692.31329627071682</v>
      </c>
      <c r="X3292">
        <v>0</v>
      </c>
    </row>
    <row r="3293" spans="1:24" x14ac:dyDescent="0.25">
      <c r="A3293" t="s">
        <v>1943</v>
      </c>
      <c r="B3293" t="s">
        <v>2176</v>
      </c>
      <c r="C3293" t="s">
        <v>2177</v>
      </c>
      <c r="D3293" t="s">
        <v>320</v>
      </c>
      <c r="E3293" t="s">
        <v>327</v>
      </c>
      <c r="F3293" t="s">
        <v>1</v>
      </c>
      <c r="G3293" t="s">
        <v>1095</v>
      </c>
      <c r="H3293" t="s">
        <v>1102</v>
      </c>
      <c r="I3293" t="s">
        <v>1</v>
      </c>
      <c r="J3293">
        <v>20405.07</v>
      </c>
      <c r="K3293">
        <v>20562.641808698801</v>
      </c>
      <c r="L3293">
        <v>7851.85</v>
      </c>
      <c r="M3293">
        <v>15833.841160220996</v>
      </c>
      <c r="N3293">
        <v>16972.879999999997</v>
      </c>
      <c r="O3293">
        <v>15833.841160221</v>
      </c>
      <c r="P3293">
        <v>0</v>
      </c>
      <c r="Q3293">
        <f t="shared" si="665"/>
        <v>15833.841160221</v>
      </c>
      <c r="R3293">
        <v>15833.841160221</v>
      </c>
      <c r="S3293">
        <f t="shared" si="666"/>
        <v>0</v>
      </c>
      <c r="T3293">
        <v>3.7499999999999999E-2</v>
      </c>
      <c r="U3293">
        <f t="shared" si="667"/>
        <v>593.7690435082875</v>
      </c>
      <c r="V3293">
        <f t="shared" si="668"/>
        <v>16427.610203729288</v>
      </c>
      <c r="W3293">
        <f t="shared" si="669"/>
        <v>593.76904350828772</v>
      </c>
      <c r="X3293">
        <v>0</v>
      </c>
    </row>
    <row r="3294" spans="1:24" x14ac:dyDescent="0.25">
      <c r="A3294" t="s">
        <v>1943</v>
      </c>
      <c r="B3294" t="s">
        <v>2176</v>
      </c>
      <c r="C3294" t="s">
        <v>2177</v>
      </c>
      <c r="D3294" t="s">
        <v>320</v>
      </c>
      <c r="E3294" t="s">
        <v>328</v>
      </c>
      <c r="F3294" t="s">
        <v>1</v>
      </c>
      <c r="G3294" t="s">
        <v>1095</v>
      </c>
      <c r="H3294" t="s">
        <v>1103</v>
      </c>
      <c r="I3294" t="s">
        <v>1</v>
      </c>
      <c r="J3294">
        <v>169406.39</v>
      </c>
      <c r="K3294">
        <v>72282.201331070406</v>
      </c>
      <c r="L3294">
        <v>36941.160000000003</v>
      </c>
      <c r="M3294">
        <v>74494.604419889511</v>
      </c>
      <c r="N3294">
        <v>99957.08</v>
      </c>
      <c r="O3294">
        <v>74494.604419889496</v>
      </c>
      <c r="P3294">
        <v>0</v>
      </c>
      <c r="Q3294">
        <f t="shared" si="665"/>
        <v>74494.604419889496</v>
      </c>
      <c r="R3294">
        <v>74494.604419889496</v>
      </c>
      <c r="S3294">
        <f t="shared" si="666"/>
        <v>0</v>
      </c>
      <c r="T3294">
        <v>0.02</v>
      </c>
      <c r="U3294">
        <f t="shared" si="667"/>
        <v>1489.8920883977898</v>
      </c>
      <c r="V3294">
        <f t="shared" si="668"/>
        <v>75984.49650828728</v>
      </c>
      <c r="W3294">
        <f t="shared" si="669"/>
        <v>1489.8920883977844</v>
      </c>
      <c r="X3294">
        <v>0</v>
      </c>
    </row>
    <row r="3295" spans="1:24" x14ac:dyDescent="0.25">
      <c r="A3295" t="s">
        <v>1943</v>
      </c>
      <c r="B3295" t="s">
        <v>2176</v>
      </c>
      <c r="C3295" t="s">
        <v>2177</v>
      </c>
      <c r="D3295" t="s">
        <v>320</v>
      </c>
      <c r="E3295" t="s">
        <v>329</v>
      </c>
      <c r="F3295" t="s">
        <v>1</v>
      </c>
      <c r="G3295" t="s">
        <v>1095</v>
      </c>
      <c r="H3295" t="s">
        <v>1104</v>
      </c>
      <c r="I3295" t="s">
        <v>1</v>
      </c>
      <c r="J3295">
        <v>212286.8</v>
      </c>
      <c r="K3295">
        <v>108952.70819268101</v>
      </c>
      <c r="L3295">
        <v>303633.3</v>
      </c>
      <c r="M3295">
        <v>612299.1961325967</v>
      </c>
      <c r="N3295">
        <v>460475.1</v>
      </c>
      <c r="O3295">
        <v>612299.19613259705</v>
      </c>
      <c r="P3295">
        <v>0</v>
      </c>
      <c r="Q3295">
        <f t="shared" si="665"/>
        <v>612299.19613259705</v>
      </c>
      <c r="R3295">
        <v>612299.19613259705</v>
      </c>
      <c r="S3295">
        <f t="shared" si="666"/>
        <v>0</v>
      </c>
      <c r="T3295">
        <v>0.03</v>
      </c>
      <c r="U3295">
        <f t="shared" si="667"/>
        <v>18368.97588397791</v>
      </c>
      <c r="V3295">
        <f t="shared" si="668"/>
        <v>630668.172016575</v>
      </c>
      <c r="W3295">
        <f t="shared" si="669"/>
        <v>18368.975883977953</v>
      </c>
      <c r="X3295">
        <v>0</v>
      </c>
    </row>
    <row r="3296" spans="1:24" x14ac:dyDescent="0.25">
      <c r="A3296" t="s">
        <v>1943</v>
      </c>
      <c r="B3296" t="s">
        <v>2176</v>
      </c>
      <c r="C3296" t="s">
        <v>2177</v>
      </c>
      <c r="D3296" t="s">
        <v>320</v>
      </c>
      <c r="E3296" t="s">
        <v>330</v>
      </c>
      <c r="F3296" t="s">
        <v>1</v>
      </c>
      <c r="G3296" t="s">
        <v>1095</v>
      </c>
      <c r="H3296" t="s">
        <v>1105</v>
      </c>
      <c r="I3296" t="s">
        <v>1</v>
      </c>
      <c r="J3296">
        <v>4671.17</v>
      </c>
      <c r="K3296">
        <v>5751.9509943137</v>
      </c>
      <c r="L3296">
        <v>2594.73</v>
      </c>
      <c r="M3296">
        <v>5232.4665745856355</v>
      </c>
      <c r="N3296">
        <v>5389.5899999999992</v>
      </c>
      <c r="O3296">
        <v>5232.4665745856</v>
      </c>
      <c r="P3296">
        <v>0</v>
      </c>
      <c r="Q3296">
        <f t="shared" si="665"/>
        <v>5232.4665745856</v>
      </c>
      <c r="R3296">
        <v>5232.4665745856</v>
      </c>
      <c r="S3296">
        <f t="shared" si="666"/>
        <v>0</v>
      </c>
      <c r="T3296">
        <v>2.5000000000000001E-2</v>
      </c>
      <c r="U3296">
        <f t="shared" si="667"/>
        <v>130.81166436464</v>
      </c>
      <c r="V3296">
        <f t="shared" si="668"/>
        <v>5363.2782389502399</v>
      </c>
      <c r="W3296">
        <f t="shared" si="669"/>
        <v>130.81166436463991</v>
      </c>
      <c r="X3296">
        <v>0</v>
      </c>
    </row>
    <row r="3297" spans="1:24" x14ac:dyDescent="0.25">
      <c r="A3297" t="s">
        <v>1943</v>
      </c>
      <c r="B3297" t="s">
        <v>2176</v>
      </c>
      <c r="C3297" t="s">
        <v>2177</v>
      </c>
      <c r="D3297" t="s">
        <v>320</v>
      </c>
      <c r="E3297" t="s">
        <v>331</v>
      </c>
      <c r="F3297" t="s">
        <v>1</v>
      </c>
      <c r="G3297" t="s">
        <v>1095</v>
      </c>
      <c r="H3297" t="s">
        <v>1106</v>
      </c>
      <c r="I3297" t="s">
        <v>1</v>
      </c>
      <c r="J3297">
        <v>190946.4</v>
      </c>
      <c r="K3297">
        <v>254262.09611622299</v>
      </c>
      <c r="L3297">
        <v>327123.12</v>
      </c>
      <c r="M3297">
        <v>659668.17016574577</v>
      </c>
      <c r="N3297">
        <v>402152.89</v>
      </c>
      <c r="O3297">
        <v>659668.17016574601</v>
      </c>
      <c r="P3297">
        <v>0</v>
      </c>
      <c r="Q3297">
        <f t="shared" si="665"/>
        <v>659668.17016574601</v>
      </c>
      <c r="R3297">
        <v>659668.17016574601</v>
      </c>
      <c r="S3297">
        <f t="shared" si="666"/>
        <v>0</v>
      </c>
      <c r="T3297">
        <v>2.2499999999999999E-2</v>
      </c>
      <c r="U3297">
        <f t="shared" si="667"/>
        <v>14842.533828729285</v>
      </c>
      <c r="V3297">
        <f t="shared" si="668"/>
        <v>674510.70399447531</v>
      </c>
      <c r="W3297">
        <f t="shared" si="669"/>
        <v>14842.533828729298</v>
      </c>
      <c r="X3297">
        <v>0</v>
      </c>
    </row>
    <row r="3298" spans="1:24" x14ac:dyDescent="0.25">
      <c r="A3298" t="s">
        <v>1943</v>
      </c>
      <c r="B3298" t="s">
        <v>2176</v>
      </c>
      <c r="C3298" t="s">
        <v>2177</v>
      </c>
      <c r="D3298" t="s">
        <v>320</v>
      </c>
      <c r="E3298" t="s">
        <v>332</v>
      </c>
      <c r="F3298" t="s">
        <v>1</v>
      </c>
      <c r="G3298" t="s">
        <v>1095</v>
      </c>
      <c r="H3298" t="s">
        <v>1107</v>
      </c>
      <c r="I3298" t="s">
        <v>1</v>
      </c>
      <c r="J3298">
        <v>11899.2</v>
      </c>
      <c r="K3298">
        <v>13871.3564286942</v>
      </c>
      <c r="L3298">
        <v>8868.2800000000007</v>
      </c>
      <c r="M3298">
        <v>17883.548066298343</v>
      </c>
      <c r="N3298">
        <v>13332.61</v>
      </c>
      <c r="O3298">
        <v>17883.548066298299</v>
      </c>
      <c r="P3298">
        <v>0</v>
      </c>
      <c r="Q3298">
        <f t="shared" si="665"/>
        <v>17883.548066298299</v>
      </c>
      <c r="R3298">
        <v>17883.548066298299</v>
      </c>
      <c r="S3298">
        <f t="shared" si="666"/>
        <v>0</v>
      </c>
      <c r="T3298">
        <v>2.5000000000000001E-2</v>
      </c>
      <c r="U3298">
        <f t="shared" si="667"/>
        <v>447.08870165745748</v>
      </c>
      <c r="V3298">
        <f t="shared" si="668"/>
        <v>18330.636767955755</v>
      </c>
      <c r="W3298">
        <f t="shared" si="669"/>
        <v>447.08870165745611</v>
      </c>
      <c r="X3298">
        <v>0</v>
      </c>
    </row>
    <row r="3299" spans="1:24" x14ac:dyDescent="0.25">
      <c r="A3299" t="s">
        <v>1943</v>
      </c>
      <c r="B3299" t="s">
        <v>2176</v>
      </c>
      <c r="C3299" t="s">
        <v>2177</v>
      </c>
      <c r="D3299" t="s">
        <v>320</v>
      </c>
      <c r="E3299" t="s">
        <v>333</v>
      </c>
      <c r="F3299" t="s">
        <v>1</v>
      </c>
      <c r="G3299" t="s">
        <v>1095</v>
      </c>
      <c r="H3299" t="s">
        <v>1108</v>
      </c>
      <c r="I3299" t="s">
        <v>1</v>
      </c>
      <c r="J3299">
        <v>440540.09</v>
      </c>
      <c r="K3299">
        <v>462182.89997726597</v>
      </c>
      <c r="L3299">
        <v>328352.48</v>
      </c>
      <c r="M3299">
        <v>662147.2662983425</v>
      </c>
      <c r="N3299">
        <v>558428.46000000008</v>
      </c>
      <c r="O3299">
        <v>662147.26629834203</v>
      </c>
      <c r="P3299">
        <v>0</v>
      </c>
      <c r="Q3299">
        <f t="shared" si="665"/>
        <v>662147.26629834203</v>
      </c>
      <c r="R3299">
        <v>662147.26629834203</v>
      </c>
      <c r="S3299">
        <f t="shared" si="666"/>
        <v>0</v>
      </c>
      <c r="T3299">
        <v>2.2499999999999999E-2</v>
      </c>
      <c r="U3299">
        <f t="shared" si="667"/>
        <v>14898.313491712695</v>
      </c>
      <c r="V3299">
        <f t="shared" si="668"/>
        <v>677045.5797900547</v>
      </c>
      <c r="W3299">
        <f t="shared" si="669"/>
        <v>14898.313491712674</v>
      </c>
      <c r="X3299">
        <v>0</v>
      </c>
    </row>
    <row r="3300" spans="1:24" x14ac:dyDescent="0.25">
      <c r="A3300" t="s">
        <v>1943</v>
      </c>
      <c r="B3300" t="s">
        <v>2176</v>
      </c>
      <c r="C3300" t="s">
        <v>2177</v>
      </c>
      <c r="D3300" t="s">
        <v>320</v>
      </c>
      <c r="E3300" t="s">
        <v>334</v>
      </c>
      <c r="F3300" t="s">
        <v>1</v>
      </c>
      <c r="G3300" t="s">
        <v>1095</v>
      </c>
      <c r="H3300" t="s">
        <v>1109</v>
      </c>
      <c r="I3300" t="s">
        <v>1</v>
      </c>
      <c r="J3300">
        <v>211347.09</v>
      </c>
      <c r="K3300">
        <v>152021.80359964099</v>
      </c>
      <c r="L3300">
        <v>236022.2</v>
      </c>
      <c r="M3300">
        <v>475956.37016574584</v>
      </c>
      <c r="N3300">
        <v>377700.01000000007</v>
      </c>
      <c r="O3300">
        <v>475956.37016574602</v>
      </c>
      <c r="P3300">
        <v>0</v>
      </c>
      <c r="Q3300">
        <f t="shared" si="665"/>
        <v>475956.37016574602</v>
      </c>
      <c r="R3300">
        <v>475956.37016574602</v>
      </c>
      <c r="S3300">
        <f t="shared" si="666"/>
        <v>0</v>
      </c>
      <c r="T3300">
        <v>2.75E-2</v>
      </c>
      <c r="U3300">
        <f t="shared" si="667"/>
        <v>13088.800179558015</v>
      </c>
      <c r="V3300">
        <f t="shared" si="668"/>
        <v>489045.17034530401</v>
      </c>
      <c r="W3300">
        <f t="shared" si="669"/>
        <v>13088.800179557991</v>
      </c>
      <c r="X3300">
        <v>0</v>
      </c>
    </row>
    <row r="3301" spans="1:24" x14ac:dyDescent="0.25">
      <c r="A3301" t="s">
        <v>1943</v>
      </c>
      <c r="B3301" t="s">
        <v>2176</v>
      </c>
      <c r="C3301" t="s">
        <v>2177</v>
      </c>
      <c r="D3301" t="s">
        <v>320</v>
      </c>
      <c r="E3301" t="s">
        <v>335</v>
      </c>
      <c r="F3301" t="s">
        <v>1</v>
      </c>
      <c r="G3301" t="s">
        <v>1095</v>
      </c>
      <c r="H3301" t="s">
        <v>1110</v>
      </c>
      <c r="I3301" t="s">
        <v>1</v>
      </c>
      <c r="J3301">
        <v>173941.88</v>
      </c>
      <c r="K3301">
        <v>120868.119477557</v>
      </c>
      <c r="L3301">
        <v>241701.65</v>
      </c>
      <c r="M3301">
        <v>487409.40469613264</v>
      </c>
      <c r="N3301">
        <v>357765.5</v>
      </c>
      <c r="O3301">
        <v>487409.40469613299</v>
      </c>
      <c r="P3301">
        <v>0</v>
      </c>
      <c r="Q3301">
        <f t="shared" si="665"/>
        <v>487409.40469613299</v>
      </c>
      <c r="R3301">
        <v>487409.40469613299</v>
      </c>
      <c r="S3301">
        <f t="shared" si="666"/>
        <v>0</v>
      </c>
      <c r="T3301">
        <v>0.03</v>
      </c>
      <c r="U3301">
        <f t="shared" si="667"/>
        <v>14622.28214088399</v>
      </c>
      <c r="V3301">
        <f t="shared" si="668"/>
        <v>502031.68683701695</v>
      </c>
      <c r="W3301">
        <f t="shared" si="669"/>
        <v>14622.282140883966</v>
      </c>
      <c r="X3301">
        <v>0</v>
      </c>
    </row>
    <row r="3302" spans="1:24" x14ac:dyDescent="0.25">
      <c r="A3302" t="s">
        <v>1943</v>
      </c>
      <c r="B3302" t="s">
        <v>2176</v>
      </c>
      <c r="C3302" t="s">
        <v>2177</v>
      </c>
      <c r="D3302" t="s">
        <v>320</v>
      </c>
      <c r="E3302" t="s">
        <v>336</v>
      </c>
      <c r="F3302" t="s">
        <v>1</v>
      </c>
      <c r="G3302" t="s">
        <v>1095</v>
      </c>
      <c r="H3302" t="s">
        <v>1111</v>
      </c>
      <c r="I3302" t="s">
        <v>1</v>
      </c>
      <c r="J3302">
        <v>1094967.79</v>
      </c>
      <c r="K3302">
        <v>1332605.6989285699</v>
      </c>
      <c r="L3302">
        <v>718942.2</v>
      </c>
      <c r="M3302">
        <v>1449800.5690607734</v>
      </c>
      <c r="N3302">
        <v>1379479.0599999998</v>
      </c>
      <c r="O3302">
        <v>1449800.5690607701</v>
      </c>
      <c r="P3302">
        <v>0</v>
      </c>
      <c r="Q3302">
        <f t="shared" si="665"/>
        <v>1449800.5690607701</v>
      </c>
      <c r="R3302">
        <v>1449800.5690607701</v>
      </c>
      <c r="S3302">
        <f t="shared" si="666"/>
        <v>0</v>
      </c>
      <c r="T3302">
        <v>2.2499999999999999E-2</v>
      </c>
      <c r="U3302">
        <f t="shared" si="667"/>
        <v>32620.512803867325</v>
      </c>
      <c r="V3302">
        <f t="shared" si="668"/>
        <v>1482421.0818646373</v>
      </c>
      <c r="W3302">
        <f t="shared" si="669"/>
        <v>32620.512803867226</v>
      </c>
      <c r="X3302">
        <v>0</v>
      </c>
    </row>
    <row r="3303" spans="1:24" x14ac:dyDescent="0.25">
      <c r="A3303" t="s">
        <v>1943</v>
      </c>
      <c r="B3303" t="s">
        <v>2176</v>
      </c>
      <c r="C3303" t="s">
        <v>2177</v>
      </c>
      <c r="D3303" t="s">
        <v>320</v>
      </c>
      <c r="E3303" t="s">
        <v>337</v>
      </c>
      <c r="F3303" t="s">
        <v>1</v>
      </c>
      <c r="G3303" t="s">
        <v>1095</v>
      </c>
      <c r="H3303" t="s">
        <v>1112</v>
      </c>
      <c r="I3303" t="s">
        <v>1</v>
      </c>
      <c r="J3303">
        <v>932173.49</v>
      </c>
      <c r="K3303">
        <v>688566.40519216796</v>
      </c>
      <c r="L3303">
        <v>139575.29999999999</v>
      </c>
      <c r="M3303">
        <v>281464.00276243093</v>
      </c>
      <c r="N3303">
        <v>876889.45</v>
      </c>
      <c r="O3303">
        <v>281464.00276243099</v>
      </c>
      <c r="P3303">
        <v>0</v>
      </c>
      <c r="Q3303">
        <f t="shared" si="665"/>
        <v>281464.00276243099</v>
      </c>
      <c r="R3303">
        <v>281464.00276243099</v>
      </c>
      <c r="S3303">
        <f t="shared" si="666"/>
        <v>0</v>
      </c>
      <c r="T3303">
        <v>0.03</v>
      </c>
      <c r="U3303">
        <f t="shared" si="667"/>
        <v>8443.9200828729299</v>
      </c>
      <c r="V3303">
        <f t="shared" si="668"/>
        <v>289907.9228453039</v>
      </c>
      <c r="W3303">
        <f t="shared" si="669"/>
        <v>8443.9200828729081</v>
      </c>
      <c r="X3303">
        <v>0</v>
      </c>
    </row>
    <row r="3304" spans="1:24" x14ac:dyDescent="0.25">
      <c r="A3304" t="s">
        <v>1943</v>
      </c>
      <c r="B3304" t="s">
        <v>2176</v>
      </c>
      <c r="C3304" t="s">
        <v>2177</v>
      </c>
      <c r="D3304" t="s">
        <v>320</v>
      </c>
      <c r="E3304" t="s">
        <v>40</v>
      </c>
      <c r="F3304" t="s">
        <v>1</v>
      </c>
      <c r="G3304" t="s">
        <v>1095</v>
      </c>
      <c r="H3304" t="s">
        <v>440</v>
      </c>
      <c r="I3304" t="s">
        <v>1</v>
      </c>
      <c r="J3304">
        <v>257694.89</v>
      </c>
      <c r="K3304">
        <v>248854</v>
      </c>
      <c r="L3304">
        <v>143317.07</v>
      </c>
      <c r="M3304">
        <v>289009.56104972376</v>
      </c>
      <c r="N3304">
        <v>284012.69999999995</v>
      </c>
      <c r="O3304">
        <v>286634.14</v>
      </c>
      <c r="P3304">
        <v>0</v>
      </c>
      <c r="Q3304">
        <f t="shared" si="665"/>
        <v>286634.14</v>
      </c>
      <c r="R3304">
        <v>375182</v>
      </c>
      <c r="S3304">
        <f t="shared" si="666"/>
        <v>88547.859999999986</v>
      </c>
      <c r="T3304">
        <v>0.03</v>
      </c>
      <c r="U3304">
        <f t="shared" si="667"/>
        <v>11255.46</v>
      </c>
      <c r="V3304">
        <f t="shared" si="668"/>
        <v>386437.46</v>
      </c>
      <c r="W3304">
        <f t="shared" si="669"/>
        <v>99803.32</v>
      </c>
      <c r="X3304" t="s">
        <v>1824</v>
      </c>
    </row>
    <row r="3305" spans="1:24" x14ac:dyDescent="0.25">
      <c r="A3305" t="s">
        <v>1943</v>
      </c>
      <c r="B3305" t="s">
        <v>2176</v>
      </c>
      <c r="C3305" t="s">
        <v>2177</v>
      </c>
      <c r="D3305" t="s">
        <v>320</v>
      </c>
      <c r="E3305" t="s">
        <v>76</v>
      </c>
      <c r="F3305" t="s">
        <v>1</v>
      </c>
      <c r="G3305" t="s">
        <v>1095</v>
      </c>
      <c r="H3305" t="s">
        <v>493</v>
      </c>
      <c r="I3305" t="s">
        <v>1</v>
      </c>
      <c r="J3305">
        <v>-51505.66</v>
      </c>
      <c r="K3305"/>
      <c r="L3305">
        <v>0</v>
      </c>
      <c r="M3305">
        <v>0</v>
      </c>
      <c r="N3305">
        <v>-51505.66</v>
      </c>
      <c r="O3305"/>
      <c r="P3305">
        <v>0</v>
      </c>
      <c r="Q3305">
        <f t="shared" si="665"/>
        <v>0</v>
      </c>
      <c r="R3305">
        <v>0</v>
      </c>
      <c r="S3305">
        <f t="shared" si="666"/>
        <v>0</v>
      </c>
      <c r="T3305">
        <v>0.03</v>
      </c>
      <c r="U3305">
        <f t="shared" si="667"/>
        <v>0</v>
      </c>
      <c r="V3305">
        <f t="shared" si="668"/>
        <v>0</v>
      </c>
      <c r="W3305">
        <f t="shared" si="669"/>
        <v>0</v>
      </c>
      <c r="X3305">
        <v>0</v>
      </c>
    </row>
    <row r="3306" spans="1:24" x14ac:dyDescent="0.25">
      <c r="A3306" t="s">
        <v>1943</v>
      </c>
      <c r="B3306" t="s">
        <v>2176</v>
      </c>
      <c r="C3306" t="s">
        <v>2177</v>
      </c>
      <c r="D3306" t="s">
        <v>320</v>
      </c>
      <c r="E3306" t="s">
        <v>41</v>
      </c>
      <c r="F3306" t="s">
        <v>1</v>
      </c>
      <c r="G3306" t="s">
        <v>1095</v>
      </c>
      <c r="H3306" t="s">
        <v>441</v>
      </c>
      <c r="I3306" t="s">
        <v>1</v>
      </c>
      <c r="J3306">
        <v>13370.64</v>
      </c>
      <c r="K3306">
        <v>7149.4873066104001</v>
      </c>
      <c r="L3306">
        <v>5048.1899999999996</v>
      </c>
      <c r="M3306">
        <v>10180.051657458564</v>
      </c>
      <c r="N3306">
        <v>14779.22</v>
      </c>
      <c r="O3306">
        <v>10096.379999999999</v>
      </c>
      <c r="P3306">
        <v>0</v>
      </c>
      <c r="Q3306">
        <f t="shared" si="665"/>
        <v>10096.379999999999</v>
      </c>
      <c r="R3306">
        <v>10096.379999999999</v>
      </c>
      <c r="S3306">
        <f t="shared" si="666"/>
        <v>0</v>
      </c>
      <c r="T3306">
        <v>0.03</v>
      </c>
      <c r="U3306">
        <f t="shared" si="667"/>
        <v>302.89139999999998</v>
      </c>
      <c r="V3306">
        <f t="shared" si="668"/>
        <v>10399.2714</v>
      </c>
      <c r="W3306">
        <f t="shared" si="669"/>
        <v>302.89140000000043</v>
      </c>
      <c r="X3306">
        <v>0</v>
      </c>
    </row>
    <row r="3307" spans="1:24" x14ac:dyDescent="0.25">
      <c r="A3307" t="s">
        <v>1943</v>
      </c>
      <c r="B3307" t="s">
        <v>2176</v>
      </c>
      <c r="C3307" t="s">
        <v>2177</v>
      </c>
      <c r="D3307" t="s">
        <v>320</v>
      </c>
      <c r="E3307" t="s">
        <v>42</v>
      </c>
      <c r="F3307" t="s">
        <v>1</v>
      </c>
      <c r="G3307" t="s">
        <v>1095</v>
      </c>
      <c r="H3307" t="s">
        <v>442</v>
      </c>
      <c r="I3307" t="s">
        <v>1</v>
      </c>
      <c r="J3307">
        <v>241234.83</v>
      </c>
      <c r="K3307">
        <v>170579</v>
      </c>
      <c r="L3307">
        <v>119074.29</v>
      </c>
      <c r="M3307">
        <v>240122.18701657455</v>
      </c>
      <c r="N3307">
        <v>275994.47000000003</v>
      </c>
      <c r="O3307">
        <v>238148.58</v>
      </c>
      <c r="P3307">
        <v>0</v>
      </c>
      <c r="Q3307">
        <f t="shared" si="665"/>
        <v>238148.58</v>
      </c>
      <c r="R3307">
        <v>212291</v>
      </c>
      <c r="S3307">
        <f t="shared" si="666"/>
        <v>-25857.579999999987</v>
      </c>
      <c r="T3307">
        <v>0.03</v>
      </c>
      <c r="U3307">
        <f t="shared" si="667"/>
        <v>6368.73</v>
      </c>
      <c r="V3307">
        <f t="shared" si="668"/>
        <v>218659.73</v>
      </c>
      <c r="W3307">
        <f t="shared" si="669"/>
        <v>-19488.849999999977</v>
      </c>
      <c r="X3307" t="s">
        <v>1825</v>
      </c>
    </row>
    <row r="3308" spans="1:24" x14ac:dyDescent="0.25">
      <c r="A3308" t="s">
        <v>1943</v>
      </c>
      <c r="B3308" t="s">
        <v>2176</v>
      </c>
      <c r="C3308" t="s">
        <v>2177</v>
      </c>
      <c r="D3308" t="s">
        <v>320</v>
      </c>
      <c r="E3308" t="s">
        <v>43</v>
      </c>
      <c r="F3308" t="s">
        <v>1</v>
      </c>
      <c r="G3308" t="s">
        <v>1095</v>
      </c>
      <c r="H3308" t="s">
        <v>443</v>
      </c>
      <c r="I3308" t="s">
        <v>1</v>
      </c>
      <c r="J3308">
        <v>8033.71</v>
      </c>
      <c r="K3308"/>
      <c r="L3308">
        <v>1773</v>
      </c>
      <c r="M3308">
        <v>3575.3867403314916</v>
      </c>
      <c r="N3308">
        <v>4406</v>
      </c>
      <c r="O3308">
        <v>3546</v>
      </c>
      <c r="P3308">
        <v>0</v>
      </c>
      <c r="Q3308">
        <f t="shared" si="665"/>
        <v>3546</v>
      </c>
      <c r="R3308">
        <v>3546</v>
      </c>
      <c r="S3308">
        <f t="shared" si="666"/>
        <v>0</v>
      </c>
      <c r="T3308">
        <v>0.03</v>
      </c>
      <c r="U3308">
        <f t="shared" si="667"/>
        <v>106.38</v>
      </c>
      <c r="V3308">
        <f t="shared" si="668"/>
        <v>3652.38</v>
      </c>
      <c r="W3308">
        <f t="shared" si="669"/>
        <v>106.38000000000011</v>
      </c>
      <c r="X3308">
        <v>0</v>
      </c>
    </row>
    <row r="3309" spans="1:24" x14ac:dyDescent="0.25">
      <c r="A3309" t="s">
        <v>1943</v>
      </c>
      <c r="B3309" t="s">
        <v>2176</v>
      </c>
      <c r="C3309" t="s">
        <v>2177</v>
      </c>
      <c r="D3309" t="s">
        <v>320</v>
      </c>
      <c r="E3309" t="s">
        <v>134</v>
      </c>
      <c r="F3309" t="s">
        <v>1</v>
      </c>
      <c r="G3309" t="s">
        <v>1095</v>
      </c>
      <c r="H3309" t="s">
        <v>623</v>
      </c>
      <c r="I3309" t="s">
        <v>1</v>
      </c>
      <c r="J3309">
        <v>975</v>
      </c>
      <c r="K3309"/>
      <c r="L3309">
        <v>0</v>
      </c>
      <c r="M3309">
        <v>0</v>
      </c>
      <c r="N3309">
        <v>0</v>
      </c>
      <c r="O3309"/>
      <c r="P3309">
        <v>0</v>
      </c>
      <c r="Q3309">
        <f t="shared" si="665"/>
        <v>0</v>
      </c>
      <c r="R3309">
        <v>0</v>
      </c>
      <c r="S3309">
        <f t="shared" si="666"/>
        <v>0</v>
      </c>
      <c r="T3309">
        <v>0.03</v>
      </c>
      <c r="U3309">
        <f t="shared" si="667"/>
        <v>0</v>
      </c>
      <c r="V3309">
        <f t="shared" si="668"/>
        <v>0</v>
      </c>
      <c r="W3309">
        <f t="shared" si="669"/>
        <v>0</v>
      </c>
      <c r="X3309">
        <v>0</v>
      </c>
    </row>
    <row r="3310" spans="1:24" x14ac:dyDescent="0.25">
      <c r="A3310" t="s">
        <v>1943</v>
      </c>
      <c r="B3310" t="s">
        <v>2176</v>
      </c>
      <c r="C3310" t="s">
        <v>2177</v>
      </c>
      <c r="D3310" t="s">
        <v>320</v>
      </c>
      <c r="E3310" t="s">
        <v>46</v>
      </c>
      <c r="F3310" t="s">
        <v>1</v>
      </c>
      <c r="G3310" t="s">
        <v>1095</v>
      </c>
      <c r="H3310" t="s">
        <v>446</v>
      </c>
      <c r="I3310" t="s">
        <v>1</v>
      </c>
      <c r="J3310">
        <v>7413.83</v>
      </c>
      <c r="K3310"/>
      <c r="L3310">
        <v>1167.23</v>
      </c>
      <c r="M3310">
        <v>2353.8063535911601</v>
      </c>
      <c r="N3310">
        <v>8052.7900000000009</v>
      </c>
      <c r="O3310">
        <v>2334.46</v>
      </c>
      <c r="P3310">
        <v>0</v>
      </c>
      <c r="Q3310">
        <f t="shared" si="665"/>
        <v>2334.46</v>
      </c>
      <c r="R3310">
        <v>2334.46</v>
      </c>
      <c r="S3310">
        <f t="shared" si="666"/>
        <v>0</v>
      </c>
      <c r="T3310">
        <v>0.03</v>
      </c>
      <c r="U3310">
        <f t="shared" si="667"/>
        <v>70.033799999999999</v>
      </c>
      <c r="V3310">
        <f t="shared" si="668"/>
        <v>2404.4938000000002</v>
      </c>
      <c r="W3310">
        <f t="shared" si="669"/>
        <v>70.033800000000156</v>
      </c>
      <c r="X3310">
        <v>0</v>
      </c>
    </row>
    <row r="3311" spans="1:24" x14ac:dyDescent="0.25">
      <c r="A3311" t="s">
        <v>1943</v>
      </c>
      <c r="B3311" t="s">
        <v>2176</v>
      </c>
      <c r="C3311" t="s">
        <v>2177</v>
      </c>
      <c r="D3311" t="s">
        <v>320</v>
      </c>
      <c r="E3311" t="s">
        <v>47</v>
      </c>
      <c r="F3311" t="s">
        <v>1</v>
      </c>
      <c r="G3311" t="s">
        <v>1095</v>
      </c>
      <c r="H3311" t="s">
        <v>447</v>
      </c>
      <c r="I3311" t="s">
        <v>1</v>
      </c>
      <c r="J3311">
        <v>789.2</v>
      </c>
      <c r="K3311">
        <v>1469.0000000004</v>
      </c>
      <c r="L3311">
        <v>1443</v>
      </c>
      <c r="M3311">
        <v>2909.9171270718234</v>
      </c>
      <c r="N3311">
        <v>1568</v>
      </c>
      <c r="O3311">
        <v>2886</v>
      </c>
      <c r="P3311">
        <v>0</v>
      </c>
      <c r="Q3311">
        <f t="shared" si="665"/>
        <v>2886</v>
      </c>
      <c r="R3311">
        <v>2886</v>
      </c>
      <c r="S3311">
        <f t="shared" si="666"/>
        <v>0</v>
      </c>
      <c r="T3311">
        <v>0.03</v>
      </c>
      <c r="U3311">
        <f t="shared" si="667"/>
        <v>86.58</v>
      </c>
      <c r="V3311">
        <f t="shared" si="668"/>
        <v>2972.58</v>
      </c>
      <c r="W3311">
        <f t="shared" si="669"/>
        <v>86.579999999999927</v>
      </c>
      <c r="X3311">
        <v>0</v>
      </c>
    </row>
    <row r="3312" spans="1:24" x14ac:dyDescent="0.25">
      <c r="A3312" t="s">
        <v>1943</v>
      </c>
      <c r="B3312" t="s">
        <v>2176</v>
      </c>
      <c r="C3312" t="s">
        <v>2177</v>
      </c>
      <c r="D3312" t="s">
        <v>320</v>
      </c>
      <c r="E3312" t="s">
        <v>48</v>
      </c>
      <c r="F3312" t="s">
        <v>1</v>
      </c>
      <c r="G3312" t="s">
        <v>1095</v>
      </c>
      <c r="H3312" t="s">
        <v>448</v>
      </c>
      <c r="I3312" t="s">
        <v>1</v>
      </c>
      <c r="J3312">
        <v>322.06</v>
      </c>
      <c r="K3312">
        <v>252.99999999959999</v>
      </c>
      <c r="L3312">
        <v>0</v>
      </c>
      <c r="M3312">
        <v>0</v>
      </c>
      <c r="N3312">
        <v>138.36000000000001</v>
      </c>
      <c r="O3312"/>
      <c r="P3312">
        <v>0</v>
      </c>
      <c r="Q3312">
        <f t="shared" si="665"/>
        <v>0</v>
      </c>
      <c r="R3312">
        <v>0</v>
      </c>
      <c r="S3312">
        <f t="shared" si="666"/>
        <v>0</v>
      </c>
      <c r="T3312">
        <v>0.03</v>
      </c>
      <c r="U3312">
        <f t="shared" si="667"/>
        <v>0</v>
      </c>
      <c r="V3312">
        <f t="shared" si="668"/>
        <v>0</v>
      </c>
      <c r="W3312">
        <f t="shared" si="669"/>
        <v>0</v>
      </c>
      <c r="X3312">
        <v>0</v>
      </c>
    </row>
    <row r="3313" spans="1:24" x14ac:dyDescent="0.25">
      <c r="A3313" t="s">
        <v>1943</v>
      </c>
      <c r="B3313" t="s">
        <v>2176</v>
      </c>
      <c r="C3313" t="s">
        <v>2177</v>
      </c>
      <c r="D3313" t="s">
        <v>320</v>
      </c>
      <c r="E3313" t="s">
        <v>50</v>
      </c>
      <c r="F3313" t="s">
        <v>1</v>
      </c>
      <c r="G3313" t="s">
        <v>1095</v>
      </c>
      <c r="H3313" t="s">
        <v>450</v>
      </c>
      <c r="I3313" t="s">
        <v>1</v>
      </c>
      <c r="J3313">
        <v>12206.1</v>
      </c>
      <c r="K3313">
        <v>13850.0000000004</v>
      </c>
      <c r="L3313">
        <v>3894.7</v>
      </c>
      <c r="M3313">
        <v>7853.9530386740335</v>
      </c>
      <c r="N3313">
        <v>11160.509999999998</v>
      </c>
      <c r="O3313">
        <v>7853.9530386739998</v>
      </c>
      <c r="P3313">
        <v>0</v>
      </c>
      <c r="Q3313">
        <f t="shared" si="665"/>
        <v>7853.9530386739998</v>
      </c>
      <c r="R3313">
        <v>7853.9530386739998</v>
      </c>
      <c r="S3313">
        <f t="shared" si="666"/>
        <v>0</v>
      </c>
      <c r="T3313"/>
      <c r="U3313">
        <f t="shared" si="667"/>
        <v>0</v>
      </c>
      <c r="V3313">
        <f t="shared" si="668"/>
        <v>7853.9530386739998</v>
      </c>
      <c r="W3313">
        <f t="shared" si="669"/>
        <v>0</v>
      </c>
      <c r="X3313">
        <v>0</v>
      </c>
    </row>
    <row r="3314" spans="1:24" x14ac:dyDescent="0.25">
      <c r="A3314" t="s">
        <v>1943</v>
      </c>
      <c r="B3314" t="s">
        <v>2176</v>
      </c>
      <c r="C3314" t="s">
        <v>2177</v>
      </c>
      <c r="D3314" t="s">
        <v>320</v>
      </c>
      <c r="E3314" t="s">
        <v>51</v>
      </c>
      <c r="F3314" t="s">
        <v>51</v>
      </c>
      <c r="G3314" t="s">
        <v>1113</v>
      </c>
      <c r="H3314"/>
      <c r="I3314"/>
      <c r="J3314">
        <v>21386606.949999996</v>
      </c>
      <c r="K3314">
        <v>21444939.023853768</v>
      </c>
      <c r="L3314">
        <v>10379595.639999997</v>
      </c>
      <c r="M3314">
        <v>20931228.776795577</v>
      </c>
      <c r="N3314">
        <v>21565375.529999994</v>
      </c>
      <c r="O3314">
        <v>20923136.297855616</v>
      </c>
      <c r="P3314">
        <f>SUMIF($F$3257:$F$3313,"&lt;&gt;EV_*",$P$3257:$P$3313)</f>
        <v>0</v>
      </c>
      <c r="Q3314">
        <f>SUMIF($F$3257:$F$3313,"&lt;&gt;EV_*",$Q$3257:$Q$3313)</f>
        <v>20923136.297855616</v>
      </c>
      <c r="R3314">
        <f>SUMIF($F$3257:$F$3313,"&lt;&gt;EV_*",$R$3257:$R$3313)</f>
        <v>20418359.645252854</v>
      </c>
      <c r="S3314">
        <f>SUMIF($F$3257:$F$3313,"&lt;&gt;EV_*",$S$3257:$S$3313)</f>
        <v>-504776.65260275884</v>
      </c>
      <c r="T3314">
        <v>0</v>
      </c>
      <c r="U3314">
        <f>SUMIF($F$3257:$F$3313,"&lt;&gt;EV_*",$U$3257:$U$3313)</f>
        <v>641167.14405346615</v>
      </c>
      <c r="V3314">
        <f>SUMIF($F$3257:$F$3313,"&lt;&gt;EV_*",$V$3257:$V$3313)</f>
        <v>21059526.789306324</v>
      </c>
      <c r="W3314">
        <f>SUMIF($F$3257:$F$3313,"&lt;&gt;EV_*",$W$3257:$W$3313)</f>
        <v>136390.49145070839</v>
      </c>
      <c r="X3314">
        <f>SUMIF($F$3257:$F$3313,"&lt;&gt;EV_*",$X$3257:$X$3313)</f>
        <v>0</v>
      </c>
    </row>
    <row r="3315" spans="1:24" x14ac:dyDescent="0.25">
      <c r="A3315" t="s">
        <v>1943</v>
      </c>
      <c r="B3315" t="s">
        <v>2176</v>
      </c>
      <c r="C3315" t="s">
        <v>2178</v>
      </c>
      <c r="D3315" t="s">
        <v>338</v>
      </c>
      <c r="E3315" t="s">
        <v>5</v>
      </c>
      <c r="F3315" t="s">
        <v>5</v>
      </c>
      <c r="G3315" t="s">
        <v>1114</v>
      </c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</row>
    <row r="3316" spans="1:24" x14ac:dyDescent="0.25">
      <c r="A3316" t="s">
        <v>1943</v>
      </c>
      <c r="B3316" t="s">
        <v>2176</v>
      </c>
      <c r="C3316" t="s">
        <v>2178</v>
      </c>
      <c r="D3316" t="s">
        <v>338</v>
      </c>
      <c r="E3316" t="s">
        <v>8</v>
      </c>
      <c r="F3316" t="s">
        <v>1</v>
      </c>
      <c r="G3316" t="s">
        <v>1115</v>
      </c>
      <c r="H3316" t="s">
        <v>408</v>
      </c>
      <c r="I3316" t="s">
        <v>1</v>
      </c>
      <c r="J3316">
        <v>190</v>
      </c>
      <c r="K3316">
        <v>383.14917127050001</v>
      </c>
      <c r="L3316">
        <v>0</v>
      </c>
      <c r="M3316">
        <v>0</v>
      </c>
      <c r="N3316">
        <v>0</v>
      </c>
      <c r="O3316"/>
      <c r="P3316">
        <v>0</v>
      </c>
      <c r="Q3316">
        <f t="shared" ref="Q3316:Q3326" si="670">O3316+P3316</f>
        <v>0</v>
      </c>
      <c r="R3316">
        <v>0</v>
      </c>
      <c r="S3316">
        <f t="shared" ref="S3316:S3326" si="671">IF(OR(LEFT(E3316,2)="A_",LEFT(D3316,5)="Total"),R3316-Q3316,"")</f>
        <v>0</v>
      </c>
      <c r="T3316"/>
      <c r="U3316">
        <f t="shared" ref="U3316:U3326" si="672">IFERROR(R3316*T3316,R3316*0)</f>
        <v>0</v>
      </c>
      <c r="V3316">
        <f t="shared" ref="V3316:V3326" si="673">IF(OR(LEFT(E3316,2)="A_",LEFT(D3316,5)="Total"),R3316+U3316,"")</f>
        <v>0</v>
      </c>
      <c r="W3316">
        <f t="shared" ref="W3316:W3326" si="674">IF(OR(LEFT(E3316,2)="A_",LEFT(D3316,5)="Total"),V3316-Q3316,"")</f>
        <v>0</v>
      </c>
      <c r="X3316">
        <v>0</v>
      </c>
    </row>
    <row r="3317" spans="1:24" x14ac:dyDescent="0.25">
      <c r="A3317" t="s">
        <v>1943</v>
      </c>
      <c r="B3317" t="s">
        <v>2176</v>
      </c>
      <c r="C3317" t="s">
        <v>2178</v>
      </c>
      <c r="D3317" t="s">
        <v>338</v>
      </c>
      <c r="E3317" t="s">
        <v>22</v>
      </c>
      <c r="F3317" t="s">
        <v>1</v>
      </c>
      <c r="G3317" t="s">
        <v>1115</v>
      </c>
      <c r="H3317" t="s">
        <v>422</v>
      </c>
      <c r="I3317" t="s">
        <v>1</v>
      </c>
      <c r="J3317">
        <v>762.43</v>
      </c>
      <c r="K3317">
        <v>1086.75</v>
      </c>
      <c r="L3317">
        <v>0</v>
      </c>
      <c r="M3317">
        <v>0</v>
      </c>
      <c r="N3317">
        <v>238.87</v>
      </c>
      <c r="O3317"/>
      <c r="P3317">
        <v>0</v>
      </c>
      <c r="Q3317">
        <f t="shared" si="670"/>
        <v>0</v>
      </c>
      <c r="R3317">
        <v>0</v>
      </c>
      <c r="S3317">
        <f t="shared" si="671"/>
        <v>0</v>
      </c>
      <c r="T3317">
        <v>3.5000000000000003E-2</v>
      </c>
      <c r="U3317">
        <f t="shared" si="672"/>
        <v>0</v>
      </c>
      <c r="V3317">
        <f t="shared" si="673"/>
        <v>0</v>
      </c>
      <c r="W3317">
        <f t="shared" si="674"/>
        <v>0</v>
      </c>
      <c r="X3317">
        <v>0</v>
      </c>
    </row>
    <row r="3318" spans="1:24" x14ac:dyDescent="0.25">
      <c r="A3318" t="s">
        <v>1943</v>
      </c>
      <c r="B3318" t="s">
        <v>2176</v>
      </c>
      <c r="C3318" t="s">
        <v>2178</v>
      </c>
      <c r="D3318" t="s">
        <v>338</v>
      </c>
      <c r="E3318" t="s">
        <v>23</v>
      </c>
      <c r="F3318" t="s">
        <v>1</v>
      </c>
      <c r="G3318" t="s">
        <v>1115</v>
      </c>
      <c r="H3318" t="s">
        <v>423</v>
      </c>
      <c r="I3318" t="s">
        <v>1</v>
      </c>
      <c r="J3318">
        <v>89.27</v>
      </c>
      <c r="K3318"/>
      <c r="L3318">
        <v>121.65</v>
      </c>
      <c r="M3318">
        <v>245.31629834254147</v>
      </c>
      <c r="N3318">
        <v>210.92000000000002</v>
      </c>
      <c r="O3318">
        <v>245.3162983425</v>
      </c>
      <c r="P3318">
        <v>0</v>
      </c>
      <c r="Q3318">
        <f t="shared" si="670"/>
        <v>245.3162983425</v>
      </c>
      <c r="R3318">
        <v>245</v>
      </c>
      <c r="S3318">
        <f t="shared" si="671"/>
        <v>-0.31629834250000499</v>
      </c>
      <c r="T3318">
        <v>3.5000000000000003E-2</v>
      </c>
      <c r="U3318">
        <f t="shared" si="672"/>
        <v>8.5750000000000011</v>
      </c>
      <c r="V3318">
        <f t="shared" si="673"/>
        <v>253.57499999999999</v>
      </c>
      <c r="W3318">
        <f t="shared" si="674"/>
        <v>8.2587016574999836</v>
      </c>
      <c r="X3318">
        <v>0</v>
      </c>
    </row>
    <row r="3319" spans="1:24" x14ac:dyDescent="0.25">
      <c r="A3319" t="s">
        <v>1943</v>
      </c>
      <c r="B3319" t="s">
        <v>2176</v>
      </c>
      <c r="C3319" t="s">
        <v>2178</v>
      </c>
      <c r="D3319" t="s">
        <v>338</v>
      </c>
      <c r="E3319" t="s">
        <v>24</v>
      </c>
      <c r="F3319" t="s">
        <v>1</v>
      </c>
      <c r="G3319" t="s">
        <v>1115</v>
      </c>
      <c r="H3319" t="s">
        <v>424</v>
      </c>
      <c r="I3319" t="s">
        <v>1</v>
      </c>
      <c r="J3319"/>
      <c r="K3319">
        <v>5976.9999999995998</v>
      </c>
      <c r="L3319">
        <v>0</v>
      </c>
      <c r="M3319">
        <v>0</v>
      </c>
      <c r="N3319">
        <v>0</v>
      </c>
      <c r="O3319"/>
      <c r="P3319">
        <v>0</v>
      </c>
      <c r="Q3319">
        <f t="shared" si="670"/>
        <v>0</v>
      </c>
      <c r="R3319">
        <v>0</v>
      </c>
      <c r="S3319">
        <f t="shared" si="671"/>
        <v>0</v>
      </c>
      <c r="T3319"/>
      <c r="U3319">
        <f t="shared" si="672"/>
        <v>0</v>
      </c>
      <c r="V3319">
        <f t="shared" si="673"/>
        <v>0</v>
      </c>
      <c r="W3319">
        <f t="shared" si="674"/>
        <v>0</v>
      </c>
      <c r="X3319">
        <v>0</v>
      </c>
    </row>
    <row r="3320" spans="1:24" x14ac:dyDescent="0.25">
      <c r="A3320" t="s">
        <v>1943</v>
      </c>
      <c r="B3320" t="s">
        <v>2176</v>
      </c>
      <c r="C3320" t="s">
        <v>2178</v>
      </c>
      <c r="D3320" t="s">
        <v>338</v>
      </c>
      <c r="E3320" t="s">
        <v>26</v>
      </c>
      <c r="F3320" t="s">
        <v>1</v>
      </c>
      <c r="G3320" t="s">
        <v>1115</v>
      </c>
      <c r="H3320" t="s">
        <v>426</v>
      </c>
      <c r="I3320" t="s">
        <v>1</v>
      </c>
      <c r="J3320">
        <v>795</v>
      </c>
      <c r="K3320">
        <v>1589.6061566376</v>
      </c>
      <c r="L3320">
        <v>57</v>
      </c>
      <c r="M3320">
        <v>114.94475138121545</v>
      </c>
      <c r="N3320">
        <v>852</v>
      </c>
      <c r="O3320">
        <v>114</v>
      </c>
      <c r="P3320">
        <v>0</v>
      </c>
      <c r="Q3320">
        <f t="shared" si="670"/>
        <v>114</v>
      </c>
      <c r="R3320">
        <v>0</v>
      </c>
      <c r="S3320">
        <f t="shared" si="671"/>
        <v>-114</v>
      </c>
      <c r="T3320"/>
      <c r="U3320">
        <f t="shared" si="672"/>
        <v>0</v>
      </c>
      <c r="V3320">
        <f t="shared" si="673"/>
        <v>0</v>
      </c>
      <c r="W3320">
        <f t="shared" si="674"/>
        <v>-114</v>
      </c>
      <c r="X3320">
        <v>0</v>
      </c>
    </row>
    <row r="3321" spans="1:24" x14ac:dyDescent="0.25">
      <c r="A3321" t="s">
        <v>1943</v>
      </c>
      <c r="B3321" t="s">
        <v>2176</v>
      </c>
      <c r="C3321" t="s">
        <v>2178</v>
      </c>
      <c r="D3321" t="s">
        <v>338</v>
      </c>
      <c r="E3321" t="s">
        <v>28</v>
      </c>
      <c r="F3321" t="s">
        <v>1</v>
      </c>
      <c r="G3321" t="s">
        <v>1115</v>
      </c>
      <c r="H3321" t="s">
        <v>428</v>
      </c>
      <c r="I3321" t="s">
        <v>1</v>
      </c>
      <c r="J3321">
        <v>302.39999999999998</v>
      </c>
      <c r="K3321"/>
      <c r="L3321">
        <v>0</v>
      </c>
      <c r="M3321">
        <v>0</v>
      </c>
      <c r="N3321">
        <v>302.40000000000003</v>
      </c>
      <c r="O3321"/>
      <c r="P3321">
        <v>0</v>
      </c>
      <c r="Q3321">
        <f t="shared" si="670"/>
        <v>0</v>
      </c>
      <c r="R3321">
        <v>0</v>
      </c>
      <c r="S3321">
        <f t="shared" si="671"/>
        <v>0</v>
      </c>
      <c r="T3321"/>
      <c r="U3321">
        <f t="shared" si="672"/>
        <v>0</v>
      </c>
      <c r="V3321">
        <f t="shared" si="673"/>
        <v>0</v>
      </c>
      <c r="W3321">
        <f t="shared" si="674"/>
        <v>0</v>
      </c>
      <c r="X3321">
        <v>0</v>
      </c>
    </row>
    <row r="3322" spans="1:24" x14ac:dyDescent="0.25">
      <c r="A3322" t="s">
        <v>1943</v>
      </c>
      <c r="B3322" t="s">
        <v>2176</v>
      </c>
      <c r="C3322" t="s">
        <v>2178</v>
      </c>
      <c r="D3322" t="s">
        <v>338</v>
      </c>
      <c r="E3322" t="s">
        <v>33</v>
      </c>
      <c r="F3322" t="s">
        <v>1</v>
      </c>
      <c r="G3322" t="s">
        <v>1115</v>
      </c>
      <c r="H3322" t="s">
        <v>433</v>
      </c>
      <c r="I3322" t="s">
        <v>1</v>
      </c>
      <c r="J3322">
        <v>1216.57</v>
      </c>
      <c r="K3322">
        <v>883.1145314652</v>
      </c>
      <c r="L3322">
        <v>622</v>
      </c>
      <c r="M3322">
        <v>1254.3093922651933</v>
      </c>
      <c r="N3322">
        <v>1838.57</v>
      </c>
      <c r="O3322">
        <v>1244</v>
      </c>
      <c r="P3322">
        <v>0</v>
      </c>
      <c r="Q3322">
        <f t="shared" si="670"/>
        <v>1244</v>
      </c>
      <c r="R3322">
        <v>1244</v>
      </c>
      <c r="S3322">
        <f t="shared" si="671"/>
        <v>0</v>
      </c>
      <c r="T3322"/>
      <c r="U3322">
        <f t="shared" si="672"/>
        <v>0</v>
      </c>
      <c r="V3322">
        <f t="shared" si="673"/>
        <v>1244</v>
      </c>
      <c r="W3322">
        <f t="shared" si="674"/>
        <v>0</v>
      </c>
      <c r="X3322">
        <v>0</v>
      </c>
    </row>
    <row r="3323" spans="1:24" x14ac:dyDescent="0.25">
      <c r="A3323" t="s">
        <v>1943</v>
      </c>
      <c r="B3323" t="s">
        <v>2176</v>
      </c>
      <c r="C3323" t="s">
        <v>2178</v>
      </c>
      <c r="D3323" t="s">
        <v>338</v>
      </c>
      <c r="E3323" t="s">
        <v>34</v>
      </c>
      <c r="F3323" t="s">
        <v>1</v>
      </c>
      <c r="G3323" t="s">
        <v>1115</v>
      </c>
      <c r="H3323" t="s">
        <v>434</v>
      </c>
      <c r="I3323" t="s">
        <v>1</v>
      </c>
      <c r="J3323">
        <v>532.74</v>
      </c>
      <c r="K3323">
        <v>784.99069463520004</v>
      </c>
      <c r="L3323">
        <v>1093.31</v>
      </c>
      <c r="M3323">
        <v>2204.7411602209941</v>
      </c>
      <c r="N3323">
        <v>1401.05</v>
      </c>
      <c r="O3323">
        <v>2186.62</v>
      </c>
      <c r="P3323">
        <v>0</v>
      </c>
      <c r="Q3323">
        <f t="shared" si="670"/>
        <v>2186.62</v>
      </c>
      <c r="R3323">
        <v>2187</v>
      </c>
      <c r="S3323">
        <f t="shared" si="671"/>
        <v>0.38000000000010914</v>
      </c>
      <c r="T3323"/>
      <c r="U3323">
        <f t="shared" si="672"/>
        <v>0</v>
      </c>
      <c r="V3323">
        <f t="shared" si="673"/>
        <v>2187</v>
      </c>
      <c r="W3323">
        <f t="shared" si="674"/>
        <v>0.38000000000010914</v>
      </c>
      <c r="X3323">
        <v>0</v>
      </c>
    </row>
    <row r="3324" spans="1:24" x14ac:dyDescent="0.25">
      <c r="A3324" t="s">
        <v>1943</v>
      </c>
      <c r="B3324" t="s">
        <v>2176</v>
      </c>
      <c r="C3324" t="s">
        <v>2178</v>
      </c>
      <c r="D3324" t="s">
        <v>338</v>
      </c>
      <c r="E3324" t="s">
        <v>37</v>
      </c>
      <c r="F3324" t="s">
        <v>1</v>
      </c>
      <c r="G3324" t="s">
        <v>1115</v>
      </c>
      <c r="H3324" t="s">
        <v>437</v>
      </c>
      <c r="I3324" t="s">
        <v>1</v>
      </c>
      <c r="J3324">
        <v>4541.18</v>
      </c>
      <c r="K3324">
        <v>2943.7151048832002</v>
      </c>
      <c r="L3324">
        <v>9642.6299999999992</v>
      </c>
      <c r="M3324">
        <v>19445.082596685079</v>
      </c>
      <c r="N3324">
        <v>13945.06</v>
      </c>
      <c r="O3324">
        <v>19285.259999999998</v>
      </c>
      <c r="P3324">
        <v>0</v>
      </c>
      <c r="Q3324">
        <f t="shared" si="670"/>
        <v>19285.259999999998</v>
      </c>
      <c r="R3324">
        <v>9642.6299999999992</v>
      </c>
      <c r="S3324">
        <f t="shared" si="671"/>
        <v>-9642.6299999999992</v>
      </c>
      <c r="T3324"/>
      <c r="U3324">
        <f t="shared" si="672"/>
        <v>0</v>
      </c>
      <c r="V3324">
        <f t="shared" si="673"/>
        <v>9642.6299999999992</v>
      </c>
      <c r="W3324">
        <f t="shared" si="674"/>
        <v>-9642.6299999999992</v>
      </c>
      <c r="X3324">
        <v>0</v>
      </c>
    </row>
    <row r="3325" spans="1:24" x14ac:dyDescent="0.25">
      <c r="A3325" t="s">
        <v>1943</v>
      </c>
      <c r="B3325" t="s">
        <v>2176</v>
      </c>
      <c r="C3325" t="s">
        <v>2178</v>
      </c>
      <c r="D3325" t="s">
        <v>338</v>
      </c>
      <c r="E3325" t="s">
        <v>75</v>
      </c>
      <c r="F3325" t="s">
        <v>1</v>
      </c>
      <c r="G3325" t="s">
        <v>1115</v>
      </c>
      <c r="H3325" t="s">
        <v>492</v>
      </c>
      <c r="I3325" t="s">
        <v>1</v>
      </c>
      <c r="J3325">
        <v>9970</v>
      </c>
      <c r="K3325">
        <v>5614.1656378599</v>
      </c>
      <c r="L3325">
        <v>0</v>
      </c>
      <c r="M3325">
        <v>0</v>
      </c>
      <c r="N3325">
        <v>9970</v>
      </c>
      <c r="O3325"/>
      <c r="P3325">
        <v>0</v>
      </c>
      <c r="Q3325">
        <f t="shared" si="670"/>
        <v>0</v>
      </c>
      <c r="R3325">
        <v>0</v>
      </c>
      <c r="S3325">
        <f t="shared" si="671"/>
        <v>0</v>
      </c>
      <c r="T3325">
        <v>3.2500000000000001E-2</v>
      </c>
      <c r="U3325">
        <f t="shared" si="672"/>
        <v>0</v>
      </c>
      <c r="V3325">
        <f t="shared" si="673"/>
        <v>0</v>
      </c>
      <c r="W3325">
        <f t="shared" si="674"/>
        <v>0</v>
      </c>
      <c r="X3325">
        <v>0</v>
      </c>
    </row>
    <row r="3326" spans="1:24" x14ac:dyDescent="0.25">
      <c r="A3326" t="s">
        <v>1943</v>
      </c>
      <c r="B3326" t="s">
        <v>2176</v>
      </c>
      <c r="C3326" t="s">
        <v>2178</v>
      </c>
      <c r="D3326" t="s">
        <v>338</v>
      </c>
      <c r="E3326" t="s">
        <v>50</v>
      </c>
      <c r="F3326" t="s">
        <v>1</v>
      </c>
      <c r="G3326" t="s">
        <v>1115</v>
      </c>
      <c r="H3326" t="s">
        <v>450</v>
      </c>
      <c r="I3326" t="s">
        <v>1</v>
      </c>
      <c r="J3326">
        <v>1048.71</v>
      </c>
      <c r="K3326">
        <v>1149.9999999996</v>
      </c>
      <c r="L3326">
        <v>428.47</v>
      </c>
      <c r="M3326">
        <v>864.04171270718234</v>
      </c>
      <c r="N3326">
        <v>885.1</v>
      </c>
      <c r="O3326">
        <v>864.04171270719996</v>
      </c>
      <c r="P3326">
        <v>0</v>
      </c>
      <c r="Q3326">
        <f t="shared" si="670"/>
        <v>864.04171270719996</v>
      </c>
      <c r="R3326">
        <v>648</v>
      </c>
      <c r="S3326">
        <f t="shared" si="671"/>
        <v>-216.04171270719996</v>
      </c>
      <c r="T3326"/>
      <c r="U3326">
        <f t="shared" si="672"/>
        <v>0</v>
      </c>
      <c r="V3326">
        <f t="shared" si="673"/>
        <v>648</v>
      </c>
      <c r="W3326">
        <f t="shared" si="674"/>
        <v>-216.04171270719996</v>
      </c>
      <c r="X3326">
        <v>0</v>
      </c>
    </row>
    <row r="3327" spans="1:24" x14ac:dyDescent="0.25">
      <c r="A3327" t="s">
        <v>1943</v>
      </c>
      <c r="B3327" t="s">
        <v>2176</v>
      </c>
      <c r="C3327" t="s">
        <v>2178</v>
      </c>
      <c r="D3327" t="s">
        <v>338</v>
      </c>
      <c r="E3327" t="s">
        <v>51</v>
      </c>
      <c r="F3327" t="s">
        <v>51</v>
      </c>
      <c r="G3327" t="s">
        <v>1116</v>
      </c>
      <c r="H3327"/>
      <c r="I3327"/>
      <c r="J3327">
        <v>19448.3</v>
      </c>
      <c r="K3327">
        <v>20412.491296750799</v>
      </c>
      <c r="L3327">
        <v>11965.06</v>
      </c>
      <c r="M3327">
        <v>24128.435911602206</v>
      </c>
      <c r="N3327">
        <v>29643.969999999998</v>
      </c>
      <c r="O3327">
        <v>23939.238011049696</v>
      </c>
      <c r="P3327">
        <f>SUMIF($F$3315:$F$3326,"&lt;&gt;EV_*",$P$3315:$P$3326)</f>
        <v>0</v>
      </c>
      <c r="Q3327">
        <f>SUMIF($F$3315:$F$3326,"&lt;&gt;EV_*",$Q$3315:$Q$3326)</f>
        <v>23939.238011049696</v>
      </c>
      <c r="R3327">
        <f>SUMIF($F$3315:$F$3326,"&lt;&gt;EV_*",$R$3315:$R$3326)</f>
        <v>13966.63</v>
      </c>
      <c r="S3327">
        <f>SUMIF($F$3315:$F$3326,"&lt;&gt;EV_*",$S$3315:$S$3326)</f>
        <v>-9972.6080110496987</v>
      </c>
      <c r="T3327">
        <v>0</v>
      </c>
      <c r="U3327">
        <f>SUMIF($F$3315:$F$3326,"&lt;&gt;EV_*",$U$3315:$U$3326)</f>
        <v>8.5750000000000011</v>
      </c>
      <c r="V3327">
        <f>SUMIF($F$3315:$F$3326,"&lt;&gt;EV_*",$V$3315:$V$3326)</f>
        <v>13975.204999999998</v>
      </c>
      <c r="W3327">
        <f>SUMIF($F$3315:$F$3326,"&lt;&gt;EV_*",$W$3315:$W$3326)</f>
        <v>-9964.033011049698</v>
      </c>
      <c r="X3327">
        <f>SUMIF($F$3315:$F$3326,"&lt;&gt;EV_*",$X$3315:$X$3326)</f>
        <v>0</v>
      </c>
    </row>
    <row r="3328" spans="1:24" x14ac:dyDescent="0.25">
      <c r="A3328" t="s">
        <v>2025</v>
      </c>
      <c r="B3328" t="s">
        <v>2055</v>
      </c>
      <c r="C3328" t="s">
        <v>2179</v>
      </c>
      <c r="D3328" t="s">
        <v>339</v>
      </c>
      <c r="E3328" t="s">
        <v>5</v>
      </c>
      <c r="F3328" t="s">
        <v>5</v>
      </c>
      <c r="G3328" t="s">
        <v>1117</v>
      </c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</row>
    <row r="3329" spans="1:24" x14ac:dyDescent="0.25">
      <c r="A3329" t="s">
        <v>2025</v>
      </c>
      <c r="B3329" t="s">
        <v>2055</v>
      </c>
      <c r="C3329" t="s">
        <v>2179</v>
      </c>
      <c r="D3329" t="s">
        <v>339</v>
      </c>
      <c r="E3329" t="s">
        <v>99</v>
      </c>
      <c r="F3329" t="s">
        <v>1</v>
      </c>
      <c r="G3329" t="s">
        <v>1118</v>
      </c>
      <c r="H3329" t="s">
        <v>548</v>
      </c>
      <c r="I3329" t="s">
        <v>1</v>
      </c>
      <c r="J3329">
        <v>247.5</v>
      </c>
      <c r="K3329"/>
      <c r="L3329">
        <v>165</v>
      </c>
      <c r="M3329">
        <v>332.73480662983428</v>
      </c>
      <c r="N3329">
        <v>330</v>
      </c>
      <c r="O3329">
        <v>332.7348066298</v>
      </c>
      <c r="P3329">
        <v>0</v>
      </c>
      <c r="Q3329">
        <f t="shared" ref="Q3329:Q3350" si="675">O3329+P3329</f>
        <v>332.7348066298</v>
      </c>
      <c r="R3329">
        <v>333</v>
      </c>
      <c r="S3329">
        <f t="shared" ref="S3329:S3350" si="676">IF(OR(LEFT(E3329,2)="A_",LEFT(D3329,5)="Total"),R3329-Q3329,"")</f>
        <v>0.26519337019999512</v>
      </c>
      <c r="T3329">
        <v>3.5000000000000003E-2</v>
      </c>
      <c r="U3329">
        <f t="shared" ref="U3329:U3350" si="677">IFERROR(R3329*T3329,R3329*0)</f>
        <v>11.655000000000001</v>
      </c>
      <c r="V3329">
        <f t="shared" ref="V3329:V3350" si="678">IF(OR(LEFT(E3329,2)="A_",LEFT(D3329,5)="Total"),R3329+U3329,"")</f>
        <v>344.65499999999997</v>
      </c>
      <c r="W3329">
        <f t="shared" ref="W3329:W3350" si="679">IF(OR(LEFT(E3329,2)="A_",LEFT(D3329,5)="Total"),V3329-Q3329,"")</f>
        <v>11.920193370199968</v>
      </c>
      <c r="X3329">
        <v>0</v>
      </c>
    </row>
    <row r="3330" spans="1:24" x14ac:dyDescent="0.25">
      <c r="A3330" t="s">
        <v>2025</v>
      </c>
      <c r="B3330" t="s">
        <v>2055</v>
      </c>
      <c r="C3330" t="s">
        <v>2179</v>
      </c>
      <c r="D3330" t="s">
        <v>339</v>
      </c>
      <c r="E3330" t="s">
        <v>11</v>
      </c>
      <c r="F3330" t="s">
        <v>1</v>
      </c>
      <c r="G3330" t="s">
        <v>1118</v>
      </c>
      <c r="H3330" t="s">
        <v>411</v>
      </c>
      <c r="I3330" t="s">
        <v>1</v>
      </c>
      <c r="J3330">
        <v>3676.64</v>
      </c>
      <c r="K3330">
        <v>2604.3099999996002</v>
      </c>
      <c r="L3330">
        <v>2194.5300000000002</v>
      </c>
      <c r="M3330">
        <v>4425.433425414365</v>
      </c>
      <c r="N3330">
        <v>4005.4800000000005</v>
      </c>
      <c r="O3330">
        <v>4389.0600000000004</v>
      </c>
      <c r="P3330">
        <v>0</v>
      </c>
      <c r="Q3330">
        <f t="shared" si="675"/>
        <v>4389.0600000000004</v>
      </c>
      <c r="R3330">
        <v>4389</v>
      </c>
      <c r="S3330">
        <f t="shared" si="676"/>
        <v>-6.0000000000400178E-2</v>
      </c>
      <c r="T3330"/>
      <c r="U3330">
        <f t="shared" si="677"/>
        <v>0</v>
      </c>
      <c r="V3330">
        <f t="shared" si="678"/>
        <v>4389</v>
      </c>
      <c r="W3330">
        <f t="shared" si="679"/>
        <v>-6.0000000000400178E-2</v>
      </c>
      <c r="X3330">
        <v>0</v>
      </c>
    </row>
    <row r="3331" spans="1:24" x14ac:dyDescent="0.25">
      <c r="A3331" t="s">
        <v>2025</v>
      </c>
      <c r="B3331" t="s">
        <v>2055</v>
      </c>
      <c r="C3331" t="s">
        <v>2179</v>
      </c>
      <c r="D3331" t="s">
        <v>339</v>
      </c>
      <c r="E3331" t="s">
        <v>12</v>
      </c>
      <c r="F3331" t="s">
        <v>1</v>
      </c>
      <c r="G3331" t="s">
        <v>1118</v>
      </c>
      <c r="H3331" t="s">
        <v>412</v>
      </c>
      <c r="I3331" t="s">
        <v>1</v>
      </c>
      <c r="J3331"/>
      <c r="K3331"/>
      <c r="L3331">
        <v>1111.1600000000001</v>
      </c>
      <c r="M3331">
        <v>2240.7370165745861</v>
      </c>
      <c r="N3331">
        <v>1111.1600000000001</v>
      </c>
      <c r="O3331">
        <v>2222.3200000000002</v>
      </c>
      <c r="P3331">
        <v>0</v>
      </c>
      <c r="Q3331">
        <f t="shared" si="675"/>
        <v>2222.3200000000002</v>
      </c>
      <c r="R3331">
        <v>2222</v>
      </c>
      <c r="S3331">
        <f t="shared" si="676"/>
        <v>-0.32000000000016371</v>
      </c>
      <c r="T3331"/>
      <c r="U3331">
        <f t="shared" si="677"/>
        <v>0</v>
      </c>
      <c r="V3331">
        <f t="shared" si="678"/>
        <v>2222</v>
      </c>
      <c r="W3331">
        <f t="shared" si="679"/>
        <v>-0.32000000000016371</v>
      </c>
      <c r="X3331">
        <v>0</v>
      </c>
    </row>
    <row r="3332" spans="1:24" x14ac:dyDescent="0.25">
      <c r="A3332" t="s">
        <v>2025</v>
      </c>
      <c r="B3332" t="s">
        <v>2055</v>
      </c>
      <c r="C3332" t="s">
        <v>2179</v>
      </c>
      <c r="D3332" t="s">
        <v>339</v>
      </c>
      <c r="E3332" t="s">
        <v>13</v>
      </c>
      <c r="F3332" t="s">
        <v>1</v>
      </c>
      <c r="G3332" t="s">
        <v>1118</v>
      </c>
      <c r="H3332" t="s">
        <v>413</v>
      </c>
      <c r="I3332" t="s">
        <v>1</v>
      </c>
      <c r="J3332">
        <v>163.93</v>
      </c>
      <c r="K3332"/>
      <c r="L3332">
        <v>105.09</v>
      </c>
      <c r="M3332">
        <v>211.92182320441989</v>
      </c>
      <c r="N3332">
        <v>269.02</v>
      </c>
      <c r="O3332">
        <v>210.18</v>
      </c>
      <c r="P3332">
        <v>0</v>
      </c>
      <c r="Q3332">
        <f t="shared" si="675"/>
        <v>210.18</v>
      </c>
      <c r="R3332">
        <v>210</v>
      </c>
      <c r="S3332">
        <f t="shared" si="676"/>
        <v>-0.18000000000000682</v>
      </c>
      <c r="T3332"/>
      <c r="U3332">
        <f t="shared" si="677"/>
        <v>0</v>
      </c>
      <c r="V3332">
        <f t="shared" si="678"/>
        <v>210</v>
      </c>
      <c r="W3332">
        <f t="shared" si="679"/>
        <v>-0.18000000000000682</v>
      </c>
      <c r="X3332">
        <v>0</v>
      </c>
    </row>
    <row r="3333" spans="1:24" x14ac:dyDescent="0.25">
      <c r="A3333" t="s">
        <v>2025</v>
      </c>
      <c r="B3333" t="s">
        <v>2055</v>
      </c>
      <c r="C3333" t="s">
        <v>2179</v>
      </c>
      <c r="D3333" t="s">
        <v>339</v>
      </c>
      <c r="E3333" t="s">
        <v>18</v>
      </c>
      <c r="F3333" t="s">
        <v>1</v>
      </c>
      <c r="G3333" t="s">
        <v>1118</v>
      </c>
      <c r="H3333" t="s">
        <v>418</v>
      </c>
      <c r="I3333" t="s">
        <v>1</v>
      </c>
      <c r="J3333">
        <v>524.66999999999996</v>
      </c>
      <c r="K3333">
        <v>4.1975307000000003E-3</v>
      </c>
      <c r="L3333">
        <v>722.41</v>
      </c>
      <c r="M3333">
        <v>1456.7936464088395</v>
      </c>
      <c r="N3333">
        <v>1740.3000000000002</v>
      </c>
      <c r="O3333">
        <v>1452.7585714285999</v>
      </c>
      <c r="P3333">
        <v>0</v>
      </c>
      <c r="Q3333">
        <f t="shared" si="675"/>
        <v>1452.7585714285999</v>
      </c>
      <c r="R3333">
        <v>1453</v>
      </c>
      <c r="S3333">
        <f t="shared" si="676"/>
        <v>0.24142857140009255</v>
      </c>
      <c r="T3333">
        <v>0.02</v>
      </c>
      <c r="U3333">
        <f t="shared" si="677"/>
        <v>29.060000000000002</v>
      </c>
      <c r="V3333">
        <f t="shared" si="678"/>
        <v>1482.06</v>
      </c>
      <c r="W3333">
        <f t="shared" si="679"/>
        <v>29.301428571400038</v>
      </c>
      <c r="X3333">
        <v>0</v>
      </c>
    </row>
    <row r="3334" spans="1:24" x14ac:dyDescent="0.25">
      <c r="A3334" t="s">
        <v>2025</v>
      </c>
      <c r="B3334" t="s">
        <v>2055</v>
      </c>
      <c r="C3334" t="s">
        <v>2179</v>
      </c>
      <c r="D3334" t="s">
        <v>339</v>
      </c>
      <c r="E3334" t="s">
        <v>21</v>
      </c>
      <c r="F3334" t="s">
        <v>1</v>
      </c>
      <c r="G3334" t="s">
        <v>1118</v>
      </c>
      <c r="H3334" t="s">
        <v>421</v>
      </c>
      <c r="I3334" t="s">
        <v>1</v>
      </c>
      <c r="J3334">
        <v>2721.24</v>
      </c>
      <c r="K3334">
        <v>1112.6899999999</v>
      </c>
      <c r="L3334">
        <v>527.87</v>
      </c>
      <c r="M3334">
        <v>1064.4892265193371</v>
      </c>
      <c r="N3334">
        <v>2082.2700000000004</v>
      </c>
      <c r="O3334">
        <v>1064.4892265193</v>
      </c>
      <c r="P3334">
        <v>0</v>
      </c>
      <c r="Q3334">
        <f t="shared" si="675"/>
        <v>1064.4892265193</v>
      </c>
      <c r="R3334">
        <v>1064</v>
      </c>
      <c r="S3334">
        <f t="shared" si="676"/>
        <v>-0.48922651930001848</v>
      </c>
      <c r="T3334">
        <v>0.03</v>
      </c>
      <c r="U3334">
        <f t="shared" si="677"/>
        <v>31.919999999999998</v>
      </c>
      <c r="V3334">
        <f t="shared" si="678"/>
        <v>1095.92</v>
      </c>
      <c r="W3334">
        <f t="shared" si="679"/>
        <v>31.430773480700054</v>
      </c>
      <c r="X3334">
        <v>0</v>
      </c>
    </row>
    <row r="3335" spans="1:24" x14ac:dyDescent="0.25">
      <c r="A3335" t="s">
        <v>2025</v>
      </c>
      <c r="B3335" t="s">
        <v>2055</v>
      </c>
      <c r="C3335" t="s">
        <v>2179</v>
      </c>
      <c r="D3335" t="s">
        <v>339</v>
      </c>
      <c r="E3335" t="s">
        <v>22</v>
      </c>
      <c r="F3335" t="s">
        <v>1</v>
      </c>
      <c r="G3335" t="s">
        <v>1118</v>
      </c>
      <c r="H3335" t="s">
        <v>422</v>
      </c>
      <c r="I3335" t="s">
        <v>1</v>
      </c>
      <c r="J3335">
        <v>3943.53</v>
      </c>
      <c r="K3335">
        <v>3205.395</v>
      </c>
      <c r="L3335">
        <v>1057.02</v>
      </c>
      <c r="M3335">
        <v>2131.5596685082874</v>
      </c>
      <c r="N3335">
        <v>2134.9700000000003</v>
      </c>
      <c r="O3335">
        <v>2131.5596685083001</v>
      </c>
      <c r="P3335">
        <v>0</v>
      </c>
      <c r="Q3335">
        <f t="shared" si="675"/>
        <v>2131.5596685083001</v>
      </c>
      <c r="R3335">
        <v>2200</v>
      </c>
      <c r="S3335">
        <f t="shared" si="676"/>
        <v>68.440331491699908</v>
      </c>
      <c r="T3335">
        <v>3.5000000000000003E-2</v>
      </c>
      <c r="U3335">
        <f t="shared" si="677"/>
        <v>77.000000000000014</v>
      </c>
      <c r="V3335">
        <f t="shared" si="678"/>
        <v>2277</v>
      </c>
      <c r="W3335">
        <f t="shared" si="679"/>
        <v>145.44033149169991</v>
      </c>
      <c r="X3335">
        <v>0</v>
      </c>
    </row>
    <row r="3336" spans="1:24" x14ac:dyDescent="0.25">
      <c r="A3336" t="s">
        <v>2025</v>
      </c>
      <c r="B3336" t="s">
        <v>2055</v>
      </c>
      <c r="C3336" t="s">
        <v>2179</v>
      </c>
      <c r="D3336" t="s">
        <v>339</v>
      </c>
      <c r="E3336" t="s">
        <v>23</v>
      </c>
      <c r="F3336" t="s">
        <v>1</v>
      </c>
      <c r="G3336" t="s">
        <v>1118</v>
      </c>
      <c r="H3336" t="s">
        <v>423</v>
      </c>
      <c r="I3336" t="s">
        <v>1</v>
      </c>
      <c r="J3336">
        <v>5652.97</v>
      </c>
      <c r="K3336">
        <v>1858.86</v>
      </c>
      <c r="L3336">
        <v>0.02</v>
      </c>
      <c r="M3336">
        <v>4.0331491712707182E-2</v>
      </c>
      <c r="N3336">
        <v>290.02</v>
      </c>
      <c r="O3336">
        <v>4.03314917E-2</v>
      </c>
      <c r="P3336">
        <v>0</v>
      </c>
      <c r="Q3336">
        <f t="shared" si="675"/>
        <v>4.03314917E-2</v>
      </c>
      <c r="R3336">
        <v>0</v>
      </c>
      <c r="S3336">
        <f t="shared" si="676"/>
        <v>-4.03314917E-2</v>
      </c>
      <c r="T3336">
        <v>3.5000000000000003E-2</v>
      </c>
      <c r="U3336">
        <f t="shared" si="677"/>
        <v>0</v>
      </c>
      <c r="V3336">
        <f t="shared" si="678"/>
        <v>0</v>
      </c>
      <c r="W3336">
        <f t="shared" si="679"/>
        <v>-4.03314917E-2</v>
      </c>
      <c r="X3336">
        <v>0</v>
      </c>
    </row>
    <row r="3337" spans="1:24" x14ac:dyDescent="0.25">
      <c r="A3337" t="s">
        <v>2025</v>
      </c>
      <c r="B3337" t="s">
        <v>2055</v>
      </c>
      <c r="C3337" t="s">
        <v>2179</v>
      </c>
      <c r="D3337" t="s">
        <v>339</v>
      </c>
      <c r="E3337" t="s">
        <v>24</v>
      </c>
      <c r="F3337" t="s">
        <v>1</v>
      </c>
      <c r="G3337" t="s">
        <v>1118</v>
      </c>
      <c r="H3337" t="s">
        <v>424</v>
      </c>
      <c r="I3337" t="s">
        <v>1</v>
      </c>
      <c r="J3337">
        <v>1680</v>
      </c>
      <c r="K3337">
        <v>1853.0000000004</v>
      </c>
      <c r="L3337">
        <v>0</v>
      </c>
      <c r="M3337">
        <v>0</v>
      </c>
      <c r="N3337">
        <v>412</v>
      </c>
      <c r="O3337"/>
      <c r="P3337">
        <v>0</v>
      </c>
      <c r="Q3337">
        <f t="shared" si="675"/>
        <v>0</v>
      </c>
      <c r="R3337">
        <v>0</v>
      </c>
      <c r="S3337">
        <f t="shared" si="676"/>
        <v>0</v>
      </c>
      <c r="T3337"/>
      <c r="U3337">
        <f t="shared" si="677"/>
        <v>0</v>
      </c>
      <c r="V3337">
        <f t="shared" si="678"/>
        <v>0</v>
      </c>
      <c r="W3337">
        <f t="shared" si="679"/>
        <v>0</v>
      </c>
      <c r="X3337">
        <v>0</v>
      </c>
    </row>
    <row r="3338" spans="1:24" x14ac:dyDescent="0.25">
      <c r="A3338" t="s">
        <v>2025</v>
      </c>
      <c r="B3338" t="s">
        <v>2055</v>
      </c>
      <c r="C3338" t="s">
        <v>2179</v>
      </c>
      <c r="D3338" t="s">
        <v>339</v>
      </c>
      <c r="E3338" t="s">
        <v>25</v>
      </c>
      <c r="F3338" t="s">
        <v>1</v>
      </c>
      <c r="G3338" t="s">
        <v>1118</v>
      </c>
      <c r="H3338" t="s">
        <v>425</v>
      </c>
      <c r="I3338" t="s">
        <v>1</v>
      </c>
      <c r="J3338"/>
      <c r="K3338"/>
      <c r="L3338">
        <v>369.09</v>
      </c>
      <c r="M3338">
        <v>744.29751381215465</v>
      </c>
      <c r="N3338">
        <v>369.09</v>
      </c>
      <c r="O3338">
        <v>738.18</v>
      </c>
      <c r="P3338">
        <v>0</v>
      </c>
      <c r="Q3338">
        <f t="shared" si="675"/>
        <v>738.18</v>
      </c>
      <c r="R3338">
        <v>738</v>
      </c>
      <c r="S3338">
        <f t="shared" si="676"/>
        <v>-0.17999999999994998</v>
      </c>
      <c r="T3338"/>
      <c r="U3338">
        <f t="shared" si="677"/>
        <v>0</v>
      </c>
      <c r="V3338">
        <f t="shared" si="678"/>
        <v>738</v>
      </c>
      <c r="W3338">
        <f t="shared" si="679"/>
        <v>-0.17999999999994998</v>
      </c>
      <c r="X3338">
        <v>0</v>
      </c>
    </row>
    <row r="3339" spans="1:24" x14ac:dyDescent="0.25">
      <c r="A3339" t="s">
        <v>2025</v>
      </c>
      <c r="B3339" t="s">
        <v>2055</v>
      </c>
      <c r="C3339" t="s">
        <v>2179</v>
      </c>
      <c r="D3339" t="s">
        <v>339</v>
      </c>
      <c r="E3339" t="s">
        <v>26</v>
      </c>
      <c r="F3339" t="s">
        <v>1</v>
      </c>
      <c r="G3339" t="s">
        <v>1118</v>
      </c>
      <c r="H3339" t="s">
        <v>426</v>
      </c>
      <c r="I3339" t="s">
        <v>1</v>
      </c>
      <c r="J3339">
        <v>3059.93</v>
      </c>
      <c r="K3339">
        <v>9419.8883356284005</v>
      </c>
      <c r="L3339">
        <v>1125.96</v>
      </c>
      <c r="M3339">
        <v>2270.5823204419889</v>
      </c>
      <c r="N3339">
        <v>2855.35</v>
      </c>
      <c r="O3339">
        <v>2251.92</v>
      </c>
      <c r="P3339">
        <v>0</v>
      </c>
      <c r="Q3339">
        <f t="shared" si="675"/>
        <v>2251.92</v>
      </c>
      <c r="R3339">
        <v>9420</v>
      </c>
      <c r="S3339">
        <f t="shared" si="676"/>
        <v>7168.08</v>
      </c>
      <c r="T3339"/>
      <c r="U3339">
        <f t="shared" si="677"/>
        <v>0</v>
      </c>
      <c r="V3339">
        <f t="shared" si="678"/>
        <v>9420</v>
      </c>
      <c r="W3339">
        <f t="shared" si="679"/>
        <v>7168.08</v>
      </c>
      <c r="X3339" t="s">
        <v>1826</v>
      </c>
    </row>
    <row r="3340" spans="1:24" x14ac:dyDescent="0.25">
      <c r="A3340" t="s">
        <v>2025</v>
      </c>
      <c r="B3340" t="s">
        <v>2055</v>
      </c>
      <c r="C3340" t="s">
        <v>2179</v>
      </c>
      <c r="D3340" t="s">
        <v>339</v>
      </c>
      <c r="E3340" t="s">
        <v>27</v>
      </c>
      <c r="F3340" t="s">
        <v>1</v>
      </c>
      <c r="G3340" t="s">
        <v>1118</v>
      </c>
      <c r="H3340" t="s">
        <v>427</v>
      </c>
      <c r="I3340" t="s">
        <v>1</v>
      </c>
      <c r="J3340">
        <v>704.04</v>
      </c>
      <c r="K3340">
        <v>1103.0000000004</v>
      </c>
      <c r="L3340">
        <v>0</v>
      </c>
      <c r="M3340">
        <v>0</v>
      </c>
      <c r="N3340">
        <v>88.33</v>
      </c>
      <c r="O3340"/>
      <c r="P3340">
        <v>0</v>
      </c>
      <c r="Q3340">
        <f t="shared" si="675"/>
        <v>0</v>
      </c>
      <c r="R3340">
        <v>0</v>
      </c>
      <c r="S3340">
        <f t="shared" si="676"/>
        <v>0</v>
      </c>
      <c r="T3340"/>
      <c r="U3340">
        <f t="shared" si="677"/>
        <v>0</v>
      </c>
      <c r="V3340">
        <f t="shared" si="678"/>
        <v>0</v>
      </c>
      <c r="W3340">
        <f t="shared" si="679"/>
        <v>0</v>
      </c>
      <c r="X3340">
        <v>0</v>
      </c>
    </row>
    <row r="3341" spans="1:24" x14ac:dyDescent="0.25">
      <c r="A3341" t="s">
        <v>2025</v>
      </c>
      <c r="B3341" t="s">
        <v>2055</v>
      </c>
      <c r="C3341" t="s">
        <v>2179</v>
      </c>
      <c r="D3341" t="s">
        <v>339</v>
      </c>
      <c r="E3341" t="s">
        <v>28</v>
      </c>
      <c r="F3341" t="s">
        <v>1</v>
      </c>
      <c r="G3341" t="s">
        <v>1118</v>
      </c>
      <c r="H3341" t="s">
        <v>428</v>
      </c>
      <c r="I3341" t="s">
        <v>1</v>
      </c>
      <c r="J3341">
        <v>1017.72</v>
      </c>
      <c r="K3341">
        <v>1500</v>
      </c>
      <c r="L3341">
        <v>172.4</v>
      </c>
      <c r="M3341">
        <v>347.65745856353595</v>
      </c>
      <c r="N3341">
        <v>379.20000000000005</v>
      </c>
      <c r="O3341">
        <v>344.8</v>
      </c>
      <c r="P3341">
        <v>0</v>
      </c>
      <c r="Q3341">
        <f t="shared" si="675"/>
        <v>344.8</v>
      </c>
      <c r="R3341">
        <v>345</v>
      </c>
      <c r="S3341">
        <f t="shared" si="676"/>
        <v>0.19999999999998863</v>
      </c>
      <c r="T3341"/>
      <c r="U3341">
        <f t="shared" si="677"/>
        <v>0</v>
      </c>
      <c r="V3341">
        <f t="shared" si="678"/>
        <v>345</v>
      </c>
      <c r="W3341">
        <f t="shared" si="679"/>
        <v>0.19999999999998863</v>
      </c>
      <c r="X3341">
        <v>0</v>
      </c>
    </row>
    <row r="3342" spans="1:24" x14ac:dyDescent="0.25">
      <c r="A3342" t="s">
        <v>2025</v>
      </c>
      <c r="B3342" t="s">
        <v>2055</v>
      </c>
      <c r="C3342" t="s">
        <v>2179</v>
      </c>
      <c r="D3342" t="s">
        <v>339</v>
      </c>
      <c r="E3342" t="s">
        <v>31</v>
      </c>
      <c r="F3342" t="s">
        <v>1</v>
      </c>
      <c r="G3342" t="s">
        <v>1118</v>
      </c>
      <c r="H3342" t="s">
        <v>431</v>
      </c>
      <c r="I3342" t="s">
        <v>1</v>
      </c>
      <c r="J3342">
        <v>3824.05</v>
      </c>
      <c r="K3342">
        <v>3033</v>
      </c>
      <c r="L3342">
        <v>0</v>
      </c>
      <c r="M3342">
        <v>0</v>
      </c>
      <c r="N3342">
        <v>3686.8</v>
      </c>
      <c r="O3342"/>
      <c r="P3342">
        <v>0</v>
      </c>
      <c r="Q3342">
        <f t="shared" si="675"/>
        <v>0</v>
      </c>
      <c r="R3342">
        <v>3687</v>
      </c>
      <c r="S3342">
        <f t="shared" si="676"/>
        <v>3687</v>
      </c>
      <c r="T3342"/>
      <c r="U3342">
        <f t="shared" si="677"/>
        <v>0</v>
      </c>
      <c r="V3342">
        <f t="shared" si="678"/>
        <v>3687</v>
      </c>
      <c r="W3342">
        <f t="shared" si="679"/>
        <v>3687</v>
      </c>
      <c r="X3342">
        <v>0</v>
      </c>
    </row>
    <row r="3343" spans="1:24" x14ac:dyDescent="0.25">
      <c r="A3343" t="s">
        <v>2025</v>
      </c>
      <c r="B3343" t="s">
        <v>2055</v>
      </c>
      <c r="C3343" t="s">
        <v>2179</v>
      </c>
      <c r="D3343" t="s">
        <v>339</v>
      </c>
      <c r="E3343" t="s">
        <v>33</v>
      </c>
      <c r="F3343" t="s">
        <v>1</v>
      </c>
      <c r="G3343" t="s">
        <v>1118</v>
      </c>
      <c r="H3343" t="s">
        <v>433</v>
      </c>
      <c r="I3343" t="s">
        <v>1</v>
      </c>
      <c r="J3343"/>
      <c r="K3343">
        <v>1299.3878729135999</v>
      </c>
      <c r="L3343">
        <v>0</v>
      </c>
      <c r="M3343">
        <v>0</v>
      </c>
      <c r="N3343">
        <v>0</v>
      </c>
      <c r="O3343"/>
      <c r="P3343">
        <v>0</v>
      </c>
      <c r="Q3343">
        <f t="shared" si="675"/>
        <v>0</v>
      </c>
      <c r="R3343">
        <v>1299</v>
      </c>
      <c r="S3343">
        <f t="shared" si="676"/>
        <v>1299</v>
      </c>
      <c r="T3343"/>
      <c r="U3343">
        <f t="shared" si="677"/>
        <v>0</v>
      </c>
      <c r="V3343">
        <f t="shared" si="678"/>
        <v>1299</v>
      </c>
      <c r="W3343">
        <f t="shared" si="679"/>
        <v>1299</v>
      </c>
      <c r="X3343" t="s">
        <v>1827</v>
      </c>
    </row>
    <row r="3344" spans="1:24" x14ac:dyDescent="0.25">
      <c r="A3344" t="s">
        <v>2025</v>
      </c>
      <c r="B3344" t="s">
        <v>2055</v>
      </c>
      <c r="C3344" t="s">
        <v>2179</v>
      </c>
      <c r="D3344" t="s">
        <v>339</v>
      </c>
      <c r="E3344" t="s">
        <v>34</v>
      </c>
      <c r="F3344" t="s">
        <v>1</v>
      </c>
      <c r="G3344" t="s">
        <v>1118</v>
      </c>
      <c r="H3344" t="s">
        <v>434</v>
      </c>
      <c r="I3344" t="s">
        <v>1</v>
      </c>
      <c r="J3344">
        <v>394.81</v>
      </c>
      <c r="K3344">
        <v>2947.6400583564</v>
      </c>
      <c r="L3344">
        <v>0</v>
      </c>
      <c r="M3344">
        <v>0</v>
      </c>
      <c r="N3344">
        <v>0</v>
      </c>
      <c r="O3344"/>
      <c r="P3344">
        <v>0</v>
      </c>
      <c r="Q3344">
        <f t="shared" si="675"/>
        <v>0</v>
      </c>
      <c r="R3344">
        <v>2948</v>
      </c>
      <c r="S3344">
        <f t="shared" si="676"/>
        <v>2948</v>
      </c>
      <c r="T3344"/>
      <c r="U3344">
        <f t="shared" si="677"/>
        <v>0</v>
      </c>
      <c r="V3344">
        <f t="shared" si="678"/>
        <v>2948</v>
      </c>
      <c r="W3344">
        <f t="shared" si="679"/>
        <v>2948</v>
      </c>
      <c r="X3344">
        <v>0</v>
      </c>
    </row>
    <row r="3345" spans="1:24" x14ac:dyDescent="0.25">
      <c r="A3345" t="s">
        <v>2025</v>
      </c>
      <c r="B3345" t="s">
        <v>2055</v>
      </c>
      <c r="C3345" t="s">
        <v>2179</v>
      </c>
      <c r="D3345" t="s">
        <v>339</v>
      </c>
      <c r="E3345" t="s">
        <v>37</v>
      </c>
      <c r="F3345" t="s">
        <v>1</v>
      </c>
      <c r="G3345" t="s">
        <v>1118</v>
      </c>
      <c r="H3345" t="s">
        <v>437</v>
      </c>
      <c r="I3345" t="s">
        <v>1</v>
      </c>
      <c r="J3345">
        <v>377.94</v>
      </c>
      <c r="K3345">
        <v>3325.4168301504001</v>
      </c>
      <c r="L3345">
        <v>40.6</v>
      </c>
      <c r="M3345">
        <v>81.872928176795583</v>
      </c>
      <c r="N3345">
        <v>40.6</v>
      </c>
      <c r="O3345">
        <v>81.2</v>
      </c>
      <c r="P3345">
        <v>0</v>
      </c>
      <c r="Q3345">
        <f t="shared" si="675"/>
        <v>81.2</v>
      </c>
      <c r="R3345">
        <v>3325</v>
      </c>
      <c r="S3345">
        <f t="shared" si="676"/>
        <v>3243.8</v>
      </c>
      <c r="T3345"/>
      <c r="U3345">
        <f t="shared" si="677"/>
        <v>0</v>
      </c>
      <c r="V3345">
        <f t="shared" si="678"/>
        <v>3325</v>
      </c>
      <c r="W3345">
        <f t="shared" si="679"/>
        <v>3243.8</v>
      </c>
      <c r="X3345" t="s">
        <v>1828</v>
      </c>
    </row>
    <row r="3346" spans="1:24" x14ac:dyDescent="0.25">
      <c r="A3346" t="s">
        <v>2025</v>
      </c>
      <c r="B3346" t="s">
        <v>2055</v>
      </c>
      <c r="C3346" t="s">
        <v>2179</v>
      </c>
      <c r="D3346" t="s">
        <v>339</v>
      </c>
      <c r="E3346" t="s">
        <v>41</v>
      </c>
      <c r="F3346" t="s">
        <v>1</v>
      </c>
      <c r="G3346" t="s">
        <v>1118</v>
      </c>
      <c r="H3346" t="s">
        <v>441</v>
      </c>
      <c r="I3346" t="s">
        <v>1</v>
      </c>
      <c r="J3346">
        <v>42</v>
      </c>
      <c r="K3346">
        <v>113.00000000039999</v>
      </c>
      <c r="L3346">
        <v>77.010000000000005</v>
      </c>
      <c r="M3346">
        <v>155.29640883977902</v>
      </c>
      <c r="N3346">
        <v>101.91</v>
      </c>
      <c r="O3346">
        <v>154.02000000000001</v>
      </c>
      <c r="P3346">
        <v>0</v>
      </c>
      <c r="Q3346">
        <f t="shared" si="675"/>
        <v>154.02000000000001</v>
      </c>
      <c r="R3346">
        <v>154</v>
      </c>
      <c r="S3346">
        <f t="shared" si="676"/>
        <v>-2.0000000000010232E-2</v>
      </c>
      <c r="T3346">
        <v>0.03</v>
      </c>
      <c r="U3346">
        <f t="shared" si="677"/>
        <v>4.62</v>
      </c>
      <c r="V3346">
        <f t="shared" si="678"/>
        <v>158.62</v>
      </c>
      <c r="W3346">
        <f t="shared" si="679"/>
        <v>4.5999999999999943</v>
      </c>
      <c r="X3346">
        <v>0</v>
      </c>
    </row>
    <row r="3347" spans="1:24" x14ac:dyDescent="0.25">
      <c r="A3347" t="s">
        <v>2025</v>
      </c>
      <c r="B3347" t="s">
        <v>2055</v>
      </c>
      <c r="C3347" t="s">
        <v>2179</v>
      </c>
      <c r="D3347" t="s">
        <v>339</v>
      </c>
      <c r="E3347" t="s">
        <v>42</v>
      </c>
      <c r="F3347" t="s">
        <v>1</v>
      </c>
      <c r="G3347" t="s">
        <v>1118</v>
      </c>
      <c r="H3347" t="s">
        <v>442</v>
      </c>
      <c r="I3347" t="s">
        <v>1</v>
      </c>
      <c r="J3347">
        <v>202.23</v>
      </c>
      <c r="K3347">
        <v>338.00000000040001</v>
      </c>
      <c r="L3347">
        <v>11.65</v>
      </c>
      <c r="M3347">
        <v>23.493093922651937</v>
      </c>
      <c r="N3347">
        <v>44.879999999999995</v>
      </c>
      <c r="O3347">
        <v>23.3</v>
      </c>
      <c r="P3347">
        <v>0</v>
      </c>
      <c r="Q3347">
        <f t="shared" si="675"/>
        <v>23.3</v>
      </c>
      <c r="R3347">
        <v>23</v>
      </c>
      <c r="S3347">
        <f t="shared" si="676"/>
        <v>-0.30000000000000071</v>
      </c>
      <c r="T3347">
        <v>0.03</v>
      </c>
      <c r="U3347">
        <f t="shared" si="677"/>
        <v>0.69</v>
      </c>
      <c r="V3347">
        <f t="shared" si="678"/>
        <v>23.69</v>
      </c>
      <c r="W3347">
        <f t="shared" si="679"/>
        <v>0.39000000000000057</v>
      </c>
      <c r="X3347">
        <v>0</v>
      </c>
    </row>
    <row r="3348" spans="1:24" x14ac:dyDescent="0.25">
      <c r="A3348" t="s">
        <v>2025</v>
      </c>
      <c r="B3348" t="s">
        <v>2055</v>
      </c>
      <c r="C3348" t="s">
        <v>2179</v>
      </c>
      <c r="D3348" t="s">
        <v>339</v>
      </c>
      <c r="E3348" t="s">
        <v>46</v>
      </c>
      <c r="F3348" t="s">
        <v>1</v>
      </c>
      <c r="G3348" t="s">
        <v>1118</v>
      </c>
      <c r="H3348" t="s">
        <v>446</v>
      </c>
      <c r="I3348" t="s">
        <v>1</v>
      </c>
      <c r="J3348">
        <v>178.26</v>
      </c>
      <c r="K3348"/>
      <c r="L3348">
        <v>0</v>
      </c>
      <c r="M3348">
        <v>0</v>
      </c>
      <c r="N3348">
        <v>0</v>
      </c>
      <c r="O3348"/>
      <c r="P3348">
        <v>0</v>
      </c>
      <c r="Q3348">
        <f t="shared" si="675"/>
        <v>0</v>
      </c>
      <c r="R3348">
        <v>0</v>
      </c>
      <c r="S3348">
        <f t="shared" si="676"/>
        <v>0</v>
      </c>
      <c r="T3348">
        <v>0.03</v>
      </c>
      <c r="U3348">
        <f t="shared" si="677"/>
        <v>0</v>
      </c>
      <c r="V3348">
        <f t="shared" si="678"/>
        <v>0</v>
      </c>
      <c r="W3348">
        <f t="shared" si="679"/>
        <v>0</v>
      </c>
      <c r="X3348">
        <v>0</v>
      </c>
    </row>
    <row r="3349" spans="1:24" x14ac:dyDescent="0.25">
      <c r="A3349" t="s">
        <v>2025</v>
      </c>
      <c r="B3349" t="s">
        <v>2055</v>
      </c>
      <c r="C3349" t="s">
        <v>2179</v>
      </c>
      <c r="D3349" t="s">
        <v>339</v>
      </c>
      <c r="E3349" t="s">
        <v>47</v>
      </c>
      <c r="F3349" t="s">
        <v>1</v>
      </c>
      <c r="G3349" t="s">
        <v>1118</v>
      </c>
      <c r="H3349" t="s">
        <v>447</v>
      </c>
      <c r="I3349" t="s">
        <v>1</v>
      </c>
      <c r="J3349">
        <v>2972.52</v>
      </c>
      <c r="K3349">
        <v>2190</v>
      </c>
      <c r="L3349">
        <v>1451.81</v>
      </c>
      <c r="M3349">
        <v>2927.683149171271</v>
      </c>
      <c r="N3349">
        <v>2990.05</v>
      </c>
      <c r="O3349">
        <v>2903.62</v>
      </c>
      <c r="P3349">
        <v>0</v>
      </c>
      <c r="Q3349">
        <f t="shared" si="675"/>
        <v>2903.62</v>
      </c>
      <c r="R3349">
        <v>2904</v>
      </c>
      <c r="S3349">
        <f t="shared" si="676"/>
        <v>0.38000000000010914</v>
      </c>
      <c r="T3349">
        <v>0.03</v>
      </c>
      <c r="U3349">
        <f t="shared" si="677"/>
        <v>87.11999999999999</v>
      </c>
      <c r="V3349">
        <f t="shared" si="678"/>
        <v>2991.12</v>
      </c>
      <c r="W3349">
        <f t="shared" si="679"/>
        <v>87.5</v>
      </c>
      <c r="X3349" t="s">
        <v>1829</v>
      </c>
    </row>
    <row r="3350" spans="1:24" x14ac:dyDescent="0.25">
      <c r="A3350" t="s">
        <v>2025</v>
      </c>
      <c r="B3350" t="s">
        <v>2055</v>
      </c>
      <c r="C3350" t="s">
        <v>2179</v>
      </c>
      <c r="D3350" t="s">
        <v>339</v>
      </c>
      <c r="E3350" t="s">
        <v>50</v>
      </c>
      <c r="F3350" t="s">
        <v>1</v>
      </c>
      <c r="G3350" t="s">
        <v>1118</v>
      </c>
      <c r="H3350" t="s">
        <v>450</v>
      </c>
      <c r="I3350" t="s">
        <v>1</v>
      </c>
      <c r="J3350">
        <v>769.8</v>
      </c>
      <c r="K3350">
        <v>689.99999999960005</v>
      </c>
      <c r="L3350">
        <v>393.18</v>
      </c>
      <c r="M3350">
        <v>792.87679558011064</v>
      </c>
      <c r="N3350">
        <v>835.06</v>
      </c>
      <c r="O3350">
        <v>792.87679558009995</v>
      </c>
      <c r="P3350">
        <v>0</v>
      </c>
      <c r="Q3350">
        <f t="shared" si="675"/>
        <v>792.87679558009995</v>
      </c>
      <c r="R3350">
        <v>835</v>
      </c>
      <c r="S3350">
        <f t="shared" si="676"/>
        <v>42.123204419900048</v>
      </c>
      <c r="T3350"/>
      <c r="U3350">
        <f t="shared" si="677"/>
        <v>0</v>
      </c>
      <c r="V3350">
        <f t="shared" si="678"/>
        <v>835</v>
      </c>
      <c r="W3350">
        <f t="shared" si="679"/>
        <v>42.123204419900048</v>
      </c>
      <c r="X3350">
        <v>0</v>
      </c>
    </row>
    <row r="3351" spans="1:24" x14ac:dyDescent="0.25">
      <c r="A3351" t="s">
        <v>2025</v>
      </c>
      <c r="B3351" t="s">
        <v>2055</v>
      </c>
      <c r="C3351" t="s">
        <v>2179</v>
      </c>
      <c r="D3351" t="s">
        <v>339</v>
      </c>
      <c r="E3351" t="s">
        <v>51</v>
      </c>
      <c r="F3351" t="s">
        <v>51</v>
      </c>
      <c r="G3351" t="s">
        <v>1119</v>
      </c>
      <c r="H3351"/>
      <c r="I3351"/>
      <c r="J3351">
        <v>32153.78</v>
      </c>
      <c r="K3351">
        <v>36593.592294580201</v>
      </c>
      <c r="L3351">
        <v>9524.8000000000011</v>
      </c>
      <c r="M3351">
        <v>19207.469613259669</v>
      </c>
      <c r="N3351">
        <v>23766.49</v>
      </c>
      <c r="O3351">
        <v>19093.059400157803</v>
      </c>
      <c r="P3351">
        <f>SUMIF($F$3328:$F$3350,"&lt;&gt;EV_*",$P$3328:$P$3350)</f>
        <v>0</v>
      </c>
      <c r="Q3351">
        <f>SUMIF($F$3328:$F$3350,"&lt;&gt;EV_*",$Q$3328:$Q$3350)</f>
        <v>19093.059400157803</v>
      </c>
      <c r="R3351">
        <f>SUMIF($F$3328:$F$3350,"&lt;&gt;EV_*",$R$3328:$R$3350)</f>
        <v>37549</v>
      </c>
      <c r="S3351">
        <f>SUMIF($F$3328:$F$3350,"&lt;&gt;EV_*",$S$3328:$S$3350)</f>
        <v>18455.940599842197</v>
      </c>
      <c r="T3351">
        <v>0</v>
      </c>
      <c r="U3351">
        <f>SUMIF($F$3328:$F$3350,"&lt;&gt;EV_*",$U$3328:$U$3350)</f>
        <v>242.065</v>
      </c>
      <c r="V3351">
        <f>SUMIF($F$3328:$F$3350,"&lt;&gt;EV_*",$V$3328:$V$3350)</f>
        <v>37791.06500000001</v>
      </c>
      <c r="W3351">
        <f>SUMIF($F$3328:$F$3350,"&lt;&gt;EV_*",$W$3328:$W$3350)</f>
        <v>18698.005599842196</v>
      </c>
      <c r="X3351">
        <f>SUMIF($F$3328:$F$3350,"&lt;&gt;EV_*",$X$3328:$X$3350)</f>
        <v>0</v>
      </c>
    </row>
    <row r="3352" spans="1:24" x14ac:dyDescent="0.25">
      <c r="A3352" t="s">
        <v>2025</v>
      </c>
      <c r="B3352" t="s">
        <v>1946</v>
      </c>
      <c r="C3352" t="s">
        <v>2180</v>
      </c>
      <c r="D3352" t="s">
        <v>340</v>
      </c>
      <c r="E3352" t="s">
        <v>5</v>
      </c>
      <c r="F3352" t="s">
        <v>5</v>
      </c>
      <c r="G3352" t="s">
        <v>1120</v>
      </c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</row>
    <row r="3353" spans="1:24" x14ac:dyDescent="0.25">
      <c r="A3353" t="s">
        <v>2025</v>
      </c>
      <c r="B3353" t="s">
        <v>1946</v>
      </c>
      <c r="C3353" t="s">
        <v>2180</v>
      </c>
      <c r="D3353" t="s">
        <v>340</v>
      </c>
      <c r="E3353" t="s">
        <v>10</v>
      </c>
      <c r="F3353" t="s">
        <v>1</v>
      </c>
      <c r="G3353" t="s">
        <v>1121</v>
      </c>
      <c r="H3353" t="s">
        <v>410</v>
      </c>
      <c r="I3353" t="s">
        <v>1</v>
      </c>
      <c r="J3353">
        <v>495</v>
      </c>
      <c r="K3353">
        <v>1010.0000000004</v>
      </c>
      <c r="L3353">
        <v>330</v>
      </c>
      <c r="M3353">
        <v>665.46961325966856</v>
      </c>
      <c r="N3353">
        <v>660</v>
      </c>
      <c r="O3353">
        <v>660</v>
      </c>
      <c r="P3353">
        <v>0</v>
      </c>
      <c r="Q3353">
        <f t="shared" ref="Q3353:Q3361" si="680">O3353+P3353</f>
        <v>660</v>
      </c>
      <c r="R3353">
        <v>660</v>
      </c>
      <c r="S3353">
        <f t="shared" ref="S3353:S3361" si="681">IF(OR(LEFT(E3353,2)="A_",LEFT(D3353,5)="Total"),R3353-Q3353,"")</f>
        <v>0</v>
      </c>
      <c r="T3353"/>
      <c r="U3353">
        <f t="shared" ref="U3353:U3361" si="682">IFERROR(R3353*T3353,R3353*0)</f>
        <v>0</v>
      </c>
      <c r="V3353">
        <f t="shared" ref="V3353:V3361" si="683">IF(OR(LEFT(E3353,2)="A_",LEFT(D3353,5)="Total"),R3353+U3353,"")</f>
        <v>660</v>
      </c>
      <c r="W3353">
        <f t="shared" ref="W3353:W3361" si="684">IF(OR(LEFT(E3353,2)="A_",LEFT(D3353,5)="Total"),V3353-Q3353,"")</f>
        <v>0</v>
      </c>
      <c r="X3353">
        <v>0</v>
      </c>
    </row>
    <row r="3354" spans="1:24" x14ac:dyDescent="0.25">
      <c r="A3354" t="s">
        <v>2025</v>
      </c>
      <c r="B3354" t="s">
        <v>1946</v>
      </c>
      <c r="C3354" t="s">
        <v>2180</v>
      </c>
      <c r="D3354" t="s">
        <v>340</v>
      </c>
      <c r="E3354" t="s">
        <v>11</v>
      </c>
      <c r="F3354" t="s">
        <v>1</v>
      </c>
      <c r="G3354" t="s">
        <v>1121</v>
      </c>
      <c r="H3354" t="s">
        <v>411</v>
      </c>
      <c r="I3354" t="s">
        <v>1</v>
      </c>
      <c r="J3354">
        <v>2519.44</v>
      </c>
      <c r="K3354">
        <v>2450.0000000004002</v>
      </c>
      <c r="L3354">
        <v>1344.98</v>
      </c>
      <c r="M3354">
        <v>2712.2524861878455</v>
      </c>
      <c r="N3354">
        <v>2640.23</v>
      </c>
      <c r="O3354">
        <v>2689.96</v>
      </c>
      <c r="P3354">
        <v>0</v>
      </c>
      <c r="Q3354">
        <f t="shared" si="680"/>
        <v>2689.96</v>
      </c>
      <c r="R3354">
        <v>2689.96</v>
      </c>
      <c r="S3354">
        <f t="shared" si="681"/>
        <v>0</v>
      </c>
      <c r="T3354"/>
      <c r="U3354">
        <f t="shared" si="682"/>
        <v>0</v>
      </c>
      <c r="V3354">
        <f t="shared" si="683"/>
        <v>2689.96</v>
      </c>
      <c r="W3354">
        <f t="shared" si="684"/>
        <v>0</v>
      </c>
      <c r="X3354">
        <v>0</v>
      </c>
    </row>
    <row r="3355" spans="1:24" x14ac:dyDescent="0.25">
      <c r="A3355" t="s">
        <v>2025</v>
      </c>
      <c r="B3355" t="s">
        <v>1946</v>
      </c>
      <c r="C3355" t="s">
        <v>2180</v>
      </c>
      <c r="D3355" t="s">
        <v>340</v>
      </c>
      <c r="E3355" t="s">
        <v>23</v>
      </c>
      <c r="F3355" t="s">
        <v>1</v>
      </c>
      <c r="G3355" t="s">
        <v>1121</v>
      </c>
      <c r="H3355" t="s">
        <v>423</v>
      </c>
      <c r="I3355" t="s">
        <v>1</v>
      </c>
      <c r="J3355">
        <v>318.16000000000003</v>
      </c>
      <c r="K3355">
        <v>662.4</v>
      </c>
      <c r="L3355">
        <v>-318.16000000000003</v>
      </c>
      <c r="M3355">
        <v>-641.59337016574591</v>
      </c>
      <c r="N3355">
        <v>-318.16000000000003</v>
      </c>
      <c r="O3355">
        <v>-641.59337016569998</v>
      </c>
      <c r="P3355">
        <v>0</v>
      </c>
      <c r="Q3355">
        <f t="shared" si="680"/>
        <v>-641.59337016569998</v>
      </c>
      <c r="R3355">
        <v>-641.59337016569998</v>
      </c>
      <c r="S3355">
        <f t="shared" si="681"/>
        <v>0</v>
      </c>
      <c r="T3355">
        <v>3.5000000000000003E-2</v>
      </c>
      <c r="U3355">
        <f t="shared" si="682"/>
        <v>-22.455767955799502</v>
      </c>
      <c r="V3355">
        <f t="shared" si="683"/>
        <v>-664.04913812149948</v>
      </c>
      <c r="W3355">
        <f t="shared" si="684"/>
        <v>-22.455767955799502</v>
      </c>
      <c r="X3355">
        <v>0</v>
      </c>
    </row>
    <row r="3356" spans="1:24" x14ac:dyDescent="0.25">
      <c r="A3356" t="s">
        <v>2025</v>
      </c>
      <c r="B3356" t="s">
        <v>1946</v>
      </c>
      <c r="C3356" t="s">
        <v>2180</v>
      </c>
      <c r="D3356" t="s">
        <v>340</v>
      </c>
      <c r="E3356" t="s">
        <v>26</v>
      </c>
      <c r="F3356" t="s">
        <v>1</v>
      </c>
      <c r="G3356" t="s">
        <v>1121</v>
      </c>
      <c r="H3356" t="s">
        <v>426</v>
      </c>
      <c r="I3356" t="s">
        <v>1</v>
      </c>
      <c r="J3356"/>
      <c r="K3356">
        <v>294.37151048880003</v>
      </c>
      <c r="L3356">
        <v>0</v>
      </c>
      <c r="M3356">
        <v>0</v>
      </c>
      <c r="N3356">
        <v>0</v>
      </c>
      <c r="O3356"/>
      <c r="P3356">
        <v>0</v>
      </c>
      <c r="Q3356">
        <f t="shared" si="680"/>
        <v>0</v>
      </c>
      <c r="R3356">
        <v>0</v>
      </c>
      <c r="S3356">
        <f t="shared" si="681"/>
        <v>0</v>
      </c>
      <c r="T3356"/>
      <c r="U3356">
        <f t="shared" si="682"/>
        <v>0</v>
      </c>
      <c r="V3356">
        <f t="shared" si="683"/>
        <v>0</v>
      </c>
      <c r="W3356">
        <f t="shared" si="684"/>
        <v>0</v>
      </c>
      <c r="X3356">
        <v>0</v>
      </c>
    </row>
    <row r="3357" spans="1:24" x14ac:dyDescent="0.25">
      <c r="A3357" t="s">
        <v>2025</v>
      </c>
      <c r="B3357" t="s">
        <v>1946</v>
      </c>
      <c r="C3357" t="s">
        <v>2180</v>
      </c>
      <c r="D3357" t="s">
        <v>340</v>
      </c>
      <c r="E3357" t="s">
        <v>29</v>
      </c>
      <c r="F3357" t="s">
        <v>1</v>
      </c>
      <c r="G3357" t="s">
        <v>1121</v>
      </c>
      <c r="H3357" t="s">
        <v>429</v>
      </c>
      <c r="I3357" t="s">
        <v>1</v>
      </c>
      <c r="J3357">
        <v>119.74</v>
      </c>
      <c r="K3357"/>
      <c r="L3357">
        <v>0</v>
      </c>
      <c r="M3357">
        <v>0</v>
      </c>
      <c r="N3357">
        <v>119.74</v>
      </c>
      <c r="O3357"/>
      <c r="P3357">
        <v>0</v>
      </c>
      <c r="Q3357">
        <f t="shared" si="680"/>
        <v>0</v>
      </c>
      <c r="R3357">
        <v>0</v>
      </c>
      <c r="S3357">
        <f t="shared" si="681"/>
        <v>0</v>
      </c>
      <c r="T3357"/>
      <c r="U3357">
        <f t="shared" si="682"/>
        <v>0</v>
      </c>
      <c r="V3357">
        <f t="shared" si="683"/>
        <v>0</v>
      </c>
      <c r="W3357">
        <f t="shared" si="684"/>
        <v>0</v>
      </c>
      <c r="X3357">
        <v>0</v>
      </c>
    </row>
    <row r="3358" spans="1:24" x14ac:dyDescent="0.25">
      <c r="A3358" t="s">
        <v>2025</v>
      </c>
      <c r="B3358" t="s">
        <v>1946</v>
      </c>
      <c r="C3358" t="s">
        <v>2180</v>
      </c>
      <c r="D3358" t="s">
        <v>340</v>
      </c>
      <c r="E3358" t="s">
        <v>34</v>
      </c>
      <c r="F3358" t="s">
        <v>1</v>
      </c>
      <c r="G3358" t="s">
        <v>1121</v>
      </c>
      <c r="H3358" t="s">
        <v>434</v>
      </c>
      <c r="I3358" t="s">
        <v>1</v>
      </c>
      <c r="J3358"/>
      <c r="K3358">
        <v>98.123836830000002</v>
      </c>
      <c r="L3358">
        <v>0</v>
      </c>
      <c r="M3358">
        <v>0</v>
      </c>
      <c r="N3358">
        <v>0</v>
      </c>
      <c r="O3358"/>
      <c r="P3358">
        <v>0</v>
      </c>
      <c r="Q3358">
        <f t="shared" si="680"/>
        <v>0</v>
      </c>
      <c r="R3358">
        <v>0</v>
      </c>
      <c r="S3358">
        <f t="shared" si="681"/>
        <v>0</v>
      </c>
      <c r="T3358"/>
      <c r="U3358">
        <f t="shared" si="682"/>
        <v>0</v>
      </c>
      <c r="V3358">
        <f t="shared" si="683"/>
        <v>0</v>
      </c>
      <c r="W3358">
        <f t="shared" si="684"/>
        <v>0</v>
      </c>
      <c r="X3358">
        <v>0</v>
      </c>
    </row>
    <row r="3359" spans="1:24" x14ac:dyDescent="0.25">
      <c r="A3359" t="s">
        <v>2025</v>
      </c>
      <c r="B3359" t="s">
        <v>1946</v>
      </c>
      <c r="C3359" t="s">
        <v>2180</v>
      </c>
      <c r="D3359" t="s">
        <v>340</v>
      </c>
      <c r="E3359" t="s">
        <v>37</v>
      </c>
      <c r="F3359" t="s">
        <v>1</v>
      </c>
      <c r="G3359" t="s">
        <v>1121</v>
      </c>
      <c r="H3359" t="s">
        <v>437</v>
      </c>
      <c r="I3359" t="s">
        <v>1</v>
      </c>
      <c r="J3359">
        <v>1966.03</v>
      </c>
      <c r="K3359"/>
      <c r="L3359">
        <v>6287.3</v>
      </c>
      <c r="M3359">
        <v>12678.809392265193</v>
      </c>
      <c r="N3359">
        <v>6287.3</v>
      </c>
      <c r="O3359">
        <v>12574.6</v>
      </c>
      <c r="P3359">
        <v>0</v>
      </c>
      <c r="Q3359">
        <f t="shared" si="680"/>
        <v>12574.6</v>
      </c>
      <c r="R3359">
        <v>12574.6</v>
      </c>
      <c r="S3359">
        <f t="shared" si="681"/>
        <v>0</v>
      </c>
      <c r="T3359"/>
      <c r="U3359">
        <f t="shared" si="682"/>
        <v>0</v>
      </c>
      <c r="V3359">
        <f t="shared" si="683"/>
        <v>12574.6</v>
      </c>
      <c r="W3359">
        <f t="shared" si="684"/>
        <v>0</v>
      </c>
      <c r="X3359">
        <v>0</v>
      </c>
    </row>
    <row r="3360" spans="1:24" x14ac:dyDescent="0.25">
      <c r="A3360" t="s">
        <v>2025</v>
      </c>
      <c r="B3360" t="s">
        <v>1946</v>
      </c>
      <c r="C3360" t="s">
        <v>2180</v>
      </c>
      <c r="D3360" t="s">
        <v>340</v>
      </c>
      <c r="E3360" t="s">
        <v>41</v>
      </c>
      <c r="F3360" t="s">
        <v>1</v>
      </c>
      <c r="G3360" t="s">
        <v>1121</v>
      </c>
      <c r="H3360" t="s">
        <v>441</v>
      </c>
      <c r="I3360" t="s">
        <v>1</v>
      </c>
      <c r="J3360">
        <v>11.81</v>
      </c>
      <c r="K3360">
        <v>23.199036460799999</v>
      </c>
      <c r="L3360">
        <v>0</v>
      </c>
      <c r="M3360">
        <v>0</v>
      </c>
      <c r="N3360">
        <v>0</v>
      </c>
      <c r="O3360"/>
      <c r="P3360">
        <v>0</v>
      </c>
      <c r="Q3360">
        <f t="shared" si="680"/>
        <v>0</v>
      </c>
      <c r="R3360">
        <v>0</v>
      </c>
      <c r="S3360">
        <f t="shared" si="681"/>
        <v>0</v>
      </c>
      <c r="T3360">
        <v>0.03</v>
      </c>
      <c r="U3360">
        <f t="shared" si="682"/>
        <v>0</v>
      </c>
      <c r="V3360">
        <f t="shared" si="683"/>
        <v>0</v>
      </c>
      <c r="W3360">
        <f t="shared" si="684"/>
        <v>0</v>
      </c>
      <c r="X3360">
        <v>0</v>
      </c>
    </row>
    <row r="3361" spans="1:24" x14ac:dyDescent="0.25">
      <c r="A3361" t="s">
        <v>2025</v>
      </c>
      <c r="B3361" t="s">
        <v>1946</v>
      </c>
      <c r="C3361" t="s">
        <v>2180</v>
      </c>
      <c r="D3361" t="s">
        <v>340</v>
      </c>
      <c r="E3361" t="s">
        <v>50</v>
      </c>
      <c r="F3361" t="s">
        <v>1</v>
      </c>
      <c r="G3361" t="s">
        <v>1121</v>
      </c>
      <c r="H3361" t="s">
        <v>450</v>
      </c>
      <c r="I3361" t="s">
        <v>1</v>
      </c>
      <c r="J3361">
        <v>1861.21</v>
      </c>
      <c r="K3361">
        <v>1910.0000000004</v>
      </c>
      <c r="L3361">
        <v>1174.54</v>
      </c>
      <c r="M3361">
        <v>2368.5475138121546</v>
      </c>
      <c r="N3361">
        <v>2057.8200000000002</v>
      </c>
      <c r="O3361">
        <v>2368.5475138122001</v>
      </c>
      <c r="P3361">
        <v>0</v>
      </c>
      <c r="Q3361">
        <f t="shared" si="680"/>
        <v>2368.5475138122001</v>
      </c>
      <c r="R3361">
        <v>2368.5475138122001</v>
      </c>
      <c r="S3361">
        <f t="shared" si="681"/>
        <v>0</v>
      </c>
      <c r="T3361"/>
      <c r="U3361">
        <f t="shared" si="682"/>
        <v>0</v>
      </c>
      <c r="V3361">
        <f t="shared" si="683"/>
        <v>2368.5475138122001</v>
      </c>
      <c r="W3361">
        <f t="shared" si="684"/>
        <v>0</v>
      </c>
      <c r="X3361">
        <v>0</v>
      </c>
    </row>
    <row r="3362" spans="1:24" x14ac:dyDescent="0.25">
      <c r="A3362" t="s">
        <v>2025</v>
      </c>
      <c r="B3362" t="s">
        <v>1946</v>
      </c>
      <c r="C3362" t="s">
        <v>2180</v>
      </c>
      <c r="D3362" t="s">
        <v>340</v>
      </c>
      <c r="E3362" t="s">
        <v>51</v>
      </c>
      <c r="F3362" t="s">
        <v>51</v>
      </c>
      <c r="G3362" t="s">
        <v>1122</v>
      </c>
      <c r="H3362"/>
      <c r="I3362"/>
      <c r="J3362">
        <v>7291.39</v>
      </c>
      <c r="K3362">
        <v>6448.0943837807999</v>
      </c>
      <c r="L3362">
        <v>8818.66</v>
      </c>
      <c r="M3362">
        <v>17783.485635359117</v>
      </c>
      <c r="N3362">
        <v>11446.93</v>
      </c>
      <c r="O3362">
        <v>17651.514143646498</v>
      </c>
      <c r="P3362">
        <f>SUMIF($F$3352:$F$3361,"&lt;&gt;EV_*",$P$3352:$P$3361)</f>
        <v>0</v>
      </c>
      <c r="Q3362">
        <f>SUMIF($F$3352:$F$3361,"&lt;&gt;EV_*",$Q$3352:$Q$3361)</f>
        <v>17651.514143646498</v>
      </c>
      <c r="R3362">
        <f>SUMIF($F$3352:$F$3361,"&lt;&gt;EV_*",$R$3352:$R$3361)</f>
        <v>17651.514143646498</v>
      </c>
      <c r="S3362">
        <f>SUMIF($F$3352:$F$3361,"&lt;&gt;EV_*",$S$3352:$S$3361)</f>
        <v>0</v>
      </c>
      <c r="T3362">
        <v>0</v>
      </c>
      <c r="U3362">
        <f>SUMIF($F$3352:$F$3361,"&lt;&gt;EV_*",$U$3352:$U$3361)</f>
        <v>-22.455767955799502</v>
      </c>
      <c r="V3362">
        <f>SUMIF($F$3352:$F$3361,"&lt;&gt;EV_*",$V$3352:$V$3361)</f>
        <v>17629.0583756907</v>
      </c>
      <c r="W3362">
        <f>SUMIF($F$3352:$F$3361,"&lt;&gt;EV_*",$W$3352:$W$3361)</f>
        <v>-22.455767955799502</v>
      </c>
      <c r="X3362">
        <f>SUMIF($F$3352:$F$3361,"&lt;&gt;EV_*",$X$3352:$X$3361)</f>
        <v>0</v>
      </c>
    </row>
    <row r="3363" spans="1:24" x14ac:dyDescent="0.25">
      <c r="A3363" t="s">
        <v>1948</v>
      </c>
      <c r="B3363" t="s">
        <v>1946</v>
      </c>
      <c r="C3363" t="s">
        <v>2181</v>
      </c>
      <c r="D3363" t="s">
        <v>341</v>
      </c>
      <c r="E3363" t="s">
        <v>5</v>
      </c>
      <c r="F3363" t="s">
        <v>5</v>
      </c>
      <c r="G3363" t="s">
        <v>1123</v>
      </c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</row>
    <row r="3364" spans="1:24" x14ac:dyDescent="0.25">
      <c r="A3364" t="s">
        <v>1948</v>
      </c>
      <c r="B3364" t="s">
        <v>1946</v>
      </c>
      <c r="C3364" t="s">
        <v>2181</v>
      </c>
      <c r="D3364" t="s">
        <v>341</v>
      </c>
      <c r="E3364" t="s">
        <v>20</v>
      </c>
      <c r="F3364" t="s">
        <v>1</v>
      </c>
      <c r="G3364" t="s">
        <v>1124</v>
      </c>
      <c r="H3364" t="s">
        <v>420</v>
      </c>
      <c r="I3364" t="s">
        <v>1</v>
      </c>
      <c r="J3364"/>
      <c r="K3364"/>
      <c r="L3364">
        <v>2155.5</v>
      </c>
      <c r="M3364">
        <v>4346.7265193370167</v>
      </c>
      <c r="N3364">
        <v>2155.5</v>
      </c>
      <c r="O3364">
        <v>4334.6868131867996</v>
      </c>
      <c r="P3364">
        <v>0</v>
      </c>
      <c r="Q3364">
        <f t="shared" ref="Q3364:Q3369" si="685">O3364+P3364</f>
        <v>4334.6868131867996</v>
      </c>
      <c r="R3364">
        <v>4334.6868131867996</v>
      </c>
      <c r="S3364">
        <f t="shared" ref="S3364:S3369" si="686">IF(OR(LEFT(E3364,2)="A_",LEFT(D3364,5)="Total"),R3364-Q3364,"")</f>
        <v>0</v>
      </c>
      <c r="T3364">
        <v>0.04</v>
      </c>
      <c r="U3364">
        <f t="shared" ref="U3364:U3369" si="687">IFERROR(R3364*T3364,R3364*0)</f>
        <v>173.387472527472</v>
      </c>
      <c r="V3364">
        <f t="shared" ref="V3364:V3369" si="688">IF(OR(LEFT(E3364,2)="A_",LEFT(D3364,5)="Total"),R3364+U3364,"")</f>
        <v>4508.0742857142714</v>
      </c>
      <c r="W3364">
        <f t="shared" ref="W3364:W3369" si="689">IF(OR(LEFT(E3364,2)="A_",LEFT(D3364,5)="Total"),V3364-Q3364,"")</f>
        <v>173.3874725274718</v>
      </c>
      <c r="X3364">
        <v>0</v>
      </c>
    </row>
    <row r="3365" spans="1:24" x14ac:dyDescent="0.25">
      <c r="A3365" t="s">
        <v>1948</v>
      </c>
      <c r="B3365" t="s">
        <v>1946</v>
      </c>
      <c r="C3365" t="s">
        <v>2181</v>
      </c>
      <c r="D3365" t="s">
        <v>341</v>
      </c>
      <c r="E3365" t="s">
        <v>21</v>
      </c>
      <c r="F3365" t="s">
        <v>1</v>
      </c>
      <c r="G3365" t="s">
        <v>1124</v>
      </c>
      <c r="H3365" t="s">
        <v>421</v>
      </c>
      <c r="I3365" t="s">
        <v>1</v>
      </c>
      <c r="J3365">
        <v>953.78</v>
      </c>
      <c r="K3365">
        <v>801.18</v>
      </c>
      <c r="L3365">
        <v>148.56</v>
      </c>
      <c r="M3365">
        <v>299.58232044198894</v>
      </c>
      <c r="N3365">
        <v>646.75</v>
      </c>
      <c r="O3365">
        <v>299.58232044200003</v>
      </c>
      <c r="P3365">
        <v>0</v>
      </c>
      <c r="Q3365">
        <f t="shared" si="685"/>
        <v>299.58232044200003</v>
      </c>
      <c r="R3365">
        <v>299.58232044200003</v>
      </c>
      <c r="S3365">
        <f t="shared" si="686"/>
        <v>0</v>
      </c>
      <c r="T3365">
        <v>0.03</v>
      </c>
      <c r="U3365">
        <f t="shared" si="687"/>
        <v>8.98746961326</v>
      </c>
      <c r="V3365">
        <f t="shared" si="688"/>
        <v>308.56979005526</v>
      </c>
      <c r="W3365">
        <f t="shared" si="689"/>
        <v>8.9874696132599752</v>
      </c>
      <c r="X3365">
        <v>0</v>
      </c>
    </row>
    <row r="3366" spans="1:24" x14ac:dyDescent="0.25">
      <c r="A3366" t="s">
        <v>1948</v>
      </c>
      <c r="B3366" t="s">
        <v>1946</v>
      </c>
      <c r="C3366" t="s">
        <v>2181</v>
      </c>
      <c r="D3366" t="s">
        <v>341</v>
      </c>
      <c r="E3366" t="s">
        <v>22</v>
      </c>
      <c r="F3366" t="s">
        <v>1</v>
      </c>
      <c r="G3366" t="s">
        <v>1124</v>
      </c>
      <c r="H3366" t="s">
        <v>422</v>
      </c>
      <c r="I3366" t="s">
        <v>1</v>
      </c>
      <c r="J3366">
        <v>559.03</v>
      </c>
      <c r="K3366">
        <v>507.14999999970001</v>
      </c>
      <c r="L3366">
        <v>106.93</v>
      </c>
      <c r="M3366">
        <v>215.63232044198895</v>
      </c>
      <c r="N3366">
        <v>420.3</v>
      </c>
      <c r="O3366">
        <v>215.63232044200001</v>
      </c>
      <c r="P3366">
        <v>0</v>
      </c>
      <c r="Q3366">
        <f t="shared" si="685"/>
        <v>215.63232044200001</v>
      </c>
      <c r="R3366">
        <v>215.63232044200001</v>
      </c>
      <c r="S3366">
        <f t="shared" si="686"/>
        <v>0</v>
      </c>
      <c r="T3366">
        <v>3.5000000000000003E-2</v>
      </c>
      <c r="U3366">
        <f t="shared" si="687"/>
        <v>7.5471312154700012</v>
      </c>
      <c r="V3366">
        <f t="shared" si="688"/>
        <v>223.17945165747</v>
      </c>
      <c r="W3366">
        <f t="shared" si="689"/>
        <v>7.5471312154699888</v>
      </c>
      <c r="X3366">
        <v>0</v>
      </c>
    </row>
    <row r="3367" spans="1:24" x14ac:dyDescent="0.25">
      <c r="A3367" t="s">
        <v>1948</v>
      </c>
      <c r="B3367" t="s">
        <v>1946</v>
      </c>
      <c r="C3367" t="s">
        <v>2181</v>
      </c>
      <c r="D3367" t="s">
        <v>341</v>
      </c>
      <c r="E3367" t="s">
        <v>28</v>
      </c>
      <c r="F3367" t="s">
        <v>1</v>
      </c>
      <c r="G3367" t="s">
        <v>1124</v>
      </c>
      <c r="H3367" t="s">
        <v>428</v>
      </c>
      <c r="I3367" t="s">
        <v>1</v>
      </c>
      <c r="J3367">
        <v>27.79</v>
      </c>
      <c r="K3367"/>
      <c r="L3367">
        <v>0</v>
      </c>
      <c r="M3367">
        <v>0</v>
      </c>
      <c r="N3367">
        <v>27.79</v>
      </c>
      <c r="O3367"/>
      <c r="P3367">
        <v>0</v>
      </c>
      <c r="Q3367">
        <f t="shared" si="685"/>
        <v>0</v>
      </c>
      <c r="R3367">
        <v>0</v>
      </c>
      <c r="S3367">
        <f t="shared" si="686"/>
        <v>0</v>
      </c>
      <c r="T3367"/>
      <c r="U3367">
        <f t="shared" si="687"/>
        <v>0</v>
      </c>
      <c r="V3367">
        <f t="shared" si="688"/>
        <v>0</v>
      </c>
      <c r="W3367">
        <f t="shared" si="689"/>
        <v>0</v>
      </c>
      <c r="X3367">
        <v>0</v>
      </c>
    </row>
    <row r="3368" spans="1:24" x14ac:dyDescent="0.25">
      <c r="A3368" t="s">
        <v>1948</v>
      </c>
      <c r="B3368" t="s">
        <v>1946</v>
      </c>
      <c r="C3368" t="s">
        <v>2181</v>
      </c>
      <c r="D3368" t="s">
        <v>341</v>
      </c>
      <c r="E3368" t="s">
        <v>41</v>
      </c>
      <c r="F3368" t="s">
        <v>1</v>
      </c>
      <c r="G3368" t="s">
        <v>1124</v>
      </c>
      <c r="H3368" t="s">
        <v>441</v>
      </c>
      <c r="I3368" t="s">
        <v>1</v>
      </c>
      <c r="J3368"/>
      <c r="K3368"/>
      <c r="L3368">
        <v>89.07</v>
      </c>
      <c r="M3368">
        <v>179.61629834254143</v>
      </c>
      <c r="N3368">
        <v>89.07</v>
      </c>
      <c r="O3368">
        <v>178.14</v>
      </c>
      <c r="P3368">
        <v>0</v>
      </c>
      <c r="Q3368">
        <f t="shared" si="685"/>
        <v>178.14</v>
      </c>
      <c r="R3368">
        <v>178.14</v>
      </c>
      <c r="S3368">
        <f t="shared" si="686"/>
        <v>0</v>
      </c>
      <c r="T3368">
        <v>0.03</v>
      </c>
      <c r="U3368">
        <f t="shared" si="687"/>
        <v>5.344199999999999</v>
      </c>
      <c r="V3368">
        <f t="shared" si="688"/>
        <v>183.48419999999999</v>
      </c>
      <c r="W3368">
        <f t="shared" si="689"/>
        <v>5.3442000000000007</v>
      </c>
      <c r="X3368">
        <v>0</v>
      </c>
    </row>
    <row r="3369" spans="1:24" x14ac:dyDescent="0.25">
      <c r="A3369" t="s">
        <v>1948</v>
      </c>
      <c r="B3369" t="s">
        <v>1946</v>
      </c>
      <c r="C3369" t="s">
        <v>2181</v>
      </c>
      <c r="D3369" t="s">
        <v>341</v>
      </c>
      <c r="E3369" t="s">
        <v>48</v>
      </c>
      <c r="F3369" t="s">
        <v>1</v>
      </c>
      <c r="G3369" t="s">
        <v>1124</v>
      </c>
      <c r="H3369" t="s">
        <v>448</v>
      </c>
      <c r="I3369" t="s">
        <v>1</v>
      </c>
      <c r="J3369"/>
      <c r="K3369"/>
      <c r="L3369">
        <v>56.92</v>
      </c>
      <c r="M3369">
        <v>114.78342541436464</v>
      </c>
      <c r="N3369">
        <v>56.92</v>
      </c>
      <c r="O3369">
        <v>113.84</v>
      </c>
      <c r="P3369">
        <v>0</v>
      </c>
      <c r="Q3369">
        <f t="shared" si="685"/>
        <v>113.84</v>
      </c>
      <c r="R3369">
        <v>113.84</v>
      </c>
      <c r="S3369">
        <f t="shared" si="686"/>
        <v>0</v>
      </c>
      <c r="T3369">
        <v>0.03</v>
      </c>
      <c r="U3369">
        <f t="shared" si="687"/>
        <v>3.4152</v>
      </c>
      <c r="V3369">
        <f t="shared" si="688"/>
        <v>117.2552</v>
      </c>
      <c r="W3369">
        <f t="shared" si="689"/>
        <v>3.4151999999999987</v>
      </c>
      <c r="X3369">
        <v>0</v>
      </c>
    </row>
    <row r="3370" spans="1:24" x14ac:dyDescent="0.25">
      <c r="A3370" t="s">
        <v>1948</v>
      </c>
      <c r="B3370" t="s">
        <v>1946</v>
      </c>
      <c r="C3370" t="s">
        <v>2181</v>
      </c>
      <c r="D3370" t="s">
        <v>341</v>
      </c>
      <c r="E3370" t="s">
        <v>51</v>
      </c>
      <c r="F3370" t="s">
        <v>51</v>
      </c>
      <c r="G3370" t="s">
        <v>1125</v>
      </c>
      <c r="H3370"/>
      <c r="I3370"/>
      <c r="J3370">
        <v>1540.6</v>
      </c>
      <c r="K3370">
        <v>1308.3299999997</v>
      </c>
      <c r="L3370">
        <v>2556.98</v>
      </c>
      <c r="M3370">
        <v>5156.3408839778995</v>
      </c>
      <c r="N3370">
        <v>3396.3300000000004</v>
      </c>
      <c r="O3370">
        <v>5141.8814540707999</v>
      </c>
      <c r="P3370">
        <f>SUMIF($F$3363:$F$3369,"&lt;&gt;EV_*",$P$3363:$P$3369)</f>
        <v>0</v>
      </c>
      <c r="Q3370">
        <f>SUMIF($F$3363:$F$3369,"&lt;&gt;EV_*",$Q$3363:$Q$3369)</f>
        <v>5141.8814540707999</v>
      </c>
      <c r="R3370">
        <f>SUMIF($F$3363:$F$3369,"&lt;&gt;EV_*",$R$3363:$R$3369)</f>
        <v>5141.8814540707999</v>
      </c>
      <c r="S3370">
        <f>SUMIF($F$3363:$F$3369,"&lt;&gt;EV_*",$S$3363:$S$3369)</f>
        <v>0</v>
      </c>
      <c r="T3370">
        <v>0</v>
      </c>
      <c r="U3370">
        <f>SUMIF($F$3363:$F$3369,"&lt;&gt;EV_*",$U$3363:$U$3369)</f>
        <v>198.68147335620199</v>
      </c>
      <c r="V3370">
        <f>SUMIF($F$3363:$F$3369,"&lt;&gt;EV_*",$V$3363:$V$3369)</f>
        <v>5340.5629274270004</v>
      </c>
      <c r="W3370">
        <f>SUMIF($F$3363:$F$3369,"&lt;&gt;EV_*",$W$3363:$W$3369)</f>
        <v>198.68147335620176</v>
      </c>
      <c r="X3370">
        <f>SUMIF($F$3363:$F$3369,"&lt;&gt;EV_*",$X$3363:$X$3369)</f>
        <v>0</v>
      </c>
    </row>
    <row r="3371" spans="1:24" x14ac:dyDescent="0.25">
      <c r="A3371" t="s">
        <v>2025</v>
      </c>
      <c r="B3371" t="s">
        <v>2062</v>
      </c>
      <c r="C3371" t="s">
        <v>2182</v>
      </c>
      <c r="D3371" t="s">
        <v>342</v>
      </c>
      <c r="E3371" t="s">
        <v>5</v>
      </c>
      <c r="F3371" t="s">
        <v>5</v>
      </c>
      <c r="G3371" t="s">
        <v>1126</v>
      </c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</row>
    <row r="3372" spans="1:24" x14ac:dyDescent="0.25">
      <c r="A3372" t="s">
        <v>2025</v>
      </c>
      <c r="B3372" t="s">
        <v>2062</v>
      </c>
      <c r="C3372" t="s">
        <v>2182</v>
      </c>
      <c r="D3372" t="s">
        <v>342</v>
      </c>
      <c r="E3372" t="s">
        <v>10</v>
      </c>
      <c r="F3372" t="s">
        <v>1</v>
      </c>
      <c r="G3372" t="s">
        <v>1127</v>
      </c>
      <c r="H3372" t="s">
        <v>410</v>
      </c>
      <c r="I3372" t="s">
        <v>1</v>
      </c>
      <c r="J3372">
        <v>129354.77</v>
      </c>
      <c r="K3372">
        <v>131978</v>
      </c>
      <c r="L3372">
        <v>102851.53</v>
      </c>
      <c r="M3372">
        <v>207407.7814917127</v>
      </c>
      <c r="N3372">
        <v>171560.11</v>
      </c>
      <c r="O3372">
        <v>205703.06</v>
      </c>
      <c r="P3372">
        <v>0</v>
      </c>
      <c r="Q3372">
        <f t="shared" ref="Q3372:Q3400" si="690">O3372+P3372</f>
        <v>205703.06</v>
      </c>
      <c r="R3372">
        <v>229288</v>
      </c>
      <c r="S3372">
        <f t="shared" ref="S3372:S3400" si="691">IF(OR(LEFT(E3372,2)="A_",LEFT(D3372,5)="Total"),R3372-Q3372,"")</f>
        <v>23584.940000000002</v>
      </c>
      <c r="T3372"/>
      <c r="U3372">
        <f t="shared" ref="U3372:U3400" si="692">IFERROR(R3372*T3372,R3372*0)</f>
        <v>0</v>
      </c>
      <c r="V3372">
        <f t="shared" ref="V3372:V3400" si="693">IF(OR(LEFT(E3372,2)="A_",LEFT(D3372,5)="Total"),R3372+U3372,"")</f>
        <v>229288</v>
      </c>
      <c r="W3372">
        <f t="shared" ref="W3372:W3400" si="694">IF(OR(LEFT(E3372,2)="A_",LEFT(D3372,5)="Total"),V3372-Q3372,"")</f>
        <v>23584.940000000002</v>
      </c>
      <c r="X3372" t="s">
        <v>1830</v>
      </c>
    </row>
    <row r="3373" spans="1:24" x14ac:dyDescent="0.25">
      <c r="A3373" t="s">
        <v>2025</v>
      </c>
      <c r="B3373" t="s">
        <v>2062</v>
      </c>
      <c r="C3373" t="s">
        <v>2182</v>
      </c>
      <c r="D3373" t="s">
        <v>342</v>
      </c>
      <c r="E3373" t="s">
        <v>11</v>
      </c>
      <c r="F3373" t="s">
        <v>1</v>
      </c>
      <c r="G3373" t="s">
        <v>1127</v>
      </c>
      <c r="H3373" t="s">
        <v>411</v>
      </c>
      <c r="I3373" t="s">
        <v>1</v>
      </c>
      <c r="J3373">
        <v>2497.5700000000002</v>
      </c>
      <c r="K3373">
        <v>2237.91</v>
      </c>
      <c r="L3373">
        <v>1134.04</v>
      </c>
      <c r="M3373">
        <v>2286.8762430939223</v>
      </c>
      <c r="N3373">
        <v>2332.7400000000002</v>
      </c>
      <c r="O3373">
        <v>2268.08</v>
      </c>
      <c r="P3373">
        <v>0</v>
      </c>
      <c r="Q3373">
        <f t="shared" si="690"/>
        <v>2268.08</v>
      </c>
      <c r="R3373">
        <v>2316</v>
      </c>
      <c r="S3373">
        <f t="shared" si="691"/>
        <v>47.920000000000073</v>
      </c>
      <c r="T3373"/>
      <c r="U3373">
        <f t="shared" si="692"/>
        <v>0</v>
      </c>
      <c r="V3373">
        <f t="shared" si="693"/>
        <v>2316</v>
      </c>
      <c r="W3373">
        <f t="shared" si="694"/>
        <v>47.920000000000073</v>
      </c>
      <c r="X3373" t="s">
        <v>1831</v>
      </c>
    </row>
    <row r="3374" spans="1:24" x14ac:dyDescent="0.25">
      <c r="A3374" t="s">
        <v>2025</v>
      </c>
      <c r="B3374" t="s">
        <v>2062</v>
      </c>
      <c r="C3374" t="s">
        <v>2182</v>
      </c>
      <c r="D3374" t="s">
        <v>342</v>
      </c>
      <c r="E3374" t="s">
        <v>65</v>
      </c>
      <c r="F3374" t="s">
        <v>1</v>
      </c>
      <c r="G3374" t="s">
        <v>1127</v>
      </c>
      <c r="H3374" t="s">
        <v>476</v>
      </c>
      <c r="I3374" t="s">
        <v>1</v>
      </c>
      <c r="J3374">
        <v>-6293.67</v>
      </c>
      <c r="K3374">
        <v>-7190.1200000002</v>
      </c>
      <c r="L3374">
        <v>-3062.17</v>
      </c>
      <c r="M3374">
        <v>-6175.0941988950281</v>
      </c>
      <c r="N3374">
        <v>-6156.47</v>
      </c>
      <c r="O3374">
        <v>-6157.9902197802003</v>
      </c>
      <c r="P3374">
        <v>0</v>
      </c>
      <c r="Q3374">
        <f t="shared" si="690"/>
        <v>-6157.9902197802003</v>
      </c>
      <c r="R3374">
        <v>-6157.9902197802003</v>
      </c>
      <c r="S3374">
        <f t="shared" si="691"/>
        <v>0</v>
      </c>
      <c r="T3374"/>
      <c r="U3374">
        <f t="shared" si="692"/>
        <v>0</v>
      </c>
      <c r="V3374">
        <f t="shared" si="693"/>
        <v>-6157.9902197802003</v>
      </c>
      <c r="W3374">
        <f t="shared" si="694"/>
        <v>0</v>
      </c>
      <c r="X3374">
        <v>0</v>
      </c>
    </row>
    <row r="3375" spans="1:24" x14ac:dyDescent="0.25">
      <c r="A3375" t="s">
        <v>2025</v>
      </c>
      <c r="B3375" t="s">
        <v>2062</v>
      </c>
      <c r="C3375" t="s">
        <v>2182</v>
      </c>
      <c r="D3375" t="s">
        <v>342</v>
      </c>
      <c r="E3375" t="s">
        <v>17</v>
      </c>
      <c r="F3375" t="s">
        <v>1</v>
      </c>
      <c r="G3375" t="s">
        <v>1127</v>
      </c>
      <c r="H3375" t="s">
        <v>417</v>
      </c>
      <c r="I3375" t="s">
        <v>1</v>
      </c>
      <c r="J3375">
        <v>-1630.43</v>
      </c>
      <c r="K3375">
        <v>-5200</v>
      </c>
      <c r="L3375">
        <v>-789.52</v>
      </c>
      <c r="M3375">
        <v>-1592.1259668508287</v>
      </c>
      <c r="N3375">
        <v>-1771.71</v>
      </c>
      <c r="O3375">
        <v>-1587.716043956</v>
      </c>
      <c r="P3375">
        <v>0</v>
      </c>
      <c r="Q3375">
        <f t="shared" si="690"/>
        <v>-1587.716043956</v>
      </c>
      <c r="R3375">
        <v>-1587.716043956</v>
      </c>
      <c r="S3375">
        <f t="shared" si="691"/>
        <v>0</v>
      </c>
      <c r="T3375"/>
      <c r="U3375">
        <f t="shared" si="692"/>
        <v>0</v>
      </c>
      <c r="V3375">
        <f t="shared" si="693"/>
        <v>-1587.716043956</v>
      </c>
      <c r="W3375">
        <f t="shared" si="694"/>
        <v>0</v>
      </c>
      <c r="X3375">
        <v>0</v>
      </c>
    </row>
    <row r="3376" spans="1:24" x14ac:dyDescent="0.25">
      <c r="A3376" t="s">
        <v>2025</v>
      </c>
      <c r="B3376" t="s">
        <v>2062</v>
      </c>
      <c r="C3376" t="s">
        <v>2182</v>
      </c>
      <c r="D3376" t="s">
        <v>342</v>
      </c>
      <c r="E3376" t="s">
        <v>82</v>
      </c>
      <c r="F3376" t="s">
        <v>1</v>
      </c>
      <c r="G3376" t="s">
        <v>1127</v>
      </c>
      <c r="H3376" t="s">
        <v>507</v>
      </c>
      <c r="I3376" t="s">
        <v>1</v>
      </c>
      <c r="J3376">
        <v>155.15</v>
      </c>
      <c r="K3376"/>
      <c r="L3376">
        <v>595.69000000000005</v>
      </c>
      <c r="M3376">
        <v>1201.2533149171272</v>
      </c>
      <c r="N3376">
        <v>697.98</v>
      </c>
      <c r="O3376">
        <v>1197.9260439560001</v>
      </c>
      <c r="P3376">
        <v>0</v>
      </c>
      <c r="Q3376">
        <f t="shared" si="690"/>
        <v>1197.9260439560001</v>
      </c>
      <c r="R3376">
        <v>500</v>
      </c>
      <c r="S3376">
        <f t="shared" si="691"/>
        <v>-697.92604395600006</v>
      </c>
      <c r="T3376">
        <v>2.75E-2</v>
      </c>
      <c r="U3376">
        <f t="shared" si="692"/>
        <v>13.75</v>
      </c>
      <c r="V3376">
        <f t="shared" si="693"/>
        <v>513.75</v>
      </c>
      <c r="W3376">
        <f t="shared" si="694"/>
        <v>-684.17604395600006</v>
      </c>
      <c r="X3376">
        <v>0</v>
      </c>
    </row>
    <row r="3377" spans="1:24" x14ac:dyDescent="0.25">
      <c r="A3377" t="s">
        <v>2025</v>
      </c>
      <c r="B3377" t="s">
        <v>2062</v>
      </c>
      <c r="C3377" t="s">
        <v>2182</v>
      </c>
      <c r="D3377" t="s">
        <v>342</v>
      </c>
      <c r="E3377" t="s">
        <v>18</v>
      </c>
      <c r="F3377" t="s">
        <v>1</v>
      </c>
      <c r="G3377" t="s">
        <v>1127</v>
      </c>
      <c r="H3377" t="s">
        <v>418</v>
      </c>
      <c r="I3377" t="s">
        <v>1</v>
      </c>
      <c r="J3377">
        <v>479204.48</v>
      </c>
      <c r="K3377">
        <v>480195.78133942903</v>
      </c>
      <c r="L3377">
        <v>202006.54</v>
      </c>
      <c r="M3377">
        <v>407361.25469613267</v>
      </c>
      <c r="N3377">
        <v>438401.93</v>
      </c>
      <c r="O3377">
        <v>406232.93208791199</v>
      </c>
      <c r="P3377">
        <v>0</v>
      </c>
      <c r="Q3377">
        <f t="shared" si="690"/>
        <v>406232.93208791199</v>
      </c>
      <c r="R3377">
        <v>406232.93208791199</v>
      </c>
      <c r="S3377">
        <f t="shared" si="691"/>
        <v>0</v>
      </c>
      <c r="T3377">
        <v>0.02</v>
      </c>
      <c r="U3377">
        <f t="shared" si="692"/>
        <v>8124.6586417582403</v>
      </c>
      <c r="V3377">
        <f t="shared" si="693"/>
        <v>414357.59072967025</v>
      </c>
      <c r="W3377">
        <f t="shared" si="694"/>
        <v>8124.6586417582585</v>
      </c>
      <c r="X3377">
        <v>0</v>
      </c>
    </row>
    <row r="3378" spans="1:24" x14ac:dyDescent="0.25">
      <c r="A3378" t="s">
        <v>2025</v>
      </c>
      <c r="B3378" t="s">
        <v>2062</v>
      </c>
      <c r="C3378" t="s">
        <v>2182</v>
      </c>
      <c r="D3378" t="s">
        <v>342</v>
      </c>
      <c r="E3378" t="s">
        <v>189</v>
      </c>
      <c r="F3378" t="s">
        <v>1</v>
      </c>
      <c r="G3378" t="s">
        <v>1127</v>
      </c>
      <c r="H3378" t="s">
        <v>768</v>
      </c>
      <c r="I3378" t="s">
        <v>1</v>
      </c>
      <c r="J3378">
        <v>274789.01</v>
      </c>
      <c r="K3378">
        <v>281117.01254469802</v>
      </c>
      <c r="L3378">
        <v>120488.95</v>
      </c>
      <c r="M3378">
        <v>242974.95441988952</v>
      </c>
      <c r="N3378">
        <v>258766.93</v>
      </c>
      <c r="O3378">
        <v>242301.954395604</v>
      </c>
      <c r="P3378">
        <v>0</v>
      </c>
      <c r="Q3378">
        <f t="shared" si="690"/>
        <v>242301.954395604</v>
      </c>
      <c r="R3378">
        <v>242301.954395604</v>
      </c>
      <c r="S3378">
        <f t="shared" si="691"/>
        <v>0</v>
      </c>
      <c r="T3378">
        <v>0.04</v>
      </c>
      <c r="U3378">
        <f t="shared" si="692"/>
        <v>9692.078175824161</v>
      </c>
      <c r="V3378">
        <f t="shared" si="693"/>
        <v>251994.03257142816</v>
      </c>
      <c r="W3378">
        <f t="shared" si="694"/>
        <v>9692.0781758241646</v>
      </c>
      <c r="X3378">
        <v>0</v>
      </c>
    </row>
    <row r="3379" spans="1:24" x14ac:dyDescent="0.25">
      <c r="A3379" t="s">
        <v>2025</v>
      </c>
      <c r="B3379" t="s">
        <v>2062</v>
      </c>
      <c r="C3379" t="s">
        <v>2182</v>
      </c>
      <c r="D3379" t="s">
        <v>342</v>
      </c>
      <c r="E3379" t="s">
        <v>19</v>
      </c>
      <c r="F3379" t="s">
        <v>1</v>
      </c>
      <c r="G3379" t="s">
        <v>1127</v>
      </c>
      <c r="H3379" t="s">
        <v>419</v>
      </c>
      <c r="I3379" t="s">
        <v>1</v>
      </c>
      <c r="J3379">
        <v>1353.28</v>
      </c>
      <c r="K3379">
        <v>2073.3586172839</v>
      </c>
      <c r="L3379">
        <v>6442.53</v>
      </c>
      <c r="M3379">
        <v>12991.842265193369</v>
      </c>
      <c r="N3379">
        <v>6442.53</v>
      </c>
      <c r="O3379">
        <v>12955.857032967</v>
      </c>
      <c r="P3379">
        <v>0</v>
      </c>
      <c r="Q3379">
        <f t="shared" si="690"/>
        <v>12955.857032967</v>
      </c>
      <c r="R3379">
        <v>6442.53</v>
      </c>
      <c r="S3379">
        <f t="shared" si="691"/>
        <v>-6513.3270329670004</v>
      </c>
      <c r="T3379">
        <v>0.02</v>
      </c>
      <c r="U3379">
        <f t="shared" si="692"/>
        <v>128.85059999999999</v>
      </c>
      <c r="V3379">
        <f t="shared" si="693"/>
        <v>6571.3805999999995</v>
      </c>
      <c r="W3379">
        <f t="shared" si="694"/>
        <v>-6384.4764329670006</v>
      </c>
      <c r="X3379" t="s">
        <v>1832</v>
      </c>
    </row>
    <row r="3380" spans="1:24" x14ac:dyDescent="0.25">
      <c r="A3380" t="s">
        <v>2025</v>
      </c>
      <c r="B3380" t="s">
        <v>2062</v>
      </c>
      <c r="C3380" t="s">
        <v>2182</v>
      </c>
      <c r="D3380" t="s">
        <v>342</v>
      </c>
      <c r="E3380" t="s">
        <v>74</v>
      </c>
      <c r="F3380" t="s">
        <v>1</v>
      </c>
      <c r="G3380" t="s">
        <v>1127</v>
      </c>
      <c r="H3380" t="s">
        <v>491</v>
      </c>
      <c r="I3380" t="s">
        <v>1</v>
      </c>
      <c r="J3380">
        <v>32081.05</v>
      </c>
      <c r="K3380">
        <v>32397.362148148299</v>
      </c>
      <c r="L3380">
        <v>14670.54</v>
      </c>
      <c r="M3380">
        <v>29584.238121546961</v>
      </c>
      <c r="N3380">
        <v>30895.31</v>
      </c>
      <c r="O3380">
        <v>29502.2947252747</v>
      </c>
      <c r="P3380">
        <v>0</v>
      </c>
      <c r="Q3380">
        <f t="shared" si="690"/>
        <v>29502.2947252747</v>
      </c>
      <c r="R3380">
        <v>29502.2947252747</v>
      </c>
      <c r="S3380">
        <f t="shared" si="691"/>
        <v>0</v>
      </c>
      <c r="T3380">
        <v>3.5000000000000003E-2</v>
      </c>
      <c r="U3380">
        <f t="shared" si="692"/>
        <v>1032.5803153846146</v>
      </c>
      <c r="V3380">
        <f t="shared" si="693"/>
        <v>30534.875040659314</v>
      </c>
      <c r="W3380">
        <f t="shared" si="694"/>
        <v>1032.5803153846136</v>
      </c>
      <c r="X3380">
        <v>0</v>
      </c>
    </row>
    <row r="3381" spans="1:24" x14ac:dyDescent="0.25">
      <c r="A3381" t="s">
        <v>2025</v>
      </c>
      <c r="B3381" t="s">
        <v>2062</v>
      </c>
      <c r="C3381" t="s">
        <v>2182</v>
      </c>
      <c r="D3381" t="s">
        <v>342</v>
      </c>
      <c r="E3381" t="s">
        <v>85</v>
      </c>
      <c r="F3381" t="s">
        <v>1</v>
      </c>
      <c r="G3381" t="s">
        <v>1127</v>
      </c>
      <c r="H3381" t="s">
        <v>510</v>
      </c>
      <c r="I3381" t="s">
        <v>1</v>
      </c>
      <c r="J3381">
        <v>2380.63</v>
      </c>
      <c r="K3381">
        <v>2828.3462469136998</v>
      </c>
      <c r="L3381">
        <v>1270.96</v>
      </c>
      <c r="M3381">
        <v>2562.9856353591163</v>
      </c>
      <c r="N3381">
        <v>2443.89</v>
      </c>
      <c r="O3381">
        <v>2555.8865934065998</v>
      </c>
      <c r="P3381">
        <v>0</v>
      </c>
      <c r="Q3381">
        <f t="shared" si="690"/>
        <v>2555.8865934065998</v>
      </c>
      <c r="R3381">
        <v>2555.8865934065998</v>
      </c>
      <c r="S3381">
        <f t="shared" si="691"/>
        <v>0</v>
      </c>
      <c r="T3381">
        <v>0.02</v>
      </c>
      <c r="U3381">
        <f t="shared" si="692"/>
        <v>51.117731868131997</v>
      </c>
      <c r="V3381">
        <f t="shared" si="693"/>
        <v>2607.0043252747319</v>
      </c>
      <c r="W3381">
        <f t="shared" si="694"/>
        <v>51.117731868132068</v>
      </c>
      <c r="X3381">
        <v>0</v>
      </c>
    </row>
    <row r="3382" spans="1:24" x14ac:dyDescent="0.25">
      <c r="A3382" t="s">
        <v>2025</v>
      </c>
      <c r="B3382" t="s">
        <v>2062</v>
      </c>
      <c r="C3382" t="s">
        <v>2182</v>
      </c>
      <c r="D3382" t="s">
        <v>342</v>
      </c>
      <c r="E3382" t="s">
        <v>20</v>
      </c>
      <c r="F3382" t="s">
        <v>1</v>
      </c>
      <c r="G3382" t="s">
        <v>1127</v>
      </c>
      <c r="H3382" t="s">
        <v>420</v>
      </c>
      <c r="I3382" t="s">
        <v>1</v>
      </c>
      <c r="J3382">
        <v>26248.3</v>
      </c>
      <c r="K3382">
        <v>27694.850551440399</v>
      </c>
      <c r="L3382">
        <v>13176.45</v>
      </c>
      <c r="M3382">
        <v>26571.29419889503</v>
      </c>
      <c r="N3382">
        <v>25374.260000000002</v>
      </c>
      <c r="O3382">
        <v>26497.696153846198</v>
      </c>
      <c r="P3382">
        <v>0</v>
      </c>
      <c r="Q3382">
        <f t="shared" si="690"/>
        <v>26497.696153846198</v>
      </c>
      <c r="R3382">
        <v>26497.696153846198</v>
      </c>
      <c r="S3382">
        <f t="shared" si="691"/>
        <v>0</v>
      </c>
      <c r="T3382">
        <v>0.04</v>
      </c>
      <c r="U3382">
        <f t="shared" si="692"/>
        <v>1059.9078461538479</v>
      </c>
      <c r="V3382">
        <f t="shared" si="693"/>
        <v>27557.604000000047</v>
      </c>
      <c r="W3382">
        <f t="shared" si="694"/>
        <v>1059.9078461538484</v>
      </c>
      <c r="X3382">
        <v>0</v>
      </c>
    </row>
    <row r="3383" spans="1:24" x14ac:dyDescent="0.25">
      <c r="A3383" t="s">
        <v>2025</v>
      </c>
      <c r="B3383" t="s">
        <v>2062</v>
      </c>
      <c r="C3383" t="s">
        <v>2182</v>
      </c>
      <c r="D3383" t="s">
        <v>342</v>
      </c>
      <c r="E3383" t="s">
        <v>21</v>
      </c>
      <c r="F3383" t="s">
        <v>1</v>
      </c>
      <c r="G3383" t="s">
        <v>1127</v>
      </c>
      <c r="H3383" t="s">
        <v>421</v>
      </c>
      <c r="I3383" t="s">
        <v>1</v>
      </c>
      <c r="J3383">
        <v>2613.29</v>
      </c>
      <c r="K3383">
        <v>2665.9000000001001</v>
      </c>
      <c r="L3383">
        <v>1054.08</v>
      </c>
      <c r="M3383">
        <v>2125.6309392265193</v>
      </c>
      <c r="N3383">
        <v>2353.38</v>
      </c>
      <c r="O3383">
        <v>2125.6309392264998</v>
      </c>
      <c r="P3383">
        <v>0</v>
      </c>
      <c r="Q3383">
        <f t="shared" si="690"/>
        <v>2125.6309392264998</v>
      </c>
      <c r="R3383">
        <v>2125.6309392264998</v>
      </c>
      <c r="S3383">
        <f t="shared" si="691"/>
        <v>0</v>
      </c>
      <c r="T3383">
        <v>0.03</v>
      </c>
      <c r="U3383">
        <f t="shared" si="692"/>
        <v>63.768928176794994</v>
      </c>
      <c r="V3383">
        <f t="shared" si="693"/>
        <v>2189.3998674032946</v>
      </c>
      <c r="W3383">
        <f t="shared" si="694"/>
        <v>63.768928176794816</v>
      </c>
      <c r="X3383">
        <v>0</v>
      </c>
    </row>
    <row r="3384" spans="1:24" x14ac:dyDescent="0.25">
      <c r="A3384" t="s">
        <v>2025</v>
      </c>
      <c r="B3384" t="s">
        <v>2062</v>
      </c>
      <c r="C3384" t="s">
        <v>2182</v>
      </c>
      <c r="D3384" t="s">
        <v>342</v>
      </c>
      <c r="E3384" t="s">
        <v>22</v>
      </c>
      <c r="F3384" t="s">
        <v>1</v>
      </c>
      <c r="G3384" t="s">
        <v>1127</v>
      </c>
      <c r="H3384" t="s">
        <v>422</v>
      </c>
      <c r="I3384" t="s">
        <v>1</v>
      </c>
      <c r="J3384">
        <v>1236.77</v>
      </c>
      <c r="K3384">
        <v>931.5</v>
      </c>
      <c r="L3384">
        <v>2222.38</v>
      </c>
      <c r="M3384">
        <v>4481.5950276243093</v>
      </c>
      <c r="N3384">
        <v>3007.98</v>
      </c>
      <c r="O3384">
        <v>4481.5950276243002</v>
      </c>
      <c r="P3384">
        <v>0</v>
      </c>
      <c r="Q3384">
        <f t="shared" si="690"/>
        <v>4481.5950276243002</v>
      </c>
      <c r="R3384">
        <v>931.5</v>
      </c>
      <c r="S3384">
        <f t="shared" si="691"/>
        <v>-3550.0950276243002</v>
      </c>
      <c r="T3384">
        <v>3.5000000000000003E-2</v>
      </c>
      <c r="U3384">
        <f t="shared" si="692"/>
        <v>32.602500000000006</v>
      </c>
      <c r="V3384">
        <f t="shared" si="693"/>
        <v>964.10249999999996</v>
      </c>
      <c r="W3384">
        <f t="shared" si="694"/>
        <v>-3517.4925276243002</v>
      </c>
      <c r="X3384">
        <v>0</v>
      </c>
    </row>
    <row r="3385" spans="1:24" x14ac:dyDescent="0.25">
      <c r="A3385" t="s">
        <v>2025</v>
      </c>
      <c r="B3385" t="s">
        <v>2062</v>
      </c>
      <c r="C3385" t="s">
        <v>2182</v>
      </c>
      <c r="D3385" t="s">
        <v>342</v>
      </c>
      <c r="E3385" t="s">
        <v>23</v>
      </c>
      <c r="F3385" t="s">
        <v>1</v>
      </c>
      <c r="G3385" t="s">
        <v>1127</v>
      </c>
      <c r="H3385" t="s">
        <v>423</v>
      </c>
      <c r="I3385" t="s">
        <v>1</v>
      </c>
      <c r="J3385">
        <v>565</v>
      </c>
      <c r="K3385">
        <v>403.64999999989999</v>
      </c>
      <c r="L3385">
        <v>0</v>
      </c>
      <c r="M3385">
        <v>0</v>
      </c>
      <c r="N3385">
        <v>370.4</v>
      </c>
      <c r="O3385"/>
      <c r="P3385">
        <v>0</v>
      </c>
      <c r="Q3385">
        <f t="shared" si="690"/>
        <v>0</v>
      </c>
      <c r="R3385">
        <v>0</v>
      </c>
      <c r="S3385">
        <f t="shared" si="691"/>
        <v>0</v>
      </c>
      <c r="T3385">
        <v>3.5000000000000003E-2</v>
      </c>
      <c r="U3385">
        <f t="shared" si="692"/>
        <v>0</v>
      </c>
      <c r="V3385">
        <f t="shared" si="693"/>
        <v>0</v>
      </c>
      <c r="W3385">
        <f t="shared" si="694"/>
        <v>0</v>
      </c>
      <c r="X3385">
        <v>0</v>
      </c>
    </row>
    <row r="3386" spans="1:24" x14ac:dyDescent="0.25">
      <c r="A3386" t="s">
        <v>2025</v>
      </c>
      <c r="B3386" t="s">
        <v>2062</v>
      </c>
      <c r="C3386" t="s">
        <v>2182</v>
      </c>
      <c r="D3386" t="s">
        <v>342</v>
      </c>
      <c r="E3386" t="s">
        <v>26</v>
      </c>
      <c r="F3386" t="s">
        <v>1</v>
      </c>
      <c r="G3386" t="s">
        <v>1127</v>
      </c>
      <c r="H3386" t="s">
        <v>426</v>
      </c>
      <c r="I3386" t="s">
        <v>1</v>
      </c>
      <c r="J3386">
        <v>245.23</v>
      </c>
      <c r="K3386">
        <v>147.18575524440001</v>
      </c>
      <c r="L3386">
        <v>0</v>
      </c>
      <c r="M3386">
        <v>0</v>
      </c>
      <c r="N3386">
        <v>0</v>
      </c>
      <c r="O3386"/>
      <c r="P3386">
        <v>0</v>
      </c>
      <c r="Q3386">
        <f t="shared" si="690"/>
        <v>0</v>
      </c>
      <c r="R3386">
        <v>200</v>
      </c>
      <c r="S3386">
        <f t="shared" si="691"/>
        <v>200</v>
      </c>
      <c r="T3386"/>
      <c r="U3386">
        <f t="shared" si="692"/>
        <v>0</v>
      </c>
      <c r="V3386">
        <f t="shared" si="693"/>
        <v>200</v>
      </c>
      <c r="W3386">
        <f t="shared" si="694"/>
        <v>200</v>
      </c>
      <c r="X3386" t="s">
        <v>1833</v>
      </c>
    </row>
    <row r="3387" spans="1:24" x14ac:dyDescent="0.25">
      <c r="A3387" t="s">
        <v>2025</v>
      </c>
      <c r="B3387" t="s">
        <v>2062</v>
      </c>
      <c r="C3387" t="s">
        <v>2182</v>
      </c>
      <c r="D3387" t="s">
        <v>342</v>
      </c>
      <c r="E3387" t="s">
        <v>27</v>
      </c>
      <c r="F3387" t="s">
        <v>1</v>
      </c>
      <c r="G3387" t="s">
        <v>1127</v>
      </c>
      <c r="H3387" t="s">
        <v>427</v>
      </c>
      <c r="I3387" t="s">
        <v>1</v>
      </c>
      <c r="J3387">
        <v>2199.85</v>
      </c>
      <c r="K3387">
        <v>2079.9999999995998</v>
      </c>
      <c r="L3387">
        <v>892.1</v>
      </c>
      <c r="M3387">
        <v>1798.9861878453041</v>
      </c>
      <c r="N3387">
        <v>1851.2199999999998</v>
      </c>
      <c r="O3387">
        <v>1784.2</v>
      </c>
      <c r="P3387">
        <v>0</v>
      </c>
      <c r="Q3387">
        <f t="shared" si="690"/>
        <v>1784.2</v>
      </c>
      <c r="R3387">
        <v>2124</v>
      </c>
      <c r="S3387">
        <f t="shared" si="691"/>
        <v>339.79999999999995</v>
      </c>
      <c r="T3387"/>
      <c r="U3387">
        <f t="shared" si="692"/>
        <v>0</v>
      </c>
      <c r="V3387">
        <f t="shared" si="693"/>
        <v>2124</v>
      </c>
      <c r="W3387">
        <f t="shared" si="694"/>
        <v>339.79999999999995</v>
      </c>
      <c r="X3387" t="s">
        <v>1834</v>
      </c>
    </row>
    <row r="3388" spans="1:24" x14ac:dyDescent="0.25">
      <c r="A3388" t="s">
        <v>2025</v>
      </c>
      <c r="B3388" t="s">
        <v>2062</v>
      </c>
      <c r="C3388" t="s">
        <v>2182</v>
      </c>
      <c r="D3388" t="s">
        <v>342</v>
      </c>
      <c r="E3388" t="s">
        <v>28</v>
      </c>
      <c r="F3388" t="s">
        <v>1</v>
      </c>
      <c r="G3388" t="s">
        <v>1127</v>
      </c>
      <c r="H3388" t="s">
        <v>428</v>
      </c>
      <c r="I3388" t="s">
        <v>1</v>
      </c>
      <c r="J3388">
        <v>1460.9</v>
      </c>
      <c r="K3388"/>
      <c r="L3388">
        <v>165.8</v>
      </c>
      <c r="M3388">
        <v>334.34806629834259</v>
      </c>
      <c r="N3388">
        <v>1626.7</v>
      </c>
      <c r="O3388">
        <v>331.6</v>
      </c>
      <c r="P3388">
        <v>0</v>
      </c>
      <c r="Q3388">
        <f t="shared" si="690"/>
        <v>331.6</v>
      </c>
      <c r="R3388">
        <v>100</v>
      </c>
      <c r="S3388">
        <f t="shared" si="691"/>
        <v>-231.60000000000002</v>
      </c>
      <c r="T3388"/>
      <c r="U3388">
        <f t="shared" si="692"/>
        <v>0</v>
      </c>
      <c r="V3388">
        <f t="shared" si="693"/>
        <v>100</v>
      </c>
      <c r="W3388">
        <f t="shared" si="694"/>
        <v>-231.60000000000002</v>
      </c>
      <c r="X3388">
        <v>0</v>
      </c>
    </row>
    <row r="3389" spans="1:24" x14ac:dyDescent="0.25">
      <c r="A3389" t="s">
        <v>2025</v>
      </c>
      <c r="B3389" t="s">
        <v>2062</v>
      </c>
      <c r="C3389" t="s">
        <v>2182</v>
      </c>
      <c r="D3389" t="s">
        <v>342</v>
      </c>
      <c r="E3389" t="s">
        <v>29</v>
      </c>
      <c r="F3389" t="s">
        <v>1</v>
      </c>
      <c r="G3389" t="s">
        <v>1127</v>
      </c>
      <c r="H3389" t="s">
        <v>429</v>
      </c>
      <c r="I3389" t="s">
        <v>1</v>
      </c>
      <c r="J3389">
        <v>507.03</v>
      </c>
      <c r="K3389"/>
      <c r="L3389">
        <v>0</v>
      </c>
      <c r="M3389">
        <v>0</v>
      </c>
      <c r="N3389">
        <v>507.03</v>
      </c>
      <c r="O3389"/>
      <c r="P3389">
        <v>0</v>
      </c>
      <c r="Q3389">
        <f t="shared" si="690"/>
        <v>0</v>
      </c>
      <c r="R3389">
        <v>0</v>
      </c>
      <c r="S3389">
        <f t="shared" si="691"/>
        <v>0</v>
      </c>
      <c r="T3389"/>
      <c r="U3389">
        <f t="shared" si="692"/>
        <v>0</v>
      </c>
      <c r="V3389">
        <f t="shared" si="693"/>
        <v>0</v>
      </c>
      <c r="W3389">
        <f t="shared" si="694"/>
        <v>0</v>
      </c>
      <c r="X3389">
        <v>0</v>
      </c>
    </row>
    <row r="3390" spans="1:24" x14ac:dyDescent="0.25">
      <c r="A3390" t="s">
        <v>2025</v>
      </c>
      <c r="B3390" t="s">
        <v>2062</v>
      </c>
      <c r="C3390" t="s">
        <v>2182</v>
      </c>
      <c r="D3390" t="s">
        <v>342</v>
      </c>
      <c r="E3390" t="s">
        <v>34</v>
      </c>
      <c r="F3390" t="s">
        <v>1</v>
      </c>
      <c r="G3390" t="s">
        <v>1127</v>
      </c>
      <c r="H3390" t="s">
        <v>434</v>
      </c>
      <c r="I3390" t="s">
        <v>1</v>
      </c>
      <c r="J3390">
        <v>402.75</v>
      </c>
      <c r="K3390">
        <v>98.123836830000002</v>
      </c>
      <c r="L3390">
        <v>0</v>
      </c>
      <c r="M3390">
        <v>0</v>
      </c>
      <c r="N3390">
        <v>402.75</v>
      </c>
      <c r="O3390"/>
      <c r="P3390">
        <v>0</v>
      </c>
      <c r="Q3390">
        <f t="shared" si="690"/>
        <v>0</v>
      </c>
      <c r="R3390">
        <v>2000</v>
      </c>
      <c r="S3390">
        <f t="shared" si="691"/>
        <v>2000</v>
      </c>
      <c r="T3390"/>
      <c r="U3390">
        <f t="shared" si="692"/>
        <v>0</v>
      </c>
      <c r="V3390">
        <f t="shared" si="693"/>
        <v>2000</v>
      </c>
      <c r="W3390">
        <f t="shared" si="694"/>
        <v>2000</v>
      </c>
      <c r="X3390" t="s">
        <v>1835</v>
      </c>
    </row>
    <row r="3391" spans="1:24" x14ac:dyDescent="0.25">
      <c r="A3391" t="s">
        <v>2025</v>
      </c>
      <c r="B3391" t="s">
        <v>2062</v>
      </c>
      <c r="C3391" t="s">
        <v>2182</v>
      </c>
      <c r="D3391" t="s">
        <v>342</v>
      </c>
      <c r="E3391" t="s">
        <v>121</v>
      </c>
      <c r="F3391" t="s">
        <v>1</v>
      </c>
      <c r="G3391" t="s">
        <v>1127</v>
      </c>
      <c r="H3391" t="s">
        <v>590</v>
      </c>
      <c r="I3391" t="s">
        <v>1</v>
      </c>
      <c r="J3391">
        <v>45980</v>
      </c>
      <c r="K3391">
        <v>33055.530435387598</v>
      </c>
      <c r="L3391">
        <v>0</v>
      </c>
      <c r="M3391">
        <v>0</v>
      </c>
      <c r="N3391">
        <v>26961</v>
      </c>
      <c r="O3391"/>
      <c r="P3391">
        <v>0</v>
      </c>
      <c r="Q3391">
        <f t="shared" si="690"/>
        <v>0</v>
      </c>
      <c r="R3391">
        <v>0</v>
      </c>
      <c r="S3391">
        <f t="shared" si="691"/>
        <v>0</v>
      </c>
      <c r="T3391"/>
      <c r="U3391">
        <f t="shared" si="692"/>
        <v>0</v>
      </c>
      <c r="V3391">
        <f t="shared" si="693"/>
        <v>0</v>
      </c>
      <c r="W3391">
        <f t="shared" si="694"/>
        <v>0</v>
      </c>
      <c r="X3391" t="s">
        <v>1836</v>
      </c>
    </row>
    <row r="3392" spans="1:24" x14ac:dyDescent="0.25">
      <c r="A3392" t="s">
        <v>2025</v>
      </c>
      <c r="B3392" t="s">
        <v>2062</v>
      </c>
      <c r="C3392" t="s">
        <v>2182</v>
      </c>
      <c r="D3392" t="s">
        <v>342</v>
      </c>
      <c r="E3392" t="s">
        <v>40</v>
      </c>
      <c r="F3392" t="s">
        <v>1</v>
      </c>
      <c r="G3392" t="s">
        <v>1127</v>
      </c>
      <c r="H3392" t="s">
        <v>440</v>
      </c>
      <c r="I3392" t="s">
        <v>1</v>
      </c>
      <c r="J3392"/>
      <c r="K3392"/>
      <c r="L3392">
        <v>1368.54</v>
      </c>
      <c r="M3392">
        <v>2759.7629834254144</v>
      </c>
      <c r="N3392">
        <v>1368.54</v>
      </c>
      <c r="O3392">
        <v>2737.08</v>
      </c>
      <c r="P3392">
        <v>0</v>
      </c>
      <c r="Q3392">
        <f t="shared" si="690"/>
        <v>2737.08</v>
      </c>
      <c r="R3392">
        <v>2736</v>
      </c>
      <c r="S3392">
        <f t="shared" si="691"/>
        <v>-1.0799999999999272</v>
      </c>
      <c r="T3392">
        <v>0.03</v>
      </c>
      <c r="U3392">
        <f t="shared" si="692"/>
        <v>82.08</v>
      </c>
      <c r="V3392">
        <f t="shared" si="693"/>
        <v>2818.08</v>
      </c>
      <c r="W3392">
        <f t="shared" si="694"/>
        <v>81</v>
      </c>
      <c r="X3392" t="s">
        <v>1837</v>
      </c>
    </row>
    <row r="3393" spans="1:24" x14ac:dyDescent="0.25">
      <c r="A3393" t="s">
        <v>2025</v>
      </c>
      <c r="B3393" t="s">
        <v>2062</v>
      </c>
      <c r="C3393" t="s">
        <v>2182</v>
      </c>
      <c r="D3393" t="s">
        <v>342</v>
      </c>
      <c r="E3393" t="s">
        <v>76</v>
      </c>
      <c r="F3393" t="s">
        <v>1</v>
      </c>
      <c r="G3393" t="s">
        <v>1127</v>
      </c>
      <c r="H3393" t="s">
        <v>493</v>
      </c>
      <c r="I3393" t="s">
        <v>1</v>
      </c>
      <c r="J3393">
        <v>388</v>
      </c>
      <c r="K3393"/>
      <c r="L3393">
        <v>-9.35</v>
      </c>
      <c r="M3393">
        <v>-18.854972375690608</v>
      </c>
      <c r="N3393">
        <v>378.65</v>
      </c>
      <c r="O3393">
        <v>-18.7</v>
      </c>
      <c r="P3393">
        <v>0</v>
      </c>
      <c r="Q3393">
        <f t="shared" si="690"/>
        <v>-18.7</v>
      </c>
      <c r="R3393">
        <v>0</v>
      </c>
      <c r="S3393">
        <f t="shared" si="691"/>
        <v>18.7</v>
      </c>
      <c r="T3393">
        <v>0.03</v>
      </c>
      <c r="U3393">
        <f t="shared" si="692"/>
        <v>0</v>
      </c>
      <c r="V3393">
        <f t="shared" si="693"/>
        <v>0</v>
      </c>
      <c r="W3393">
        <f t="shared" si="694"/>
        <v>18.7</v>
      </c>
      <c r="X3393">
        <v>0</v>
      </c>
    </row>
    <row r="3394" spans="1:24" x14ac:dyDescent="0.25">
      <c r="A3394" t="s">
        <v>2025</v>
      </c>
      <c r="B3394" t="s">
        <v>2062</v>
      </c>
      <c r="C3394" t="s">
        <v>2182</v>
      </c>
      <c r="D3394" t="s">
        <v>342</v>
      </c>
      <c r="E3394" t="s">
        <v>41</v>
      </c>
      <c r="F3394" t="s">
        <v>1</v>
      </c>
      <c r="G3394" t="s">
        <v>1127</v>
      </c>
      <c r="H3394" t="s">
        <v>441</v>
      </c>
      <c r="I3394" t="s">
        <v>1</v>
      </c>
      <c r="J3394">
        <v>11127</v>
      </c>
      <c r="K3394">
        <v>13454.0857417632</v>
      </c>
      <c r="L3394">
        <v>4458.07</v>
      </c>
      <c r="M3394">
        <v>8990.0306629834249</v>
      </c>
      <c r="N3394">
        <v>8735.9600000000009</v>
      </c>
      <c r="O3394">
        <v>8916.14</v>
      </c>
      <c r="P3394">
        <v>0</v>
      </c>
      <c r="Q3394">
        <f t="shared" si="690"/>
        <v>8916.14</v>
      </c>
      <c r="R3394">
        <v>8916.14</v>
      </c>
      <c r="S3394">
        <f t="shared" si="691"/>
        <v>0</v>
      </c>
      <c r="T3394">
        <v>0.03</v>
      </c>
      <c r="U3394">
        <f t="shared" si="692"/>
        <v>267.48419999999999</v>
      </c>
      <c r="V3394">
        <f t="shared" si="693"/>
        <v>9183.6242000000002</v>
      </c>
      <c r="W3394">
        <f t="shared" si="694"/>
        <v>267.48420000000078</v>
      </c>
      <c r="X3394">
        <v>0</v>
      </c>
    </row>
    <row r="3395" spans="1:24" x14ac:dyDescent="0.25">
      <c r="A3395" t="s">
        <v>2025</v>
      </c>
      <c r="B3395" t="s">
        <v>2062</v>
      </c>
      <c r="C3395" t="s">
        <v>2182</v>
      </c>
      <c r="D3395" t="s">
        <v>342</v>
      </c>
      <c r="E3395" t="s">
        <v>43</v>
      </c>
      <c r="F3395" t="s">
        <v>1</v>
      </c>
      <c r="G3395" t="s">
        <v>1127</v>
      </c>
      <c r="H3395" t="s">
        <v>443</v>
      </c>
      <c r="I3395" t="s">
        <v>1</v>
      </c>
      <c r="J3395"/>
      <c r="K3395"/>
      <c r="L3395">
        <v>639.62</v>
      </c>
      <c r="M3395">
        <v>1289.8414364640885</v>
      </c>
      <c r="N3395">
        <v>639.62</v>
      </c>
      <c r="O3395">
        <v>1279.24</v>
      </c>
      <c r="P3395">
        <v>0</v>
      </c>
      <c r="Q3395">
        <f t="shared" si="690"/>
        <v>1279.24</v>
      </c>
      <c r="R3395">
        <v>639.62</v>
      </c>
      <c r="S3395">
        <f t="shared" si="691"/>
        <v>-639.62</v>
      </c>
      <c r="T3395">
        <v>0.03</v>
      </c>
      <c r="U3395">
        <f t="shared" si="692"/>
        <v>19.188600000000001</v>
      </c>
      <c r="V3395">
        <f t="shared" si="693"/>
        <v>658.80859999999996</v>
      </c>
      <c r="W3395">
        <f t="shared" si="694"/>
        <v>-620.43140000000005</v>
      </c>
      <c r="X3395">
        <v>0</v>
      </c>
    </row>
    <row r="3396" spans="1:24" x14ac:dyDescent="0.25">
      <c r="A3396" t="s">
        <v>2025</v>
      </c>
      <c r="B3396" t="s">
        <v>2062</v>
      </c>
      <c r="C3396" t="s">
        <v>2182</v>
      </c>
      <c r="D3396" t="s">
        <v>342</v>
      </c>
      <c r="E3396" t="s">
        <v>134</v>
      </c>
      <c r="F3396" t="s">
        <v>1</v>
      </c>
      <c r="G3396" t="s">
        <v>1127</v>
      </c>
      <c r="H3396" t="s">
        <v>623</v>
      </c>
      <c r="I3396" t="s">
        <v>1</v>
      </c>
      <c r="J3396">
        <v>16440</v>
      </c>
      <c r="K3396">
        <v>468</v>
      </c>
      <c r="L3396">
        <v>600</v>
      </c>
      <c r="M3396">
        <v>1209.9447513812154</v>
      </c>
      <c r="N3396">
        <v>16845</v>
      </c>
      <c r="O3396">
        <v>1200</v>
      </c>
      <c r="P3396">
        <v>0</v>
      </c>
      <c r="Q3396">
        <f t="shared" si="690"/>
        <v>1200</v>
      </c>
      <c r="R3396">
        <v>0</v>
      </c>
      <c r="S3396">
        <f t="shared" si="691"/>
        <v>-1200</v>
      </c>
      <c r="T3396">
        <v>0.03</v>
      </c>
      <c r="U3396">
        <f t="shared" si="692"/>
        <v>0</v>
      </c>
      <c r="V3396">
        <f t="shared" si="693"/>
        <v>0</v>
      </c>
      <c r="W3396">
        <f t="shared" si="694"/>
        <v>-1200</v>
      </c>
      <c r="X3396">
        <v>0</v>
      </c>
    </row>
    <row r="3397" spans="1:24" x14ac:dyDescent="0.25">
      <c r="A3397" t="s">
        <v>2025</v>
      </c>
      <c r="B3397" t="s">
        <v>2062</v>
      </c>
      <c r="C3397" t="s">
        <v>2182</v>
      </c>
      <c r="D3397" t="s">
        <v>342</v>
      </c>
      <c r="E3397" t="s">
        <v>45</v>
      </c>
      <c r="F3397" t="s">
        <v>1</v>
      </c>
      <c r="G3397" t="s">
        <v>1127</v>
      </c>
      <c r="H3397" t="s">
        <v>445</v>
      </c>
      <c r="I3397" t="s">
        <v>1</v>
      </c>
      <c r="J3397">
        <v>252685.24</v>
      </c>
      <c r="K3397">
        <v>303272</v>
      </c>
      <c r="L3397">
        <v>151563.15</v>
      </c>
      <c r="M3397">
        <v>305638.39640883973</v>
      </c>
      <c r="N3397">
        <v>252585.24000000002</v>
      </c>
      <c r="O3397">
        <v>303126.3</v>
      </c>
      <c r="P3397">
        <v>0</v>
      </c>
      <c r="Q3397">
        <f t="shared" si="690"/>
        <v>303126.3</v>
      </c>
      <c r="R3397">
        <v>303272</v>
      </c>
      <c r="S3397">
        <f t="shared" si="691"/>
        <v>145.70000000001164</v>
      </c>
      <c r="T3397">
        <v>0.03</v>
      </c>
      <c r="U3397">
        <f t="shared" si="692"/>
        <v>9098.16</v>
      </c>
      <c r="V3397">
        <f t="shared" si="693"/>
        <v>312370.15999999997</v>
      </c>
      <c r="W3397">
        <f t="shared" si="694"/>
        <v>9243.859999999986</v>
      </c>
      <c r="X3397" t="s">
        <v>1838</v>
      </c>
    </row>
    <row r="3398" spans="1:24" x14ac:dyDescent="0.25">
      <c r="A3398" t="s">
        <v>2025</v>
      </c>
      <c r="B3398" t="s">
        <v>2062</v>
      </c>
      <c r="C3398" t="s">
        <v>2182</v>
      </c>
      <c r="D3398" t="s">
        <v>342</v>
      </c>
      <c r="E3398" t="s">
        <v>47</v>
      </c>
      <c r="F3398" t="s">
        <v>1</v>
      </c>
      <c r="G3398" t="s">
        <v>1127</v>
      </c>
      <c r="H3398" t="s">
        <v>447</v>
      </c>
      <c r="I3398" t="s">
        <v>1</v>
      </c>
      <c r="J3398">
        <v>240</v>
      </c>
      <c r="K3398">
        <v>149.00000000040001</v>
      </c>
      <c r="L3398">
        <v>0</v>
      </c>
      <c r="M3398">
        <v>0</v>
      </c>
      <c r="N3398">
        <v>0</v>
      </c>
      <c r="O3398"/>
      <c r="P3398">
        <v>0</v>
      </c>
      <c r="Q3398">
        <f t="shared" si="690"/>
        <v>0</v>
      </c>
      <c r="R3398">
        <v>0</v>
      </c>
      <c r="S3398">
        <f t="shared" si="691"/>
        <v>0</v>
      </c>
      <c r="T3398">
        <v>0.03</v>
      </c>
      <c r="U3398">
        <f t="shared" si="692"/>
        <v>0</v>
      </c>
      <c r="V3398">
        <f t="shared" si="693"/>
        <v>0</v>
      </c>
      <c r="W3398">
        <f t="shared" si="694"/>
        <v>0</v>
      </c>
      <c r="X3398">
        <v>0</v>
      </c>
    </row>
    <row r="3399" spans="1:24" x14ac:dyDescent="0.25">
      <c r="A3399" t="s">
        <v>2025</v>
      </c>
      <c r="B3399" t="s">
        <v>2062</v>
      </c>
      <c r="C3399" t="s">
        <v>2182</v>
      </c>
      <c r="D3399" t="s">
        <v>342</v>
      </c>
      <c r="E3399" t="s">
        <v>48</v>
      </c>
      <c r="F3399" t="s">
        <v>1</v>
      </c>
      <c r="G3399" t="s">
        <v>1127</v>
      </c>
      <c r="H3399" t="s">
        <v>448</v>
      </c>
      <c r="I3399" t="s">
        <v>1</v>
      </c>
      <c r="J3399">
        <v>446.36</v>
      </c>
      <c r="K3399">
        <v>483</v>
      </c>
      <c r="L3399">
        <v>236.23</v>
      </c>
      <c r="M3399">
        <v>476.37541436464085</v>
      </c>
      <c r="N3399">
        <v>441.13</v>
      </c>
      <c r="O3399">
        <v>472.46</v>
      </c>
      <c r="P3399">
        <v>0</v>
      </c>
      <c r="Q3399">
        <f t="shared" si="690"/>
        <v>472.46</v>
      </c>
      <c r="R3399">
        <v>472.46</v>
      </c>
      <c r="S3399">
        <f t="shared" si="691"/>
        <v>0</v>
      </c>
      <c r="T3399">
        <v>0.03</v>
      </c>
      <c r="U3399">
        <f t="shared" si="692"/>
        <v>14.173799999999998</v>
      </c>
      <c r="V3399">
        <f t="shared" si="693"/>
        <v>486.63379999999995</v>
      </c>
      <c r="W3399">
        <f t="shared" si="694"/>
        <v>14.173799999999972</v>
      </c>
      <c r="X3399" t="s">
        <v>1620</v>
      </c>
    </row>
    <row r="3400" spans="1:24" x14ac:dyDescent="0.25">
      <c r="A3400" t="s">
        <v>2025</v>
      </c>
      <c r="B3400" t="s">
        <v>2062</v>
      </c>
      <c r="C3400" t="s">
        <v>2182</v>
      </c>
      <c r="D3400" t="s">
        <v>342</v>
      </c>
      <c r="E3400" t="s">
        <v>50</v>
      </c>
      <c r="F3400" t="s">
        <v>1</v>
      </c>
      <c r="G3400" t="s">
        <v>1127</v>
      </c>
      <c r="H3400" t="s">
        <v>450</v>
      </c>
      <c r="I3400" t="s">
        <v>1</v>
      </c>
      <c r="J3400">
        <v>911.12</v>
      </c>
      <c r="K3400">
        <v>540</v>
      </c>
      <c r="L3400">
        <v>309.33999999999997</v>
      </c>
      <c r="M3400">
        <v>623.80718232044194</v>
      </c>
      <c r="N3400">
        <v>962.57</v>
      </c>
      <c r="O3400">
        <v>623.80718232039999</v>
      </c>
      <c r="P3400">
        <v>0</v>
      </c>
      <c r="Q3400">
        <f t="shared" si="690"/>
        <v>623.80718232039999</v>
      </c>
      <c r="R3400">
        <v>623.80718232039999</v>
      </c>
      <c r="S3400">
        <f t="shared" si="691"/>
        <v>0</v>
      </c>
      <c r="T3400"/>
      <c r="U3400">
        <f t="shared" si="692"/>
        <v>0</v>
      </c>
      <c r="V3400">
        <f t="shared" si="693"/>
        <v>623.80718232039999</v>
      </c>
      <c r="W3400">
        <f t="shared" si="694"/>
        <v>0</v>
      </c>
      <c r="X3400" t="s">
        <v>1839</v>
      </c>
    </row>
    <row r="3401" spans="1:24" x14ac:dyDescent="0.25">
      <c r="A3401" t="s">
        <v>2025</v>
      </c>
      <c r="B3401" t="s">
        <v>2062</v>
      </c>
      <c r="C3401" t="s">
        <v>2182</v>
      </c>
      <c r="D3401" t="s">
        <v>342</v>
      </c>
      <c r="E3401" t="s">
        <v>51</v>
      </c>
      <c r="F3401" t="s">
        <v>51</v>
      </c>
      <c r="G3401" t="s">
        <v>1128</v>
      </c>
      <c r="H3401"/>
      <c r="I3401"/>
      <c r="J3401">
        <v>1277588.6800000004</v>
      </c>
      <c r="K3401">
        <v>1305880.4772171387</v>
      </c>
      <c r="L3401">
        <v>622285.5</v>
      </c>
      <c r="M3401">
        <v>1254885.1243093919</v>
      </c>
      <c r="N3401">
        <v>1248024.6700000002</v>
      </c>
      <c r="O3401">
        <v>1248529.3339184013</v>
      </c>
      <c r="P3401">
        <f>SUMIF($F$3371:$F$3400,"&lt;&gt;EV_*",$P$3371:$P$3400)</f>
        <v>0</v>
      </c>
      <c r="Q3401">
        <f>SUMIF($F$3371:$F$3400,"&lt;&gt;EV_*",$Q$3371:$Q$3400)</f>
        <v>1248529.3339184013</v>
      </c>
      <c r="R3401">
        <f>SUMIF($F$3371:$F$3400,"&lt;&gt;EV_*",$R$3371:$R$3400)</f>
        <v>1262032.745813854</v>
      </c>
      <c r="S3401">
        <f>SUMIF($F$3371:$F$3400,"&lt;&gt;EV_*",$S$3371:$S$3400)</f>
        <v>13503.411895452711</v>
      </c>
      <c r="T3401">
        <v>0</v>
      </c>
      <c r="U3401">
        <f>SUMIF($F$3371:$F$3400,"&lt;&gt;EV_*",$U$3371:$U$3400)</f>
        <v>29680.401339165797</v>
      </c>
      <c r="V3401">
        <f>SUMIF($F$3371:$F$3400,"&lt;&gt;EV_*",$V$3371:$V$3400)</f>
        <v>1291713.1471530199</v>
      </c>
      <c r="W3401">
        <f>SUMIF($F$3371:$F$3400,"&lt;&gt;EV_*",$W$3371:$W$3400)</f>
        <v>43183.813234618494</v>
      </c>
      <c r="X3401">
        <f>SUMIF($F$3371:$F$3400,"&lt;&gt;EV_*",$X$3371:$X$3400)</f>
        <v>0</v>
      </c>
    </row>
    <row r="3402" spans="1:24" x14ac:dyDescent="0.25">
      <c r="A3402" t="s">
        <v>2025</v>
      </c>
      <c r="B3402" t="s">
        <v>2183</v>
      </c>
      <c r="C3402" t="s">
        <v>2184</v>
      </c>
      <c r="D3402" t="s">
        <v>343</v>
      </c>
      <c r="E3402" t="s">
        <v>5</v>
      </c>
      <c r="F3402" t="s">
        <v>5</v>
      </c>
      <c r="G3402" t="s">
        <v>1129</v>
      </c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</row>
    <row r="3403" spans="1:24" x14ac:dyDescent="0.25">
      <c r="A3403" t="s">
        <v>2025</v>
      </c>
      <c r="B3403" t="s">
        <v>2183</v>
      </c>
      <c r="C3403" t="s">
        <v>2184</v>
      </c>
      <c r="D3403" t="s">
        <v>343</v>
      </c>
      <c r="E3403" t="s">
        <v>11</v>
      </c>
      <c r="F3403" t="s">
        <v>1</v>
      </c>
      <c r="G3403" t="s">
        <v>1130</v>
      </c>
      <c r="H3403" t="s">
        <v>411</v>
      </c>
      <c r="I3403" t="s">
        <v>1</v>
      </c>
      <c r="J3403">
        <v>1616.01</v>
      </c>
      <c r="K3403">
        <v>1374.6</v>
      </c>
      <c r="L3403">
        <v>701.9</v>
      </c>
      <c r="M3403">
        <v>1415.4337016574586</v>
      </c>
      <c r="N3403">
        <v>1468.28</v>
      </c>
      <c r="O3403">
        <v>1403.8</v>
      </c>
      <c r="P3403">
        <v>0</v>
      </c>
      <c r="Q3403">
        <f t="shared" ref="Q3403:Q3431" si="695">O3403+P3403</f>
        <v>1403.8</v>
      </c>
      <c r="R3403">
        <v>1403.8</v>
      </c>
      <c r="S3403">
        <f t="shared" ref="S3403:S3431" si="696">IF(OR(LEFT(E3403,2)="A_",LEFT(D3403,5)="Total"),R3403-Q3403,"")</f>
        <v>0</v>
      </c>
      <c r="T3403"/>
      <c r="U3403">
        <f t="shared" ref="U3403:U3431" si="697">IFERROR(R3403*T3403,R3403*0)</f>
        <v>0</v>
      </c>
      <c r="V3403">
        <f t="shared" ref="V3403:V3431" si="698">IF(OR(LEFT(E3403,2)="A_",LEFT(D3403,5)="Total"),R3403+U3403,"")</f>
        <v>1403.8</v>
      </c>
      <c r="W3403">
        <f t="shared" ref="W3403:W3431" si="699">IF(OR(LEFT(E3403,2)="A_",LEFT(D3403,5)="Total"),V3403-Q3403,"")</f>
        <v>0</v>
      </c>
      <c r="X3403" t="s">
        <v>1840</v>
      </c>
    </row>
    <row r="3404" spans="1:24" x14ac:dyDescent="0.25">
      <c r="A3404" t="s">
        <v>2025</v>
      </c>
      <c r="B3404" t="s">
        <v>2183</v>
      </c>
      <c r="C3404" t="s">
        <v>2184</v>
      </c>
      <c r="D3404" t="s">
        <v>343</v>
      </c>
      <c r="E3404" t="s">
        <v>12</v>
      </c>
      <c r="F3404" t="s">
        <v>1</v>
      </c>
      <c r="G3404" t="s">
        <v>1130</v>
      </c>
      <c r="H3404" t="s">
        <v>412</v>
      </c>
      <c r="I3404" t="s">
        <v>1</v>
      </c>
      <c r="J3404">
        <v>2053.44</v>
      </c>
      <c r="K3404"/>
      <c r="L3404">
        <v>-24770.880000000001</v>
      </c>
      <c r="M3404">
        <v>-49952.327071823202</v>
      </c>
      <c r="N3404">
        <v>-22717.440000000002</v>
      </c>
      <c r="O3404">
        <v>-49541.760000000002</v>
      </c>
      <c r="P3404">
        <v>0</v>
      </c>
      <c r="Q3404">
        <f t="shared" si="695"/>
        <v>-49541.760000000002</v>
      </c>
      <c r="R3404">
        <v>0</v>
      </c>
      <c r="S3404">
        <f t="shared" si="696"/>
        <v>49541.760000000002</v>
      </c>
      <c r="T3404"/>
      <c r="U3404">
        <f t="shared" si="697"/>
        <v>0</v>
      </c>
      <c r="V3404">
        <f t="shared" si="698"/>
        <v>0</v>
      </c>
      <c r="W3404">
        <f t="shared" si="699"/>
        <v>49541.760000000002</v>
      </c>
      <c r="X3404">
        <v>0</v>
      </c>
    </row>
    <row r="3405" spans="1:24" x14ac:dyDescent="0.25">
      <c r="A3405" t="s">
        <v>2025</v>
      </c>
      <c r="B3405" t="s">
        <v>2183</v>
      </c>
      <c r="C3405" t="s">
        <v>2184</v>
      </c>
      <c r="D3405" t="s">
        <v>343</v>
      </c>
      <c r="E3405" t="s">
        <v>13</v>
      </c>
      <c r="F3405" t="s">
        <v>1</v>
      </c>
      <c r="G3405" t="s">
        <v>1130</v>
      </c>
      <c r="H3405" t="s">
        <v>413</v>
      </c>
      <c r="I3405" t="s">
        <v>1</v>
      </c>
      <c r="J3405">
        <v>163.93</v>
      </c>
      <c r="K3405"/>
      <c r="L3405">
        <v>105.09</v>
      </c>
      <c r="M3405">
        <v>211.92182320441989</v>
      </c>
      <c r="N3405">
        <v>269.02</v>
      </c>
      <c r="O3405">
        <v>210.18</v>
      </c>
      <c r="P3405">
        <v>0</v>
      </c>
      <c r="Q3405">
        <f t="shared" si="695"/>
        <v>210.18</v>
      </c>
      <c r="R3405">
        <v>163.93</v>
      </c>
      <c r="S3405">
        <f t="shared" si="696"/>
        <v>-46.25</v>
      </c>
      <c r="T3405"/>
      <c r="U3405">
        <f t="shared" si="697"/>
        <v>0</v>
      </c>
      <c r="V3405">
        <f t="shared" si="698"/>
        <v>163.93</v>
      </c>
      <c r="W3405">
        <f t="shared" si="699"/>
        <v>-46.25</v>
      </c>
      <c r="X3405" t="s">
        <v>1841</v>
      </c>
    </row>
    <row r="3406" spans="1:24" x14ac:dyDescent="0.25">
      <c r="A3406" t="s">
        <v>2025</v>
      </c>
      <c r="B3406" t="s">
        <v>2183</v>
      </c>
      <c r="C3406" t="s">
        <v>2184</v>
      </c>
      <c r="D3406" t="s">
        <v>343</v>
      </c>
      <c r="E3406" t="s">
        <v>65</v>
      </c>
      <c r="F3406" t="s">
        <v>1</v>
      </c>
      <c r="G3406" t="s">
        <v>1130</v>
      </c>
      <c r="H3406" t="s">
        <v>476</v>
      </c>
      <c r="I3406" t="s">
        <v>1</v>
      </c>
      <c r="J3406">
        <v>-4899.91</v>
      </c>
      <c r="K3406">
        <v>-5609.8099999999004</v>
      </c>
      <c r="L3406">
        <v>-4821.2299999999996</v>
      </c>
      <c r="M3406">
        <v>-9722.369889502761</v>
      </c>
      <c r="N3406">
        <v>-6188.25</v>
      </c>
      <c r="O3406">
        <v>-9695.4405494506009</v>
      </c>
      <c r="P3406">
        <v>0</v>
      </c>
      <c r="Q3406">
        <f t="shared" si="695"/>
        <v>-9695.4405494506009</v>
      </c>
      <c r="R3406">
        <v>-9695.4405494506009</v>
      </c>
      <c r="S3406">
        <f t="shared" si="696"/>
        <v>0</v>
      </c>
      <c r="T3406"/>
      <c r="U3406">
        <f t="shared" si="697"/>
        <v>0</v>
      </c>
      <c r="V3406">
        <f t="shared" si="698"/>
        <v>-9695.4405494506009</v>
      </c>
      <c r="W3406">
        <f t="shared" si="699"/>
        <v>0</v>
      </c>
      <c r="X3406">
        <v>0</v>
      </c>
    </row>
    <row r="3407" spans="1:24" x14ac:dyDescent="0.25">
      <c r="A3407" t="s">
        <v>2025</v>
      </c>
      <c r="B3407" t="s">
        <v>2183</v>
      </c>
      <c r="C3407" t="s">
        <v>2184</v>
      </c>
      <c r="D3407" t="s">
        <v>343</v>
      </c>
      <c r="E3407" t="s">
        <v>17</v>
      </c>
      <c r="F3407" t="s">
        <v>1</v>
      </c>
      <c r="G3407" t="s">
        <v>1130</v>
      </c>
      <c r="H3407" t="s">
        <v>417</v>
      </c>
      <c r="I3407" t="s">
        <v>1</v>
      </c>
      <c r="J3407">
        <v>-20186.060000000001</v>
      </c>
      <c r="K3407">
        <v>-14920.0000000001</v>
      </c>
      <c r="L3407">
        <v>-13799.75</v>
      </c>
      <c r="M3407">
        <v>-27828.225138121546</v>
      </c>
      <c r="N3407">
        <v>-15963.379999999997</v>
      </c>
      <c r="O3407">
        <v>-27751.145604395599</v>
      </c>
      <c r="P3407">
        <v>0</v>
      </c>
      <c r="Q3407">
        <f t="shared" si="695"/>
        <v>-27751.145604395599</v>
      </c>
      <c r="R3407">
        <v>-27751.145604395599</v>
      </c>
      <c r="S3407">
        <f t="shared" si="696"/>
        <v>0</v>
      </c>
      <c r="T3407"/>
      <c r="U3407">
        <f t="shared" si="697"/>
        <v>0</v>
      </c>
      <c r="V3407">
        <f t="shared" si="698"/>
        <v>-27751.145604395599</v>
      </c>
      <c r="W3407">
        <f t="shared" si="699"/>
        <v>0</v>
      </c>
      <c r="X3407">
        <v>0</v>
      </c>
    </row>
    <row r="3408" spans="1:24" x14ac:dyDescent="0.25">
      <c r="A3408" t="s">
        <v>2025</v>
      </c>
      <c r="B3408" t="s">
        <v>2183</v>
      </c>
      <c r="C3408" t="s">
        <v>2184</v>
      </c>
      <c r="D3408" t="s">
        <v>343</v>
      </c>
      <c r="E3408" t="s">
        <v>82</v>
      </c>
      <c r="F3408" t="s">
        <v>1</v>
      </c>
      <c r="G3408" t="s">
        <v>1130</v>
      </c>
      <c r="H3408" t="s">
        <v>507</v>
      </c>
      <c r="I3408" t="s">
        <v>1</v>
      </c>
      <c r="J3408"/>
      <c r="K3408"/>
      <c r="L3408">
        <v>117.2</v>
      </c>
      <c r="M3408">
        <v>236.3425414364641</v>
      </c>
      <c r="N3408">
        <v>117.2</v>
      </c>
      <c r="O3408">
        <v>235.6879120879</v>
      </c>
      <c r="P3408">
        <v>0</v>
      </c>
      <c r="Q3408">
        <f t="shared" si="695"/>
        <v>235.6879120879</v>
      </c>
      <c r="R3408">
        <v>0</v>
      </c>
      <c r="S3408">
        <f t="shared" si="696"/>
        <v>-235.6879120879</v>
      </c>
      <c r="T3408">
        <v>2.75E-2</v>
      </c>
      <c r="U3408">
        <f t="shared" si="697"/>
        <v>0</v>
      </c>
      <c r="V3408">
        <f t="shared" si="698"/>
        <v>0</v>
      </c>
      <c r="W3408">
        <f t="shared" si="699"/>
        <v>-235.6879120879</v>
      </c>
      <c r="X3408">
        <v>0</v>
      </c>
    </row>
    <row r="3409" spans="1:24" x14ac:dyDescent="0.25">
      <c r="A3409" t="s">
        <v>2025</v>
      </c>
      <c r="B3409" t="s">
        <v>2183</v>
      </c>
      <c r="C3409" t="s">
        <v>2184</v>
      </c>
      <c r="D3409" t="s">
        <v>343</v>
      </c>
      <c r="E3409" t="s">
        <v>18</v>
      </c>
      <c r="F3409" t="s">
        <v>1</v>
      </c>
      <c r="G3409" t="s">
        <v>1130</v>
      </c>
      <c r="H3409" t="s">
        <v>418</v>
      </c>
      <c r="I3409" t="s">
        <v>1</v>
      </c>
      <c r="J3409">
        <v>1353340.08</v>
      </c>
      <c r="K3409">
        <v>1484551.57912603</v>
      </c>
      <c r="L3409">
        <v>608268.42000000004</v>
      </c>
      <c r="M3409">
        <v>1226618.6370165746</v>
      </c>
      <c r="N3409">
        <v>1281229.1199999996</v>
      </c>
      <c r="O3409">
        <v>1223221.1083516499</v>
      </c>
      <c r="P3409">
        <v>0</v>
      </c>
      <c r="Q3409">
        <f t="shared" si="695"/>
        <v>1223221.1083516499</v>
      </c>
      <c r="R3409">
        <v>1284382.1637692326</v>
      </c>
      <c r="S3409">
        <f t="shared" si="696"/>
        <v>61161.055417582626</v>
      </c>
      <c r="T3409">
        <v>0.02</v>
      </c>
      <c r="U3409">
        <f t="shared" si="697"/>
        <v>25687.643275384653</v>
      </c>
      <c r="V3409">
        <f t="shared" si="698"/>
        <v>1310069.8070446171</v>
      </c>
      <c r="W3409">
        <f t="shared" si="699"/>
        <v>86848.698692967184</v>
      </c>
      <c r="X3409"/>
    </row>
    <row r="3410" spans="1:24" x14ac:dyDescent="0.25">
      <c r="A3410" t="s">
        <v>2025</v>
      </c>
      <c r="B3410" t="s">
        <v>2183</v>
      </c>
      <c r="C3410" t="s">
        <v>2184</v>
      </c>
      <c r="D3410" t="s">
        <v>343</v>
      </c>
      <c r="E3410" t="s">
        <v>73</v>
      </c>
      <c r="F3410" t="s">
        <v>1</v>
      </c>
      <c r="G3410" t="s">
        <v>1130</v>
      </c>
      <c r="H3410" t="s">
        <v>490</v>
      </c>
      <c r="I3410" t="s">
        <v>1</v>
      </c>
      <c r="J3410">
        <v>432</v>
      </c>
      <c r="K3410"/>
      <c r="L3410">
        <v>0</v>
      </c>
      <c r="M3410">
        <v>0</v>
      </c>
      <c r="N3410">
        <v>0</v>
      </c>
      <c r="O3410"/>
      <c r="P3410">
        <v>0</v>
      </c>
      <c r="Q3410">
        <f t="shared" si="695"/>
        <v>0</v>
      </c>
      <c r="R3410">
        <v>0</v>
      </c>
      <c r="S3410">
        <f t="shared" si="696"/>
        <v>0</v>
      </c>
      <c r="T3410">
        <v>3.5000000000000003E-2</v>
      </c>
      <c r="U3410">
        <f t="shared" si="697"/>
        <v>0</v>
      </c>
      <c r="V3410">
        <f t="shared" si="698"/>
        <v>0</v>
      </c>
      <c r="W3410">
        <f t="shared" si="699"/>
        <v>0</v>
      </c>
      <c r="X3410">
        <v>0</v>
      </c>
    </row>
    <row r="3411" spans="1:24" x14ac:dyDescent="0.25">
      <c r="A3411" t="s">
        <v>2025</v>
      </c>
      <c r="B3411" t="s">
        <v>2183</v>
      </c>
      <c r="C3411" t="s">
        <v>2184</v>
      </c>
      <c r="D3411" t="s">
        <v>343</v>
      </c>
      <c r="E3411" t="s">
        <v>19</v>
      </c>
      <c r="F3411" t="s">
        <v>1</v>
      </c>
      <c r="G3411" t="s">
        <v>1130</v>
      </c>
      <c r="H3411" t="s">
        <v>419</v>
      </c>
      <c r="I3411" t="s">
        <v>1</v>
      </c>
      <c r="J3411">
        <v>1907.76</v>
      </c>
      <c r="K3411"/>
      <c r="L3411">
        <v>3687.52</v>
      </c>
      <c r="M3411">
        <v>7436.1591160220996</v>
      </c>
      <c r="N3411">
        <v>5120.8</v>
      </c>
      <c r="O3411">
        <v>7415.5621978022</v>
      </c>
      <c r="P3411">
        <v>0</v>
      </c>
      <c r="Q3411">
        <f t="shared" si="695"/>
        <v>7415.5621978022</v>
      </c>
      <c r="R3411">
        <v>1907.76</v>
      </c>
      <c r="S3411">
        <f t="shared" si="696"/>
        <v>-5507.8021978021998</v>
      </c>
      <c r="T3411">
        <v>0.02</v>
      </c>
      <c r="U3411">
        <f t="shared" si="697"/>
        <v>38.155200000000001</v>
      </c>
      <c r="V3411">
        <f t="shared" si="698"/>
        <v>1945.9151999999999</v>
      </c>
      <c r="W3411">
        <f t="shared" si="699"/>
        <v>-5469.6469978021996</v>
      </c>
      <c r="X3411">
        <v>0</v>
      </c>
    </row>
    <row r="3412" spans="1:24" x14ac:dyDescent="0.25">
      <c r="A3412" t="s">
        <v>2025</v>
      </c>
      <c r="B3412" t="s">
        <v>2183</v>
      </c>
      <c r="C3412" t="s">
        <v>2184</v>
      </c>
      <c r="D3412" t="s">
        <v>343</v>
      </c>
      <c r="E3412" t="s">
        <v>74</v>
      </c>
      <c r="F3412" t="s">
        <v>1</v>
      </c>
      <c r="G3412" t="s">
        <v>1130</v>
      </c>
      <c r="H3412" t="s">
        <v>491</v>
      </c>
      <c r="I3412" t="s">
        <v>1</v>
      </c>
      <c r="J3412">
        <v>535974.56000000006</v>
      </c>
      <c r="K3412">
        <v>527043.85782009701</v>
      </c>
      <c r="L3412">
        <v>296261.87</v>
      </c>
      <c r="M3412">
        <v>597434.15773480665</v>
      </c>
      <c r="N3412">
        <v>588200.56000000006</v>
      </c>
      <c r="O3412">
        <v>595779.36494505499</v>
      </c>
      <c r="P3412">
        <v>0</v>
      </c>
      <c r="Q3412">
        <f t="shared" si="695"/>
        <v>595779.36494505499</v>
      </c>
      <c r="R3412">
        <v>527043.85782009701</v>
      </c>
      <c r="S3412">
        <f t="shared" si="696"/>
        <v>-68735.507124957978</v>
      </c>
      <c r="T3412">
        <v>3.5000000000000003E-2</v>
      </c>
      <c r="U3412">
        <f t="shared" si="697"/>
        <v>18446.535023703396</v>
      </c>
      <c r="V3412">
        <f t="shared" si="698"/>
        <v>545490.39284380036</v>
      </c>
      <c r="W3412">
        <f t="shared" si="699"/>
        <v>-50288.972101254622</v>
      </c>
      <c r="X3412">
        <v>0</v>
      </c>
    </row>
    <row r="3413" spans="1:24" x14ac:dyDescent="0.25">
      <c r="A3413" t="s">
        <v>2025</v>
      </c>
      <c r="B3413" t="s">
        <v>2183</v>
      </c>
      <c r="C3413" t="s">
        <v>2184</v>
      </c>
      <c r="D3413" t="s">
        <v>343</v>
      </c>
      <c r="E3413" t="s">
        <v>85</v>
      </c>
      <c r="F3413" t="s">
        <v>1</v>
      </c>
      <c r="G3413" t="s">
        <v>1130</v>
      </c>
      <c r="H3413" t="s">
        <v>510</v>
      </c>
      <c r="I3413" t="s">
        <v>1</v>
      </c>
      <c r="J3413">
        <v>6056.26</v>
      </c>
      <c r="K3413">
        <v>5540.8964691355995</v>
      </c>
      <c r="L3413">
        <v>4482.6000000000004</v>
      </c>
      <c r="M3413">
        <v>9039.4972375690613</v>
      </c>
      <c r="N3413">
        <v>7558.8200000000006</v>
      </c>
      <c r="O3413">
        <v>9014.4593406592994</v>
      </c>
      <c r="P3413">
        <v>0</v>
      </c>
      <c r="Q3413">
        <f t="shared" si="695"/>
        <v>9014.4593406592994</v>
      </c>
      <c r="R3413">
        <v>9014.4593406592994</v>
      </c>
      <c r="S3413">
        <f t="shared" si="696"/>
        <v>0</v>
      </c>
      <c r="T3413">
        <v>0.02</v>
      </c>
      <c r="U3413">
        <f t="shared" si="697"/>
        <v>180.28918681318598</v>
      </c>
      <c r="V3413">
        <f t="shared" si="698"/>
        <v>9194.7485274724859</v>
      </c>
      <c r="W3413">
        <f t="shared" si="699"/>
        <v>180.28918681318646</v>
      </c>
      <c r="X3413">
        <v>0</v>
      </c>
    </row>
    <row r="3414" spans="1:24" x14ac:dyDescent="0.25">
      <c r="A3414" t="s">
        <v>2025</v>
      </c>
      <c r="B3414" t="s">
        <v>2183</v>
      </c>
      <c r="C3414" t="s">
        <v>2184</v>
      </c>
      <c r="D3414" t="s">
        <v>343</v>
      </c>
      <c r="E3414" t="s">
        <v>119</v>
      </c>
      <c r="F3414" t="s">
        <v>1</v>
      </c>
      <c r="G3414" t="s">
        <v>1130</v>
      </c>
      <c r="H3414" t="s">
        <v>588</v>
      </c>
      <c r="I3414" t="s">
        <v>1</v>
      </c>
      <c r="J3414">
        <v>111623.1</v>
      </c>
      <c r="K3414">
        <v>121183.067963073</v>
      </c>
      <c r="L3414">
        <v>49616.85</v>
      </c>
      <c r="M3414">
        <v>100056.07872928177</v>
      </c>
      <c r="N3414">
        <v>100436.82000000002</v>
      </c>
      <c r="O3414">
        <v>99778.9401098901</v>
      </c>
      <c r="P3414">
        <v>0</v>
      </c>
      <c r="Q3414">
        <f t="shared" si="695"/>
        <v>99778.9401098901</v>
      </c>
      <c r="R3414">
        <v>99778.9401098901</v>
      </c>
      <c r="S3414">
        <f t="shared" si="696"/>
        <v>0</v>
      </c>
      <c r="T3414">
        <v>1.4999999999999999E-2</v>
      </c>
      <c r="U3414">
        <f t="shared" si="697"/>
        <v>1496.6841016483515</v>
      </c>
      <c r="V3414">
        <f t="shared" si="698"/>
        <v>101275.62421153845</v>
      </c>
      <c r="W3414">
        <f t="shared" si="699"/>
        <v>1496.6841016483522</v>
      </c>
      <c r="X3414">
        <v>0</v>
      </c>
    </row>
    <row r="3415" spans="1:24" x14ac:dyDescent="0.25">
      <c r="A3415" t="s">
        <v>2025</v>
      </c>
      <c r="B3415" t="s">
        <v>2183</v>
      </c>
      <c r="C3415" t="s">
        <v>2184</v>
      </c>
      <c r="D3415" t="s">
        <v>343</v>
      </c>
      <c r="E3415" t="s">
        <v>136</v>
      </c>
      <c r="F3415" t="s">
        <v>1</v>
      </c>
      <c r="G3415" t="s">
        <v>1130</v>
      </c>
      <c r="H3415" t="s">
        <v>627</v>
      </c>
      <c r="I3415" t="s">
        <v>1</v>
      </c>
      <c r="J3415">
        <v>26988.37</v>
      </c>
      <c r="K3415">
        <v>32506.648255143999</v>
      </c>
      <c r="L3415">
        <v>11563.68</v>
      </c>
      <c r="M3415">
        <v>23319.023204419889</v>
      </c>
      <c r="N3415">
        <v>22974.87</v>
      </c>
      <c r="O3415">
        <v>23254.433406593402</v>
      </c>
      <c r="P3415">
        <v>0</v>
      </c>
      <c r="Q3415">
        <f t="shared" si="695"/>
        <v>23254.433406593402</v>
      </c>
      <c r="R3415">
        <v>23254.433406593402</v>
      </c>
      <c r="S3415">
        <f t="shared" si="696"/>
        <v>0</v>
      </c>
      <c r="T3415">
        <v>0.03</v>
      </c>
      <c r="U3415">
        <f t="shared" si="697"/>
        <v>697.63300219780206</v>
      </c>
      <c r="V3415">
        <f t="shared" si="698"/>
        <v>23952.066408791205</v>
      </c>
      <c r="W3415">
        <f t="shared" si="699"/>
        <v>697.63300219780285</v>
      </c>
      <c r="X3415">
        <v>0</v>
      </c>
    </row>
    <row r="3416" spans="1:24" x14ac:dyDescent="0.25">
      <c r="A3416" t="s">
        <v>2025</v>
      </c>
      <c r="B3416" t="s">
        <v>2183</v>
      </c>
      <c r="C3416" t="s">
        <v>2184</v>
      </c>
      <c r="D3416" t="s">
        <v>343</v>
      </c>
      <c r="E3416" t="s">
        <v>120</v>
      </c>
      <c r="F3416" t="s">
        <v>1</v>
      </c>
      <c r="G3416" t="s">
        <v>1130</v>
      </c>
      <c r="H3416" t="s">
        <v>589</v>
      </c>
      <c r="I3416" t="s">
        <v>1</v>
      </c>
      <c r="J3416">
        <v>137555.17000000001</v>
      </c>
      <c r="K3416">
        <v>63284.634805555499</v>
      </c>
      <c r="L3416">
        <v>179051.37</v>
      </c>
      <c r="M3416">
        <v>361070.44226519339</v>
      </c>
      <c r="N3416">
        <v>287256.37</v>
      </c>
      <c r="O3416">
        <v>360070.337472527</v>
      </c>
      <c r="P3416">
        <v>0</v>
      </c>
      <c r="Q3416">
        <f t="shared" si="695"/>
        <v>360070.337472527</v>
      </c>
      <c r="R3416">
        <v>360070.337472527</v>
      </c>
      <c r="S3416">
        <f t="shared" si="696"/>
        <v>0</v>
      </c>
      <c r="T3416">
        <v>3.5000000000000003E-2</v>
      </c>
      <c r="U3416">
        <f t="shared" si="697"/>
        <v>12602.461811538446</v>
      </c>
      <c r="V3416">
        <f t="shared" si="698"/>
        <v>372672.79928406543</v>
      </c>
      <c r="W3416">
        <f t="shared" si="699"/>
        <v>12602.461811538436</v>
      </c>
      <c r="X3416">
        <v>0</v>
      </c>
    </row>
    <row r="3417" spans="1:24" x14ac:dyDescent="0.25">
      <c r="A3417" t="s">
        <v>2025</v>
      </c>
      <c r="B3417" t="s">
        <v>2183</v>
      </c>
      <c r="C3417" t="s">
        <v>2184</v>
      </c>
      <c r="D3417" t="s">
        <v>343</v>
      </c>
      <c r="E3417" t="s">
        <v>20</v>
      </c>
      <c r="F3417" t="s">
        <v>1</v>
      </c>
      <c r="G3417" t="s">
        <v>1130</v>
      </c>
      <c r="H3417" t="s">
        <v>420</v>
      </c>
      <c r="I3417" t="s">
        <v>1</v>
      </c>
      <c r="J3417">
        <v>494701.27</v>
      </c>
      <c r="K3417">
        <v>517002.594592668</v>
      </c>
      <c r="L3417">
        <v>255270.51</v>
      </c>
      <c r="M3417">
        <v>514772.0229281768</v>
      </c>
      <c r="N3417">
        <v>521847.94999999995</v>
      </c>
      <c r="O3417">
        <v>513346.19043955998</v>
      </c>
      <c r="P3417">
        <v>0</v>
      </c>
      <c r="Q3417">
        <f t="shared" si="695"/>
        <v>513346.19043955998</v>
      </c>
      <c r="R3417">
        <v>513346.19043955998</v>
      </c>
      <c r="S3417">
        <f t="shared" si="696"/>
        <v>0</v>
      </c>
      <c r="T3417">
        <v>0.04</v>
      </c>
      <c r="U3417">
        <f t="shared" si="697"/>
        <v>20533.8476175824</v>
      </c>
      <c r="V3417">
        <f t="shared" si="698"/>
        <v>533880.0380571424</v>
      </c>
      <c r="W3417">
        <f t="shared" si="699"/>
        <v>20533.847617582418</v>
      </c>
      <c r="X3417">
        <v>0</v>
      </c>
    </row>
    <row r="3418" spans="1:24" x14ac:dyDescent="0.25">
      <c r="A3418" t="s">
        <v>2025</v>
      </c>
      <c r="B3418" t="s">
        <v>2183</v>
      </c>
      <c r="C3418" t="s">
        <v>2184</v>
      </c>
      <c r="D3418" t="s">
        <v>343</v>
      </c>
      <c r="E3418" t="s">
        <v>21</v>
      </c>
      <c r="F3418" t="s">
        <v>1</v>
      </c>
      <c r="G3418" t="s">
        <v>1130</v>
      </c>
      <c r="H3418" t="s">
        <v>421</v>
      </c>
      <c r="I3418" t="s">
        <v>1</v>
      </c>
      <c r="J3418">
        <v>1704.07</v>
      </c>
      <c r="K3418"/>
      <c r="L3418">
        <v>3680.72</v>
      </c>
      <c r="M3418">
        <v>7422.446408839779</v>
      </c>
      <c r="N3418">
        <v>5384.7899999999991</v>
      </c>
      <c r="O3418">
        <v>7422.4464088397999</v>
      </c>
      <c r="P3418">
        <v>0</v>
      </c>
      <c r="Q3418">
        <f t="shared" si="695"/>
        <v>7422.4464088397999</v>
      </c>
      <c r="R3418">
        <v>2000</v>
      </c>
      <c r="S3418">
        <f t="shared" si="696"/>
        <v>-5422.4464088397999</v>
      </c>
      <c r="T3418">
        <v>0.03</v>
      </c>
      <c r="U3418">
        <f t="shared" si="697"/>
        <v>60</v>
      </c>
      <c r="V3418">
        <f t="shared" si="698"/>
        <v>2060</v>
      </c>
      <c r="W3418">
        <f t="shared" si="699"/>
        <v>-5362.4464088397999</v>
      </c>
      <c r="X3418">
        <v>0</v>
      </c>
    </row>
    <row r="3419" spans="1:24" x14ac:dyDescent="0.25">
      <c r="A3419" t="s">
        <v>2025</v>
      </c>
      <c r="B3419" t="s">
        <v>2183</v>
      </c>
      <c r="C3419" t="s">
        <v>2184</v>
      </c>
      <c r="D3419" t="s">
        <v>343</v>
      </c>
      <c r="E3419" t="s">
        <v>22</v>
      </c>
      <c r="F3419" t="s">
        <v>1</v>
      </c>
      <c r="G3419" t="s">
        <v>1130</v>
      </c>
      <c r="H3419" t="s">
        <v>422</v>
      </c>
      <c r="I3419" t="s">
        <v>1</v>
      </c>
      <c r="J3419">
        <v>352.68</v>
      </c>
      <c r="K3419">
        <v>465.75000000009999</v>
      </c>
      <c r="L3419">
        <v>554.88</v>
      </c>
      <c r="M3419">
        <v>1118.9569060773481</v>
      </c>
      <c r="N3419">
        <v>684.17000000000007</v>
      </c>
      <c r="O3419">
        <v>1118.9569060773999</v>
      </c>
      <c r="P3419">
        <v>0</v>
      </c>
      <c r="Q3419">
        <f t="shared" si="695"/>
        <v>1118.9569060773999</v>
      </c>
      <c r="R3419">
        <v>450</v>
      </c>
      <c r="S3419">
        <f t="shared" si="696"/>
        <v>-668.95690607739994</v>
      </c>
      <c r="T3419">
        <v>3.5000000000000003E-2</v>
      </c>
      <c r="U3419">
        <f t="shared" si="697"/>
        <v>15.750000000000002</v>
      </c>
      <c r="V3419">
        <f t="shared" si="698"/>
        <v>465.75</v>
      </c>
      <c r="W3419">
        <f t="shared" si="699"/>
        <v>-653.20690607739994</v>
      </c>
      <c r="X3419" t="s">
        <v>1842</v>
      </c>
    </row>
    <row r="3420" spans="1:24" x14ac:dyDescent="0.25">
      <c r="A3420" t="s">
        <v>2025</v>
      </c>
      <c r="B3420" t="s">
        <v>2183</v>
      </c>
      <c r="C3420" t="s">
        <v>2184</v>
      </c>
      <c r="D3420" t="s">
        <v>343</v>
      </c>
      <c r="E3420" t="s">
        <v>23</v>
      </c>
      <c r="F3420" t="s">
        <v>1</v>
      </c>
      <c r="G3420" t="s">
        <v>1130</v>
      </c>
      <c r="H3420" t="s">
        <v>423</v>
      </c>
      <c r="I3420" t="s">
        <v>1</v>
      </c>
      <c r="J3420">
        <v>2372.58</v>
      </c>
      <c r="K3420">
        <v>4233.1499999998996</v>
      </c>
      <c r="L3420">
        <v>6305.96</v>
      </c>
      <c r="M3420">
        <v>12716.43867403315</v>
      </c>
      <c r="N3420">
        <v>6631.76</v>
      </c>
      <c r="O3420">
        <v>12716.438674033199</v>
      </c>
      <c r="P3420">
        <v>0</v>
      </c>
      <c r="Q3420">
        <f t="shared" si="695"/>
        <v>12716.438674033199</v>
      </c>
      <c r="R3420">
        <v>15000</v>
      </c>
      <c r="S3420">
        <f t="shared" si="696"/>
        <v>2283.5613259668007</v>
      </c>
      <c r="T3420">
        <v>3.5000000000000003E-2</v>
      </c>
      <c r="U3420">
        <f t="shared" si="697"/>
        <v>525</v>
      </c>
      <c r="V3420">
        <f t="shared" si="698"/>
        <v>15525</v>
      </c>
      <c r="W3420">
        <f t="shared" si="699"/>
        <v>2808.5613259668007</v>
      </c>
      <c r="X3420" t="s">
        <v>1843</v>
      </c>
    </row>
    <row r="3421" spans="1:24" x14ac:dyDescent="0.25">
      <c r="A3421" t="s">
        <v>2025</v>
      </c>
      <c r="B3421" t="s">
        <v>2183</v>
      </c>
      <c r="C3421" t="s">
        <v>2184</v>
      </c>
      <c r="D3421" t="s">
        <v>343</v>
      </c>
      <c r="E3421" t="s">
        <v>24</v>
      </c>
      <c r="F3421" t="s">
        <v>1</v>
      </c>
      <c r="G3421" t="s">
        <v>1130</v>
      </c>
      <c r="H3421" t="s">
        <v>424</v>
      </c>
      <c r="I3421" t="s">
        <v>1</v>
      </c>
      <c r="J3421"/>
      <c r="K3421">
        <v>399.99999999959999</v>
      </c>
      <c r="L3421">
        <v>0</v>
      </c>
      <c r="M3421">
        <v>0</v>
      </c>
      <c r="N3421">
        <v>0</v>
      </c>
      <c r="O3421"/>
      <c r="P3421">
        <v>0</v>
      </c>
      <c r="Q3421">
        <f t="shared" si="695"/>
        <v>0</v>
      </c>
      <c r="R3421">
        <v>399.99999999959999</v>
      </c>
      <c r="S3421">
        <f t="shared" si="696"/>
        <v>399.99999999959999</v>
      </c>
      <c r="T3421"/>
      <c r="U3421">
        <f t="shared" si="697"/>
        <v>0</v>
      </c>
      <c r="V3421">
        <f t="shared" si="698"/>
        <v>399.99999999959999</v>
      </c>
      <c r="W3421">
        <f t="shared" si="699"/>
        <v>399.99999999959999</v>
      </c>
      <c r="X3421" t="s">
        <v>1844</v>
      </c>
    </row>
    <row r="3422" spans="1:24" x14ac:dyDescent="0.25">
      <c r="A3422" t="s">
        <v>2025</v>
      </c>
      <c r="B3422" t="s">
        <v>2183</v>
      </c>
      <c r="C3422" t="s">
        <v>2184</v>
      </c>
      <c r="D3422" t="s">
        <v>343</v>
      </c>
      <c r="E3422" t="s">
        <v>26</v>
      </c>
      <c r="F3422" t="s">
        <v>1</v>
      </c>
      <c r="G3422" t="s">
        <v>1130</v>
      </c>
      <c r="H3422" t="s">
        <v>426</v>
      </c>
      <c r="I3422" t="s">
        <v>1</v>
      </c>
      <c r="J3422"/>
      <c r="K3422">
        <v>215.8724410248</v>
      </c>
      <c r="L3422">
        <v>0</v>
      </c>
      <c r="M3422">
        <v>0</v>
      </c>
      <c r="N3422">
        <v>0</v>
      </c>
      <c r="O3422"/>
      <c r="P3422">
        <v>0</v>
      </c>
      <c r="Q3422">
        <f t="shared" si="695"/>
        <v>0</v>
      </c>
      <c r="R3422">
        <v>0</v>
      </c>
      <c r="S3422">
        <f t="shared" si="696"/>
        <v>0</v>
      </c>
      <c r="T3422"/>
      <c r="U3422">
        <f t="shared" si="697"/>
        <v>0</v>
      </c>
      <c r="V3422">
        <f t="shared" si="698"/>
        <v>0</v>
      </c>
      <c r="W3422">
        <f t="shared" si="699"/>
        <v>0</v>
      </c>
      <c r="X3422">
        <v>0</v>
      </c>
    </row>
    <row r="3423" spans="1:24" x14ac:dyDescent="0.25">
      <c r="A3423" t="s">
        <v>2025</v>
      </c>
      <c r="B3423" t="s">
        <v>2183</v>
      </c>
      <c r="C3423" t="s">
        <v>2184</v>
      </c>
      <c r="D3423" t="s">
        <v>343</v>
      </c>
      <c r="E3423" t="s">
        <v>28</v>
      </c>
      <c r="F3423" t="s">
        <v>1</v>
      </c>
      <c r="G3423" t="s">
        <v>1130</v>
      </c>
      <c r="H3423" t="s">
        <v>428</v>
      </c>
      <c r="I3423" t="s">
        <v>1</v>
      </c>
      <c r="J3423">
        <v>4907.76</v>
      </c>
      <c r="K3423">
        <v>300</v>
      </c>
      <c r="L3423">
        <v>767.17</v>
      </c>
      <c r="M3423">
        <v>1547.0555248618784</v>
      </c>
      <c r="N3423">
        <v>5525.9699999999993</v>
      </c>
      <c r="O3423">
        <v>1534.34</v>
      </c>
      <c r="P3423">
        <v>0</v>
      </c>
      <c r="Q3423">
        <f t="shared" si="695"/>
        <v>1534.34</v>
      </c>
      <c r="R3423">
        <v>300</v>
      </c>
      <c r="S3423">
        <f t="shared" si="696"/>
        <v>-1234.3399999999999</v>
      </c>
      <c r="T3423"/>
      <c r="U3423">
        <f t="shared" si="697"/>
        <v>0</v>
      </c>
      <c r="V3423">
        <f t="shared" si="698"/>
        <v>300</v>
      </c>
      <c r="W3423">
        <f t="shared" si="699"/>
        <v>-1234.3399999999999</v>
      </c>
      <c r="X3423">
        <v>0</v>
      </c>
    </row>
    <row r="3424" spans="1:24" x14ac:dyDescent="0.25">
      <c r="A3424" t="s">
        <v>2025</v>
      </c>
      <c r="B3424" t="s">
        <v>2183</v>
      </c>
      <c r="C3424" t="s">
        <v>2184</v>
      </c>
      <c r="D3424" t="s">
        <v>343</v>
      </c>
      <c r="E3424" t="s">
        <v>34</v>
      </c>
      <c r="F3424" t="s">
        <v>1</v>
      </c>
      <c r="G3424" t="s">
        <v>1130</v>
      </c>
      <c r="H3424" t="s">
        <v>434</v>
      </c>
      <c r="I3424" t="s">
        <v>1</v>
      </c>
      <c r="J3424"/>
      <c r="K3424">
        <v>98.123836830000002</v>
      </c>
      <c r="L3424">
        <v>0</v>
      </c>
      <c r="M3424">
        <v>0</v>
      </c>
      <c r="N3424">
        <v>0</v>
      </c>
      <c r="O3424"/>
      <c r="P3424">
        <v>0</v>
      </c>
      <c r="Q3424">
        <f t="shared" si="695"/>
        <v>0</v>
      </c>
      <c r="R3424">
        <v>0</v>
      </c>
      <c r="S3424">
        <f t="shared" si="696"/>
        <v>0</v>
      </c>
      <c r="T3424"/>
      <c r="U3424">
        <f t="shared" si="697"/>
        <v>0</v>
      </c>
      <c r="V3424">
        <f t="shared" si="698"/>
        <v>0</v>
      </c>
      <c r="W3424">
        <f t="shared" si="699"/>
        <v>0</v>
      </c>
      <c r="X3424">
        <v>0</v>
      </c>
    </row>
    <row r="3425" spans="1:24" x14ac:dyDescent="0.25">
      <c r="A3425" t="s">
        <v>2025</v>
      </c>
      <c r="B3425" t="s">
        <v>2183</v>
      </c>
      <c r="C3425" t="s">
        <v>2184</v>
      </c>
      <c r="D3425" t="s">
        <v>343</v>
      </c>
      <c r="E3425" t="s">
        <v>37</v>
      </c>
      <c r="F3425" t="s">
        <v>1</v>
      </c>
      <c r="G3425" t="s">
        <v>1130</v>
      </c>
      <c r="H3425" t="s">
        <v>437</v>
      </c>
      <c r="I3425" t="s">
        <v>1</v>
      </c>
      <c r="J3425"/>
      <c r="K3425">
        <v>1079.362205124</v>
      </c>
      <c r="L3425">
        <v>0</v>
      </c>
      <c r="M3425">
        <v>0</v>
      </c>
      <c r="N3425">
        <v>0</v>
      </c>
      <c r="O3425"/>
      <c r="P3425">
        <v>0</v>
      </c>
      <c r="Q3425">
        <f t="shared" si="695"/>
        <v>0</v>
      </c>
      <c r="R3425">
        <v>0</v>
      </c>
      <c r="S3425">
        <f t="shared" si="696"/>
        <v>0</v>
      </c>
      <c r="T3425"/>
      <c r="U3425">
        <f t="shared" si="697"/>
        <v>0</v>
      </c>
      <c r="V3425">
        <f t="shared" si="698"/>
        <v>0</v>
      </c>
      <c r="W3425">
        <f t="shared" si="699"/>
        <v>0</v>
      </c>
      <c r="X3425">
        <v>0</v>
      </c>
    </row>
    <row r="3426" spans="1:24" x14ac:dyDescent="0.25">
      <c r="A3426" t="s">
        <v>2025</v>
      </c>
      <c r="B3426" t="s">
        <v>2183</v>
      </c>
      <c r="C3426" t="s">
        <v>2184</v>
      </c>
      <c r="D3426" t="s">
        <v>343</v>
      </c>
      <c r="E3426" t="s">
        <v>41</v>
      </c>
      <c r="F3426" t="s">
        <v>1</v>
      </c>
      <c r="G3426" t="s">
        <v>1130</v>
      </c>
      <c r="H3426" t="s">
        <v>441</v>
      </c>
      <c r="I3426" t="s">
        <v>1</v>
      </c>
      <c r="J3426">
        <v>11388.82</v>
      </c>
      <c r="K3426">
        <v>9140.4471486179991</v>
      </c>
      <c r="L3426">
        <v>8450.1</v>
      </c>
      <c r="M3426">
        <v>17040.256906077349</v>
      </c>
      <c r="N3426">
        <v>14980.61</v>
      </c>
      <c r="O3426">
        <v>16900.2</v>
      </c>
      <c r="P3426">
        <v>0</v>
      </c>
      <c r="Q3426">
        <f t="shared" si="695"/>
        <v>16900.2</v>
      </c>
      <c r="R3426">
        <v>9140.4471486179991</v>
      </c>
      <c r="S3426">
        <f t="shared" si="696"/>
        <v>-7759.7528513820016</v>
      </c>
      <c r="T3426">
        <v>0.03</v>
      </c>
      <c r="U3426">
        <f t="shared" si="697"/>
        <v>274.21341445853994</v>
      </c>
      <c r="V3426">
        <f t="shared" si="698"/>
        <v>9414.6605630765389</v>
      </c>
      <c r="W3426">
        <f t="shared" si="699"/>
        <v>-7485.5394369234618</v>
      </c>
      <c r="X3426">
        <v>0</v>
      </c>
    </row>
    <row r="3427" spans="1:24" x14ac:dyDescent="0.25">
      <c r="A3427" t="s">
        <v>2025</v>
      </c>
      <c r="B3427" t="s">
        <v>2183</v>
      </c>
      <c r="C3427" t="s">
        <v>2184</v>
      </c>
      <c r="D3427" t="s">
        <v>343</v>
      </c>
      <c r="E3427" t="s">
        <v>140</v>
      </c>
      <c r="F3427" t="s">
        <v>1</v>
      </c>
      <c r="G3427" t="s">
        <v>1130</v>
      </c>
      <c r="H3427" t="s">
        <v>637</v>
      </c>
      <c r="I3427" t="s">
        <v>1</v>
      </c>
      <c r="J3427">
        <v>28246.12</v>
      </c>
      <c r="K3427">
        <v>25781.0000000004</v>
      </c>
      <c r="L3427">
        <v>13664.36</v>
      </c>
      <c r="M3427">
        <v>27555.201104972381</v>
      </c>
      <c r="N3427">
        <v>27270.949999999997</v>
      </c>
      <c r="O3427">
        <v>27328.720000000001</v>
      </c>
      <c r="P3427">
        <v>0</v>
      </c>
      <c r="Q3427">
        <f t="shared" si="695"/>
        <v>27328.720000000001</v>
      </c>
      <c r="R3427">
        <v>27328.720000000001</v>
      </c>
      <c r="S3427">
        <f t="shared" si="696"/>
        <v>0</v>
      </c>
      <c r="T3427">
        <v>0.03</v>
      </c>
      <c r="U3427">
        <f t="shared" si="697"/>
        <v>819.86159999999995</v>
      </c>
      <c r="V3427">
        <f t="shared" si="698"/>
        <v>28148.581600000001</v>
      </c>
      <c r="W3427">
        <f t="shared" si="699"/>
        <v>819.86160000000018</v>
      </c>
      <c r="X3427" t="s">
        <v>1845</v>
      </c>
    </row>
    <row r="3428" spans="1:24" x14ac:dyDescent="0.25">
      <c r="A3428" t="s">
        <v>2025</v>
      </c>
      <c r="B3428" t="s">
        <v>2183</v>
      </c>
      <c r="C3428" t="s">
        <v>2184</v>
      </c>
      <c r="D3428" t="s">
        <v>343</v>
      </c>
      <c r="E3428" t="s">
        <v>42</v>
      </c>
      <c r="F3428" t="s">
        <v>1</v>
      </c>
      <c r="G3428" t="s">
        <v>1130</v>
      </c>
      <c r="H3428" t="s">
        <v>442</v>
      </c>
      <c r="I3428" t="s">
        <v>1</v>
      </c>
      <c r="J3428">
        <v>33.229999999999997</v>
      </c>
      <c r="K3428"/>
      <c r="L3428">
        <v>11.65</v>
      </c>
      <c r="M3428">
        <v>23.493093922651937</v>
      </c>
      <c r="N3428">
        <v>44.879999999999995</v>
      </c>
      <c r="O3428">
        <v>23.3</v>
      </c>
      <c r="P3428">
        <v>0</v>
      </c>
      <c r="Q3428">
        <f t="shared" si="695"/>
        <v>23.3</v>
      </c>
      <c r="R3428">
        <v>0</v>
      </c>
      <c r="S3428">
        <f t="shared" si="696"/>
        <v>-23.3</v>
      </c>
      <c r="T3428">
        <v>0.03</v>
      </c>
      <c r="U3428">
        <f t="shared" si="697"/>
        <v>0</v>
      </c>
      <c r="V3428">
        <f t="shared" si="698"/>
        <v>0</v>
      </c>
      <c r="W3428">
        <f t="shared" si="699"/>
        <v>-23.3</v>
      </c>
      <c r="X3428">
        <v>0</v>
      </c>
    </row>
    <row r="3429" spans="1:24" x14ac:dyDescent="0.25">
      <c r="A3429" t="s">
        <v>2025</v>
      </c>
      <c r="B3429" t="s">
        <v>2183</v>
      </c>
      <c r="C3429" t="s">
        <v>2184</v>
      </c>
      <c r="D3429" t="s">
        <v>343</v>
      </c>
      <c r="E3429" t="s">
        <v>134</v>
      </c>
      <c r="F3429" t="s">
        <v>1</v>
      </c>
      <c r="G3429" t="s">
        <v>1130</v>
      </c>
      <c r="H3429" t="s">
        <v>623</v>
      </c>
      <c r="I3429" t="s">
        <v>1</v>
      </c>
      <c r="J3429">
        <v>6769.5</v>
      </c>
      <c r="K3429"/>
      <c r="L3429">
        <v>3480</v>
      </c>
      <c r="M3429">
        <v>7017.6795580110502</v>
      </c>
      <c r="N3429">
        <v>5369.5</v>
      </c>
      <c r="O3429">
        <v>6960</v>
      </c>
      <c r="P3429">
        <v>0</v>
      </c>
      <c r="Q3429">
        <f t="shared" si="695"/>
        <v>6960</v>
      </c>
      <c r="R3429">
        <v>6960</v>
      </c>
      <c r="S3429">
        <f t="shared" si="696"/>
        <v>0</v>
      </c>
      <c r="T3429">
        <v>0.03</v>
      </c>
      <c r="U3429">
        <f t="shared" si="697"/>
        <v>208.79999999999998</v>
      </c>
      <c r="V3429">
        <f t="shared" si="698"/>
        <v>7168.8</v>
      </c>
      <c r="W3429">
        <f t="shared" si="699"/>
        <v>208.80000000000018</v>
      </c>
      <c r="X3429" t="s">
        <v>1846</v>
      </c>
    </row>
    <row r="3430" spans="1:24" x14ac:dyDescent="0.25">
      <c r="A3430" t="s">
        <v>2025</v>
      </c>
      <c r="B3430" t="s">
        <v>2183</v>
      </c>
      <c r="C3430" t="s">
        <v>2184</v>
      </c>
      <c r="D3430" t="s">
        <v>343</v>
      </c>
      <c r="E3430" t="s">
        <v>48</v>
      </c>
      <c r="F3430" t="s">
        <v>1</v>
      </c>
      <c r="G3430" t="s">
        <v>1130</v>
      </c>
      <c r="H3430" t="s">
        <v>448</v>
      </c>
      <c r="I3430" t="s">
        <v>1</v>
      </c>
      <c r="J3430">
        <v>231.97</v>
      </c>
      <c r="K3430"/>
      <c r="L3430">
        <v>0</v>
      </c>
      <c r="M3430">
        <v>0</v>
      </c>
      <c r="N3430">
        <v>231.97</v>
      </c>
      <c r="O3430"/>
      <c r="P3430">
        <v>0</v>
      </c>
      <c r="Q3430">
        <f t="shared" si="695"/>
        <v>0</v>
      </c>
      <c r="R3430">
        <v>0</v>
      </c>
      <c r="S3430">
        <f t="shared" si="696"/>
        <v>0</v>
      </c>
      <c r="T3430">
        <v>0.03</v>
      </c>
      <c r="U3430">
        <f t="shared" si="697"/>
        <v>0</v>
      </c>
      <c r="V3430">
        <f t="shared" si="698"/>
        <v>0</v>
      </c>
      <c r="W3430">
        <f t="shared" si="699"/>
        <v>0</v>
      </c>
      <c r="X3430">
        <v>0</v>
      </c>
    </row>
    <row r="3431" spans="1:24" x14ac:dyDescent="0.25">
      <c r="A3431" t="s">
        <v>2025</v>
      </c>
      <c r="B3431" t="s">
        <v>2183</v>
      </c>
      <c r="C3431" t="s">
        <v>2184</v>
      </c>
      <c r="D3431" t="s">
        <v>343</v>
      </c>
      <c r="E3431" t="s">
        <v>50</v>
      </c>
      <c r="F3431" t="s">
        <v>1</v>
      </c>
      <c r="G3431" t="s">
        <v>1130</v>
      </c>
      <c r="H3431" t="s">
        <v>450</v>
      </c>
      <c r="I3431" t="s">
        <v>1</v>
      </c>
      <c r="J3431">
        <v>605.01</v>
      </c>
      <c r="K3431">
        <v>600</v>
      </c>
      <c r="L3431">
        <v>309.33999999999997</v>
      </c>
      <c r="M3431">
        <v>623.80718232044194</v>
      </c>
      <c r="N3431">
        <v>618.68000000000006</v>
      </c>
      <c r="O3431">
        <v>623.80718232039999</v>
      </c>
      <c r="P3431">
        <v>0</v>
      </c>
      <c r="Q3431">
        <f t="shared" si="695"/>
        <v>623.80718232039999</v>
      </c>
      <c r="R3431">
        <v>623.80718232039999</v>
      </c>
      <c r="S3431">
        <f t="shared" si="696"/>
        <v>0</v>
      </c>
      <c r="T3431"/>
      <c r="U3431">
        <f t="shared" si="697"/>
        <v>0</v>
      </c>
      <c r="V3431">
        <f t="shared" si="698"/>
        <v>623.80718232039999</v>
      </c>
      <c r="W3431">
        <f t="shared" si="699"/>
        <v>0</v>
      </c>
      <c r="X3431" t="s">
        <v>1839</v>
      </c>
    </row>
    <row r="3432" spans="1:24" x14ac:dyDescent="0.25">
      <c r="A3432" t="s">
        <v>2025</v>
      </c>
      <c r="B3432" t="s">
        <v>2183</v>
      </c>
      <c r="C3432" t="s">
        <v>2184</v>
      </c>
      <c r="D3432" t="s">
        <v>343</v>
      </c>
      <c r="E3432" t="s">
        <v>51</v>
      </c>
      <c r="F3432" t="s">
        <v>51</v>
      </c>
      <c r="G3432" t="s">
        <v>1131</v>
      </c>
      <c r="H3432"/>
      <c r="I3432"/>
      <c r="J3432">
        <v>2703937.72</v>
      </c>
      <c r="K3432">
        <v>2774271.7746632993</v>
      </c>
      <c r="L3432">
        <v>1402959.33</v>
      </c>
      <c r="M3432">
        <v>2829172.1295580114</v>
      </c>
      <c r="N3432">
        <v>2838354.0200000005</v>
      </c>
      <c r="O3432">
        <v>2821369.9271932496</v>
      </c>
      <c r="P3432">
        <f>SUMIF($F$3402:$F$3431,"&lt;&gt;EV_*",$P$3402:$P$3431)</f>
        <v>0</v>
      </c>
      <c r="Q3432">
        <f>SUMIF($F$3402:$F$3431,"&lt;&gt;EV_*",$Q$3402:$Q$3431)</f>
        <v>2821369.9271932496</v>
      </c>
      <c r="R3432">
        <f>SUMIF($F$3402:$F$3431,"&lt;&gt;EV_*",$R$3402:$R$3431)</f>
        <v>2845122.2605356514</v>
      </c>
      <c r="S3432">
        <f>SUMIF($F$3402:$F$3431,"&lt;&gt;EV_*",$S$3402:$S$3431)</f>
        <v>23752.333342401736</v>
      </c>
      <c r="T3432">
        <v>0</v>
      </c>
      <c r="U3432">
        <f>SUMIF($F$3402:$F$3431,"&lt;&gt;EV_*",$U$3402:$U$3431)</f>
        <v>81586.874233326787</v>
      </c>
      <c r="V3432">
        <f>SUMIF($F$3402:$F$3431,"&lt;&gt;EV_*",$V$3402:$V$3431)</f>
        <v>2926709.1347689773</v>
      </c>
      <c r="W3432">
        <f>SUMIF($F$3402:$F$3431,"&lt;&gt;EV_*",$W$3402:$W$3431)</f>
        <v>105339.20757572843</v>
      </c>
      <c r="X3432">
        <f>SUMIF($F$3402:$F$3431,"&lt;&gt;EV_*",$X$3402:$X$3431)</f>
        <v>0</v>
      </c>
    </row>
    <row r="3433" spans="1:24" x14ac:dyDescent="0.25">
      <c r="A3433" t="s">
        <v>1928</v>
      </c>
      <c r="B3433" t="s">
        <v>2185</v>
      </c>
      <c r="C3433" t="s">
        <v>2186</v>
      </c>
      <c r="D3433" t="s">
        <v>344</v>
      </c>
      <c r="E3433" t="s">
        <v>5</v>
      </c>
      <c r="F3433" t="s">
        <v>5</v>
      </c>
      <c r="G3433" t="s">
        <v>1132</v>
      </c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</row>
    <row r="3434" spans="1:24" x14ac:dyDescent="0.25">
      <c r="A3434" t="s">
        <v>1928</v>
      </c>
      <c r="B3434" t="s">
        <v>2185</v>
      </c>
      <c r="C3434" t="s">
        <v>2186</v>
      </c>
      <c r="D3434" t="s">
        <v>344</v>
      </c>
      <c r="E3434" t="s">
        <v>8</v>
      </c>
      <c r="F3434" t="s">
        <v>1</v>
      </c>
      <c r="G3434" t="s">
        <v>1133</v>
      </c>
      <c r="H3434" t="s">
        <v>408</v>
      </c>
      <c r="I3434" t="s">
        <v>1</v>
      </c>
      <c r="J3434">
        <v>491</v>
      </c>
      <c r="K3434">
        <v>990.13812154699997</v>
      </c>
      <c r="L3434">
        <v>0</v>
      </c>
      <c r="M3434">
        <v>0</v>
      </c>
      <c r="N3434">
        <v>0</v>
      </c>
      <c r="O3434"/>
      <c r="P3434">
        <v>0</v>
      </c>
      <c r="Q3434">
        <f t="shared" ref="Q3434:Q3448" si="700">O3434+P3434</f>
        <v>0</v>
      </c>
      <c r="R3434">
        <v>0</v>
      </c>
      <c r="S3434">
        <f t="shared" ref="S3434:S3448" si="701">IF(OR(LEFT(E3434,2)="A_",LEFT(D3434,5)="Total"),R3434-Q3434,"")</f>
        <v>0</v>
      </c>
      <c r="T3434"/>
      <c r="U3434">
        <f t="shared" ref="U3434:U3448" si="702">IFERROR(R3434*T3434,R3434*0)</f>
        <v>0</v>
      </c>
      <c r="V3434">
        <f t="shared" ref="V3434:V3448" si="703">IF(OR(LEFT(E3434,2)="A_",LEFT(D3434,5)="Total"),R3434+U3434,"")</f>
        <v>0</v>
      </c>
      <c r="W3434">
        <f t="shared" ref="W3434:W3448" si="704">IF(OR(LEFT(E3434,2)="A_",LEFT(D3434,5)="Total"),V3434-Q3434,"")</f>
        <v>0</v>
      </c>
      <c r="X3434">
        <v>0</v>
      </c>
    </row>
    <row r="3435" spans="1:24" x14ac:dyDescent="0.25">
      <c r="A3435" t="s">
        <v>1928</v>
      </c>
      <c r="B3435" t="s">
        <v>2185</v>
      </c>
      <c r="C3435" t="s">
        <v>2186</v>
      </c>
      <c r="D3435" t="s">
        <v>344</v>
      </c>
      <c r="E3435" t="s">
        <v>11</v>
      </c>
      <c r="F3435" t="s">
        <v>1</v>
      </c>
      <c r="G3435" t="s">
        <v>1133</v>
      </c>
      <c r="H3435" t="s">
        <v>411</v>
      </c>
      <c r="I3435" t="s">
        <v>1</v>
      </c>
      <c r="J3435">
        <v>2577.19</v>
      </c>
      <c r="K3435">
        <v>2450.61</v>
      </c>
      <c r="L3435">
        <v>1255.8399999999999</v>
      </c>
      <c r="M3435">
        <v>2532.4950276243089</v>
      </c>
      <c r="N3435">
        <v>2536.1700000000005</v>
      </c>
      <c r="O3435">
        <v>2511.6799999999998</v>
      </c>
      <c r="P3435">
        <v>0</v>
      </c>
      <c r="Q3435">
        <f t="shared" si="700"/>
        <v>2511.6799999999998</v>
      </c>
      <c r="R3435">
        <v>2511.6799999999998</v>
      </c>
      <c r="S3435">
        <f t="shared" si="701"/>
        <v>0</v>
      </c>
      <c r="T3435"/>
      <c r="U3435">
        <f t="shared" si="702"/>
        <v>0</v>
      </c>
      <c r="V3435">
        <f t="shared" si="703"/>
        <v>2511.6799999999998</v>
      </c>
      <c r="W3435">
        <f t="shared" si="704"/>
        <v>0</v>
      </c>
      <c r="X3435">
        <v>0</v>
      </c>
    </row>
    <row r="3436" spans="1:24" x14ac:dyDescent="0.25">
      <c r="A3436" t="s">
        <v>1928</v>
      </c>
      <c r="B3436" t="s">
        <v>2185</v>
      </c>
      <c r="C3436" t="s">
        <v>2186</v>
      </c>
      <c r="D3436" t="s">
        <v>344</v>
      </c>
      <c r="E3436" t="s">
        <v>12</v>
      </c>
      <c r="F3436" t="s">
        <v>1</v>
      </c>
      <c r="G3436" t="s">
        <v>1133</v>
      </c>
      <c r="H3436" t="s">
        <v>412</v>
      </c>
      <c r="I3436" t="s">
        <v>1</v>
      </c>
      <c r="J3436">
        <v>540.21</v>
      </c>
      <c r="K3436"/>
      <c r="L3436">
        <v>0</v>
      </c>
      <c r="M3436">
        <v>0</v>
      </c>
      <c r="N3436">
        <v>540.21</v>
      </c>
      <c r="O3436"/>
      <c r="P3436">
        <v>0</v>
      </c>
      <c r="Q3436">
        <f t="shared" si="700"/>
        <v>0</v>
      </c>
      <c r="R3436">
        <v>0</v>
      </c>
      <c r="S3436">
        <f t="shared" si="701"/>
        <v>0</v>
      </c>
      <c r="T3436"/>
      <c r="U3436">
        <f t="shared" si="702"/>
        <v>0</v>
      </c>
      <c r="V3436">
        <f t="shared" si="703"/>
        <v>0</v>
      </c>
      <c r="W3436">
        <f t="shared" si="704"/>
        <v>0</v>
      </c>
      <c r="X3436">
        <v>0</v>
      </c>
    </row>
    <row r="3437" spans="1:24" x14ac:dyDescent="0.25">
      <c r="A3437" t="s">
        <v>1928</v>
      </c>
      <c r="B3437" t="s">
        <v>2185</v>
      </c>
      <c r="C3437" t="s">
        <v>2186</v>
      </c>
      <c r="D3437" t="s">
        <v>344</v>
      </c>
      <c r="E3437" t="s">
        <v>17</v>
      </c>
      <c r="F3437" t="s">
        <v>1</v>
      </c>
      <c r="G3437" t="s">
        <v>1133</v>
      </c>
      <c r="H3437" t="s">
        <v>417</v>
      </c>
      <c r="I3437" t="s">
        <v>1</v>
      </c>
      <c r="J3437">
        <v>-2</v>
      </c>
      <c r="K3437">
        <v>-139.99999999990001</v>
      </c>
      <c r="L3437">
        <v>0</v>
      </c>
      <c r="M3437">
        <v>0</v>
      </c>
      <c r="N3437">
        <v>0</v>
      </c>
      <c r="O3437"/>
      <c r="P3437">
        <v>0</v>
      </c>
      <c r="Q3437">
        <f t="shared" si="700"/>
        <v>0</v>
      </c>
      <c r="R3437">
        <v>0</v>
      </c>
      <c r="S3437">
        <f t="shared" si="701"/>
        <v>0</v>
      </c>
      <c r="T3437"/>
      <c r="U3437">
        <f t="shared" si="702"/>
        <v>0</v>
      </c>
      <c r="V3437">
        <f t="shared" si="703"/>
        <v>0</v>
      </c>
      <c r="W3437">
        <f t="shared" si="704"/>
        <v>0</v>
      </c>
      <c r="X3437">
        <v>0</v>
      </c>
    </row>
    <row r="3438" spans="1:24" x14ac:dyDescent="0.25">
      <c r="A3438" t="s">
        <v>1928</v>
      </c>
      <c r="B3438" t="s">
        <v>2185</v>
      </c>
      <c r="C3438" t="s">
        <v>2186</v>
      </c>
      <c r="D3438" t="s">
        <v>344</v>
      </c>
      <c r="E3438" t="s">
        <v>19</v>
      </c>
      <c r="F3438" t="s">
        <v>1</v>
      </c>
      <c r="G3438" t="s">
        <v>1133</v>
      </c>
      <c r="H3438" t="s">
        <v>419</v>
      </c>
      <c r="I3438" t="s">
        <v>1</v>
      </c>
      <c r="J3438"/>
      <c r="K3438"/>
      <c r="L3438">
        <v>205</v>
      </c>
      <c r="M3438">
        <v>413.39779005524866</v>
      </c>
      <c r="N3438">
        <v>205</v>
      </c>
      <c r="O3438">
        <v>412.25274725269998</v>
      </c>
      <c r="P3438">
        <v>0</v>
      </c>
      <c r="Q3438">
        <f t="shared" si="700"/>
        <v>412.25274725269998</v>
      </c>
      <c r="R3438">
        <v>412.25274725269998</v>
      </c>
      <c r="S3438">
        <f t="shared" si="701"/>
        <v>0</v>
      </c>
      <c r="T3438">
        <v>0.02</v>
      </c>
      <c r="U3438">
        <f t="shared" si="702"/>
        <v>8.2450549450539992</v>
      </c>
      <c r="V3438">
        <f t="shared" si="703"/>
        <v>420.49780219775397</v>
      </c>
      <c r="W3438">
        <f t="shared" si="704"/>
        <v>8.2450549450539938</v>
      </c>
      <c r="X3438">
        <v>0</v>
      </c>
    </row>
    <row r="3439" spans="1:24" x14ac:dyDescent="0.25">
      <c r="A3439" t="s">
        <v>1928</v>
      </c>
      <c r="B3439" t="s">
        <v>2185</v>
      </c>
      <c r="C3439" t="s">
        <v>2186</v>
      </c>
      <c r="D3439" t="s">
        <v>344</v>
      </c>
      <c r="E3439" t="s">
        <v>21</v>
      </c>
      <c r="F3439" t="s">
        <v>1</v>
      </c>
      <c r="G3439" t="s">
        <v>1133</v>
      </c>
      <c r="H3439" t="s">
        <v>421</v>
      </c>
      <c r="I3439" t="s">
        <v>1</v>
      </c>
      <c r="J3439">
        <v>11438.17</v>
      </c>
      <c r="K3439">
        <v>10427.0799999998</v>
      </c>
      <c r="L3439">
        <v>3060.72</v>
      </c>
      <c r="M3439">
        <v>6172.1701657458552</v>
      </c>
      <c r="N3439">
        <v>8831.119999999999</v>
      </c>
      <c r="O3439">
        <v>6172.1701657458998</v>
      </c>
      <c r="P3439">
        <v>0</v>
      </c>
      <c r="Q3439">
        <f t="shared" si="700"/>
        <v>6172.1701657458998</v>
      </c>
      <c r="R3439">
        <v>6172.1701657458998</v>
      </c>
      <c r="S3439">
        <f t="shared" si="701"/>
        <v>0</v>
      </c>
      <c r="T3439">
        <v>0.03</v>
      </c>
      <c r="U3439">
        <f t="shared" si="702"/>
        <v>185.16510497237698</v>
      </c>
      <c r="V3439">
        <f t="shared" si="703"/>
        <v>6357.3352707182767</v>
      </c>
      <c r="W3439">
        <f t="shared" si="704"/>
        <v>185.16510497237687</v>
      </c>
      <c r="X3439">
        <v>0</v>
      </c>
    </row>
    <row r="3440" spans="1:24" x14ac:dyDescent="0.25">
      <c r="A3440" t="s">
        <v>1928</v>
      </c>
      <c r="B3440" t="s">
        <v>2185</v>
      </c>
      <c r="C3440" t="s">
        <v>2186</v>
      </c>
      <c r="D3440" t="s">
        <v>344</v>
      </c>
      <c r="E3440" t="s">
        <v>22</v>
      </c>
      <c r="F3440" t="s">
        <v>1</v>
      </c>
      <c r="G3440" t="s">
        <v>1133</v>
      </c>
      <c r="H3440" t="s">
        <v>422</v>
      </c>
      <c r="I3440" t="s">
        <v>1</v>
      </c>
      <c r="J3440">
        <v>42906.13</v>
      </c>
      <c r="K3440">
        <v>53281.8</v>
      </c>
      <c r="L3440">
        <v>15794.25</v>
      </c>
      <c r="M3440">
        <v>31850.283149171271</v>
      </c>
      <c r="N3440">
        <v>32958.79</v>
      </c>
      <c r="O3440">
        <v>31850.2831491713</v>
      </c>
      <c r="P3440">
        <v>21432</v>
      </c>
      <c r="Q3440">
        <f t="shared" si="700"/>
        <v>53282.2831491713</v>
      </c>
      <c r="R3440">
        <v>53282</v>
      </c>
      <c r="S3440">
        <f t="shared" si="701"/>
        <v>-0.28314917130046524</v>
      </c>
      <c r="T3440">
        <v>3.5000000000000003E-2</v>
      </c>
      <c r="U3440">
        <f t="shared" si="702"/>
        <v>1864.8700000000001</v>
      </c>
      <c r="V3440">
        <f t="shared" si="703"/>
        <v>55146.87</v>
      </c>
      <c r="W3440">
        <f t="shared" si="704"/>
        <v>1864.5868508287022</v>
      </c>
      <c r="X3440" t="s">
        <v>1847</v>
      </c>
    </row>
    <row r="3441" spans="1:24" x14ac:dyDescent="0.25">
      <c r="A3441" t="s">
        <v>1928</v>
      </c>
      <c r="B3441" t="s">
        <v>2185</v>
      </c>
      <c r="C3441" t="s">
        <v>2186</v>
      </c>
      <c r="D3441" t="s">
        <v>344</v>
      </c>
      <c r="E3441" t="s">
        <v>23</v>
      </c>
      <c r="F3441" t="s">
        <v>1</v>
      </c>
      <c r="G3441" t="s">
        <v>1133</v>
      </c>
      <c r="H3441" t="s">
        <v>423</v>
      </c>
      <c r="I3441" t="s">
        <v>1</v>
      </c>
      <c r="J3441">
        <v>1173.73</v>
      </c>
      <c r="K3441"/>
      <c r="L3441">
        <v>454.36</v>
      </c>
      <c r="M3441">
        <v>916.25082872928192</v>
      </c>
      <c r="N3441">
        <v>1628.0900000000001</v>
      </c>
      <c r="O3441">
        <v>916.2508287293</v>
      </c>
      <c r="P3441">
        <v>0</v>
      </c>
      <c r="Q3441">
        <f t="shared" si="700"/>
        <v>916.2508287293</v>
      </c>
      <c r="R3441">
        <v>916.2508287293</v>
      </c>
      <c r="S3441">
        <f t="shared" si="701"/>
        <v>0</v>
      </c>
      <c r="T3441">
        <v>3.5000000000000003E-2</v>
      </c>
      <c r="U3441">
        <f t="shared" si="702"/>
        <v>32.068779005525506</v>
      </c>
      <c r="V3441">
        <f t="shared" si="703"/>
        <v>948.31960773482547</v>
      </c>
      <c r="W3441">
        <f t="shared" si="704"/>
        <v>32.068779005525471</v>
      </c>
      <c r="X3441">
        <v>0</v>
      </c>
    </row>
    <row r="3442" spans="1:24" x14ac:dyDescent="0.25">
      <c r="A3442" t="s">
        <v>1928</v>
      </c>
      <c r="B3442" t="s">
        <v>2185</v>
      </c>
      <c r="C3442" t="s">
        <v>2186</v>
      </c>
      <c r="D3442" t="s">
        <v>344</v>
      </c>
      <c r="E3442" t="s">
        <v>28</v>
      </c>
      <c r="F3442" t="s">
        <v>1</v>
      </c>
      <c r="G3442" t="s">
        <v>1133</v>
      </c>
      <c r="H3442" t="s">
        <v>428</v>
      </c>
      <c r="I3442" t="s">
        <v>1</v>
      </c>
      <c r="J3442">
        <v>24163.97</v>
      </c>
      <c r="K3442">
        <v>27419.9800000008</v>
      </c>
      <c r="L3442">
        <v>10125.14</v>
      </c>
      <c r="M3442">
        <v>20418.099999999999</v>
      </c>
      <c r="N3442">
        <v>20972.58</v>
      </c>
      <c r="O3442">
        <v>20250.28</v>
      </c>
      <c r="P3442">
        <v>0</v>
      </c>
      <c r="Q3442">
        <f t="shared" si="700"/>
        <v>20250.28</v>
      </c>
      <c r="R3442">
        <v>20250.28</v>
      </c>
      <c r="S3442">
        <f t="shared" si="701"/>
        <v>0</v>
      </c>
      <c r="T3442"/>
      <c r="U3442">
        <f t="shared" si="702"/>
        <v>0</v>
      </c>
      <c r="V3442">
        <f t="shared" si="703"/>
        <v>20250.28</v>
      </c>
      <c r="W3442">
        <f t="shared" si="704"/>
        <v>0</v>
      </c>
      <c r="X3442">
        <v>0</v>
      </c>
    </row>
    <row r="3443" spans="1:24" x14ac:dyDescent="0.25">
      <c r="A3443" t="s">
        <v>1928</v>
      </c>
      <c r="B3443" t="s">
        <v>2185</v>
      </c>
      <c r="C3443" t="s">
        <v>2186</v>
      </c>
      <c r="D3443" t="s">
        <v>344</v>
      </c>
      <c r="E3443" t="s">
        <v>41</v>
      </c>
      <c r="F3443" t="s">
        <v>1</v>
      </c>
      <c r="G3443" t="s">
        <v>1133</v>
      </c>
      <c r="H3443" t="s">
        <v>441</v>
      </c>
      <c r="I3443" t="s">
        <v>1</v>
      </c>
      <c r="J3443">
        <v>9.7200000000000006</v>
      </c>
      <c r="K3443"/>
      <c r="L3443">
        <v>16.3</v>
      </c>
      <c r="M3443">
        <v>32.870165745856355</v>
      </c>
      <c r="N3443">
        <v>26.020000000000003</v>
      </c>
      <c r="O3443">
        <v>32.6</v>
      </c>
      <c r="P3443">
        <v>0</v>
      </c>
      <c r="Q3443">
        <f t="shared" si="700"/>
        <v>32.6</v>
      </c>
      <c r="R3443">
        <v>32.6</v>
      </c>
      <c r="S3443">
        <f t="shared" si="701"/>
        <v>0</v>
      </c>
      <c r="T3443">
        <v>0.03</v>
      </c>
      <c r="U3443">
        <f t="shared" si="702"/>
        <v>0.97799999999999998</v>
      </c>
      <c r="V3443">
        <f t="shared" si="703"/>
        <v>33.578000000000003</v>
      </c>
      <c r="W3443">
        <f t="shared" si="704"/>
        <v>0.97800000000000153</v>
      </c>
      <c r="X3443">
        <v>0</v>
      </c>
    </row>
    <row r="3444" spans="1:24" x14ac:dyDescent="0.25">
      <c r="A3444" t="s">
        <v>1928</v>
      </c>
      <c r="B3444" t="s">
        <v>2185</v>
      </c>
      <c r="C3444" t="s">
        <v>2186</v>
      </c>
      <c r="D3444" t="s">
        <v>344</v>
      </c>
      <c r="E3444" t="s">
        <v>140</v>
      </c>
      <c r="F3444" t="s">
        <v>1</v>
      </c>
      <c r="G3444" t="s">
        <v>1133</v>
      </c>
      <c r="H3444" t="s">
        <v>637</v>
      </c>
      <c r="I3444" t="s">
        <v>1</v>
      </c>
      <c r="J3444">
        <v>288.17</v>
      </c>
      <c r="K3444"/>
      <c r="L3444">
        <v>0</v>
      </c>
      <c r="M3444">
        <v>0</v>
      </c>
      <c r="N3444">
        <v>0</v>
      </c>
      <c r="O3444"/>
      <c r="P3444">
        <v>0</v>
      </c>
      <c r="Q3444">
        <f t="shared" si="700"/>
        <v>0</v>
      </c>
      <c r="R3444">
        <v>0</v>
      </c>
      <c r="S3444">
        <f t="shared" si="701"/>
        <v>0</v>
      </c>
      <c r="T3444">
        <v>0.03</v>
      </c>
      <c r="U3444">
        <f t="shared" si="702"/>
        <v>0</v>
      </c>
      <c r="V3444">
        <f t="shared" si="703"/>
        <v>0</v>
      </c>
      <c r="W3444">
        <f t="shared" si="704"/>
        <v>0</v>
      </c>
      <c r="X3444">
        <v>0</v>
      </c>
    </row>
    <row r="3445" spans="1:24" x14ac:dyDescent="0.25">
      <c r="A3445" t="s">
        <v>1928</v>
      </c>
      <c r="B3445" t="s">
        <v>2185</v>
      </c>
      <c r="C3445" t="s">
        <v>2186</v>
      </c>
      <c r="D3445" t="s">
        <v>344</v>
      </c>
      <c r="E3445" t="s">
        <v>42</v>
      </c>
      <c r="F3445" t="s">
        <v>1</v>
      </c>
      <c r="G3445" t="s">
        <v>1133</v>
      </c>
      <c r="H3445" t="s">
        <v>442</v>
      </c>
      <c r="I3445" t="s">
        <v>1</v>
      </c>
      <c r="J3445">
        <v>168.62</v>
      </c>
      <c r="K3445">
        <v>888.99999999960005</v>
      </c>
      <c r="L3445">
        <v>-0.02</v>
      </c>
      <c r="M3445">
        <v>-4.0331491712707182E-2</v>
      </c>
      <c r="N3445">
        <v>168.6</v>
      </c>
      <c r="O3445">
        <v>-0.04</v>
      </c>
      <c r="P3445">
        <v>0</v>
      </c>
      <c r="Q3445">
        <f t="shared" si="700"/>
        <v>-0.04</v>
      </c>
      <c r="R3445">
        <v>-0.04</v>
      </c>
      <c r="S3445">
        <f t="shared" si="701"/>
        <v>0</v>
      </c>
      <c r="T3445">
        <v>0.03</v>
      </c>
      <c r="U3445">
        <f t="shared" si="702"/>
        <v>-1.1999999999999999E-3</v>
      </c>
      <c r="V3445">
        <f t="shared" si="703"/>
        <v>-4.1200000000000001E-2</v>
      </c>
      <c r="W3445">
        <f t="shared" si="704"/>
        <v>-1.1999999999999997E-3</v>
      </c>
      <c r="X3445">
        <v>0</v>
      </c>
    </row>
    <row r="3446" spans="1:24" x14ac:dyDescent="0.25">
      <c r="A3446" t="s">
        <v>1928</v>
      </c>
      <c r="B3446" t="s">
        <v>2185</v>
      </c>
      <c r="C3446" t="s">
        <v>2186</v>
      </c>
      <c r="D3446" t="s">
        <v>344</v>
      </c>
      <c r="E3446" t="s">
        <v>46</v>
      </c>
      <c r="F3446" t="s">
        <v>1</v>
      </c>
      <c r="G3446" t="s">
        <v>1133</v>
      </c>
      <c r="H3446" t="s">
        <v>446</v>
      </c>
      <c r="I3446" t="s">
        <v>1</v>
      </c>
      <c r="J3446">
        <v>1542.13</v>
      </c>
      <c r="K3446"/>
      <c r="L3446">
        <v>0</v>
      </c>
      <c r="M3446">
        <v>0</v>
      </c>
      <c r="N3446">
        <v>1542.13</v>
      </c>
      <c r="O3446"/>
      <c r="P3446">
        <v>0</v>
      </c>
      <c r="Q3446">
        <f t="shared" si="700"/>
        <v>0</v>
      </c>
      <c r="R3446">
        <v>0</v>
      </c>
      <c r="S3446">
        <f t="shared" si="701"/>
        <v>0</v>
      </c>
      <c r="T3446">
        <v>0.03</v>
      </c>
      <c r="U3446">
        <f t="shared" si="702"/>
        <v>0</v>
      </c>
      <c r="V3446">
        <f t="shared" si="703"/>
        <v>0</v>
      </c>
      <c r="W3446">
        <f t="shared" si="704"/>
        <v>0</v>
      </c>
      <c r="X3446">
        <v>0</v>
      </c>
    </row>
    <row r="3447" spans="1:24" x14ac:dyDescent="0.25">
      <c r="A3447" t="s">
        <v>1928</v>
      </c>
      <c r="B3447" t="s">
        <v>2185</v>
      </c>
      <c r="C3447" t="s">
        <v>2186</v>
      </c>
      <c r="D3447" t="s">
        <v>344</v>
      </c>
      <c r="E3447" t="s">
        <v>48</v>
      </c>
      <c r="F3447" t="s">
        <v>1</v>
      </c>
      <c r="G3447" t="s">
        <v>1133</v>
      </c>
      <c r="H3447" t="s">
        <v>448</v>
      </c>
      <c r="I3447" t="s">
        <v>1</v>
      </c>
      <c r="J3447">
        <v>109.03</v>
      </c>
      <c r="K3447">
        <v>167.00000000040001</v>
      </c>
      <c r="L3447">
        <v>0</v>
      </c>
      <c r="M3447">
        <v>0</v>
      </c>
      <c r="N3447">
        <v>25.42</v>
      </c>
      <c r="O3447"/>
      <c r="P3447">
        <v>0</v>
      </c>
      <c r="Q3447">
        <f t="shared" si="700"/>
        <v>0</v>
      </c>
      <c r="R3447">
        <v>0</v>
      </c>
      <c r="S3447">
        <f t="shared" si="701"/>
        <v>0</v>
      </c>
      <c r="T3447">
        <v>0.03</v>
      </c>
      <c r="U3447">
        <f t="shared" si="702"/>
        <v>0</v>
      </c>
      <c r="V3447">
        <f t="shared" si="703"/>
        <v>0</v>
      </c>
      <c r="W3447">
        <f t="shared" si="704"/>
        <v>0</v>
      </c>
      <c r="X3447">
        <v>0</v>
      </c>
    </row>
    <row r="3448" spans="1:24" x14ac:dyDescent="0.25">
      <c r="A3448" t="s">
        <v>1928</v>
      </c>
      <c r="B3448" t="s">
        <v>2185</v>
      </c>
      <c r="C3448" t="s">
        <v>2186</v>
      </c>
      <c r="D3448" t="s">
        <v>344</v>
      </c>
      <c r="E3448" t="s">
        <v>50</v>
      </c>
      <c r="F3448" t="s">
        <v>1</v>
      </c>
      <c r="G3448" t="s">
        <v>1133</v>
      </c>
      <c r="H3448" t="s">
        <v>450</v>
      </c>
      <c r="I3448" t="s">
        <v>1</v>
      </c>
      <c r="J3448">
        <v>322.13</v>
      </c>
      <c r="K3448">
        <v>290.00000000040001</v>
      </c>
      <c r="L3448">
        <v>196.9</v>
      </c>
      <c r="M3448">
        <v>397.06353591160223</v>
      </c>
      <c r="N3448">
        <v>393.78999999999996</v>
      </c>
      <c r="O3448">
        <v>397.06353591160001</v>
      </c>
      <c r="P3448">
        <v>0</v>
      </c>
      <c r="Q3448">
        <f t="shared" si="700"/>
        <v>397.06353591160001</v>
      </c>
      <c r="R3448">
        <v>397.06353591160001</v>
      </c>
      <c r="S3448">
        <f t="shared" si="701"/>
        <v>0</v>
      </c>
      <c r="T3448"/>
      <c r="U3448">
        <f t="shared" si="702"/>
        <v>0</v>
      </c>
      <c r="V3448">
        <f t="shared" si="703"/>
        <v>397.06353591160001</v>
      </c>
      <c r="W3448">
        <f t="shared" si="704"/>
        <v>0</v>
      </c>
      <c r="X3448">
        <v>0</v>
      </c>
    </row>
    <row r="3449" spans="1:24" x14ac:dyDescent="0.25">
      <c r="A3449" t="s">
        <v>1928</v>
      </c>
      <c r="B3449" t="s">
        <v>2185</v>
      </c>
      <c r="C3449" t="s">
        <v>2186</v>
      </c>
      <c r="D3449" t="s">
        <v>344</v>
      </c>
      <c r="E3449" t="s">
        <v>51</v>
      </c>
      <c r="F3449" t="s">
        <v>51</v>
      </c>
      <c r="G3449" t="s">
        <v>1134</v>
      </c>
      <c r="H3449"/>
      <c r="I3449"/>
      <c r="J3449">
        <v>85728.2</v>
      </c>
      <c r="K3449">
        <v>95775.608121548095</v>
      </c>
      <c r="L3449">
        <v>31108.489999999998</v>
      </c>
      <c r="M3449">
        <v>62732.590331491709</v>
      </c>
      <c r="N3449">
        <v>69827.920000000013</v>
      </c>
      <c r="O3449">
        <v>62542.540426810796</v>
      </c>
      <c r="P3449">
        <f>SUMIF($F$3433:$F$3448,"&lt;&gt;EV_*",$P$3433:$P$3448)</f>
        <v>21432</v>
      </c>
      <c r="Q3449">
        <f>SUMIF($F$3433:$F$3448,"&lt;&gt;EV_*",$Q$3433:$Q$3448)</f>
        <v>83974.54042681081</v>
      </c>
      <c r="R3449">
        <f>SUMIF($F$3433:$F$3448,"&lt;&gt;EV_*",$R$3433:$R$3448)</f>
        <v>83974.25727763951</v>
      </c>
      <c r="S3449">
        <f>SUMIF($F$3433:$F$3448,"&lt;&gt;EV_*",$S$3433:$S$3448)</f>
        <v>-0.28314917130046524</v>
      </c>
      <c r="T3449">
        <v>0</v>
      </c>
      <c r="U3449">
        <f>SUMIF($F$3433:$F$3448,"&lt;&gt;EV_*",$U$3433:$U$3448)</f>
        <v>2091.3257389229561</v>
      </c>
      <c r="V3449">
        <f>SUMIF($F$3433:$F$3448,"&lt;&gt;EV_*",$V$3433:$V$3448)</f>
        <v>86065.58301656245</v>
      </c>
      <c r="W3449">
        <f>SUMIF($F$3433:$F$3448,"&lt;&gt;EV_*",$W$3433:$W$3448)</f>
        <v>2091.0425897516584</v>
      </c>
      <c r="X3449">
        <f>SUMIF($F$3433:$F$3448,"&lt;&gt;EV_*",$X$3433:$X$3448)</f>
        <v>0</v>
      </c>
    </row>
    <row r="3450" spans="1:24" x14ac:dyDescent="0.25">
      <c r="A3450" t="s">
        <v>2025</v>
      </c>
      <c r="B3450" t="s">
        <v>2185</v>
      </c>
      <c r="C3450" t="s">
        <v>2187</v>
      </c>
      <c r="D3450" t="s">
        <v>345</v>
      </c>
      <c r="E3450" t="s">
        <v>5</v>
      </c>
      <c r="F3450" t="s">
        <v>5</v>
      </c>
      <c r="G3450" t="s">
        <v>1135</v>
      </c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</row>
    <row r="3451" spans="1:24" x14ac:dyDescent="0.25">
      <c r="A3451" t="s">
        <v>2025</v>
      </c>
      <c r="B3451" t="s">
        <v>2185</v>
      </c>
      <c r="C3451" t="s">
        <v>2187</v>
      </c>
      <c r="D3451" t="s">
        <v>345</v>
      </c>
      <c r="E3451" t="s">
        <v>11</v>
      </c>
      <c r="F3451" t="s">
        <v>1</v>
      </c>
      <c r="G3451" t="s">
        <v>1136</v>
      </c>
      <c r="H3451" t="s">
        <v>411</v>
      </c>
      <c r="I3451" t="s">
        <v>1</v>
      </c>
      <c r="J3451">
        <v>4229.8900000000003</v>
      </c>
      <c r="K3451">
        <v>4158</v>
      </c>
      <c r="L3451">
        <v>2009.82</v>
      </c>
      <c r="M3451">
        <v>4052.9519337016577</v>
      </c>
      <c r="N3451">
        <v>4186.3899999999994</v>
      </c>
      <c r="O3451">
        <v>4019.64</v>
      </c>
      <c r="P3451">
        <v>0</v>
      </c>
      <c r="Q3451">
        <f t="shared" ref="Q3451:Q3461" si="705">O3451+P3451</f>
        <v>4019.64</v>
      </c>
      <c r="R3451">
        <v>4019.64</v>
      </c>
      <c r="S3451">
        <f t="shared" ref="S3451:S3461" si="706">IF(OR(LEFT(E3451,2)="A_",LEFT(D3451,5)="Total"),R3451-Q3451,"")</f>
        <v>0</v>
      </c>
      <c r="T3451"/>
      <c r="U3451">
        <f t="shared" ref="U3451:U3461" si="707">IFERROR(R3451*T3451,R3451*0)</f>
        <v>0</v>
      </c>
      <c r="V3451">
        <f t="shared" ref="V3451:V3461" si="708">IF(OR(LEFT(E3451,2)="A_",LEFT(D3451,5)="Total"),R3451+U3451,"")</f>
        <v>4019.64</v>
      </c>
      <c r="W3451">
        <f t="shared" ref="W3451:W3461" si="709">IF(OR(LEFT(E3451,2)="A_",LEFT(D3451,5)="Total"),V3451-Q3451,"")</f>
        <v>0</v>
      </c>
      <c r="X3451" t="s">
        <v>1848</v>
      </c>
    </row>
    <row r="3452" spans="1:24" x14ac:dyDescent="0.25">
      <c r="A3452" t="s">
        <v>2025</v>
      </c>
      <c r="B3452" t="s">
        <v>2185</v>
      </c>
      <c r="C3452" t="s">
        <v>2187</v>
      </c>
      <c r="D3452" t="s">
        <v>345</v>
      </c>
      <c r="E3452" t="s">
        <v>12</v>
      </c>
      <c r="F3452" t="s">
        <v>1</v>
      </c>
      <c r="G3452" t="s">
        <v>1136</v>
      </c>
      <c r="H3452" t="s">
        <v>412</v>
      </c>
      <c r="I3452" t="s">
        <v>1</v>
      </c>
      <c r="J3452"/>
      <c r="K3452"/>
      <c r="L3452">
        <v>472</v>
      </c>
      <c r="M3452">
        <v>951.82320441988952</v>
      </c>
      <c r="N3452">
        <v>472</v>
      </c>
      <c r="O3452">
        <v>944</v>
      </c>
      <c r="P3452">
        <v>0</v>
      </c>
      <c r="Q3452">
        <f t="shared" si="705"/>
        <v>944</v>
      </c>
      <c r="R3452">
        <v>0</v>
      </c>
      <c r="S3452">
        <f t="shared" si="706"/>
        <v>-944</v>
      </c>
      <c r="T3452"/>
      <c r="U3452">
        <f t="shared" si="707"/>
        <v>0</v>
      </c>
      <c r="V3452">
        <f t="shared" si="708"/>
        <v>0</v>
      </c>
      <c r="W3452">
        <f t="shared" si="709"/>
        <v>-944</v>
      </c>
      <c r="X3452">
        <v>0</v>
      </c>
    </row>
    <row r="3453" spans="1:24" x14ac:dyDescent="0.25">
      <c r="A3453" t="s">
        <v>2025</v>
      </c>
      <c r="B3453" t="s">
        <v>2185</v>
      </c>
      <c r="C3453" t="s">
        <v>2187</v>
      </c>
      <c r="D3453" t="s">
        <v>345</v>
      </c>
      <c r="E3453" t="s">
        <v>18</v>
      </c>
      <c r="F3453" t="s">
        <v>1</v>
      </c>
      <c r="G3453" t="s">
        <v>1136</v>
      </c>
      <c r="H3453" t="s">
        <v>418</v>
      </c>
      <c r="I3453" t="s">
        <v>1</v>
      </c>
      <c r="J3453"/>
      <c r="K3453"/>
      <c r="L3453">
        <v>343.74</v>
      </c>
      <c r="M3453">
        <v>693.17734806629835</v>
      </c>
      <c r="N3453">
        <v>343.74</v>
      </c>
      <c r="O3453">
        <v>691.25736263739998</v>
      </c>
      <c r="P3453">
        <v>0</v>
      </c>
      <c r="Q3453">
        <f t="shared" si="705"/>
        <v>691.25736263739998</v>
      </c>
      <c r="R3453">
        <v>0</v>
      </c>
      <c r="S3453">
        <f t="shared" si="706"/>
        <v>-691.25736263739998</v>
      </c>
      <c r="T3453">
        <v>0.02</v>
      </c>
      <c r="U3453">
        <f t="shared" si="707"/>
        <v>0</v>
      </c>
      <c r="V3453">
        <f t="shared" si="708"/>
        <v>0</v>
      </c>
      <c r="W3453">
        <f t="shared" si="709"/>
        <v>-691.25736263739998</v>
      </c>
      <c r="X3453" t="s">
        <v>1849</v>
      </c>
    </row>
    <row r="3454" spans="1:24" x14ac:dyDescent="0.25">
      <c r="A3454" t="s">
        <v>2025</v>
      </c>
      <c r="B3454" t="s">
        <v>2185</v>
      </c>
      <c r="C3454" t="s">
        <v>2187</v>
      </c>
      <c r="D3454" t="s">
        <v>345</v>
      </c>
      <c r="E3454" t="s">
        <v>74</v>
      </c>
      <c r="F3454" t="s">
        <v>1</v>
      </c>
      <c r="G3454" t="s">
        <v>1136</v>
      </c>
      <c r="H3454" t="s">
        <v>491</v>
      </c>
      <c r="I3454" t="s">
        <v>1</v>
      </c>
      <c r="J3454"/>
      <c r="K3454"/>
      <c r="L3454">
        <v>1100</v>
      </c>
      <c r="M3454">
        <v>2218.232044198895</v>
      </c>
      <c r="N3454">
        <v>1100</v>
      </c>
      <c r="O3454">
        <v>2212.0879120878999</v>
      </c>
      <c r="P3454">
        <v>0</v>
      </c>
      <c r="Q3454">
        <f t="shared" si="705"/>
        <v>2212.0879120878999</v>
      </c>
      <c r="R3454">
        <v>0</v>
      </c>
      <c r="S3454">
        <f t="shared" si="706"/>
        <v>-2212.0879120878999</v>
      </c>
      <c r="T3454">
        <v>3.5000000000000003E-2</v>
      </c>
      <c r="U3454">
        <f t="shared" si="707"/>
        <v>0</v>
      </c>
      <c r="V3454">
        <f t="shared" si="708"/>
        <v>0</v>
      </c>
      <c r="W3454">
        <f t="shared" si="709"/>
        <v>-2212.0879120878999</v>
      </c>
      <c r="X3454" t="s">
        <v>1849</v>
      </c>
    </row>
    <row r="3455" spans="1:24" x14ac:dyDescent="0.25">
      <c r="A3455" t="s">
        <v>2025</v>
      </c>
      <c r="B3455" t="s">
        <v>2185</v>
      </c>
      <c r="C3455" t="s">
        <v>2187</v>
      </c>
      <c r="D3455" t="s">
        <v>345</v>
      </c>
      <c r="E3455" t="s">
        <v>21</v>
      </c>
      <c r="F3455" t="s">
        <v>1</v>
      </c>
      <c r="G3455" t="s">
        <v>1136</v>
      </c>
      <c r="H3455" t="s">
        <v>421</v>
      </c>
      <c r="I3455" t="s">
        <v>1</v>
      </c>
      <c r="J3455">
        <v>137.52000000000001</v>
      </c>
      <c r="K3455"/>
      <c r="L3455">
        <v>157.08000000000001</v>
      </c>
      <c r="M3455">
        <v>316.76353591160228</v>
      </c>
      <c r="N3455">
        <v>294.60000000000002</v>
      </c>
      <c r="O3455">
        <v>316.7635359116</v>
      </c>
      <c r="P3455">
        <v>0</v>
      </c>
      <c r="Q3455">
        <f t="shared" si="705"/>
        <v>316.7635359116</v>
      </c>
      <c r="R3455">
        <v>0</v>
      </c>
      <c r="S3455">
        <f t="shared" si="706"/>
        <v>-316.7635359116</v>
      </c>
      <c r="T3455">
        <v>0.03</v>
      </c>
      <c r="U3455">
        <f t="shared" si="707"/>
        <v>0</v>
      </c>
      <c r="V3455">
        <f t="shared" si="708"/>
        <v>0</v>
      </c>
      <c r="W3455">
        <f t="shared" si="709"/>
        <v>-316.7635359116</v>
      </c>
      <c r="X3455" t="s">
        <v>1849</v>
      </c>
    </row>
    <row r="3456" spans="1:24" x14ac:dyDescent="0.25">
      <c r="A3456" t="s">
        <v>2025</v>
      </c>
      <c r="B3456" t="s">
        <v>2185</v>
      </c>
      <c r="C3456" t="s">
        <v>2187</v>
      </c>
      <c r="D3456" t="s">
        <v>345</v>
      </c>
      <c r="E3456" t="s">
        <v>22</v>
      </c>
      <c r="F3456" t="s">
        <v>1</v>
      </c>
      <c r="G3456" t="s">
        <v>1136</v>
      </c>
      <c r="H3456" t="s">
        <v>422</v>
      </c>
      <c r="I3456" t="s">
        <v>1</v>
      </c>
      <c r="J3456"/>
      <c r="K3456"/>
      <c r="L3456">
        <v>27.88</v>
      </c>
      <c r="M3456">
        <v>56.222099447513806</v>
      </c>
      <c r="N3456">
        <v>27.88</v>
      </c>
      <c r="O3456">
        <v>56.2220994475</v>
      </c>
      <c r="P3456">
        <v>0</v>
      </c>
      <c r="Q3456">
        <f t="shared" si="705"/>
        <v>56.2220994475</v>
      </c>
      <c r="R3456">
        <v>0</v>
      </c>
      <c r="S3456">
        <f t="shared" si="706"/>
        <v>-56.2220994475</v>
      </c>
      <c r="T3456">
        <v>3.5000000000000003E-2</v>
      </c>
      <c r="U3456">
        <f t="shared" si="707"/>
        <v>0</v>
      </c>
      <c r="V3456">
        <f t="shared" si="708"/>
        <v>0</v>
      </c>
      <c r="W3456">
        <f t="shared" si="709"/>
        <v>-56.2220994475</v>
      </c>
      <c r="X3456">
        <v>0</v>
      </c>
    </row>
    <row r="3457" spans="1:24" x14ac:dyDescent="0.25">
      <c r="A3457" t="s">
        <v>2025</v>
      </c>
      <c r="B3457" t="s">
        <v>2185</v>
      </c>
      <c r="C3457" t="s">
        <v>2187</v>
      </c>
      <c r="D3457" t="s">
        <v>345</v>
      </c>
      <c r="E3457" t="s">
        <v>28</v>
      </c>
      <c r="F3457" t="s">
        <v>1</v>
      </c>
      <c r="G3457" t="s">
        <v>1136</v>
      </c>
      <c r="H3457" t="s">
        <v>428</v>
      </c>
      <c r="I3457" t="s">
        <v>1</v>
      </c>
      <c r="J3457"/>
      <c r="K3457"/>
      <c r="L3457">
        <v>87.9</v>
      </c>
      <c r="M3457">
        <v>177.25690607734808</v>
      </c>
      <c r="N3457">
        <v>87.9</v>
      </c>
      <c r="O3457">
        <v>175.8</v>
      </c>
      <c r="P3457">
        <v>0</v>
      </c>
      <c r="Q3457">
        <f t="shared" si="705"/>
        <v>175.8</v>
      </c>
      <c r="R3457">
        <v>0</v>
      </c>
      <c r="S3457">
        <f t="shared" si="706"/>
        <v>-175.8</v>
      </c>
      <c r="T3457"/>
      <c r="U3457">
        <f t="shared" si="707"/>
        <v>0</v>
      </c>
      <c r="V3457">
        <f t="shared" si="708"/>
        <v>0</v>
      </c>
      <c r="W3457">
        <f t="shared" si="709"/>
        <v>-175.8</v>
      </c>
      <c r="X3457">
        <v>0</v>
      </c>
    </row>
    <row r="3458" spans="1:24" x14ac:dyDescent="0.25">
      <c r="A3458" t="s">
        <v>2025</v>
      </c>
      <c r="B3458" t="s">
        <v>2185</v>
      </c>
      <c r="C3458" t="s">
        <v>2187</v>
      </c>
      <c r="D3458" t="s">
        <v>345</v>
      </c>
      <c r="E3458" t="s">
        <v>31</v>
      </c>
      <c r="F3458" t="s">
        <v>1</v>
      </c>
      <c r="G3458" t="s">
        <v>1136</v>
      </c>
      <c r="H3458" t="s">
        <v>431</v>
      </c>
      <c r="I3458" t="s">
        <v>1</v>
      </c>
      <c r="J3458"/>
      <c r="K3458">
        <v>2499.9999999995998</v>
      </c>
      <c r="L3458">
        <v>0</v>
      </c>
      <c r="M3458">
        <v>0</v>
      </c>
      <c r="N3458">
        <v>0</v>
      </c>
      <c r="O3458"/>
      <c r="P3458">
        <v>0</v>
      </c>
      <c r="Q3458">
        <f t="shared" si="705"/>
        <v>0</v>
      </c>
      <c r="R3458">
        <v>2499.9999999995998</v>
      </c>
      <c r="S3458">
        <f t="shared" si="706"/>
        <v>2499.9999999995998</v>
      </c>
      <c r="T3458"/>
      <c r="U3458">
        <f t="shared" si="707"/>
        <v>0</v>
      </c>
      <c r="V3458">
        <f t="shared" si="708"/>
        <v>2499.9999999995998</v>
      </c>
      <c r="W3458">
        <f t="shared" si="709"/>
        <v>2499.9999999995998</v>
      </c>
      <c r="X3458">
        <v>0</v>
      </c>
    </row>
    <row r="3459" spans="1:24" x14ac:dyDescent="0.25">
      <c r="A3459" t="s">
        <v>2025</v>
      </c>
      <c r="B3459" t="s">
        <v>2185</v>
      </c>
      <c r="C3459" t="s">
        <v>2187</v>
      </c>
      <c r="D3459" t="s">
        <v>345</v>
      </c>
      <c r="E3459" t="s">
        <v>34</v>
      </c>
      <c r="F3459" t="s">
        <v>1</v>
      </c>
      <c r="G3459" t="s">
        <v>1136</v>
      </c>
      <c r="H3459" t="s">
        <v>434</v>
      </c>
      <c r="I3459" t="s">
        <v>1</v>
      </c>
      <c r="J3459"/>
      <c r="K3459">
        <v>196.24767365880001</v>
      </c>
      <c r="L3459">
        <v>0</v>
      </c>
      <c r="M3459">
        <v>0</v>
      </c>
      <c r="N3459">
        <v>0</v>
      </c>
      <c r="O3459"/>
      <c r="P3459">
        <v>0</v>
      </c>
      <c r="Q3459">
        <f t="shared" si="705"/>
        <v>0</v>
      </c>
      <c r="R3459">
        <v>196.24767365880001</v>
      </c>
      <c r="S3459">
        <f t="shared" si="706"/>
        <v>196.24767365880001</v>
      </c>
      <c r="T3459"/>
      <c r="U3459">
        <f t="shared" si="707"/>
        <v>0</v>
      </c>
      <c r="V3459">
        <f t="shared" si="708"/>
        <v>196.24767365880001</v>
      </c>
      <c r="W3459">
        <f t="shared" si="709"/>
        <v>196.24767365880001</v>
      </c>
      <c r="X3459">
        <v>0</v>
      </c>
    </row>
    <row r="3460" spans="1:24" x14ac:dyDescent="0.25">
      <c r="A3460" t="s">
        <v>2025</v>
      </c>
      <c r="B3460" t="s">
        <v>2185</v>
      </c>
      <c r="C3460" t="s">
        <v>2187</v>
      </c>
      <c r="D3460" t="s">
        <v>345</v>
      </c>
      <c r="E3460" t="s">
        <v>37</v>
      </c>
      <c r="F3460" t="s">
        <v>1</v>
      </c>
      <c r="G3460" t="s">
        <v>1136</v>
      </c>
      <c r="H3460" t="s">
        <v>437</v>
      </c>
      <c r="I3460" t="s">
        <v>1</v>
      </c>
      <c r="J3460">
        <v>100.93</v>
      </c>
      <c r="K3460"/>
      <c r="L3460">
        <v>0</v>
      </c>
      <c r="M3460">
        <v>0</v>
      </c>
      <c r="N3460">
        <v>100.93</v>
      </c>
      <c r="O3460"/>
      <c r="P3460">
        <v>0</v>
      </c>
      <c r="Q3460">
        <f t="shared" si="705"/>
        <v>0</v>
      </c>
      <c r="R3460">
        <v>0</v>
      </c>
      <c r="S3460">
        <f t="shared" si="706"/>
        <v>0</v>
      </c>
      <c r="T3460"/>
      <c r="U3460">
        <f t="shared" si="707"/>
        <v>0</v>
      </c>
      <c r="V3460">
        <f t="shared" si="708"/>
        <v>0</v>
      </c>
      <c r="W3460">
        <f t="shared" si="709"/>
        <v>0</v>
      </c>
      <c r="X3460">
        <v>0</v>
      </c>
    </row>
    <row r="3461" spans="1:24" x14ac:dyDescent="0.25">
      <c r="A3461" t="s">
        <v>2025</v>
      </c>
      <c r="B3461" t="s">
        <v>2185</v>
      </c>
      <c r="C3461" t="s">
        <v>2187</v>
      </c>
      <c r="D3461" t="s">
        <v>345</v>
      </c>
      <c r="E3461" t="s">
        <v>42</v>
      </c>
      <c r="F3461" t="s">
        <v>1</v>
      </c>
      <c r="G3461" t="s">
        <v>1136</v>
      </c>
      <c r="H3461" t="s">
        <v>442</v>
      </c>
      <c r="I3461" t="s">
        <v>1</v>
      </c>
      <c r="J3461">
        <v>338</v>
      </c>
      <c r="K3461">
        <v>338.00000000040001</v>
      </c>
      <c r="L3461">
        <v>0</v>
      </c>
      <c r="M3461">
        <v>0</v>
      </c>
      <c r="N3461">
        <v>0</v>
      </c>
      <c r="O3461"/>
      <c r="P3461">
        <v>0</v>
      </c>
      <c r="Q3461">
        <f t="shared" si="705"/>
        <v>0</v>
      </c>
      <c r="R3461">
        <v>0</v>
      </c>
      <c r="S3461">
        <f t="shared" si="706"/>
        <v>0</v>
      </c>
      <c r="T3461">
        <v>0.03</v>
      </c>
      <c r="U3461">
        <f t="shared" si="707"/>
        <v>0</v>
      </c>
      <c r="V3461">
        <f t="shared" si="708"/>
        <v>0</v>
      </c>
      <c r="W3461">
        <f t="shared" si="709"/>
        <v>0</v>
      </c>
      <c r="X3461">
        <v>0</v>
      </c>
    </row>
    <row r="3462" spans="1:24" x14ac:dyDescent="0.25">
      <c r="A3462" t="s">
        <v>2025</v>
      </c>
      <c r="B3462" t="s">
        <v>2185</v>
      </c>
      <c r="C3462" t="s">
        <v>2187</v>
      </c>
      <c r="D3462" t="s">
        <v>345</v>
      </c>
      <c r="E3462" t="s">
        <v>51</v>
      </c>
      <c r="F3462" t="s">
        <v>51</v>
      </c>
      <c r="G3462" t="s">
        <v>1137</v>
      </c>
      <c r="H3462"/>
      <c r="I3462"/>
      <c r="J3462">
        <v>4806.3400000000011</v>
      </c>
      <c r="K3462">
        <v>7192.2476736587996</v>
      </c>
      <c r="L3462">
        <v>4198.4199999999992</v>
      </c>
      <c r="M3462">
        <v>8466.4270718232056</v>
      </c>
      <c r="N3462">
        <v>6613.44</v>
      </c>
      <c r="O3462">
        <v>8415.7709100843986</v>
      </c>
      <c r="P3462">
        <f>SUMIF($F$3450:$F$3461,"&lt;&gt;EV_*",$P$3450:$P$3461)</f>
        <v>0</v>
      </c>
      <c r="Q3462">
        <f>SUMIF($F$3450:$F$3461,"&lt;&gt;EV_*",$Q$3450:$Q$3461)</f>
        <v>8415.7709100843986</v>
      </c>
      <c r="R3462">
        <f>SUMIF($F$3450:$F$3461,"&lt;&gt;EV_*",$R$3450:$R$3461)</f>
        <v>6715.8876736583989</v>
      </c>
      <c r="S3462">
        <f>SUMIF($F$3450:$F$3461,"&lt;&gt;EV_*",$S$3450:$S$3461)</f>
        <v>-1699.8832364260002</v>
      </c>
      <c r="T3462">
        <v>0</v>
      </c>
      <c r="U3462">
        <f>SUMIF($F$3450:$F$3461,"&lt;&gt;EV_*",$U$3450:$U$3461)</f>
        <v>0</v>
      </c>
      <c r="V3462">
        <f>SUMIF($F$3450:$F$3461,"&lt;&gt;EV_*",$V$3450:$V$3461)</f>
        <v>6715.8876736583989</v>
      </c>
      <c r="W3462">
        <f>SUMIF($F$3450:$F$3461,"&lt;&gt;EV_*",$W$3450:$W$3461)</f>
        <v>-1699.8832364260002</v>
      </c>
      <c r="X3462">
        <f>SUMIF($F$3450:$F$3461,"&lt;&gt;EV_*",$X$3450:$X$3461)</f>
        <v>0</v>
      </c>
    </row>
    <row r="3463" spans="1:24" x14ac:dyDescent="0.25">
      <c r="A3463" t="s">
        <v>1928</v>
      </c>
      <c r="B3463" t="s">
        <v>1938</v>
      </c>
      <c r="C3463" t="s">
        <v>2188</v>
      </c>
      <c r="D3463" t="s">
        <v>346</v>
      </c>
      <c r="E3463" t="s">
        <v>5</v>
      </c>
      <c r="F3463" t="s">
        <v>5</v>
      </c>
      <c r="G3463" t="s">
        <v>1138</v>
      </c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</row>
    <row r="3464" spans="1:24" x14ac:dyDescent="0.25">
      <c r="A3464" t="s">
        <v>1928</v>
      </c>
      <c r="B3464" t="s">
        <v>1938</v>
      </c>
      <c r="C3464" t="s">
        <v>2188</v>
      </c>
      <c r="D3464" t="s">
        <v>346</v>
      </c>
      <c r="E3464" t="s">
        <v>8</v>
      </c>
      <c r="F3464" t="s">
        <v>1</v>
      </c>
      <c r="G3464" t="s">
        <v>1139</v>
      </c>
      <c r="H3464" t="s">
        <v>408</v>
      </c>
      <c r="I3464" t="s">
        <v>1</v>
      </c>
      <c r="J3464">
        <v>22606.03</v>
      </c>
      <c r="K3464">
        <v>42533.853314917098</v>
      </c>
      <c r="L3464">
        <v>210.9</v>
      </c>
      <c r="M3464">
        <v>425.29558011049727</v>
      </c>
      <c r="N3464">
        <v>1724.8000000000002</v>
      </c>
      <c r="O3464">
        <v>425.2955801105</v>
      </c>
      <c r="P3464">
        <v>-425</v>
      </c>
      <c r="Q3464">
        <f t="shared" ref="Q3464:Q3504" si="710">O3464+P3464</f>
        <v>0.29558011049999777</v>
      </c>
      <c r="R3464">
        <v>0</v>
      </c>
      <c r="S3464">
        <f t="shared" ref="S3464:S3504" si="711">IF(OR(LEFT(E3464,2)="A_",LEFT(D3464,5)="Total"),R3464-Q3464,"")</f>
        <v>-0.29558011049999777</v>
      </c>
      <c r="T3464"/>
      <c r="U3464">
        <f t="shared" ref="U3464:U3504" si="712">IFERROR(R3464*T3464,R3464*0)</f>
        <v>0</v>
      </c>
      <c r="V3464">
        <f t="shared" ref="V3464:V3504" si="713">IF(OR(LEFT(E3464,2)="A_",LEFT(D3464,5)="Total"),R3464+U3464,"")</f>
        <v>0</v>
      </c>
      <c r="W3464">
        <f t="shared" ref="W3464:W3504" si="714">IF(OR(LEFT(E3464,2)="A_",LEFT(D3464,5)="Total"),V3464-Q3464,"")</f>
        <v>-0.29558011049999777</v>
      </c>
      <c r="X3464">
        <v>0</v>
      </c>
    </row>
    <row r="3465" spans="1:24" x14ac:dyDescent="0.25">
      <c r="A3465" t="s">
        <v>1928</v>
      </c>
      <c r="B3465" t="s">
        <v>1938</v>
      </c>
      <c r="C3465" t="s">
        <v>2188</v>
      </c>
      <c r="D3465" t="s">
        <v>346</v>
      </c>
      <c r="E3465" t="s">
        <v>11</v>
      </c>
      <c r="F3465" t="s">
        <v>1</v>
      </c>
      <c r="G3465" t="s">
        <v>1139</v>
      </c>
      <c r="H3465" t="s">
        <v>411</v>
      </c>
      <c r="I3465" t="s">
        <v>1</v>
      </c>
      <c r="J3465">
        <v>6211.72</v>
      </c>
      <c r="K3465">
        <v>6068.31</v>
      </c>
      <c r="L3465">
        <v>8961.9699999999993</v>
      </c>
      <c r="M3465">
        <v>18072.48093922652</v>
      </c>
      <c r="N3465">
        <v>11966.28</v>
      </c>
      <c r="O3465">
        <v>17923.939999999999</v>
      </c>
      <c r="P3465">
        <v>0</v>
      </c>
      <c r="Q3465">
        <f t="shared" si="710"/>
        <v>17923.939999999999</v>
      </c>
      <c r="R3465">
        <v>17923.939999999999</v>
      </c>
      <c r="S3465">
        <f t="shared" si="711"/>
        <v>0</v>
      </c>
      <c r="T3465"/>
      <c r="U3465">
        <f t="shared" si="712"/>
        <v>0</v>
      </c>
      <c r="V3465">
        <f t="shared" si="713"/>
        <v>17923.939999999999</v>
      </c>
      <c r="W3465">
        <f t="shared" si="714"/>
        <v>0</v>
      </c>
      <c r="X3465">
        <v>0</v>
      </c>
    </row>
    <row r="3466" spans="1:24" x14ac:dyDescent="0.25">
      <c r="A3466" t="s">
        <v>1928</v>
      </c>
      <c r="B3466" t="s">
        <v>1938</v>
      </c>
      <c r="C3466" t="s">
        <v>2188</v>
      </c>
      <c r="D3466" t="s">
        <v>346</v>
      </c>
      <c r="E3466" t="s">
        <v>12</v>
      </c>
      <c r="F3466" t="s">
        <v>1</v>
      </c>
      <c r="G3466" t="s">
        <v>1139</v>
      </c>
      <c r="H3466" t="s">
        <v>412</v>
      </c>
      <c r="I3466" t="s">
        <v>1</v>
      </c>
      <c r="J3466"/>
      <c r="K3466"/>
      <c r="L3466">
        <v>145.86000000000001</v>
      </c>
      <c r="M3466">
        <v>294.1375690607735</v>
      </c>
      <c r="N3466">
        <v>145.85999999999999</v>
      </c>
      <c r="O3466">
        <v>291.72000000000003</v>
      </c>
      <c r="P3466">
        <v>0</v>
      </c>
      <c r="Q3466">
        <f t="shared" si="710"/>
        <v>291.72000000000003</v>
      </c>
      <c r="R3466">
        <v>291.72000000000003</v>
      </c>
      <c r="S3466">
        <f t="shared" si="711"/>
        <v>0</v>
      </c>
      <c r="T3466"/>
      <c r="U3466">
        <f t="shared" si="712"/>
        <v>0</v>
      </c>
      <c r="V3466">
        <f t="shared" si="713"/>
        <v>291.72000000000003</v>
      </c>
      <c r="W3466">
        <f t="shared" si="714"/>
        <v>0</v>
      </c>
      <c r="X3466">
        <v>0</v>
      </c>
    </row>
    <row r="3467" spans="1:24" x14ac:dyDescent="0.25">
      <c r="A3467" t="s">
        <v>1928</v>
      </c>
      <c r="B3467" t="s">
        <v>1938</v>
      </c>
      <c r="C3467" t="s">
        <v>2188</v>
      </c>
      <c r="D3467" t="s">
        <v>346</v>
      </c>
      <c r="E3467" t="s">
        <v>65</v>
      </c>
      <c r="F3467" t="s">
        <v>1</v>
      </c>
      <c r="G3467" t="s">
        <v>1139</v>
      </c>
      <c r="H3467" t="s">
        <v>476</v>
      </c>
      <c r="I3467" t="s">
        <v>1</v>
      </c>
      <c r="J3467">
        <v>-2288.87</v>
      </c>
      <c r="K3467"/>
      <c r="L3467">
        <v>-2244.5100000000002</v>
      </c>
      <c r="M3467">
        <v>-4526.2218232044206</v>
      </c>
      <c r="N3467">
        <v>-2786.0599999999995</v>
      </c>
      <c r="O3467">
        <v>-4513.6849450548998</v>
      </c>
      <c r="P3467">
        <v>0</v>
      </c>
      <c r="Q3467">
        <f t="shared" si="710"/>
        <v>-4513.6849450548998</v>
      </c>
      <c r="R3467">
        <v>0</v>
      </c>
      <c r="S3467">
        <f t="shared" si="711"/>
        <v>4513.6849450548998</v>
      </c>
      <c r="T3467"/>
      <c r="U3467">
        <f t="shared" si="712"/>
        <v>0</v>
      </c>
      <c r="V3467">
        <f t="shared" si="713"/>
        <v>0</v>
      </c>
      <c r="W3467">
        <f t="shared" si="714"/>
        <v>4513.6849450548998</v>
      </c>
      <c r="X3467">
        <v>0</v>
      </c>
    </row>
    <row r="3468" spans="1:24" x14ac:dyDescent="0.25">
      <c r="A3468" t="s">
        <v>1928</v>
      </c>
      <c r="B3468" t="s">
        <v>1938</v>
      </c>
      <c r="C3468" t="s">
        <v>2188</v>
      </c>
      <c r="D3468" t="s">
        <v>346</v>
      </c>
      <c r="E3468" t="s">
        <v>17</v>
      </c>
      <c r="F3468" t="s">
        <v>1</v>
      </c>
      <c r="G3468" t="s">
        <v>1139</v>
      </c>
      <c r="H3468" t="s">
        <v>417</v>
      </c>
      <c r="I3468" t="s">
        <v>1</v>
      </c>
      <c r="J3468">
        <v>-33627.629999999997</v>
      </c>
      <c r="K3468">
        <v>-33480.000000000102</v>
      </c>
      <c r="L3468">
        <v>-22371.37</v>
      </c>
      <c r="M3468">
        <v>-45113.536187845297</v>
      </c>
      <c r="N3468">
        <v>-37149.29</v>
      </c>
      <c r="O3468">
        <v>-44988.579230769203</v>
      </c>
      <c r="P3468">
        <v>0</v>
      </c>
      <c r="Q3468">
        <f t="shared" si="710"/>
        <v>-44988.579230769203</v>
      </c>
      <c r="R3468">
        <v>-44988.579230769203</v>
      </c>
      <c r="S3468">
        <f t="shared" si="711"/>
        <v>0</v>
      </c>
      <c r="T3468"/>
      <c r="U3468">
        <f t="shared" si="712"/>
        <v>0</v>
      </c>
      <c r="V3468">
        <f t="shared" si="713"/>
        <v>-44988.579230769203</v>
      </c>
      <c r="W3468">
        <f t="shared" si="714"/>
        <v>0</v>
      </c>
      <c r="X3468">
        <v>0</v>
      </c>
    </row>
    <row r="3469" spans="1:24" x14ac:dyDescent="0.25">
      <c r="A3469" t="s">
        <v>1928</v>
      </c>
      <c r="B3469" t="s">
        <v>1938</v>
      </c>
      <c r="C3469" t="s">
        <v>2188</v>
      </c>
      <c r="D3469" t="s">
        <v>346</v>
      </c>
      <c r="E3469" t="s">
        <v>82</v>
      </c>
      <c r="F3469" t="s">
        <v>1</v>
      </c>
      <c r="G3469" t="s">
        <v>1139</v>
      </c>
      <c r="H3469" t="s">
        <v>507</v>
      </c>
      <c r="I3469" t="s">
        <v>1</v>
      </c>
      <c r="J3469">
        <v>116013.4</v>
      </c>
      <c r="K3469">
        <v>110867.35485660299</v>
      </c>
      <c r="L3469">
        <v>53174.32</v>
      </c>
      <c r="M3469">
        <v>107229.98232044198</v>
      </c>
      <c r="N3469">
        <v>111523.39</v>
      </c>
      <c r="O3469">
        <v>106932.973186813</v>
      </c>
      <c r="P3469">
        <v>0</v>
      </c>
      <c r="Q3469">
        <f t="shared" si="710"/>
        <v>106932.973186813</v>
      </c>
      <c r="R3469">
        <v>106932.973186813</v>
      </c>
      <c r="S3469">
        <f t="shared" si="711"/>
        <v>0</v>
      </c>
      <c r="T3469">
        <v>2.75E-2</v>
      </c>
      <c r="U3469">
        <f t="shared" si="712"/>
        <v>2940.6567626373576</v>
      </c>
      <c r="V3469">
        <f t="shared" si="713"/>
        <v>109873.62994945036</v>
      </c>
      <c r="W3469">
        <f t="shared" si="714"/>
        <v>2940.656762637358</v>
      </c>
      <c r="X3469">
        <v>0</v>
      </c>
    </row>
    <row r="3470" spans="1:24" x14ac:dyDescent="0.25">
      <c r="A3470" t="s">
        <v>1928</v>
      </c>
      <c r="B3470" t="s">
        <v>1938</v>
      </c>
      <c r="C3470" t="s">
        <v>2188</v>
      </c>
      <c r="D3470" t="s">
        <v>346</v>
      </c>
      <c r="E3470" t="s">
        <v>72</v>
      </c>
      <c r="F3470" t="s">
        <v>1</v>
      </c>
      <c r="G3470" t="s">
        <v>1139</v>
      </c>
      <c r="H3470" t="s">
        <v>489</v>
      </c>
      <c r="I3470" t="s">
        <v>1</v>
      </c>
      <c r="J3470">
        <v>110659.96</v>
      </c>
      <c r="K3470">
        <v>108209.69723672701</v>
      </c>
      <c r="L3470">
        <v>63068.68</v>
      </c>
      <c r="M3470">
        <v>127182.69723756907</v>
      </c>
      <c r="N3470">
        <v>128614.53999999998</v>
      </c>
      <c r="O3470">
        <v>126830.422417582</v>
      </c>
      <c r="P3470">
        <v>0</v>
      </c>
      <c r="Q3470">
        <f t="shared" si="710"/>
        <v>126830.422417582</v>
      </c>
      <c r="R3470">
        <v>126830.422417582</v>
      </c>
      <c r="S3470">
        <f t="shared" si="711"/>
        <v>0</v>
      </c>
      <c r="T3470">
        <v>2.2499999999999999E-2</v>
      </c>
      <c r="U3470">
        <f t="shared" si="712"/>
        <v>2853.684504395595</v>
      </c>
      <c r="V3470">
        <f t="shared" si="713"/>
        <v>129684.1069219776</v>
      </c>
      <c r="W3470">
        <f t="shared" si="714"/>
        <v>2853.6845043955982</v>
      </c>
      <c r="X3470">
        <v>0</v>
      </c>
    </row>
    <row r="3471" spans="1:24" x14ac:dyDescent="0.25">
      <c r="A3471" t="s">
        <v>1928</v>
      </c>
      <c r="B3471" t="s">
        <v>1938</v>
      </c>
      <c r="C3471" t="s">
        <v>2188</v>
      </c>
      <c r="D3471" t="s">
        <v>346</v>
      </c>
      <c r="E3471" t="s">
        <v>84</v>
      </c>
      <c r="F3471" t="s">
        <v>1</v>
      </c>
      <c r="G3471" t="s">
        <v>1139</v>
      </c>
      <c r="H3471" t="s">
        <v>509</v>
      </c>
      <c r="I3471" t="s">
        <v>1</v>
      </c>
      <c r="J3471">
        <v>51.51</v>
      </c>
      <c r="K3471"/>
      <c r="L3471">
        <v>0</v>
      </c>
      <c r="M3471">
        <v>0</v>
      </c>
      <c r="N3471">
        <v>0</v>
      </c>
      <c r="O3471"/>
      <c r="P3471">
        <v>0</v>
      </c>
      <c r="Q3471">
        <f t="shared" si="710"/>
        <v>0</v>
      </c>
      <c r="R3471">
        <v>0</v>
      </c>
      <c r="S3471">
        <f t="shared" si="711"/>
        <v>0</v>
      </c>
      <c r="T3471">
        <v>2.5000000000000001E-2</v>
      </c>
      <c r="U3471">
        <f t="shared" si="712"/>
        <v>0</v>
      </c>
      <c r="V3471">
        <f t="shared" si="713"/>
        <v>0</v>
      </c>
      <c r="W3471">
        <f t="shared" si="714"/>
        <v>0</v>
      </c>
      <c r="X3471">
        <v>0</v>
      </c>
    </row>
    <row r="3472" spans="1:24" x14ac:dyDescent="0.25">
      <c r="A3472" t="s">
        <v>1928</v>
      </c>
      <c r="B3472" t="s">
        <v>1938</v>
      </c>
      <c r="C3472" t="s">
        <v>2188</v>
      </c>
      <c r="D3472" t="s">
        <v>346</v>
      </c>
      <c r="E3472" t="s">
        <v>118</v>
      </c>
      <c r="F3472" t="s">
        <v>1</v>
      </c>
      <c r="G3472" t="s">
        <v>1139</v>
      </c>
      <c r="H3472" t="s">
        <v>587</v>
      </c>
      <c r="I3472" t="s">
        <v>1</v>
      </c>
      <c r="J3472">
        <v>21993.5</v>
      </c>
      <c r="K3472">
        <v>22789.948759816001</v>
      </c>
      <c r="L3472">
        <v>16253.59</v>
      </c>
      <c r="M3472">
        <v>32776.576519337017</v>
      </c>
      <c r="N3472">
        <v>28167.620000000003</v>
      </c>
      <c r="O3472">
        <v>32685.790879120901</v>
      </c>
      <c r="P3472">
        <v>0</v>
      </c>
      <c r="Q3472">
        <f t="shared" si="710"/>
        <v>32685.790879120901</v>
      </c>
      <c r="R3472">
        <v>32685.790879120901</v>
      </c>
      <c r="S3472">
        <f t="shared" si="711"/>
        <v>0</v>
      </c>
      <c r="T3472">
        <v>3.2500000000000001E-2</v>
      </c>
      <c r="U3472">
        <f t="shared" si="712"/>
        <v>1062.2882035714292</v>
      </c>
      <c r="V3472">
        <f t="shared" si="713"/>
        <v>33748.079082692333</v>
      </c>
      <c r="W3472">
        <f t="shared" si="714"/>
        <v>1062.2882035714319</v>
      </c>
      <c r="X3472">
        <v>0</v>
      </c>
    </row>
    <row r="3473" spans="1:24" x14ac:dyDescent="0.25">
      <c r="A3473" t="s">
        <v>1928</v>
      </c>
      <c r="B3473" t="s">
        <v>1938</v>
      </c>
      <c r="C3473" t="s">
        <v>2188</v>
      </c>
      <c r="D3473" t="s">
        <v>346</v>
      </c>
      <c r="E3473" t="s">
        <v>18</v>
      </c>
      <c r="F3473" t="s">
        <v>1</v>
      </c>
      <c r="G3473" t="s">
        <v>1139</v>
      </c>
      <c r="H3473" t="s">
        <v>418</v>
      </c>
      <c r="I3473" t="s">
        <v>1</v>
      </c>
      <c r="J3473">
        <v>424872.68</v>
      </c>
      <c r="K3473">
        <v>424085.30077095598</v>
      </c>
      <c r="L3473">
        <v>209070.56</v>
      </c>
      <c r="M3473">
        <v>421606.37790055247</v>
      </c>
      <c r="N3473">
        <v>423563.31</v>
      </c>
      <c r="O3473">
        <v>420438.59868131898</v>
      </c>
      <c r="P3473">
        <v>0</v>
      </c>
      <c r="Q3473">
        <f t="shared" si="710"/>
        <v>420438.59868131898</v>
      </c>
      <c r="R3473">
        <v>420438.59868131898</v>
      </c>
      <c r="S3473">
        <f t="shared" si="711"/>
        <v>0</v>
      </c>
      <c r="T3473">
        <v>0.02</v>
      </c>
      <c r="U3473">
        <f t="shared" si="712"/>
        <v>8408.7719736263789</v>
      </c>
      <c r="V3473">
        <f t="shared" si="713"/>
        <v>428847.37065494538</v>
      </c>
      <c r="W3473">
        <f t="shared" si="714"/>
        <v>8408.7719736263971</v>
      </c>
      <c r="X3473">
        <v>0</v>
      </c>
    </row>
    <row r="3474" spans="1:24" x14ac:dyDescent="0.25">
      <c r="A3474" t="s">
        <v>1928</v>
      </c>
      <c r="B3474" t="s">
        <v>1938</v>
      </c>
      <c r="C3474" t="s">
        <v>2188</v>
      </c>
      <c r="D3474" t="s">
        <v>346</v>
      </c>
      <c r="E3474" t="s">
        <v>57</v>
      </c>
      <c r="F3474" t="s">
        <v>1</v>
      </c>
      <c r="G3474" t="s">
        <v>1139</v>
      </c>
      <c r="H3474" t="s">
        <v>462</v>
      </c>
      <c r="I3474" t="s">
        <v>1</v>
      </c>
      <c r="J3474">
        <v>1063.22</v>
      </c>
      <c r="K3474">
        <v>1431.5606419756</v>
      </c>
      <c r="L3474">
        <v>479.13</v>
      </c>
      <c r="M3474">
        <v>966.20138121546961</v>
      </c>
      <c r="N3474">
        <v>825.8</v>
      </c>
      <c r="O3474">
        <v>963.52516483520003</v>
      </c>
      <c r="P3474">
        <v>0</v>
      </c>
      <c r="Q3474">
        <f t="shared" si="710"/>
        <v>963.52516483520003</v>
      </c>
      <c r="R3474">
        <v>963.52516483520003</v>
      </c>
      <c r="S3474">
        <f t="shared" si="711"/>
        <v>0</v>
      </c>
      <c r="T3474">
        <v>0.04</v>
      </c>
      <c r="U3474">
        <f t="shared" si="712"/>
        <v>38.541006593408</v>
      </c>
      <c r="V3474">
        <f t="shared" si="713"/>
        <v>1002.0661714286081</v>
      </c>
      <c r="W3474">
        <f t="shared" si="714"/>
        <v>38.541006593408042</v>
      </c>
      <c r="X3474">
        <v>0</v>
      </c>
    </row>
    <row r="3475" spans="1:24" x14ac:dyDescent="0.25">
      <c r="A3475" t="s">
        <v>1928</v>
      </c>
      <c r="B3475" t="s">
        <v>1938</v>
      </c>
      <c r="C3475" t="s">
        <v>2188</v>
      </c>
      <c r="D3475" t="s">
        <v>346</v>
      </c>
      <c r="E3475" t="s">
        <v>19</v>
      </c>
      <c r="F3475" t="s">
        <v>1</v>
      </c>
      <c r="G3475" t="s">
        <v>1139</v>
      </c>
      <c r="H3475" t="s">
        <v>419</v>
      </c>
      <c r="I3475" t="s">
        <v>1</v>
      </c>
      <c r="J3475">
        <v>12165.53</v>
      </c>
      <c r="K3475">
        <v>9091.4032653013001</v>
      </c>
      <c r="L3475">
        <v>3274.3</v>
      </c>
      <c r="M3475">
        <v>6602.8701657458569</v>
      </c>
      <c r="N3475">
        <v>12480.04</v>
      </c>
      <c r="O3475">
        <v>6584.5813186813002</v>
      </c>
      <c r="P3475">
        <v>0</v>
      </c>
      <c r="Q3475">
        <f t="shared" si="710"/>
        <v>6584.5813186813002</v>
      </c>
      <c r="R3475">
        <v>6584.5813186813002</v>
      </c>
      <c r="S3475">
        <f t="shared" si="711"/>
        <v>0</v>
      </c>
      <c r="T3475">
        <v>0.02</v>
      </c>
      <c r="U3475">
        <f t="shared" si="712"/>
        <v>131.69162637362601</v>
      </c>
      <c r="V3475">
        <f t="shared" si="713"/>
        <v>6716.2729450549259</v>
      </c>
      <c r="W3475">
        <f t="shared" si="714"/>
        <v>131.6916263736257</v>
      </c>
      <c r="X3475">
        <v>0</v>
      </c>
    </row>
    <row r="3476" spans="1:24" x14ac:dyDescent="0.25">
      <c r="A3476" t="s">
        <v>1928</v>
      </c>
      <c r="B3476" t="s">
        <v>1938</v>
      </c>
      <c r="C3476" t="s">
        <v>2188</v>
      </c>
      <c r="D3476" t="s">
        <v>346</v>
      </c>
      <c r="E3476" t="s">
        <v>74</v>
      </c>
      <c r="F3476" t="s">
        <v>1</v>
      </c>
      <c r="G3476" t="s">
        <v>1139</v>
      </c>
      <c r="H3476" t="s">
        <v>491</v>
      </c>
      <c r="I3476" t="s">
        <v>1</v>
      </c>
      <c r="J3476">
        <v>447279.78</v>
      </c>
      <c r="K3476">
        <v>450025.542389807</v>
      </c>
      <c r="L3476">
        <v>227905.93</v>
      </c>
      <c r="M3476">
        <v>459589.30635359109</v>
      </c>
      <c r="N3476">
        <v>457505.13</v>
      </c>
      <c r="O3476">
        <v>458316.32076923101</v>
      </c>
      <c r="P3476">
        <v>0</v>
      </c>
      <c r="Q3476">
        <f t="shared" si="710"/>
        <v>458316.32076923101</v>
      </c>
      <c r="R3476">
        <v>458316.32076923101</v>
      </c>
      <c r="S3476">
        <f t="shared" si="711"/>
        <v>0</v>
      </c>
      <c r="T3476">
        <v>3.5000000000000003E-2</v>
      </c>
      <c r="U3476">
        <f t="shared" si="712"/>
        <v>16041.071226923086</v>
      </c>
      <c r="V3476">
        <f t="shared" si="713"/>
        <v>474357.3919961541</v>
      </c>
      <c r="W3476">
        <f t="shared" si="714"/>
        <v>16041.071226923086</v>
      </c>
      <c r="X3476">
        <v>0</v>
      </c>
    </row>
    <row r="3477" spans="1:24" x14ac:dyDescent="0.25">
      <c r="A3477" t="s">
        <v>1928</v>
      </c>
      <c r="B3477" t="s">
        <v>1938</v>
      </c>
      <c r="C3477" t="s">
        <v>2188</v>
      </c>
      <c r="D3477" t="s">
        <v>346</v>
      </c>
      <c r="E3477" t="s">
        <v>85</v>
      </c>
      <c r="F3477" t="s">
        <v>1</v>
      </c>
      <c r="G3477" t="s">
        <v>1139</v>
      </c>
      <c r="H3477" t="s">
        <v>510</v>
      </c>
      <c r="I3477" t="s">
        <v>1</v>
      </c>
      <c r="J3477">
        <v>9129.7999999999993</v>
      </c>
      <c r="K3477">
        <v>8355.2126148692005</v>
      </c>
      <c r="L3477">
        <v>5888.93</v>
      </c>
      <c r="M3477">
        <v>11875.466574585636</v>
      </c>
      <c r="N3477">
        <v>11099.039999999999</v>
      </c>
      <c r="O3477">
        <v>11842.5735164835</v>
      </c>
      <c r="P3477">
        <v>0</v>
      </c>
      <c r="Q3477">
        <f t="shared" si="710"/>
        <v>11842.5735164835</v>
      </c>
      <c r="R3477">
        <v>11842.5735164835</v>
      </c>
      <c r="S3477">
        <f t="shared" si="711"/>
        <v>0</v>
      </c>
      <c r="T3477">
        <v>0.02</v>
      </c>
      <c r="U3477">
        <f t="shared" si="712"/>
        <v>236.85147032967001</v>
      </c>
      <c r="V3477">
        <f t="shared" si="713"/>
        <v>12079.42498681317</v>
      </c>
      <c r="W3477">
        <f t="shared" si="714"/>
        <v>236.85147032966961</v>
      </c>
      <c r="X3477">
        <v>0</v>
      </c>
    </row>
    <row r="3478" spans="1:24" x14ac:dyDescent="0.25">
      <c r="A3478" t="s">
        <v>1928</v>
      </c>
      <c r="B3478" t="s">
        <v>1938</v>
      </c>
      <c r="C3478" t="s">
        <v>2188</v>
      </c>
      <c r="D3478" t="s">
        <v>346</v>
      </c>
      <c r="E3478" t="s">
        <v>119</v>
      </c>
      <c r="F3478" t="s">
        <v>1</v>
      </c>
      <c r="G3478" t="s">
        <v>1139</v>
      </c>
      <c r="H3478" t="s">
        <v>588</v>
      </c>
      <c r="I3478" t="s">
        <v>1</v>
      </c>
      <c r="J3478">
        <v>3109.05</v>
      </c>
      <c r="K3478">
        <v>3311.5232721263001</v>
      </c>
      <c r="L3478">
        <v>1818.38</v>
      </c>
      <c r="M3478">
        <v>3666.8988950276243</v>
      </c>
      <c r="N3478">
        <v>3096.27</v>
      </c>
      <c r="O3478">
        <v>3656.7421978021998</v>
      </c>
      <c r="P3478">
        <v>0</v>
      </c>
      <c r="Q3478">
        <f t="shared" si="710"/>
        <v>3656.7421978021998</v>
      </c>
      <c r="R3478">
        <v>3656.7421978021998</v>
      </c>
      <c r="S3478">
        <f t="shared" si="711"/>
        <v>0</v>
      </c>
      <c r="T3478">
        <v>1.4999999999999999E-2</v>
      </c>
      <c r="U3478">
        <f t="shared" si="712"/>
        <v>54.851132967032996</v>
      </c>
      <c r="V3478">
        <f t="shared" si="713"/>
        <v>3711.593330769233</v>
      </c>
      <c r="W3478">
        <f t="shared" si="714"/>
        <v>54.851132967033209</v>
      </c>
      <c r="X3478">
        <v>0</v>
      </c>
    </row>
    <row r="3479" spans="1:24" x14ac:dyDescent="0.25">
      <c r="A3479" t="s">
        <v>1928</v>
      </c>
      <c r="B3479" t="s">
        <v>1938</v>
      </c>
      <c r="C3479" t="s">
        <v>2188</v>
      </c>
      <c r="D3479" t="s">
        <v>346</v>
      </c>
      <c r="E3479" t="s">
        <v>136</v>
      </c>
      <c r="F3479" t="s">
        <v>1</v>
      </c>
      <c r="G3479" t="s">
        <v>1139</v>
      </c>
      <c r="H3479" t="s">
        <v>627</v>
      </c>
      <c r="I3479" t="s">
        <v>1</v>
      </c>
      <c r="J3479"/>
      <c r="K3479"/>
      <c r="L3479">
        <v>537.52</v>
      </c>
      <c r="M3479">
        <v>1083.9491712707181</v>
      </c>
      <c r="N3479">
        <v>537.52</v>
      </c>
      <c r="O3479">
        <v>1080.9468131868</v>
      </c>
      <c r="P3479">
        <v>0</v>
      </c>
      <c r="Q3479">
        <f t="shared" si="710"/>
        <v>1080.9468131868</v>
      </c>
      <c r="R3479">
        <v>1080.9468131868</v>
      </c>
      <c r="S3479">
        <f t="shared" si="711"/>
        <v>0</v>
      </c>
      <c r="T3479">
        <v>0.03</v>
      </c>
      <c r="U3479">
        <f t="shared" si="712"/>
        <v>32.428404395603998</v>
      </c>
      <c r="V3479">
        <f t="shared" si="713"/>
        <v>1113.375217582404</v>
      </c>
      <c r="W3479">
        <f t="shared" si="714"/>
        <v>32.428404395604048</v>
      </c>
      <c r="X3479">
        <v>0</v>
      </c>
    </row>
    <row r="3480" spans="1:24" x14ac:dyDescent="0.25">
      <c r="A3480" t="s">
        <v>1928</v>
      </c>
      <c r="B3480" t="s">
        <v>1938</v>
      </c>
      <c r="C3480" t="s">
        <v>2188</v>
      </c>
      <c r="D3480" t="s">
        <v>346</v>
      </c>
      <c r="E3480" t="s">
        <v>347</v>
      </c>
      <c r="F3480" t="s">
        <v>1</v>
      </c>
      <c r="G3480" t="s">
        <v>1139</v>
      </c>
      <c r="H3480" t="s">
        <v>1140</v>
      </c>
      <c r="I3480" t="s">
        <v>1</v>
      </c>
      <c r="J3480">
        <v>2706</v>
      </c>
      <c r="K3480">
        <v>2818.1004115224</v>
      </c>
      <c r="L3480">
        <v>0</v>
      </c>
      <c r="M3480">
        <v>0</v>
      </c>
      <c r="N3480">
        <v>1353</v>
      </c>
      <c r="O3480"/>
      <c r="P3480">
        <v>0</v>
      </c>
      <c r="Q3480">
        <f t="shared" si="710"/>
        <v>0</v>
      </c>
      <c r="R3480">
        <v>0</v>
      </c>
      <c r="S3480">
        <f t="shared" si="711"/>
        <v>0</v>
      </c>
      <c r="T3480">
        <v>0.04</v>
      </c>
      <c r="U3480">
        <f t="shared" si="712"/>
        <v>0</v>
      </c>
      <c r="V3480">
        <f t="shared" si="713"/>
        <v>0</v>
      </c>
      <c r="W3480">
        <f t="shared" si="714"/>
        <v>0</v>
      </c>
      <c r="X3480">
        <v>0</v>
      </c>
    </row>
    <row r="3481" spans="1:24" x14ac:dyDescent="0.25">
      <c r="A3481" t="s">
        <v>1928</v>
      </c>
      <c r="B3481" t="s">
        <v>1938</v>
      </c>
      <c r="C3481" t="s">
        <v>2188</v>
      </c>
      <c r="D3481" t="s">
        <v>346</v>
      </c>
      <c r="E3481" t="s">
        <v>120</v>
      </c>
      <c r="F3481" t="s">
        <v>1</v>
      </c>
      <c r="G3481" t="s">
        <v>1139</v>
      </c>
      <c r="H3481" t="s">
        <v>589</v>
      </c>
      <c r="I3481" t="s">
        <v>1</v>
      </c>
      <c r="J3481">
        <v>8285.1200000000008</v>
      </c>
      <c r="K3481">
        <v>9610.5489085412992</v>
      </c>
      <c r="L3481">
        <v>13956.43</v>
      </c>
      <c r="M3481">
        <v>28144.182044198897</v>
      </c>
      <c r="N3481">
        <v>17716.839999999997</v>
      </c>
      <c r="O3481">
        <v>28066.227362637401</v>
      </c>
      <c r="P3481">
        <v>0</v>
      </c>
      <c r="Q3481">
        <f t="shared" si="710"/>
        <v>28066.227362637401</v>
      </c>
      <c r="R3481">
        <v>28066.227362637401</v>
      </c>
      <c r="S3481">
        <f t="shared" si="711"/>
        <v>0</v>
      </c>
      <c r="T3481">
        <v>3.5000000000000003E-2</v>
      </c>
      <c r="U3481">
        <f t="shared" si="712"/>
        <v>982.31795769230916</v>
      </c>
      <c r="V3481">
        <f t="shared" si="713"/>
        <v>29048.545320329711</v>
      </c>
      <c r="W3481">
        <f t="shared" si="714"/>
        <v>982.3179576923103</v>
      </c>
      <c r="X3481">
        <v>0</v>
      </c>
    </row>
    <row r="3482" spans="1:24" x14ac:dyDescent="0.25">
      <c r="A3482" t="s">
        <v>1928</v>
      </c>
      <c r="B3482" t="s">
        <v>1938</v>
      </c>
      <c r="C3482" t="s">
        <v>2188</v>
      </c>
      <c r="D3482" t="s">
        <v>346</v>
      </c>
      <c r="E3482" t="s">
        <v>20</v>
      </c>
      <c r="F3482" t="s">
        <v>1</v>
      </c>
      <c r="G3482" t="s">
        <v>1139</v>
      </c>
      <c r="H3482" t="s">
        <v>420</v>
      </c>
      <c r="I3482" t="s">
        <v>1</v>
      </c>
      <c r="J3482">
        <v>94257.78</v>
      </c>
      <c r="K3482">
        <v>92353.429560111894</v>
      </c>
      <c r="L3482">
        <v>52136.63</v>
      </c>
      <c r="M3482">
        <v>105137.40303867403</v>
      </c>
      <c r="N3482">
        <v>101941.07</v>
      </c>
      <c r="O3482">
        <v>104846.19</v>
      </c>
      <c r="P3482">
        <v>0</v>
      </c>
      <c r="Q3482">
        <f t="shared" si="710"/>
        <v>104846.19</v>
      </c>
      <c r="R3482">
        <v>104846.19</v>
      </c>
      <c r="S3482">
        <f t="shared" si="711"/>
        <v>0</v>
      </c>
      <c r="T3482">
        <v>0.04</v>
      </c>
      <c r="U3482">
        <f t="shared" si="712"/>
        <v>4193.8476000000001</v>
      </c>
      <c r="V3482">
        <f t="shared" si="713"/>
        <v>109040.0376</v>
      </c>
      <c r="W3482">
        <f t="shared" si="714"/>
        <v>4193.8475999999937</v>
      </c>
      <c r="X3482">
        <v>0</v>
      </c>
    </row>
    <row r="3483" spans="1:24" x14ac:dyDescent="0.25">
      <c r="A3483" t="s">
        <v>1928</v>
      </c>
      <c r="B3483" t="s">
        <v>1938</v>
      </c>
      <c r="C3483" t="s">
        <v>2188</v>
      </c>
      <c r="D3483" t="s">
        <v>346</v>
      </c>
      <c r="E3483" t="s">
        <v>21</v>
      </c>
      <c r="F3483" t="s">
        <v>1</v>
      </c>
      <c r="G3483" t="s">
        <v>1139</v>
      </c>
      <c r="H3483" t="s">
        <v>421</v>
      </c>
      <c r="I3483" t="s">
        <v>1</v>
      </c>
      <c r="J3483">
        <v>24620.67</v>
      </c>
      <c r="K3483">
        <v>26179.3100000001</v>
      </c>
      <c r="L3483">
        <v>11517.92</v>
      </c>
      <c r="M3483">
        <v>23226.744751381215</v>
      </c>
      <c r="N3483">
        <v>23304.180000000004</v>
      </c>
      <c r="O3483">
        <v>23226.7447513812</v>
      </c>
      <c r="P3483">
        <v>0</v>
      </c>
      <c r="Q3483">
        <f t="shared" si="710"/>
        <v>23226.7447513812</v>
      </c>
      <c r="R3483">
        <v>23226.7447513812</v>
      </c>
      <c r="S3483">
        <f t="shared" si="711"/>
        <v>0</v>
      </c>
      <c r="T3483">
        <v>0.03</v>
      </c>
      <c r="U3483">
        <f t="shared" si="712"/>
        <v>696.80234254143602</v>
      </c>
      <c r="V3483">
        <f t="shared" si="713"/>
        <v>23923.547093922636</v>
      </c>
      <c r="W3483">
        <f t="shared" si="714"/>
        <v>696.80234254143579</v>
      </c>
      <c r="X3483">
        <v>0</v>
      </c>
    </row>
    <row r="3484" spans="1:24" x14ac:dyDescent="0.25">
      <c r="A3484" t="s">
        <v>1928</v>
      </c>
      <c r="B3484" t="s">
        <v>1938</v>
      </c>
      <c r="C3484" t="s">
        <v>2188</v>
      </c>
      <c r="D3484" t="s">
        <v>346</v>
      </c>
      <c r="E3484" t="s">
        <v>66</v>
      </c>
      <c r="F3484" t="s">
        <v>1</v>
      </c>
      <c r="G3484" t="s">
        <v>1139</v>
      </c>
      <c r="H3484" t="s">
        <v>477</v>
      </c>
      <c r="I3484" t="s">
        <v>1</v>
      </c>
      <c r="J3484">
        <v>12695.64</v>
      </c>
      <c r="K3484">
        <v>11485.0600000002</v>
      </c>
      <c r="L3484">
        <v>4875.43</v>
      </c>
      <c r="M3484">
        <v>9831.6682320441996</v>
      </c>
      <c r="N3484">
        <v>11571.61</v>
      </c>
      <c r="O3484">
        <v>9831.6682320441996</v>
      </c>
      <c r="P3484">
        <v>0</v>
      </c>
      <c r="Q3484">
        <f t="shared" si="710"/>
        <v>9831.6682320441996</v>
      </c>
      <c r="R3484">
        <v>9831.6682320441996</v>
      </c>
      <c r="S3484">
        <f t="shared" si="711"/>
        <v>0</v>
      </c>
      <c r="T3484">
        <v>3.5000000000000003E-2</v>
      </c>
      <c r="U3484">
        <f t="shared" si="712"/>
        <v>344.10838812154702</v>
      </c>
      <c r="V3484">
        <f t="shared" si="713"/>
        <v>10175.776620165747</v>
      </c>
      <c r="W3484">
        <f t="shared" si="714"/>
        <v>344.10838812154725</v>
      </c>
      <c r="X3484">
        <v>0</v>
      </c>
    </row>
    <row r="3485" spans="1:24" x14ac:dyDescent="0.25">
      <c r="A3485" t="s">
        <v>1928</v>
      </c>
      <c r="B3485" t="s">
        <v>1938</v>
      </c>
      <c r="C3485" t="s">
        <v>2188</v>
      </c>
      <c r="D3485" t="s">
        <v>346</v>
      </c>
      <c r="E3485" t="s">
        <v>22</v>
      </c>
      <c r="F3485" t="s">
        <v>1</v>
      </c>
      <c r="G3485" t="s">
        <v>1139</v>
      </c>
      <c r="H3485" t="s">
        <v>422</v>
      </c>
      <c r="I3485" t="s">
        <v>1</v>
      </c>
      <c r="J3485">
        <v>5593.09</v>
      </c>
      <c r="K3485">
        <v>7369.2</v>
      </c>
      <c r="L3485">
        <v>402.32</v>
      </c>
      <c r="M3485">
        <v>811.30828729281768</v>
      </c>
      <c r="N3485">
        <v>2433.34</v>
      </c>
      <c r="O3485">
        <v>811.30828729279995</v>
      </c>
      <c r="P3485">
        <v>1622</v>
      </c>
      <c r="Q3485">
        <f t="shared" si="710"/>
        <v>2433.3082872927998</v>
      </c>
      <c r="R3485">
        <v>2433</v>
      </c>
      <c r="S3485">
        <f t="shared" si="711"/>
        <v>-0.30828729279983236</v>
      </c>
      <c r="T3485">
        <v>3.5000000000000003E-2</v>
      </c>
      <c r="U3485">
        <f t="shared" si="712"/>
        <v>85.155000000000001</v>
      </c>
      <c r="V3485">
        <f t="shared" si="713"/>
        <v>2518.1550000000002</v>
      </c>
      <c r="W3485">
        <f t="shared" si="714"/>
        <v>84.846712707200368</v>
      </c>
      <c r="X3485" t="s">
        <v>1472</v>
      </c>
    </row>
    <row r="3486" spans="1:24" x14ac:dyDescent="0.25">
      <c r="A3486" t="s">
        <v>1928</v>
      </c>
      <c r="B3486" t="s">
        <v>1938</v>
      </c>
      <c r="C3486" t="s">
        <v>2188</v>
      </c>
      <c r="D3486" t="s">
        <v>346</v>
      </c>
      <c r="E3486" t="s">
        <v>23</v>
      </c>
      <c r="F3486" t="s">
        <v>1</v>
      </c>
      <c r="G3486" t="s">
        <v>1139</v>
      </c>
      <c r="H3486" t="s">
        <v>423</v>
      </c>
      <c r="I3486" t="s">
        <v>1</v>
      </c>
      <c r="J3486">
        <v>24577.3</v>
      </c>
      <c r="K3486">
        <v>36763.200000000099</v>
      </c>
      <c r="L3486">
        <v>4314.4799999999996</v>
      </c>
      <c r="M3486">
        <v>8700.4707182320435</v>
      </c>
      <c r="N3486">
        <v>11129.43</v>
      </c>
      <c r="O3486">
        <v>8700.4707182319999</v>
      </c>
      <c r="P3486">
        <v>6300</v>
      </c>
      <c r="Q3486">
        <f t="shared" si="710"/>
        <v>15000.470718232</v>
      </c>
      <c r="R3486">
        <v>15000</v>
      </c>
      <c r="S3486">
        <f t="shared" si="711"/>
        <v>-0.47071823199985374</v>
      </c>
      <c r="T3486">
        <v>3.5000000000000003E-2</v>
      </c>
      <c r="U3486">
        <f t="shared" si="712"/>
        <v>525</v>
      </c>
      <c r="V3486">
        <f t="shared" si="713"/>
        <v>15525</v>
      </c>
      <c r="W3486">
        <f t="shared" si="714"/>
        <v>524.52928176800015</v>
      </c>
      <c r="X3486" t="s">
        <v>1850</v>
      </c>
    </row>
    <row r="3487" spans="1:24" x14ac:dyDescent="0.25">
      <c r="A3487" t="s">
        <v>1928</v>
      </c>
      <c r="B3487" t="s">
        <v>1938</v>
      </c>
      <c r="C3487" t="s">
        <v>2188</v>
      </c>
      <c r="D3487" t="s">
        <v>346</v>
      </c>
      <c r="E3487" t="s">
        <v>24</v>
      </c>
      <c r="F3487" t="s">
        <v>1</v>
      </c>
      <c r="G3487" t="s">
        <v>1139</v>
      </c>
      <c r="H3487" t="s">
        <v>424</v>
      </c>
      <c r="I3487" t="s">
        <v>1</v>
      </c>
      <c r="J3487">
        <v>10500</v>
      </c>
      <c r="K3487"/>
      <c r="L3487">
        <v>0</v>
      </c>
      <c r="M3487">
        <v>0</v>
      </c>
      <c r="N3487">
        <v>7500</v>
      </c>
      <c r="O3487"/>
      <c r="P3487">
        <v>0</v>
      </c>
      <c r="Q3487">
        <f t="shared" si="710"/>
        <v>0</v>
      </c>
      <c r="R3487">
        <v>0</v>
      </c>
      <c r="S3487">
        <f t="shared" si="711"/>
        <v>0</v>
      </c>
      <c r="T3487"/>
      <c r="U3487">
        <f t="shared" si="712"/>
        <v>0</v>
      </c>
      <c r="V3487">
        <f t="shared" si="713"/>
        <v>0</v>
      </c>
      <c r="W3487">
        <f t="shared" si="714"/>
        <v>0</v>
      </c>
      <c r="X3487">
        <v>0</v>
      </c>
    </row>
    <row r="3488" spans="1:24" x14ac:dyDescent="0.25">
      <c r="A3488" t="s">
        <v>1928</v>
      </c>
      <c r="B3488" t="s">
        <v>1938</v>
      </c>
      <c r="C3488" t="s">
        <v>2188</v>
      </c>
      <c r="D3488" t="s">
        <v>346</v>
      </c>
      <c r="E3488" t="s">
        <v>26</v>
      </c>
      <c r="F3488" t="s">
        <v>1</v>
      </c>
      <c r="G3488" t="s">
        <v>1139</v>
      </c>
      <c r="H3488" t="s">
        <v>426</v>
      </c>
      <c r="I3488" t="s">
        <v>1</v>
      </c>
      <c r="J3488">
        <v>228.37</v>
      </c>
      <c r="K3488">
        <v>981.23836829519996</v>
      </c>
      <c r="L3488">
        <v>0</v>
      </c>
      <c r="M3488">
        <v>0</v>
      </c>
      <c r="N3488">
        <v>228.37</v>
      </c>
      <c r="O3488"/>
      <c r="P3488">
        <v>1000</v>
      </c>
      <c r="Q3488">
        <f t="shared" si="710"/>
        <v>1000</v>
      </c>
      <c r="R3488">
        <v>1000</v>
      </c>
      <c r="S3488">
        <f t="shared" si="711"/>
        <v>0</v>
      </c>
      <c r="T3488"/>
      <c r="U3488">
        <f t="shared" si="712"/>
        <v>0</v>
      </c>
      <c r="V3488">
        <f t="shared" si="713"/>
        <v>1000</v>
      </c>
      <c r="W3488">
        <f t="shared" si="714"/>
        <v>0</v>
      </c>
      <c r="X3488" t="s">
        <v>1460</v>
      </c>
    </row>
    <row r="3489" spans="1:24" x14ac:dyDescent="0.25">
      <c r="A3489" t="s">
        <v>1928</v>
      </c>
      <c r="B3489" t="s">
        <v>1938</v>
      </c>
      <c r="C3489" t="s">
        <v>2188</v>
      </c>
      <c r="D3489" t="s">
        <v>346</v>
      </c>
      <c r="E3489" t="s">
        <v>27</v>
      </c>
      <c r="F3489" t="s">
        <v>1</v>
      </c>
      <c r="G3489" t="s">
        <v>1139</v>
      </c>
      <c r="H3489" t="s">
        <v>427</v>
      </c>
      <c r="I3489" t="s">
        <v>1</v>
      </c>
      <c r="J3489">
        <v>1151.26</v>
      </c>
      <c r="K3489">
        <v>1059.9999999996</v>
      </c>
      <c r="L3489">
        <v>495.5</v>
      </c>
      <c r="M3489">
        <v>999.2127071823204</v>
      </c>
      <c r="N3489">
        <v>1022.1300000000001</v>
      </c>
      <c r="O3489">
        <v>991</v>
      </c>
      <c r="P3489">
        <v>0</v>
      </c>
      <c r="Q3489">
        <f t="shared" si="710"/>
        <v>991</v>
      </c>
      <c r="R3489">
        <v>991</v>
      </c>
      <c r="S3489">
        <f t="shared" si="711"/>
        <v>0</v>
      </c>
      <c r="T3489"/>
      <c r="U3489">
        <f t="shared" si="712"/>
        <v>0</v>
      </c>
      <c r="V3489">
        <f t="shared" si="713"/>
        <v>991</v>
      </c>
      <c r="W3489">
        <f t="shared" si="714"/>
        <v>0</v>
      </c>
      <c r="X3489">
        <v>0</v>
      </c>
    </row>
    <row r="3490" spans="1:24" x14ac:dyDescent="0.25">
      <c r="A3490" t="s">
        <v>1928</v>
      </c>
      <c r="B3490" t="s">
        <v>1938</v>
      </c>
      <c r="C3490" t="s">
        <v>2188</v>
      </c>
      <c r="D3490" t="s">
        <v>346</v>
      </c>
      <c r="E3490" t="s">
        <v>28</v>
      </c>
      <c r="F3490" t="s">
        <v>1</v>
      </c>
      <c r="G3490" t="s">
        <v>1139</v>
      </c>
      <c r="H3490" t="s">
        <v>428</v>
      </c>
      <c r="I3490" t="s">
        <v>1</v>
      </c>
      <c r="J3490">
        <v>6424.37</v>
      </c>
      <c r="K3490">
        <v>4160.0000000004002</v>
      </c>
      <c r="L3490">
        <v>836.84</v>
      </c>
      <c r="M3490">
        <v>1687.550276243094</v>
      </c>
      <c r="N3490">
        <v>3557.84</v>
      </c>
      <c r="O3490">
        <v>1673.68</v>
      </c>
      <c r="P3490">
        <v>2486</v>
      </c>
      <c r="Q3490">
        <f t="shared" si="710"/>
        <v>4159.68</v>
      </c>
      <c r="R3490">
        <v>4160</v>
      </c>
      <c r="S3490">
        <f t="shared" si="711"/>
        <v>0.31999999999970896</v>
      </c>
      <c r="T3490"/>
      <c r="U3490">
        <f t="shared" si="712"/>
        <v>0</v>
      </c>
      <c r="V3490">
        <f t="shared" si="713"/>
        <v>4160</v>
      </c>
      <c r="W3490">
        <f t="shared" si="714"/>
        <v>0.31999999999970896</v>
      </c>
      <c r="X3490" t="s">
        <v>1851</v>
      </c>
    </row>
    <row r="3491" spans="1:24" x14ac:dyDescent="0.25">
      <c r="A3491" t="s">
        <v>1928</v>
      </c>
      <c r="B3491" t="s">
        <v>1938</v>
      </c>
      <c r="C3491" t="s">
        <v>2188</v>
      </c>
      <c r="D3491" t="s">
        <v>346</v>
      </c>
      <c r="E3491" t="s">
        <v>29</v>
      </c>
      <c r="F3491" t="s">
        <v>1</v>
      </c>
      <c r="G3491" t="s">
        <v>1139</v>
      </c>
      <c r="H3491" t="s">
        <v>429</v>
      </c>
      <c r="I3491" t="s">
        <v>1</v>
      </c>
      <c r="J3491">
        <v>817.51</v>
      </c>
      <c r="K3491">
        <v>1329.9999999996</v>
      </c>
      <c r="L3491">
        <v>110</v>
      </c>
      <c r="M3491">
        <v>221.82320441988949</v>
      </c>
      <c r="N3491">
        <v>516.26</v>
      </c>
      <c r="O3491">
        <v>220</v>
      </c>
      <c r="P3491">
        <v>296</v>
      </c>
      <c r="Q3491">
        <f t="shared" si="710"/>
        <v>516</v>
      </c>
      <c r="R3491">
        <v>516</v>
      </c>
      <c r="S3491">
        <f t="shared" si="711"/>
        <v>0</v>
      </c>
      <c r="T3491"/>
      <c r="U3491">
        <f t="shared" si="712"/>
        <v>0</v>
      </c>
      <c r="V3491">
        <f t="shared" si="713"/>
        <v>516</v>
      </c>
      <c r="W3491">
        <f t="shared" si="714"/>
        <v>0</v>
      </c>
      <c r="X3491" t="s">
        <v>1852</v>
      </c>
    </row>
    <row r="3492" spans="1:24" x14ac:dyDescent="0.25">
      <c r="A3492" t="s">
        <v>1928</v>
      </c>
      <c r="B3492" t="s">
        <v>1938</v>
      </c>
      <c r="C3492" t="s">
        <v>2188</v>
      </c>
      <c r="D3492" t="s">
        <v>346</v>
      </c>
      <c r="E3492" t="s">
        <v>33</v>
      </c>
      <c r="F3492" t="s">
        <v>1</v>
      </c>
      <c r="G3492" t="s">
        <v>1139</v>
      </c>
      <c r="H3492" t="s">
        <v>433</v>
      </c>
      <c r="I3492" t="s">
        <v>1</v>
      </c>
      <c r="J3492">
        <v>166.28</v>
      </c>
      <c r="K3492">
        <v>245.30959207320001</v>
      </c>
      <c r="L3492">
        <v>0</v>
      </c>
      <c r="M3492">
        <v>0</v>
      </c>
      <c r="N3492">
        <v>0</v>
      </c>
      <c r="O3492"/>
      <c r="P3492">
        <v>500</v>
      </c>
      <c r="Q3492">
        <f t="shared" si="710"/>
        <v>500</v>
      </c>
      <c r="R3492">
        <v>500</v>
      </c>
      <c r="S3492">
        <f t="shared" si="711"/>
        <v>0</v>
      </c>
      <c r="T3492"/>
      <c r="U3492">
        <f t="shared" si="712"/>
        <v>0</v>
      </c>
      <c r="V3492">
        <f t="shared" si="713"/>
        <v>500</v>
      </c>
      <c r="W3492">
        <f t="shared" si="714"/>
        <v>0</v>
      </c>
      <c r="X3492" t="s">
        <v>1422</v>
      </c>
    </row>
    <row r="3493" spans="1:24" x14ac:dyDescent="0.25">
      <c r="A3493" t="s">
        <v>1928</v>
      </c>
      <c r="B3493" t="s">
        <v>1938</v>
      </c>
      <c r="C3493" t="s">
        <v>2188</v>
      </c>
      <c r="D3493" t="s">
        <v>346</v>
      </c>
      <c r="E3493" t="s">
        <v>34</v>
      </c>
      <c r="F3493" t="s">
        <v>1</v>
      </c>
      <c r="G3493" t="s">
        <v>1139</v>
      </c>
      <c r="H3493" t="s">
        <v>434</v>
      </c>
      <c r="I3493" t="s">
        <v>1</v>
      </c>
      <c r="J3493">
        <v>42.49</v>
      </c>
      <c r="K3493">
        <v>1864.3528997592</v>
      </c>
      <c r="L3493">
        <v>0</v>
      </c>
      <c r="M3493">
        <v>0</v>
      </c>
      <c r="N3493">
        <v>20</v>
      </c>
      <c r="O3493"/>
      <c r="P3493">
        <v>0</v>
      </c>
      <c r="Q3493">
        <f t="shared" si="710"/>
        <v>0</v>
      </c>
      <c r="R3493">
        <v>0</v>
      </c>
      <c r="S3493">
        <f t="shared" si="711"/>
        <v>0</v>
      </c>
      <c r="T3493"/>
      <c r="U3493">
        <f t="shared" si="712"/>
        <v>0</v>
      </c>
      <c r="V3493">
        <f t="shared" si="713"/>
        <v>0</v>
      </c>
      <c r="W3493">
        <f t="shared" si="714"/>
        <v>0</v>
      </c>
      <c r="X3493">
        <v>0</v>
      </c>
    </row>
    <row r="3494" spans="1:24" x14ac:dyDescent="0.25">
      <c r="A3494" t="s">
        <v>1928</v>
      </c>
      <c r="B3494" t="s">
        <v>1938</v>
      </c>
      <c r="C3494" t="s">
        <v>2188</v>
      </c>
      <c r="D3494" t="s">
        <v>346</v>
      </c>
      <c r="E3494" t="s">
        <v>35</v>
      </c>
      <c r="F3494" t="s">
        <v>1</v>
      </c>
      <c r="G3494" t="s">
        <v>1139</v>
      </c>
      <c r="H3494" t="s">
        <v>435</v>
      </c>
      <c r="I3494" t="s">
        <v>1</v>
      </c>
      <c r="J3494">
        <v>26.21</v>
      </c>
      <c r="K3494">
        <v>1040.0000000004</v>
      </c>
      <c r="L3494">
        <v>0</v>
      </c>
      <c r="M3494">
        <v>0</v>
      </c>
      <c r="N3494">
        <v>26.21</v>
      </c>
      <c r="O3494"/>
      <c r="P3494">
        <v>1000</v>
      </c>
      <c r="Q3494">
        <f t="shared" si="710"/>
        <v>1000</v>
      </c>
      <c r="R3494">
        <v>1000</v>
      </c>
      <c r="S3494">
        <f t="shared" si="711"/>
        <v>0</v>
      </c>
      <c r="T3494"/>
      <c r="U3494">
        <f t="shared" si="712"/>
        <v>0</v>
      </c>
      <c r="V3494">
        <f t="shared" si="713"/>
        <v>1000</v>
      </c>
      <c r="W3494">
        <f t="shared" si="714"/>
        <v>0</v>
      </c>
      <c r="X3494" t="s">
        <v>1853</v>
      </c>
    </row>
    <row r="3495" spans="1:24" x14ac:dyDescent="0.25">
      <c r="A3495" t="s">
        <v>1928</v>
      </c>
      <c r="B3495" t="s">
        <v>1938</v>
      </c>
      <c r="C3495" t="s">
        <v>2188</v>
      </c>
      <c r="D3495" t="s">
        <v>346</v>
      </c>
      <c r="E3495" t="s">
        <v>37</v>
      </c>
      <c r="F3495" t="s">
        <v>1</v>
      </c>
      <c r="G3495" t="s">
        <v>1139</v>
      </c>
      <c r="H3495" t="s">
        <v>437</v>
      </c>
      <c r="I3495" t="s">
        <v>1</v>
      </c>
      <c r="J3495">
        <v>1002.53</v>
      </c>
      <c r="K3495">
        <v>1471.8575524416001</v>
      </c>
      <c r="L3495">
        <v>177.21</v>
      </c>
      <c r="M3495">
        <v>357.35718232044201</v>
      </c>
      <c r="N3495">
        <v>1004.4000000000001</v>
      </c>
      <c r="O3495">
        <v>354.42</v>
      </c>
      <c r="P3495">
        <v>1146</v>
      </c>
      <c r="Q3495">
        <f t="shared" si="710"/>
        <v>1500.42</v>
      </c>
      <c r="R3495">
        <v>1500</v>
      </c>
      <c r="S3495">
        <f t="shared" si="711"/>
        <v>-0.42000000000007276</v>
      </c>
      <c r="T3495"/>
      <c r="U3495">
        <f t="shared" si="712"/>
        <v>0</v>
      </c>
      <c r="V3495">
        <f t="shared" si="713"/>
        <v>1500</v>
      </c>
      <c r="W3495">
        <f t="shared" si="714"/>
        <v>-0.42000000000007276</v>
      </c>
      <c r="X3495" t="s">
        <v>1423</v>
      </c>
    </row>
    <row r="3496" spans="1:24" x14ac:dyDescent="0.25">
      <c r="A3496" t="s">
        <v>1928</v>
      </c>
      <c r="B3496" t="s">
        <v>1938</v>
      </c>
      <c r="C3496" t="s">
        <v>2188</v>
      </c>
      <c r="D3496" t="s">
        <v>346</v>
      </c>
      <c r="E3496" t="s">
        <v>121</v>
      </c>
      <c r="F3496" t="s">
        <v>1</v>
      </c>
      <c r="G3496" t="s">
        <v>1139</v>
      </c>
      <c r="H3496" t="s">
        <v>590</v>
      </c>
      <c r="I3496" t="s">
        <v>1</v>
      </c>
      <c r="J3496"/>
      <c r="K3496">
        <v>18364.183352992801</v>
      </c>
      <c r="L3496">
        <v>0</v>
      </c>
      <c r="M3496">
        <v>0</v>
      </c>
      <c r="N3496">
        <v>0</v>
      </c>
      <c r="O3496"/>
      <c r="P3496">
        <v>0</v>
      </c>
      <c r="Q3496">
        <f t="shared" si="710"/>
        <v>0</v>
      </c>
      <c r="R3496">
        <v>0</v>
      </c>
      <c r="S3496">
        <f t="shared" si="711"/>
        <v>0</v>
      </c>
      <c r="T3496"/>
      <c r="U3496">
        <f t="shared" si="712"/>
        <v>0</v>
      </c>
      <c r="V3496">
        <f t="shared" si="713"/>
        <v>0</v>
      </c>
      <c r="W3496">
        <f t="shared" si="714"/>
        <v>0</v>
      </c>
      <c r="X3496">
        <v>0</v>
      </c>
    </row>
    <row r="3497" spans="1:24" x14ac:dyDescent="0.25">
      <c r="A3497" t="s">
        <v>1928</v>
      </c>
      <c r="B3497" t="s">
        <v>1938</v>
      </c>
      <c r="C3497" t="s">
        <v>2188</v>
      </c>
      <c r="D3497" t="s">
        <v>346</v>
      </c>
      <c r="E3497" t="s">
        <v>41</v>
      </c>
      <c r="F3497" t="s">
        <v>1</v>
      </c>
      <c r="G3497" t="s">
        <v>1139</v>
      </c>
      <c r="H3497" t="s">
        <v>441</v>
      </c>
      <c r="I3497" t="s">
        <v>1</v>
      </c>
      <c r="J3497">
        <v>5324.45</v>
      </c>
      <c r="K3497">
        <v>5339.07</v>
      </c>
      <c r="L3497">
        <v>4082.22</v>
      </c>
      <c r="M3497">
        <v>8232.1011049723747</v>
      </c>
      <c r="N3497">
        <v>6867.0700000000006</v>
      </c>
      <c r="O3497">
        <v>8164.44</v>
      </c>
      <c r="P3497">
        <v>0</v>
      </c>
      <c r="Q3497">
        <f t="shared" si="710"/>
        <v>8164.44</v>
      </c>
      <c r="R3497">
        <v>8164</v>
      </c>
      <c r="S3497">
        <f t="shared" si="711"/>
        <v>-0.43999999999959982</v>
      </c>
      <c r="T3497">
        <v>0.03</v>
      </c>
      <c r="U3497">
        <f t="shared" si="712"/>
        <v>244.92</v>
      </c>
      <c r="V3497">
        <f t="shared" si="713"/>
        <v>8408.92</v>
      </c>
      <c r="W3497">
        <f t="shared" si="714"/>
        <v>244.48000000000047</v>
      </c>
      <c r="X3497">
        <v>0</v>
      </c>
    </row>
    <row r="3498" spans="1:24" x14ac:dyDescent="0.25">
      <c r="A3498" t="s">
        <v>1928</v>
      </c>
      <c r="B3498" t="s">
        <v>1938</v>
      </c>
      <c r="C3498" t="s">
        <v>2188</v>
      </c>
      <c r="D3498" t="s">
        <v>346</v>
      </c>
      <c r="E3498" t="s">
        <v>43</v>
      </c>
      <c r="F3498" t="s">
        <v>1</v>
      </c>
      <c r="G3498" t="s">
        <v>1139</v>
      </c>
      <c r="H3498" t="s">
        <v>443</v>
      </c>
      <c r="I3498" t="s">
        <v>1</v>
      </c>
      <c r="J3498"/>
      <c r="K3498"/>
      <c r="L3498">
        <v>3395</v>
      </c>
      <c r="M3498">
        <v>6846.2707182320446</v>
      </c>
      <c r="N3498">
        <v>3395</v>
      </c>
      <c r="O3498">
        <v>6790</v>
      </c>
      <c r="P3498">
        <v>-3290</v>
      </c>
      <c r="Q3498">
        <f t="shared" si="710"/>
        <v>3500</v>
      </c>
      <c r="R3498">
        <v>3500</v>
      </c>
      <c r="S3498">
        <f t="shared" si="711"/>
        <v>0</v>
      </c>
      <c r="T3498">
        <v>0.03</v>
      </c>
      <c r="U3498">
        <f t="shared" si="712"/>
        <v>105</v>
      </c>
      <c r="V3498">
        <f t="shared" si="713"/>
        <v>3605</v>
      </c>
      <c r="W3498">
        <f t="shared" si="714"/>
        <v>105</v>
      </c>
      <c r="X3498" t="s">
        <v>1854</v>
      </c>
    </row>
    <row r="3499" spans="1:24" x14ac:dyDescent="0.25">
      <c r="A3499" t="s">
        <v>1928</v>
      </c>
      <c r="B3499" t="s">
        <v>1938</v>
      </c>
      <c r="C3499" t="s">
        <v>2188</v>
      </c>
      <c r="D3499" t="s">
        <v>346</v>
      </c>
      <c r="E3499" t="s">
        <v>134</v>
      </c>
      <c r="F3499" t="s">
        <v>1</v>
      </c>
      <c r="G3499" t="s">
        <v>1139</v>
      </c>
      <c r="H3499" t="s">
        <v>623</v>
      </c>
      <c r="I3499" t="s">
        <v>1</v>
      </c>
      <c r="J3499">
        <v>1093.75</v>
      </c>
      <c r="K3499">
        <v>2541</v>
      </c>
      <c r="L3499">
        <v>1983</v>
      </c>
      <c r="M3499">
        <v>3998.8674033149168</v>
      </c>
      <c r="N3499">
        <v>1983</v>
      </c>
      <c r="O3499">
        <v>3966</v>
      </c>
      <c r="P3499">
        <v>-1425</v>
      </c>
      <c r="Q3499">
        <f t="shared" si="710"/>
        <v>2541</v>
      </c>
      <c r="R3499">
        <v>2541</v>
      </c>
      <c r="S3499">
        <f t="shared" si="711"/>
        <v>0</v>
      </c>
      <c r="T3499">
        <v>0.03</v>
      </c>
      <c r="U3499">
        <f t="shared" si="712"/>
        <v>76.23</v>
      </c>
      <c r="V3499">
        <f t="shared" si="713"/>
        <v>2617.23</v>
      </c>
      <c r="W3499">
        <f t="shared" si="714"/>
        <v>76.230000000000018</v>
      </c>
      <c r="X3499">
        <v>0</v>
      </c>
    </row>
    <row r="3500" spans="1:24" x14ac:dyDescent="0.25">
      <c r="A3500" t="s">
        <v>1928</v>
      </c>
      <c r="B3500" t="s">
        <v>1938</v>
      </c>
      <c r="C3500" t="s">
        <v>2188</v>
      </c>
      <c r="D3500" t="s">
        <v>346</v>
      </c>
      <c r="E3500" t="s">
        <v>46</v>
      </c>
      <c r="F3500" t="s">
        <v>1</v>
      </c>
      <c r="G3500" t="s">
        <v>1139</v>
      </c>
      <c r="H3500" t="s">
        <v>446</v>
      </c>
      <c r="I3500" t="s">
        <v>1</v>
      </c>
      <c r="J3500">
        <v>8977.5</v>
      </c>
      <c r="K3500"/>
      <c r="L3500">
        <v>0</v>
      </c>
      <c r="M3500">
        <v>0</v>
      </c>
      <c r="N3500">
        <v>3847</v>
      </c>
      <c r="O3500"/>
      <c r="P3500">
        <v>0</v>
      </c>
      <c r="Q3500">
        <f t="shared" si="710"/>
        <v>0</v>
      </c>
      <c r="R3500">
        <v>0</v>
      </c>
      <c r="S3500">
        <f t="shared" si="711"/>
        <v>0</v>
      </c>
      <c r="T3500">
        <v>0.03</v>
      </c>
      <c r="U3500">
        <f t="shared" si="712"/>
        <v>0</v>
      </c>
      <c r="V3500">
        <f t="shared" si="713"/>
        <v>0</v>
      </c>
      <c r="W3500">
        <f t="shared" si="714"/>
        <v>0</v>
      </c>
      <c r="X3500">
        <v>0</v>
      </c>
    </row>
    <row r="3501" spans="1:24" x14ac:dyDescent="0.25">
      <c r="A3501" t="s">
        <v>1928</v>
      </c>
      <c r="B3501" t="s">
        <v>1938</v>
      </c>
      <c r="C3501" t="s">
        <v>2188</v>
      </c>
      <c r="D3501" t="s">
        <v>346</v>
      </c>
      <c r="E3501" t="s">
        <v>47</v>
      </c>
      <c r="F3501" t="s">
        <v>1</v>
      </c>
      <c r="G3501" t="s">
        <v>1139</v>
      </c>
      <c r="H3501" t="s">
        <v>447</v>
      </c>
      <c r="I3501" t="s">
        <v>1</v>
      </c>
      <c r="J3501">
        <v>445.28</v>
      </c>
      <c r="K3501">
        <v>750.99999999960005</v>
      </c>
      <c r="L3501">
        <v>416.99</v>
      </c>
      <c r="M3501">
        <v>840.89143646408843</v>
      </c>
      <c r="N3501">
        <v>731.99</v>
      </c>
      <c r="O3501">
        <v>833.98</v>
      </c>
      <c r="P3501">
        <v>-834</v>
      </c>
      <c r="Q3501">
        <f t="shared" si="710"/>
        <v>-1.999999999998181E-2</v>
      </c>
      <c r="R3501">
        <v>0</v>
      </c>
      <c r="S3501">
        <f t="shared" si="711"/>
        <v>1.999999999998181E-2</v>
      </c>
      <c r="T3501">
        <v>0.03</v>
      </c>
      <c r="U3501">
        <f t="shared" si="712"/>
        <v>0</v>
      </c>
      <c r="V3501">
        <f t="shared" si="713"/>
        <v>0</v>
      </c>
      <c r="W3501">
        <f t="shared" si="714"/>
        <v>1.999999999998181E-2</v>
      </c>
      <c r="X3501" t="s">
        <v>1855</v>
      </c>
    </row>
    <row r="3502" spans="1:24" x14ac:dyDescent="0.25">
      <c r="A3502" t="s">
        <v>1928</v>
      </c>
      <c r="B3502" t="s">
        <v>1938</v>
      </c>
      <c r="C3502" t="s">
        <v>2188</v>
      </c>
      <c r="D3502" t="s">
        <v>346</v>
      </c>
      <c r="E3502" t="s">
        <v>48</v>
      </c>
      <c r="F3502" t="s">
        <v>1</v>
      </c>
      <c r="G3502" t="s">
        <v>1139</v>
      </c>
      <c r="H3502" t="s">
        <v>448</v>
      </c>
      <c r="I3502" t="s">
        <v>1</v>
      </c>
      <c r="J3502">
        <v>10.77</v>
      </c>
      <c r="K3502"/>
      <c r="L3502">
        <v>0</v>
      </c>
      <c r="M3502">
        <v>0</v>
      </c>
      <c r="N3502">
        <v>0</v>
      </c>
      <c r="O3502"/>
      <c r="P3502">
        <v>0</v>
      </c>
      <c r="Q3502">
        <f t="shared" si="710"/>
        <v>0</v>
      </c>
      <c r="R3502">
        <v>0</v>
      </c>
      <c r="S3502">
        <f t="shared" si="711"/>
        <v>0</v>
      </c>
      <c r="T3502">
        <v>0.03</v>
      </c>
      <c r="U3502">
        <f t="shared" si="712"/>
        <v>0</v>
      </c>
      <c r="V3502">
        <f t="shared" si="713"/>
        <v>0</v>
      </c>
      <c r="W3502">
        <f t="shared" si="714"/>
        <v>0</v>
      </c>
      <c r="X3502">
        <v>0</v>
      </c>
    </row>
    <row r="3503" spans="1:24" x14ac:dyDescent="0.25">
      <c r="A3503" t="s">
        <v>1928</v>
      </c>
      <c r="B3503" t="s">
        <v>1938</v>
      </c>
      <c r="C3503" t="s">
        <v>2188</v>
      </c>
      <c r="D3503" t="s">
        <v>346</v>
      </c>
      <c r="E3503" t="s">
        <v>101</v>
      </c>
      <c r="F3503" t="s">
        <v>1</v>
      </c>
      <c r="G3503" t="s">
        <v>1139</v>
      </c>
      <c r="H3503" t="s">
        <v>550</v>
      </c>
      <c r="I3503" t="s">
        <v>1</v>
      </c>
      <c r="J3503">
        <v>722.88</v>
      </c>
      <c r="K3503">
        <v>-100.44</v>
      </c>
      <c r="L3503">
        <v>0</v>
      </c>
      <c r="M3503">
        <v>0</v>
      </c>
      <c r="N3503">
        <v>0</v>
      </c>
      <c r="O3503"/>
      <c r="P3503">
        <v>0</v>
      </c>
      <c r="Q3503">
        <f t="shared" si="710"/>
        <v>0</v>
      </c>
      <c r="R3503">
        <v>0</v>
      </c>
      <c r="S3503">
        <f t="shared" si="711"/>
        <v>0</v>
      </c>
      <c r="T3503">
        <v>0.03</v>
      </c>
      <c r="U3503">
        <f t="shared" si="712"/>
        <v>0</v>
      </c>
      <c r="V3503">
        <f t="shared" si="713"/>
        <v>0</v>
      </c>
      <c r="W3503">
        <f t="shared" si="714"/>
        <v>0</v>
      </c>
      <c r="X3503">
        <v>0</v>
      </c>
    </row>
    <row r="3504" spans="1:24" x14ac:dyDescent="0.25">
      <c r="A3504" t="s">
        <v>1928</v>
      </c>
      <c r="B3504" t="s">
        <v>1938</v>
      </c>
      <c r="C3504" t="s">
        <v>2188</v>
      </c>
      <c r="D3504" t="s">
        <v>346</v>
      </c>
      <c r="E3504" t="s">
        <v>50</v>
      </c>
      <c r="F3504" t="s">
        <v>1</v>
      </c>
      <c r="G3504" t="s">
        <v>1139</v>
      </c>
      <c r="H3504" t="s">
        <v>450</v>
      </c>
      <c r="I3504" t="s">
        <v>1</v>
      </c>
      <c r="J3504">
        <v>2725.49</v>
      </c>
      <c r="K3504">
        <v>2480</v>
      </c>
      <c r="L3504">
        <v>2310.96</v>
      </c>
      <c r="M3504">
        <v>4660.223204419889</v>
      </c>
      <c r="N3504">
        <v>3878.36</v>
      </c>
      <c r="O3504">
        <v>4660.2232044199</v>
      </c>
      <c r="P3504">
        <v>0</v>
      </c>
      <c r="Q3504">
        <f t="shared" si="710"/>
        <v>4660.2232044199</v>
      </c>
      <c r="R3504">
        <v>4660</v>
      </c>
      <c r="S3504">
        <f t="shared" si="711"/>
        <v>-0.22320441989995743</v>
      </c>
      <c r="T3504"/>
      <c r="U3504">
        <f t="shared" si="712"/>
        <v>0</v>
      </c>
      <c r="V3504">
        <f t="shared" si="713"/>
        <v>4660</v>
      </c>
      <c r="W3504">
        <f t="shared" si="714"/>
        <v>-0.22320441989995743</v>
      </c>
      <c r="X3504">
        <v>0</v>
      </c>
    </row>
    <row r="3505" spans="1:24" x14ac:dyDescent="0.25">
      <c r="A3505" t="s">
        <v>1928</v>
      </c>
      <c r="B3505" t="s">
        <v>1938</v>
      </c>
      <c r="C3505" t="s">
        <v>2188</v>
      </c>
      <c r="D3505" t="s">
        <v>346</v>
      </c>
      <c r="E3505" t="s">
        <v>51</v>
      </c>
      <c r="F3505" t="s">
        <v>51</v>
      </c>
      <c r="G3505" t="s">
        <v>1141</v>
      </c>
      <c r="H3505"/>
      <c r="I3505"/>
      <c r="J3505">
        <v>1351634.4200000004</v>
      </c>
      <c r="K3505">
        <v>1381396.1277688358</v>
      </c>
      <c r="L3505">
        <v>667185.12</v>
      </c>
      <c r="M3505">
        <v>1345428.5569060773</v>
      </c>
      <c r="N3505">
        <v>1355341.3500000003</v>
      </c>
      <c r="O3505">
        <v>1341607.5189053484</v>
      </c>
      <c r="P3505">
        <f>SUMIF($F$3463:$F$3504,"&lt;&gt;EV_*",$P$3463:$P$3504)</f>
        <v>8376</v>
      </c>
      <c r="Q3505">
        <f>SUMIF($F$3463:$F$3504,"&lt;&gt;EV_*",$Q$3463:$Q$3504)</f>
        <v>1349983.5189053484</v>
      </c>
      <c r="R3505">
        <f>SUMIF($F$3463:$F$3504,"&lt;&gt;EV_*",$R$3463:$R$3504)</f>
        <v>1354495.3860603485</v>
      </c>
      <c r="S3505">
        <f>SUMIF($F$3463:$F$3504,"&lt;&gt;EV_*",$S$3463:$S$3504)</f>
        <v>4511.8671549997007</v>
      </c>
      <c r="T3505">
        <v>0</v>
      </c>
      <c r="U3505">
        <f>SUMIF($F$3463:$F$3504,"&lt;&gt;EV_*",$U$3463:$U$3504)</f>
        <v>39054.217600168478</v>
      </c>
      <c r="V3505">
        <f>SUMIF($F$3463:$F$3504,"&lt;&gt;EV_*",$V$3463:$V$3504)</f>
        <v>1393549.6036605171</v>
      </c>
      <c r="W3505">
        <f>SUMIF($F$3463:$F$3504,"&lt;&gt;EV_*",$W$3463:$W$3504)</f>
        <v>43566.084755168216</v>
      </c>
      <c r="X3505">
        <f>SUMIF($F$3463:$F$3504,"&lt;&gt;EV_*",$X$3463:$X$3504)</f>
        <v>0</v>
      </c>
    </row>
    <row r="3506" spans="1:24" x14ac:dyDescent="0.25">
      <c r="A3506" t="s">
        <v>1948</v>
      </c>
      <c r="B3506" t="s">
        <v>1946</v>
      </c>
      <c r="C3506" t="s">
        <v>2189</v>
      </c>
      <c r="D3506" t="s">
        <v>348</v>
      </c>
      <c r="E3506" t="s">
        <v>5</v>
      </c>
      <c r="F3506" t="s">
        <v>5</v>
      </c>
      <c r="G3506" t="s">
        <v>1142</v>
      </c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</row>
    <row r="3507" spans="1:24" x14ac:dyDescent="0.25">
      <c r="A3507" t="s">
        <v>1948</v>
      </c>
      <c r="B3507" t="s">
        <v>1946</v>
      </c>
      <c r="C3507" t="s">
        <v>2189</v>
      </c>
      <c r="D3507" t="s">
        <v>348</v>
      </c>
      <c r="E3507" t="s">
        <v>48</v>
      </c>
      <c r="F3507" t="s">
        <v>1</v>
      </c>
      <c r="G3507" t="s">
        <v>1143</v>
      </c>
      <c r="H3507" t="s">
        <v>448</v>
      </c>
      <c r="I3507" t="s">
        <v>1</v>
      </c>
      <c r="J3507">
        <v>101.8</v>
      </c>
      <c r="K3507"/>
      <c r="L3507">
        <v>38.299999999999997</v>
      </c>
      <c r="M3507">
        <v>77.234806629834253</v>
      </c>
      <c r="N3507">
        <v>140.10000000000002</v>
      </c>
      <c r="O3507">
        <v>76.599999999999994</v>
      </c>
      <c r="P3507">
        <v>0</v>
      </c>
      <c r="Q3507">
        <f>O3507+P3507</f>
        <v>76.599999999999994</v>
      </c>
      <c r="R3507">
        <v>76.599999999999994</v>
      </c>
      <c r="S3507">
        <f>IF(OR(LEFT(E3507,2)="A_",LEFT(D3507,5)="Total"),R3507-Q3507,"")</f>
        <v>0</v>
      </c>
      <c r="T3507">
        <v>0.03</v>
      </c>
      <c r="U3507">
        <f>IFERROR(R3507*T3507,R3507*0)</f>
        <v>2.2979999999999996</v>
      </c>
      <c r="V3507">
        <f>IF(OR(LEFT(E3507,2)="A_",LEFT(D3507,5)="Total"),R3507+U3507,"")</f>
        <v>78.897999999999996</v>
      </c>
      <c r="W3507">
        <f>IF(OR(LEFT(E3507,2)="A_",LEFT(D3507,5)="Total"),V3507-Q3507,"")</f>
        <v>2.2980000000000018</v>
      </c>
      <c r="X3507">
        <v>0</v>
      </c>
    </row>
    <row r="3508" spans="1:24" x14ac:dyDescent="0.25">
      <c r="A3508" t="s">
        <v>1948</v>
      </c>
      <c r="B3508" t="s">
        <v>1946</v>
      </c>
      <c r="C3508" t="s">
        <v>2189</v>
      </c>
      <c r="D3508" t="s">
        <v>348</v>
      </c>
      <c r="E3508" t="s">
        <v>51</v>
      </c>
      <c r="F3508" t="s">
        <v>51</v>
      </c>
      <c r="G3508" t="s">
        <v>1144</v>
      </c>
      <c r="H3508"/>
      <c r="I3508"/>
      <c r="J3508">
        <v>101.8</v>
      </c>
      <c r="K3508">
        <v>0</v>
      </c>
      <c r="L3508">
        <v>38.299999999999997</v>
      </c>
      <c r="M3508">
        <v>77.234806629834253</v>
      </c>
      <c r="N3508">
        <v>140.10000000000002</v>
      </c>
      <c r="O3508">
        <v>76.599999999999994</v>
      </c>
      <c r="P3508">
        <f>SUMIF($F$3506:$F$3507,"&lt;&gt;EV_*",$P$3506:$P$3507)</f>
        <v>0</v>
      </c>
      <c r="Q3508">
        <f>SUMIF($F$3506:$F$3507,"&lt;&gt;EV_*",$Q$3506:$Q$3507)</f>
        <v>76.599999999999994</v>
      </c>
      <c r="R3508">
        <f>SUMIF($F$3506:$F$3507,"&lt;&gt;EV_*",$R$3506:$R$3507)</f>
        <v>76.599999999999994</v>
      </c>
      <c r="S3508">
        <f>SUMIF($F$3506:$F$3507,"&lt;&gt;EV_*",$S$3506:$S$3507)</f>
        <v>0</v>
      </c>
      <c r="T3508">
        <v>0</v>
      </c>
      <c r="U3508">
        <f>SUMIF($F$3506:$F$3507,"&lt;&gt;EV_*",$U$3506:$U$3507)</f>
        <v>2.2979999999999996</v>
      </c>
      <c r="V3508">
        <f>SUMIF($F$3506:$F$3507,"&lt;&gt;EV_*",$V$3506:$V$3507)</f>
        <v>78.897999999999996</v>
      </c>
      <c r="W3508">
        <f>SUMIF($F$3506:$F$3507,"&lt;&gt;EV_*",$W$3506:$W$3507)</f>
        <v>2.2980000000000018</v>
      </c>
      <c r="X3508">
        <f>SUMIF($F$3506:$F$3507,"&lt;&gt;EV_*",$X$3506:$X$3507)</f>
        <v>0</v>
      </c>
    </row>
    <row r="3509" spans="1:24" x14ac:dyDescent="0.25">
      <c r="A3509" t="s">
        <v>1948</v>
      </c>
      <c r="B3509" t="s">
        <v>1946</v>
      </c>
      <c r="C3509" t="s">
        <v>2190</v>
      </c>
      <c r="D3509" t="s">
        <v>349</v>
      </c>
      <c r="E3509" t="s">
        <v>5</v>
      </c>
      <c r="F3509" t="s">
        <v>5</v>
      </c>
      <c r="G3509" t="s">
        <v>1145</v>
      </c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</row>
    <row r="3510" spans="1:24" x14ac:dyDescent="0.25">
      <c r="A3510" t="s">
        <v>1948</v>
      </c>
      <c r="B3510" t="s">
        <v>1946</v>
      </c>
      <c r="C3510" t="s">
        <v>2190</v>
      </c>
      <c r="D3510" t="s">
        <v>349</v>
      </c>
      <c r="E3510" t="s">
        <v>11</v>
      </c>
      <c r="F3510" t="s">
        <v>1</v>
      </c>
      <c r="G3510" t="s">
        <v>1146</v>
      </c>
      <c r="H3510" t="s">
        <v>411</v>
      </c>
      <c r="I3510" t="s">
        <v>1</v>
      </c>
      <c r="J3510">
        <v>1550.17</v>
      </c>
      <c r="K3510">
        <v>1361.61</v>
      </c>
      <c r="L3510">
        <v>701.9</v>
      </c>
      <c r="M3510">
        <v>1415.4337016574586</v>
      </c>
      <c r="N3510">
        <v>1499.3</v>
      </c>
      <c r="O3510">
        <v>1403.8</v>
      </c>
      <c r="P3510">
        <v>0</v>
      </c>
      <c r="Q3510">
        <f>O3510+P3510</f>
        <v>1403.8</v>
      </c>
      <c r="R3510">
        <v>1403.8</v>
      </c>
      <c r="S3510">
        <f>IF(OR(LEFT(E3510,2)="A_",LEFT(D3510,5)="Total"),R3510-Q3510,"")</f>
        <v>0</v>
      </c>
      <c r="T3510"/>
      <c r="U3510">
        <f>IFERROR(R3510*T3510,R3510*0)</f>
        <v>0</v>
      </c>
      <c r="V3510">
        <f>IF(OR(LEFT(E3510,2)="A_",LEFT(D3510,5)="Total"),R3510+U3510,"")</f>
        <v>1403.8</v>
      </c>
      <c r="W3510">
        <f>IF(OR(LEFT(E3510,2)="A_",LEFT(D3510,5)="Total"),V3510-Q3510,"")</f>
        <v>0</v>
      </c>
      <c r="X3510">
        <v>0</v>
      </c>
    </row>
    <row r="3511" spans="1:24" x14ac:dyDescent="0.25">
      <c r="A3511" t="s">
        <v>1948</v>
      </c>
      <c r="B3511" t="s">
        <v>1946</v>
      </c>
      <c r="C3511" t="s">
        <v>2190</v>
      </c>
      <c r="D3511" t="s">
        <v>349</v>
      </c>
      <c r="E3511" t="s">
        <v>48</v>
      </c>
      <c r="F3511" t="s">
        <v>1</v>
      </c>
      <c r="G3511" t="s">
        <v>1146</v>
      </c>
      <c r="H3511" t="s">
        <v>448</v>
      </c>
      <c r="I3511" t="s">
        <v>1</v>
      </c>
      <c r="J3511">
        <v>73.5</v>
      </c>
      <c r="K3511"/>
      <c r="L3511">
        <v>0</v>
      </c>
      <c r="M3511">
        <v>0</v>
      </c>
      <c r="N3511">
        <v>73.5</v>
      </c>
      <c r="O3511"/>
      <c r="P3511">
        <v>0</v>
      </c>
      <c r="Q3511">
        <f>O3511+P3511</f>
        <v>0</v>
      </c>
      <c r="R3511">
        <v>0</v>
      </c>
      <c r="S3511">
        <f>IF(OR(LEFT(E3511,2)="A_",LEFT(D3511,5)="Total"),R3511-Q3511,"")</f>
        <v>0</v>
      </c>
      <c r="T3511">
        <v>0.03</v>
      </c>
      <c r="U3511">
        <f>IFERROR(R3511*T3511,R3511*0)</f>
        <v>0</v>
      </c>
      <c r="V3511">
        <f>IF(OR(LEFT(E3511,2)="A_",LEFT(D3511,5)="Total"),R3511+U3511,"")</f>
        <v>0</v>
      </c>
      <c r="W3511">
        <f>IF(OR(LEFT(E3511,2)="A_",LEFT(D3511,5)="Total"),V3511-Q3511,"")</f>
        <v>0</v>
      </c>
      <c r="X3511">
        <v>0</v>
      </c>
    </row>
    <row r="3512" spans="1:24" x14ac:dyDescent="0.25">
      <c r="A3512" t="s">
        <v>1948</v>
      </c>
      <c r="B3512" t="s">
        <v>1946</v>
      </c>
      <c r="C3512" t="s">
        <v>2190</v>
      </c>
      <c r="D3512" t="s">
        <v>349</v>
      </c>
      <c r="E3512" t="s">
        <v>51</v>
      </c>
      <c r="F3512" t="s">
        <v>51</v>
      </c>
      <c r="G3512" t="s">
        <v>1147</v>
      </c>
      <c r="H3512"/>
      <c r="I3512"/>
      <c r="J3512">
        <v>1623.67</v>
      </c>
      <c r="K3512">
        <v>1361.61</v>
      </c>
      <c r="L3512">
        <v>701.9</v>
      </c>
      <c r="M3512">
        <v>1415.4337016574586</v>
      </c>
      <c r="N3512">
        <v>1572.8</v>
      </c>
      <c r="O3512">
        <v>1403.8</v>
      </c>
      <c r="P3512">
        <f>SUMIF($F$3509:$F$3511,"&lt;&gt;EV_*",$P$3509:$P$3511)</f>
        <v>0</v>
      </c>
      <c r="Q3512">
        <f>SUMIF($F$3509:$F$3511,"&lt;&gt;EV_*",$Q$3509:$Q$3511)</f>
        <v>1403.8</v>
      </c>
      <c r="R3512">
        <f>SUMIF($F$3509:$F$3511,"&lt;&gt;EV_*",$R$3509:$R$3511)</f>
        <v>1403.8</v>
      </c>
      <c r="S3512">
        <f>SUMIF($F$3509:$F$3511,"&lt;&gt;EV_*",$S$3509:$S$3511)</f>
        <v>0</v>
      </c>
      <c r="T3512">
        <v>0</v>
      </c>
      <c r="U3512">
        <f>SUMIF($F$3509:$F$3511,"&lt;&gt;EV_*",$U$3509:$U$3511)</f>
        <v>0</v>
      </c>
      <c r="V3512">
        <f>SUMIF($F$3509:$F$3511,"&lt;&gt;EV_*",$V$3509:$V$3511)</f>
        <v>1403.8</v>
      </c>
      <c r="W3512">
        <f>SUMIF($F$3509:$F$3511,"&lt;&gt;EV_*",$W$3509:$W$3511)</f>
        <v>0</v>
      </c>
      <c r="X3512">
        <f>SUMIF($F$3509:$F$3511,"&lt;&gt;EV_*",$X$3509:$X$3511)</f>
        <v>0</v>
      </c>
    </row>
    <row r="3513" spans="1:24" x14ac:dyDescent="0.25">
      <c r="A3513" t="s">
        <v>1943</v>
      </c>
      <c r="B3513" t="s">
        <v>1948</v>
      </c>
      <c r="C3513" t="s">
        <v>2191</v>
      </c>
      <c r="D3513" t="s">
        <v>350</v>
      </c>
      <c r="E3513" t="s">
        <v>5</v>
      </c>
      <c r="F3513" t="s">
        <v>5</v>
      </c>
      <c r="G3513" t="s">
        <v>1148</v>
      </c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</row>
    <row r="3514" spans="1:24" x14ac:dyDescent="0.25">
      <c r="A3514" t="s">
        <v>1943</v>
      </c>
      <c r="B3514" t="s">
        <v>1948</v>
      </c>
      <c r="C3514" t="s">
        <v>2191</v>
      </c>
      <c r="D3514" t="s">
        <v>350</v>
      </c>
      <c r="E3514" t="s">
        <v>10</v>
      </c>
      <c r="F3514" t="s">
        <v>1</v>
      </c>
      <c r="G3514" t="s">
        <v>1149</v>
      </c>
      <c r="H3514" t="s">
        <v>410</v>
      </c>
      <c r="I3514" t="s">
        <v>1</v>
      </c>
      <c r="J3514">
        <v>0</v>
      </c>
      <c r="K3514">
        <v>3276</v>
      </c>
      <c r="L3514">
        <v>0</v>
      </c>
      <c r="M3514">
        <v>0</v>
      </c>
      <c r="N3514">
        <v>0</v>
      </c>
      <c r="O3514"/>
      <c r="P3514">
        <v>0</v>
      </c>
      <c r="Q3514">
        <f>O3514+P3514</f>
        <v>0</v>
      </c>
      <c r="R3514">
        <v>0</v>
      </c>
      <c r="S3514">
        <f>IF(OR(LEFT(E3514,2)="A_",LEFT(D3514,5)="Total"),R3514-Q3514,"")</f>
        <v>0</v>
      </c>
      <c r="T3514"/>
      <c r="U3514">
        <f>IFERROR(R3514*T3514,R3514*0)</f>
        <v>0</v>
      </c>
      <c r="V3514">
        <f>IF(OR(LEFT(E3514,2)="A_",LEFT(D3514,5)="Total"),R3514+U3514,"")</f>
        <v>0</v>
      </c>
      <c r="W3514">
        <f>IF(OR(LEFT(E3514,2)="A_",LEFT(D3514,5)="Total"),V3514-Q3514,"")</f>
        <v>0</v>
      </c>
      <c r="X3514">
        <v>0</v>
      </c>
    </row>
    <row r="3515" spans="1:24" x14ac:dyDescent="0.25">
      <c r="A3515" t="s">
        <v>1943</v>
      </c>
      <c r="B3515" t="s">
        <v>1948</v>
      </c>
      <c r="C3515" t="s">
        <v>2191</v>
      </c>
      <c r="D3515" t="s">
        <v>350</v>
      </c>
      <c r="E3515" t="s">
        <v>11</v>
      </c>
      <c r="F3515" t="s">
        <v>1</v>
      </c>
      <c r="G3515" t="s">
        <v>1149</v>
      </c>
      <c r="H3515" t="s">
        <v>411</v>
      </c>
      <c r="I3515" t="s">
        <v>1</v>
      </c>
      <c r="J3515">
        <v>0</v>
      </c>
      <c r="K3515">
        <v>5958</v>
      </c>
      <c r="L3515">
        <v>0</v>
      </c>
      <c r="M3515">
        <v>0</v>
      </c>
      <c r="N3515">
        <v>0</v>
      </c>
      <c r="O3515"/>
      <c r="P3515">
        <v>0</v>
      </c>
      <c r="Q3515">
        <f>O3515+P3515</f>
        <v>0</v>
      </c>
      <c r="R3515">
        <v>0</v>
      </c>
      <c r="S3515">
        <f>IF(OR(LEFT(E3515,2)="A_",LEFT(D3515,5)="Total"),R3515-Q3515,"")</f>
        <v>0</v>
      </c>
      <c r="T3515"/>
      <c r="U3515">
        <f>IFERROR(R3515*T3515,R3515*0)</f>
        <v>0</v>
      </c>
      <c r="V3515">
        <f>IF(OR(LEFT(E3515,2)="A_",LEFT(D3515,5)="Total"),R3515+U3515,"")</f>
        <v>0</v>
      </c>
      <c r="W3515">
        <f>IF(OR(LEFT(E3515,2)="A_",LEFT(D3515,5)="Total"),V3515-Q3515,"")</f>
        <v>0</v>
      </c>
      <c r="X3515">
        <v>0</v>
      </c>
    </row>
    <row r="3516" spans="1:24" x14ac:dyDescent="0.25">
      <c r="A3516" t="s">
        <v>1943</v>
      </c>
      <c r="B3516" t="s">
        <v>1948</v>
      </c>
      <c r="C3516" t="s">
        <v>2191</v>
      </c>
      <c r="D3516" t="s">
        <v>350</v>
      </c>
      <c r="E3516" t="s">
        <v>17</v>
      </c>
      <c r="F3516" t="s">
        <v>1</v>
      </c>
      <c r="G3516" t="s">
        <v>1149</v>
      </c>
      <c r="H3516" t="s">
        <v>417</v>
      </c>
      <c r="I3516" t="s">
        <v>1</v>
      </c>
      <c r="J3516">
        <v>0</v>
      </c>
      <c r="K3516"/>
      <c r="L3516">
        <v>0</v>
      </c>
      <c r="M3516">
        <v>0</v>
      </c>
      <c r="N3516">
        <v>0</v>
      </c>
      <c r="O3516"/>
      <c r="P3516">
        <v>0</v>
      </c>
      <c r="Q3516">
        <f>O3516+P3516</f>
        <v>0</v>
      </c>
      <c r="R3516">
        <v>0</v>
      </c>
      <c r="S3516">
        <f>IF(OR(LEFT(E3516,2)="A_",LEFT(D3516,5)="Total"),R3516-Q3516,"")</f>
        <v>0</v>
      </c>
      <c r="T3516"/>
      <c r="U3516">
        <f>IFERROR(R3516*T3516,R3516*0)</f>
        <v>0</v>
      </c>
      <c r="V3516">
        <f>IF(OR(LEFT(E3516,2)="A_",LEFT(D3516,5)="Total"),R3516+U3516,"")</f>
        <v>0</v>
      </c>
      <c r="W3516">
        <f>IF(OR(LEFT(E3516,2)="A_",LEFT(D3516,5)="Total"),V3516-Q3516,"")</f>
        <v>0</v>
      </c>
      <c r="X3516">
        <v>0</v>
      </c>
    </row>
    <row r="3517" spans="1:24" x14ac:dyDescent="0.25">
      <c r="A3517" t="s">
        <v>1943</v>
      </c>
      <c r="B3517" t="s">
        <v>1948</v>
      </c>
      <c r="C3517" t="s">
        <v>2191</v>
      </c>
      <c r="D3517" t="s">
        <v>350</v>
      </c>
      <c r="E3517" t="s">
        <v>51</v>
      </c>
      <c r="F3517" t="s">
        <v>51</v>
      </c>
      <c r="G3517" t="s">
        <v>1150</v>
      </c>
      <c r="H3517"/>
      <c r="I3517"/>
      <c r="J3517">
        <v>0</v>
      </c>
      <c r="K3517">
        <v>9234</v>
      </c>
      <c r="L3517">
        <v>0</v>
      </c>
      <c r="M3517">
        <v>0</v>
      </c>
      <c r="N3517">
        <v>0</v>
      </c>
      <c r="O3517">
        <v>0</v>
      </c>
      <c r="P3517">
        <f>SUMIF($F$3513:$F$3516,"&lt;&gt;EV_*",$P$3513:$P$3516)</f>
        <v>0</v>
      </c>
      <c r="Q3517">
        <f>SUMIF($F$3513:$F$3516,"&lt;&gt;EV_*",$Q$3513:$Q$3516)</f>
        <v>0</v>
      </c>
      <c r="R3517">
        <f>SUMIF($F$3513:$F$3516,"&lt;&gt;EV_*",$R$3513:$R$3516)</f>
        <v>0</v>
      </c>
      <c r="S3517">
        <f>SUMIF($F$3513:$F$3516,"&lt;&gt;EV_*",$S$3513:$S$3516)</f>
        <v>0</v>
      </c>
      <c r="T3517">
        <v>0</v>
      </c>
      <c r="U3517">
        <f>SUMIF($F$3513:$F$3516,"&lt;&gt;EV_*",$U$3513:$U$3516)</f>
        <v>0</v>
      </c>
      <c r="V3517">
        <f>SUMIF($F$3513:$F$3516,"&lt;&gt;EV_*",$V$3513:$V$3516)</f>
        <v>0</v>
      </c>
      <c r="W3517">
        <f>SUMIF($F$3513:$F$3516,"&lt;&gt;EV_*",$W$3513:$W$3516)</f>
        <v>0</v>
      </c>
      <c r="X3517">
        <f>SUMIF($F$3513:$F$3516,"&lt;&gt;EV_*",$X$3513:$X$3516)</f>
        <v>0</v>
      </c>
    </row>
    <row r="3518" spans="1:24" x14ac:dyDescent="0.25">
      <c r="A3518" t="s">
        <v>1948</v>
      </c>
      <c r="B3518" t="s">
        <v>1946</v>
      </c>
      <c r="C3518" t="s">
        <v>2192</v>
      </c>
      <c r="D3518" t="s">
        <v>351</v>
      </c>
      <c r="E3518" t="s">
        <v>5</v>
      </c>
      <c r="F3518" t="s">
        <v>5</v>
      </c>
      <c r="G3518" t="s">
        <v>1151</v>
      </c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</row>
    <row r="3519" spans="1:24" x14ac:dyDescent="0.25">
      <c r="A3519" t="s">
        <v>1948</v>
      </c>
      <c r="B3519" t="s">
        <v>1946</v>
      </c>
      <c r="C3519" t="s">
        <v>2192</v>
      </c>
      <c r="D3519" t="s">
        <v>351</v>
      </c>
      <c r="E3519" t="s">
        <v>82</v>
      </c>
      <c r="F3519" t="s">
        <v>1</v>
      </c>
      <c r="G3519" t="s">
        <v>1152</v>
      </c>
      <c r="H3519" t="s">
        <v>507</v>
      </c>
      <c r="I3519" t="s">
        <v>1</v>
      </c>
      <c r="J3519">
        <v>242.3</v>
      </c>
      <c r="K3519"/>
      <c r="L3519">
        <v>0</v>
      </c>
      <c r="M3519">
        <v>0</v>
      </c>
      <c r="N3519">
        <v>242.3</v>
      </c>
      <c r="O3519"/>
      <c r="P3519">
        <v>0</v>
      </c>
      <c r="Q3519">
        <f t="shared" ref="Q3519:Q3524" si="715">O3519+P3519</f>
        <v>0</v>
      </c>
      <c r="R3519">
        <v>0</v>
      </c>
      <c r="S3519">
        <f t="shared" ref="S3519:S3524" si="716">IF(OR(LEFT(E3519,2)="A_",LEFT(D3519,5)="Total"),R3519-Q3519,"")</f>
        <v>0</v>
      </c>
      <c r="T3519">
        <v>2.75E-2</v>
      </c>
      <c r="U3519">
        <f t="shared" ref="U3519:U3524" si="717">IFERROR(R3519*T3519,R3519*0)</f>
        <v>0</v>
      </c>
      <c r="V3519">
        <f t="shared" ref="V3519:V3524" si="718">IF(OR(LEFT(E3519,2)="A_",LEFT(D3519,5)="Total"),R3519+U3519,"")</f>
        <v>0</v>
      </c>
      <c r="W3519">
        <f t="shared" ref="W3519:W3524" si="719">IF(OR(LEFT(E3519,2)="A_",LEFT(D3519,5)="Total"),V3519-Q3519,"")</f>
        <v>0</v>
      </c>
      <c r="X3519">
        <v>0</v>
      </c>
    </row>
    <row r="3520" spans="1:24" x14ac:dyDescent="0.25">
      <c r="A3520" t="s">
        <v>1948</v>
      </c>
      <c r="B3520" t="s">
        <v>1946</v>
      </c>
      <c r="C3520" t="s">
        <v>2192</v>
      </c>
      <c r="D3520" t="s">
        <v>351</v>
      </c>
      <c r="E3520" t="s">
        <v>18</v>
      </c>
      <c r="F3520" t="s">
        <v>1</v>
      </c>
      <c r="G3520" t="s">
        <v>1152</v>
      </c>
      <c r="H3520" t="s">
        <v>418</v>
      </c>
      <c r="I3520" t="s">
        <v>1</v>
      </c>
      <c r="J3520">
        <v>187.72</v>
      </c>
      <c r="K3520"/>
      <c r="L3520">
        <v>-187.72</v>
      </c>
      <c r="M3520">
        <v>-378.55138121546963</v>
      </c>
      <c r="N3520">
        <v>-187.72</v>
      </c>
      <c r="O3520">
        <v>-377.50285714289998</v>
      </c>
      <c r="P3520">
        <v>0</v>
      </c>
      <c r="Q3520">
        <f t="shared" si="715"/>
        <v>-377.50285714289998</v>
      </c>
      <c r="R3520">
        <v>-377.50285714289998</v>
      </c>
      <c r="S3520">
        <f t="shared" si="716"/>
        <v>0</v>
      </c>
      <c r="T3520">
        <v>0.02</v>
      </c>
      <c r="U3520">
        <f t="shared" si="717"/>
        <v>-7.5500571428579999</v>
      </c>
      <c r="V3520">
        <f t="shared" si="718"/>
        <v>-385.05291428575799</v>
      </c>
      <c r="W3520">
        <f t="shared" si="719"/>
        <v>-7.5500571428580088</v>
      </c>
      <c r="X3520">
        <v>0</v>
      </c>
    </row>
    <row r="3521" spans="1:24" x14ac:dyDescent="0.25">
      <c r="A3521" t="s">
        <v>1948</v>
      </c>
      <c r="B3521" t="s">
        <v>1946</v>
      </c>
      <c r="C3521" t="s">
        <v>2192</v>
      </c>
      <c r="D3521" t="s">
        <v>351</v>
      </c>
      <c r="E3521" t="s">
        <v>20</v>
      </c>
      <c r="F3521" t="s">
        <v>1</v>
      </c>
      <c r="G3521" t="s">
        <v>1152</v>
      </c>
      <c r="H3521" t="s">
        <v>420</v>
      </c>
      <c r="I3521" t="s">
        <v>1</v>
      </c>
      <c r="J3521">
        <v>38.299999999999997</v>
      </c>
      <c r="K3521"/>
      <c r="L3521">
        <v>-38.299999999999997</v>
      </c>
      <c r="M3521">
        <v>-77.234806629834253</v>
      </c>
      <c r="N3521">
        <v>-38.299999999999997</v>
      </c>
      <c r="O3521">
        <v>-77.020879120900005</v>
      </c>
      <c r="P3521">
        <v>0</v>
      </c>
      <c r="Q3521">
        <f t="shared" si="715"/>
        <v>-77.020879120900005</v>
      </c>
      <c r="R3521">
        <v>-77.020879120900005</v>
      </c>
      <c r="S3521">
        <f t="shared" si="716"/>
        <v>0</v>
      </c>
      <c r="T3521">
        <v>0.04</v>
      </c>
      <c r="U3521">
        <f t="shared" si="717"/>
        <v>-3.0808351648360004</v>
      </c>
      <c r="V3521">
        <f t="shared" si="718"/>
        <v>-80.101714285736008</v>
      </c>
      <c r="W3521">
        <f t="shared" si="719"/>
        <v>-3.0808351648360031</v>
      </c>
      <c r="X3521">
        <v>0</v>
      </c>
    </row>
    <row r="3522" spans="1:24" x14ac:dyDescent="0.25">
      <c r="A3522" t="s">
        <v>1948</v>
      </c>
      <c r="B3522" t="s">
        <v>1946</v>
      </c>
      <c r="C3522" t="s">
        <v>2192</v>
      </c>
      <c r="D3522" t="s">
        <v>351</v>
      </c>
      <c r="E3522" t="s">
        <v>22</v>
      </c>
      <c r="F3522" t="s">
        <v>1</v>
      </c>
      <c r="G3522" t="s">
        <v>1152</v>
      </c>
      <c r="H3522" t="s">
        <v>422</v>
      </c>
      <c r="I3522" t="s">
        <v>1</v>
      </c>
      <c r="J3522">
        <v>400</v>
      </c>
      <c r="K3522">
        <v>828</v>
      </c>
      <c r="L3522">
        <v>-400</v>
      </c>
      <c r="M3522">
        <v>-806.6298342541437</v>
      </c>
      <c r="N3522">
        <v>-400</v>
      </c>
      <c r="O3522">
        <v>-806.62983425410005</v>
      </c>
      <c r="P3522">
        <v>0</v>
      </c>
      <c r="Q3522">
        <f t="shared" si="715"/>
        <v>-806.62983425410005</v>
      </c>
      <c r="R3522">
        <v>-806.62983425410005</v>
      </c>
      <c r="S3522">
        <f t="shared" si="716"/>
        <v>0</v>
      </c>
      <c r="T3522">
        <v>3.5000000000000003E-2</v>
      </c>
      <c r="U3522">
        <f t="shared" si="717"/>
        <v>-28.232044198893504</v>
      </c>
      <c r="V3522">
        <f t="shared" si="718"/>
        <v>-834.86187845299355</v>
      </c>
      <c r="W3522">
        <f t="shared" si="719"/>
        <v>-28.232044198893504</v>
      </c>
      <c r="X3522">
        <v>0</v>
      </c>
    </row>
    <row r="3523" spans="1:24" x14ac:dyDescent="0.25">
      <c r="A3523" t="s">
        <v>1948</v>
      </c>
      <c r="B3523" t="s">
        <v>1946</v>
      </c>
      <c r="C3523" t="s">
        <v>2192</v>
      </c>
      <c r="D3523" t="s">
        <v>351</v>
      </c>
      <c r="E3523" t="s">
        <v>27</v>
      </c>
      <c r="F3523" t="s">
        <v>1</v>
      </c>
      <c r="G3523" t="s">
        <v>1152</v>
      </c>
      <c r="H3523" t="s">
        <v>427</v>
      </c>
      <c r="I3523" t="s">
        <v>1</v>
      </c>
      <c r="J3523">
        <v>84.96</v>
      </c>
      <c r="K3523">
        <v>69.999999999600007</v>
      </c>
      <c r="L3523">
        <v>60.05</v>
      </c>
      <c r="M3523">
        <v>121.09530386740332</v>
      </c>
      <c r="N3523">
        <v>136.42000000000002</v>
      </c>
      <c r="O3523">
        <v>120.1</v>
      </c>
      <c r="P3523">
        <v>0</v>
      </c>
      <c r="Q3523">
        <f t="shared" si="715"/>
        <v>120.1</v>
      </c>
      <c r="R3523">
        <v>120.1</v>
      </c>
      <c r="S3523">
        <f t="shared" si="716"/>
        <v>0</v>
      </c>
      <c r="T3523"/>
      <c r="U3523">
        <f t="shared" si="717"/>
        <v>0</v>
      </c>
      <c r="V3523">
        <f t="shared" si="718"/>
        <v>120.1</v>
      </c>
      <c r="W3523">
        <f t="shared" si="719"/>
        <v>0</v>
      </c>
      <c r="X3523">
        <v>0</v>
      </c>
    </row>
    <row r="3524" spans="1:24" x14ac:dyDescent="0.25">
      <c r="A3524" t="s">
        <v>1948</v>
      </c>
      <c r="B3524" t="s">
        <v>1946</v>
      </c>
      <c r="C3524" t="s">
        <v>2192</v>
      </c>
      <c r="D3524" t="s">
        <v>351</v>
      </c>
      <c r="E3524" t="s">
        <v>50</v>
      </c>
      <c r="F3524" t="s">
        <v>1</v>
      </c>
      <c r="G3524" t="s">
        <v>1152</v>
      </c>
      <c r="H3524" t="s">
        <v>450</v>
      </c>
      <c r="I3524" t="s">
        <v>1</v>
      </c>
      <c r="J3524">
        <v>532.77</v>
      </c>
      <c r="K3524">
        <v>530.00000000039995</v>
      </c>
      <c r="L3524">
        <v>269.18</v>
      </c>
      <c r="M3524">
        <v>542.82154696132602</v>
      </c>
      <c r="N3524">
        <v>535.36999999999989</v>
      </c>
      <c r="O3524">
        <v>542.82154696129999</v>
      </c>
      <c r="P3524">
        <v>0</v>
      </c>
      <c r="Q3524">
        <f t="shared" si="715"/>
        <v>542.82154696129999</v>
      </c>
      <c r="R3524">
        <v>542.82154696129999</v>
      </c>
      <c r="S3524">
        <f t="shared" si="716"/>
        <v>0</v>
      </c>
      <c r="T3524"/>
      <c r="U3524">
        <f t="shared" si="717"/>
        <v>0</v>
      </c>
      <c r="V3524">
        <f t="shared" si="718"/>
        <v>542.82154696129999</v>
      </c>
      <c r="W3524">
        <f t="shared" si="719"/>
        <v>0</v>
      </c>
      <c r="X3524">
        <v>0</v>
      </c>
    </row>
    <row r="3525" spans="1:24" x14ac:dyDescent="0.25">
      <c r="A3525" t="s">
        <v>1948</v>
      </c>
      <c r="B3525" t="s">
        <v>1946</v>
      </c>
      <c r="C3525" t="s">
        <v>2192</v>
      </c>
      <c r="D3525" t="s">
        <v>351</v>
      </c>
      <c r="E3525" t="s">
        <v>51</v>
      </c>
      <c r="F3525" t="s">
        <v>51</v>
      </c>
      <c r="G3525" t="s">
        <v>1153</v>
      </c>
      <c r="H3525"/>
      <c r="I3525"/>
      <c r="J3525">
        <v>1486.05</v>
      </c>
      <c r="K3525">
        <v>1428</v>
      </c>
      <c r="L3525">
        <v>-296.79000000000002</v>
      </c>
      <c r="M3525">
        <v>-598.49917127071831</v>
      </c>
      <c r="N3525">
        <v>288.06999999999994</v>
      </c>
      <c r="O3525">
        <v>-598.23202355660021</v>
      </c>
      <c r="P3525">
        <f>SUMIF($F$3518:$F$3524,"&lt;&gt;EV_*",$P$3518:$P$3524)</f>
        <v>0</v>
      </c>
      <c r="Q3525">
        <f>SUMIF($F$3518:$F$3524,"&lt;&gt;EV_*",$Q$3518:$Q$3524)</f>
        <v>-598.23202355660021</v>
      </c>
      <c r="R3525">
        <f>SUMIF($F$3518:$F$3524,"&lt;&gt;EV_*",$R$3518:$R$3524)</f>
        <v>-598.23202355660021</v>
      </c>
      <c r="S3525">
        <f>SUMIF($F$3518:$F$3524,"&lt;&gt;EV_*",$S$3518:$S$3524)</f>
        <v>0</v>
      </c>
      <c r="T3525">
        <v>0</v>
      </c>
      <c r="U3525">
        <f>SUMIF($F$3518:$F$3524,"&lt;&gt;EV_*",$U$3518:$U$3524)</f>
        <v>-38.862936506587502</v>
      </c>
      <c r="V3525">
        <f>SUMIF($F$3518:$F$3524,"&lt;&gt;EV_*",$V$3518:$V$3524)</f>
        <v>-637.09496006318761</v>
      </c>
      <c r="W3525">
        <f>SUMIF($F$3518:$F$3524,"&lt;&gt;EV_*",$W$3518:$W$3524)</f>
        <v>-38.862936506587516</v>
      </c>
      <c r="X3525">
        <f>SUMIF($F$3518:$F$3524,"&lt;&gt;EV_*",$X$3518:$X$3524)</f>
        <v>0</v>
      </c>
    </row>
    <row r="3526" spans="1:24" x14ac:dyDescent="0.25">
      <c r="A3526" t="s">
        <v>1968</v>
      </c>
      <c r="B3526" t="s">
        <v>2098</v>
      </c>
      <c r="C3526" t="s">
        <v>2193</v>
      </c>
      <c r="D3526" t="s">
        <v>352</v>
      </c>
      <c r="E3526" t="s">
        <v>5</v>
      </c>
      <c r="F3526" t="s">
        <v>5</v>
      </c>
      <c r="G3526" t="s">
        <v>1154</v>
      </c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</row>
    <row r="3527" spans="1:24" x14ac:dyDescent="0.25">
      <c r="A3527" t="s">
        <v>1968</v>
      </c>
      <c r="B3527" t="s">
        <v>2098</v>
      </c>
      <c r="C3527" t="s">
        <v>2193</v>
      </c>
      <c r="D3527" t="s">
        <v>352</v>
      </c>
      <c r="E3527" t="s">
        <v>11</v>
      </c>
      <c r="F3527" t="s">
        <v>1</v>
      </c>
      <c r="G3527" t="s">
        <v>1155</v>
      </c>
      <c r="H3527" t="s">
        <v>411</v>
      </c>
      <c r="I3527" t="s">
        <v>1</v>
      </c>
      <c r="J3527">
        <v>4402.1499999999996</v>
      </c>
      <c r="K3527">
        <v>3970.98</v>
      </c>
      <c r="L3527">
        <v>1993.63</v>
      </c>
      <c r="M3527">
        <v>4020.3035911602215</v>
      </c>
      <c r="N3527">
        <v>4096.66</v>
      </c>
      <c r="O3527">
        <v>3987.26</v>
      </c>
      <c r="P3527">
        <v>0</v>
      </c>
      <c r="Q3527">
        <f t="shared" ref="Q3527:Q3553" si="720">O3527+P3527</f>
        <v>3987.26</v>
      </c>
      <c r="R3527">
        <v>3987.26</v>
      </c>
      <c r="S3527">
        <f t="shared" ref="S3527:S3553" si="721">IF(OR(LEFT(E3527,2)="A_",LEFT(D3527,5)="Total"),R3527-Q3527,"")</f>
        <v>0</v>
      </c>
      <c r="T3527"/>
      <c r="U3527">
        <f t="shared" ref="U3527:U3553" si="722">IFERROR(R3527*T3527,R3527*0)</f>
        <v>0</v>
      </c>
      <c r="V3527">
        <f t="shared" ref="V3527:V3553" si="723">IF(OR(LEFT(E3527,2)="A_",LEFT(D3527,5)="Total"),R3527+U3527,"")</f>
        <v>3987.26</v>
      </c>
      <c r="W3527">
        <f t="shared" ref="W3527:W3553" si="724">IF(OR(LEFT(E3527,2)="A_",LEFT(D3527,5)="Total"),V3527-Q3527,"")</f>
        <v>0</v>
      </c>
      <c r="X3527">
        <v>0</v>
      </c>
    </row>
    <row r="3528" spans="1:24" x14ac:dyDescent="0.25">
      <c r="A3528" t="s">
        <v>1968</v>
      </c>
      <c r="B3528" t="s">
        <v>2098</v>
      </c>
      <c r="C3528" t="s">
        <v>2193</v>
      </c>
      <c r="D3528" t="s">
        <v>352</v>
      </c>
      <c r="E3528" t="s">
        <v>65</v>
      </c>
      <c r="F3528" t="s">
        <v>1</v>
      </c>
      <c r="G3528" t="s">
        <v>1155</v>
      </c>
      <c r="H3528" t="s">
        <v>476</v>
      </c>
      <c r="I3528" t="s">
        <v>1</v>
      </c>
      <c r="J3528">
        <v>-3758.2</v>
      </c>
      <c r="K3528">
        <v>-4251.9200000001001</v>
      </c>
      <c r="L3528">
        <v>-1323.19</v>
      </c>
      <c r="M3528">
        <v>-2668.3113259668507</v>
      </c>
      <c r="N3528">
        <v>-2649.0400000000004</v>
      </c>
      <c r="O3528">
        <v>-2660.9205494506</v>
      </c>
      <c r="P3528">
        <v>0</v>
      </c>
      <c r="Q3528">
        <f t="shared" si="720"/>
        <v>-2660.9205494506</v>
      </c>
      <c r="R3528">
        <v>0</v>
      </c>
      <c r="S3528">
        <f t="shared" si="721"/>
        <v>2660.9205494506</v>
      </c>
      <c r="T3528"/>
      <c r="U3528">
        <f t="shared" si="722"/>
        <v>0</v>
      </c>
      <c r="V3528">
        <f t="shared" si="723"/>
        <v>0</v>
      </c>
      <c r="W3528">
        <f t="shared" si="724"/>
        <v>2660.9205494506</v>
      </c>
      <c r="X3528">
        <v>0</v>
      </c>
    </row>
    <row r="3529" spans="1:24" x14ac:dyDescent="0.25">
      <c r="A3529" t="s">
        <v>1968</v>
      </c>
      <c r="B3529" t="s">
        <v>2098</v>
      </c>
      <c r="C3529" t="s">
        <v>2193</v>
      </c>
      <c r="D3529" t="s">
        <v>352</v>
      </c>
      <c r="E3529" t="s">
        <v>17</v>
      </c>
      <c r="F3529" t="s">
        <v>1</v>
      </c>
      <c r="G3529" t="s">
        <v>1155</v>
      </c>
      <c r="H3529" t="s">
        <v>417</v>
      </c>
      <c r="I3529" t="s">
        <v>1</v>
      </c>
      <c r="J3529">
        <v>-246739.23</v>
      </c>
      <c r="K3529">
        <v>-709990</v>
      </c>
      <c r="L3529">
        <v>-288393.48</v>
      </c>
      <c r="M3529">
        <v>-581566.96243093919</v>
      </c>
      <c r="N3529">
        <v>-366664.24</v>
      </c>
      <c r="O3529">
        <v>-579956.11912087898</v>
      </c>
      <c r="P3529">
        <v>0</v>
      </c>
      <c r="Q3529">
        <f t="shared" si="720"/>
        <v>-579956.11912087898</v>
      </c>
      <c r="R3529">
        <v>-579956.11912087898</v>
      </c>
      <c r="S3529">
        <f t="shared" si="721"/>
        <v>0</v>
      </c>
      <c r="T3529"/>
      <c r="U3529">
        <f t="shared" si="722"/>
        <v>0</v>
      </c>
      <c r="V3529">
        <f t="shared" si="723"/>
        <v>-579956.11912087898</v>
      </c>
      <c r="W3529">
        <f t="shared" si="724"/>
        <v>0</v>
      </c>
      <c r="X3529">
        <v>0</v>
      </c>
    </row>
    <row r="3530" spans="1:24" x14ac:dyDescent="0.25">
      <c r="A3530" t="s">
        <v>1968</v>
      </c>
      <c r="B3530" t="s">
        <v>2098</v>
      </c>
      <c r="C3530" t="s">
        <v>2193</v>
      </c>
      <c r="D3530" t="s">
        <v>352</v>
      </c>
      <c r="E3530" t="s">
        <v>82</v>
      </c>
      <c r="F3530" t="s">
        <v>1</v>
      </c>
      <c r="G3530" t="s">
        <v>1155</v>
      </c>
      <c r="H3530" t="s">
        <v>507</v>
      </c>
      <c r="I3530" t="s">
        <v>1</v>
      </c>
      <c r="J3530">
        <v>4496.72</v>
      </c>
      <c r="K3530">
        <v>4015.6947391975</v>
      </c>
      <c r="L3530">
        <v>3413.24</v>
      </c>
      <c r="M3530">
        <v>6883.0530386740329</v>
      </c>
      <c r="N3530">
        <v>5855.37</v>
      </c>
      <c r="O3530">
        <v>6863.9881318681</v>
      </c>
      <c r="P3530">
        <v>0</v>
      </c>
      <c r="Q3530">
        <f t="shared" si="720"/>
        <v>6863.9881318681</v>
      </c>
      <c r="R3530">
        <v>6863.9881318681</v>
      </c>
      <c r="S3530">
        <f t="shared" si="721"/>
        <v>0</v>
      </c>
      <c r="T3530">
        <v>2.75E-2</v>
      </c>
      <c r="U3530">
        <f t="shared" si="722"/>
        <v>188.75967362637275</v>
      </c>
      <c r="V3530">
        <f t="shared" si="723"/>
        <v>7052.7478054944731</v>
      </c>
      <c r="W3530">
        <f t="shared" si="724"/>
        <v>188.75967362637311</v>
      </c>
      <c r="X3530">
        <v>0</v>
      </c>
    </row>
    <row r="3531" spans="1:24" x14ac:dyDescent="0.25">
      <c r="A3531" t="s">
        <v>1968</v>
      </c>
      <c r="B3531" t="s">
        <v>2098</v>
      </c>
      <c r="C3531" t="s">
        <v>2193</v>
      </c>
      <c r="D3531" t="s">
        <v>352</v>
      </c>
      <c r="E3531" t="s">
        <v>72</v>
      </c>
      <c r="F3531" t="s">
        <v>1</v>
      </c>
      <c r="G3531" t="s">
        <v>1155</v>
      </c>
      <c r="H3531" t="s">
        <v>489</v>
      </c>
      <c r="I3531" t="s">
        <v>1</v>
      </c>
      <c r="J3531">
        <v>5109.9799999999996</v>
      </c>
      <c r="K3531">
        <v>6750.8458590537002</v>
      </c>
      <c r="L3531">
        <v>0</v>
      </c>
      <c r="M3531">
        <v>0</v>
      </c>
      <c r="N3531">
        <v>714.48</v>
      </c>
      <c r="O3531"/>
      <c r="P3531">
        <v>0</v>
      </c>
      <c r="Q3531">
        <f t="shared" si="720"/>
        <v>0</v>
      </c>
      <c r="R3531">
        <v>0</v>
      </c>
      <c r="S3531">
        <f t="shared" si="721"/>
        <v>0</v>
      </c>
      <c r="T3531">
        <v>2.2499999999999999E-2</v>
      </c>
      <c r="U3531">
        <f t="shared" si="722"/>
        <v>0</v>
      </c>
      <c r="V3531">
        <f t="shared" si="723"/>
        <v>0</v>
      </c>
      <c r="W3531">
        <f t="shared" si="724"/>
        <v>0</v>
      </c>
      <c r="X3531">
        <v>0</v>
      </c>
    </row>
    <row r="3532" spans="1:24" x14ac:dyDescent="0.25">
      <c r="A3532" t="s">
        <v>1968</v>
      </c>
      <c r="B3532" t="s">
        <v>2098</v>
      </c>
      <c r="C3532" t="s">
        <v>2193</v>
      </c>
      <c r="D3532" t="s">
        <v>352</v>
      </c>
      <c r="E3532" t="s">
        <v>196</v>
      </c>
      <c r="F3532" t="s">
        <v>1</v>
      </c>
      <c r="G3532" t="s">
        <v>1155</v>
      </c>
      <c r="H3532" t="s">
        <v>785</v>
      </c>
      <c r="I3532" t="s">
        <v>1</v>
      </c>
      <c r="J3532">
        <v>724929.81</v>
      </c>
      <c r="K3532">
        <v>754745.721288156</v>
      </c>
      <c r="L3532">
        <v>941726.2</v>
      </c>
      <c r="M3532">
        <v>1899061.1215469611</v>
      </c>
      <c r="N3532">
        <v>1337621.54</v>
      </c>
      <c r="O3532">
        <v>1893801.03956044</v>
      </c>
      <c r="P3532">
        <v>0</v>
      </c>
      <c r="Q3532">
        <f t="shared" si="720"/>
        <v>1893801.03956044</v>
      </c>
      <c r="R3532">
        <v>1893801.03956044</v>
      </c>
      <c r="S3532">
        <f t="shared" si="721"/>
        <v>0</v>
      </c>
      <c r="T3532">
        <v>2.2499999999999999E-2</v>
      </c>
      <c r="U3532">
        <f t="shared" si="722"/>
        <v>42610.523390109898</v>
      </c>
      <c r="V3532">
        <f t="shared" si="723"/>
        <v>1936411.5629505499</v>
      </c>
      <c r="W3532">
        <f t="shared" si="724"/>
        <v>42610.523390109884</v>
      </c>
      <c r="X3532">
        <v>0</v>
      </c>
    </row>
    <row r="3533" spans="1:24" x14ac:dyDescent="0.25">
      <c r="A3533" t="s">
        <v>1968</v>
      </c>
      <c r="B3533" t="s">
        <v>2098</v>
      </c>
      <c r="C3533" t="s">
        <v>2193</v>
      </c>
      <c r="D3533" t="s">
        <v>352</v>
      </c>
      <c r="E3533" t="s">
        <v>83</v>
      </c>
      <c r="F3533" t="s">
        <v>1</v>
      </c>
      <c r="G3533" t="s">
        <v>1155</v>
      </c>
      <c r="H3533" t="s">
        <v>508</v>
      </c>
      <c r="I3533" t="s">
        <v>1</v>
      </c>
      <c r="J3533">
        <v>5045100.82</v>
      </c>
      <c r="K3533">
        <v>5476328.7734428504</v>
      </c>
      <c r="L3533">
        <v>2555467.79</v>
      </c>
      <c r="M3533">
        <v>5153291.3997237571</v>
      </c>
      <c r="N3533">
        <v>5143736.49</v>
      </c>
      <c r="O3533">
        <v>5139017.6436263695</v>
      </c>
      <c r="P3533">
        <v>0</v>
      </c>
      <c r="Q3533">
        <f t="shared" si="720"/>
        <v>5139017.6436263695</v>
      </c>
      <c r="R3533">
        <v>5139017.6436263695</v>
      </c>
      <c r="S3533">
        <f t="shared" si="721"/>
        <v>0</v>
      </c>
      <c r="T3533">
        <v>1.4999999999999999E-2</v>
      </c>
      <c r="U3533">
        <f t="shared" si="722"/>
        <v>77085.264654395534</v>
      </c>
      <c r="V3533">
        <f t="shared" si="723"/>
        <v>5216102.9082807647</v>
      </c>
      <c r="W3533">
        <f t="shared" si="724"/>
        <v>77085.264654395171</v>
      </c>
      <c r="X3533">
        <v>0</v>
      </c>
    </row>
    <row r="3534" spans="1:24" x14ac:dyDescent="0.25">
      <c r="A3534" t="s">
        <v>1968</v>
      </c>
      <c r="B3534" t="s">
        <v>2098</v>
      </c>
      <c r="C3534" t="s">
        <v>2193</v>
      </c>
      <c r="D3534" t="s">
        <v>352</v>
      </c>
      <c r="E3534" t="s">
        <v>84</v>
      </c>
      <c r="F3534" t="s">
        <v>1</v>
      </c>
      <c r="G3534" t="s">
        <v>1155</v>
      </c>
      <c r="H3534" t="s">
        <v>509</v>
      </c>
      <c r="I3534" t="s">
        <v>1</v>
      </c>
      <c r="J3534">
        <v>2419394.9900000002</v>
      </c>
      <c r="K3534">
        <v>2643125.00944342</v>
      </c>
      <c r="L3534">
        <v>1260493.53</v>
      </c>
      <c r="M3534">
        <v>2541879.2179558012</v>
      </c>
      <c r="N3534">
        <v>2588945.8699999996</v>
      </c>
      <c r="O3534">
        <v>2534838.6372527499</v>
      </c>
      <c r="P3534">
        <v>0</v>
      </c>
      <c r="Q3534">
        <f t="shared" si="720"/>
        <v>2534838.6372527499</v>
      </c>
      <c r="R3534">
        <v>2534838.6372527499</v>
      </c>
      <c r="S3534">
        <f t="shared" si="721"/>
        <v>0</v>
      </c>
      <c r="T3534">
        <v>2.5000000000000001E-2</v>
      </c>
      <c r="U3534">
        <f t="shared" si="722"/>
        <v>63370.965931318751</v>
      </c>
      <c r="V3534">
        <f t="shared" si="723"/>
        <v>2598209.6031840686</v>
      </c>
      <c r="W3534">
        <f t="shared" si="724"/>
        <v>63370.9659313187</v>
      </c>
      <c r="X3534">
        <v>0</v>
      </c>
    </row>
    <row r="3535" spans="1:24" x14ac:dyDescent="0.25">
      <c r="A3535" t="s">
        <v>1968</v>
      </c>
      <c r="B3535" t="s">
        <v>2098</v>
      </c>
      <c r="C3535" t="s">
        <v>2193</v>
      </c>
      <c r="D3535" t="s">
        <v>352</v>
      </c>
      <c r="E3535" t="s">
        <v>168</v>
      </c>
      <c r="F3535" t="s">
        <v>1</v>
      </c>
      <c r="G3535" t="s">
        <v>1155</v>
      </c>
      <c r="H3535" t="s">
        <v>715</v>
      </c>
      <c r="I3535" t="s">
        <v>1</v>
      </c>
      <c r="J3535">
        <v>64722.86</v>
      </c>
      <c r="K3535">
        <v>61632.544999979902</v>
      </c>
      <c r="L3535">
        <v>25592.49</v>
      </c>
      <c r="M3535">
        <v>51609.164917127076</v>
      </c>
      <c r="N3535">
        <v>53663.93</v>
      </c>
      <c r="O3535">
        <v>51466.216153846202</v>
      </c>
      <c r="P3535">
        <v>0</v>
      </c>
      <c r="Q3535">
        <f t="shared" si="720"/>
        <v>51466.216153846202</v>
      </c>
      <c r="R3535">
        <v>51466.216153846202</v>
      </c>
      <c r="S3535">
        <f t="shared" si="721"/>
        <v>0</v>
      </c>
      <c r="T3535">
        <v>0.03</v>
      </c>
      <c r="U3535">
        <f t="shared" si="722"/>
        <v>1543.986484615386</v>
      </c>
      <c r="V3535">
        <f t="shared" si="723"/>
        <v>53010.202638461589</v>
      </c>
      <c r="W3535">
        <f t="shared" si="724"/>
        <v>1543.9864846153869</v>
      </c>
      <c r="X3535">
        <v>0</v>
      </c>
    </row>
    <row r="3536" spans="1:24" x14ac:dyDescent="0.25">
      <c r="A3536" t="s">
        <v>1968</v>
      </c>
      <c r="B3536" t="s">
        <v>2098</v>
      </c>
      <c r="C3536" t="s">
        <v>2193</v>
      </c>
      <c r="D3536" t="s">
        <v>352</v>
      </c>
      <c r="E3536" t="s">
        <v>118</v>
      </c>
      <c r="F3536" t="s">
        <v>1</v>
      </c>
      <c r="G3536" t="s">
        <v>1155</v>
      </c>
      <c r="H3536" t="s">
        <v>587</v>
      </c>
      <c r="I3536" t="s">
        <v>1</v>
      </c>
      <c r="J3536">
        <v>372843.02</v>
      </c>
      <c r="K3536">
        <v>395268.89300992101</v>
      </c>
      <c r="L3536">
        <v>180818.89</v>
      </c>
      <c r="M3536">
        <v>364634.77817679563</v>
      </c>
      <c r="N3536">
        <v>377698.44999999995</v>
      </c>
      <c r="O3536">
        <v>363624.80076923099</v>
      </c>
      <c r="P3536">
        <v>0</v>
      </c>
      <c r="Q3536">
        <f t="shared" si="720"/>
        <v>363624.80076923099</v>
      </c>
      <c r="R3536">
        <v>363624.80076923099</v>
      </c>
      <c r="S3536">
        <f t="shared" si="721"/>
        <v>0</v>
      </c>
      <c r="T3536">
        <v>3.2500000000000001E-2</v>
      </c>
      <c r="U3536">
        <f t="shared" si="722"/>
        <v>11817.806025000007</v>
      </c>
      <c r="V3536">
        <f t="shared" si="723"/>
        <v>375442.60679423099</v>
      </c>
      <c r="W3536">
        <f t="shared" si="724"/>
        <v>11817.806024999998</v>
      </c>
      <c r="X3536">
        <v>0</v>
      </c>
    </row>
    <row r="3537" spans="1:24" x14ac:dyDescent="0.25">
      <c r="A3537" t="s">
        <v>1968</v>
      </c>
      <c r="B3537" t="s">
        <v>2098</v>
      </c>
      <c r="C3537" t="s">
        <v>2193</v>
      </c>
      <c r="D3537" t="s">
        <v>352</v>
      </c>
      <c r="E3537" t="s">
        <v>18</v>
      </c>
      <c r="F3537" t="s">
        <v>1</v>
      </c>
      <c r="G3537" t="s">
        <v>1155</v>
      </c>
      <c r="H3537" t="s">
        <v>418</v>
      </c>
      <c r="I3537" t="s">
        <v>1</v>
      </c>
      <c r="J3537">
        <v>979494.54</v>
      </c>
      <c r="K3537">
        <v>929316.19683916005</v>
      </c>
      <c r="L3537">
        <v>517722.7</v>
      </c>
      <c r="M3537">
        <v>1044026.4392265193</v>
      </c>
      <c r="N3537">
        <v>1046246.4800000001</v>
      </c>
      <c r="O3537">
        <v>1041134.66043956</v>
      </c>
      <c r="P3537">
        <v>0</v>
      </c>
      <c r="Q3537">
        <f t="shared" si="720"/>
        <v>1041134.66043956</v>
      </c>
      <c r="R3537">
        <v>1041134.66043956</v>
      </c>
      <c r="S3537">
        <f t="shared" si="721"/>
        <v>0</v>
      </c>
      <c r="T3537">
        <v>0.02</v>
      </c>
      <c r="U3537">
        <f t="shared" si="722"/>
        <v>20822.693208791199</v>
      </c>
      <c r="V3537">
        <f t="shared" si="723"/>
        <v>1061957.353648351</v>
      </c>
      <c r="W3537">
        <f t="shared" si="724"/>
        <v>20822.693208791083</v>
      </c>
      <c r="X3537">
        <v>0</v>
      </c>
    </row>
    <row r="3538" spans="1:24" x14ac:dyDescent="0.25">
      <c r="A3538" t="s">
        <v>1968</v>
      </c>
      <c r="B3538" t="s">
        <v>2098</v>
      </c>
      <c r="C3538" t="s">
        <v>2193</v>
      </c>
      <c r="D3538" t="s">
        <v>352</v>
      </c>
      <c r="E3538" t="s">
        <v>73</v>
      </c>
      <c r="F3538" t="s">
        <v>1</v>
      </c>
      <c r="G3538" t="s">
        <v>1155</v>
      </c>
      <c r="H3538" t="s">
        <v>490</v>
      </c>
      <c r="I3538" t="s">
        <v>1</v>
      </c>
      <c r="J3538"/>
      <c r="K3538"/>
      <c r="L3538">
        <v>768</v>
      </c>
      <c r="M3538">
        <v>1548.7292817679556</v>
      </c>
      <c r="N3538">
        <v>768</v>
      </c>
      <c r="O3538">
        <v>1544.4395604396</v>
      </c>
      <c r="P3538">
        <v>0</v>
      </c>
      <c r="Q3538">
        <f t="shared" si="720"/>
        <v>1544.4395604396</v>
      </c>
      <c r="R3538">
        <v>1544.4395604396</v>
      </c>
      <c r="S3538">
        <f t="shared" si="721"/>
        <v>0</v>
      </c>
      <c r="T3538">
        <v>3.5000000000000003E-2</v>
      </c>
      <c r="U3538">
        <f t="shared" si="722"/>
        <v>54.055384615386004</v>
      </c>
      <c r="V3538">
        <f t="shared" si="723"/>
        <v>1598.4949450549859</v>
      </c>
      <c r="W3538">
        <f t="shared" si="724"/>
        <v>54.055384615385947</v>
      </c>
      <c r="X3538">
        <v>0</v>
      </c>
    </row>
    <row r="3539" spans="1:24" x14ac:dyDescent="0.25">
      <c r="A3539" t="s">
        <v>1968</v>
      </c>
      <c r="B3539" t="s">
        <v>2098</v>
      </c>
      <c r="C3539" t="s">
        <v>2193</v>
      </c>
      <c r="D3539" t="s">
        <v>352</v>
      </c>
      <c r="E3539" t="s">
        <v>19</v>
      </c>
      <c r="F3539" t="s">
        <v>1</v>
      </c>
      <c r="G3539" t="s">
        <v>1155</v>
      </c>
      <c r="H3539" t="s">
        <v>419</v>
      </c>
      <c r="I3539" t="s">
        <v>1</v>
      </c>
      <c r="J3539"/>
      <c r="K3539"/>
      <c r="L3539">
        <v>493.65</v>
      </c>
      <c r="M3539">
        <v>995.48204419889498</v>
      </c>
      <c r="N3539">
        <v>493.65</v>
      </c>
      <c r="O3539">
        <v>992.72472527469995</v>
      </c>
      <c r="P3539">
        <v>0</v>
      </c>
      <c r="Q3539">
        <f t="shared" si="720"/>
        <v>992.72472527469995</v>
      </c>
      <c r="R3539">
        <v>992.72472527469995</v>
      </c>
      <c r="S3539">
        <f t="shared" si="721"/>
        <v>0</v>
      </c>
      <c r="T3539">
        <v>0.02</v>
      </c>
      <c r="U3539">
        <f t="shared" si="722"/>
        <v>19.854494505493999</v>
      </c>
      <c r="V3539">
        <f t="shared" si="723"/>
        <v>1012.579219780194</v>
      </c>
      <c r="W3539">
        <f t="shared" si="724"/>
        <v>19.854494505494017</v>
      </c>
      <c r="X3539">
        <v>0</v>
      </c>
    </row>
    <row r="3540" spans="1:24" x14ac:dyDescent="0.25">
      <c r="A3540" t="s">
        <v>1968</v>
      </c>
      <c r="B3540" t="s">
        <v>2098</v>
      </c>
      <c r="C3540" t="s">
        <v>2193</v>
      </c>
      <c r="D3540" t="s">
        <v>352</v>
      </c>
      <c r="E3540" t="s">
        <v>74</v>
      </c>
      <c r="F3540" t="s">
        <v>1</v>
      </c>
      <c r="G3540" t="s">
        <v>1155</v>
      </c>
      <c r="H3540" t="s">
        <v>491</v>
      </c>
      <c r="I3540" t="s">
        <v>1</v>
      </c>
      <c r="J3540">
        <v>5160.78</v>
      </c>
      <c r="K3540">
        <v>2579.4881203704999</v>
      </c>
      <c r="L3540">
        <v>1108.49</v>
      </c>
      <c r="M3540">
        <v>2235.3527624309395</v>
      </c>
      <c r="N3540">
        <v>4878.8200000000006</v>
      </c>
      <c r="O3540">
        <v>2229.1612087911999</v>
      </c>
      <c r="P3540">
        <v>0</v>
      </c>
      <c r="Q3540">
        <f t="shared" si="720"/>
        <v>2229.1612087911999</v>
      </c>
      <c r="R3540">
        <v>2229.1612087911999</v>
      </c>
      <c r="S3540">
        <f t="shared" si="721"/>
        <v>0</v>
      </c>
      <c r="T3540">
        <v>3.5000000000000003E-2</v>
      </c>
      <c r="U3540">
        <f t="shared" si="722"/>
        <v>78.020642307692</v>
      </c>
      <c r="V3540">
        <f t="shared" si="723"/>
        <v>2307.1818510988919</v>
      </c>
      <c r="W3540">
        <f t="shared" si="724"/>
        <v>78.020642307692015</v>
      </c>
      <c r="X3540">
        <v>0</v>
      </c>
    </row>
    <row r="3541" spans="1:24" x14ac:dyDescent="0.25">
      <c r="A3541" t="s">
        <v>1968</v>
      </c>
      <c r="B3541" t="s">
        <v>2098</v>
      </c>
      <c r="C3541" t="s">
        <v>2193</v>
      </c>
      <c r="D3541" t="s">
        <v>352</v>
      </c>
      <c r="E3541" t="s">
        <v>198</v>
      </c>
      <c r="F3541" t="s">
        <v>1</v>
      </c>
      <c r="G3541" t="s">
        <v>1155</v>
      </c>
      <c r="H3541" t="s">
        <v>787</v>
      </c>
      <c r="I3541" t="s">
        <v>1</v>
      </c>
      <c r="J3541"/>
      <c r="K3541"/>
      <c r="L3541">
        <v>1276</v>
      </c>
      <c r="M3541">
        <v>2573.1491712707184</v>
      </c>
      <c r="N3541">
        <v>1276</v>
      </c>
      <c r="O3541">
        <v>2566.021978022</v>
      </c>
      <c r="P3541">
        <v>0</v>
      </c>
      <c r="Q3541">
        <f t="shared" si="720"/>
        <v>2566.021978022</v>
      </c>
      <c r="R3541">
        <v>2566.021978022</v>
      </c>
      <c r="S3541">
        <f t="shared" si="721"/>
        <v>0</v>
      </c>
      <c r="T3541">
        <v>0.02</v>
      </c>
      <c r="U3541">
        <f t="shared" si="722"/>
        <v>51.320439560440001</v>
      </c>
      <c r="V3541">
        <f t="shared" si="723"/>
        <v>2617.3424175824398</v>
      </c>
      <c r="W3541">
        <f t="shared" si="724"/>
        <v>51.320439560439809</v>
      </c>
      <c r="X3541">
        <v>0</v>
      </c>
    </row>
    <row r="3542" spans="1:24" x14ac:dyDescent="0.25">
      <c r="A3542" t="s">
        <v>1968</v>
      </c>
      <c r="B3542" t="s">
        <v>2098</v>
      </c>
      <c r="C3542" t="s">
        <v>2193</v>
      </c>
      <c r="D3542" t="s">
        <v>352</v>
      </c>
      <c r="E3542" t="s">
        <v>85</v>
      </c>
      <c r="F3542" t="s">
        <v>1</v>
      </c>
      <c r="G3542" t="s">
        <v>1155</v>
      </c>
      <c r="H3542" t="s">
        <v>510</v>
      </c>
      <c r="I3542" t="s">
        <v>1</v>
      </c>
      <c r="J3542">
        <v>669913.23</v>
      </c>
      <c r="K3542">
        <v>693530.27897304704</v>
      </c>
      <c r="L3542">
        <v>378977.57</v>
      </c>
      <c r="M3542">
        <v>764236.53618784528</v>
      </c>
      <c r="N3542">
        <v>708990.81</v>
      </c>
      <c r="O3542">
        <v>762119.72868131904</v>
      </c>
      <c r="P3542">
        <v>0</v>
      </c>
      <c r="Q3542">
        <f t="shared" si="720"/>
        <v>762119.72868131904</v>
      </c>
      <c r="R3542">
        <v>762119.72868131904</v>
      </c>
      <c r="S3542">
        <f t="shared" si="721"/>
        <v>0</v>
      </c>
      <c r="T3542">
        <v>0.02</v>
      </c>
      <c r="U3542">
        <f t="shared" si="722"/>
        <v>15242.394573626381</v>
      </c>
      <c r="V3542">
        <f t="shared" si="723"/>
        <v>777362.12325494539</v>
      </c>
      <c r="W3542">
        <f t="shared" si="724"/>
        <v>15242.394573626341</v>
      </c>
      <c r="X3542">
        <v>0</v>
      </c>
    </row>
    <row r="3543" spans="1:24" x14ac:dyDescent="0.25">
      <c r="A3543" t="s">
        <v>1968</v>
      </c>
      <c r="B3543" t="s">
        <v>2098</v>
      </c>
      <c r="C3543" t="s">
        <v>2193</v>
      </c>
      <c r="D3543" t="s">
        <v>352</v>
      </c>
      <c r="E3543" t="s">
        <v>119</v>
      </c>
      <c r="F3543" t="s">
        <v>1</v>
      </c>
      <c r="G3543" t="s">
        <v>1155</v>
      </c>
      <c r="H3543" t="s">
        <v>588</v>
      </c>
      <c r="I3543" t="s">
        <v>1</v>
      </c>
      <c r="J3543">
        <v>85684.29</v>
      </c>
      <c r="K3543">
        <v>115971.405313786</v>
      </c>
      <c r="L3543">
        <v>10702.96</v>
      </c>
      <c r="M3543">
        <v>21583.317127071823</v>
      </c>
      <c r="N3543">
        <v>30030.379999999997</v>
      </c>
      <c r="O3543">
        <v>21523.5349450549</v>
      </c>
      <c r="P3543">
        <v>0</v>
      </c>
      <c r="Q3543">
        <f t="shared" si="720"/>
        <v>21523.5349450549</v>
      </c>
      <c r="R3543">
        <v>21523.5349450549</v>
      </c>
      <c r="S3543">
        <f t="shared" si="721"/>
        <v>0</v>
      </c>
      <c r="T3543">
        <v>1.4999999999999999E-2</v>
      </c>
      <c r="U3543">
        <f t="shared" si="722"/>
        <v>322.85302417582346</v>
      </c>
      <c r="V3543">
        <f t="shared" si="723"/>
        <v>21846.387969230724</v>
      </c>
      <c r="W3543">
        <f t="shared" si="724"/>
        <v>322.85302417582352</v>
      </c>
      <c r="X3543">
        <v>0</v>
      </c>
    </row>
    <row r="3544" spans="1:24" x14ac:dyDescent="0.25">
      <c r="A3544" t="s">
        <v>1968</v>
      </c>
      <c r="B3544" t="s">
        <v>2098</v>
      </c>
      <c r="C3544" t="s">
        <v>2193</v>
      </c>
      <c r="D3544" t="s">
        <v>352</v>
      </c>
      <c r="E3544" t="s">
        <v>272</v>
      </c>
      <c r="F3544" t="s">
        <v>1</v>
      </c>
      <c r="G3544" t="s">
        <v>1155</v>
      </c>
      <c r="H3544" t="s">
        <v>985</v>
      </c>
      <c r="I3544" t="s">
        <v>1</v>
      </c>
      <c r="J3544"/>
      <c r="K3544">
        <v>-524.99999999989996</v>
      </c>
      <c r="L3544">
        <v>5251.7</v>
      </c>
      <c r="M3544">
        <v>10590.444751381216</v>
      </c>
      <c r="N3544">
        <v>5251.7</v>
      </c>
      <c r="O3544">
        <v>10561.110989011</v>
      </c>
      <c r="P3544">
        <v>0</v>
      </c>
      <c r="Q3544">
        <f t="shared" si="720"/>
        <v>10561.110989011</v>
      </c>
      <c r="R3544">
        <v>10561.110989011</v>
      </c>
      <c r="S3544">
        <f t="shared" si="721"/>
        <v>0</v>
      </c>
      <c r="T3544">
        <v>0.02</v>
      </c>
      <c r="U3544">
        <f t="shared" si="722"/>
        <v>211.22221978022</v>
      </c>
      <c r="V3544">
        <f t="shared" si="723"/>
        <v>10772.33320879122</v>
      </c>
      <c r="W3544">
        <f t="shared" si="724"/>
        <v>211.22221978022026</v>
      </c>
      <c r="X3544">
        <v>0</v>
      </c>
    </row>
    <row r="3545" spans="1:24" x14ac:dyDescent="0.25">
      <c r="A3545" t="s">
        <v>1968</v>
      </c>
      <c r="B3545" t="s">
        <v>2098</v>
      </c>
      <c r="C3545" t="s">
        <v>2193</v>
      </c>
      <c r="D3545" t="s">
        <v>352</v>
      </c>
      <c r="E3545" t="s">
        <v>136</v>
      </c>
      <c r="F3545" t="s">
        <v>1</v>
      </c>
      <c r="G3545" t="s">
        <v>1155</v>
      </c>
      <c r="H3545" t="s">
        <v>627</v>
      </c>
      <c r="I3545" t="s">
        <v>1</v>
      </c>
      <c r="J3545">
        <v>393.9</v>
      </c>
      <c r="K3545"/>
      <c r="L3545">
        <v>1100.5999999999999</v>
      </c>
      <c r="M3545">
        <v>2219.441988950276</v>
      </c>
      <c r="N3545">
        <v>1494.5</v>
      </c>
      <c r="O3545">
        <v>2213.2945054944998</v>
      </c>
      <c r="P3545">
        <v>0</v>
      </c>
      <c r="Q3545">
        <f t="shared" si="720"/>
        <v>2213.2945054944998</v>
      </c>
      <c r="R3545">
        <v>2213.2945054944998</v>
      </c>
      <c r="S3545">
        <f t="shared" si="721"/>
        <v>0</v>
      </c>
      <c r="T3545">
        <v>0.03</v>
      </c>
      <c r="U3545">
        <f t="shared" si="722"/>
        <v>66.398835164834992</v>
      </c>
      <c r="V3545">
        <f t="shared" si="723"/>
        <v>2279.6933406593348</v>
      </c>
      <c r="W3545">
        <f t="shared" si="724"/>
        <v>66.398835164834964</v>
      </c>
      <c r="X3545">
        <v>0</v>
      </c>
    </row>
    <row r="3546" spans="1:24" x14ac:dyDescent="0.25">
      <c r="A3546" t="s">
        <v>1968</v>
      </c>
      <c r="B3546" t="s">
        <v>2098</v>
      </c>
      <c r="C3546" t="s">
        <v>2193</v>
      </c>
      <c r="D3546" t="s">
        <v>352</v>
      </c>
      <c r="E3546" t="s">
        <v>147</v>
      </c>
      <c r="F3546" t="s">
        <v>1</v>
      </c>
      <c r="G3546" t="s">
        <v>1155</v>
      </c>
      <c r="H3546" t="s">
        <v>656</v>
      </c>
      <c r="I3546" t="s">
        <v>1</v>
      </c>
      <c r="J3546">
        <v>237</v>
      </c>
      <c r="K3546"/>
      <c r="L3546">
        <v>0</v>
      </c>
      <c r="M3546">
        <v>0</v>
      </c>
      <c r="N3546">
        <v>0</v>
      </c>
      <c r="O3546"/>
      <c r="P3546">
        <v>0</v>
      </c>
      <c r="Q3546">
        <f t="shared" si="720"/>
        <v>0</v>
      </c>
      <c r="R3546">
        <v>0</v>
      </c>
      <c r="S3546">
        <f t="shared" si="721"/>
        <v>0</v>
      </c>
      <c r="T3546">
        <v>2.2499999999999999E-2</v>
      </c>
      <c r="U3546">
        <f t="shared" si="722"/>
        <v>0</v>
      </c>
      <c r="V3546">
        <f t="shared" si="723"/>
        <v>0</v>
      </c>
      <c r="W3546">
        <f t="shared" si="724"/>
        <v>0</v>
      </c>
      <c r="X3546">
        <v>0</v>
      </c>
    </row>
    <row r="3547" spans="1:24" x14ac:dyDescent="0.25">
      <c r="A3547" t="s">
        <v>1968</v>
      </c>
      <c r="B3547" t="s">
        <v>2098</v>
      </c>
      <c r="C3547" t="s">
        <v>2193</v>
      </c>
      <c r="D3547" t="s">
        <v>352</v>
      </c>
      <c r="E3547" t="s">
        <v>120</v>
      </c>
      <c r="F3547" t="s">
        <v>1</v>
      </c>
      <c r="G3547" t="s">
        <v>1155</v>
      </c>
      <c r="H3547" t="s">
        <v>589</v>
      </c>
      <c r="I3547" t="s">
        <v>1</v>
      </c>
      <c r="J3547">
        <v>1548466.78</v>
      </c>
      <c r="K3547">
        <v>1788177.7111013499</v>
      </c>
      <c r="L3547">
        <v>742067.53</v>
      </c>
      <c r="M3547">
        <v>1496434.5218232046</v>
      </c>
      <c r="N3547">
        <v>1550726.2200000002</v>
      </c>
      <c r="O3547">
        <v>1492289.64824176</v>
      </c>
      <c r="P3547">
        <v>0</v>
      </c>
      <c r="Q3547">
        <f t="shared" si="720"/>
        <v>1492289.64824176</v>
      </c>
      <c r="R3547">
        <v>1492289.64824176</v>
      </c>
      <c r="S3547">
        <f t="shared" si="721"/>
        <v>0</v>
      </c>
      <c r="T3547">
        <v>3.5000000000000003E-2</v>
      </c>
      <c r="U3547">
        <f t="shared" si="722"/>
        <v>52230.137688461604</v>
      </c>
      <c r="V3547">
        <f t="shared" si="723"/>
        <v>1544519.7859302217</v>
      </c>
      <c r="W3547">
        <f t="shared" si="724"/>
        <v>52230.137688461691</v>
      </c>
      <c r="X3547">
        <v>0</v>
      </c>
    </row>
    <row r="3548" spans="1:24" x14ac:dyDescent="0.25">
      <c r="A3548" t="s">
        <v>1968</v>
      </c>
      <c r="B3548" t="s">
        <v>2098</v>
      </c>
      <c r="C3548" t="s">
        <v>2193</v>
      </c>
      <c r="D3548" t="s">
        <v>352</v>
      </c>
      <c r="E3548" t="s">
        <v>20</v>
      </c>
      <c r="F3548" t="s">
        <v>1</v>
      </c>
      <c r="G3548" t="s">
        <v>1155</v>
      </c>
      <c r="H3548" t="s">
        <v>420</v>
      </c>
      <c r="I3548" t="s">
        <v>1</v>
      </c>
      <c r="J3548">
        <v>2222705.2599999998</v>
      </c>
      <c r="K3548">
        <v>2155354.3750831499</v>
      </c>
      <c r="L3548">
        <v>1016936.61</v>
      </c>
      <c r="M3548">
        <v>2050728.5229281769</v>
      </c>
      <c r="N3548">
        <v>2173317.9300000002</v>
      </c>
      <c r="O3548">
        <v>2045048.3475824201</v>
      </c>
      <c r="P3548">
        <v>0</v>
      </c>
      <c r="Q3548">
        <f t="shared" si="720"/>
        <v>2045048.3475824201</v>
      </c>
      <c r="R3548">
        <v>2045048.3475824201</v>
      </c>
      <c r="S3548">
        <f t="shared" si="721"/>
        <v>0</v>
      </c>
      <c r="T3548">
        <v>0.04</v>
      </c>
      <c r="U3548">
        <f t="shared" si="722"/>
        <v>81801.933903296813</v>
      </c>
      <c r="V3548">
        <f t="shared" si="723"/>
        <v>2126850.2814857168</v>
      </c>
      <c r="W3548">
        <f t="shared" si="724"/>
        <v>81801.933903296711</v>
      </c>
      <c r="X3548">
        <v>0</v>
      </c>
    </row>
    <row r="3549" spans="1:24" x14ac:dyDescent="0.25">
      <c r="A3549" t="s">
        <v>1968</v>
      </c>
      <c r="B3549" t="s">
        <v>2098</v>
      </c>
      <c r="C3549" t="s">
        <v>2193</v>
      </c>
      <c r="D3549" t="s">
        <v>352</v>
      </c>
      <c r="E3549" t="s">
        <v>21</v>
      </c>
      <c r="F3549" t="s">
        <v>1</v>
      </c>
      <c r="G3549" t="s">
        <v>1155</v>
      </c>
      <c r="H3549" t="s">
        <v>421</v>
      </c>
      <c r="I3549" t="s">
        <v>1</v>
      </c>
      <c r="J3549">
        <v>656.9</v>
      </c>
      <c r="K3549">
        <v>906.4</v>
      </c>
      <c r="L3549">
        <v>867.2</v>
      </c>
      <c r="M3549">
        <v>1748.7734806629837</v>
      </c>
      <c r="N3549">
        <v>1084</v>
      </c>
      <c r="O3549">
        <v>1748.7734806630001</v>
      </c>
      <c r="P3549">
        <v>0</v>
      </c>
      <c r="Q3549">
        <f t="shared" si="720"/>
        <v>1748.7734806630001</v>
      </c>
      <c r="R3549">
        <v>1748.7734806630001</v>
      </c>
      <c r="S3549">
        <f t="shared" si="721"/>
        <v>0</v>
      </c>
      <c r="T3549">
        <v>0.03</v>
      </c>
      <c r="U3549">
        <f t="shared" si="722"/>
        <v>52.463204419889998</v>
      </c>
      <c r="V3549">
        <f t="shared" si="723"/>
        <v>1801.2366850828901</v>
      </c>
      <c r="W3549">
        <f t="shared" si="724"/>
        <v>52.463204419889962</v>
      </c>
      <c r="X3549">
        <v>0</v>
      </c>
    </row>
    <row r="3550" spans="1:24" x14ac:dyDescent="0.25">
      <c r="A3550" t="s">
        <v>1968</v>
      </c>
      <c r="B3550" t="s">
        <v>2098</v>
      </c>
      <c r="C3550" t="s">
        <v>2193</v>
      </c>
      <c r="D3550" t="s">
        <v>352</v>
      </c>
      <c r="E3550" t="s">
        <v>23</v>
      </c>
      <c r="F3550" t="s">
        <v>1</v>
      </c>
      <c r="G3550" t="s">
        <v>1155</v>
      </c>
      <c r="H3550" t="s">
        <v>423</v>
      </c>
      <c r="I3550" t="s">
        <v>1</v>
      </c>
      <c r="J3550">
        <v>1807.6</v>
      </c>
      <c r="K3550">
        <v>3053.2499999999</v>
      </c>
      <c r="L3550">
        <v>290.45999999999998</v>
      </c>
      <c r="M3550">
        <v>585.73425414364635</v>
      </c>
      <c r="N3550">
        <v>622.95999999999992</v>
      </c>
      <c r="O3550">
        <v>585.73425414359997</v>
      </c>
      <c r="P3550">
        <v>0</v>
      </c>
      <c r="Q3550">
        <f t="shared" si="720"/>
        <v>585.73425414359997</v>
      </c>
      <c r="R3550">
        <v>585.73425414359997</v>
      </c>
      <c r="S3550">
        <f t="shared" si="721"/>
        <v>0</v>
      </c>
      <c r="T3550">
        <v>3.5000000000000003E-2</v>
      </c>
      <c r="U3550">
        <f t="shared" si="722"/>
        <v>20.500698895026002</v>
      </c>
      <c r="V3550">
        <f t="shared" si="723"/>
        <v>606.23495303862592</v>
      </c>
      <c r="W3550">
        <f t="shared" si="724"/>
        <v>20.500698895025948</v>
      </c>
      <c r="X3550">
        <v>0</v>
      </c>
    </row>
    <row r="3551" spans="1:24" x14ac:dyDescent="0.25">
      <c r="A3551" t="s">
        <v>1968</v>
      </c>
      <c r="B3551" t="s">
        <v>2098</v>
      </c>
      <c r="C3551" t="s">
        <v>2193</v>
      </c>
      <c r="D3551" t="s">
        <v>352</v>
      </c>
      <c r="E3551" t="s">
        <v>76</v>
      </c>
      <c r="F3551" t="s">
        <v>1</v>
      </c>
      <c r="G3551" t="s">
        <v>1155</v>
      </c>
      <c r="H3551" t="s">
        <v>493</v>
      </c>
      <c r="I3551" t="s">
        <v>1</v>
      </c>
      <c r="J3551">
        <v>80000.039999999994</v>
      </c>
      <c r="K3551">
        <v>80000.000000000393</v>
      </c>
      <c r="L3551">
        <v>4438.37</v>
      </c>
      <c r="M3551">
        <v>8950.3041436464082</v>
      </c>
      <c r="N3551">
        <v>44438.389999999992</v>
      </c>
      <c r="O3551">
        <v>8876.74</v>
      </c>
      <c r="P3551">
        <v>0</v>
      </c>
      <c r="Q3551">
        <f t="shared" si="720"/>
        <v>8876.74</v>
      </c>
      <c r="R3551">
        <v>8876.74</v>
      </c>
      <c r="S3551">
        <f t="shared" si="721"/>
        <v>0</v>
      </c>
      <c r="T3551">
        <v>0.03</v>
      </c>
      <c r="U3551">
        <f t="shared" si="722"/>
        <v>266.30219999999997</v>
      </c>
      <c r="V3551">
        <f t="shared" si="723"/>
        <v>9143.0421999999999</v>
      </c>
      <c r="W3551">
        <f t="shared" si="724"/>
        <v>266.30220000000008</v>
      </c>
      <c r="X3551">
        <v>0</v>
      </c>
    </row>
    <row r="3552" spans="1:24" x14ac:dyDescent="0.25">
      <c r="A3552" t="s">
        <v>1968</v>
      </c>
      <c r="B3552" t="s">
        <v>2098</v>
      </c>
      <c r="C3552" t="s">
        <v>2193</v>
      </c>
      <c r="D3552" t="s">
        <v>352</v>
      </c>
      <c r="E3552" t="s">
        <v>41</v>
      </c>
      <c r="F3552" t="s">
        <v>1</v>
      </c>
      <c r="G3552" t="s">
        <v>1155</v>
      </c>
      <c r="H3552" t="s">
        <v>441</v>
      </c>
      <c r="I3552" t="s">
        <v>1</v>
      </c>
      <c r="J3552">
        <v>107532.85</v>
      </c>
      <c r="K3552">
        <v>94039.848777154795</v>
      </c>
      <c r="L3552">
        <v>67337.710000000006</v>
      </c>
      <c r="M3552">
        <v>135791.51464088398</v>
      </c>
      <c r="N3552">
        <v>124946.37000000001</v>
      </c>
      <c r="O3552">
        <v>134675.42000000001</v>
      </c>
      <c r="P3552">
        <v>0</v>
      </c>
      <c r="Q3552">
        <f t="shared" si="720"/>
        <v>134675.42000000001</v>
      </c>
      <c r="R3552">
        <v>134675.42000000001</v>
      </c>
      <c r="S3552">
        <f t="shared" si="721"/>
        <v>0</v>
      </c>
      <c r="T3552">
        <v>0.03</v>
      </c>
      <c r="U3552">
        <f t="shared" si="722"/>
        <v>4040.2626</v>
      </c>
      <c r="V3552">
        <f t="shared" si="723"/>
        <v>138715.6826</v>
      </c>
      <c r="W3552">
        <f t="shared" si="724"/>
        <v>4040.2625999999873</v>
      </c>
      <c r="X3552">
        <v>0</v>
      </c>
    </row>
    <row r="3553" spans="1:24" x14ac:dyDescent="0.25">
      <c r="A3553" t="s">
        <v>1968</v>
      </c>
      <c r="B3553" t="s">
        <v>2098</v>
      </c>
      <c r="C3553" t="s">
        <v>2193</v>
      </c>
      <c r="D3553" t="s">
        <v>352</v>
      </c>
      <c r="E3553" t="s">
        <v>43</v>
      </c>
      <c r="F3553" t="s">
        <v>1</v>
      </c>
      <c r="G3553" t="s">
        <v>1155</v>
      </c>
      <c r="H3553" t="s">
        <v>443</v>
      </c>
      <c r="I3553" t="s">
        <v>1</v>
      </c>
      <c r="J3553">
        <v>1555.2</v>
      </c>
      <c r="K3553"/>
      <c r="L3553">
        <v>0</v>
      </c>
      <c r="M3553">
        <v>0</v>
      </c>
      <c r="N3553">
        <v>0</v>
      </c>
      <c r="O3553"/>
      <c r="P3553">
        <v>0</v>
      </c>
      <c r="Q3553">
        <f t="shared" si="720"/>
        <v>0</v>
      </c>
      <c r="R3553">
        <v>0</v>
      </c>
      <c r="S3553">
        <f t="shared" si="721"/>
        <v>0</v>
      </c>
      <c r="T3553">
        <v>0.03</v>
      </c>
      <c r="U3553">
        <f t="shared" si="722"/>
        <v>0</v>
      </c>
      <c r="V3553">
        <f t="shared" si="723"/>
        <v>0</v>
      </c>
      <c r="W3553">
        <f t="shared" si="724"/>
        <v>0</v>
      </c>
      <c r="X3553">
        <v>0</v>
      </c>
    </row>
    <row r="3554" spans="1:24" x14ac:dyDescent="0.25">
      <c r="A3554" t="s">
        <v>1968</v>
      </c>
      <c r="B3554" t="s">
        <v>2098</v>
      </c>
      <c r="C3554" t="s">
        <v>2193</v>
      </c>
      <c r="D3554" t="s">
        <v>352</v>
      </c>
      <c r="E3554" t="s">
        <v>51</v>
      </c>
      <c r="F3554" t="s">
        <v>51</v>
      </c>
      <c r="G3554" t="s">
        <v>1156</v>
      </c>
      <c r="H3554"/>
      <c r="I3554"/>
      <c r="J3554">
        <v>14094111.289999997</v>
      </c>
      <c r="K3554">
        <v>14494000.496990595</v>
      </c>
      <c r="L3554">
        <v>7429128.6500000013</v>
      </c>
      <c r="M3554">
        <v>14981392.029005526</v>
      </c>
      <c r="N3554">
        <v>14837585.720000001</v>
      </c>
      <c r="O3554">
        <v>14939091.88641613</v>
      </c>
      <c r="P3554">
        <f>SUMIF($F$3526:$F$3553,"&lt;&gt;EV_*",$P$3526:$P$3553)</f>
        <v>0</v>
      </c>
      <c r="Q3554">
        <f>SUMIF($F$3526:$F$3553,"&lt;&gt;EV_*",$Q$3526:$Q$3553)</f>
        <v>14939091.88641613</v>
      </c>
      <c r="R3554">
        <f>SUMIF($F$3526:$F$3553,"&lt;&gt;EV_*",$R$3526:$R$3553)</f>
        <v>14941752.80696558</v>
      </c>
      <c r="S3554">
        <f>SUMIF($F$3526:$F$3553,"&lt;&gt;EV_*",$S$3526:$S$3553)</f>
        <v>2660.9205494506</v>
      </c>
      <c r="T3554">
        <v>0</v>
      </c>
      <c r="U3554">
        <f>SUMIF($F$3526:$F$3553,"&lt;&gt;EV_*",$U$3526:$U$3553)</f>
        <v>371897.71927666676</v>
      </c>
      <c r="V3554">
        <f>SUMIF($F$3526:$F$3553,"&lt;&gt;EV_*",$V$3526:$V$3553)</f>
        <v>15313650.526242247</v>
      </c>
      <c r="W3554">
        <f>SUMIF($F$3526:$F$3553,"&lt;&gt;EV_*",$W$3526:$W$3553)</f>
        <v>374558.63982611673</v>
      </c>
      <c r="X3554">
        <f>SUMIF($F$3526:$F$3553,"&lt;&gt;EV_*",$X$3526:$X$3553)</f>
        <v>0</v>
      </c>
    </row>
    <row r="3555" spans="1:24" x14ac:dyDescent="0.25">
      <c r="A3555" t="s">
        <v>2025</v>
      </c>
      <c r="B3555" t="s">
        <v>2026</v>
      </c>
      <c r="C3555" t="s">
        <v>2194</v>
      </c>
      <c r="D3555" t="s">
        <v>353</v>
      </c>
      <c r="E3555" t="s">
        <v>5</v>
      </c>
      <c r="F3555" t="s">
        <v>5</v>
      </c>
      <c r="G3555" t="s">
        <v>1157</v>
      </c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</row>
    <row r="3556" spans="1:24" x14ac:dyDescent="0.25">
      <c r="A3556" t="s">
        <v>2025</v>
      </c>
      <c r="B3556" t="s">
        <v>2026</v>
      </c>
      <c r="C3556" t="s">
        <v>2194</v>
      </c>
      <c r="D3556" t="s">
        <v>353</v>
      </c>
      <c r="E3556" t="s">
        <v>11</v>
      </c>
      <c r="F3556" t="s">
        <v>1</v>
      </c>
      <c r="G3556" t="s">
        <v>1158</v>
      </c>
      <c r="H3556" t="s">
        <v>411</v>
      </c>
      <c r="I3556" t="s">
        <v>1</v>
      </c>
      <c r="J3556">
        <v>1478.91</v>
      </c>
      <c r="K3556">
        <v>-145.38999999960001</v>
      </c>
      <c r="L3556">
        <v>701.9</v>
      </c>
      <c r="M3556">
        <v>1415.4337016574586</v>
      </c>
      <c r="N3556">
        <v>1428.0399999999997</v>
      </c>
      <c r="O3556">
        <v>1403.8</v>
      </c>
      <c r="P3556">
        <v>0</v>
      </c>
      <c r="Q3556">
        <f>O3556+P3556</f>
        <v>1403.8</v>
      </c>
      <c r="R3556">
        <v>1403.8</v>
      </c>
      <c r="S3556">
        <f>IF(OR(LEFT(E3556,2)="A_",LEFT(D3556,5)="Total"),R3556-Q3556,"")</f>
        <v>0</v>
      </c>
      <c r="T3556"/>
      <c r="U3556">
        <f>IFERROR(R3556*T3556,R3556*0)</f>
        <v>0</v>
      </c>
      <c r="V3556">
        <f>IF(OR(LEFT(E3556,2)="A_",LEFT(D3556,5)="Total"),R3556+U3556,"")</f>
        <v>1403.8</v>
      </c>
      <c r="W3556">
        <f>IF(OR(LEFT(E3556,2)="A_",LEFT(D3556,5)="Total"),V3556-Q3556,"")</f>
        <v>0</v>
      </c>
      <c r="X3556" t="s">
        <v>1856</v>
      </c>
    </row>
    <row r="3557" spans="1:24" x14ac:dyDescent="0.25">
      <c r="A3557" t="s">
        <v>2025</v>
      </c>
      <c r="B3557" t="s">
        <v>2026</v>
      </c>
      <c r="C3557" t="s">
        <v>2194</v>
      </c>
      <c r="D3557" t="s">
        <v>353</v>
      </c>
      <c r="E3557" t="s">
        <v>24</v>
      </c>
      <c r="F3557" t="s">
        <v>1</v>
      </c>
      <c r="G3557" t="s">
        <v>1158</v>
      </c>
      <c r="H3557" t="s">
        <v>424</v>
      </c>
      <c r="I3557" t="s">
        <v>1</v>
      </c>
      <c r="J3557"/>
      <c r="K3557"/>
      <c r="L3557">
        <v>800</v>
      </c>
      <c r="M3557">
        <v>1613.2596685082874</v>
      </c>
      <c r="N3557">
        <v>800</v>
      </c>
      <c r="O3557">
        <v>1600</v>
      </c>
      <c r="P3557">
        <v>0</v>
      </c>
      <c r="Q3557">
        <f>O3557+P3557</f>
        <v>1600</v>
      </c>
      <c r="R3557">
        <v>800</v>
      </c>
      <c r="S3557">
        <f>IF(OR(LEFT(E3557,2)="A_",LEFT(D3557,5)="Total"),R3557-Q3557,"")</f>
        <v>-800</v>
      </c>
      <c r="T3557"/>
      <c r="U3557">
        <f>IFERROR(R3557*T3557,R3557*0)</f>
        <v>0</v>
      </c>
      <c r="V3557">
        <f>IF(OR(LEFT(E3557,2)="A_",LEFT(D3557,5)="Total"),R3557+U3557,"")</f>
        <v>800</v>
      </c>
      <c r="W3557">
        <f>IF(OR(LEFT(E3557,2)="A_",LEFT(D3557,5)="Total"),V3557-Q3557,"")</f>
        <v>-800</v>
      </c>
      <c r="X3557">
        <v>0</v>
      </c>
    </row>
    <row r="3558" spans="1:24" x14ac:dyDescent="0.25">
      <c r="A3558" t="s">
        <v>2025</v>
      </c>
      <c r="B3558" t="s">
        <v>2026</v>
      </c>
      <c r="C3558" t="s">
        <v>2194</v>
      </c>
      <c r="D3558" t="s">
        <v>353</v>
      </c>
      <c r="E3558" t="s">
        <v>46</v>
      </c>
      <c r="F3558" t="s">
        <v>1</v>
      </c>
      <c r="G3558" t="s">
        <v>1158</v>
      </c>
      <c r="H3558" t="s">
        <v>446</v>
      </c>
      <c r="I3558" t="s">
        <v>1</v>
      </c>
      <c r="J3558"/>
      <c r="K3558"/>
      <c r="L3558">
        <v>49</v>
      </c>
      <c r="M3558">
        <v>98.812154696132581</v>
      </c>
      <c r="N3558">
        <v>49</v>
      </c>
      <c r="O3558">
        <v>98</v>
      </c>
      <c r="P3558">
        <v>0</v>
      </c>
      <c r="Q3558">
        <f>O3558+P3558</f>
        <v>98</v>
      </c>
      <c r="R3558">
        <v>98</v>
      </c>
      <c r="S3558">
        <f>IF(OR(LEFT(E3558,2)="A_",LEFT(D3558,5)="Total"),R3558-Q3558,"")</f>
        <v>0</v>
      </c>
      <c r="T3558">
        <v>0.03</v>
      </c>
      <c r="U3558">
        <f>IFERROR(R3558*T3558,R3558*0)</f>
        <v>2.94</v>
      </c>
      <c r="V3558">
        <f>IF(OR(LEFT(E3558,2)="A_",LEFT(D3558,5)="Total"),R3558+U3558,"")</f>
        <v>100.94</v>
      </c>
      <c r="W3558">
        <f>IF(OR(LEFT(E3558,2)="A_",LEFT(D3558,5)="Total"),V3558-Q3558,"")</f>
        <v>2.9399999999999977</v>
      </c>
      <c r="X3558">
        <v>0</v>
      </c>
    </row>
    <row r="3559" spans="1:24" x14ac:dyDescent="0.25">
      <c r="A3559" t="s">
        <v>2025</v>
      </c>
      <c r="B3559" t="s">
        <v>2026</v>
      </c>
      <c r="C3559" t="s">
        <v>2194</v>
      </c>
      <c r="D3559" t="s">
        <v>353</v>
      </c>
      <c r="E3559" t="s">
        <v>47</v>
      </c>
      <c r="F3559" t="s">
        <v>1</v>
      </c>
      <c r="G3559" t="s">
        <v>1158</v>
      </c>
      <c r="H3559" t="s">
        <v>447</v>
      </c>
      <c r="I3559" t="s">
        <v>1</v>
      </c>
      <c r="J3559">
        <v>150</v>
      </c>
      <c r="K3559"/>
      <c r="L3559">
        <v>849.99</v>
      </c>
      <c r="M3559">
        <v>1714.0682320441988</v>
      </c>
      <c r="N3559">
        <v>849.99</v>
      </c>
      <c r="O3559">
        <v>1699.98</v>
      </c>
      <c r="P3559">
        <v>0</v>
      </c>
      <c r="Q3559">
        <f>O3559+P3559</f>
        <v>1699.98</v>
      </c>
      <c r="R3559">
        <v>849.99</v>
      </c>
      <c r="S3559">
        <f>IF(OR(LEFT(E3559,2)="A_",LEFT(D3559,5)="Total"),R3559-Q3559,"")</f>
        <v>-849.99</v>
      </c>
      <c r="T3559">
        <v>0.03</v>
      </c>
      <c r="U3559">
        <f>IFERROR(R3559*T3559,R3559*0)</f>
        <v>25.499700000000001</v>
      </c>
      <c r="V3559">
        <f>IF(OR(LEFT(E3559,2)="A_",LEFT(D3559,5)="Total"),R3559+U3559,"")</f>
        <v>875.48969999999997</v>
      </c>
      <c r="W3559">
        <f>IF(OR(LEFT(E3559,2)="A_",LEFT(D3559,5)="Total"),V3559-Q3559,"")</f>
        <v>-824.49030000000005</v>
      </c>
      <c r="X3559">
        <v>0</v>
      </c>
    </row>
    <row r="3560" spans="1:24" x14ac:dyDescent="0.25">
      <c r="A3560" t="s">
        <v>2025</v>
      </c>
      <c r="B3560" t="s">
        <v>2026</v>
      </c>
      <c r="C3560" t="s">
        <v>2194</v>
      </c>
      <c r="D3560" t="s">
        <v>353</v>
      </c>
      <c r="E3560" t="s">
        <v>51</v>
      </c>
      <c r="F3560" t="s">
        <v>51</v>
      </c>
      <c r="G3560" t="s">
        <v>1159</v>
      </c>
      <c r="H3560"/>
      <c r="I3560"/>
      <c r="J3560">
        <v>1628.91</v>
      </c>
      <c r="K3560">
        <v>-145.38999999960001</v>
      </c>
      <c r="L3560">
        <v>2400.8900000000003</v>
      </c>
      <c r="M3560">
        <v>4841.5737569060775</v>
      </c>
      <c r="N3560">
        <v>3127.0299999999997</v>
      </c>
      <c r="O3560">
        <v>4801.7800000000007</v>
      </c>
      <c r="P3560">
        <f>SUMIF($F$3555:$F$3559,"&lt;&gt;EV_*",$P$3555:$P$3559)</f>
        <v>0</v>
      </c>
      <c r="Q3560">
        <f>SUMIF($F$3555:$F$3559,"&lt;&gt;EV_*",$Q$3555:$Q$3559)</f>
        <v>4801.7800000000007</v>
      </c>
      <c r="R3560">
        <f>SUMIF($F$3555:$F$3559,"&lt;&gt;EV_*",$R$3555:$R$3559)</f>
        <v>3151.79</v>
      </c>
      <c r="S3560">
        <f>SUMIF($F$3555:$F$3559,"&lt;&gt;EV_*",$S$3555:$S$3559)</f>
        <v>-1649.99</v>
      </c>
      <c r="T3560">
        <v>0</v>
      </c>
      <c r="U3560">
        <f>SUMIF($F$3555:$F$3559,"&lt;&gt;EV_*",$U$3555:$U$3559)</f>
        <v>28.439700000000002</v>
      </c>
      <c r="V3560">
        <f>SUMIF($F$3555:$F$3559,"&lt;&gt;EV_*",$V$3555:$V$3559)</f>
        <v>3180.2297000000003</v>
      </c>
      <c r="W3560">
        <f>SUMIF($F$3555:$F$3559,"&lt;&gt;EV_*",$W$3555:$W$3559)</f>
        <v>-1621.5502999999999</v>
      </c>
      <c r="X3560">
        <f>SUMIF($F$3555:$F$3559,"&lt;&gt;EV_*",$X$3555:$X$3559)</f>
        <v>0</v>
      </c>
    </row>
    <row r="3561" spans="1:24" x14ac:dyDescent="0.25">
      <c r="A3561" t="s">
        <v>1948</v>
      </c>
      <c r="B3561" t="s">
        <v>1946</v>
      </c>
      <c r="C3561" t="s">
        <v>2195</v>
      </c>
      <c r="D3561" t="s">
        <v>354</v>
      </c>
      <c r="E3561" t="s">
        <v>5</v>
      </c>
      <c r="F3561" t="s">
        <v>5</v>
      </c>
      <c r="G3561" t="s">
        <v>1160</v>
      </c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</row>
    <row r="3562" spans="1:24" x14ac:dyDescent="0.25">
      <c r="A3562" t="s">
        <v>1948</v>
      </c>
      <c r="B3562" t="s">
        <v>1946</v>
      </c>
      <c r="C3562" t="s">
        <v>2195</v>
      </c>
      <c r="D3562" t="s">
        <v>354</v>
      </c>
      <c r="E3562" t="s">
        <v>74</v>
      </c>
      <c r="F3562" t="s">
        <v>1</v>
      </c>
      <c r="G3562" t="s">
        <v>1161</v>
      </c>
      <c r="H3562" t="s">
        <v>491</v>
      </c>
      <c r="I3562" t="s">
        <v>1</v>
      </c>
      <c r="J3562">
        <v>110.4</v>
      </c>
      <c r="K3562"/>
      <c r="L3562">
        <v>0</v>
      </c>
      <c r="M3562">
        <v>0</v>
      </c>
      <c r="N3562">
        <v>110.4</v>
      </c>
      <c r="O3562"/>
      <c r="P3562">
        <v>0</v>
      </c>
      <c r="Q3562">
        <f>O3562+P3562</f>
        <v>0</v>
      </c>
      <c r="R3562">
        <v>0</v>
      </c>
      <c r="S3562">
        <f>IF(OR(LEFT(E3562,2)="A_",LEFT(D3562,5)="Total"),R3562-Q3562,"")</f>
        <v>0</v>
      </c>
      <c r="T3562">
        <v>3.5000000000000003E-2</v>
      </c>
      <c r="U3562">
        <f>IFERROR(R3562*T3562,R3562*0)</f>
        <v>0</v>
      </c>
      <c r="V3562">
        <f>IF(OR(LEFT(E3562,2)="A_",LEFT(D3562,5)="Total"),R3562+U3562,"")</f>
        <v>0</v>
      </c>
      <c r="W3562">
        <f>IF(OR(LEFT(E3562,2)="A_",LEFT(D3562,5)="Total"),V3562-Q3562,"")</f>
        <v>0</v>
      </c>
      <c r="X3562">
        <v>0</v>
      </c>
    </row>
    <row r="3563" spans="1:24" x14ac:dyDescent="0.25">
      <c r="A3563" t="s">
        <v>1948</v>
      </c>
      <c r="B3563" t="s">
        <v>1946</v>
      </c>
      <c r="C3563" t="s">
        <v>2195</v>
      </c>
      <c r="D3563" t="s">
        <v>354</v>
      </c>
      <c r="E3563" t="s">
        <v>20</v>
      </c>
      <c r="F3563" t="s">
        <v>1</v>
      </c>
      <c r="G3563" t="s">
        <v>1161</v>
      </c>
      <c r="H3563" t="s">
        <v>420</v>
      </c>
      <c r="I3563" t="s">
        <v>1</v>
      </c>
      <c r="J3563">
        <v>-1347.19</v>
      </c>
      <c r="K3563">
        <v>3.1242797E-3</v>
      </c>
      <c r="L3563">
        <v>0</v>
      </c>
      <c r="M3563">
        <v>0</v>
      </c>
      <c r="N3563">
        <v>0</v>
      </c>
      <c r="O3563"/>
      <c r="P3563">
        <v>0</v>
      </c>
      <c r="Q3563">
        <f>O3563+P3563</f>
        <v>0</v>
      </c>
      <c r="R3563">
        <v>0</v>
      </c>
      <c r="S3563">
        <f>IF(OR(LEFT(E3563,2)="A_",LEFT(D3563,5)="Total"),R3563-Q3563,"")</f>
        <v>0</v>
      </c>
      <c r="T3563">
        <v>0.04</v>
      </c>
      <c r="U3563">
        <f>IFERROR(R3563*T3563,R3563*0)</f>
        <v>0</v>
      </c>
      <c r="V3563">
        <f>IF(OR(LEFT(E3563,2)="A_",LEFT(D3563,5)="Total"),R3563+U3563,"")</f>
        <v>0</v>
      </c>
      <c r="W3563">
        <f>IF(OR(LEFT(E3563,2)="A_",LEFT(D3563,5)="Total"),V3563-Q3563,"")</f>
        <v>0</v>
      </c>
      <c r="X3563">
        <v>0</v>
      </c>
    </row>
    <row r="3564" spans="1:24" x14ac:dyDescent="0.25">
      <c r="A3564" t="s">
        <v>1948</v>
      </c>
      <c r="B3564" t="s">
        <v>1946</v>
      </c>
      <c r="C3564" t="s">
        <v>2195</v>
      </c>
      <c r="D3564" t="s">
        <v>354</v>
      </c>
      <c r="E3564" t="s">
        <v>27</v>
      </c>
      <c r="F3564" t="s">
        <v>1</v>
      </c>
      <c r="G3564" t="s">
        <v>1161</v>
      </c>
      <c r="H3564" t="s">
        <v>427</v>
      </c>
      <c r="I3564" t="s">
        <v>1</v>
      </c>
      <c r="J3564">
        <v>760.26</v>
      </c>
      <c r="K3564">
        <v>1130.0000000004</v>
      </c>
      <c r="L3564">
        <v>0</v>
      </c>
      <c r="M3564">
        <v>0</v>
      </c>
      <c r="N3564">
        <v>95.38</v>
      </c>
      <c r="O3564"/>
      <c r="P3564">
        <v>0</v>
      </c>
      <c r="Q3564">
        <f>O3564+P3564</f>
        <v>0</v>
      </c>
      <c r="R3564">
        <v>0</v>
      </c>
      <c r="S3564">
        <f>IF(OR(LEFT(E3564,2)="A_",LEFT(D3564,5)="Total"),R3564-Q3564,"")</f>
        <v>0</v>
      </c>
      <c r="T3564"/>
      <c r="U3564">
        <f>IFERROR(R3564*T3564,R3564*0)</f>
        <v>0</v>
      </c>
      <c r="V3564">
        <f>IF(OR(LEFT(E3564,2)="A_",LEFT(D3564,5)="Total"),R3564+U3564,"")</f>
        <v>0</v>
      </c>
      <c r="W3564">
        <f>IF(OR(LEFT(E3564,2)="A_",LEFT(D3564,5)="Total"),V3564-Q3564,"")</f>
        <v>0</v>
      </c>
      <c r="X3564">
        <v>0</v>
      </c>
    </row>
    <row r="3565" spans="1:24" x14ac:dyDescent="0.25">
      <c r="A3565" t="s">
        <v>1948</v>
      </c>
      <c r="B3565" t="s">
        <v>1946</v>
      </c>
      <c r="C3565" t="s">
        <v>2195</v>
      </c>
      <c r="D3565" t="s">
        <v>354</v>
      </c>
      <c r="E3565" t="s">
        <v>48</v>
      </c>
      <c r="F3565" t="s">
        <v>1</v>
      </c>
      <c r="G3565" t="s">
        <v>1161</v>
      </c>
      <c r="H3565" t="s">
        <v>448</v>
      </c>
      <c r="I3565" t="s">
        <v>1</v>
      </c>
      <c r="J3565"/>
      <c r="K3565"/>
      <c r="L3565">
        <v>26.47</v>
      </c>
      <c r="M3565">
        <v>53.378729281767953</v>
      </c>
      <c r="N3565">
        <v>26.47</v>
      </c>
      <c r="O3565">
        <v>52.94</v>
      </c>
      <c r="P3565">
        <v>0</v>
      </c>
      <c r="Q3565">
        <f>O3565+P3565</f>
        <v>52.94</v>
      </c>
      <c r="R3565">
        <v>52.94</v>
      </c>
      <c r="S3565">
        <f>IF(OR(LEFT(E3565,2)="A_",LEFT(D3565,5)="Total"),R3565-Q3565,"")</f>
        <v>0</v>
      </c>
      <c r="T3565">
        <v>0.03</v>
      </c>
      <c r="U3565">
        <f>IFERROR(R3565*T3565,R3565*0)</f>
        <v>1.5881999999999998</v>
      </c>
      <c r="V3565">
        <f>IF(OR(LEFT(E3565,2)="A_",LEFT(D3565,5)="Total"),R3565+U3565,"")</f>
        <v>54.528199999999998</v>
      </c>
      <c r="W3565">
        <f>IF(OR(LEFT(E3565,2)="A_",LEFT(D3565,5)="Total"),V3565-Q3565,"")</f>
        <v>1.5882000000000005</v>
      </c>
      <c r="X3565">
        <v>0</v>
      </c>
    </row>
    <row r="3566" spans="1:24" x14ac:dyDescent="0.25">
      <c r="A3566" t="s">
        <v>1948</v>
      </c>
      <c r="B3566" t="s">
        <v>1946</v>
      </c>
      <c r="C3566" t="s">
        <v>2195</v>
      </c>
      <c r="D3566" t="s">
        <v>354</v>
      </c>
      <c r="E3566" t="s">
        <v>51</v>
      </c>
      <c r="F3566" t="s">
        <v>51</v>
      </c>
      <c r="G3566" t="s">
        <v>1162</v>
      </c>
      <c r="H3566"/>
      <c r="I3566"/>
      <c r="J3566">
        <v>-476.53</v>
      </c>
      <c r="K3566">
        <v>1130.0031242800999</v>
      </c>
      <c r="L3566">
        <v>26.47</v>
      </c>
      <c r="M3566">
        <v>53.378729281767953</v>
      </c>
      <c r="N3566">
        <v>232.25</v>
      </c>
      <c r="O3566">
        <v>52.94</v>
      </c>
      <c r="P3566">
        <f>SUMIF($F$3561:$F$3565,"&lt;&gt;EV_*",$P$3561:$P$3565)</f>
        <v>0</v>
      </c>
      <c r="Q3566">
        <f>SUMIF($F$3561:$F$3565,"&lt;&gt;EV_*",$Q$3561:$Q$3565)</f>
        <v>52.94</v>
      </c>
      <c r="R3566">
        <f>SUMIF($F$3561:$F$3565,"&lt;&gt;EV_*",$R$3561:$R$3565)</f>
        <v>52.94</v>
      </c>
      <c r="S3566">
        <f>SUMIF($F$3561:$F$3565,"&lt;&gt;EV_*",$S$3561:$S$3565)</f>
        <v>0</v>
      </c>
      <c r="T3566">
        <v>0</v>
      </c>
      <c r="U3566">
        <f>SUMIF($F$3561:$F$3565,"&lt;&gt;EV_*",$U$3561:$U$3565)</f>
        <v>1.5881999999999998</v>
      </c>
      <c r="V3566">
        <f>SUMIF($F$3561:$F$3565,"&lt;&gt;EV_*",$V$3561:$V$3565)</f>
        <v>54.528199999999998</v>
      </c>
      <c r="W3566">
        <f>SUMIF($F$3561:$F$3565,"&lt;&gt;EV_*",$W$3561:$W$3565)</f>
        <v>1.5882000000000005</v>
      </c>
      <c r="X3566">
        <f>SUMIF($F$3561:$F$3565,"&lt;&gt;EV_*",$X$3561:$X$3565)</f>
        <v>0</v>
      </c>
    </row>
    <row r="3567" spans="1:24" x14ac:dyDescent="0.25">
      <c r="A3567" t="s">
        <v>1943</v>
      </c>
      <c r="B3567" t="s">
        <v>2196</v>
      </c>
      <c r="C3567" t="s">
        <v>2197</v>
      </c>
      <c r="D3567" t="s">
        <v>355</v>
      </c>
      <c r="E3567" t="s">
        <v>5</v>
      </c>
      <c r="F3567" t="s">
        <v>5</v>
      </c>
      <c r="G3567" t="s">
        <v>1163</v>
      </c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</row>
    <row r="3568" spans="1:24" x14ac:dyDescent="0.25">
      <c r="A3568" t="s">
        <v>1943</v>
      </c>
      <c r="B3568" t="s">
        <v>2196</v>
      </c>
      <c r="C3568" t="s">
        <v>2197</v>
      </c>
      <c r="D3568" t="s">
        <v>355</v>
      </c>
      <c r="E3568" t="s">
        <v>18</v>
      </c>
      <c r="F3568" t="s">
        <v>1</v>
      </c>
      <c r="G3568" t="s">
        <v>1164</v>
      </c>
      <c r="H3568" t="s">
        <v>418</v>
      </c>
      <c r="I3568" t="s">
        <v>1</v>
      </c>
      <c r="J3568"/>
      <c r="K3568"/>
      <c r="L3568">
        <v>108.1</v>
      </c>
      <c r="M3568">
        <v>217.9917127071823</v>
      </c>
      <c r="N3568">
        <v>108.1</v>
      </c>
      <c r="O3568">
        <v>217.38791208789999</v>
      </c>
      <c r="P3568">
        <v>0</v>
      </c>
      <c r="Q3568">
        <f t="shared" ref="Q3568:Q3576" si="725">O3568+P3568</f>
        <v>217.38791208789999</v>
      </c>
      <c r="R3568">
        <v>217</v>
      </c>
      <c r="S3568">
        <f t="shared" ref="S3568:S3576" si="726">IF(OR(LEFT(E3568,2)="A_",LEFT(D3568,5)="Total"),R3568-Q3568,"")</f>
        <v>-0.38791208789999132</v>
      </c>
      <c r="T3568">
        <v>0.02</v>
      </c>
      <c r="U3568">
        <f t="shared" ref="U3568:U3576" si="727">IFERROR(R3568*T3568,R3568*0)</f>
        <v>4.34</v>
      </c>
      <c r="V3568">
        <f t="shared" ref="V3568:V3576" si="728">IF(OR(LEFT(E3568,2)="A_",LEFT(D3568,5)="Total"),R3568+U3568,"")</f>
        <v>221.34</v>
      </c>
      <c r="W3568">
        <f t="shared" ref="W3568:W3576" si="729">IF(OR(LEFT(E3568,2)="A_",LEFT(D3568,5)="Total"),V3568-Q3568,"")</f>
        <v>3.9520879121000121</v>
      </c>
      <c r="X3568">
        <v>0</v>
      </c>
    </row>
    <row r="3569" spans="1:24" x14ac:dyDescent="0.25">
      <c r="A3569" t="s">
        <v>1943</v>
      </c>
      <c r="B3569" t="s">
        <v>2196</v>
      </c>
      <c r="C3569" t="s">
        <v>2197</v>
      </c>
      <c r="D3569" t="s">
        <v>355</v>
      </c>
      <c r="E3569" t="s">
        <v>21</v>
      </c>
      <c r="F3569" t="s">
        <v>1</v>
      </c>
      <c r="G3569" t="s">
        <v>1164</v>
      </c>
      <c r="H3569" t="s">
        <v>421</v>
      </c>
      <c r="I3569" t="s">
        <v>1</v>
      </c>
      <c r="J3569">
        <v>983.92</v>
      </c>
      <c r="K3569">
        <v>1287.5000000002001</v>
      </c>
      <c r="L3569">
        <v>410.12</v>
      </c>
      <c r="M3569">
        <v>827.03756906077354</v>
      </c>
      <c r="N3569">
        <v>770.72</v>
      </c>
      <c r="O3569">
        <v>827.03756906080002</v>
      </c>
      <c r="P3569">
        <v>0</v>
      </c>
      <c r="Q3569">
        <f t="shared" si="725"/>
        <v>827.03756906080002</v>
      </c>
      <c r="R3569">
        <v>827</v>
      </c>
      <c r="S3569">
        <f t="shared" si="726"/>
        <v>-3.756906080002409E-2</v>
      </c>
      <c r="T3569">
        <v>0.03</v>
      </c>
      <c r="U3569">
        <f t="shared" si="727"/>
        <v>24.81</v>
      </c>
      <c r="V3569">
        <f t="shared" si="728"/>
        <v>851.81</v>
      </c>
      <c r="W3569">
        <f t="shared" si="729"/>
        <v>24.772430939199921</v>
      </c>
      <c r="X3569">
        <v>0</v>
      </c>
    </row>
    <row r="3570" spans="1:24" x14ac:dyDescent="0.25">
      <c r="A3570" t="s">
        <v>1943</v>
      </c>
      <c r="B3570" t="s">
        <v>2196</v>
      </c>
      <c r="C3570" t="s">
        <v>2197</v>
      </c>
      <c r="D3570" t="s">
        <v>355</v>
      </c>
      <c r="E3570" t="s">
        <v>22</v>
      </c>
      <c r="F3570" t="s">
        <v>1</v>
      </c>
      <c r="G3570" t="s">
        <v>1164</v>
      </c>
      <c r="H3570" t="s">
        <v>422</v>
      </c>
      <c r="I3570" t="s">
        <v>1</v>
      </c>
      <c r="J3570">
        <v>4397.16</v>
      </c>
      <c r="K3570">
        <v>6717.1499999997995</v>
      </c>
      <c r="L3570">
        <v>1986.97</v>
      </c>
      <c r="M3570">
        <v>4006.8732044198896</v>
      </c>
      <c r="N3570">
        <v>3140.7200000000003</v>
      </c>
      <c r="O3570">
        <v>4006.8732044199</v>
      </c>
      <c r="P3570">
        <v>0</v>
      </c>
      <c r="Q3570">
        <f t="shared" si="725"/>
        <v>4006.8732044199</v>
      </c>
      <c r="R3570">
        <v>4007</v>
      </c>
      <c r="S3570">
        <f t="shared" si="726"/>
        <v>0.12679558009995162</v>
      </c>
      <c r="T3570">
        <v>3.5000000000000003E-2</v>
      </c>
      <c r="U3570">
        <f t="shared" si="727"/>
        <v>140.245</v>
      </c>
      <c r="V3570">
        <f t="shared" si="728"/>
        <v>4147.2449999999999</v>
      </c>
      <c r="W3570">
        <f t="shared" si="729"/>
        <v>140.37179558009984</v>
      </c>
      <c r="X3570">
        <v>0</v>
      </c>
    </row>
    <row r="3571" spans="1:24" x14ac:dyDescent="0.25">
      <c r="A3571" t="s">
        <v>1943</v>
      </c>
      <c r="B3571" t="s">
        <v>2196</v>
      </c>
      <c r="C3571" t="s">
        <v>2197</v>
      </c>
      <c r="D3571" t="s">
        <v>355</v>
      </c>
      <c r="E3571" t="s">
        <v>27</v>
      </c>
      <c r="F3571" t="s">
        <v>1</v>
      </c>
      <c r="G3571" t="s">
        <v>1164</v>
      </c>
      <c r="H3571" t="s">
        <v>427</v>
      </c>
      <c r="I3571" t="s">
        <v>1</v>
      </c>
      <c r="J3571">
        <v>1541.18</v>
      </c>
      <c r="K3571">
        <v>1580.0000000004</v>
      </c>
      <c r="L3571">
        <v>540.5</v>
      </c>
      <c r="M3571">
        <v>1089.9585635359117</v>
      </c>
      <c r="N3571">
        <v>1153.0899999999997</v>
      </c>
      <c r="O3571">
        <v>1081</v>
      </c>
      <c r="P3571">
        <v>0</v>
      </c>
      <c r="Q3571">
        <f t="shared" si="725"/>
        <v>1081</v>
      </c>
      <c r="R3571">
        <v>1081</v>
      </c>
      <c r="S3571">
        <f t="shared" si="726"/>
        <v>0</v>
      </c>
      <c r="T3571"/>
      <c r="U3571">
        <f t="shared" si="727"/>
        <v>0</v>
      </c>
      <c r="V3571">
        <f t="shared" si="728"/>
        <v>1081</v>
      </c>
      <c r="W3571">
        <f t="shared" si="729"/>
        <v>0</v>
      </c>
      <c r="X3571">
        <v>0</v>
      </c>
    </row>
    <row r="3572" spans="1:24" x14ac:dyDescent="0.25">
      <c r="A3572" t="s">
        <v>1943</v>
      </c>
      <c r="B3572" t="s">
        <v>2196</v>
      </c>
      <c r="C3572" t="s">
        <v>2197</v>
      </c>
      <c r="D3572" t="s">
        <v>355</v>
      </c>
      <c r="E3572" t="s">
        <v>28</v>
      </c>
      <c r="F3572" t="s">
        <v>1</v>
      </c>
      <c r="G3572" t="s">
        <v>1164</v>
      </c>
      <c r="H3572" t="s">
        <v>428</v>
      </c>
      <c r="I3572" t="s">
        <v>1</v>
      </c>
      <c r="J3572">
        <v>46.02</v>
      </c>
      <c r="K3572"/>
      <c r="L3572">
        <v>167.47</v>
      </c>
      <c r="M3572">
        <v>337.71574585635358</v>
      </c>
      <c r="N3572">
        <v>213.49</v>
      </c>
      <c r="O3572">
        <v>334.94</v>
      </c>
      <c r="P3572">
        <v>0</v>
      </c>
      <c r="Q3572">
        <f t="shared" si="725"/>
        <v>334.94</v>
      </c>
      <c r="R3572">
        <v>0</v>
      </c>
      <c r="S3572">
        <f t="shared" si="726"/>
        <v>-334.94</v>
      </c>
      <c r="T3572"/>
      <c r="U3572">
        <f t="shared" si="727"/>
        <v>0</v>
      </c>
      <c r="V3572">
        <f t="shared" si="728"/>
        <v>0</v>
      </c>
      <c r="W3572">
        <f t="shared" si="729"/>
        <v>-334.94</v>
      </c>
      <c r="X3572">
        <v>0</v>
      </c>
    </row>
    <row r="3573" spans="1:24" x14ac:dyDescent="0.25">
      <c r="A3573" t="s">
        <v>1943</v>
      </c>
      <c r="B3573" t="s">
        <v>2196</v>
      </c>
      <c r="C3573" t="s">
        <v>2197</v>
      </c>
      <c r="D3573" t="s">
        <v>355</v>
      </c>
      <c r="E3573" t="s">
        <v>43</v>
      </c>
      <c r="F3573" t="s">
        <v>1</v>
      </c>
      <c r="G3573" t="s">
        <v>1164</v>
      </c>
      <c r="H3573" t="s">
        <v>443</v>
      </c>
      <c r="I3573" t="s">
        <v>1</v>
      </c>
      <c r="J3573">
        <v>20175</v>
      </c>
      <c r="K3573">
        <v>71876.000000000393</v>
      </c>
      <c r="L3573">
        <v>0</v>
      </c>
      <c r="M3573">
        <v>0</v>
      </c>
      <c r="N3573">
        <v>0</v>
      </c>
      <c r="O3573"/>
      <c r="P3573">
        <v>0</v>
      </c>
      <c r="Q3573">
        <f t="shared" si="725"/>
        <v>0</v>
      </c>
      <c r="R3573">
        <v>0</v>
      </c>
      <c r="S3573">
        <f t="shared" si="726"/>
        <v>0</v>
      </c>
      <c r="T3573">
        <v>0.03</v>
      </c>
      <c r="U3573">
        <f t="shared" si="727"/>
        <v>0</v>
      </c>
      <c r="V3573">
        <f t="shared" si="728"/>
        <v>0</v>
      </c>
      <c r="W3573">
        <f t="shared" si="729"/>
        <v>0</v>
      </c>
      <c r="X3573">
        <v>0</v>
      </c>
    </row>
    <row r="3574" spans="1:24" x14ac:dyDescent="0.25">
      <c r="A3574" t="s">
        <v>1943</v>
      </c>
      <c r="B3574" t="s">
        <v>2196</v>
      </c>
      <c r="C3574" t="s">
        <v>2197</v>
      </c>
      <c r="D3574" t="s">
        <v>355</v>
      </c>
      <c r="E3574" t="s">
        <v>46</v>
      </c>
      <c r="F3574" t="s">
        <v>1</v>
      </c>
      <c r="G3574" t="s">
        <v>1164</v>
      </c>
      <c r="H3574" t="s">
        <v>446</v>
      </c>
      <c r="I3574" t="s">
        <v>1</v>
      </c>
      <c r="J3574">
        <v>0</v>
      </c>
      <c r="K3574"/>
      <c r="L3574">
        <v>0</v>
      </c>
      <c r="M3574">
        <v>0</v>
      </c>
      <c r="N3574">
        <v>-5000</v>
      </c>
      <c r="O3574"/>
      <c r="P3574">
        <v>0</v>
      </c>
      <c r="Q3574">
        <f t="shared" si="725"/>
        <v>0</v>
      </c>
      <c r="R3574">
        <v>0</v>
      </c>
      <c r="S3574">
        <f t="shared" si="726"/>
        <v>0</v>
      </c>
      <c r="T3574">
        <v>0.03</v>
      </c>
      <c r="U3574">
        <f t="shared" si="727"/>
        <v>0</v>
      </c>
      <c r="V3574">
        <f t="shared" si="728"/>
        <v>0</v>
      </c>
      <c r="W3574">
        <f t="shared" si="729"/>
        <v>0</v>
      </c>
      <c r="X3574">
        <v>0</v>
      </c>
    </row>
    <row r="3575" spans="1:24" x14ac:dyDescent="0.25">
      <c r="A3575" t="s">
        <v>1943</v>
      </c>
      <c r="B3575" t="s">
        <v>2196</v>
      </c>
      <c r="C3575" t="s">
        <v>2197</v>
      </c>
      <c r="D3575" t="s">
        <v>355</v>
      </c>
      <c r="E3575" t="s">
        <v>282</v>
      </c>
      <c r="F3575" t="s">
        <v>1</v>
      </c>
      <c r="G3575" t="s">
        <v>1164</v>
      </c>
      <c r="H3575" t="s">
        <v>995</v>
      </c>
      <c r="I3575" t="s">
        <v>1</v>
      </c>
      <c r="J3575">
        <v>341639</v>
      </c>
      <c r="K3575"/>
      <c r="L3575">
        <v>-2400</v>
      </c>
      <c r="M3575">
        <v>-4839.7790055248615</v>
      </c>
      <c r="N3575">
        <v>-17845</v>
      </c>
      <c r="O3575">
        <v>-4800</v>
      </c>
      <c r="P3575">
        <v>0</v>
      </c>
      <c r="Q3575">
        <f t="shared" si="725"/>
        <v>-4800</v>
      </c>
      <c r="R3575">
        <v>0</v>
      </c>
      <c r="S3575">
        <f t="shared" si="726"/>
        <v>4800</v>
      </c>
      <c r="T3575">
        <v>0.03</v>
      </c>
      <c r="U3575">
        <f t="shared" si="727"/>
        <v>0</v>
      </c>
      <c r="V3575">
        <f t="shared" si="728"/>
        <v>0</v>
      </c>
      <c r="W3575">
        <f t="shared" si="729"/>
        <v>4800</v>
      </c>
      <c r="X3575">
        <v>0</v>
      </c>
    </row>
    <row r="3576" spans="1:24" x14ac:dyDescent="0.25">
      <c r="A3576" t="s">
        <v>1943</v>
      </c>
      <c r="B3576" t="s">
        <v>2196</v>
      </c>
      <c r="C3576" t="s">
        <v>2197</v>
      </c>
      <c r="D3576" t="s">
        <v>355</v>
      </c>
      <c r="E3576" t="s">
        <v>50</v>
      </c>
      <c r="F3576" t="s">
        <v>1</v>
      </c>
      <c r="G3576" t="s">
        <v>1164</v>
      </c>
      <c r="H3576" t="s">
        <v>450</v>
      </c>
      <c r="I3576" t="s">
        <v>1</v>
      </c>
      <c r="J3576">
        <v>3846.83</v>
      </c>
      <c r="K3576">
        <v>3810</v>
      </c>
      <c r="L3576">
        <v>2374.4699999999998</v>
      </c>
      <c r="M3576">
        <v>4788.2958563535904</v>
      </c>
      <c r="N3576">
        <v>4405.79</v>
      </c>
      <c r="O3576">
        <v>4788.2958563536004</v>
      </c>
      <c r="P3576">
        <v>0</v>
      </c>
      <c r="Q3576">
        <f t="shared" si="725"/>
        <v>4788.2958563536004</v>
      </c>
      <c r="R3576">
        <v>4788</v>
      </c>
      <c r="S3576">
        <f t="shared" si="726"/>
        <v>-0.29585635360035667</v>
      </c>
      <c r="T3576"/>
      <c r="U3576">
        <f t="shared" si="727"/>
        <v>0</v>
      </c>
      <c r="V3576">
        <f t="shared" si="728"/>
        <v>4788</v>
      </c>
      <c r="W3576">
        <f t="shared" si="729"/>
        <v>-0.29585635360035667</v>
      </c>
      <c r="X3576">
        <v>0</v>
      </c>
    </row>
    <row r="3577" spans="1:24" x14ac:dyDescent="0.25">
      <c r="A3577" t="s">
        <v>1943</v>
      </c>
      <c r="B3577" t="s">
        <v>2196</v>
      </c>
      <c r="C3577" t="s">
        <v>2197</v>
      </c>
      <c r="D3577" t="s">
        <v>355</v>
      </c>
      <c r="E3577" t="s">
        <v>51</v>
      </c>
      <c r="F3577" t="s">
        <v>51</v>
      </c>
      <c r="G3577" t="s">
        <v>1165</v>
      </c>
      <c r="H3577"/>
      <c r="I3577"/>
      <c r="J3577">
        <v>372629.11000000004</v>
      </c>
      <c r="K3577">
        <v>85270.650000000795</v>
      </c>
      <c r="L3577">
        <v>3187.6299999999997</v>
      </c>
      <c r="M3577">
        <v>6428.093646408839</v>
      </c>
      <c r="N3577">
        <v>-13053.09</v>
      </c>
      <c r="O3577">
        <v>6455.5345419222003</v>
      </c>
      <c r="P3577">
        <f>SUMIF($F$3567:$F$3576,"&lt;&gt;EV_*",$P$3567:$P$3576)</f>
        <v>0</v>
      </c>
      <c r="Q3577">
        <f>SUMIF($F$3567:$F$3576,"&lt;&gt;EV_*",$Q$3567:$Q$3576)</f>
        <v>6455.5345419222003</v>
      </c>
      <c r="R3577">
        <f>SUMIF($F$3567:$F$3576,"&lt;&gt;EV_*",$R$3567:$R$3576)</f>
        <v>10920</v>
      </c>
      <c r="S3577">
        <f>SUMIF($F$3567:$F$3576,"&lt;&gt;EV_*",$S$3567:$S$3576)</f>
        <v>4464.4654580777997</v>
      </c>
      <c r="T3577">
        <v>0</v>
      </c>
      <c r="U3577">
        <f>SUMIF($F$3567:$F$3576,"&lt;&gt;EV_*",$U$3567:$U$3576)</f>
        <v>169.39500000000001</v>
      </c>
      <c r="V3577">
        <f>SUMIF($F$3567:$F$3576,"&lt;&gt;EV_*",$V$3567:$V$3576)</f>
        <v>11089.395</v>
      </c>
      <c r="W3577">
        <f>SUMIF($F$3567:$F$3576,"&lt;&gt;EV_*",$W$3567:$W$3576)</f>
        <v>4633.8604580777992</v>
      </c>
      <c r="X3577">
        <f>SUMIF($F$3567:$F$3576,"&lt;&gt;EV_*",$X$3567:$X$3576)</f>
        <v>0</v>
      </c>
    </row>
    <row r="3578" spans="1:24" x14ac:dyDescent="0.25">
      <c r="A3578" t="s">
        <v>1943</v>
      </c>
      <c r="B3578" t="s">
        <v>2196</v>
      </c>
      <c r="C3578" t="s">
        <v>2198</v>
      </c>
      <c r="D3578" t="s">
        <v>356</v>
      </c>
      <c r="E3578" t="s">
        <v>5</v>
      </c>
      <c r="F3578" t="s">
        <v>5</v>
      </c>
      <c r="G3578" t="s">
        <v>1166</v>
      </c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</row>
    <row r="3579" spans="1:24" x14ac:dyDescent="0.25">
      <c r="A3579" t="s">
        <v>1943</v>
      </c>
      <c r="B3579" t="s">
        <v>2196</v>
      </c>
      <c r="C3579" t="s">
        <v>2198</v>
      </c>
      <c r="D3579" t="s">
        <v>356</v>
      </c>
      <c r="E3579" t="s">
        <v>8</v>
      </c>
      <c r="F3579" t="s">
        <v>1</v>
      </c>
      <c r="G3579" t="s">
        <v>1167</v>
      </c>
      <c r="H3579" t="s">
        <v>408</v>
      </c>
      <c r="I3579" t="s">
        <v>1</v>
      </c>
      <c r="J3579">
        <v>560.29999999999995</v>
      </c>
      <c r="K3579">
        <v>1129.8867403314</v>
      </c>
      <c r="L3579">
        <v>0</v>
      </c>
      <c r="M3579">
        <v>0</v>
      </c>
      <c r="N3579">
        <v>0</v>
      </c>
      <c r="O3579"/>
      <c r="P3579">
        <v>0</v>
      </c>
      <c r="Q3579">
        <f>O3579+P3579</f>
        <v>0</v>
      </c>
      <c r="R3579">
        <v>0</v>
      </c>
      <c r="S3579">
        <f>IF(OR(LEFT(E3579,2)="A_",LEFT(D3579,5)="Total"),R3579-Q3579,"")</f>
        <v>0</v>
      </c>
      <c r="T3579"/>
      <c r="U3579">
        <f>IFERROR(R3579*T3579,R3579*0)</f>
        <v>0</v>
      </c>
      <c r="V3579">
        <f>IF(OR(LEFT(E3579,2)="A_",LEFT(D3579,5)="Total"),R3579+U3579,"")</f>
        <v>0</v>
      </c>
      <c r="W3579">
        <f>IF(OR(LEFT(E3579,2)="A_",LEFT(D3579,5)="Total"),V3579-Q3579,"")</f>
        <v>0</v>
      </c>
      <c r="X3579">
        <v>0</v>
      </c>
    </row>
    <row r="3580" spans="1:24" x14ac:dyDescent="0.25">
      <c r="A3580" t="s">
        <v>1943</v>
      </c>
      <c r="B3580" t="s">
        <v>2196</v>
      </c>
      <c r="C3580" t="s">
        <v>2198</v>
      </c>
      <c r="D3580" t="s">
        <v>356</v>
      </c>
      <c r="E3580" t="s">
        <v>82</v>
      </c>
      <c r="F3580" t="s">
        <v>1</v>
      </c>
      <c r="G3580" t="s">
        <v>1167</v>
      </c>
      <c r="H3580" t="s">
        <v>507</v>
      </c>
      <c r="I3580" t="s">
        <v>1</v>
      </c>
      <c r="J3580">
        <v>93.49</v>
      </c>
      <c r="K3580"/>
      <c r="L3580">
        <v>0</v>
      </c>
      <c r="M3580">
        <v>0</v>
      </c>
      <c r="N3580">
        <v>0</v>
      </c>
      <c r="O3580"/>
      <c r="P3580">
        <v>0</v>
      </c>
      <c r="Q3580">
        <f>O3580+P3580</f>
        <v>0</v>
      </c>
      <c r="R3580">
        <v>0</v>
      </c>
      <c r="S3580">
        <f>IF(OR(LEFT(E3580,2)="A_",LEFT(D3580,5)="Total"),R3580-Q3580,"")</f>
        <v>0</v>
      </c>
      <c r="T3580">
        <v>2.75E-2</v>
      </c>
      <c r="U3580">
        <f>IFERROR(R3580*T3580,R3580*0)</f>
        <v>0</v>
      </c>
      <c r="V3580">
        <f>IF(OR(LEFT(E3580,2)="A_",LEFT(D3580,5)="Total"),R3580+U3580,"")</f>
        <v>0</v>
      </c>
      <c r="W3580">
        <f>IF(OR(LEFT(E3580,2)="A_",LEFT(D3580,5)="Total"),V3580-Q3580,"")</f>
        <v>0</v>
      </c>
      <c r="X3580">
        <v>0</v>
      </c>
    </row>
    <row r="3581" spans="1:24" x14ac:dyDescent="0.25">
      <c r="A3581" t="s">
        <v>1943</v>
      </c>
      <c r="B3581" t="s">
        <v>2196</v>
      </c>
      <c r="C3581" t="s">
        <v>2198</v>
      </c>
      <c r="D3581" t="s">
        <v>356</v>
      </c>
      <c r="E3581" t="s">
        <v>18</v>
      </c>
      <c r="F3581" t="s">
        <v>1</v>
      </c>
      <c r="G3581" t="s">
        <v>1167</v>
      </c>
      <c r="H3581" t="s">
        <v>418</v>
      </c>
      <c r="I3581" t="s">
        <v>1</v>
      </c>
      <c r="J3581"/>
      <c r="K3581"/>
      <c r="L3581">
        <v>20</v>
      </c>
      <c r="M3581">
        <v>40.331491712707184</v>
      </c>
      <c r="N3581">
        <v>20</v>
      </c>
      <c r="O3581">
        <v>40.219780219800001</v>
      </c>
      <c r="P3581">
        <v>0</v>
      </c>
      <c r="Q3581">
        <f>O3581+P3581</f>
        <v>40.219780219800001</v>
      </c>
      <c r="R3581">
        <v>0</v>
      </c>
      <c r="S3581">
        <f>IF(OR(LEFT(E3581,2)="A_",LEFT(D3581,5)="Total"),R3581-Q3581,"")</f>
        <v>-40.219780219800001</v>
      </c>
      <c r="T3581">
        <v>0.02</v>
      </c>
      <c r="U3581">
        <f>IFERROR(R3581*T3581,R3581*0)</f>
        <v>0</v>
      </c>
      <c r="V3581">
        <f>IF(OR(LEFT(E3581,2)="A_",LEFT(D3581,5)="Total"),R3581+U3581,"")</f>
        <v>0</v>
      </c>
      <c r="W3581">
        <f>IF(OR(LEFT(E3581,2)="A_",LEFT(D3581,5)="Total"),V3581-Q3581,"")</f>
        <v>-40.219780219800001</v>
      </c>
      <c r="X3581">
        <v>0</v>
      </c>
    </row>
    <row r="3582" spans="1:24" x14ac:dyDescent="0.25">
      <c r="A3582" t="s">
        <v>1943</v>
      </c>
      <c r="B3582" t="s">
        <v>2196</v>
      </c>
      <c r="C3582" t="s">
        <v>2198</v>
      </c>
      <c r="D3582" t="s">
        <v>356</v>
      </c>
      <c r="E3582" t="s">
        <v>23</v>
      </c>
      <c r="F3582" t="s">
        <v>1</v>
      </c>
      <c r="G3582" t="s">
        <v>1167</v>
      </c>
      <c r="H3582" t="s">
        <v>423</v>
      </c>
      <c r="I3582" t="s">
        <v>1</v>
      </c>
      <c r="J3582">
        <v>51.31</v>
      </c>
      <c r="K3582">
        <v>103.5</v>
      </c>
      <c r="L3582">
        <v>0</v>
      </c>
      <c r="M3582">
        <v>0</v>
      </c>
      <c r="N3582">
        <v>0</v>
      </c>
      <c r="O3582"/>
      <c r="P3582">
        <v>0</v>
      </c>
      <c r="Q3582">
        <f>O3582+P3582</f>
        <v>0</v>
      </c>
      <c r="R3582">
        <v>0</v>
      </c>
      <c r="S3582">
        <f>IF(OR(LEFT(E3582,2)="A_",LEFT(D3582,5)="Total"),R3582-Q3582,"")</f>
        <v>0</v>
      </c>
      <c r="T3582">
        <v>3.5000000000000003E-2</v>
      </c>
      <c r="U3582">
        <f>IFERROR(R3582*T3582,R3582*0)</f>
        <v>0</v>
      </c>
      <c r="V3582">
        <f>IF(OR(LEFT(E3582,2)="A_",LEFT(D3582,5)="Total"),R3582+U3582,"")</f>
        <v>0</v>
      </c>
      <c r="W3582">
        <f>IF(OR(LEFT(E3582,2)="A_",LEFT(D3582,5)="Total"),V3582-Q3582,"")</f>
        <v>0</v>
      </c>
      <c r="X3582">
        <v>0</v>
      </c>
    </row>
    <row r="3583" spans="1:24" x14ac:dyDescent="0.25">
      <c r="A3583" t="s">
        <v>1943</v>
      </c>
      <c r="B3583" t="s">
        <v>2196</v>
      </c>
      <c r="C3583" t="s">
        <v>2198</v>
      </c>
      <c r="D3583" t="s">
        <v>356</v>
      </c>
      <c r="E3583" t="s">
        <v>42</v>
      </c>
      <c r="F3583" t="s">
        <v>1</v>
      </c>
      <c r="G3583" t="s">
        <v>1167</v>
      </c>
      <c r="H3583" t="s">
        <v>442</v>
      </c>
      <c r="I3583" t="s">
        <v>1</v>
      </c>
      <c r="J3583">
        <v>1257.05</v>
      </c>
      <c r="K3583"/>
      <c r="L3583">
        <v>1294.76</v>
      </c>
      <c r="M3583">
        <v>2610.9801104972375</v>
      </c>
      <c r="N3583">
        <v>1294.76</v>
      </c>
      <c r="O3583">
        <v>2589.52</v>
      </c>
      <c r="P3583">
        <v>0</v>
      </c>
      <c r="Q3583">
        <f>O3583+P3583</f>
        <v>2589.52</v>
      </c>
      <c r="R3583">
        <v>2590</v>
      </c>
      <c r="S3583">
        <f>IF(OR(LEFT(E3583,2)="A_",LEFT(D3583,5)="Total"),R3583-Q3583,"")</f>
        <v>0.48000000000001819</v>
      </c>
      <c r="T3583">
        <v>0.03</v>
      </c>
      <c r="U3583">
        <f>IFERROR(R3583*T3583,R3583*0)</f>
        <v>77.7</v>
      </c>
      <c r="V3583">
        <f>IF(OR(LEFT(E3583,2)="A_",LEFT(D3583,5)="Total"),R3583+U3583,"")</f>
        <v>2667.7</v>
      </c>
      <c r="W3583">
        <f>IF(OR(LEFT(E3583,2)="A_",LEFT(D3583,5)="Total"),V3583-Q3583,"")</f>
        <v>78.179999999999836</v>
      </c>
      <c r="X3583">
        <v>0</v>
      </c>
    </row>
    <row r="3584" spans="1:24" x14ac:dyDescent="0.25">
      <c r="A3584" t="s">
        <v>1943</v>
      </c>
      <c r="B3584" t="s">
        <v>2196</v>
      </c>
      <c r="C3584" t="s">
        <v>2198</v>
      </c>
      <c r="D3584" t="s">
        <v>356</v>
      </c>
      <c r="E3584" t="s">
        <v>51</v>
      </c>
      <c r="F3584" t="s">
        <v>51</v>
      </c>
      <c r="G3584" t="s">
        <v>1168</v>
      </c>
      <c r="H3584"/>
      <c r="I3584"/>
      <c r="J3584">
        <v>1962.1499999999999</v>
      </c>
      <c r="K3584">
        <v>1233.3867403314</v>
      </c>
      <c r="L3584">
        <v>1314.76</v>
      </c>
      <c r="M3584">
        <v>2651.3116022099448</v>
      </c>
      <c r="N3584">
        <v>1314.76</v>
      </c>
      <c r="O3584">
        <v>2629.7397802198002</v>
      </c>
      <c r="P3584">
        <f>SUMIF($F$3578:$F$3583,"&lt;&gt;EV_*",$P$3578:$P$3583)</f>
        <v>0</v>
      </c>
      <c r="Q3584">
        <f>SUMIF($F$3578:$F$3583,"&lt;&gt;EV_*",$Q$3578:$Q$3583)</f>
        <v>2629.7397802198002</v>
      </c>
      <c r="R3584">
        <f>SUMIF($F$3578:$F$3583,"&lt;&gt;EV_*",$R$3578:$R$3583)</f>
        <v>2590</v>
      </c>
      <c r="S3584">
        <f>SUMIF($F$3578:$F$3583,"&lt;&gt;EV_*",$S$3578:$S$3583)</f>
        <v>-39.739780219799982</v>
      </c>
      <c r="T3584">
        <v>0</v>
      </c>
      <c r="U3584">
        <f>SUMIF($F$3578:$F$3583,"&lt;&gt;EV_*",$U$3578:$U$3583)</f>
        <v>77.7</v>
      </c>
      <c r="V3584">
        <f>SUMIF($F$3578:$F$3583,"&lt;&gt;EV_*",$V$3578:$V$3583)</f>
        <v>2667.7</v>
      </c>
      <c r="W3584">
        <f>SUMIF($F$3578:$F$3583,"&lt;&gt;EV_*",$W$3578:$W$3583)</f>
        <v>37.960219780199836</v>
      </c>
      <c r="X3584">
        <f>SUMIF($F$3578:$F$3583,"&lt;&gt;EV_*",$X$3578:$X$3583)</f>
        <v>0</v>
      </c>
    </row>
    <row r="3585" spans="1:24" x14ac:dyDescent="0.25">
      <c r="A3585" t="s">
        <v>1943</v>
      </c>
      <c r="B3585" t="s">
        <v>2199</v>
      </c>
      <c r="C3585" t="s">
        <v>2200</v>
      </c>
      <c r="D3585" t="s">
        <v>357</v>
      </c>
      <c r="E3585" t="s">
        <v>5</v>
      </c>
      <c r="F3585" t="s">
        <v>5</v>
      </c>
      <c r="G3585" t="s">
        <v>1169</v>
      </c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</row>
    <row r="3586" spans="1:24" x14ac:dyDescent="0.25">
      <c r="A3586" t="s">
        <v>1943</v>
      </c>
      <c r="B3586" t="s">
        <v>2199</v>
      </c>
      <c r="C3586" t="s">
        <v>2200</v>
      </c>
      <c r="D3586" t="s">
        <v>357</v>
      </c>
      <c r="E3586" t="s">
        <v>8</v>
      </c>
      <c r="F3586" t="s">
        <v>1</v>
      </c>
      <c r="G3586" t="s">
        <v>1170</v>
      </c>
      <c r="H3586" t="s">
        <v>408</v>
      </c>
      <c r="I3586" t="s">
        <v>1</v>
      </c>
      <c r="J3586">
        <v>311.5</v>
      </c>
      <c r="K3586">
        <v>226.13867403309999</v>
      </c>
      <c r="L3586">
        <v>0</v>
      </c>
      <c r="M3586">
        <v>0</v>
      </c>
      <c r="N3586">
        <v>199.36</v>
      </c>
      <c r="O3586"/>
      <c r="P3586">
        <v>0</v>
      </c>
      <c r="Q3586">
        <f t="shared" ref="Q3586:Q3607" si="730">O3586+P3586</f>
        <v>0</v>
      </c>
      <c r="R3586">
        <v>0</v>
      </c>
      <c r="S3586">
        <f t="shared" ref="S3586:S3607" si="731">IF(OR(LEFT(E3586,2)="A_",LEFT(D3586,5)="Total"),R3586-Q3586,"")</f>
        <v>0</v>
      </c>
      <c r="T3586"/>
      <c r="U3586">
        <f t="shared" ref="U3586:U3607" si="732">IFERROR(R3586*T3586,R3586*0)</f>
        <v>0</v>
      </c>
      <c r="V3586">
        <f t="shared" ref="V3586:V3607" si="733">IF(OR(LEFT(E3586,2)="A_",LEFT(D3586,5)="Total"),R3586+U3586,"")</f>
        <v>0</v>
      </c>
      <c r="W3586">
        <f t="shared" ref="W3586:W3607" si="734">IF(OR(LEFT(E3586,2)="A_",LEFT(D3586,5)="Total"),V3586-Q3586,"")</f>
        <v>0</v>
      </c>
      <c r="X3586">
        <v>0</v>
      </c>
    </row>
    <row r="3587" spans="1:24" x14ac:dyDescent="0.25">
      <c r="A3587" t="s">
        <v>1943</v>
      </c>
      <c r="B3587" t="s">
        <v>2199</v>
      </c>
      <c r="C3587" t="s">
        <v>2200</v>
      </c>
      <c r="D3587" t="s">
        <v>357</v>
      </c>
      <c r="E3587" t="s">
        <v>11</v>
      </c>
      <c r="F3587" t="s">
        <v>1</v>
      </c>
      <c r="G3587" t="s">
        <v>1170</v>
      </c>
      <c r="H3587" t="s">
        <v>411</v>
      </c>
      <c r="I3587" t="s">
        <v>1</v>
      </c>
      <c r="J3587">
        <v>1246.32</v>
      </c>
      <c r="K3587">
        <v>869.31</v>
      </c>
      <c r="L3587">
        <v>424.82</v>
      </c>
      <c r="M3587">
        <v>856.68121546961322</v>
      </c>
      <c r="N3587">
        <v>1164.73</v>
      </c>
      <c r="O3587">
        <v>849.64</v>
      </c>
      <c r="P3587">
        <v>0</v>
      </c>
      <c r="Q3587">
        <f t="shared" si="730"/>
        <v>849.64</v>
      </c>
      <c r="R3587">
        <v>864</v>
      </c>
      <c r="S3587">
        <f t="shared" si="731"/>
        <v>14.360000000000014</v>
      </c>
      <c r="T3587"/>
      <c r="U3587">
        <f t="shared" si="732"/>
        <v>0</v>
      </c>
      <c r="V3587">
        <f t="shared" si="733"/>
        <v>864</v>
      </c>
      <c r="W3587">
        <f t="shared" si="734"/>
        <v>14.360000000000014</v>
      </c>
      <c r="X3587" t="s">
        <v>1857</v>
      </c>
    </row>
    <row r="3588" spans="1:24" x14ac:dyDescent="0.25">
      <c r="A3588" t="s">
        <v>1943</v>
      </c>
      <c r="B3588" t="s">
        <v>2199</v>
      </c>
      <c r="C3588" t="s">
        <v>2200</v>
      </c>
      <c r="D3588" t="s">
        <v>357</v>
      </c>
      <c r="E3588" t="s">
        <v>17</v>
      </c>
      <c r="F3588" t="s">
        <v>1</v>
      </c>
      <c r="G3588" t="s">
        <v>1170</v>
      </c>
      <c r="H3588" t="s">
        <v>417</v>
      </c>
      <c r="I3588" t="s">
        <v>1</v>
      </c>
      <c r="J3588">
        <v>-709.49</v>
      </c>
      <c r="K3588">
        <v>-249.99999999990001</v>
      </c>
      <c r="L3588">
        <v>0</v>
      </c>
      <c r="M3588">
        <v>0</v>
      </c>
      <c r="N3588">
        <v>0</v>
      </c>
      <c r="O3588"/>
      <c r="P3588">
        <v>0</v>
      </c>
      <c r="Q3588">
        <f t="shared" si="730"/>
        <v>0</v>
      </c>
      <c r="R3588">
        <v>0</v>
      </c>
      <c r="S3588">
        <f t="shared" si="731"/>
        <v>0</v>
      </c>
      <c r="T3588"/>
      <c r="U3588">
        <f t="shared" si="732"/>
        <v>0</v>
      </c>
      <c r="V3588">
        <f t="shared" si="733"/>
        <v>0</v>
      </c>
      <c r="W3588">
        <f t="shared" si="734"/>
        <v>0</v>
      </c>
      <c r="X3588">
        <v>0</v>
      </c>
    </row>
    <row r="3589" spans="1:24" x14ac:dyDescent="0.25">
      <c r="A3589" t="s">
        <v>1943</v>
      </c>
      <c r="B3589" t="s">
        <v>2199</v>
      </c>
      <c r="C3589" t="s">
        <v>2200</v>
      </c>
      <c r="D3589" t="s">
        <v>357</v>
      </c>
      <c r="E3589" t="s">
        <v>18</v>
      </c>
      <c r="F3589" t="s">
        <v>1</v>
      </c>
      <c r="G3589" t="s">
        <v>1170</v>
      </c>
      <c r="H3589" t="s">
        <v>418</v>
      </c>
      <c r="I3589" t="s">
        <v>1</v>
      </c>
      <c r="J3589">
        <v>2130.3000000000002</v>
      </c>
      <c r="K3589">
        <v>3064.6571604938999</v>
      </c>
      <c r="L3589">
        <v>2285</v>
      </c>
      <c r="M3589">
        <v>4607.8729281767955</v>
      </c>
      <c r="N3589">
        <v>4415.3</v>
      </c>
      <c r="O3589">
        <v>4595.1098901099003</v>
      </c>
      <c r="P3589">
        <v>0</v>
      </c>
      <c r="Q3589">
        <f t="shared" si="730"/>
        <v>4595.1098901099003</v>
      </c>
      <c r="R3589">
        <v>4852</v>
      </c>
      <c r="S3589">
        <f t="shared" si="731"/>
        <v>256.89010989009967</v>
      </c>
      <c r="T3589">
        <v>0.02</v>
      </c>
      <c r="U3589">
        <f t="shared" si="732"/>
        <v>97.04</v>
      </c>
      <c r="V3589">
        <f t="shared" si="733"/>
        <v>4949.04</v>
      </c>
      <c r="W3589">
        <f t="shared" si="734"/>
        <v>353.93010989009963</v>
      </c>
      <c r="X3589" t="s">
        <v>1858</v>
      </c>
    </row>
    <row r="3590" spans="1:24" x14ac:dyDescent="0.25">
      <c r="A3590" t="s">
        <v>1943</v>
      </c>
      <c r="B3590" t="s">
        <v>2199</v>
      </c>
      <c r="C3590" t="s">
        <v>2200</v>
      </c>
      <c r="D3590" t="s">
        <v>357</v>
      </c>
      <c r="E3590" t="s">
        <v>19</v>
      </c>
      <c r="F3590" t="s">
        <v>1</v>
      </c>
      <c r="G3590" t="s">
        <v>1170</v>
      </c>
      <c r="H3590" t="s">
        <v>419</v>
      </c>
      <c r="I3590" t="s">
        <v>1</v>
      </c>
      <c r="J3590">
        <v>101730.86</v>
      </c>
      <c r="K3590">
        <v>89301.731839506101</v>
      </c>
      <c r="L3590">
        <v>51693.41</v>
      </c>
      <c r="M3590">
        <v>104243.61685082874</v>
      </c>
      <c r="N3590">
        <v>124414.04</v>
      </c>
      <c r="O3590">
        <v>103954.87945054899</v>
      </c>
      <c r="P3590">
        <v>0</v>
      </c>
      <c r="Q3590">
        <f t="shared" si="730"/>
        <v>103954.87945054899</v>
      </c>
      <c r="R3590">
        <v>125000</v>
      </c>
      <c r="S3590">
        <f t="shared" si="731"/>
        <v>21045.120549451007</v>
      </c>
      <c r="T3590">
        <v>0.02</v>
      </c>
      <c r="U3590">
        <f t="shared" si="732"/>
        <v>2500</v>
      </c>
      <c r="V3590">
        <f t="shared" si="733"/>
        <v>127500</v>
      </c>
      <c r="W3590">
        <f t="shared" si="734"/>
        <v>23545.120549451007</v>
      </c>
      <c r="X3590" t="s">
        <v>1859</v>
      </c>
    </row>
    <row r="3591" spans="1:24" x14ac:dyDescent="0.25">
      <c r="A3591" t="s">
        <v>1943</v>
      </c>
      <c r="B3591" t="s">
        <v>2199</v>
      </c>
      <c r="C3591" t="s">
        <v>2200</v>
      </c>
      <c r="D3591" t="s">
        <v>357</v>
      </c>
      <c r="E3591" t="s">
        <v>74</v>
      </c>
      <c r="F3591" t="s">
        <v>1</v>
      </c>
      <c r="G3591" t="s">
        <v>1170</v>
      </c>
      <c r="H3591" t="s">
        <v>491</v>
      </c>
      <c r="I3591" t="s">
        <v>1</v>
      </c>
      <c r="J3591">
        <v>322.76</v>
      </c>
      <c r="K3591"/>
      <c r="L3591">
        <v>0</v>
      </c>
      <c r="M3591">
        <v>0</v>
      </c>
      <c r="N3591">
        <v>47.76</v>
      </c>
      <c r="O3591"/>
      <c r="P3591">
        <v>0</v>
      </c>
      <c r="Q3591">
        <f t="shared" si="730"/>
        <v>0</v>
      </c>
      <c r="R3591">
        <v>300</v>
      </c>
      <c r="S3591">
        <f t="shared" si="731"/>
        <v>300</v>
      </c>
      <c r="T3591">
        <v>3.5000000000000003E-2</v>
      </c>
      <c r="U3591">
        <f t="shared" si="732"/>
        <v>10.500000000000002</v>
      </c>
      <c r="V3591">
        <f t="shared" si="733"/>
        <v>310.5</v>
      </c>
      <c r="W3591">
        <f t="shared" si="734"/>
        <v>310.5</v>
      </c>
      <c r="X3591" t="s">
        <v>1860</v>
      </c>
    </row>
    <row r="3592" spans="1:24" x14ac:dyDescent="0.25">
      <c r="A3592" t="s">
        <v>1943</v>
      </c>
      <c r="B3592" t="s">
        <v>2199</v>
      </c>
      <c r="C3592" t="s">
        <v>2200</v>
      </c>
      <c r="D3592" t="s">
        <v>357</v>
      </c>
      <c r="E3592" t="s">
        <v>20</v>
      </c>
      <c r="F3592" t="s">
        <v>1</v>
      </c>
      <c r="G3592" t="s">
        <v>1170</v>
      </c>
      <c r="H3592" t="s">
        <v>420</v>
      </c>
      <c r="I3592" t="s">
        <v>1</v>
      </c>
      <c r="J3592">
        <v>-1347.19</v>
      </c>
      <c r="K3592">
        <v>3.1242797E-3</v>
      </c>
      <c r="L3592">
        <v>0</v>
      </c>
      <c r="M3592">
        <v>0</v>
      </c>
      <c r="N3592">
        <v>0</v>
      </c>
      <c r="O3592"/>
      <c r="P3592">
        <v>0</v>
      </c>
      <c r="Q3592">
        <f t="shared" si="730"/>
        <v>0</v>
      </c>
      <c r="R3592">
        <v>0</v>
      </c>
      <c r="S3592">
        <f t="shared" si="731"/>
        <v>0</v>
      </c>
      <c r="T3592">
        <v>0.04</v>
      </c>
      <c r="U3592">
        <f t="shared" si="732"/>
        <v>0</v>
      </c>
      <c r="V3592">
        <f t="shared" si="733"/>
        <v>0</v>
      </c>
      <c r="W3592">
        <f t="shared" si="734"/>
        <v>0</v>
      </c>
      <c r="X3592">
        <v>0</v>
      </c>
    </row>
    <row r="3593" spans="1:24" x14ac:dyDescent="0.25">
      <c r="A3593" t="s">
        <v>1943</v>
      </c>
      <c r="B3593" t="s">
        <v>2199</v>
      </c>
      <c r="C3593" t="s">
        <v>2200</v>
      </c>
      <c r="D3593" t="s">
        <v>357</v>
      </c>
      <c r="E3593" t="s">
        <v>21</v>
      </c>
      <c r="F3593" t="s">
        <v>1</v>
      </c>
      <c r="G3593" t="s">
        <v>1170</v>
      </c>
      <c r="H3593" t="s">
        <v>421</v>
      </c>
      <c r="I3593" t="s">
        <v>1</v>
      </c>
      <c r="J3593">
        <v>115.97</v>
      </c>
      <c r="K3593">
        <v>154.49999999990001</v>
      </c>
      <c r="L3593">
        <v>10.81</v>
      </c>
      <c r="M3593">
        <v>21.799171270718233</v>
      </c>
      <c r="N3593">
        <v>54.120000000000005</v>
      </c>
      <c r="O3593">
        <v>21.7991712707</v>
      </c>
      <c r="P3593">
        <v>0</v>
      </c>
      <c r="Q3593">
        <f t="shared" si="730"/>
        <v>21.7991712707</v>
      </c>
      <c r="R3593">
        <v>750</v>
      </c>
      <c r="S3593">
        <f t="shared" si="731"/>
        <v>728.20082872930004</v>
      </c>
      <c r="T3593">
        <v>0.03</v>
      </c>
      <c r="U3593">
        <f t="shared" si="732"/>
        <v>22.5</v>
      </c>
      <c r="V3593">
        <f t="shared" si="733"/>
        <v>772.5</v>
      </c>
      <c r="W3593">
        <f t="shared" si="734"/>
        <v>750.70082872930004</v>
      </c>
      <c r="X3593" t="s">
        <v>1861</v>
      </c>
    </row>
    <row r="3594" spans="1:24" x14ac:dyDescent="0.25">
      <c r="A3594" t="s">
        <v>1943</v>
      </c>
      <c r="B3594" t="s">
        <v>2199</v>
      </c>
      <c r="C3594" t="s">
        <v>2200</v>
      </c>
      <c r="D3594" t="s">
        <v>357</v>
      </c>
      <c r="E3594" t="s">
        <v>22</v>
      </c>
      <c r="F3594" t="s">
        <v>1</v>
      </c>
      <c r="G3594" t="s">
        <v>1170</v>
      </c>
      <c r="H3594" t="s">
        <v>422</v>
      </c>
      <c r="I3594" t="s">
        <v>1</v>
      </c>
      <c r="J3594">
        <v>1164.49</v>
      </c>
      <c r="K3594">
        <v>1086.75</v>
      </c>
      <c r="L3594">
        <v>939.95</v>
      </c>
      <c r="M3594">
        <v>1895.4792817679559</v>
      </c>
      <c r="N3594">
        <v>1581.16</v>
      </c>
      <c r="O3594">
        <v>1895.479281768</v>
      </c>
      <c r="P3594">
        <v>0</v>
      </c>
      <c r="Q3594">
        <f t="shared" si="730"/>
        <v>1895.479281768</v>
      </c>
      <c r="R3594">
        <v>1895</v>
      </c>
      <c r="S3594">
        <f t="shared" si="731"/>
        <v>-0.47928176799996436</v>
      </c>
      <c r="T3594">
        <v>3.5000000000000003E-2</v>
      </c>
      <c r="U3594">
        <f t="shared" si="732"/>
        <v>66.325000000000003</v>
      </c>
      <c r="V3594">
        <f t="shared" si="733"/>
        <v>1961.325</v>
      </c>
      <c r="W3594">
        <f t="shared" si="734"/>
        <v>65.845718232000081</v>
      </c>
      <c r="X3594" t="s">
        <v>1862</v>
      </c>
    </row>
    <row r="3595" spans="1:24" x14ac:dyDescent="0.25">
      <c r="A3595" t="s">
        <v>1943</v>
      </c>
      <c r="B3595" t="s">
        <v>2199</v>
      </c>
      <c r="C3595" t="s">
        <v>2200</v>
      </c>
      <c r="D3595" t="s">
        <v>357</v>
      </c>
      <c r="E3595" t="s">
        <v>23</v>
      </c>
      <c r="F3595" t="s">
        <v>1</v>
      </c>
      <c r="G3595" t="s">
        <v>1170</v>
      </c>
      <c r="H3595" t="s">
        <v>423</v>
      </c>
      <c r="I3595" t="s">
        <v>1</v>
      </c>
      <c r="J3595">
        <v>203.4</v>
      </c>
      <c r="K3595">
        <v>300.1499999998</v>
      </c>
      <c r="L3595">
        <v>2708.34</v>
      </c>
      <c r="M3595">
        <v>5461.5696132596686</v>
      </c>
      <c r="N3595">
        <v>2765</v>
      </c>
      <c r="O3595">
        <v>5461.5696132597004</v>
      </c>
      <c r="P3595">
        <v>0</v>
      </c>
      <c r="Q3595">
        <f t="shared" si="730"/>
        <v>5461.5696132597004</v>
      </c>
      <c r="R3595">
        <v>5462</v>
      </c>
      <c r="S3595">
        <f t="shared" si="731"/>
        <v>0.43038674029958202</v>
      </c>
      <c r="T3595">
        <v>3.5000000000000003E-2</v>
      </c>
      <c r="U3595">
        <f t="shared" si="732"/>
        <v>191.17000000000002</v>
      </c>
      <c r="V3595">
        <f t="shared" si="733"/>
        <v>5653.17</v>
      </c>
      <c r="W3595">
        <f t="shared" si="734"/>
        <v>191.60038674029965</v>
      </c>
      <c r="X3595" t="s">
        <v>1863</v>
      </c>
    </row>
    <row r="3596" spans="1:24" x14ac:dyDescent="0.25">
      <c r="A3596" t="s">
        <v>1943</v>
      </c>
      <c r="B3596" t="s">
        <v>2199</v>
      </c>
      <c r="C3596" t="s">
        <v>2200</v>
      </c>
      <c r="D3596" t="s">
        <v>357</v>
      </c>
      <c r="E3596" t="s">
        <v>24</v>
      </c>
      <c r="F3596" t="s">
        <v>1</v>
      </c>
      <c r="G3596" t="s">
        <v>1170</v>
      </c>
      <c r="H3596" t="s">
        <v>424</v>
      </c>
      <c r="I3596" t="s">
        <v>1</v>
      </c>
      <c r="J3596">
        <v>266</v>
      </c>
      <c r="K3596">
        <v>246</v>
      </c>
      <c r="L3596">
        <v>580.22</v>
      </c>
      <c r="M3596">
        <v>1170.0569060773482</v>
      </c>
      <c r="N3596">
        <v>846.22</v>
      </c>
      <c r="O3596">
        <v>1160.44</v>
      </c>
      <c r="P3596">
        <v>0</v>
      </c>
      <c r="Q3596">
        <f t="shared" si="730"/>
        <v>1160.44</v>
      </c>
      <c r="R3596">
        <v>1170</v>
      </c>
      <c r="S3596">
        <f t="shared" si="731"/>
        <v>9.5599999999999454</v>
      </c>
      <c r="T3596"/>
      <c r="U3596">
        <f t="shared" si="732"/>
        <v>0</v>
      </c>
      <c r="V3596">
        <f t="shared" si="733"/>
        <v>1170</v>
      </c>
      <c r="W3596">
        <f t="shared" si="734"/>
        <v>9.5599999999999454</v>
      </c>
      <c r="X3596" t="s">
        <v>1864</v>
      </c>
    </row>
    <row r="3597" spans="1:24" x14ac:dyDescent="0.25">
      <c r="A3597" t="s">
        <v>1943</v>
      </c>
      <c r="B3597" t="s">
        <v>2199</v>
      </c>
      <c r="C3597" t="s">
        <v>2200</v>
      </c>
      <c r="D3597" t="s">
        <v>357</v>
      </c>
      <c r="E3597" t="s">
        <v>31</v>
      </c>
      <c r="F3597" t="s">
        <v>1</v>
      </c>
      <c r="G3597" t="s">
        <v>1170</v>
      </c>
      <c r="H3597" t="s">
        <v>431</v>
      </c>
      <c r="I3597" t="s">
        <v>1</v>
      </c>
      <c r="J3597">
        <v>301.5</v>
      </c>
      <c r="K3597">
        <v>411</v>
      </c>
      <c r="L3597">
        <v>0</v>
      </c>
      <c r="M3597">
        <v>0</v>
      </c>
      <c r="N3597">
        <v>0</v>
      </c>
      <c r="O3597"/>
      <c r="P3597">
        <v>0</v>
      </c>
      <c r="Q3597">
        <f t="shared" si="730"/>
        <v>0</v>
      </c>
      <c r="R3597">
        <v>400</v>
      </c>
      <c r="S3597">
        <f t="shared" si="731"/>
        <v>400</v>
      </c>
      <c r="T3597"/>
      <c r="U3597">
        <f t="shared" si="732"/>
        <v>0</v>
      </c>
      <c r="V3597">
        <f t="shared" si="733"/>
        <v>400</v>
      </c>
      <c r="W3597">
        <f t="shared" si="734"/>
        <v>400</v>
      </c>
      <c r="X3597" t="s">
        <v>1865</v>
      </c>
    </row>
    <row r="3598" spans="1:24" x14ac:dyDescent="0.25">
      <c r="A3598" t="s">
        <v>1943</v>
      </c>
      <c r="B3598" t="s">
        <v>2199</v>
      </c>
      <c r="C3598" t="s">
        <v>2200</v>
      </c>
      <c r="D3598" t="s">
        <v>357</v>
      </c>
      <c r="E3598" t="s">
        <v>34</v>
      </c>
      <c r="F3598" t="s">
        <v>1</v>
      </c>
      <c r="G3598" t="s">
        <v>1170</v>
      </c>
      <c r="H3598" t="s">
        <v>434</v>
      </c>
      <c r="I3598" t="s">
        <v>1</v>
      </c>
      <c r="J3598">
        <v>155.81</v>
      </c>
      <c r="K3598">
        <v>196.24767365880001</v>
      </c>
      <c r="L3598">
        <v>47</v>
      </c>
      <c r="M3598">
        <v>94.779005524861873</v>
      </c>
      <c r="N3598">
        <v>202.81</v>
      </c>
      <c r="O3598">
        <v>94</v>
      </c>
      <c r="P3598">
        <v>0</v>
      </c>
      <c r="Q3598">
        <f t="shared" si="730"/>
        <v>94</v>
      </c>
      <c r="R3598">
        <v>360</v>
      </c>
      <c r="S3598">
        <f t="shared" si="731"/>
        <v>266</v>
      </c>
      <c r="T3598"/>
      <c r="U3598">
        <f t="shared" si="732"/>
        <v>0</v>
      </c>
      <c r="V3598">
        <f t="shared" si="733"/>
        <v>360</v>
      </c>
      <c r="W3598">
        <f t="shared" si="734"/>
        <v>266</v>
      </c>
      <c r="X3598" t="s">
        <v>1866</v>
      </c>
    </row>
    <row r="3599" spans="1:24" x14ac:dyDescent="0.25">
      <c r="A3599" t="s">
        <v>1943</v>
      </c>
      <c r="B3599" t="s">
        <v>2199</v>
      </c>
      <c r="C3599" t="s">
        <v>2200</v>
      </c>
      <c r="D3599" t="s">
        <v>357</v>
      </c>
      <c r="E3599" t="s">
        <v>35</v>
      </c>
      <c r="F3599" t="s">
        <v>1</v>
      </c>
      <c r="G3599" t="s">
        <v>1170</v>
      </c>
      <c r="H3599" t="s">
        <v>435</v>
      </c>
      <c r="I3599" t="s">
        <v>1</v>
      </c>
      <c r="J3599">
        <v>233.91</v>
      </c>
      <c r="K3599"/>
      <c r="L3599">
        <v>0</v>
      </c>
      <c r="M3599">
        <v>0</v>
      </c>
      <c r="N3599">
        <v>0</v>
      </c>
      <c r="O3599"/>
      <c r="P3599">
        <v>0</v>
      </c>
      <c r="Q3599">
        <f t="shared" si="730"/>
        <v>0</v>
      </c>
      <c r="R3599">
        <v>100</v>
      </c>
      <c r="S3599">
        <f t="shared" si="731"/>
        <v>100</v>
      </c>
      <c r="T3599"/>
      <c r="U3599">
        <f t="shared" si="732"/>
        <v>0</v>
      </c>
      <c r="V3599">
        <f t="shared" si="733"/>
        <v>100</v>
      </c>
      <c r="W3599">
        <f t="shared" si="734"/>
        <v>100</v>
      </c>
      <c r="X3599" t="s">
        <v>1867</v>
      </c>
    </row>
    <row r="3600" spans="1:24" x14ac:dyDescent="0.25">
      <c r="A3600" t="s">
        <v>1943</v>
      </c>
      <c r="B3600" t="s">
        <v>2199</v>
      </c>
      <c r="C3600" t="s">
        <v>2200</v>
      </c>
      <c r="D3600" t="s">
        <v>357</v>
      </c>
      <c r="E3600" t="s">
        <v>76</v>
      </c>
      <c r="F3600" t="s">
        <v>1</v>
      </c>
      <c r="G3600" t="s">
        <v>1170</v>
      </c>
      <c r="H3600" t="s">
        <v>493</v>
      </c>
      <c r="I3600" t="s">
        <v>1</v>
      </c>
      <c r="J3600">
        <v>1608451.68</v>
      </c>
      <c r="K3600">
        <v>2016143.8819973699</v>
      </c>
      <c r="L3600">
        <v>707208.1</v>
      </c>
      <c r="M3600">
        <v>1426137.8812154697</v>
      </c>
      <c r="N3600">
        <v>1293333.1499999997</v>
      </c>
      <c r="O3600">
        <v>1414416.2</v>
      </c>
      <c r="P3600">
        <v>0</v>
      </c>
      <c r="Q3600">
        <f t="shared" si="730"/>
        <v>1414416.2</v>
      </c>
      <c r="R3600">
        <v>1426138</v>
      </c>
      <c r="S3600">
        <f t="shared" si="731"/>
        <v>11721.800000000047</v>
      </c>
      <c r="T3600">
        <v>0.03</v>
      </c>
      <c r="U3600">
        <f t="shared" si="732"/>
        <v>42784.14</v>
      </c>
      <c r="V3600">
        <f t="shared" si="733"/>
        <v>1468922.14</v>
      </c>
      <c r="W3600">
        <f t="shared" si="734"/>
        <v>54505.939999999944</v>
      </c>
      <c r="X3600" t="s">
        <v>1868</v>
      </c>
    </row>
    <row r="3601" spans="1:24" x14ac:dyDescent="0.25">
      <c r="A3601" t="s">
        <v>1943</v>
      </c>
      <c r="B3601" t="s">
        <v>2199</v>
      </c>
      <c r="C3601" t="s">
        <v>2200</v>
      </c>
      <c r="D3601" t="s">
        <v>357</v>
      </c>
      <c r="E3601" t="s">
        <v>41</v>
      </c>
      <c r="F3601" t="s">
        <v>1</v>
      </c>
      <c r="G3601" t="s">
        <v>1170</v>
      </c>
      <c r="H3601" t="s">
        <v>441</v>
      </c>
      <c r="I3601" t="s">
        <v>1</v>
      </c>
      <c r="J3601">
        <v>5299.23</v>
      </c>
      <c r="K3601">
        <v>6939.8513056764004</v>
      </c>
      <c r="L3601">
        <v>2332.62</v>
      </c>
      <c r="M3601">
        <v>4703.9022099447511</v>
      </c>
      <c r="N3601">
        <v>4098.96</v>
      </c>
      <c r="O3601">
        <v>4665.24</v>
      </c>
      <c r="P3601">
        <v>0</v>
      </c>
      <c r="Q3601">
        <f t="shared" si="730"/>
        <v>4665.24</v>
      </c>
      <c r="R3601">
        <v>4665</v>
      </c>
      <c r="S3601">
        <f t="shared" si="731"/>
        <v>-0.23999999999978172</v>
      </c>
      <c r="T3601">
        <v>0.03</v>
      </c>
      <c r="U3601">
        <f t="shared" si="732"/>
        <v>139.94999999999999</v>
      </c>
      <c r="V3601">
        <f t="shared" si="733"/>
        <v>4804.95</v>
      </c>
      <c r="W3601">
        <f t="shared" si="734"/>
        <v>139.71000000000004</v>
      </c>
      <c r="X3601">
        <v>0</v>
      </c>
    </row>
    <row r="3602" spans="1:24" x14ac:dyDescent="0.25">
      <c r="A3602" t="s">
        <v>1943</v>
      </c>
      <c r="B3602" t="s">
        <v>2199</v>
      </c>
      <c r="C3602" t="s">
        <v>2200</v>
      </c>
      <c r="D3602" t="s">
        <v>357</v>
      </c>
      <c r="E3602" t="s">
        <v>140</v>
      </c>
      <c r="F3602" t="s">
        <v>1</v>
      </c>
      <c r="G3602" t="s">
        <v>1170</v>
      </c>
      <c r="H3602" t="s">
        <v>637</v>
      </c>
      <c r="I3602" t="s">
        <v>1</v>
      </c>
      <c r="J3602">
        <v>24935.119999999999</v>
      </c>
      <c r="K3602">
        <v>24885.9999999996</v>
      </c>
      <c r="L3602">
        <v>11632.11</v>
      </c>
      <c r="M3602">
        <v>23457.01740331492</v>
      </c>
      <c r="N3602">
        <v>23996.199999999997</v>
      </c>
      <c r="O3602">
        <v>23264.22</v>
      </c>
      <c r="P3602">
        <v>0</v>
      </c>
      <c r="Q3602">
        <f t="shared" si="730"/>
        <v>23264.22</v>
      </c>
      <c r="R3602">
        <v>30988</v>
      </c>
      <c r="S3602">
        <f t="shared" si="731"/>
        <v>7723.7799999999988</v>
      </c>
      <c r="T3602">
        <v>0.03</v>
      </c>
      <c r="U3602">
        <f t="shared" si="732"/>
        <v>929.64</v>
      </c>
      <c r="V3602">
        <f t="shared" si="733"/>
        <v>31917.64</v>
      </c>
      <c r="W3602">
        <f t="shared" si="734"/>
        <v>8653.4199999999983</v>
      </c>
      <c r="X3602" t="s">
        <v>1869</v>
      </c>
    </row>
    <row r="3603" spans="1:24" x14ac:dyDescent="0.25">
      <c r="A3603" t="s">
        <v>1943</v>
      </c>
      <c r="B3603" t="s">
        <v>2199</v>
      </c>
      <c r="C3603" t="s">
        <v>2200</v>
      </c>
      <c r="D3603" t="s">
        <v>357</v>
      </c>
      <c r="E3603" t="s">
        <v>42</v>
      </c>
      <c r="F3603" t="s">
        <v>1</v>
      </c>
      <c r="G3603" t="s">
        <v>1170</v>
      </c>
      <c r="H3603" t="s">
        <v>442</v>
      </c>
      <c r="I3603" t="s">
        <v>1</v>
      </c>
      <c r="J3603">
        <v>1257.05</v>
      </c>
      <c r="K3603">
        <v>1257</v>
      </c>
      <c r="L3603">
        <v>1294.76</v>
      </c>
      <c r="M3603">
        <v>2610.9801104972375</v>
      </c>
      <c r="N3603">
        <v>1294.76</v>
      </c>
      <c r="O3603">
        <v>2589.52</v>
      </c>
      <c r="P3603">
        <v>0</v>
      </c>
      <c r="Q3603">
        <f t="shared" si="730"/>
        <v>2589.52</v>
      </c>
      <c r="R3603">
        <v>1295</v>
      </c>
      <c r="S3603">
        <f t="shared" si="731"/>
        <v>-1294.52</v>
      </c>
      <c r="T3603">
        <v>0.03</v>
      </c>
      <c r="U3603">
        <f t="shared" si="732"/>
        <v>38.85</v>
      </c>
      <c r="V3603">
        <f t="shared" si="733"/>
        <v>1333.85</v>
      </c>
      <c r="W3603">
        <f t="shared" si="734"/>
        <v>-1255.67</v>
      </c>
      <c r="X3603" t="s">
        <v>1870</v>
      </c>
    </row>
    <row r="3604" spans="1:24" x14ac:dyDescent="0.25">
      <c r="A3604" t="s">
        <v>1943</v>
      </c>
      <c r="B3604" t="s">
        <v>2199</v>
      </c>
      <c r="C3604" t="s">
        <v>2200</v>
      </c>
      <c r="D3604" t="s">
        <v>357</v>
      </c>
      <c r="E3604" t="s">
        <v>134</v>
      </c>
      <c r="F3604" t="s">
        <v>1</v>
      </c>
      <c r="G3604" t="s">
        <v>1170</v>
      </c>
      <c r="H3604" t="s">
        <v>623</v>
      </c>
      <c r="I3604" t="s">
        <v>1</v>
      </c>
      <c r="J3604">
        <v>30807.09</v>
      </c>
      <c r="K3604"/>
      <c r="L3604">
        <v>30229.63</v>
      </c>
      <c r="M3604">
        <v>60960.303591160227</v>
      </c>
      <c r="N3604">
        <v>58736.72</v>
      </c>
      <c r="O3604">
        <v>60459.26</v>
      </c>
      <c r="P3604">
        <v>0</v>
      </c>
      <c r="Q3604">
        <f t="shared" si="730"/>
        <v>60459.26</v>
      </c>
      <c r="R3604">
        <v>60459</v>
      </c>
      <c r="S3604">
        <f t="shared" si="731"/>
        <v>-0.26000000000203727</v>
      </c>
      <c r="T3604">
        <v>0.03</v>
      </c>
      <c r="U3604">
        <f t="shared" si="732"/>
        <v>1813.77</v>
      </c>
      <c r="V3604">
        <f t="shared" si="733"/>
        <v>62272.77</v>
      </c>
      <c r="W3604">
        <f t="shared" si="734"/>
        <v>1813.5099999999948</v>
      </c>
      <c r="X3604" t="s">
        <v>1871</v>
      </c>
    </row>
    <row r="3605" spans="1:24" x14ac:dyDescent="0.25">
      <c r="A3605" t="s">
        <v>1943</v>
      </c>
      <c r="B3605" t="s">
        <v>2199</v>
      </c>
      <c r="C3605" t="s">
        <v>2200</v>
      </c>
      <c r="D3605" t="s">
        <v>357</v>
      </c>
      <c r="E3605" t="s">
        <v>46</v>
      </c>
      <c r="F3605" t="s">
        <v>1</v>
      </c>
      <c r="G3605" t="s">
        <v>1170</v>
      </c>
      <c r="H3605" t="s">
        <v>446</v>
      </c>
      <c r="I3605" t="s">
        <v>1</v>
      </c>
      <c r="J3605"/>
      <c r="K3605"/>
      <c r="L3605">
        <v>7406</v>
      </c>
      <c r="M3605">
        <v>14934.751381215468</v>
      </c>
      <c r="N3605">
        <v>7406</v>
      </c>
      <c r="O3605">
        <v>14812</v>
      </c>
      <c r="P3605">
        <v>0</v>
      </c>
      <c r="Q3605">
        <f t="shared" si="730"/>
        <v>14812</v>
      </c>
      <c r="R3605">
        <v>14812</v>
      </c>
      <c r="S3605">
        <f t="shared" si="731"/>
        <v>0</v>
      </c>
      <c r="T3605">
        <v>0.03</v>
      </c>
      <c r="U3605">
        <f t="shared" si="732"/>
        <v>444.35999999999996</v>
      </c>
      <c r="V3605">
        <f t="shared" si="733"/>
        <v>15256.36</v>
      </c>
      <c r="W3605">
        <f t="shared" si="734"/>
        <v>444.36000000000058</v>
      </c>
      <c r="X3605" t="s">
        <v>1872</v>
      </c>
    </row>
    <row r="3606" spans="1:24" x14ac:dyDescent="0.25">
      <c r="A3606" t="s">
        <v>1943</v>
      </c>
      <c r="B3606" t="s">
        <v>2199</v>
      </c>
      <c r="C3606" t="s">
        <v>2200</v>
      </c>
      <c r="D3606" t="s">
        <v>357</v>
      </c>
      <c r="E3606" t="s">
        <v>48</v>
      </c>
      <c r="F3606" t="s">
        <v>1</v>
      </c>
      <c r="G3606" t="s">
        <v>1170</v>
      </c>
      <c r="H3606" t="s">
        <v>448</v>
      </c>
      <c r="I3606" t="s">
        <v>1</v>
      </c>
      <c r="J3606">
        <v>1521.61</v>
      </c>
      <c r="K3606">
        <v>915</v>
      </c>
      <c r="L3606">
        <v>1446.11</v>
      </c>
      <c r="M3606">
        <v>2916.1886740331493</v>
      </c>
      <c r="N3606">
        <v>2467.64</v>
      </c>
      <c r="O3606">
        <v>2892.22</v>
      </c>
      <c r="P3606">
        <v>0</v>
      </c>
      <c r="Q3606">
        <f t="shared" si="730"/>
        <v>2892.22</v>
      </c>
      <c r="R3606">
        <v>2892</v>
      </c>
      <c r="S3606">
        <f t="shared" si="731"/>
        <v>-0.21999999999979991</v>
      </c>
      <c r="T3606">
        <v>0.03</v>
      </c>
      <c r="U3606">
        <f t="shared" si="732"/>
        <v>86.759999999999991</v>
      </c>
      <c r="V3606">
        <f t="shared" si="733"/>
        <v>2978.76</v>
      </c>
      <c r="W3606">
        <f t="shared" si="734"/>
        <v>86.540000000000418</v>
      </c>
      <c r="X3606" t="s">
        <v>1431</v>
      </c>
    </row>
    <row r="3607" spans="1:24" x14ac:dyDescent="0.25">
      <c r="A3607" t="s">
        <v>1943</v>
      </c>
      <c r="B3607" t="s">
        <v>2199</v>
      </c>
      <c r="C3607" t="s">
        <v>2200</v>
      </c>
      <c r="D3607" t="s">
        <v>357</v>
      </c>
      <c r="E3607" t="s">
        <v>50</v>
      </c>
      <c r="F3607" t="s">
        <v>1</v>
      </c>
      <c r="G3607" t="s">
        <v>1170</v>
      </c>
      <c r="H3607" t="s">
        <v>450</v>
      </c>
      <c r="I3607" t="s">
        <v>1</v>
      </c>
      <c r="J3607">
        <v>561.54999999999995</v>
      </c>
      <c r="K3607">
        <v>690</v>
      </c>
      <c r="L3607">
        <v>562.25</v>
      </c>
      <c r="M3607">
        <v>1133.8190607734807</v>
      </c>
      <c r="N3607">
        <v>796.12</v>
      </c>
      <c r="O3607">
        <v>1133.8190607735</v>
      </c>
      <c r="P3607">
        <v>0</v>
      </c>
      <c r="Q3607">
        <f t="shared" si="730"/>
        <v>1133.8190607735</v>
      </c>
      <c r="R3607">
        <v>936</v>
      </c>
      <c r="S3607">
        <f t="shared" si="731"/>
        <v>-197.81906077350004</v>
      </c>
      <c r="T3607"/>
      <c r="U3607">
        <f t="shared" si="732"/>
        <v>0</v>
      </c>
      <c r="V3607">
        <f t="shared" si="733"/>
        <v>936</v>
      </c>
      <c r="W3607">
        <f t="shared" si="734"/>
        <v>-197.81906077350004</v>
      </c>
      <c r="X3607" t="s">
        <v>1873</v>
      </c>
    </row>
    <row r="3608" spans="1:24" x14ac:dyDescent="0.25">
      <c r="A3608" t="s">
        <v>1943</v>
      </c>
      <c r="B3608" t="s">
        <v>2199</v>
      </c>
      <c r="C3608" t="s">
        <v>2200</v>
      </c>
      <c r="D3608" t="s">
        <v>357</v>
      </c>
      <c r="E3608" t="s">
        <v>51</v>
      </c>
      <c r="F3608" t="s">
        <v>51</v>
      </c>
      <c r="G3608" t="s">
        <v>1171</v>
      </c>
      <c r="H3608"/>
      <c r="I3608"/>
      <c r="J3608">
        <v>1778959.4700000002</v>
      </c>
      <c r="K3608">
        <v>2146438.2217750177</v>
      </c>
      <c r="L3608">
        <v>820801.13</v>
      </c>
      <c r="M3608">
        <v>1655206.6986187848</v>
      </c>
      <c r="N3608">
        <v>1527820.0499999996</v>
      </c>
      <c r="O3608">
        <v>1642265.3964677309</v>
      </c>
      <c r="P3608">
        <f>SUMIF($F$3585:$F$3607,"&lt;&gt;EV_*",$P$3585:$P$3607)</f>
        <v>0</v>
      </c>
      <c r="Q3608">
        <f>SUMIF($F$3585:$F$3607,"&lt;&gt;EV_*",$Q$3585:$Q$3607)</f>
        <v>1642265.3964677309</v>
      </c>
      <c r="R3608">
        <f>SUMIF($F$3585:$F$3607,"&lt;&gt;EV_*",$R$3585:$R$3607)</f>
        <v>1683338</v>
      </c>
      <c r="S3608">
        <f>SUMIF($F$3585:$F$3607,"&lt;&gt;EV_*",$S$3585:$S$3607)</f>
        <v>41072.603532269255</v>
      </c>
      <c r="T3608">
        <v>0</v>
      </c>
      <c r="U3608">
        <f>SUMIF($F$3585:$F$3607,"&lt;&gt;EV_*",$U$3585:$U$3607)</f>
        <v>49125.004999999997</v>
      </c>
      <c r="V3608">
        <f>SUMIF($F$3585:$F$3607,"&lt;&gt;EV_*",$V$3585:$V$3607)</f>
        <v>1732463.0049999999</v>
      </c>
      <c r="W3608">
        <f>SUMIF($F$3585:$F$3607,"&lt;&gt;EV_*",$W$3585:$W$3607)</f>
        <v>90197.608532269151</v>
      </c>
      <c r="X3608">
        <f>SUMIF($F$3585:$F$3607,"&lt;&gt;EV_*",$X$3585:$X$3607)</f>
        <v>0</v>
      </c>
    </row>
    <row r="3609" spans="1:24" x14ac:dyDescent="0.25">
      <c r="A3609" t="s">
        <v>1943</v>
      </c>
      <c r="B3609" t="s">
        <v>2196</v>
      </c>
      <c r="C3609" t="s">
        <v>2201</v>
      </c>
      <c r="D3609" t="s">
        <v>358</v>
      </c>
      <c r="E3609" t="s">
        <v>5</v>
      </c>
      <c r="F3609" t="s">
        <v>5</v>
      </c>
      <c r="G3609" t="s">
        <v>1172</v>
      </c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</row>
    <row r="3610" spans="1:24" x14ac:dyDescent="0.25">
      <c r="A3610" t="s">
        <v>1943</v>
      </c>
      <c r="B3610" t="s">
        <v>2196</v>
      </c>
      <c r="C3610" t="s">
        <v>2201</v>
      </c>
      <c r="D3610" t="s">
        <v>358</v>
      </c>
      <c r="E3610" t="s">
        <v>8</v>
      </c>
      <c r="F3610" t="s">
        <v>1</v>
      </c>
      <c r="G3610" t="s">
        <v>1173</v>
      </c>
      <c r="H3610" t="s">
        <v>408</v>
      </c>
      <c r="I3610" t="s">
        <v>1</v>
      </c>
      <c r="J3610">
        <v>481.2</v>
      </c>
      <c r="K3610"/>
      <c r="L3610">
        <v>0</v>
      </c>
      <c r="M3610">
        <v>0</v>
      </c>
      <c r="N3610">
        <v>481.2</v>
      </c>
      <c r="O3610"/>
      <c r="P3610">
        <v>0</v>
      </c>
      <c r="Q3610">
        <f t="shared" ref="Q3610:Q3615" si="735">O3610+P3610</f>
        <v>0</v>
      </c>
      <c r="R3610">
        <v>0</v>
      </c>
      <c r="S3610">
        <f t="shared" ref="S3610:S3615" si="736">IF(OR(LEFT(E3610,2)="A_",LEFT(D3610,5)="Total"),R3610-Q3610,"")</f>
        <v>0</v>
      </c>
      <c r="T3610"/>
      <c r="U3610">
        <f t="shared" ref="U3610:U3615" si="737">IFERROR(R3610*T3610,R3610*0)</f>
        <v>0</v>
      </c>
      <c r="V3610">
        <f t="shared" ref="V3610:V3615" si="738">IF(OR(LEFT(E3610,2)="A_",LEFT(D3610,5)="Total"),R3610+U3610,"")</f>
        <v>0</v>
      </c>
      <c r="W3610">
        <f t="shared" ref="W3610:W3615" si="739">IF(OR(LEFT(E3610,2)="A_",LEFT(D3610,5)="Total"),V3610-Q3610,"")</f>
        <v>0</v>
      </c>
      <c r="X3610">
        <v>0</v>
      </c>
    </row>
    <row r="3611" spans="1:24" x14ac:dyDescent="0.25">
      <c r="A3611" t="s">
        <v>1943</v>
      </c>
      <c r="B3611" t="s">
        <v>2196</v>
      </c>
      <c r="C3611" t="s">
        <v>2201</v>
      </c>
      <c r="D3611" t="s">
        <v>358</v>
      </c>
      <c r="E3611" t="s">
        <v>18</v>
      </c>
      <c r="F3611" t="s">
        <v>1</v>
      </c>
      <c r="G3611" t="s">
        <v>1173</v>
      </c>
      <c r="H3611" t="s">
        <v>418</v>
      </c>
      <c r="I3611" t="s">
        <v>1</v>
      </c>
      <c r="J3611">
        <v>566.64</v>
      </c>
      <c r="K3611">
        <v>-25.999999999900002</v>
      </c>
      <c r="L3611">
        <v>2349.17</v>
      </c>
      <c r="M3611">
        <v>4737.2765193370169</v>
      </c>
      <c r="N3611">
        <v>2349.17</v>
      </c>
      <c r="O3611">
        <v>4724.1550549451003</v>
      </c>
      <c r="P3611">
        <v>0</v>
      </c>
      <c r="Q3611">
        <f t="shared" si="735"/>
        <v>4724.1550549451003</v>
      </c>
      <c r="R3611">
        <v>0</v>
      </c>
      <c r="S3611">
        <f t="shared" si="736"/>
        <v>-4724.1550549451003</v>
      </c>
      <c r="T3611">
        <v>0.02</v>
      </c>
      <c r="U3611">
        <f t="shared" si="737"/>
        <v>0</v>
      </c>
      <c r="V3611">
        <f t="shared" si="738"/>
        <v>0</v>
      </c>
      <c r="W3611">
        <f t="shared" si="739"/>
        <v>-4724.1550549451003</v>
      </c>
      <c r="X3611">
        <v>0</v>
      </c>
    </row>
    <row r="3612" spans="1:24" x14ac:dyDescent="0.25">
      <c r="A3612" t="s">
        <v>1943</v>
      </c>
      <c r="B3612" t="s">
        <v>2196</v>
      </c>
      <c r="C3612" t="s">
        <v>2201</v>
      </c>
      <c r="D3612" t="s">
        <v>358</v>
      </c>
      <c r="E3612" t="s">
        <v>21</v>
      </c>
      <c r="F3612" t="s">
        <v>1</v>
      </c>
      <c r="G3612" t="s">
        <v>1173</v>
      </c>
      <c r="H3612" t="s">
        <v>421</v>
      </c>
      <c r="I3612" t="s">
        <v>1</v>
      </c>
      <c r="J3612"/>
      <c r="K3612"/>
      <c r="L3612">
        <v>143.91</v>
      </c>
      <c r="M3612">
        <v>290.20524861878454</v>
      </c>
      <c r="N3612">
        <v>143.91</v>
      </c>
      <c r="O3612">
        <v>290.2052486188</v>
      </c>
      <c r="P3612">
        <v>0</v>
      </c>
      <c r="Q3612">
        <f t="shared" si="735"/>
        <v>290.2052486188</v>
      </c>
      <c r="R3612">
        <v>290.2052486188</v>
      </c>
      <c r="S3612">
        <f t="shared" si="736"/>
        <v>0</v>
      </c>
      <c r="T3612">
        <v>0.03</v>
      </c>
      <c r="U3612">
        <f t="shared" si="737"/>
        <v>8.7061574585640003</v>
      </c>
      <c r="V3612">
        <f t="shared" si="738"/>
        <v>298.91140607736401</v>
      </c>
      <c r="W3612">
        <f t="shared" si="739"/>
        <v>8.7061574585640074</v>
      </c>
      <c r="X3612">
        <v>0</v>
      </c>
    </row>
    <row r="3613" spans="1:24" x14ac:dyDescent="0.25">
      <c r="A3613" t="s">
        <v>1943</v>
      </c>
      <c r="B3613" t="s">
        <v>2196</v>
      </c>
      <c r="C3613" t="s">
        <v>2201</v>
      </c>
      <c r="D3613" t="s">
        <v>358</v>
      </c>
      <c r="E3613" t="s">
        <v>22</v>
      </c>
      <c r="F3613" t="s">
        <v>1</v>
      </c>
      <c r="G3613" t="s">
        <v>1173</v>
      </c>
      <c r="H3613" t="s">
        <v>422</v>
      </c>
      <c r="I3613" t="s">
        <v>1</v>
      </c>
      <c r="J3613"/>
      <c r="K3613"/>
      <c r="L3613">
        <v>80.150000000000006</v>
      </c>
      <c r="M3613">
        <v>161.62845303867405</v>
      </c>
      <c r="N3613">
        <v>80.150000000000006</v>
      </c>
      <c r="O3613">
        <v>161.6284530387</v>
      </c>
      <c r="P3613">
        <v>0</v>
      </c>
      <c r="Q3613">
        <f t="shared" si="735"/>
        <v>161.6284530387</v>
      </c>
      <c r="R3613">
        <v>161.6284530387</v>
      </c>
      <c r="S3613">
        <f t="shared" si="736"/>
        <v>0</v>
      </c>
      <c r="T3613">
        <v>3.5000000000000003E-2</v>
      </c>
      <c r="U3613">
        <f t="shared" si="737"/>
        <v>5.6569958563545004</v>
      </c>
      <c r="V3613">
        <f t="shared" si="738"/>
        <v>167.28544889505451</v>
      </c>
      <c r="W3613">
        <f t="shared" si="739"/>
        <v>5.6569958563545129</v>
      </c>
      <c r="X3613">
        <v>0</v>
      </c>
    </row>
    <row r="3614" spans="1:24" x14ac:dyDescent="0.25">
      <c r="A3614" t="s">
        <v>1943</v>
      </c>
      <c r="B3614" t="s">
        <v>2196</v>
      </c>
      <c r="C3614" t="s">
        <v>2201</v>
      </c>
      <c r="D3614" t="s">
        <v>358</v>
      </c>
      <c r="E3614" t="s">
        <v>23</v>
      </c>
      <c r="F3614" t="s">
        <v>1</v>
      </c>
      <c r="G3614" t="s">
        <v>1173</v>
      </c>
      <c r="H3614" t="s">
        <v>423</v>
      </c>
      <c r="I3614" t="s">
        <v>1</v>
      </c>
      <c r="J3614">
        <v>210069.61</v>
      </c>
      <c r="K3614">
        <v>112815</v>
      </c>
      <c r="L3614">
        <v>93633.15</v>
      </c>
      <c r="M3614">
        <v>188818.23066298341</v>
      </c>
      <c r="N3614">
        <v>249203.36000000002</v>
      </c>
      <c r="O3614">
        <v>188818.230662983</v>
      </c>
      <c r="P3614">
        <v>0</v>
      </c>
      <c r="Q3614">
        <f t="shared" si="735"/>
        <v>188818.230662983</v>
      </c>
      <c r="R3614">
        <v>187272</v>
      </c>
      <c r="S3614">
        <f t="shared" si="736"/>
        <v>-1546.2306629829982</v>
      </c>
      <c r="T3614">
        <v>3.5000000000000003E-2</v>
      </c>
      <c r="U3614">
        <f t="shared" si="737"/>
        <v>6554.52</v>
      </c>
      <c r="V3614">
        <f t="shared" si="738"/>
        <v>193826.52</v>
      </c>
      <c r="W3614">
        <f t="shared" si="739"/>
        <v>5008.2893370169913</v>
      </c>
      <c r="X3614" t="s">
        <v>1874</v>
      </c>
    </row>
    <row r="3615" spans="1:24" x14ac:dyDescent="0.25">
      <c r="A3615" t="s">
        <v>1943</v>
      </c>
      <c r="B3615" t="s">
        <v>2196</v>
      </c>
      <c r="C3615" t="s">
        <v>2201</v>
      </c>
      <c r="D3615" t="s">
        <v>358</v>
      </c>
      <c r="E3615" t="s">
        <v>46</v>
      </c>
      <c r="F3615" t="s">
        <v>1</v>
      </c>
      <c r="G3615" t="s">
        <v>1173</v>
      </c>
      <c r="H3615" t="s">
        <v>446</v>
      </c>
      <c r="I3615" t="s">
        <v>1</v>
      </c>
      <c r="J3615">
        <v>3213.42</v>
      </c>
      <c r="K3615"/>
      <c r="L3615">
        <v>0</v>
      </c>
      <c r="M3615">
        <v>0</v>
      </c>
      <c r="N3615">
        <v>0</v>
      </c>
      <c r="O3615"/>
      <c r="P3615">
        <v>0</v>
      </c>
      <c r="Q3615">
        <f t="shared" si="735"/>
        <v>0</v>
      </c>
      <c r="R3615">
        <v>0</v>
      </c>
      <c r="S3615">
        <f t="shared" si="736"/>
        <v>0</v>
      </c>
      <c r="T3615">
        <v>0.03</v>
      </c>
      <c r="U3615">
        <f t="shared" si="737"/>
        <v>0</v>
      </c>
      <c r="V3615">
        <f t="shared" si="738"/>
        <v>0</v>
      </c>
      <c r="W3615">
        <f t="shared" si="739"/>
        <v>0</v>
      </c>
      <c r="X3615">
        <v>0</v>
      </c>
    </row>
    <row r="3616" spans="1:24" x14ac:dyDescent="0.25">
      <c r="A3616" t="s">
        <v>1943</v>
      </c>
      <c r="B3616" t="s">
        <v>2196</v>
      </c>
      <c r="C3616" t="s">
        <v>2201</v>
      </c>
      <c r="D3616" t="s">
        <v>358</v>
      </c>
      <c r="E3616" t="s">
        <v>51</v>
      </c>
      <c r="F3616" t="s">
        <v>51</v>
      </c>
      <c r="G3616" t="s">
        <v>1174</v>
      </c>
      <c r="H3616"/>
      <c r="I3616"/>
      <c r="J3616">
        <v>214330.87</v>
      </c>
      <c r="K3616">
        <v>112789.0000000001</v>
      </c>
      <c r="L3616">
        <v>96206.37999999999</v>
      </c>
      <c r="M3616">
        <v>194007.34088397789</v>
      </c>
      <c r="N3616">
        <v>252257.79</v>
      </c>
      <c r="O3616">
        <v>193994.2194195856</v>
      </c>
      <c r="P3616">
        <f>SUMIF($F$3609:$F$3615,"&lt;&gt;EV_*",$P$3609:$P$3615)</f>
        <v>0</v>
      </c>
      <c r="Q3616">
        <f>SUMIF($F$3609:$F$3615,"&lt;&gt;EV_*",$Q$3609:$Q$3615)</f>
        <v>193994.2194195856</v>
      </c>
      <c r="R3616">
        <f>SUMIF($F$3609:$F$3615,"&lt;&gt;EV_*",$R$3609:$R$3615)</f>
        <v>187723.83370165751</v>
      </c>
      <c r="S3616">
        <f>SUMIF($F$3609:$F$3615,"&lt;&gt;EV_*",$S$3609:$S$3615)</f>
        <v>-6270.3857179280985</v>
      </c>
      <c r="T3616">
        <v>0</v>
      </c>
      <c r="U3616">
        <f>SUMIF($F$3609:$F$3615,"&lt;&gt;EV_*",$U$3609:$U$3615)</f>
        <v>6568.8831533149187</v>
      </c>
      <c r="V3616">
        <f>SUMIF($F$3609:$F$3615,"&lt;&gt;EV_*",$V$3609:$V$3615)</f>
        <v>194292.71685497242</v>
      </c>
      <c r="W3616">
        <f>SUMIF($F$3609:$F$3615,"&lt;&gt;EV_*",$W$3609:$W$3615)</f>
        <v>298.49743538680923</v>
      </c>
      <c r="X3616">
        <f>SUMIF($F$3609:$F$3615,"&lt;&gt;EV_*",$X$3609:$X$3615)</f>
        <v>0</v>
      </c>
    </row>
    <row r="3617" spans="1:24" x14ac:dyDescent="0.25">
      <c r="A3617" t="s">
        <v>1940</v>
      </c>
      <c r="B3617" t="s">
        <v>1946</v>
      </c>
      <c r="C3617" t="s">
        <v>2202</v>
      </c>
      <c r="D3617" t="s">
        <v>359</v>
      </c>
      <c r="E3617" t="s">
        <v>5</v>
      </c>
      <c r="F3617" t="s">
        <v>5</v>
      </c>
      <c r="G3617" t="s">
        <v>1175</v>
      </c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</row>
    <row r="3618" spans="1:24" x14ac:dyDescent="0.25">
      <c r="A3618" t="s">
        <v>1940</v>
      </c>
      <c r="B3618" t="s">
        <v>1946</v>
      </c>
      <c r="C3618" t="s">
        <v>2202</v>
      </c>
      <c r="D3618" t="s">
        <v>359</v>
      </c>
      <c r="E3618" t="s">
        <v>18</v>
      </c>
      <c r="F3618" t="s">
        <v>1</v>
      </c>
      <c r="G3618" t="s">
        <v>1176</v>
      </c>
      <c r="H3618" t="s">
        <v>418</v>
      </c>
      <c r="I3618" t="s">
        <v>1</v>
      </c>
      <c r="J3618"/>
      <c r="K3618"/>
      <c r="L3618">
        <v>188.37</v>
      </c>
      <c r="M3618">
        <v>379.86215469613262</v>
      </c>
      <c r="N3618">
        <v>188.37</v>
      </c>
      <c r="O3618">
        <v>378.81</v>
      </c>
      <c r="P3618">
        <v>0</v>
      </c>
      <c r="Q3618">
        <f>O3618+P3618</f>
        <v>378.81</v>
      </c>
      <c r="R3618">
        <v>378.81</v>
      </c>
      <c r="S3618">
        <f>IF(OR(LEFT(E3618,2)="A_",LEFT(D3618,5)="Total"),R3618-Q3618,"")</f>
        <v>0</v>
      </c>
      <c r="T3618">
        <v>0.02</v>
      </c>
      <c r="U3618">
        <f>IFERROR(R3618*T3618,R3618*0)</f>
        <v>7.5762</v>
      </c>
      <c r="V3618">
        <f>IF(OR(LEFT(E3618,2)="A_",LEFT(D3618,5)="Total"),R3618+U3618,"")</f>
        <v>386.38620000000003</v>
      </c>
      <c r="W3618">
        <f>IF(OR(LEFT(E3618,2)="A_",LEFT(D3618,5)="Total"),V3618-Q3618,"")</f>
        <v>7.5762000000000285</v>
      </c>
      <c r="X3618">
        <v>0</v>
      </c>
    </row>
    <row r="3619" spans="1:24" x14ac:dyDescent="0.25">
      <c r="A3619" t="s">
        <v>1940</v>
      </c>
      <c r="B3619" t="s">
        <v>1946</v>
      </c>
      <c r="C3619" t="s">
        <v>2202</v>
      </c>
      <c r="D3619" t="s">
        <v>359</v>
      </c>
      <c r="E3619" t="s">
        <v>27</v>
      </c>
      <c r="F3619" t="s">
        <v>1</v>
      </c>
      <c r="G3619" t="s">
        <v>1176</v>
      </c>
      <c r="H3619" t="s">
        <v>427</v>
      </c>
      <c r="I3619" t="s">
        <v>1</v>
      </c>
      <c r="J3619">
        <v>2171.9699999999998</v>
      </c>
      <c r="K3619">
        <v>1970.0000000004</v>
      </c>
      <c r="L3619">
        <v>929.41</v>
      </c>
      <c r="M3619">
        <v>1874.2245856353588</v>
      </c>
      <c r="N3619">
        <v>1939.7300000000002</v>
      </c>
      <c r="O3619">
        <v>1858.82</v>
      </c>
      <c r="P3619">
        <v>0</v>
      </c>
      <c r="Q3619">
        <f>O3619+P3619</f>
        <v>1858.82</v>
      </c>
      <c r="R3619">
        <v>1858.82</v>
      </c>
      <c r="S3619">
        <f>IF(OR(LEFT(E3619,2)="A_",LEFT(D3619,5)="Total"),R3619-Q3619,"")</f>
        <v>0</v>
      </c>
      <c r="T3619"/>
      <c r="U3619">
        <f>IFERROR(R3619*T3619,R3619*0)</f>
        <v>0</v>
      </c>
      <c r="V3619">
        <f>IF(OR(LEFT(E3619,2)="A_",LEFT(D3619,5)="Total"),R3619+U3619,"")</f>
        <v>1858.82</v>
      </c>
      <c r="W3619">
        <f>IF(OR(LEFT(E3619,2)="A_",LEFT(D3619,5)="Total"),V3619-Q3619,"")</f>
        <v>0</v>
      </c>
      <c r="X3619">
        <v>0</v>
      </c>
    </row>
    <row r="3620" spans="1:24" x14ac:dyDescent="0.25">
      <c r="A3620" t="s">
        <v>1940</v>
      </c>
      <c r="B3620" t="s">
        <v>1946</v>
      </c>
      <c r="C3620" t="s">
        <v>2202</v>
      </c>
      <c r="D3620" t="s">
        <v>359</v>
      </c>
      <c r="E3620" t="s">
        <v>51</v>
      </c>
      <c r="F3620" t="s">
        <v>51</v>
      </c>
      <c r="G3620" t="s">
        <v>1177</v>
      </c>
      <c r="H3620"/>
      <c r="I3620"/>
      <c r="J3620">
        <v>2171.9699999999998</v>
      </c>
      <c r="K3620">
        <v>1970.0000000004</v>
      </c>
      <c r="L3620">
        <v>1117.78</v>
      </c>
      <c r="M3620">
        <v>2254.0867403314915</v>
      </c>
      <c r="N3620">
        <v>2128.1000000000004</v>
      </c>
      <c r="O3620">
        <v>2237.63</v>
      </c>
      <c r="P3620">
        <f>SUMIF($F$3617:$F$3619,"&lt;&gt;EV_*",$P$3617:$P$3619)</f>
        <v>0</v>
      </c>
      <c r="Q3620">
        <f>SUMIF($F$3617:$F$3619,"&lt;&gt;EV_*",$Q$3617:$Q$3619)</f>
        <v>2237.63</v>
      </c>
      <c r="R3620">
        <f>SUMIF($F$3617:$F$3619,"&lt;&gt;EV_*",$R$3617:$R$3619)</f>
        <v>2237.63</v>
      </c>
      <c r="S3620">
        <f>SUMIF($F$3617:$F$3619,"&lt;&gt;EV_*",$S$3617:$S$3619)</f>
        <v>0</v>
      </c>
      <c r="T3620">
        <v>0</v>
      </c>
      <c r="U3620">
        <f>SUMIF($F$3617:$F$3619,"&lt;&gt;EV_*",$U$3617:$U$3619)</f>
        <v>7.5762</v>
      </c>
      <c r="V3620">
        <f>SUMIF($F$3617:$F$3619,"&lt;&gt;EV_*",$V$3617:$V$3619)</f>
        <v>2245.2062000000001</v>
      </c>
      <c r="W3620">
        <f>SUMIF($F$3617:$F$3619,"&lt;&gt;EV_*",$W$3617:$W$3619)</f>
        <v>7.5762000000000285</v>
      </c>
      <c r="X3620">
        <f>SUMIF($F$3617:$F$3619,"&lt;&gt;EV_*",$X$3617:$X$3619)</f>
        <v>0</v>
      </c>
    </row>
    <row r="3621" spans="1:24" x14ac:dyDescent="0.25">
      <c r="A3621" t="s">
        <v>1943</v>
      </c>
      <c r="B3621" t="s">
        <v>2196</v>
      </c>
      <c r="C3621" t="s">
        <v>2203</v>
      </c>
      <c r="D3621" t="s">
        <v>360</v>
      </c>
      <c r="E3621" t="s">
        <v>5</v>
      </c>
      <c r="F3621" t="s">
        <v>5</v>
      </c>
      <c r="G3621" t="s">
        <v>1178</v>
      </c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</row>
    <row r="3622" spans="1:24" x14ac:dyDescent="0.25">
      <c r="A3622" t="s">
        <v>1943</v>
      </c>
      <c r="B3622" t="s">
        <v>2196</v>
      </c>
      <c r="C3622" t="s">
        <v>2203</v>
      </c>
      <c r="D3622" t="s">
        <v>360</v>
      </c>
      <c r="E3622" t="s">
        <v>23</v>
      </c>
      <c r="F3622" t="s">
        <v>1</v>
      </c>
      <c r="G3622" t="s">
        <v>1179</v>
      </c>
      <c r="H3622" t="s">
        <v>423</v>
      </c>
      <c r="I3622" t="s">
        <v>1</v>
      </c>
      <c r="J3622">
        <v>170.01</v>
      </c>
      <c r="K3622">
        <v>351.90000000010002</v>
      </c>
      <c r="L3622">
        <v>0</v>
      </c>
      <c r="M3622">
        <v>0</v>
      </c>
      <c r="N3622">
        <v>0</v>
      </c>
      <c r="O3622"/>
      <c r="P3622">
        <v>0</v>
      </c>
      <c r="Q3622">
        <f>O3622+P3622</f>
        <v>0</v>
      </c>
      <c r="R3622">
        <v>0</v>
      </c>
      <c r="S3622">
        <f>IF(OR(LEFT(E3622,2)="A_",LEFT(D3622,5)="Total"),R3622-Q3622,"")</f>
        <v>0</v>
      </c>
      <c r="T3622">
        <v>3.5000000000000003E-2</v>
      </c>
      <c r="U3622">
        <f>IFERROR(R3622*T3622,R3622*0)</f>
        <v>0</v>
      </c>
      <c r="V3622">
        <f>IF(OR(LEFT(E3622,2)="A_",LEFT(D3622,5)="Total"),R3622+U3622,"")</f>
        <v>0</v>
      </c>
      <c r="W3622">
        <f>IF(OR(LEFT(E3622,2)="A_",LEFT(D3622,5)="Total"),V3622-Q3622,"")</f>
        <v>0</v>
      </c>
      <c r="X3622">
        <v>0</v>
      </c>
    </row>
    <row r="3623" spans="1:24" x14ac:dyDescent="0.25">
      <c r="A3623" t="s">
        <v>1943</v>
      </c>
      <c r="B3623" t="s">
        <v>2196</v>
      </c>
      <c r="C3623" t="s">
        <v>2203</v>
      </c>
      <c r="D3623" t="s">
        <v>360</v>
      </c>
      <c r="E3623" t="s">
        <v>28</v>
      </c>
      <c r="F3623" t="s">
        <v>1</v>
      </c>
      <c r="G3623" t="s">
        <v>1179</v>
      </c>
      <c r="H3623" t="s">
        <v>428</v>
      </c>
      <c r="I3623" t="s">
        <v>1</v>
      </c>
      <c r="J3623">
        <v>360</v>
      </c>
      <c r="K3623"/>
      <c r="L3623">
        <v>0</v>
      </c>
      <c r="M3623">
        <v>0</v>
      </c>
      <c r="N3623">
        <v>0</v>
      </c>
      <c r="O3623"/>
      <c r="P3623">
        <v>0</v>
      </c>
      <c r="Q3623">
        <f>O3623+P3623</f>
        <v>0</v>
      </c>
      <c r="R3623">
        <v>0</v>
      </c>
      <c r="S3623">
        <f>IF(OR(LEFT(E3623,2)="A_",LEFT(D3623,5)="Total"),R3623-Q3623,"")</f>
        <v>0</v>
      </c>
      <c r="T3623"/>
      <c r="U3623">
        <f>IFERROR(R3623*T3623,R3623*0)</f>
        <v>0</v>
      </c>
      <c r="V3623">
        <f>IF(OR(LEFT(E3623,2)="A_",LEFT(D3623,5)="Total"),R3623+U3623,"")</f>
        <v>0</v>
      </c>
      <c r="W3623">
        <f>IF(OR(LEFT(E3623,2)="A_",LEFT(D3623,5)="Total"),V3623-Q3623,"")</f>
        <v>0</v>
      </c>
      <c r="X3623">
        <v>0</v>
      </c>
    </row>
    <row r="3624" spans="1:24" x14ac:dyDescent="0.25">
      <c r="A3624" t="s">
        <v>1943</v>
      </c>
      <c r="B3624" t="s">
        <v>2196</v>
      </c>
      <c r="C3624" t="s">
        <v>2203</v>
      </c>
      <c r="D3624" t="s">
        <v>360</v>
      </c>
      <c r="E3624" t="s">
        <v>46</v>
      </c>
      <c r="F3624" t="s">
        <v>1</v>
      </c>
      <c r="G3624" t="s">
        <v>1179</v>
      </c>
      <c r="H3624" t="s">
        <v>446</v>
      </c>
      <c r="I3624" t="s">
        <v>1</v>
      </c>
      <c r="J3624">
        <v>7348.43</v>
      </c>
      <c r="K3624"/>
      <c r="L3624">
        <v>0</v>
      </c>
      <c r="M3624">
        <v>0</v>
      </c>
      <c r="N3624">
        <v>0</v>
      </c>
      <c r="O3624"/>
      <c r="P3624">
        <v>0</v>
      </c>
      <c r="Q3624">
        <f>O3624+P3624</f>
        <v>0</v>
      </c>
      <c r="R3624">
        <v>0</v>
      </c>
      <c r="S3624">
        <f>IF(OR(LEFT(E3624,2)="A_",LEFT(D3624,5)="Total"),R3624-Q3624,"")</f>
        <v>0</v>
      </c>
      <c r="T3624">
        <v>0.03</v>
      </c>
      <c r="U3624">
        <f>IFERROR(R3624*T3624,R3624*0)</f>
        <v>0</v>
      </c>
      <c r="V3624">
        <f>IF(OR(LEFT(E3624,2)="A_",LEFT(D3624,5)="Total"),R3624+U3624,"")</f>
        <v>0</v>
      </c>
      <c r="W3624">
        <f>IF(OR(LEFT(E3624,2)="A_",LEFT(D3624,5)="Total"),V3624-Q3624,"")</f>
        <v>0</v>
      </c>
      <c r="X3624">
        <v>0</v>
      </c>
    </row>
    <row r="3625" spans="1:24" x14ac:dyDescent="0.25">
      <c r="A3625" t="s">
        <v>1943</v>
      </c>
      <c r="B3625" t="s">
        <v>2196</v>
      </c>
      <c r="C3625" t="s">
        <v>2203</v>
      </c>
      <c r="D3625" t="s">
        <v>360</v>
      </c>
      <c r="E3625" t="s">
        <v>51</v>
      </c>
      <c r="F3625" t="s">
        <v>51</v>
      </c>
      <c r="G3625" t="s">
        <v>1180</v>
      </c>
      <c r="H3625"/>
      <c r="I3625"/>
      <c r="J3625">
        <v>7878.4400000000005</v>
      </c>
      <c r="K3625">
        <v>351.90000000010002</v>
      </c>
      <c r="L3625">
        <v>0</v>
      </c>
      <c r="M3625">
        <v>0</v>
      </c>
      <c r="N3625">
        <v>0</v>
      </c>
      <c r="O3625">
        <v>0</v>
      </c>
      <c r="P3625">
        <f>SUMIF($F$3621:$F$3624,"&lt;&gt;EV_*",$P$3621:$P$3624)</f>
        <v>0</v>
      </c>
      <c r="Q3625">
        <f>SUMIF($F$3621:$F$3624,"&lt;&gt;EV_*",$Q$3621:$Q$3624)</f>
        <v>0</v>
      </c>
      <c r="R3625">
        <f>SUMIF($F$3621:$F$3624,"&lt;&gt;EV_*",$R$3621:$R$3624)</f>
        <v>0</v>
      </c>
      <c r="S3625">
        <f>SUMIF($F$3621:$F$3624,"&lt;&gt;EV_*",$S$3621:$S$3624)</f>
        <v>0</v>
      </c>
      <c r="T3625">
        <v>0</v>
      </c>
      <c r="U3625">
        <f>SUMIF($F$3621:$F$3624,"&lt;&gt;EV_*",$U$3621:$U$3624)</f>
        <v>0</v>
      </c>
      <c r="V3625">
        <f>SUMIF($F$3621:$F$3624,"&lt;&gt;EV_*",$V$3621:$V$3624)</f>
        <v>0</v>
      </c>
      <c r="W3625">
        <f>SUMIF($F$3621:$F$3624,"&lt;&gt;EV_*",$W$3621:$W$3624)</f>
        <v>0</v>
      </c>
      <c r="X3625">
        <f>SUMIF($F$3621:$F$3624,"&lt;&gt;EV_*",$X$3621:$X$3624)</f>
        <v>0</v>
      </c>
    </row>
    <row r="3626" spans="1:24" x14ac:dyDescent="0.25">
      <c r="A3626" t="s">
        <v>1943</v>
      </c>
      <c r="B3626" t="s">
        <v>2196</v>
      </c>
      <c r="C3626" t="s">
        <v>2204</v>
      </c>
      <c r="D3626" t="s">
        <v>361</v>
      </c>
      <c r="E3626" t="s">
        <v>5</v>
      </c>
      <c r="F3626" t="s">
        <v>5</v>
      </c>
      <c r="G3626" t="s">
        <v>1181</v>
      </c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</row>
    <row r="3627" spans="1:24" x14ac:dyDescent="0.25">
      <c r="A3627" t="s">
        <v>1943</v>
      </c>
      <c r="B3627" t="s">
        <v>2196</v>
      </c>
      <c r="C3627" t="s">
        <v>2204</v>
      </c>
      <c r="D3627" t="s">
        <v>361</v>
      </c>
      <c r="E3627" t="s">
        <v>7</v>
      </c>
      <c r="F3627" t="s">
        <v>1</v>
      </c>
      <c r="G3627" t="s">
        <v>1182</v>
      </c>
      <c r="H3627" t="s">
        <v>407</v>
      </c>
      <c r="I3627" t="s">
        <v>1</v>
      </c>
      <c r="J3627">
        <v>41813.72</v>
      </c>
      <c r="K3627">
        <v>69111.999599999996</v>
      </c>
      <c r="L3627">
        <v>18566.93</v>
      </c>
      <c r="M3627">
        <v>37441.599171270718</v>
      </c>
      <c r="N3627">
        <v>35973.129999999997</v>
      </c>
      <c r="O3627">
        <v>37133.86</v>
      </c>
      <c r="P3627">
        <v>0</v>
      </c>
      <c r="Q3627">
        <f t="shared" ref="Q3627:Q3664" si="740">O3627+P3627</f>
        <v>37133.86</v>
      </c>
      <c r="R3627">
        <v>70000</v>
      </c>
      <c r="S3627">
        <f t="shared" ref="S3627:S3664" si="741">IF(OR(LEFT(E3627,2)="A_",LEFT(D3627,5)="Total"),R3627-Q3627,"")</f>
        <v>32866.14</v>
      </c>
      <c r="T3627"/>
      <c r="U3627">
        <f t="shared" ref="U3627:U3664" si="742">IFERROR(R3627*T3627,R3627*0)</f>
        <v>0</v>
      </c>
      <c r="V3627">
        <f t="shared" ref="V3627:V3664" si="743">IF(OR(LEFT(E3627,2)="A_",LEFT(D3627,5)="Total"),R3627+U3627,"")</f>
        <v>70000</v>
      </c>
      <c r="W3627">
        <f t="shared" ref="W3627:W3664" si="744">IF(OR(LEFT(E3627,2)="A_",LEFT(D3627,5)="Total"),V3627-Q3627,"")</f>
        <v>32866.14</v>
      </c>
      <c r="X3627" t="s">
        <v>1875</v>
      </c>
    </row>
    <row r="3628" spans="1:24" x14ac:dyDescent="0.25">
      <c r="A3628" t="s">
        <v>1943</v>
      </c>
      <c r="B3628" t="s">
        <v>2196</v>
      </c>
      <c r="C3628" t="s">
        <v>2204</v>
      </c>
      <c r="D3628" t="s">
        <v>361</v>
      </c>
      <c r="E3628" t="s">
        <v>8</v>
      </c>
      <c r="F3628" t="s">
        <v>1</v>
      </c>
      <c r="G3628" t="s">
        <v>1182</v>
      </c>
      <c r="H3628" t="s">
        <v>408</v>
      </c>
      <c r="I3628" t="s">
        <v>1</v>
      </c>
      <c r="J3628">
        <v>5388.26</v>
      </c>
      <c r="K3628">
        <v>3824.6958563534999</v>
      </c>
      <c r="L3628">
        <v>549.15</v>
      </c>
      <c r="M3628">
        <v>1107.4019337016575</v>
      </c>
      <c r="N3628">
        <v>4040.78</v>
      </c>
      <c r="O3628">
        <v>1107.4019337017</v>
      </c>
      <c r="P3628">
        <v>0</v>
      </c>
      <c r="Q3628">
        <f t="shared" si="740"/>
        <v>1107.4019337017</v>
      </c>
      <c r="R3628">
        <v>1107</v>
      </c>
      <c r="S3628">
        <f t="shared" si="741"/>
        <v>-0.40193370170004528</v>
      </c>
      <c r="T3628"/>
      <c r="U3628">
        <f t="shared" si="742"/>
        <v>0</v>
      </c>
      <c r="V3628">
        <f t="shared" si="743"/>
        <v>1107</v>
      </c>
      <c r="W3628">
        <f t="shared" si="744"/>
        <v>-0.40193370170004528</v>
      </c>
      <c r="X3628">
        <v>0</v>
      </c>
    </row>
    <row r="3629" spans="1:24" x14ac:dyDescent="0.25">
      <c r="A3629" t="s">
        <v>1943</v>
      </c>
      <c r="B3629" t="s">
        <v>2196</v>
      </c>
      <c r="C3629" t="s">
        <v>2204</v>
      </c>
      <c r="D3629" t="s">
        <v>361</v>
      </c>
      <c r="E3629" t="s">
        <v>10</v>
      </c>
      <c r="F3629" t="s">
        <v>1</v>
      </c>
      <c r="G3629" t="s">
        <v>1182</v>
      </c>
      <c r="H3629" t="s">
        <v>410</v>
      </c>
      <c r="I3629" t="s">
        <v>1</v>
      </c>
      <c r="J3629">
        <v>35000</v>
      </c>
      <c r="K3629">
        <v>14529.9999999996</v>
      </c>
      <c r="L3629">
        <v>37276.5</v>
      </c>
      <c r="M3629">
        <v>75170.842541436461</v>
      </c>
      <c r="N3629">
        <v>52276.5</v>
      </c>
      <c r="O3629">
        <v>74553</v>
      </c>
      <c r="P3629">
        <v>0</v>
      </c>
      <c r="Q3629">
        <f t="shared" si="740"/>
        <v>74553</v>
      </c>
      <c r="R3629">
        <v>82100</v>
      </c>
      <c r="S3629">
        <f t="shared" si="741"/>
        <v>7547</v>
      </c>
      <c r="T3629"/>
      <c r="U3629">
        <f t="shared" si="742"/>
        <v>0</v>
      </c>
      <c r="V3629">
        <f t="shared" si="743"/>
        <v>82100</v>
      </c>
      <c r="W3629">
        <f t="shared" si="744"/>
        <v>7547</v>
      </c>
      <c r="X3629" t="s">
        <v>1876</v>
      </c>
    </row>
    <row r="3630" spans="1:24" x14ac:dyDescent="0.25">
      <c r="A3630" t="s">
        <v>1943</v>
      </c>
      <c r="B3630" t="s">
        <v>2196</v>
      </c>
      <c r="C3630" t="s">
        <v>2204</v>
      </c>
      <c r="D3630" t="s">
        <v>361</v>
      </c>
      <c r="E3630" t="s">
        <v>11</v>
      </c>
      <c r="F3630" t="s">
        <v>1</v>
      </c>
      <c r="G3630" t="s">
        <v>1182</v>
      </c>
      <c r="H3630" t="s">
        <v>411</v>
      </c>
      <c r="I3630" t="s">
        <v>1</v>
      </c>
      <c r="J3630">
        <v>12371.14</v>
      </c>
      <c r="K3630">
        <v>10654.2799999992</v>
      </c>
      <c r="L3630">
        <v>5542.6</v>
      </c>
      <c r="M3630">
        <v>11177.066298342543</v>
      </c>
      <c r="N3630">
        <v>11790.37</v>
      </c>
      <c r="O3630">
        <v>11085.2</v>
      </c>
      <c r="P3630">
        <v>0</v>
      </c>
      <c r="Q3630">
        <f t="shared" si="740"/>
        <v>11085.2</v>
      </c>
      <c r="R3630">
        <v>11085</v>
      </c>
      <c r="S3630">
        <f t="shared" si="741"/>
        <v>-0.2000000000007276</v>
      </c>
      <c r="T3630"/>
      <c r="U3630">
        <f t="shared" si="742"/>
        <v>0</v>
      </c>
      <c r="V3630">
        <f t="shared" si="743"/>
        <v>11085</v>
      </c>
      <c r="W3630">
        <f t="shared" si="744"/>
        <v>-0.2000000000007276</v>
      </c>
      <c r="X3630">
        <v>0</v>
      </c>
    </row>
    <row r="3631" spans="1:24" x14ac:dyDescent="0.25">
      <c r="A3631" t="s">
        <v>1943</v>
      </c>
      <c r="B3631" t="s">
        <v>2196</v>
      </c>
      <c r="C3631" t="s">
        <v>2204</v>
      </c>
      <c r="D3631" t="s">
        <v>361</v>
      </c>
      <c r="E3631" t="s">
        <v>12</v>
      </c>
      <c r="F3631" t="s">
        <v>1</v>
      </c>
      <c r="G3631" t="s">
        <v>1182</v>
      </c>
      <c r="H3631" t="s">
        <v>412</v>
      </c>
      <c r="I3631" t="s">
        <v>1</v>
      </c>
      <c r="J3631"/>
      <c r="K3631"/>
      <c r="L3631">
        <v>1652</v>
      </c>
      <c r="M3631">
        <v>3331.3812154696129</v>
      </c>
      <c r="N3631">
        <v>1652</v>
      </c>
      <c r="O3631">
        <v>3304</v>
      </c>
      <c r="P3631">
        <v>0</v>
      </c>
      <c r="Q3631">
        <f t="shared" si="740"/>
        <v>3304</v>
      </c>
      <c r="R3631">
        <v>3331</v>
      </c>
      <c r="S3631">
        <f t="shared" si="741"/>
        <v>27</v>
      </c>
      <c r="T3631"/>
      <c r="U3631">
        <f t="shared" si="742"/>
        <v>0</v>
      </c>
      <c r="V3631">
        <f t="shared" si="743"/>
        <v>3331</v>
      </c>
      <c r="W3631">
        <f t="shared" si="744"/>
        <v>27</v>
      </c>
      <c r="X3631">
        <v>0</v>
      </c>
    </row>
    <row r="3632" spans="1:24" x14ac:dyDescent="0.25">
      <c r="A3632" t="s">
        <v>1943</v>
      </c>
      <c r="B3632" t="s">
        <v>2196</v>
      </c>
      <c r="C3632" t="s">
        <v>2204</v>
      </c>
      <c r="D3632" t="s">
        <v>361</v>
      </c>
      <c r="E3632" t="s">
        <v>17</v>
      </c>
      <c r="F3632" t="s">
        <v>1</v>
      </c>
      <c r="G3632" t="s">
        <v>1182</v>
      </c>
      <c r="H3632" t="s">
        <v>417</v>
      </c>
      <c r="I3632" t="s">
        <v>1</v>
      </c>
      <c r="J3632">
        <v>-839.53</v>
      </c>
      <c r="K3632">
        <v>-1440.0000000001</v>
      </c>
      <c r="L3632">
        <v>0</v>
      </c>
      <c r="M3632">
        <v>0</v>
      </c>
      <c r="N3632">
        <v>-547.44000000000005</v>
      </c>
      <c r="O3632"/>
      <c r="P3632">
        <v>0</v>
      </c>
      <c r="Q3632">
        <f t="shared" si="740"/>
        <v>0</v>
      </c>
      <c r="R3632">
        <v>0</v>
      </c>
      <c r="S3632">
        <f t="shared" si="741"/>
        <v>0</v>
      </c>
      <c r="T3632"/>
      <c r="U3632">
        <f t="shared" si="742"/>
        <v>0</v>
      </c>
      <c r="V3632">
        <f t="shared" si="743"/>
        <v>0</v>
      </c>
      <c r="W3632">
        <f t="shared" si="744"/>
        <v>0</v>
      </c>
      <c r="X3632">
        <v>0</v>
      </c>
    </row>
    <row r="3633" spans="1:24" x14ac:dyDescent="0.25">
      <c r="A3633" t="s">
        <v>1943</v>
      </c>
      <c r="B3633" t="s">
        <v>2196</v>
      </c>
      <c r="C3633" t="s">
        <v>2204</v>
      </c>
      <c r="D3633" t="s">
        <v>361</v>
      </c>
      <c r="E3633" t="s">
        <v>82</v>
      </c>
      <c r="F3633" t="s">
        <v>1</v>
      </c>
      <c r="G3633" t="s">
        <v>1182</v>
      </c>
      <c r="H3633" t="s">
        <v>507</v>
      </c>
      <c r="I3633" t="s">
        <v>1</v>
      </c>
      <c r="J3633">
        <v>166</v>
      </c>
      <c r="K3633"/>
      <c r="L3633">
        <v>0</v>
      </c>
      <c r="M3633">
        <v>0</v>
      </c>
      <c r="N3633">
        <v>166</v>
      </c>
      <c r="O3633"/>
      <c r="P3633">
        <v>0</v>
      </c>
      <c r="Q3633">
        <f t="shared" si="740"/>
        <v>0</v>
      </c>
      <c r="R3633">
        <v>0</v>
      </c>
      <c r="S3633">
        <f t="shared" si="741"/>
        <v>0</v>
      </c>
      <c r="T3633">
        <v>2.75E-2</v>
      </c>
      <c r="U3633">
        <f t="shared" si="742"/>
        <v>0</v>
      </c>
      <c r="V3633">
        <f t="shared" si="743"/>
        <v>0</v>
      </c>
      <c r="W3633">
        <f t="shared" si="744"/>
        <v>0</v>
      </c>
      <c r="X3633">
        <v>0</v>
      </c>
    </row>
    <row r="3634" spans="1:24" x14ac:dyDescent="0.25">
      <c r="A3634" t="s">
        <v>1943</v>
      </c>
      <c r="B3634" t="s">
        <v>2196</v>
      </c>
      <c r="C3634" t="s">
        <v>2204</v>
      </c>
      <c r="D3634" t="s">
        <v>361</v>
      </c>
      <c r="E3634" t="s">
        <v>18</v>
      </c>
      <c r="F3634" t="s">
        <v>1</v>
      </c>
      <c r="G3634" t="s">
        <v>1182</v>
      </c>
      <c r="H3634" t="s">
        <v>418</v>
      </c>
      <c r="I3634" t="s">
        <v>1</v>
      </c>
      <c r="J3634">
        <v>2798.11</v>
      </c>
      <c r="K3634">
        <v>4159.9808765432999</v>
      </c>
      <c r="L3634">
        <v>1402.92</v>
      </c>
      <c r="M3634">
        <v>2829.0928176795583</v>
      </c>
      <c r="N3634">
        <v>1402.9199999999998</v>
      </c>
      <c r="O3634">
        <v>2821.2567032966999</v>
      </c>
      <c r="P3634">
        <v>0</v>
      </c>
      <c r="Q3634">
        <f t="shared" si="740"/>
        <v>2821.2567032966999</v>
      </c>
      <c r="R3634">
        <v>2821</v>
      </c>
      <c r="S3634">
        <f t="shared" si="741"/>
        <v>-0.25670329669992498</v>
      </c>
      <c r="T3634">
        <v>0.02</v>
      </c>
      <c r="U3634">
        <f t="shared" si="742"/>
        <v>56.42</v>
      </c>
      <c r="V3634">
        <f t="shared" si="743"/>
        <v>2877.42</v>
      </c>
      <c r="W3634">
        <f t="shared" si="744"/>
        <v>56.163296703300148</v>
      </c>
      <c r="X3634">
        <v>0</v>
      </c>
    </row>
    <row r="3635" spans="1:24" x14ac:dyDescent="0.25">
      <c r="A3635" t="s">
        <v>1943</v>
      </c>
      <c r="B3635" t="s">
        <v>2196</v>
      </c>
      <c r="C3635" t="s">
        <v>2204</v>
      </c>
      <c r="D3635" t="s">
        <v>361</v>
      </c>
      <c r="E3635" t="s">
        <v>21</v>
      </c>
      <c r="F3635" t="s">
        <v>1</v>
      </c>
      <c r="G3635" t="s">
        <v>1182</v>
      </c>
      <c r="H3635" t="s">
        <v>421</v>
      </c>
      <c r="I3635" t="s">
        <v>1</v>
      </c>
      <c r="J3635">
        <v>104.78</v>
      </c>
      <c r="K3635">
        <v>168.5700000002</v>
      </c>
      <c r="L3635">
        <v>381.5</v>
      </c>
      <c r="M3635">
        <v>769.32320441988952</v>
      </c>
      <c r="N3635">
        <v>401.48999999999995</v>
      </c>
      <c r="O3635">
        <v>769.32320441989998</v>
      </c>
      <c r="P3635">
        <v>0</v>
      </c>
      <c r="Q3635">
        <f t="shared" si="740"/>
        <v>769.32320441989998</v>
      </c>
      <c r="R3635">
        <v>769</v>
      </c>
      <c r="S3635">
        <f t="shared" si="741"/>
        <v>-0.32320441989998017</v>
      </c>
      <c r="T3635">
        <v>0.03</v>
      </c>
      <c r="U3635">
        <f t="shared" si="742"/>
        <v>23.07</v>
      </c>
      <c r="V3635">
        <f t="shared" si="743"/>
        <v>792.07</v>
      </c>
      <c r="W3635">
        <f t="shared" si="744"/>
        <v>22.74679558010007</v>
      </c>
      <c r="X3635">
        <v>0</v>
      </c>
    </row>
    <row r="3636" spans="1:24" x14ac:dyDescent="0.25">
      <c r="A3636" t="s">
        <v>1943</v>
      </c>
      <c r="B3636" t="s">
        <v>2196</v>
      </c>
      <c r="C3636" t="s">
        <v>2204</v>
      </c>
      <c r="D3636" t="s">
        <v>361</v>
      </c>
      <c r="E3636" t="s">
        <v>22</v>
      </c>
      <c r="F3636" t="s">
        <v>1</v>
      </c>
      <c r="G3636" t="s">
        <v>1182</v>
      </c>
      <c r="H3636" t="s">
        <v>422</v>
      </c>
      <c r="I3636" t="s">
        <v>1</v>
      </c>
      <c r="J3636">
        <v>1928.15</v>
      </c>
      <c r="K3636">
        <v>3001.5000000002001</v>
      </c>
      <c r="L3636">
        <v>1285.9100000000001</v>
      </c>
      <c r="M3636">
        <v>2593.1334254143649</v>
      </c>
      <c r="N3636">
        <v>1763.05</v>
      </c>
      <c r="O3636">
        <v>2593.1334254143999</v>
      </c>
      <c r="P3636">
        <v>0</v>
      </c>
      <c r="Q3636">
        <f t="shared" si="740"/>
        <v>2593.1334254143999</v>
      </c>
      <c r="R3636">
        <v>2593</v>
      </c>
      <c r="S3636">
        <f t="shared" si="741"/>
        <v>-0.13342541439988054</v>
      </c>
      <c r="T3636">
        <v>3.5000000000000003E-2</v>
      </c>
      <c r="U3636">
        <f t="shared" si="742"/>
        <v>90.75500000000001</v>
      </c>
      <c r="V3636">
        <f t="shared" si="743"/>
        <v>2683.7550000000001</v>
      </c>
      <c r="W3636">
        <f t="shared" si="744"/>
        <v>90.621574585600229</v>
      </c>
      <c r="X3636">
        <v>0</v>
      </c>
    </row>
    <row r="3637" spans="1:24" x14ac:dyDescent="0.25">
      <c r="A3637" t="s">
        <v>1943</v>
      </c>
      <c r="B3637" t="s">
        <v>2196</v>
      </c>
      <c r="C3637" t="s">
        <v>2204</v>
      </c>
      <c r="D3637" t="s">
        <v>361</v>
      </c>
      <c r="E3637" t="s">
        <v>23</v>
      </c>
      <c r="F3637" t="s">
        <v>1</v>
      </c>
      <c r="G3637" t="s">
        <v>1182</v>
      </c>
      <c r="H3637" t="s">
        <v>423</v>
      </c>
      <c r="I3637" t="s">
        <v>1</v>
      </c>
      <c r="J3637">
        <v>614984.91</v>
      </c>
      <c r="K3637">
        <v>531814.05000000005</v>
      </c>
      <c r="L3637">
        <v>512796.82</v>
      </c>
      <c r="M3637">
        <v>1034093.0348066299</v>
      </c>
      <c r="N3637">
        <v>920868.77</v>
      </c>
      <c r="O3637">
        <v>1034093.03480663</v>
      </c>
      <c r="P3637">
        <v>0</v>
      </c>
      <c r="Q3637">
        <f t="shared" si="740"/>
        <v>1034093.03480663</v>
      </c>
      <c r="R3637">
        <v>1120000</v>
      </c>
      <c r="S3637">
        <f t="shared" si="741"/>
        <v>85906.965193370008</v>
      </c>
      <c r="T3637">
        <v>3.5000000000000003E-2</v>
      </c>
      <c r="U3637">
        <f t="shared" si="742"/>
        <v>39200.000000000007</v>
      </c>
      <c r="V3637">
        <f t="shared" si="743"/>
        <v>1159200</v>
      </c>
      <c r="W3637">
        <f t="shared" si="744"/>
        <v>125106.96519337001</v>
      </c>
      <c r="X3637" t="s">
        <v>1877</v>
      </c>
    </row>
    <row r="3638" spans="1:24" x14ac:dyDescent="0.25">
      <c r="A3638" t="s">
        <v>1943</v>
      </c>
      <c r="B3638" t="s">
        <v>2196</v>
      </c>
      <c r="C3638" t="s">
        <v>2204</v>
      </c>
      <c r="D3638" t="s">
        <v>361</v>
      </c>
      <c r="E3638" t="s">
        <v>362</v>
      </c>
      <c r="F3638" t="s">
        <v>1</v>
      </c>
      <c r="G3638" t="s">
        <v>1182</v>
      </c>
      <c r="H3638" t="s">
        <v>1183</v>
      </c>
      <c r="I3638" t="s">
        <v>1</v>
      </c>
      <c r="J3638">
        <v>252596.06</v>
      </c>
      <c r="K3638">
        <v>391095.45</v>
      </c>
      <c r="L3638">
        <v>35108.06</v>
      </c>
      <c r="M3638">
        <v>70798.021546961318</v>
      </c>
      <c r="N3638">
        <v>98768.739999999991</v>
      </c>
      <c r="O3638">
        <v>70798.021546961303</v>
      </c>
      <c r="P3638">
        <v>0</v>
      </c>
      <c r="Q3638">
        <f t="shared" si="740"/>
        <v>70798.021546961303</v>
      </c>
      <c r="R3638">
        <v>391095.45</v>
      </c>
      <c r="S3638">
        <f t="shared" si="741"/>
        <v>320297.42845303868</v>
      </c>
      <c r="T3638">
        <v>3.5000000000000003E-2</v>
      </c>
      <c r="U3638">
        <f t="shared" si="742"/>
        <v>13688.340750000001</v>
      </c>
      <c r="V3638">
        <f t="shared" si="743"/>
        <v>404783.79074999999</v>
      </c>
      <c r="W3638">
        <f t="shared" si="744"/>
        <v>333985.76920303865</v>
      </c>
      <c r="X3638" t="s">
        <v>1878</v>
      </c>
    </row>
    <row r="3639" spans="1:24" x14ac:dyDescent="0.25">
      <c r="A3639" t="s">
        <v>1943</v>
      </c>
      <c r="B3639" t="s">
        <v>2196</v>
      </c>
      <c r="C3639" t="s">
        <v>2204</v>
      </c>
      <c r="D3639" t="s">
        <v>361</v>
      </c>
      <c r="E3639" t="s">
        <v>363</v>
      </c>
      <c r="F3639" t="s">
        <v>1</v>
      </c>
      <c r="G3639" t="s">
        <v>1182</v>
      </c>
      <c r="H3639" t="s">
        <v>1184</v>
      </c>
      <c r="I3639" t="s">
        <v>1</v>
      </c>
      <c r="J3639"/>
      <c r="K3639"/>
      <c r="L3639">
        <v>-2160.67</v>
      </c>
      <c r="M3639">
        <v>-4357.1522099447511</v>
      </c>
      <c r="N3639">
        <v>-2160.67</v>
      </c>
      <c r="O3639">
        <v>-4357.1522099448002</v>
      </c>
      <c r="P3639">
        <v>0</v>
      </c>
      <c r="Q3639">
        <f t="shared" si="740"/>
        <v>-4357.1522099448002</v>
      </c>
      <c r="R3639">
        <v>4357</v>
      </c>
      <c r="S3639">
        <f t="shared" si="741"/>
        <v>8714.1522099448011</v>
      </c>
      <c r="T3639"/>
      <c r="U3639">
        <f t="shared" si="742"/>
        <v>0</v>
      </c>
      <c r="V3639">
        <f t="shared" si="743"/>
        <v>4357</v>
      </c>
      <c r="W3639">
        <f t="shared" si="744"/>
        <v>8714.1522099448011</v>
      </c>
      <c r="X3639">
        <v>0</v>
      </c>
    </row>
    <row r="3640" spans="1:24" x14ac:dyDescent="0.25">
      <c r="A3640" t="s">
        <v>1943</v>
      </c>
      <c r="B3640" t="s">
        <v>2196</v>
      </c>
      <c r="C3640" t="s">
        <v>2204</v>
      </c>
      <c r="D3640" t="s">
        <v>361</v>
      </c>
      <c r="E3640" t="s">
        <v>26</v>
      </c>
      <c r="F3640" t="s">
        <v>1</v>
      </c>
      <c r="G3640" t="s">
        <v>1182</v>
      </c>
      <c r="H3640" t="s">
        <v>426</v>
      </c>
      <c r="I3640" t="s">
        <v>1</v>
      </c>
      <c r="J3640">
        <v>250</v>
      </c>
      <c r="K3640">
        <v>2668.9683542568</v>
      </c>
      <c r="L3640">
        <v>0</v>
      </c>
      <c r="M3640">
        <v>0</v>
      </c>
      <c r="N3640">
        <v>250</v>
      </c>
      <c r="O3640"/>
      <c r="P3640">
        <v>0</v>
      </c>
      <c r="Q3640">
        <f t="shared" si="740"/>
        <v>0</v>
      </c>
      <c r="R3640">
        <v>2300</v>
      </c>
      <c r="S3640">
        <f t="shared" si="741"/>
        <v>2300</v>
      </c>
      <c r="T3640"/>
      <c r="U3640">
        <f t="shared" si="742"/>
        <v>0</v>
      </c>
      <c r="V3640">
        <f t="shared" si="743"/>
        <v>2300</v>
      </c>
      <c r="W3640">
        <f t="shared" si="744"/>
        <v>2300</v>
      </c>
      <c r="X3640" t="s">
        <v>1879</v>
      </c>
    </row>
    <row r="3641" spans="1:24" x14ac:dyDescent="0.25">
      <c r="A3641" t="s">
        <v>1943</v>
      </c>
      <c r="B3641" t="s">
        <v>2196</v>
      </c>
      <c r="C3641" t="s">
        <v>2204</v>
      </c>
      <c r="D3641" t="s">
        <v>361</v>
      </c>
      <c r="E3641" t="s">
        <v>27</v>
      </c>
      <c r="F3641" t="s">
        <v>1</v>
      </c>
      <c r="G3641" t="s">
        <v>1182</v>
      </c>
      <c r="H3641" t="s">
        <v>427</v>
      </c>
      <c r="I3641" t="s">
        <v>1</v>
      </c>
      <c r="J3641">
        <v>8950</v>
      </c>
      <c r="K3641">
        <v>9890.0000000004002</v>
      </c>
      <c r="L3641">
        <v>8055</v>
      </c>
      <c r="M3641">
        <v>16243.508287292818</v>
      </c>
      <c r="N3641">
        <v>11635</v>
      </c>
      <c r="O3641">
        <v>16110</v>
      </c>
      <c r="P3641">
        <v>0</v>
      </c>
      <c r="Q3641">
        <f t="shared" si="740"/>
        <v>16110</v>
      </c>
      <c r="R3641">
        <v>16110</v>
      </c>
      <c r="S3641">
        <f t="shared" si="741"/>
        <v>0</v>
      </c>
      <c r="T3641"/>
      <c r="U3641">
        <f t="shared" si="742"/>
        <v>0</v>
      </c>
      <c r="V3641">
        <f t="shared" si="743"/>
        <v>16110</v>
      </c>
      <c r="W3641">
        <f t="shared" si="744"/>
        <v>0</v>
      </c>
      <c r="X3641">
        <v>0</v>
      </c>
    </row>
    <row r="3642" spans="1:24" x14ac:dyDescent="0.25">
      <c r="A3642" t="s">
        <v>1943</v>
      </c>
      <c r="B3642" t="s">
        <v>2196</v>
      </c>
      <c r="C3642" t="s">
        <v>2204</v>
      </c>
      <c r="D3642" t="s">
        <v>361</v>
      </c>
      <c r="E3642" t="s">
        <v>28</v>
      </c>
      <c r="F3642" t="s">
        <v>1</v>
      </c>
      <c r="G3642" t="s">
        <v>1182</v>
      </c>
      <c r="H3642" t="s">
        <v>428</v>
      </c>
      <c r="I3642" t="s">
        <v>1</v>
      </c>
      <c r="J3642">
        <v>805</v>
      </c>
      <c r="K3642"/>
      <c r="L3642">
        <v>0</v>
      </c>
      <c r="M3642">
        <v>0</v>
      </c>
      <c r="N3642">
        <v>0</v>
      </c>
      <c r="O3642"/>
      <c r="P3642">
        <v>0</v>
      </c>
      <c r="Q3642">
        <f t="shared" si="740"/>
        <v>0</v>
      </c>
      <c r="R3642">
        <v>0</v>
      </c>
      <c r="S3642">
        <f t="shared" si="741"/>
        <v>0</v>
      </c>
      <c r="T3642"/>
      <c r="U3642">
        <f t="shared" si="742"/>
        <v>0</v>
      </c>
      <c r="V3642">
        <f t="shared" si="743"/>
        <v>0</v>
      </c>
      <c r="W3642">
        <f t="shared" si="744"/>
        <v>0</v>
      </c>
      <c r="X3642">
        <v>0</v>
      </c>
    </row>
    <row r="3643" spans="1:24" x14ac:dyDescent="0.25">
      <c r="A3643" t="s">
        <v>1943</v>
      </c>
      <c r="B3643" t="s">
        <v>2196</v>
      </c>
      <c r="C3643" t="s">
        <v>2204</v>
      </c>
      <c r="D3643" t="s">
        <v>361</v>
      </c>
      <c r="E3643" t="s">
        <v>29</v>
      </c>
      <c r="F3643" t="s">
        <v>1</v>
      </c>
      <c r="G3643" t="s">
        <v>1182</v>
      </c>
      <c r="H3643" t="s">
        <v>429</v>
      </c>
      <c r="I3643" t="s">
        <v>1</v>
      </c>
      <c r="J3643">
        <v>3664.39</v>
      </c>
      <c r="K3643"/>
      <c r="L3643">
        <v>0</v>
      </c>
      <c r="M3643">
        <v>0</v>
      </c>
      <c r="N3643">
        <v>212.41</v>
      </c>
      <c r="O3643"/>
      <c r="P3643">
        <v>0</v>
      </c>
      <c r="Q3643">
        <f t="shared" si="740"/>
        <v>0</v>
      </c>
      <c r="R3643">
        <v>0</v>
      </c>
      <c r="S3643">
        <f t="shared" si="741"/>
        <v>0</v>
      </c>
      <c r="T3643"/>
      <c r="U3643">
        <f t="shared" si="742"/>
        <v>0</v>
      </c>
      <c r="V3643">
        <f t="shared" si="743"/>
        <v>0</v>
      </c>
      <c r="W3643">
        <f t="shared" si="744"/>
        <v>0</v>
      </c>
      <c r="X3643">
        <v>0</v>
      </c>
    </row>
    <row r="3644" spans="1:24" x14ac:dyDescent="0.25">
      <c r="A3644" t="s">
        <v>1943</v>
      </c>
      <c r="B3644" t="s">
        <v>2196</v>
      </c>
      <c r="C3644" t="s">
        <v>2204</v>
      </c>
      <c r="D3644" t="s">
        <v>361</v>
      </c>
      <c r="E3644" t="s">
        <v>31</v>
      </c>
      <c r="F3644" t="s">
        <v>1</v>
      </c>
      <c r="G3644" t="s">
        <v>1182</v>
      </c>
      <c r="H3644" t="s">
        <v>431</v>
      </c>
      <c r="I3644" t="s">
        <v>1</v>
      </c>
      <c r="J3644">
        <v>4598.1499999999996</v>
      </c>
      <c r="K3644">
        <v>4625.0000000004002</v>
      </c>
      <c r="L3644">
        <v>0</v>
      </c>
      <c r="M3644">
        <v>0</v>
      </c>
      <c r="N3644">
        <v>4598.1499999999996</v>
      </c>
      <c r="O3644"/>
      <c r="P3644">
        <v>0</v>
      </c>
      <c r="Q3644">
        <f t="shared" si="740"/>
        <v>0</v>
      </c>
      <c r="R3644">
        <v>0</v>
      </c>
      <c r="S3644">
        <f t="shared" si="741"/>
        <v>0</v>
      </c>
      <c r="T3644"/>
      <c r="U3644">
        <f t="shared" si="742"/>
        <v>0</v>
      </c>
      <c r="V3644">
        <f t="shared" si="743"/>
        <v>0</v>
      </c>
      <c r="W3644">
        <f t="shared" si="744"/>
        <v>0</v>
      </c>
      <c r="X3644">
        <v>0</v>
      </c>
    </row>
    <row r="3645" spans="1:24" x14ac:dyDescent="0.25">
      <c r="A3645" t="s">
        <v>1943</v>
      </c>
      <c r="B3645" t="s">
        <v>2196</v>
      </c>
      <c r="C3645" t="s">
        <v>2204</v>
      </c>
      <c r="D3645" t="s">
        <v>361</v>
      </c>
      <c r="E3645" t="s">
        <v>33</v>
      </c>
      <c r="F3645" t="s">
        <v>1</v>
      </c>
      <c r="G3645" t="s">
        <v>1182</v>
      </c>
      <c r="H3645" t="s">
        <v>433</v>
      </c>
      <c r="I3645" t="s">
        <v>1</v>
      </c>
      <c r="J3645">
        <v>5702.38</v>
      </c>
      <c r="K3645">
        <v>10499.250533247599</v>
      </c>
      <c r="L3645">
        <v>2012.44</v>
      </c>
      <c r="M3645">
        <v>4058.2353591160222</v>
      </c>
      <c r="N3645">
        <v>5906.58</v>
      </c>
      <c r="O3645">
        <v>4024.88</v>
      </c>
      <c r="P3645">
        <v>0</v>
      </c>
      <c r="Q3645">
        <f t="shared" si="740"/>
        <v>4024.88</v>
      </c>
      <c r="R3645">
        <v>13333</v>
      </c>
      <c r="S3645">
        <f t="shared" si="741"/>
        <v>9308.119999999999</v>
      </c>
      <c r="T3645"/>
      <c r="U3645">
        <f t="shared" si="742"/>
        <v>0</v>
      </c>
      <c r="V3645">
        <f t="shared" si="743"/>
        <v>13333</v>
      </c>
      <c r="W3645">
        <f t="shared" si="744"/>
        <v>9308.119999999999</v>
      </c>
      <c r="X3645" t="s">
        <v>1880</v>
      </c>
    </row>
    <row r="3646" spans="1:24" x14ac:dyDescent="0.25">
      <c r="A3646" t="s">
        <v>1943</v>
      </c>
      <c r="B3646" t="s">
        <v>2196</v>
      </c>
      <c r="C3646" t="s">
        <v>2204</v>
      </c>
      <c r="D3646" t="s">
        <v>361</v>
      </c>
      <c r="E3646" t="s">
        <v>34</v>
      </c>
      <c r="F3646" t="s">
        <v>1</v>
      </c>
      <c r="G3646" t="s">
        <v>1182</v>
      </c>
      <c r="H3646" t="s">
        <v>434</v>
      </c>
      <c r="I3646" t="s">
        <v>1</v>
      </c>
      <c r="J3646">
        <v>2330.9</v>
      </c>
      <c r="K3646">
        <v>196.24767365880001</v>
      </c>
      <c r="L3646">
        <v>741.06</v>
      </c>
      <c r="M3646">
        <v>1494.4027624309392</v>
      </c>
      <c r="N3646">
        <v>3071.96</v>
      </c>
      <c r="O3646">
        <v>1482.12</v>
      </c>
      <c r="P3646">
        <v>0</v>
      </c>
      <c r="Q3646">
        <f t="shared" si="740"/>
        <v>1482.12</v>
      </c>
      <c r="R3646">
        <v>4300</v>
      </c>
      <c r="S3646">
        <f t="shared" si="741"/>
        <v>2817.88</v>
      </c>
      <c r="T3646"/>
      <c r="U3646">
        <f t="shared" si="742"/>
        <v>0</v>
      </c>
      <c r="V3646">
        <f t="shared" si="743"/>
        <v>4300</v>
      </c>
      <c r="W3646">
        <f t="shared" si="744"/>
        <v>2817.88</v>
      </c>
      <c r="X3646" t="s">
        <v>1881</v>
      </c>
    </row>
    <row r="3647" spans="1:24" x14ac:dyDescent="0.25">
      <c r="A3647" t="s">
        <v>1943</v>
      </c>
      <c r="B3647" t="s">
        <v>2196</v>
      </c>
      <c r="C3647" t="s">
        <v>2204</v>
      </c>
      <c r="D3647" t="s">
        <v>361</v>
      </c>
      <c r="E3647" t="s">
        <v>37</v>
      </c>
      <c r="F3647" t="s">
        <v>1</v>
      </c>
      <c r="G3647" t="s">
        <v>1182</v>
      </c>
      <c r="H3647" t="s">
        <v>437</v>
      </c>
      <c r="I3647" t="s">
        <v>1</v>
      </c>
      <c r="J3647">
        <v>806.16</v>
      </c>
      <c r="K3647"/>
      <c r="L3647">
        <v>490.44</v>
      </c>
      <c r="M3647">
        <v>989.00883977900548</v>
      </c>
      <c r="N3647">
        <v>543.69000000000005</v>
      </c>
      <c r="O3647">
        <v>980.88</v>
      </c>
      <c r="P3647">
        <v>0</v>
      </c>
      <c r="Q3647">
        <f t="shared" si="740"/>
        <v>980.88</v>
      </c>
      <c r="R3647">
        <v>981</v>
      </c>
      <c r="S3647">
        <f t="shared" si="741"/>
        <v>0.12000000000000455</v>
      </c>
      <c r="T3647"/>
      <c r="U3647">
        <f t="shared" si="742"/>
        <v>0</v>
      </c>
      <c r="V3647">
        <f t="shared" si="743"/>
        <v>981</v>
      </c>
      <c r="W3647">
        <f t="shared" si="744"/>
        <v>0.12000000000000455</v>
      </c>
      <c r="X3647">
        <v>0</v>
      </c>
    </row>
    <row r="3648" spans="1:24" x14ac:dyDescent="0.25">
      <c r="A3648" t="s">
        <v>1943</v>
      </c>
      <c r="B3648" t="s">
        <v>2196</v>
      </c>
      <c r="C3648" t="s">
        <v>2204</v>
      </c>
      <c r="D3648" t="s">
        <v>361</v>
      </c>
      <c r="E3648" t="s">
        <v>40</v>
      </c>
      <c r="F3648" t="s">
        <v>1</v>
      </c>
      <c r="G3648" t="s">
        <v>1182</v>
      </c>
      <c r="H3648" t="s">
        <v>440</v>
      </c>
      <c r="I3648" t="s">
        <v>1</v>
      </c>
      <c r="J3648">
        <v>1061858.06</v>
      </c>
      <c r="K3648">
        <v>1474778</v>
      </c>
      <c r="L3648">
        <v>733785.46</v>
      </c>
      <c r="M3648">
        <v>1479733.1099447513</v>
      </c>
      <c r="N3648">
        <v>1254811.22</v>
      </c>
      <c r="O3648">
        <v>1467570.92</v>
      </c>
      <c r="P3648">
        <v>0</v>
      </c>
      <c r="Q3648">
        <f t="shared" si="740"/>
        <v>1467570.92</v>
      </c>
      <c r="R3648">
        <v>1660000</v>
      </c>
      <c r="S3648">
        <f t="shared" si="741"/>
        <v>192429.08000000007</v>
      </c>
      <c r="T3648">
        <v>0.03</v>
      </c>
      <c r="U3648">
        <f t="shared" si="742"/>
        <v>49800</v>
      </c>
      <c r="V3648">
        <f t="shared" si="743"/>
        <v>1709800</v>
      </c>
      <c r="W3648">
        <f t="shared" si="744"/>
        <v>242229.08000000007</v>
      </c>
      <c r="X3648" t="s">
        <v>2240</v>
      </c>
    </row>
    <row r="3649" spans="1:24" x14ac:dyDescent="0.25">
      <c r="A3649" t="s">
        <v>1943</v>
      </c>
      <c r="B3649" t="s">
        <v>2196</v>
      </c>
      <c r="C3649" t="s">
        <v>2204</v>
      </c>
      <c r="D3649" t="s">
        <v>361</v>
      </c>
      <c r="E3649" t="s">
        <v>41</v>
      </c>
      <c r="F3649" t="s">
        <v>1</v>
      </c>
      <c r="G3649" t="s">
        <v>1182</v>
      </c>
      <c r="H3649" t="s">
        <v>441</v>
      </c>
      <c r="I3649" t="s">
        <v>1</v>
      </c>
      <c r="J3649">
        <v>25838.17</v>
      </c>
      <c r="K3649">
        <v>14274.4987457964</v>
      </c>
      <c r="L3649">
        <v>16004.55</v>
      </c>
      <c r="M3649">
        <v>32274.368784530387</v>
      </c>
      <c r="N3649">
        <v>34575.96</v>
      </c>
      <c r="O3649">
        <v>32009.1</v>
      </c>
      <c r="P3649">
        <v>0</v>
      </c>
      <c r="Q3649">
        <f t="shared" si="740"/>
        <v>32009.1</v>
      </c>
      <c r="R3649">
        <v>32009</v>
      </c>
      <c r="S3649">
        <f t="shared" si="741"/>
        <v>-9.9999999998544808E-2</v>
      </c>
      <c r="T3649">
        <v>0.03</v>
      </c>
      <c r="U3649">
        <f t="shared" si="742"/>
        <v>960.27</v>
      </c>
      <c r="V3649">
        <f t="shared" si="743"/>
        <v>32969.269999999997</v>
      </c>
      <c r="W3649">
        <f t="shared" si="744"/>
        <v>960.16999999999825</v>
      </c>
      <c r="X3649" t="s">
        <v>1882</v>
      </c>
    </row>
    <row r="3650" spans="1:24" x14ac:dyDescent="0.25">
      <c r="A3650" t="s">
        <v>1943</v>
      </c>
      <c r="B3650" t="s">
        <v>2196</v>
      </c>
      <c r="C3650" t="s">
        <v>2204</v>
      </c>
      <c r="D3650" t="s">
        <v>361</v>
      </c>
      <c r="E3650" t="s">
        <v>42</v>
      </c>
      <c r="F3650" t="s">
        <v>1</v>
      </c>
      <c r="G3650" t="s">
        <v>1182</v>
      </c>
      <c r="H3650" t="s">
        <v>442</v>
      </c>
      <c r="I3650" t="s">
        <v>1</v>
      </c>
      <c r="J3650">
        <v>1183</v>
      </c>
      <c r="K3650">
        <v>2912.0000000004002</v>
      </c>
      <c r="L3650">
        <v>20782</v>
      </c>
      <c r="M3650">
        <v>41908.453038674037</v>
      </c>
      <c r="N3650">
        <v>20782</v>
      </c>
      <c r="O3650">
        <v>41564</v>
      </c>
      <c r="P3650">
        <v>0</v>
      </c>
      <c r="Q3650">
        <f t="shared" si="740"/>
        <v>41564</v>
      </c>
      <c r="R3650">
        <v>6864</v>
      </c>
      <c r="S3650">
        <f t="shared" si="741"/>
        <v>-34700</v>
      </c>
      <c r="T3650">
        <v>0.03</v>
      </c>
      <c r="U3650">
        <f t="shared" si="742"/>
        <v>205.92</v>
      </c>
      <c r="V3650">
        <f t="shared" si="743"/>
        <v>7069.92</v>
      </c>
      <c r="W3650">
        <f t="shared" si="744"/>
        <v>-34494.080000000002</v>
      </c>
      <c r="X3650" t="s">
        <v>1883</v>
      </c>
    </row>
    <row r="3651" spans="1:24" x14ac:dyDescent="0.25">
      <c r="A3651" t="s">
        <v>1943</v>
      </c>
      <c r="B3651" t="s">
        <v>2196</v>
      </c>
      <c r="C3651" t="s">
        <v>2204</v>
      </c>
      <c r="D3651" t="s">
        <v>361</v>
      </c>
      <c r="E3651" t="s">
        <v>100</v>
      </c>
      <c r="F3651" t="s">
        <v>1</v>
      </c>
      <c r="G3651" t="s">
        <v>1182</v>
      </c>
      <c r="H3651" t="s">
        <v>549</v>
      </c>
      <c r="I3651" t="s">
        <v>1</v>
      </c>
      <c r="J3651">
        <v>101725</v>
      </c>
      <c r="K3651">
        <v>120000</v>
      </c>
      <c r="L3651">
        <v>103800</v>
      </c>
      <c r="M3651">
        <v>209320.44198895028</v>
      </c>
      <c r="N3651">
        <v>145175</v>
      </c>
      <c r="O3651">
        <v>207600</v>
      </c>
      <c r="P3651">
        <v>0</v>
      </c>
      <c r="Q3651">
        <f t="shared" si="740"/>
        <v>207600</v>
      </c>
      <c r="R3651">
        <v>207600</v>
      </c>
      <c r="S3651">
        <f t="shared" si="741"/>
        <v>0</v>
      </c>
      <c r="T3651">
        <v>0.03</v>
      </c>
      <c r="U3651">
        <f t="shared" si="742"/>
        <v>6228</v>
      </c>
      <c r="V3651">
        <f t="shared" si="743"/>
        <v>213828</v>
      </c>
      <c r="W3651">
        <f t="shared" si="744"/>
        <v>6228</v>
      </c>
      <c r="X3651" t="s">
        <v>1884</v>
      </c>
    </row>
    <row r="3652" spans="1:24" x14ac:dyDescent="0.25">
      <c r="A3652" t="s">
        <v>1943</v>
      </c>
      <c r="B3652" t="s">
        <v>2196</v>
      </c>
      <c r="C3652" t="s">
        <v>2204</v>
      </c>
      <c r="D3652" t="s">
        <v>361</v>
      </c>
      <c r="E3652" t="s">
        <v>364</v>
      </c>
      <c r="F3652" t="s">
        <v>1</v>
      </c>
      <c r="G3652" t="s">
        <v>1182</v>
      </c>
      <c r="H3652" t="s">
        <v>1185</v>
      </c>
      <c r="I3652" t="s">
        <v>1</v>
      </c>
      <c r="J3652"/>
      <c r="K3652"/>
      <c r="L3652">
        <v>23546</v>
      </c>
      <c r="M3652">
        <v>47482.265193370164</v>
      </c>
      <c r="N3652">
        <v>23546</v>
      </c>
      <c r="O3652">
        <v>47092</v>
      </c>
      <c r="P3652">
        <v>0</v>
      </c>
      <c r="Q3652">
        <f t="shared" si="740"/>
        <v>47092</v>
      </c>
      <c r="R3652">
        <v>33000</v>
      </c>
      <c r="S3652">
        <f t="shared" si="741"/>
        <v>-14092</v>
      </c>
      <c r="T3652">
        <v>0.03</v>
      </c>
      <c r="U3652">
        <f t="shared" si="742"/>
        <v>990</v>
      </c>
      <c r="V3652">
        <f t="shared" si="743"/>
        <v>33990</v>
      </c>
      <c r="W3652">
        <f t="shared" si="744"/>
        <v>-13102</v>
      </c>
      <c r="X3652" t="s">
        <v>1885</v>
      </c>
    </row>
    <row r="3653" spans="1:24" x14ac:dyDescent="0.25">
      <c r="A3653" t="s">
        <v>1943</v>
      </c>
      <c r="B3653" t="s">
        <v>2196</v>
      </c>
      <c r="C3653" t="s">
        <v>2204</v>
      </c>
      <c r="D3653" t="s">
        <v>361</v>
      </c>
      <c r="E3653" t="s">
        <v>365</v>
      </c>
      <c r="F3653" t="s">
        <v>1</v>
      </c>
      <c r="G3653" t="s">
        <v>1182</v>
      </c>
      <c r="H3653" t="s">
        <v>1186</v>
      </c>
      <c r="I3653" t="s">
        <v>1</v>
      </c>
      <c r="J3653">
        <v>288059.39</v>
      </c>
      <c r="K3653">
        <v>318704.00040000002</v>
      </c>
      <c r="L3653">
        <v>150000</v>
      </c>
      <c r="M3653">
        <v>302486.18784530391</v>
      </c>
      <c r="N3653">
        <v>274868.61</v>
      </c>
      <c r="O3653">
        <v>300000</v>
      </c>
      <c r="P3653">
        <v>0</v>
      </c>
      <c r="Q3653">
        <f t="shared" si="740"/>
        <v>300000</v>
      </c>
      <c r="R3653">
        <v>302000</v>
      </c>
      <c r="S3653">
        <f t="shared" si="741"/>
        <v>2000</v>
      </c>
      <c r="T3653">
        <v>0.03</v>
      </c>
      <c r="U3653">
        <f t="shared" si="742"/>
        <v>9060</v>
      </c>
      <c r="V3653">
        <f t="shared" si="743"/>
        <v>311060</v>
      </c>
      <c r="W3653">
        <f t="shared" si="744"/>
        <v>11060</v>
      </c>
      <c r="X3653" t="s">
        <v>1886</v>
      </c>
    </row>
    <row r="3654" spans="1:24" x14ac:dyDescent="0.25">
      <c r="A3654" t="s">
        <v>1943</v>
      </c>
      <c r="B3654" t="s">
        <v>2196</v>
      </c>
      <c r="C3654" t="s">
        <v>2204</v>
      </c>
      <c r="D3654" t="s">
        <v>361</v>
      </c>
      <c r="E3654" t="s">
        <v>306</v>
      </c>
      <c r="F3654" t="s">
        <v>1</v>
      </c>
      <c r="G3654" t="s">
        <v>1182</v>
      </c>
      <c r="H3654" t="s">
        <v>1057</v>
      </c>
      <c r="I3654" t="s">
        <v>1</v>
      </c>
      <c r="J3654">
        <v>458504.96000000002</v>
      </c>
      <c r="K3654">
        <v>568468</v>
      </c>
      <c r="L3654">
        <v>332244.65000000002</v>
      </c>
      <c r="M3654">
        <v>669996.11740331491</v>
      </c>
      <c r="N3654">
        <v>580788.50999999989</v>
      </c>
      <c r="O3654">
        <v>664489.30000000005</v>
      </c>
      <c r="P3654">
        <v>0</v>
      </c>
      <c r="Q3654">
        <f t="shared" si="740"/>
        <v>664489.30000000005</v>
      </c>
      <c r="R3654">
        <v>669000</v>
      </c>
      <c r="S3654">
        <f t="shared" si="741"/>
        <v>4510.6999999999534</v>
      </c>
      <c r="T3654">
        <v>0.03</v>
      </c>
      <c r="U3654">
        <f t="shared" si="742"/>
        <v>20070</v>
      </c>
      <c r="V3654">
        <f t="shared" si="743"/>
        <v>689070</v>
      </c>
      <c r="W3654">
        <f t="shared" si="744"/>
        <v>24580.699999999953</v>
      </c>
      <c r="X3654" t="s">
        <v>1887</v>
      </c>
    </row>
    <row r="3655" spans="1:24" x14ac:dyDescent="0.25">
      <c r="A3655" t="s">
        <v>1943</v>
      </c>
      <c r="B3655" t="s">
        <v>2196</v>
      </c>
      <c r="C3655" t="s">
        <v>2204</v>
      </c>
      <c r="D3655" t="s">
        <v>361</v>
      </c>
      <c r="E3655" t="s">
        <v>43</v>
      </c>
      <c r="F3655" t="s">
        <v>1</v>
      </c>
      <c r="G3655" t="s">
        <v>1182</v>
      </c>
      <c r="H3655" t="s">
        <v>443</v>
      </c>
      <c r="I3655" t="s">
        <v>1</v>
      </c>
      <c r="J3655">
        <v>1254415.06</v>
      </c>
      <c r="K3655">
        <v>981198.99999999895</v>
      </c>
      <c r="L3655">
        <v>782729.9</v>
      </c>
      <c r="M3655">
        <v>1578433.2237569061</v>
      </c>
      <c r="N3655">
        <v>1520140.16</v>
      </c>
      <c r="O3655">
        <v>1565459.8</v>
      </c>
      <c r="P3655">
        <v>0</v>
      </c>
      <c r="Q3655">
        <f t="shared" si="740"/>
        <v>1565459.8</v>
      </c>
      <c r="R3655">
        <v>1578433</v>
      </c>
      <c r="S3655">
        <f t="shared" si="741"/>
        <v>12973.199999999953</v>
      </c>
      <c r="T3655">
        <v>0.03</v>
      </c>
      <c r="U3655">
        <f t="shared" si="742"/>
        <v>47352.99</v>
      </c>
      <c r="V3655">
        <f t="shared" si="743"/>
        <v>1625785.99</v>
      </c>
      <c r="W3655">
        <f t="shared" si="744"/>
        <v>60326.189999999944</v>
      </c>
      <c r="X3655" t="s">
        <v>1888</v>
      </c>
    </row>
    <row r="3656" spans="1:24" x14ac:dyDescent="0.25">
      <c r="A3656" t="s">
        <v>1943</v>
      </c>
      <c r="B3656" t="s">
        <v>2196</v>
      </c>
      <c r="C3656" t="s">
        <v>2204</v>
      </c>
      <c r="D3656" t="s">
        <v>361</v>
      </c>
      <c r="E3656" t="s">
        <v>53</v>
      </c>
      <c r="F3656" t="s">
        <v>1</v>
      </c>
      <c r="G3656" t="s">
        <v>1182</v>
      </c>
      <c r="H3656" t="s">
        <v>454</v>
      </c>
      <c r="I3656" t="s">
        <v>1</v>
      </c>
      <c r="J3656">
        <v>205829.96</v>
      </c>
      <c r="K3656">
        <v>112379</v>
      </c>
      <c r="L3656">
        <v>68377.42</v>
      </c>
      <c r="M3656">
        <v>137888.1674033149</v>
      </c>
      <c r="N3656">
        <v>168668.54</v>
      </c>
      <c r="O3656">
        <v>136754.84</v>
      </c>
      <c r="P3656">
        <v>0</v>
      </c>
      <c r="Q3656">
        <f t="shared" si="740"/>
        <v>136754.84</v>
      </c>
      <c r="R3656">
        <v>136755</v>
      </c>
      <c r="S3656">
        <f t="shared" si="741"/>
        <v>0.16000000000349246</v>
      </c>
      <c r="T3656">
        <v>0.03</v>
      </c>
      <c r="U3656">
        <f t="shared" si="742"/>
        <v>4102.6499999999996</v>
      </c>
      <c r="V3656">
        <f t="shared" si="743"/>
        <v>140857.65</v>
      </c>
      <c r="W3656">
        <f t="shared" si="744"/>
        <v>4102.8099999999977</v>
      </c>
      <c r="X3656" t="s">
        <v>1889</v>
      </c>
    </row>
    <row r="3657" spans="1:24" x14ac:dyDescent="0.25">
      <c r="A3657" t="s">
        <v>1943</v>
      </c>
      <c r="B3657" t="s">
        <v>2196</v>
      </c>
      <c r="C3657" t="s">
        <v>2204</v>
      </c>
      <c r="D3657" t="s">
        <v>361</v>
      </c>
      <c r="E3657" t="s">
        <v>44</v>
      </c>
      <c r="F3657" t="s">
        <v>1</v>
      </c>
      <c r="G3657" t="s">
        <v>1182</v>
      </c>
      <c r="H3657" t="s">
        <v>444</v>
      </c>
      <c r="I3657" t="s">
        <v>1</v>
      </c>
      <c r="J3657">
        <v>608117.89</v>
      </c>
      <c r="K3657">
        <v>492191.18</v>
      </c>
      <c r="L3657">
        <v>251708.42</v>
      </c>
      <c r="M3657">
        <v>507588.80276243098</v>
      </c>
      <c r="N3657">
        <v>601602.06000000006</v>
      </c>
      <c r="O3657">
        <v>503416.84</v>
      </c>
      <c r="P3657">
        <v>0</v>
      </c>
      <c r="Q3657">
        <f t="shared" si="740"/>
        <v>503416.84</v>
      </c>
      <c r="R3657">
        <v>503417</v>
      </c>
      <c r="S3657">
        <f t="shared" si="741"/>
        <v>0.15999999997438863</v>
      </c>
      <c r="T3657">
        <v>0.03</v>
      </c>
      <c r="U3657">
        <f t="shared" si="742"/>
        <v>15102.51</v>
      </c>
      <c r="V3657">
        <f t="shared" si="743"/>
        <v>518519.51</v>
      </c>
      <c r="W3657">
        <f t="shared" si="744"/>
        <v>15102.669999999984</v>
      </c>
      <c r="X3657" t="s">
        <v>1890</v>
      </c>
    </row>
    <row r="3658" spans="1:24" x14ac:dyDescent="0.25">
      <c r="A3658" t="s">
        <v>1943</v>
      </c>
      <c r="B3658" t="s">
        <v>2196</v>
      </c>
      <c r="C3658" t="s">
        <v>2204</v>
      </c>
      <c r="D3658" t="s">
        <v>361</v>
      </c>
      <c r="E3658" t="s">
        <v>366</v>
      </c>
      <c r="F3658" t="s">
        <v>1</v>
      </c>
      <c r="G3658" t="s">
        <v>1182</v>
      </c>
      <c r="H3658" t="s">
        <v>1187</v>
      </c>
      <c r="I3658" t="s">
        <v>1</v>
      </c>
      <c r="J3658">
        <v>162732.76</v>
      </c>
      <c r="K3658">
        <v>211116.99960000001</v>
      </c>
      <c r="L3658">
        <v>127449.37</v>
      </c>
      <c r="M3658">
        <v>257011.16049723755</v>
      </c>
      <c r="N3658">
        <v>212656.37</v>
      </c>
      <c r="O3658">
        <v>254898.74</v>
      </c>
      <c r="P3658">
        <v>0</v>
      </c>
      <c r="Q3658">
        <f t="shared" si="740"/>
        <v>254898.74</v>
      </c>
      <c r="R3658">
        <v>238500</v>
      </c>
      <c r="S3658">
        <f t="shared" si="741"/>
        <v>-16398.739999999991</v>
      </c>
      <c r="T3658">
        <v>0.03</v>
      </c>
      <c r="U3658">
        <f t="shared" si="742"/>
        <v>7155</v>
      </c>
      <c r="V3658">
        <f t="shared" si="743"/>
        <v>245655</v>
      </c>
      <c r="W3658">
        <f t="shared" si="744"/>
        <v>-9243.7399999999907</v>
      </c>
      <c r="X3658" t="s">
        <v>1891</v>
      </c>
    </row>
    <row r="3659" spans="1:24" x14ac:dyDescent="0.25">
      <c r="A3659" t="s">
        <v>1943</v>
      </c>
      <c r="B3659" t="s">
        <v>2196</v>
      </c>
      <c r="C3659" t="s">
        <v>2204</v>
      </c>
      <c r="D3659" t="s">
        <v>361</v>
      </c>
      <c r="E3659" t="s">
        <v>367</v>
      </c>
      <c r="F3659" t="s">
        <v>1</v>
      </c>
      <c r="G3659" t="s">
        <v>1182</v>
      </c>
      <c r="H3659" t="s">
        <v>1188</v>
      </c>
      <c r="I3659" t="s">
        <v>1</v>
      </c>
      <c r="J3659">
        <v>140085</v>
      </c>
      <c r="K3659">
        <v>105084.9996</v>
      </c>
      <c r="L3659">
        <v>133740</v>
      </c>
      <c r="M3659">
        <v>269696.68508287292</v>
      </c>
      <c r="N3659">
        <v>183740</v>
      </c>
      <c r="O3659">
        <v>267480</v>
      </c>
      <c r="P3659">
        <v>0</v>
      </c>
      <c r="Q3659">
        <f t="shared" si="740"/>
        <v>267480</v>
      </c>
      <c r="R3659">
        <v>133740</v>
      </c>
      <c r="S3659">
        <f t="shared" si="741"/>
        <v>-133740</v>
      </c>
      <c r="T3659">
        <v>0.03</v>
      </c>
      <c r="U3659">
        <f t="shared" si="742"/>
        <v>4012.2</v>
      </c>
      <c r="V3659">
        <f t="shared" si="743"/>
        <v>137752.20000000001</v>
      </c>
      <c r="W3659">
        <f t="shared" si="744"/>
        <v>-129727.79999999999</v>
      </c>
      <c r="X3659" t="s">
        <v>1892</v>
      </c>
    </row>
    <row r="3660" spans="1:24" x14ac:dyDescent="0.25">
      <c r="A3660" t="s">
        <v>1943</v>
      </c>
      <c r="B3660" t="s">
        <v>2196</v>
      </c>
      <c r="C3660" t="s">
        <v>2204</v>
      </c>
      <c r="D3660" t="s">
        <v>361</v>
      </c>
      <c r="E3660" t="s">
        <v>46</v>
      </c>
      <c r="F3660" t="s">
        <v>1</v>
      </c>
      <c r="G3660" t="s">
        <v>1182</v>
      </c>
      <c r="H3660" t="s">
        <v>446</v>
      </c>
      <c r="I3660" t="s">
        <v>1</v>
      </c>
      <c r="J3660">
        <v>659478.6</v>
      </c>
      <c r="K3660">
        <v>735386.00040000002</v>
      </c>
      <c r="L3660">
        <v>336999.05</v>
      </c>
      <c r="M3660">
        <v>679583.71961325966</v>
      </c>
      <c r="N3660">
        <v>649154.9</v>
      </c>
      <c r="O3660">
        <v>673998.1</v>
      </c>
      <c r="P3660">
        <v>0</v>
      </c>
      <c r="Q3660">
        <f t="shared" si="740"/>
        <v>673998.1</v>
      </c>
      <c r="R3660">
        <v>679584</v>
      </c>
      <c r="S3660">
        <f t="shared" si="741"/>
        <v>5585.9000000000233</v>
      </c>
      <c r="T3660">
        <v>0.03</v>
      </c>
      <c r="U3660">
        <f t="shared" si="742"/>
        <v>20387.52</v>
      </c>
      <c r="V3660">
        <f t="shared" si="743"/>
        <v>699971.52</v>
      </c>
      <c r="W3660">
        <f t="shared" si="744"/>
        <v>25973.420000000042</v>
      </c>
      <c r="X3660" t="s">
        <v>1893</v>
      </c>
    </row>
    <row r="3661" spans="1:24" x14ac:dyDescent="0.25">
      <c r="A3661" t="s">
        <v>1943</v>
      </c>
      <c r="B3661" t="s">
        <v>2196</v>
      </c>
      <c r="C3661" t="s">
        <v>2204</v>
      </c>
      <c r="D3661" t="s">
        <v>361</v>
      </c>
      <c r="E3661" t="s">
        <v>47</v>
      </c>
      <c r="F3661" t="s">
        <v>1</v>
      </c>
      <c r="G3661" t="s">
        <v>1182</v>
      </c>
      <c r="H3661" t="s">
        <v>447</v>
      </c>
      <c r="I3661" t="s">
        <v>1</v>
      </c>
      <c r="J3661">
        <v>122.4</v>
      </c>
      <c r="K3661">
        <v>60.9999999996</v>
      </c>
      <c r="L3661">
        <v>0</v>
      </c>
      <c r="M3661">
        <v>0</v>
      </c>
      <c r="N3661">
        <v>61.2</v>
      </c>
      <c r="O3661"/>
      <c r="P3661">
        <v>0</v>
      </c>
      <c r="Q3661">
        <f t="shared" si="740"/>
        <v>0</v>
      </c>
      <c r="R3661">
        <v>0</v>
      </c>
      <c r="S3661">
        <f t="shared" si="741"/>
        <v>0</v>
      </c>
      <c r="T3661">
        <v>0.03</v>
      </c>
      <c r="U3661">
        <f t="shared" si="742"/>
        <v>0</v>
      </c>
      <c r="V3661">
        <f t="shared" si="743"/>
        <v>0</v>
      </c>
      <c r="W3661">
        <f t="shared" si="744"/>
        <v>0</v>
      </c>
      <c r="X3661">
        <v>0</v>
      </c>
    </row>
    <row r="3662" spans="1:24" x14ac:dyDescent="0.25">
      <c r="A3662" t="s">
        <v>1943</v>
      </c>
      <c r="B3662" t="s">
        <v>2196</v>
      </c>
      <c r="C3662" t="s">
        <v>2204</v>
      </c>
      <c r="D3662" t="s">
        <v>361</v>
      </c>
      <c r="E3662" t="s">
        <v>48</v>
      </c>
      <c r="F3662" t="s">
        <v>1</v>
      </c>
      <c r="G3662" t="s">
        <v>1182</v>
      </c>
      <c r="H3662" t="s">
        <v>448</v>
      </c>
      <c r="I3662" t="s">
        <v>1</v>
      </c>
      <c r="J3662">
        <v>92.2</v>
      </c>
      <c r="K3662"/>
      <c r="L3662">
        <v>93.7</v>
      </c>
      <c r="M3662">
        <v>188.95303867403314</v>
      </c>
      <c r="N3662">
        <v>185.9</v>
      </c>
      <c r="O3662">
        <v>187.4</v>
      </c>
      <c r="P3662">
        <v>0</v>
      </c>
      <c r="Q3662">
        <f t="shared" si="740"/>
        <v>187.4</v>
      </c>
      <c r="R3662">
        <v>187</v>
      </c>
      <c r="S3662">
        <f t="shared" si="741"/>
        <v>-0.40000000000000568</v>
      </c>
      <c r="T3662">
        <v>0.03</v>
      </c>
      <c r="U3662">
        <f t="shared" si="742"/>
        <v>5.6099999999999994</v>
      </c>
      <c r="V3662">
        <f t="shared" si="743"/>
        <v>192.61</v>
      </c>
      <c r="W3662">
        <f t="shared" si="744"/>
        <v>5.210000000000008</v>
      </c>
      <c r="X3662">
        <v>0</v>
      </c>
    </row>
    <row r="3663" spans="1:24" x14ac:dyDescent="0.25">
      <c r="A3663" t="s">
        <v>1943</v>
      </c>
      <c r="B3663" t="s">
        <v>2196</v>
      </c>
      <c r="C3663" t="s">
        <v>2204</v>
      </c>
      <c r="D3663" t="s">
        <v>361</v>
      </c>
      <c r="E3663" t="s">
        <v>183</v>
      </c>
      <c r="F3663" t="s">
        <v>1</v>
      </c>
      <c r="G3663" t="s">
        <v>1182</v>
      </c>
      <c r="H3663" t="s">
        <v>754</v>
      </c>
      <c r="I3663" t="s">
        <v>1</v>
      </c>
      <c r="J3663">
        <v>57843.57</v>
      </c>
      <c r="K3663">
        <v>48393</v>
      </c>
      <c r="L3663">
        <v>32704.75</v>
      </c>
      <c r="M3663">
        <v>65951.567679558008</v>
      </c>
      <c r="N3663">
        <v>63285.66</v>
      </c>
      <c r="O3663">
        <v>65409.5</v>
      </c>
      <c r="P3663">
        <v>0</v>
      </c>
      <c r="Q3663">
        <f t="shared" si="740"/>
        <v>65409.5</v>
      </c>
      <c r="R3663">
        <v>65410</v>
      </c>
      <c r="S3663">
        <f t="shared" si="741"/>
        <v>0.5</v>
      </c>
      <c r="T3663">
        <v>0.03</v>
      </c>
      <c r="U3663">
        <f t="shared" si="742"/>
        <v>1962.3</v>
      </c>
      <c r="V3663">
        <f t="shared" si="743"/>
        <v>67372.3</v>
      </c>
      <c r="W3663">
        <f t="shared" si="744"/>
        <v>1962.8000000000029</v>
      </c>
      <c r="X3663" t="s">
        <v>1894</v>
      </c>
    </row>
    <row r="3664" spans="1:24" x14ac:dyDescent="0.25">
      <c r="A3664" t="s">
        <v>1943</v>
      </c>
      <c r="B3664" t="s">
        <v>2196</v>
      </c>
      <c r="C3664" t="s">
        <v>2204</v>
      </c>
      <c r="D3664" t="s">
        <v>361</v>
      </c>
      <c r="E3664" t="s">
        <v>50</v>
      </c>
      <c r="F3664" t="s">
        <v>1</v>
      </c>
      <c r="G3664" t="s">
        <v>1182</v>
      </c>
      <c r="H3664" t="s">
        <v>450</v>
      </c>
      <c r="I3664" t="s">
        <v>1</v>
      </c>
      <c r="J3664">
        <v>52388.38</v>
      </c>
      <c r="K3664">
        <v>52539.9999999996</v>
      </c>
      <c r="L3664">
        <v>23554.75</v>
      </c>
      <c r="M3664">
        <v>47499.910220994476</v>
      </c>
      <c r="N3664">
        <v>49648.25</v>
      </c>
      <c r="O3664">
        <v>47499.910220994498</v>
      </c>
      <c r="P3664">
        <v>0</v>
      </c>
      <c r="Q3664">
        <f t="shared" si="740"/>
        <v>47499.910220994498</v>
      </c>
      <c r="R3664">
        <v>52038</v>
      </c>
      <c r="S3664">
        <f t="shared" si="741"/>
        <v>4538.0897790055024</v>
      </c>
      <c r="T3664"/>
      <c r="U3664">
        <f t="shared" si="742"/>
        <v>0</v>
      </c>
      <c r="V3664">
        <f t="shared" si="743"/>
        <v>52038</v>
      </c>
      <c r="W3664">
        <f t="shared" si="744"/>
        <v>4538.0897790055024</v>
      </c>
      <c r="X3664" t="s">
        <v>1895</v>
      </c>
    </row>
    <row r="3665" spans="1:24" x14ac:dyDescent="0.25">
      <c r="A3665" t="s">
        <v>1943</v>
      </c>
      <c r="B3665" t="s">
        <v>2196</v>
      </c>
      <c r="C3665" t="s">
        <v>2204</v>
      </c>
      <c r="D3665" t="s">
        <v>361</v>
      </c>
      <c r="E3665" t="s">
        <v>51</v>
      </c>
      <c r="F3665" t="s">
        <v>51</v>
      </c>
      <c r="G3665" t="s">
        <v>1189</v>
      </c>
      <c r="H3665"/>
      <c r="I3665"/>
      <c r="J3665">
        <v>6071692.9800000004</v>
      </c>
      <c r="K3665">
        <v>6292287.671639855</v>
      </c>
      <c r="L3665">
        <v>3761220.6799999997</v>
      </c>
      <c r="M3665">
        <v>7584782.0342541449</v>
      </c>
      <c r="N3665">
        <v>6936303.7700000014</v>
      </c>
      <c r="O3665">
        <v>7531929.4096314739</v>
      </c>
      <c r="P3665">
        <f>SUMIF($F$3626:$F$3664,"&lt;&gt;EV_*",$P$3626:$P$3664)</f>
        <v>0</v>
      </c>
      <c r="Q3665">
        <f>SUMIF($F$3626:$F$3664,"&lt;&gt;EV_*",$Q$3626:$Q$3664)</f>
        <v>7531929.4096314739</v>
      </c>
      <c r="R3665">
        <f>SUMIF($F$3626:$F$3664,"&lt;&gt;EV_*",$R$3626:$R$3664)</f>
        <v>8024819.4500000002</v>
      </c>
      <c r="S3665">
        <f>SUMIF($F$3626:$F$3664,"&lt;&gt;EV_*",$S$3626:$S$3664)</f>
        <v>492890.04036852636</v>
      </c>
      <c r="T3665">
        <v>0</v>
      </c>
      <c r="U3665">
        <f>SUMIF($F$3626:$F$3664,"&lt;&gt;EV_*",$U$3626:$U$3664)</f>
        <v>240453.55575</v>
      </c>
      <c r="V3665">
        <f>SUMIF($F$3626:$F$3664,"&lt;&gt;EV_*",$V$3626:$V$3664)</f>
        <v>8265273.0057500005</v>
      </c>
      <c r="W3665">
        <f>SUMIF($F$3626:$F$3664,"&lt;&gt;EV_*",$W$3626:$W$3664)</f>
        <v>733343.5961185263</v>
      </c>
      <c r="X3665">
        <f>SUMIF($F$3626:$F$3664,"&lt;&gt;EV_*",$X$3626:$X$3664)</f>
        <v>0</v>
      </c>
    </row>
    <row r="3666" spans="1:24" x14ac:dyDescent="0.25">
      <c r="A3666" t="s">
        <v>1943</v>
      </c>
      <c r="B3666" t="s">
        <v>1946</v>
      </c>
      <c r="C3666" t="s">
        <v>2205</v>
      </c>
      <c r="D3666" t="s">
        <v>368</v>
      </c>
      <c r="E3666" t="s">
        <v>5</v>
      </c>
      <c r="F3666" t="s">
        <v>5</v>
      </c>
      <c r="G3666" t="s">
        <v>1190</v>
      </c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</row>
    <row r="3667" spans="1:24" x14ac:dyDescent="0.25">
      <c r="A3667" t="s">
        <v>1943</v>
      </c>
      <c r="B3667" t="s">
        <v>1946</v>
      </c>
      <c r="C3667" t="s">
        <v>2205</v>
      </c>
      <c r="D3667" t="s">
        <v>368</v>
      </c>
      <c r="E3667" t="s">
        <v>46</v>
      </c>
      <c r="F3667" t="s">
        <v>1</v>
      </c>
      <c r="G3667" t="s">
        <v>1191</v>
      </c>
      <c r="H3667" t="s">
        <v>446</v>
      </c>
      <c r="I3667" t="s">
        <v>1</v>
      </c>
      <c r="J3667">
        <v>25716.799999999999</v>
      </c>
      <c r="K3667">
        <v>40545.9999999996</v>
      </c>
      <c r="L3667">
        <v>1005.44</v>
      </c>
      <c r="M3667">
        <v>2027.5447513812157</v>
      </c>
      <c r="N3667">
        <v>11823.840000000002</v>
      </c>
      <c r="O3667">
        <v>2010.88</v>
      </c>
      <c r="P3667">
        <v>0</v>
      </c>
      <c r="Q3667">
        <f t="shared" ref="Q3667:Q3672" si="745">O3667+P3667</f>
        <v>2010.88</v>
      </c>
      <c r="R3667">
        <v>2010.88</v>
      </c>
      <c r="S3667">
        <f t="shared" ref="S3667:S3672" si="746">IF(OR(LEFT(E3667,2)="A_",LEFT(D3667,5)="Total"),R3667-Q3667,"")</f>
        <v>0</v>
      </c>
      <c r="T3667">
        <v>0.03</v>
      </c>
      <c r="U3667">
        <f t="shared" ref="U3667:U3672" si="747">IFERROR(R3667*T3667,R3667*0)</f>
        <v>60.3264</v>
      </c>
      <c r="V3667">
        <f t="shared" ref="V3667:V3672" si="748">IF(OR(LEFT(E3667,2)="A_",LEFT(D3667,5)="Total"),R3667+U3667,"")</f>
        <v>2071.2064</v>
      </c>
      <c r="W3667">
        <f t="shared" ref="W3667:W3672" si="749">IF(OR(LEFT(E3667,2)="A_",LEFT(D3667,5)="Total"),V3667-Q3667,"")</f>
        <v>60.326399999999921</v>
      </c>
      <c r="X3667">
        <v>0</v>
      </c>
    </row>
    <row r="3668" spans="1:24" x14ac:dyDescent="0.25">
      <c r="A3668" t="s">
        <v>1943</v>
      </c>
      <c r="B3668" t="s">
        <v>1946</v>
      </c>
      <c r="C3668" t="s">
        <v>2205</v>
      </c>
      <c r="D3668" t="s">
        <v>368</v>
      </c>
      <c r="E3668" t="s">
        <v>47</v>
      </c>
      <c r="F3668" t="s">
        <v>1</v>
      </c>
      <c r="G3668" t="s">
        <v>1191</v>
      </c>
      <c r="H3668" t="s">
        <v>447</v>
      </c>
      <c r="I3668" t="s">
        <v>1</v>
      </c>
      <c r="J3668">
        <v>2524.31</v>
      </c>
      <c r="K3668"/>
      <c r="L3668">
        <v>3643.42</v>
      </c>
      <c r="M3668">
        <v>7347.2281767955801</v>
      </c>
      <c r="N3668">
        <v>6167.73</v>
      </c>
      <c r="O3668">
        <v>7286.84</v>
      </c>
      <c r="P3668">
        <v>0</v>
      </c>
      <c r="Q3668">
        <f t="shared" si="745"/>
        <v>7286.84</v>
      </c>
      <c r="R3668">
        <v>7286.84</v>
      </c>
      <c r="S3668">
        <f t="shared" si="746"/>
        <v>0</v>
      </c>
      <c r="T3668">
        <v>0.03</v>
      </c>
      <c r="U3668">
        <f t="shared" si="747"/>
        <v>218.6052</v>
      </c>
      <c r="V3668">
        <f t="shared" si="748"/>
        <v>7505.4452000000001</v>
      </c>
      <c r="W3668">
        <f t="shared" si="749"/>
        <v>218.60519999999997</v>
      </c>
      <c r="X3668">
        <v>0</v>
      </c>
    </row>
    <row r="3669" spans="1:24" x14ac:dyDescent="0.25">
      <c r="A3669" t="s">
        <v>1943</v>
      </c>
      <c r="B3669" t="s">
        <v>1946</v>
      </c>
      <c r="C3669" t="s">
        <v>2205</v>
      </c>
      <c r="D3669" t="s">
        <v>368</v>
      </c>
      <c r="E3669" t="s">
        <v>63</v>
      </c>
      <c r="F3669" t="s">
        <v>1</v>
      </c>
      <c r="G3669" t="s">
        <v>1191</v>
      </c>
      <c r="H3669" t="s">
        <v>472</v>
      </c>
      <c r="I3669" t="s">
        <v>1</v>
      </c>
      <c r="J3669">
        <v>4741585.6399999997</v>
      </c>
      <c r="K3669">
        <v>5538831</v>
      </c>
      <c r="L3669">
        <v>2306985.5299999998</v>
      </c>
      <c r="M3669">
        <v>4652208.3892265186</v>
      </c>
      <c r="N3669">
        <v>5023571.38</v>
      </c>
      <c r="O3669">
        <v>4652208.3892265204</v>
      </c>
      <c r="P3669">
        <v>0</v>
      </c>
      <c r="Q3669">
        <f t="shared" si="745"/>
        <v>4652208.3892265204</v>
      </c>
      <c r="R3669">
        <v>4652208.3892265204</v>
      </c>
      <c r="S3669">
        <f t="shared" si="746"/>
        <v>0</v>
      </c>
      <c r="T3669"/>
      <c r="U3669">
        <f t="shared" si="747"/>
        <v>0</v>
      </c>
      <c r="V3669">
        <f t="shared" si="748"/>
        <v>4652208.3892265204</v>
      </c>
      <c r="W3669">
        <f t="shared" si="749"/>
        <v>0</v>
      </c>
      <c r="X3669">
        <v>0</v>
      </c>
    </row>
    <row r="3670" spans="1:24" x14ac:dyDescent="0.25">
      <c r="A3670" t="s">
        <v>1943</v>
      </c>
      <c r="B3670" t="s">
        <v>1946</v>
      </c>
      <c r="C3670" t="s">
        <v>2205</v>
      </c>
      <c r="D3670" t="s">
        <v>368</v>
      </c>
      <c r="E3670" t="s">
        <v>307</v>
      </c>
      <c r="F3670" t="s">
        <v>1</v>
      </c>
      <c r="G3670" t="s">
        <v>1191</v>
      </c>
      <c r="H3670" t="s">
        <v>1058</v>
      </c>
      <c r="I3670" t="s">
        <v>1</v>
      </c>
      <c r="J3670">
        <v>2090649.7</v>
      </c>
      <c r="K3670">
        <v>2285903.0002000001</v>
      </c>
      <c r="L3670">
        <v>1188837.9099999999</v>
      </c>
      <c r="M3670">
        <v>2397380.3157458561</v>
      </c>
      <c r="N3670">
        <v>2238841.1999999997</v>
      </c>
      <c r="O3670">
        <v>2397380.3157458599</v>
      </c>
      <c r="P3670">
        <v>0</v>
      </c>
      <c r="Q3670">
        <f t="shared" si="745"/>
        <v>2397380.3157458599</v>
      </c>
      <c r="R3670">
        <v>2397380.3157458599</v>
      </c>
      <c r="S3670">
        <f t="shared" si="746"/>
        <v>0</v>
      </c>
      <c r="T3670"/>
      <c r="U3670">
        <f t="shared" si="747"/>
        <v>0</v>
      </c>
      <c r="V3670">
        <f t="shared" si="748"/>
        <v>2397380.3157458599</v>
      </c>
      <c r="W3670">
        <f t="shared" si="749"/>
        <v>0</v>
      </c>
      <c r="X3670">
        <v>0</v>
      </c>
    </row>
    <row r="3671" spans="1:24" x14ac:dyDescent="0.25">
      <c r="A3671" t="s">
        <v>1943</v>
      </c>
      <c r="B3671" t="s">
        <v>1946</v>
      </c>
      <c r="C3671" t="s">
        <v>2205</v>
      </c>
      <c r="D3671" t="s">
        <v>368</v>
      </c>
      <c r="E3671" t="s">
        <v>192</v>
      </c>
      <c r="F3671" t="s">
        <v>1</v>
      </c>
      <c r="G3671" t="s">
        <v>1191</v>
      </c>
      <c r="H3671" t="s">
        <v>775</v>
      </c>
      <c r="I3671" t="s">
        <v>1</v>
      </c>
      <c r="J3671">
        <v>16658.46</v>
      </c>
      <c r="K3671">
        <v>17499.9999999996</v>
      </c>
      <c r="L3671">
        <v>7580.51</v>
      </c>
      <c r="M3671">
        <v>15286.663812154697</v>
      </c>
      <c r="N3671">
        <v>15543.869999999999</v>
      </c>
      <c r="O3671">
        <v>15286.6638121547</v>
      </c>
      <c r="P3671">
        <v>0</v>
      </c>
      <c r="Q3671">
        <f t="shared" si="745"/>
        <v>15286.6638121547</v>
      </c>
      <c r="R3671">
        <v>15286.6638121547</v>
      </c>
      <c r="S3671">
        <f t="shared" si="746"/>
        <v>0</v>
      </c>
      <c r="T3671"/>
      <c r="U3671">
        <f t="shared" si="747"/>
        <v>0</v>
      </c>
      <c r="V3671">
        <f t="shared" si="748"/>
        <v>15286.6638121547</v>
      </c>
      <c r="W3671">
        <f t="shared" si="749"/>
        <v>0</v>
      </c>
      <c r="X3671">
        <v>0</v>
      </c>
    </row>
    <row r="3672" spans="1:24" x14ac:dyDescent="0.25">
      <c r="A3672" t="s">
        <v>1943</v>
      </c>
      <c r="B3672" t="s">
        <v>1946</v>
      </c>
      <c r="C3672" t="s">
        <v>2205</v>
      </c>
      <c r="D3672" t="s">
        <v>368</v>
      </c>
      <c r="E3672" t="s">
        <v>369</v>
      </c>
      <c r="F3672" t="s">
        <v>1</v>
      </c>
      <c r="G3672" t="s">
        <v>1191</v>
      </c>
      <c r="H3672" t="s">
        <v>1192</v>
      </c>
      <c r="I3672" t="s">
        <v>1</v>
      </c>
      <c r="J3672">
        <v>3817497</v>
      </c>
      <c r="K3672">
        <v>4126858.9997999999</v>
      </c>
      <c r="L3672">
        <v>2888356.42</v>
      </c>
      <c r="M3672">
        <v>5824586.1508287285</v>
      </c>
      <c r="N3672">
        <v>4289122.97</v>
      </c>
      <c r="O3672">
        <v>5824586.1508287303</v>
      </c>
      <c r="P3672">
        <v>0</v>
      </c>
      <c r="Q3672">
        <f t="shared" si="745"/>
        <v>5824586.1508287303</v>
      </c>
      <c r="R3672">
        <v>5824586.1508287303</v>
      </c>
      <c r="S3672">
        <f t="shared" si="746"/>
        <v>0</v>
      </c>
      <c r="T3672"/>
      <c r="U3672">
        <f t="shared" si="747"/>
        <v>0</v>
      </c>
      <c r="V3672">
        <f t="shared" si="748"/>
        <v>5824586.1508287303</v>
      </c>
      <c r="W3672">
        <f t="shared" si="749"/>
        <v>0</v>
      </c>
      <c r="X3672">
        <v>0</v>
      </c>
    </row>
    <row r="3673" spans="1:24" x14ac:dyDescent="0.25">
      <c r="A3673" t="s">
        <v>1943</v>
      </c>
      <c r="B3673" t="s">
        <v>1946</v>
      </c>
      <c r="C3673" t="s">
        <v>2205</v>
      </c>
      <c r="D3673" t="s">
        <v>368</v>
      </c>
      <c r="E3673" t="s">
        <v>51</v>
      </c>
      <c r="F3673" t="s">
        <v>51</v>
      </c>
      <c r="G3673" t="s">
        <v>1193</v>
      </c>
      <c r="H3673"/>
      <c r="I3673"/>
      <c r="J3673">
        <v>10694631.91</v>
      </c>
      <c r="K3673">
        <v>12009639</v>
      </c>
      <c r="L3673">
        <v>6396409.2299999995</v>
      </c>
      <c r="M3673">
        <v>12898836.292541435</v>
      </c>
      <c r="N3673">
        <v>11585070.99</v>
      </c>
      <c r="O3673">
        <v>12898759.239613265</v>
      </c>
      <c r="P3673">
        <f>SUMIF($F$3666:$F$3672,"&lt;&gt;EV_*",$P$3666:$P$3672)</f>
        <v>0</v>
      </c>
      <c r="Q3673">
        <f>SUMIF($F$3666:$F$3672,"&lt;&gt;EV_*",$Q$3666:$Q$3672)</f>
        <v>12898759.239613265</v>
      </c>
      <c r="R3673">
        <f>SUMIF($F$3666:$F$3672,"&lt;&gt;EV_*",$R$3666:$R$3672)</f>
        <v>12898759.239613265</v>
      </c>
      <c r="S3673">
        <f>SUMIF($F$3666:$F$3672,"&lt;&gt;EV_*",$S$3666:$S$3672)</f>
        <v>0</v>
      </c>
      <c r="T3673">
        <v>0</v>
      </c>
      <c r="U3673">
        <f>SUMIF($F$3666:$F$3672,"&lt;&gt;EV_*",$U$3666:$U$3672)</f>
        <v>278.9316</v>
      </c>
      <c r="V3673">
        <f>SUMIF($F$3666:$F$3672,"&lt;&gt;EV_*",$V$3666:$V$3672)</f>
        <v>12899038.171213266</v>
      </c>
      <c r="W3673">
        <f>SUMIF($F$3666:$F$3672,"&lt;&gt;EV_*",$W$3666:$W$3672)</f>
        <v>278.93159999999989</v>
      </c>
      <c r="X3673">
        <f>SUMIF($F$3666:$F$3672,"&lt;&gt;EV_*",$X$3666:$X$3672)</f>
        <v>0</v>
      </c>
    </row>
    <row r="3674" spans="1:24" x14ac:dyDescent="0.25">
      <c r="A3674" t="s">
        <v>1948</v>
      </c>
      <c r="B3674" t="s">
        <v>2206</v>
      </c>
      <c r="C3674" t="s">
        <v>2207</v>
      </c>
      <c r="D3674" t="s">
        <v>370</v>
      </c>
      <c r="E3674" t="s">
        <v>5</v>
      </c>
      <c r="F3674" t="s">
        <v>5</v>
      </c>
      <c r="G3674" t="s">
        <v>1194</v>
      </c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</row>
    <row r="3675" spans="1:24" x14ac:dyDescent="0.25">
      <c r="A3675" t="s">
        <v>1948</v>
      </c>
      <c r="B3675" t="s">
        <v>2206</v>
      </c>
      <c r="C3675" t="s">
        <v>2207</v>
      </c>
      <c r="D3675" t="s">
        <v>370</v>
      </c>
      <c r="E3675" t="s">
        <v>7</v>
      </c>
      <c r="F3675" t="s">
        <v>1</v>
      </c>
      <c r="G3675" t="s">
        <v>1195</v>
      </c>
      <c r="H3675" t="s">
        <v>407</v>
      </c>
      <c r="I3675" t="s">
        <v>1</v>
      </c>
      <c r="J3675">
        <v>5.43</v>
      </c>
      <c r="K3675"/>
      <c r="L3675">
        <v>0</v>
      </c>
      <c r="M3675">
        <v>0</v>
      </c>
      <c r="N3675">
        <v>0</v>
      </c>
      <c r="O3675"/>
      <c r="P3675">
        <v>0</v>
      </c>
      <c r="Q3675">
        <f t="shared" ref="Q3675:Q3716" si="750">O3675+P3675</f>
        <v>0</v>
      </c>
      <c r="R3675">
        <v>0</v>
      </c>
      <c r="S3675">
        <f t="shared" ref="S3675:S3716" si="751">IF(OR(LEFT(E3675,2)="A_",LEFT(D3675,5)="Total"),R3675-Q3675,"")</f>
        <v>0</v>
      </c>
      <c r="T3675"/>
      <c r="U3675">
        <f t="shared" ref="U3675:U3716" si="752">IFERROR(R3675*T3675,R3675*0)</f>
        <v>0</v>
      </c>
      <c r="V3675">
        <f t="shared" ref="V3675:V3716" si="753">IF(OR(LEFT(E3675,2)="A_",LEFT(D3675,5)="Total"),R3675+U3675,"")</f>
        <v>0</v>
      </c>
      <c r="W3675">
        <f t="shared" ref="W3675:W3716" si="754">IF(OR(LEFT(E3675,2)="A_",LEFT(D3675,5)="Total"),V3675-Q3675,"")</f>
        <v>0</v>
      </c>
      <c r="X3675">
        <v>0</v>
      </c>
    </row>
    <row r="3676" spans="1:24" x14ac:dyDescent="0.25">
      <c r="A3676" t="s">
        <v>1948</v>
      </c>
      <c r="B3676" t="s">
        <v>2206</v>
      </c>
      <c r="C3676" t="s">
        <v>2207</v>
      </c>
      <c r="D3676" t="s">
        <v>370</v>
      </c>
      <c r="E3676" t="s">
        <v>371</v>
      </c>
      <c r="F3676" t="s">
        <v>1</v>
      </c>
      <c r="G3676" t="s">
        <v>1195</v>
      </c>
      <c r="H3676" t="s">
        <v>1196</v>
      </c>
      <c r="I3676" t="s">
        <v>1</v>
      </c>
      <c r="J3676">
        <v>1145234.23</v>
      </c>
      <c r="K3676">
        <v>1246404.23144082</v>
      </c>
      <c r="L3676">
        <v>908786.9</v>
      </c>
      <c r="M3676">
        <v>1832636.5662983425</v>
      </c>
      <c r="N3676">
        <v>1548112.3199999998</v>
      </c>
      <c r="O3676">
        <v>1832636.56629834</v>
      </c>
      <c r="P3676">
        <v>0</v>
      </c>
      <c r="Q3676">
        <f t="shared" si="750"/>
        <v>1832636.56629834</v>
      </c>
      <c r="R3676">
        <v>1736134.1112080659</v>
      </c>
      <c r="S3676">
        <f t="shared" si="751"/>
        <v>-96502.455090274103</v>
      </c>
      <c r="T3676">
        <v>3.7499999999999999E-2</v>
      </c>
      <c r="U3676">
        <f t="shared" si="752"/>
        <v>65105.02917030247</v>
      </c>
      <c r="V3676">
        <f t="shared" si="753"/>
        <v>1801239.1403783683</v>
      </c>
      <c r="W3676">
        <f t="shared" si="754"/>
        <v>-31397.425919971662</v>
      </c>
      <c r="X3676">
        <v>0</v>
      </c>
    </row>
    <row r="3677" spans="1:24" x14ac:dyDescent="0.25">
      <c r="A3677" t="s">
        <v>1948</v>
      </c>
      <c r="B3677" t="s">
        <v>2206</v>
      </c>
      <c r="C3677" t="s">
        <v>2207</v>
      </c>
      <c r="D3677" t="s">
        <v>370</v>
      </c>
      <c r="E3677" t="s">
        <v>225</v>
      </c>
      <c r="F3677" t="s">
        <v>1</v>
      </c>
      <c r="G3677" t="s">
        <v>1195</v>
      </c>
      <c r="H3677" t="s">
        <v>860</v>
      </c>
      <c r="I3677" t="s">
        <v>1</v>
      </c>
      <c r="J3677">
        <v>40479.72</v>
      </c>
      <c r="K3677">
        <v>61692.167000000198</v>
      </c>
      <c r="L3677">
        <v>10987.12</v>
      </c>
      <c r="M3677">
        <v>22156.346961325966</v>
      </c>
      <c r="N3677">
        <v>20988.41</v>
      </c>
      <c r="O3677">
        <v>22156.346961325999</v>
      </c>
      <c r="P3677">
        <v>0</v>
      </c>
      <c r="Q3677">
        <f t="shared" si="750"/>
        <v>22156.346961325999</v>
      </c>
      <c r="R3677">
        <v>20989.6443444953</v>
      </c>
      <c r="S3677">
        <f t="shared" si="751"/>
        <v>-1166.7026168306984</v>
      </c>
      <c r="T3677">
        <v>3.6999999999999998E-2</v>
      </c>
      <c r="U3677">
        <f t="shared" si="752"/>
        <v>776.61684074632603</v>
      </c>
      <c r="V3677">
        <f t="shared" si="753"/>
        <v>21766.261185241627</v>
      </c>
      <c r="W3677">
        <f t="shared" si="754"/>
        <v>-390.0857760843719</v>
      </c>
      <c r="X3677">
        <v>0</v>
      </c>
    </row>
    <row r="3678" spans="1:24" x14ac:dyDescent="0.25">
      <c r="A3678" t="s">
        <v>1948</v>
      </c>
      <c r="B3678" t="s">
        <v>2206</v>
      </c>
      <c r="C3678" t="s">
        <v>2207</v>
      </c>
      <c r="D3678" t="s">
        <v>370</v>
      </c>
      <c r="E3678" t="s">
        <v>99</v>
      </c>
      <c r="F3678" t="s">
        <v>1</v>
      </c>
      <c r="G3678" t="s">
        <v>1195</v>
      </c>
      <c r="H3678" t="s">
        <v>548</v>
      </c>
      <c r="I3678" t="s">
        <v>1</v>
      </c>
      <c r="J3678">
        <v>1962207.34</v>
      </c>
      <c r="K3678">
        <v>1782041.2814390101</v>
      </c>
      <c r="L3678">
        <v>1309757.03</v>
      </c>
      <c r="M3678">
        <v>2641222.7400552486</v>
      </c>
      <c r="N3678">
        <v>2378376.41</v>
      </c>
      <c r="O3678">
        <v>2641222.74005525</v>
      </c>
      <c r="P3678">
        <v>0</v>
      </c>
      <c r="Q3678">
        <f t="shared" si="750"/>
        <v>2641222.74005525</v>
      </c>
      <c r="R3678">
        <v>2502141.9841962624</v>
      </c>
      <c r="S3678">
        <f t="shared" si="751"/>
        <v>-139080.75585898757</v>
      </c>
      <c r="T3678">
        <v>3.5000000000000003E-2</v>
      </c>
      <c r="U3678">
        <f t="shared" si="752"/>
        <v>87574.969446869189</v>
      </c>
      <c r="V3678">
        <f t="shared" si="753"/>
        <v>2589716.9536431315</v>
      </c>
      <c r="W3678">
        <f t="shared" si="754"/>
        <v>-51505.786412118468</v>
      </c>
      <c r="X3678">
        <v>0</v>
      </c>
    </row>
    <row r="3679" spans="1:24" x14ac:dyDescent="0.25">
      <c r="A3679" t="s">
        <v>1948</v>
      </c>
      <c r="B3679" t="s">
        <v>2206</v>
      </c>
      <c r="C3679" t="s">
        <v>2207</v>
      </c>
      <c r="D3679" t="s">
        <v>370</v>
      </c>
      <c r="E3679" t="s">
        <v>372</v>
      </c>
      <c r="F3679" t="s">
        <v>1</v>
      </c>
      <c r="G3679" t="s">
        <v>1195</v>
      </c>
      <c r="H3679" t="s">
        <v>1197</v>
      </c>
      <c r="I3679" t="s">
        <v>1</v>
      </c>
      <c r="J3679">
        <v>424843.8</v>
      </c>
      <c r="K3679">
        <v>417731.35515878501</v>
      </c>
      <c r="L3679">
        <v>217338.57</v>
      </c>
      <c r="M3679">
        <v>438279.43674033147</v>
      </c>
      <c r="N3679">
        <v>420741.14</v>
      </c>
      <c r="O3679">
        <v>438279.436740331</v>
      </c>
      <c r="P3679">
        <v>0</v>
      </c>
      <c r="Q3679">
        <f t="shared" si="750"/>
        <v>438279.436740331</v>
      </c>
      <c r="R3679">
        <v>415200.64281096269</v>
      </c>
      <c r="S3679">
        <f t="shared" si="751"/>
        <v>-23078.793929368316</v>
      </c>
      <c r="T3679">
        <v>3.5000000000000003E-2</v>
      </c>
      <c r="U3679">
        <f t="shared" si="752"/>
        <v>14532.022498383696</v>
      </c>
      <c r="V3679">
        <f t="shared" si="753"/>
        <v>429732.6653093464</v>
      </c>
      <c r="W3679">
        <f t="shared" si="754"/>
        <v>-8546.7714309846051</v>
      </c>
      <c r="X3679">
        <v>0</v>
      </c>
    </row>
    <row r="3680" spans="1:24" x14ac:dyDescent="0.25">
      <c r="A3680" t="s">
        <v>1948</v>
      </c>
      <c r="B3680" t="s">
        <v>2206</v>
      </c>
      <c r="C3680" t="s">
        <v>2207</v>
      </c>
      <c r="D3680" t="s">
        <v>370</v>
      </c>
      <c r="E3680" t="s">
        <v>178</v>
      </c>
      <c r="F3680" t="s">
        <v>1</v>
      </c>
      <c r="G3680" t="s">
        <v>1195</v>
      </c>
      <c r="H3680" t="s">
        <v>743</v>
      </c>
      <c r="I3680" t="s">
        <v>1</v>
      </c>
      <c r="J3680">
        <v>140944.07</v>
      </c>
      <c r="K3680">
        <v>215403.58167434199</v>
      </c>
      <c r="L3680">
        <v>145331.65</v>
      </c>
      <c r="M3680">
        <v>293072.11187845306</v>
      </c>
      <c r="N3680">
        <v>133871.62</v>
      </c>
      <c r="O3680">
        <v>293072.111878453</v>
      </c>
      <c r="P3680">
        <v>0</v>
      </c>
      <c r="Q3680">
        <f t="shared" si="750"/>
        <v>293072.111878453</v>
      </c>
      <c r="R3680">
        <v>277639.60396342864</v>
      </c>
      <c r="S3680">
        <f t="shared" si="751"/>
        <v>-15432.507915024355</v>
      </c>
      <c r="T3680">
        <v>3.5000000000000003E-2</v>
      </c>
      <c r="U3680">
        <f t="shared" si="752"/>
        <v>9717.3861387200031</v>
      </c>
      <c r="V3680">
        <f t="shared" si="753"/>
        <v>287356.99010214867</v>
      </c>
      <c r="W3680">
        <f t="shared" si="754"/>
        <v>-5715.1217763043242</v>
      </c>
      <c r="X3680">
        <v>0</v>
      </c>
    </row>
    <row r="3681" spans="1:24" x14ac:dyDescent="0.25">
      <c r="A3681" t="s">
        <v>1948</v>
      </c>
      <c r="B3681" t="s">
        <v>2206</v>
      </c>
      <c r="C3681" t="s">
        <v>2207</v>
      </c>
      <c r="D3681" t="s">
        <v>370</v>
      </c>
      <c r="E3681" t="s">
        <v>373</v>
      </c>
      <c r="F3681" t="s">
        <v>1</v>
      </c>
      <c r="G3681" t="s">
        <v>1195</v>
      </c>
      <c r="H3681" t="s">
        <v>1198</v>
      </c>
      <c r="I3681" t="s">
        <v>1</v>
      </c>
      <c r="J3681">
        <v>1112448.21</v>
      </c>
      <c r="K3681">
        <v>1010670.74278704</v>
      </c>
      <c r="L3681">
        <v>713200.14</v>
      </c>
      <c r="M3681">
        <v>1438221.2767955803</v>
      </c>
      <c r="N3681">
        <v>1323712.1099999999</v>
      </c>
      <c r="O3681">
        <v>1438221.2767955801</v>
      </c>
      <c r="P3681">
        <v>0</v>
      </c>
      <c r="Q3681">
        <f t="shared" si="750"/>
        <v>1438221.2767955801</v>
      </c>
      <c r="R3681">
        <v>1362487.8298447852</v>
      </c>
      <c r="S3681">
        <f t="shared" si="751"/>
        <v>-75733.446950794896</v>
      </c>
      <c r="T3681">
        <v>0.04</v>
      </c>
      <c r="U3681">
        <f t="shared" si="752"/>
        <v>54499.513193791405</v>
      </c>
      <c r="V3681">
        <f t="shared" si="753"/>
        <v>1416987.3430385767</v>
      </c>
      <c r="W3681">
        <f t="shared" si="754"/>
        <v>-21233.933757003397</v>
      </c>
      <c r="X3681">
        <v>0</v>
      </c>
    </row>
    <row r="3682" spans="1:24" x14ac:dyDescent="0.25">
      <c r="A3682" t="s">
        <v>1948</v>
      </c>
      <c r="B3682" t="s">
        <v>2206</v>
      </c>
      <c r="C3682" t="s">
        <v>2207</v>
      </c>
      <c r="D3682" t="s">
        <v>370</v>
      </c>
      <c r="E3682" t="s">
        <v>133</v>
      </c>
      <c r="F3682" t="s">
        <v>1</v>
      </c>
      <c r="G3682" t="s">
        <v>1195</v>
      </c>
      <c r="H3682" t="s">
        <v>622</v>
      </c>
      <c r="I3682" t="s">
        <v>1</v>
      </c>
      <c r="J3682">
        <v>-621</v>
      </c>
      <c r="K3682"/>
      <c r="L3682">
        <v>2000</v>
      </c>
      <c r="M3682">
        <v>4033.1491712707184</v>
      </c>
      <c r="N3682">
        <v>1379</v>
      </c>
      <c r="O3682">
        <v>4033.1491712707002</v>
      </c>
      <c r="P3682">
        <v>0</v>
      </c>
      <c r="Q3682">
        <f t="shared" si="750"/>
        <v>4033.1491712707002</v>
      </c>
      <c r="R3682">
        <v>0</v>
      </c>
      <c r="S3682">
        <f t="shared" si="751"/>
        <v>-4033.1491712707002</v>
      </c>
      <c r="T3682">
        <v>0.02</v>
      </c>
      <c r="U3682">
        <f t="shared" si="752"/>
        <v>0</v>
      </c>
      <c r="V3682">
        <f t="shared" si="753"/>
        <v>0</v>
      </c>
      <c r="W3682">
        <f t="shared" si="754"/>
        <v>-4033.1491712707002</v>
      </c>
      <c r="X3682">
        <v>0</v>
      </c>
    </row>
    <row r="3683" spans="1:24" x14ac:dyDescent="0.25">
      <c r="A3683" t="s">
        <v>1948</v>
      </c>
      <c r="B3683" t="s">
        <v>2206</v>
      </c>
      <c r="C3683" t="s">
        <v>2207</v>
      </c>
      <c r="D3683" t="s">
        <v>370</v>
      </c>
      <c r="E3683" t="s">
        <v>149</v>
      </c>
      <c r="F3683" t="s">
        <v>1</v>
      </c>
      <c r="G3683" t="s">
        <v>1195</v>
      </c>
      <c r="H3683" t="s">
        <v>660</v>
      </c>
      <c r="I3683" t="s">
        <v>1</v>
      </c>
      <c r="J3683">
        <v>961687.09</v>
      </c>
      <c r="K3683">
        <v>894330.28</v>
      </c>
      <c r="L3683">
        <v>304698.02</v>
      </c>
      <c r="M3683">
        <v>614446.28342541435</v>
      </c>
      <c r="N3683">
        <v>729582.75000000012</v>
      </c>
      <c r="O3683">
        <v>614446.283425414</v>
      </c>
      <c r="P3683">
        <v>0</v>
      </c>
      <c r="Q3683">
        <f t="shared" si="750"/>
        <v>614446.283425414</v>
      </c>
      <c r="R3683">
        <v>582090.94578669418</v>
      </c>
      <c r="S3683">
        <f t="shared" si="751"/>
        <v>-32355.337638719822</v>
      </c>
      <c r="T3683">
        <v>0.02</v>
      </c>
      <c r="U3683">
        <f t="shared" si="752"/>
        <v>11641.818915733884</v>
      </c>
      <c r="V3683">
        <f t="shared" si="753"/>
        <v>593732.76470242802</v>
      </c>
      <c r="W3683">
        <f t="shared" si="754"/>
        <v>-20713.518722985988</v>
      </c>
      <c r="X3683">
        <v>0</v>
      </c>
    </row>
    <row r="3684" spans="1:24" x14ac:dyDescent="0.25">
      <c r="A3684" t="s">
        <v>1948</v>
      </c>
      <c r="B3684" t="s">
        <v>2206</v>
      </c>
      <c r="C3684" t="s">
        <v>2207</v>
      </c>
      <c r="D3684" t="s">
        <v>370</v>
      </c>
      <c r="E3684" t="s">
        <v>8</v>
      </c>
      <c r="F3684" t="s">
        <v>1</v>
      </c>
      <c r="G3684" t="s">
        <v>1195</v>
      </c>
      <c r="H3684" t="s">
        <v>408</v>
      </c>
      <c r="I3684" t="s">
        <v>1</v>
      </c>
      <c r="J3684">
        <v>3846.56</v>
      </c>
      <c r="K3684">
        <v>8169.3453038672997</v>
      </c>
      <c r="L3684">
        <v>-390794.51</v>
      </c>
      <c r="M3684">
        <v>-788066.27707182313</v>
      </c>
      <c r="N3684">
        <v>-390999.05</v>
      </c>
      <c r="O3684">
        <v>-788066.27707182302</v>
      </c>
      <c r="P3684">
        <v>0</v>
      </c>
      <c r="Q3684">
        <f t="shared" si="750"/>
        <v>-788066.27707182302</v>
      </c>
      <c r="R3684">
        <v>-788066.27707182302</v>
      </c>
      <c r="S3684">
        <f t="shared" si="751"/>
        <v>0</v>
      </c>
      <c r="T3684"/>
      <c r="U3684">
        <f t="shared" si="752"/>
        <v>0</v>
      </c>
      <c r="V3684">
        <f t="shared" si="753"/>
        <v>-788066.27707182302</v>
      </c>
      <c r="W3684">
        <f t="shared" si="754"/>
        <v>0</v>
      </c>
      <c r="X3684">
        <v>0</v>
      </c>
    </row>
    <row r="3685" spans="1:24" x14ac:dyDescent="0.25">
      <c r="A3685" t="s">
        <v>1948</v>
      </c>
      <c r="B3685" t="s">
        <v>2206</v>
      </c>
      <c r="C3685" t="s">
        <v>2207</v>
      </c>
      <c r="D3685" t="s">
        <v>370</v>
      </c>
      <c r="E3685" t="s">
        <v>374</v>
      </c>
      <c r="F3685" t="s">
        <v>1</v>
      </c>
      <c r="G3685" t="s">
        <v>1195</v>
      </c>
      <c r="H3685" t="s">
        <v>1199</v>
      </c>
      <c r="I3685" t="s">
        <v>1</v>
      </c>
      <c r="J3685">
        <v>234879.91</v>
      </c>
      <c r="K3685">
        <v>383350.24</v>
      </c>
      <c r="L3685">
        <v>1986.2</v>
      </c>
      <c r="M3685">
        <v>4005.3204419889503</v>
      </c>
      <c r="N3685">
        <v>30689.47</v>
      </c>
      <c r="O3685">
        <v>4005.3204419889998</v>
      </c>
      <c r="P3685">
        <v>0</v>
      </c>
      <c r="Q3685">
        <f t="shared" si="750"/>
        <v>4005.3204419889998</v>
      </c>
      <c r="R3685">
        <v>383350</v>
      </c>
      <c r="S3685">
        <f t="shared" si="751"/>
        <v>379344.679558011</v>
      </c>
      <c r="T3685">
        <v>0.04</v>
      </c>
      <c r="U3685">
        <f t="shared" si="752"/>
        <v>15334</v>
      </c>
      <c r="V3685">
        <f t="shared" si="753"/>
        <v>398684</v>
      </c>
      <c r="W3685">
        <f t="shared" si="754"/>
        <v>394678.679558011</v>
      </c>
      <c r="X3685">
        <v>0</v>
      </c>
    </row>
    <row r="3686" spans="1:24" x14ac:dyDescent="0.25">
      <c r="A3686" t="s">
        <v>1948</v>
      </c>
      <c r="B3686" t="s">
        <v>2206</v>
      </c>
      <c r="C3686" t="s">
        <v>2207</v>
      </c>
      <c r="D3686" t="s">
        <v>370</v>
      </c>
      <c r="E3686" t="s">
        <v>375</v>
      </c>
      <c r="F3686" t="s">
        <v>1</v>
      </c>
      <c r="G3686" t="s">
        <v>1195</v>
      </c>
      <c r="H3686" t="s">
        <v>1200</v>
      </c>
      <c r="I3686" t="s">
        <v>1</v>
      </c>
      <c r="J3686">
        <v>-117594.79</v>
      </c>
      <c r="K3686">
        <v>-40889.999999999898</v>
      </c>
      <c r="L3686">
        <v>-23490.14</v>
      </c>
      <c r="M3686">
        <v>-47369.619337016571</v>
      </c>
      <c r="N3686">
        <v>-117652.26999999999</v>
      </c>
      <c r="O3686">
        <v>-47369.6193370166</v>
      </c>
      <c r="P3686">
        <v>0</v>
      </c>
      <c r="Q3686">
        <f t="shared" si="750"/>
        <v>-47369.6193370166</v>
      </c>
      <c r="R3686">
        <v>0</v>
      </c>
      <c r="S3686">
        <f t="shared" si="751"/>
        <v>47369.6193370166</v>
      </c>
      <c r="T3686"/>
      <c r="U3686">
        <f t="shared" si="752"/>
        <v>0</v>
      </c>
      <c r="V3686">
        <f t="shared" si="753"/>
        <v>0</v>
      </c>
      <c r="W3686">
        <f t="shared" si="754"/>
        <v>47369.6193370166</v>
      </c>
      <c r="X3686">
        <v>0</v>
      </c>
    </row>
    <row r="3687" spans="1:24" x14ac:dyDescent="0.25">
      <c r="A3687" t="s">
        <v>1948</v>
      </c>
      <c r="B3687" t="s">
        <v>2206</v>
      </c>
      <c r="C3687" t="s">
        <v>2207</v>
      </c>
      <c r="D3687" t="s">
        <v>370</v>
      </c>
      <c r="E3687" t="s">
        <v>11</v>
      </c>
      <c r="F3687" t="s">
        <v>1</v>
      </c>
      <c r="G3687" t="s">
        <v>1195</v>
      </c>
      <c r="H3687" t="s">
        <v>411</v>
      </c>
      <c r="I3687" t="s">
        <v>1</v>
      </c>
      <c r="J3687">
        <v>11965.08</v>
      </c>
      <c r="K3687">
        <v>11502</v>
      </c>
      <c r="L3687">
        <v>6715.43</v>
      </c>
      <c r="M3687">
        <v>13542.165469613261</v>
      </c>
      <c r="N3687">
        <v>13114.02</v>
      </c>
      <c r="O3687">
        <v>13430.86</v>
      </c>
      <c r="P3687">
        <v>0</v>
      </c>
      <c r="Q3687">
        <f t="shared" si="750"/>
        <v>13430.86</v>
      </c>
      <c r="R3687">
        <v>13430.86</v>
      </c>
      <c r="S3687">
        <f t="shared" si="751"/>
        <v>0</v>
      </c>
      <c r="T3687"/>
      <c r="U3687">
        <f t="shared" si="752"/>
        <v>0</v>
      </c>
      <c r="V3687">
        <f t="shared" si="753"/>
        <v>13430.86</v>
      </c>
      <c r="W3687">
        <f t="shared" si="754"/>
        <v>0</v>
      </c>
      <c r="X3687">
        <v>0</v>
      </c>
    </row>
    <row r="3688" spans="1:24" x14ac:dyDescent="0.25">
      <c r="A3688" t="s">
        <v>1948</v>
      </c>
      <c r="B3688" t="s">
        <v>2206</v>
      </c>
      <c r="C3688" t="s">
        <v>2207</v>
      </c>
      <c r="D3688" t="s">
        <v>370</v>
      </c>
      <c r="E3688" t="s">
        <v>12</v>
      </c>
      <c r="F3688" t="s">
        <v>1</v>
      </c>
      <c r="G3688" t="s">
        <v>1195</v>
      </c>
      <c r="H3688" t="s">
        <v>412</v>
      </c>
      <c r="I3688" t="s">
        <v>1</v>
      </c>
      <c r="J3688"/>
      <c r="K3688"/>
      <c r="L3688">
        <v>236</v>
      </c>
      <c r="M3688">
        <v>475.91160220994476</v>
      </c>
      <c r="N3688">
        <v>236</v>
      </c>
      <c r="O3688">
        <v>472</v>
      </c>
      <c r="P3688">
        <v>0</v>
      </c>
      <c r="Q3688">
        <f t="shared" si="750"/>
        <v>472</v>
      </c>
      <c r="R3688">
        <v>236</v>
      </c>
      <c r="S3688">
        <f t="shared" si="751"/>
        <v>-236</v>
      </c>
      <c r="T3688"/>
      <c r="U3688">
        <f t="shared" si="752"/>
        <v>0</v>
      </c>
      <c r="V3688">
        <f t="shared" si="753"/>
        <v>236</v>
      </c>
      <c r="W3688">
        <f t="shared" si="754"/>
        <v>-236</v>
      </c>
      <c r="X3688" t="s">
        <v>1896</v>
      </c>
    </row>
    <row r="3689" spans="1:24" x14ac:dyDescent="0.25">
      <c r="A3689" t="s">
        <v>1948</v>
      </c>
      <c r="B3689" t="s">
        <v>2206</v>
      </c>
      <c r="C3689" t="s">
        <v>2207</v>
      </c>
      <c r="D3689" t="s">
        <v>370</v>
      </c>
      <c r="E3689" t="s">
        <v>17</v>
      </c>
      <c r="F3689" t="s">
        <v>1</v>
      </c>
      <c r="G3689" t="s">
        <v>1195</v>
      </c>
      <c r="H3689" t="s">
        <v>417</v>
      </c>
      <c r="I3689" t="s">
        <v>1</v>
      </c>
      <c r="J3689">
        <v>-3526.69</v>
      </c>
      <c r="K3689">
        <v>-380.00000000009999</v>
      </c>
      <c r="L3689">
        <v>-2040.24</v>
      </c>
      <c r="M3689">
        <v>-4114.2961325966853</v>
      </c>
      <c r="N3689">
        <v>-3467.4599999999996</v>
      </c>
      <c r="O3689">
        <v>-4102.9002197802001</v>
      </c>
      <c r="P3689">
        <v>0</v>
      </c>
      <c r="Q3689">
        <f t="shared" si="750"/>
        <v>-4102.9002197802001</v>
      </c>
      <c r="R3689">
        <v>-4102.9002197802001</v>
      </c>
      <c r="S3689">
        <f t="shared" si="751"/>
        <v>0</v>
      </c>
      <c r="T3689"/>
      <c r="U3689">
        <f t="shared" si="752"/>
        <v>0</v>
      </c>
      <c r="V3689">
        <f t="shared" si="753"/>
        <v>-4102.9002197802001</v>
      </c>
      <c r="W3689">
        <f t="shared" si="754"/>
        <v>0</v>
      </c>
      <c r="X3689">
        <v>0</v>
      </c>
    </row>
    <row r="3690" spans="1:24" x14ac:dyDescent="0.25">
      <c r="A3690" t="s">
        <v>1948</v>
      </c>
      <c r="B3690" t="s">
        <v>2206</v>
      </c>
      <c r="C3690" t="s">
        <v>2207</v>
      </c>
      <c r="D3690" t="s">
        <v>370</v>
      </c>
      <c r="E3690" t="s">
        <v>196</v>
      </c>
      <c r="F3690" t="s">
        <v>1</v>
      </c>
      <c r="G3690" t="s">
        <v>1195</v>
      </c>
      <c r="H3690" t="s">
        <v>785</v>
      </c>
      <c r="I3690" t="s">
        <v>1</v>
      </c>
      <c r="J3690">
        <v>1250</v>
      </c>
      <c r="K3690"/>
      <c r="L3690">
        <v>0</v>
      </c>
      <c r="M3690">
        <v>0</v>
      </c>
      <c r="N3690">
        <v>1250</v>
      </c>
      <c r="O3690"/>
      <c r="P3690">
        <v>0</v>
      </c>
      <c r="Q3690">
        <f t="shared" si="750"/>
        <v>0</v>
      </c>
      <c r="R3690">
        <v>0</v>
      </c>
      <c r="S3690">
        <f t="shared" si="751"/>
        <v>0</v>
      </c>
      <c r="T3690">
        <v>2.2499999999999999E-2</v>
      </c>
      <c r="U3690">
        <f t="shared" si="752"/>
        <v>0</v>
      </c>
      <c r="V3690">
        <f t="shared" si="753"/>
        <v>0</v>
      </c>
      <c r="W3690">
        <f t="shared" si="754"/>
        <v>0</v>
      </c>
      <c r="X3690">
        <v>0</v>
      </c>
    </row>
    <row r="3691" spans="1:24" x14ac:dyDescent="0.25">
      <c r="A3691" t="s">
        <v>1948</v>
      </c>
      <c r="B3691" t="s">
        <v>2206</v>
      </c>
      <c r="C3691" t="s">
        <v>2207</v>
      </c>
      <c r="D3691" t="s">
        <v>370</v>
      </c>
      <c r="E3691" t="s">
        <v>18</v>
      </c>
      <c r="F3691" t="s">
        <v>1</v>
      </c>
      <c r="G3691" t="s">
        <v>1195</v>
      </c>
      <c r="H3691" t="s">
        <v>418</v>
      </c>
      <c r="I3691" t="s">
        <v>1</v>
      </c>
      <c r="J3691">
        <v>6751.05</v>
      </c>
      <c r="K3691">
        <v>7777.1919652839997</v>
      </c>
      <c r="L3691">
        <v>15753</v>
      </c>
      <c r="M3691">
        <v>31767.099447513814</v>
      </c>
      <c r="N3691">
        <v>18438.14</v>
      </c>
      <c r="O3691">
        <v>31679.109890109899</v>
      </c>
      <c r="P3691">
        <v>0</v>
      </c>
      <c r="Q3691">
        <f t="shared" si="750"/>
        <v>31679.109890109899</v>
      </c>
      <c r="R3691">
        <v>31679.109890109899</v>
      </c>
      <c r="S3691">
        <f t="shared" si="751"/>
        <v>0</v>
      </c>
      <c r="T3691">
        <v>0.02</v>
      </c>
      <c r="U3691">
        <f t="shared" si="752"/>
        <v>633.58219780219804</v>
      </c>
      <c r="V3691">
        <f t="shared" si="753"/>
        <v>32312.692087912099</v>
      </c>
      <c r="W3691">
        <f t="shared" si="754"/>
        <v>633.58219780219952</v>
      </c>
      <c r="X3691" t="s">
        <v>1897</v>
      </c>
    </row>
    <row r="3692" spans="1:24" x14ac:dyDescent="0.25">
      <c r="A3692" t="s">
        <v>1948</v>
      </c>
      <c r="B3692" t="s">
        <v>2206</v>
      </c>
      <c r="C3692" t="s">
        <v>2207</v>
      </c>
      <c r="D3692" t="s">
        <v>370</v>
      </c>
      <c r="E3692" t="s">
        <v>119</v>
      </c>
      <c r="F3692" t="s">
        <v>1</v>
      </c>
      <c r="G3692" t="s">
        <v>1195</v>
      </c>
      <c r="H3692" t="s">
        <v>588</v>
      </c>
      <c r="I3692" t="s">
        <v>1</v>
      </c>
      <c r="J3692"/>
      <c r="K3692"/>
      <c r="L3692">
        <v>724.5</v>
      </c>
      <c r="M3692">
        <v>1461.0082872928176</v>
      </c>
      <c r="N3692">
        <v>724.5</v>
      </c>
      <c r="O3692">
        <v>1456.9615384614999</v>
      </c>
      <c r="P3692">
        <v>0</v>
      </c>
      <c r="Q3692">
        <f t="shared" si="750"/>
        <v>1456.9615384614999</v>
      </c>
      <c r="R3692">
        <v>0</v>
      </c>
      <c r="S3692">
        <f t="shared" si="751"/>
        <v>-1456.9615384614999</v>
      </c>
      <c r="T3692">
        <v>1.4999999999999999E-2</v>
      </c>
      <c r="U3692">
        <f t="shared" si="752"/>
        <v>0</v>
      </c>
      <c r="V3692">
        <f t="shared" si="753"/>
        <v>0</v>
      </c>
      <c r="W3692">
        <f t="shared" si="754"/>
        <v>-1456.9615384614999</v>
      </c>
      <c r="X3692">
        <v>0</v>
      </c>
    </row>
    <row r="3693" spans="1:24" x14ac:dyDescent="0.25">
      <c r="A3693" t="s">
        <v>1948</v>
      </c>
      <c r="B3693" t="s">
        <v>2206</v>
      </c>
      <c r="C3693" t="s">
        <v>2207</v>
      </c>
      <c r="D3693" t="s">
        <v>370</v>
      </c>
      <c r="E3693" t="s">
        <v>20</v>
      </c>
      <c r="F3693" t="s">
        <v>1</v>
      </c>
      <c r="G3693" t="s">
        <v>1195</v>
      </c>
      <c r="H3693" t="s">
        <v>420</v>
      </c>
      <c r="I3693" t="s">
        <v>1</v>
      </c>
      <c r="J3693">
        <v>801.9</v>
      </c>
      <c r="K3693"/>
      <c r="L3693">
        <v>0</v>
      </c>
      <c r="M3693">
        <v>0</v>
      </c>
      <c r="N3693">
        <v>801.9</v>
      </c>
      <c r="O3693"/>
      <c r="P3693">
        <v>0</v>
      </c>
      <c r="Q3693">
        <f t="shared" si="750"/>
        <v>0</v>
      </c>
      <c r="R3693">
        <v>0</v>
      </c>
      <c r="S3693">
        <f t="shared" si="751"/>
        <v>0</v>
      </c>
      <c r="T3693">
        <v>0.04</v>
      </c>
      <c r="U3693">
        <f t="shared" si="752"/>
        <v>0</v>
      </c>
      <c r="V3693">
        <f t="shared" si="753"/>
        <v>0</v>
      </c>
      <c r="W3693">
        <f t="shared" si="754"/>
        <v>0</v>
      </c>
      <c r="X3693">
        <v>0</v>
      </c>
    </row>
    <row r="3694" spans="1:24" x14ac:dyDescent="0.25">
      <c r="A3694" t="s">
        <v>1948</v>
      </c>
      <c r="B3694" t="s">
        <v>2206</v>
      </c>
      <c r="C3694" t="s">
        <v>2207</v>
      </c>
      <c r="D3694" t="s">
        <v>370</v>
      </c>
      <c r="E3694" t="s">
        <v>21</v>
      </c>
      <c r="F3694" t="s">
        <v>1</v>
      </c>
      <c r="G3694" t="s">
        <v>1195</v>
      </c>
      <c r="H3694" t="s">
        <v>421</v>
      </c>
      <c r="I3694" t="s">
        <v>1</v>
      </c>
      <c r="J3694">
        <v>309688.06</v>
      </c>
      <c r="K3694">
        <v>221910.01</v>
      </c>
      <c r="L3694">
        <v>177814.41</v>
      </c>
      <c r="M3694">
        <v>358576.02016574587</v>
      </c>
      <c r="N3694">
        <v>379406.49</v>
      </c>
      <c r="O3694">
        <v>358576.02016574598</v>
      </c>
      <c r="P3694">
        <v>0</v>
      </c>
      <c r="Q3694">
        <f t="shared" si="750"/>
        <v>358576.02016574598</v>
      </c>
      <c r="R3694">
        <v>358576.02016574598</v>
      </c>
      <c r="S3694">
        <f t="shared" si="751"/>
        <v>0</v>
      </c>
      <c r="T3694">
        <v>0.03</v>
      </c>
      <c r="U3694">
        <f t="shared" si="752"/>
        <v>10757.280604972379</v>
      </c>
      <c r="V3694">
        <f t="shared" si="753"/>
        <v>369333.30077071837</v>
      </c>
      <c r="W3694">
        <f t="shared" si="754"/>
        <v>10757.280604972388</v>
      </c>
      <c r="X3694" t="s">
        <v>1898</v>
      </c>
    </row>
    <row r="3695" spans="1:24" x14ac:dyDescent="0.25">
      <c r="A3695" t="s">
        <v>1948</v>
      </c>
      <c r="B3695" t="s">
        <v>2206</v>
      </c>
      <c r="C3695" t="s">
        <v>2207</v>
      </c>
      <c r="D3695" t="s">
        <v>370</v>
      </c>
      <c r="E3695" t="s">
        <v>22</v>
      </c>
      <c r="F3695" t="s">
        <v>1</v>
      </c>
      <c r="G3695" t="s">
        <v>1195</v>
      </c>
      <c r="H3695" t="s">
        <v>422</v>
      </c>
      <c r="I3695" t="s">
        <v>1</v>
      </c>
      <c r="J3695">
        <v>57288.73</v>
      </c>
      <c r="K3695">
        <v>96493.050000000105</v>
      </c>
      <c r="L3695">
        <v>19427.099999999999</v>
      </c>
      <c r="M3695">
        <v>39176.196132596684</v>
      </c>
      <c r="N3695">
        <v>30100.78</v>
      </c>
      <c r="O3695">
        <v>39176.196132596699</v>
      </c>
      <c r="P3695">
        <v>0</v>
      </c>
      <c r="Q3695">
        <f t="shared" si="750"/>
        <v>39176.196132596699</v>
      </c>
      <c r="R3695">
        <v>29176.196132596699</v>
      </c>
      <c r="S3695">
        <f t="shared" si="751"/>
        <v>-10000</v>
      </c>
      <c r="T3695">
        <v>3.5000000000000003E-2</v>
      </c>
      <c r="U3695">
        <f t="shared" si="752"/>
        <v>1021.1668646408846</v>
      </c>
      <c r="V3695">
        <f t="shared" si="753"/>
        <v>30197.362997237582</v>
      </c>
      <c r="W3695">
        <f t="shared" si="754"/>
        <v>-8978.8331353591166</v>
      </c>
      <c r="X3695">
        <v>0</v>
      </c>
    </row>
    <row r="3696" spans="1:24" x14ac:dyDescent="0.25">
      <c r="A3696" t="s">
        <v>1948</v>
      </c>
      <c r="B3696" t="s">
        <v>2206</v>
      </c>
      <c r="C3696" t="s">
        <v>2207</v>
      </c>
      <c r="D3696" t="s">
        <v>370</v>
      </c>
      <c r="E3696" t="s">
        <v>23</v>
      </c>
      <c r="F3696" t="s">
        <v>1</v>
      </c>
      <c r="G3696" t="s">
        <v>1195</v>
      </c>
      <c r="H3696" t="s">
        <v>423</v>
      </c>
      <c r="I3696" t="s">
        <v>1</v>
      </c>
      <c r="J3696">
        <v>11071.98</v>
      </c>
      <c r="K3696">
        <v>8704.3499999999003</v>
      </c>
      <c r="L3696">
        <v>584.27</v>
      </c>
      <c r="M3696">
        <v>1178.2240331491712</v>
      </c>
      <c r="N3696">
        <v>7449.34</v>
      </c>
      <c r="O3696">
        <v>1178.2240331492001</v>
      </c>
      <c r="P3696">
        <v>0</v>
      </c>
      <c r="Q3696">
        <f t="shared" si="750"/>
        <v>1178.2240331492001</v>
      </c>
      <c r="R3696">
        <v>1178.2240331492001</v>
      </c>
      <c r="S3696">
        <f t="shared" si="751"/>
        <v>0</v>
      </c>
      <c r="T3696">
        <v>3.5000000000000003E-2</v>
      </c>
      <c r="U3696">
        <f t="shared" si="752"/>
        <v>41.237841160222004</v>
      </c>
      <c r="V3696">
        <f t="shared" si="753"/>
        <v>1219.461874309422</v>
      </c>
      <c r="W3696">
        <f t="shared" si="754"/>
        <v>41.237841160221933</v>
      </c>
      <c r="X3696">
        <v>0</v>
      </c>
    </row>
    <row r="3697" spans="1:24" x14ac:dyDescent="0.25">
      <c r="A3697" t="s">
        <v>1948</v>
      </c>
      <c r="B3697" t="s">
        <v>2206</v>
      </c>
      <c r="C3697" t="s">
        <v>2207</v>
      </c>
      <c r="D3697" t="s">
        <v>370</v>
      </c>
      <c r="E3697" t="s">
        <v>24</v>
      </c>
      <c r="F3697" t="s">
        <v>1</v>
      </c>
      <c r="G3697" t="s">
        <v>1195</v>
      </c>
      <c r="H3697" t="s">
        <v>424</v>
      </c>
      <c r="I3697" t="s">
        <v>1</v>
      </c>
      <c r="J3697">
        <v>1465</v>
      </c>
      <c r="K3697">
        <v>474</v>
      </c>
      <c r="L3697">
        <v>304</v>
      </c>
      <c r="M3697">
        <v>613.03867403314916</v>
      </c>
      <c r="N3697">
        <v>824</v>
      </c>
      <c r="O3697">
        <v>608</v>
      </c>
      <c r="P3697">
        <v>0</v>
      </c>
      <c r="Q3697">
        <f t="shared" si="750"/>
        <v>608</v>
      </c>
      <c r="R3697">
        <v>608</v>
      </c>
      <c r="S3697">
        <f t="shared" si="751"/>
        <v>0</v>
      </c>
      <c r="T3697"/>
      <c r="U3697">
        <f t="shared" si="752"/>
        <v>0</v>
      </c>
      <c r="V3697">
        <f t="shared" si="753"/>
        <v>608</v>
      </c>
      <c r="W3697">
        <f t="shared" si="754"/>
        <v>0</v>
      </c>
      <c r="X3697">
        <v>0</v>
      </c>
    </row>
    <row r="3698" spans="1:24" x14ac:dyDescent="0.25">
      <c r="A3698" t="s">
        <v>1948</v>
      </c>
      <c r="B3698" t="s">
        <v>2206</v>
      </c>
      <c r="C3698" t="s">
        <v>2207</v>
      </c>
      <c r="D3698" t="s">
        <v>370</v>
      </c>
      <c r="E3698" t="s">
        <v>25</v>
      </c>
      <c r="F3698" t="s">
        <v>1</v>
      </c>
      <c r="G3698" t="s">
        <v>1195</v>
      </c>
      <c r="H3698" t="s">
        <v>425</v>
      </c>
      <c r="I3698" t="s">
        <v>1</v>
      </c>
      <c r="J3698">
        <v>164.09</v>
      </c>
      <c r="K3698"/>
      <c r="L3698">
        <v>0</v>
      </c>
      <c r="M3698">
        <v>0</v>
      </c>
      <c r="N3698">
        <v>0</v>
      </c>
      <c r="O3698"/>
      <c r="P3698">
        <v>0</v>
      </c>
      <c r="Q3698">
        <f t="shared" si="750"/>
        <v>0</v>
      </c>
      <c r="R3698">
        <v>0</v>
      </c>
      <c r="S3698">
        <f t="shared" si="751"/>
        <v>0</v>
      </c>
      <c r="T3698"/>
      <c r="U3698">
        <f t="shared" si="752"/>
        <v>0</v>
      </c>
      <c r="V3698">
        <f t="shared" si="753"/>
        <v>0</v>
      </c>
      <c r="W3698">
        <f t="shared" si="754"/>
        <v>0</v>
      </c>
      <c r="X3698">
        <v>0</v>
      </c>
    </row>
    <row r="3699" spans="1:24" x14ac:dyDescent="0.25">
      <c r="A3699" t="s">
        <v>1948</v>
      </c>
      <c r="B3699" t="s">
        <v>2206</v>
      </c>
      <c r="C3699" t="s">
        <v>2207</v>
      </c>
      <c r="D3699" t="s">
        <v>370</v>
      </c>
      <c r="E3699" t="s">
        <v>26</v>
      </c>
      <c r="F3699" t="s">
        <v>1</v>
      </c>
      <c r="G3699" t="s">
        <v>1195</v>
      </c>
      <c r="H3699" t="s">
        <v>426</v>
      </c>
      <c r="I3699" t="s">
        <v>1</v>
      </c>
      <c r="J3699">
        <v>3049.39</v>
      </c>
      <c r="K3699">
        <v>1216.7355766848</v>
      </c>
      <c r="L3699">
        <v>885</v>
      </c>
      <c r="M3699">
        <v>1784.6685082872928</v>
      </c>
      <c r="N3699">
        <v>3035.35</v>
      </c>
      <c r="O3699">
        <v>1770</v>
      </c>
      <c r="P3699">
        <v>0</v>
      </c>
      <c r="Q3699">
        <f t="shared" si="750"/>
        <v>1770</v>
      </c>
      <c r="R3699">
        <v>0</v>
      </c>
      <c r="S3699">
        <f t="shared" si="751"/>
        <v>-1770</v>
      </c>
      <c r="T3699"/>
      <c r="U3699">
        <f t="shared" si="752"/>
        <v>0</v>
      </c>
      <c r="V3699">
        <f t="shared" si="753"/>
        <v>0</v>
      </c>
      <c r="W3699">
        <f t="shared" si="754"/>
        <v>-1770</v>
      </c>
      <c r="X3699">
        <v>0</v>
      </c>
    </row>
    <row r="3700" spans="1:24" x14ac:dyDescent="0.25">
      <c r="A3700" t="s">
        <v>1948</v>
      </c>
      <c r="B3700" t="s">
        <v>2206</v>
      </c>
      <c r="C3700" t="s">
        <v>2207</v>
      </c>
      <c r="D3700" t="s">
        <v>370</v>
      </c>
      <c r="E3700" t="s">
        <v>28</v>
      </c>
      <c r="F3700" t="s">
        <v>1</v>
      </c>
      <c r="G3700" t="s">
        <v>1195</v>
      </c>
      <c r="H3700" t="s">
        <v>428</v>
      </c>
      <c r="I3700" t="s">
        <v>1</v>
      </c>
      <c r="J3700">
        <v>14552.16</v>
      </c>
      <c r="K3700">
        <v>2488.9700000004</v>
      </c>
      <c r="L3700">
        <v>7361.63</v>
      </c>
      <c r="M3700">
        <v>14845.27596685083</v>
      </c>
      <c r="N3700">
        <v>8902.57</v>
      </c>
      <c r="O3700">
        <v>14723.26</v>
      </c>
      <c r="P3700">
        <v>0</v>
      </c>
      <c r="Q3700">
        <f t="shared" si="750"/>
        <v>14723.26</v>
      </c>
      <c r="R3700">
        <v>24723.260000000002</v>
      </c>
      <c r="S3700">
        <f t="shared" si="751"/>
        <v>10000.000000000002</v>
      </c>
      <c r="T3700"/>
      <c r="U3700">
        <f t="shared" si="752"/>
        <v>0</v>
      </c>
      <c r="V3700">
        <f t="shared" si="753"/>
        <v>24723.260000000002</v>
      </c>
      <c r="W3700">
        <f t="shared" si="754"/>
        <v>10000.000000000002</v>
      </c>
      <c r="X3700">
        <v>0</v>
      </c>
    </row>
    <row r="3701" spans="1:24" x14ac:dyDescent="0.25">
      <c r="A3701" t="s">
        <v>1948</v>
      </c>
      <c r="B3701" t="s">
        <v>2206</v>
      </c>
      <c r="C3701" t="s">
        <v>2207</v>
      </c>
      <c r="D3701" t="s">
        <v>370</v>
      </c>
      <c r="E3701" t="s">
        <v>29</v>
      </c>
      <c r="F3701" t="s">
        <v>1</v>
      </c>
      <c r="G3701" t="s">
        <v>1195</v>
      </c>
      <c r="H3701" t="s">
        <v>429</v>
      </c>
      <c r="I3701" t="s">
        <v>1</v>
      </c>
      <c r="J3701">
        <v>292.49</v>
      </c>
      <c r="K3701">
        <v>26685.999599999999</v>
      </c>
      <c r="L3701">
        <v>109.75</v>
      </c>
      <c r="M3701">
        <v>221.31906077348069</v>
      </c>
      <c r="N3701">
        <v>217.64</v>
      </c>
      <c r="O3701">
        <v>219.5</v>
      </c>
      <c r="P3701">
        <v>0</v>
      </c>
      <c r="Q3701">
        <f t="shared" si="750"/>
        <v>219.5</v>
      </c>
      <c r="R3701">
        <v>219.5</v>
      </c>
      <c r="S3701">
        <f t="shared" si="751"/>
        <v>0</v>
      </c>
      <c r="T3701"/>
      <c r="U3701">
        <f t="shared" si="752"/>
        <v>0</v>
      </c>
      <c r="V3701">
        <f t="shared" si="753"/>
        <v>219.5</v>
      </c>
      <c r="W3701">
        <f t="shared" si="754"/>
        <v>0</v>
      </c>
      <c r="X3701">
        <v>0</v>
      </c>
    </row>
    <row r="3702" spans="1:24" x14ac:dyDescent="0.25">
      <c r="A3702" t="s">
        <v>1948</v>
      </c>
      <c r="B3702" t="s">
        <v>2206</v>
      </c>
      <c r="C3702" t="s">
        <v>2207</v>
      </c>
      <c r="D3702" t="s">
        <v>370</v>
      </c>
      <c r="E3702" t="s">
        <v>31</v>
      </c>
      <c r="F3702" t="s">
        <v>1</v>
      </c>
      <c r="G3702" t="s">
        <v>1195</v>
      </c>
      <c r="H3702" t="s">
        <v>431</v>
      </c>
      <c r="I3702" t="s">
        <v>1</v>
      </c>
      <c r="J3702"/>
      <c r="K3702">
        <v>7800.9999999995998</v>
      </c>
      <c r="L3702">
        <v>0</v>
      </c>
      <c r="M3702">
        <v>0</v>
      </c>
      <c r="N3702">
        <v>0</v>
      </c>
      <c r="O3702"/>
      <c r="P3702">
        <v>0</v>
      </c>
      <c r="Q3702">
        <f t="shared" si="750"/>
        <v>0</v>
      </c>
      <c r="R3702">
        <v>0</v>
      </c>
      <c r="S3702">
        <f t="shared" si="751"/>
        <v>0</v>
      </c>
      <c r="T3702"/>
      <c r="U3702">
        <f t="shared" si="752"/>
        <v>0</v>
      </c>
      <c r="V3702">
        <f t="shared" si="753"/>
        <v>0</v>
      </c>
      <c r="W3702">
        <f t="shared" si="754"/>
        <v>0</v>
      </c>
      <c r="X3702">
        <v>0</v>
      </c>
    </row>
    <row r="3703" spans="1:24" x14ac:dyDescent="0.25">
      <c r="A3703" t="s">
        <v>1948</v>
      </c>
      <c r="B3703" t="s">
        <v>2206</v>
      </c>
      <c r="C3703" t="s">
        <v>2207</v>
      </c>
      <c r="D3703" t="s">
        <v>370</v>
      </c>
      <c r="E3703" t="s">
        <v>32</v>
      </c>
      <c r="F3703" t="s">
        <v>1</v>
      </c>
      <c r="G3703" t="s">
        <v>1195</v>
      </c>
      <c r="H3703" t="s">
        <v>432</v>
      </c>
      <c r="I3703" t="s">
        <v>1</v>
      </c>
      <c r="J3703"/>
      <c r="K3703"/>
      <c r="L3703">
        <v>500</v>
      </c>
      <c r="M3703">
        <v>1008.2872928176796</v>
      </c>
      <c r="N3703">
        <v>500</v>
      </c>
      <c r="O3703">
        <v>1000</v>
      </c>
      <c r="P3703">
        <v>0</v>
      </c>
      <c r="Q3703">
        <f t="shared" si="750"/>
        <v>1000</v>
      </c>
      <c r="R3703">
        <v>500</v>
      </c>
      <c r="S3703">
        <f t="shared" si="751"/>
        <v>-500</v>
      </c>
      <c r="T3703"/>
      <c r="U3703">
        <f t="shared" si="752"/>
        <v>0</v>
      </c>
      <c r="V3703">
        <f t="shared" si="753"/>
        <v>500</v>
      </c>
      <c r="W3703">
        <f t="shared" si="754"/>
        <v>-500</v>
      </c>
      <c r="X3703" t="s">
        <v>1899</v>
      </c>
    </row>
    <row r="3704" spans="1:24" x14ac:dyDescent="0.25">
      <c r="A3704" t="s">
        <v>1948</v>
      </c>
      <c r="B3704" t="s">
        <v>2206</v>
      </c>
      <c r="C3704" t="s">
        <v>2207</v>
      </c>
      <c r="D3704" t="s">
        <v>370</v>
      </c>
      <c r="E3704" t="s">
        <v>33</v>
      </c>
      <c r="F3704" t="s">
        <v>1</v>
      </c>
      <c r="G3704" t="s">
        <v>1195</v>
      </c>
      <c r="H3704" t="s">
        <v>433</v>
      </c>
      <c r="I3704" t="s">
        <v>1</v>
      </c>
      <c r="J3704">
        <v>3435</v>
      </c>
      <c r="K3704">
        <v>2551.2197575656</v>
      </c>
      <c r="L3704">
        <v>0</v>
      </c>
      <c r="M3704">
        <v>0</v>
      </c>
      <c r="N3704">
        <v>3435</v>
      </c>
      <c r="O3704"/>
      <c r="P3704">
        <v>0</v>
      </c>
      <c r="Q3704">
        <f t="shared" si="750"/>
        <v>0</v>
      </c>
      <c r="R3704">
        <v>0</v>
      </c>
      <c r="S3704">
        <f t="shared" si="751"/>
        <v>0</v>
      </c>
      <c r="T3704"/>
      <c r="U3704">
        <f t="shared" si="752"/>
        <v>0</v>
      </c>
      <c r="V3704">
        <f t="shared" si="753"/>
        <v>0</v>
      </c>
      <c r="W3704">
        <f t="shared" si="754"/>
        <v>0</v>
      </c>
      <c r="X3704">
        <v>0</v>
      </c>
    </row>
    <row r="3705" spans="1:24" x14ac:dyDescent="0.25">
      <c r="A3705" t="s">
        <v>1948</v>
      </c>
      <c r="B3705" t="s">
        <v>2206</v>
      </c>
      <c r="C3705" t="s">
        <v>2207</v>
      </c>
      <c r="D3705" t="s">
        <v>370</v>
      </c>
      <c r="E3705" t="s">
        <v>34</v>
      </c>
      <c r="F3705" t="s">
        <v>1</v>
      </c>
      <c r="G3705" t="s">
        <v>1195</v>
      </c>
      <c r="H3705" t="s">
        <v>434</v>
      </c>
      <c r="I3705" t="s">
        <v>1</v>
      </c>
      <c r="J3705">
        <v>385.73</v>
      </c>
      <c r="K3705"/>
      <c r="L3705">
        <v>0</v>
      </c>
      <c r="M3705">
        <v>0</v>
      </c>
      <c r="N3705">
        <v>0</v>
      </c>
      <c r="O3705"/>
      <c r="P3705">
        <v>0</v>
      </c>
      <c r="Q3705">
        <f t="shared" si="750"/>
        <v>0</v>
      </c>
      <c r="R3705">
        <v>0</v>
      </c>
      <c r="S3705">
        <f t="shared" si="751"/>
        <v>0</v>
      </c>
      <c r="T3705"/>
      <c r="U3705">
        <f t="shared" si="752"/>
        <v>0</v>
      </c>
      <c r="V3705">
        <f t="shared" si="753"/>
        <v>0</v>
      </c>
      <c r="W3705">
        <f t="shared" si="754"/>
        <v>0</v>
      </c>
      <c r="X3705">
        <v>0</v>
      </c>
    </row>
    <row r="3706" spans="1:24" x14ac:dyDescent="0.25">
      <c r="A3706" t="s">
        <v>1948</v>
      </c>
      <c r="B3706" t="s">
        <v>2206</v>
      </c>
      <c r="C3706" t="s">
        <v>2207</v>
      </c>
      <c r="D3706" t="s">
        <v>370</v>
      </c>
      <c r="E3706" t="s">
        <v>35</v>
      </c>
      <c r="F3706" t="s">
        <v>1</v>
      </c>
      <c r="G3706" t="s">
        <v>1195</v>
      </c>
      <c r="H3706" t="s">
        <v>435</v>
      </c>
      <c r="I3706" t="s">
        <v>1</v>
      </c>
      <c r="J3706"/>
      <c r="K3706"/>
      <c r="L3706">
        <v>27.94</v>
      </c>
      <c r="M3706">
        <v>56.343093922651938</v>
      </c>
      <c r="N3706">
        <v>27.94</v>
      </c>
      <c r="O3706">
        <v>55.88</v>
      </c>
      <c r="P3706">
        <v>0</v>
      </c>
      <c r="Q3706">
        <f t="shared" si="750"/>
        <v>55.88</v>
      </c>
      <c r="R3706">
        <v>56</v>
      </c>
      <c r="S3706">
        <f t="shared" si="751"/>
        <v>0.11999999999999744</v>
      </c>
      <c r="T3706"/>
      <c r="U3706">
        <f t="shared" si="752"/>
        <v>0</v>
      </c>
      <c r="V3706">
        <f t="shared" si="753"/>
        <v>56</v>
      </c>
      <c r="W3706">
        <f t="shared" si="754"/>
        <v>0.11999999999999744</v>
      </c>
      <c r="X3706">
        <v>0</v>
      </c>
    </row>
    <row r="3707" spans="1:24" x14ac:dyDescent="0.25">
      <c r="A3707" t="s">
        <v>1948</v>
      </c>
      <c r="B3707" t="s">
        <v>2206</v>
      </c>
      <c r="C3707" t="s">
        <v>2207</v>
      </c>
      <c r="D3707" t="s">
        <v>370</v>
      </c>
      <c r="E3707" t="s">
        <v>37</v>
      </c>
      <c r="F3707" t="s">
        <v>1</v>
      </c>
      <c r="G3707" t="s">
        <v>1195</v>
      </c>
      <c r="H3707" t="s">
        <v>437</v>
      </c>
      <c r="I3707" t="s">
        <v>1</v>
      </c>
      <c r="J3707">
        <v>506.26</v>
      </c>
      <c r="K3707"/>
      <c r="L3707">
        <v>856.54</v>
      </c>
      <c r="M3707">
        <v>1727.2767955801103</v>
      </c>
      <c r="N3707">
        <v>1104.1999999999998</v>
      </c>
      <c r="O3707">
        <v>1713.08</v>
      </c>
      <c r="P3707">
        <v>0</v>
      </c>
      <c r="Q3707">
        <f t="shared" si="750"/>
        <v>1713.08</v>
      </c>
      <c r="R3707">
        <v>500</v>
      </c>
      <c r="S3707">
        <f t="shared" si="751"/>
        <v>-1213.08</v>
      </c>
      <c r="T3707"/>
      <c r="U3707">
        <f t="shared" si="752"/>
        <v>0</v>
      </c>
      <c r="V3707">
        <f t="shared" si="753"/>
        <v>500</v>
      </c>
      <c r="W3707">
        <f t="shared" si="754"/>
        <v>-1213.08</v>
      </c>
      <c r="X3707">
        <v>0</v>
      </c>
    </row>
    <row r="3708" spans="1:24" x14ac:dyDescent="0.25">
      <c r="A3708" t="s">
        <v>1948</v>
      </c>
      <c r="B3708" t="s">
        <v>2206</v>
      </c>
      <c r="C3708" t="s">
        <v>2207</v>
      </c>
      <c r="D3708" t="s">
        <v>370</v>
      </c>
      <c r="E3708" t="s">
        <v>40</v>
      </c>
      <c r="F3708" t="s">
        <v>1</v>
      </c>
      <c r="G3708" t="s">
        <v>1195</v>
      </c>
      <c r="H3708" t="s">
        <v>440</v>
      </c>
      <c r="I3708" t="s">
        <v>1</v>
      </c>
      <c r="J3708">
        <v>148.32</v>
      </c>
      <c r="K3708">
        <v>-1808.0000000004</v>
      </c>
      <c r="L3708">
        <v>87.4</v>
      </c>
      <c r="M3708">
        <v>176.24861878453041</v>
      </c>
      <c r="N3708">
        <v>161.56</v>
      </c>
      <c r="O3708">
        <v>174.8</v>
      </c>
      <c r="P3708">
        <v>0</v>
      </c>
      <c r="Q3708">
        <f t="shared" si="750"/>
        <v>174.8</v>
      </c>
      <c r="R3708">
        <v>174.8</v>
      </c>
      <c r="S3708">
        <f t="shared" si="751"/>
        <v>0</v>
      </c>
      <c r="T3708">
        <v>0.03</v>
      </c>
      <c r="U3708">
        <f t="shared" si="752"/>
        <v>5.2439999999999998</v>
      </c>
      <c r="V3708">
        <f t="shared" si="753"/>
        <v>180.04400000000001</v>
      </c>
      <c r="W3708">
        <f t="shared" si="754"/>
        <v>5.2439999999999998</v>
      </c>
      <c r="X3708">
        <v>0</v>
      </c>
    </row>
    <row r="3709" spans="1:24" x14ac:dyDescent="0.25">
      <c r="A3709" t="s">
        <v>1948</v>
      </c>
      <c r="B3709" t="s">
        <v>2206</v>
      </c>
      <c r="C3709" t="s">
        <v>2207</v>
      </c>
      <c r="D3709" t="s">
        <v>370</v>
      </c>
      <c r="E3709" t="s">
        <v>41</v>
      </c>
      <c r="F3709" t="s">
        <v>1</v>
      </c>
      <c r="G3709" t="s">
        <v>1195</v>
      </c>
      <c r="H3709" t="s">
        <v>441</v>
      </c>
      <c r="I3709" t="s">
        <v>1</v>
      </c>
      <c r="J3709">
        <v>85542.71</v>
      </c>
      <c r="K3709">
        <v>96718.3741305804</v>
      </c>
      <c r="L3709">
        <v>12928.91</v>
      </c>
      <c r="M3709">
        <v>26072.111325966853</v>
      </c>
      <c r="N3709">
        <v>49234.92</v>
      </c>
      <c r="O3709">
        <v>25857.82</v>
      </c>
      <c r="P3709">
        <v>0</v>
      </c>
      <c r="Q3709">
        <f t="shared" si="750"/>
        <v>25857.82</v>
      </c>
      <c r="R3709">
        <v>45000</v>
      </c>
      <c r="S3709">
        <f t="shared" si="751"/>
        <v>19142.18</v>
      </c>
      <c r="T3709">
        <v>0.03</v>
      </c>
      <c r="U3709">
        <f t="shared" si="752"/>
        <v>1350</v>
      </c>
      <c r="V3709">
        <f t="shared" si="753"/>
        <v>46350</v>
      </c>
      <c r="W3709">
        <f t="shared" si="754"/>
        <v>20492.18</v>
      </c>
      <c r="X3709">
        <v>0</v>
      </c>
    </row>
    <row r="3710" spans="1:24" x14ac:dyDescent="0.25">
      <c r="A3710" t="s">
        <v>1948</v>
      </c>
      <c r="B3710" t="s">
        <v>2206</v>
      </c>
      <c r="C3710" t="s">
        <v>2207</v>
      </c>
      <c r="D3710" t="s">
        <v>370</v>
      </c>
      <c r="E3710" t="s">
        <v>42</v>
      </c>
      <c r="F3710" t="s">
        <v>1</v>
      </c>
      <c r="G3710" t="s">
        <v>1195</v>
      </c>
      <c r="H3710" t="s">
        <v>442</v>
      </c>
      <c r="I3710" t="s">
        <v>1</v>
      </c>
      <c r="J3710">
        <v>37906.019999999997</v>
      </c>
      <c r="K3710">
        <v>43332.9999999996</v>
      </c>
      <c r="L3710">
        <v>0</v>
      </c>
      <c r="M3710">
        <v>0</v>
      </c>
      <c r="N3710">
        <v>20278.439999999995</v>
      </c>
      <c r="O3710"/>
      <c r="P3710">
        <v>0</v>
      </c>
      <c r="Q3710">
        <f t="shared" si="750"/>
        <v>0</v>
      </c>
      <c r="R3710">
        <v>0</v>
      </c>
      <c r="S3710">
        <f t="shared" si="751"/>
        <v>0</v>
      </c>
      <c r="T3710">
        <v>0.03</v>
      </c>
      <c r="U3710">
        <f t="shared" si="752"/>
        <v>0</v>
      </c>
      <c r="V3710">
        <f t="shared" si="753"/>
        <v>0</v>
      </c>
      <c r="W3710">
        <f t="shared" si="754"/>
        <v>0</v>
      </c>
      <c r="X3710">
        <v>0</v>
      </c>
    </row>
    <row r="3711" spans="1:24" x14ac:dyDescent="0.25">
      <c r="A3711" t="s">
        <v>1948</v>
      </c>
      <c r="B3711" t="s">
        <v>2206</v>
      </c>
      <c r="C3711" t="s">
        <v>2207</v>
      </c>
      <c r="D3711" t="s">
        <v>370</v>
      </c>
      <c r="E3711" t="s">
        <v>43</v>
      </c>
      <c r="F3711" t="s">
        <v>1</v>
      </c>
      <c r="G3711" t="s">
        <v>1195</v>
      </c>
      <c r="H3711" t="s">
        <v>443</v>
      </c>
      <c r="I3711" t="s">
        <v>1</v>
      </c>
      <c r="J3711">
        <v>307509.81</v>
      </c>
      <c r="K3711">
        <v>187006</v>
      </c>
      <c r="L3711">
        <v>108560.57</v>
      </c>
      <c r="M3711">
        <v>218920.4864640884</v>
      </c>
      <c r="N3711">
        <v>314008.8</v>
      </c>
      <c r="O3711">
        <v>217121.14</v>
      </c>
      <c r="P3711">
        <v>0</v>
      </c>
      <c r="Q3711">
        <f t="shared" si="750"/>
        <v>217121.14</v>
      </c>
      <c r="R3711">
        <v>243850</v>
      </c>
      <c r="S3711">
        <f t="shared" si="751"/>
        <v>26728.859999999986</v>
      </c>
      <c r="T3711">
        <v>0.03</v>
      </c>
      <c r="U3711">
        <f t="shared" si="752"/>
        <v>7315.5</v>
      </c>
      <c r="V3711">
        <f t="shared" si="753"/>
        <v>251165.5</v>
      </c>
      <c r="W3711">
        <f t="shared" si="754"/>
        <v>34044.359999999986</v>
      </c>
      <c r="X3711" t="s">
        <v>1900</v>
      </c>
    </row>
    <row r="3712" spans="1:24" x14ac:dyDescent="0.25">
      <c r="A3712" t="s">
        <v>1948</v>
      </c>
      <c r="B3712" t="s">
        <v>2206</v>
      </c>
      <c r="C3712" t="s">
        <v>2207</v>
      </c>
      <c r="D3712" t="s">
        <v>370</v>
      </c>
      <c r="E3712" t="s">
        <v>46</v>
      </c>
      <c r="F3712" t="s">
        <v>1</v>
      </c>
      <c r="G3712" t="s">
        <v>1195</v>
      </c>
      <c r="H3712" t="s">
        <v>446</v>
      </c>
      <c r="I3712" t="s">
        <v>1</v>
      </c>
      <c r="J3712">
        <v>109120.36</v>
      </c>
      <c r="K3712"/>
      <c r="L3712">
        <v>532.35</v>
      </c>
      <c r="M3712">
        <v>1073.5234806629835</v>
      </c>
      <c r="N3712">
        <v>100927.73000000001</v>
      </c>
      <c r="O3712">
        <v>1064.7</v>
      </c>
      <c r="P3712">
        <v>0</v>
      </c>
      <c r="Q3712">
        <f t="shared" si="750"/>
        <v>1064.7</v>
      </c>
      <c r="R3712">
        <v>7000</v>
      </c>
      <c r="S3712">
        <f t="shared" si="751"/>
        <v>5935.3</v>
      </c>
      <c r="T3712">
        <v>0.03</v>
      </c>
      <c r="U3712">
        <f t="shared" si="752"/>
        <v>210</v>
      </c>
      <c r="V3712">
        <f t="shared" si="753"/>
        <v>7210</v>
      </c>
      <c r="W3712">
        <f t="shared" si="754"/>
        <v>6145.3</v>
      </c>
      <c r="X3712" t="s">
        <v>1387</v>
      </c>
    </row>
    <row r="3713" spans="1:24" x14ac:dyDescent="0.25">
      <c r="A3713" t="s">
        <v>1948</v>
      </c>
      <c r="B3713" t="s">
        <v>2206</v>
      </c>
      <c r="C3713" t="s">
        <v>2207</v>
      </c>
      <c r="D3713" t="s">
        <v>370</v>
      </c>
      <c r="E3713" t="s">
        <v>47</v>
      </c>
      <c r="F3713" t="s">
        <v>1</v>
      </c>
      <c r="G3713" t="s">
        <v>1195</v>
      </c>
      <c r="H3713" t="s">
        <v>447</v>
      </c>
      <c r="I3713" t="s">
        <v>1</v>
      </c>
      <c r="J3713">
        <v>1198</v>
      </c>
      <c r="K3713">
        <v>489.99999999959999</v>
      </c>
      <c r="L3713">
        <v>5913</v>
      </c>
      <c r="M3713">
        <v>11924.005524861877</v>
      </c>
      <c r="N3713">
        <v>7041</v>
      </c>
      <c r="O3713">
        <v>11826</v>
      </c>
      <c r="P3713">
        <v>0</v>
      </c>
      <c r="Q3713">
        <f t="shared" si="750"/>
        <v>11826</v>
      </c>
      <c r="R3713">
        <v>0</v>
      </c>
      <c r="S3713">
        <f t="shared" si="751"/>
        <v>-11826</v>
      </c>
      <c r="T3713">
        <v>0.03</v>
      </c>
      <c r="U3713">
        <f t="shared" si="752"/>
        <v>0</v>
      </c>
      <c r="V3713">
        <f t="shared" si="753"/>
        <v>0</v>
      </c>
      <c r="W3713">
        <f t="shared" si="754"/>
        <v>-11826</v>
      </c>
      <c r="X3713">
        <v>0</v>
      </c>
    </row>
    <row r="3714" spans="1:24" x14ac:dyDescent="0.25">
      <c r="A3714" t="s">
        <v>1948</v>
      </c>
      <c r="B3714" t="s">
        <v>2206</v>
      </c>
      <c r="C3714" t="s">
        <v>2207</v>
      </c>
      <c r="D3714" t="s">
        <v>370</v>
      </c>
      <c r="E3714" t="s">
        <v>101</v>
      </c>
      <c r="F3714" t="s">
        <v>1</v>
      </c>
      <c r="G3714" t="s">
        <v>1195</v>
      </c>
      <c r="H3714" t="s">
        <v>550</v>
      </c>
      <c r="I3714" t="s">
        <v>1</v>
      </c>
      <c r="J3714">
        <v>5550</v>
      </c>
      <c r="K3714">
        <v>3300</v>
      </c>
      <c r="L3714">
        <v>0</v>
      </c>
      <c r="M3714">
        <v>0</v>
      </c>
      <c r="N3714">
        <v>3900</v>
      </c>
      <c r="O3714"/>
      <c r="P3714">
        <v>0</v>
      </c>
      <c r="Q3714">
        <f t="shared" si="750"/>
        <v>0</v>
      </c>
      <c r="R3714">
        <v>0</v>
      </c>
      <c r="S3714">
        <f t="shared" si="751"/>
        <v>0</v>
      </c>
      <c r="T3714">
        <v>0.03</v>
      </c>
      <c r="U3714">
        <f t="shared" si="752"/>
        <v>0</v>
      </c>
      <c r="V3714">
        <f t="shared" si="753"/>
        <v>0</v>
      </c>
      <c r="W3714">
        <f t="shared" si="754"/>
        <v>0</v>
      </c>
      <c r="X3714">
        <v>0</v>
      </c>
    </row>
    <row r="3715" spans="1:24" x14ac:dyDescent="0.25">
      <c r="A3715" t="s">
        <v>1948</v>
      </c>
      <c r="B3715" t="s">
        <v>2206</v>
      </c>
      <c r="C3715" t="s">
        <v>2207</v>
      </c>
      <c r="D3715" t="s">
        <v>370</v>
      </c>
      <c r="E3715" t="s">
        <v>183</v>
      </c>
      <c r="F3715" t="s">
        <v>1</v>
      </c>
      <c r="G3715" t="s">
        <v>1195</v>
      </c>
      <c r="H3715" t="s">
        <v>754</v>
      </c>
      <c r="I3715" t="s">
        <v>1</v>
      </c>
      <c r="J3715">
        <v>130521.28</v>
      </c>
      <c r="K3715">
        <v>163247</v>
      </c>
      <c r="L3715">
        <v>55664.9</v>
      </c>
      <c r="M3715">
        <v>112252.4226519337</v>
      </c>
      <c r="N3715">
        <v>109270.99</v>
      </c>
      <c r="O3715">
        <v>111329.8</v>
      </c>
      <c r="P3715">
        <v>0</v>
      </c>
      <c r="Q3715">
        <f t="shared" si="750"/>
        <v>111329.8</v>
      </c>
      <c r="R3715">
        <v>111329.8</v>
      </c>
      <c r="S3715">
        <f t="shared" si="751"/>
        <v>0</v>
      </c>
      <c r="T3715">
        <v>0.03</v>
      </c>
      <c r="U3715">
        <f t="shared" si="752"/>
        <v>3339.8939999999998</v>
      </c>
      <c r="V3715">
        <f t="shared" si="753"/>
        <v>114669.694</v>
      </c>
      <c r="W3715">
        <f t="shared" si="754"/>
        <v>3339.8940000000002</v>
      </c>
      <c r="X3715">
        <v>0</v>
      </c>
    </row>
    <row r="3716" spans="1:24" x14ac:dyDescent="0.25">
      <c r="A3716" t="s">
        <v>1948</v>
      </c>
      <c r="B3716" t="s">
        <v>2206</v>
      </c>
      <c r="C3716" t="s">
        <v>2207</v>
      </c>
      <c r="D3716" t="s">
        <v>370</v>
      </c>
      <c r="E3716" t="s">
        <v>50</v>
      </c>
      <c r="F3716" t="s">
        <v>1</v>
      </c>
      <c r="G3716" t="s">
        <v>1195</v>
      </c>
      <c r="H3716" t="s">
        <v>450</v>
      </c>
      <c r="I3716" t="s">
        <v>1</v>
      </c>
      <c r="J3716">
        <v>3352.55</v>
      </c>
      <c r="K3716">
        <v>3270</v>
      </c>
      <c r="L3716">
        <v>1748.16</v>
      </c>
      <c r="M3716">
        <v>3525.2950276243096</v>
      </c>
      <c r="N3716">
        <v>3504.02</v>
      </c>
      <c r="O3716">
        <v>3525.2950276243</v>
      </c>
      <c r="P3716">
        <v>0</v>
      </c>
      <c r="Q3716">
        <f t="shared" si="750"/>
        <v>3525.2950276243</v>
      </c>
      <c r="R3716">
        <v>3525.2950276243</v>
      </c>
      <c r="S3716">
        <f t="shared" si="751"/>
        <v>0</v>
      </c>
      <c r="T3716"/>
      <c r="U3716">
        <f t="shared" si="752"/>
        <v>0</v>
      </c>
      <c r="V3716">
        <f t="shared" si="753"/>
        <v>3525.2950276243</v>
      </c>
      <c r="W3716">
        <f t="shared" si="754"/>
        <v>0</v>
      </c>
      <c r="X3716">
        <v>0</v>
      </c>
    </row>
    <row r="3717" spans="1:24" x14ac:dyDescent="0.25">
      <c r="A3717" t="s">
        <v>1948</v>
      </c>
      <c r="B3717" t="s">
        <v>2206</v>
      </c>
      <c r="C3717" t="s">
        <v>2207</v>
      </c>
      <c r="D3717" t="s">
        <v>370</v>
      </c>
      <c r="E3717" t="s">
        <v>51</v>
      </c>
      <c r="F3717" t="s">
        <v>51</v>
      </c>
      <c r="G3717" t="s">
        <v>1201</v>
      </c>
      <c r="H3717"/>
      <c r="I3717"/>
      <c r="J3717">
        <v>7008349.8499999987</v>
      </c>
      <c r="K3717">
        <v>6861684.1258339789</v>
      </c>
      <c r="L3717">
        <v>3614495.6</v>
      </c>
      <c r="M3717">
        <v>7288899.9668508274</v>
      </c>
      <c r="N3717">
        <v>7153229.7800000003</v>
      </c>
      <c r="O3717">
        <v>7285493.0819270201</v>
      </c>
      <c r="P3717">
        <f>SUMIF($F$3674:$F$3716,"&lt;&gt;EV_*",$P$3674:$P$3716)</f>
        <v>0</v>
      </c>
      <c r="Q3717">
        <f>SUMIF($F$3674:$F$3716,"&lt;&gt;EV_*",$Q$3674:$Q$3716)</f>
        <v>7285493.0819270201</v>
      </c>
      <c r="R3717">
        <f>SUMIF($F$3674:$F$3716,"&lt;&gt;EV_*",$R$3674:$R$3716)</f>
        <v>7359628.6501123151</v>
      </c>
      <c r="S3717">
        <f>SUMIF($F$3674:$F$3716,"&lt;&gt;EV_*",$S$3674:$S$3716)</f>
        <v>74135.568185295604</v>
      </c>
      <c r="T3717">
        <v>0</v>
      </c>
      <c r="U3717">
        <f>SUMIF($F$3674:$F$3716,"&lt;&gt;EV_*",$U$3674:$U$3716)</f>
        <v>283855.26171312266</v>
      </c>
      <c r="V3717">
        <f>SUMIF($F$3674:$F$3716,"&lt;&gt;EV_*",$V$3674:$V$3716)</f>
        <v>7643483.911825438</v>
      </c>
      <c r="W3717">
        <f>SUMIF($F$3674:$F$3716,"&lt;&gt;EV_*",$W$3674:$W$3716)</f>
        <v>357990.82989841828</v>
      </c>
      <c r="X3717">
        <f>SUMIF($F$3674:$F$3716,"&lt;&gt;EV_*",$X$3674:$X$3716)</f>
        <v>0</v>
      </c>
    </row>
    <row r="3718" spans="1:24" x14ac:dyDescent="0.25">
      <c r="A3718" t="s">
        <v>1948</v>
      </c>
      <c r="B3718" t="s">
        <v>2206</v>
      </c>
      <c r="C3718" t="s">
        <v>2208</v>
      </c>
      <c r="D3718" t="s">
        <v>376</v>
      </c>
      <c r="E3718" t="s">
        <v>5</v>
      </c>
      <c r="F3718" t="s">
        <v>5</v>
      </c>
      <c r="G3718" t="s">
        <v>1202</v>
      </c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</row>
    <row r="3719" spans="1:24" x14ac:dyDescent="0.25">
      <c r="A3719" t="s">
        <v>1948</v>
      </c>
      <c r="B3719" t="s">
        <v>2206</v>
      </c>
      <c r="C3719" t="s">
        <v>2208</v>
      </c>
      <c r="D3719" t="s">
        <v>376</v>
      </c>
      <c r="E3719" t="s">
        <v>11</v>
      </c>
      <c r="F3719" t="s">
        <v>1</v>
      </c>
      <c r="G3719" t="s">
        <v>1203</v>
      </c>
      <c r="H3719" t="s">
        <v>411</v>
      </c>
      <c r="I3719" t="s">
        <v>1</v>
      </c>
      <c r="J3719">
        <v>1918.52</v>
      </c>
      <c r="K3719">
        <v>1911.9999999996</v>
      </c>
      <c r="L3719">
        <v>963.62</v>
      </c>
      <c r="M3719">
        <v>1943.2116022099449</v>
      </c>
      <c r="N3719">
        <v>1927.0500000000002</v>
      </c>
      <c r="O3719">
        <v>1927.24</v>
      </c>
      <c r="P3719">
        <v>0</v>
      </c>
      <c r="Q3719">
        <f>O3719+P3719</f>
        <v>1927.24</v>
      </c>
      <c r="R3719">
        <v>1927.24</v>
      </c>
      <c r="S3719">
        <f>IF(OR(LEFT(E3719,2)="A_",LEFT(D3719,5)="Total"),R3719-Q3719,"")</f>
        <v>0</v>
      </c>
      <c r="T3719"/>
      <c r="U3719">
        <f>IFERROR(R3719*T3719,R3719*0)</f>
        <v>0</v>
      </c>
      <c r="V3719">
        <f>IF(OR(LEFT(E3719,2)="A_",LEFT(D3719,5)="Total"),R3719+U3719,"")</f>
        <v>1927.24</v>
      </c>
      <c r="W3719">
        <f>IF(OR(LEFT(E3719,2)="A_",LEFT(D3719,5)="Total"),V3719-Q3719,"")</f>
        <v>0</v>
      </c>
      <c r="X3719" t="s">
        <v>1381</v>
      </c>
    </row>
    <row r="3720" spans="1:24" x14ac:dyDescent="0.25">
      <c r="A3720" t="s">
        <v>1948</v>
      </c>
      <c r="B3720" t="s">
        <v>2206</v>
      </c>
      <c r="C3720" t="s">
        <v>2208</v>
      </c>
      <c r="D3720" t="s">
        <v>376</v>
      </c>
      <c r="E3720" t="s">
        <v>40</v>
      </c>
      <c r="F3720" t="s">
        <v>1</v>
      </c>
      <c r="G3720" t="s">
        <v>1203</v>
      </c>
      <c r="H3720" t="s">
        <v>440</v>
      </c>
      <c r="I3720" t="s">
        <v>1</v>
      </c>
      <c r="J3720"/>
      <c r="K3720"/>
      <c r="L3720">
        <v>1435</v>
      </c>
      <c r="M3720">
        <v>2893.7845303867402</v>
      </c>
      <c r="N3720">
        <v>1435</v>
      </c>
      <c r="O3720">
        <v>2870</v>
      </c>
      <c r="P3720">
        <v>0</v>
      </c>
      <c r="Q3720">
        <f>O3720+P3720</f>
        <v>2870</v>
      </c>
      <c r="R3720">
        <v>2870</v>
      </c>
      <c r="S3720">
        <f>IF(OR(LEFT(E3720,2)="A_",LEFT(D3720,5)="Total"),R3720-Q3720,"")</f>
        <v>0</v>
      </c>
      <c r="T3720">
        <v>0.03</v>
      </c>
      <c r="U3720">
        <f>IFERROR(R3720*T3720,R3720*0)</f>
        <v>86.1</v>
      </c>
      <c r="V3720">
        <f>IF(OR(LEFT(E3720,2)="A_",LEFT(D3720,5)="Total"),R3720+U3720,"")</f>
        <v>2956.1</v>
      </c>
      <c r="W3720">
        <f>IF(OR(LEFT(E3720,2)="A_",LEFT(D3720,5)="Total"),V3720-Q3720,"")</f>
        <v>86.099999999999909</v>
      </c>
      <c r="X3720" t="s">
        <v>1901</v>
      </c>
    </row>
    <row r="3721" spans="1:24" x14ac:dyDescent="0.25">
      <c r="A3721" t="s">
        <v>1948</v>
      </c>
      <c r="B3721" t="s">
        <v>2206</v>
      </c>
      <c r="C3721" t="s">
        <v>2208</v>
      </c>
      <c r="D3721" t="s">
        <v>376</v>
      </c>
      <c r="E3721" t="s">
        <v>51</v>
      </c>
      <c r="F3721" t="s">
        <v>51</v>
      </c>
      <c r="G3721" t="s">
        <v>1204</v>
      </c>
      <c r="H3721"/>
      <c r="I3721"/>
      <c r="J3721">
        <v>1918.52</v>
      </c>
      <c r="K3721">
        <v>1911.9999999996</v>
      </c>
      <c r="L3721">
        <v>2398.62</v>
      </c>
      <c r="M3721">
        <v>4836.9961325966851</v>
      </c>
      <c r="N3721">
        <v>3362.05</v>
      </c>
      <c r="O3721">
        <v>4797.24</v>
      </c>
      <c r="P3721">
        <f>SUMIF($F$3718:$F$3720,"&lt;&gt;EV_*",$P$3718:$P$3720)</f>
        <v>0</v>
      </c>
      <c r="Q3721">
        <f>SUMIF($F$3718:$F$3720,"&lt;&gt;EV_*",$Q$3718:$Q$3720)</f>
        <v>4797.24</v>
      </c>
      <c r="R3721">
        <f>SUMIF($F$3718:$F$3720,"&lt;&gt;EV_*",$R$3718:$R$3720)</f>
        <v>4797.24</v>
      </c>
      <c r="S3721">
        <f>SUMIF($F$3718:$F$3720,"&lt;&gt;EV_*",$S$3718:$S$3720)</f>
        <v>0</v>
      </c>
      <c r="T3721">
        <v>0</v>
      </c>
      <c r="U3721">
        <f>SUMIF($F$3718:$F$3720,"&lt;&gt;EV_*",$U$3718:$U$3720)</f>
        <v>86.1</v>
      </c>
      <c r="V3721">
        <f>SUMIF($F$3718:$F$3720,"&lt;&gt;EV_*",$V$3718:$V$3720)</f>
        <v>4883.34</v>
      </c>
      <c r="W3721">
        <f>SUMIF($F$3718:$F$3720,"&lt;&gt;EV_*",$W$3718:$W$3720)</f>
        <v>86.099999999999909</v>
      </c>
      <c r="X3721">
        <f>SUMIF($F$3718:$F$3720,"&lt;&gt;EV_*",$X$3718:$X$3720)</f>
        <v>0</v>
      </c>
    </row>
    <row r="3722" spans="1:24" x14ac:dyDescent="0.25">
      <c r="A3722" t="s">
        <v>1948</v>
      </c>
      <c r="B3722" t="s">
        <v>2206</v>
      </c>
      <c r="C3722" t="s">
        <v>2209</v>
      </c>
      <c r="D3722" t="s">
        <v>377</v>
      </c>
      <c r="E3722" t="s">
        <v>5</v>
      </c>
      <c r="F3722" t="s">
        <v>5</v>
      </c>
      <c r="G3722" t="s">
        <v>1205</v>
      </c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</row>
    <row r="3723" spans="1:24" x14ac:dyDescent="0.25">
      <c r="A3723" t="s">
        <v>1948</v>
      </c>
      <c r="B3723" t="s">
        <v>2206</v>
      </c>
      <c r="C3723" t="s">
        <v>2209</v>
      </c>
      <c r="D3723" t="s">
        <v>377</v>
      </c>
      <c r="E3723" t="s">
        <v>371</v>
      </c>
      <c r="F3723" t="s">
        <v>1</v>
      </c>
      <c r="G3723" t="s">
        <v>1206</v>
      </c>
      <c r="H3723" t="s">
        <v>1196</v>
      </c>
      <c r="I3723" t="s">
        <v>1</v>
      </c>
      <c r="J3723">
        <v>104529.05</v>
      </c>
      <c r="K3723">
        <v>42447.237500000003</v>
      </c>
      <c r="L3723">
        <v>7749.61</v>
      </c>
      <c r="M3723">
        <v>15627.666574585635</v>
      </c>
      <c r="N3723">
        <v>134267.29999999999</v>
      </c>
      <c r="O3723">
        <v>15627.666574585601</v>
      </c>
      <c r="P3723">
        <v>0</v>
      </c>
      <c r="Q3723">
        <f t="shared" ref="Q3723:Q3739" si="755">O3723+P3723</f>
        <v>15627.666574585601</v>
      </c>
      <c r="R3723">
        <v>15627.666574585601</v>
      </c>
      <c r="S3723">
        <f t="shared" ref="S3723:S3739" si="756">IF(OR(LEFT(E3723,2)="A_",LEFT(D3723,5)="Total"),R3723-Q3723,"")</f>
        <v>0</v>
      </c>
      <c r="T3723">
        <v>3.7499999999999999E-2</v>
      </c>
      <c r="U3723">
        <f t="shared" ref="U3723:U3739" si="757">IFERROR(R3723*T3723,R3723*0)</f>
        <v>586.03749654696003</v>
      </c>
      <c r="V3723">
        <f t="shared" ref="V3723:V3739" si="758">IF(OR(LEFT(E3723,2)="A_",LEFT(D3723,5)="Total"),R3723+U3723,"")</f>
        <v>16213.704071132561</v>
      </c>
      <c r="W3723">
        <f t="shared" ref="W3723:W3739" si="759">IF(OR(LEFT(E3723,2)="A_",LEFT(D3723,5)="Total"),V3723-Q3723,"")</f>
        <v>586.03749654696003</v>
      </c>
      <c r="X3723">
        <v>0</v>
      </c>
    </row>
    <row r="3724" spans="1:24" x14ac:dyDescent="0.25">
      <c r="A3724" t="s">
        <v>1948</v>
      </c>
      <c r="B3724" t="s">
        <v>2206</v>
      </c>
      <c r="C3724" t="s">
        <v>2209</v>
      </c>
      <c r="D3724" t="s">
        <v>377</v>
      </c>
      <c r="E3724" t="s">
        <v>225</v>
      </c>
      <c r="F3724" t="s">
        <v>1</v>
      </c>
      <c r="G3724" t="s">
        <v>1206</v>
      </c>
      <c r="H3724" t="s">
        <v>860</v>
      </c>
      <c r="I3724" t="s">
        <v>1</v>
      </c>
      <c r="J3724">
        <v>77848.7</v>
      </c>
      <c r="K3724">
        <v>81929.221999999994</v>
      </c>
      <c r="L3724">
        <v>0</v>
      </c>
      <c r="M3724">
        <v>0</v>
      </c>
      <c r="N3724">
        <v>40651.74</v>
      </c>
      <c r="O3724"/>
      <c r="P3724">
        <v>0</v>
      </c>
      <c r="Q3724">
        <f t="shared" si="755"/>
        <v>0</v>
      </c>
      <c r="R3724">
        <v>0</v>
      </c>
      <c r="S3724">
        <f t="shared" si="756"/>
        <v>0</v>
      </c>
      <c r="T3724">
        <v>3.6999999999999998E-2</v>
      </c>
      <c r="U3724">
        <f t="shared" si="757"/>
        <v>0</v>
      </c>
      <c r="V3724">
        <f t="shared" si="758"/>
        <v>0</v>
      </c>
      <c r="W3724">
        <f t="shared" si="759"/>
        <v>0</v>
      </c>
      <c r="X3724">
        <v>0</v>
      </c>
    </row>
    <row r="3725" spans="1:24" x14ac:dyDescent="0.25">
      <c r="A3725" t="s">
        <v>1948</v>
      </c>
      <c r="B3725" t="s">
        <v>2206</v>
      </c>
      <c r="C3725" t="s">
        <v>2209</v>
      </c>
      <c r="D3725" t="s">
        <v>377</v>
      </c>
      <c r="E3725" t="s">
        <v>99</v>
      </c>
      <c r="F3725" t="s">
        <v>1</v>
      </c>
      <c r="G3725" t="s">
        <v>1206</v>
      </c>
      <c r="H3725" t="s">
        <v>548</v>
      </c>
      <c r="I3725" t="s">
        <v>1</v>
      </c>
      <c r="J3725">
        <v>669245.59</v>
      </c>
      <c r="K3725">
        <v>683169.93500000006</v>
      </c>
      <c r="L3725">
        <v>280197.11</v>
      </c>
      <c r="M3725">
        <v>565038.37099447509</v>
      </c>
      <c r="N3725">
        <v>609099.53999999992</v>
      </c>
      <c r="O3725">
        <v>565038.37099447497</v>
      </c>
      <c r="P3725">
        <v>0</v>
      </c>
      <c r="Q3725">
        <f t="shared" si="755"/>
        <v>565038.37099447497</v>
      </c>
      <c r="R3725">
        <v>565038.37099447497</v>
      </c>
      <c r="S3725">
        <f t="shared" si="756"/>
        <v>0</v>
      </c>
      <c r="T3725">
        <v>3.5000000000000003E-2</v>
      </c>
      <c r="U3725">
        <f t="shared" si="757"/>
        <v>19776.342984806626</v>
      </c>
      <c r="V3725">
        <f t="shared" si="758"/>
        <v>584814.7139792816</v>
      </c>
      <c r="W3725">
        <f t="shared" si="759"/>
        <v>19776.34298480663</v>
      </c>
      <c r="X3725">
        <v>0</v>
      </c>
    </row>
    <row r="3726" spans="1:24" x14ac:dyDescent="0.25">
      <c r="A3726" t="s">
        <v>1948</v>
      </c>
      <c r="B3726" t="s">
        <v>2206</v>
      </c>
      <c r="C3726" t="s">
        <v>2209</v>
      </c>
      <c r="D3726" t="s">
        <v>377</v>
      </c>
      <c r="E3726" t="s">
        <v>372</v>
      </c>
      <c r="F3726" t="s">
        <v>1</v>
      </c>
      <c r="G3726" t="s">
        <v>1206</v>
      </c>
      <c r="H3726" t="s">
        <v>1197</v>
      </c>
      <c r="I3726" t="s">
        <v>1</v>
      </c>
      <c r="J3726">
        <v>51451.45</v>
      </c>
      <c r="K3726">
        <v>37928.85</v>
      </c>
      <c r="L3726">
        <v>21529.02</v>
      </c>
      <c r="M3726">
        <v>43414.874585635356</v>
      </c>
      <c r="N3726">
        <v>48324.12</v>
      </c>
      <c r="O3726">
        <v>43414.8745856354</v>
      </c>
      <c r="P3726">
        <v>0</v>
      </c>
      <c r="Q3726">
        <f t="shared" si="755"/>
        <v>43414.8745856354</v>
      </c>
      <c r="R3726">
        <v>43414.8745856354</v>
      </c>
      <c r="S3726">
        <f t="shared" si="756"/>
        <v>0</v>
      </c>
      <c r="T3726">
        <v>3.5000000000000003E-2</v>
      </c>
      <c r="U3726">
        <f t="shared" si="757"/>
        <v>1519.5206104972392</v>
      </c>
      <c r="V3726">
        <f t="shared" si="758"/>
        <v>44934.395196132638</v>
      </c>
      <c r="W3726">
        <f t="shared" si="759"/>
        <v>1519.5206104972385</v>
      </c>
      <c r="X3726">
        <v>0</v>
      </c>
    </row>
    <row r="3727" spans="1:24" x14ac:dyDescent="0.25">
      <c r="A3727" t="s">
        <v>1948</v>
      </c>
      <c r="B3727" t="s">
        <v>2206</v>
      </c>
      <c r="C3727" t="s">
        <v>2209</v>
      </c>
      <c r="D3727" t="s">
        <v>377</v>
      </c>
      <c r="E3727" t="s">
        <v>178</v>
      </c>
      <c r="F3727" t="s">
        <v>1</v>
      </c>
      <c r="G3727" t="s">
        <v>1206</v>
      </c>
      <c r="H3727" t="s">
        <v>743</v>
      </c>
      <c r="I3727" t="s">
        <v>1</v>
      </c>
      <c r="J3727">
        <v>944799.9</v>
      </c>
      <c r="K3727">
        <v>986752.44</v>
      </c>
      <c r="L3727">
        <v>31124.22</v>
      </c>
      <c r="M3727">
        <v>62764.311049723765</v>
      </c>
      <c r="N3727">
        <v>522479.6</v>
      </c>
      <c r="O3727">
        <v>62764.311049723801</v>
      </c>
      <c r="P3727">
        <v>0</v>
      </c>
      <c r="Q3727">
        <f t="shared" si="755"/>
        <v>62764.311049723801</v>
      </c>
      <c r="R3727">
        <v>62764.311049723801</v>
      </c>
      <c r="S3727">
        <f t="shared" si="756"/>
        <v>0</v>
      </c>
      <c r="T3727">
        <v>3.5000000000000003E-2</v>
      </c>
      <c r="U3727">
        <f t="shared" si="757"/>
        <v>2196.750886740333</v>
      </c>
      <c r="V3727">
        <f t="shared" si="758"/>
        <v>64961.061936464132</v>
      </c>
      <c r="W3727">
        <f t="shared" si="759"/>
        <v>2196.7508867403303</v>
      </c>
      <c r="X3727">
        <v>0</v>
      </c>
    </row>
    <row r="3728" spans="1:24" x14ac:dyDescent="0.25">
      <c r="A3728" t="s">
        <v>1948</v>
      </c>
      <c r="B3728" t="s">
        <v>2206</v>
      </c>
      <c r="C3728" t="s">
        <v>2209</v>
      </c>
      <c r="D3728" t="s">
        <v>377</v>
      </c>
      <c r="E3728" t="s">
        <v>373</v>
      </c>
      <c r="F3728" t="s">
        <v>1</v>
      </c>
      <c r="G3728" t="s">
        <v>1206</v>
      </c>
      <c r="H3728" t="s">
        <v>1198</v>
      </c>
      <c r="I3728" t="s">
        <v>1</v>
      </c>
      <c r="J3728">
        <v>132594.39000000001</v>
      </c>
      <c r="K3728">
        <v>84648.719999999899</v>
      </c>
      <c r="L3728">
        <v>16879.78</v>
      </c>
      <c r="M3728">
        <v>34039.335359116019</v>
      </c>
      <c r="N3728">
        <v>111141.64</v>
      </c>
      <c r="O3728">
        <v>34039.335359115998</v>
      </c>
      <c r="P3728">
        <v>0</v>
      </c>
      <c r="Q3728">
        <f t="shared" si="755"/>
        <v>34039.335359115998</v>
      </c>
      <c r="R3728">
        <v>34039.335359115998</v>
      </c>
      <c r="S3728">
        <f t="shared" si="756"/>
        <v>0</v>
      </c>
      <c r="T3728">
        <v>0.04</v>
      </c>
      <c r="U3728">
        <f t="shared" si="757"/>
        <v>1361.57341436464</v>
      </c>
      <c r="V3728">
        <f t="shared" si="758"/>
        <v>35400.908773480638</v>
      </c>
      <c r="W3728">
        <f t="shared" si="759"/>
        <v>1361.5734143646405</v>
      </c>
      <c r="X3728">
        <v>0</v>
      </c>
    </row>
    <row r="3729" spans="1:24" x14ac:dyDescent="0.25">
      <c r="A3729" t="s">
        <v>1948</v>
      </c>
      <c r="B3729" t="s">
        <v>2206</v>
      </c>
      <c r="C3729" t="s">
        <v>2209</v>
      </c>
      <c r="D3729" t="s">
        <v>377</v>
      </c>
      <c r="E3729" t="s">
        <v>149</v>
      </c>
      <c r="F3729" t="s">
        <v>1</v>
      </c>
      <c r="G3729" t="s">
        <v>1206</v>
      </c>
      <c r="H3729" t="s">
        <v>660</v>
      </c>
      <c r="I3729" t="s">
        <v>1</v>
      </c>
      <c r="J3729">
        <v>94347.99</v>
      </c>
      <c r="K3729">
        <v>56272.070000000298</v>
      </c>
      <c r="L3729">
        <v>64115.25</v>
      </c>
      <c r="M3729">
        <v>129293.18370165746</v>
      </c>
      <c r="N3729">
        <v>129190.44</v>
      </c>
      <c r="O3729">
        <v>129293.18370165701</v>
      </c>
      <c r="P3729">
        <v>0</v>
      </c>
      <c r="Q3729">
        <f t="shared" si="755"/>
        <v>129293.18370165701</v>
      </c>
      <c r="R3729">
        <v>129293.18370165701</v>
      </c>
      <c r="S3729">
        <f t="shared" si="756"/>
        <v>0</v>
      </c>
      <c r="T3729">
        <v>0.02</v>
      </c>
      <c r="U3729">
        <f t="shared" si="757"/>
        <v>2585.8636740331403</v>
      </c>
      <c r="V3729">
        <f t="shared" si="758"/>
        <v>131879.04737569013</v>
      </c>
      <c r="W3729">
        <f t="shared" si="759"/>
        <v>2585.8636740331276</v>
      </c>
      <c r="X3729">
        <v>0</v>
      </c>
    </row>
    <row r="3730" spans="1:24" x14ac:dyDescent="0.25">
      <c r="A3730" t="s">
        <v>1948</v>
      </c>
      <c r="B3730" t="s">
        <v>2206</v>
      </c>
      <c r="C3730" t="s">
        <v>2209</v>
      </c>
      <c r="D3730" t="s">
        <v>377</v>
      </c>
      <c r="E3730" t="s">
        <v>8</v>
      </c>
      <c r="F3730" t="s">
        <v>1</v>
      </c>
      <c r="G3730" t="s">
        <v>1206</v>
      </c>
      <c r="H3730" t="s">
        <v>408</v>
      </c>
      <c r="I3730" t="s">
        <v>1</v>
      </c>
      <c r="J3730">
        <v>-1633709.9</v>
      </c>
      <c r="K3730">
        <v>-1805065.4342541399</v>
      </c>
      <c r="L3730">
        <v>0</v>
      </c>
      <c r="M3730">
        <v>0</v>
      </c>
      <c r="N3730">
        <v>-738595.26</v>
      </c>
      <c r="O3730"/>
      <c r="P3730">
        <v>0</v>
      </c>
      <c r="Q3730">
        <f t="shared" si="755"/>
        <v>0</v>
      </c>
      <c r="R3730">
        <v>0</v>
      </c>
      <c r="S3730">
        <f t="shared" si="756"/>
        <v>0</v>
      </c>
      <c r="T3730"/>
      <c r="U3730">
        <f t="shared" si="757"/>
        <v>0</v>
      </c>
      <c r="V3730">
        <f t="shared" si="758"/>
        <v>0</v>
      </c>
      <c r="W3730">
        <f t="shared" si="759"/>
        <v>0</v>
      </c>
      <c r="X3730">
        <v>0</v>
      </c>
    </row>
    <row r="3731" spans="1:24" x14ac:dyDescent="0.25">
      <c r="A3731" t="s">
        <v>1948</v>
      </c>
      <c r="B3731" t="s">
        <v>2206</v>
      </c>
      <c r="C3731" t="s">
        <v>2209</v>
      </c>
      <c r="D3731" t="s">
        <v>377</v>
      </c>
      <c r="E3731" t="s">
        <v>374</v>
      </c>
      <c r="F3731" t="s">
        <v>1</v>
      </c>
      <c r="G3731" t="s">
        <v>1206</v>
      </c>
      <c r="H3731" t="s">
        <v>1199</v>
      </c>
      <c r="I3731" t="s">
        <v>1</v>
      </c>
      <c r="J3731">
        <v>90809.79</v>
      </c>
      <c r="K3731">
        <v>124717.84</v>
      </c>
      <c r="L3731">
        <v>0</v>
      </c>
      <c r="M3731">
        <v>0</v>
      </c>
      <c r="N3731">
        <v>32082.87</v>
      </c>
      <c r="O3731"/>
      <c r="P3731">
        <v>0</v>
      </c>
      <c r="Q3731">
        <f t="shared" si="755"/>
        <v>0</v>
      </c>
      <c r="R3731">
        <v>0</v>
      </c>
      <c r="S3731">
        <f t="shared" si="756"/>
        <v>0</v>
      </c>
      <c r="T3731">
        <v>0.04</v>
      </c>
      <c r="U3731">
        <f t="shared" si="757"/>
        <v>0</v>
      </c>
      <c r="V3731">
        <f t="shared" si="758"/>
        <v>0</v>
      </c>
      <c r="W3731">
        <f t="shared" si="759"/>
        <v>0</v>
      </c>
      <c r="X3731">
        <v>0</v>
      </c>
    </row>
    <row r="3732" spans="1:24" x14ac:dyDescent="0.25">
      <c r="A3732" t="s">
        <v>1948</v>
      </c>
      <c r="B3732" t="s">
        <v>2206</v>
      </c>
      <c r="C3732" t="s">
        <v>2209</v>
      </c>
      <c r="D3732" t="s">
        <v>377</v>
      </c>
      <c r="E3732" t="s">
        <v>375</v>
      </c>
      <c r="F3732" t="s">
        <v>1</v>
      </c>
      <c r="G3732" t="s">
        <v>1206</v>
      </c>
      <c r="H3732" t="s">
        <v>1200</v>
      </c>
      <c r="I3732" t="s">
        <v>1</v>
      </c>
      <c r="J3732">
        <v>-14936.5</v>
      </c>
      <c r="K3732">
        <v>-6182.9999999999</v>
      </c>
      <c r="L3732">
        <v>-856.29</v>
      </c>
      <c r="M3732">
        <v>-1726.7726519337016</v>
      </c>
      <c r="N3732">
        <v>-13217.02</v>
      </c>
      <c r="O3732">
        <v>-1726.7726519337</v>
      </c>
      <c r="P3732">
        <v>0</v>
      </c>
      <c r="Q3732">
        <f t="shared" si="755"/>
        <v>-1726.7726519337</v>
      </c>
      <c r="R3732">
        <v>0</v>
      </c>
      <c r="S3732">
        <f t="shared" si="756"/>
        <v>1726.7726519337</v>
      </c>
      <c r="T3732"/>
      <c r="U3732">
        <f t="shared" si="757"/>
        <v>0</v>
      </c>
      <c r="V3732">
        <f t="shared" si="758"/>
        <v>0</v>
      </c>
      <c r="W3732">
        <f t="shared" si="759"/>
        <v>1726.7726519337</v>
      </c>
      <c r="X3732">
        <v>0</v>
      </c>
    </row>
    <row r="3733" spans="1:24" x14ac:dyDescent="0.25">
      <c r="A3733" t="s">
        <v>1948</v>
      </c>
      <c r="B3733" t="s">
        <v>2206</v>
      </c>
      <c r="C3733" t="s">
        <v>2209</v>
      </c>
      <c r="D3733" t="s">
        <v>377</v>
      </c>
      <c r="E3733" t="s">
        <v>11</v>
      </c>
      <c r="F3733" t="s">
        <v>1</v>
      </c>
      <c r="G3733" t="s">
        <v>1206</v>
      </c>
      <c r="H3733" t="s">
        <v>411</v>
      </c>
      <c r="I3733" t="s">
        <v>1</v>
      </c>
      <c r="J3733">
        <v>13.55</v>
      </c>
      <c r="K3733">
        <v>24</v>
      </c>
      <c r="L3733">
        <v>0</v>
      </c>
      <c r="M3733">
        <v>0</v>
      </c>
      <c r="N3733">
        <v>0</v>
      </c>
      <c r="O3733"/>
      <c r="P3733">
        <v>0</v>
      </c>
      <c r="Q3733">
        <f t="shared" si="755"/>
        <v>0</v>
      </c>
      <c r="R3733">
        <v>0</v>
      </c>
      <c r="S3733">
        <f t="shared" si="756"/>
        <v>0</v>
      </c>
      <c r="T3733"/>
      <c r="U3733">
        <f t="shared" si="757"/>
        <v>0</v>
      </c>
      <c r="V3733">
        <f t="shared" si="758"/>
        <v>0</v>
      </c>
      <c r="W3733">
        <f t="shared" si="759"/>
        <v>0</v>
      </c>
      <c r="X3733">
        <v>0</v>
      </c>
    </row>
    <row r="3734" spans="1:24" x14ac:dyDescent="0.25">
      <c r="A3734" t="s">
        <v>1948</v>
      </c>
      <c r="B3734" t="s">
        <v>2206</v>
      </c>
      <c r="C3734" t="s">
        <v>2209</v>
      </c>
      <c r="D3734" t="s">
        <v>377</v>
      </c>
      <c r="E3734" t="s">
        <v>18</v>
      </c>
      <c r="F3734" t="s">
        <v>1</v>
      </c>
      <c r="G3734" t="s">
        <v>1206</v>
      </c>
      <c r="H3734" t="s">
        <v>418</v>
      </c>
      <c r="I3734" t="s">
        <v>1</v>
      </c>
      <c r="J3734"/>
      <c r="K3734"/>
      <c r="L3734">
        <v>73</v>
      </c>
      <c r="M3734">
        <v>147.20994475138122</v>
      </c>
      <c r="N3734">
        <v>73</v>
      </c>
      <c r="O3734">
        <v>146.8021978022</v>
      </c>
      <c r="P3734">
        <v>0</v>
      </c>
      <c r="Q3734">
        <f t="shared" si="755"/>
        <v>146.8021978022</v>
      </c>
      <c r="R3734">
        <v>0</v>
      </c>
      <c r="S3734">
        <f t="shared" si="756"/>
        <v>-146.8021978022</v>
      </c>
      <c r="T3734">
        <v>0.02</v>
      </c>
      <c r="U3734">
        <f t="shared" si="757"/>
        <v>0</v>
      </c>
      <c r="V3734">
        <f t="shared" si="758"/>
        <v>0</v>
      </c>
      <c r="W3734">
        <f t="shared" si="759"/>
        <v>-146.8021978022</v>
      </c>
      <c r="X3734">
        <v>0</v>
      </c>
    </row>
    <row r="3735" spans="1:24" x14ac:dyDescent="0.25">
      <c r="A3735" t="s">
        <v>1948</v>
      </c>
      <c r="B3735" t="s">
        <v>2206</v>
      </c>
      <c r="C3735" t="s">
        <v>2209</v>
      </c>
      <c r="D3735" t="s">
        <v>377</v>
      </c>
      <c r="E3735" t="s">
        <v>21</v>
      </c>
      <c r="F3735" t="s">
        <v>1</v>
      </c>
      <c r="G3735" t="s">
        <v>1206</v>
      </c>
      <c r="H3735" t="s">
        <v>421</v>
      </c>
      <c r="I3735" t="s">
        <v>1</v>
      </c>
      <c r="J3735">
        <v>13513.69</v>
      </c>
      <c r="K3735">
        <v>4924.3100000001996</v>
      </c>
      <c r="L3735">
        <v>8501.91</v>
      </c>
      <c r="M3735">
        <v>17144.735635359113</v>
      </c>
      <c r="N3735">
        <v>19573.84</v>
      </c>
      <c r="O3735">
        <v>17144.735635359099</v>
      </c>
      <c r="P3735">
        <v>0</v>
      </c>
      <c r="Q3735">
        <f t="shared" si="755"/>
        <v>17144.735635359099</v>
      </c>
      <c r="R3735">
        <v>17144.735635359099</v>
      </c>
      <c r="S3735">
        <f t="shared" si="756"/>
        <v>0</v>
      </c>
      <c r="T3735">
        <v>0.03</v>
      </c>
      <c r="U3735">
        <f t="shared" si="757"/>
        <v>514.34206906077293</v>
      </c>
      <c r="V3735">
        <f t="shared" si="758"/>
        <v>17659.077704419873</v>
      </c>
      <c r="W3735">
        <f t="shared" si="759"/>
        <v>514.34206906077452</v>
      </c>
      <c r="X3735">
        <v>0</v>
      </c>
    </row>
    <row r="3736" spans="1:24" x14ac:dyDescent="0.25">
      <c r="A3736" t="s">
        <v>1948</v>
      </c>
      <c r="B3736" t="s">
        <v>2206</v>
      </c>
      <c r="C3736" t="s">
        <v>2209</v>
      </c>
      <c r="D3736" t="s">
        <v>377</v>
      </c>
      <c r="E3736" t="s">
        <v>22</v>
      </c>
      <c r="F3736" t="s">
        <v>1</v>
      </c>
      <c r="G3736" t="s">
        <v>1206</v>
      </c>
      <c r="H3736" t="s">
        <v>422</v>
      </c>
      <c r="I3736" t="s">
        <v>1</v>
      </c>
      <c r="J3736">
        <v>7524.7</v>
      </c>
      <c r="K3736">
        <v>9428.8500000001004</v>
      </c>
      <c r="L3736">
        <v>0</v>
      </c>
      <c r="M3736">
        <v>0</v>
      </c>
      <c r="N3736">
        <v>2969.9999999999995</v>
      </c>
      <c r="O3736"/>
      <c r="P3736">
        <v>0</v>
      </c>
      <c r="Q3736">
        <f t="shared" si="755"/>
        <v>0</v>
      </c>
      <c r="R3736">
        <v>0</v>
      </c>
      <c r="S3736">
        <f t="shared" si="756"/>
        <v>0</v>
      </c>
      <c r="T3736">
        <v>3.5000000000000003E-2</v>
      </c>
      <c r="U3736">
        <f t="shared" si="757"/>
        <v>0</v>
      </c>
      <c r="V3736">
        <f t="shared" si="758"/>
        <v>0</v>
      </c>
      <c r="W3736">
        <f t="shared" si="759"/>
        <v>0</v>
      </c>
      <c r="X3736">
        <v>0</v>
      </c>
    </row>
    <row r="3737" spans="1:24" x14ac:dyDescent="0.25">
      <c r="A3737" t="s">
        <v>1948</v>
      </c>
      <c r="B3737" t="s">
        <v>2206</v>
      </c>
      <c r="C3737" t="s">
        <v>2209</v>
      </c>
      <c r="D3737" t="s">
        <v>377</v>
      </c>
      <c r="E3737" t="s">
        <v>23</v>
      </c>
      <c r="F3737" t="s">
        <v>1</v>
      </c>
      <c r="G3737" t="s">
        <v>1206</v>
      </c>
      <c r="H3737" t="s">
        <v>423</v>
      </c>
      <c r="I3737" t="s">
        <v>1</v>
      </c>
      <c r="J3737">
        <v>63.95</v>
      </c>
      <c r="K3737">
        <v>134.54999999980001</v>
      </c>
      <c r="L3737">
        <v>0</v>
      </c>
      <c r="M3737">
        <v>0</v>
      </c>
      <c r="N3737">
        <v>0</v>
      </c>
      <c r="O3737"/>
      <c r="P3737">
        <v>0</v>
      </c>
      <c r="Q3737">
        <f t="shared" si="755"/>
        <v>0</v>
      </c>
      <c r="R3737">
        <v>0</v>
      </c>
      <c r="S3737">
        <f t="shared" si="756"/>
        <v>0</v>
      </c>
      <c r="T3737">
        <v>3.5000000000000003E-2</v>
      </c>
      <c r="U3737">
        <f t="shared" si="757"/>
        <v>0</v>
      </c>
      <c r="V3737">
        <f t="shared" si="758"/>
        <v>0</v>
      </c>
      <c r="W3737">
        <f t="shared" si="759"/>
        <v>0</v>
      </c>
      <c r="X3737">
        <v>0</v>
      </c>
    </row>
    <row r="3738" spans="1:24" x14ac:dyDescent="0.25">
      <c r="A3738" t="s">
        <v>1948</v>
      </c>
      <c r="B3738" t="s">
        <v>2206</v>
      </c>
      <c r="C3738" t="s">
        <v>2209</v>
      </c>
      <c r="D3738" t="s">
        <v>377</v>
      </c>
      <c r="E3738" t="s">
        <v>28</v>
      </c>
      <c r="F3738" t="s">
        <v>1</v>
      </c>
      <c r="G3738" t="s">
        <v>1206</v>
      </c>
      <c r="H3738" t="s">
        <v>428</v>
      </c>
      <c r="I3738" t="s">
        <v>1</v>
      </c>
      <c r="J3738">
        <v>1650.57</v>
      </c>
      <c r="K3738">
        <v>1920.9800000004</v>
      </c>
      <c r="L3738">
        <v>0</v>
      </c>
      <c r="M3738">
        <v>0</v>
      </c>
      <c r="N3738">
        <v>1166.46</v>
      </c>
      <c r="O3738"/>
      <c r="P3738">
        <v>0</v>
      </c>
      <c r="Q3738">
        <f t="shared" si="755"/>
        <v>0</v>
      </c>
      <c r="R3738">
        <v>0</v>
      </c>
      <c r="S3738">
        <f t="shared" si="756"/>
        <v>0</v>
      </c>
      <c r="T3738"/>
      <c r="U3738">
        <f t="shared" si="757"/>
        <v>0</v>
      </c>
      <c r="V3738">
        <f t="shared" si="758"/>
        <v>0</v>
      </c>
      <c r="W3738">
        <f t="shared" si="759"/>
        <v>0</v>
      </c>
      <c r="X3738">
        <v>0</v>
      </c>
    </row>
    <row r="3739" spans="1:24" x14ac:dyDescent="0.25">
      <c r="A3739" t="s">
        <v>1948</v>
      </c>
      <c r="B3739" t="s">
        <v>2206</v>
      </c>
      <c r="C3739" t="s">
        <v>2209</v>
      </c>
      <c r="D3739" t="s">
        <v>377</v>
      </c>
      <c r="E3739" t="s">
        <v>41</v>
      </c>
      <c r="F3739" t="s">
        <v>1</v>
      </c>
      <c r="G3739" t="s">
        <v>1206</v>
      </c>
      <c r="H3739" t="s">
        <v>441</v>
      </c>
      <c r="I3739" t="s">
        <v>1</v>
      </c>
      <c r="J3739">
        <v>1531.55</v>
      </c>
      <c r="K3739">
        <v>1438.8117058152</v>
      </c>
      <c r="L3739">
        <v>1092.48</v>
      </c>
      <c r="M3739">
        <v>2203.0674033149171</v>
      </c>
      <c r="N3739">
        <v>1891.57</v>
      </c>
      <c r="O3739">
        <v>2184.96</v>
      </c>
      <c r="P3739">
        <v>0</v>
      </c>
      <c r="Q3739">
        <f t="shared" si="755"/>
        <v>2184.96</v>
      </c>
      <c r="R3739">
        <v>2184.96</v>
      </c>
      <c r="S3739">
        <f t="shared" si="756"/>
        <v>0</v>
      </c>
      <c r="T3739">
        <v>0.03</v>
      </c>
      <c r="U3739">
        <f t="shared" si="757"/>
        <v>65.5488</v>
      </c>
      <c r="V3739">
        <f t="shared" si="758"/>
        <v>2250.5088000000001</v>
      </c>
      <c r="W3739">
        <f t="shared" si="759"/>
        <v>65.548800000000028</v>
      </c>
      <c r="X3739">
        <v>0</v>
      </c>
    </row>
    <row r="3740" spans="1:24" x14ac:dyDescent="0.25">
      <c r="A3740" t="s">
        <v>1948</v>
      </c>
      <c r="B3740" t="s">
        <v>2206</v>
      </c>
      <c r="C3740" t="s">
        <v>2209</v>
      </c>
      <c r="D3740" t="s">
        <v>377</v>
      </c>
      <c r="E3740" t="s">
        <v>51</v>
      </c>
      <c r="F3740" t="s">
        <v>51</v>
      </c>
      <c r="G3740" t="s">
        <v>1207</v>
      </c>
      <c r="H3740"/>
      <c r="I3740"/>
      <c r="J3740">
        <v>541278.47000000009</v>
      </c>
      <c r="K3740">
        <v>304489.3819516761</v>
      </c>
      <c r="L3740">
        <v>430406.08999999997</v>
      </c>
      <c r="M3740">
        <v>867945.98259668483</v>
      </c>
      <c r="N3740">
        <v>901099.8399999995</v>
      </c>
      <c r="O3740">
        <v>867927.46744642023</v>
      </c>
      <c r="P3740">
        <f>SUMIF($F$3722:$F$3739,"&lt;&gt;EV_*",$P$3722:$P$3739)</f>
        <v>0</v>
      </c>
      <c r="Q3740">
        <f>SUMIF($F$3722:$F$3739,"&lt;&gt;EV_*",$Q$3722:$Q$3739)</f>
        <v>867927.46744642023</v>
      </c>
      <c r="R3740">
        <f>SUMIF($F$3722:$F$3739,"&lt;&gt;EV_*",$R$3722:$R$3739)</f>
        <v>869507.43790055171</v>
      </c>
      <c r="S3740">
        <f>SUMIF($F$3722:$F$3739,"&lt;&gt;EV_*",$S$3722:$S$3739)</f>
        <v>1579.9704541315</v>
      </c>
      <c r="T3740">
        <v>0</v>
      </c>
      <c r="U3740">
        <f>SUMIF($F$3722:$F$3739,"&lt;&gt;EV_*",$U$3722:$U$3739)</f>
        <v>28605.979936049716</v>
      </c>
      <c r="V3740">
        <f>SUMIF($F$3722:$F$3739,"&lt;&gt;EV_*",$V$3722:$V$3739)</f>
        <v>898113.41783660161</v>
      </c>
      <c r="W3740">
        <f>SUMIF($F$3722:$F$3739,"&lt;&gt;EV_*",$W$3722:$W$3739)</f>
        <v>30185.950390181202</v>
      </c>
      <c r="X3740">
        <f>SUMIF($F$3722:$F$3739,"&lt;&gt;EV_*",$X$3722:$X$3739)</f>
        <v>0</v>
      </c>
    </row>
    <row r="3741" spans="1:24" x14ac:dyDescent="0.25">
      <c r="A3741" t="s">
        <v>1948</v>
      </c>
      <c r="B3741" t="s">
        <v>2206</v>
      </c>
      <c r="C3741" t="s">
        <v>2210</v>
      </c>
      <c r="D3741" t="s">
        <v>378</v>
      </c>
      <c r="E3741" t="s">
        <v>5</v>
      </c>
      <c r="F3741" t="s">
        <v>5</v>
      </c>
      <c r="G3741" t="s">
        <v>1208</v>
      </c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</row>
    <row r="3742" spans="1:24" x14ac:dyDescent="0.25">
      <c r="A3742" t="s">
        <v>1948</v>
      </c>
      <c r="B3742" t="s">
        <v>2206</v>
      </c>
      <c r="C3742" t="s">
        <v>2210</v>
      </c>
      <c r="D3742" t="s">
        <v>378</v>
      </c>
      <c r="E3742" t="s">
        <v>21</v>
      </c>
      <c r="F3742" t="s">
        <v>1</v>
      </c>
      <c r="G3742" t="s">
        <v>1209</v>
      </c>
      <c r="H3742" t="s">
        <v>421</v>
      </c>
      <c r="I3742" t="s">
        <v>1</v>
      </c>
      <c r="J3742"/>
      <c r="K3742"/>
      <c r="L3742">
        <v>6100.75</v>
      </c>
      <c r="M3742">
        <v>12302.617403314916</v>
      </c>
      <c r="N3742">
        <v>6100.7500000000009</v>
      </c>
      <c r="O3742">
        <v>12302.6174033149</v>
      </c>
      <c r="P3742">
        <v>0</v>
      </c>
      <c r="Q3742">
        <f>O3742+P3742</f>
        <v>12302.6174033149</v>
      </c>
      <c r="R3742">
        <v>0</v>
      </c>
      <c r="S3742">
        <f>IF(OR(LEFT(E3742,2)="A_",LEFT(D3742,5)="Total"),R3742-Q3742,"")</f>
        <v>-12302.6174033149</v>
      </c>
      <c r="T3742">
        <v>0.03</v>
      </c>
      <c r="U3742">
        <f>IFERROR(R3742*T3742,R3742*0)</f>
        <v>0</v>
      </c>
      <c r="V3742">
        <f>IF(OR(LEFT(E3742,2)="A_",LEFT(D3742,5)="Total"),R3742+U3742,"")</f>
        <v>0</v>
      </c>
      <c r="W3742">
        <f>IF(OR(LEFT(E3742,2)="A_",LEFT(D3742,5)="Total"),V3742-Q3742,"")</f>
        <v>-12302.6174033149</v>
      </c>
      <c r="X3742">
        <v>0</v>
      </c>
    </row>
    <row r="3743" spans="1:24" x14ac:dyDescent="0.25">
      <c r="A3743" t="s">
        <v>1948</v>
      </c>
      <c r="B3743" t="s">
        <v>2206</v>
      </c>
      <c r="C3743" t="s">
        <v>2210</v>
      </c>
      <c r="D3743" t="s">
        <v>378</v>
      </c>
      <c r="E3743" t="s">
        <v>22</v>
      </c>
      <c r="F3743" t="s">
        <v>1</v>
      </c>
      <c r="G3743" t="s">
        <v>1209</v>
      </c>
      <c r="H3743" t="s">
        <v>422</v>
      </c>
      <c r="I3743" t="s">
        <v>1</v>
      </c>
      <c r="J3743">
        <v>222.35</v>
      </c>
      <c r="K3743"/>
      <c r="L3743">
        <v>1035.3399999999999</v>
      </c>
      <c r="M3743">
        <v>2087.8403314917123</v>
      </c>
      <c r="N3743">
        <v>1257.69</v>
      </c>
      <c r="O3743">
        <v>2087.8403314917</v>
      </c>
      <c r="P3743">
        <v>0</v>
      </c>
      <c r="Q3743">
        <f>O3743+P3743</f>
        <v>2087.8403314917</v>
      </c>
      <c r="R3743">
        <v>0</v>
      </c>
      <c r="S3743">
        <f>IF(OR(LEFT(E3743,2)="A_",LEFT(D3743,5)="Total"),R3743-Q3743,"")</f>
        <v>-2087.8403314917</v>
      </c>
      <c r="T3743">
        <v>3.5000000000000003E-2</v>
      </c>
      <c r="U3743">
        <f>IFERROR(R3743*T3743,R3743*0)</f>
        <v>0</v>
      </c>
      <c r="V3743">
        <f>IF(OR(LEFT(E3743,2)="A_",LEFT(D3743,5)="Total"),R3743+U3743,"")</f>
        <v>0</v>
      </c>
      <c r="W3743">
        <f>IF(OR(LEFT(E3743,2)="A_",LEFT(D3743,5)="Total"),V3743-Q3743,"")</f>
        <v>-2087.8403314917</v>
      </c>
      <c r="X3743">
        <v>0</v>
      </c>
    </row>
    <row r="3744" spans="1:24" x14ac:dyDescent="0.25">
      <c r="A3744" t="s">
        <v>1948</v>
      </c>
      <c r="B3744" t="s">
        <v>2206</v>
      </c>
      <c r="C3744" t="s">
        <v>2210</v>
      </c>
      <c r="D3744" t="s">
        <v>378</v>
      </c>
      <c r="E3744" t="s">
        <v>28</v>
      </c>
      <c r="F3744" t="s">
        <v>1</v>
      </c>
      <c r="G3744" t="s">
        <v>1209</v>
      </c>
      <c r="H3744" t="s">
        <v>428</v>
      </c>
      <c r="I3744" t="s">
        <v>1</v>
      </c>
      <c r="J3744"/>
      <c r="K3744"/>
      <c r="L3744">
        <v>95.97</v>
      </c>
      <c r="M3744">
        <v>193.53066298342543</v>
      </c>
      <c r="N3744">
        <v>95.97</v>
      </c>
      <c r="O3744">
        <v>191.94</v>
      </c>
      <c r="P3744">
        <v>0</v>
      </c>
      <c r="Q3744">
        <f>O3744+P3744</f>
        <v>191.94</v>
      </c>
      <c r="R3744">
        <v>0</v>
      </c>
      <c r="S3744">
        <f>IF(OR(LEFT(E3744,2)="A_",LEFT(D3744,5)="Total"),R3744-Q3744,"")</f>
        <v>-191.94</v>
      </c>
      <c r="T3744"/>
      <c r="U3744">
        <f>IFERROR(R3744*T3744,R3744*0)</f>
        <v>0</v>
      </c>
      <c r="V3744">
        <f>IF(OR(LEFT(E3744,2)="A_",LEFT(D3744,5)="Total"),R3744+U3744,"")</f>
        <v>0</v>
      </c>
      <c r="W3744">
        <f>IF(OR(LEFT(E3744,2)="A_",LEFT(D3744,5)="Total"),V3744-Q3744,"")</f>
        <v>-191.94</v>
      </c>
      <c r="X3744">
        <v>0</v>
      </c>
    </row>
    <row r="3745" spans="1:24" x14ac:dyDescent="0.25">
      <c r="A3745" t="s">
        <v>1948</v>
      </c>
      <c r="B3745" t="s">
        <v>2206</v>
      </c>
      <c r="C3745" t="s">
        <v>2210</v>
      </c>
      <c r="D3745" t="s">
        <v>378</v>
      </c>
      <c r="E3745" t="s">
        <v>48</v>
      </c>
      <c r="F3745" t="s">
        <v>1</v>
      </c>
      <c r="G3745" t="s">
        <v>1209</v>
      </c>
      <c r="H3745" t="s">
        <v>448</v>
      </c>
      <c r="I3745" t="s">
        <v>1</v>
      </c>
      <c r="J3745"/>
      <c r="K3745"/>
      <c r="L3745">
        <v>29.18</v>
      </c>
      <c r="M3745">
        <v>58.843646408839781</v>
      </c>
      <c r="N3745">
        <v>29.18</v>
      </c>
      <c r="O3745">
        <v>58.36</v>
      </c>
      <c r="P3745">
        <v>0</v>
      </c>
      <c r="Q3745">
        <f>O3745+P3745</f>
        <v>58.36</v>
      </c>
      <c r="R3745">
        <v>0</v>
      </c>
      <c r="S3745">
        <f>IF(OR(LEFT(E3745,2)="A_",LEFT(D3745,5)="Total"),R3745-Q3745,"")</f>
        <v>-58.36</v>
      </c>
      <c r="T3745">
        <v>0.03</v>
      </c>
      <c r="U3745">
        <f>IFERROR(R3745*T3745,R3745*0)</f>
        <v>0</v>
      </c>
      <c r="V3745">
        <f>IF(OR(LEFT(E3745,2)="A_",LEFT(D3745,5)="Total"),R3745+U3745,"")</f>
        <v>0</v>
      </c>
      <c r="W3745">
        <f>IF(OR(LEFT(E3745,2)="A_",LEFT(D3745,5)="Total"),V3745-Q3745,"")</f>
        <v>-58.36</v>
      </c>
      <c r="X3745">
        <v>0</v>
      </c>
    </row>
    <row r="3746" spans="1:24" x14ac:dyDescent="0.25">
      <c r="A3746" t="s">
        <v>1948</v>
      </c>
      <c r="B3746" t="s">
        <v>2206</v>
      </c>
      <c r="C3746" t="s">
        <v>2210</v>
      </c>
      <c r="D3746" t="s">
        <v>378</v>
      </c>
      <c r="E3746" t="s">
        <v>51</v>
      </c>
      <c r="F3746" t="s">
        <v>51</v>
      </c>
      <c r="G3746" t="s">
        <v>1210</v>
      </c>
      <c r="H3746"/>
      <c r="I3746"/>
      <c r="J3746">
        <v>222.35</v>
      </c>
      <c r="K3746">
        <v>0</v>
      </c>
      <c r="L3746">
        <v>7261.2400000000007</v>
      </c>
      <c r="M3746">
        <v>14642.832044198893</v>
      </c>
      <c r="N3746">
        <v>7483.5900000000011</v>
      </c>
      <c r="O3746">
        <v>14640.757734806601</v>
      </c>
      <c r="P3746">
        <f>SUMIF($F$3741:$F$3745,"&lt;&gt;EV_*",$P$3741:$P$3745)</f>
        <v>0</v>
      </c>
      <c r="Q3746">
        <f>SUMIF($F$3741:$F$3745,"&lt;&gt;EV_*",$Q$3741:$Q$3745)</f>
        <v>14640.757734806601</v>
      </c>
      <c r="R3746">
        <f>SUMIF($F$3741:$F$3745,"&lt;&gt;EV_*",$R$3741:$R$3745)</f>
        <v>0</v>
      </c>
      <c r="S3746">
        <f>SUMIF($F$3741:$F$3745,"&lt;&gt;EV_*",$S$3741:$S$3745)</f>
        <v>-14640.757734806601</v>
      </c>
      <c r="T3746">
        <v>0</v>
      </c>
      <c r="U3746">
        <f>SUMIF($F$3741:$F$3745,"&lt;&gt;EV_*",$U$3741:$U$3745)</f>
        <v>0</v>
      </c>
      <c r="V3746">
        <f>SUMIF($F$3741:$F$3745,"&lt;&gt;EV_*",$V$3741:$V$3745)</f>
        <v>0</v>
      </c>
      <c r="W3746">
        <f>SUMIF($F$3741:$F$3745,"&lt;&gt;EV_*",$W$3741:$W$3745)</f>
        <v>-14640.757734806601</v>
      </c>
      <c r="X3746">
        <f>SUMIF($F$3741:$F$3745,"&lt;&gt;EV_*",$X$3741:$X$3745)</f>
        <v>0</v>
      </c>
    </row>
    <row r="3747" spans="1:24" x14ac:dyDescent="0.25">
      <c r="A3747" t="s">
        <v>1948</v>
      </c>
      <c r="B3747" t="s">
        <v>1946</v>
      </c>
      <c r="C3747" t="s">
        <v>2211</v>
      </c>
      <c r="D3747" t="s">
        <v>379</v>
      </c>
      <c r="E3747" t="s">
        <v>5</v>
      </c>
      <c r="F3747" t="s">
        <v>5</v>
      </c>
      <c r="G3747" t="s">
        <v>1211</v>
      </c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</row>
    <row r="3748" spans="1:24" x14ac:dyDescent="0.25">
      <c r="A3748" t="s">
        <v>1948</v>
      </c>
      <c r="B3748" t="s">
        <v>1946</v>
      </c>
      <c r="C3748" t="s">
        <v>2211</v>
      </c>
      <c r="D3748" t="s">
        <v>379</v>
      </c>
      <c r="E3748" t="s">
        <v>65</v>
      </c>
      <c r="F3748" t="s">
        <v>1</v>
      </c>
      <c r="G3748" t="s">
        <v>1212</v>
      </c>
      <c r="H3748" t="s">
        <v>476</v>
      </c>
      <c r="I3748" t="s">
        <v>1</v>
      </c>
      <c r="J3748">
        <v>-10</v>
      </c>
      <c r="K3748"/>
      <c r="L3748">
        <v>-28.22</v>
      </c>
      <c r="M3748">
        <v>-56.907734806629833</v>
      </c>
      <c r="N3748">
        <v>-36.22</v>
      </c>
      <c r="O3748">
        <v>-56.750109890099999</v>
      </c>
      <c r="P3748">
        <v>0</v>
      </c>
      <c r="Q3748">
        <f>O3748+P3748</f>
        <v>-56.750109890099999</v>
      </c>
      <c r="R3748">
        <v>-56.750109890099999</v>
      </c>
      <c r="S3748">
        <f>IF(OR(LEFT(E3748,2)="A_",LEFT(D3748,5)="Total"),R3748-Q3748,"")</f>
        <v>0</v>
      </c>
      <c r="T3748"/>
      <c r="U3748">
        <f>IFERROR(R3748*T3748,R3748*0)</f>
        <v>0</v>
      </c>
      <c r="V3748">
        <f>IF(OR(LEFT(E3748,2)="A_",LEFT(D3748,5)="Total"),R3748+U3748,"")</f>
        <v>-56.750109890099999</v>
      </c>
      <c r="W3748">
        <f>IF(OR(LEFT(E3748,2)="A_",LEFT(D3748,5)="Total"),V3748-Q3748,"")</f>
        <v>0</v>
      </c>
      <c r="X3748">
        <v>0</v>
      </c>
    </row>
    <row r="3749" spans="1:24" x14ac:dyDescent="0.25">
      <c r="A3749" t="s">
        <v>1948</v>
      </c>
      <c r="B3749" t="s">
        <v>1946</v>
      </c>
      <c r="C3749" t="s">
        <v>2211</v>
      </c>
      <c r="D3749" t="s">
        <v>379</v>
      </c>
      <c r="E3749" t="s">
        <v>17</v>
      </c>
      <c r="F3749" t="s">
        <v>1</v>
      </c>
      <c r="G3749" t="s">
        <v>1212</v>
      </c>
      <c r="H3749" t="s">
        <v>417</v>
      </c>
      <c r="I3749" t="s">
        <v>1</v>
      </c>
      <c r="J3749"/>
      <c r="K3749"/>
      <c r="L3749">
        <v>-16.89</v>
      </c>
      <c r="M3749">
        <v>-34.059944751381217</v>
      </c>
      <c r="N3749">
        <v>-16.89</v>
      </c>
      <c r="O3749">
        <v>-33.965604395600003</v>
      </c>
      <c r="P3749">
        <v>0</v>
      </c>
      <c r="Q3749">
        <f>O3749+P3749</f>
        <v>-33.965604395600003</v>
      </c>
      <c r="R3749">
        <v>-33.965604395600003</v>
      </c>
      <c r="S3749">
        <f>IF(OR(LEFT(E3749,2)="A_",LEFT(D3749,5)="Total"),R3749-Q3749,"")</f>
        <v>0</v>
      </c>
      <c r="T3749"/>
      <c r="U3749">
        <f>IFERROR(R3749*T3749,R3749*0)</f>
        <v>0</v>
      </c>
      <c r="V3749">
        <f>IF(OR(LEFT(E3749,2)="A_",LEFT(D3749,5)="Total"),R3749+U3749,"")</f>
        <v>-33.965604395600003</v>
      </c>
      <c r="W3749">
        <f>IF(OR(LEFT(E3749,2)="A_",LEFT(D3749,5)="Total"),V3749-Q3749,"")</f>
        <v>0</v>
      </c>
      <c r="X3749">
        <v>0</v>
      </c>
    </row>
    <row r="3750" spans="1:24" x14ac:dyDescent="0.25">
      <c r="A3750" t="s">
        <v>1948</v>
      </c>
      <c r="B3750" t="s">
        <v>1946</v>
      </c>
      <c r="C3750" t="s">
        <v>2211</v>
      </c>
      <c r="D3750" t="s">
        <v>379</v>
      </c>
      <c r="E3750" t="s">
        <v>18</v>
      </c>
      <c r="F3750" t="s">
        <v>1</v>
      </c>
      <c r="G3750" t="s">
        <v>1212</v>
      </c>
      <c r="H3750" t="s">
        <v>418</v>
      </c>
      <c r="I3750" t="s">
        <v>1</v>
      </c>
      <c r="J3750">
        <v>1726.47</v>
      </c>
      <c r="K3750">
        <v>1579.1185925928</v>
      </c>
      <c r="L3750">
        <v>1093.33</v>
      </c>
      <c r="M3750">
        <v>2204.7814917127071</v>
      </c>
      <c r="N3750">
        <v>1772.1399999999999</v>
      </c>
      <c r="O3750">
        <v>2198.6746153846002</v>
      </c>
      <c r="P3750">
        <v>0</v>
      </c>
      <c r="Q3750">
        <f>O3750+P3750</f>
        <v>2198.6746153846002</v>
      </c>
      <c r="R3750">
        <v>2198.6746153846002</v>
      </c>
      <c r="S3750">
        <f>IF(OR(LEFT(E3750,2)="A_",LEFT(D3750,5)="Total"),R3750-Q3750,"")</f>
        <v>0</v>
      </c>
      <c r="T3750">
        <v>0.02</v>
      </c>
      <c r="U3750">
        <f>IFERROR(R3750*T3750,R3750*0)</f>
        <v>43.973492307692005</v>
      </c>
      <c r="V3750">
        <f>IF(OR(LEFT(E3750,2)="A_",LEFT(D3750,5)="Total"),R3750+U3750,"")</f>
        <v>2242.6481076922923</v>
      </c>
      <c r="W3750">
        <f>IF(OR(LEFT(E3750,2)="A_",LEFT(D3750,5)="Total"),V3750-Q3750,"")</f>
        <v>43.97349230769214</v>
      </c>
      <c r="X3750">
        <v>0</v>
      </c>
    </row>
    <row r="3751" spans="1:24" x14ac:dyDescent="0.25">
      <c r="A3751" t="s">
        <v>1948</v>
      </c>
      <c r="B3751" t="s">
        <v>1946</v>
      </c>
      <c r="C3751" t="s">
        <v>2211</v>
      </c>
      <c r="D3751" t="s">
        <v>379</v>
      </c>
      <c r="E3751" t="s">
        <v>21</v>
      </c>
      <c r="F3751" t="s">
        <v>1</v>
      </c>
      <c r="G3751" t="s">
        <v>1212</v>
      </c>
      <c r="H3751" t="s">
        <v>421</v>
      </c>
      <c r="I3751" t="s">
        <v>1</v>
      </c>
      <c r="J3751">
        <v>11.99</v>
      </c>
      <c r="K3751"/>
      <c r="L3751">
        <v>0</v>
      </c>
      <c r="M3751">
        <v>0</v>
      </c>
      <c r="N3751">
        <v>11.99</v>
      </c>
      <c r="O3751"/>
      <c r="P3751">
        <v>0</v>
      </c>
      <c r="Q3751">
        <f>O3751+P3751</f>
        <v>0</v>
      </c>
      <c r="R3751">
        <v>0</v>
      </c>
      <c r="S3751">
        <f>IF(OR(LEFT(E3751,2)="A_",LEFT(D3751,5)="Total"),R3751-Q3751,"")</f>
        <v>0</v>
      </c>
      <c r="T3751">
        <v>0.03</v>
      </c>
      <c r="U3751">
        <f>IFERROR(R3751*T3751,R3751*0)</f>
        <v>0</v>
      </c>
      <c r="V3751">
        <f>IF(OR(LEFT(E3751,2)="A_",LEFT(D3751,5)="Total"),R3751+U3751,"")</f>
        <v>0</v>
      </c>
      <c r="W3751">
        <f>IF(OR(LEFT(E3751,2)="A_",LEFT(D3751,5)="Total"),V3751-Q3751,"")</f>
        <v>0</v>
      </c>
      <c r="X3751">
        <v>0</v>
      </c>
    </row>
    <row r="3752" spans="1:24" x14ac:dyDescent="0.25">
      <c r="A3752" t="s">
        <v>1948</v>
      </c>
      <c r="B3752" t="s">
        <v>1946</v>
      </c>
      <c r="C3752" t="s">
        <v>2211</v>
      </c>
      <c r="D3752" t="s">
        <v>379</v>
      </c>
      <c r="E3752" t="s">
        <v>51</v>
      </c>
      <c r="F3752" t="s">
        <v>51</v>
      </c>
      <c r="G3752" t="s">
        <v>1213</v>
      </c>
      <c r="H3752"/>
      <c r="I3752"/>
      <c r="J3752">
        <v>1728.46</v>
      </c>
      <c r="K3752">
        <v>1579.1185925928</v>
      </c>
      <c r="L3752">
        <v>1048.22</v>
      </c>
      <c r="M3752">
        <v>2113.8138121546958</v>
      </c>
      <c r="N3752">
        <v>1731.02</v>
      </c>
      <c r="O3752">
        <v>2107.9589010989002</v>
      </c>
      <c r="P3752">
        <f>SUMIF($F$3747:$F$3751,"&lt;&gt;EV_*",$P$3747:$P$3751)</f>
        <v>0</v>
      </c>
      <c r="Q3752">
        <f>SUMIF($F$3747:$F$3751,"&lt;&gt;EV_*",$Q$3747:$Q$3751)</f>
        <v>2107.9589010989002</v>
      </c>
      <c r="R3752">
        <f>SUMIF($F$3747:$F$3751,"&lt;&gt;EV_*",$R$3747:$R$3751)</f>
        <v>2107.9589010989002</v>
      </c>
      <c r="S3752">
        <f>SUMIF($F$3747:$F$3751,"&lt;&gt;EV_*",$S$3747:$S$3751)</f>
        <v>0</v>
      </c>
      <c r="T3752">
        <v>0</v>
      </c>
      <c r="U3752">
        <f>SUMIF($F$3747:$F$3751,"&lt;&gt;EV_*",$U$3747:$U$3751)</f>
        <v>43.973492307692005</v>
      </c>
      <c r="V3752">
        <f>SUMIF($F$3747:$F$3751,"&lt;&gt;EV_*",$V$3747:$V$3751)</f>
        <v>2151.9323934065924</v>
      </c>
      <c r="W3752">
        <f>SUMIF($F$3747:$F$3751,"&lt;&gt;EV_*",$W$3747:$W$3751)</f>
        <v>43.97349230769214</v>
      </c>
      <c r="X3752">
        <f>SUMIF($F$3747:$F$3751,"&lt;&gt;EV_*",$X$3747:$X$3751)</f>
        <v>0</v>
      </c>
    </row>
    <row r="3753" spans="1:24" x14ac:dyDescent="0.25">
      <c r="A3753" t="s">
        <v>1948</v>
      </c>
      <c r="B3753" t="s">
        <v>1949</v>
      </c>
      <c r="C3753" t="s">
        <v>2212</v>
      </c>
      <c r="D3753" t="s">
        <v>380</v>
      </c>
      <c r="E3753" t="s">
        <v>5</v>
      </c>
      <c r="F3753" t="s">
        <v>5</v>
      </c>
      <c r="G3753" t="s">
        <v>1214</v>
      </c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</row>
    <row r="3754" spans="1:24" x14ac:dyDescent="0.25">
      <c r="A3754" t="s">
        <v>1948</v>
      </c>
      <c r="B3754" t="s">
        <v>1949</v>
      </c>
      <c r="C3754" t="s">
        <v>2212</v>
      </c>
      <c r="D3754" t="s">
        <v>380</v>
      </c>
      <c r="E3754" t="s">
        <v>61</v>
      </c>
      <c r="F3754" t="s">
        <v>1</v>
      </c>
      <c r="G3754" t="s">
        <v>1215</v>
      </c>
      <c r="H3754" t="s">
        <v>470</v>
      </c>
      <c r="I3754" t="s">
        <v>1</v>
      </c>
      <c r="J3754">
        <v>13650</v>
      </c>
      <c r="K3754">
        <v>15210</v>
      </c>
      <c r="L3754">
        <v>2378.4</v>
      </c>
      <c r="M3754">
        <v>4796.2209944751385</v>
      </c>
      <c r="N3754">
        <v>5453.4</v>
      </c>
      <c r="O3754">
        <v>4756.8</v>
      </c>
      <c r="P3754">
        <v>0</v>
      </c>
      <c r="Q3754">
        <f t="shared" ref="Q3754:Q3779" si="760">O3754+P3754</f>
        <v>4756.8</v>
      </c>
      <c r="R3754">
        <v>0</v>
      </c>
      <c r="S3754">
        <f t="shared" ref="S3754:S3779" si="761">IF(OR(LEFT(E3754,2)="A_",LEFT(D3754,5)="Total"),R3754-Q3754,"")</f>
        <v>-4756.8</v>
      </c>
      <c r="T3754"/>
      <c r="U3754">
        <f t="shared" ref="U3754:U3779" si="762">IFERROR(R3754*T3754,R3754*0)</f>
        <v>0</v>
      </c>
      <c r="V3754">
        <f t="shared" ref="V3754:V3779" si="763">IF(OR(LEFT(E3754,2)="A_",LEFT(D3754,5)="Total"),R3754+U3754,"")</f>
        <v>0</v>
      </c>
      <c r="W3754">
        <f t="shared" ref="W3754:W3779" si="764">IF(OR(LEFT(E3754,2)="A_",LEFT(D3754,5)="Total"),V3754-Q3754,"")</f>
        <v>-4756.8</v>
      </c>
      <c r="X3754">
        <v>0</v>
      </c>
    </row>
    <row r="3755" spans="1:24" x14ac:dyDescent="0.25">
      <c r="A3755" t="s">
        <v>1948</v>
      </c>
      <c r="B3755" t="s">
        <v>1949</v>
      </c>
      <c r="C3755" t="s">
        <v>2212</v>
      </c>
      <c r="D3755" t="s">
        <v>380</v>
      </c>
      <c r="E3755" t="s">
        <v>7</v>
      </c>
      <c r="F3755" t="s">
        <v>1</v>
      </c>
      <c r="G3755" t="s">
        <v>1215</v>
      </c>
      <c r="H3755" t="s">
        <v>407</v>
      </c>
      <c r="I3755" t="s">
        <v>1</v>
      </c>
      <c r="J3755">
        <v>250</v>
      </c>
      <c r="K3755"/>
      <c r="L3755">
        <v>0</v>
      </c>
      <c r="M3755">
        <v>0</v>
      </c>
      <c r="N3755">
        <v>250</v>
      </c>
      <c r="O3755"/>
      <c r="P3755">
        <v>0</v>
      </c>
      <c r="Q3755">
        <f t="shared" si="760"/>
        <v>0</v>
      </c>
      <c r="R3755">
        <v>0</v>
      </c>
      <c r="S3755">
        <f t="shared" si="761"/>
        <v>0</v>
      </c>
      <c r="T3755"/>
      <c r="U3755">
        <f t="shared" si="762"/>
        <v>0</v>
      </c>
      <c r="V3755">
        <f t="shared" si="763"/>
        <v>0</v>
      </c>
      <c r="W3755">
        <f t="shared" si="764"/>
        <v>0</v>
      </c>
      <c r="X3755">
        <v>0</v>
      </c>
    </row>
    <row r="3756" spans="1:24" x14ac:dyDescent="0.25">
      <c r="A3756" t="s">
        <v>1948</v>
      </c>
      <c r="B3756" t="s">
        <v>1949</v>
      </c>
      <c r="C3756" t="s">
        <v>2212</v>
      </c>
      <c r="D3756" t="s">
        <v>380</v>
      </c>
      <c r="E3756" t="s">
        <v>10</v>
      </c>
      <c r="F3756" t="s">
        <v>1</v>
      </c>
      <c r="G3756" t="s">
        <v>1215</v>
      </c>
      <c r="H3756" t="s">
        <v>410</v>
      </c>
      <c r="I3756" t="s">
        <v>1</v>
      </c>
      <c r="J3756">
        <v>8662.84</v>
      </c>
      <c r="K3756">
        <v>5862.9999999995998</v>
      </c>
      <c r="L3756">
        <v>2931.42</v>
      </c>
      <c r="M3756">
        <v>5911.4270718232046</v>
      </c>
      <c r="N3756">
        <v>5862.8399999999992</v>
      </c>
      <c r="O3756">
        <v>5862.84</v>
      </c>
      <c r="P3756">
        <v>0</v>
      </c>
      <c r="Q3756">
        <f t="shared" si="760"/>
        <v>5862.84</v>
      </c>
      <c r="R3756">
        <v>5862.84</v>
      </c>
      <c r="S3756">
        <f t="shared" si="761"/>
        <v>0</v>
      </c>
      <c r="T3756"/>
      <c r="U3756">
        <f t="shared" si="762"/>
        <v>0</v>
      </c>
      <c r="V3756">
        <f t="shared" si="763"/>
        <v>5862.84</v>
      </c>
      <c r="W3756">
        <f t="shared" si="764"/>
        <v>0</v>
      </c>
      <c r="X3756" t="s">
        <v>1902</v>
      </c>
    </row>
    <row r="3757" spans="1:24" x14ac:dyDescent="0.25">
      <c r="A3757" t="s">
        <v>1948</v>
      </c>
      <c r="B3757" t="s">
        <v>1949</v>
      </c>
      <c r="C3757" t="s">
        <v>2212</v>
      </c>
      <c r="D3757" t="s">
        <v>380</v>
      </c>
      <c r="E3757" t="s">
        <v>11</v>
      </c>
      <c r="F3757" t="s">
        <v>1</v>
      </c>
      <c r="G3757" t="s">
        <v>1215</v>
      </c>
      <c r="H3757" t="s">
        <v>411</v>
      </c>
      <c r="I3757" t="s">
        <v>1</v>
      </c>
      <c r="J3757">
        <v>2111.65</v>
      </c>
      <c r="K3757">
        <v>2211.4599999995999</v>
      </c>
      <c r="L3757">
        <v>1119.3399999999999</v>
      </c>
      <c r="M3757">
        <v>2257.2325966850826</v>
      </c>
      <c r="N3757">
        <v>2073.83</v>
      </c>
      <c r="O3757">
        <v>2238.6799999999998</v>
      </c>
      <c r="P3757">
        <v>0</v>
      </c>
      <c r="Q3757">
        <f t="shared" si="760"/>
        <v>2238.6799999999998</v>
      </c>
      <c r="R3757">
        <v>2238.6799999999998</v>
      </c>
      <c r="S3757">
        <f t="shared" si="761"/>
        <v>0</v>
      </c>
      <c r="T3757"/>
      <c r="U3757">
        <f t="shared" si="762"/>
        <v>0</v>
      </c>
      <c r="V3757">
        <f t="shared" si="763"/>
        <v>2238.6799999999998</v>
      </c>
      <c r="W3757">
        <f t="shared" si="764"/>
        <v>0</v>
      </c>
      <c r="X3757">
        <v>0</v>
      </c>
    </row>
    <row r="3758" spans="1:24" x14ac:dyDescent="0.25">
      <c r="A3758" t="s">
        <v>1948</v>
      </c>
      <c r="B3758" t="s">
        <v>1949</v>
      </c>
      <c r="C3758" t="s">
        <v>2212</v>
      </c>
      <c r="D3758" t="s">
        <v>380</v>
      </c>
      <c r="E3758" t="s">
        <v>65</v>
      </c>
      <c r="F3758" t="s">
        <v>1</v>
      </c>
      <c r="G3758" t="s">
        <v>1215</v>
      </c>
      <c r="H3758" t="s">
        <v>476</v>
      </c>
      <c r="I3758" t="s">
        <v>1</v>
      </c>
      <c r="J3758">
        <v>-155.22999999999999</v>
      </c>
      <c r="K3758"/>
      <c r="L3758">
        <v>-12.96</v>
      </c>
      <c r="M3758">
        <v>-26.134806629834255</v>
      </c>
      <c r="N3758">
        <v>-70.19</v>
      </c>
      <c r="O3758">
        <v>-26.062417582399998</v>
      </c>
      <c r="P3758">
        <v>0</v>
      </c>
      <c r="Q3758">
        <f t="shared" si="760"/>
        <v>-26.062417582399998</v>
      </c>
      <c r="R3758">
        <v>0</v>
      </c>
      <c r="S3758">
        <f t="shared" si="761"/>
        <v>26.062417582399998</v>
      </c>
      <c r="T3758"/>
      <c r="U3758">
        <f t="shared" si="762"/>
        <v>0</v>
      </c>
      <c r="V3758">
        <f t="shared" si="763"/>
        <v>0</v>
      </c>
      <c r="W3758">
        <f t="shared" si="764"/>
        <v>26.062417582399998</v>
      </c>
      <c r="X3758">
        <v>0</v>
      </c>
    </row>
    <row r="3759" spans="1:24" x14ac:dyDescent="0.25">
      <c r="A3759" t="s">
        <v>1948</v>
      </c>
      <c r="B3759" t="s">
        <v>1949</v>
      </c>
      <c r="C3759" t="s">
        <v>2212</v>
      </c>
      <c r="D3759" t="s">
        <v>380</v>
      </c>
      <c r="E3759" t="s">
        <v>17</v>
      </c>
      <c r="F3759" t="s">
        <v>1</v>
      </c>
      <c r="G3759" t="s">
        <v>1215</v>
      </c>
      <c r="H3759" t="s">
        <v>417</v>
      </c>
      <c r="I3759" t="s">
        <v>1</v>
      </c>
      <c r="J3759">
        <v>-52.04</v>
      </c>
      <c r="K3759"/>
      <c r="L3759">
        <v>-68.239999999999995</v>
      </c>
      <c r="M3759">
        <v>-137.61104972375688</v>
      </c>
      <c r="N3759">
        <v>-120.28</v>
      </c>
      <c r="O3759">
        <v>-137.2298901099</v>
      </c>
      <c r="P3759">
        <v>0</v>
      </c>
      <c r="Q3759">
        <f t="shared" si="760"/>
        <v>-137.2298901099</v>
      </c>
      <c r="R3759">
        <v>-137.2298901099</v>
      </c>
      <c r="S3759">
        <f t="shared" si="761"/>
        <v>0</v>
      </c>
      <c r="T3759"/>
      <c r="U3759">
        <f t="shared" si="762"/>
        <v>0</v>
      </c>
      <c r="V3759">
        <f t="shared" si="763"/>
        <v>-137.2298901099</v>
      </c>
      <c r="W3759">
        <f t="shared" si="764"/>
        <v>0</v>
      </c>
      <c r="X3759">
        <v>0</v>
      </c>
    </row>
    <row r="3760" spans="1:24" x14ac:dyDescent="0.25">
      <c r="A3760" t="s">
        <v>1948</v>
      </c>
      <c r="B3760" t="s">
        <v>1949</v>
      </c>
      <c r="C3760" t="s">
        <v>2212</v>
      </c>
      <c r="D3760" t="s">
        <v>380</v>
      </c>
      <c r="E3760" t="s">
        <v>18</v>
      </c>
      <c r="F3760" t="s">
        <v>1</v>
      </c>
      <c r="G3760" t="s">
        <v>1215</v>
      </c>
      <c r="H3760" t="s">
        <v>418</v>
      </c>
      <c r="I3760" t="s">
        <v>1</v>
      </c>
      <c r="J3760">
        <v>6522.85</v>
      </c>
      <c r="K3760">
        <v>9012.9961111111006</v>
      </c>
      <c r="L3760">
        <v>785.09</v>
      </c>
      <c r="M3760">
        <v>1583.1925414364639</v>
      </c>
      <c r="N3760">
        <v>1938.3700000000001</v>
      </c>
      <c r="O3760">
        <v>1578.8073626374</v>
      </c>
      <c r="P3760">
        <v>0</v>
      </c>
      <c r="Q3760">
        <f t="shared" si="760"/>
        <v>1578.8073626374</v>
      </c>
      <c r="R3760">
        <v>1578.8073626374</v>
      </c>
      <c r="S3760">
        <f t="shared" si="761"/>
        <v>0</v>
      </c>
      <c r="T3760">
        <v>0.02</v>
      </c>
      <c r="U3760">
        <f t="shared" si="762"/>
        <v>31.576147252748001</v>
      </c>
      <c r="V3760">
        <f t="shared" si="763"/>
        <v>1610.3835098901482</v>
      </c>
      <c r="W3760">
        <f t="shared" si="764"/>
        <v>31.576147252748115</v>
      </c>
      <c r="X3760">
        <v>0</v>
      </c>
    </row>
    <row r="3761" spans="1:24" x14ac:dyDescent="0.25">
      <c r="A3761" t="s">
        <v>1948</v>
      </c>
      <c r="B3761" t="s">
        <v>1949</v>
      </c>
      <c r="C3761" t="s">
        <v>2212</v>
      </c>
      <c r="D3761" t="s">
        <v>380</v>
      </c>
      <c r="E3761" t="s">
        <v>21</v>
      </c>
      <c r="F3761" t="s">
        <v>1</v>
      </c>
      <c r="G3761" t="s">
        <v>1215</v>
      </c>
      <c r="H3761" t="s">
        <v>421</v>
      </c>
      <c r="I3761" t="s">
        <v>1</v>
      </c>
      <c r="J3761">
        <v>1707.68</v>
      </c>
      <c r="K3761">
        <v>1761.14</v>
      </c>
      <c r="L3761">
        <v>730.56</v>
      </c>
      <c r="M3761">
        <v>1473.2287292817678</v>
      </c>
      <c r="N3761">
        <v>1484.0700000000002</v>
      </c>
      <c r="O3761">
        <v>1473.2287292818</v>
      </c>
      <c r="P3761">
        <v>0</v>
      </c>
      <c r="Q3761">
        <f t="shared" si="760"/>
        <v>1473.2287292818</v>
      </c>
      <c r="R3761">
        <v>1473.2287292818</v>
      </c>
      <c r="S3761">
        <f t="shared" si="761"/>
        <v>0</v>
      </c>
      <c r="T3761">
        <v>0.03</v>
      </c>
      <c r="U3761">
        <f t="shared" si="762"/>
        <v>44.196861878454001</v>
      </c>
      <c r="V3761">
        <f t="shared" si="763"/>
        <v>1517.425591160254</v>
      </c>
      <c r="W3761">
        <f t="shared" si="764"/>
        <v>44.196861878454001</v>
      </c>
      <c r="X3761">
        <v>0</v>
      </c>
    </row>
    <row r="3762" spans="1:24" x14ac:dyDescent="0.25">
      <c r="A3762" t="s">
        <v>1948</v>
      </c>
      <c r="B3762" t="s">
        <v>1949</v>
      </c>
      <c r="C3762" t="s">
        <v>2212</v>
      </c>
      <c r="D3762" t="s">
        <v>380</v>
      </c>
      <c r="E3762" t="s">
        <v>22</v>
      </c>
      <c r="F3762" t="s">
        <v>1</v>
      </c>
      <c r="G3762" t="s">
        <v>1215</v>
      </c>
      <c r="H3762" t="s">
        <v>422</v>
      </c>
      <c r="I3762" t="s">
        <v>1</v>
      </c>
      <c r="J3762">
        <v>52338.68</v>
      </c>
      <c r="K3762">
        <v>97797.390000000203</v>
      </c>
      <c r="L3762">
        <v>35011.019999999997</v>
      </c>
      <c r="M3762">
        <v>70602.333149171274</v>
      </c>
      <c r="N3762">
        <v>39927.760000000002</v>
      </c>
      <c r="O3762">
        <v>70602.333149171303</v>
      </c>
      <c r="P3762">
        <v>0</v>
      </c>
      <c r="Q3762">
        <f t="shared" si="760"/>
        <v>70602.333149171303</v>
      </c>
      <c r="R3762">
        <v>70602.333149171303</v>
      </c>
      <c r="S3762">
        <f t="shared" si="761"/>
        <v>0</v>
      </c>
      <c r="T3762">
        <v>3.5000000000000003E-2</v>
      </c>
      <c r="U3762">
        <f t="shared" si="762"/>
        <v>2471.0816602209957</v>
      </c>
      <c r="V3762">
        <f t="shared" si="763"/>
        <v>73073.4148093923</v>
      </c>
      <c r="W3762">
        <f t="shared" si="764"/>
        <v>2471.0816602209961</v>
      </c>
      <c r="X3762" t="s">
        <v>1903</v>
      </c>
    </row>
    <row r="3763" spans="1:24" x14ac:dyDescent="0.25">
      <c r="A3763" t="s">
        <v>1948</v>
      </c>
      <c r="B3763" t="s">
        <v>1949</v>
      </c>
      <c r="C3763" t="s">
        <v>2212</v>
      </c>
      <c r="D3763" t="s">
        <v>380</v>
      </c>
      <c r="E3763" t="s">
        <v>23</v>
      </c>
      <c r="F3763" t="s">
        <v>1</v>
      </c>
      <c r="G3763" t="s">
        <v>1215</v>
      </c>
      <c r="H3763" t="s">
        <v>423</v>
      </c>
      <c r="I3763" t="s">
        <v>1</v>
      </c>
      <c r="J3763">
        <v>21257.64</v>
      </c>
      <c r="K3763">
        <v>38884.949999999997</v>
      </c>
      <c r="L3763">
        <v>3060.35</v>
      </c>
      <c r="M3763">
        <v>6171.4240331491719</v>
      </c>
      <c r="N3763">
        <v>5534.23</v>
      </c>
      <c r="O3763">
        <v>6171.4240331492001</v>
      </c>
      <c r="P3763">
        <v>0</v>
      </c>
      <c r="Q3763">
        <f t="shared" si="760"/>
        <v>6171.4240331492001</v>
      </c>
      <c r="R3763">
        <v>6171.4240331492001</v>
      </c>
      <c r="S3763">
        <f t="shared" si="761"/>
        <v>0</v>
      </c>
      <c r="T3763">
        <v>3.5000000000000003E-2</v>
      </c>
      <c r="U3763">
        <f t="shared" si="762"/>
        <v>215.99984116022202</v>
      </c>
      <c r="V3763">
        <f t="shared" si="763"/>
        <v>6387.423874309422</v>
      </c>
      <c r="W3763">
        <f t="shared" si="764"/>
        <v>215.99984116022188</v>
      </c>
      <c r="X3763">
        <v>0</v>
      </c>
    </row>
    <row r="3764" spans="1:24" x14ac:dyDescent="0.25">
      <c r="A3764" t="s">
        <v>1948</v>
      </c>
      <c r="B3764" t="s">
        <v>1949</v>
      </c>
      <c r="C3764" t="s">
        <v>2212</v>
      </c>
      <c r="D3764" t="s">
        <v>380</v>
      </c>
      <c r="E3764" t="s">
        <v>24</v>
      </c>
      <c r="F3764" t="s">
        <v>1</v>
      </c>
      <c r="G3764" t="s">
        <v>1215</v>
      </c>
      <c r="H3764" t="s">
        <v>424</v>
      </c>
      <c r="I3764" t="s">
        <v>1</v>
      </c>
      <c r="J3764">
        <v>3475.27</v>
      </c>
      <c r="K3764">
        <v>5492.0000000004002</v>
      </c>
      <c r="L3764">
        <v>2000.8</v>
      </c>
      <c r="M3764">
        <v>4034.7624309392263</v>
      </c>
      <c r="N3764">
        <v>3183.44</v>
      </c>
      <c r="O3764">
        <v>4001.6</v>
      </c>
      <c r="P3764">
        <v>0</v>
      </c>
      <c r="Q3764">
        <f t="shared" si="760"/>
        <v>4001.6</v>
      </c>
      <c r="R3764">
        <v>4001.6</v>
      </c>
      <c r="S3764">
        <f t="shared" si="761"/>
        <v>0</v>
      </c>
      <c r="T3764"/>
      <c r="U3764">
        <f t="shared" si="762"/>
        <v>0</v>
      </c>
      <c r="V3764">
        <f t="shared" si="763"/>
        <v>4001.6</v>
      </c>
      <c r="W3764">
        <f t="shared" si="764"/>
        <v>0</v>
      </c>
      <c r="X3764">
        <v>0</v>
      </c>
    </row>
    <row r="3765" spans="1:24" x14ac:dyDescent="0.25">
      <c r="A3765" t="s">
        <v>1948</v>
      </c>
      <c r="B3765" t="s">
        <v>1949</v>
      </c>
      <c r="C3765" t="s">
        <v>2212</v>
      </c>
      <c r="D3765" t="s">
        <v>380</v>
      </c>
      <c r="E3765" t="s">
        <v>25</v>
      </c>
      <c r="F3765" t="s">
        <v>1</v>
      </c>
      <c r="G3765" t="s">
        <v>1215</v>
      </c>
      <c r="H3765" t="s">
        <v>425</v>
      </c>
      <c r="I3765" t="s">
        <v>1</v>
      </c>
      <c r="J3765">
        <v>283.06</v>
      </c>
      <c r="K3765"/>
      <c r="L3765">
        <v>124.11</v>
      </c>
      <c r="M3765">
        <v>250.27707182320441</v>
      </c>
      <c r="N3765">
        <v>407.17</v>
      </c>
      <c r="O3765">
        <v>248.22</v>
      </c>
      <c r="P3765">
        <v>0</v>
      </c>
      <c r="Q3765">
        <f t="shared" si="760"/>
        <v>248.22</v>
      </c>
      <c r="R3765">
        <v>248.22</v>
      </c>
      <c r="S3765">
        <f t="shared" si="761"/>
        <v>0</v>
      </c>
      <c r="T3765"/>
      <c r="U3765">
        <f t="shared" si="762"/>
        <v>0</v>
      </c>
      <c r="V3765">
        <f t="shared" si="763"/>
        <v>248.22</v>
      </c>
      <c r="W3765">
        <f t="shared" si="764"/>
        <v>0</v>
      </c>
      <c r="X3765">
        <v>0</v>
      </c>
    </row>
    <row r="3766" spans="1:24" x14ac:dyDescent="0.25">
      <c r="A3766" t="s">
        <v>1948</v>
      </c>
      <c r="B3766" t="s">
        <v>1949</v>
      </c>
      <c r="C3766" t="s">
        <v>2212</v>
      </c>
      <c r="D3766" t="s">
        <v>380</v>
      </c>
      <c r="E3766" t="s">
        <v>28</v>
      </c>
      <c r="F3766" t="s">
        <v>1</v>
      </c>
      <c r="G3766" t="s">
        <v>1215</v>
      </c>
      <c r="H3766" t="s">
        <v>428</v>
      </c>
      <c r="I3766" t="s">
        <v>1</v>
      </c>
      <c r="J3766">
        <v>22585.37</v>
      </c>
      <c r="K3766">
        <v>28419.9999999996</v>
      </c>
      <c r="L3766">
        <v>10261.6</v>
      </c>
      <c r="M3766">
        <v>20693.281767955803</v>
      </c>
      <c r="N3766">
        <v>22213.8</v>
      </c>
      <c r="O3766">
        <v>20523.2</v>
      </c>
      <c r="P3766">
        <v>0</v>
      </c>
      <c r="Q3766">
        <f t="shared" si="760"/>
        <v>20523.2</v>
      </c>
      <c r="R3766">
        <v>20523.2</v>
      </c>
      <c r="S3766">
        <f t="shared" si="761"/>
        <v>0</v>
      </c>
      <c r="T3766"/>
      <c r="U3766">
        <f t="shared" si="762"/>
        <v>0</v>
      </c>
      <c r="V3766">
        <f t="shared" si="763"/>
        <v>20523.2</v>
      </c>
      <c r="W3766">
        <f t="shared" si="764"/>
        <v>0</v>
      </c>
      <c r="X3766">
        <v>0</v>
      </c>
    </row>
    <row r="3767" spans="1:24" x14ac:dyDescent="0.25">
      <c r="A3767" t="s">
        <v>1948</v>
      </c>
      <c r="B3767" t="s">
        <v>1949</v>
      </c>
      <c r="C3767" t="s">
        <v>2212</v>
      </c>
      <c r="D3767" t="s">
        <v>380</v>
      </c>
      <c r="E3767" t="s">
        <v>29</v>
      </c>
      <c r="F3767" t="s">
        <v>1</v>
      </c>
      <c r="G3767" t="s">
        <v>1215</v>
      </c>
      <c r="H3767" t="s">
        <v>429</v>
      </c>
      <c r="I3767" t="s">
        <v>1</v>
      </c>
      <c r="J3767">
        <v>1323.26</v>
      </c>
      <c r="K3767">
        <v>80.000000000399993</v>
      </c>
      <c r="L3767">
        <v>0</v>
      </c>
      <c r="M3767">
        <v>0</v>
      </c>
      <c r="N3767">
        <v>1281.55</v>
      </c>
      <c r="O3767"/>
      <c r="P3767">
        <v>0</v>
      </c>
      <c r="Q3767">
        <f t="shared" si="760"/>
        <v>0</v>
      </c>
      <c r="R3767">
        <v>0</v>
      </c>
      <c r="S3767">
        <f t="shared" si="761"/>
        <v>0</v>
      </c>
      <c r="T3767"/>
      <c r="U3767">
        <f t="shared" si="762"/>
        <v>0</v>
      </c>
      <c r="V3767">
        <f t="shared" si="763"/>
        <v>0</v>
      </c>
      <c r="W3767">
        <f t="shared" si="764"/>
        <v>0</v>
      </c>
      <c r="X3767">
        <v>0</v>
      </c>
    </row>
    <row r="3768" spans="1:24" x14ac:dyDescent="0.25">
      <c r="A3768" t="s">
        <v>1948</v>
      </c>
      <c r="B3768" t="s">
        <v>1949</v>
      </c>
      <c r="C3768" t="s">
        <v>2212</v>
      </c>
      <c r="D3768" t="s">
        <v>380</v>
      </c>
      <c r="E3768" t="s">
        <v>33</v>
      </c>
      <c r="F3768" t="s">
        <v>1</v>
      </c>
      <c r="G3768" t="s">
        <v>1215</v>
      </c>
      <c r="H3768" t="s">
        <v>433</v>
      </c>
      <c r="I3768" t="s">
        <v>1</v>
      </c>
      <c r="J3768"/>
      <c r="K3768"/>
      <c r="L3768">
        <v>110.8</v>
      </c>
      <c r="M3768">
        <v>223.43646408839777</v>
      </c>
      <c r="N3768">
        <v>110.8</v>
      </c>
      <c r="O3768">
        <v>221.6</v>
      </c>
      <c r="P3768">
        <v>0</v>
      </c>
      <c r="Q3768">
        <f t="shared" si="760"/>
        <v>221.6</v>
      </c>
      <c r="R3768">
        <v>0</v>
      </c>
      <c r="S3768">
        <f t="shared" si="761"/>
        <v>-221.6</v>
      </c>
      <c r="T3768"/>
      <c r="U3768">
        <f t="shared" si="762"/>
        <v>0</v>
      </c>
      <c r="V3768">
        <f t="shared" si="763"/>
        <v>0</v>
      </c>
      <c r="W3768">
        <f t="shared" si="764"/>
        <v>-221.6</v>
      </c>
      <c r="X3768">
        <v>0</v>
      </c>
    </row>
    <row r="3769" spans="1:24" x14ac:dyDescent="0.25">
      <c r="A3769" t="s">
        <v>1948</v>
      </c>
      <c r="B3769" t="s">
        <v>1949</v>
      </c>
      <c r="C3769" t="s">
        <v>2212</v>
      </c>
      <c r="D3769" t="s">
        <v>380</v>
      </c>
      <c r="E3769" t="s">
        <v>34</v>
      </c>
      <c r="F3769" t="s">
        <v>1</v>
      </c>
      <c r="G3769" t="s">
        <v>1215</v>
      </c>
      <c r="H3769" t="s">
        <v>434</v>
      </c>
      <c r="I3769" t="s">
        <v>1</v>
      </c>
      <c r="J3769">
        <v>2130.86</v>
      </c>
      <c r="K3769">
        <v>1079.362205124</v>
      </c>
      <c r="L3769">
        <v>0</v>
      </c>
      <c r="M3769">
        <v>0</v>
      </c>
      <c r="N3769">
        <v>1001.16</v>
      </c>
      <c r="O3769"/>
      <c r="P3769">
        <v>0</v>
      </c>
      <c r="Q3769">
        <f t="shared" si="760"/>
        <v>0</v>
      </c>
      <c r="R3769">
        <v>0</v>
      </c>
      <c r="S3769">
        <f t="shared" si="761"/>
        <v>0</v>
      </c>
      <c r="T3769"/>
      <c r="U3769">
        <f t="shared" si="762"/>
        <v>0</v>
      </c>
      <c r="V3769">
        <f t="shared" si="763"/>
        <v>0</v>
      </c>
      <c r="W3769">
        <f t="shared" si="764"/>
        <v>0</v>
      </c>
      <c r="X3769">
        <v>0</v>
      </c>
    </row>
    <row r="3770" spans="1:24" x14ac:dyDescent="0.25">
      <c r="A3770" t="s">
        <v>1948</v>
      </c>
      <c r="B3770" t="s">
        <v>1949</v>
      </c>
      <c r="C3770" t="s">
        <v>2212</v>
      </c>
      <c r="D3770" t="s">
        <v>380</v>
      </c>
      <c r="E3770" t="s">
        <v>35</v>
      </c>
      <c r="F3770" t="s">
        <v>1</v>
      </c>
      <c r="G3770" t="s">
        <v>1215</v>
      </c>
      <c r="H3770" t="s">
        <v>435</v>
      </c>
      <c r="I3770" t="s">
        <v>1</v>
      </c>
      <c r="J3770">
        <v>2124.14</v>
      </c>
      <c r="K3770">
        <v>1010.0000000004</v>
      </c>
      <c r="L3770">
        <v>1166.4100000000001</v>
      </c>
      <c r="M3770">
        <v>2352.1527624309392</v>
      </c>
      <c r="N3770">
        <v>2236.8100000000004</v>
      </c>
      <c r="O3770">
        <v>2332.8200000000002</v>
      </c>
      <c r="P3770">
        <v>0</v>
      </c>
      <c r="Q3770">
        <f t="shared" si="760"/>
        <v>2332.8200000000002</v>
      </c>
      <c r="R3770">
        <v>2332.8200000000002</v>
      </c>
      <c r="S3770">
        <f t="shared" si="761"/>
        <v>0</v>
      </c>
      <c r="T3770"/>
      <c r="U3770">
        <f t="shared" si="762"/>
        <v>0</v>
      </c>
      <c r="V3770">
        <f t="shared" si="763"/>
        <v>2332.8200000000002</v>
      </c>
      <c r="W3770">
        <f t="shared" si="764"/>
        <v>0</v>
      </c>
      <c r="X3770">
        <v>0</v>
      </c>
    </row>
    <row r="3771" spans="1:24" x14ac:dyDescent="0.25">
      <c r="A3771" t="s">
        <v>1948</v>
      </c>
      <c r="B3771" t="s">
        <v>1949</v>
      </c>
      <c r="C3771" t="s">
        <v>2212</v>
      </c>
      <c r="D3771" t="s">
        <v>380</v>
      </c>
      <c r="E3771" t="s">
        <v>37</v>
      </c>
      <c r="F3771" t="s">
        <v>1</v>
      </c>
      <c r="G3771" t="s">
        <v>1215</v>
      </c>
      <c r="H3771" t="s">
        <v>437</v>
      </c>
      <c r="I3771" t="s">
        <v>1</v>
      </c>
      <c r="J3771">
        <v>3269.34</v>
      </c>
      <c r="K3771"/>
      <c r="L3771">
        <v>1945</v>
      </c>
      <c r="M3771">
        <v>3922.2375690607732</v>
      </c>
      <c r="N3771">
        <v>3645</v>
      </c>
      <c r="O3771">
        <v>3890</v>
      </c>
      <c r="P3771">
        <v>0</v>
      </c>
      <c r="Q3771">
        <f t="shared" si="760"/>
        <v>3890</v>
      </c>
      <c r="R3771">
        <v>3890</v>
      </c>
      <c r="S3771">
        <f t="shared" si="761"/>
        <v>0</v>
      </c>
      <c r="T3771"/>
      <c r="U3771">
        <f t="shared" si="762"/>
        <v>0</v>
      </c>
      <c r="V3771">
        <f t="shared" si="763"/>
        <v>3890</v>
      </c>
      <c r="W3771">
        <f t="shared" si="764"/>
        <v>0</v>
      </c>
      <c r="X3771">
        <v>0</v>
      </c>
    </row>
    <row r="3772" spans="1:24" x14ac:dyDescent="0.25">
      <c r="A3772" t="s">
        <v>1948</v>
      </c>
      <c r="B3772" t="s">
        <v>1949</v>
      </c>
      <c r="C3772" t="s">
        <v>2212</v>
      </c>
      <c r="D3772" t="s">
        <v>380</v>
      </c>
      <c r="E3772" t="s">
        <v>41</v>
      </c>
      <c r="F3772" t="s">
        <v>1</v>
      </c>
      <c r="G3772" t="s">
        <v>1215</v>
      </c>
      <c r="H3772" t="s">
        <v>441</v>
      </c>
      <c r="I3772" t="s">
        <v>1</v>
      </c>
      <c r="J3772"/>
      <c r="K3772"/>
      <c r="L3772">
        <v>431.62</v>
      </c>
      <c r="M3772">
        <v>870.39392265193374</v>
      </c>
      <c r="N3772">
        <v>431.62</v>
      </c>
      <c r="O3772">
        <v>863.24</v>
      </c>
      <c r="P3772">
        <v>0</v>
      </c>
      <c r="Q3772">
        <f t="shared" si="760"/>
        <v>863.24</v>
      </c>
      <c r="R3772">
        <v>863.24</v>
      </c>
      <c r="S3772">
        <f t="shared" si="761"/>
        <v>0</v>
      </c>
      <c r="T3772">
        <v>0.03</v>
      </c>
      <c r="U3772">
        <f t="shared" si="762"/>
        <v>25.897199999999998</v>
      </c>
      <c r="V3772">
        <f t="shared" si="763"/>
        <v>889.13720000000001</v>
      </c>
      <c r="W3772">
        <f t="shared" si="764"/>
        <v>25.897199999999998</v>
      </c>
      <c r="X3772">
        <v>0</v>
      </c>
    </row>
    <row r="3773" spans="1:24" x14ac:dyDescent="0.25">
      <c r="A3773" t="s">
        <v>1948</v>
      </c>
      <c r="B3773" t="s">
        <v>1949</v>
      </c>
      <c r="C3773" t="s">
        <v>2212</v>
      </c>
      <c r="D3773" t="s">
        <v>380</v>
      </c>
      <c r="E3773" t="s">
        <v>42</v>
      </c>
      <c r="F3773" t="s">
        <v>1</v>
      </c>
      <c r="G3773" t="s">
        <v>1215</v>
      </c>
      <c r="H3773" t="s">
        <v>442</v>
      </c>
      <c r="I3773" t="s">
        <v>1</v>
      </c>
      <c r="J3773">
        <v>52871.28</v>
      </c>
      <c r="K3773">
        <v>52871.0000000004</v>
      </c>
      <c r="L3773">
        <v>26435.64</v>
      </c>
      <c r="M3773">
        <v>53309.439779005523</v>
      </c>
      <c r="N3773">
        <v>52871.280000000006</v>
      </c>
      <c r="O3773">
        <v>52871.28</v>
      </c>
      <c r="P3773">
        <v>0</v>
      </c>
      <c r="Q3773">
        <f t="shared" si="760"/>
        <v>52871.28</v>
      </c>
      <c r="R3773">
        <v>52871.28</v>
      </c>
      <c r="S3773">
        <f t="shared" si="761"/>
        <v>0</v>
      </c>
      <c r="T3773">
        <v>0.03</v>
      </c>
      <c r="U3773">
        <f t="shared" si="762"/>
        <v>1586.1383999999998</v>
      </c>
      <c r="V3773">
        <f t="shared" si="763"/>
        <v>54457.418399999995</v>
      </c>
      <c r="W3773">
        <f t="shared" si="764"/>
        <v>1586.1383999999962</v>
      </c>
      <c r="X3773">
        <v>0</v>
      </c>
    </row>
    <row r="3774" spans="1:24" x14ac:dyDescent="0.25">
      <c r="A3774" t="s">
        <v>1948</v>
      </c>
      <c r="B3774" t="s">
        <v>1949</v>
      </c>
      <c r="C3774" t="s">
        <v>2212</v>
      </c>
      <c r="D3774" t="s">
        <v>380</v>
      </c>
      <c r="E3774" t="s">
        <v>306</v>
      </c>
      <c r="F3774" t="s">
        <v>1</v>
      </c>
      <c r="G3774" t="s">
        <v>1215</v>
      </c>
      <c r="H3774" t="s">
        <v>1057</v>
      </c>
      <c r="I3774" t="s">
        <v>1</v>
      </c>
      <c r="J3774">
        <v>1921.98</v>
      </c>
      <c r="K3774"/>
      <c r="L3774">
        <v>0</v>
      </c>
      <c r="M3774">
        <v>0</v>
      </c>
      <c r="N3774">
        <v>-93.02</v>
      </c>
      <c r="O3774"/>
      <c r="P3774">
        <v>0</v>
      </c>
      <c r="Q3774">
        <f t="shared" si="760"/>
        <v>0</v>
      </c>
      <c r="R3774">
        <v>0</v>
      </c>
      <c r="S3774">
        <f t="shared" si="761"/>
        <v>0</v>
      </c>
      <c r="T3774">
        <v>0.03</v>
      </c>
      <c r="U3774">
        <f t="shared" si="762"/>
        <v>0</v>
      </c>
      <c r="V3774">
        <f t="shared" si="763"/>
        <v>0</v>
      </c>
      <c r="W3774">
        <f t="shared" si="764"/>
        <v>0</v>
      </c>
      <c r="X3774">
        <v>0</v>
      </c>
    </row>
    <row r="3775" spans="1:24" x14ac:dyDescent="0.25">
      <c r="A3775" t="s">
        <v>1948</v>
      </c>
      <c r="B3775" t="s">
        <v>1949</v>
      </c>
      <c r="C3775" t="s">
        <v>2212</v>
      </c>
      <c r="D3775" t="s">
        <v>380</v>
      </c>
      <c r="E3775" t="s">
        <v>43</v>
      </c>
      <c r="F3775" t="s">
        <v>1</v>
      </c>
      <c r="G3775" t="s">
        <v>1215</v>
      </c>
      <c r="H3775" t="s">
        <v>443</v>
      </c>
      <c r="I3775" t="s">
        <v>1</v>
      </c>
      <c r="J3775">
        <v>81321.17</v>
      </c>
      <c r="K3775">
        <v>75957</v>
      </c>
      <c r="L3775">
        <v>60210.42</v>
      </c>
      <c r="M3775">
        <v>121418.80276243095</v>
      </c>
      <c r="N3775">
        <v>94055.59</v>
      </c>
      <c r="O3775">
        <v>120420.84</v>
      </c>
      <c r="P3775">
        <v>0</v>
      </c>
      <c r="Q3775">
        <f t="shared" si="760"/>
        <v>120420.84</v>
      </c>
      <c r="R3775">
        <v>100000</v>
      </c>
      <c r="S3775">
        <f t="shared" si="761"/>
        <v>-20420.839999999997</v>
      </c>
      <c r="T3775">
        <v>0.03</v>
      </c>
      <c r="U3775">
        <f t="shared" si="762"/>
        <v>3000</v>
      </c>
      <c r="V3775">
        <f t="shared" si="763"/>
        <v>103000</v>
      </c>
      <c r="W3775">
        <f t="shared" si="764"/>
        <v>-17420.839999999997</v>
      </c>
      <c r="X3775">
        <v>0</v>
      </c>
    </row>
    <row r="3776" spans="1:24" x14ac:dyDescent="0.25">
      <c r="A3776" t="s">
        <v>1948</v>
      </c>
      <c r="B3776" t="s">
        <v>1949</v>
      </c>
      <c r="C3776" t="s">
        <v>2212</v>
      </c>
      <c r="D3776" t="s">
        <v>380</v>
      </c>
      <c r="E3776" t="s">
        <v>281</v>
      </c>
      <c r="F3776" t="s">
        <v>1</v>
      </c>
      <c r="G3776" t="s">
        <v>1215</v>
      </c>
      <c r="H3776" t="s">
        <v>994</v>
      </c>
      <c r="I3776" t="s">
        <v>1</v>
      </c>
      <c r="J3776">
        <v>4684933.5</v>
      </c>
      <c r="K3776">
        <v>4448146</v>
      </c>
      <c r="L3776">
        <v>2350501.1</v>
      </c>
      <c r="M3776">
        <v>4739960.781767956</v>
      </c>
      <c r="N3776">
        <v>4820451.7</v>
      </c>
      <c r="O3776">
        <v>4701002.2</v>
      </c>
      <c r="P3776">
        <v>0</v>
      </c>
      <c r="Q3776">
        <f t="shared" si="760"/>
        <v>4701002.2</v>
      </c>
      <c r="R3776">
        <v>6173039.6000000006</v>
      </c>
      <c r="S3776">
        <f t="shared" si="761"/>
        <v>1472037.4000000004</v>
      </c>
      <c r="T3776">
        <v>0.03</v>
      </c>
      <c r="U3776">
        <f t="shared" si="762"/>
        <v>185191.18800000002</v>
      </c>
      <c r="V3776">
        <f t="shared" si="763"/>
        <v>6358230.7880000006</v>
      </c>
      <c r="W3776">
        <f t="shared" si="764"/>
        <v>1657228.5880000005</v>
      </c>
      <c r="X3776" t="s">
        <v>1904</v>
      </c>
    </row>
    <row r="3777" spans="1:24" x14ac:dyDescent="0.25">
      <c r="A3777" t="s">
        <v>1948</v>
      </c>
      <c r="B3777" t="s">
        <v>1949</v>
      </c>
      <c r="C3777" t="s">
        <v>2212</v>
      </c>
      <c r="D3777" t="s">
        <v>380</v>
      </c>
      <c r="E3777" t="s">
        <v>46</v>
      </c>
      <c r="F3777" t="s">
        <v>1</v>
      </c>
      <c r="G3777" t="s">
        <v>1215</v>
      </c>
      <c r="H3777" t="s">
        <v>446</v>
      </c>
      <c r="I3777" t="s">
        <v>1</v>
      </c>
      <c r="J3777">
        <v>53923.99</v>
      </c>
      <c r="K3777">
        <v>89931</v>
      </c>
      <c r="L3777">
        <v>7588.64</v>
      </c>
      <c r="M3777">
        <v>15303.058563535913</v>
      </c>
      <c r="N3777">
        <v>16916.650000000001</v>
      </c>
      <c r="O3777">
        <v>15177.28</v>
      </c>
      <c r="P3777">
        <v>0</v>
      </c>
      <c r="Q3777">
        <f t="shared" si="760"/>
        <v>15177.28</v>
      </c>
      <c r="R3777">
        <v>15177.28</v>
      </c>
      <c r="S3777">
        <f t="shared" si="761"/>
        <v>0</v>
      </c>
      <c r="T3777">
        <v>0.03</v>
      </c>
      <c r="U3777">
        <f t="shared" si="762"/>
        <v>455.3184</v>
      </c>
      <c r="V3777">
        <f t="shared" si="763"/>
        <v>15632.598400000001</v>
      </c>
      <c r="W3777">
        <f t="shared" si="764"/>
        <v>455.31840000000011</v>
      </c>
      <c r="X3777">
        <v>0</v>
      </c>
    </row>
    <row r="3778" spans="1:24" x14ac:dyDescent="0.25">
      <c r="A3778" t="s">
        <v>1948</v>
      </c>
      <c r="B3778" t="s">
        <v>1949</v>
      </c>
      <c r="C3778" t="s">
        <v>2212</v>
      </c>
      <c r="D3778" t="s">
        <v>380</v>
      </c>
      <c r="E3778" t="s">
        <v>48</v>
      </c>
      <c r="F3778" t="s">
        <v>1</v>
      </c>
      <c r="G3778" t="s">
        <v>1215</v>
      </c>
      <c r="H3778" t="s">
        <v>448</v>
      </c>
      <c r="I3778" t="s">
        <v>1</v>
      </c>
      <c r="J3778">
        <v>126.15</v>
      </c>
      <c r="K3778">
        <v>189</v>
      </c>
      <c r="L3778">
        <v>199.72</v>
      </c>
      <c r="M3778">
        <v>402.75027624309394</v>
      </c>
      <c r="N3778">
        <v>263.01</v>
      </c>
      <c r="O3778">
        <v>399.44</v>
      </c>
      <c r="P3778">
        <v>0</v>
      </c>
      <c r="Q3778">
        <f t="shared" si="760"/>
        <v>399.44</v>
      </c>
      <c r="R3778">
        <v>399.44</v>
      </c>
      <c r="S3778">
        <f t="shared" si="761"/>
        <v>0</v>
      </c>
      <c r="T3778">
        <v>0.03</v>
      </c>
      <c r="U3778">
        <f t="shared" si="762"/>
        <v>11.9832</v>
      </c>
      <c r="V3778">
        <f t="shared" si="763"/>
        <v>411.42320000000001</v>
      </c>
      <c r="W3778">
        <f t="shared" si="764"/>
        <v>11.983200000000011</v>
      </c>
      <c r="X3778">
        <v>0</v>
      </c>
    </row>
    <row r="3779" spans="1:24" x14ac:dyDescent="0.25">
      <c r="A3779" t="s">
        <v>1948</v>
      </c>
      <c r="B3779" t="s">
        <v>1949</v>
      </c>
      <c r="C3779" t="s">
        <v>2212</v>
      </c>
      <c r="D3779" t="s">
        <v>380</v>
      </c>
      <c r="E3779" t="s">
        <v>50</v>
      </c>
      <c r="F3779" t="s">
        <v>1</v>
      </c>
      <c r="G3779" t="s">
        <v>1215</v>
      </c>
      <c r="H3779" t="s">
        <v>450</v>
      </c>
      <c r="I3779" t="s">
        <v>1</v>
      </c>
      <c r="J3779">
        <v>7218.87</v>
      </c>
      <c r="K3779">
        <v>6570</v>
      </c>
      <c r="L3779">
        <v>3806.79</v>
      </c>
      <c r="M3779">
        <v>7676.6759668508294</v>
      </c>
      <c r="N3779">
        <v>8196.4</v>
      </c>
      <c r="O3779">
        <v>7676.6759668508003</v>
      </c>
      <c r="P3779">
        <v>0</v>
      </c>
      <c r="Q3779">
        <f t="shared" si="760"/>
        <v>7676.6759668508003</v>
      </c>
      <c r="R3779">
        <v>7676.6759668508003</v>
      </c>
      <c r="S3779">
        <f t="shared" si="761"/>
        <v>0</v>
      </c>
      <c r="T3779"/>
      <c r="U3779">
        <f t="shared" si="762"/>
        <v>0</v>
      </c>
      <c r="V3779">
        <f t="shared" si="763"/>
        <v>7676.6759668508003</v>
      </c>
      <c r="W3779">
        <f t="shared" si="764"/>
        <v>0</v>
      </c>
      <c r="X3779">
        <v>0</v>
      </c>
    </row>
    <row r="3780" spans="1:24" x14ac:dyDescent="0.25">
      <c r="A3780" t="s">
        <v>1948</v>
      </c>
      <c r="B3780" t="s">
        <v>1949</v>
      </c>
      <c r="C3780" t="s">
        <v>2212</v>
      </c>
      <c r="D3780" t="s">
        <v>380</v>
      </c>
      <c r="E3780" t="s">
        <v>51</v>
      </c>
      <c r="F3780" t="s">
        <v>51</v>
      </c>
      <c r="G3780" t="s">
        <v>1216</v>
      </c>
      <c r="H3780"/>
      <c r="I3780"/>
      <c r="J3780">
        <v>5023802.3100000005</v>
      </c>
      <c r="K3780">
        <v>4880486.2983162357</v>
      </c>
      <c r="L3780">
        <v>2510717.6300000004</v>
      </c>
      <c r="M3780">
        <v>5063049.3643646408</v>
      </c>
      <c r="N3780">
        <v>5089506.9900000012</v>
      </c>
      <c r="O3780">
        <v>5022149.2169333985</v>
      </c>
      <c r="P3780">
        <f>SUMIF($F$3753:$F$3779,"&lt;&gt;EV_*",$P$3753:$P$3779)</f>
        <v>0</v>
      </c>
      <c r="Q3780">
        <f>SUMIF($F$3753:$F$3779,"&lt;&gt;EV_*",$Q$3753:$Q$3779)</f>
        <v>5022149.2169333985</v>
      </c>
      <c r="R3780">
        <f>SUMIF($F$3753:$F$3779,"&lt;&gt;EV_*",$R$3753:$R$3779)</f>
        <v>6468813.4393509813</v>
      </c>
      <c r="S3780">
        <f>SUMIF($F$3753:$F$3779,"&lt;&gt;EV_*",$S$3753:$S$3779)</f>
        <v>1446664.2224175828</v>
      </c>
      <c r="T3780">
        <v>0</v>
      </c>
      <c r="U3780">
        <f>SUMIF($F$3753:$F$3779,"&lt;&gt;EV_*",$U$3753:$U$3779)</f>
        <v>193033.37971051241</v>
      </c>
      <c r="V3780">
        <f>SUMIF($F$3753:$F$3779,"&lt;&gt;EV_*",$V$3753:$V$3779)</f>
        <v>6661846.8190614926</v>
      </c>
      <c r="W3780">
        <f>SUMIF($F$3753:$F$3779,"&lt;&gt;EV_*",$W$3753:$W$3779)</f>
        <v>1639697.6021280952</v>
      </c>
      <c r="X3780">
        <f>SUMIF($F$3753:$F$3779,"&lt;&gt;EV_*",$X$3753:$X$3779)</f>
        <v>0</v>
      </c>
    </row>
    <row r="3781" spans="1:24" x14ac:dyDescent="0.25">
      <c r="A3781" t="s">
        <v>1948</v>
      </c>
      <c r="B3781" t="s">
        <v>2213</v>
      </c>
      <c r="C3781" t="s">
        <v>2214</v>
      </c>
      <c r="D3781" t="s">
        <v>381</v>
      </c>
      <c r="E3781" t="s">
        <v>5</v>
      </c>
      <c r="F3781" t="s">
        <v>5</v>
      </c>
      <c r="G3781" t="s">
        <v>1217</v>
      </c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</row>
    <row r="3782" spans="1:24" x14ac:dyDescent="0.25">
      <c r="A3782" t="s">
        <v>1948</v>
      </c>
      <c r="B3782" t="s">
        <v>2213</v>
      </c>
      <c r="C3782" t="s">
        <v>2214</v>
      </c>
      <c r="D3782" t="s">
        <v>381</v>
      </c>
      <c r="E3782" t="s">
        <v>10</v>
      </c>
      <c r="F3782" t="s">
        <v>1</v>
      </c>
      <c r="G3782" t="s">
        <v>1218</v>
      </c>
      <c r="H3782" t="s">
        <v>410</v>
      </c>
      <c r="I3782" t="s">
        <v>1</v>
      </c>
      <c r="J3782">
        <v>0</v>
      </c>
      <c r="K3782"/>
      <c r="L3782">
        <v>0</v>
      </c>
      <c r="M3782">
        <v>0</v>
      </c>
      <c r="N3782">
        <v>0</v>
      </c>
      <c r="O3782"/>
      <c r="P3782">
        <v>0</v>
      </c>
      <c r="Q3782">
        <f t="shared" ref="Q3782:Q3796" si="765">O3782+P3782</f>
        <v>0</v>
      </c>
      <c r="R3782">
        <v>0</v>
      </c>
      <c r="S3782">
        <f t="shared" ref="S3782:S3796" si="766">IF(OR(LEFT(E3782,2)="A_",LEFT(D3782,5)="Total"),R3782-Q3782,"")</f>
        <v>0</v>
      </c>
      <c r="T3782"/>
      <c r="U3782">
        <f t="shared" ref="U3782:U3796" si="767">IFERROR(R3782*T3782,R3782*0)</f>
        <v>0</v>
      </c>
      <c r="V3782">
        <f t="shared" ref="V3782:V3796" si="768">IF(OR(LEFT(E3782,2)="A_",LEFT(D3782,5)="Total"),R3782+U3782,"")</f>
        <v>0</v>
      </c>
      <c r="W3782">
        <f t="shared" ref="W3782:W3796" si="769">IF(OR(LEFT(E3782,2)="A_",LEFT(D3782,5)="Total"),V3782-Q3782,"")</f>
        <v>0</v>
      </c>
      <c r="X3782">
        <v>0</v>
      </c>
    </row>
    <row r="3783" spans="1:24" x14ac:dyDescent="0.25">
      <c r="A3783" t="s">
        <v>1948</v>
      </c>
      <c r="B3783" t="s">
        <v>2213</v>
      </c>
      <c r="C3783" t="s">
        <v>2214</v>
      </c>
      <c r="D3783" t="s">
        <v>381</v>
      </c>
      <c r="E3783" t="s">
        <v>17</v>
      </c>
      <c r="F3783" t="s">
        <v>1</v>
      </c>
      <c r="G3783" t="s">
        <v>1218</v>
      </c>
      <c r="H3783" t="s">
        <v>417</v>
      </c>
      <c r="I3783" t="s">
        <v>1</v>
      </c>
      <c r="J3783">
        <v>0</v>
      </c>
      <c r="K3783"/>
      <c r="L3783">
        <v>0</v>
      </c>
      <c r="M3783">
        <v>0</v>
      </c>
      <c r="N3783">
        <v>118.99</v>
      </c>
      <c r="O3783"/>
      <c r="P3783">
        <v>0</v>
      </c>
      <c r="Q3783">
        <f t="shared" si="765"/>
        <v>0</v>
      </c>
      <c r="R3783">
        <v>0</v>
      </c>
      <c r="S3783">
        <f t="shared" si="766"/>
        <v>0</v>
      </c>
      <c r="T3783"/>
      <c r="U3783">
        <f t="shared" si="767"/>
        <v>0</v>
      </c>
      <c r="V3783">
        <f t="shared" si="768"/>
        <v>0</v>
      </c>
      <c r="W3783">
        <f t="shared" si="769"/>
        <v>0</v>
      </c>
      <c r="X3783">
        <v>0</v>
      </c>
    </row>
    <row r="3784" spans="1:24" x14ac:dyDescent="0.25">
      <c r="A3784" t="s">
        <v>1948</v>
      </c>
      <c r="B3784" t="s">
        <v>2213</v>
      </c>
      <c r="C3784" t="s">
        <v>2214</v>
      </c>
      <c r="D3784" t="s">
        <v>381</v>
      </c>
      <c r="E3784" t="s">
        <v>18</v>
      </c>
      <c r="F3784" t="s">
        <v>1</v>
      </c>
      <c r="G3784" t="s">
        <v>1218</v>
      </c>
      <c r="H3784" t="s">
        <v>418</v>
      </c>
      <c r="I3784" t="s">
        <v>1</v>
      </c>
      <c r="J3784">
        <v>2218.5</v>
      </c>
      <c r="K3784">
        <v>3085.2638888891001</v>
      </c>
      <c r="L3784">
        <v>1229.25</v>
      </c>
      <c r="M3784">
        <v>2478.8743093922653</v>
      </c>
      <c r="N3784">
        <v>1434</v>
      </c>
      <c r="O3784">
        <v>2472.0082417581998</v>
      </c>
      <c r="P3784">
        <v>0</v>
      </c>
      <c r="Q3784">
        <f t="shared" si="765"/>
        <v>2472.0082417581998</v>
      </c>
      <c r="R3784">
        <v>2472.0082417581998</v>
      </c>
      <c r="S3784">
        <f t="shared" si="766"/>
        <v>0</v>
      </c>
      <c r="T3784">
        <v>0.02</v>
      </c>
      <c r="U3784">
        <f t="shared" si="767"/>
        <v>49.440164835163998</v>
      </c>
      <c r="V3784">
        <f t="shared" si="768"/>
        <v>2521.4484065933639</v>
      </c>
      <c r="W3784">
        <f t="shared" si="769"/>
        <v>49.440164835164069</v>
      </c>
      <c r="X3784">
        <v>0</v>
      </c>
    </row>
    <row r="3785" spans="1:24" x14ac:dyDescent="0.25">
      <c r="A3785" t="s">
        <v>1948</v>
      </c>
      <c r="B3785" t="s">
        <v>2213</v>
      </c>
      <c r="C3785" t="s">
        <v>2214</v>
      </c>
      <c r="D3785" t="s">
        <v>381</v>
      </c>
      <c r="E3785" t="s">
        <v>21</v>
      </c>
      <c r="F3785" t="s">
        <v>1</v>
      </c>
      <c r="G3785" t="s">
        <v>1218</v>
      </c>
      <c r="H3785" t="s">
        <v>421</v>
      </c>
      <c r="I3785" t="s">
        <v>1</v>
      </c>
      <c r="J3785">
        <v>23255.27</v>
      </c>
      <c r="K3785">
        <v>9782.5699999998997</v>
      </c>
      <c r="L3785">
        <v>6874.72</v>
      </c>
      <c r="M3785">
        <v>13863.385635359116</v>
      </c>
      <c r="N3785">
        <v>24167.51</v>
      </c>
      <c r="O3785">
        <v>13863.3856353591</v>
      </c>
      <c r="P3785">
        <v>0</v>
      </c>
      <c r="Q3785">
        <f t="shared" si="765"/>
        <v>13863.3856353591</v>
      </c>
      <c r="R3785">
        <v>13000</v>
      </c>
      <c r="S3785">
        <f t="shared" si="766"/>
        <v>-863.38563535909998</v>
      </c>
      <c r="T3785">
        <v>0.03</v>
      </c>
      <c r="U3785">
        <f t="shared" si="767"/>
        <v>390</v>
      </c>
      <c r="V3785">
        <f t="shared" si="768"/>
        <v>13390</v>
      </c>
      <c r="W3785">
        <f t="shared" si="769"/>
        <v>-473.38563535909998</v>
      </c>
      <c r="X3785" t="s">
        <v>1905</v>
      </c>
    </row>
    <row r="3786" spans="1:24" x14ac:dyDescent="0.25">
      <c r="A3786" t="s">
        <v>1948</v>
      </c>
      <c r="B3786" t="s">
        <v>2213</v>
      </c>
      <c r="C3786" t="s">
        <v>2214</v>
      </c>
      <c r="D3786" t="s">
        <v>381</v>
      </c>
      <c r="E3786" t="s">
        <v>66</v>
      </c>
      <c r="F3786" t="s">
        <v>1</v>
      </c>
      <c r="G3786" t="s">
        <v>1218</v>
      </c>
      <c r="H3786" t="s">
        <v>477</v>
      </c>
      <c r="I3786" t="s">
        <v>1</v>
      </c>
      <c r="J3786">
        <v>23850</v>
      </c>
      <c r="K3786"/>
      <c r="L3786">
        <v>523.94000000000005</v>
      </c>
      <c r="M3786">
        <v>1056.5640883977901</v>
      </c>
      <c r="N3786">
        <v>24373.94</v>
      </c>
      <c r="O3786">
        <v>1056.5640883978001</v>
      </c>
      <c r="P3786">
        <v>0</v>
      </c>
      <c r="Q3786">
        <f t="shared" si="765"/>
        <v>1056.5640883978001</v>
      </c>
      <c r="R3786">
        <v>0</v>
      </c>
      <c r="S3786">
        <f t="shared" si="766"/>
        <v>-1056.5640883978001</v>
      </c>
      <c r="T3786">
        <v>3.5000000000000003E-2</v>
      </c>
      <c r="U3786">
        <f t="shared" si="767"/>
        <v>0</v>
      </c>
      <c r="V3786">
        <f t="shared" si="768"/>
        <v>0</v>
      </c>
      <c r="W3786">
        <f t="shared" si="769"/>
        <v>-1056.5640883978001</v>
      </c>
      <c r="X3786">
        <v>0</v>
      </c>
    </row>
    <row r="3787" spans="1:24" x14ac:dyDescent="0.25">
      <c r="A3787" t="s">
        <v>1948</v>
      </c>
      <c r="B3787" t="s">
        <v>2213</v>
      </c>
      <c r="C3787" t="s">
        <v>2214</v>
      </c>
      <c r="D3787" t="s">
        <v>381</v>
      </c>
      <c r="E3787" t="s">
        <v>22</v>
      </c>
      <c r="F3787" t="s">
        <v>1</v>
      </c>
      <c r="G3787" t="s">
        <v>1218</v>
      </c>
      <c r="H3787" t="s">
        <v>422</v>
      </c>
      <c r="I3787" t="s">
        <v>1</v>
      </c>
      <c r="J3787">
        <v>13261.73</v>
      </c>
      <c r="K3787">
        <v>9366.1299999998992</v>
      </c>
      <c r="L3787">
        <v>3820.74</v>
      </c>
      <c r="M3787">
        <v>7704.8071823204409</v>
      </c>
      <c r="N3787">
        <v>12551.83</v>
      </c>
      <c r="O3787">
        <v>7704.8071823204</v>
      </c>
      <c r="P3787">
        <v>0</v>
      </c>
      <c r="Q3787">
        <f t="shared" si="765"/>
        <v>7704.8071823204</v>
      </c>
      <c r="R3787">
        <v>7704.8071823204</v>
      </c>
      <c r="S3787">
        <f t="shared" si="766"/>
        <v>0</v>
      </c>
      <c r="T3787">
        <v>3.5000000000000003E-2</v>
      </c>
      <c r="U3787">
        <f t="shared" si="767"/>
        <v>269.66825138121402</v>
      </c>
      <c r="V3787">
        <f t="shared" si="768"/>
        <v>7974.4754337016138</v>
      </c>
      <c r="W3787">
        <f t="shared" si="769"/>
        <v>269.66825138121385</v>
      </c>
      <c r="X3787">
        <v>0</v>
      </c>
    </row>
    <row r="3788" spans="1:24" x14ac:dyDescent="0.25">
      <c r="A3788" t="s">
        <v>1948</v>
      </c>
      <c r="B3788" t="s">
        <v>2213</v>
      </c>
      <c r="C3788" t="s">
        <v>2214</v>
      </c>
      <c r="D3788" t="s">
        <v>381</v>
      </c>
      <c r="E3788" t="s">
        <v>23</v>
      </c>
      <c r="F3788" t="s">
        <v>1</v>
      </c>
      <c r="G3788" t="s">
        <v>1218</v>
      </c>
      <c r="H3788" t="s">
        <v>423</v>
      </c>
      <c r="I3788" t="s">
        <v>1</v>
      </c>
      <c r="J3788">
        <v>4595.5600000000004</v>
      </c>
      <c r="K3788">
        <v>9511.65</v>
      </c>
      <c r="L3788">
        <v>0</v>
      </c>
      <c r="M3788">
        <v>0</v>
      </c>
      <c r="N3788">
        <v>0</v>
      </c>
      <c r="O3788"/>
      <c r="P3788">
        <v>0</v>
      </c>
      <c r="Q3788">
        <f t="shared" si="765"/>
        <v>0</v>
      </c>
      <c r="R3788">
        <v>0</v>
      </c>
      <c r="S3788">
        <f t="shared" si="766"/>
        <v>0</v>
      </c>
      <c r="T3788">
        <v>3.5000000000000003E-2</v>
      </c>
      <c r="U3788">
        <f t="shared" si="767"/>
        <v>0</v>
      </c>
      <c r="V3788">
        <f t="shared" si="768"/>
        <v>0</v>
      </c>
      <c r="W3788">
        <f t="shared" si="769"/>
        <v>0</v>
      </c>
      <c r="X3788">
        <v>0</v>
      </c>
    </row>
    <row r="3789" spans="1:24" x14ac:dyDescent="0.25">
      <c r="A3789" t="s">
        <v>1948</v>
      </c>
      <c r="B3789" t="s">
        <v>2213</v>
      </c>
      <c r="C3789" t="s">
        <v>2214</v>
      </c>
      <c r="D3789" t="s">
        <v>381</v>
      </c>
      <c r="E3789" t="s">
        <v>363</v>
      </c>
      <c r="F3789" t="s">
        <v>1</v>
      </c>
      <c r="G3789" t="s">
        <v>1218</v>
      </c>
      <c r="H3789" t="s">
        <v>1184</v>
      </c>
      <c r="I3789" t="s">
        <v>1</v>
      </c>
      <c r="J3789">
        <v>-118.99</v>
      </c>
      <c r="K3789"/>
      <c r="L3789">
        <v>0</v>
      </c>
      <c r="M3789">
        <v>0</v>
      </c>
      <c r="N3789">
        <v>-118.99</v>
      </c>
      <c r="O3789"/>
      <c r="P3789">
        <v>0</v>
      </c>
      <c r="Q3789">
        <f t="shared" si="765"/>
        <v>0</v>
      </c>
      <c r="R3789">
        <v>0</v>
      </c>
      <c r="S3789">
        <f t="shared" si="766"/>
        <v>0</v>
      </c>
      <c r="T3789"/>
      <c r="U3789">
        <f t="shared" si="767"/>
        <v>0</v>
      </c>
      <c r="V3789">
        <f t="shared" si="768"/>
        <v>0</v>
      </c>
      <c r="W3789">
        <f t="shared" si="769"/>
        <v>0</v>
      </c>
      <c r="X3789">
        <v>0</v>
      </c>
    </row>
    <row r="3790" spans="1:24" x14ac:dyDescent="0.25">
      <c r="A3790" t="s">
        <v>1948</v>
      </c>
      <c r="B3790" t="s">
        <v>2213</v>
      </c>
      <c r="C3790" t="s">
        <v>2214</v>
      </c>
      <c r="D3790" t="s">
        <v>381</v>
      </c>
      <c r="E3790" t="s">
        <v>28</v>
      </c>
      <c r="F3790" t="s">
        <v>1</v>
      </c>
      <c r="G3790" t="s">
        <v>1218</v>
      </c>
      <c r="H3790" t="s">
        <v>428</v>
      </c>
      <c r="I3790" t="s">
        <v>1</v>
      </c>
      <c r="J3790">
        <v>3533.54</v>
      </c>
      <c r="K3790">
        <v>1603.98</v>
      </c>
      <c r="L3790">
        <v>413.15</v>
      </c>
      <c r="M3790">
        <v>833.14779005524861</v>
      </c>
      <c r="N3790">
        <v>3163.2</v>
      </c>
      <c r="O3790">
        <v>826.3</v>
      </c>
      <c r="P3790">
        <v>0</v>
      </c>
      <c r="Q3790">
        <f t="shared" si="765"/>
        <v>826.3</v>
      </c>
      <c r="R3790">
        <v>826.3</v>
      </c>
      <c r="S3790">
        <f t="shared" si="766"/>
        <v>0</v>
      </c>
      <c r="T3790"/>
      <c r="U3790">
        <f t="shared" si="767"/>
        <v>0</v>
      </c>
      <c r="V3790">
        <f t="shared" si="768"/>
        <v>826.3</v>
      </c>
      <c r="W3790">
        <f t="shared" si="769"/>
        <v>0</v>
      </c>
      <c r="X3790">
        <v>0</v>
      </c>
    </row>
    <row r="3791" spans="1:24" x14ac:dyDescent="0.25">
      <c r="A3791" t="s">
        <v>1948</v>
      </c>
      <c r="B3791" t="s">
        <v>2213</v>
      </c>
      <c r="C3791" t="s">
        <v>2214</v>
      </c>
      <c r="D3791" t="s">
        <v>381</v>
      </c>
      <c r="E3791" t="s">
        <v>40</v>
      </c>
      <c r="F3791" t="s">
        <v>1</v>
      </c>
      <c r="G3791" t="s">
        <v>1218</v>
      </c>
      <c r="H3791" t="s">
        <v>440</v>
      </c>
      <c r="I3791" t="s">
        <v>1</v>
      </c>
      <c r="J3791">
        <v>20570.5</v>
      </c>
      <c r="K3791"/>
      <c r="L3791">
        <v>15353.12</v>
      </c>
      <c r="M3791">
        <v>30960.711602209947</v>
      </c>
      <c r="N3791">
        <v>27121.119999999999</v>
      </c>
      <c r="O3791">
        <v>30706.240000000002</v>
      </c>
      <c r="P3791">
        <v>0</v>
      </c>
      <c r="Q3791">
        <f t="shared" si="765"/>
        <v>30706.240000000002</v>
      </c>
      <c r="R3791">
        <v>0</v>
      </c>
      <c r="S3791">
        <f t="shared" si="766"/>
        <v>-30706.240000000002</v>
      </c>
      <c r="T3791">
        <v>0.03</v>
      </c>
      <c r="U3791">
        <f t="shared" si="767"/>
        <v>0</v>
      </c>
      <c r="V3791">
        <f t="shared" si="768"/>
        <v>0</v>
      </c>
      <c r="W3791">
        <f t="shared" si="769"/>
        <v>-30706.240000000002</v>
      </c>
      <c r="X3791">
        <v>0</v>
      </c>
    </row>
    <row r="3792" spans="1:24" x14ac:dyDescent="0.25">
      <c r="A3792" t="s">
        <v>1948</v>
      </c>
      <c r="B3792" t="s">
        <v>2213</v>
      </c>
      <c r="C3792" t="s">
        <v>2214</v>
      </c>
      <c r="D3792" t="s">
        <v>381</v>
      </c>
      <c r="E3792" t="s">
        <v>41</v>
      </c>
      <c r="F3792" t="s">
        <v>1</v>
      </c>
      <c r="G3792" t="s">
        <v>1218</v>
      </c>
      <c r="H3792" t="s">
        <v>441</v>
      </c>
      <c r="I3792" t="s">
        <v>1</v>
      </c>
      <c r="J3792">
        <v>432.11</v>
      </c>
      <c r="K3792"/>
      <c r="L3792">
        <v>0</v>
      </c>
      <c r="M3792">
        <v>0</v>
      </c>
      <c r="N3792">
        <v>432.11</v>
      </c>
      <c r="O3792"/>
      <c r="P3792">
        <v>0</v>
      </c>
      <c r="Q3792">
        <f t="shared" si="765"/>
        <v>0</v>
      </c>
      <c r="R3792">
        <v>0</v>
      </c>
      <c r="S3792">
        <f t="shared" si="766"/>
        <v>0</v>
      </c>
      <c r="T3792">
        <v>0.03</v>
      </c>
      <c r="U3792">
        <f t="shared" si="767"/>
        <v>0</v>
      </c>
      <c r="V3792">
        <f t="shared" si="768"/>
        <v>0</v>
      </c>
      <c r="W3792">
        <f t="shared" si="769"/>
        <v>0</v>
      </c>
      <c r="X3792">
        <v>0</v>
      </c>
    </row>
    <row r="3793" spans="1:24" x14ac:dyDescent="0.25">
      <c r="A3793" t="s">
        <v>1948</v>
      </c>
      <c r="B3793" t="s">
        <v>2213</v>
      </c>
      <c r="C3793" t="s">
        <v>2214</v>
      </c>
      <c r="D3793" t="s">
        <v>381</v>
      </c>
      <c r="E3793" t="s">
        <v>43</v>
      </c>
      <c r="F3793" t="s">
        <v>1</v>
      </c>
      <c r="G3793" t="s">
        <v>1218</v>
      </c>
      <c r="H3793" t="s">
        <v>443</v>
      </c>
      <c r="I3793" t="s">
        <v>1</v>
      </c>
      <c r="J3793">
        <v>15113.85</v>
      </c>
      <c r="K3793"/>
      <c r="L3793">
        <v>0</v>
      </c>
      <c r="M3793">
        <v>0</v>
      </c>
      <c r="N3793">
        <v>9984</v>
      </c>
      <c r="O3793"/>
      <c r="P3793">
        <v>0</v>
      </c>
      <c r="Q3793">
        <f t="shared" si="765"/>
        <v>0</v>
      </c>
      <c r="R3793">
        <v>0</v>
      </c>
      <c r="S3793">
        <f t="shared" si="766"/>
        <v>0</v>
      </c>
      <c r="T3793">
        <v>0.03</v>
      </c>
      <c r="U3793">
        <f t="shared" si="767"/>
        <v>0</v>
      </c>
      <c r="V3793">
        <f t="shared" si="768"/>
        <v>0</v>
      </c>
      <c r="W3793">
        <f t="shared" si="769"/>
        <v>0</v>
      </c>
      <c r="X3793">
        <v>0</v>
      </c>
    </row>
    <row r="3794" spans="1:24" x14ac:dyDescent="0.25">
      <c r="A3794" t="s">
        <v>1948</v>
      </c>
      <c r="B3794" t="s">
        <v>2213</v>
      </c>
      <c r="C3794" t="s">
        <v>2214</v>
      </c>
      <c r="D3794" t="s">
        <v>381</v>
      </c>
      <c r="E3794" t="s">
        <v>46</v>
      </c>
      <c r="F3794" t="s">
        <v>1</v>
      </c>
      <c r="G3794" t="s">
        <v>1218</v>
      </c>
      <c r="H3794" t="s">
        <v>446</v>
      </c>
      <c r="I3794" t="s">
        <v>1</v>
      </c>
      <c r="J3794">
        <v>208.45</v>
      </c>
      <c r="K3794"/>
      <c r="L3794">
        <v>0</v>
      </c>
      <c r="M3794">
        <v>0</v>
      </c>
      <c r="N3794">
        <v>0</v>
      </c>
      <c r="O3794"/>
      <c r="P3794">
        <v>0</v>
      </c>
      <c r="Q3794">
        <f t="shared" si="765"/>
        <v>0</v>
      </c>
      <c r="R3794">
        <v>0</v>
      </c>
      <c r="S3794">
        <f t="shared" si="766"/>
        <v>0</v>
      </c>
      <c r="T3794">
        <v>0.03</v>
      </c>
      <c r="U3794">
        <f t="shared" si="767"/>
        <v>0</v>
      </c>
      <c r="V3794">
        <f t="shared" si="768"/>
        <v>0</v>
      </c>
      <c r="W3794">
        <f t="shared" si="769"/>
        <v>0</v>
      </c>
      <c r="X3794">
        <v>0</v>
      </c>
    </row>
    <row r="3795" spans="1:24" x14ac:dyDescent="0.25">
      <c r="A3795" t="s">
        <v>1948</v>
      </c>
      <c r="B3795" t="s">
        <v>2213</v>
      </c>
      <c r="C3795" t="s">
        <v>2214</v>
      </c>
      <c r="D3795" t="s">
        <v>381</v>
      </c>
      <c r="E3795" t="s">
        <v>183</v>
      </c>
      <c r="F3795" t="s">
        <v>1</v>
      </c>
      <c r="G3795" t="s">
        <v>1218</v>
      </c>
      <c r="H3795" t="s">
        <v>754</v>
      </c>
      <c r="I3795" t="s">
        <v>1</v>
      </c>
      <c r="J3795">
        <v>1858071.3</v>
      </c>
      <c r="K3795">
        <v>1671851.32</v>
      </c>
      <c r="L3795">
        <v>838343.48</v>
      </c>
      <c r="M3795">
        <v>1690582.1558011048</v>
      </c>
      <c r="N3795">
        <v>1782456.3600000003</v>
      </c>
      <c r="O3795">
        <v>1676686.96</v>
      </c>
      <c r="P3795">
        <v>0</v>
      </c>
      <c r="Q3795">
        <f t="shared" si="765"/>
        <v>1676686.96</v>
      </c>
      <c r="R3795">
        <v>1676686.96</v>
      </c>
      <c r="S3795">
        <f t="shared" si="766"/>
        <v>0</v>
      </c>
      <c r="T3795">
        <v>0.03</v>
      </c>
      <c r="U3795">
        <f t="shared" si="767"/>
        <v>50300.608799999995</v>
      </c>
      <c r="V3795">
        <f t="shared" si="768"/>
        <v>1726987.5688</v>
      </c>
      <c r="W3795">
        <f t="shared" si="769"/>
        <v>50300.608800000045</v>
      </c>
      <c r="X3795" t="s">
        <v>1906</v>
      </c>
    </row>
    <row r="3796" spans="1:24" x14ac:dyDescent="0.25">
      <c r="A3796" t="s">
        <v>1948</v>
      </c>
      <c r="B3796" t="s">
        <v>2213</v>
      </c>
      <c r="C3796" t="s">
        <v>2214</v>
      </c>
      <c r="D3796" t="s">
        <v>381</v>
      </c>
      <c r="E3796" t="s">
        <v>50</v>
      </c>
      <c r="F3796" t="s">
        <v>1</v>
      </c>
      <c r="G3796" t="s">
        <v>1218</v>
      </c>
      <c r="H3796" t="s">
        <v>450</v>
      </c>
      <c r="I3796" t="s">
        <v>1</v>
      </c>
      <c r="J3796">
        <v>720.82</v>
      </c>
      <c r="K3796">
        <v>690</v>
      </c>
      <c r="L3796">
        <v>393.18</v>
      </c>
      <c r="M3796">
        <v>792.87679558011064</v>
      </c>
      <c r="N3796">
        <v>786.33999999999992</v>
      </c>
      <c r="O3796">
        <v>792.87679558009995</v>
      </c>
      <c r="P3796">
        <v>0</v>
      </c>
      <c r="Q3796">
        <f t="shared" si="765"/>
        <v>792.87679558009995</v>
      </c>
      <c r="R3796">
        <v>792.87679558009995</v>
      </c>
      <c r="S3796">
        <f t="shared" si="766"/>
        <v>0</v>
      </c>
      <c r="T3796"/>
      <c r="U3796">
        <f t="shared" si="767"/>
        <v>0</v>
      </c>
      <c r="V3796">
        <f t="shared" si="768"/>
        <v>792.87679558009995</v>
      </c>
      <c r="W3796">
        <f t="shared" si="769"/>
        <v>0</v>
      </c>
      <c r="X3796" t="s">
        <v>1907</v>
      </c>
    </row>
    <row r="3797" spans="1:24" x14ac:dyDescent="0.25">
      <c r="A3797" t="s">
        <v>1948</v>
      </c>
      <c r="B3797" t="s">
        <v>2213</v>
      </c>
      <c r="C3797" t="s">
        <v>2214</v>
      </c>
      <c r="D3797" t="s">
        <v>381</v>
      </c>
      <c r="E3797" t="s">
        <v>51</v>
      </c>
      <c r="F3797" t="s">
        <v>51</v>
      </c>
      <c r="G3797" t="s">
        <v>1219</v>
      </c>
      <c r="H3797"/>
      <c r="I3797"/>
      <c r="J3797">
        <v>1965712.6400000001</v>
      </c>
      <c r="K3797">
        <v>1705890.9138888889</v>
      </c>
      <c r="L3797">
        <v>866951.58000000007</v>
      </c>
      <c r="M3797">
        <v>1748272.5232044198</v>
      </c>
      <c r="N3797">
        <v>1886470.4100000004</v>
      </c>
      <c r="O3797">
        <v>1734109.1419434156</v>
      </c>
      <c r="P3797">
        <f>SUMIF($F$3781:$F$3796,"&lt;&gt;EV_*",$P$3781:$P$3796)</f>
        <v>0</v>
      </c>
      <c r="Q3797">
        <f>SUMIF($F$3781:$F$3796,"&lt;&gt;EV_*",$Q$3781:$Q$3796)</f>
        <v>1734109.1419434156</v>
      </c>
      <c r="R3797">
        <f>SUMIF($F$3781:$F$3796,"&lt;&gt;EV_*",$R$3781:$R$3796)</f>
        <v>1701482.9522196588</v>
      </c>
      <c r="S3797">
        <f>SUMIF($F$3781:$F$3796,"&lt;&gt;EV_*",$S$3781:$S$3796)</f>
        <v>-32626.189723756903</v>
      </c>
      <c r="T3797">
        <v>0</v>
      </c>
      <c r="U3797">
        <f>SUMIF($F$3781:$F$3796,"&lt;&gt;EV_*",$U$3781:$U$3796)</f>
        <v>51009.71721621637</v>
      </c>
      <c r="V3797">
        <f>SUMIF($F$3781:$F$3796,"&lt;&gt;EV_*",$V$3781:$V$3796)</f>
        <v>1752492.669435875</v>
      </c>
      <c r="W3797">
        <f>SUMIF($F$3781:$F$3796,"&lt;&gt;EV_*",$W$3781:$W$3796)</f>
        <v>18383.527492459521</v>
      </c>
      <c r="X3797">
        <f>SUMIF($F$3781:$F$3796,"&lt;&gt;EV_*",$X$3781:$X$3796)</f>
        <v>0</v>
      </c>
    </row>
    <row r="3798" spans="1:24" x14ac:dyDescent="0.25">
      <c r="A3798" t="s">
        <v>1948</v>
      </c>
      <c r="B3798" t="s">
        <v>2213</v>
      </c>
      <c r="C3798" t="s">
        <v>2215</v>
      </c>
      <c r="D3798" t="s">
        <v>382</v>
      </c>
      <c r="E3798" t="s">
        <v>5</v>
      </c>
      <c r="F3798" t="s">
        <v>5</v>
      </c>
      <c r="G3798" t="s">
        <v>1220</v>
      </c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</row>
    <row r="3799" spans="1:24" x14ac:dyDescent="0.25">
      <c r="A3799" t="s">
        <v>1948</v>
      </c>
      <c r="B3799" t="s">
        <v>2213</v>
      </c>
      <c r="C3799" t="s">
        <v>2215</v>
      </c>
      <c r="D3799" t="s">
        <v>382</v>
      </c>
      <c r="E3799" t="s">
        <v>61</v>
      </c>
      <c r="F3799" t="s">
        <v>1</v>
      </c>
      <c r="G3799" t="s">
        <v>1221</v>
      </c>
      <c r="H3799" t="s">
        <v>470</v>
      </c>
      <c r="I3799" t="s">
        <v>1</v>
      </c>
      <c r="J3799">
        <v>16333.33</v>
      </c>
      <c r="K3799"/>
      <c r="L3799">
        <v>0</v>
      </c>
      <c r="M3799">
        <v>0</v>
      </c>
      <c r="N3799">
        <v>16333.33</v>
      </c>
      <c r="O3799"/>
      <c r="P3799">
        <v>0</v>
      </c>
      <c r="Q3799">
        <f t="shared" ref="Q3799:Q3826" si="770">O3799+P3799</f>
        <v>0</v>
      </c>
      <c r="R3799">
        <v>0</v>
      </c>
      <c r="S3799">
        <f t="shared" ref="S3799:S3826" si="771">IF(OR(LEFT(E3799,2)="A_",LEFT(D3799,5)="Total"),R3799-Q3799,"")</f>
        <v>0</v>
      </c>
      <c r="T3799"/>
      <c r="U3799">
        <f t="shared" ref="U3799:U3826" si="772">IFERROR(R3799*T3799,R3799*0)</f>
        <v>0</v>
      </c>
      <c r="V3799">
        <f t="shared" ref="V3799:V3826" si="773">IF(OR(LEFT(E3799,2)="A_",LEFT(D3799,5)="Total"),R3799+U3799,"")</f>
        <v>0</v>
      </c>
      <c r="W3799">
        <f t="shared" ref="W3799:W3826" si="774">IF(OR(LEFT(E3799,2)="A_",LEFT(D3799,5)="Total"),V3799-Q3799,"")</f>
        <v>0</v>
      </c>
      <c r="X3799">
        <v>0</v>
      </c>
    </row>
    <row r="3800" spans="1:24" x14ac:dyDescent="0.25">
      <c r="A3800" t="s">
        <v>1948</v>
      </c>
      <c r="B3800" t="s">
        <v>2213</v>
      </c>
      <c r="C3800" t="s">
        <v>2215</v>
      </c>
      <c r="D3800" t="s">
        <v>382</v>
      </c>
      <c r="E3800" t="s">
        <v>8</v>
      </c>
      <c r="F3800" t="s">
        <v>1</v>
      </c>
      <c r="G3800" t="s">
        <v>1221</v>
      </c>
      <c r="H3800" t="s">
        <v>408</v>
      </c>
      <c r="I3800" t="s">
        <v>1</v>
      </c>
      <c r="J3800">
        <v>16822.78</v>
      </c>
      <c r="K3800">
        <v>13973.006629834401</v>
      </c>
      <c r="L3800">
        <v>765.9</v>
      </c>
      <c r="M3800">
        <v>1544.4944751381215</v>
      </c>
      <c r="N3800">
        <v>10659.599999999999</v>
      </c>
      <c r="O3800">
        <v>1544.4944751380999</v>
      </c>
      <c r="P3800">
        <v>0</v>
      </c>
      <c r="Q3800">
        <f t="shared" si="770"/>
        <v>1544.4944751380999</v>
      </c>
      <c r="R3800">
        <v>1544.4944751380999</v>
      </c>
      <c r="S3800">
        <f t="shared" si="771"/>
        <v>0</v>
      </c>
      <c r="T3800"/>
      <c r="U3800">
        <f t="shared" si="772"/>
        <v>0</v>
      </c>
      <c r="V3800">
        <f t="shared" si="773"/>
        <v>1544.4944751380999</v>
      </c>
      <c r="W3800">
        <f t="shared" si="774"/>
        <v>0</v>
      </c>
      <c r="X3800">
        <v>0</v>
      </c>
    </row>
    <row r="3801" spans="1:24" x14ac:dyDescent="0.25">
      <c r="A3801" t="s">
        <v>1948</v>
      </c>
      <c r="B3801" t="s">
        <v>2213</v>
      </c>
      <c r="C3801" t="s">
        <v>2215</v>
      </c>
      <c r="D3801" t="s">
        <v>382</v>
      </c>
      <c r="E3801" t="s">
        <v>10</v>
      </c>
      <c r="F3801" t="s">
        <v>1</v>
      </c>
      <c r="G3801" t="s">
        <v>1221</v>
      </c>
      <c r="H3801" t="s">
        <v>410</v>
      </c>
      <c r="I3801" t="s">
        <v>1</v>
      </c>
      <c r="J3801">
        <v>18465.55</v>
      </c>
      <c r="K3801">
        <v>26982.9999999996</v>
      </c>
      <c r="L3801">
        <v>13317.4</v>
      </c>
      <c r="M3801">
        <v>26855.530386740331</v>
      </c>
      <c r="N3801">
        <v>34100.119999999995</v>
      </c>
      <c r="O3801">
        <v>26634.799999999999</v>
      </c>
      <c r="P3801">
        <v>0</v>
      </c>
      <c r="Q3801">
        <f t="shared" si="770"/>
        <v>26634.799999999999</v>
      </c>
      <c r="R3801">
        <v>26634.799999999999</v>
      </c>
      <c r="S3801">
        <f t="shared" si="771"/>
        <v>0</v>
      </c>
      <c r="T3801"/>
      <c r="U3801">
        <f t="shared" si="772"/>
        <v>0</v>
      </c>
      <c r="V3801">
        <f t="shared" si="773"/>
        <v>26634.799999999999</v>
      </c>
      <c r="W3801">
        <f t="shared" si="774"/>
        <v>0</v>
      </c>
      <c r="X3801" t="s">
        <v>1908</v>
      </c>
    </row>
    <row r="3802" spans="1:24" x14ac:dyDescent="0.25">
      <c r="A3802" t="s">
        <v>1948</v>
      </c>
      <c r="B3802" t="s">
        <v>2213</v>
      </c>
      <c r="C3802" t="s">
        <v>2215</v>
      </c>
      <c r="D3802" t="s">
        <v>382</v>
      </c>
      <c r="E3802" t="s">
        <v>11</v>
      </c>
      <c r="F3802" t="s">
        <v>1</v>
      </c>
      <c r="G3802" t="s">
        <v>1221</v>
      </c>
      <c r="H3802" t="s">
        <v>411</v>
      </c>
      <c r="I3802" t="s">
        <v>1</v>
      </c>
      <c r="J3802">
        <v>3150.77</v>
      </c>
      <c r="K3802">
        <v>3063.9999999995998</v>
      </c>
      <c r="L3802">
        <v>1711.53</v>
      </c>
      <c r="M3802">
        <v>3451.4279005524859</v>
      </c>
      <c r="N3802">
        <v>3382.16</v>
      </c>
      <c r="O3802">
        <v>3423.06</v>
      </c>
      <c r="P3802">
        <v>0</v>
      </c>
      <c r="Q3802">
        <f t="shared" si="770"/>
        <v>3423.06</v>
      </c>
      <c r="R3802">
        <v>3423.06</v>
      </c>
      <c r="S3802">
        <f t="shared" si="771"/>
        <v>0</v>
      </c>
      <c r="T3802"/>
      <c r="U3802">
        <f t="shared" si="772"/>
        <v>0</v>
      </c>
      <c r="V3802">
        <f t="shared" si="773"/>
        <v>3423.06</v>
      </c>
      <c r="W3802">
        <f t="shared" si="774"/>
        <v>0</v>
      </c>
      <c r="X3802" t="s">
        <v>1909</v>
      </c>
    </row>
    <row r="3803" spans="1:24" x14ac:dyDescent="0.25">
      <c r="A3803" t="s">
        <v>1948</v>
      </c>
      <c r="B3803" t="s">
        <v>2213</v>
      </c>
      <c r="C3803" t="s">
        <v>2215</v>
      </c>
      <c r="D3803" t="s">
        <v>382</v>
      </c>
      <c r="E3803" t="s">
        <v>65</v>
      </c>
      <c r="F3803" t="s">
        <v>1</v>
      </c>
      <c r="G3803" t="s">
        <v>1221</v>
      </c>
      <c r="H3803" t="s">
        <v>476</v>
      </c>
      <c r="I3803" t="s">
        <v>1</v>
      </c>
      <c r="J3803">
        <v>-27</v>
      </c>
      <c r="K3803"/>
      <c r="L3803">
        <v>-14.08</v>
      </c>
      <c r="M3803">
        <v>-28.393370165745857</v>
      </c>
      <c r="N3803">
        <v>-16.079999999999998</v>
      </c>
      <c r="O3803">
        <v>-28.314725274699999</v>
      </c>
      <c r="P3803">
        <v>0</v>
      </c>
      <c r="Q3803">
        <f t="shared" si="770"/>
        <v>-28.314725274699999</v>
      </c>
      <c r="R3803">
        <v>0</v>
      </c>
      <c r="S3803">
        <f t="shared" si="771"/>
        <v>28.314725274699999</v>
      </c>
      <c r="T3803"/>
      <c r="U3803">
        <f t="shared" si="772"/>
        <v>0</v>
      </c>
      <c r="V3803">
        <f t="shared" si="773"/>
        <v>0</v>
      </c>
      <c r="W3803">
        <f t="shared" si="774"/>
        <v>28.314725274699999</v>
      </c>
      <c r="X3803">
        <v>0</v>
      </c>
    </row>
    <row r="3804" spans="1:24" x14ac:dyDescent="0.25">
      <c r="A3804" t="s">
        <v>1948</v>
      </c>
      <c r="B3804" t="s">
        <v>2213</v>
      </c>
      <c r="C3804" t="s">
        <v>2215</v>
      </c>
      <c r="D3804" t="s">
        <v>382</v>
      </c>
      <c r="E3804" t="s">
        <v>17</v>
      </c>
      <c r="F3804" t="s">
        <v>1</v>
      </c>
      <c r="G3804" t="s">
        <v>1221</v>
      </c>
      <c r="H3804" t="s">
        <v>417</v>
      </c>
      <c r="I3804" t="s">
        <v>1</v>
      </c>
      <c r="J3804">
        <v>-675.65</v>
      </c>
      <c r="K3804">
        <v>-7190.0000000002001</v>
      </c>
      <c r="L3804">
        <v>-1404.17</v>
      </c>
      <c r="M3804">
        <v>-2831.6135359116024</v>
      </c>
      <c r="N3804">
        <v>4052.7000000000007</v>
      </c>
      <c r="O3804">
        <v>-2823.7704395604001</v>
      </c>
      <c r="P3804">
        <v>0</v>
      </c>
      <c r="Q3804">
        <f t="shared" si="770"/>
        <v>-2823.7704395604001</v>
      </c>
      <c r="R3804">
        <v>-2823.7704395604001</v>
      </c>
      <c r="S3804">
        <f t="shared" si="771"/>
        <v>0</v>
      </c>
      <c r="T3804"/>
      <c r="U3804">
        <f t="shared" si="772"/>
        <v>0</v>
      </c>
      <c r="V3804">
        <f t="shared" si="773"/>
        <v>-2823.7704395604001</v>
      </c>
      <c r="W3804">
        <f t="shared" si="774"/>
        <v>0</v>
      </c>
      <c r="X3804">
        <v>0</v>
      </c>
    </row>
    <row r="3805" spans="1:24" x14ac:dyDescent="0.25">
      <c r="A3805" t="s">
        <v>1948</v>
      </c>
      <c r="B3805" t="s">
        <v>2213</v>
      </c>
      <c r="C3805" t="s">
        <v>2215</v>
      </c>
      <c r="D3805" t="s">
        <v>382</v>
      </c>
      <c r="E3805" t="s">
        <v>84</v>
      </c>
      <c r="F3805" t="s">
        <v>1</v>
      </c>
      <c r="G3805" t="s">
        <v>1221</v>
      </c>
      <c r="H3805" t="s">
        <v>509</v>
      </c>
      <c r="I3805" t="s">
        <v>1</v>
      </c>
      <c r="J3805">
        <v>115.5</v>
      </c>
      <c r="K3805"/>
      <c r="L3805">
        <v>0</v>
      </c>
      <c r="M3805">
        <v>0</v>
      </c>
      <c r="N3805">
        <v>0</v>
      </c>
      <c r="O3805"/>
      <c r="P3805">
        <v>0</v>
      </c>
      <c r="Q3805">
        <f t="shared" si="770"/>
        <v>0</v>
      </c>
      <c r="R3805">
        <v>0</v>
      </c>
      <c r="S3805">
        <f t="shared" si="771"/>
        <v>0</v>
      </c>
      <c r="T3805">
        <v>2.5000000000000001E-2</v>
      </c>
      <c r="U3805">
        <f t="shared" si="772"/>
        <v>0</v>
      </c>
      <c r="V3805">
        <f t="shared" si="773"/>
        <v>0</v>
      </c>
      <c r="W3805">
        <f t="shared" si="774"/>
        <v>0</v>
      </c>
      <c r="X3805">
        <v>0</v>
      </c>
    </row>
    <row r="3806" spans="1:24" x14ac:dyDescent="0.25">
      <c r="A3806" t="s">
        <v>1948</v>
      </c>
      <c r="B3806" t="s">
        <v>2213</v>
      </c>
      <c r="C3806" t="s">
        <v>2215</v>
      </c>
      <c r="D3806" t="s">
        <v>382</v>
      </c>
      <c r="E3806" t="s">
        <v>18</v>
      </c>
      <c r="F3806" t="s">
        <v>1</v>
      </c>
      <c r="G3806" t="s">
        <v>1221</v>
      </c>
      <c r="H3806" t="s">
        <v>418</v>
      </c>
      <c r="I3806" t="s">
        <v>1</v>
      </c>
      <c r="J3806">
        <v>7598.04</v>
      </c>
      <c r="K3806">
        <v>8959.2784691355992</v>
      </c>
      <c r="L3806">
        <v>1926.16</v>
      </c>
      <c r="M3806">
        <v>3884.2453038674034</v>
      </c>
      <c r="N3806">
        <v>3557.04</v>
      </c>
      <c r="O3806">
        <v>3873.4865934066002</v>
      </c>
      <c r="P3806">
        <v>0</v>
      </c>
      <c r="Q3806">
        <f t="shared" si="770"/>
        <v>3873.4865934066002</v>
      </c>
      <c r="R3806">
        <v>0</v>
      </c>
      <c r="S3806">
        <f t="shared" si="771"/>
        <v>-3873.4865934066002</v>
      </c>
      <c r="T3806">
        <v>0.02</v>
      </c>
      <c r="U3806">
        <f t="shared" si="772"/>
        <v>0</v>
      </c>
      <c r="V3806">
        <f t="shared" si="773"/>
        <v>0</v>
      </c>
      <c r="W3806">
        <f t="shared" si="774"/>
        <v>-3873.4865934066002</v>
      </c>
      <c r="X3806">
        <v>0</v>
      </c>
    </row>
    <row r="3807" spans="1:24" x14ac:dyDescent="0.25">
      <c r="A3807" t="s">
        <v>1948</v>
      </c>
      <c r="B3807" t="s">
        <v>2213</v>
      </c>
      <c r="C3807" t="s">
        <v>2215</v>
      </c>
      <c r="D3807" t="s">
        <v>382</v>
      </c>
      <c r="E3807" t="s">
        <v>57</v>
      </c>
      <c r="F3807" t="s">
        <v>1</v>
      </c>
      <c r="G3807" t="s">
        <v>1221</v>
      </c>
      <c r="H3807" t="s">
        <v>462</v>
      </c>
      <c r="I3807" t="s">
        <v>1</v>
      </c>
      <c r="J3807">
        <v>688.79</v>
      </c>
      <c r="K3807"/>
      <c r="L3807">
        <v>115.92</v>
      </c>
      <c r="M3807">
        <v>233.76132596685085</v>
      </c>
      <c r="N3807">
        <v>231.56</v>
      </c>
      <c r="O3807">
        <v>233.11384615380001</v>
      </c>
      <c r="P3807">
        <v>0</v>
      </c>
      <c r="Q3807">
        <f t="shared" si="770"/>
        <v>233.11384615380001</v>
      </c>
      <c r="R3807">
        <v>0</v>
      </c>
      <c r="S3807">
        <f t="shared" si="771"/>
        <v>-233.11384615380001</v>
      </c>
      <c r="T3807">
        <v>0.04</v>
      </c>
      <c r="U3807">
        <f t="shared" si="772"/>
        <v>0</v>
      </c>
      <c r="V3807">
        <f t="shared" si="773"/>
        <v>0</v>
      </c>
      <c r="W3807">
        <f t="shared" si="774"/>
        <v>-233.11384615380001</v>
      </c>
      <c r="X3807">
        <v>0</v>
      </c>
    </row>
    <row r="3808" spans="1:24" x14ac:dyDescent="0.25">
      <c r="A3808" t="s">
        <v>1948</v>
      </c>
      <c r="B3808" t="s">
        <v>2213</v>
      </c>
      <c r="C3808" t="s">
        <v>2215</v>
      </c>
      <c r="D3808" t="s">
        <v>382</v>
      </c>
      <c r="E3808" t="s">
        <v>20</v>
      </c>
      <c r="F3808" t="s">
        <v>1</v>
      </c>
      <c r="G3808" t="s">
        <v>1221</v>
      </c>
      <c r="H3808" t="s">
        <v>420</v>
      </c>
      <c r="I3808" t="s">
        <v>1</v>
      </c>
      <c r="J3808">
        <v>4639.6000000000004</v>
      </c>
      <c r="K3808"/>
      <c r="L3808">
        <v>0</v>
      </c>
      <c r="M3808">
        <v>0</v>
      </c>
      <c r="N3808">
        <v>4639.6000000000004</v>
      </c>
      <c r="O3808"/>
      <c r="P3808">
        <v>0</v>
      </c>
      <c r="Q3808">
        <f t="shared" si="770"/>
        <v>0</v>
      </c>
      <c r="R3808">
        <v>0</v>
      </c>
      <c r="S3808">
        <f t="shared" si="771"/>
        <v>0</v>
      </c>
      <c r="T3808">
        <v>0.04</v>
      </c>
      <c r="U3808">
        <f t="shared" si="772"/>
        <v>0</v>
      </c>
      <c r="V3808">
        <f t="shared" si="773"/>
        <v>0</v>
      </c>
      <c r="W3808">
        <f t="shared" si="774"/>
        <v>0</v>
      </c>
      <c r="X3808">
        <v>0</v>
      </c>
    </row>
    <row r="3809" spans="1:24" x14ac:dyDescent="0.25">
      <c r="A3809" t="s">
        <v>1948</v>
      </c>
      <c r="B3809" t="s">
        <v>2213</v>
      </c>
      <c r="C3809" t="s">
        <v>2215</v>
      </c>
      <c r="D3809" t="s">
        <v>382</v>
      </c>
      <c r="E3809" t="s">
        <v>21</v>
      </c>
      <c r="F3809" t="s">
        <v>1</v>
      </c>
      <c r="G3809" t="s">
        <v>1221</v>
      </c>
      <c r="H3809" t="s">
        <v>421</v>
      </c>
      <c r="I3809" t="s">
        <v>1</v>
      </c>
      <c r="J3809">
        <v>1334783.77</v>
      </c>
      <c r="K3809">
        <v>1068651.78</v>
      </c>
      <c r="L3809">
        <v>747466.07</v>
      </c>
      <c r="M3809">
        <v>1507321.0803867402</v>
      </c>
      <c r="N3809">
        <v>1524334.7200000002</v>
      </c>
      <c r="O3809">
        <v>1507321.0803867399</v>
      </c>
      <c r="P3809">
        <v>0</v>
      </c>
      <c r="Q3809">
        <f t="shared" si="770"/>
        <v>1507321.0803867399</v>
      </c>
      <c r="R3809">
        <v>1334783.77</v>
      </c>
      <c r="S3809">
        <f t="shared" si="771"/>
        <v>-172537.3103867399</v>
      </c>
      <c r="T3809">
        <v>0.03</v>
      </c>
      <c r="U3809">
        <f t="shared" si="772"/>
        <v>40043.513099999996</v>
      </c>
      <c r="V3809">
        <f t="shared" si="773"/>
        <v>1374827.2831000001</v>
      </c>
      <c r="W3809">
        <f t="shared" si="774"/>
        <v>-132493.79728673981</v>
      </c>
      <c r="X3809">
        <v>0</v>
      </c>
    </row>
    <row r="3810" spans="1:24" x14ac:dyDescent="0.25">
      <c r="A3810" t="s">
        <v>1948</v>
      </c>
      <c r="B3810" t="s">
        <v>2213</v>
      </c>
      <c r="C3810" t="s">
        <v>2215</v>
      </c>
      <c r="D3810" t="s">
        <v>382</v>
      </c>
      <c r="E3810" t="s">
        <v>66</v>
      </c>
      <c r="F3810" t="s">
        <v>1</v>
      </c>
      <c r="G3810" t="s">
        <v>1221</v>
      </c>
      <c r="H3810" t="s">
        <v>477</v>
      </c>
      <c r="I3810" t="s">
        <v>1</v>
      </c>
      <c r="J3810">
        <v>43740.42</v>
      </c>
      <c r="K3810">
        <v>45312.299999999901</v>
      </c>
      <c r="L3810">
        <v>20038.060000000001</v>
      </c>
      <c r="M3810">
        <v>40408.242541436462</v>
      </c>
      <c r="N3810">
        <v>41890.06</v>
      </c>
      <c r="O3810">
        <v>40408.242541436499</v>
      </c>
      <c r="P3810">
        <v>0</v>
      </c>
      <c r="Q3810">
        <f t="shared" si="770"/>
        <v>40408.242541436499</v>
      </c>
      <c r="R3810">
        <v>40408.242541436499</v>
      </c>
      <c r="S3810">
        <f t="shared" si="771"/>
        <v>0</v>
      </c>
      <c r="T3810">
        <v>3.5000000000000003E-2</v>
      </c>
      <c r="U3810">
        <f t="shared" si="772"/>
        <v>1414.2884889502775</v>
      </c>
      <c r="V3810">
        <f t="shared" si="773"/>
        <v>41822.531030386774</v>
      </c>
      <c r="W3810">
        <f t="shared" si="774"/>
        <v>1414.2884889502748</v>
      </c>
      <c r="X3810" t="s">
        <v>1910</v>
      </c>
    </row>
    <row r="3811" spans="1:24" x14ac:dyDescent="0.25">
      <c r="A3811" t="s">
        <v>1948</v>
      </c>
      <c r="B3811" t="s">
        <v>2213</v>
      </c>
      <c r="C3811" t="s">
        <v>2215</v>
      </c>
      <c r="D3811" t="s">
        <v>382</v>
      </c>
      <c r="E3811" t="s">
        <v>22</v>
      </c>
      <c r="F3811" t="s">
        <v>1</v>
      </c>
      <c r="G3811" t="s">
        <v>1221</v>
      </c>
      <c r="H3811" t="s">
        <v>422</v>
      </c>
      <c r="I3811" t="s">
        <v>1</v>
      </c>
      <c r="J3811">
        <v>6439.99</v>
      </c>
      <c r="K3811">
        <v>11933.549999999799</v>
      </c>
      <c r="L3811">
        <v>28.79</v>
      </c>
      <c r="M3811">
        <v>58.057182320441981</v>
      </c>
      <c r="N3811">
        <v>705.9</v>
      </c>
      <c r="O3811">
        <v>58.057182320400003</v>
      </c>
      <c r="P3811">
        <v>0</v>
      </c>
      <c r="Q3811">
        <f t="shared" si="770"/>
        <v>58.057182320400003</v>
      </c>
      <c r="R3811">
        <v>0</v>
      </c>
      <c r="S3811">
        <f t="shared" si="771"/>
        <v>-58.057182320400003</v>
      </c>
      <c r="T3811">
        <v>3.5000000000000003E-2</v>
      </c>
      <c r="U3811">
        <f t="shared" si="772"/>
        <v>0</v>
      </c>
      <c r="V3811">
        <f t="shared" si="773"/>
        <v>0</v>
      </c>
      <c r="W3811">
        <f t="shared" si="774"/>
        <v>-58.057182320400003</v>
      </c>
      <c r="X3811">
        <v>0</v>
      </c>
    </row>
    <row r="3812" spans="1:24" x14ac:dyDescent="0.25">
      <c r="A3812" t="s">
        <v>1948</v>
      </c>
      <c r="B3812" t="s">
        <v>2213</v>
      </c>
      <c r="C3812" t="s">
        <v>2215</v>
      </c>
      <c r="D3812" t="s">
        <v>382</v>
      </c>
      <c r="E3812" t="s">
        <v>23</v>
      </c>
      <c r="F3812" t="s">
        <v>1</v>
      </c>
      <c r="G3812" t="s">
        <v>1221</v>
      </c>
      <c r="H3812" t="s">
        <v>423</v>
      </c>
      <c r="I3812" t="s">
        <v>1</v>
      </c>
      <c r="J3812">
        <v>116978.27</v>
      </c>
      <c r="K3812">
        <v>123123.6</v>
      </c>
      <c r="L3812">
        <v>52191.94</v>
      </c>
      <c r="M3812">
        <v>105248.93977900554</v>
      </c>
      <c r="N3812">
        <v>109688.26000000002</v>
      </c>
      <c r="O3812">
        <v>105248.939779006</v>
      </c>
      <c r="P3812">
        <v>0</v>
      </c>
      <c r="Q3812">
        <f t="shared" si="770"/>
        <v>105248.939779006</v>
      </c>
      <c r="R3812">
        <v>105248.939779006</v>
      </c>
      <c r="S3812">
        <f t="shared" si="771"/>
        <v>0</v>
      </c>
      <c r="T3812">
        <v>3.5000000000000003E-2</v>
      </c>
      <c r="U3812">
        <f t="shared" si="772"/>
        <v>3683.7128922652105</v>
      </c>
      <c r="V3812">
        <f t="shared" si="773"/>
        <v>108932.65267127121</v>
      </c>
      <c r="W3812">
        <f t="shared" si="774"/>
        <v>3683.7128922652046</v>
      </c>
      <c r="X3812">
        <v>0</v>
      </c>
    </row>
    <row r="3813" spans="1:24" x14ac:dyDescent="0.25">
      <c r="A3813" t="s">
        <v>1948</v>
      </c>
      <c r="B3813" t="s">
        <v>2213</v>
      </c>
      <c r="C3813" t="s">
        <v>2215</v>
      </c>
      <c r="D3813" t="s">
        <v>382</v>
      </c>
      <c r="E3813" t="s">
        <v>363</v>
      </c>
      <c r="F3813" t="s">
        <v>1</v>
      </c>
      <c r="G3813" t="s">
        <v>1221</v>
      </c>
      <c r="H3813" t="s">
        <v>1184</v>
      </c>
      <c r="I3813" t="s">
        <v>1</v>
      </c>
      <c r="J3813">
        <v>-6132.52</v>
      </c>
      <c r="K3813"/>
      <c r="L3813">
        <v>0</v>
      </c>
      <c r="M3813">
        <v>0</v>
      </c>
      <c r="N3813">
        <v>-6132.52</v>
      </c>
      <c r="O3813"/>
      <c r="P3813">
        <v>0</v>
      </c>
      <c r="Q3813">
        <f t="shared" si="770"/>
        <v>0</v>
      </c>
      <c r="R3813">
        <v>0</v>
      </c>
      <c r="S3813">
        <f t="shared" si="771"/>
        <v>0</v>
      </c>
      <c r="T3813"/>
      <c r="U3813">
        <f t="shared" si="772"/>
        <v>0</v>
      </c>
      <c r="V3813">
        <f t="shared" si="773"/>
        <v>0</v>
      </c>
      <c r="W3813">
        <f t="shared" si="774"/>
        <v>0</v>
      </c>
      <c r="X3813">
        <v>0</v>
      </c>
    </row>
    <row r="3814" spans="1:24" x14ac:dyDescent="0.25">
      <c r="A3814" t="s">
        <v>1948</v>
      </c>
      <c r="B3814" t="s">
        <v>2213</v>
      </c>
      <c r="C3814" t="s">
        <v>2215</v>
      </c>
      <c r="D3814" t="s">
        <v>382</v>
      </c>
      <c r="E3814" t="s">
        <v>26</v>
      </c>
      <c r="F3814" t="s">
        <v>1</v>
      </c>
      <c r="G3814" t="s">
        <v>1221</v>
      </c>
      <c r="H3814" t="s">
        <v>426</v>
      </c>
      <c r="I3814" t="s">
        <v>1</v>
      </c>
      <c r="J3814">
        <v>2400</v>
      </c>
      <c r="K3814"/>
      <c r="L3814">
        <v>0</v>
      </c>
      <c r="M3814">
        <v>0</v>
      </c>
      <c r="N3814">
        <v>2400</v>
      </c>
      <c r="O3814"/>
      <c r="P3814">
        <v>0</v>
      </c>
      <c r="Q3814">
        <f t="shared" si="770"/>
        <v>0</v>
      </c>
      <c r="R3814">
        <v>0</v>
      </c>
      <c r="S3814">
        <f t="shared" si="771"/>
        <v>0</v>
      </c>
      <c r="T3814"/>
      <c r="U3814">
        <f t="shared" si="772"/>
        <v>0</v>
      </c>
      <c r="V3814">
        <f t="shared" si="773"/>
        <v>0</v>
      </c>
      <c r="W3814">
        <f t="shared" si="774"/>
        <v>0</v>
      </c>
      <c r="X3814">
        <v>0</v>
      </c>
    </row>
    <row r="3815" spans="1:24" x14ac:dyDescent="0.25">
      <c r="A3815" t="s">
        <v>1948</v>
      </c>
      <c r="B3815" t="s">
        <v>2213</v>
      </c>
      <c r="C3815" t="s">
        <v>2215</v>
      </c>
      <c r="D3815" t="s">
        <v>382</v>
      </c>
      <c r="E3815" t="s">
        <v>28</v>
      </c>
      <c r="F3815" t="s">
        <v>1</v>
      </c>
      <c r="G3815" t="s">
        <v>1221</v>
      </c>
      <c r="H3815" t="s">
        <v>428</v>
      </c>
      <c r="I3815" t="s">
        <v>1</v>
      </c>
      <c r="J3815">
        <v>4906.4399999999996</v>
      </c>
      <c r="K3815">
        <v>9810</v>
      </c>
      <c r="L3815">
        <v>1229</v>
      </c>
      <c r="M3815">
        <v>2478.3701657458564</v>
      </c>
      <c r="N3815">
        <v>1869</v>
      </c>
      <c r="O3815">
        <v>2458</v>
      </c>
      <c r="P3815">
        <v>0</v>
      </c>
      <c r="Q3815">
        <f t="shared" si="770"/>
        <v>2458</v>
      </c>
      <c r="R3815">
        <v>2458</v>
      </c>
      <c r="S3815">
        <f t="shared" si="771"/>
        <v>0</v>
      </c>
      <c r="T3815"/>
      <c r="U3815">
        <f t="shared" si="772"/>
        <v>0</v>
      </c>
      <c r="V3815">
        <f t="shared" si="773"/>
        <v>2458</v>
      </c>
      <c r="W3815">
        <f t="shared" si="774"/>
        <v>0</v>
      </c>
      <c r="X3815">
        <v>0</v>
      </c>
    </row>
    <row r="3816" spans="1:24" x14ac:dyDescent="0.25">
      <c r="A3816" t="s">
        <v>1948</v>
      </c>
      <c r="B3816" t="s">
        <v>2213</v>
      </c>
      <c r="C3816" t="s">
        <v>2215</v>
      </c>
      <c r="D3816" t="s">
        <v>382</v>
      </c>
      <c r="E3816" t="s">
        <v>31</v>
      </c>
      <c r="F3816" t="s">
        <v>1</v>
      </c>
      <c r="G3816" t="s">
        <v>1221</v>
      </c>
      <c r="H3816" t="s">
        <v>431</v>
      </c>
      <c r="I3816" t="s">
        <v>1</v>
      </c>
      <c r="J3816">
        <v>8321.4</v>
      </c>
      <c r="K3816">
        <v>7200</v>
      </c>
      <c r="L3816">
        <v>0</v>
      </c>
      <c r="M3816">
        <v>0</v>
      </c>
      <c r="N3816">
        <v>8321.4</v>
      </c>
      <c r="O3816"/>
      <c r="P3816">
        <v>0</v>
      </c>
      <c r="Q3816">
        <f t="shared" si="770"/>
        <v>0</v>
      </c>
      <c r="R3816">
        <v>0</v>
      </c>
      <c r="S3816">
        <f t="shared" si="771"/>
        <v>0</v>
      </c>
      <c r="T3816"/>
      <c r="U3816">
        <f t="shared" si="772"/>
        <v>0</v>
      </c>
      <c r="V3816">
        <f t="shared" si="773"/>
        <v>0</v>
      </c>
      <c r="W3816">
        <f t="shared" si="774"/>
        <v>0</v>
      </c>
      <c r="X3816">
        <v>0</v>
      </c>
    </row>
    <row r="3817" spans="1:24" x14ac:dyDescent="0.25">
      <c r="A3817" t="s">
        <v>1948</v>
      </c>
      <c r="B3817" t="s">
        <v>2213</v>
      </c>
      <c r="C3817" t="s">
        <v>2215</v>
      </c>
      <c r="D3817" t="s">
        <v>382</v>
      </c>
      <c r="E3817" t="s">
        <v>34</v>
      </c>
      <c r="F3817" t="s">
        <v>1</v>
      </c>
      <c r="G3817" t="s">
        <v>1221</v>
      </c>
      <c r="H3817" t="s">
        <v>434</v>
      </c>
      <c r="I3817" t="s">
        <v>1</v>
      </c>
      <c r="J3817"/>
      <c r="K3817">
        <v>11199.8547357144</v>
      </c>
      <c r="L3817">
        <v>0</v>
      </c>
      <c r="M3817">
        <v>0</v>
      </c>
      <c r="N3817">
        <v>0</v>
      </c>
      <c r="O3817"/>
      <c r="P3817">
        <v>0</v>
      </c>
      <c r="Q3817">
        <f t="shared" si="770"/>
        <v>0</v>
      </c>
      <c r="R3817">
        <v>0</v>
      </c>
      <c r="S3817">
        <f t="shared" si="771"/>
        <v>0</v>
      </c>
      <c r="T3817"/>
      <c r="U3817">
        <f t="shared" si="772"/>
        <v>0</v>
      </c>
      <c r="V3817">
        <f t="shared" si="773"/>
        <v>0</v>
      </c>
      <c r="W3817">
        <f t="shared" si="774"/>
        <v>0</v>
      </c>
      <c r="X3817">
        <v>0</v>
      </c>
    </row>
    <row r="3818" spans="1:24" x14ac:dyDescent="0.25">
      <c r="A3818" t="s">
        <v>1948</v>
      </c>
      <c r="B3818" t="s">
        <v>2213</v>
      </c>
      <c r="C3818" t="s">
        <v>2215</v>
      </c>
      <c r="D3818" t="s">
        <v>382</v>
      </c>
      <c r="E3818" t="s">
        <v>75</v>
      </c>
      <c r="F3818" t="s">
        <v>1</v>
      </c>
      <c r="G3818" t="s">
        <v>1221</v>
      </c>
      <c r="H3818" t="s">
        <v>492</v>
      </c>
      <c r="I3818" t="s">
        <v>1</v>
      </c>
      <c r="J3818">
        <v>-827.1</v>
      </c>
      <c r="K3818">
        <v>-1.9120369999999999E-3</v>
      </c>
      <c r="L3818">
        <v>0</v>
      </c>
      <c r="M3818">
        <v>0</v>
      </c>
      <c r="N3818">
        <v>-827.1</v>
      </c>
      <c r="O3818"/>
      <c r="P3818">
        <v>0</v>
      </c>
      <c r="Q3818">
        <f t="shared" si="770"/>
        <v>0</v>
      </c>
      <c r="R3818">
        <v>0</v>
      </c>
      <c r="S3818">
        <f t="shared" si="771"/>
        <v>0</v>
      </c>
      <c r="T3818">
        <v>3.2500000000000001E-2</v>
      </c>
      <c r="U3818">
        <f t="shared" si="772"/>
        <v>0</v>
      </c>
      <c r="V3818">
        <f t="shared" si="773"/>
        <v>0</v>
      </c>
      <c r="W3818">
        <f t="shared" si="774"/>
        <v>0</v>
      </c>
      <c r="X3818">
        <v>0</v>
      </c>
    </row>
    <row r="3819" spans="1:24" x14ac:dyDescent="0.25">
      <c r="A3819" t="s">
        <v>1948</v>
      </c>
      <c r="B3819" t="s">
        <v>2213</v>
      </c>
      <c r="C3819" t="s">
        <v>2215</v>
      </c>
      <c r="D3819" t="s">
        <v>382</v>
      </c>
      <c r="E3819" t="s">
        <v>41</v>
      </c>
      <c r="F3819" t="s">
        <v>1</v>
      </c>
      <c r="G3819" t="s">
        <v>1221</v>
      </c>
      <c r="H3819" t="s">
        <v>441</v>
      </c>
      <c r="I3819" t="s">
        <v>1</v>
      </c>
      <c r="J3819">
        <v>2358.5100000000002</v>
      </c>
      <c r="K3819">
        <v>1329.9078462588</v>
      </c>
      <c r="L3819">
        <v>2193.2199999999998</v>
      </c>
      <c r="M3819">
        <v>4422.7917127071823</v>
      </c>
      <c r="N3819">
        <v>3874.71</v>
      </c>
      <c r="O3819">
        <v>4386.4399999999996</v>
      </c>
      <c r="P3819">
        <v>0</v>
      </c>
      <c r="Q3819">
        <f t="shared" si="770"/>
        <v>4386.4399999999996</v>
      </c>
      <c r="R3819">
        <v>4386.4399999999996</v>
      </c>
      <c r="S3819">
        <f t="shared" si="771"/>
        <v>0</v>
      </c>
      <c r="T3819">
        <v>0.03</v>
      </c>
      <c r="U3819">
        <f t="shared" si="772"/>
        <v>131.5932</v>
      </c>
      <c r="V3819">
        <f t="shared" si="773"/>
        <v>4518.0331999999999</v>
      </c>
      <c r="W3819">
        <f t="shared" si="774"/>
        <v>131.59320000000025</v>
      </c>
      <c r="X3819">
        <v>0</v>
      </c>
    </row>
    <row r="3820" spans="1:24" x14ac:dyDescent="0.25">
      <c r="A3820" t="s">
        <v>1948</v>
      </c>
      <c r="B3820" t="s">
        <v>2213</v>
      </c>
      <c r="C3820" t="s">
        <v>2215</v>
      </c>
      <c r="D3820" t="s">
        <v>382</v>
      </c>
      <c r="E3820" t="s">
        <v>43</v>
      </c>
      <c r="F3820" t="s">
        <v>1</v>
      </c>
      <c r="G3820" t="s">
        <v>1221</v>
      </c>
      <c r="H3820" t="s">
        <v>443</v>
      </c>
      <c r="I3820" t="s">
        <v>1</v>
      </c>
      <c r="J3820">
        <v>36248.19</v>
      </c>
      <c r="K3820"/>
      <c r="L3820">
        <v>16768.46</v>
      </c>
      <c r="M3820">
        <v>33814.850276243094</v>
      </c>
      <c r="N3820">
        <v>45993.47</v>
      </c>
      <c r="O3820">
        <v>33536.92</v>
      </c>
      <c r="P3820">
        <v>0</v>
      </c>
      <c r="Q3820">
        <f t="shared" si="770"/>
        <v>33536.92</v>
      </c>
      <c r="R3820">
        <v>33536.92</v>
      </c>
      <c r="S3820">
        <f t="shared" si="771"/>
        <v>0</v>
      </c>
      <c r="T3820">
        <v>0.03</v>
      </c>
      <c r="U3820">
        <f t="shared" si="772"/>
        <v>1006.1075999999999</v>
      </c>
      <c r="V3820">
        <f t="shared" si="773"/>
        <v>34543.027600000001</v>
      </c>
      <c r="W3820">
        <f t="shared" si="774"/>
        <v>1006.107600000003</v>
      </c>
      <c r="X3820" t="s">
        <v>1911</v>
      </c>
    </row>
    <row r="3821" spans="1:24" x14ac:dyDescent="0.25">
      <c r="A3821" t="s">
        <v>1948</v>
      </c>
      <c r="B3821" t="s">
        <v>2213</v>
      </c>
      <c r="C3821" t="s">
        <v>2215</v>
      </c>
      <c r="D3821" t="s">
        <v>382</v>
      </c>
      <c r="E3821" t="s">
        <v>134</v>
      </c>
      <c r="F3821" t="s">
        <v>1</v>
      </c>
      <c r="G3821" t="s">
        <v>1221</v>
      </c>
      <c r="H3821" t="s">
        <v>623</v>
      </c>
      <c r="I3821" t="s">
        <v>1</v>
      </c>
      <c r="J3821">
        <v>963.52</v>
      </c>
      <c r="K3821"/>
      <c r="L3821">
        <v>0</v>
      </c>
      <c r="M3821">
        <v>0</v>
      </c>
      <c r="N3821">
        <v>963.52</v>
      </c>
      <c r="O3821"/>
      <c r="P3821">
        <v>0</v>
      </c>
      <c r="Q3821">
        <f t="shared" si="770"/>
        <v>0</v>
      </c>
      <c r="R3821">
        <v>0</v>
      </c>
      <c r="S3821">
        <f t="shared" si="771"/>
        <v>0</v>
      </c>
      <c r="T3821">
        <v>0.03</v>
      </c>
      <c r="U3821">
        <f t="shared" si="772"/>
        <v>0</v>
      </c>
      <c r="V3821">
        <f t="shared" si="773"/>
        <v>0</v>
      </c>
      <c r="W3821">
        <f t="shared" si="774"/>
        <v>0</v>
      </c>
      <c r="X3821">
        <v>0</v>
      </c>
    </row>
    <row r="3822" spans="1:24" x14ac:dyDescent="0.25">
      <c r="A3822" t="s">
        <v>1948</v>
      </c>
      <c r="B3822" t="s">
        <v>2213</v>
      </c>
      <c r="C3822" t="s">
        <v>2215</v>
      </c>
      <c r="D3822" t="s">
        <v>382</v>
      </c>
      <c r="E3822" t="s">
        <v>46</v>
      </c>
      <c r="F3822" t="s">
        <v>1</v>
      </c>
      <c r="G3822" t="s">
        <v>1221</v>
      </c>
      <c r="H3822" t="s">
        <v>446</v>
      </c>
      <c r="I3822" t="s">
        <v>1</v>
      </c>
      <c r="J3822">
        <v>231659.27</v>
      </c>
      <c r="K3822">
        <v>277064</v>
      </c>
      <c r="L3822">
        <v>109901.78</v>
      </c>
      <c r="M3822">
        <v>221625.13646408837</v>
      </c>
      <c r="N3822">
        <v>229874.04999999996</v>
      </c>
      <c r="O3822">
        <v>219803.56</v>
      </c>
      <c r="P3822">
        <v>0</v>
      </c>
      <c r="Q3822">
        <f t="shared" si="770"/>
        <v>219803.56</v>
      </c>
      <c r="R3822">
        <v>219803.56</v>
      </c>
      <c r="S3822">
        <f t="shared" si="771"/>
        <v>0</v>
      </c>
      <c r="T3822">
        <v>0.03</v>
      </c>
      <c r="U3822">
        <f t="shared" si="772"/>
        <v>6594.1067999999996</v>
      </c>
      <c r="V3822">
        <f t="shared" si="773"/>
        <v>226397.66680000001</v>
      </c>
      <c r="W3822">
        <f t="shared" si="774"/>
        <v>6594.1068000000087</v>
      </c>
      <c r="X3822" t="s">
        <v>1912</v>
      </c>
    </row>
    <row r="3823" spans="1:24" x14ac:dyDescent="0.25">
      <c r="A3823" t="s">
        <v>1948</v>
      </c>
      <c r="B3823" t="s">
        <v>2213</v>
      </c>
      <c r="C3823" t="s">
        <v>2215</v>
      </c>
      <c r="D3823" t="s">
        <v>382</v>
      </c>
      <c r="E3823" t="s">
        <v>282</v>
      </c>
      <c r="F3823" t="s">
        <v>1</v>
      </c>
      <c r="G3823" t="s">
        <v>1221</v>
      </c>
      <c r="H3823" t="s">
        <v>995</v>
      </c>
      <c r="I3823" t="s">
        <v>1</v>
      </c>
      <c r="J3823">
        <v>5200</v>
      </c>
      <c r="K3823"/>
      <c r="L3823">
        <v>10000</v>
      </c>
      <c r="M3823">
        <v>20165.745856353591</v>
      </c>
      <c r="N3823">
        <v>15200</v>
      </c>
      <c r="O3823">
        <v>20000</v>
      </c>
      <c r="P3823">
        <v>0</v>
      </c>
      <c r="Q3823">
        <f t="shared" si="770"/>
        <v>20000</v>
      </c>
      <c r="R3823">
        <v>34000</v>
      </c>
      <c r="S3823">
        <f t="shared" si="771"/>
        <v>14000</v>
      </c>
      <c r="T3823">
        <v>0.03</v>
      </c>
      <c r="U3823">
        <f t="shared" si="772"/>
        <v>1020</v>
      </c>
      <c r="V3823">
        <f t="shared" si="773"/>
        <v>35020</v>
      </c>
      <c r="W3823">
        <f t="shared" si="774"/>
        <v>15020</v>
      </c>
      <c r="X3823" t="s">
        <v>1913</v>
      </c>
    </row>
    <row r="3824" spans="1:24" x14ac:dyDescent="0.25">
      <c r="A3824" t="s">
        <v>1948</v>
      </c>
      <c r="B3824" t="s">
        <v>2213</v>
      </c>
      <c r="C3824" t="s">
        <v>2215</v>
      </c>
      <c r="D3824" t="s">
        <v>382</v>
      </c>
      <c r="E3824" t="s">
        <v>183</v>
      </c>
      <c r="F3824" t="s">
        <v>1</v>
      </c>
      <c r="G3824" t="s">
        <v>1221</v>
      </c>
      <c r="H3824" t="s">
        <v>754</v>
      </c>
      <c r="I3824" t="s">
        <v>1</v>
      </c>
      <c r="J3824">
        <v>210755.52</v>
      </c>
      <c r="K3824">
        <v>169935</v>
      </c>
      <c r="L3824">
        <v>104524.74</v>
      </c>
      <c r="M3824">
        <v>210781.93425414365</v>
      </c>
      <c r="N3824">
        <v>221501.58999999997</v>
      </c>
      <c r="O3824">
        <v>209049.48</v>
      </c>
      <c r="P3824">
        <v>0</v>
      </c>
      <c r="Q3824">
        <f t="shared" si="770"/>
        <v>209049.48</v>
      </c>
      <c r="R3824">
        <v>169935</v>
      </c>
      <c r="S3824">
        <f t="shared" si="771"/>
        <v>-39114.48000000001</v>
      </c>
      <c r="T3824">
        <v>0.03</v>
      </c>
      <c r="U3824">
        <f t="shared" si="772"/>
        <v>5098.05</v>
      </c>
      <c r="V3824">
        <f t="shared" si="773"/>
        <v>175033.05</v>
      </c>
      <c r="W3824">
        <f t="shared" si="774"/>
        <v>-34016.430000000022</v>
      </c>
      <c r="X3824" t="s">
        <v>1914</v>
      </c>
    </row>
    <row r="3825" spans="1:24" x14ac:dyDescent="0.25">
      <c r="A3825" t="s">
        <v>1948</v>
      </c>
      <c r="B3825" t="s">
        <v>2213</v>
      </c>
      <c r="C3825" t="s">
        <v>2215</v>
      </c>
      <c r="D3825" t="s">
        <v>382</v>
      </c>
      <c r="E3825" t="s">
        <v>49</v>
      </c>
      <c r="F3825" t="s">
        <v>1</v>
      </c>
      <c r="G3825" t="s">
        <v>1221</v>
      </c>
      <c r="H3825" t="s">
        <v>449</v>
      </c>
      <c r="I3825" t="s">
        <v>1</v>
      </c>
      <c r="J3825">
        <v>725852.53</v>
      </c>
      <c r="K3825">
        <v>685190</v>
      </c>
      <c r="L3825">
        <v>401136.35</v>
      </c>
      <c r="M3825">
        <v>808921.36878453032</v>
      </c>
      <c r="N3825">
        <v>774627.72</v>
      </c>
      <c r="O3825">
        <v>808921.36878452997</v>
      </c>
      <c r="P3825">
        <v>0</v>
      </c>
      <c r="Q3825">
        <f t="shared" si="770"/>
        <v>808921.36878452997</v>
      </c>
      <c r="R3825">
        <v>725852.53</v>
      </c>
      <c r="S3825">
        <f t="shared" si="771"/>
        <v>-83068.838784529944</v>
      </c>
      <c r="T3825"/>
      <c r="U3825">
        <f t="shared" si="772"/>
        <v>0</v>
      </c>
      <c r="V3825">
        <f t="shared" si="773"/>
        <v>725852.53</v>
      </c>
      <c r="W3825">
        <f t="shared" si="774"/>
        <v>-83068.838784529944</v>
      </c>
      <c r="X3825" t="s">
        <v>1915</v>
      </c>
    </row>
    <row r="3826" spans="1:24" x14ac:dyDescent="0.25">
      <c r="A3826" t="s">
        <v>1948</v>
      </c>
      <c r="B3826" t="s">
        <v>2213</v>
      </c>
      <c r="C3826" t="s">
        <v>2215</v>
      </c>
      <c r="D3826" t="s">
        <v>382</v>
      </c>
      <c r="E3826" t="s">
        <v>50</v>
      </c>
      <c r="F3826" t="s">
        <v>1</v>
      </c>
      <c r="G3826" t="s">
        <v>1221</v>
      </c>
      <c r="H3826" t="s">
        <v>450</v>
      </c>
      <c r="I3826" t="s">
        <v>1</v>
      </c>
      <c r="J3826">
        <v>3955.29</v>
      </c>
      <c r="K3826">
        <v>3770.0000000004002</v>
      </c>
      <c r="L3826">
        <v>1893.49</v>
      </c>
      <c r="M3826">
        <v>3818.363812154696</v>
      </c>
      <c r="N3826">
        <v>4052.6200000000003</v>
      </c>
      <c r="O3826">
        <v>3818.3638121547001</v>
      </c>
      <c r="P3826">
        <v>0</v>
      </c>
      <c r="Q3826">
        <f t="shared" si="770"/>
        <v>3818.3638121547001</v>
      </c>
      <c r="R3826">
        <v>3818.3638121547001</v>
      </c>
      <c r="S3826">
        <f t="shared" si="771"/>
        <v>0</v>
      </c>
      <c r="T3826"/>
      <c r="U3826">
        <f t="shared" si="772"/>
        <v>0</v>
      </c>
      <c r="V3826">
        <f t="shared" si="773"/>
        <v>3818.3638121547001</v>
      </c>
      <c r="W3826">
        <f t="shared" si="774"/>
        <v>0</v>
      </c>
      <c r="X3826" t="s">
        <v>1916</v>
      </c>
    </row>
    <row r="3827" spans="1:24" x14ac:dyDescent="0.25">
      <c r="A3827" t="s">
        <v>1948</v>
      </c>
      <c r="B3827" t="s">
        <v>2213</v>
      </c>
      <c r="C3827" t="s">
        <v>2215</v>
      </c>
      <c r="D3827" t="s">
        <v>382</v>
      </c>
      <c r="E3827" t="s">
        <v>51</v>
      </c>
      <c r="F3827" t="s">
        <v>51</v>
      </c>
      <c r="G3827" t="s">
        <v>1222</v>
      </c>
      <c r="H3827"/>
      <c r="I3827"/>
      <c r="J3827">
        <v>2794715.21</v>
      </c>
      <c r="K3827">
        <v>2460309.2757689054</v>
      </c>
      <c r="L3827">
        <v>1483790.5599999998</v>
      </c>
      <c r="M3827">
        <v>2992174.3337016576</v>
      </c>
      <c r="N3827">
        <v>3055277.4299999997</v>
      </c>
      <c r="O3827">
        <v>2987867.3222360509</v>
      </c>
      <c r="P3827">
        <f>SUMIF($F$3798:$F$3826,"&lt;&gt;EV_*",$P$3798:$P$3826)</f>
        <v>0</v>
      </c>
      <c r="Q3827">
        <f>SUMIF($F$3798:$F$3826,"&lt;&gt;EV_*",$Q$3798:$Q$3826)</f>
        <v>2987867.3222360509</v>
      </c>
      <c r="R3827">
        <f>SUMIF($F$3798:$F$3826,"&lt;&gt;EV_*",$R$3798:$R$3826)</f>
        <v>2703010.3501681746</v>
      </c>
      <c r="S3827">
        <f>SUMIF($F$3798:$F$3826,"&lt;&gt;EV_*",$S$3798:$S$3826)</f>
        <v>-284856.97206787596</v>
      </c>
      <c r="T3827">
        <v>0</v>
      </c>
      <c r="U3827">
        <f>SUMIF($F$3798:$F$3826,"&lt;&gt;EV_*",$U$3798:$U$3826)</f>
        <v>58991.372081215493</v>
      </c>
      <c r="V3827">
        <f>SUMIF($F$3798:$F$3826,"&lt;&gt;EV_*",$V$3798:$V$3826)</f>
        <v>2762001.7222493901</v>
      </c>
      <c r="W3827">
        <f>SUMIF($F$3798:$F$3826,"&lt;&gt;EV_*",$W$3798:$W$3826)</f>
        <v>-225865.59998666041</v>
      </c>
      <c r="X3827">
        <f>SUMIF($F$3798:$F$3826,"&lt;&gt;EV_*",$X$3798:$X$3826)</f>
        <v>0</v>
      </c>
    </row>
    <row r="3828" spans="1:24" x14ac:dyDescent="0.25">
      <c r="A3828" t="s">
        <v>1940</v>
      </c>
      <c r="B3828" t="s">
        <v>1946</v>
      </c>
      <c r="C3828" t="s">
        <v>2216</v>
      </c>
      <c r="D3828" t="s">
        <v>383</v>
      </c>
      <c r="E3828" t="s">
        <v>5</v>
      </c>
      <c r="F3828" t="s">
        <v>5</v>
      </c>
      <c r="G3828" t="s">
        <v>1223</v>
      </c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</row>
    <row r="3829" spans="1:24" x14ac:dyDescent="0.25">
      <c r="A3829" t="s">
        <v>1940</v>
      </c>
      <c r="B3829" t="s">
        <v>1946</v>
      </c>
      <c r="C3829" t="s">
        <v>2216</v>
      </c>
      <c r="D3829" t="s">
        <v>383</v>
      </c>
      <c r="E3829" t="s">
        <v>9</v>
      </c>
      <c r="F3829" t="s">
        <v>1</v>
      </c>
      <c r="G3829" t="s">
        <v>1224</v>
      </c>
      <c r="H3829" t="s">
        <v>409</v>
      </c>
      <c r="I3829" t="s">
        <v>1</v>
      </c>
      <c r="J3829">
        <v>1159934.21</v>
      </c>
      <c r="K3829">
        <v>1162756</v>
      </c>
      <c r="L3829">
        <v>595912.67000000004</v>
      </c>
      <c r="M3829">
        <v>1201702.3455801106</v>
      </c>
      <c r="N3829">
        <v>1177290.8899999999</v>
      </c>
      <c r="O3829">
        <v>1191825.3400000001</v>
      </c>
      <c r="P3829">
        <v>0</v>
      </c>
      <c r="Q3829">
        <f>O3829+P3829</f>
        <v>1191825.3400000001</v>
      </c>
      <c r="R3829">
        <v>1191825.3400000001</v>
      </c>
      <c r="S3829">
        <f>IF(OR(LEFT(E3829,2)="A_",LEFT(D3829,5)="Total"),R3829-Q3829,"")</f>
        <v>0</v>
      </c>
      <c r="T3829"/>
      <c r="U3829">
        <f>IFERROR(R3829*T3829,R3829*0)</f>
        <v>0</v>
      </c>
      <c r="V3829">
        <f>IF(OR(LEFT(E3829,2)="A_",LEFT(D3829,5)="Total"),R3829+U3829,"")</f>
        <v>1191825.3400000001</v>
      </c>
      <c r="W3829">
        <f>IF(OR(LEFT(E3829,2)="A_",LEFT(D3829,5)="Total"),V3829-Q3829,"")</f>
        <v>0</v>
      </c>
      <c r="X3829">
        <v>0</v>
      </c>
    </row>
    <row r="3830" spans="1:24" x14ac:dyDescent="0.25">
      <c r="A3830" t="s">
        <v>1940</v>
      </c>
      <c r="B3830" t="s">
        <v>1946</v>
      </c>
      <c r="C3830" t="s">
        <v>2216</v>
      </c>
      <c r="D3830" t="s">
        <v>383</v>
      </c>
      <c r="E3830" t="s">
        <v>50</v>
      </c>
      <c r="F3830" t="s">
        <v>1</v>
      </c>
      <c r="G3830" t="s">
        <v>1224</v>
      </c>
      <c r="H3830" t="s">
        <v>450</v>
      </c>
      <c r="I3830" t="s">
        <v>1</v>
      </c>
      <c r="J3830">
        <v>6359.76</v>
      </c>
      <c r="K3830">
        <v>6369.9999999995998</v>
      </c>
      <c r="L3830">
        <v>3179.88</v>
      </c>
      <c r="M3830">
        <v>6412.4651933701662</v>
      </c>
      <c r="N3830">
        <v>6359.7599999999984</v>
      </c>
      <c r="O3830">
        <v>6412.4651933701998</v>
      </c>
      <c r="P3830">
        <v>0</v>
      </c>
      <c r="Q3830">
        <f>O3830+P3830</f>
        <v>6412.4651933701998</v>
      </c>
      <c r="R3830">
        <v>6412.4651933701998</v>
      </c>
      <c r="S3830">
        <f>IF(OR(LEFT(E3830,2)="A_",LEFT(D3830,5)="Total"),R3830-Q3830,"")</f>
        <v>0</v>
      </c>
      <c r="T3830"/>
      <c r="U3830">
        <f>IFERROR(R3830*T3830,R3830*0)</f>
        <v>0</v>
      </c>
      <c r="V3830">
        <f>IF(OR(LEFT(E3830,2)="A_",LEFT(D3830,5)="Total"),R3830+U3830,"")</f>
        <v>6412.4651933701998</v>
      </c>
      <c r="W3830">
        <f>IF(OR(LEFT(E3830,2)="A_",LEFT(D3830,5)="Total"),V3830-Q3830,"")</f>
        <v>0</v>
      </c>
      <c r="X3830">
        <v>0</v>
      </c>
    </row>
    <row r="3831" spans="1:24" x14ac:dyDescent="0.25">
      <c r="A3831" t="s">
        <v>1940</v>
      </c>
      <c r="B3831" t="s">
        <v>1946</v>
      </c>
      <c r="C3831" t="s">
        <v>2216</v>
      </c>
      <c r="D3831" t="s">
        <v>383</v>
      </c>
      <c r="E3831" t="s">
        <v>51</v>
      </c>
      <c r="F3831" t="s">
        <v>51</v>
      </c>
      <c r="G3831" t="s">
        <v>1225</v>
      </c>
      <c r="H3831"/>
      <c r="I3831"/>
      <c r="J3831">
        <v>1166293.97</v>
      </c>
      <c r="K3831">
        <v>1169125.9999999995</v>
      </c>
      <c r="L3831">
        <v>599092.55000000005</v>
      </c>
      <c r="M3831">
        <v>1208114.8107734807</v>
      </c>
      <c r="N3831">
        <v>1183650.6499999999</v>
      </c>
      <c r="O3831">
        <v>1198237.8051933702</v>
      </c>
      <c r="P3831">
        <f>SUMIF($F$3828:$F$3830,"&lt;&gt;EV_*",$P$3828:$P$3830)</f>
        <v>0</v>
      </c>
      <c r="Q3831">
        <f>SUMIF($F$3828:$F$3830,"&lt;&gt;EV_*",$Q$3828:$Q$3830)</f>
        <v>1198237.8051933702</v>
      </c>
      <c r="R3831">
        <f>SUMIF($F$3828:$F$3830,"&lt;&gt;EV_*",$R$3828:$R$3830)</f>
        <v>1198237.8051933702</v>
      </c>
      <c r="S3831">
        <f>SUMIF($F$3828:$F$3830,"&lt;&gt;EV_*",$S$3828:$S$3830)</f>
        <v>0</v>
      </c>
      <c r="T3831">
        <v>0</v>
      </c>
      <c r="U3831">
        <f>SUMIF($F$3828:$F$3830,"&lt;&gt;EV_*",$U$3828:$U$3830)</f>
        <v>0</v>
      </c>
      <c r="V3831">
        <f>SUMIF($F$3828:$F$3830,"&lt;&gt;EV_*",$V$3828:$V$3830)</f>
        <v>1198237.8051933702</v>
      </c>
      <c r="W3831">
        <f>SUMIF($F$3828:$F$3830,"&lt;&gt;EV_*",$W$3828:$W$3830)</f>
        <v>0</v>
      </c>
      <c r="X3831">
        <f>SUMIF($F$3828:$F$3830,"&lt;&gt;EV_*",$X$3828:$X$3830)</f>
        <v>0</v>
      </c>
    </row>
    <row r="3832" spans="1:24" x14ac:dyDescent="0.25">
      <c r="A3832" t="s">
        <v>1989</v>
      </c>
      <c r="B3832" t="s">
        <v>1989</v>
      </c>
      <c r="C3832" t="s">
        <v>2217</v>
      </c>
      <c r="D3832" t="s">
        <v>384</v>
      </c>
      <c r="E3832" t="s">
        <v>5</v>
      </c>
      <c r="F3832" t="s">
        <v>5</v>
      </c>
      <c r="G3832" t="s">
        <v>1226</v>
      </c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</row>
    <row r="3833" spans="1:24" x14ac:dyDescent="0.25">
      <c r="A3833" t="s">
        <v>1989</v>
      </c>
      <c r="B3833" t="s">
        <v>1989</v>
      </c>
      <c r="C3833" t="s">
        <v>2217</v>
      </c>
      <c r="D3833" t="s">
        <v>384</v>
      </c>
      <c r="E3833" t="s">
        <v>11</v>
      </c>
      <c r="F3833" t="s">
        <v>1</v>
      </c>
      <c r="G3833" t="s">
        <v>1227</v>
      </c>
      <c r="H3833" t="s">
        <v>411</v>
      </c>
      <c r="I3833" t="s">
        <v>1</v>
      </c>
      <c r="J3833">
        <v>2157.83</v>
      </c>
      <c r="K3833">
        <v>2001.4700000004</v>
      </c>
      <c r="L3833">
        <v>796.28</v>
      </c>
      <c r="M3833">
        <v>1605.7580110497236</v>
      </c>
      <c r="N3833">
        <v>1827.38</v>
      </c>
      <c r="O3833">
        <v>1592.56</v>
      </c>
      <c r="P3833">
        <v>0</v>
      </c>
      <c r="Q3833">
        <f>O3833+P3833</f>
        <v>1592.56</v>
      </c>
      <c r="R3833">
        <v>1592.56</v>
      </c>
      <c r="S3833">
        <f>IF(OR(LEFT(E3833,2)="A_",LEFT(D3833,5)="Total"),R3833-Q3833,"")</f>
        <v>0</v>
      </c>
      <c r="T3833"/>
      <c r="U3833">
        <f>IFERROR(R3833*T3833,R3833*0)</f>
        <v>0</v>
      </c>
      <c r="V3833">
        <f>IF(OR(LEFT(E3833,2)="A_",LEFT(D3833,5)="Total"),R3833+U3833,"")</f>
        <v>1592.56</v>
      </c>
      <c r="W3833">
        <f>IF(OR(LEFT(E3833,2)="A_",LEFT(D3833,5)="Total"),V3833-Q3833,"")</f>
        <v>0</v>
      </c>
      <c r="X3833" t="s">
        <v>1917</v>
      </c>
    </row>
    <row r="3834" spans="1:24" x14ac:dyDescent="0.25">
      <c r="A3834" t="s">
        <v>1989</v>
      </c>
      <c r="B3834" t="s">
        <v>1989</v>
      </c>
      <c r="C3834" t="s">
        <v>2217</v>
      </c>
      <c r="D3834" t="s">
        <v>384</v>
      </c>
      <c r="E3834" t="s">
        <v>23</v>
      </c>
      <c r="F3834" t="s">
        <v>1</v>
      </c>
      <c r="G3834" t="s">
        <v>1227</v>
      </c>
      <c r="H3834" t="s">
        <v>423</v>
      </c>
      <c r="I3834" t="s">
        <v>1</v>
      </c>
      <c r="J3834">
        <v>4989.63</v>
      </c>
      <c r="K3834">
        <v>517.5</v>
      </c>
      <c r="L3834">
        <v>0</v>
      </c>
      <c r="M3834">
        <v>0</v>
      </c>
      <c r="N3834">
        <v>399.88</v>
      </c>
      <c r="O3834"/>
      <c r="P3834">
        <v>0</v>
      </c>
      <c r="Q3834">
        <f>O3834+P3834</f>
        <v>0</v>
      </c>
      <c r="R3834">
        <v>0</v>
      </c>
      <c r="S3834">
        <f>IF(OR(LEFT(E3834,2)="A_",LEFT(D3834,5)="Total"),R3834-Q3834,"")</f>
        <v>0</v>
      </c>
      <c r="T3834">
        <v>3.5000000000000003E-2</v>
      </c>
      <c r="U3834">
        <f>IFERROR(R3834*T3834,R3834*0)</f>
        <v>0</v>
      </c>
      <c r="V3834">
        <f>IF(OR(LEFT(E3834,2)="A_",LEFT(D3834,5)="Total"),R3834+U3834,"")</f>
        <v>0</v>
      </c>
      <c r="W3834">
        <f>IF(OR(LEFT(E3834,2)="A_",LEFT(D3834,5)="Total"),V3834-Q3834,"")</f>
        <v>0</v>
      </c>
      <c r="X3834">
        <v>0</v>
      </c>
    </row>
    <row r="3835" spans="1:24" x14ac:dyDescent="0.25">
      <c r="A3835" t="s">
        <v>1989</v>
      </c>
      <c r="B3835" t="s">
        <v>1989</v>
      </c>
      <c r="C3835" t="s">
        <v>2217</v>
      </c>
      <c r="D3835" t="s">
        <v>384</v>
      </c>
      <c r="E3835" t="s">
        <v>40</v>
      </c>
      <c r="F3835" t="s">
        <v>1</v>
      </c>
      <c r="G3835" t="s">
        <v>1227</v>
      </c>
      <c r="H3835" t="s">
        <v>440</v>
      </c>
      <c r="I3835" t="s">
        <v>1</v>
      </c>
      <c r="J3835">
        <v>498075.27</v>
      </c>
      <c r="K3835">
        <v>496131.99959999998</v>
      </c>
      <c r="L3835">
        <v>253424.49</v>
      </c>
      <c r="M3835">
        <v>511049.38591160224</v>
      </c>
      <c r="N3835">
        <v>501944.04</v>
      </c>
      <c r="O3835">
        <v>506848.98</v>
      </c>
      <c r="P3835">
        <v>0</v>
      </c>
      <c r="Q3835">
        <f>O3835+P3835</f>
        <v>506848.98</v>
      </c>
      <c r="R3835">
        <v>499609.76</v>
      </c>
      <c r="S3835">
        <f>IF(OR(LEFT(E3835,2)="A_",LEFT(D3835,5)="Total"),R3835-Q3835,"")</f>
        <v>-7239.2199999999721</v>
      </c>
      <c r="T3835">
        <v>0.03</v>
      </c>
      <c r="U3835">
        <f>IFERROR(R3835*T3835,R3835*0)</f>
        <v>14988.292799999999</v>
      </c>
      <c r="V3835">
        <f>IF(OR(LEFT(E3835,2)="A_",LEFT(D3835,5)="Total"),R3835+U3835,"")</f>
        <v>514598.0528</v>
      </c>
      <c r="W3835">
        <f>IF(OR(LEFT(E3835,2)="A_",LEFT(D3835,5)="Total"),V3835-Q3835,"")</f>
        <v>7749.0728000000236</v>
      </c>
      <c r="X3835" t="s">
        <v>1918</v>
      </c>
    </row>
    <row r="3836" spans="1:24" x14ac:dyDescent="0.25">
      <c r="A3836" t="s">
        <v>1989</v>
      </c>
      <c r="B3836" t="s">
        <v>1989</v>
      </c>
      <c r="C3836" t="s">
        <v>2217</v>
      </c>
      <c r="D3836" t="s">
        <v>384</v>
      </c>
      <c r="E3836" t="s">
        <v>41</v>
      </c>
      <c r="F3836" t="s">
        <v>1</v>
      </c>
      <c r="G3836" t="s">
        <v>1227</v>
      </c>
      <c r="H3836" t="s">
        <v>441</v>
      </c>
      <c r="I3836" t="s">
        <v>1</v>
      </c>
      <c r="J3836">
        <v>300</v>
      </c>
      <c r="K3836">
        <v>392.87106621959998</v>
      </c>
      <c r="L3836">
        <v>100</v>
      </c>
      <c r="M3836">
        <v>201.65745856353593</v>
      </c>
      <c r="N3836">
        <v>200</v>
      </c>
      <c r="O3836">
        <v>200</v>
      </c>
      <c r="P3836">
        <v>0</v>
      </c>
      <c r="Q3836">
        <f>O3836+P3836</f>
        <v>200</v>
      </c>
      <c r="R3836">
        <v>0</v>
      </c>
      <c r="S3836">
        <f>IF(OR(LEFT(E3836,2)="A_",LEFT(D3836,5)="Total"),R3836-Q3836,"")</f>
        <v>-200</v>
      </c>
      <c r="T3836">
        <v>0.03</v>
      </c>
      <c r="U3836">
        <f>IFERROR(R3836*T3836,R3836*0)</f>
        <v>0</v>
      </c>
      <c r="V3836">
        <f>IF(OR(LEFT(E3836,2)="A_",LEFT(D3836,5)="Total"),R3836+U3836,"")</f>
        <v>0</v>
      </c>
      <c r="W3836">
        <f>IF(OR(LEFT(E3836,2)="A_",LEFT(D3836,5)="Total"),V3836-Q3836,"")</f>
        <v>-200</v>
      </c>
      <c r="X3836">
        <v>0</v>
      </c>
    </row>
    <row r="3837" spans="1:24" x14ac:dyDescent="0.25">
      <c r="A3837" t="s">
        <v>1989</v>
      </c>
      <c r="B3837" t="s">
        <v>1989</v>
      </c>
      <c r="C3837" t="s">
        <v>2217</v>
      </c>
      <c r="D3837" t="s">
        <v>384</v>
      </c>
      <c r="E3837" t="s">
        <v>50</v>
      </c>
      <c r="F3837" t="s">
        <v>1</v>
      </c>
      <c r="G3837" t="s">
        <v>1227</v>
      </c>
      <c r="H3837" t="s">
        <v>450</v>
      </c>
      <c r="I3837" t="s">
        <v>1</v>
      </c>
      <c r="J3837">
        <v>401453.61</v>
      </c>
      <c r="K3837">
        <v>429250</v>
      </c>
      <c r="L3837">
        <v>200907.76</v>
      </c>
      <c r="M3837">
        <v>405145.48287292814</v>
      </c>
      <c r="N3837">
        <v>377806.38</v>
      </c>
      <c r="O3837">
        <v>405145.48287292803</v>
      </c>
      <c r="P3837">
        <v>0</v>
      </c>
      <c r="Q3837">
        <f>O3837+P3837</f>
        <v>405145.48287292803</v>
      </c>
      <c r="R3837">
        <v>346286.6</v>
      </c>
      <c r="S3837">
        <f>IF(OR(LEFT(E3837,2)="A_",LEFT(D3837,5)="Total"),R3837-Q3837,"")</f>
        <v>-58858.88287292805</v>
      </c>
      <c r="T3837"/>
      <c r="U3837">
        <f>IFERROR(R3837*T3837,R3837*0)</f>
        <v>0</v>
      </c>
      <c r="V3837">
        <f>IF(OR(LEFT(E3837,2)="A_",LEFT(D3837,5)="Total"),R3837+U3837,"")</f>
        <v>346286.6</v>
      </c>
      <c r="W3837">
        <f>IF(OR(LEFT(E3837,2)="A_",LEFT(D3837,5)="Total"),V3837-Q3837,"")</f>
        <v>-58858.88287292805</v>
      </c>
      <c r="X3837" t="s">
        <v>1919</v>
      </c>
    </row>
    <row r="3838" spans="1:24" x14ac:dyDescent="0.25">
      <c r="A3838" t="s">
        <v>1989</v>
      </c>
      <c r="B3838" t="s">
        <v>1989</v>
      </c>
      <c r="C3838" t="s">
        <v>2217</v>
      </c>
      <c r="D3838" t="s">
        <v>384</v>
      </c>
      <c r="E3838" t="s">
        <v>51</v>
      </c>
      <c r="F3838" t="s">
        <v>51</v>
      </c>
      <c r="G3838" t="s">
        <v>1228</v>
      </c>
      <c r="H3838"/>
      <c r="I3838"/>
      <c r="J3838">
        <v>906976.34000000008</v>
      </c>
      <c r="K3838">
        <v>928293.84066621994</v>
      </c>
      <c r="L3838">
        <v>455228.53</v>
      </c>
      <c r="M3838">
        <v>918002.2842541436</v>
      </c>
      <c r="N3838">
        <v>882177.67999999993</v>
      </c>
      <c r="O3838">
        <v>913787.02287292806</v>
      </c>
      <c r="P3838">
        <f>SUMIF($F$3832:$F$3837,"&lt;&gt;EV_*",$P$3832:$P$3837)</f>
        <v>0</v>
      </c>
      <c r="Q3838">
        <f>SUMIF($F$3832:$F$3837,"&lt;&gt;EV_*",$Q$3832:$Q$3837)</f>
        <v>913787.02287292806</v>
      </c>
      <c r="R3838">
        <f>SUMIF($F$3832:$F$3837,"&lt;&gt;EV_*",$R$3832:$R$3837)</f>
        <v>847488.91999999993</v>
      </c>
      <c r="S3838">
        <f>SUMIF($F$3832:$F$3837,"&lt;&gt;EV_*",$S$3832:$S$3837)</f>
        <v>-66298.102872928022</v>
      </c>
      <c r="T3838">
        <v>0</v>
      </c>
      <c r="U3838">
        <f>SUMIF($F$3832:$F$3837,"&lt;&gt;EV_*",$U$3832:$U$3837)</f>
        <v>14988.292799999999</v>
      </c>
      <c r="V3838">
        <f>SUMIF($F$3832:$F$3837,"&lt;&gt;EV_*",$V$3832:$V$3837)</f>
        <v>862477.21279999998</v>
      </c>
      <c r="W3838">
        <f>SUMIF($F$3832:$F$3837,"&lt;&gt;EV_*",$W$3832:$W$3837)</f>
        <v>-51309.810072928027</v>
      </c>
      <c r="X3838">
        <f>SUMIF($F$3832:$F$3837,"&lt;&gt;EV_*",$X$3832:$X$3837)</f>
        <v>0</v>
      </c>
    </row>
    <row r="3839" spans="1:24" x14ac:dyDescent="0.25">
      <c r="A3839" t="s">
        <v>1940</v>
      </c>
      <c r="B3839" t="s">
        <v>1946</v>
      </c>
      <c r="C3839" t="s">
        <v>2218</v>
      </c>
      <c r="D3839" t="s">
        <v>385</v>
      </c>
      <c r="E3839" t="s">
        <v>5</v>
      </c>
      <c r="F3839" t="s">
        <v>5</v>
      </c>
      <c r="G3839" t="s">
        <v>1229</v>
      </c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</row>
    <row r="3840" spans="1:24" x14ac:dyDescent="0.25">
      <c r="A3840" t="s">
        <v>1940</v>
      </c>
      <c r="B3840" t="s">
        <v>1946</v>
      </c>
      <c r="C3840" t="s">
        <v>2218</v>
      </c>
      <c r="D3840" t="s">
        <v>385</v>
      </c>
      <c r="E3840" t="s">
        <v>63</v>
      </c>
      <c r="F3840" t="s">
        <v>1</v>
      </c>
      <c r="G3840" t="s">
        <v>1230</v>
      </c>
      <c r="H3840" t="s">
        <v>472</v>
      </c>
      <c r="I3840" t="s">
        <v>1</v>
      </c>
      <c r="J3840">
        <v>439.54</v>
      </c>
      <c r="K3840"/>
      <c r="L3840">
        <v>185.21</v>
      </c>
      <c r="M3840">
        <v>373.48977900552489</v>
      </c>
      <c r="N3840">
        <v>404.20000000000005</v>
      </c>
      <c r="O3840">
        <v>373.4897790055</v>
      </c>
      <c r="P3840">
        <v>0</v>
      </c>
      <c r="Q3840">
        <f>O3840+P3840</f>
        <v>373.4897790055</v>
      </c>
      <c r="R3840">
        <v>373.4897790055</v>
      </c>
      <c r="S3840">
        <f>IF(OR(LEFT(E3840,2)="A_",LEFT(D3840,5)="Total"),R3840-Q3840,"")</f>
        <v>0</v>
      </c>
      <c r="T3840"/>
      <c r="U3840">
        <f>IFERROR(R3840*T3840,R3840*0)</f>
        <v>0</v>
      </c>
      <c r="V3840">
        <f>IF(OR(LEFT(E3840,2)="A_",LEFT(D3840,5)="Total"),R3840+U3840,"")</f>
        <v>373.4897790055</v>
      </c>
      <c r="W3840">
        <f>IF(OR(LEFT(E3840,2)="A_",LEFT(D3840,5)="Total"),V3840-Q3840,"")</f>
        <v>0</v>
      </c>
      <c r="X3840">
        <v>0</v>
      </c>
    </row>
    <row r="3841" spans="1:24" x14ac:dyDescent="0.25">
      <c r="A3841" t="s">
        <v>1940</v>
      </c>
      <c r="B3841" t="s">
        <v>1946</v>
      </c>
      <c r="C3841" t="s">
        <v>2218</v>
      </c>
      <c r="D3841" t="s">
        <v>385</v>
      </c>
      <c r="E3841" t="s">
        <v>51</v>
      </c>
      <c r="F3841" t="s">
        <v>51</v>
      </c>
      <c r="G3841" t="s">
        <v>1231</v>
      </c>
      <c r="H3841"/>
      <c r="I3841"/>
      <c r="J3841">
        <v>439.54</v>
      </c>
      <c r="K3841">
        <v>0</v>
      </c>
      <c r="L3841">
        <v>185.21</v>
      </c>
      <c r="M3841">
        <v>373.48977900552489</v>
      </c>
      <c r="N3841">
        <v>404.20000000000005</v>
      </c>
      <c r="O3841">
        <v>373.4897790055</v>
      </c>
      <c r="P3841">
        <f>SUMIF($F$3839:$F$3840,"&lt;&gt;EV_*",$P$3839:$P$3840)</f>
        <v>0</v>
      </c>
      <c r="Q3841">
        <f>SUMIF($F$3839:$F$3840,"&lt;&gt;EV_*",$Q$3839:$Q$3840)</f>
        <v>373.4897790055</v>
      </c>
      <c r="R3841">
        <f>SUMIF($F$3839:$F$3840,"&lt;&gt;EV_*",$R$3839:$R$3840)</f>
        <v>373.4897790055</v>
      </c>
      <c r="S3841">
        <f>SUMIF($F$3839:$F$3840,"&lt;&gt;EV_*",$S$3839:$S$3840)</f>
        <v>0</v>
      </c>
      <c r="T3841">
        <v>0</v>
      </c>
      <c r="U3841">
        <f>SUMIF($F$3839:$F$3840,"&lt;&gt;EV_*",$U$3839:$U$3840)</f>
        <v>0</v>
      </c>
      <c r="V3841">
        <f>SUMIF($F$3839:$F$3840,"&lt;&gt;EV_*",$V$3839:$V$3840)</f>
        <v>373.4897790055</v>
      </c>
      <c r="W3841">
        <f>SUMIF($F$3839:$F$3840,"&lt;&gt;EV_*",$W$3839:$W$3840)</f>
        <v>0</v>
      </c>
      <c r="X3841">
        <f>SUMIF($F$3839:$F$3840,"&lt;&gt;EV_*",$X$3839:$X$3840)</f>
        <v>0</v>
      </c>
    </row>
    <row r="3842" spans="1:24" x14ac:dyDescent="0.25">
      <c r="A3842" t="s">
        <v>1940</v>
      </c>
      <c r="B3842" t="s">
        <v>1946</v>
      </c>
      <c r="C3842" t="s">
        <v>2219</v>
      </c>
      <c r="D3842" t="s">
        <v>386</v>
      </c>
      <c r="E3842" t="s">
        <v>5</v>
      </c>
      <c r="F3842" t="s">
        <v>5</v>
      </c>
      <c r="G3842" t="s">
        <v>1232</v>
      </c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</row>
    <row r="3843" spans="1:24" x14ac:dyDescent="0.25">
      <c r="A3843" t="s">
        <v>1940</v>
      </c>
      <c r="B3843" t="s">
        <v>1946</v>
      </c>
      <c r="C3843" t="s">
        <v>2219</v>
      </c>
      <c r="D3843" t="s">
        <v>386</v>
      </c>
      <c r="E3843" t="s">
        <v>50</v>
      </c>
      <c r="F3843" t="s">
        <v>1</v>
      </c>
      <c r="G3843" t="s">
        <v>1233</v>
      </c>
      <c r="H3843" t="s">
        <v>450</v>
      </c>
      <c r="I3843" t="s">
        <v>1</v>
      </c>
      <c r="J3843">
        <v>360.41</v>
      </c>
      <c r="K3843">
        <v>339.99999999959999</v>
      </c>
      <c r="L3843">
        <v>196.59</v>
      </c>
      <c r="M3843">
        <v>396.43839779005532</v>
      </c>
      <c r="N3843">
        <v>393.16999999999996</v>
      </c>
      <c r="O3843">
        <v>396.4383977901</v>
      </c>
      <c r="P3843">
        <v>0</v>
      </c>
      <c r="Q3843">
        <f>O3843+P3843</f>
        <v>396.4383977901</v>
      </c>
      <c r="R3843">
        <v>396.4383977901</v>
      </c>
      <c r="S3843">
        <f>IF(OR(LEFT(E3843,2)="A_",LEFT(D3843,5)="Total"),R3843-Q3843,"")</f>
        <v>0</v>
      </c>
      <c r="T3843"/>
      <c r="U3843">
        <f>IFERROR(R3843*T3843,R3843*0)</f>
        <v>0</v>
      </c>
      <c r="V3843">
        <f>IF(OR(LEFT(E3843,2)="A_",LEFT(D3843,5)="Total"),R3843+U3843,"")</f>
        <v>396.4383977901</v>
      </c>
      <c r="W3843">
        <f>IF(OR(LEFT(E3843,2)="A_",LEFT(D3843,5)="Total"),V3843-Q3843,"")</f>
        <v>0</v>
      </c>
      <c r="X3843">
        <v>0</v>
      </c>
    </row>
    <row r="3844" spans="1:24" x14ac:dyDescent="0.25">
      <c r="A3844" t="s">
        <v>1940</v>
      </c>
      <c r="B3844" t="s">
        <v>1946</v>
      </c>
      <c r="C3844" t="s">
        <v>2219</v>
      </c>
      <c r="D3844" t="s">
        <v>386</v>
      </c>
      <c r="E3844" t="s">
        <v>51</v>
      </c>
      <c r="F3844" t="s">
        <v>51</v>
      </c>
      <c r="G3844" t="s">
        <v>1234</v>
      </c>
      <c r="H3844"/>
      <c r="I3844"/>
      <c r="J3844">
        <v>360.41</v>
      </c>
      <c r="K3844">
        <v>339.99999999959999</v>
      </c>
      <c r="L3844">
        <v>196.59</v>
      </c>
      <c r="M3844">
        <v>396.43839779005532</v>
      </c>
      <c r="N3844">
        <v>393.16999999999996</v>
      </c>
      <c r="O3844">
        <v>396.4383977901</v>
      </c>
      <c r="P3844">
        <f>SUMIF($F$3842:$F$3843,"&lt;&gt;EV_*",$P$3842:$P$3843)</f>
        <v>0</v>
      </c>
      <c r="Q3844">
        <f>SUMIF($F$3842:$F$3843,"&lt;&gt;EV_*",$Q$3842:$Q$3843)</f>
        <v>396.4383977901</v>
      </c>
      <c r="R3844">
        <f>SUMIF($F$3842:$F$3843,"&lt;&gt;EV_*",$R$3842:$R$3843)</f>
        <v>396.4383977901</v>
      </c>
      <c r="S3844">
        <f>SUMIF($F$3842:$F$3843,"&lt;&gt;EV_*",$S$3842:$S$3843)</f>
        <v>0</v>
      </c>
      <c r="T3844">
        <v>0</v>
      </c>
      <c r="U3844">
        <f>SUMIF($F$3842:$F$3843,"&lt;&gt;EV_*",$U$3842:$U$3843)</f>
        <v>0</v>
      </c>
      <c r="V3844">
        <f>SUMIF($F$3842:$F$3843,"&lt;&gt;EV_*",$V$3842:$V$3843)</f>
        <v>396.4383977901</v>
      </c>
      <c r="W3844">
        <f>SUMIF($F$3842:$F$3843,"&lt;&gt;EV_*",$W$3842:$W$3843)</f>
        <v>0</v>
      </c>
      <c r="X3844">
        <f>SUMIF($F$3842:$F$3843,"&lt;&gt;EV_*",$X$3842:$X$3843)</f>
        <v>0</v>
      </c>
    </row>
    <row r="3845" spans="1:24" x14ac:dyDescent="0.25">
      <c r="A3845" t="s">
        <v>1940</v>
      </c>
      <c r="B3845" t="s">
        <v>1946</v>
      </c>
      <c r="C3845" t="s">
        <v>2220</v>
      </c>
      <c r="D3845" t="s">
        <v>387</v>
      </c>
      <c r="E3845" t="s">
        <v>5</v>
      </c>
      <c r="F3845" t="s">
        <v>5</v>
      </c>
      <c r="G3845" t="s">
        <v>1235</v>
      </c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</row>
    <row r="3846" spans="1:24" x14ac:dyDescent="0.25">
      <c r="A3846" t="s">
        <v>1940</v>
      </c>
      <c r="B3846" t="s">
        <v>1946</v>
      </c>
      <c r="C3846" t="s">
        <v>2220</v>
      </c>
      <c r="D3846" t="s">
        <v>387</v>
      </c>
      <c r="E3846" t="s">
        <v>9</v>
      </c>
      <c r="F3846" t="s">
        <v>1</v>
      </c>
      <c r="G3846" t="s">
        <v>1236</v>
      </c>
      <c r="H3846" t="s">
        <v>409</v>
      </c>
      <c r="I3846" t="s">
        <v>1</v>
      </c>
      <c r="J3846">
        <v>147194.17000000001</v>
      </c>
      <c r="K3846">
        <v>146888</v>
      </c>
      <c r="L3846">
        <v>75280.14</v>
      </c>
      <c r="M3846">
        <v>151808.01712707183</v>
      </c>
      <c r="N3846">
        <v>149030.23000000001</v>
      </c>
      <c r="O3846">
        <v>150560.28</v>
      </c>
      <c r="P3846">
        <v>0</v>
      </c>
      <c r="Q3846">
        <f>O3846+P3846</f>
        <v>150560.28</v>
      </c>
      <c r="R3846">
        <v>150560.28</v>
      </c>
      <c r="S3846">
        <f>IF(OR(LEFT(E3846,2)="A_",LEFT(D3846,5)="Total"),R3846-Q3846,"")</f>
        <v>0</v>
      </c>
      <c r="T3846"/>
      <c r="U3846">
        <f>IFERROR(R3846*T3846,R3846*0)</f>
        <v>0</v>
      </c>
      <c r="V3846">
        <f>IF(OR(LEFT(E3846,2)="A_",LEFT(D3846,5)="Total"),R3846+U3846,"")</f>
        <v>150560.28</v>
      </c>
      <c r="W3846">
        <f>IF(OR(LEFT(E3846,2)="A_",LEFT(D3846,5)="Total"),V3846-Q3846,"")</f>
        <v>0</v>
      </c>
      <c r="X3846">
        <v>0</v>
      </c>
    </row>
    <row r="3847" spans="1:24" x14ac:dyDescent="0.25">
      <c r="A3847" t="s">
        <v>1940</v>
      </c>
      <c r="B3847" t="s">
        <v>1946</v>
      </c>
      <c r="C3847" t="s">
        <v>2220</v>
      </c>
      <c r="D3847" t="s">
        <v>387</v>
      </c>
      <c r="E3847" t="s">
        <v>51</v>
      </c>
      <c r="F3847" t="s">
        <v>51</v>
      </c>
      <c r="G3847" t="s">
        <v>1237</v>
      </c>
      <c r="H3847"/>
      <c r="I3847"/>
      <c r="J3847">
        <v>147194.17000000001</v>
      </c>
      <c r="K3847">
        <v>146888</v>
      </c>
      <c r="L3847">
        <v>75280.14</v>
      </c>
      <c r="M3847">
        <v>151808.01712707183</v>
      </c>
      <c r="N3847">
        <v>149030.23000000001</v>
      </c>
      <c r="O3847">
        <v>150560.28</v>
      </c>
      <c r="P3847">
        <f>SUMIF($F$3845:$F$3846,"&lt;&gt;EV_*",$P$3845:$P$3846)</f>
        <v>0</v>
      </c>
      <c r="Q3847">
        <f>SUMIF($F$3845:$F$3846,"&lt;&gt;EV_*",$Q$3845:$Q$3846)</f>
        <v>150560.28</v>
      </c>
      <c r="R3847">
        <f>SUMIF($F$3845:$F$3846,"&lt;&gt;EV_*",$R$3845:$R$3846)</f>
        <v>150560.28</v>
      </c>
      <c r="S3847">
        <f>SUMIF($F$3845:$F$3846,"&lt;&gt;EV_*",$S$3845:$S$3846)</f>
        <v>0</v>
      </c>
      <c r="T3847">
        <v>0</v>
      </c>
      <c r="U3847">
        <f>SUMIF($F$3845:$F$3846,"&lt;&gt;EV_*",$U$3845:$U$3846)</f>
        <v>0</v>
      </c>
      <c r="V3847">
        <f>SUMIF($F$3845:$F$3846,"&lt;&gt;EV_*",$V$3845:$V$3846)</f>
        <v>150560.28</v>
      </c>
      <c r="W3847">
        <f>SUMIF($F$3845:$F$3846,"&lt;&gt;EV_*",$W$3845:$W$3846)</f>
        <v>0</v>
      </c>
      <c r="X3847">
        <f>SUMIF($F$3845:$F$3846,"&lt;&gt;EV_*",$X$3845:$X$3846)</f>
        <v>0</v>
      </c>
    </row>
    <row r="3848" spans="1:24" x14ac:dyDescent="0.25">
      <c r="A3848" t="s">
        <v>1940</v>
      </c>
      <c r="B3848" t="s">
        <v>1946</v>
      </c>
      <c r="C3848" t="s">
        <v>2221</v>
      </c>
      <c r="D3848" t="s">
        <v>388</v>
      </c>
      <c r="E3848" t="s">
        <v>5</v>
      </c>
      <c r="F3848" t="s">
        <v>5</v>
      </c>
      <c r="G3848" t="s">
        <v>1238</v>
      </c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</row>
    <row r="3849" spans="1:24" x14ac:dyDescent="0.25">
      <c r="A3849" t="s">
        <v>1940</v>
      </c>
      <c r="B3849" t="s">
        <v>1946</v>
      </c>
      <c r="C3849" t="s">
        <v>2221</v>
      </c>
      <c r="D3849" t="s">
        <v>388</v>
      </c>
      <c r="E3849" t="s">
        <v>63</v>
      </c>
      <c r="F3849" t="s">
        <v>1</v>
      </c>
      <c r="G3849" t="s">
        <v>1239</v>
      </c>
      <c r="H3849" t="s">
        <v>472</v>
      </c>
      <c r="I3849" t="s">
        <v>1</v>
      </c>
      <c r="J3849">
        <v>4452.8599999999997</v>
      </c>
      <c r="K3849"/>
      <c r="L3849">
        <v>948.3</v>
      </c>
      <c r="M3849">
        <v>1912.3176795580109</v>
      </c>
      <c r="N3849">
        <v>2303.64</v>
      </c>
      <c r="O3849">
        <v>1912.317679558</v>
      </c>
      <c r="P3849">
        <v>0</v>
      </c>
      <c r="Q3849">
        <f>O3849+P3849</f>
        <v>1912.317679558</v>
      </c>
      <c r="R3849">
        <v>1912.317679558</v>
      </c>
      <c r="S3849">
        <f>IF(OR(LEFT(E3849,2)="A_",LEFT(D3849,5)="Total"),R3849-Q3849,"")</f>
        <v>0</v>
      </c>
      <c r="T3849"/>
      <c r="U3849">
        <f>IFERROR(R3849*T3849,R3849*0)</f>
        <v>0</v>
      </c>
      <c r="V3849">
        <f>IF(OR(LEFT(E3849,2)="A_",LEFT(D3849,5)="Total"),R3849+U3849,"")</f>
        <v>1912.317679558</v>
      </c>
      <c r="W3849">
        <f>IF(OR(LEFT(E3849,2)="A_",LEFT(D3849,5)="Total"),V3849-Q3849,"")</f>
        <v>0</v>
      </c>
      <c r="X3849">
        <v>0</v>
      </c>
    </row>
    <row r="3850" spans="1:24" x14ac:dyDescent="0.25">
      <c r="A3850" t="s">
        <v>1940</v>
      </c>
      <c r="B3850" t="s">
        <v>1946</v>
      </c>
      <c r="C3850" t="s">
        <v>2221</v>
      </c>
      <c r="D3850" t="s">
        <v>388</v>
      </c>
      <c r="E3850" t="s">
        <v>51</v>
      </c>
      <c r="F3850" t="s">
        <v>51</v>
      </c>
      <c r="G3850" t="s">
        <v>1240</v>
      </c>
      <c r="H3850"/>
      <c r="I3850"/>
      <c r="J3850">
        <v>4452.8599999999997</v>
      </c>
      <c r="K3850">
        <v>0</v>
      </c>
      <c r="L3850">
        <v>948.3</v>
      </c>
      <c r="M3850">
        <v>1912.3176795580109</v>
      </c>
      <c r="N3850">
        <v>2303.64</v>
      </c>
      <c r="O3850">
        <v>1912.317679558</v>
      </c>
      <c r="P3850">
        <f>SUMIF($F$3848:$F$3849,"&lt;&gt;EV_*",$P$3848:$P$3849)</f>
        <v>0</v>
      </c>
      <c r="Q3850">
        <f>SUMIF($F$3848:$F$3849,"&lt;&gt;EV_*",$Q$3848:$Q$3849)</f>
        <v>1912.317679558</v>
      </c>
      <c r="R3850">
        <f>SUMIF($F$3848:$F$3849,"&lt;&gt;EV_*",$R$3848:$R$3849)</f>
        <v>1912.317679558</v>
      </c>
      <c r="S3850">
        <f>SUMIF($F$3848:$F$3849,"&lt;&gt;EV_*",$S$3848:$S$3849)</f>
        <v>0</v>
      </c>
      <c r="T3850">
        <v>0</v>
      </c>
      <c r="U3850">
        <f>SUMIF($F$3848:$F$3849,"&lt;&gt;EV_*",$U$3848:$U$3849)</f>
        <v>0</v>
      </c>
      <c r="V3850">
        <f>SUMIF($F$3848:$F$3849,"&lt;&gt;EV_*",$V$3848:$V$3849)</f>
        <v>1912.317679558</v>
      </c>
      <c r="W3850">
        <f>SUMIF($F$3848:$F$3849,"&lt;&gt;EV_*",$W$3848:$W$3849)</f>
        <v>0</v>
      </c>
      <c r="X3850">
        <f>SUMIF($F$3848:$F$3849,"&lt;&gt;EV_*",$X$3848:$X$3849)</f>
        <v>0</v>
      </c>
    </row>
    <row r="3851" spans="1:24" x14ac:dyDescent="0.25">
      <c r="A3851" t="s">
        <v>1965</v>
      </c>
      <c r="B3851" t="s">
        <v>2050</v>
      </c>
      <c r="C3851" t="s">
        <v>2222</v>
      </c>
      <c r="D3851" t="s">
        <v>389</v>
      </c>
      <c r="E3851" t="s">
        <v>5</v>
      </c>
      <c r="F3851" t="s">
        <v>5</v>
      </c>
      <c r="G3851" t="s">
        <v>1241</v>
      </c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</row>
    <row r="3852" spans="1:24" x14ac:dyDescent="0.25">
      <c r="A3852" t="s">
        <v>1965</v>
      </c>
      <c r="B3852" t="s">
        <v>2050</v>
      </c>
      <c r="C3852" t="s">
        <v>2222</v>
      </c>
      <c r="D3852" t="s">
        <v>389</v>
      </c>
      <c r="E3852" t="s">
        <v>46</v>
      </c>
      <c r="F3852" t="s">
        <v>1</v>
      </c>
      <c r="G3852" t="s">
        <v>1242</v>
      </c>
      <c r="H3852" t="s">
        <v>446</v>
      </c>
      <c r="I3852" t="s">
        <v>1</v>
      </c>
      <c r="J3852">
        <v>1660</v>
      </c>
      <c r="K3852"/>
      <c r="L3852">
        <v>0</v>
      </c>
      <c r="M3852">
        <v>0</v>
      </c>
      <c r="N3852">
        <v>0</v>
      </c>
      <c r="O3852"/>
      <c r="P3852">
        <v>0</v>
      </c>
      <c r="Q3852">
        <f>O3852+P3852</f>
        <v>0</v>
      </c>
      <c r="R3852">
        <v>0</v>
      </c>
      <c r="S3852">
        <f>IF(OR(LEFT(E3852,2)="A_",LEFT(D3852,5)="Total"),R3852-Q3852,"")</f>
        <v>0</v>
      </c>
      <c r="T3852">
        <v>0.03</v>
      </c>
      <c r="U3852">
        <f>IFERROR(R3852*T3852,R3852*0)</f>
        <v>0</v>
      </c>
      <c r="V3852">
        <f>IF(OR(LEFT(E3852,2)="A_",LEFT(D3852,5)="Total"),R3852+U3852,"")</f>
        <v>0</v>
      </c>
      <c r="W3852">
        <f>IF(OR(LEFT(E3852,2)="A_",LEFT(D3852,5)="Total"),V3852-Q3852,"")</f>
        <v>0</v>
      </c>
      <c r="X3852">
        <v>0</v>
      </c>
    </row>
    <row r="3853" spans="1:24" x14ac:dyDescent="0.25">
      <c r="A3853" t="s">
        <v>1965</v>
      </c>
      <c r="B3853" t="s">
        <v>2050</v>
      </c>
      <c r="C3853" t="s">
        <v>2222</v>
      </c>
      <c r="D3853" t="s">
        <v>389</v>
      </c>
      <c r="E3853" t="s">
        <v>282</v>
      </c>
      <c r="F3853" t="s">
        <v>1</v>
      </c>
      <c r="G3853" t="s">
        <v>1242</v>
      </c>
      <c r="H3853" t="s">
        <v>995</v>
      </c>
      <c r="I3853" t="s">
        <v>1</v>
      </c>
      <c r="J3853">
        <v>5120</v>
      </c>
      <c r="K3853"/>
      <c r="L3853">
        <v>0</v>
      </c>
      <c r="M3853">
        <v>0</v>
      </c>
      <c r="N3853">
        <v>3890</v>
      </c>
      <c r="O3853"/>
      <c r="P3853">
        <v>0</v>
      </c>
      <c r="Q3853">
        <f>O3853+P3853</f>
        <v>0</v>
      </c>
      <c r="R3853">
        <v>0</v>
      </c>
      <c r="S3853">
        <f>IF(OR(LEFT(E3853,2)="A_",LEFT(D3853,5)="Total"),R3853-Q3853,"")</f>
        <v>0</v>
      </c>
      <c r="T3853">
        <v>0.03</v>
      </c>
      <c r="U3853">
        <f>IFERROR(R3853*T3853,R3853*0)</f>
        <v>0</v>
      </c>
      <c r="V3853">
        <f>IF(OR(LEFT(E3853,2)="A_",LEFT(D3853,5)="Total"),R3853+U3853,"")</f>
        <v>0</v>
      </c>
      <c r="W3853">
        <f>IF(OR(LEFT(E3853,2)="A_",LEFT(D3853,5)="Total"),V3853-Q3853,"")</f>
        <v>0</v>
      </c>
      <c r="X3853">
        <v>0</v>
      </c>
    </row>
    <row r="3854" spans="1:24" x14ac:dyDescent="0.25">
      <c r="A3854" t="s">
        <v>1965</v>
      </c>
      <c r="B3854" t="s">
        <v>2050</v>
      </c>
      <c r="C3854" t="s">
        <v>2222</v>
      </c>
      <c r="D3854" t="s">
        <v>389</v>
      </c>
      <c r="E3854" t="s">
        <v>51</v>
      </c>
      <c r="F3854" t="s">
        <v>51</v>
      </c>
      <c r="G3854" t="s">
        <v>1243</v>
      </c>
      <c r="H3854"/>
      <c r="I3854"/>
      <c r="J3854">
        <v>6780</v>
      </c>
      <c r="K3854">
        <v>0</v>
      </c>
      <c r="L3854">
        <v>0</v>
      </c>
      <c r="M3854">
        <v>0</v>
      </c>
      <c r="N3854">
        <v>3890</v>
      </c>
      <c r="O3854">
        <v>0</v>
      </c>
      <c r="P3854">
        <f>SUMIF($F$3851:$F$3853,"&lt;&gt;EV_*",$P$3851:$P$3853)</f>
        <v>0</v>
      </c>
      <c r="Q3854">
        <f>SUMIF($F$3851:$F$3853,"&lt;&gt;EV_*",$Q$3851:$Q$3853)</f>
        <v>0</v>
      </c>
      <c r="R3854">
        <f>SUMIF($F$3851:$F$3853,"&lt;&gt;EV_*",$R$3851:$R$3853)</f>
        <v>0</v>
      </c>
      <c r="S3854">
        <f>SUMIF($F$3851:$F$3853,"&lt;&gt;EV_*",$S$3851:$S$3853)</f>
        <v>0</v>
      </c>
      <c r="T3854">
        <v>0</v>
      </c>
      <c r="U3854">
        <f>SUMIF($F$3851:$F$3853,"&lt;&gt;EV_*",$U$3851:$U$3853)</f>
        <v>0</v>
      </c>
      <c r="V3854">
        <f>SUMIF($F$3851:$F$3853,"&lt;&gt;EV_*",$V$3851:$V$3853)</f>
        <v>0</v>
      </c>
      <c r="W3854">
        <f>SUMIF($F$3851:$F$3853,"&lt;&gt;EV_*",$W$3851:$W$3853)</f>
        <v>0</v>
      </c>
      <c r="X3854">
        <f>SUMIF($F$3851:$F$3853,"&lt;&gt;EV_*",$X$3851:$X$3853)</f>
        <v>0</v>
      </c>
    </row>
    <row r="3855" spans="1:24" x14ac:dyDescent="0.25">
      <c r="A3855" t="s">
        <v>1940</v>
      </c>
      <c r="B3855" t="s">
        <v>1946</v>
      </c>
      <c r="C3855" t="s">
        <v>2223</v>
      </c>
      <c r="D3855" t="s">
        <v>390</v>
      </c>
      <c r="E3855" t="s">
        <v>5</v>
      </c>
      <c r="F3855" t="s">
        <v>5</v>
      </c>
      <c r="G3855" t="s">
        <v>1244</v>
      </c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</row>
    <row r="3856" spans="1:24" x14ac:dyDescent="0.25">
      <c r="A3856" t="s">
        <v>1940</v>
      </c>
      <c r="B3856" t="s">
        <v>1946</v>
      </c>
      <c r="C3856" t="s">
        <v>2223</v>
      </c>
      <c r="D3856" t="s">
        <v>390</v>
      </c>
      <c r="E3856" t="s">
        <v>48</v>
      </c>
      <c r="F3856" t="s">
        <v>1</v>
      </c>
      <c r="G3856" t="s">
        <v>1245</v>
      </c>
      <c r="H3856" t="s">
        <v>448</v>
      </c>
      <c r="I3856" t="s">
        <v>1</v>
      </c>
      <c r="J3856"/>
      <c r="K3856"/>
      <c r="L3856">
        <v>0</v>
      </c>
      <c r="M3856">
        <v>0</v>
      </c>
      <c r="N3856">
        <v>0</v>
      </c>
      <c r="O3856"/>
      <c r="P3856"/>
      <c r="Q3856">
        <f>O3856+P3856</f>
        <v>0</v>
      </c>
      <c r="R3856"/>
      <c r="S3856">
        <f>IF(OR(LEFT(E3856,2)="A_",LEFT(D3856,5)="Total"),R3856-Q3856,"")</f>
        <v>0</v>
      </c>
      <c r="T3856">
        <v>0.03</v>
      </c>
      <c r="U3856">
        <f>IFERROR(R3856*T3856,R3856*0)</f>
        <v>0</v>
      </c>
      <c r="V3856">
        <f>IF(OR(LEFT(E3856,2)="A_",LEFT(D3856,5)="Total"),R3856+U3856,"")</f>
        <v>0</v>
      </c>
      <c r="W3856">
        <f>IF(OR(LEFT(E3856,2)="A_",LEFT(D3856,5)="Total"),V3856-Q3856,"")</f>
        <v>0</v>
      </c>
      <c r="X3856"/>
    </row>
    <row r="3857" spans="1:24" x14ac:dyDescent="0.25">
      <c r="A3857" t="s">
        <v>1940</v>
      </c>
      <c r="B3857" t="s">
        <v>1946</v>
      </c>
      <c r="C3857" t="s">
        <v>2223</v>
      </c>
      <c r="D3857" t="s">
        <v>390</v>
      </c>
      <c r="E3857" t="s">
        <v>51</v>
      </c>
      <c r="F3857" t="s">
        <v>51</v>
      </c>
      <c r="G3857" t="s">
        <v>1246</v>
      </c>
      <c r="H3857"/>
      <c r="I3857"/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f>SUMIF($F$3855:$F$3856,"&lt;&gt;EV_*",$P$3855:$P$3856)</f>
        <v>0</v>
      </c>
      <c r="Q3857">
        <f>SUMIF($F$3855:$F$3856,"&lt;&gt;EV_*",$Q$3855:$Q$3856)</f>
        <v>0</v>
      </c>
      <c r="R3857">
        <f>SUMIF($F$3855:$F$3856,"&lt;&gt;EV_*",$R$3855:$R$3856)</f>
        <v>0</v>
      </c>
      <c r="S3857">
        <f>SUMIF($F$3855:$F$3856,"&lt;&gt;EV_*",$S$3855:$S$3856)</f>
        <v>0</v>
      </c>
      <c r="T3857">
        <v>0</v>
      </c>
      <c r="U3857">
        <f>SUMIF($F$3855:$F$3856,"&lt;&gt;EV_*",$U$3855:$U$3856)</f>
        <v>0</v>
      </c>
      <c r="V3857">
        <f>SUMIF($F$3855:$F$3856,"&lt;&gt;EV_*",$V$3855:$V$3856)</f>
        <v>0</v>
      </c>
      <c r="W3857">
        <f>SUMIF($F$3855:$F$3856,"&lt;&gt;EV_*",$W$3855:$W$3856)</f>
        <v>0</v>
      </c>
      <c r="X3857">
        <f>SUMIF($F$3855:$F$3856,"&lt;&gt;EV_*",$X$3855:$X$3856)</f>
        <v>0</v>
      </c>
    </row>
    <row r="3858" spans="1:24" x14ac:dyDescent="0.25">
      <c r="A3858" t="s">
        <v>1948</v>
      </c>
      <c r="B3858" t="s">
        <v>2026</v>
      </c>
      <c r="C3858" t="s">
        <v>2224</v>
      </c>
      <c r="D3858" t="s">
        <v>391</v>
      </c>
      <c r="E3858" t="s">
        <v>5</v>
      </c>
      <c r="F3858" t="s">
        <v>5</v>
      </c>
      <c r="G3858" t="s">
        <v>1247</v>
      </c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</row>
    <row r="3859" spans="1:24" x14ac:dyDescent="0.25">
      <c r="A3859" t="s">
        <v>1948</v>
      </c>
      <c r="B3859" t="s">
        <v>2026</v>
      </c>
      <c r="C3859" t="s">
        <v>2224</v>
      </c>
      <c r="D3859" t="s">
        <v>391</v>
      </c>
      <c r="E3859" t="s">
        <v>50</v>
      </c>
      <c r="F3859" t="s">
        <v>1</v>
      </c>
      <c r="G3859" t="s">
        <v>1248</v>
      </c>
      <c r="H3859" t="s">
        <v>450</v>
      </c>
      <c r="I3859" t="s">
        <v>1</v>
      </c>
      <c r="J3859">
        <v>0</v>
      </c>
      <c r="K3859"/>
      <c r="L3859">
        <v>13.53</v>
      </c>
      <c r="M3859">
        <v>27.284254143646407</v>
      </c>
      <c r="N3859">
        <v>13.53</v>
      </c>
      <c r="O3859">
        <v>27.284254143599998</v>
      </c>
      <c r="P3859">
        <v>0</v>
      </c>
      <c r="Q3859">
        <f>O3859+P3859</f>
        <v>27.284254143599998</v>
      </c>
      <c r="R3859">
        <v>0</v>
      </c>
      <c r="S3859">
        <f>IF(OR(LEFT(E3859,2)="A_",LEFT(D3859,5)="Total"),R3859-Q3859,"")</f>
        <v>-27.284254143599998</v>
      </c>
      <c r="T3859"/>
      <c r="U3859">
        <f>IFERROR(R3859*T3859,R3859*0)</f>
        <v>0</v>
      </c>
      <c r="V3859">
        <f>IF(OR(LEFT(E3859,2)="A_",LEFT(D3859,5)="Total"),R3859+U3859,"")</f>
        <v>0</v>
      </c>
      <c r="W3859">
        <f>IF(OR(LEFT(E3859,2)="A_",LEFT(D3859,5)="Total"),V3859-Q3859,"")</f>
        <v>-27.284254143599998</v>
      </c>
      <c r="X3859">
        <v>0</v>
      </c>
    </row>
    <row r="3860" spans="1:24" x14ac:dyDescent="0.25">
      <c r="A3860" t="s">
        <v>1948</v>
      </c>
      <c r="B3860" t="s">
        <v>2026</v>
      </c>
      <c r="C3860" t="s">
        <v>2224</v>
      </c>
      <c r="D3860" t="s">
        <v>391</v>
      </c>
      <c r="E3860" t="s">
        <v>51</v>
      </c>
      <c r="F3860" t="s">
        <v>51</v>
      </c>
      <c r="G3860" t="s">
        <v>1249</v>
      </c>
      <c r="H3860"/>
      <c r="I3860"/>
      <c r="J3860">
        <v>0</v>
      </c>
      <c r="K3860">
        <v>0</v>
      </c>
      <c r="L3860">
        <v>13.53</v>
      </c>
      <c r="M3860">
        <v>27.284254143646407</v>
      </c>
      <c r="N3860">
        <v>13.53</v>
      </c>
      <c r="O3860">
        <v>27.284254143599998</v>
      </c>
      <c r="P3860">
        <f>SUMIF($F$3858:$F$3859,"&lt;&gt;EV_*",$P$3858:$P$3859)</f>
        <v>0</v>
      </c>
      <c r="Q3860">
        <f>SUMIF($F$3858:$F$3859,"&lt;&gt;EV_*",$Q$3858:$Q$3859)</f>
        <v>27.284254143599998</v>
      </c>
      <c r="R3860">
        <f>SUMIF($F$3858:$F$3859,"&lt;&gt;EV_*",$R$3858:$R$3859)</f>
        <v>0</v>
      </c>
      <c r="S3860">
        <f>SUMIF($F$3858:$F$3859,"&lt;&gt;EV_*",$S$3858:$S$3859)</f>
        <v>-27.284254143599998</v>
      </c>
      <c r="T3860">
        <v>0</v>
      </c>
      <c r="U3860">
        <f>SUMIF($F$3858:$F$3859,"&lt;&gt;EV_*",$U$3858:$U$3859)</f>
        <v>0</v>
      </c>
      <c r="V3860">
        <f>SUMIF($F$3858:$F$3859,"&lt;&gt;EV_*",$V$3858:$V$3859)</f>
        <v>0</v>
      </c>
      <c r="W3860">
        <f>SUMIF($F$3858:$F$3859,"&lt;&gt;EV_*",$W$3858:$W$3859)</f>
        <v>-27.284254143599998</v>
      </c>
      <c r="X3860">
        <f>SUMIF($F$3858:$F$3859,"&lt;&gt;EV_*",$X$3858:$X$3859)</f>
        <v>0</v>
      </c>
    </row>
    <row r="3861" spans="1:24" x14ac:dyDescent="0.25">
      <c r="A3861" t="s">
        <v>1940</v>
      </c>
      <c r="B3861" t="s">
        <v>1940</v>
      </c>
      <c r="C3861" t="s">
        <v>2225</v>
      </c>
      <c r="D3861" t="s">
        <v>392</v>
      </c>
      <c r="E3861" t="s">
        <v>5</v>
      </c>
      <c r="F3861" t="s">
        <v>5</v>
      </c>
      <c r="G3861" t="s">
        <v>1250</v>
      </c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</row>
    <row r="3862" spans="1:24" x14ac:dyDescent="0.25">
      <c r="A3862" t="s">
        <v>1940</v>
      </c>
      <c r="B3862" t="s">
        <v>1940</v>
      </c>
      <c r="C3862" t="s">
        <v>2225</v>
      </c>
      <c r="D3862" t="s">
        <v>392</v>
      </c>
      <c r="E3862" t="s">
        <v>13</v>
      </c>
      <c r="F3862" t="s">
        <v>1</v>
      </c>
      <c r="G3862" t="s">
        <v>1251</v>
      </c>
      <c r="H3862" t="s">
        <v>413</v>
      </c>
      <c r="I3862" t="s">
        <v>1</v>
      </c>
      <c r="J3862">
        <v>692.64</v>
      </c>
      <c r="K3862"/>
      <c r="L3862">
        <v>692.64</v>
      </c>
      <c r="M3862">
        <v>1396.7602209944753</v>
      </c>
      <c r="N3862">
        <v>1385.28</v>
      </c>
      <c r="O3862">
        <v>1385.28</v>
      </c>
      <c r="P3862">
        <v>0</v>
      </c>
      <c r="Q3862">
        <f t="shared" ref="Q3862:Q3868" si="775">O3862+P3862</f>
        <v>1385.28</v>
      </c>
      <c r="R3862">
        <v>0</v>
      </c>
      <c r="S3862">
        <f t="shared" ref="S3862:S3868" si="776">IF(OR(LEFT(E3862,2)="A_",LEFT(D3862,5)="Total"),R3862-Q3862,"")</f>
        <v>-1385.28</v>
      </c>
      <c r="T3862"/>
      <c r="U3862">
        <f t="shared" ref="U3862:U3868" si="777">IFERROR(R3862*T3862,R3862*0)</f>
        <v>0</v>
      </c>
      <c r="V3862">
        <f t="shared" ref="V3862:V3868" si="778">IF(OR(LEFT(E3862,2)="A_",LEFT(D3862,5)="Total"),R3862+U3862,"")</f>
        <v>0</v>
      </c>
      <c r="W3862">
        <f t="shared" ref="W3862:W3868" si="779">IF(OR(LEFT(E3862,2)="A_",LEFT(D3862,5)="Total"),V3862-Q3862,"")</f>
        <v>-1385.28</v>
      </c>
      <c r="X3862">
        <v>0</v>
      </c>
    </row>
    <row r="3863" spans="1:24" x14ac:dyDescent="0.25">
      <c r="A3863" t="s">
        <v>1940</v>
      </c>
      <c r="B3863" t="s">
        <v>1940</v>
      </c>
      <c r="C3863" t="s">
        <v>2225</v>
      </c>
      <c r="D3863" t="s">
        <v>392</v>
      </c>
      <c r="E3863" t="s">
        <v>17</v>
      </c>
      <c r="F3863" t="s">
        <v>1</v>
      </c>
      <c r="G3863" t="s">
        <v>1251</v>
      </c>
      <c r="H3863" t="s">
        <v>417</v>
      </c>
      <c r="I3863" t="s">
        <v>1</v>
      </c>
      <c r="J3863">
        <v>0</v>
      </c>
      <c r="K3863"/>
      <c r="L3863">
        <v>0</v>
      </c>
      <c r="M3863">
        <v>0</v>
      </c>
      <c r="N3863">
        <v>0</v>
      </c>
      <c r="O3863"/>
      <c r="P3863">
        <v>0</v>
      </c>
      <c r="Q3863">
        <f t="shared" si="775"/>
        <v>0</v>
      </c>
      <c r="R3863">
        <v>0</v>
      </c>
      <c r="S3863">
        <f t="shared" si="776"/>
        <v>0</v>
      </c>
      <c r="T3863"/>
      <c r="U3863">
        <f t="shared" si="777"/>
        <v>0</v>
      </c>
      <c r="V3863">
        <f t="shared" si="778"/>
        <v>0</v>
      </c>
      <c r="W3863">
        <f t="shared" si="779"/>
        <v>0</v>
      </c>
      <c r="X3863">
        <v>0</v>
      </c>
    </row>
    <row r="3864" spans="1:24" x14ac:dyDescent="0.25">
      <c r="A3864" t="s">
        <v>1940</v>
      </c>
      <c r="B3864" t="s">
        <v>1940</v>
      </c>
      <c r="C3864" t="s">
        <v>2225</v>
      </c>
      <c r="D3864" t="s">
        <v>392</v>
      </c>
      <c r="E3864" t="s">
        <v>22</v>
      </c>
      <c r="F3864" t="s">
        <v>1</v>
      </c>
      <c r="G3864" t="s">
        <v>1251</v>
      </c>
      <c r="H3864" t="s">
        <v>422</v>
      </c>
      <c r="I3864" t="s">
        <v>1</v>
      </c>
      <c r="J3864">
        <v>-175</v>
      </c>
      <c r="K3864"/>
      <c r="L3864">
        <v>0</v>
      </c>
      <c r="M3864">
        <v>0</v>
      </c>
      <c r="N3864">
        <v>0</v>
      </c>
      <c r="O3864"/>
      <c r="P3864">
        <v>0</v>
      </c>
      <c r="Q3864">
        <f t="shared" si="775"/>
        <v>0</v>
      </c>
      <c r="R3864">
        <v>0</v>
      </c>
      <c r="S3864">
        <f t="shared" si="776"/>
        <v>0</v>
      </c>
      <c r="T3864">
        <v>3.5000000000000003E-2</v>
      </c>
      <c r="U3864">
        <f t="shared" si="777"/>
        <v>0</v>
      </c>
      <c r="V3864">
        <f t="shared" si="778"/>
        <v>0</v>
      </c>
      <c r="W3864">
        <f t="shared" si="779"/>
        <v>0</v>
      </c>
      <c r="X3864">
        <v>0</v>
      </c>
    </row>
    <row r="3865" spans="1:24" x14ac:dyDescent="0.25">
      <c r="A3865" t="s">
        <v>1940</v>
      </c>
      <c r="B3865" t="s">
        <v>1940</v>
      </c>
      <c r="C3865" t="s">
        <v>2225</v>
      </c>
      <c r="D3865" t="s">
        <v>392</v>
      </c>
      <c r="E3865" t="s">
        <v>27</v>
      </c>
      <c r="F3865" t="s">
        <v>1</v>
      </c>
      <c r="G3865" t="s">
        <v>1251</v>
      </c>
      <c r="H3865" t="s">
        <v>427</v>
      </c>
      <c r="I3865" t="s">
        <v>1</v>
      </c>
      <c r="J3865">
        <v>2951.12</v>
      </c>
      <c r="K3865">
        <v>-11570.0000000004</v>
      </c>
      <c r="L3865">
        <v>1027.06</v>
      </c>
      <c r="M3865">
        <v>2071.143093922652</v>
      </c>
      <c r="N3865">
        <v>2078.8599999999997</v>
      </c>
      <c r="O3865">
        <v>2054.12</v>
      </c>
      <c r="P3865">
        <v>0</v>
      </c>
      <c r="Q3865">
        <f t="shared" si="775"/>
        <v>2054.12</v>
      </c>
      <c r="R3865">
        <v>0</v>
      </c>
      <c r="S3865">
        <f t="shared" si="776"/>
        <v>-2054.12</v>
      </c>
      <c r="T3865"/>
      <c r="U3865">
        <f t="shared" si="777"/>
        <v>0</v>
      </c>
      <c r="V3865">
        <f t="shared" si="778"/>
        <v>0</v>
      </c>
      <c r="W3865">
        <f t="shared" si="779"/>
        <v>-2054.12</v>
      </c>
      <c r="X3865">
        <v>0</v>
      </c>
    </row>
    <row r="3866" spans="1:24" x14ac:dyDescent="0.25">
      <c r="A3866" t="s">
        <v>1940</v>
      </c>
      <c r="B3866" t="s">
        <v>1940</v>
      </c>
      <c r="C3866" t="s">
        <v>2225</v>
      </c>
      <c r="D3866" t="s">
        <v>392</v>
      </c>
      <c r="E3866" t="s">
        <v>393</v>
      </c>
      <c r="F3866" t="s">
        <v>1</v>
      </c>
      <c r="G3866" t="s">
        <v>1251</v>
      </c>
      <c r="H3866" t="s">
        <v>1252</v>
      </c>
      <c r="I3866" t="s">
        <v>1</v>
      </c>
      <c r="J3866">
        <v>250</v>
      </c>
      <c r="K3866"/>
      <c r="L3866">
        <v>0</v>
      </c>
      <c r="M3866">
        <v>0</v>
      </c>
      <c r="N3866">
        <v>0</v>
      </c>
      <c r="O3866"/>
      <c r="P3866">
        <v>0</v>
      </c>
      <c r="Q3866">
        <f t="shared" si="775"/>
        <v>0</v>
      </c>
      <c r="R3866">
        <v>0</v>
      </c>
      <c r="S3866">
        <f t="shared" si="776"/>
        <v>0</v>
      </c>
      <c r="T3866"/>
      <c r="U3866">
        <f t="shared" si="777"/>
        <v>0</v>
      </c>
      <c r="V3866">
        <f t="shared" si="778"/>
        <v>0</v>
      </c>
      <c r="W3866">
        <f t="shared" si="779"/>
        <v>0</v>
      </c>
      <c r="X3866">
        <v>0</v>
      </c>
    </row>
    <row r="3867" spans="1:24" x14ac:dyDescent="0.25">
      <c r="A3867" t="s">
        <v>1940</v>
      </c>
      <c r="B3867" t="s">
        <v>1940</v>
      </c>
      <c r="C3867" t="s">
        <v>2225</v>
      </c>
      <c r="D3867" t="s">
        <v>392</v>
      </c>
      <c r="E3867" t="s">
        <v>42</v>
      </c>
      <c r="F3867" t="s">
        <v>1</v>
      </c>
      <c r="G3867" t="s">
        <v>1251</v>
      </c>
      <c r="H3867" t="s">
        <v>442</v>
      </c>
      <c r="I3867" t="s">
        <v>1</v>
      </c>
      <c r="J3867"/>
      <c r="K3867">
        <v>693</v>
      </c>
      <c r="L3867">
        <v>0</v>
      </c>
      <c r="M3867">
        <v>0</v>
      </c>
      <c r="N3867">
        <v>0</v>
      </c>
      <c r="O3867"/>
      <c r="P3867">
        <v>0</v>
      </c>
      <c r="Q3867">
        <f t="shared" si="775"/>
        <v>0</v>
      </c>
      <c r="R3867">
        <v>0</v>
      </c>
      <c r="S3867">
        <f t="shared" si="776"/>
        <v>0</v>
      </c>
      <c r="T3867">
        <v>0.03</v>
      </c>
      <c r="U3867">
        <f t="shared" si="777"/>
        <v>0</v>
      </c>
      <c r="V3867">
        <f t="shared" si="778"/>
        <v>0</v>
      </c>
      <c r="W3867">
        <f t="shared" si="779"/>
        <v>0</v>
      </c>
      <c r="X3867">
        <v>0</v>
      </c>
    </row>
    <row r="3868" spans="1:24" x14ac:dyDescent="0.25">
      <c r="A3868" t="s">
        <v>1940</v>
      </c>
      <c r="B3868" t="s">
        <v>1940</v>
      </c>
      <c r="C3868" t="s">
        <v>2225</v>
      </c>
      <c r="D3868" t="s">
        <v>392</v>
      </c>
      <c r="E3868" t="s">
        <v>48</v>
      </c>
      <c r="F3868" t="s">
        <v>1</v>
      </c>
      <c r="G3868" t="s">
        <v>1251</v>
      </c>
      <c r="H3868" t="s">
        <v>448</v>
      </c>
      <c r="I3868" t="s">
        <v>1</v>
      </c>
      <c r="J3868">
        <v>937.96</v>
      </c>
      <c r="K3868">
        <v>842.00000000039995</v>
      </c>
      <c r="L3868">
        <v>208.89</v>
      </c>
      <c r="M3868">
        <v>421.24226519337014</v>
      </c>
      <c r="N3868">
        <v>713.51</v>
      </c>
      <c r="O3868">
        <v>417.78</v>
      </c>
      <c r="P3868">
        <v>0</v>
      </c>
      <c r="Q3868">
        <f t="shared" si="775"/>
        <v>417.78</v>
      </c>
      <c r="R3868">
        <v>0</v>
      </c>
      <c r="S3868">
        <f t="shared" si="776"/>
        <v>-417.78</v>
      </c>
      <c r="T3868">
        <v>0.03</v>
      </c>
      <c r="U3868">
        <f t="shared" si="777"/>
        <v>0</v>
      </c>
      <c r="V3868">
        <f t="shared" si="778"/>
        <v>0</v>
      </c>
      <c r="W3868">
        <f t="shared" si="779"/>
        <v>-417.78</v>
      </c>
      <c r="X3868">
        <v>0</v>
      </c>
    </row>
    <row r="3869" spans="1:24" x14ac:dyDescent="0.25">
      <c r="A3869" t="s">
        <v>1940</v>
      </c>
      <c r="B3869" t="s">
        <v>1940</v>
      </c>
      <c r="C3869" t="s">
        <v>2225</v>
      </c>
      <c r="D3869" t="s">
        <v>392</v>
      </c>
      <c r="E3869" t="s">
        <v>51</v>
      </c>
      <c r="F3869" t="s">
        <v>51</v>
      </c>
      <c r="G3869" t="s">
        <v>1253</v>
      </c>
      <c r="H3869"/>
      <c r="I3869"/>
      <c r="J3869">
        <v>4656.7199999999993</v>
      </c>
      <c r="K3869">
        <v>-10035</v>
      </c>
      <c r="L3869">
        <v>1928.5899999999997</v>
      </c>
      <c r="M3869">
        <v>3889.1455801104976</v>
      </c>
      <c r="N3869">
        <v>4177.6499999999996</v>
      </c>
      <c r="O3869">
        <v>3857.1799999999994</v>
      </c>
      <c r="P3869">
        <f>SUMIF($F$3861:$F$3868,"&lt;&gt;EV_*",$P$3861:$P$3868)</f>
        <v>0</v>
      </c>
      <c r="Q3869">
        <f>SUMIF($F$3861:$F$3868,"&lt;&gt;EV_*",$Q$3861:$Q$3868)</f>
        <v>3857.1799999999994</v>
      </c>
      <c r="R3869">
        <f>SUMIF($F$3861:$F$3868,"&lt;&gt;EV_*",$R$3861:$R$3868)</f>
        <v>0</v>
      </c>
      <c r="S3869">
        <f>SUMIF($F$3861:$F$3868,"&lt;&gt;EV_*",$S$3861:$S$3868)</f>
        <v>-3857.1799999999994</v>
      </c>
      <c r="T3869">
        <v>0</v>
      </c>
      <c r="U3869">
        <f>SUMIF($F$3861:$F$3868,"&lt;&gt;EV_*",$U$3861:$U$3868)</f>
        <v>0</v>
      </c>
      <c r="V3869">
        <f>SUMIF($F$3861:$F$3868,"&lt;&gt;EV_*",$V$3861:$V$3868)</f>
        <v>0</v>
      </c>
      <c r="W3869">
        <f>SUMIF($F$3861:$F$3868,"&lt;&gt;EV_*",$W$3861:$W$3868)</f>
        <v>-3857.1799999999994</v>
      </c>
      <c r="X3869">
        <f>SUMIF($F$3861:$F$3868,"&lt;&gt;EV_*",$X$3861:$X$3868)</f>
        <v>0</v>
      </c>
    </row>
    <row r="3870" spans="1:24" x14ac:dyDescent="0.25">
      <c r="A3870" t="s">
        <v>1940</v>
      </c>
      <c r="B3870" t="s">
        <v>1946</v>
      </c>
      <c r="C3870" t="s">
        <v>2226</v>
      </c>
      <c r="D3870" t="s">
        <v>394</v>
      </c>
      <c r="E3870" t="s">
        <v>5</v>
      </c>
      <c r="F3870" t="s">
        <v>5</v>
      </c>
      <c r="G3870" t="s">
        <v>1254</v>
      </c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</row>
    <row r="3871" spans="1:24" x14ac:dyDescent="0.25">
      <c r="A3871" t="s">
        <v>1940</v>
      </c>
      <c r="B3871" t="s">
        <v>1946</v>
      </c>
      <c r="C3871" t="s">
        <v>2226</v>
      </c>
      <c r="D3871" t="s">
        <v>394</v>
      </c>
      <c r="E3871" t="s">
        <v>22</v>
      </c>
      <c r="F3871" t="s">
        <v>1</v>
      </c>
      <c r="G3871" t="s">
        <v>1255</v>
      </c>
      <c r="H3871" t="s">
        <v>422</v>
      </c>
      <c r="I3871" t="s">
        <v>1</v>
      </c>
      <c r="J3871">
        <v>-9.0949470177292804E-13</v>
      </c>
      <c r="K3871"/>
      <c r="L3871">
        <v>0</v>
      </c>
      <c r="M3871">
        <v>0</v>
      </c>
      <c r="N3871">
        <v>0</v>
      </c>
      <c r="O3871"/>
      <c r="P3871"/>
      <c r="Q3871">
        <f>O3871+P3871</f>
        <v>0</v>
      </c>
      <c r="R3871"/>
      <c r="S3871">
        <f>IF(OR(LEFT(E3871,2)="A_",LEFT(D3871,5)="Total"),R3871-Q3871,"")</f>
        <v>0</v>
      </c>
      <c r="T3871">
        <v>3.5000000000000003E-2</v>
      </c>
      <c r="U3871">
        <f>IFERROR(R3871*T3871,R3871*0)</f>
        <v>0</v>
      </c>
      <c r="V3871">
        <f>IF(OR(LEFT(E3871,2)="A_",LEFT(D3871,5)="Total"),R3871+U3871,"")</f>
        <v>0</v>
      </c>
      <c r="W3871">
        <f>IF(OR(LEFT(E3871,2)="A_",LEFT(D3871,5)="Total"),V3871-Q3871,"")</f>
        <v>0</v>
      </c>
      <c r="X3871"/>
    </row>
    <row r="3872" spans="1:24" x14ac:dyDescent="0.25">
      <c r="A3872" t="s">
        <v>1940</v>
      </c>
      <c r="B3872" t="s">
        <v>1946</v>
      </c>
      <c r="C3872" t="s">
        <v>2226</v>
      </c>
      <c r="D3872" t="s">
        <v>394</v>
      </c>
      <c r="E3872" t="s">
        <v>51</v>
      </c>
      <c r="F3872" t="s">
        <v>51</v>
      </c>
      <c r="G3872" t="s">
        <v>1256</v>
      </c>
      <c r="H3872"/>
      <c r="I3872"/>
      <c r="J3872">
        <v>-9.0949470177292804E-13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f>SUMIF($F$3870:$F$3871,"&lt;&gt;EV_*",$P$3870:$P$3871)</f>
        <v>0</v>
      </c>
      <c r="Q3872">
        <f>SUMIF($F$3870:$F$3871,"&lt;&gt;EV_*",$Q$3870:$Q$3871)</f>
        <v>0</v>
      </c>
      <c r="R3872">
        <f>SUMIF($F$3870:$F$3871,"&lt;&gt;EV_*",$R$3870:$R$3871)</f>
        <v>0</v>
      </c>
      <c r="S3872">
        <f>SUMIF($F$3870:$F$3871,"&lt;&gt;EV_*",$S$3870:$S$3871)</f>
        <v>0</v>
      </c>
      <c r="T3872">
        <v>0</v>
      </c>
      <c r="U3872">
        <f>SUMIF($F$3870:$F$3871,"&lt;&gt;EV_*",$U$3870:$U$3871)</f>
        <v>0</v>
      </c>
      <c r="V3872">
        <f>SUMIF($F$3870:$F$3871,"&lt;&gt;EV_*",$V$3870:$V$3871)</f>
        <v>0</v>
      </c>
      <c r="W3872">
        <f>SUMIF($F$3870:$F$3871,"&lt;&gt;EV_*",$W$3870:$W$3871)</f>
        <v>0</v>
      </c>
      <c r="X3872">
        <f>SUMIF($F$3870:$F$3871,"&lt;&gt;EV_*",$X$3870:$X$3871)</f>
        <v>0</v>
      </c>
    </row>
    <row r="3873" spans="1:24" x14ac:dyDescent="0.25">
      <c r="A3873" t="s">
        <v>1940</v>
      </c>
      <c r="B3873" t="s">
        <v>1946</v>
      </c>
      <c r="C3873" t="s">
        <v>2227</v>
      </c>
      <c r="D3873" t="s">
        <v>395</v>
      </c>
      <c r="E3873" t="s">
        <v>5</v>
      </c>
      <c r="F3873" t="s">
        <v>5</v>
      </c>
      <c r="G3873" t="s">
        <v>1257</v>
      </c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</row>
    <row r="3874" spans="1:24" x14ac:dyDescent="0.25">
      <c r="A3874" t="s">
        <v>1940</v>
      </c>
      <c r="B3874" t="s">
        <v>1946</v>
      </c>
      <c r="C3874" t="s">
        <v>2227</v>
      </c>
      <c r="D3874" t="s">
        <v>395</v>
      </c>
      <c r="E3874" t="s">
        <v>48</v>
      </c>
      <c r="F3874" t="s">
        <v>1</v>
      </c>
      <c r="G3874" t="s">
        <v>1258</v>
      </c>
      <c r="H3874" t="s">
        <v>448</v>
      </c>
      <c r="I3874" t="s">
        <v>1</v>
      </c>
      <c r="J3874"/>
      <c r="K3874"/>
      <c r="L3874">
        <v>22.38</v>
      </c>
      <c r="M3874">
        <v>45.130939226519331</v>
      </c>
      <c r="N3874">
        <v>22.38</v>
      </c>
      <c r="O3874"/>
      <c r="P3874"/>
      <c r="Q3874">
        <f>O3874+P3874</f>
        <v>0</v>
      </c>
      <c r="R3874"/>
      <c r="S3874">
        <f>IF(OR(LEFT(E3874,2)="A_",LEFT(D3874,5)="Total"),R3874-Q3874,"")</f>
        <v>0</v>
      </c>
      <c r="T3874">
        <v>0.03</v>
      </c>
      <c r="U3874">
        <f>IFERROR(R3874*T3874,R3874*0)</f>
        <v>0</v>
      </c>
      <c r="V3874">
        <f>IF(OR(LEFT(E3874,2)="A_",LEFT(D3874,5)="Total"),R3874+U3874,"")</f>
        <v>0</v>
      </c>
      <c r="W3874">
        <f>IF(OR(LEFT(E3874,2)="A_",LEFT(D3874,5)="Total"),V3874-Q3874,"")</f>
        <v>0</v>
      </c>
      <c r="X3874"/>
    </row>
    <row r="3875" spans="1:24" x14ac:dyDescent="0.25">
      <c r="A3875" t="s">
        <v>1940</v>
      </c>
      <c r="B3875" t="s">
        <v>1946</v>
      </c>
      <c r="C3875" t="s">
        <v>2227</v>
      </c>
      <c r="D3875" t="s">
        <v>395</v>
      </c>
      <c r="E3875" t="s">
        <v>51</v>
      </c>
      <c r="F3875" t="s">
        <v>51</v>
      </c>
      <c r="G3875" t="s">
        <v>1259</v>
      </c>
      <c r="H3875"/>
      <c r="I3875"/>
      <c r="J3875">
        <v>0</v>
      </c>
      <c r="K3875">
        <v>0</v>
      </c>
      <c r="L3875">
        <v>22.38</v>
      </c>
      <c r="M3875">
        <v>45.130939226519331</v>
      </c>
      <c r="N3875">
        <v>22.38</v>
      </c>
      <c r="O3875">
        <v>0</v>
      </c>
      <c r="P3875">
        <f>SUMIF($F$3873:$F$3874,"&lt;&gt;EV_*",$P$3873:$P$3874)</f>
        <v>0</v>
      </c>
      <c r="Q3875">
        <f>SUMIF($F$3873:$F$3874,"&lt;&gt;EV_*",$Q$3873:$Q$3874)</f>
        <v>0</v>
      </c>
      <c r="R3875">
        <f>SUMIF($F$3873:$F$3874,"&lt;&gt;EV_*",$R$3873:$R$3874)</f>
        <v>0</v>
      </c>
      <c r="S3875">
        <f>SUMIF($F$3873:$F$3874,"&lt;&gt;EV_*",$S$3873:$S$3874)</f>
        <v>0</v>
      </c>
      <c r="T3875">
        <v>0</v>
      </c>
      <c r="U3875">
        <f>SUMIF($F$3873:$F$3874,"&lt;&gt;EV_*",$U$3873:$U$3874)</f>
        <v>0</v>
      </c>
      <c r="V3875">
        <f>SUMIF($F$3873:$F$3874,"&lt;&gt;EV_*",$V$3873:$V$3874)</f>
        <v>0</v>
      </c>
      <c r="W3875">
        <f>SUMIF($F$3873:$F$3874,"&lt;&gt;EV_*",$W$3873:$W$3874)</f>
        <v>0</v>
      </c>
      <c r="X3875">
        <f>SUMIF($F$3873:$F$3874,"&lt;&gt;EV_*",$X$3873:$X$3874)</f>
        <v>0</v>
      </c>
    </row>
    <row r="3876" spans="1:24" x14ac:dyDescent="0.25">
      <c r="A3876" t="s">
        <v>1940</v>
      </c>
      <c r="B3876" t="s">
        <v>1946</v>
      </c>
      <c r="C3876" t="s">
        <v>2228</v>
      </c>
      <c r="D3876" t="s">
        <v>396</v>
      </c>
      <c r="E3876" t="s">
        <v>5</v>
      </c>
      <c r="F3876" t="s">
        <v>5</v>
      </c>
      <c r="G3876" t="s">
        <v>1260</v>
      </c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</row>
    <row r="3877" spans="1:24" x14ac:dyDescent="0.25">
      <c r="A3877" t="s">
        <v>1940</v>
      </c>
      <c r="B3877" t="s">
        <v>1946</v>
      </c>
      <c r="C3877" t="s">
        <v>2228</v>
      </c>
      <c r="D3877" t="s">
        <v>396</v>
      </c>
      <c r="E3877" t="s">
        <v>48</v>
      </c>
      <c r="F3877" t="s">
        <v>1</v>
      </c>
      <c r="G3877" t="s">
        <v>1261</v>
      </c>
      <c r="H3877" t="s">
        <v>448</v>
      </c>
      <c r="I3877" t="s">
        <v>1</v>
      </c>
      <c r="J3877"/>
      <c r="K3877"/>
      <c r="L3877">
        <v>27.9</v>
      </c>
      <c r="M3877">
        <v>56.262430939226512</v>
      </c>
      <c r="N3877">
        <v>27.9</v>
      </c>
      <c r="O3877"/>
      <c r="P3877"/>
      <c r="Q3877">
        <f>O3877+P3877</f>
        <v>0</v>
      </c>
      <c r="R3877"/>
      <c r="S3877">
        <f>IF(OR(LEFT(E3877,2)="A_",LEFT(D3877,5)="Total"),R3877-Q3877,"")</f>
        <v>0</v>
      </c>
      <c r="T3877">
        <v>0.03</v>
      </c>
      <c r="U3877">
        <f>IFERROR(R3877*T3877,R3877*0)</f>
        <v>0</v>
      </c>
      <c r="V3877">
        <f>IF(OR(LEFT(E3877,2)="A_",LEFT(D3877,5)="Total"),R3877+U3877,"")</f>
        <v>0</v>
      </c>
      <c r="W3877">
        <f>IF(OR(LEFT(E3877,2)="A_",LEFT(D3877,5)="Total"),V3877-Q3877,"")</f>
        <v>0</v>
      </c>
      <c r="X3877"/>
    </row>
    <row r="3878" spans="1:24" x14ac:dyDescent="0.25">
      <c r="A3878" t="s">
        <v>1940</v>
      </c>
      <c r="B3878" t="s">
        <v>1946</v>
      </c>
      <c r="C3878" t="s">
        <v>2228</v>
      </c>
      <c r="D3878" t="s">
        <v>396</v>
      </c>
      <c r="E3878" t="s">
        <v>51</v>
      </c>
      <c r="F3878" t="s">
        <v>51</v>
      </c>
      <c r="G3878" t="s">
        <v>1262</v>
      </c>
      <c r="H3878"/>
      <c r="I3878"/>
      <c r="J3878">
        <v>0</v>
      </c>
      <c r="K3878">
        <v>0</v>
      </c>
      <c r="L3878">
        <v>27.9</v>
      </c>
      <c r="M3878">
        <v>56.262430939226512</v>
      </c>
      <c r="N3878">
        <v>27.9</v>
      </c>
      <c r="O3878">
        <v>0</v>
      </c>
      <c r="P3878">
        <f>SUMIF($F$3876:$F$3877,"&lt;&gt;EV_*",$P$3876:$P$3877)</f>
        <v>0</v>
      </c>
      <c r="Q3878">
        <f>SUMIF($F$3876:$F$3877,"&lt;&gt;EV_*",$Q$3876:$Q$3877)</f>
        <v>0</v>
      </c>
      <c r="R3878">
        <f>SUMIF($F$3876:$F$3877,"&lt;&gt;EV_*",$R$3876:$R$3877)</f>
        <v>0</v>
      </c>
      <c r="S3878">
        <f>SUMIF($F$3876:$F$3877,"&lt;&gt;EV_*",$S$3876:$S$3877)</f>
        <v>0</v>
      </c>
      <c r="T3878">
        <v>0</v>
      </c>
      <c r="U3878">
        <f>SUMIF($F$3876:$F$3877,"&lt;&gt;EV_*",$U$3876:$U$3877)</f>
        <v>0</v>
      </c>
      <c r="V3878">
        <f>SUMIF($F$3876:$F$3877,"&lt;&gt;EV_*",$V$3876:$V$3877)</f>
        <v>0</v>
      </c>
      <c r="W3878">
        <f>SUMIF($F$3876:$F$3877,"&lt;&gt;EV_*",$W$3876:$W$3877)</f>
        <v>0</v>
      </c>
      <c r="X3878">
        <f>SUMIF($F$3876:$F$3877,"&lt;&gt;EV_*",$X$3876:$X$3877)</f>
        <v>0</v>
      </c>
    </row>
    <row r="3879" spans="1:24" x14ac:dyDescent="0.25">
      <c r="A3879" t="s">
        <v>1940</v>
      </c>
      <c r="B3879" t="s">
        <v>1946</v>
      </c>
      <c r="C3879" t="s">
        <v>2229</v>
      </c>
      <c r="D3879" t="s">
        <v>397</v>
      </c>
      <c r="E3879" t="s">
        <v>5</v>
      </c>
      <c r="F3879" t="s">
        <v>5</v>
      </c>
      <c r="G3879" t="s">
        <v>1263</v>
      </c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</row>
    <row r="3880" spans="1:24" x14ac:dyDescent="0.25">
      <c r="A3880" t="s">
        <v>1940</v>
      </c>
      <c r="B3880" t="s">
        <v>1946</v>
      </c>
      <c r="C3880" t="s">
        <v>2229</v>
      </c>
      <c r="D3880" t="s">
        <v>397</v>
      </c>
      <c r="E3880" t="s">
        <v>12</v>
      </c>
      <c r="F3880" t="s">
        <v>1</v>
      </c>
      <c r="G3880" t="s">
        <v>1264</v>
      </c>
      <c r="H3880" t="s">
        <v>412</v>
      </c>
      <c r="I3880" t="s">
        <v>1</v>
      </c>
      <c r="J3880"/>
      <c r="K3880"/>
      <c r="L3880">
        <v>236</v>
      </c>
      <c r="M3880">
        <v>475.91160220994476</v>
      </c>
      <c r="N3880">
        <v>236</v>
      </c>
      <c r="O3880"/>
      <c r="P3880"/>
      <c r="Q3880">
        <f t="shared" ref="Q3880:Q3885" si="780">O3880+P3880</f>
        <v>0</v>
      </c>
      <c r="R3880"/>
      <c r="S3880">
        <f t="shared" ref="S3880:S3885" si="781">IF(OR(LEFT(E3880,2)="A_",LEFT(D3880,5)="Total"),R3880-Q3880,"")</f>
        <v>0</v>
      </c>
      <c r="T3880"/>
      <c r="U3880">
        <f t="shared" ref="U3880:U3885" si="782">IFERROR(R3880*T3880,R3880*0)</f>
        <v>0</v>
      </c>
      <c r="V3880">
        <f t="shared" ref="V3880:V3885" si="783">IF(OR(LEFT(E3880,2)="A_",LEFT(D3880,5)="Total"),R3880+U3880,"")</f>
        <v>0</v>
      </c>
      <c r="W3880">
        <f t="shared" ref="W3880:W3885" si="784">IF(OR(LEFT(E3880,2)="A_",LEFT(D3880,5)="Total"),V3880-Q3880,"")</f>
        <v>0</v>
      </c>
      <c r="X3880"/>
    </row>
    <row r="3881" spans="1:24" x14ac:dyDescent="0.25">
      <c r="A3881" t="s">
        <v>1940</v>
      </c>
      <c r="B3881" t="s">
        <v>1946</v>
      </c>
      <c r="C3881" t="s">
        <v>2229</v>
      </c>
      <c r="D3881" t="s">
        <v>397</v>
      </c>
      <c r="E3881" t="s">
        <v>23</v>
      </c>
      <c r="F3881" t="s">
        <v>1</v>
      </c>
      <c r="G3881" t="s">
        <v>1264</v>
      </c>
      <c r="H3881" t="s">
        <v>423</v>
      </c>
      <c r="I3881" t="s">
        <v>1</v>
      </c>
      <c r="J3881">
        <v>48</v>
      </c>
      <c r="K3881"/>
      <c r="L3881">
        <v>61.71</v>
      </c>
      <c r="M3881">
        <v>124.442817679558</v>
      </c>
      <c r="N3881">
        <v>61.71</v>
      </c>
      <c r="O3881"/>
      <c r="P3881"/>
      <c r="Q3881">
        <f t="shared" si="780"/>
        <v>0</v>
      </c>
      <c r="R3881"/>
      <c r="S3881">
        <f t="shared" si="781"/>
        <v>0</v>
      </c>
      <c r="T3881">
        <v>3.5000000000000003E-2</v>
      </c>
      <c r="U3881">
        <f t="shared" si="782"/>
        <v>0</v>
      </c>
      <c r="V3881">
        <f t="shared" si="783"/>
        <v>0</v>
      </c>
      <c r="W3881">
        <f t="shared" si="784"/>
        <v>0</v>
      </c>
      <c r="X3881"/>
    </row>
    <row r="3882" spans="1:24" x14ac:dyDescent="0.25">
      <c r="A3882" t="s">
        <v>1940</v>
      </c>
      <c r="B3882" t="s">
        <v>1946</v>
      </c>
      <c r="C3882" t="s">
        <v>2229</v>
      </c>
      <c r="D3882" t="s">
        <v>397</v>
      </c>
      <c r="E3882" t="s">
        <v>26</v>
      </c>
      <c r="F3882" t="s">
        <v>1</v>
      </c>
      <c r="G3882" t="s">
        <v>1264</v>
      </c>
      <c r="H3882" t="s">
        <v>426</v>
      </c>
      <c r="I3882" t="s">
        <v>1</v>
      </c>
      <c r="J3882">
        <v>200</v>
      </c>
      <c r="K3882"/>
      <c r="L3882">
        <v>0</v>
      </c>
      <c r="M3882">
        <v>0</v>
      </c>
      <c r="N3882">
        <v>200</v>
      </c>
      <c r="O3882"/>
      <c r="P3882"/>
      <c r="Q3882">
        <f t="shared" si="780"/>
        <v>0</v>
      </c>
      <c r="R3882"/>
      <c r="S3882">
        <f t="shared" si="781"/>
        <v>0</v>
      </c>
      <c r="T3882"/>
      <c r="U3882">
        <f t="shared" si="782"/>
        <v>0</v>
      </c>
      <c r="V3882">
        <f t="shared" si="783"/>
        <v>0</v>
      </c>
      <c r="W3882">
        <f t="shared" si="784"/>
        <v>0</v>
      </c>
      <c r="X3882"/>
    </row>
    <row r="3883" spans="1:24" x14ac:dyDescent="0.25">
      <c r="A3883" t="s">
        <v>1940</v>
      </c>
      <c r="B3883" t="s">
        <v>1946</v>
      </c>
      <c r="C3883" t="s">
        <v>2229</v>
      </c>
      <c r="D3883" t="s">
        <v>397</v>
      </c>
      <c r="E3883" t="s">
        <v>29</v>
      </c>
      <c r="F3883" t="s">
        <v>1</v>
      </c>
      <c r="G3883" t="s">
        <v>1264</v>
      </c>
      <c r="H3883" t="s">
        <v>429</v>
      </c>
      <c r="I3883" t="s">
        <v>1</v>
      </c>
      <c r="J3883">
        <v>1748.62</v>
      </c>
      <c r="K3883"/>
      <c r="L3883">
        <v>39.93</v>
      </c>
      <c r="M3883">
        <v>80.521823204419888</v>
      </c>
      <c r="N3883">
        <v>1385.53</v>
      </c>
      <c r="O3883"/>
      <c r="P3883"/>
      <c r="Q3883">
        <f t="shared" si="780"/>
        <v>0</v>
      </c>
      <c r="R3883"/>
      <c r="S3883">
        <f t="shared" si="781"/>
        <v>0</v>
      </c>
      <c r="T3883"/>
      <c r="U3883">
        <f t="shared" si="782"/>
        <v>0</v>
      </c>
      <c r="V3883">
        <f t="shared" si="783"/>
        <v>0</v>
      </c>
      <c r="W3883">
        <f t="shared" si="784"/>
        <v>0</v>
      </c>
      <c r="X3883"/>
    </row>
    <row r="3884" spans="1:24" x14ac:dyDescent="0.25">
      <c r="A3884" t="s">
        <v>1940</v>
      </c>
      <c r="B3884" t="s">
        <v>1946</v>
      </c>
      <c r="C3884" t="s">
        <v>2229</v>
      </c>
      <c r="D3884" t="s">
        <v>397</v>
      </c>
      <c r="E3884" t="s">
        <v>41</v>
      </c>
      <c r="F3884" t="s">
        <v>1</v>
      </c>
      <c r="G3884" t="s">
        <v>1264</v>
      </c>
      <c r="H3884" t="s">
        <v>441</v>
      </c>
      <c r="I3884" t="s">
        <v>1</v>
      </c>
      <c r="J3884"/>
      <c r="K3884"/>
      <c r="L3884">
        <v>33.14</v>
      </c>
      <c r="M3884">
        <v>66.829281767955791</v>
      </c>
      <c r="N3884">
        <v>33.14</v>
      </c>
      <c r="O3884"/>
      <c r="P3884"/>
      <c r="Q3884">
        <f t="shared" si="780"/>
        <v>0</v>
      </c>
      <c r="R3884"/>
      <c r="S3884">
        <f t="shared" si="781"/>
        <v>0</v>
      </c>
      <c r="T3884">
        <v>0.03</v>
      </c>
      <c r="U3884">
        <f t="shared" si="782"/>
        <v>0</v>
      </c>
      <c r="V3884">
        <f t="shared" si="783"/>
        <v>0</v>
      </c>
      <c r="W3884">
        <f t="shared" si="784"/>
        <v>0</v>
      </c>
      <c r="X3884"/>
    </row>
    <row r="3885" spans="1:24" x14ac:dyDescent="0.25">
      <c r="A3885" t="s">
        <v>1940</v>
      </c>
      <c r="B3885" t="s">
        <v>1946</v>
      </c>
      <c r="C3885" t="s">
        <v>2229</v>
      </c>
      <c r="D3885" t="s">
        <v>397</v>
      </c>
      <c r="E3885" t="s">
        <v>46</v>
      </c>
      <c r="F3885" t="s">
        <v>1</v>
      </c>
      <c r="G3885" t="s">
        <v>1264</v>
      </c>
      <c r="H3885" t="s">
        <v>446</v>
      </c>
      <c r="I3885" t="s">
        <v>1</v>
      </c>
      <c r="J3885">
        <v>4953.8900000000003</v>
      </c>
      <c r="K3885"/>
      <c r="L3885">
        <v>2726.9</v>
      </c>
      <c r="M3885">
        <v>5498.9972375690613</v>
      </c>
      <c r="N3885">
        <v>5173.7699999999995</v>
      </c>
      <c r="O3885"/>
      <c r="P3885"/>
      <c r="Q3885">
        <f t="shared" si="780"/>
        <v>0</v>
      </c>
      <c r="R3885"/>
      <c r="S3885">
        <f t="shared" si="781"/>
        <v>0</v>
      </c>
      <c r="T3885">
        <v>0.03</v>
      </c>
      <c r="U3885">
        <f t="shared" si="782"/>
        <v>0</v>
      </c>
      <c r="V3885">
        <f t="shared" si="783"/>
        <v>0</v>
      </c>
      <c r="W3885">
        <f t="shared" si="784"/>
        <v>0</v>
      </c>
      <c r="X3885"/>
    </row>
    <row r="3886" spans="1:24" x14ac:dyDescent="0.25">
      <c r="A3886" t="s">
        <v>1940</v>
      </c>
      <c r="B3886" t="s">
        <v>1946</v>
      </c>
      <c r="C3886" t="s">
        <v>2229</v>
      </c>
      <c r="D3886" t="s">
        <v>397</v>
      </c>
      <c r="E3886" t="s">
        <v>51</v>
      </c>
      <c r="F3886" t="s">
        <v>51</v>
      </c>
      <c r="G3886" t="s">
        <v>1265</v>
      </c>
      <c r="H3886"/>
      <c r="I3886"/>
      <c r="J3886">
        <v>6950.51</v>
      </c>
      <c r="K3886">
        <v>0</v>
      </c>
      <c r="L3886">
        <v>3097.6800000000003</v>
      </c>
      <c r="M3886">
        <v>6246.7027624309394</v>
      </c>
      <c r="N3886">
        <v>7090.15</v>
      </c>
      <c r="O3886">
        <v>0</v>
      </c>
      <c r="P3886">
        <f>SUMIF($F$3879:$F$3885,"&lt;&gt;EV_*",$P$3879:$P$3885)</f>
        <v>0</v>
      </c>
      <c r="Q3886">
        <f>SUMIF($F$3879:$F$3885,"&lt;&gt;EV_*",$Q$3879:$Q$3885)</f>
        <v>0</v>
      </c>
      <c r="R3886">
        <f>SUMIF($F$3879:$F$3885,"&lt;&gt;EV_*",$R$3879:$R$3885)</f>
        <v>0</v>
      </c>
      <c r="S3886">
        <f>SUMIF($F$3879:$F$3885,"&lt;&gt;EV_*",$S$3879:$S$3885)</f>
        <v>0</v>
      </c>
      <c r="T3886">
        <v>0</v>
      </c>
      <c r="U3886">
        <f>SUMIF($F$3879:$F$3885,"&lt;&gt;EV_*",$U$3879:$U$3885)</f>
        <v>0</v>
      </c>
      <c r="V3886">
        <f>SUMIF($F$3879:$F$3885,"&lt;&gt;EV_*",$V$3879:$V$3885)</f>
        <v>0</v>
      </c>
      <c r="W3886">
        <f>SUMIF($F$3879:$F$3885,"&lt;&gt;EV_*",$W$3879:$W$3885)</f>
        <v>0</v>
      </c>
      <c r="X3886">
        <f>SUMIF($F$3879:$F$3885,"&lt;&gt;EV_*",$X$3879:$X$3885)</f>
        <v>0</v>
      </c>
    </row>
    <row r="3887" spans="1:24" x14ac:dyDescent="0.25">
      <c r="A3887"/>
      <c r="B3887"/>
      <c r="C3887"/>
      <c r="D3887"/>
      <c r="E3887"/>
      <c r="F3887"/>
      <c r="G3887" t="s">
        <v>0</v>
      </c>
      <c r="H3887"/>
      <c r="I3887"/>
      <c r="J3887">
        <v>277143492.80000007</v>
      </c>
      <c r="K3887">
        <v>282937921.20068294</v>
      </c>
      <c r="L3887">
        <v>144751647.94000003</v>
      </c>
      <c r="M3887">
        <v>291902494.46464092</v>
      </c>
      <c r="N3887">
        <v>286409666.78999996</v>
      </c>
      <c r="O3887">
        <v>290929173.17774808</v>
      </c>
      <c r="P3887">
        <f>SUMIF($E2:$E3886,"EV_AFTER",P2:P3886)</f>
        <v>122250.73390686663</v>
      </c>
      <c r="Q3887">
        <f>SUMIF($E2:$E3886,"EV_AFTER",Q2:Q3886)</f>
        <v>291051423.91165495</v>
      </c>
      <c r="R3887">
        <f>SUMIF($E2:$E3886,"EV_AFTER",R2:R3886)</f>
        <v>290484248.7268979</v>
      </c>
      <c r="S3887" t="e">
        <f>SUMIF($E2:$E3886,"EV_AFTER",S2:S3886)</f>
        <v>#VALUE!</v>
      </c>
      <c r="T3887"/>
      <c r="U3887" t="e">
        <f>SUMIF($E2:$E3886,"EV_AFTER",U2:U3886)</f>
        <v>#VALUE!</v>
      </c>
      <c r="V3887" t="e">
        <f>SUMIF($E2:$E3886,"EV_AFTER",V2:V3886)</f>
        <v>#VALUE!</v>
      </c>
      <c r="W3887" t="e">
        <f>SUMIF($E2:$E3886,"EV_AFTER",W2:W3886)</f>
        <v>#VALUE!</v>
      </c>
      <c r="X3887"/>
    </row>
    <row r="3888" spans="1:24" x14ac:dyDescent="0.25">
      <c r="J3888" s="10"/>
      <c r="K3888" s="10"/>
      <c r="L3888" s="10"/>
      <c r="M3888" s="10"/>
      <c r="N3888" s="10"/>
      <c r="O3888" s="10"/>
      <c r="P3888" s="10"/>
      <c r="Q3888" s="10"/>
      <c r="R3888" s="10"/>
      <c r="S3888" s="10"/>
      <c r="U3888" s="10"/>
      <c r="V3888" s="10"/>
      <c r="W3888" s="10"/>
      <c r="X3888" s="10"/>
    </row>
    <row r="3889" spans="1:24" x14ac:dyDescent="0.25">
      <c r="J3889" s="10"/>
    </row>
    <row r="3890" spans="1:24" x14ac:dyDescent="0.25">
      <c r="G3890" s="11" t="s">
        <v>398</v>
      </c>
    </row>
    <row r="3891" spans="1:24" ht="12.75" x14ac:dyDescent="0.2">
      <c r="G3891" s="12" t="s">
        <v>399</v>
      </c>
      <c r="H3891" s="12" t="s">
        <v>400</v>
      </c>
      <c r="I3891" s="3" t="s">
        <v>401</v>
      </c>
      <c r="J3891" s="3"/>
      <c r="K3891" s="3"/>
      <c r="L3891" s="3"/>
      <c r="M3891" s="3"/>
      <c r="N3891" s="3"/>
      <c r="O3891" s="3"/>
      <c r="P3891" s="3" t="e">
        <f>_xlfn.CONCAT(#REF!," Projection Adj")</f>
        <v>#REF!</v>
      </c>
      <c r="Q3891" s="3" t="e">
        <f>_xlfn.CONCAT(#REF!," Final Projection")</f>
        <v>#REF!</v>
      </c>
      <c r="R3891" s="3" t="e">
        <f>_xlfn.CONCAT(#REF!+1," Budget without Inflation")</f>
        <v>#REF!</v>
      </c>
      <c r="S3891" s="3" t="s">
        <v>2</v>
      </c>
      <c r="T3891" s="4"/>
      <c r="U3891" s="3"/>
      <c r="V3891" s="3" t="e">
        <f>_xlfn.CONCAT(#REF!+1," Budget")</f>
        <v>#REF!</v>
      </c>
      <c r="W3891" s="3" t="s">
        <v>2</v>
      </c>
      <c r="X3891" s="5" t="s">
        <v>3</v>
      </c>
    </row>
    <row r="3892" spans="1:24" x14ac:dyDescent="0.25">
      <c r="A3892" s="1" t="s">
        <v>1925</v>
      </c>
      <c r="B3892" s="1" t="s">
        <v>1926</v>
      </c>
      <c r="C3892" s="1" t="s">
        <v>1927</v>
      </c>
      <c r="D3892" s="6" t="s">
        <v>1924</v>
      </c>
      <c r="E3892" s="6" t="s">
        <v>1266</v>
      </c>
      <c r="F3892" s="6" t="s">
        <v>1</v>
      </c>
      <c r="G3892" s="19" t="s">
        <v>488</v>
      </c>
      <c r="H3892" s="19" t="s">
        <v>430</v>
      </c>
      <c r="I3892" s="13" t="s">
        <v>1</v>
      </c>
      <c r="P3892" s="7">
        <v>15000</v>
      </c>
      <c r="Q3892" s="14">
        <f>P3892</f>
        <v>15000</v>
      </c>
      <c r="R3892" s="7"/>
      <c r="S3892" s="14">
        <f>R3892-Q3892</f>
        <v>-15000</v>
      </c>
      <c r="V3892" s="14">
        <f>R3892</f>
        <v>0</v>
      </c>
      <c r="W3892" s="14">
        <f>V3892-Q3892</f>
        <v>-15000</v>
      </c>
      <c r="X3892" s="21"/>
    </row>
    <row r="3893" spans="1:24" x14ac:dyDescent="0.25">
      <c r="A3893" s="1" t="s">
        <v>1928</v>
      </c>
      <c r="B3893" s="1" t="s">
        <v>1929</v>
      </c>
      <c r="C3893" s="1" t="s">
        <v>1930</v>
      </c>
      <c r="D3893" s="6" t="s">
        <v>1924</v>
      </c>
      <c r="E3893" s="6" t="s">
        <v>1266</v>
      </c>
      <c r="F3893" s="6" t="s">
        <v>1</v>
      </c>
      <c r="G3893" s="20" t="s">
        <v>584</v>
      </c>
      <c r="H3893" s="20" t="s">
        <v>435</v>
      </c>
      <c r="I3893" s="13" t="s">
        <v>1</v>
      </c>
      <c r="P3893" s="7">
        <v>6500</v>
      </c>
      <c r="Q3893" s="14">
        <f t="shared" ref="Q3893:Q3904" si="785">P3893</f>
        <v>6500</v>
      </c>
      <c r="R3893" s="7">
        <v>6500</v>
      </c>
      <c r="S3893" s="14">
        <f t="shared" ref="S3893:S3904" si="786">R3893-Q3893</f>
        <v>0</v>
      </c>
      <c r="V3893" s="14">
        <f t="shared" ref="V3893:V3904" si="787">R3893</f>
        <v>6500</v>
      </c>
      <c r="W3893" s="14">
        <f t="shared" ref="W3893:W3904" si="788">V3893-Q3893</f>
        <v>0</v>
      </c>
      <c r="X3893" s="7" t="s">
        <v>1920</v>
      </c>
    </row>
    <row r="3894" spans="1:24" ht="25.5" x14ac:dyDescent="0.25">
      <c r="A3894" s="1" t="s">
        <v>1928</v>
      </c>
      <c r="B3894" s="1" t="s">
        <v>1929</v>
      </c>
      <c r="C3894" s="1" t="s">
        <v>1931</v>
      </c>
      <c r="D3894" s="6" t="s">
        <v>1924</v>
      </c>
      <c r="E3894" s="6"/>
      <c r="F3894" s="6"/>
      <c r="G3894" s="20" t="s">
        <v>609</v>
      </c>
      <c r="H3894" s="20" t="s">
        <v>422</v>
      </c>
      <c r="I3894" s="13" t="s">
        <v>1</v>
      </c>
      <c r="P3894" s="7">
        <v>500</v>
      </c>
      <c r="Q3894" s="14"/>
      <c r="R3894" s="7">
        <v>500</v>
      </c>
      <c r="S3894" s="14"/>
      <c r="V3894" s="14"/>
      <c r="W3894" s="14"/>
      <c r="X3894" s="21" t="s">
        <v>1921</v>
      </c>
    </row>
    <row r="3895" spans="1:24" ht="25.5" x14ac:dyDescent="0.25">
      <c r="A3895" s="1" t="s">
        <v>1928</v>
      </c>
      <c r="B3895" s="1" t="s">
        <v>1929</v>
      </c>
      <c r="C3895" s="1" t="s">
        <v>1931</v>
      </c>
      <c r="D3895" s="6" t="s">
        <v>1924</v>
      </c>
      <c r="E3895" s="6"/>
      <c r="F3895" s="6"/>
      <c r="G3895" s="20" t="s">
        <v>609</v>
      </c>
      <c r="H3895" s="20" t="s">
        <v>433</v>
      </c>
      <c r="I3895" s="13" t="s">
        <v>1</v>
      </c>
      <c r="P3895" s="7">
        <v>500</v>
      </c>
      <c r="Q3895" s="14"/>
      <c r="R3895" s="7">
        <v>500</v>
      </c>
      <c r="S3895" s="14"/>
      <c r="V3895" s="14"/>
      <c r="W3895" s="14"/>
      <c r="X3895" s="21" t="s">
        <v>1922</v>
      </c>
    </row>
    <row r="3896" spans="1:24" x14ac:dyDescent="0.25">
      <c r="A3896" s="1" t="s">
        <v>1928</v>
      </c>
      <c r="B3896" s="1" t="s">
        <v>1932</v>
      </c>
      <c r="C3896" s="1" t="s">
        <v>1933</v>
      </c>
      <c r="D3896" s="6" t="s">
        <v>1924</v>
      </c>
      <c r="E3896" s="6"/>
      <c r="F3896" s="6"/>
      <c r="G3896" s="20" t="s">
        <v>612</v>
      </c>
      <c r="H3896" s="20" t="s">
        <v>437</v>
      </c>
      <c r="I3896" s="13" t="s">
        <v>1</v>
      </c>
      <c r="P3896" s="7">
        <v>1500</v>
      </c>
      <c r="Q3896" s="14"/>
      <c r="R3896" s="7">
        <v>1500</v>
      </c>
      <c r="S3896" s="14"/>
      <c r="V3896" s="14"/>
      <c r="W3896" s="14"/>
      <c r="X3896" s="7" t="s">
        <v>1423</v>
      </c>
    </row>
    <row r="3897" spans="1:24" x14ac:dyDescent="0.25">
      <c r="A3897" s="1" t="s">
        <v>1928</v>
      </c>
      <c r="B3897" s="1" t="s">
        <v>1934</v>
      </c>
      <c r="C3897" s="1" t="s">
        <v>1935</v>
      </c>
      <c r="D3897" s="6" t="s">
        <v>1924</v>
      </c>
      <c r="E3897" s="6"/>
      <c r="F3897" s="6"/>
      <c r="G3897" s="20" t="s">
        <v>615</v>
      </c>
      <c r="H3897" s="20" t="s">
        <v>476</v>
      </c>
      <c r="I3897" s="13" t="s">
        <v>1</v>
      </c>
      <c r="P3897" s="7"/>
      <c r="Q3897" s="14"/>
      <c r="R3897" s="7"/>
      <c r="S3897" s="14"/>
      <c r="V3897" s="14"/>
      <c r="W3897" s="14"/>
      <c r="X3897" s="7" t="s">
        <v>1923</v>
      </c>
    </row>
    <row r="3898" spans="1:24" x14ac:dyDescent="0.25">
      <c r="A3898" s="1" t="s">
        <v>1928</v>
      </c>
      <c r="B3898" s="1" t="s">
        <v>1934</v>
      </c>
      <c r="C3898" s="1" t="s">
        <v>1935</v>
      </c>
      <c r="D3898" s="6" t="s">
        <v>1924</v>
      </c>
      <c r="E3898" s="6"/>
      <c r="F3898" s="6"/>
      <c r="G3898" s="20" t="s">
        <v>615</v>
      </c>
      <c r="H3898" s="20" t="s">
        <v>411</v>
      </c>
      <c r="I3898" s="13" t="s">
        <v>1</v>
      </c>
      <c r="P3898" s="7">
        <v>911</v>
      </c>
      <c r="Q3898" s="14"/>
      <c r="R3898" s="7">
        <v>911</v>
      </c>
      <c r="S3898" s="14"/>
      <c r="V3898" s="14"/>
      <c r="W3898" s="14"/>
      <c r="X3898" s="7" t="s">
        <v>1923</v>
      </c>
    </row>
    <row r="3899" spans="1:24" x14ac:dyDescent="0.25">
      <c r="A3899" s="1" t="s">
        <v>1928</v>
      </c>
      <c r="B3899" s="1" t="s">
        <v>1934</v>
      </c>
      <c r="C3899" s="1" t="s">
        <v>1935</v>
      </c>
      <c r="D3899" s="6" t="s">
        <v>1924</v>
      </c>
      <c r="E3899" s="6"/>
      <c r="F3899" s="6"/>
      <c r="G3899" s="20" t="s">
        <v>615</v>
      </c>
      <c r="H3899" s="20" t="s">
        <v>507</v>
      </c>
      <c r="I3899" s="13" t="s">
        <v>1</v>
      </c>
      <c r="P3899" s="7">
        <v>3050</v>
      </c>
      <c r="Q3899" s="14"/>
      <c r="R3899" s="7">
        <v>3050</v>
      </c>
      <c r="S3899" s="14"/>
      <c r="V3899" s="14"/>
      <c r="W3899" s="14"/>
      <c r="X3899" s="7" t="s">
        <v>1923</v>
      </c>
    </row>
    <row r="3900" spans="1:24" x14ac:dyDescent="0.25">
      <c r="A3900" s="1" t="s">
        <v>1928</v>
      </c>
      <c r="B3900" s="1" t="s">
        <v>1934</v>
      </c>
      <c r="C3900" s="1" t="s">
        <v>1935</v>
      </c>
      <c r="D3900" s="6" t="s">
        <v>1924</v>
      </c>
      <c r="E3900" s="6"/>
      <c r="F3900" s="6"/>
      <c r="G3900" s="20" t="s">
        <v>615</v>
      </c>
      <c r="H3900" s="20" t="s">
        <v>489</v>
      </c>
      <c r="I3900" s="13" t="s">
        <v>1</v>
      </c>
      <c r="P3900" s="7">
        <v>222</v>
      </c>
      <c r="Q3900" s="14"/>
      <c r="R3900" s="7">
        <v>222</v>
      </c>
      <c r="S3900" s="14"/>
      <c r="V3900" s="14"/>
      <c r="W3900" s="14"/>
      <c r="X3900" s="7" t="s">
        <v>1923</v>
      </c>
    </row>
    <row r="3901" spans="1:24" x14ac:dyDescent="0.25">
      <c r="A3901" s="1" t="s">
        <v>1928</v>
      </c>
      <c r="B3901" s="1" t="s">
        <v>1934</v>
      </c>
      <c r="C3901" s="1" t="s">
        <v>1935</v>
      </c>
      <c r="D3901" s="6" t="s">
        <v>1924</v>
      </c>
      <c r="E3901" s="6" t="s">
        <v>1266</v>
      </c>
      <c r="F3901" s="6" t="s">
        <v>1</v>
      </c>
      <c r="G3901" s="20" t="s">
        <v>615</v>
      </c>
      <c r="H3901" s="20" t="s">
        <v>491</v>
      </c>
      <c r="I3901" s="13" t="s">
        <v>1</v>
      </c>
      <c r="P3901" s="7">
        <v>9553.9674725274999</v>
      </c>
      <c r="Q3901" s="14">
        <f t="shared" si="785"/>
        <v>9553.9674725274999</v>
      </c>
      <c r="R3901" s="7">
        <v>9553.9674725274999</v>
      </c>
      <c r="S3901" s="14">
        <f>R3901-Q3901</f>
        <v>0</v>
      </c>
      <c r="V3901" s="14">
        <f t="shared" si="787"/>
        <v>9553.9674725274999</v>
      </c>
      <c r="W3901" s="14">
        <f t="shared" si="788"/>
        <v>0</v>
      </c>
      <c r="X3901" s="7" t="s">
        <v>1923</v>
      </c>
    </row>
    <row r="3902" spans="1:24" x14ac:dyDescent="0.25">
      <c r="A3902" s="1" t="s">
        <v>1928</v>
      </c>
      <c r="B3902" s="1" t="s">
        <v>1934</v>
      </c>
      <c r="C3902" s="1" t="s">
        <v>1935</v>
      </c>
      <c r="D3902" s="6" t="s">
        <v>1924</v>
      </c>
      <c r="E3902" s="6" t="s">
        <v>1266</v>
      </c>
      <c r="F3902" s="6" t="s">
        <v>1</v>
      </c>
      <c r="G3902" s="20" t="s">
        <v>615</v>
      </c>
      <c r="H3902" s="20" t="s">
        <v>510</v>
      </c>
      <c r="I3902" s="13" t="s">
        <v>1</v>
      </c>
      <c r="P3902" s="7"/>
      <c r="Q3902" s="14">
        <f t="shared" si="785"/>
        <v>0</v>
      </c>
      <c r="R3902" s="7">
        <v>0</v>
      </c>
      <c r="S3902" s="14">
        <f t="shared" si="786"/>
        <v>0</v>
      </c>
      <c r="V3902" s="14">
        <f t="shared" si="787"/>
        <v>0</v>
      </c>
      <c r="W3902" s="14">
        <f t="shared" si="788"/>
        <v>0</v>
      </c>
      <c r="X3902" s="7" t="s">
        <v>1923</v>
      </c>
    </row>
    <row r="3903" spans="1:24" x14ac:dyDescent="0.25">
      <c r="A3903" s="1" t="s">
        <v>1928</v>
      </c>
      <c r="B3903" s="1" t="s">
        <v>1936</v>
      </c>
      <c r="C3903" s="1" t="s">
        <v>1937</v>
      </c>
      <c r="D3903" s="6" t="s">
        <v>1924</v>
      </c>
      <c r="E3903" s="6" t="s">
        <v>1266</v>
      </c>
      <c r="F3903" s="6" t="s">
        <v>1</v>
      </c>
      <c r="G3903" s="20" t="s">
        <v>678</v>
      </c>
      <c r="H3903" s="20" t="s">
        <v>426</v>
      </c>
      <c r="I3903" s="13" t="s">
        <v>1</v>
      </c>
      <c r="P3903" s="7">
        <v>1000</v>
      </c>
      <c r="Q3903" s="14">
        <f t="shared" si="785"/>
        <v>1000</v>
      </c>
      <c r="R3903" s="7">
        <v>1000</v>
      </c>
      <c r="S3903" s="14">
        <f t="shared" si="786"/>
        <v>0</v>
      </c>
      <c r="V3903" s="14">
        <f t="shared" si="787"/>
        <v>1000</v>
      </c>
      <c r="W3903" s="14">
        <f t="shared" si="788"/>
        <v>0</v>
      </c>
      <c r="X3903" s="7" t="s">
        <v>1460</v>
      </c>
    </row>
    <row r="3904" spans="1:24" x14ac:dyDescent="0.25">
      <c r="A3904" s="1" t="s">
        <v>1928</v>
      </c>
      <c r="B3904" s="1" t="s">
        <v>1938</v>
      </c>
      <c r="C3904" s="1" t="s">
        <v>1939</v>
      </c>
      <c r="D3904" s="6" t="s">
        <v>1924</v>
      </c>
      <c r="E3904" s="6" t="s">
        <v>1266</v>
      </c>
      <c r="F3904" s="6" t="s">
        <v>1</v>
      </c>
      <c r="G3904" s="20" t="s">
        <v>721</v>
      </c>
      <c r="H3904" s="20" t="s">
        <v>426</v>
      </c>
      <c r="I3904" s="13" t="s">
        <v>1</v>
      </c>
      <c r="P3904" s="7">
        <v>1000</v>
      </c>
      <c r="Q3904" s="14">
        <f t="shared" si="785"/>
        <v>1000</v>
      </c>
      <c r="R3904" s="7">
        <v>1000</v>
      </c>
      <c r="S3904" s="14">
        <f t="shared" si="786"/>
        <v>0</v>
      </c>
      <c r="V3904" s="14">
        <f t="shared" si="787"/>
        <v>1000</v>
      </c>
      <c r="W3904" s="14">
        <f t="shared" si="788"/>
        <v>0</v>
      </c>
      <c r="X3904" s="7" t="s">
        <v>1460</v>
      </c>
    </row>
    <row r="3905" spans="7:24" ht="12.75" x14ac:dyDescent="0.2">
      <c r="G3905" s="15" t="s">
        <v>402</v>
      </c>
      <c r="H3905" s="15"/>
      <c r="I3905" s="15"/>
      <c r="J3905" s="15"/>
      <c r="K3905" s="15"/>
      <c r="L3905" s="15"/>
      <c r="M3905" s="15"/>
      <c r="N3905" s="15"/>
      <c r="O3905" s="15"/>
      <c r="P3905" s="16">
        <f>SUM(P3892:P3904)</f>
        <v>39736.967472527496</v>
      </c>
      <c r="Q3905" s="16">
        <f>SUM(Q3892:Q3904)</f>
        <v>33053.967472527496</v>
      </c>
      <c r="R3905" s="16">
        <f>SUM(R3892:R3904)</f>
        <v>24736.9674725275</v>
      </c>
      <c r="S3905" s="16">
        <f>SUM(S3892:S3904)</f>
        <v>-15000</v>
      </c>
      <c r="T3905" s="17"/>
      <c r="U3905" s="15"/>
      <c r="V3905" s="16">
        <f>SUM(V3892:V3904)</f>
        <v>18053.9674725275</v>
      </c>
      <c r="W3905" s="16">
        <f>SUM(W3892:W3904)</f>
        <v>-15000</v>
      </c>
      <c r="X3905" s="15"/>
    </row>
    <row r="3907" spans="7:24" ht="13.5" thickBot="1" x14ac:dyDescent="0.25">
      <c r="G3907" s="8" t="s">
        <v>403</v>
      </c>
      <c r="H3907" s="8"/>
      <c r="I3907" s="8"/>
      <c r="J3907" s="18">
        <v>277143492.80000007</v>
      </c>
      <c r="K3907" s="18">
        <v>282937921.20068294</v>
      </c>
      <c r="L3907" s="18">
        <v>144751647.94000003</v>
      </c>
      <c r="M3907" s="18">
        <v>291902494.46464092</v>
      </c>
      <c r="N3907" s="18">
        <v>286409666.78999996</v>
      </c>
      <c r="O3907" s="18">
        <v>290929173.17774808</v>
      </c>
      <c r="P3907" s="18">
        <f>P3887+P3905</f>
        <v>161987.70137939413</v>
      </c>
      <c r="Q3907" s="18">
        <f>Q3887+Q3905</f>
        <v>291084477.8791275</v>
      </c>
      <c r="R3907" s="18">
        <f>R3887+R3905</f>
        <v>290508985.69437045</v>
      </c>
      <c r="S3907" s="18" t="e">
        <f>S3887+S3905</f>
        <v>#VALUE!</v>
      </c>
      <c r="T3907" s="9"/>
      <c r="U3907" s="18" t="e">
        <f>U3887+U3905</f>
        <v>#VALUE!</v>
      </c>
      <c r="V3907" s="18" t="e">
        <f>V3887+V3905</f>
        <v>#VALUE!</v>
      </c>
      <c r="W3907" s="18" t="e">
        <f>W3887+W3905</f>
        <v>#VALUE!</v>
      </c>
      <c r="X3907" s="8"/>
    </row>
  </sheetData>
  <conditionalFormatting sqref="X3892:X3904">
    <cfRule type="expression" dxfId="0" priority="1">
      <formula>#REF!="Yes"</formula>
    </cfRule>
  </conditionalFormatting>
  <pageMargins left="0.75" right="0.75" top="1" bottom="1" header="0.5" footer="0.5"/>
  <pageSetup orientation="portrait" horizontalDpi="1200" verticalDpi="1200" r:id="rId1"/>
  <headerFooter alignWithMargins="0"/>
  <customProperties>
    <customPr name="EpmWorksheetKeyString_GUID" r:id="rId2"/>
  </customProperties>
  <drawing r:id="rId3"/>
  <legacyDrawing r:id="rId4"/>
  <controls>
    <mc:AlternateContent xmlns:mc="http://schemas.openxmlformats.org/markup-compatibility/2006">
      <mc:Choice Requires="x14">
        <control shapeId="1025" r:id="rId5" name="FPMExcelClientSheetOptionstb1">
          <controlPr defaultSize="0" autoLine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1025" r:id="rId5" name="FPMExcelClientSheetOptionstb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OTS Prepop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Gabrinowitz, Steven</dc:creator>
  <cp:lastModifiedBy>Bixby, Kate</cp:lastModifiedBy>
  <dcterms:created xsi:type="dcterms:W3CDTF">2026-07-22T14:31:18Z</dcterms:created>
  <dcterms:modified xsi:type="dcterms:W3CDTF">2026-09-01T19:47:36Z</dcterms:modified>
</cp:coreProperties>
</file>