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https://northwell-my.sharepoint.com/personal/kbixby_northwell_edu/Documents/Scripts/ots/source_files/"/>
    </mc:Choice>
  </mc:AlternateContent>
  <xr:revisionPtr revIDLastSave="18" documentId="8_{B8339C6E-148F-454F-BF21-53CFD498751B}" xr6:coauthVersionLast="47" xr6:coauthVersionMax="47" xr10:uidLastSave="{4BB99229-CE51-480E-9F34-B58086882D99}"/>
  <bookViews>
    <workbookView xWindow="-120" yWindow="-120" windowWidth="29040" windowHeight="17520" xr2:uid="{0EF5863D-A37D-423D-BF94-C85EC3EF8587}"/>
  </bookViews>
  <sheets>
    <sheet name="OTS Prepop" sheetId="1" r:id="rId1"/>
  </sheets>
  <externalReferences>
    <externalReference r:id="rId2"/>
    <externalReference r:id="rId3"/>
    <externalReference r:id="rId4"/>
  </externalReferences>
  <definedNames>
    <definedName name="__123Graph_A" localSheetId="0" hidden="1">'[1]Amort Schedule'!#REF!</definedName>
    <definedName name="__123Graph_A" hidden="1">'[1]Amort Schedule'!#REF!</definedName>
    <definedName name="__123Graph_LBL_A" localSheetId="0" hidden="1">'[1]Amort Schedule'!#REF!</definedName>
    <definedName name="__123Graph_LBL_A" hidden="1">'[1]Amort Schedule'!#REF!</definedName>
    <definedName name="__FPMExcelClient_CellBasedFunctionStatus" localSheetId="0" hidden="1">"2_1_1_2_2"</definedName>
    <definedName name="__FPMExcelClient_Connection" localSheetId="0">"_FPM_BPCMS10_[HTTPS://SYKPBPCAP32V/sap/BPC/]_[NSLIJHS]_[Finance]_[false]_[false]\1"</definedName>
    <definedName name="_2__123Graph_AP_I" localSheetId="0" hidden="1">'[1]Amort Schedule'!#REF!</definedName>
    <definedName name="_2__123Graph_AP_I" hidden="1">'[1]Amort Schedule'!#REF!</definedName>
    <definedName name="_4__123Graph_LBL_AP_I" localSheetId="0" hidden="1">'[1]Amort Schedule'!#REF!</definedName>
    <definedName name="_4__123Graph_LBL_AP_I" hidden="1">'[1]Amort Schedule'!#REF!</definedName>
    <definedName name="_6__123Graph_LBL_BP_I" localSheetId="0" hidden="1">'[1]Amort Schedule'!#REF!</definedName>
    <definedName name="_6__123Graph_LBL_BP_I" hidden="1">'[1]Amort Schedule'!#REF!</definedName>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[2]ACUTE!#REF!</definedName>
    <definedName name="_Order1" hidden="1">255</definedName>
    <definedName name="_Order2" hidden="1">255</definedName>
    <definedName name="_Sort" localSheetId="0" hidden="1">#REF!</definedName>
    <definedName name="_Sort" hidden="1">#REF!</definedName>
    <definedName name="a" localSheetId="0" hidden="1">[3]ACUTE!#REF!</definedName>
    <definedName name="a" hidden="1">[3]ACUTE!#REF!</definedName>
    <definedName name="aa">"V2004-05-31"</definedName>
    <definedName name="Action_Plan">#REF!</definedName>
    <definedName name="anscount" hidden="1">1</definedName>
    <definedName name="AS2DocOpenMode" hidden="1">"AS2DocumentEdit"</definedName>
    <definedName name="august">"[Drill4]JRNLLAYOUT!$A$4:$A$1061"</definedName>
    <definedName name="BUList">#REF!</definedName>
    <definedName name="CHK_CHOOSEALL">#REF!</definedName>
    <definedName name="EPMWorkbookOptions_1" hidden="1">"dgEAAB+LCAAAAAAABACF0MEOgjAMBuC7ie+w7C4DTTwYwINeTCQYTdRrhQKL0JFtOh9fokGjHrz+/dqmDee3pmZX1EYqinjg+ZwhZSqXVEb8YotRMOXzeDgID0qfT0qd09Z21LCuj8zsZvKIV9a2MyGcc56beEqXYuz7gTgm611WYQP8heV/PJJkLFCGvNvKWLjFQqOpUkpbpLiA2mAoPsOHW9QIegkWUtrBFXv5HT9sf8tGK4uZxbzXv4VP"</definedName>
    <definedName name="EPMWorkbookOptions_2" hidden="1">"73ImntHK7EFLONWYoC7fE37y7nXi63fxHS3iv392AQAA"</definedName>
    <definedName name="EPMWorkbookOptions_3">"pimnl0vDWOBkYIxftYh34UYNJBQAjXo|UtvqIvv8gXk7z|aln8onXOUL93fHLy5Vcv3rw6/f74e9/epX|Onz///fXD1zT43hs9mN8u8jqrp/Nr1yglznq0LMrPPmrrNTHO3f5bTwsaG/j29m89vvtNDvvN2ZcvXj4/fhGO2376/9uRnxy/Of38y1e/jxn3k6|efn765v/H4/328avPT0||fGo5/M2Xb46f//7u8/8fs/nT4zfHr1|d|DxuPvr/7"</definedName>
    <definedName name="EPMWorkbookOptions_4" hidden="1">"5i/PHnz5atgyPLJ/29H/O0vX788I55|ffrqJ89OTt/8Pi8Dbf7t1/8/Fu|zF6|/enX84uTU1|XBh78/0eD/v|P/4vXTV5/7sy0f/P92vC9|n|6A9ZP/3474zdkXVpz3dnbvjdl|/f93vF|cHpP0klUef4/|9/L01dmXT8/|P2OvNnzjffHtYjbLl7bjZgPJbKOfLJpiUpRFe32rIRwdT6fVetm|On18N/Z1hHjA6QgDfnxX/9gw6pvx|oZGgRjp"</definedName>
    <definedName name="EPMWorkbookOptions_5" hidden="1">"ZZkt/z89jJOszS|q|vr/24OYZ/VFflLN8v9PDwO5htf19P/bY6imbVX/f3oIp8uW2v5/egjfrppV0Wbl67y|LKb5m|vV/7cl42zZrGvk|v4/r2/ZC/7/9AjErf3/9BDe0Gf/nx6AcUV/bgYRNN7oMfqDdUnnnlf5el65Tk|qsqoV18gXm17l0UfejFCFX6Q0f5u/a59ll1VdtIQXZ9bl5d53t3j/WVE3rYdA/PsOIIvlMIFu22qAW97T4fahCM1"</definedName>
    <definedName name="EPMWorkbookOptions_6" hidden="1">"pueY|BXgHux6A2Gzwu1/Ws7w|2nl8V36JQm9WZXb9sq5WeU28tXv/0/vn|eR8|/6ns/3t/b3zh9sH9/N8eyfL9/Znkwf7Dyb30HP4VgTw86xpX|clrdzkMwnKYjQK2TLaIP1ZWZFQyF8rGNR3I/N3u3c3BcLy/W2I583/zyK3vl9gFWPXnZ39g52d23Pr7v8fufXDF5IU|I8Ytt/Ojz7fK4SOsOu9e/fv7|/v355d9/5fzq5fg12//uqfgvx/JZ"</definedName>
    <definedName name="EPMWorkbookOptions_7" hidden="1">"N|XeHtUoPE9qvbpVYV5P8rqfH/IpF9z4RRRGg/fbC7c3Dw4PZCe|//h0L7zSxhK/wf8Wy/nUe198oORhiWnKJPP7137z28ov3//3Hs0|M3x69fnQSL8PrRjxjVa3arVkOM|h4p4Bifvnesef//h3z65cmbL18FbCqf/IhLvWa3ajXApe|T5f9GuPTT//9x6emLN2dvrJNKUeXZi9//7P/zkeU3Q40vjl98|/hH1FBqvP59vnz9|kfUUGo8|5Jy9"</definedName>
    <definedName name="EPMWorkbookOptions_8" hidden="1">"z|ihlJD/vr9n3z1/3Vy/L/HuH3t9V8f3te2dA/|/2fpvv3l65dnFNq|Pn31k2cnp29|n5fBKsC3X/9/PlX1/x7m/RqL/d8I2x78/49tz17QMvHxi5NTfx0g|PD3J/b9Eev6zW7VaoB1v3j99NXnP0SWffj/P5ZlEvq6VT74EYt6zW7VaoBFX/w|P2Qe3d35/x|TChF9LtVPfsSmXrNbtRpg0zf02Q|TSXf//8ekb86|sE7qHtFjzIsz/19n0W|I"</definedName>
    <definedName name="EPMWorkbookOptions_9" hidden="1">"Grv//6DG/3sE9ovTY3IrT1|jrx|W0O79/09oDRmJS5FSPX119uXTsx8tTr1XowCbeKPHd49Xq7KYZi3BsZ8Hn5rmBK1aLglx|gxrsPyx/|Gbqjv4x6/y8zpv5l8uv1zly6PzrGzImIUfcruTMs9qAP1y|Tq7zE3L7sfc9rtV/XZSVW|JN1smo2nd/yJsfzXjWXMNv1zJ|P4fTVOGDqdDAAA="</definedName>
    <definedName name="EV__CVPARAMS__" hidden="1">"Trend!$B$17:$C$38;"</definedName>
    <definedName name="EV__DECIMALSYMBOL__" hidden="1">"."</definedName>
    <definedName name="EV__EVCOM_OPTIONS__" localSheetId="0" hidden="1">8</definedName>
    <definedName name="EV__EVCOM_OPTIONS__" hidden="1">4</definedName>
    <definedName name="EV__EXPOPTIONS__" localSheetId="0" hidden="1">0</definedName>
    <definedName name="EV__EXPOPTIONS__" hidden="1">1</definedName>
    <definedName name="EV__LASTREFTIME__" localSheetId="0" hidden="1">41312.6676041667</definedName>
    <definedName name="EV__LASTREFTIME__" hidden="1">41002.5208564815</definedName>
    <definedName name="EV__LOCKEDCVW__CAPITAL" hidden="1">"TotAcctCA,ALL_ActionPlan,Tot_AssetClass,ACTUAL,ALL_DataSrc,All_Doctor,All_Entity,ALL_Projects,2007.TOTAL,PERIODIC,"</definedName>
    <definedName name="EV__LOCKEDCVW__FINANCE" hidden="1">"Net_Income,ALL_ActionPlan,Total_Affiliates,ACTUAL,All_ChargeCodes,ALL_DATASRCFIN,All_Entity,ALL_Projects,2007.TOTAL,PERIODIC,"</definedName>
    <definedName name="EV__LOCKEDCVW__FPP" hidden="1">"TOT_AccDescFP,TotAcctFP,ALL_ActionPlan,Total_Affiliates,ACTUAL,ALL_DataSrc,All_EntityFP,All_Procat,2007.TOTAL,PERIODIC,"</definedName>
    <definedName name="EV__LOCKEDCVW__HRB" hidden="1">"TotAcctHH,ACTUAL,ALL_DataSrc,All_Entity,All_Payor,All_ServiceType,2007.TOTAL,PERIODIC,"</definedName>
    <definedName name="EV__LOCKEDCVW__REIMBURSEMENT" hidden="1">"Cases,Base,Budget,No_ChargeCode,RevenueActualDB,No_Doctor,MANHA_IN,All_HST,No_InsurancePlan,All_MSDRG,All_NYSDRG,2008.Total,PERIODIC,"</definedName>
    <definedName name="EV__LOCKEDCVW__STAFF_BUDGET" hidden="1">"DOLLARS_Total,ALL_ActionPlan,ACTUAL,All_DataSrc_Staff,TOT_ENTITIES,All_JobCode,2007.TOTAL,No_Week,PERIODIC,"</definedName>
    <definedName name="EV__LOCKSTATUS__" hidden="1">1</definedName>
    <definedName name="EV__MAXEXPCOLS__" localSheetId="0" hidden="1">100</definedName>
    <definedName name="EV__MAXEXPCOLS__" hidden="1">255</definedName>
    <definedName name="EV__MAXEXPROWS__" localSheetId="0" hidden="1">500000</definedName>
    <definedName name="EV__MAXEXPROWS__" hidden="1">65000</definedName>
    <definedName name="EV__MEMORYCVW__" hidden="1">0</definedName>
    <definedName name="EV__USERCHANGEOPTIONS__" hidden="1">1</definedName>
    <definedName name="EV__WBEVMODE__" localSheetId="0" hidden="1">1</definedName>
    <definedName name="EV__WBEVMODE__" hidden="1">0</definedName>
    <definedName name="EV__WBREFOPTIONS__" hidden="1">134217728</definedName>
    <definedName name="EV__WBVERSION__" hidden="1">0</definedName>
    <definedName name="EV__WSINFO__" hidden="1">12345</definedName>
    <definedName name="EV_LASTREFTIME__2" hidden="1">39819.6636805556</definedName>
    <definedName name="Excel_BuiltIn_Print_Titles_0">#N/A</definedName>
    <definedName name="K2_WBEVMODE" hidden="1">0</definedName>
    <definedName name="ListOffset" hidden="1">1</definedName>
    <definedName name="m">38148.6898263889</definedName>
    <definedName name="METHOD_USED">#REF!</definedName>
    <definedName name="MEWarning" localSheetId="0" hidden="1">0</definedName>
    <definedName name="MEWarning" hidden="1">1</definedName>
    <definedName name="MNU_OVERRIDE">#REF!</definedName>
    <definedName name="MODEL">#REF!</definedName>
    <definedName name="NvsAnswerCol">"[Drill2]JRNLLAYOUT!$A$4:$A$84"</definedName>
    <definedName name="NvsAnswerCol___0">"[Drill2]JRNLLAYOUT!$A$4:$A$84"</definedName>
    <definedName name="NvsASD">"V2006-12-31"</definedName>
    <definedName name="NvsASD___0">"V2004-07-31"</definedName>
    <definedName name="NvsASD___2">"V2004-12-31"</definedName>
    <definedName name="NvsASD___4">"V2004-12-31"</definedName>
    <definedName name="NvsAutoDrillOk">"VN"</definedName>
    <definedName name="NvsAutoDrillOk___0">"VY"</definedName>
    <definedName name="NvsAutoDrillOk___2">"VN"</definedName>
    <definedName name="NvsAutoDrillOk___4">"VN"</definedName>
    <definedName name="NvsDateToNumber">"Y"</definedName>
    <definedName name="NvsElapsedTime">0.000347222223354038</definedName>
    <definedName name="NvsElapsedTime___0">0.00077546296233777</definedName>
    <definedName name="NvsElapsedTime___2">0.0000231481462833472</definedName>
    <definedName name="NvsElapsedTime___4">0.0000231481462833472</definedName>
    <definedName name="NvsEndTime">38736.6081828704</definedName>
    <definedName name="NvsEndTime___0">38215.6885763889</definedName>
    <definedName name="NvsEndTime___2">38367.7220486111</definedName>
    <definedName name="NvsEndTime___4">38367.7220486111</definedName>
    <definedName name="NvsInstanceHook">"Module2.hide_ckup"</definedName>
    <definedName name="NvsInstLang">"VENG"</definedName>
    <definedName name="NvsInstSpec">"%"</definedName>
    <definedName name="NvsInstSpec___0">"%"</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"%,X,RZF..,CZF.."</definedName>
    <definedName name="NvsPanelBusUnit">"V"</definedName>
    <definedName name="NvsPanelEffdt">"V2099-01-01"</definedName>
    <definedName name="NvsPanelEffdt___0">"V1900-01-01"</definedName>
    <definedName name="NvsPanelEffdt___4">"V1990-01-01"</definedName>
    <definedName name="NvsPanelSetid">"VNSLIJ"</definedName>
    <definedName name="NvsParentRef">"'[LIJMC Detailed Balance Sheets - 2004-11-30.xls]Sheet1'!$F$50"</definedName>
    <definedName name="NvsParentRef___0">"'[MANHA Operating Expenses - 2005-01-31.xls]Operating Expenses'!$B$36"</definedName>
    <definedName name="NvsReqBU">"VMANHA"</definedName>
    <definedName name="NvsReqBU___0">"VLIJMC"</definedName>
    <definedName name="NvsReqBU___2">"VGLENC"</definedName>
    <definedName name="NvsReqBU___4">"VGLENC"</definedName>
    <definedName name="NvsReqBUOnly">"VY"</definedName>
    <definedName name="NvsReqBUOnly___0">"VN"</definedName>
    <definedName name="NvsReqBUOnly___2">"VY"</definedName>
    <definedName name="NvsReqBUOnly___4">"VY"</definedName>
    <definedName name="NvsTransLed">"VN"</definedName>
    <definedName name="NvsTreeASD">"V2006-12-31"</definedName>
    <definedName name="NvsTreeASD___0">"V2004-07-31"</definedName>
    <definedName name="NvsTreeASD___2">"V2004-12-31"</definedName>
    <definedName name="NvsTreeASD___4">"V2004-12-31"</definedName>
    <definedName name="NvsValTbl.ACCOUNT">"GL_ACCOUNT_TBL"</definedName>
    <definedName name="NvsValTbl.ALTACCT">"BUS_UNIT_TBL_GL"</definedName>
    <definedName name="NvsValTbl.BUSINESS_UNIT">"BUS_UNIT_TBL_GL"</definedName>
    <definedName name="NvsValTbl.CURRENCY_CD">"CURRENCY_CD_TBL"</definedName>
    <definedName name="NvsValTbl.DEPTID">"DEPT_TBL"</definedName>
    <definedName name="NvsValTbl.LEDGER">"LED_DETL_VW"</definedName>
    <definedName name="PARENT_MEMBER">#REF!</definedName>
    <definedName name="PATHNAME">#REF!</definedName>
    <definedName name="pl">0.0000578703693463467</definedName>
    <definedName name="wrn.ambulances." hidden="1">{#N/A,#N/A,FALSE,"Sheet1"}</definedName>
    <definedName name="wrn.Financial._.Statements." hidden="1">{#N/A,#N/A,FALSE,"COVER";#N/A,#N/A,FALSE,"INDEX";#N/A,#N/A,FALSE,"Stat. High.";#N/A,#N/A,FALSE,"BS";#N/A,#N/A,FALSE,"PL";#N/A,#N/A,FALSE,"NA";#N/A,#N/A,FALSE,"CashflowYTD";#N/A,#N/A,FALSE,"Patient Stats";#N/A,#N/A,FALSE,"Payor Info";#N/A,#N/A,FALSE,"Payor1";#N/A,#N/A,FALSE,"Census"}</definedName>
    <definedName name="wrn.MR111._.REPORT." hidden="1">{#N/A,#N/A,FALSE,"Metrics_Sheet";#N/A,#N/A,FALSE,"MR111-Totals";#N/A,#N/A,FALSE,"Billing";#N/A,#N/A,FALSE,"Microsoft VendorSheet";#N/A,#N/A,FALSE,"AAC VendorSheet"}</definedName>
    <definedName name="wrn.MR111._.RPT" hidden="1">{#N/A,#N/A,FALSE,"Metrics_Sheet";#N/A,#N/A,FALSE,"MR111-Totals";#N/A,#N/A,FALSE,"Billing";#N/A,#N/A,FALSE,"Microsoft VendorSheet";#N/A,#N/A,FALSE,"AAC VendorSheet"}</definedName>
    <definedName name="wrn.mr111._.rpt2" hidden="1">{#N/A,#N/A,FALSE,"Metrics_Sheet";#N/A,#N/A,FALSE,"MR111-Totals";#N/A,#N/A,FALSE,"Billing";#N/A,#N/A,FALSE,"Microsoft VendorSheet";#N/A,#N/A,FALSE,"AAC VendorSheet"}</definedName>
    <definedName name="wrn.mr111._rpt3" hidden="1">{#N/A,#N/A,FALSE,"Metrics_Sheet";#N/A,#N/A,FALSE,"MR111-Totals";#N/A,#N/A,FALSE,"Billing";#N/A,#N/A,FALSE,"Microsoft VendorSheet";#N/A,#N/A,FALSE,"AAC VendorSheet"}</definedName>
    <definedName name="Year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Q3" i="1" l="1"/>
  <c r="S3" i="1" s="1"/>
  <c r="U3" i="1"/>
  <c r="V3" i="1" s="1"/>
  <c r="Q4" i="1"/>
  <c r="S4" i="1" s="1"/>
  <c r="U4" i="1"/>
  <c r="V4" i="1" s="1"/>
  <c r="Q5" i="1"/>
  <c r="S5" i="1" s="1"/>
  <c r="U5" i="1"/>
  <c r="V5" i="1" s="1"/>
  <c r="Q6" i="1"/>
  <c r="S6" i="1" s="1"/>
  <c r="U6" i="1"/>
  <c r="V6" i="1" s="1"/>
  <c r="Q7" i="1"/>
  <c r="S7" i="1" s="1"/>
  <c r="U7" i="1"/>
  <c r="V7" i="1" s="1"/>
  <c r="W7" i="1" s="1"/>
  <c r="Q8" i="1"/>
  <c r="S8" i="1" s="1"/>
  <c r="U8" i="1"/>
  <c r="V8" i="1" s="1"/>
  <c r="Q9" i="1"/>
  <c r="U9" i="1"/>
  <c r="V9" i="1" s="1"/>
  <c r="Q10" i="1"/>
  <c r="S10" i="1" s="1"/>
  <c r="U10" i="1"/>
  <c r="V10" i="1" s="1"/>
  <c r="W10" i="1" s="1"/>
  <c r="Q11" i="1"/>
  <c r="S11" i="1" s="1"/>
  <c r="U11" i="1"/>
  <c r="V11" i="1" s="1"/>
  <c r="Q12" i="1"/>
  <c r="S12" i="1" s="1"/>
  <c r="U12" i="1"/>
  <c r="V12" i="1" s="1"/>
  <c r="Q13" i="1"/>
  <c r="S13" i="1" s="1"/>
  <c r="U13" i="1"/>
  <c r="V13" i="1" s="1"/>
  <c r="Q14" i="1"/>
  <c r="S14" i="1" s="1"/>
  <c r="U14" i="1"/>
  <c r="V14" i="1" s="1"/>
  <c r="Q15" i="1"/>
  <c r="S15" i="1" s="1"/>
  <c r="U15" i="1"/>
  <c r="V15" i="1" s="1"/>
  <c r="Q16" i="1"/>
  <c r="S16" i="1" s="1"/>
  <c r="U16" i="1"/>
  <c r="V16" i="1" s="1"/>
  <c r="Q17" i="1"/>
  <c r="U17" i="1"/>
  <c r="V17" i="1" s="1"/>
  <c r="Q18" i="1"/>
  <c r="S18" i="1" s="1"/>
  <c r="U18" i="1"/>
  <c r="V18" i="1" s="1"/>
  <c r="Q19" i="1"/>
  <c r="S19" i="1" s="1"/>
  <c r="U19" i="1"/>
  <c r="V19" i="1" s="1"/>
  <c r="Q20" i="1"/>
  <c r="S20" i="1" s="1"/>
  <c r="U20" i="1"/>
  <c r="V20" i="1" s="1"/>
  <c r="Q21" i="1"/>
  <c r="S21" i="1" s="1"/>
  <c r="U21" i="1"/>
  <c r="V21" i="1" s="1"/>
  <c r="Q22" i="1"/>
  <c r="S22" i="1" s="1"/>
  <c r="U22" i="1"/>
  <c r="V22" i="1" s="1"/>
  <c r="W22" i="1" s="1"/>
  <c r="Q23" i="1"/>
  <c r="S23" i="1" s="1"/>
  <c r="U23" i="1"/>
  <c r="V23" i="1" s="1"/>
  <c r="Q24" i="1"/>
  <c r="S24" i="1" s="1"/>
  <c r="U24" i="1"/>
  <c r="V24" i="1" s="1"/>
  <c r="W24" i="1" s="1"/>
  <c r="Q25" i="1"/>
  <c r="S25" i="1" s="1"/>
  <c r="U25" i="1"/>
  <c r="V25" i="1" s="1"/>
  <c r="Q26" i="1"/>
  <c r="U26" i="1"/>
  <c r="V26" i="1" s="1"/>
  <c r="Q27" i="1"/>
  <c r="S27" i="1" s="1"/>
  <c r="U27" i="1"/>
  <c r="V27" i="1" s="1"/>
  <c r="Q28" i="1"/>
  <c r="S28" i="1" s="1"/>
  <c r="U28" i="1"/>
  <c r="V28" i="1" s="1"/>
  <c r="Q29" i="1"/>
  <c r="S29" i="1" s="1"/>
  <c r="U29" i="1"/>
  <c r="V29" i="1" s="1"/>
  <c r="Q30" i="1"/>
  <c r="S30" i="1" s="1"/>
  <c r="U30" i="1"/>
  <c r="V30" i="1" s="1"/>
  <c r="W30" i="1" s="1"/>
  <c r="Q31" i="1"/>
  <c r="S31" i="1" s="1"/>
  <c r="U31" i="1"/>
  <c r="V31" i="1" s="1"/>
  <c r="Q32" i="1"/>
  <c r="S32" i="1" s="1"/>
  <c r="U32" i="1"/>
  <c r="V32" i="1" s="1"/>
  <c r="Q33" i="1"/>
  <c r="S33" i="1" s="1"/>
  <c r="U33" i="1"/>
  <c r="V33" i="1" s="1"/>
  <c r="Q34" i="1"/>
  <c r="S34" i="1" s="1"/>
  <c r="U34" i="1"/>
  <c r="V34" i="1" s="1"/>
  <c r="W34" i="1" s="1"/>
  <c r="Q35" i="1"/>
  <c r="S35" i="1" s="1"/>
  <c r="U35" i="1"/>
  <c r="V35" i="1" s="1"/>
  <c r="Q36" i="1"/>
  <c r="S36" i="1" s="1"/>
  <c r="U36" i="1"/>
  <c r="V36" i="1" s="1"/>
  <c r="Q37" i="1"/>
  <c r="S37" i="1" s="1"/>
  <c r="U37" i="1"/>
  <c r="V37" i="1" s="1"/>
  <c r="Q38" i="1"/>
  <c r="S38" i="1" s="1"/>
  <c r="U38" i="1"/>
  <c r="V38" i="1" s="1"/>
  <c r="W38" i="1" s="1"/>
  <c r="P39" i="1"/>
  <c r="R39" i="1"/>
  <c r="X39" i="1"/>
  <c r="Q41" i="1"/>
  <c r="S41" i="1" s="1"/>
  <c r="U41" i="1"/>
  <c r="V41" i="1" s="1"/>
  <c r="W41" i="1" s="1"/>
  <c r="Q42" i="1"/>
  <c r="S42" i="1" s="1"/>
  <c r="U42" i="1"/>
  <c r="V42" i="1" s="1"/>
  <c r="Q43" i="1"/>
  <c r="S43" i="1"/>
  <c r="U43" i="1"/>
  <c r="V43" i="1" s="1"/>
  <c r="W43" i="1" s="1"/>
  <c r="Q44" i="1"/>
  <c r="U44" i="1"/>
  <c r="V44" i="1" s="1"/>
  <c r="Q45" i="1"/>
  <c r="S45" i="1" s="1"/>
  <c r="U45" i="1"/>
  <c r="V45" i="1" s="1"/>
  <c r="Q46" i="1"/>
  <c r="S46" i="1" s="1"/>
  <c r="U46" i="1"/>
  <c r="V46" i="1" s="1"/>
  <c r="Q47" i="1"/>
  <c r="S47" i="1" s="1"/>
  <c r="U47" i="1"/>
  <c r="V47" i="1" s="1"/>
  <c r="Q48" i="1"/>
  <c r="U48" i="1"/>
  <c r="V48" i="1" s="1"/>
  <c r="Q49" i="1"/>
  <c r="S49" i="1" s="1"/>
  <c r="U49" i="1"/>
  <c r="V49" i="1" s="1"/>
  <c r="Q50" i="1"/>
  <c r="S50" i="1" s="1"/>
  <c r="U50" i="1"/>
  <c r="V50" i="1" s="1"/>
  <c r="Q51" i="1"/>
  <c r="S51" i="1" s="1"/>
  <c r="U51" i="1"/>
  <c r="V51" i="1" s="1"/>
  <c r="Q52" i="1"/>
  <c r="U52" i="1"/>
  <c r="V52" i="1" s="1"/>
  <c r="Q53" i="1"/>
  <c r="S53" i="1" s="1"/>
  <c r="U53" i="1"/>
  <c r="V53" i="1" s="1"/>
  <c r="Q54" i="1"/>
  <c r="S54" i="1" s="1"/>
  <c r="U54" i="1"/>
  <c r="V54" i="1" s="1"/>
  <c r="Q55" i="1"/>
  <c r="S55" i="1" s="1"/>
  <c r="U55" i="1"/>
  <c r="V55" i="1" s="1"/>
  <c r="Q56" i="1"/>
  <c r="U56" i="1"/>
  <c r="V56" i="1" s="1"/>
  <c r="Q57" i="1"/>
  <c r="S57" i="1" s="1"/>
  <c r="U57" i="1"/>
  <c r="V57" i="1" s="1"/>
  <c r="Q58" i="1"/>
  <c r="S58" i="1" s="1"/>
  <c r="U58" i="1"/>
  <c r="V58" i="1" s="1"/>
  <c r="Q59" i="1"/>
  <c r="S59" i="1" s="1"/>
  <c r="U59" i="1"/>
  <c r="V59" i="1" s="1"/>
  <c r="Q60" i="1"/>
  <c r="U60" i="1"/>
  <c r="V60" i="1" s="1"/>
  <c r="Q61" i="1"/>
  <c r="S61" i="1" s="1"/>
  <c r="U61" i="1"/>
  <c r="V61" i="1" s="1"/>
  <c r="Q62" i="1"/>
  <c r="S62" i="1" s="1"/>
  <c r="U62" i="1"/>
  <c r="V62" i="1" s="1"/>
  <c r="Q63" i="1"/>
  <c r="S63" i="1" s="1"/>
  <c r="U63" i="1"/>
  <c r="V63" i="1" s="1"/>
  <c r="Q64" i="1"/>
  <c r="U64" i="1"/>
  <c r="V64" i="1" s="1"/>
  <c r="Q65" i="1"/>
  <c r="S65" i="1" s="1"/>
  <c r="U65" i="1"/>
  <c r="V65" i="1" s="1"/>
  <c r="P66" i="1"/>
  <c r="R66" i="1"/>
  <c r="X66" i="1"/>
  <c r="Q68" i="1"/>
  <c r="S68" i="1" s="1"/>
  <c r="U68" i="1"/>
  <c r="V68" i="1" s="1"/>
  <c r="Q69" i="1"/>
  <c r="S69" i="1" s="1"/>
  <c r="U69" i="1"/>
  <c r="V69" i="1" s="1"/>
  <c r="Q70" i="1"/>
  <c r="S70" i="1" s="1"/>
  <c r="U70" i="1"/>
  <c r="V70" i="1" s="1"/>
  <c r="Q71" i="1"/>
  <c r="S71" i="1" s="1"/>
  <c r="U71" i="1"/>
  <c r="V71" i="1" s="1"/>
  <c r="Q72" i="1"/>
  <c r="S72" i="1" s="1"/>
  <c r="U72" i="1"/>
  <c r="V72" i="1" s="1"/>
  <c r="Q73" i="1"/>
  <c r="S73" i="1" s="1"/>
  <c r="U73" i="1"/>
  <c r="V73" i="1" s="1"/>
  <c r="Q74" i="1"/>
  <c r="S74" i="1" s="1"/>
  <c r="U74" i="1"/>
  <c r="V74" i="1" s="1"/>
  <c r="Q75" i="1"/>
  <c r="S75" i="1" s="1"/>
  <c r="U75" i="1"/>
  <c r="V75" i="1" s="1"/>
  <c r="Q76" i="1"/>
  <c r="S76" i="1" s="1"/>
  <c r="U76" i="1"/>
  <c r="V76" i="1" s="1"/>
  <c r="P77" i="1"/>
  <c r="R77" i="1"/>
  <c r="X77" i="1"/>
  <c r="Q79" i="1"/>
  <c r="S79" i="1" s="1"/>
  <c r="U79" i="1"/>
  <c r="V79" i="1" s="1"/>
  <c r="Q80" i="1"/>
  <c r="U80" i="1"/>
  <c r="V80" i="1" s="1"/>
  <c r="Q81" i="1"/>
  <c r="S81" i="1" s="1"/>
  <c r="U81" i="1"/>
  <c r="V81" i="1" s="1"/>
  <c r="Q82" i="1"/>
  <c r="S82" i="1" s="1"/>
  <c r="U82" i="1"/>
  <c r="V82" i="1" s="1"/>
  <c r="Q83" i="1"/>
  <c r="S83" i="1" s="1"/>
  <c r="U83" i="1"/>
  <c r="V83" i="1" s="1"/>
  <c r="Q84" i="1"/>
  <c r="S84" i="1" s="1"/>
  <c r="U84" i="1"/>
  <c r="V84" i="1" s="1"/>
  <c r="Q85" i="1"/>
  <c r="S85" i="1" s="1"/>
  <c r="U85" i="1"/>
  <c r="V85" i="1" s="1"/>
  <c r="Q86" i="1"/>
  <c r="S86" i="1" s="1"/>
  <c r="U86" i="1"/>
  <c r="V86" i="1" s="1"/>
  <c r="Q87" i="1"/>
  <c r="S87" i="1" s="1"/>
  <c r="U87" i="1"/>
  <c r="V87" i="1" s="1"/>
  <c r="Q88" i="1"/>
  <c r="S88" i="1" s="1"/>
  <c r="U88" i="1"/>
  <c r="V88" i="1" s="1"/>
  <c r="Q89" i="1"/>
  <c r="S89" i="1" s="1"/>
  <c r="U89" i="1"/>
  <c r="V89" i="1" s="1"/>
  <c r="Q90" i="1"/>
  <c r="S90" i="1" s="1"/>
  <c r="U90" i="1"/>
  <c r="V90" i="1" s="1"/>
  <c r="Q91" i="1"/>
  <c r="S91" i="1" s="1"/>
  <c r="U91" i="1"/>
  <c r="V91" i="1" s="1"/>
  <c r="Q92" i="1"/>
  <c r="S92" i="1" s="1"/>
  <c r="U92" i="1"/>
  <c r="V92" i="1" s="1"/>
  <c r="Q93" i="1"/>
  <c r="S93" i="1" s="1"/>
  <c r="U93" i="1"/>
  <c r="V93" i="1" s="1"/>
  <c r="P94" i="1"/>
  <c r="R94" i="1"/>
  <c r="X94" i="1"/>
  <c r="Q96" i="1"/>
  <c r="S96" i="1" s="1"/>
  <c r="U96" i="1"/>
  <c r="V96" i="1" s="1"/>
  <c r="Q97" i="1"/>
  <c r="S97" i="1" s="1"/>
  <c r="U97" i="1"/>
  <c r="V97" i="1" s="1"/>
  <c r="Q98" i="1"/>
  <c r="S98" i="1" s="1"/>
  <c r="U98" i="1"/>
  <c r="V98" i="1" s="1"/>
  <c r="Q99" i="1"/>
  <c r="S99" i="1" s="1"/>
  <c r="U99" i="1"/>
  <c r="V99" i="1" s="1"/>
  <c r="Q100" i="1"/>
  <c r="S100" i="1"/>
  <c r="U100" i="1"/>
  <c r="V100" i="1" s="1"/>
  <c r="Q101" i="1"/>
  <c r="S101" i="1" s="1"/>
  <c r="U101" i="1"/>
  <c r="V101" i="1"/>
  <c r="Q102" i="1"/>
  <c r="S102" i="1" s="1"/>
  <c r="U102" i="1"/>
  <c r="V102" i="1" s="1"/>
  <c r="Q103" i="1"/>
  <c r="S103" i="1" s="1"/>
  <c r="U103" i="1"/>
  <c r="Q104" i="1"/>
  <c r="S104" i="1" s="1"/>
  <c r="U104" i="1"/>
  <c r="V104" i="1" s="1"/>
  <c r="Q105" i="1"/>
  <c r="S105" i="1" s="1"/>
  <c r="U105" i="1"/>
  <c r="V105" i="1" s="1"/>
  <c r="Q106" i="1"/>
  <c r="S106" i="1" s="1"/>
  <c r="U106" i="1"/>
  <c r="V106" i="1" s="1"/>
  <c r="Q107" i="1"/>
  <c r="S107" i="1" s="1"/>
  <c r="U107" i="1"/>
  <c r="V107" i="1" s="1"/>
  <c r="Q108" i="1"/>
  <c r="S108" i="1" s="1"/>
  <c r="U108" i="1"/>
  <c r="V108" i="1" s="1"/>
  <c r="Q109" i="1"/>
  <c r="U109" i="1"/>
  <c r="V109" i="1" s="1"/>
  <c r="Q110" i="1"/>
  <c r="U110" i="1"/>
  <c r="V110" i="1" s="1"/>
  <c r="Q111" i="1"/>
  <c r="S111" i="1" s="1"/>
  <c r="U111" i="1"/>
  <c r="V111" i="1" s="1"/>
  <c r="W111" i="1" s="1"/>
  <c r="Q112" i="1"/>
  <c r="S112" i="1" s="1"/>
  <c r="U112" i="1"/>
  <c r="V112" i="1" s="1"/>
  <c r="Q113" i="1"/>
  <c r="S113" i="1" s="1"/>
  <c r="U113" i="1"/>
  <c r="V113" i="1" s="1"/>
  <c r="Q114" i="1"/>
  <c r="S114" i="1" s="1"/>
  <c r="U114" i="1"/>
  <c r="V114" i="1" s="1"/>
  <c r="Q115" i="1"/>
  <c r="S115" i="1" s="1"/>
  <c r="U115" i="1"/>
  <c r="V115" i="1" s="1"/>
  <c r="Q116" i="1"/>
  <c r="S116" i="1" s="1"/>
  <c r="U116" i="1"/>
  <c r="V116" i="1" s="1"/>
  <c r="Q117" i="1"/>
  <c r="S117" i="1" s="1"/>
  <c r="U117" i="1"/>
  <c r="V117" i="1" s="1"/>
  <c r="Q118" i="1"/>
  <c r="S118" i="1" s="1"/>
  <c r="U118" i="1"/>
  <c r="V118" i="1" s="1"/>
  <c r="Q119" i="1"/>
  <c r="S119" i="1" s="1"/>
  <c r="U119" i="1"/>
  <c r="V119" i="1" s="1"/>
  <c r="W119" i="1" s="1"/>
  <c r="Q120" i="1"/>
  <c r="S120" i="1" s="1"/>
  <c r="U120" i="1"/>
  <c r="V120" i="1" s="1"/>
  <c r="Q121" i="1"/>
  <c r="S121" i="1"/>
  <c r="U121" i="1"/>
  <c r="V121" i="1" s="1"/>
  <c r="Q122" i="1"/>
  <c r="S122" i="1" s="1"/>
  <c r="U122" i="1"/>
  <c r="V122" i="1" s="1"/>
  <c r="Q123" i="1"/>
  <c r="S123" i="1" s="1"/>
  <c r="U123" i="1"/>
  <c r="V123" i="1" s="1"/>
  <c r="Q124" i="1"/>
  <c r="S124" i="1" s="1"/>
  <c r="U124" i="1"/>
  <c r="V124" i="1" s="1"/>
  <c r="P125" i="1"/>
  <c r="R125" i="1"/>
  <c r="X125" i="1"/>
  <c r="Q127" i="1"/>
  <c r="S127" i="1"/>
  <c r="U127" i="1"/>
  <c r="Q128" i="1"/>
  <c r="S128" i="1" s="1"/>
  <c r="U128" i="1"/>
  <c r="V128" i="1" s="1"/>
  <c r="Q129" i="1"/>
  <c r="S129" i="1" s="1"/>
  <c r="U129" i="1"/>
  <c r="V129" i="1" s="1"/>
  <c r="Q130" i="1"/>
  <c r="S130" i="1" s="1"/>
  <c r="U130" i="1"/>
  <c r="V130" i="1" s="1"/>
  <c r="Q131" i="1"/>
  <c r="S131" i="1" s="1"/>
  <c r="U131" i="1"/>
  <c r="V131" i="1" s="1"/>
  <c r="Q132" i="1"/>
  <c r="S132" i="1" s="1"/>
  <c r="U132" i="1"/>
  <c r="V132" i="1" s="1"/>
  <c r="Q133" i="1"/>
  <c r="U133" i="1"/>
  <c r="V133" i="1" s="1"/>
  <c r="Q134" i="1"/>
  <c r="S134" i="1" s="1"/>
  <c r="U134" i="1"/>
  <c r="V134" i="1" s="1"/>
  <c r="Q135" i="1"/>
  <c r="U135" i="1"/>
  <c r="V135" i="1" s="1"/>
  <c r="Q136" i="1"/>
  <c r="S136" i="1" s="1"/>
  <c r="U136" i="1"/>
  <c r="V136" i="1"/>
  <c r="Q137" i="1"/>
  <c r="S137" i="1" s="1"/>
  <c r="U137" i="1"/>
  <c r="V137" i="1" s="1"/>
  <c r="Q138" i="1"/>
  <c r="S138" i="1" s="1"/>
  <c r="U138" i="1"/>
  <c r="V138" i="1" s="1"/>
  <c r="Q139" i="1"/>
  <c r="S139" i="1" s="1"/>
  <c r="U139" i="1"/>
  <c r="V139" i="1" s="1"/>
  <c r="Q140" i="1"/>
  <c r="S140" i="1" s="1"/>
  <c r="U140" i="1"/>
  <c r="V140" i="1" s="1"/>
  <c r="Q141" i="1"/>
  <c r="S141" i="1" s="1"/>
  <c r="U141" i="1"/>
  <c r="V141" i="1" s="1"/>
  <c r="Q142" i="1"/>
  <c r="S142" i="1" s="1"/>
  <c r="U142" i="1"/>
  <c r="V142" i="1" s="1"/>
  <c r="Q143" i="1"/>
  <c r="S143" i="1" s="1"/>
  <c r="U143" i="1"/>
  <c r="V143" i="1" s="1"/>
  <c r="Q144" i="1"/>
  <c r="S144" i="1" s="1"/>
  <c r="U144" i="1"/>
  <c r="V144" i="1" s="1"/>
  <c r="Q145" i="1"/>
  <c r="S145" i="1" s="1"/>
  <c r="U145" i="1"/>
  <c r="V145" i="1" s="1"/>
  <c r="Q146" i="1"/>
  <c r="S146" i="1" s="1"/>
  <c r="U146" i="1"/>
  <c r="V146" i="1" s="1"/>
  <c r="Q147" i="1"/>
  <c r="S147" i="1" s="1"/>
  <c r="U147" i="1"/>
  <c r="V147" i="1" s="1"/>
  <c r="Q148" i="1"/>
  <c r="S148" i="1" s="1"/>
  <c r="U148" i="1"/>
  <c r="V148" i="1" s="1"/>
  <c r="Q149" i="1"/>
  <c r="U149" i="1"/>
  <c r="V149" i="1" s="1"/>
  <c r="Q150" i="1"/>
  <c r="S150" i="1" s="1"/>
  <c r="U150" i="1"/>
  <c r="V150" i="1" s="1"/>
  <c r="Q151" i="1"/>
  <c r="U151" i="1"/>
  <c r="V151" i="1" s="1"/>
  <c r="Q152" i="1"/>
  <c r="U152" i="1"/>
  <c r="V152" i="1" s="1"/>
  <c r="Q153" i="1"/>
  <c r="S153" i="1" s="1"/>
  <c r="U153" i="1"/>
  <c r="V153" i="1" s="1"/>
  <c r="Q154" i="1"/>
  <c r="S154" i="1" s="1"/>
  <c r="U154" i="1"/>
  <c r="V154" i="1" s="1"/>
  <c r="Q155" i="1"/>
  <c r="S155" i="1" s="1"/>
  <c r="U155" i="1"/>
  <c r="V155" i="1" s="1"/>
  <c r="Q156" i="1"/>
  <c r="S156" i="1" s="1"/>
  <c r="U156" i="1"/>
  <c r="V156" i="1" s="1"/>
  <c r="Q157" i="1"/>
  <c r="S157" i="1" s="1"/>
  <c r="U157" i="1"/>
  <c r="V157" i="1" s="1"/>
  <c r="Q158" i="1"/>
  <c r="S158" i="1" s="1"/>
  <c r="U158" i="1"/>
  <c r="V158" i="1" s="1"/>
  <c r="Q159" i="1"/>
  <c r="S159" i="1" s="1"/>
  <c r="U159" i="1"/>
  <c r="V159" i="1" s="1"/>
  <c r="Q160" i="1"/>
  <c r="S160" i="1" s="1"/>
  <c r="U160" i="1"/>
  <c r="V160" i="1" s="1"/>
  <c r="P161" i="1"/>
  <c r="R161" i="1"/>
  <c r="X161" i="1"/>
  <c r="Q163" i="1"/>
  <c r="U163" i="1"/>
  <c r="V163" i="1" s="1"/>
  <c r="Q164" i="1"/>
  <c r="S164" i="1" s="1"/>
  <c r="U164" i="1"/>
  <c r="V164" i="1" s="1"/>
  <c r="W164" i="1" s="1"/>
  <c r="Q165" i="1"/>
  <c r="S165" i="1" s="1"/>
  <c r="U165" i="1"/>
  <c r="V165" i="1" s="1"/>
  <c r="Q166" i="1"/>
  <c r="S166" i="1" s="1"/>
  <c r="U166" i="1"/>
  <c r="V166" i="1" s="1"/>
  <c r="W166" i="1" s="1"/>
  <c r="Q167" i="1"/>
  <c r="S167" i="1" s="1"/>
  <c r="U167" i="1"/>
  <c r="V167" i="1" s="1"/>
  <c r="Q168" i="1"/>
  <c r="S168" i="1" s="1"/>
  <c r="U168" i="1"/>
  <c r="Q169" i="1"/>
  <c r="S169" i="1" s="1"/>
  <c r="U169" i="1"/>
  <c r="V169" i="1" s="1"/>
  <c r="Q170" i="1"/>
  <c r="U170" i="1"/>
  <c r="V170" i="1" s="1"/>
  <c r="Q171" i="1"/>
  <c r="S171" i="1" s="1"/>
  <c r="U171" i="1"/>
  <c r="V171" i="1" s="1"/>
  <c r="Q172" i="1"/>
  <c r="S172" i="1" s="1"/>
  <c r="U172" i="1"/>
  <c r="V172" i="1" s="1"/>
  <c r="Q173" i="1"/>
  <c r="U173" i="1"/>
  <c r="V173" i="1" s="1"/>
  <c r="Q174" i="1"/>
  <c r="S174" i="1" s="1"/>
  <c r="U174" i="1"/>
  <c r="V174" i="1" s="1"/>
  <c r="P175" i="1"/>
  <c r="R175" i="1"/>
  <c r="X175" i="1"/>
  <c r="Q177" i="1"/>
  <c r="S177" i="1" s="1"/>
  <c r="U177" i="1"/>
  <c r="V177" i="1" s="1"/>
  <c r="Q178" i="1"/>
  <c r="S178" i="1" s="1"/>
  <c r="U178" i="1"/>
  <c r="V178" i="1" s="1"/>
  <c r="Q179" i="1"/>
  <c r="S179" i="1" s="1"/>
  <c r="U179" i="1"/>
  <c r="V179" i="1" s="1"/>
  <c r="Q180" i="1"/>
  <c r="S180" i="1" s="1"/>
  <c r="U180" i="1"/>
  <c r="V180" i="1" s="1"/>
  <c r="Q181" i="1"/>
  <c r="S181" i="1" s="1"/>
  <c r="U181" i="1"/>
  <c r="V181" i="1" s="1"/>
  <c r="Q182" i="1"/>
  <c r="S182" i="1" s="1"/>
  <c r="U182" i="1"/>
  <c r="V182" i="1" s="1"/>
  <c r="Q183" i="1"/>
  <c r="S183" i="1" s="1"/>
  <c r="U183" i="1"/>
  <c r="V183" i="1" s="1"/>
  <c r="Q184" i="1"/>
  <c r="S184" i="1" s="1"/>
  <c r="U184" i="1"/>
  <c r="V184" i="1"/>
  <c r="Q185" i="1"/>
  <c r="U185" i="1"/>
  <c r="V185" i="1" s="1"/>
  <c r="Q186" i="1"/>
  <c r="S186" i="1" s="1"/>
  <c r="U186" i="1"/>
  <c r="V186" i="1" s="1"/>
  <c r="W186" i="1" s="1"/>
  <c r="Q187" i="1"/>
  <c r="U187" i="1"/>
  <c r="V187" i="1" s="1"/>
  <c r="Q188" i="1"/>
  <c r="S188" i="1" s="1"/>
  <c r="U188" i="1"/>
  <c r="V188" i="1" s="1"/>
  <c r="Q189" i="1"/>
  <c r="S189" i="1" s="1"/>
  <c r="U189" i="1"/>
  <c r="V189" i="1" s="1"/>
  <c r="Q190" i="1"/>
  <c r="S190" i="1" s="1"/>
  <c r="U190" i="1"/>
  <c r="V190" i="1" s="1"/>
  <c r="W190" i="1" s="1"/>
  <c r="Q191" i="1"/>
  <c r="S191" i="1" s="1"/>
  <c r="U191" i="1"/>
  <c r="V191" i="1" s="1"/>
  <c r="Q192" i="1"/>
  <c r="S192" i="1" s="1"/>
  <c r="U192" i="1"/>
  <c r="V192" i="1" s="1"/>
  <c r="W192" i="1" s="1"/>
  <c r="Q193" i="1"/>
  <c r="S193" i="1" s="1"/>
  <c r="U193" i="1"/>
  <c r="V193" i="1" s="1"/>
  <c r="Q194" i="1"/>
  <c r="S194" i="1" s="1"/>
  <c r="U194" i="1"/>
  <c r="V194" i="1" s="1"/>
  <c r="W194" i="1" s="1"/>
  <c r="Q195" i="1"/>
  <c r="S195" i="1" s="1"/>
  <c r="U195" i="1"/>
  <c r="V195" i="1" s="1"/>
  <c r="Q196" i="1"/>
  <c r="S196" i="1"/>
  <c r="U196" i="1"/>
  <c r="V196" i="1" s="1"/>
  <c r="Q197" i="1"/>
  <c r="S197" i="1" s="1"/>
  <c r="U197" i="1"/>
  <c r="V197" i="1" s="1"/>
  <c r="Q198" i="1"/>
  <c r="S198" i="1" s="1"/>
  <c r="U198" i="1"/>
  <c r="V198" i="1" s="1"/>
  <c r="Q199" i="1"/>
  <c r="S199" i="1" s="1"/>
  <c r="U199" i="1"/>
  <c r="V199" i="1" s="1"/>
  <c r="Q200" i="1"/>
  <c r="S200" i="1" s="1"/>
  <c r="U200" i="1"/>
  <c r="V200" i="1" s="1"/>
  <c r="Q201" i="1"/>
  <c r="S201" i="1" s="1"/>
  <c r="U201" i="1"/>
  <c r="V201" i="1" s="1"/>
  <c r="P202" i="1"/>
  <c r="R202" i="1"/>
  <c r="X202" i="1"/>
  <c r="Q204" i="1"/>
  <c r="U204" i="1"/>
  <c r="V204" i="1" s="1"/>
  <c r="W204" i="1" s="1"/>
  <c r="Q205" i="1"/>
  <c r="S205" i="1" s="1"/>
  <c r="U205" i="1"/>
  <c r="V205" i="1" s="1"/>
  <c r="Q206" i="1"/>
  <c r="S206" i="1" s="1"/>
  <c r="U206" i="1"/>
  <c r="V206" i="1" s="1"/>
  <c r="Q207" i="1"/>
  <c r="S207" i="1" s="1"/>
  <c r="U207" i="1"/>
  <c r="V207" i="1" s="1"/>
  <c r="Q208" i="1"/>
  <c r="S208" i="1" s="1"/>
  <c r="U208" i="1"/>
  <c r="V208" i="1" s="1"/>
  <c r="W208" i="1" s="1"/>
  <c r="Q209" i="1"/>
  <c r="S209" i="1" s="1"/>
  <c r="U209" i="1"/>
  <c r="V209" i="1" s="1"/>
  <c r="Q210" i="1"/>
  <c r="S210" i="1" s="1"/>
  <c r="U210" i="1"/>
  <c r="V210" i="1" s="1"/>
  <c r="Q211" i="1"/>
  <c r="S211" i="1" s="1"/>
  <c r="U211" i="1"/>
  <c r="V211" i="1" s="1"/>
  <c r="Q212" i="1"/>
  <c r="S212" i="1" s="1"/>
  <c r="U212" i="1"/>
  <c r="V212" i="1" s="1"/>
  <c r="P213" i="1"/>
  <c r="R213" i="1"/>
  <c r="X213" i="1"/>
  <c r="Q215" i="1"/>
  <c r="S215" i="1" s="1"/>
  <c r="U215" i="1"/>
  <c r="V215" i="1" s="1"/>
  <c r="Q216" i="1"/>
  <c r="S216" i="1" s="1"/>
  <c r="U216" i="1"/>
  <c r="V216" i="1" s="1"/>
  <c r="Q217" i="1"/>
  <c r="U217" i="1"/>
  <c r="V217" i="1" s="1"/>
  <c r="Q218" i="1"/>
  <c r="S218" i="1" s="1"/>
  <c r="U218" i="1"/>
  <c r="Q219" i="1"/>
  <c r="S219" i="1" s="1"/>
  <c r="U219" i="1"/>
  <c r="V219" i="1" s="1"/>
  <c r="Q220" i="1"/>
  <c r="S220" i="1" s="1"/>
  <c r="U220" i="1"/>
  <c r="V220" i="1" s="1"/>
  <c r="Q221" i="1"/>
  <c r="S221" i="1" s="1"/>
  <c r="U221" i="1"/>
  <c r="V221" i="1" s="1"/>
  <c r="Q222" i="1"/>
  <c r="S222" i="1" s="1"/>
  <c r="U222" i="1"/>
  <c r="V222" i="1" s="1"/>
  <c r="W222" i="1" s="1"/>
  <c r="Q223" i="1"/>
  <c r="S223" i="1" s="1"/>
  <c r="U223" i="1"/>
  <c r="V223" i="1" s="1"/>
  <c r="Q224" i="1"/>
  <c r="S224" i="1" s="1"/>
  <c r="U224" i="1"/>
  <c r="V224" i="1" s="1"/>
  <c r="P225" i="1"/>
  <c r="R225" i="1"/>
  <c r="X225" i="1"/>
  <c r="Q227" i="1"/>
  <c r="U227" i="1"/>
  <c r="Q228" i="1"/>
  <c r="S228" i="1" s="1"/>
  <c r="U228" i="1"/>
  <c r="V228" i="1" s="1"/>
  <c r="Q229" i="1"/>
  <c r="S229" i="1" s="1"/>
  <c r="U229" i="1"/>
  <c r="V229" i="1" s="1"/>
  <c r="Q230" i="1"/>
  <c r="S230" i="1" s="1"/>
  <c r="U230" i="1"/>
  <c r="V230" i="1" s="1"/>
  <c r="Q231" i="1"/>
  <c r="S231" i="1" s="1"/>
  <c r="U231" i="1"/>
  <c r="V231" i="1" s="1"/>
  <c r="Q232" i="1"/>
  <c r="S232" i="1" s="1"/>
  <c r="U232" i="1"/>
  <c r="V232" i="1"/>
  <c r="Q233" i="1"/>
  <c r="S233" i="1" s="1"/>
  <c r="U233" i="1"/>
  <c r="V233" i="1" s="1"/>
  <c r="Q234" i="1"/>
  <c r="S234" i="1" s="1"/>
  <c r="U234" i="1"/>
  <c r="V234" i="1" s="1"/>
  <c r="Q235" i="1"/>
  <c r="S235" i="1" s="1"/>
  <c r="U235" i="1"/>
  <c r="V235" i="1" s="1"/>
  <c r="Q236" i="1"/>
  <c r="U236" i="1"/>
  <c r="V236" i="1" s="1"/>
  <c r="Q237" i="1"/>
  <c r="S237" i="1" s="1"/>
  <c r="U237" i="1"/>
  <c r="V237" i="1" s="1"/>
  <c r="Q238" i="1"/>
  <c r="S238" i="1" s="1"/>
  <c r="U238" i="1"/>
  <c r="V238" i="1" s="1"/>
  <c r="Q239" i="1"/>
  <c r="S239" i="1" s="1"/>
  <c r="U239" i="1"/>
  <c r="V239" i="1" s="1"/>
  <c r="Q240" i="1"/>
  <c r="S240" i="1" s="1"/>
  <c r="U240" i="1"/>
  <c r="V240" i="1" s="1"/>
  <c r="Q241" i="1"/>
  <c r="S241" i="1" s="1"/>
  <c r="U241" i="1"/>
  <c r="V241" i="1" s="1"/>
  <c r="Q242" i="1"/>
  <c r="S242" i="1"/>
  <c r="U242" i="1"/>
  <c r="V242" i="1" s="1"/>
  <c r="Q243" i="1"/>
  <c r="S243" i="1" s="1"/>
  <c r="U243" i="1"/>
  <c r="V243" i="1"/>
  <c r="Q244" i="1"/>
  <c r="S244" i="1" s="1"/>
  <c r="U244" i="1"/>
  <c r="V244" i="1" s="1"/>
  <c r="Q245" i="1"/>
  <c r="S245" i="1" s="1"/>
  <c r="U245" i="1"/>
  <c r="V245" i="1" s="1"/>
  <c r="Q246" i="1"/>
  <c r="S246" i="1" s="1"/>
  <c r="U246" i="1"/>
  <c r="V246" i="1" s="1"/>
  <c r="Q247" i="1"/>
  <c r="S247" i="1" s="1"/>
  <c r="U247" i="1"/>
  <c r="V247" i="1" s="1"/>
  <c r="Q248" i="1"/>
  <c r="S248" i="1" s="1"/>
  <c r="U248" i="1"/>
  <c r="V248" i="1" s="1"/>
  <c r="Q249" i="1"/>
  <c r="S249" i="1" s="1"/>
  <c r="U249" i="1"/>
  <c r="V249" i="1" s="1"/>
  <c r="Q250" i="1"/>
  <c r="S250" i="1" s="1"/>
  <c r="U250" i="1"/>
  <c r="V250" i="1" s="1"/>
  <c r="Q251" i="1"/>
  <c r="S251" i="1" s="1"/>
  <c r="U251" i="1"/>
  <c r="V251" i="1" s="1"/>
  <c r="Q252" i="1"/>
  <c r="S252" i="1" s="1"/>
  <c r="U252" i="1"/>
  <c r="V252" i="1" s="1"/>
  <c r="Q253" i="1"/>
  <c r="S253" i="1" s="1"/>
  <c r="U253" i="1"/>
  <c r="V253" i="1" s="1"/>
  <c r="Q254" i="1"/>
  <c r="S254" i="1" s="1"/>
  <c r="U254" i="1"/>
  <c r="V254" i="1" s="1"/>
  <c r="Q255" i="1"/>
  <c r="S255" i="1" s="1"/>
  <c r="U255" i="1"/>
  <c r="V255" i="1" s="1"/>
  <c r="Q256" i="1"/>
  <c r="S256" i="1" s="1"/>
  <c r="U256" i="1"/>
  <c r="V256" i="1" s="1"/>
  <c r="Q257" i="1"/>
  <c r="S257" i="1" s="1"/>
  <c r="U257" i="1"/>
  <c r="V257" i="1" s="1"/>
  <c r="Q258" i="1"/>
  <c r="S258" i="1" s="1"/>
  <c r="U258" i="1"/>
  <c r="V258" i="1" s="1"/>
  <c r="Q259" i="1"/>
  <c r="S259" i="1" s="1"/>
  <c r="U259" i="1"/>
  <c r="V259" i="1" s="1"/>
  <c r="Q260" i="1"/>
  <c r="S260" i="1" s="1"/>
  <c r="U260" i="1"/>
  <c r="V260" i="1" s="1"/>
  <c r="Q261" i="1"/>
  <c r="S261" i="1" s="1"/>
  <c r="U261" i="1"/>
  <c r="V261" i="1" s="1"/>
  <c r="Q262" i="1"/>
  <c r="S262" i="1" s="1"/>
  <c r="U262" i="1"/>
  <c r="V262" i="1" s="1"/>
  <c r="Q263" i="1"/>
  <c r="S263" i="1" s="1"/>
  <c r="U263" i="1"/>
  <c r="V263" i="1" s="1"/>
  <c r="Q264" i="1"/>
  <c r="S264" i="1" s="1"/>
  <c r="U264" i="1"/>
  <c r="V264" i="1" s="1"/>
  <c r="Q265" i="1"/>
  <c r="S265" i="1" s="1"/>
  <c r="U265" i="1"/>
  <c r="V265" i="1" s="1"/>
  <c r="Q266" i="1"/>
  <c r="S266" i="1" s="1"/>
  <c r="U266" i="1"/>
  <c r="V266" i="1" s="1"/>
  <c r="P267" i="1"/>
  <c r="R267" i="1"/>
  <c r="X267" i="1"/>
  <c r="Q269" i="1"/>
  <c r="S269" i="1" s="1"/>
  <c r="U269" i="1"/>
  <c r="V269" i="1" s="1"/>
  <c r="Q270" i="1"/>
  <c r="S270" i="1" s="1"/>
  <c r="U270" i="1"/>
  <c r="V270" i="1" s="1"/>
  <c r="Q271" i="1"/>
  <c r="S271" i="1" s="1"/>
  <c r="U271" i="1"/>
  <c r="V271" i="1" s="1"/>
  <c r="Q272" i="1"/>
  <c r="S272" i="1" s="1"/>
  <c r="U272" i="1"/>
  <c r="V272" i="1" s="1"/>
  <c r="Q273" i="1"/>
  <c r="S273" i="1" s="1"/>
  <c r="U273" i="1"/>
  <c r="V273" i="1" s="1"/>
  <c r="Q274" i="1"/>
  <c r="S274" i="1" s="1"/>
  <c r="U274" i="1"/>
  <c r="V274" i="1" s="1"/>
  <c r="Q275" i="1"/>
  <c r="S275" i="1" s="1"/>
  <c r="U275" i="1"/>
  <c r="V275" i="1" s="1"/>
  <c r="Q276" i="1"/>
  <c r="S276" i="1" s="1"/>
  <c r="U276" i="1"/>
  <c r="V276" i="1" s="1"/>
  <c r="Q277" i="1"/>
  <c r="S277" i="1" s="1"/>
  <c r="U277" i="1"/>
  <c r="V277" i="1" s="1"/>
  <c r="Q278" i="1"/>
  <c r="S278" i="1" s="1"/>
  <c r="U278" i="1"/>
  <c r="V278" i="1" s="1"/>
  <c r="Q279" i="1"/>
  <c r="S279" i="1" s="1"/>
  <c r="U279" i="1"/>
  <c r="V279" i="1" s="1"/>
  <c r="Q280" i="1"/>
  <c r="S280" i="1" s="1"/>
  <c r="U280" i="1"/>
  <c r="V280" i="1" s="1"/>
  <c r="Q281" i="1"/>
  <c r="S281" i="1" s="1"/>
  <c r="U281" i="1"/>
  <c r="V281" i="1" s="1"/>
  <c r="Q282" i="1"/>
  <c r="S282" i="1" s="1"/>
  <c r="U282" i="1"/>
  <c r="V282" i="1" s="1"/>
  <c r="Q283" i="1"/>
  <c r="S283" i="1" s="1"/>
  <c r="U283" i="1"/>
  <c r="V283" i="1" s="1"/>
  <c r="Q284" i="1"/>
  <c r="S284" i="1"/>
  <c r="U284" i="1"/>
  <c r="V284" i="1" s="1"/>
  <c r="W284" i="1" s="1"/>
  <c r="Q285" i="1"/>
  <c r="S285" i="1" s="1"/>
  <c r="U285" i="1"/>
  <c r="V285" i="1"/>
  <c r="W285" i="1" s="1"/>
  <c r="Q286" i="1"/>
  <c r="S286" i="1" s="1"/>
  <c r="U286" i="1"/>
  <c r="V286" i="1" s="1"/>
  <c r="Q287" i="1"/>
  <c r="S287" i="1" s="1"/>
  <c r="U287" i="1"/>
  <c r="V287" i="1" s="1"/>
  <c r="Q288" i="1"/>
  <c r="S288" i="1" s="1"/>
  <c r="U288" i="1"/>
  <c r="V288" i="1" s="1"/>
  <c r="Q289" i="1"/>
  <c r="S289" i="1" s="1"/>
  <c r="U289" i="1"/>
  <c r="V289" i="1" s="1"/>
  <c r="Q290" i="1"/>
  <c r="S290" i="1" s="1"/>
  <c r="U290" i="1"/>
  <c r="V290" i="1" s="1"/>
  <c r="Q291" i="1"/>
  <c r="S291" i="1" s="1"/>
  <c r="U291" i="1"/>
  <c r="V291" i="1" s="1"/>
  <c r="W291" i="1" s="1"/>
  <c r="Q292" i="1"/>
  <c r="S292" i="1" s="1"/>
  <c r="U292" i="1"/>
  <c r="V292" i="1" s="1"/>
  <c r="Q293" i="1"/>
  <c r="S293" i="1" s="1"/>
  <c r="U293" i="1"/>
  <c r="V293" i="1" s="1"/>
  <c r="W293" i="1" s="1"/>
  <c r="Q294" i="1"/>
  <c r="S294" i="1" s="1"/>
  <c r="U294" i="1"/>
  <c r="V294" i="1" s="1"/>
  <c r="Q295" i="1"/>
  <c r="S295" i="1" s="1"/>
  <c r="U295" i="1"/>
  <c r="V295" i="1" s="1"/>
  <c r="Q296" i="1"/>
  <c r="S296" i="1" s="1"/>
  <c r="U296" i="1"/>
  <c r="V296" i="1" s="1"/>
  <c r="Q297" i="1"/>
  <c r="S297" i="1" s="1"/>
  <c r="U297" i="1"/>
  <c r="V297" i="1" s="1"/>
  <c r="W297" i="1" s="1"/>
  <c r="Q298" i="1"/>
  <c r="S298" i="1" s="1"/>
  <c r="U298" i="1"/>
  <c r="V298" i="1" s="1"/>
  <c r="Q299" i="1"/>
  <c r="S299" i="1" s="1"/>
  <c r="U299" i="1"/>
  <c r="V299" i="1" s="1"/>
  <c r="Q300" i="1"/>
  <c r="S300" i="1" s="1"/>
  <c r="U300" i="1"/>
  <c r="V300" i="1" s="1"/>
  <c r="Q301" i="1"/>
  <c r="S301" i="1" s="1"/>
  <c r="U301" i="1"/>
  <c r="V301" i="1" s="1"/>
  <c r="Q302" i="1"/>
  <c r="S302" i="1" s="1"/>
  <c r="U302" i="1"/>
  <c r="V302" i="1" s="1"/>
  <c r="Q303" i="1"/>
  <c r="S303" i="1" s="1"/>
  <c r="U303" i="1"/>
  <c r="V303" i="1" s="1"/>
  <c r="Q304" i="1"/>
  <c r="S304" i="1" s="1"/>
  <c r="U304" i="1"/>
  <c r="V304" i="1" s="1"/>
  <c r="Q305" i="1"/>
  <c r="S305" i="1" s="1"/>
  <c r="U305" i="1"/>
  <c r="V305" i="1" s="1"/>
  <c r="Q306" i="1"/>
  <c r="S306" i="1" s="1"/>
  <c r="U306" i="1"/>
  <c r="V306" i="1" s="1"/>
  <c r="Q307" i="1"/>
  <c r="S307" i="1" s="1"/>
  <c r="U307" i="1"/>
  <c r="V307" i="1" s="1"/>
  <c r="Q308" i="1"/>
  <c r="S308" i="1" s="1"/>
  <c r="U308" i="1"/>
  <c r="V308" i="1" s="1"/>
  <c r="Q309" i="1"/>
  <c r="S309" i="1" s="1"/>
  <c r="U309" i="1"/>
  <c r="V309" i="1" s="1"/>
  <c r="Q310" i="1"/>
  <c r="S310" i="1" s="1"/>
  <c r="U310" i="1"/>
  <c r="V310" i="1" s="1"/>
  <c r="Q311" i="1"/>
  <c r="S311" i="1" s="1"/>
  <c r="U311" i="1"/>
  <c r="V311" i="1" s="1"/>
  <c r="Q312" i="1"/>
  <c r="S312" i="1" s="1"/>
  <c r="U312" i="1"/>
  <c r="V312" i="1" s="1"/>
  <c r="Q313" i="1"/>
  <c r="S313" i="1" s="1"/>
  <c r="U313" i="1"/>
  <c r="V313" i="1" s="1"/>
  <c r="Q314" i="1"/>
  <c r="S314" i="1" s="1"/>
  <c r="U314" i="1"/>
  <c r="V314" i="1" s="1"/>
  <c r="Q315" i="1"/>
  <c r="S315" i="1" s="1"/>
  <c r="U315" i="1"/>
  <c r="V315" i="1" s="1"/>
  <c r="Q316" i="1"/>
  <c r="S316" i="1" s="1"/>
  <c r="U316" i="1"/>
  <c r="V316" i="1" s="1"/>
  <c r="Q317" i="1"/>
  <c r="S317" i="1" s="1"/>
  <c r="U317" i="1"/>
  <c r="V317" i="1" s="1"/>
  <c r="Q318" i="1"/>
  <c r="S318" i="1" s="1"/>
  <c r="U318" i="1"/>
  <c r="V318" i="1" s="1"/>
  <c r="Q319" i="1"/>
  <c r="S319" i="1" s="1"/>
  <c r="U319" i="1"/>
  <c r="V319" i="1" s="1"/>
  <c r="Q320" i="1"/>
  <c r="S320" i="1" s="1"/>
  <c r="U320" i="1"/>
  <c r="V320" i="1" s="1"/>
  <c r="Q321" i="1"/>
  <c r="S321" i="1" s="1"/>
  <c r="U321" i="1"/>
  <c r="V321" i="1" s="1"/>
  <c r="Q322" i="1"/>
  <c r="S322" i="1" s="1"/>
  <c r="U322" i="1"/>
  <c r="V322" i="1" s="1"/>
  <c r="P323" i="1"/>
  <c r="R323" i="1"/>
  <c r="X323" i="1"/>
  <c r="Q325" i="1"/>
  <c r="S325" i="1" s="1"/>
  <c r="U325" i="1"/>
  <c r="V325" i="1" s="1"/>
  <c r="Q326" i="1"/>
  <c r="U326" i="1"/>
  <c r="V326" i="1" s="1"/>
  <c r="Q327" i="1"/>
  <c r="S327" i="1" s="1"/>
  <c r="U327" i="1"/>
  <c r="V327" i="1" s="1"/>
  <c r="P328" i="1"/>
  <c r="R328" i="1"/>
  <c r="X328" i="1"/>
  <c r="Q330" i="1"/>
  <c r="S330" i="1" s="1"/>
  <c r="U330" i="1"/>
  <c r="V330" i="1" s="1"/>
  <c r="Q331" i="1"/>
  <c r="S331" i="1" s="1"/>
  <c r="U331" i="1"/>
  <c r="V331" i="1" s="1"/>
  <c r="Q332" i="1"/>
  <c r="S332" i="1" s="1"/>
  <c r="U332" i="1"/>
  <c r="V332" i="1" s="1"/>
  <c r="Q333" i="1"/>
  <c r="U333" i="1"/>
  <c r="V333" i="1" s="1"/>
  <c r="Q334" i="1"/>
  <c r="U334" i="1"/>
  <c r="V334" i="1" s="1"/>
  <c r="Q335" i="1"/>
  <c r="S335" i="1" s="1"/>
  <c r="U335" i="1"/>
  <c r="V335" i="1"/>
  <c r="Q336" i="1"/>
  <c r="S336" i="1" s="1"/>
  <c r="U336" i="1"/>
  <c r="V336" i="1" s="1"/>
  <c r="Q337" i="1"/>
  <c r="S337" i="1" s="1"/>
  <c r="U337" i="1"/>
  <c r="V337" i="1" s="1"/>
  <c r="Q338" i="1"/>
  <c r="S338" i="1" s="1"/>
  <c r="U338" i="1"/>
  <c r="V338" i="1" s="1"/>
  <c r="Q339" i="1"/>
  <c r="S339" i="1" s="1"/>
  <c r="U339" i="1"/>
  <c r="V339" i="1" s="1"/>
  <c r="Q340" i="1"/>
  <c r="S340" i="1" s="1"/>
  <c r="U340" i="1"/>
  <c r="V340" i="1" s="1"/>
  <c r="Q341" i="1"/>
  <c r="S341" i="1" s="1"/>
  <c r="U341" i="1"/>
  <c r="V341" i="1" s="1"/>
  <c r="Q342" i="1"/>
  <c r="S342" i="1" s="1"/>
  <c r="U342" i="1"/>
  <c r="V342" i="1" s="1"/>
  <c r="Q343" i="1"/>
  <c r="S343" i="1" s="1"/>
  <c r="U343" i="1"/>
  <c r="V343" i="1" s="1"/>
  <c r="Q344" i="1"/>
  <c r="S344" i="1" s="1"/>
  <c r="U344" i="1"/>
  <c r="V344" i="1" s="1"/>
  <c r="Q345" i="1"/>
  <c r="S345" i="1" s="1"/>
  <c r="U345" i="1"/>
  <c r="V345" i="1" s="1"/>
  <c r="Q346" i="1"/>
  <c r="S346" i="1" s="1"/>
  <c r="U346" i="1"/>
  <c r="V346" i="1" s="1"/>
  <c r="Q347" i="1"/>
  <c r="S347" i="1" s="1"/>
  <c r="U347" i="1"/>
  <c r="V347" i="1" s="1"/>
  <c r="Q348" i="1"/>
  <c r="S348" i="1" s="1"/>
  <c r="U348" i="1"/>
  <c r="V348" i="1" s="1"/>
  <c r="Q349" i="1"/>
  <c r="S349" i="1" s="1"/>
  <c r="U349" i="1"/>
  <c r="V349" i="1" s="1"/>
  <c r="Q350" i="1"/>
  <c r="S350" i="1" s="1"/>
  <c r="U350" i="1"/>
  <c r="V350" i="1" s="1"/>
  <c r="Q351" i="1"/>
  <c r="S351" i="1" s="1"/>
  <c r="U351" i="1"/>
  <c r="V351" i="1" s="1"/>
  <c r="Q352" i="1"/>
  <c r="S352" i="1" s="1"/>
  <c r="U352" i="1"/>
  <c r="V352" i="1" s="1"/>
  <c r="P353" i="1"/>
  <c r="R353" i="1"/>
  <c r="X353" i="1"/>
  <c r="Q355" i="1"/>
  <c r="S355" i="1" s="1"/>
  <c r="U355" i="1"/>
  <c r="V355" i="1" s="1"/>
  <c r="Q356" i="1"/>
  <c r="S356" i="1" s="1"/>
  <c r="U356" i="1"/>
  <c r="Q357" i="1"/>
  <c r="S357" i="1" s="1"/>
  <c r="U357" i="1"/>
  <c r="V357" i="1" s="1"/>
  <c r="Q358" i="1"/>
  <c r="S358" i="1" s="1"/>
  <c r="U358" i="1"/>
  <c r="V358" i="1" s="1"/>
  <c r="Q359" i="1"/>
  <c r="U359" i="1"/>
  <c r="V359" i="1" s="1"/>
  <c r="Q360" i="1"/>
  <c r="S360" i="1" s="1"/>
  <c r="U360" i="1"/>
  <c r="V360" i="1" s="1"/>
  <c r="Q361" i="1"/>
  <c r="S361" i="1" s="1"/>
  <c r="U361" i="1"/>
  <c r="V361" i="1" s="1"/>
  <c r="Q362" i="1"/>
  <c r="S362" i="1" s="1"/>
  <c r="U362" i="1"/>
  <c r="V362" i="1" s="1"/>
  <c r="Q363" i="1"/>
  <c r="S363" i="1" s="1"/>
  <c r="U363" i="1"/>
  <c r="V363" i="1" s="1"/>
  <c r="Q364" i="1"/>
  <c r="S364" i="1" s="1"/>
  <c r="U364" i="1"/>
  <c r="V364" i="1" s="1"/>
  <c r="Q365" i="1"/>
  <c r="S365" i="1" s="1"/>
  <c r="U365" i="1"/>
  <c r="V365" i="1" s="1"/>
  <c r="Q366" i="1"/>
  <c r="S366" i="1" s="1"/>
  <c r="U366" i="1"/>
  <c r="V366" i="1" s="1"/>
  <c r="Q367" i="1"/>
  <c r="S367" i="1" s="1"/>
  <c r="U367" i="1"/>
  <c r="V367" i="1" s="1"/>
  <c r="Q368" i="1"/>
  <c r="S368" i="1" s="1"/>
  <c r="U368" i="1"/>
  <c r="V368" i="1" s="1"/>
  <c r="Q369" i="1"/>
  <c r="S369" i="1" s="1"/>
  <c r="U369" i="1"/>
  <c r="V369" i="1" s="1"/>
  <c r="Q370" i="1"/>
  <c r="S370" i="1" s="1"/>
  <c r="U370" i="1"/>
  <c r="V370" i="1" s="1"/>
  <c r="Q371" i="1"/>
  <c r="S371" i="1" s="1"/>
  <c r="U371" i="1"/>
  <c r="V371" i="1" s="1"/>
  <c r="Q372" i="1"/>
  <c r="S372" i="1" s="1"/>
  <c r="U372" i="1"/>
  <c r="V372" i="1" s="1"/>
  <c r="Q373" i="1"/>
  <c r="S373" i="1" s="1"/>
  <c r="U373" i="1"/>
  <c r="V373" i="1" s="1"/>
  <c r="Q374" i="1"/>
  <c r="S374" i="1" s="1"/>
  <c r="U374" i="1"/>
  <c r="V374" i="1" s="1"/>
  <c r="Q375" i="1"/>
  <c r="S375" i="1" s="1"/>
  <c r="U375" i="1"/>
  <c r="V375" i="1" s="1"/>
  <c r="Q376" i="1"/>
  <c r="S376" i="1" s="1"/>
  <c r="U376" i="1"/>
  <c r="V376" i="1" s="1"/>
  <c r="Q377" i="1"/>
  <c r="S377" i="1" s="1"/>
  <c r="U377" i="1"/>
  <c r="V377" i="1" s="1"/>
  <c r="Q378" i="1"/>
  <c r="S378" i="1" s="1"/>
  <c r="U378" i="1"/>
  <c r="V378" i="1" s="1"/>
  <c r="Q379" i="1"/>
  <c r="S379" i="1" s="1"/>
  <c r="U379" i="1"/>
  <c r="V379" i="1" s="1"/>
  <c r="Q380" i="1"/>
  <c r="S380" i="1" s="1"/>
  <c r="U380" i="1"/>
  <c r="V380" i="1" s="1"/>
  <c r="Q381" i="1"/>
  <c r="S381" i="1" s="1"/>
  <c r="U381" i="1"/>
  <c r="V381" i="1" s="1"/>
  <c r="Q382" i="1"/>
  <c r="S382" i="1" s="1"/>
  <c r="U382" i="1"/>
  <c r="V382" i="1" s="1"/>
  <c r="Q383" i="1"/>
  <c r="S383" i="1" s="1"/>
  <c r="U383" i="1"/>
  <c r="V383" i="1" s="1"/>
  <c r="Q384" i="1"/>
  <c r="S384" i="1" s="1"/>
  <c r="U384" i="1"/>
  <c r="V384" i="1" s="1"/>
  <c r="Q385" i="1"/>
  <c r="S385" i="1" s="1"/>
  <c r="U385" i="1"/>
  <c r="V385" i="1" s="1"/>
  <c r="Q386" i="1"/>
  <c r="S386" i="1" s="1"/>
  <c r="U386" i="1"/>
  <c r="V386" i="1" s="1"/>
  <c r="Q387" i="1"/>
  <c r="S387" i="1" s="1"/>
  <c r="U387" i="1"/>
  <c r="V387" i="1" s="1"/>
  <c r="Q388" i="1"/>
  <c r="S388" i="1" s="1"/>
  <c r="U388" i="1"/>
  <c r="V388" i="1" s="1"/>
  <c r="Q389" i="1"/>
  <c r="S389" i="1" s="1"/>
  <c r="U389" i="1"/>
  <c r="V389" i="1" s="1"/>
  <c r="Q390" i="1"/>
  <c r="S390" i="1" s="1"/>
  <c r="U390" i="1"/>
  <c r="V390" i="1" s="1"/>
  <c r="Q391" i="1"/>
  <c r="S391" i="1" s="1"/>
  <c r="U391" i="1"/>
  <c r="V391" i="1" s="1"/>
  <c r="Q392" i="1"/>
  <c r="S392" i="1" s="1"/>
  <c r="U392" i="1"/>
  <c r="V392" i="1" s="1"/>
  <c r="Q393" i="1"/>
  <c r="S393" i="1" s="1"/>
  <c r="U393" i="1"/>
  <c r="V393" i="1" s="1"/>
  <c r="Q394" i="1"/>
  <c r="S394" i="1" s="1"/>
  <c r="U394" i="1"/>
  <c r="V394" i="1" s="1"/>
  <c r="Q395" i="1"/>
  <c r="S395" i="1" s="1"/>
  <c r="U395" i="1"/>
  <c r="V395" i="1" s="1"/>
  <c r="Q396" i="1"/>
  <c r="S396" i="1" s="1"/>
  <c r="U396" i="1"/>
  <c r="V396" i="1" s="1"/>
  <c r="Q397" i="1"/>
  <c r="S397" i="1" s="1"/>
  <c r="U397" i="1"/>
  <c r="V397" i="1" s="1"/>
  <c r="Q398" i="1"/>
  <c r="S398" i="1" s="1"/>
  <c r="U398" i="1"/>
  <c r="V398" i="1" s="1"/>
  <c r="Q399" i="1"/>
  <c r="S399" i="1" s="1"/>
  <c r="U399" i="1"/>
  <c r="V399" i="1" s="1"/>
  <c r="Q400" i="1"/>
  <c r="S400" i="1" s="1"/>
  <c r="U400" i="1"/>
  <c r="V400" i="1" s="1"/>
  <c r="Q401" i="1"/>
  <c r="S401" i="1" s="1"/>
  <c r="U401" i="1"/>
  <c r="V401" i="1" s="1"/>
  <c r="Q402" i="1"/>
  <c r="S402" i="1" s="1"/>
  <c r="U402" i="1"/>
  <c r="V402" i="1" s="1"/>
  <c r="Q403" i="1"/>
  <c r="S403" i="1" s="1"/>
  <c r="U403" i="1"/>
  <c r="V403" i="1" s="1"/>
  <c r="Q404" i="1"/>
  <c r="S404" i="1" s="1"/>
  <c r="U404" i="1"/>
  <c r="V404" i="1" s="1"/>
  <c r="Q405" i="1"/>
  <c r="S405" i="1" s="1"/>
  <c r="U405" i="1"/>
  <c r="V405" i="1" s="1"/>
  <c r="Q406" i="1"/>
  <c r="S406" i="1" s="1"/>
  <c r="U406" i="1"/>
  <c r="V406" i="1" s="1"/>
  <c r="Q407" i="1"/>
  <c r="S407" i="1" s="1"/>
  <c r="U407" i="1"/>
  <c r="V407" i="1" s="1"/>
  <c r="Q408" i="1"/>
  <c r="S408" i="1" s="1"/>
  <c r="U408" i="1"/>
  <c r="V408" i="1" s="1"/>
  <c r="Q409" i="1"/>
  <c r="S409" i="1" s="1"/>
  <c r="U409" i="1"/>
  <c r="V409" i="1" s="1"/>
  <c r="Q410" i="1"/>
  <c r="S410" i="1" s="1"/>
  <c r="U410" i="1"/>
  <c r="V410" i="1"/>
  <c r="Q411" i="1"/>
  <c r="S411" i="1" s="1"/>
  <c r="U411" i="1"/>
  <c r="V411" i="1" s="1"/>
  <c r="Q412" i="1"/>
  <c r="S412" i="1"/>
  <c r="U412" i="1"/>
  <c r="V412" i="1" s="1"/>
  <c r="Q413" i="1"/>
  <c r="S413" i="1" s="1"/>
  <c r="U413" i="1"/>
  <c r="V413" i="1" s="1"/>
  <c r="Q414" i="1"/>
  <c r="S414" i="1" s="1"/>
  <c r="U414" i="1"/>
  <c r="V414" i="1" s="1"/>
  <c r="Q415" i="1"/>
  <c r="S415" i="1" s="1"/>
  <c r="U415" i="1"/>
  <c r="V415" i="1" s="1"/>
  <c r="P416" i="1"/>
  <c r="R416" i="1"/>
  <c r="X416" i="1"/>
  <c r="Q418" i="1"/>
  <c r="S418" i="1" s="1"/>
  <c r="U418" i="1"/>
  <c r="V418" i="1" s="1"/>
  <c r="Q419" i="1"/>
  <c r="S419" i="1" s="1"/>
  <c r="U419" i="1"/>
  <c r="Q420" i="1"/>
  <c r="S420" i="1" s="1"/>
  <c r="U420" i="1"/>
  <c r="V420" i="1" s="1"/>
  <c r="Q421" i="1"/>
  <c r="U421" i="1"/>
  <c r="V421" i="1" s="1"/>
  <c r="Q422" i="1"/>
  <c r="S422" i="1" s="1"/>
  <c r="U422" i="1"/>
  <c r="V422" i="1" s="1"/>
  <c r="Q423" i="1"/>
  <c r="S423" i="1" s="1"/>
  <c r="U423" i="1"/>
  <c r="V423" i="1" s="1"/>
  <c r="Q424" i="1"/>
  <c r="S424" i="1" s="1"/>
  <c r="U424" i="1"/>
  <c r="V424" i="1" s="1"/>
  <c r="Q425" i="1"/>
  <c r="S425" i="1" s="1"/>
  <c r="U425" i="1"/>
  <c r="V425" i="1" s="1"/>
  <c r="Q426" i="1"/>
  <c r="S426" i="1" s="1"/>
  <c r="U426" i="1"/>
  <c r="V426" i="1" s="1"/>
  <c r="Q427" i="1"/>
  <c r="S427" i="1" s="1"/>
  <c r="U427" i="1"/>
  <c r="V427" i="1" s="1"/>
  <c r="Q428" i="1"/>
  <c r="S428" i="1" s="1"/>
  <c r="U428" i="1"/>
  <c r="V428" i="1" s="1"/>
  <c r="Q429" i="1"/>
  <c r="S429" i="1" s="1"/>
  <c r="U429" i="1"/>
  <c r="V429" i="1" s="1"/>
  <c r="Q430" i="1"/>
  <c r="S430" i="1" s="1"/>
  <c r="U430" i="1"/>
  <c r="V430" i="1" s="1"/>
  <c r="W430" i="1" s="1"/>
  <c r="Q431" i="1"/>
  <c r="S431" i="1" s="1"/>
  <c r="U431" i="1"/>
  <c r="V431" i="1" s="1"/>
  <c r="Q432" i="1"/>
  <c r="S432" i="1" s="1"/>
  <c r="U432" i="1"/>
  <c r="V432" i="1" s="1"/>
  <c r="Q433" i="1"/>
  <c r="S433" i="1" s="1"/>
  <c r="U433" i="1"/>
  <c r="V433" i="1" s="1"/>
  <c r="Q434" i="1"/>
  <c r="S434" i="1" s="1"/>
  <c r="U434" i="1"/>
  <c r="V434" i="1" s="1"/>
  <c r="Q435" i="1"/>
  <c r="S435" i="1" s="1"/>
  <c r="U435" i="1"/>
  <c r="V435" i="1" s="1"/>
  <c r="Q436" i="1"/>
  <c r="S436" i="1" s="1"/>
  <c r="U436" i="1"/>
  <c r="V436" i="1" s="1"/>
  <c r="Q437" i="1"/>
  <c r="S437" i="1" s="1"/>
  <c r="U437" i="1"/>
  <c r="V437" i="1" s="1"/>
  <c r="Q438" i="1"/>
  <c r="S438" i="1" s="1"/>
  <c r="U438" i="1"/>
  <c r="V438" i="1" s="1"/>
  <c r="Q439" i="1"/>
  <c r="S439" i="1" s="1"/>
  <c r="U439" i="1"/>
  <c r="V439" i="1" s="1"/>
  <c r="Q440" i="1"/>
  <c r="S440" i="1" s="1"/>
  <c r="U440" i="1"/>
  <c r="V440" i="1" s="1"/>
  <c r="Q441" i="1"/>
  <c r="S441" i="1" s="1"/>
  <c r="U441" i="1"/>
  <c r="V441" i="1" s="1"/>
  <c r="Q442" i="1"/>
  <c r="S442" i="1" s="1"/>
  <c r="U442" i="1"/>
  <c r="V442" i="1" s="1"/>
  <c r="Q443" i="1"/>
  <c r="S443" i="1" s="1"/>
  <c r="U443" i="1"/>
  <c r="V443" i="1" s="1"/>
  <c r="Q444" i="1"/>
  <c r="S444" i="1" s="1"/>
  <c r="U444" i="1"/>
  <c r="V444" i="1" s="1"/>
  <c r="Q445" i="1"/>
  <c r="S445" i="1" s="1"/>
  <c r="U445" i="1"/>
  <c r="V445" i="1" s="1"/>
  <c r="Q446" i="1"/>
  <c r="S446" i="1" s="1"/>
  <c r="U446" i="1"/>
  <c r="V446" i="1" s="1"/>
  <c r="P447" i="1"/>
  <c r="R447" i="1"/>
  <c r="X447" i="1"/>
  <c r="Q449" i="1"/>
  <c r="S449" i="1" s="1"/>
  <c r="U449" i="1"/>
  <c r="Q450" i="1"/>
  <c r="S450" i="1" s="1"/>
  <c r="U450" i="1"/>
  <c r="V450" i="1" s="1"/>
  <c r="Q451" i="1"/>
  <c r="S451" i="1" s="1"/>
  <c r="U451" i="1"/>
  <c r="V451" i="1" s="1"/>
  <c r="Q452" i="1"/>
  <c r="S452" i="1" s="1"/>
  <c r="U452" i="1"/>
  <c r="V452" i="1" s="1"/>
  <c r="Q453" i="1"/>
  <c r="S453" i="1" s="1"/>
  <c r="U453" i="1"/>
  <c r="V453" i="1" s="1"/>
  <c r="P454" i="1"/>
  <c r="X454" i="1"/>
  <c r="Q456" i="1"/>
  <c r="S456" i="1" s="1"/>
  <c r="U456" i="1"/>
  <c r="V456" i="1" s="1"/>
  <c r="Q457" i="1"/>
  <c r="U457" i="1"/>
  <c r="V457" i="1" s="1"/>
  <c r="Q458" i="1"/>
  <c r="S458" i="1" s="1"/>
  <c r="U458" i="1"/>
  <c r="V458" i="1" s="1"/>
  <c r="Q459" i="1"/>
  <c r="S459" i="1" s="1"/>
  <c r="U459" i="1"/>
  <c r="Q460" i="1"/>
  <c r="S460" i="1" s="1"/>
  <c r="U460" i="1"/>
  <c r="V460" i="1" s="1"/>
  <c r="Q461" i="1"/>
  <c r="S461" i="1" s="1"/>
  <c r="U461" i="1"/>
  <c r="V461" i="1" s="1"/>
  <c r="Q462" i="1"/>
  <c r="S462" i="1" s="1"/>
  <c r="U462" i="1"/>
  <c r="V462" i="1" s="1"/>
  <c r="Q463" i="1"/>
  <c r="S463" i="1" s="1"/>
  <c r="U463" i="1"/>
  <c r="V463" i="1" s="1"/>
  <c r="Q464" i="1"/>
  <c r="S464" i="1" s="1"/>
  <c r="U464" i="1"/>
  <c r="V464" i="1" s="1"/>
  <c r="Q465" i="1"/>
  <c r="S465" i="1" s="1"/>
  <c r="U465" i="1"/>
  <c r="V465" i="1" s="1"/>
  <c r="Q466" i="1"/>
  <c r="S466" i="1" s="1"/>
  <c r="U466" i="1"/>
  <c r="V466" i="1" s="1"/>
  <c r="Q467" i="1"/>
  <c r="S467" i="1"/>
  <c r="U467" i="1"/>
  <c r="V467" i="1" s="1"/>
  <c r="Q468" i="1"/>
  <c r="S468" i="1" s="1"/>
  <c r="U468" i="1"/>
  <c r="V468" i="1" s="1"/>
  <c r="Q469" i="1"/>
  <c r="S469" i="1" s="1"/>
  <c r="U469" i="1"/>
  <c r="V469" i="1" s="1"/>
  <c r="Q470" i="1"/>
  <c r="S470" i="1" s="1"/>
  <c r="U470" i="1"/>
  <c r="V470" i="1" s="1"/>
  <c r="Q471" i="1"/>
  <c r="S471" i="1" s="1"/>
  <c r="U471" i="1"/>
  <c r="V471" i="1" s="1"/>
  <c r="Q472" i="1"/>
  <c r="S472" i="1" s="1"/>
  <c r="U472" i="1"/>
  <c r="V472" i="1"/>
  <c r="Q473" i="1"/>
  <c r="S473" i="1" s="1"/>
  <c r="U473" i="1"/>
  <c r="V473" i="1" s="1"/>
  <c r="Q474" i="1"/>
  <c r="S474" i="1" s="1"/>
  <c r="U474" i="1"/>
  <c r="V474" i="1" s="1"/>
  <c r="W474" i="1" s="1"/>
  <c r="Q475" i="1"/>
  <c r="S475" i="1" s="1"/>
  <c r="U475" i="1"/>
  <c r="V475" i="1" s="1"/>
  <c r="Q476" i="1"/>
  <c r="S476" i="1" s="1"/>
  <c r="U476" i="1"/>
  <c r="V476" i="1" s="1"/>
  <c r="Q477" i="1"/>
  <c r="S477" i="1" s="1"/>
  <c r="U477" i="1"/>
  <c r="V477" i="1" s="1"/>
  <c r="Q478" i="1"/>
  <c r="S478" i="1" s="1"/>
  <c r="U478" i="1"/>
  <c r="V478" i="1" s="1"/>
  <c r="Q479" i="1"/>
  <c r="S479" i="1" s="1"/>
  <c r="U479" i="1"/>
  <c r="V479" i="1" s="1"/>
  <c r="Q480" i="1"/>
  <c r="S480" i="1" s="1"/>
  <c r="U480" i="1"/>
  <c r="V480" i="1" s="1"/>
  <c r="Q481" i="1"/>
  <c r="S481" i="1" s="1"/>
  <c r="U481" i="1"/>
  <c r="V481" i="1" s="1"/>
  <c r="Q482" i="1"/>
  <c r="S482" i="1" s="1"/>
  <c r="U482" i="1"/>
  <c r="V482" i="1" s="1"/>
  <c r="Q483" i="1"/>
  <c r="S483" i="1" s="1"/>
  <c r="U483" i="1"/>
  <c r="V483" i="1" s="1"/>
  <c r="Q484" i="1"/>
  <c r="S484" i="1" s="1"/>
  <c r="U484" i="1"/>
  <c r="V484" i="1" s="1"/>
  <c r="Q485" i="1"/>
  <c r="S485" i="1" s="1"/>
  <c r="U485" i="1"/>
  <c r="V485" i="1" s="1"/>
  <c r="Q486" i="1"/>
  <c r="S486" i="1" s="1"/>
  <c r="U486" i="1"/>
  <c r="V486" i="1" s="1"/>
  <c r="Q487" i="1"/>
  <c r="S487" i="1" s="1"/>
  <c r="U487" i="1"/>
  <c r="V487" i="1" s="1"/>
  <c r="Q488" i="1"/>
  <c r="S488" i="1" s="1"/>
  <c r="U488" i="1"/>
  <c r="V488" i="1" s="1"/>
  <c r="Q489" i="1"/>
  <c r="S489" i="1" s="1"/>
  <c r="U489" i="1"/>
  <c r="V489" i="1" s="1"/>
  <c r="Q490" i="1"/>
  <c r="S490" i="1" s="1"/>
  <c r="U490" i="1"/>
  <c r="V490" i="1" s="1"/>
  <c r="Q491" i="1"/>
  <c r="S491" i="1" s="1"/>
  <c r="U491" i="1"/>
  <c r="V491" i="1" s="1"/>
  <c r="Q492" i="1"/>
  <c r="S492" i="1" s="1"/>
  <c r="U492" i="1"/>
  <c r="V492" i="1" s="1"/>
  <c r="Q493" i="1"/>
  <c r="S493" i="1" s="1"/>
  <c r="U493" i="1"/>
  <c r="V493" i="1" s="1"/>
  <c r="Q494" i="1"/>
  <c r="S494" i="1" s="1"/>
  <c r="U494" i="1"/>
  <c r="V494" i="1" s="1"/>
  <c r="Q495" i="1"/>
  <c r="S495" i="1" s="1"/>
  <c r="U495" i="1"/>
  <c r="V495" i="1" s="1"/>
  <c r="Q496" i="1"/>
  <c r="S496" i="1" s="1"/>
  <c r="U496" i="1"/>
  <c r="V496" i="1" s="1"/>
  <c r="Q497" i="1"/>
  <c r="S497" i="1" s="1"/>
  <c r="U497" i="1"/>
  <c r="V497" i="1" s="1"/>
  <c r="Q498" i="1"/>
  <c r="S498" i="1" s="1"/>
  <c r="U498" i="1"/>
  <c r="V498" i="1" s="1"/>
  <c r="P499" i="1"/>
  <c r="R499" i="1"/>
  <c r="X499" i="1"/>
  <c r="Q501" i="1"/>
  <c r="S501" i="1" s="1"/>
  <c r="U501" i="1"/>
  <c r="V501" i="1" s="1"/>
  <c r="Q502" i="1"/>
  <c r="S502" i="1" s="1"/>
  <c r="U502" i="1"/>
  <c r="V502" i="1" s="1"/>
  <c r="W502" i="1" s="1"/>
  <c r="Q503" i="1"/>
  <c r="S503" i="1" s="1"/>
  <c r="U503" i="1"/>
  <c r="V503" i="1" s="1"/>
  <c r="Q504" i="1"/>
  <c r="S504" i="1" s="1"/>
  <c r="U504" i="1"/>
  <c r="V504" i="1" s="1"/>
  <c r="W504" i="1" s="1"/>
  <c r="Q505" i="1"/>
  <c r="S505" i="1" s="1"/>
  <c r="U505" i="1"/>
  <c r="V505" i="1" s="1"/>
  <c r="Q506" i="1"/>
  <c r="S506" i="1"/>
  <c r="U506" i="1"/>
  <c r="V506" i="1" s="1"/>
  <c r="W506" i="1" s="1"/>
  <c r="Q507" i="1"/>
  <c r="S507" i="1" s="1"/>
  <c r="U507" i="1"/>
  <c r="V507" i="1" s="1"/>
  <c r="Q508" i="1"/>
  <c r="S508" i="1" s="1"/>
  <c r="U508" i="1"/>
  <c r="V508" i="1" s="1"/>
  <c r="Q509" i="1"/>
  <c r="S509" i="1" s="1"/>
  <c r="U509" i="1"/>
  <c r="V509" i="1" s="1"/>
  <c r="Q510" i="1"/>
  <c r="S510" i="1" s="1"/>
  <c r="U510" i="1"/>
  <c r="V510" i="1" s="1"/>
  <c r="Q511" i="1"/>
  <c r="S511" i="1" s="1"/>
  <c r="U511" i="1"/>
  <c r="V511" i="1" s="1"/>
  <c r="Q512" i="1"/>
  <c r="S512" i="1" s="1"/>
  <c r="U512" i="1"/>
  <c r="V512" i="1" s="1"/>
  <c r="Q513" i="1"/>
  <c r="S513" i="1" s="1"/>
  <c r="U513" i="1"/>
  <c r="V513" i="1" s="1"/>
  <c r="Q514" i="1"/>
  <c r="S514" i="1" s="1"/>
  <c r="U514" i="1"/>
  <c r="V514" i="1" s="1"/>
  <c r="Q515" i="1"/>
  <c r="S515" i="1" s="1"/>
  <c r="U515" i="1"/>
  <c r="V515" i="1" s="1"/>
  <c r="Q516" i="1"/>
  <c r="S516" i="1" s="1"/>
  <c r="U516" i="1"/>
  <c r="V516" i="1" s="1"/>
  <c r="Q517" i="1"/>
  <c r="S517" i="1" s="1"/>
  <c r="U517" i="1"/>
  <c r="V517" i="1" s="1"/>
  <c r="Q518" i="1"/>
  <c r="S518" i="1" s="1"/>
  <c r="U518" i="1"/>
  <c r="V518" i="1" s="1"/>
  <c r="Q519" i="1"/>
  <c r="S519" i="1" s="1"/>
  <c r="U519" i="1"/>
  <c r="V519" i="1" s="1"/>
  <c r="Q520" i="1"/>
  <c r="S520" i="1" s="1"/>
  <c r="U520" i="1"/>
  <c r="V520" i="1" s="1"/>
  <c r="Q521" i="1"/>
  <c r="S521" i="1" s="1"/>
  <c r="U521" i="1"/>
  <c r="V521" i="1" s="1"/>
  <c r="Q522" i="1"/>
  <c r="S522" i="1" s="1"/>
  <c r="U522" i="1"/>
  <c r="V522" i="1" s="1"/>
  <c r="Q523" i="1"/>
  <c r="S523" i="1" s="1"/>
  <c r="U523" i="1"/>
  <c r="V523" i="1" s="1"/>
  <c r="Q524" i="1"/>
  <c r="S524" i="1" s="1"/>
  <c r="U524" i="1"/>
  <c r="V524" i="1" s="1"/>
  <c r="Q525" i="1"/>
  <c r="S525" i="1" s="1"/>
  <c r="U525" i="1"/>
  <c r="V525" i="1" s="1"/>
  <c r="Q526" i="1"/>
  <c r="S526" i="1" s="1"/>
  <c r="U526" i="1"/>
  <c r="V526" i="1" s="1"/>
  <c r="Q527" i="1"/>
  <c r="S527" i="1" s="1"/>
  <c r="U527" i="1"/>
  <c r="V527" i="1" s="1"/>
  <c r="Q528" i="1"/>
  <c r="S528" i="1" s="1"/>
  <c r="U528" i="1"/>
  <c r="V528" i="1" s="1"/>
  <c r="Q529" i="1"/>
  <c r="S529" i="1" s="1"/>
  <c r="U529" i="1"/>
  <c r="V529" i="1" s="1"/>
  <c r="Q530" i="1"/>
  <c r="S530" i="1" s="1"/>
  <c r="U530" i="1"/>
  <c r="V530" i="1" s="1"/>
  <c r="Q531" i="1"/>
  <c r="S531" i="1" s="1"/>
  <c r="U531" i="1"/>
  <c r="V531" i="1" s="1"/>
  <c r="Q532" i="1"/>
  <c r="S532" i="1" s="1"/>
  <c r="U532" i="1"/>
  <c r="V532" i="1" s="1"/>
  <c r="Q533" i="1"/>
  <c r="S533" i="1" s="1"/>
  <c r="U533" i="1"/>
  <c r="V533" i="1" s="1"/>
  <c r="Q534" i="1"/>
  <c r="S534" i="1" s="1"/>
  <c r="U534" i="1"/>
  <c r="V534" i="1" s="1"/>
  <c r="Q535" i="1"/>
  <c r="S535" i="1" s="1"/>
  <c r="U535" i="1"/>
  <c r="V535" i="1" s="1"/>
  <c r="Q536" i="1"/>
  <c r="S536" i="1" s="1"/>
  <c r="U536" i="1"/>
  <c r="V536" i="1" s="1"/>
  <c r="Q537" i="1"/>
  <c r="S537" i="1" s="1"/>
  <c r="U537" i="1"/>
  <c r="V537" i="1" s="1"/>
  <c r="Q538" i="1"/>
  <c r="S538" i="1" s="1"/>
  <c r="U538" i="1"/>
  <c r="V538" i="1" s="1"/>
  <c r="Q539" i="1"/>
  <c r="S539" i="1" s="1"/>
  <c r="U539" i="1"/>
  <c r="V539" i="1" s="1"/>
  <c r="Q540" i="1"/>
  <c r="S540" i="1" s="1"/>
  <c r="U540" i="1"/>
  <c r="V540" i="1" s="1"/>
  <c r="Q541" i="1"/>
  <c r="S541" i="1" s="1"/>
  <c r="U541" i="1"/>
  <c r="V541" i="1" s="1"/>
  <c r="Q542" i="1"/>
  <c r="S542" i="1" s="1"/>
  <c r="U542" i="1"/>
  <c r="V542" i="1" s="1"/>
  <c r="Q543" i="1"/>
  <c r="S543" i="1" s="1"/>
  <c r="U543" i="1"/>
  <c r="V543" i="1" s="1"/>
  <c r="Q544" i="1"/>
  <c r="S544" i="1" s="1"/>
  <c r="U544" i="1"/>
  <c r="V544" i="1" s="1"/>
  <c r="Q545" i="1"/>
  <c r="S545" i="1" s="1"/>
  <c r="U545" i="1"/>
  <c r="V545" i="1" s="1"/>
  <c r="Q546" i="1"/>
  <c r="S546" i="1" s="1"/>
  <c r="U546" i="1"/>
  <c r="V546" i="1" s="1"/>
  <c r="Q547" i="1"/>
  <c r="S547" i="1" s="1"/>
  <c r="U547" i="1"/>
  <c r="V547" i="1" s="1"/>
  <c r="Q548" i="1"/>
  <c r="S548" i="1" s="1"/>
  <c r="U548" i="1"/>
  <c r="V548" i="1" s="1"/>
  <c r="Q549" i="1"/>
  <c r="S549" i="1" s="1"/>
  <c r="U549" i="1"/>
  <c r="V549" i="1" s="1"/>
  <c r="Q550" i="1"/>
  <c r="S550" i="1" s="1"/>
  <c r="U550" i="1"/>
  <c r="V550" i="1" s="1"/>
  <c r="Q551" i="1"/>
  <c r="S551" i="1" s="1"/>
  <c r="U551" i="1"/>
  <c r="V551" i="1" s="1"/>
  <c r="Q552" i="1"/>
  <c r="S552" i="1" s="1"/>
  <c r="U552" i="1"/>
  <c r="V552" i="1" s="1"/>
  <c r="Q553" i="1"/>
  <c r="S553" i="1" s="1"/>
  <c r="U553" i="1"/>
  <c r="V553" i="1" s="1"/>
  <c r="P554" i="1"/>
  <c r="R554" i="1"/>
  <c r="X554" i="1"/>
  <c r="Q556" i="1"/>
  <c r="S556" i="1" s="1"/>
  <c r="U556" i="1"/>
  <c r="V556" i="1" s="1"/>
  <c r="Q557" i="1"/>
  <c r="S557" i="1" s="1"/>
  <c r="U557" i="1"/>
  <c r="V557" i="1" s="1"/>
  <c r="Q558" i="1"/>
  <c r="S558" i="1" s="1"/>
  <c r="U558" i="1"/>
  <c r="V558" i="1" s="1"/>
  <c r="Q559" i="1"/>
  <c r="S559" i="1" s="1"/>
  <c r="U559" i="1"/>
  <c r="V559" i="1" s="1"/>
  <c r="Q560" i="1"/>
  <c r="S560" i="1" s="1"/>
  <c r="U560" i="1"/>
  <c r="V560" i="1" s="1"/>
  <c r="Q561" i="1"/>
  <c r="S561" i="1" s="1"/>
  <c r="U561" i="1"/>
  <c r="V561" i="1" s="1"/>
  <c r="Q562" i="1"/>
  <c r="S562" i="1" s="1"/>
  <c r="U562" i="1"/>
  <c r="V562" i="1" s="1"/>
  <c r="Q563" i="1"/>
  <c r="S563" i="1" s="1"/>
  <c r="U563" i="1"/>
  <c r="V563" i="1" s="1"/>
  <c r="Q564" i="1"/>
  <c r="S564" i="1" s="1"/>
  <c r="U564" i="1"/>
  <c r="V564" i="1" s="1"/>
  <c r="Q565" i="1"/>
  <c r="S565" i="1" s="1"/>
  <c r="U565" i="1"/>
  <c r="V565" i="1" s="1"/>
  <c r="Q566" i="1"/>
  <c r="S566" i="1" s="1"/>
  <c r="U566" i="1"/>
  <c r="V566" i="1" s="1"/>
  <c r="P567" i="1"/>
  <c r="R567" i="1"/>
  <c r="X567" i="1"/>
  <c r="Q569" i="1"/>
  <c r="S569" i="1" s="1"/>
  <c r="U569" i="1"/>
  <c r="V569" i="1" s="1"/>
  <c r="Q570" i="1"/>
  <c r="S570" i="1" s="1"/>
  <c r="U570" i="1"/>
  <c r="V570" i="1" s="1"/>
  <c r="Q571" i="1"/>
  <c r="S571" i="1" s="1"/>
  <c r="U571" i="1"/>
  <c r="V571" i="1" s="1"/>
  <c r="P572" i="1"/>
  <c r="R572" i="1"/>
  <c r="X572" i="1"/>
  <c r="Q574" i="1"/>
  <c r="S574" i="1" s="1"/>
  <c r="U574" i="1"/>
  <c r="V574" i="1" s="1"/>
  <c r="Q575" i="1"/>
  <c r="S575" i="1" s="1"/>
  <c r="U575" i="1"/>
  <c r="V575" i="1" s="1"/>
  <c r="Q576" i="1"/>
  <c r="S576" i="1" s="1"/>
  <c r="U576" i="1"/>
  <c r="V576" i="1" s="1"/>
  <c r="Q577" i="1"/>
  <c r="S577" i="1" s="1"/>
  <c r="U577" i="1"/>
  <c r="V577" i="1" s="1"/>
  <c r="Q578" i="1"/>
  <c r="S578" i="1" s="1"/>
  <c r="U578" i="1"/>
  <c r="V578" i="1" s="1"/>
  <c r="Q579" i="1"/>
  <c r="S579" i="1" s="1"/>
  <c r="U579" i="1"/>
  <c r="V579" i="1" s="1"/>
  <c r="Q580" i="1"/>
  <c r="S580" i="1" s="1"/>
  <c r="U580" i="1"/>
  <c r="V580" i="1" s="1"/>
  <c r="Q581" i="1"/>
  <c r="S581" i="1" s="1"/>
  <c r="U581" i="1"/>
  <c r="V581" i="1" s="1"/>
  <c r="Q582" i="1"/>
  <c r="S582" i="1" s="1"/>
  <c r="U582" i="1"/>
  <c r="V582" i="1" s="1"/>
  <c r="Q583" i="1"/>
  <c r="S583" i="1" s="1"/>
  <c r="U583" i="1"/>
  <c r="V583" i="1" s="1"/>
  <c r="Q584" i="1"/>
  <c r="S584" i="1" s="1"/>
  <c r="U584" i="1"/>
  <c r="V584" i="1" s="1"/>
  <c r="Q585" i="1"/>
  <c r="S585" i="1" s="1"/>
  <c r="U585" i="1"/>
  <c r="V585" i="1" s="1"/>
  <c r="Q586" i="1"/>
  <c r="S586" i="1" s="1"/>
  <c r="U586" i="1"/>
  <c r="V586" i="1" s="1"/>
  <c r="Q587" i="1"/>
  <c r="S587" i="1" s="1"/>
  <c r="U587" i="1"/>
  <c r="V587" i="1" s="1"/>
  <c r="Q588" i="1"/>
  <c r="S588" i="1" s="1"/>
  <c r="U588" i="1"/>
  <c r="V588" i="1" s="1"/>
  <c r="Q589" i="1"/>
  <c r="S589" i="1" s="1"/>
  <c r="U589" i="1"/>
  <c r="V589" i="1" s="1"/>
  <c r="Q590" i="1"/>
  <c r="S590" i="1" s="1"/>
  <c r="U590" i="1"/>
  <c r="V590" i="1" s="1"/>
  <c r="Q591" i="1"/>
  <c r="S591" i="1" s="1"/>
  <c r="U591" i="1"/>
  <c r="V591" i="1" s="1"/>
  <c r="P592" i="1"/>
  <c r="R592" i="1"/>
  <c r="X592" i="1"/>
  <c r="Q594" i="1"/>
  <c r="S594" i="1" s="1"/>
  <c r="U594" i="1"/>
  <c r="V594" i="1" s="1"/>
  <c r="Q595" i="1"/>
  <c r="S595" i="1" s="1"/>
  <c r="U595" i="1"/>
  <c r="V595" i="1" s="1"/>
  <c r="P596" i="1"/>
  <c r="R596" i="1"/>
  <c r="X596" i="1"/>
  <c r="P601" i="1"/>
  <c r="Q601" i="1"/>
  <c r="R601" i="1"/>
  <c r="V601" i="1"/>
  <c r="Q602" i="1"/>
  <c r="S602" i="1" s="1"/>
  <c r="V602" i="1"/>
  <c r="Q603" i="1"/>
  <c r="S603" i="1" s="1"/>
  <c r="V603" i="1"/>
  <c r="Q604" i="1"/>
  <c r="S604" i="1" s="1"/>
  <c r="V604" i="1"/>
  <c r="Q605" i="1"/>
  <c r="S605" i="1" s="1"/>
  <c r="V605" i="1"/>
  <c r="Q606" i="1"/>
  <c r="S606" i="1" s="1"/>
  <c r="V606" i="1"/>
  <c r="Q607" i="1"/>
  <c r="S607" i="1" s="1"/>
  <c r="V607" i="1"/>
  <c r="Q608" i="1"/>
  <c r="S608" i="1" s="1"/>
  <c r="V608" i="1"/>
  <c r="Q609" i="1"/>
  <c r="S609" i="1" s="1"/>
  <c r="V609" i="1"/>
  <c r="Q610" i="1"/>
  <c r="S610" i="1" s="1"/>
  <c r="V610" i="1"/>
  <c r="Q611" i="1"/>
  <c r="S611" i="1" s="1"/>
  <c r="V611" i="1"/>
  <c r="P612" i="1"/>
  <c r="R612" i="1"/>
  <c r="W443" i="1" l="1"/>
  <c r="W81" i="1"/>
  <c r="W298" i="1"/>
  <c r="W321" i="1"/>
  <c r="W252" i="1"/>
  <c r="W248" i="1"/>
  <c r="W165" i="1"/>
  <c r="W163" i="1"/>
  <c r="W551" i="1"/>
  <c r="W543" i="1"/>
  <c r="W535" i="1"/>
  <c r="W527" i="1"/>
  <c r="W519" i="1"/>
  <c r="W511" i="1"/>
  <c r="W483" i="1"/>
  <c r="W440" i="1"/>
  <c r="W438" i="1"/>
  <c r="W436" i="1"/>
  <c r="W434" i="1"/>
  <c r="W413" i="1"/>
  <c r="W406" i="1"/>
  <c r="W402" i="1"/>
  <c r="W378" i="1"/>
  <c r="W327" i="1"/>
  <c r="W317" i="1"/>
  <c r="W259" i="1"/>
  <c r="W158" i="1"/>
  <c r="W79" i="1"/>
  <c r="W50" i="1"/>
  <c r="W609" i="1"/>
  <c r="W605" i="1"/>
  <c r="W603" i="1"/>
  <c r="W590" i="1"/>
  <c r="W586" i="1"/>
  <c r="W582" i="1"/>
  <c r="W578" i="1"/>
  <c r="W561" i="1"/>
  <c r="W243" i="1"/>
  <c r="W232" i="1"/>
  <c r="W136" i="1"/>
  <c r="W552" i="1"/>
  <c r="W548" i="1"/>
  <c r="W544" i="1"/>
  <c r="W540" i="1"/>
  <c r="W536" i="1"/>
  <c r="W532" i="1"/>
  <c r="W528" i="1"/>
  <c r="W524" i="1"/>
  <c r="W520" i="1"/>
  <c r="W516" i="1"/>
  <c r="W512" i="1"/>
  <c r="W498" i="1"/>
  <c r="W496" i="1"/>
  <c r="W494" i="1"/>
  <c r="W492" i="1"/>
  <c r="W490" i="1"/>
  <c r="W435" i="1"/>
  <c r="W426" i="1"/>
  <c r="W409" i="1"/>
  <c r="W405" i="1"/>
  <c r="W383" i="1"/>
  <c r="W332" i="1"/>
  <c r="W318" i="1"/>
  <c r="W264" i="1"/>
  <c r="W228" i="1"/>
  <c r="W153" i="1"/>
  <c r="W132" i="1"/>
  <c r="W130" i="1"/>
  <c r="W33" i="1"/>
  <c r="W31" i="1"/>
  <c r="W414" i="1"/>
  <c r="W410" i="1"/>
  <c r="W380" i="1"/>
  <c r="W300" i="1"/>
  <c r="W274" i="1"/>
  <c r="W173" i="1"/>
  <c r="W171" i="1"/>
  <c r="W141" i="1"/>
  <c r="W89" i="1"/>
  <c r="W61" i="1"/>
  <c r="W608" i="1"/>
  <c r="W433" i="1"/>
  <c r="W424" i="1"/>
  <c r="W422" i="1"/>
  <c r="W420" i="1"/>
  <c r="W404" i="1"/>
  <c r="W322" i="1"/>
  <c r="W314" i="1"/>
  <c r="W283" i="1"/>
  <c r="W244" i="1"/>
  <c r="W237" i="1"/>
  <c r="W233" i="1"/>
  <c r="W207" i="1"/>
  <c r="W201" i="1"/>
  <c r="W199" i="1"/>
  <c r="W180" i="1"/>
  <c r="W150" i="1"/>
  <c r="W106" i="1"/>
  <c r="W99" i="1"/>
  <c r="W59" i="1"/>
  <c r="W55" i="1"/>
  <c r="W53" i="1"/>
  <c r="W611" i="1"/>
  <c r="W585" i="1"/>
  <c r="W577" i="1"/>
  <c r="W493" i="1"/>
  <c r="W491" i="1"/>
  <c r="W478" i="1"/>
  <c r="W476" i="1"/>
  <c r="W462" i="1"/>
  <c r="W460" i="1"/>
  <c r="W444" i="1"/>
  <c r="W442" i="1"/>
  <c r="W415" i="1"/>
  <c r="W411" i="1"/>
  <c r="W366" i="1"/>
  <c r="W364" i="1"/>
  <c r="W362" i="1"/>
  <c r="W360" i="1"/>
  <c r="W352" i="1"/>
  <c r="W343" i="1"/>
  <c r="W338" i="1"/>
  <c r="W326" i="1"/>
  <c r="W309" i="1"/>
  <c r="W305" i="1"/>
  <c r="W303" i="1"/>
  <c r="W299" i="1"/>
  <c r="W281" i="1"/>
  <c r="W279" i="1"/>
  <c r="W275" i="1"/>
  <c r="W271" i="1"/>
  <c r="W265" i="1"/>
  <c r="W212" i="1"/>
  <c r="W189" i="1"/>
  <c r="W75" i="1"/>
  <c r="W73" i="1"/>
  <c r="R597" i="1"/>
  <c r="R614" i="1" s="1"/>
  <c r="W27" i="1"/>
  <c r="W25" i="1"/>
  <c r="W15" i="1"/>
  <c r="W184" i="1"/>
  <c r="W51" i="1"/>
  <c r="V612" i="1"/>
  <c r="W604" i="1"/>
  <c r="W565" i="1"/>
  <c r="W557" i="1"/>
  <c r="W488" i="1"/>
  <c r="W441" i="1"/>
  <c r="W412" i="1"/>
  <c r="W408" i="1"/>
  <c r="W403" i="1"/>
  <c r="W319" i="1"/>
  <c r="W313" i="1"/>
  <c r="W310" i="1"/>
  <c r="W296" i="1"/>
  <c r="W260" i="1"/>
  <c r="W211" i="1"/>
  <c r="W193" i="1"/>
  <c r="W191" i="1"/>
  <c r="W167" i="1"/>
  <c r="W148" i="1"/>
  <c r="W144" i="1"/>
  <c r="W137" i="1"/>
  <c r="W120" i="1"/>
  <c r="W98" i="1"/>
  <c r="W18" i="1"/>
  <c r="W335" i="1"/>
  <c r="W172" i="1"/>
  <c r="W607" i="1"/>
  <c r="W594" i="1"/>
  <c r="W495" i="1"/>
  <c r="W480" i="1"/>
  <c r="W466" i="1"/>
  <c r="W457" i="1"/>
  <c r="W446" i="1"/>
  <c r="W439" i="1"/>
  <c r="W423" i="1"/>
  <c r="W398" i="1"/>
  <c r="W396" i="1"/>
  <c r="W394" i="1"/>
  <c r="W392" i="1"/>
  <c r="W390" i="1"/>
  <c r="W388" i="1"/>
  <c r="W386" i="1"/>
  <c r="W384" i="1"/>
  <c r="W351" i="1"/>
  <c r="W346" i="1"/>
  <c r="W342" i="1"/>
  <c r="W339" i="1"/>
  <c r="W316" i="1"/>
  <c r="W304" i="1"/>
  <c r="W286" i="1"/>
  <c r="W282" i="1"/>
  <c r="W269" i="1"/>
  <c r="W251" i="1"/>
  <c r="W242" i="1"/>
  <c r="W200" i="1"/>
  <c r="W182" i="1"/>
  <c r="S173" i="1"/>
  <c r="W114" i="1"/>
  <c r="W96" i="1"/>
  <c r="W90" i="1"/>
  <c r="W68" i="1"/>
  <c r="W54" i="1"/>
  <c r="W49" i="1"/>
  <c r="W47" i="1"/>
  <c r="W32" i="1"/>
  <c r="W11" i="1"/>
  <c r="V218" i="1"/>
  <c r="W218" i="1" s="1"/>
  <c r="U225" i="1"/>
  <c r="S170" i="1"/>
  <c r="W170" i="1"/>
  <c r="S9" i="1"/>
  <c r="W9" i="1"/>
  <c r="W566" i="1"/>
  <c r="W558" i="1"/>
  <c r="W486" i="1"/>
  <c r="W484" i="1"/>
  <c r="W471" i="1"/>
  <c r="W467" i="1"/>
  <c r="W464" i="1"/>
  <c r="Q454" i="1"/>
  <c r="W452" i="1"/>
  <c r="W450" i="1"/>
  <c r="W431" i="1"/>
  <c r="W428" i="1"/>
  <c r="W399" i="1"/>
  <c r="W395" i="1"/>
  <c r="W387" i="1"/>
  <c r="W374" i="1"/>
  <c r="W372" i="1"/>
  <c r="W369" i="1"/>
  <c r="W367" i="1"/>
  <c r="W363" i="1"/>
  <c r="W350" i="1"/>
  <c r="S334" i="1"/>
  <c r="W334" i="1"/>
  <c r="S236" i="1"/>
  <c r="W236" i="1"/>
  <c r="W160" i="1"/>
  <c r="W124" i="1"/>
  <c r="W87" i="1"/>
  <c r="S17" i="1"/>
  <c r="W17" i="1"/>
  <c r="W606" i="1"/>
  <c r="W602" i="1"/>
  <c r="W589" i="1"/>
  <c r="W571" i="1"/>
  <c r="W547" i="1"/>
  <c r="W539" i="1"/>
  <c r="W531" i="1"/>
  <c r="W523" i="1"/>
  <c r="W515" i="1"/>
  <c r="W497" i="1"/>
  <c r="W482" i="1"/>
  <c r="W472" i="1"/>
  <c r="W458" i="1"/>
  <c r="W445" i="1"/>
  <c r="W437" i="1"/>
  <c r="W400" i="1"/>
  <c r="W370" i="1"/>
  <c r="W355" i="1"/>
  <c r="W610" i="1"/>
  <c r="W581" i="1"/>
  <c r="U572" i="1"/>
  <c r="W562" i="1"/>
  <c r="W508" i="1"/>
  <c r="W470" i="1"/>
  <c r="W468" i="1"/>
  <c r="W451" i="1"/>
  <c r="W432" i="1"/>
  <c r="W421" i="1"/>
  <c r="W397" i="1"/>
  <c r="W393" i="1"/>
  <c r="W389" i="1"/>
  <c r="W385" i="1"/>
  <c r="W382" i="1"/>
  <c r="W377" i="1"/>
  <c r="W365" i="1"/>
  <c r="W361" i="1"/>
  <c r="S217" i="1"/>
  <c r="W217" i="1"/>
  <c r="W45" i="1"/>
  <c r="S26" i="1"/>
  <c r="W26" i="1"/>
  <c r="W340" i="1"/>
  <c r="Q328" i="1"/>
  <c r="W306" i="1"/>
  <c r="W294" i="1"/>
  <c r="W290" i="1"/>
  <c r="W288" i="1"/>
  <c r="W277" i="1"/>
  <c r="W256" i="1"/>
  <c r="W253" i="1"/>
  <c r="W240" i="1"/>
  <c r="W235" i="1"/>
  <c r="W216" i="1"/>
  <c r="W209" i="1"/>
  <c r="W205" i="1"/>
  <c r="W197" i="1"/>
  <c r="W169" i="1"/>
  <c r="W156" i="1"/>
  <c r="W154" i="1"/>
  <c r="W142" i="1"/>
  <c r="W139" i="1"/>
  <c r="W134" i="1"/>
  <c r="W128" i="1"/>
  <c r="W123" i="1"/>
  <c r="W121" i="1"/>
  <c r="W116" i="1"/>
  <c r="W107" i="1"/>
  <c r="W91" i="1"/>
  <c r="W86" i="1"/>
  <c r="W74" i="1"/>
  <c r="W57" i="1"/>
  <c r="W19" i="1"/>
  <c r="W16" i="1"/>
  <c r="W8" i="1"/>
  <c r="W330" i="1"/>
  <c r="W315" i="1"/>
  <c r="W270" i="1"/>
  <c r="W254" i="1"/>
  <c r="W245" i="1"/>
  <c r="W241" i="1"/>
  <c r="W221" i="1"/>
  <c r="W210" i="1"/>
  <c r="W206" i="1"/>
  <c r="W178" i="1"/>
  <c r="W157" i="1"/>
  <c r="W105" i="1"/>
  <c r="W76" i="1"/>
  <c r="W69" i="1"/>
  <c r="W46" i="1"/>
  <c r="W14" i="1"/>
  <c r="W6" i="1"/>
  <c r="W289" i="1"/>
  <c r="W287" i="1"/>
  <c r="W278" i="1"/>
  <c r="W273" i="1"/>
  <c r="W229" i="1"/>
  <c r="W198" i="1"/>
  <c r="W174" i="1"/>
  <c r="W155" i="1"/>
  <c r="W146" i="1"/>
  <c r="W140" i="1"/>
  <c r="W138" i="1"/>
  <c r="W129" i="1"/>
  <c r="W115" i="1"/>
  <c r="W108" i="1"/>
  <c r="W85" i="1"/>
  <c r="W83" i="1"/>
  <c r="W65" i="1"/>
  <c r="W63" i="1"/>
  <c r="W35" i="1"/>
  <c r="W23" i="1"/>
  <c r="S612" i="1"/>
  <c r="S454" i="1"/>
  <c r="W331" i="1"/>
  <c r="V353" i="1"/>
  <c r="W215" i="1"/>
  <c r="V225" i="1"/>
  <c r="S596" i="1"/>
  <c r="S567" i="1"/>
  <c r="W525" i="1"/>
  <c r="W521" i="1"/>
  <c r="W517" i="1"/>
  <c r="W513" i="1"/>
  <c r="W509" i="1"/>
  <c r="W475" i="1"/>
  <c r="W344" i="1"/>
  <c r="S326" i="1"/>
  <c r="W302" i="1"/>
  <c r="W301" i="1"/>
  <c r="W280" i="1"/>
  <c r="U267" i="1"/>
  <c r="S110" i="1"/>
  <c r="Q125" i="1"/>
  <c r="W595" i="1"/>
  <c r="W596" i="1" s="1"/>
  <c r="W591" i="1"/>
  <c r="W587" i="1"/>
  <c r="W583" i="1"/>
  <c r="W579" i="1"/>
  <c r="W575" i="1"/>
  <c r="W569" i="1"/>
  <c r="W563" i="1"/>
  <c r="W559" i="1"/>
  <c r="W553" i="1"/>
  <c r="W549" i="1"/>
  <c r="W545" i="1"/>
  <c r="W541" i="1"/>
  <c r="W537" i="1"/>
  <c r="W533" i="1"/>
  <c r="W529" i="1"/>
  <c r="Q612" i="1"/>
  <c r="U596" i="1"/>
  <c r="U592" i="1"/>
  <c r="U554" i="1"/>
  <c r="W505" i="1"/>
  <c r="W487" i="1"/>
  <c r="W479" i="1"/>
  <c r="W463" i="1"/>
  <c r="W453" i="1"/>
  <c r="W427" i="1"/>
  <c r="W381" i="1"/>
  <c r="W376" i="1"/>
  <c r="W373" i="1"/>
  <c r="W368" i="1"/>
  <c r="W359" i="1"/>
  <c r="W345" i="1"/>
  <c r="W337" i="1"/>
  <c r="S328" i="1"/>
  <c r="W311" i="1"/>
  <c r="W307" i="1"/>
  <c r="W272" i="1"/>
  <c r="W261" i="1"/>
  <c r="W257" i="1"/>
  <c r="W249" i="1"/>
  <c r="W246" i="1"/>
  <c r="W234" i="1"/>
  <c r="W230" i="1"/>
  <c r="W223" i="1"/>
  <c r="W219" i="1"/>
  <c r="S80" i="1"/>
  <c r="S94" i="1" s="1"/>
  <c r="Q94" i="1"/>
  <c r="W588" i="1"/>
  <c r="W584" i="1"/>
  <c r="W580" i="1"/>
  <c r="W576" i="1"/>
  <c r="W570" i="1"/>
  <c r="Q567" i="1"/>
  <c r="W564" i="1"/>
  <c r="W560" i="1"/>
  <c r="W550" i="1"/>
  <c r="W546" i="1"/>
  <c r="W542" i="1"/>
  <c r="W538" i="1"/>
  <c r="W534" i="1"/>
  <c r="W530" i="1"/>
  <c r="W526" i="1"/>
  <c r="W522" i="1"/>
  <c r="W518" i="1"/>
  <c r="W514" i="1"/>
  <c r="W501" i="1"/>
  <c r="W358" i="1"/>
  <c r="W357" i="1"/>
  <c r="U353" i="1"/>
  <c r="W347" i="1"/>
  <c r="W320" i="1"/>
  <c r="W312" i="1"/>
  <c r="W295" i="1"/>
  <c r="W266" i="1"/>
  <c r="W262" i="1"/>
  <c r="W250" i="1"/>
  <c r="V227" i="1"/>
  <c r="W224" i="1"/>
  <c r="W122" i="1"/>
  <c r="W401" i="1"/>
  <c r="W379" i="1"/>
  <c r="W371" i="1"/>
  <c r="W348" i="1"/>
  <c r="W336" i="1"/>
  <c r="W308" i="1"/>
  <c r="W292" i="1"/>
  <c r="W276" i="1"/>
  <c r="W258" i="1"/>
  <c r="W238" i="1"/>
  <c r="W220" i="1"/>
  <c r="W93" i="1"/>
  <c r="W110" i="1"/>
  <c r="P597" i="1"/>
  <c r="P614" i="1" s="1"/>
  <c r="U213" i="1"/>
  <c r="V94" i="1"/>
  <c r="W195" i="1"/>
  <c r="W183" i="1"/>
  <c r="W179" i="1"/>
  <c r="W159" i="1"/>
  <c r="W147" i="1"/>
  <c r="W143" i="1"/>
  <c r="W118" i="1"/>
  <c r="W112" i="1"/>
  <c r="W70" i="1"/>
  <c r="W58" i="1"/>
  <c r="W42" i="1"/>
  <c r="W36" i="1"/>
  <c r="W28" i="1"/>
  <c r="W20" i="1"/>
  <c r="W12" i="1"/>
  <c r="W4" i="1"/>
  <c r="W196" i="1"/>
  <c r="W181" i="1"/>
  <c r="W145" i="1"/>
  <c r="W131" i="1"/>
  <c r="W104" i="1"/>
  <c r="W100" i="1"/>
  <c r="W82" i="1"/>
  <c r="W71" i="1"/>
  <c r="W62" i="1"/>
  <c r="V592" i="1"/>
  <c r="W574" i="1"/>
  <c r="S554" i="1"/>
  <c r="S592" i="1"/>
  <c r="S572" i="1"/>
  <c r="W556" i="1"/>
  <c r="V567" i="1"/>
  <c r="V554" i="1"/>
  <c r="W510" i="1"/>
  <c r="S44" i="1"/>
  <c r="W44" i="1"/>
  <c r="V596" i="1"/>
  <c r="Q596" i="1"/>
  <c r="V572" i="1"/>
  <c r="Q572" i="1"/>
  <c r="U567" i="1"/>
  <c r="W489" i="1"/>
  <c r="W485" i="1"/>
  <c r="S457" i="1"/>
  <c r="S499" i="1" s="1"/>
  <c r="Q499" i="1"/>
  <c r="V449" i="1"/>
  <c r="U454" i="1"/>
  <c r="S421" i="1"/>
  <c r="S447" i="1" s="1"/>
  <c r="Q447" i="1"/>
  <c r="V356" i="1"/>
  <c r="U416" i="1"/>
  <c r="W341" i="1"/>
  <c r="W325" i="1"/>
  <c r="W328" i="1" s="1"/>
  <c r="V328" i="1"/>
  <c r="W255" i="1"/>
  <c r="W239" i="1"/>
  <c r="S227" i="1"/>
  <c r="Q267" i="1"/>
  <c r="S152" i="1"/>
  <c r="W152" i="1"/>
  <c r="V459" i="1"/>
  <c r="W459" i="1" s="1"/>
  <c r="U499" i="1"/>
  <c r="W72" i="1"/>
  <c r="V77" i="1"/>
  <c r="S60" i="1"/>
  <c r="W60" i="1"/>
  <c r="W503" i="1"/>
  <c r="W456" i="1"/>
  <c r="V499" i="1"/>
  <c r="V419" i="1"/>
  <c r="W419" i="1" s="1"/>
  <c r="U447" i="1"/>
  <c r="W407" i="1"/>
  <c r="W391" i="1"/>
  <c r="W375" i="1"/>
  <c r="S333" i="1"/>
  <c r="Q353" i="1"/>
  <c r="S323" i="1"/>
  <c r="S225" i="1"/>
  <c r="W418" i="1"/>
  <c r="S359" i="1"/>
  <c r="S416" i="1" s="1"/>
  <c r="Q416" i="1"/>
  <c r="Q592" i="1"/>
  <c r="Q554" i="1"/>
  <c r="W507" i="1"/>
  <c r="W481" i="1"/>
  <c r="W477" i="1"/>
  <c r="W473" i="1"/>
  <c r="W469" i="1"/>
  <c r="W465" i="1"/>
  <c r="W461" i="1"/>
  <c r="W429" i="1"/>
  <c r="W425" i="1"/>
  <c r="W349" i="1"/>
  <c r="W333" i="1"/>
  <c r="W263" i="1"/>
  <c r="W247" i="1"/>
  <c r="W231" i="1"/>
  <c r="S187" i="1"/>
  <c r="W187" i="1"/>
  <c r="U328" i="1"/>
  <c r="Q225" i="1"/>
  <c r="S204" i="1"/>
  <c r="S213" i="1" s="1"/>
  <c r="Q213" i="1"/>
  <c r="W177" i="1"/>
  <c r="V202" i="1"/>
  <c r="S149" i="1"/>
  <c r="W149" i="1"/>
  <c r="W102" i="1"/>
  <c r="S64" i="1"/>
  <c r="W64" i="1"/>
  <c r="S48" i="1"/>
  <c r="W48" i="1"/>
  <c r="Q323" i="1"/>
  <c r="W213" i="1"/>
  <c r="V168" i="1"/>
  <c r="W168" i="1" s="1"/>
  <c r="U175" i="1"/>
  <c r="S151" i="1"/>
  <c r="W151" i="1"/>
  <c r="S133" i="1"/>
  <c r="W133" i="1"/>
  <c r="V127" i="1"/>
  <c r="U161" i="1"/>
  <c r="V103" i="1"/>
  <c r="W103" i="1" s="1"/>
  <c r="U125" i="1"/>
  <c r="S52" i="1"/>
  <c r="W52" i="1"/>
  <c r="U323" i="1"/>
  <c r="V323" i="1"/>
  <c r="V213" i="1"/>
  <c r="U202" i="1"/>
  <c r="W188" i="1"/>
  <c r="S185" i="1"/>
  <c r="W185" i="1"/>
  <c r="S135" i="1"/>
  <c r="W135" i="1"/>
  <c r="S109" i="1"/>
  <c r="S125" i="1" s="1"/>
  <c r="W109" i="1"/>
  <c r="S56" i="1"/>
  <c r="W56" i="1"/>
  <c r="Q66" i="1"/>
  <c r="Q39" i="1"/>
  <c r="W3" i="1"/>
  <c r="V39" i="1"/>
  <c r="Q161" i="1"/>
  <c r="W113" i="1"/>
  <c r="W97" i="1"/>
  <c r="U77" i="1"/>
  <c r="S77" i="1"/>
  <c r="V66" i="1"/>
  <c r="Q202" i="1"/>
  <c r="S163" i="1"/>
  <c r="S175" i="1" s="1"/>
  <c r="Q175" i="1"/>
  <c r="W117" i="1"/>
  <c r="W101" i="1"/>
  <c r="W92" i="1"/>
  <c r="W88" i="1"/>
  <c r="W84" i="1"/>
  <c r="W80" i="1"/>
  <c r="W37" i="1"/>
  <c r="W29" i="1"/>
  <c r="W21" i="1"/>
  <c r="W13" i="1"/>
  <c r="W5" i="1"/>
  <c r="U94" i="1"/>
  <c r="Q77" i="1"/>
  <c r="U66" i="1"/>
  <c r="U39" i="1"/>
  <c r="V175" i="1" l="1"/>
  <c r="W225" i="1"/>
  <c r="W572" i="1"/>
  <c r="W612" i="1"/>
  <c r="S267" i="1"/>
  <c r="S39" i="1"/>
  <c r="S353" i="1"/>
  <c r="W567" i="1"/>
  <c r="S202" i="1"/>
  <c r="W175" i="1"/>
  <c r="W323" i="1"/>
  <c r="W77" i="1"/>
  <c r="W353" i="1"/>
  <c r="S161" i="1"/>
  <c r="U597" i="1"/>
  <c r="U614" i="1" s="1"/>
  <c r="W592" i="1"/>
  <c r="V125" i="1"/>
  <c r="W447" i="1"/>
  <c r="S66" i="1"/>
  <c r="W202" i="1"/>
  <c r="W227" i="1"/>
  <c r="W267" i="1" s="1"/>
  <c r="V267" i="1"/>
  <c r="Q597" i="1"/>
  <c r="Q614" i="1" s="1"/>
  <c r="V161" i="1"/>
  <c r="W127" i="1"/>
  <c r="W161" i="1" s="1"/>
  <c r="W356" i="1"/>
  <c r="W416" i="1" s="1"/>
  <c r="V416" i="1"/>
  <c r="W449" i="1"/>
  <c r="W454" i="1" s="1"/>
  <c r="V454" i="1"/>
  <c r="W94" i="1"/>
  <c r="W499" i="1"/>
  <c r="W66" i="1"/>
  <c r="W125" i="1"/>
  <c r="W39" i="1"/>
  <c r="V447" i="1"/>
  <c r="W554" i="1"/>
  <c r="S597" i="1" l="1"/>
  <c r="S614" i="1" s="1"/>
  <c r="V597" i="1"/>
  <c r="V614" i="1" s="1"/>
  <c r="W597" i="1"/>
  <c r="W614" i="1" s="1"/>
</calcChain>
</file>

<file path=xl/sharedStrings.xml><?xml version="1.0" encoding="utf-8"?>
<sst xmlns="http://schemas.openxmlformats.org/spreadsheetml/2006/main" count="5485" uniqueCount="523">
  <si>
    <t>Grand Total</t>
  </si>
  <si>
    <t>NO_AFFILIATE</t>
  </si>
  <si>
    <t>Variance</t>
  </si>
  <si>
    <t>Comments</t>
  </si>
  <si>
    <t>GVCCC_74002500</t>
  </si>
  <si>
    <t>EV_BEFORE</t>
  </si>
  <si>
    <t>A_61000</t>
  </si>
  <si>
    <t>A_61400</t>
  </si>
  <si>
    <t>A_66510</t>
  </si>
  <si>
    <t>A_66515</t>
  </si>
  <si>
    <t>A_66524</t>
  </si>
  <si>
    <t>A_66528</t>
  </si>
  <si>
    <t>A_63020</t>
  </si>
  <si>
    <t>A_63030</t>
  </si>
  <si>
    <t>A_63032</t>
  </si>
  <si>
    <t>A_63050</t>
  </si>
  <si>
    <t>A_64000</t>
  </si>
  <si>
    <t>A_64020</t>
  </si>
  <si>
    <t>A_64030</t>
  </si>
  <si>
    <t>A_66000</t>
  </si>
  <si>
    <t>A_66010</t>
  </si>
  <si>
    <t>A_66020</t>
  </si>
  <si>
    <t>A_66050</t>
  </si>
  <si>
    <t>A_66060</t>
  </si>
  <si>
    <t>A_66070</t>
  </si>
  <si>
    <t>A_66075</t>
  </si>
  <si>
    <t>A_66076</t>
  </si>
  <si>
    <t>A_66090</t>
  </si>
  <si>
    <t>A_66095</t>
  </si>
  <si>
    <t>A_66150</t>
  </si>
  <si>
    <t>A_65505</t>
  </si>
  <si>
    <t>A_65507</t>
  </si>
  <si>
    <t>A_65510</t>
  </si>
  <si>
    <t>A_65517</t>
  </si>
  <si>
    <t>A_65518</t>
  </si>
  <si>
    <t>A_65533</t>
  </si>
  <si>
    <t>A_65535</t>
  </si>
  <si>
    <t>A_65536</t>
  </si>
  <si>
    <t>A_65540</t>
  </si>
  <si>
    <t>A_65541</t>
  </si>
  <si>
    <t>A_65565</t>
  </si>
  <si>
    <t>A_65050</t>
  </si>
  <si>
    <t>EV_AFTER</t>
  </si>
  <si>
    <t>GVCCC_74002501</t>
  </si>
  <si>
    <t>A_55010</t>
  </si>
  <si>
    <t>A_63040</t>
  </si>
  <si>
    <t>A_63058</t>
  </si>
  <si>
    <t>A_63060</t>
  </si>
  <si>
    <t>A_63062</t>
  </si>
  <si>
    <t>A_63065</t>
  </si>
  <si>
    <t>A_63067</t>
  </si>
  <si>
    <t>A_63070</t>
  </si>
  <si>
    <t>A_63080</t>
  </si>
  <si>
    <t>A_64010</t>
  </si>
  <si>
    <t>A_66110</t>
  </si>
  <si>
    <t>GVCCC_74002502</t>
  </si>
  <si>
    <t>GVCCC_74002503</t>
  </si>
  <si>
    <t>A_63035</t>
  </si>
  <si>
    <t>A_65521</t>
  </si>
  <si>
    <t>A_65531</t>
  </si>
  <si>
    <t>A_65030</t>
  </si>
  <si>
    <t>GVCCC_74002505</t>
  </si>
  <si>
    <t>A_61300</t>
  </si>
  <si>
    <t>A_63000</t>
  </si>
  <si>
    <t>A_63045</t>
  </si>
  <si>
    <t>A_66170</t>
  </si>
  <si>
    <t>A_65515</t>
  </si>
  <si>
    <t>A_65527</t>
  </si>
  <si>
    <t>A_65530</t>
  </si>
  <si>
    <t>GVCCC_74002506</t>
  </si>
  <si>
    <t>A_55009</t>
  </si>
  <si>
    <t>A_63005</t>
  </si>
  <si>
    <t>A_66068</t>
  </si>
  <si>
    <t>A_65542</t>
  </si>
  <si>
    <t>GVCCC_74002507</t>
  </si>
  <si>
    <t>GVCCC_74002508</t>
  </si>
  <si>
    <t>A_64500</t>
  </si>
  <si>
    <t>A_64505</t>
  </si>
  <si>
    <t>A_64510</t>
  </si>
  <si>
    <t>A_64520</t>
  </si>
  <si>
    <t>A_64540</t>
  </si>
  <si>
    <t>A_64560</t>
  </si>
  <si>
    <t>A_64590</t>
  </si>
  <si>
    <t>A_66130</t>
  </si>
  <si>
    <t>GVCCC_74002509</t>
  </si>
  <si>
    <t>GVCCC_74002510</t>
  </si>
  <si>
    <t>GVCCC_74002515</t>
  </si>
  <si>
    <t>A_64090</t>
  </si>
  <si>
    <t>A_66040</t>
  </si>
  <si>
    <t>A_65522</t>
  </si>
  <si>
    <t>A_65523</t>
  </si>
  <si>
    <t>A_65524</t>
  </si>
  <si>
    <t>A_65525</t>
  </si>
  <si>
    <t>A_65526</t>
  </si>
  <si>
    <t>A_65528</t>
  </si>
  <si>
    <t>A_65529</t>
  </si>
  <si>
    <t>A_65000</t>
  </si>
  <si>
    <t>A_65010</t>
  </si>
  <si>
    <t>A_65080</t>
  </si>
  <si>
    <t>GVCCC_74002520</t>
  </si>
  <si>
    <t>A_64550</t>
  </si>
  <si>
    <t>A_63069</t>
  </si>
  <si>
    <t>A_66030</t>
  </si>
  <si>
    <t>A_66152</t>
  </si>
  <si>
    <t>A_65545</t>
  </si>
  <si>
    <t>A_65555</t>
  </si>
  <si>
    <t>GVCCC_74002530</t>
  </si>
  <si>
    <t>GVCCC_74002540</t>
  </si>
  <si>
    <t>A_61200</t>
  </si>
  <si>
    <t>GVCCC_74002545</t>
  </si>
  <si>
    <t>A_63008</t>
  </si>
  <si>
    <t>A_63009</t>
  </si>
  <si>
    <t>A_63010</t>
  </si>
  <si>
    <t>A_63015</t>
  </si>
  <si>
    <t>A_63063</t>
  </si>
  <si>
    <t>A_63064</t>
  </si>
  <si>
    <t>A_63066</t>
  </si>
  <si>
    <t>A_63078</t>
  </si>
  <si>
    <t>A_67580</t>
  </si>
  <si>
    <t>GVCCC_74002548</t>
  </si>
  <si>
    <t>GVCCC_74002550</t>
  </si>
  <si>
    <t>GVCCC_74002560</t>
  </si>
  <si>
    <t>A_63410</t>
  </si>
  <si>
    <t>A_55020</t>
  </si>
  <si>
    <t>A_63300</t>
  </si>
  <si>
    <t>A_63310</t>
  </si>
  <si>
    <t>A_63320</t>
  </si>
  <si>
    <t>A_63330</t>
  </si>
  <si>
    <t>A_63350</t>
  </si>
  <si>
    <t>A_63360</t>
  </si>
  <si>
    <t>A_63368</t>
  </si>
  <si>
    <t>A_63369</t>
  </si>
  <si>
    <t>A_63372</t>
  </si>
  <si>
    <t>A_63373</t>
  </si>
  <si>
    <t>A_63374</t>
  </si>
  <si>
    <t>A_63376</t>
  </si>
  <si>
    <t>A_63377</t>
  </si>
  <si>
    <t>A_63378</t>
  </si>
  <si>
    <t>A_63383</t>
  </si>
  <si>
    <t>A_63391</t>
  </si>
  <si>
    <t>GVCCC_74002561</t>
  </si>
  <si>
    <t>A_63059</t>
  </si>
  <si>
    <t>A_63073</t>
  </si>
  <si>
    <t>A_63077</t>
  </si>
  <si>
    <t>A_63079</t>
  </si>
  <si>
    <t>A_65550</t>
  </si>
  <si>
    <t>GVCCC_74002562</t>
  </si>
  <si>
    <t>GVCCC_74002563</t>
  </si>
  <si>
    <t>GVCCC_74002564</t>
  </si>
  <si>
    <t>GVCCC_74002599</t>
  </si>
  <si>
    <t>NEW ADDS:</t>
  </si>
  <si>
    <t>Department (ex. LIJMC_12345678)</t>
  </si>
  <si>
    <t>Account (ex. A_12345)</t>
  </si>
  <si>
    <t>Affiliate</t>
  </si>
  <si>
    <t>Total New Adds</t>
  </si>
  <si>
    <t>Grand Total, Incl New Adds</t>
  </si>
  <si>
    <t>74002500 Administration</t>
  </si>
  <si>
    <t>GVCCC_74002500 - Administration</t>
  </si>
  <si>
    <t>A_61000 - Consulting Fees</t>
  </si>
  <si>
    <t>A_61400 - Other Fees</t>
  </si>
  <si>
    <t>A_66510 - Lease-Rentals - Other</t>
  </si>
  <si>
    <t>A_66515 - Lease Rentals - Copiers</t>
  </si>
  <si>
    <t>A_66524 - Software Licensing Fees</t>
  </si>
  <si>
    <t>A_66528 - Cloud Software Licensing Fees</t>
  </si>
  <si>
    <t>A_63020 - Supplies Wound Closure</t>
  </si>
  <si>
    <t>A_63030 - Supplies - Medical</t>
  </si>
  <si>
    <t>A_63032 - Supplies - Medical - PPE</t>
  </si>
  <si>
    <t>A_63050 - Supplies - Iv Solutions &amp; Sets</t>
  </si>
  <si>
    <t>A_64000 - Supplies - Hotel Services</t>
  </si>
  <si>
    <t>A_64020 - Supplies - Office</t>
  </si>
  <si>
    <t>A_64030 - Supplies - Other Non Medical</t>
  </si>
  <si>
    <t>A_66000 - Dues</t>
  </si>
  <si>
    <t>A_66010 - Periodicals-Publ-Subscriptions</t>
  </si>
  <si>
    <t>A_66020 - Outside Training</t>
  </si>
  <si>
    <t>A_66050 - Printing And Duplication</t>
  </si>
  <si>
    <t>A_66060 - Other Expenses</t>
  </si>
  <si>
    <t>A_66070 - Advertising</t>
  </si>
  <si>
    <t>A_66075 - Promotional items</t>
  </si>
  <si>
    <t>A_66076 - Corporate Sponsorships</t>
  </si>
  <si>
    <t>A_66090 - House Functions &amp; Corp Events</t>
  </si>
  <si>
    <t>A_66095 - Meals &amp; Entertainment</t>
  </si>
  <si>
    <t>A_66150 - Travel</t>
  </si>
  <si>
    <t>A_65505 - Equipment Service Contracts</t>
  </si>
  <si>
    <t>A_65507 - Medical Equip Srvcs Contracts</t>
  </si>
  <si>
    <t>A_65510 - Freight</t>
  </si>
  <si>
    <t>A_65517 - Software Maint and Support</t>
  </si>
  <si>
    <t>A_65518 - Cloud Maintenance and Support</t>
  </si>
  <si>
    <t>A_65533 - Other Purchased Svcs-Security</t>
  </si>
  <si>
    <t>A_65535 - Other Purchased Services</t>
  </si>
  <si>
    <t>A_65536 - Oth Purch Serv- Credentialling</t>
  </si>
  <si>
    <t>A_65540 - Outside Messenger Service</t>
  </si>
  <si>
    <t>A_65541 - Valet Parking</t>
  </si>
  <si>
    <t>A_65565 - Purchases Services - Linen</t>
  </si>
  <si>
    <t>A_65050 - Telephone</t>
  </si>
  <si>
    <t>Total GVCCC_74002500</t>
  </si>
  <si>
    <t>74002501 Materials Ops</t>
  </si>
  <si>
    <t>GVCCC_74002501 - Materials Ops</t>
  </si>
  <si>
    <t>A_55010 - Rebates From Vendors</t>
  </si>
  <si>
    <t>A_63040 - Supplies - Radiology</t>
  </si>
  <si>
    <t>A_63058 - Supplies Impl Coronary Stents</t>
  </si>
  <si>
    <t>A_63060 - Supplies - Surgery Packs-Sheet</t>
  </si>
  <si>
    <t>A_63062 - Supplies - Impl - Oth Vascular</t>
  </si>
  <si>
    <t>A_63065 - Supplies - mpl - Oth Coronary</t>
  </si>
  <si>
    <t>A_63067 - Supplies - Implants - Urologic</t>
  </si>
  <si>
    <t>A_63070 - Supplies - Implants - All Oth</t>
  </si>
  <si>
    <t>A_63080 - Supplies - Surgical</t>
  </si>
  <si>
    <t>A_64010 - Supplies - Linen And Bedding</t>
  </si>
  <si>
    <t>A_66110 - Mileage</t>
  </si>
  <si>
    <t>Total GVCCC_74002501</t>
  </si>
  <si>
    <t>74002502 Access Services</t>
  </si>
  <si>
    <t>GVCCC_74002502 - Access Services</t>
  </si>
  <si>
    <t>Total GVCCC_74002502</t>
  </si>
  <si>
    <t>74002503 Environmental Services</t>
  </si>
  <si>
    <t>GVCCC_74002503 - Environmental Services</t>
  </si>
  <si>
    <t>A_63035 - Supplies - Gases</t>
  </si>
  <si>
    <t>A_65521 - Landscapg-Reprs-Prchsd-Cont Sv</t>
  </si>
  <si>
    <t>A_65531 - Purchased Service-Snow Remova</t>
  </si>
  <si>
    <t>A_65030 - Disposable Services</t>
  </si>
  <si>
    <t>Total GVCCC_74002503</t>
  </si>
  <si>
    <t>74002505 Radiology</t>
  </si>
  <si>
    <t>GVCCC_74002505 - Radiology</t>
  </si>
  <si>
    <t>A_61300 - Nursing Fees</t>
  </si>
  <si>
    <t>A_63000 - Supplies - Laboratory</t>
  </si>
  <si>
    <t>A_63045 - Supplies - Med Equip Repair</t>
  </si>
  <si>
    <t>A_66170 - FLEX-Traveler Allowance</t>
  </si>
  <si>
    <t>A_65515 - Ge Central Equip Svc Contract</t>
  </si>
  <si>
    <t>A_65527 - Med Equipment Maint &amp; Repairs</t>
  </si>
  <si>
    <t>A_65530 - Medical Purchased Services</t>
  </si>
  <si>
    <t>Total GVCCC_74002505</t>
  </si>
  <si>
    <t>74002506 Inpatient Unit</t>
  </si>
  <si>
    <t>GVCCC_74002506 - Inpatient Unit</t>
  </si>
  <si>
    <t>A_55009 - Supply Chain Channel Rebates</t>
  </si>
  <si>
    <t>A_63005 - Supplies - Reagents</t>
  </si>
  <si>
    <t>A_66068 - Patient Belongings - Reimburse</t>
  </si>
  <si>
    <t>A_65542 - Translation Services</t>
  </si>
  <si>
    <t>Total GVCCC_74002506</t>
  </si>
  <si>
    <t>74002507 Clinical Ancillary</t>
  </si>
  <si>
    <t>GVCCC_74002507 - Clinical Ancillary</t>
  </si>
  <si>
    <t>Total GVCCC_74002507</t>
  </si>
  <si>
    <t>74002508 Sup SVC - Food and Nutrition</t>
  </si>
  <si>
    <t>GVCCC_74002508 - Sup SVC - Food and Nutrition</t>
  </si>
  <si>
    <t>A_64500 - Dietary - Meat-Fish-Poultry</t>
  </si>
  <si>
    <t>A_64505 - Food SI</t>
  </si>
  <si>
    <t>A_64510 - Dietary-Groceries &amp; Beverages</t>
  </si>
  <si>
    <t>A_64520 - Dietary - Dairy</t>
  </si>
  <si>
    <t>A_64540 - Dietary-Fruits And Vegetables</t>
  </si>
  <si>
    <t>A_64560 - Dietary - Tableware</t>
  </si>
  <si>
    <t>A_64590 - Dietary - Rebates</t>
  </si>
  <si>
    <t>A_66130 - Sales Tax</t>
  </si>
  <si>
    <t>Total GVCCC_74002508</t>
  </si>
  <si>
    <t>74002509 Sup Svc-Security</t>
  </si>
  <si>
    <t>GVCCC_74002509 - Sup Svc-Security</t>
  </si>
  <si>
    <t>Total GVCCC_74002509</t>
  </si>
  <si>
    <t>74002510 Pt Care Services</t>
  </si>
  <si>
    <t>GVCCC_74002510 - Pt Care Services</t>
  </si>
  <si>
    <t>Total GVCCC_74002510</t>
  </si>
  <si>
    <t>74002515 General Maintenance</t>
  </si>
  <si>
    <t>GVCCC_74002515 - General Maintenance</t>
  </si>
  <si>
    <t>A_64090 - Non Med &amp; Non Surg Rebates</t>
  </si>
  <si>
    <t>A_66040 - Postage</t>
  </si>
  <si>
    <t>A_65522 - Electric-Reprs-Prchsd-Contr Sv</t>
  </si>
  <si>
    <t>A_65523 - WaterTrtmt-Repr-Prchsd-Cont Sv</t>
  </si>
  <si>
    <t>A_65524 - Fire Sup-Reprs-Prchsd-Contr Sv</t>
  </si>
  <si>
    <t>A_65525 - Maintenance And Repairs</t>
  </si>
  <si>
    <t>A_65526 - Door Lock-Reprs-Prchsd-Cont Sv</t>
  </si>
  <si>
    <t>A_65528 - Elevator-Reprs-Prchsd-Contr Sv</t>
  </si>
  <si>
    <t>A_65529 - Generator-Reprs-Prchsd-Cont Sv</t>
  </si>
  <si>
    <t>A_65000 - Electricity</t>
  </si>
  <si>
    <t>A_65010 - Fuel Oil</t>
  </si>
  <si>
    <t>A_65080 - Steam</t>
  </si>
  <si>
    <t>Total GVCCC_74002515</t>
  </si>
  <si>
    <t>74002520 OP Svc - Emergency Services</t>
  </si>
  <si>
    <t>GVCCC_74002520 - OP Svc - Emergency Services</t>
  </si>
  <si>
    <t>A_64550 - Dietary - Supplement</t>
  </si>
  <si>
    <t>A_63069 - Supplies - Imp - Intraculr Len</t>
  </si>
  <si>
    <t>A_66030 - Microfilming &amp; Archiving</t>
  </si>
  <si>
    <t>A_66152 - Patient Transportation</t>
  </si>
  <si>
    <t>A_65545 - Transcript Sevices</t>
  </si>
  <si>
    <t>A_65555 - Purchased Services-Transp Svcs</t>
  </si>
  <si>
    <t>Total GVCCC_74002520</t>
  </si>
  <si>
    <t>74002530 Emergency Events - Covid19</t>
  </si>
  <si>
    <t>GVCCC_74002530 - Emergency Events - Covid19</t>
  </si>
  <si>
    <t>Total GVCCC_74002530</t>
  </si>
  <si>
    <t>74002540 Laboratory</t>
  </si>
  <si>
    <t>GVCCC_74002540 - Laboratory</t>
  </si>
  <si>
    <t>A_61200 - Temporary Employees</t>
  </si>
  <si>
    <t>Total GVCCC_74002540</t>
  </si>
  <si>
    <t>74002545 Op Svc Surgery Center - LHGV</t>
  </si>
  <si>
    <t>GVCCC_74002545 - Op Svc Surgery Center - LHGV</t>
  </si>
  <si>
    <t>A_63008 - Supplies - Implants - Spinal</t>
  </si>
  <si>
    <t>A_63009 - Supplies - Implants - Joint</t>
  </si>
  <si>
    <t>A_63010 - Supplies - Implnts - Oth Ortho</t>
  </si>
  <si>
    <t>A_63015 - Supplies - Implants - Neuro</t>
  </si>
  <si>
    <t>A_63063 - Supplies - Implants - Pacemkrs</t>
  </si>
  <si>
    <t>A_63064 - Supplies - Implants - ICDs</t>
  </si>
  <si>
    <t>A_63066 - Supplies - Implant - Breast</t>
  </si>
  <si>
    <t>A_63078 - Supplies - Implants - Cochlear</t>
  </si>
  <si>
    <t>A_67580 - Collection Agency</t>
  </si>
  <si>
    <t>Total GVCCC_74002545</t>
  </si>
  <si>
    <t>74002548 Op Svc Endoscopy Center - LHGV</t>
  </si>
  <si>
    <t>GVCCC_74002548 - Op Svc Endoscopy Center - LHGV</t>
  </si>
  <si>
    <t>Total GVCCC_74002548</t>
  </si>
  <si>
    <t>74002550 6th Flr Sessional Space</t>
  </si>
  <si>
    <t>GVCCC_74002550 - 6th Flr Sessional Space</t>
  </si>
  <si>
    <t>Total GVCCC_74002550</t>
  </si>
  <si>
    <t>74002560 Pharmacy</t>
  </si>
  <si>
    <t>GVCCC_74002560 - Pharmacy</t>
  </si>
  <si>
    <t>A_63410 - Blood Derivatives - Pharmacy</t>
  </si>
  <si>
    <t>A_55020 - Rebates-Pharmaceuticals</t>
  </si>
  <si>
    <t>A_63300 - Rx - All Other</t>
  </si>
  <si>
    <t>A_63310 - Rx - Anticogulants</t>
  </si>
  <si>
    <t>A_63320 - Systemic Antiinfectives</t>
  </si>
  <si>
    <t>A_63330 - Antineoplastics</t>
  </si>
  <si>
    <t>A_63350 - Anesthesiology</t>
  </si>
  <si>
    <t>A_63360 - Rx - Radio Pharmaceuticals</t>
  </si>
  <si>
    <t>A_63368 - Interventional Cardiology</t>
  </si>
  <si>
    <t>A_63369 - Hemostatic Agents</t>
  </si>
  <si>
    <t>A_63372 - Outsourced</t>
  </si>
  <si>
    <t>A_63373 - Transplant Medications</t>
  </si>
  <si>
    <t>A_63374 - Modulation agents</t>
  </si>
  <si>
    <t>A_63376 - HIV Medications</t>
  </si>
  <si>
    <t>A_63377 - Thrombolytics</t>
  </si>
  <si>
    <t>A_63378 - Atypical Antipsychotics</t>
  </si>
  <si>
    <t>A_63383 - Drugs Non-Formulary</t>
  </si>
  <si>
    <t>A_63391 - Vaccines</t>
  </si>
  <si>
    <t>Total GVCCC_74002560</t>
  </si>
  <si>
    <t>74002561 NRSG-Cardiac Cath</t>
  </si>
  <si>
    <t>GVCCC_74002561 - NRSG-Cardiac Cath</t>
  </si>
  <si>
    <t>A_63059 - Supplies Impl Vascular Stents</t>
  </si>
  <si>
    <t>A_63073 - Supplies - Implants - Impella</t>
  </si>
  <si>
    <t>A_63077 - Supplies - Implants- Cardiomem</t>
  </si>
  <si>
    <t>A_63079 - Supplies - Imp - Loop Recorder</t>
  </si>
  <si>
    <t>A_65550 - Purchased Services-Subcontract</t>
  </si>
  <si>
    <t>Total GVCCC_74002561</t>
  </si>
  <si>
    <t>74002562 Pos-Central Services</t>
  </si>
  <si>
    <t>GVCCC_74002562 - Pos-Central Services</t>
  </si>
  <si>
    <t>Total GVCCC_74002562</t>
  </si>
  <si>
    <t>74002563 Cardio EPS</t>
  </si>
  <si>
    <t>GVCCC_74002563 - Cardio EPS</t>
  </si>
  <si>
    <t>Total GVCCC_74002563</t>
  </si>
  <si>
    <t>74002564 POS - Recovery Room</t>
  </si>
  <si>
    <t>GVCCC_74002564 - POS - Recovery Room</t>
  </si>
  <si>
    <t>Total GVCCC_74002564</t>
  </si>
  <si>
    <t>74002599 Corporate Retained</t>
  </si>
  <si>
    <t>GVCCC_74002599 - Corporate Retained</t>
  </si>
  <si>
    <t>Total GVCCC_74002599</t>
  </si>
  <si>
    <t/>
  </si>
  <si>
    <t>XEROX CORP $14,113 per year</t>
  </si>
  <si>
    <t>SHI INTERNATIONAL CORP $3,887 per year</t>
  </si>
  <si>
    <t>LAUDIO INC ($14,938/month)</t>
  </si>
  <si>
    <t>STAPLES ADVANTAGE $5,205</t>
  </si>
  <si>
    <t>STAPLES ADVANTAGE</t>
  </si>
  <si>
    <t>DOB Service Fees, Cert of Occupancy</t>
  </si>
  <si>
    <t>AM Newspaper no longer needed</t>
  </si>
  <si>
    <t>Moved to 66075 - Promotional items</t>
  </si>
  <si>
    <t>HORIZON MEDIA INC $6,858 per month ($82,300 per year)</t>
  </si>
  <si>
    <t>Allison to follow up with amount Moved from 66060 - Other Expenses</t>
  </si>
  <si>
    <t>AMERICAN CANCER SOCIETY $2,000; SAGEUSA $2,500; GREENWICH HOUSE INC $2,500; GREENWICH VILLAGE LITTLE LEAGUE $1,600; HERITAGE OF PRIDE INC $6,800; LESBIAN AND GAY COMMUNITY SERV CNTR INC $50,000; PARENT TEACHER ASSOCIATION PS 41 $2,500; LESBIAN AND GAY CO; GV Chamber of Commerce Annual Membership $7,500</t>
  </si>
  <si>
    <t>Winter Party $8,000; Christmas $3,000; Thanksgiving $3,000; Hosp Week $6,000; Employee BBQ $8,000 ($50 per person * 423 people = $20,550); Other $4,062</t>
  </si>
  <si>
    <t>CONVERGEONE SYSTEMS INTEGRATION INC $1,094 per year</t>
  </si>
  <si>
    <t>Visio Membership $1,900 per year</t>
  </si>
  <si>
    <t xml:space="preserve">GWTG-Stroke; STK Measures AHA $10,273; moved to 65536 - Oth Purch Serv- Credentialling </t>
  </si>
  <si>
    <t xml:space="preserve">GWTG-Stroke; STK Measures AHA $10,273;65536 - Oth Purch Serv- Credentialling </t>
  </si>
  <si>
    <t>Monthly Executive Parking $500 per month ($6,000 per year)</t>
  </si>
  <si>
    <t>DIRECT TV $320 per month ($3,840 per year) | VERIZON WIRELESS $347 per month ($4,164 per year) | CONVERGEONE SYSTEMS INTEGRATION INC $15,000 per year</t>
  </si>
  <si>
    <t>Cath dragon?</t>
  </si>
  <si>
    <t>cath</t>
  </si>
  <si>
    <t xml:space="preserve">(Uniform Allowance - 19 Full Time Team Members $900 x 19 = $17,100, 18 Part Time Team Members - $500*18 = $9000) </t>
  </si>
  <si>
    <t>Hand Santitizer, Wipes, Disinfecant wipes</t>
  </si>
  <si>
    <t>Supplies inclusive of ED, Medical Records, Surgery Center</t>
  </si>
  <si>
    <t>Meals and Entertainment 37 Team Members . 3 Leaders, 40x60 = $2400</t>
  </si>
  <si>
    <t>Shipment fees</t>
  </si>
  <si>
    <t>GRM still being charged to ED</t>
  </si>
  <si>
    <t>$50 per month x 3 leaders</t>
  </si>
  <si>
    <t>I JANVEY &amp; SONS INC ($75,748 per year) &amp; STAPLES Garbage Bags ($5,942 per month) ($71,304 per year); $16,289 moved from 74002515 - General Maintenance</t>
  </si>
  <si>
    <t>BAG LAUNDRY 14 MIC 38X46</t>
  </si>
  <si>
    <t>BAG PLSTC 14MIC 30X36 I JANVEY &amp; SONS INC; $18,000 omved from 74002515 - General Maintenance</t>
  </si>
  <si>
    <t>Flowers $12,000</t>
  </si>
  <si>
    <t>One leader will attend professional development conference budget under Cath Lab cost center 74002561</t>
  </si>
  <si>
    <t>for patient lost items</t>
  </si>
  <si>
    <t xml:space="preserve">~18 staff, $45/person </t>
  </si>
  <si>
    <t>For PA &amp; NP recertification only. RN certification will charge to LHH NPYNU fund.</t>
  </si>
  <si>
    <t>12 months run rate</t>
  </si>
  <si>
    <t>BEVI</t>
  </si>
  <si>
    <t>Last 3 month run rate annualized</t>
  </si>
  <si>
    <t>Imperial - ED pantry &amp; other 9 locations to supply</t>
  </si>
  <si>
    <t>Uniforms - move to 64030 - Supplies - Other Non Medical</t>
  </si>
  <si>
    <t>Coffee for building</t>
  </si>
  <si>
    <t>General office supplies</t>
  </si>
  <si>
    <t>Uniforms moved from 63030 - Supplies - Medical</t>
  </si>
  <si>
    <t>Menu printing - transitioning to HyGrade from Staples. Higher cost than Xerox</t>
  </si>
  <si>
    <t>Holiday lunches &amp; employee merch</t>
  </si>
  <si>
    <t>Moved to new Px or Admin cost center</t>
  </si>
  <si>
    <t>Garder 1,407 hrs per week * $32.21 per hour *52 weeks = $2,356,612; ($571k for 1 24/7 NYPD coverage + 1 Overnight 11p-7a)</t>
  </si>
  <si>
    <t>Linde Gas &amp; Equipment $408 per month ($4,896 per year); NATIONAL DUST CONTROL SERVICES CORP $810 per month ($9,720 per year); QUENCH USA INC $83 per month ($996 per year)</t>
  </si>
  <si>
    <t>ACROBAT PRO</t>
  </si>
  <si>
    <t>Employee Boots moved to A_64030 - Supplies - Other Non Medical</t>
  </si>
  <si>
    <t>Linde Gas &amp; Equipment - Liquid Oxygen</t>
  </si>
  <si>
    <t>Moved to 74002503 - Environmental Services</t>
  </si>
  <si>
    <t>Employee Boots 9 Staff * $140 per = $1,260; $18,000 I JANVEY &amp; SONS INC moved to 74002503 - Environmental Services; Willis Paints $3,967; WW Grainger $12,409</t>
  </si>
  <si>
    <t>BLEJWAS ASSOCIATES INC $1,004); CLINICAL DELIVERY SYSTEMS INC $957 Qt ($3,828 per year); CLINICAL DELIVERY SYSTEMS INC $2,200 annual; FITNESS RESOURCE OF NEW YORK LLC $515 Qt ($2,060 per year); INTELLI-TEC SECURITY SERVICES $15,000; FSI $7,600; MOOD MEDIA LLC $843 per month ($10,116 per year);  NELSON AIR DEVICE CORP $10,680 per month ($128,158 per year); SCHNEIDER ELECTRIC BUILDINGS AMERICAS $4,667 per month ($56,004 per year);  WINGS TESTING $12,000 per quarter ($48,000 per year)</t>
  </si>
  <si>
    <t>Brightview $2,345 per Qt</t>
  </si>
  <si>
    <t>NJS ELECTRICAL SERVICES CORP</t>
  </si>
  <si>
    <t>NALCO COMPANY LLC Legionella Bacteria ($2,700/quarter), Monochloramine ($9,077/quarter)</t>
  </si>
  <si>
    <t>ENCORE HOLDINGS LLC Visual Inspection ($285 per month), Approved Fire Prevention Special Hazard Inspection ($2,500 semi annually), ENCORE Service ($2,422 per month), SAFEWAY FIRE AND PROTECTION CO ($29,625)</t>
  </si>
  <si>
    <t>OTIS ELEVATOR COMPANY ($4,366/month)</t>
  </si>
  <si>
    <t>HO PENN Generator Testing $6,000 per month ($72,000 per year); ASCO POWER SERVICES INC Annual Maintenance ($9,357)</t>
  </si>
  <si>
    <t>AKA Pest Control $675 per month ($8,100 per year); CTSI $6,500; SKYLIGHT PRECISION COMPANY Window Cleaning ($16,100 per year); SKYLIGHT PRECISION COMPANY $11,000; Other $10,000</t>
  </si>
  <si>
    <t>CINTAS CORPORATION Uniform Rentals</t>
  </si>
  <si>
    <t>N/A</t>
  </si>
  <si>
    <t>Expenses need to be moved to F&amp;N , can be 0</t>
  </si>
  <si>
    <t>Quench water filter system - confirm if should remain hitting ED- building expense- this is in shared breakroom. Please budget in the Admin cost center.</t>
  </si>
  <si>
    <t xml:space="preserve">Dragon hits here; last year they moved to annual subscriptions Oct - Oct. Hence no budget created in 2026. Need to adjust for this future expense. </t>
  </si>
  <si>
    <t>increase in supplies related to closures ~30K</t>
  </si>
  <si>
    <t>increase in volume ~ use current run rate</t>
  </si>
  <si>
    <t>same</t>
  </si>
  <si>
    <t>contrast was orginally budetted under radiology in 2025, due to process change in scanning product, it hits ED cost center. Need to re-allocate funding to ED again (as discussed at expense mtg). 32k is for one quarter (mar - jun), run rate is 128</t>
  </si>
  <si>
    <t>code carts replenishment and also resus room items</t>
  </si>
  <si>
    <t>run rate</t>
  </si>
  <si>
    <t>run rate (staples misc. gray wipes)</t>
  </si>
  <si>
    <t xml:space="preserve">run rate </t>
  </si>
  <si>
    <t xml:space="preserve">Vocera purchased to buy all brand new models. Ordering has been monitored and slimmed down to try to rebalance this over variance. Should not meet annualized projection for 2026, can proceed with same office budget projections as 2026. </t>
  </si>
  <si>
    <t>peoplesoft supplies, scrubs</t>
  </si>
  <si>
    <t xml:space="preserve"> $1K for NM/ANM conference. SAFE 4 RNs $800 ($3,200 per year) will be used by end of year, can be charge in LHH NYPNU fund</t>
  </si>
  <si>
    <t>GRM - was supposed to be moved to Patient Access</t>
  </si>
  <si>
    <t>Staples Printing ($1838)- need other charges investigated. 12 months run rate.</t>
  </si>
  <si>
    <t>Emergency Nurses Week and EMS Week - gifts to the staffs.</t>
  </si>
  <si>
    <t>Year End Event + ED Week + EMS Week</t>
  </si>
  <si>
    <t xml:space="preserve">$1,600, Carmel Cab (sunsetting, but Phyllis working on substitute), and Travel reimbursement for new NYPNU team members to LI for orientation. Expenses will be centralized. </t>
  </si>
  <si>
    <t>Omny Cards, coordination of bank account pending. Budget the same as 2026</t>
  </si>
  <si>
    <t>done by corporate</t>
  </si>
  <si>
    <t>service contract with PHILIPS MEDICAL, $2,434 per month.</t>
  </si>
  <si>
    <t>peoplesoft supplies</t>
  </si>
  <si>
    <t>GE Contract ($1,382/quarter) - what equip. is covered here</t>
  </si>
  <si>
    <t>Intellitech Security System for Security. Was supposed to be moved to security and still has not been (only charges). Please budget it other than ED.</t>
  </si>
  <si>
    <t>have this budget for minor repairs and maintenance, budget as 2026.</t>
  </si>
  <si>
    <t>GRM Information Management System (fees for OVS storage) &amp; Scheduling for Providers ($280 a month)</t>
  </si>
  <si>
    <t xml:space="preserve"> ACLS/PALS/BLS 4 RNs $250 ($1,000 per year) - Revisit RN Headcount, this can be charge to LHH NYPNU fund</t>
  </si>
  <si>
    <t xml:space="preserve"> SAFE Kit Overnight  Shipments per month ( Avg. $800 a month not budgetted for in 2026. Need $9k to cover FedEx shipments). Budget was any outgoing fedex from building. Change in process of sending specimens to OVS facility </t>
  </si>
  <si>
    <t>Historically getting charged $5K a month. Appearing under JE Details- was it moved to admin ?- should be</t>
  </si>
  <si>
    <t>was budgeted for dragon - actual hit acc 66528</t>
  </si>
  <si>
    <t>Carmel getting charged for May &amp; June - backlog of invoices</t>
  </si>
  <si>
    <t>Curtain Maintenance Program</t>
  </si>
  <si>
    <t>Verizon</t>
  </si>
  <si>
    <t>Moved 1 FTE and moved to FTE budget</t>
  </si>
  <si>
    <t>NYS DEPARTMENT OF HEALTH (NYS DEPARTMENT OF HEALTH $1,500 per quarter)</t>
  </si>
  <si>
    <t>Offset by General Maintenance department</t>
  </si>
  <si>
    <t>OMNICELL INC $3,098 per month ($37,173 per year); New 2027 contract Codonics $1,194 per month ($14,328 per year)</t>
  </si>
  <si>
    <t>Run Rate</t>
  </si>
  <si>
    <t>Items in incorrect account</t>
  </si>
  <si>
    <t xml:space="preserve">Run Rate (contrast) </t>
  </si>
  <si>
    <t xml:space="preserve">Viewpad &amp; Zoll repairs </t>
  </si>
  <si>
    <t>Would assume 2/yr</t>
  </si>
  <si>
    <t>NM / ANM conference for both IP and Cath Lab</t>
  </si>
  <si>
    <t>$45 / person, 23 RN/Tech, 4 ACP= $1215</t>
  </si>
  <si>
    <t>budget under House Function account</t>
  </si>
  <si>
    <t>Many service contracts recently added as warranties expired including BSC IVUS, missing ST JUDE MEDICAL, Phillips Image Guide and Philips Medical ($258K) for the Azurion.</t>
  </si>
  <si>
    <t>RNs ACLS &amp; BLS certfication will budget in LHH</t>
  </si>
  <si>
    <t>Baker, Daniel</t>
  </si>
  <si>
    <t>Dempsey, Allison</t>
  </si>
  <si>
    <t>Palmer, Demarkel A</t>
  </si>
  <si>
    <t>Dhir, Parul</t>
  </si>
  <si>
    <t>Russell, Jeffrey C</t>
  </si>
  <si>
    <t>Sartori, Danielle E</t>
  </si>
  <si>
    <t>Vieira, Sara</t>
  </si>
  <si>
    <t>Wong, Andrew</t>
  </si>
  <si>
    <t>Ull, Jeffrey S</t>
  </si>
  <si>
    <t>Busgith, Ray</t>
  </si>
  <si>
    <t>Monosova, Sabina</t>
  </si>
  <si>
    <t>Emergency Events</t>
  </si>
  <si>
    <t>Birnbaum, Laurie</t>
  </si>
  <si>
    <t>Cohen, Jill</t>
  </si>
  <si>
    <t>Tavarez, Nadia</t>
  </si>
  <si>
    <t>Nowierski, Paul T</t>
  </si>
  <si>
    <t>Stern, Robert</t>
  </si>
  <si>
    <t>Jurik, Christopher</t>
  </si>
  <si>
    <t>74002500</t>
  </si>
  <si>
    <t>74002501</t>
  </si>
  <si>
    <t>74002502</t>
  </si>
  <si>
    <t>74002503</t>
  </si>
  <si>
    <t>74002505</t>
  </si>
  <si>
    <t>74002506</t>
  </si>
  <si>
    <t>74002507</t>
  </si>
  <si>
    <t>74002508</t>
  </si>
  <si>
    <t>74002509</t>
  </si>
  <si>
    <t>74002510</t>
  </si>
  <si>
    <t>74002515</t>
  </si>
  <si>
    <t>74002520</t>
  </si>
  <si>
    <t>74002530</t>
  </si>
  <si>
    <t>74002540</t>
  </si>
  <si>
    <t>74002545</t>
  </si>
  <si>
    <t>74002548</t>
  </si>
  <si>
    <t>74002550</t>
  </si>
  <si>
    <t>74002560</t>
  </si>
  <si>
    <t>74002561</t>
  </si>
  <si>
    <t>74002562</t>
  </si>
  <si>
    <t>74002563</t>
  </si>
  <si>
    <t>74002564</t>
  </si>
  <si>
    <t>74002599</t>
  </si>
  <si>
    <t>vp</t>
  </si>
  <si>
    <t>director</t>
  </si>
  <si>
    <t>dept_id</t>
  </si>
  <si>
    <t>bu_dept</t>
  </si>
  <si>
    <t>account</t>
  </si>
  <si>
    <t>account_type</t>
  </si>
  <si>
    <t>dept_name</t>
  </si>
  <si>
    <t>acct_name</t>
  </si>
  <si>
    <t>affl</t>
  </si>
  <si>
    <t>2025_actual</t>
  </si>
  <si>
    <t>2026_budget</t>
  </si>
  <si>
    <t>2026_june_ytd_actual</t>
  </si>
  <si>
    <t>2026_june_ytd_annualized</t>
  </si>
  <si>
    <t>trailing_12_actual</t>
  </si>
  <si>
    <t>2026_proposed_projection</t>
  </si>
  <si>
    <t>2026_projection_adjustment</t>
  </si>
  <si>
    <t>2026_final_projection</t>
  </si>
  <si>
    <t>2027_budget_no_infl</t>
  </si>
  <si>
    <t>variance_no_infl</t>
  </si>
  <si>
    <t>inflation_pct</t>
  </si>
  <si>
    <t>inflation_amt</t>
  </si>
  <si>
    <t>2027_budget_infl</t>
  </si>
  <si>
    <t>variance_infl</t>
  </si>
  <si>
    <t>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</si>
</sst>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sz val="1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2" fillId="0" borderId="0"/>
    <xf numFmtId="0" fontId="1" fillId="0" borderId="0"/>
  </cellStyleXfs>
  <cellXfs count="1">
    <xf numFmtId="0" fontId="0" fillId="0" borderId="0" xfId="0"/>
  </cellXfs>
  <cellStyles count="3">
    <cellStyle name="Normal" xfId="0" builtinId="0"/>
    <cellStyle name="Normal 2" xfId="1" xr:uid="{B47F296A-A8F2-4DEB-A782-FA2A1CEF7CCB}"/>
    <cellStyle name="Normal 2 2" xfId="2" xr:uid="{F194C823-1E4A-439C-87A1-DDBE9B96486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025" name="FPMExcelClientSheetOptionstb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nasdata02\finance01\DATA\Budgt_FP\members\JillD\Financial%20Planning\Glen%20Cove%20ED\CG%20ED%20CON%20calculation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ina\NYPH\8-2004\Aug%202004\Inprev%208-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nasdata02\finance01\finance01\Tina\NYPH\8-2004\Aug%202004\Inprev%208-200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 4 &amp; Depr"/>
      <sheetName val="Old"/>
      <sheetName val="New (Sched 6 &amp; 7)"/>
      <sheetName val="Fundraising"/>
      <sheetName val="Utilities"/>
      <sheetName val="Depreciation"/>
      <sheetName val="Capital Cost"/>
      <sheetName val="Amort Schedule"/>
      <sheetName val="Rev per visit - payor"/>
      <sheetName val="ED Payments"/>
      <sheetName val="Old CT Depr Sched"/>
      <sheetName val="Notes &amp; Sources"/>
      <sheetName val="ED P &amp; L"/>
      <sheetName val="Ancillary Expenses"/>
      <sheetName val="Indirect Expenses"/>
      <sheetName val="Depreciation Expense"/>
      <sheetName val="Sheet1"/>
      <sheetName val="Sheet2"/>
      <sheetName val="Sheet 3"/>
      <sheetName val="Summary"/>
      <sheetName val="(Buy-Out) Cash Needs"/>
      <sheetName val="MD Income Summary"/>
      <sheetName val="P &amp; L Summary"/>
      <sheetName val="Payer Mix"/>
      <sheetName val="Revenue Projections"/>
      <sheetName val="wRVU Analysis"/>
      <sheetName val="Downstream CM"/>
      <sheetName val="Payroll Summary"/>
      <sheetName val="Benchmarks"/>
      <sheetName val="FTE"/>
      <sheetName val="Adjusted Data"/>
      <sheetName val="Raw Data"/>
      <sheetName val="MD Benefits"/>
      <sheetName val="Malpractice"/>
      <sheetName val="Risk MGT Form"/>
      <sheetName val="Staff Payroll &amp; Benefits"/>
      <sheetName val="Capital"/>
      <sheetName val="IT Cost Estimate"/>
      <sheetName val="Assets"/>
      <sheetName val="P &amp; L Detail"/>
      <sheetName val="General Expenses"/>
      <sheetName val="Baseline Inc St"/>
      <sheetName val="Baseline Bal Sht"/>
      <sheetName val="Changes"/>
      <sheetName val="Table"/>
      <sheetName val="Signatories"/>
      <sheetName val="MGMA"/>
      <sheetName val="sites"/>
      <sheetName val="Data - Market Data"/>
      <sheetName val="Data - Signatories"/>
      <sheetName val="Data - Renewal References"/>
      <sheetName val="Background Lists"/>
      <sheetName val="Indicator"/>
      <sheetName val="Indicator YTD"/>
      <sheetName val="2 Midnight"/>
      <sheetName val="OP Revenue"/>
      <sheetName val="OP Summary_CY vs PY"/>
      <sheetName val="IP Stat"/>
      <sheetName val="OP Stat"/>
      <sheetName val="DO NOT DELETE"/>
      <sheetName val="Detail"/>
      <sheetName val="PayerTrend"/>
      <sheetName val="ProductTrend"/>
      <sheetName val="Summary - MTD"/>
      <sheetName val="Summary - YTD"/>
      <sheetName val="Summary MedSurg"/>
      <sheetName val="PL Detail"/>
      <sheetName val="Physician Monitor"/>
      <sheetName val="Trach"/>
      <sheetName val="Calc"/>
      <sheetName val="Actual"/>
      <sheetName val="Other"/>
      <sheetName val="Outlier"/>
      <sheetName val="PPA Rec"/>
      <sheetName val="Case Rate"/>
      <sheetName val="OP Visits Detail"/>
      <sheetName val="Budget"/>
      <sheetName val="Budget Spread"/>
      <sheetName val="Query"/>
      <sheetName val="Budget Query Data"/>
      <sheetName val="Instructions"/>
    </sheetNames>
    <sheetDataSet>
      <sheetData sheetId="0">
        <row r="49">
          <cell r="H49" t="str">
            <v>Year 3</v>
          </cell>
        </row>
      </sheetData>
      <sheetData sheetId="1"/>
      <sheetData sheetId="2"/>
      <sheetData sheetId="3"/>
      <sheetData sheetId="4"/>
      <sheetData sheetId="5"/>
      <sheetData sheetId="6">
        <row r="49">
          <cell r="H49" t="str">
            <v>Year 3</v>
          </cell>
        </row>
      </sheetData>
      <sheetData sheetId="7" refreshError="1"/>
      <sheetData sheetId="8"/>
      <sheetData sheetId="9"/>
      <sheetData sheetId="10">
        <row r="18">
          <cell r="B18" t="str">
            <v>Corporate</v>
          </cell>
        </row>
      </sheetData>
      <sheetData sheetId="11"/>
      <sheetData sheetId="12"/>
      <sheetData sheetId="13">
        <row r="7">
          <cell r="AB7">
            <v>8</v>
          </cell>
        </row>
      </sheetData>
      <sheetData sheetId="14"/>
      <sheetData sheetId="15"/>
      <sheetData sheetId="16">
        <row r="18">
          <cell r="B18" t="str">
            <v>Corporate</v>
          </cell>
        </row>
      </sheetData>
      <sheetData sheetId="17"/>
      <sheetData sheetId="18"/>
      <sheetData sheetId="19">
        <row r="49">
          <cell r="H49" t="str">
            <v>Year 3</v>
          </cell>
        </row>
      </sheetData>
      <sheetData sheetId="20"/>
      <sheetData sheetId="21"/>
      <sheetData sheetId="22"/>
      <sheetData sheetId="23"/>
      <sheetData sheetId="24"/>
      <sheetData sheetId="25">
        <row r="49">
          <cell r="H49" t="str">
            <v>Year 3</v>
          </cell>
        </row>
      </sheetData>
      <sheetData sheetId="26">
        <row r="7">
          <cell r="AB7">
            <v>8</v>
          </cell>
        </row>
      </sheetData>
      <sheetData sheetId="27"/>
      <sheetData sheetId="28"/>
      <sheetData sheetId="29"/>
      <sheetData sheetId="30"/>
      <sheetData sheetId="31"/>
      <sheetData sheetId="32">
        <row r="7">
          <cell r="AB7">
            <v>8</v>
          </cell>
        </row>
      </sheetData>
      <sheetData sheetId="33"/>
      <sheetData sheetId="34"/>
      <sheetData sheetId="35">
        <row r="18">
          <cell r="B18" t="str">
            <v>Corporate</v>
          </cell>
        </row>
      </sheetData>
      <sheetData sheetId="36"/>
      <sheetData sheetId="37"/>
      <sheetData sheetId="38">
        <row r="49">
          <cell r="H49" t="str">
            <v>Year 3</v>
          </cell>
        </row>
      </sheetData>
      <sheetData sheetId="39"/>
      <sheetData sheetId="40"/>
      <sheetData sheetId="41">
        <row r="18">
          <cell r="B18" t="str">
            <v>Corporate</v>
          </cell>
        </row>
      </sheetData>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ow r="18">
          <cell r="B18"/>
        </row>
      </sheetData>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 DRG"/>
      <sheetName val="CMI&amp;VOL WORKSHEET"/>
      <sheetName val="CASE MIX"/>
      <sheetName val="ACUTE"/>
      <sheetName val="ACUTE-regroup "/>
      <sheetName val="NOTE"/>
      <sheetName val="Sheet2"/>
      <sheetName val="MONTH"/>
      <sheetName val="year to date"/>
      <sheetName val="summary"/>
      <sheetName val="comparison"/>
      <sheetName val="ACUTE (2)"/>
      <sheetName val="comm"/>
      <sheetName val="EXEMPT"/>
      <sheetName val="Managed Care schedule"/>
      <sheetName val="Comm-2"/>
      <sheetName val="stat-days"/>
      <sheetName val="stat-cases"/>
      <sheetName val="bx,aetna&amp;oxford"/>
      <sheetName val="Sheet3"/>
      <sheetName val="BOARD"/>
      <sheetName val="BUDGET BASE-2"/>
      <sheetName val="GME"/>
      <sheetName val="SHORT"/>
      <sheetName val="2004 Budget Rate"/>
      <sheetName val="BUDGET BASE"/>
      <sheetName val="2004 Budgeted CASES"/>
      <sheetName val="2004 Budgeted DAYS"/>
      <sheetName val="BUDGET 2004"/>
      <sheetName val="BUDGETSUM"/>
      <sheetName val="regroup"/>
      <sheetName val="YTD "/>
      <sheetName val="denial"/>
      <sheetName val="Sheet1"/>
      <sheetName val="pool"/>
      <sheetName val="BX INCREASE"/>
      <sheetName val="care-capital"/>
      <sheetName val="burn2004"/>
      <sheetName val="burn"/>
      <sheetName val="Drop Downs"/>
      <sheetName val="NEW_DRG"/>
      <sheetName val="CMI&amp;VOL_WORKSHEET"/>
      <sheetName val="CASE_MIX"/>
      <sheetName val="ACUTE-regroup_"/>
      <sheetName val="year_to_date"/>
      <sheetName val="ACUTE_(2)"/>
      <sheetName val="Managed_Care_schedule"/>
      <sheetName val="BUDGET_BASE-2"/>
      <sheetName val="2004_Budget_Rate"/>
      <sheetName val="BUDGET_BASE"/>
      <sheetName val="2004_Budgeted_CASES"/>
      <sheetName val="2004_Budgeted_DAYS"/>
      <sheetName val="BUDGET_2004"/>
      <sheetName val="YTD_"/>
      <sheetName val="BX_INCREASE"/>
      <sheetName val="Drop_Downs"/>
      <sheetName val="Data - Market Data"/>
      <sheetName val="Data - Signatories"/>
      <sheetName val="Data - Renewal References"/>
      <sheetName val="Inprev 8-2004"/>
    </sheetNames>
    <sheetDataSet>
      <sheetData sheetId="0" refreshError="1"/>
      <sheetData sheetId="1"/>
      <sheetData sheetId="2" refreshError="1"/>
      <sheetData sheetId="3"/>
      <sheetData sheetId="4"/>
      <sheetData sheetId="5"/>
      <sheetData sheetId="6" refreshError="1"/>
      <sheetData sheetId="7" refreshError="1"/>
      <sheetData sheetId="8" refreshError="1"/>
      <sheetData sheetId="9" refreshError="1"/>
      <sheetData sheetId="10"/>
      <sheetData sheetId="1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UTE"/>
      <sheetName val="NEW DRG"/>
      <sheetName val="CMI&amp;VOL WORKSHEET"/>
      <sheetName val="CASE MIX"/>
      <sheetName val="ACUTE-regroup "/>
      <sheetName val="NOTE"/>
      <sheetName val="Sheet2"/>
      <sheetName val="MONTH"/>
      <sheetName val="year to date"/>
      <sheetName val="summary"/>
      <sheetName val="comparison"/>
      <sheetName val="ACUTE (2)"/>
      <sheetName val="comm"/>
      <sheetName val="EXEMPT"/>
      <sheetName val="Managed Care schedule"/>
      <sheetName val="Comm-2"/>
      <sheetName val="stat-days"/>
      <sheetName val="stat-cases"/>
      <sheetName val="bx,aetna&amp;oxford"/>
      <sheetName val="Sheet3"/>
      <sheetName val="BOARD"/>
      <sheetName val="BUDGET BASE-2"/>
      <sheetName val="GME"/>
      <sheetName val="SHORT"/>
      <sheetName val="2004 Budget Rate"/>
      <sheetName val="BUDGET BASE"/>
      <sheetName val="2004 Budgeted CASES"/>
      <sheetName val="2004 Budgeted DAYS"/>
      <sheetName val="BUDGET 2004"/>
      <sheetName val="BUDGETSUM"/>
      <sheetName val="regroup"/>
      <sheetName val="YTD "/>
      <sheetName val="denial"/>
      <sheetName val="Sheet1"/>
      <sheetName val="pool"/>
      <sheetName val="BX INCREASE"/>
      <sheetName val="care-capital"/>
      <sheetName val="burn2004"/>
      <sheetName val="burn"/>
    </sheetNames>
    <sheetDataSet>
      <sheetData sheetId="0" refreshError="1"/>
      <sheetData sheetId="1"/>
      <sheetData sheetId="2" refreshError="1"/>
      <sheetData sheetId="3"/>
      <sheetData sheetId="4"/>
      <sheetData sheetId="5"/>
      <sheetData sheetId="6" refreshError="1"/>
      <sheetData sheetId="7" refreshError="1"/>
      <sheetData sheetId="8" refreshError="1"/>
      <sheetData sheetId="9" refreshError="1"/>
      <sheetData sheetId="10"/>
      <sheetData sheetId="1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sheetData sheetId="37" refreshError="1"/>
      <sheetData sheetId="38" refreshError="1"/>
    </sheetDataSet>
  </externalBook>
</externalLink>
</file>

<file path=xl/theme/theme1.xml><?xml version="1.0" encoding="utf-8"?>
<a:theme xmlns:a="http://schemas.openxmlformats.org/drawingml/2006/main" name="Office Theme 2007 - 2010">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1.bin"/><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8CB1E-1A5D-4476-8D46-B8E68E4153F0}">
  <sheetPr codeName="Sheet10">
    <tabColor theme="9" tint="0.39997558519241921"/>
  </sheetPr>
  <dimension ref="A1:Y1797"/>
  <sheetViews>
    <sheetView tabSelected="1" topLeftCell="G46" zoomScale="80" zoomScaleNormal="80" workbookViewId="0">
      <selection activeCell="R453" sqref="R453"/>
    </sheetView>
  </sheetViews>
  <sheetFormatPr defaultColWidth="9.140625" defaultRowHeight="15" x14ac:dyDescent="0.25"/>
  <cols>
    <col min="1" max="1" width="13.5703125" customWidth="1"/>
    <col min="2" max="2" width="4.140625" customWidth="1"/>
    <col min="3" max="3" width="9.140625" customWidth="1"/>
    <col min="4" max="4" width="16.5703125" customWidth="1"/>
    <col min="5" max="5" width="19.42578125" customWidth="1"/>
    <col min="6" max="6" width="17.85546875" customWidth="1"/>
    <col min="7" max="7" width="45.42578125" bestFit="1" customWidth="1" collapsed="1"/>
    <col min="8" max="8" width="38.5703125" bestFit="1" customWidth="1"/>
    <col min="9" max="9" width="15" bestFit="1" customWidth="1"/>
    <col min="10" max="11" width="22.140625" bestFit="1" customWidth="1"/>
    <col min="12" max="13" width="21.140625" bestFit="1" customWidth="1"/>
    <col min="14" max="14" width="20.85546875" customWidth="1"/>
    <col min="15" max="15" width="25.85546875" customWidth="1"/>
    <col min="16" max="17" width="22.85546875" customWidth="1"/>
    <col min="18" max="18" width="29.85546875" customWidth="1"/>
    <col min="19" max="19" width="16.85546875" bestFit="1" customWidth="1"/>
    <col min="20" max="20" width="20.85546875" bestFit="1" customWidth="1"/>
    <col min="21" max="21" width="11.140625" customWidth="1"/>
    <col min="22" max="22" width="15.5703125" bestFit="1" customWidth="1"/>
    <col min="23" max="23" width="17.28515625" customWidth="1"/>
    <col min="24" max="24" width="40.85546875" customWidth="1"/>
    <col min="25" max="25" width="9.140625" customWidth="1" collapsed="1"/>
  </cols>
  <sheetData>
    <row r="1" spans="1:24" x14ac:dyDescent="0.25">
      <c r="A1" t="s">
        <v>499</v>
      </c>
      <c r="B1" t="s">
        <v>500</v>
      </c>
      <c r="C1" t="s">
        <v>501</v>
      </c>
      <c r="D1" t="s">
        <v>502</v>
      </c>
      <c r="E1" t="s">
        <v>503</v>
      </c>
      <c r="F1" t="s">
        <v>504</v>
      </c>
      <c r="G1" t="s">
        <v>505</v>
      </c>
      <c r="H1" t="s">
        <v>506</v>
      </c>
      <c r="I1" t="s">
        <v>507</v>
      </c>
      <c r="J1" t="s">
        <v>508</v>
      </c>
      <c r="K1" t="s">
        <v>509</v>
      </c>
      <c r="L1" t="s">
        <v>510</v>
      </c>
      <c r="M1" t="s">
        <v>511</v>
      </c>
      <c r="N1" t="s">
        <v>512</v>
      </c>
      <c r="O1" t="s">
        <v>513</v>
      </c>
      <c r="P1" t="s">
        <v>514</v>
      </c>
      <c r="Q1" t="s">
        <v>515</v>
      </c>
      <c r="R1" t="s">
        <v>516</v>
      </c>
      <c r="S1" t="s">
        <v>517</v>
      </c>
      <c r="T1" t="s">
        <v>518</v>
      </c>
      <c r="U1" t="s">
        <v>519</v>
      </c>
      <c r="V1" t="s">
        <v>520</v>
      </c>
      <c r="W1" t="s">
        <v>521</v>
      </c>
      <c r="X1" t="s">
        <v>522</v>
      </c>
    </row>
    <row r="2" spans="1:24" collapsed="1" x14ac:dyDescent="0.25">
      <c r="A2" t="s">
        <v>458</v>
      </c>
      <c r="B2" t="s">
        <v>459</v>
      </c>
      <c r="C2" t="s">
        <v>476</v>
      </c>
      <c r="D2" t="s">
        <v>4</v>
      </c>
      <c r="E2" t="s">
        <v>5</v>
      </c>
      <c r="F2" t="s">
        <v>5</v>
      </c>
      <c r="G2" t="s">
        <v>156</v>
      </c>
    </row>
    <row r="3" spans="1:24" x14ac:dyDescent="0.25">
      <c r="A3" t="s">
        <v>458</v>
      </c>
      <c r="B3" t="s">
        <v>459</v>
      </c>
      <c r="C3" t="s">
        <v>476</v>
      </c>
      <c r="D3" t="s">
        <v>4</v>
      </c>
      <c r="E3" t="s">
        <v>6</v>
      </c>
      <c r="F3" t="s">
        <v>1</v>
      </c>
      <c r="G3" t="s">
        <v>157</v>
      </c>
      <c r="H3" t="s">
        <v>158</v>
      </c>
      <c r="I3" t="s">
        <v>1</v>
      </c>
      <c r="J3">
        <v>1288.31</v>
      </c>
      <c r="L3">
        <v>0</v>
      </c>
      <c r="M3">
        <v>0</v>
      </c>
      <c r="N3">
        <v>1288.31</v>
      </c>
      <c r="P3">
        <v>0</v>
      </c>
      <c r="Q3">
        <f t="shared" ref="Q3:Q38" si="0">O3+P3</f>
        <v>0</v>
      </c>
      <c r="R3">
        <v>0</v>
      </c>
      <c r="S3">
        <f t="shared" ref="S3:S38" si="1">IF(OR(LEFT(E3,2)="A_",LEFT(D3,5)="Total"),R3-Q3,"")</f>
        <v>0</v>
      </c>
      <c r="U3">
        <f t="shared" ref="U3:U38" si="2">IFERROR(R3*T3,R3*0)</f>
        <v>0</v>
      </c>
      <c r="V3">
        <f t="shared" ref="V3:V38" si="3">IF(OR(LEFT(E3,2)="A_",LEFT(D3,5)="Total"),R3+U3,"")</f>
        <v>0</v>
      </c>
      <c r="W3">
        <f t="shared" ref="W3:W38" si="4">IF(OR(LEFT(E3,2)="A_",LEFT(D3,5)="Total"),V3-Q3,"")</f>
        <v>0</v>
      </c>
      <c r="X3">
        <v>0</v>
      </c>
    </row>
    <row r="4" spans="1:24" x14ac:dyDescent="0.25">
      <c r="A4" t="s">
        <v>458</v>
      </c>
      <c r="B4" t="s">
        <v>459</v>
      </c>
      <c r="C4" t="s">
        <v>476</v>
      </c>
      <c r="D4" t="s">
        <v>4</v>
      </c>
      <c r="E4" t="s">
        <v>7</v>
      </c>
      <c r="F4" t="s">
        <v>1</v>
      </c>
      <c r="G4" t="s">
        <v>157</v>
      </c>
      <c r="H4" t="s">
        <v>159</v>
      </c>
      <c r="I4" t="s">
        <v>1</v>
      </c>
      <c r="J4">
        <v>35</v>
      </c>
      <c r="L4">
        <v>0</v>
      </c>
      <c r="M4">
        <v>0</v>
      </c>
      <c r="N4">
        <v>0</v>
      </c>
      <c r="P4">
        <v>0</v>
      </c>
      <c r="Q4">
        <f t="shared" si="0"/>
        <v>0</v>
      </c>
      <c r="R4">
        <v>0</v>
      </c>
      <c r="S4">
        <f t="shared" si="1"/>
        <v>0</v>
      </c>
      <c r="U4">
        <f t="shared" si="2"/>
        <v>0</v>
      </c>
      <c r="V4">
        <f t="shared" si="3"/>
        <v>0</v>
      </c>
      <c r="W4">
        <f t="shared" si="4"/>
        <v>0</v>
      </c>
      <c r="X4">
        <v>0</v>
      </c>
    </row>
    <row r="5" spans="1:24" x14ac:dyDescent="0.25">
      <c r="A5" t="s">
        <v>458</v>
      </c>
      <c r="B5" t="s">
        <v>459</v>
      </c>
      <c r="C5" t="s">
        <v>476</v>
      </c>
      <c r="D5" t="s">
        <v>4</v>
      </c>
      <c r="E5" t="s">
        <v>8</v>
      </c>
      <c r="F5" t="s">
        <v>1</v>
      </c>
      <c r="G5" t="s">
        <v>157</v>
      </c>
      <c r="H5" t="s">
        <v>160</v>
      </c>
      <c r="I5" t="s">
        <v>1</v>
      </c>
      <c r="J5">
        <v>3066.25</v>
      </c>
      <c r="L5">
        <v>0</v>
      </c>
      <c r="M5">
        <v>0</v>
      </c>
      <c r="N5">
        <v>0</v>
      </c>
      <c r="P5">
        <v>0</v>
      </c>
      <c r="Q5">
        <f t="shared" si="0"/>
        <v>0</v>
      </c>
      <c r="R5">
        <v>0</v>
      </c>
      <c r="S5">
        <f t="shared" si="1"/>
        <v>0</v>
      </c>
      <c r="U5">
        <f t="shared" si="2"/>
        <v>0</v>
      </c>
      <c r="V5">
        <f t="shared" si="3"/>
        <v>0</v>
      </c>
      <c r="W5">
        <f t="shared" si="4"/>
        <v>0</v>
      </c>
      <c r="X5">
        <v>0</v>
      </c>
    </row>
    <row r="6" spans="1:24" x14ac:dyDescent="0.25">
      <c r="A6" t="s">
        <v>458</v>
      </c>
      <c r="B6" t="s">
        <v>459</v>
      </c>
      <c r="C6" t="s">
        <v>476</v>
      </c>
      <c r="D6" t="s">
        <v>4</v>
      </c>
      <c r="E6" t="s">
        <v>9</v>
      </c>
      <c r="F6" t="s">
        <v>1</v>
      </c>
      <c r="G6" t="s">
        <v>157</v>
      </c>
      <c r="H6" t="s">
        <v>161</v>
      </c>
      <c r="I6" t="s">
        <v>1</v>
      </c>
      <c r="J6">
        <v>21614.240000000002</v>
      </c>
      <c r="K6">
        <v>18645</v>
      </c>
      <c r="L6">
        <v>7056.32</v>
      </c>
      <c r="M6">
        <v>14229.595580110497</v>
      </c>
      <c r="N6">
        <v>18312.440000000002</v>
      </c>
      <c r="O6">
        <v>14112.64</v>
      </c>
      <c r="P6">
        <v>0</v>
      </c>
      <c r="Q6">
        <f t="shared" si="0"/>
        <v>14112.64</v>
      </c>
      <c r="R6">
        <v>14112.64</v>
      </c>
      <c r="S6">
        <f t="shared" si="1"/>
        <v>0</v>
      </c>
      <c r="U6">
        <f t="shared" si="2"/>
        <v>0</v>
      </c>
      <c r="V6">
        <f t="shared" si="3"/>
        <v>14112.64</v>
      </c>
      <c r="W6">
        <f t="shared" si="4"/>
        <v>0</v>
      </c>
      <c r="X6" t="s">
        <v>347</v>
      </c>
    </row>
    <row r="7" spans="1:24" x14ac:dyDescent="0.25">
      <c r="A7" t="s">
        <v>458</v>
      </c>
      <c r="B7" t="s">
        <v>459</v>
      </c>
      <c r="C7" t="s">
        <v>476</v>
      </c>
      <c r="D7" t="s">
        <v>4</v>
      </c>
      <c r="E7" t="s">
        <v>10</v>
      </c>
      <c r="F7" t="s">
        <v>1</v>
      </c>
      <c r="G7" t="s">
        <v>157</v>
      </c>
      <c r="H7" t="s">
        <v>162</v>
      </c>
      <c r="I7" t="s">
        <v>1</v>
      </c>
      <c r="J7">
        <v>63</v>
      </c>
      <c r="L7">
        <v>1943.72</v>
      </c>
      <c r="M7">
        <v>3919.65635359116</v>
      </c>
      <c r="N7">
        <v>2006.72</v>
      </c>
      <c r="O7">
        <v>3887.44</v>
      </c>
      <c r="P7">
        <v>0</v>
      </c>
      <c r="Q7">
        <f t="shared" si="0"/>
        <v>3887.44</v>
      </c>
      <c r="R7">
        <v>3887.44</v>
      </c>
      <c r="S7">
        <f t="shared" si="1"/>
        <v>0</v>
      </c>
      <c r="U7">
        <f t="shared" si="2"/>
        <v>0</v>
      </c>
      <c r="V7">
        <f t="shared" si="3"/>
        <v>3887.44</v>
      </c>
      <c r="W7">
        <f t="shared" si="4"/>
        <v>0</v>
      </c>
      <c r="X7" t="s">
        <v>348</v>
      </c>
    </row>
    <row r="8" spans="1:24" x14ac:dyDescent="0.25">
      <c r="A8" t="s">
        <v>458</v>
      </c>
      <c r="B8" t="s">
        <v>459</v>
      </c>
      <c r="C8" t="s">
        <v>476</v>
      </c>
      <c r="D8" t="s">
        <v>4</v>
      </c>
      <c r="E8" t="s">
        <v>11</v>
      </c>
      <c r="F8" t="s">
        <v>1</v>
      </c>
      <c r="G8" t="s">
        <v>157</v>
      </c>
      <c r="H8" t="s">
        <v>163</v>
      </c>
      <c r="I8" t="s">
        <v>1</v>
      </c>
      <c r="J8">
        <v>179923.20000000001</v>
      </c>
      <c r="K8">
        <v>180000</v>
      </c>
      <c r="L8">
        <v>89766.55</v>
      </c>
      <c r="M8">
        <v>181020.94337016574</v>
      </c>
      <c r="N8">
        <v>179391.55</v>
      </c>
      <c r="O8">
        <v>179533.1</v>
      </c>
      <c r="P8">
        <v>0</v>
      </c>
      <c r="Q8">
        <f t="shared" si="0"/>
        <v>179533.1</v>
      </c>
      <c r="R8">
        <v>179256</v>
      </c>
      <c r="S8">
        <f t="shared" si="1"/>
        <v>-277.10000000000582</v>
      </c>
      <c r="U8">
        <f t="shared" si="2"/>
        <v>0</v>
      </c>
      <c r="V8">
        <f t="shared" si="3"/>
        <v>179256</v>
      </c>
      <c r="W8">
        <f t="shared" si="4"/>
        <v>-277.10000000000582</v>
      </c>
      <c r="X8" t="s">
        <v>349</v>
      </c>
    </row>
    <row r="9" spans="1:24" x14ac:dyDescent="0.25">
      <c r="A9" t="s">
        <v>458</v>
      </c>
      <c r="B9" t="s">
        <v>459</v>
      </c>
      <c r="C9" t="s">
        <v>476</v>
      </c>
      <c r="D9" t="s">
        <v>4</v>
      </c>
      <c r="E9" t="s">
        <v>12</v>
      </c>
      <c r="F9" t="s">
        <v>1</v>
      </c>
      <c r="G9" t="s">
        <v>157</v>
      </c>
      <c r="H9" t="s">
        <v>164</v>
      </c>
      <c r="I9" t="s">
        <v>1</v>
      </c>
      <c r="J9">
        <v>193.9</v>
      </c>
      <c r="L9">
        <v>0</v>
      </c>
      <c r="M9">
        <v>0</v>
      </c>
      <c r="N9">
        <v>193.9</v>
      </c>
      <c r="P9">
        <v>0</v>
      </c>
      <c r="Q9">
        <f t="shared" si="0"/>
        <v>0</v>
      </c>
      <c r="R9">
        <v>0</v>
      </c>
      <c r="S9">
        <f t="shared" si="1"/>
        <v>0</v>
      </c>
      <c r="T9">
        <v>3.2500000000000001E-2</v>
      </c>
      <c r="U9">
        <f t="shared" si="2"/>
        <v>0</v>
      </c>
      <c r="V9">
        <f t="shared" si="3"/>
        <v>0</v>
      </c>
      <c r="W9">
        <f t="shared" si="4"/>
        <v>0</v>
      </c>
      <c r="X9">
        <v>0</v>
      </c>
    </row>
    <row r="10" spans="1:24" x14ac:dyDescent="0.25">
      <c r="A10" t="s">
        <v>458</v>
      </c>
      <c r="B10" t="s">
        <v>459</v>
      </c>
      <c r="C10" t="s">
        <v>476</v>
      </c>
      <c r="D10" t="s">
        <v>4</v>
      </c>
      <c r="E10" t="s">
        <v>13</v>
      </c>
      <c r="F10" t="s">
        <v>1</v>
      </c>
      <c r="G10" t="s">
        <v>157</v>
      </c>
      <c r="H10" t="s">
        <v>165</v>
      </c>
      <c r="I10" t="s">
        <v>1</v>
      </c>
      <c r="J10">
        <v>5855.63</v>
      </c>
      <c r="K10">
        <v>7322.0991728394001</v>
      </c>
      <c r="L10">
        <v>-1031.25</v>
      </c>
      <c r="M10">
        <v>-2079.5925414364642</v>
      </c>
      <c r="N10">
        <v>4824.38</v>
      </c>
      <c r="O10">
        <v>-2073.8324175824</v>
      </c>
      <c r="P10">
        <v>0</v>
      </c>
      <c r="Q10">
        <f t="shared" si="0"/>
        <v>-2073.8324175824</v>
      </c>
      <c r="R10">
        <v>0</v>
      </c>
      <c r="S10">
        <f t="shared" si="1"/>
        <v>2073.8324175824</v>
      </c>
      <c r="T10">
        <v>0.02</v>
      </c>
      <c r="U10">
        <f t="shared" si="2"/>
        <v>0</v>
      </c>
      <c r="V10">
        <f t="shared" si="3"/>
        <v>0</v>
      </c>
      <c r="W10">
        <f t="shared" si="4"/>
        <v>2073.8324175824</v>
      </c>
      <c r="X10">
        <v>0</v>
      </c>
    </row>
    <row r="11" spans="1:24" x14ac:dyDescent="0.25">
      <c r="A11" t="s">
        <v>458</v>
      </c>
      <c r="B11" t="s">
        <v>459</v>
      </c>
      <c r="C11" t="s">
        <v>476</v>
      </c>
      <c r="D11" t="s">
        <v>4</v>
      </c>
      <c r="E11" t="s">
        <v>14</v>
      </c>
      <c r="F11" t="s">
        <v>1</v>
      </c>
      <c r="G11" t="s">
        <v>157</v>
      </c>
      <c r="H11" t="s">
        <v>166</v>
      </c>
      <c r="I11" t="s">
        <v>1</v>
      </c>
      <c r="J11">
        <v>234.28</v>
      </c>
      <c r="L11">
        <v>0</v>
      </c>
      <c r="M11">
        <v>0</v>
      </c>
      <c r="N11">
        <v>234.28</v>
      </c>
      <c r="P11">
        <v>0</v>
      </c>
      <c r="Q11">
        <f t="shared" si="0"/>
        <v>0</v>
      </c>
      <c r="R11">
        <v>0</v>
      </c>
      <c r="S11">
        <f t="shared" si="1"/>
        <v>0</v>
      </c>
      <c r="T11">
        <v>0.04</v>
      </c>
      <c r="U11">
        <f t="shared" si="2"/>
        <v>0</v>
      </c>
      <c r="V11">
        <f t="shared" si="3"/>
        <v>0</v>
      </c>
      <c r="W11">
        <f t="shared" si="4"/>
        <v>0</v>
      </c>
      <c r="X11">
        <v>0</v>
      </c>
    </row>
    <row r="12" spans="1:24" x14ac:dyDescent="0.25">
      <c r="A12" t="s">
        <v>458</v>
      </c>
      <c r="B12" t="s">
        <v>459</v>
      </c>
      <c r="C12" t="s">
        <v>476</v>
      </c>
      <c r="D12" t="s">
        <v>4</v>
      </c>
      <c r="E12" t="s">
        <v>15</v>
      </c>
      <c r="F12" t="s">
        <v>1</v>
      </c>
      <c r="G12" t="s">
        <v>157</v>
      </c>
      <c r="H12" t="s">
        <v>167</v>
      </c>
      <c r="I12" t="s">
        <v>1</v>
      </c>
      <c r="J12">
        <v>8.2799999999999994</v>
      </c>
      <c r="L12">
        <v>0</v>
      </c>
      <c r="M12">
        <v>0</v>
      </c>
      <c r="N12">
        <v>8.2799999999999994</v>
      </c>
      <c r="P12">
        <v>0</v>
      </c>
      <c r="Q12">
        <f t="shared" si="0"/>
        <v>0</v>
      </c>
      <c r="R12">
        <v>0</v>
      </c>
      <c r="S12">
        <f t="shared" si="1"/>
        <v>0</v>
      </c>
      <c r="T12">
        <v>3.5000000000000003E-2</v>
      </c>
      <c r="U12">
        <f t="shared" si="2"/>
        <v>0</v>
      </c>
      <c r="V12">
        <f t="shared" si="3"/>
        <v>0</v>
      </c>
      <c r="W12">
        <f t="shared" si="4"/>
        <v>0</v>
      </c>
      <c r="X12">
        <v>0</v>
      </c>
    </row>
    <row r="13" spans="1:24" x14ac:dyDescent="0.25">
      <c r="A13" t="s">
        <v>458</v>
      </c>
      <c r="B13" t="s">
        <v>459</v>
      </c>
      <c r="C13" t="s">
        <v>476</v>
      </c>
      <c r="D13" t="s">
        <v>4</v>
      </c>
      <c r="E13" t="s">
        <v>16</v>
      </c>
      <c r="F13" t="s">
        <v>1</v>
      </c>
      <c r="G13" t="s">
        <v>157</v>
      </c>
      <c r="H13" t="s">
        <v>168</v>
      </c>
      <c r="I13" t="s">
        <v>1</v>
      </c>
      <c r="J13">
        <v>10534.35</v>
      </c>
      <c r="K13">
        <v>10552.52</v>
      </c>
      <c r="L13">
        <v>2581.0700000000002</v>
      </c>
      <c r="M13">
        <v>5204.920165745857</v>
      </c>
      <c r="N13">
        <v>7367.2500000000009</v>
      </c>
      <c r="O13">
        <v>5204.9201657458998</v>
      </c>
      <c r="P13">
        <v>0</v>
      </c>
      <c r="Q13">
        <f t="shared" si="0"/>
        <v>5204.9201657458998</v>
      </c>
      <c r="R13">
        <v>5204.9201657458998</v>
      </c>
      <c r="S13">
        <f t="shared" si="1"/>
        <v>0</v>
      </c>
      <c r="T13">
        <v>0.03</v>
      </c>
      <c r="U13">
        <f t="shared" si="2"/>
        <v>156.147604972377</v>
      </c>
      <c r="V13">
        <f t="shared" si="3"/>
        <v>5361.0677707182767</v>
      </c>
      <c r="W13">
        <f t="shared" si="4"/>
        <v>156.14760497237694</v>
      </c>
      <c r="X13" t="s">
        <v>350</v>
      </c>
    </row>
    <row r="14" spans="1:24" x14ac:dyDescent="0.25">
      <c r="A14" t="s">
        <v>458</v>
      </c>
      <c r="B14" t="s">
        <v>459</v>
      </c>
      <c r="C14" t="s">
        <v>476</v>
      </c>
      <c r="D14" t="s">
        <v>4</v>
      </c>
      <c r="E14" t="s">
        <v>17</v>
      </c>
      <c r="F14" t="s">
        <v>1</v>
      </c>
      <c r="G14" t="s">
        <v>157</v>
      </c>
      <c r="H14" t="s">
        <v>169</v>
      </c>
      <c r="I14" t="s">
        <v>1</v>
      </c>
      <c r="J14">
        <v>22743.55</v>
      </c>
      <c r="K14">
        <v>8767.18</v>
      </c>
      <c r="L14">
        <v>-49269.08</v>
      </c>
      <c r="M14">
        <v>-99354.774585635372</v>
      </c>
      <c r="N14">
        <v>-37614.589999999997</v>
      </c>
      <c r="O14">
        <v>-99354.774585635401</v>
      </c>
      <c r="P14">
        <v>0</v>
      </c>
      <c r="Q14">
        <f t="shared" si="0"/>
        <v>-99354.774585635401</v>
      </c>
      <c r="R14">
        <v>5000</v>
      </c>
      <c r="S14">
        <f t="shared" si="1"/>
        <v>104354.7745856354</v>
      </c>
      <c r="T14">
        <v>3.5000000000000003E-2</v>
      </c>
      <c r="U14">
        <f t="shared" si="2"/>
        <v>175.00000000000003</v>
      </c>
      <c r="V14">
        <f t="shared" si="3"/>
        <v>5175</v>
      </c>
      <c r="W14">
        <f t="shared" si="4"/>
        <v>104529.7745856354</v>
      </c>
      <c r="X14" t="s">
        <v>351</v>
      </c>
    </row>
    <row r="15" spans="1:24" x14ac:dyDescent="0.25">
      <c r="A15" t="s">
        <v>458</v>
      </c>
      <c r="B15" t="s">
        <v>459</v>
      </c>
      <c r="C15" t="s">
        <v>476</v>
      </c>
      <c r="D15" t="s">
        <v>4</v>
      </c>
      <c r="E15" t="s">
        <v>18</v>
      </c>
      <c r="F15" t="s">
        <v>1</v>
      </c>
      <c r="G15" t="s">
        <v>157</v>
      </c>
      <c r="H15" t="s">
        <v>170</v>
      </c>
      <c r="I15" t="s">
        <v>1</v>
      </c>
      <c r="J15">
        <v>5120.2700000000004</v>
      </c>
      <c r="K15">
        <v>1627.02</v>
      </c>
      <c r="L15">
        <v>1082.51</v>
      </c>
      <c r="M15">
        <v>2182.9621546961325</v>
      </c>
      <c r="N15">
        <v>5416.7699999999995</v>
      </c>
      <c r="O15">
        <v>2182.9621546960998</v>
      </c>
      <c r="P15">
        <v>0</v>
      </c>
      <c r="Q15">
        <f t="shared" si="0"/>
        <v>2182.9621546960998</v>
      </c>
      <c r="R15">
        <v>2182.9621546960998</v>
      </c>
      <c r="S15">
        <f t="shared" si="1"/>
        <v>0</v>
      </c>
      <c r="T15">
        <v>3.5000000000000003E-2</v>
      </c>
      <c r="U15">
        <f t="shared" si="2"/>
        <v>76.403675414363505</v>
      </c>
      <c r="V15">
        <f t="shared" si="3"/>
        <v>2259.3658301104633</v>
      </c>
      <c r="W15">
        <f t="shared" si="4"/>
        <v>76.403675414363533</v>
      </c>
      <c r="X15">
        <v>0</v>
      </c>
    </row>
    <row r="16" spans="1:24" x14ac:dyDescent="0.25">
      <c r="A16" t="s">
        <v>458</v>
      </c>
      <c r="B16" t="s">
        <v>459</v>
      </c>
      <c r="C16" t="s">
        <v>476</v>
      </c>
      <c r="D16" t="s">
        <v>4</v>
      </c>
      <c r="E16" t="s">
        <v>19</v>
      </c>
      <c r="F16" t="s">
        <v>1</v>
      </c>
      <c r="G16" t="s">
        <v>157</v>
      </c>
      <c r="H16" t="s">
        <v>171</v>
      </c>
      <c r="I16" t="s">
        <v>1</v>
      </c>
      <c r="J16">
        <v>1410</v>
      </c>
      <c r="K16">
        <v>4500</v>
      </c>
      <c r="L16">
        <v>964</v>
      </c>
      <c r="M16">
        <v>1943.9779005524863</v>
      </c>
      <c r="N16">
        <v>1309</v>
      </c>
      <c r="O16">
        <v>1928</v>
      </c>
      <c r="P16">
        <v>0</v>
      </c>
      <c r="Q16">
        <f t="shared" si="0"/>
        <v>1928</v>
      </c>
      <c r="R16">
        <v>1928</v>
      </c>
      <c r="S16">
        <f t="shared" si="1"/>
        <v>0</v>
      </c>
      <c r="U16">
        <f t="shared" si="2"/>
        <v>0</v>
      </c>
      <c r="V16">
        <f t="shared" si="3"/>
        <v>1928</v>
      </c>
      <c r="W16">
        <f t="shared" si="4"/>
        <v>0</v>
      </c>
      <c r="X16" t="s">
        <v>352</v>
      </c>
    </row>
    <row r="17" spans="1:24" x14ac:dyDescent="0.25">
      <c r="A17" t="s">
        <v>458</v>
      </c>
      <c r="B17" t="s">
        <v>459</v>
      </c>
      <c r="C17" t="s">
        <v>476</v>
      </c>
      <c r="D17" t="s">
        <v>4</v>
      </c>
      <c r="E17" t="s">
        <v>20</v>
      </c>
      <c r="F17" t="s">
        <v>1</v>
      </c>
      <c r="G17" t="s">
        <v>157</v>
      </c>
      <c r="H17" t="s">
        <v>172</v>
      </c>
      <c r="I17" t="s">
        <v>1</v>
      </c>
      <c r="J17">
        <v>4068.11</v>
      </c>
      <c r="K17">
        <v>1632</v>
      </c>
      <c r="L17">
        <v>1707.94</v>
      </c>
      <c r="M17">
        <v>3444.1883977900552</v>
      </c>
      <c r="N17">
        <v>4070.65</v>
      </c>
      <c r="O17">
        <v>3415.88</v>
      </c>
      <c r="P17">
        <v>0</v>
      </c>
      <c r="Q17">
        <f t="shared" si="0"/>
        <v>3415.88</v>
      </c>
      <c r="R17">
        <v>1000</v>
      </c>
      <c r="S17">
        <f t="shared" si="1"/>
        <v>-2415.88</v>
      </c>
      <c r="U17">
        <f t="shared" si="2"/>
        <v>0</v>
      </c>
      <c r="V17">
        <f t="shared" si="3"/>
        <v>1000</v>
      </c>
      <c r="W17">
        <f t="shared" si="4"/>
        <v>-2415.88</v>
      </c>
      <c r="X17" t="s">
        <v>353</v>
      </c>
    </row>
    <row r="18" spans="1:24" x14ac:dyDescent="0.25">
      <c r="A18" t="s">
        <v>458</v>
      </c>
      <c r="B18" t="s">
        <v>459</v>
      </c>
      <c r="C18" t="s">
        <v>476</v>
      </c>
      <c r="D18" t="s">
        <v>4</v>
      </c>
      <c r="E18" t="s">
        <v>21</v>
      </c>
      <c r="F18" t="s">
        <v>1</v>
      </c>
      <c r="G18" t="s">
        <v>157</v>
      </c>
      <c r="H18" t="s">
        <v>173</v>
      </c>
      <c r="I18" t="s">
        <v>1</v>
      </c>
      <c r="J18">
        <v>2041.24</v>
      </c>
      <c r="K18">
        <v>1550.0000000004</v>
      </c>
      <c r="L18">
        <v>0</v>
      </c>
      <c r="M18">
        <v>0</v>
      </c>
      <c r="N18">
        <v>491.24</v>
      </c>
      <c r="P18">
        <v>0</v>
      </c>
      <c r="Q18">
        <f t="shared" si="0"/>
        <v>0</v>
      </c>
      <c r="R18">
        <v>0</v>
      </c>
      <c r="S18">
        <f t="shared" si="1"/>
        <v>0</v>
      </c>
      <c r="U18">
        <f t="shared" si="2"/>
        <v>0</v>
      </c>
      <c r="V18">
        <f t="shared" si="3"/>
        <v>0</v>
      </c>
      <c r="W18">
        <f t="shared" si="4"/>
        <v>0</v>
      </c>
      <c r="X18">
        <v>0</v>
      </c>
    </row>
    <row r="19" spans="1:24" x14ac:dyDescent="0.25">
      <c r="A19" t="s">
        <v>458</v>
      </c>
      <c r="B19" t="s">
        <v>459</v>
      </c>
      <c r="C19" t="s">
        <v>476</v>
      </c>
      <c r="D19" t="s">
        <v>4</v>
      </c>
      <c r="E19" t="s">
        <v>22</v>
      </c>
      <c r="F19" t="s">
        <v>1</v>
      </c>
      <c r="G19" t="s">
        <v>157</v>
      </c>
      <c r="H19" t="s">
        <v>174</v>
      </c>
      <c r="I19" t="s">
        <v>1</v>
      </c>
      <c r="J19">
        <v>25083.26</v>
      </c>
      <c r="K19">
        <v>1408.9899999996001</v>
      </c>
      <c r="L19">
        <v>12137.4</v>
      </c>
      <c r="M19">
        <v>24475.972375690606</v>
      </c>
      <c r="N19">
        <v>36509.550000000003</v>
      </c>
      <c r="O19">
        <v>24274.799999999999</v>
      </c>
      <c r="P19">
        <v>0</v>
      </c>
      <c r="Q19">
        <f t="shared" si="0"/>
        <v>24274.799999999999</v>
      </c>
      <c r="R19">
        <v>10000</v>
      </c>
      <c r="S19">
        <f t="shared" si="1"/>
        <v>-14274.8</v>
      </c>
      <c r="U19">
        <f t="shared" si="2"/>
        <v>0</v>
      </c>
      <c r="V19">
        <f t="shared" si="3"/>
        <v>10000</v>
      </c>
      <c r="W19">
        <f t="shared" si="4"/>
        <v>-14274.8</v>
      </c>
      <c r="X19">
        <v>0</v>
      </c>
    </row>
    <row r="20" spans="1:24" x14ac:dyDescent="0.25">
      <c r="A20" t="s">
        <v>458</v>
      </c>
      <c r="B20" t="s">
        <v>459</v>
      </c>
      <c r="C20" t="s">
        <v>476</v>
      </c>
      <c r="D20" t="s">
        <v>4</v>
      </c>
      <c r="E20" t="s">
        <v>23</v>
      </c>
      <c r="F20" t="s">
        <v>1</v>
      </c>
      <c r="G20" t="s">
        <v>157</v>
      </c>
      <c r="H20" t="s">
        <v>175</v>
      </c>
      <c r="I20" t="s">
        <v>1</v>
      </c>
      <c r="J20">
        <v>18881.939999999999</v>
      </c>
      <c r="K20">
        <v>2499.9996000000001</v>
      </c>
      <c r="L20">
        <v>7899.29</v>
      </c>
      <c r="M20">
        <v>15929.507458563538</v>
      </c>
      <c r="N20">
        <v>18719.280000000002</v>
      </c>
      <c r="O20">
        <v>15798.58</v>
      </c>
      <c r="P20">
        <v>0</v>
      </c>
      <c r="Q20">
        <f t="shared" si="0"/>
        <v>15798.58</v>
      </c>
      <c r="R20">
        <v>0</v>
      </c>
      <c r="S20">
        <f t="shared" si="1"/>
        <v>-15798.58</v>
      </c>
      <c r="U20">
        <f t="shared" si="2"/>
        <v>0</v>
      </c>
      <c r="V20">
        <f t="shared" si="3"/>
        <v>0</v>
      </c>
      <c r="W20">
        <f t="shared" si="4"/>
        <v>-15798.58</v>
      </c>
      <c r="X20" t="s">
        <v>354</v>
      </c>
    </row>
    <row r="21" spans="1:24" x14ac:dyDescent="0.25">
      <c r="A21" t="s">
        <v>458</v>
      </c>
      <c r="B21" t="s">
        <v>459</v>
      </c>
      <c r="C21" t="s">
        <v>476</v>
      </c>
      <c r="D21" t="s">
        <v>4</v>
      </c>
      <c r="E21" t="s">
        <v>24</v>
      </c>
      <c r="F21" t="s">
        <v>1</v>
      </c>
      <c r="G21" t="s">
        <v>157</v>
      </c>
      <c r="H21" t="s">
        <v>176</v>
      </c>
      <c r="I21" t="s">
        <v>1</v>
      </c>
      <c r="J21">
        <v>111788.62</v>
      </c>
      <c r="K21">
        <v>130082</v>
      </c>
      <c r="L21">
        <v>41175.919999999998</v>
      </c>
      <c r="M21">
        <v>83034.313812154694</v>
      </c>
      <c r="N21">
        <v>-7378.79</v>
      </c>
      <c r="O21">
        <v>82351.839999999997</v>
      </c>
      <c r="P21">
        <v>0</v>
      </c>
      <c r="Q21">
        <f t="shared" si="0"/>
        <v>82351.839999999997</v>
      </c>
      <c r="R21">
        <v>82300</v>
      </c>
      <c r="S21">
        <f t="shared" si="1"/>
        <v>-51.839999999996508</v>
      </c>
      <c r="U21">
        <f t="shared" si="2"/>
        <v>0</v>
      </c>
      <c r="V21">
        <f t="shared" si="3"/>
        <v>82300</v>
      </c>
      <c r="W21">
        <f t="shared" si="4"/>
        <v>-51.839999999996508</v>
      </c>
      <c r="X21" t="s">
        <v>355</v>
      </c>
    </row>
    <row r="22" spans="1:24" x14ac:dyDescent="0.25">
      <c r="A22" t="s">
        <v>458</v>
      </c>
      <c r="B22" t="s">
        <v>459</v>
      </c>
      <c r="C22" t="s">
        <v>476</v>
      </c>
      <c r="D22" t="s">
        <v>4</v>
      </c>
      <c r="E22" t="s">
        <v>25</v>
      </c>
      <c r="F22" t="s">
        <v>1</v>
      </c>
      <c r="G22" t="s">
        <v>157</v>
      </c>
      <c r="H22" t="s">
        <v>177</v>
      </c>
      <c r="I22" t="s">
        <v>1</v>
      </c>
      <c r="J22">
        <v>50785.5</v>
      </c>
      <c r="L22">
        <v>588</v>
      </c>
      <c r="M22">
        <v>1185.7458563535913</v>
      </c>
      <c r="N22">
        <v>588</v>
      </c>
      <c r="O22">
        <v>1176</v>
      </c>
      <c r="P22">
        <v>0</v>
      </c>
      <c r="Q22">
        <f t="shared" si="0"/>
        <v>1176</v>
      </c>
      <c r="R22">
        <v>15000</v>
      </c>
      <c r="S22">
        <f t="shared" si="1"/>
        <v>13824</v>
      </c>
      <c r="U22">
        <f t="shared" si="2"/>
        <v>0</v>
      </c>
      <c r="V22">
        <f t="shared" si="3"/>
        <v>15000</v>
      </c>
      <c r="W22">
        <f t="shared" si="4"/>
        <v>13824</v>
      </c>
      <c r="X22" t="s">
        <v>356</v>
      </c>
    </row>
    <row r="23" spans="1:24" x14ac:dyDescent="0.25">
      <c r="A23" t="s">
        <v>458</v>
      </c>
      <c r="B23" t="s">
        <v>459</v>
      </c>
      <c r="C23" t="s">
        <v>476</v>
      </c>
      <c r="D23" t="s">
        <v>4</v>
      </c>
      <c r="E23" t="s">
        <v>26</v>
      </c>
      <c r="F23" t="s">
        <v>1</v>
      </c>
      <c r="G23" t="s">
        <v>157</v>
      </c>
      <c r="H23" t="s">
        <v>178</v>
      </c>
      <c r="I23" t="s">
        <v>1</v>
      </c>
      <c r="J23">
        <v>68250</v>
      </c>
      <c r="K23">
        <v>122000</v>
      </c>
      <c r="L23">
        <v>51418.02</v>
      </c>
      <c r="M23">
        <v>103688.27237569061</v>
      </c>
      <c r="N23">
        <v>22668.019999999997</v>
      </c>
      <c r="O23">
        <v>102836.04</v>
      </c>
      <c r="P23">
        <v>0</v>
      </c>
      <c r="Q23">
        <f t="shared" si="0"/>
        <v>102836.04</v>
      </c>
      <c r="R23">
        <v>75000</v>
      </c>
      <c r="S23">
        <f t="shared" si="1"/>
        <v>-27836.039999999994</v>
      </c>
      <c r="U23">
        <f t="shared" si="2"/>
        <v>0</v>
      </c>
      <c r="V23">
        <f t="shared" si="3"/>
        <v>75000</v>
      </c>
      <c r="W23">
        <f t="shared" si="4"/>
        <v>-27836.039999999994</v>
      </c>
      <c r="X23" t="s">
        <v>357</v>
      </c>
    </row>
    <row r="24" spans="1:24" x14ac:dyDescent="0.25">
      <c r="A24" t="s">
        <v>458</v>
      </c>
      <c r="B24" t="s">
        <v>459</v>
      </c>
      <c r="C24" t="s">
        <v>476</v>
      </c>
      <c r="D24" t="s">
        <v>4</v>
      </c>
      <c r="E24" t="s">
        <v>27</v>
      </c>
      <c r="F24" t="s">
        <v>1</v>
      </c>
      <c r="G24" t="s">
        <v>157</v>
      </c>
      <c r="H24" t="s">
        <v>179</v>
      </c>
      <c r="I24" t="s">
        <v>1</v>
      </c>
      <c r="J24">
        <v>41632.42</v>
      </c>
      <c r="K24">
        <v>50949.999600000003</v>
      </c>
      <c r="L24">
        <v>17139.900000000001</v>
      </c>
      <c r="M24">
        <v>34563.886740331494</v>
      </c>
      <c r="N24">
        <v>42386.270000000004</v>
      </c>
      <c r="O24">
        <v>34279.800000000003</v>
      </c>
      <c r="P24">
        <v>0</v>
      </c>
      <c r="Q24">
        <f t="shared" si="0"/>
        <v>34279.800000000003</v>
      </c>
      <c r="R24">
        <v>44062</v>
      </c>
      <c r="S24">
        <f t="shared" si="1"/>
        <v>9782.1999999999971</v>
      </c>
      <c r="U24">
        <f t="shared" si="2"/>
        <v>0</v>
      </c>
      <c r="V24">
        <f t="shared" si="3"/>
        <v>44062</v>
      </c>
      <c r="W24">
        <f t="shared" si="4"/>
        <v>9782.1999999999971</v>
      </c>
      <c r="X24" t="s">
        <v>358</v>
      </c>
    </row>
    <row r="25" spans="1:24" x14ac:dyDescent="0.25">
      <c r="A25" t="s">
        <v>458</v>
      </c>
      <c r="B25" t="s">
        <v>459</v>
      </c>
      <c r="C25" t="s">
        <v>476</v>
      </c>
      <c r="D25" t="s">
        <v>4</v>
      </c>
      <c r="E25" t="s">
        <v>28</v>
      </c>
      <c r="F25" t="s">
        <v>1</v>
      </c>
      <c r="G25" t="s">
        <v>157</v>
      </c>
      <c r="H25" t="s">
        <v>180</v>
      </c>
      <c r="I25" t="s">
        <v>1</v>
      </c>
      <c r="J25">
        <v>13144.7</v>
      </c>
      <c r="K25">
        <v>18000</v>
      </c>
      <c r="L25">
        <v>1875.58</v>
      </c>
      <c r="M25">
        <v>3782.2469613259668</v>
      </c>
      <c r="N25">
        <v>2928.1800000000003</v>
      </c>
      <c r="O25">
        <v>3751.16</v>
      </c>
      <c r="P25">
        <v>0</v>
      </c>
      <c r="Q25">
        <f t="shared" si="0"/>
        <v>3751.16</v>
      </c>
      <c r="R25">
        <v>3500</v>
      </c>
      <c r="S25">
        <f t="shared" si="1"/>
        <v>-251.15999999999985</v>
      </c>
      <c r="U25">
        <f t="shared" si="2"/>
        <v>0</v>
      </c>
      <c r="V25">
        <f t="shared" si="3"/>
        <v>3500</v>
      </c>
      <c r="W25">
        <f t="shared" si="4"/>
        <v>-251.15999999999985</v>
      </c>
      <c r="X25">
        <v>0</v>
      </c>
    </row>
    <row r="26" spans="1:24" x14ac:dyDescent="0.25">
      <c r="A26" t="s">
        <v>458</v>
      </c>
      <c r="B26" t="s">
        <v>459</v>
      </c>
      <c r="C26" t="s">
        <v>476</v>
      </c>
      <c r="D26" t="s">
        <v>4</v>
      </c>
      <c r="E26" t="s">
        <v>29</v>
      </c>
      <c r="F26" t="s">
        <v>1</v>
      </c>
      <c r="G26" t="s">
        <v>157</v>
      </c>
      <c r="H26" t="s">
        <v>181</v>
      </c>
      <c r="I26" t="s">
        <v>1</v>
      </c>
      <c r="J26">
        <v>6855.53</v>
      </c>
      <c r="K26">
        <v>6650.0000000004002</v>
      </c>
      <c r="L26">
        <v>2356.3200000000002</v>
      </c>
      <c r="M26">
        <v>4751.6950276243097</v>
      </c>
      <c r="N26">
        <v>6888.93</v>
      </c>
      <c r="O26">
        <v>4712.6400000000003</v>
      </c>
      <c r="P26">
        <v>0</v>
      </c>
      <c r="Q26">
        <f t="shared" si="0"/>
        <v>4712.6400000000003</v>
      </c>
      <c r="R26">
        <v>5000</v>
      </c>
      <c r="S26">
        <f t="shared" si="1"/>
        <v>287.35999999999967</v>
      </c>
      <c r="U26">
        <f t="shared" si="2"/>
        <v>0</v>
      </c>
      <c r="V26">
        <f t="shared" si="3"/>
        <v>5000</v>
      </c>
      <c r="W26">
        <f t="shared" si="4"/>
        <v>287.35999999999967</v>
      </c>
      <c r="X26">
        <v>0</v>
      </c>
    </row>
    <row r="27" spans="1:24" x14ac:dyDescent="0.25">
      <c r="A27" t="s">
        <v>458</v>
      </c>
      <c r="B27" t="s">
        <v>459</v>
      </c>
      <c r="C27" t="s">
        <v>476</v>
      </c>
      <c r="D27" t="s">
        <v>4</v>
      </c>
      <c r="E27" t="s">
        <v>30</v>
      </c>
      <c r="F27" t="s">
        <v>1</v>
      </c>
      <c r="G27" t="s">
        <v>157</v>
      </c>
      <c r="H27" t="s">
        <v>182</v>
      </c>
      <c r="I27" t="s">
        <v>1</v>
      </c>
      <c r="J27">
        <v>464.36</v>
      </c>
      <c r="L27">
        <v>547.20000000000005</v>
      </c>
      <c r="M27">
        <v>1103.4696132596687</v>
      </c>
      <c r="N27">
        <v>779.38000000000011</v>
      </c>
      <c r="O27">
        <v>1094.4000000000001</v>
      </c>
      <c r="P27">
        <v>0</v>
      </c>
      <c r="Q27">
        <f t="shared" si="0"/>
        <v>1094.4000000000001</v>
      </c>
      <c r="R27">
        <v>1094.4000000000001</v>
      </c>
      <c r="S27">
        <f t="shared" si="1"/>
        <v>0</v>
      </c>
      <c r="T27">
        <v>0.03</v>
      </c>
      <c r="U27">
        <f t="shared" si="2"/>
        <v>32.832000000000001</v>
      </c>
      <c r="V27">
        <f t="shared" si="3"/>
        <v>1127.2320000000002</v>
      </c>
      <c r="W27">
        <f t="shared" si="4"/>
        <v>32.832000000000107</v>
      </c>
      <c r="X27" t="s">
        <v>359</v>
      </c>
    </row>
    <row r="28" spans="1:24" x14ac:dyDescent="0.25">
      <c r="A28" t="s">
        <v>458</v>
      </c>
      <c r="B28" t="s">
        <v>459</v>
      </c>
      <c r="C28" t="s">
        <v>476</v>
      </c>
      <c r="D28" t="s">
        <v>4</v>
      </c>
      <c r="E28" t="s">
        <v>31</v>
      </c>
      <c r="F28" t="s">
        <v>1</v>
      </c>
      <c r="G28" t="s">
        <v>157</v>
      </c>
      <c r="H28" t="s">
        <v>183</v>
      </c>
      <c r="I28" t="s">
        <v>1</v>
      </c>
      <c r="J28">
        <v>18803.400000000001</v>
      </c>
      <c r="K28">
        <v>14592.530000000401</v>
      </c>
      <c r="L28">
        <v>0</v>
      </c>
      <c r="M28">
        <v>0</v>
      </c>
      <c r="N28">
        <v>9401.7000000000007</v>
      </c>
      <c r="P28">
        <v>0</v>
      </c>
      <c r="Q28">
        <f t="shared" si="0"/>
        <v>0</v>
      </c>
      <c r="R28">
        <v>0</v>
      </c>
      <c r="S28">
        <f t="shared" si="1"/>
        <v>0</v>
      </c>
      <c r="T28">
        <v>0.03</v>
      </c>
      <c r="U28">
        <f t="shared" si="2"/>
        <v>0</v>
      </c>
      <c r="V28">
        <f t="shared" si="3"/>
        <v>0</v>
      </c>
      <c r="W28">
        <f t="shared" si="4"/>
        <v>0</v>
      </c>
      <c r="X28">
        <v>0</v>
      </c>
    </row>
    <row r="29" spans="1:24" x14ac:dyDescent="0.25">
      <c r="A29" t="s">
        <v>458</v>
      </c>
      <c r="B29" t="s">
        <v>459</v>
      </c>
      <c r="C29" t="s">
        <v>476</v>
      </c>
      <c r="D29" t="s">
        <v>4</v>
      </c>
      <c r="E29" t="s">
        <v>32</v>
      </c>
      <c r="F29" t="s">
        <v>1</v>
      </c>
      <c r="G29" t="s">
        <v>157</v>
      </c>
      <c r="H29" t="s">
        <v>184</v>
      </c>
      <c r="I29" t="s">
        <v>1</v>
      </c>
      <c r="J29">
        <v>485.65</v>
      </c>
      <c r="L29">
        <v>478.53</v>
      </c>
      <c r="M29">
        <v>964.99143646408834</v>
      </c>
      <c r="N29">
        <v>758.33999999999992</v>
      </c>
      <c r="O29">
        <v>957.06</v>
      </c>
      <c r="P29">
        <v>0</v>
      </c>
      <c r="Q29">
        <f t="shared" si="0"/>
        <v>957.06</v>
      </c>
      <c r="R29">
        <v>500</v>
      </c>
      <c r="S29">
        <f t="shared" si="1"/>
        <v>-457.05999999999995</v>
      </c>
      <c r="T29">
        <v>0.03</v>
      </c>
      <c r="U29">
        <f t="shared" si="2"/>
        <v>15</v>
      </c>
      <c r="V29">
        <f t="shared" si="3"/>
        <v>515</v>
      </c>
      <c r="W29">
        <f t="shared" si="4"/>
        <v>-442.05999999999995</v>
      </c>
      <c r="X29">
        <v>0</v>
      </c>
    </row>
    <row r="30" spans="1:24" x14ac:dyDescent="0.25">
      <c r="A30" t="s">
        <v>458</v>
      </c>
      <c r="B30" t="s">
        <v>459</v>
      </c>
      <c r="C30" t="s">
        <v>476</v>
      </c>
      <c r="D30" t="s">
        <v>4</v>
      </c>
      <c r="E30" t="s">
        <v>33</v>
      </c>
      <c r="F30" t="s">
        <v>1</v>
      </c>
      <c r="G30" t="s">
        <v>157</v>
      </c>
      <c r="H30" t="s">
        <v>185</v>
      </c>
      <c r="I30" t="s">
        <v>1</v>
      </c>
      <c r="J30">
        <v>1743.3</v>
      </c>
      <c r="K30">
        <v>1686.9999999996</v>
      </c>
      <c r="L30">
        <v>948.47</v>
      </c>
      <c r="M30">
        <v>1912.6604972375692</v>
      </c>
      <c r="N30">
        <v>948.47</v>
      </c>
      <c r="O30">
        <v>1896.94</v>
      </c>
      <c r="P30">
        <v>0</v>
      </c>
      <c r="Q30">
        <f t="shared" si="0"/>
        <v>1896.94</v>
      </c>
      <c r="R30">
        <v>1900</v>
      </c>
      <c r="S30">
        <f t="shared" si="1"/>
        <v>3.0599999999999454</v>
      </c>
      <c r="T30">
        <v>0.03</v>
      </c>
      <c r="U30">
        <f t="shared" si="2"/>
        <v>57</v>
      </c>
      <c r="V30">
        <f t="shared" si="3"/>
        <v>1957</v>
      </c>
      <c r="W30">
        <f t="shared" si="4"/>
        <v>60.059999999999945</v>
      </c>
      <c r="X30" t="s">
        <v>360</v>
      </c>
    </row>
    <row r="31" spans="1:24" x14ac:dyDescent="0.25">
      <c r="A31" t="s">
        <v>458</v>
      </c>
      <c r="B31" t="s">
        <v>459</v>
      </c>
      <c r="C31" t="s">
        <v>476</v>
      </c>
      <c r="D31" t="s">
        <v>4</v>
      </c>
      <c r="E31" t="s">
        <v>34</v>
      </c>
      <c r="F31" t="s">
        <v>1</v>
      </c>
      <c r="G31" t="s">
        <v>157</v>
      </c>
      <c r="H31" t="s">
        <v>186</v>
      </c>
      <c r="I31" t="s">
        <v>1</v>
      </c>
      <c r="J31">
        <v>259.74</v>
      </c>
      <c r="L31">
        <v>346.32</v>
      </c>
      <c r="M31">
        <v>698.38011049723764</v>
      </c>
      <c r="N31">
        <v>606.05999999999995</v>
      </c>
      <c r="O31">
        <v>692.64</v>
      </c>
      <c r="P31">
        <v>0</v>
      </c>
      <c r="Q31">
        <f t="shared" si="0"/>
        <v>692.64</v>
      </c>
      <c r="R31">
        <v>300</v>
      </c>
      <c r="S31">
        <f t="shared" si="1"/>
        <v>-392.64</v>
      </c>
      <c r="T31">
        <v>0.03</v>
      </c>
      <c r="U31">
        <f t="shared" si="2"/>
        <v>9</v>
      </c>
      <c r="V31">
        <f t="shared" si="3"/>
        <v>309</v>
      </c>
      <c r="W31">
        <f t="shared" si="4"/>
        <v>-383.64</v>
      </c>
      <c r="X31">
        <v>0</v>
      </c>
    </row>
    <row r="32" spans="1:24" x14ac:dyDescent="0.25">
      <c r="A32" t="s">
        <v>458</v>
      </c>
      <c r="B32" t="s">
        <v>459</v>
      </c>
      <c r="C32" t="s">
        <v>476</v>
      </c>
      <c r="D32" t="s">
        <v>4</v>
      </c>
      <c r="E32" t="s">
        <v>35</v>
      </c>
      <c r="F32" t="s">
        <v>1</v>
      </c>
      <c r="G32" t="s">
        <v>157</v>
      </c>
      <c r="H32" t="s">
        <v>187</v>
      </c>
      <c r="I32" t="s">
        <v>1</v>
      </c>
      <c r="J32">
        <v>465</v>
      </c>
      <c r="L32">
        <v>0</v>
      </c>
      <c r="M32">
        <v>0</v>
      </c>
      <c r="N32">
        <v>465</v>
      </c>
      <c r="P32">
        <v>0</v>
      </c>
      <c r="Q32">
        <f t="shared" si="0"/>
        <v>0</v>
      </c>
      <c r="R32">
        <v>0</v>
      </c>
      <c r="S32">
        <f t="shared" si="1"/>
        <v>0</v>
      </c>
      <c r="T32">
        <v>0.03</v>
      </c>
      <c r="U32">
        <f t="shared" si="2"/>
        <v>0</v>
      </c>
      <c r="V32">
        <f t="shared" si="3"/>
        <v>0</v>
      </c>
      <c r="W32">
        <f t="shared" si="4"/>
        <v>0</v>
      </c>
      <c r="X32">
        <v>0</v>
      </c>
    </row>
    <row r="33" spans="1:24" x14ac:dyDescent="0.25">
      <c r="A33" t="s">
        <v>458</v>
      </c>
      <c r="B33" t="s">
        <v>459</v>
      </c>
      <c r="C33" t="s">
        <v>476</v>
      </c>
      <c r="D33" t="s">
        <v>4</v>
      </c>
      <c r="E33" t="s">
        <v>36</v>
      </c>
      <c r="F33" t="s">
        <v>1</v>
      </c>
      <c r="G33" t="s">
        <v>157</v>
      </c>
      <c r="H33" t="s">
        <v>188</v>
      </c>
      <c r="I33" t="s">
        <v>1</v>
      </c>
      <c r="J33">
        <v>18989.36</v>
      </c>
      <c r="K33">
        <v>9218.0000000004002</v>
      </c>
      <c r="L33">
        <v>7167.54</v>
      </c>
      <c r="M33">
        <v>14453.879005524863</v>
      </c>
      <c r="N33">
        <v>21585.83</v>
      </c>
      <c r="O33">
        <v>14335.08</v>
      </c>
      <c r="P33">
        <v>0</v>
      </c>
      <c r="Q33">
        <f t="shared" si="0"/>
        <v>14335.08</v>
      </c>
      <c r="R33">
        <v>0</v>
      </c>
      <c r="S33">
        <f t="shared" si="1"/>
        <v>-14335.08</v>
      </c>
      <c r="T33">
        <v>0.03</v>
      </c>
      <c r="U33">
        <f t="shared" si="2"/>
        <v>0</v>
      </c>
      <c r="V33">
        <f t="shared" si="3"/>
        <v>0</v>
      </c>
      <c r="W33">
        <f t="shared" si="4"/>
        <v>-14335.08</v>
      </c>
      <c r="X33" t="s">
        <v>361</v>
      </c>
    </row>
    <row r="34" spans="1:24" x14ac:dyDescent="0.25">
      <c r="A34" t="s">
        <v>458</v>
      </c>
      <c r="B34" t="s">
        <v>459</v>
      </c>
      <c r="C34" t="s">
        <v>476</v>
      </c>
      <c r="D34" t="s">
        <v>4</v>
      </c>
      <c r="E34" t="s">
        <v>37</v>
      </c>
      <c r="F34" t="s">
        <v>1</v>
      </c>
      <c r="G34" t="s">
        <v>157</v>
      </c>
      <c r="H34" t="s">
        <v>189</v>
      </c>
      <c r="I34" t="s">
        <v>1</v>
      </c>
      <c r="J34">
        <v>6070.3</v>
      </c>
      <c r="L34">
        <v>180</v>
      </c>
      <c r="M34">
        <v>362.98342541436466</v>
      </c>
      <c r="N34">
        <v>3250.3</v>
      </c>
      <c r="O34">
        <v>360</v>
      </c>
      <c r="P34">
        <v>0</v>
      </c>
      <c r="Q34">
        <f t="shared" si="0"/>
        <v>360</v>
      </c>
      <c r="R34">
        <v>10273</v>
      </c>
      <c r="S34">
        <f t="shared" si="1"/>
        <v>9913</v>
      </c>
      <c r="T34">
        <v>0.03</v>
      </c>
      <c r="U34">
        <f t="shared" si="2"/>
        <v>308.19</v>
      </c>
      <c r="V34">
        <f t="shared" si="3"/>
        <v>10581.19</v>
      </c>
      <c r="W34">
        <f t="shared" si="4"/>
        <v>10221.19</v>
      </c>
      <c r="X34" t="s">
        <v>362</v>
      </c>
    </row>
    <row r="35" spans="1:24" x14ac:dyDescent="0.25">
      <c r="A35" t="s">
        <v>458</v>
      </c>
      <c r="B35" t="s">
        <v>459</v>
      </c>
      <c r="C35" t="s">
        <v>476</v>
      </c>
      <c r="D35" t="s">
        <v>4</v>
      </c>
      <c r="E35" t="s">
        <v>38</v>
      </c>
      <c r="F35" t="s">
        <v>1</v>
      </c>
      <c r="G35" t="s">
        <v>157</v>
      </c>
      <c r="H35" t="s">
        <v>190</v>
      </c>
      <c r="I35" t="s">
        <v>1</v>
      </c>
      <c r="J35">
        <v>790.77</v>
      </c>
      <c r="K35">
        <v>500.00000000040001</v>
      </c>
      <c r="L35">
        <v>1094.49</v>
      </c>
      <c r="M35">
        <v>2207.1207182320441</v>
      </c>
      <c r="N35">
        <v>1771.2300000000002</v>
      </c>
      <c r="O35">
        <v>2188.98</v>
      </c>
      <c r="P35">
        <v>0</v>
      </c>
      <c r="Q35">
        <f t="shared" si="0"/>
        <v>2188.98</v>
      </c>
      <c r="R35">
        <v>2188.98</v>
      </c>
      <c r="S35">
        <f t="shared" si="1"/>
        <v>0</v>
      </c>
      <c r="T35">
        <v>0.03</v>
      </c>
      <c r="U35">
        <f t="shared" si="2"/>
        <v>65.669399999999996</v>
      </c>
      <c r="V35">
        <f t="shared" si="3"/>
        <v>2254.6494000000002</v>
      </c>
      <c r="W35">
        <f t="shared" si="4"/>
        <v>65.669400000000223</v>
      </c>
      <c r="X35">
        <v>0</v>
      </c>
    </row>
    <row r="36" spans="1:24" x14ac:dyDescent="0.25">
      <c r="A36" t="s">
        <v>458</v>
      </c>
      <c r="B36" t="s">
        <v>459</v>
      </c>
      <c r="C36" t="s">
        <v>476</v>
      </c>
      <c r="D36" t="s">
        <v>4</v>
      </c>
      <c r="E36" t="s">
        <v>39</v>
      </c>
      <c r="F36" t="s">
        <v>1</v>
      </c>
      <c r="G36" t="s">
        <v>157</v>
      </c>
      <c r="H36" t="s">
        <v>191</v>
      </c>
      <c r="I36" t="s">
        <v>1</v>
      </c>
      <c r="J36">
        <v>180417.17</v>
      </c>
      <c r="K36">
        <v>0.24999999989813701</v>
      </c>
      <c r="L36">
        <v>3000</v>
      </c>
      <c r="M36">
        <v>6049.7237569060781</v>
      </c>
      <c r="N36">
        <v>99501.91</v>
      </c>
      <c r="O36">
        <v>6000</v>
      </c>
      <c r="P36">
        <v>0</v>
      </c>
      <c r="Q36">
        <f t="shared" si="0"/>
        <v>6000</v>
      </c>
      <c r="R36">
        <v>6000</v>
      </c>
      <c r="S36">
        <f t="shared" si="1"/>
        <v>0</v>
      </c>
      <c r="T36">
        <v>0.03</v>
      </c>
      <c r="U36">
        <f t="shared" si="2"/>
        <v>180</v>
      </c>
      <c r="V36">
        <f t="shared" si="3"/>
        <v>6180</v>
      </c>
      <c r="W36">
        <f t="shared" si="4"/>
        <v>180</v>
      </c>
      <c r="X36" t="s">
        <v>363</v>
      </c>
    </row>
    <row r="37" spans="1:24" x14ac:dyDescent="0.25">
      <c r="A37" t="s">
        <v>458</v>
      </c>
      <c r="B37" t="s">
        <v>459</v>
      </c>
      <c r="C37" t="s">
        <v>476</v>
      </c>
      <c r="D37" t="s">
        <v>4</v>
      </c>
      <c r="E37" t="s">
        <v>40</v>
      </c>
      <c r="F37" t="s">
        <v>1</v>
      </c>
      <c r="G37" t="s">
        <v>157</v>
      </c>
      <c r="H37" t="s">
        <v>192</v>
      </c>
      <c r="I37" t="s">
        <v>1</v>
      </c>
      <c r="J37">
        <v>-7800</v>
      </c>
      <c r="L37">
        <v>390.31</v>
      </c>
      <c r="M37">
        <v>787.08922651933699</v>
      </c>
      <c r="N37">
        <v>390.31</v>
      </c>
      <c r="O37">
        <v>780.62</v>
      </c>
      <c r="P37">
        <v>0</v>
      </c>
      <c r="Q37">
        <f t="shared" si="0"/>
        <v>780.62</v>
      </c>
      <c r="R37">
        <v>0</v>
      </c>
      <c r="S37">
        <f t="shared" si="1"/>
        <v>-780.62</v>
      </c>
      <c r="T37">
        <v>0.03</v>
      </c>
      <c r="U37">
        <f t="shared" si="2"/>
        <v>0</v>
      </c>
      <c r="V37">
        <f t="shared" si="3"/>
        <v>0</v>
      </c>
      <c r="W37">
        <f t="shared" si="4"/>
        <v>-780.62</v>
      </c>
      <c r="X37">
        <v>0</v>
      </c>
    </row>
    <row r="38" spans="1:24" x14ac:dyDescent="0.25">
      <c r="A38" t="s">
        <v>458</v>
      </c>
      <c r="B38" t="s">
        <v>459</v>
      </c>
      <c r="C38" t="s">
        <v>476</v>
      </c>
      <c r="D38" t="s">
        <v>4</v>
      </c>
      <c r="E38" t="s">
        <v>41</v>
      </c>
      <c r="F38" t="s">
        <v>1</v>
      </c>
      <c r="G38" t="s">
        <v>157</v>
      </c>
      <c r="H38" t="s">
        <v>193</v>
      </c>
      <c r="I38" t="s">
        <v>1</v>
      </c>
      <c r="J38">
        <v>7064.56</v>
      </c>
      <c r="K38">
        <v>6052.0000000001</v>
      </c>
      <c r="L38">
        <v>19012.400000000001</v>
      </c>
      <c r="M38">
        <v>38339.922651933703</v>
      </c>
      <c r="N38">
        <v>23051.119999999999</v>
      </c>
      <c r="O38">
        <v>38339.922651933703</v>
      </c>
      <c r="P38">
        <v>0</v>
      </c>
      <c r="Q38">
        <f t="shared" si="0"/>
        <v>38339.922651933703</v>
      </c>
      <c r="R38">
        <v>23004</v>
      </c>
      <c r="S38">
        <f t="shared" si="1"/>
        <v>-15335.922651933703</v>
      </c>
      <c r="U38">
        <f t="shared" si="2"/>
        <v>0</v>
      </c>
      <c r="V38">
        <f t="shared" si="3"/>
        <v>23004</v>
      </c>
      <c r="W38">
        <f t="shared" si="4"/>
        <v>-15335.922651933703</v>
      </c>
      <c r="X38" t="s">
        <v>364</v>
      </c>
    </row>
    <row r="39" spans="1:24" x14ac:dyDescent="0.25">
      <c r="A39" t="s">
        <v>458</v>
      </c>
      <c r="B39" t="s">
        <v>459</v>
      </c>
      <c r="C39" t="s">
        <v>476</v>
      </c>
      <c r="D39" t="s">
        <v>4</v>
      </c>
      <c r="E39" t="s">
        <v>42</v>
      </c>
      <c r="F39" t="s">
        <v>42</v>
      </c>
      <c r="G39" t="s">
        <v>194</v>
      </c>
      <c r="J39">
        <v>822375.19000000018</v>
      </c>
      <c r="K39">
        <v>598236.58837284043</v>
      </c>
      <c r="L39">
        <v>222557.47</v>
      </c>
      <c r="M39">
        <v>448803.73784530384</v>
      </c>
      <c r="N39">
        <v>473119.26999999996</v>
      </c>
      <c r="O39">
        <v>444662.83796915784</v>
      </c>
      <c r="P39">
        <f>SUMIF($F$2:$F$38,"&lt;&gt;EV_*",$P$2:$P$38)</f>
        <v>0</v>
      </c>
      <c r="Q39">
        <f>SUMIF($F$2:$F$38,"&lt;&gt;EV_*",$Q$2:$Q$38)</f>
        <v>444662.83796915784</v>
      </c>
      <c r="R39">
        <f>SUMIF($F$2:$F$38,"&lt;&gt;EV_*",$R$2:$R$38)</f>
        <v>492694.34232044197</v>
      </c>
      <c r="S39">
        <f>SUMIF($F$2:$F$38,"&lt;&gt;EV_*",$S$2:$S$38)</f>
        <v>48031.504351284078</v>
      </c>
      <c r="T39">
        <v>0</v>
      </c>
      <c r="U39">
        <f>SUMIF($F$2:$F$38,"&lt;&gt;EV_*",$U$2:$U$38)</f>
        <v>1075.2426803867406</v>
      </c>
      <c r="V39">
        <f>SUMIF($F$2:$F$38,"&lt;&gt;EV_*",$V$2:$V$38)</f>
        <v>493769.58500082872</v>
      </c>
      <c r="W39">
        <f>SUMIF($F$2:$F$38,"&lt;&gt;EV_*",$W$2:$W$38)</f>
        <v>49106.74703167082</v>
      </c>
      <c r="X39">
        <f>SUMIF($F$2:$F$38,"&lt;&gt;EV_*",$X$2:$X$38)</f>
        <v>0</v>
      </c>
    </row>
    <row r="40" spans="1:24" x14ac:dyDescent="0.25">
      <c r="A40" t="s">
        <v>460</v>
      </c>
      <c r="B40" t="s">
        <v>460</v>
      </c>
      <c r="C40" t="s">
        <v>477</v>
      </c>
      <c r="D40" t="s">
        <v>43</v>
      </c>
      <c r="E40" t="s">
        <v>5</v>
      </c>
      <c r="F40" t="s">
        <v>5</v>
      </c>
      <c r="G40" t="s">
        <v>195</v>
      </c>
    </row>
    <row r="41" spans="1:24" x14ac:dyDescent="0.25">
      <c r="A41" t="s">
        <v>460</v>
      </c>
      <c r="B41" t="s">
        <v>460</v>
      </c>
      <c r="C41" t="s">
        <v>477</v>
      </c>
      <c r="D41" t="s">
        <v>43</v>
      </c>
      <c r="E41" t="s">
        <v>10</v>
      </c>
      <c r="F41" t="s">
        <v>1</v>
      </c>
      <c r="G41" t="s">
        <v>196</v>
      </c>
      <c r="H41" t="s">
        <v>162</v>
      </c>
      <c r="I41" t="s">
        <v>1</v>
      </c>
      <c r="K41">
        <v>1589.0000000004</v>
      </c>
      <c r="L41">
        <v>0</v>
      </c>
      <c r="M41">
        <v>0</v>
      </c>
      <c r="N41">
        <v>0</v>
      </c>
      <c r="P41">
        <v>0</v>
      </c>
      <c r="Q41">
        <f t="shared" ref="Q41:Q65" si="5">O41+P41</f>
        <v>0</v>
      </c>
      <c r="R41">
        <v>1589.0000000004</v>
      </c>
      <c r="S41">
        <f t="shared" ref="S41:S65" si="6">IF(OR(LEFT(E41,2)="A_",LEFT(D41,5)="Total"),R41-Q41,"")</f>
        <v>1589.0000000004</v>
      </c>
      <c r="U41">
        <f t="shared" ref="U41:U65" si="7">IFERROR(R41*T41,R41*0)</f>
        <v>0</v>
      </c>
      <c r="V41">
        <f t="shared" ref="V41:V65" si="8">IF(OR(LEFT(E41,2)="A_",LEFT(D41,5)="Total"),R41+U41,"")</f>
        <v>1589.0000000004</v>
      </c>
      <c r="W41">
        <f t="shared" ref="W41:W65" si="9">IF(OR(LEFT(E41,2)="A_",LEFT(D41,5)="Total"),V41-Q41,"")</f>
        <v>1589.0000000004</v>
      </c>
      <c r="X41">
        <v>0</v>
      </c>
    </row>
    <row r="42" spans="1:24" x14ac:dyDescent="0.25">
      <c r="A42" t="s">
        <v>460</v>
      </c>
      <c r="B42" t="s">
        <v>460</v>
      </c>
      <c r="C42" t="s">
        <v>477</v>
      </c>
      <c r="D42" t="s">
        <v>43</v>
      </c>
      <c r="E42" t="s">
        <v>11</v>
      </c>
      <c r="F42" t="s">
        <v>1</v>
      </c>
      <c r="G42" t="s">
        <v>196</v>
      </c>
      <c r="H42" t="s">
        <v>163</v>
      </c>
      <c r="I42" t="s">
        <v>1</v>
      </c>
      <c r="L42">
        <v>141.52000000000001</v>
      </c>
      <c r="M42">
        <v>285.38563535911607</v>
      </c>
      <c r="N42">
        <v>141.52000000000001</v>
      </c>
      <c r="O42">
        <v>283.04000000000002</v>
      </c>
      <c r="P42">
        <v>0</v>
      </c>
      <c r="Q42">
        <f t="shared" si="5"/>
        <v>283.04000000000002</v>
      </c>
      <c r="R42">
        <v>283.04000000000002</v>
      </c>
      <c r="S42">
        <f t="shared" si="6"/>
        <v>0</v>
      </c>
      <c r="U42">
        <f t="shared" si="7"/>
        <v>0</v>
      </c>
      <c r="V42">
        <f t="shared" si="8"/>
        <v>283.04000000000002</v>
      </c>
      <c r="W42">
        <f t="shared" si="9"/>
        <v>0</v>
      </c>
      <c r="X42" t="s">
        <v>365</v>
      </c>
    </row>
    <row r="43" spans="1:24" x14ac:dyDescent="0.25">
      <c r="A43" t="s">
        <v>460</v>
      </c>
      <c r="B43" t="s">
        <v>460</v>
      </c>
      <c r="C43" t="s">
        <v>477</v>
      </c>
      <c r="D43" t="s">
        <v>43</v>
      </c>
      <c r="E43" t="s">
        <v>44</v>
      </c>
      <c r="F43" t="s">
        <v>1</v>
      </c>
      <c r="G43" t="s">
        <v>196</v>
      </c>
      <c r="H43" t="s">
        <v>197</v>
      </c>
      <c r="I43" t="s">
        <v>1</v>
      </c>
      <c r="J43">
        <v>-422.86</v>
      </c>
      <c r="L43">
        <v>0</v>
      </c>
      <c r="M43">
        <v>0</v>
      </c>
      <c r="N43">
        <v>-170.85999999999999</v>
      </c>
      <c r="P43">
        <v>0</v>
      </c>
      <c r="Q43">
        <f t="shared" si="5"/>
        <v>0</v>
      </c>
      <c r="R43">
        <v>0</v>
      </c>
      <c r="S43">
        <f t="shared" si="6"/>
        <v>0</v>
      </c>
      <c r="U43">
        <f t="shared" si="7"/>
        <v>0</v>
      </c>
      <c r="V43">
        <f t="shared" si="8"/>
        <v>0</v>
      </c>
      <c r="W43">
        <f t="shared" si="9"/>
        <v>0</v>
      </c>
      <c r="X43">
        <v>0</v>
      </c>
    </row>
    <row r="44" spans="1:24" x14ac:dyDescent="0.25">
      <c r="A44" t="s">
        <v>460</v>
      </c>
      <c r="B44" t="s">
        <v>460</v>
      </c>
      <c r="C44" t="s">
        <v>477</v>
      </c>
      <c r="D44" t="s">
        <v>43</v>
      </c>
      <c r="E44" t="s">
        <v>12</v>
      </c>
      <c r="F44" t="s">
        <v>1</v>
      </c>
      <c r="G44" t="s">
        <v>196</v>
      </c>
      <c r="H44" t="s">
        <v>164</v>
      </c>
      <c r="I44" t="s">
        <v>1</v>
      </c>
      <c r="J44">
        <v>102.8</v>
      </c>
      <c r="L44">
        <v>0</v>
      </c>
      <c r="M44">
        <v>0</v>
      </c>
      <c r="N44">
        <v>0</v>
      </c>
      <c r="P44">
        <v>0</v>
      </c>
      <c r="Q44">
        <f t="shared" si="5"/>
        <v>0</v>
      </c>
      <c r="R44">
        <v>0</v>
      </c>
      <c r="S44">
        <f t="shared" si="6"/>
        <v>0</v>
      </c>
      <c r="T44">
        <v>3.2500000000000001E-2</v>
      </c>
      <c r="U44">
        <f t="shared" si="7"/>
        <v>0</v>
      </c>
      <c r="V44">
        <f t="shared" si="8"/>
        <v>0</v>
      </c>
      <c r="W44">
        <f t="shared" si="9"/>
        <v>0</v>
      </c>
      <c r="X44" t="s">
        <v>366</v>
      </c>
    </row>
    <row r="45" spans="1:24" x14ac:dyDescent="0.25">
      <c r="A45" t="s">
        <v>460</v>
      </c>
      <c r="B45" t="s">
        <v>460</v>
      </c>
      <c r="C45" t="s">
        <v>477</v>
      </c>
      <c r="D45" t="s">
        <v>43</v>
      </c>
      <c r="E45" t="s">
        <v>13</v>
      </c>
      <c r="F45" t="s">
        <v>1</v>
      </c>
      <c r="G45" t="s">
        <v>196</v>
      </c>
      <c r="H45" t="s">
        <v>165</v>
      </c>
      <c r="I45" t="s">
        <v>1</v>
      </c>
      <c r="J45">
        <v>4801.32</v>
      </c>
      <c r="K45">
        <v>-1.1333335E-3</v>
      </c>
      <c r="L45">
        <v>0</v>
      </c>
      <c r="M45">
        <v>0</v>
      </c>
      <c r="N45">
        <v>-798.20000000000073</v>
      </c>
      <c r="P45">
        <v>0</v>
      </c>
      <c r="Q45">
        <f t="shared" si="5"/>
        <v>0</v>
      </c>
      <c r="R45">
        <v>0</v>
      </c>
      <c r="S45">
        <f t="shared" si="6"/>
        <v>0</v>
      </c>
      <c r="T45">
        <v>0.02</v>
      </c>
      <c r="U45">
        <f t="shared" si="7"/>
        <v>0</v>
      </c>
      <c r="V45">
        <f t="shared" si="8"/>
        <v>0</v>
      </c>
      <c r="W45">
        <f t="shared" si="9"/>
        <v>0</v>
      </c>
      <c r="X45" t="s">
        <v>366</v>
      </c>
    </row>
    <row r="46" spans="1:24" x14ac:dyDescent="0.25">
      <c r="A46" t="s">
        <v>460</v>
      </c>
      <c r="B46" t="s">
        <v>460</v>
      </c>
      <c r="C46" t="s">
        <v>477</v>
      </c>
      <c r="D46" t="s">
        <v>43</v>
      </c>
      <c r="E46" t="s">
        <v>45</v>
      </c>
      <c r="F46" t="s">
        <v>1</v>
      </c>
      <c r="G46" t="s">
        <v>196</v>
      </c>
      <c r="H46" t="s">
        <v>198</v>
      </c>
      <c r="I46" t="s">
        <v>1</v>
      </c>
      <c r="J46">
        <v>3190.32</v>
      </c>
      <c r="K46">
        <v>4959.7659999998004</v>
      </c>
      <c r="L46">
        <v>0</v>
      </c>
      <c r="M46">
        <v>0</v>
      </c>
      <c r="N46">
        <v>0</v>
      </c>
      <c r="P46">
        <v>0</v>
      </c>
      <c r="Q46">
        <f t="shared" si="5"/>
        <v>0</v>
      </c>
      <c r="R46">
        <v>0</v>
      </c>
      <c r="S46">
        <f t="shared" si="6"/>
        <v>0</v>
      </c>
      <c r="T46">
        <v>3.5000000000000003E-2</v>
      </c>
      <c r="U46">
        <f t="shared" si="7"/>
        <v>0</v>
      </c>
      <c r="V46">
        <f t="shared" si="8"/>
        <v>0</v>
      </c>
      <c r="W46">
        <f t="shared" si="9"/>
        <v>0</v>
      </c>
      <c r="X46" t="s">
        <v>366</v>
      </c>
    </row>
    <row r="47" spans="1:24" x14ac:dyDescent="0.25">
      <c r="A47" t="s">
        <v>460</v>
      </c>
      <c r="B47" t="s">
        <v>460</v>
      </c>
      <c r="C47" t="s">
        <v>477</v>
      </c>
      <c r="D47" t="s">
        <v>43</v>
      </c>
      <c r="E47" t="s">
        <v>15</v>
      </c>
      <c r="F47" t="s">
        <v>1</v>
      </c>
      <c r="G47" t="s">
        <v>196</v>
      </c>
      <c r="H47" t="s">
        <v>167</v>
      </c>
      <c r="I47" t="s">
        <v>1</v>
      </c>
      <c r="J47">
        <v>303.54000000000002</v>
      </c>
      <c r="L47">
        <v>0</v>
      </c>
      <c r="M47">
        <v>0</v>
      </c>
      <c r="N47">
        <v>0</v>
      </c>
      <c r="P47">
        <v>0</v>
      </c>
      <c r="Q47">
        <f t="shared" si="5"/>
        <v>0</v>
      </c>
      <c r="R47">
        <v>0</v>
      </c>
      <c r="S47">
        <f t="shared" si="6"/>
        <v>0</v>
      </c>
      <c r="T47">
        <v>3.5000000000000003E-2</v>
      </c>
      <c r="U47">
        <f t="shared" si="7"/>
        <v>0</v>
      </c>
      <c r="V47">
        <f t="shared" si="8"/>
        <v>0</v>
      </c>
      <c r="W47">
        <f t="shared" si="9"/>
        <v>0</v>
      </c>
      <c r="X47" t="s">
        <v>366</v>
      </c>
    </row>
    <row r="48" spans="1:24" x14ac:dyDescent="0.25">
      <c r="A48" t="s">
        <v>460</v>
      </c>
      <c r="B48" t="s">
        <v>460</v>
      </c>
      <c r="C48" t="s">
        <v>477</v>
      </c>
      <c r="D48" t="s">
        <v>43</v>
      </c>
      <c r="E48" t="s">
        <v>46</v>
      </c>
      <c r="F48" t="s">
        <v>1</v>
      </c>
      <c r="G48" t="s">
        <v>196</v>
      </c>
      <c r="H48" t="s">
        <v>199</v>
      </c>
      <c r="I48" t="s">
        <v>1</v>
      </c>
      <c r="J48">
        <v>85800</v>
      </c>
      <c r="K48">
        <v>163023.56756756699</v>
      </c>
      <c r="L48">
        <v>0</v>
      </c>
      <c r="M48">
        <v>0</v>
      </c>
      <c r="N48">
        <v>85800</v>
      </c>
      <c r="P48">
        <v>0</v>
      </c>
      <c r="Q48">
        <f t="shared" si="5"/>
        <v>0</v>
      </c>
      <c r="R48">
        <v>0</v>
      </c>
      <c r="S48">
        <f t="shared" si="6"/>
        <v>0</v>
      </c>
      <c r="T48">
        <v>0.02</v>
      </c>
      <c r="U48">
        <f t="shared" si="7"/>
        <v>0</v>
      </c>
      <c r="V48">
        <f t="shared" si="8"/>
        <v>0</v>
      </c>
      <c r="W48">
        <f t="shared" si="9"/>
        <v>0</v>
      </c>
      <c r="X48" t="s">
        <v>366</v>
      </c>
    </row>
    <row r="49" spans="1:24" x14ac:dyDescent="0.25">
      <c r="A49" t="s">
        <v>460</v>
      </c>
      <c r="B49" t="s">
        <v>460</v>
      </c>
      <c r="C49" t="s">
        <v>477</v>
      </c>
      <c r="D49" t="s">
        <v>43</v>
      </c>
      <c r="E49" t="s">
        <v>47</v>
      </c>
      <c r="F49" t="s">
        <v>1</v>
      </c>
      <c r="G49" t="s">
        <v>196</v>
      </c>
      <c r="H49" t="s">
        <v>200</v>
      </c>
      <c r="I49" t="s">
        <v>1</v>
      </c>
      <c r="J49">
        <v>903.64</v>
      </c>
      <c r="K49">
        <v>-7.5555570000000001E-4</v>
      </c>
      <c r="L49">
        <v>1500</v>
      </c>
      <c r="M49">
        <v>3024.861878453039</v>
      </c>
      <c r="N49">
        <v>0</v>
      </c>
      <c r="O49">
        <v>3016.4835164834999</v>
      </c>
      <c r="P49">
        <v>0</v>
      </c>
      <c r="Q49">
        <f t="shared" si="5"/>
        <v>3016.4835164834999</v>
      </c>
      <c r="R49">
        <v>0</v>
      </c>
      <c r="S49">
        <f t="shared" si="6"/>
        <v>-3016.4835164834999</v>
      </c>
      <c r="T49">
        <v>0.02</v>
      </c>
      <c r="U49">
        <f t="shared" si="7"/>
        <v>0</v>
      </c>
      <c r="V49">
        <f t="shared" si="8"/>
        <v>0</v>
      </c>
      <c r="W49">
        <f t="shared" si="9"/>
        <v>-3016.4835164834999</v>
      </c>
      <c r="X49" t="s">
        <v>366</v>
      </c>
    </row>
    <row r="50" spans="1:24" x14ac:dyDescent="0.25">
      <c r="A50" t="s">
        <v>460</v>
      </c>
      <c r="B50" t="s">
        <v>460</v>
      </c>
      <c r="C50" t="s">
        <v>477</v>
      </c>
      <c r="D50" t="s">
        <v>43</v>
      </c>
      <c r="E50" t="s">
        <v>48</v>
      </c>
      <c r="F50" t="s">
        <v>1</v>
      </c>
      <c r="G50" t="s">
        <v>196</v>
      </c>
      <c r="H50" t="s">
        <v>201</v>
      </c>
      <c r="I50" t="s">
        <v>1</v>
      </c>
      <c r="J50">
        <v>47090.48</v>
      </c>
      <c r="K50">
        <v>354527.73258378397</v>
      </c>
      <c r="L50">
        <v>10928</v>
      </c>
      <c r="M50">
        <v>22037.127071823204</v>
      </c>
      <c r="N50">
        <v>58018</v>
      </c>
      <c r="O50">
        <v>21976.0879120879</v>
      </c>
      <c r="P50">
        <v>0</v>
      </c>
      <c r="Q50">
        <f t="shared" si="5"/>
        <v>21976.0879120879</v>
      </c>
      <c r="R50">
        <v>0</v>
      </c>
      <c r="S50">
        <f t="shared" si="6"/>
        <v>-21976.0879120879</v>
      </c>
      <c r="T50">
        <v>1.4999999999999999E-2</v>
      </c>
      <c r="U50">
        <f t="shared" si="7"/>
        <v>0</v>
      </c>
      <c r="V50">
        <f t="shared" si="8"/>
        <v>0</v>
      </c>
      <c r="W50">
        <f t="shared" si="9"/>
        <v>-21976.0879120879</v>
      </c>
      <c r="X50" t="s">
        <v>366</v>
      </c>
    </row>
    <row r="51" spans="1:24" x14ac:dyDescent="0.25">
      <c r="A51" t="s">
        <v>460</v>
      </c>
      <c r="B51" t="s">
        <v>460</v>
      </c>
      <c r="C51" t="s">
        <v>477</v>
      </c>
      <c r="D51" t="s">
        <v>43</v>
      </c>
      <c r="E51" t="s">
        <v>49</v>
      </c>
      <c r="F51" t="s">
        <v>1</v>
      </c>
      <c r="G51" t="s">
        <v>196</v>
      </c>
      <c r="H51" t="s">
        <v>202</v>
      </c>
      <c r="I51" t="s">
        <v>1</v>
      </c>
      <c r="J51">
        <v>95834.37</v>
      </c>
      <c r="K51">
        <v>502205.97915675701</v>
      </c>
      <c r="L51">
        <v>25021.8</v>
      </c>
      <c r="M51">
        <v>50458.325966850825</v>
      </c>
      <c r="N51">
        <v>120856.6</v>
      </c>
      <c r="O51">
        <v>50318.564835164798</v>
      </c>
      <c r="P51">
        <v>0</v>
      </c>
      <c r="Q51">
        <f t="shared" si="5"/>
        <v>50318.564835164798</v>
      </c>
      <c r="R51">
        <v>0</v>
      </c>
      <c r="S51">
        <f t="shared" si="6"/>
        <v>-50318.564835164798</v>
      </c>
      <c r="T51">
        <v>0.03</v>
      </c>
      <c r="U51">
        <f t="shared" si="7"/>
        <v>0</v>
      </c>
      <c r="V51">
        <f t="shared" si="8"/>
        <v>0</v>
      </c>
      <c r="W51">
        <f t="shared" si="9"/>
        <v>-50318.564835164798</v>
      </c>
      <c r="X51" t="s">
        <v>366</v>
      </c>
    </row>
    <row r="52" spans="1:24" x14ac:dyDescent="0.25">
      <c r="A52" t="s">
        <v>460</v>
      </c>
      <c r="B52" t="s">
        <v>460</v>
      </c>
      <c r="C52" t="s">
        <v>477</v>
      </c>
      <c r="D52" t="s">
        <v>43</v>
      </c>
      <c r="E52" t="s">
        <v>50</v>
      </c>
      <c r="F52" t="s">
        <v>1</v>
      </c>
      <c r="G52" t="s">
        <v>196</v>
      </c>
      <c r="H52" t="s">
        <v>203</v>
      </c>
      <c r="I52" t="s">
        <v>1</v>
      </c>
      <c r="J52">
        <v>1094.18</v>
      </c>
      <c r="K52">
        <v>1680.5006306584</v>
      </c>
      <c r="L52">
        <v>0</v>
      </c>
      <c r="M52">
        <v>0</v>
      </c>
      <c r="N52">
        <v>0</v>
      </c>
      <c r="P52">
        <v>0</v>
      </c>
      <c r="Q52">
        <f t="shared" si="5"/>
        <v>0</v>
      </c>
      <c r="R52">
        <v>0</v>
      </c>
      <c r="S52">
        <f t="shared" si="6"/>
        <v>0</v>
      </c>
      <c r="T52">
        <v>2.2499999999999999E-2</v>
      </c>
      <c r="U52">
        <f t="shared" si="7"/>
        <v>0</v>
      </c>
      <c r="V52">
        <f t="shared" si="8"/>
        <v>0</v>
      </c>
      <c r="W52">
        <f t="shared" si="9"/>
        <v>0</v>
      </c>
      <c r="X52" t="s">
        <v>366</v>
      </c>
    </row>
    <row r="53" spans="1:24" x14ac:dyDescent="0.25">
      <c r="A53" t="s">
        <v>460</v>
      </c>
      <c r="B53" t="s">
        <v>460</v>
      </c>
      <c r="C53" t="s">
        <v>477</v>
      </c>
      <c r="D53" t="s">
        <v>43</v>
      </c>
      <c r="E53" t="s">
        <v>51</v>
      </c>
      <c r="F53" t="s">
        <v>1</v>
      </c>
      <c r="G53" t="s">
        <v>196</v>
      </c>
      <c r="H53" t="s">
        <v>204</v>
      </c>
      <c r="I53" t="s">
        <v>1</v>
      </c>
      <c r="J53">
        <v>12552.81</v>
      </c>
      <c r="K53">
        <v>89172.807178378396</v>
      </c>
      <c r="L53">
        <v>9490</v>
      </c>
      <c r="M53">
        <v>19137.292817679558</v>
      </c>
      <c r="N53">
        <v>22042.989999999998</v>
      </c>
      <c r="O53">
        <v>19084.285714285699</v>
      </c>
      <c r="P53">
        <v>0</v>
      </c>
      <c r="Q53">
        <f t="shared" si="5"/>
        <v>19084.285714285699</v>
      </c>
      <c r="R53">
        <v>0</v>
      </c>
      <c r="S53">
        <f t="shared" si="6"/>
        <v>-19084.285714285699</v>
      </c>
      <c r="T53">
        <v>3.5000000000000003E-2</v>
      </c>
      <c r="U53">
        <f t="shared" si="7"/>
        <v>0</v>
      </c>
      <c r="V53">
        <f t="shared" si="8"/>
        <v>0</v>
      </c>
      <c r="W53">
        <f t="shared" si="9"/>
        <v>-19084.285714285699</v>
      </c>
      <c r="X53" t="s">
        <v>366</v>
      </c>
    </row>
    <row r="54" spans="1:24" x14ac:dyDescent="0.25">
      <c r="A54" t="s">
        <v>460</v>
      </c>
      <c r="B54" t="s">
        <v>460</v>
      </c>
      <c r="C54" t="s">
        <v>477</v>
      </c>
      <c r="D54" t="s">
        <v>43</v>
      </c>
      <c r="E54" t="s">
        <v>52</v>
      </c>
      <c r="F54" t="s">
        <v>1</v>
      </c>
      <c r="G54" t="s">
        <v>196</v>
      </c>
      <c r="H54" t="s">
        <v>205</v>
      </c>
      <c r="I54" t="s">
        <v>1</v>
      </c>
      <c r="J54">
        <v>2920</v>
      </c>
      <c r="K54">
        <v>1140.3621399178001</v>
      </c>
      <c r="L54">
        <v>2365</v>
      </c>
      <c r="M54">
        <v>4769.1988950276245</v>
      </c>
      <c r="N54">
        <v>0</v>
      </c>
      <c r="O54">
        <v>4755.9890109890002</v>
      </c>
      <c r="P54">
        <v>0</v>
      </c>
      <c r="Q54">
        <f t="shared" si="5"/>
        <v>4755.9890109890002</v>
      </c>
      <c r="R54">
        <v>0</v>
      </c>
      <c r="S54">
        <f t="shared" si="6"/>
        <v>-4755.9890109890002</v>
      </c>
      <c r="T54">
        <v>0.04</v>
      </c>
      <c r="U54">
        <f t="shared" si="7"/>
        <v>0</v>
      </c>
      <c r="V54">
        <f t="shared" si="8"/>
        <v>0</v>
      </c>
      <c r="W54">
        <f t="shared" si="9"/>
        <v>-4755.9890109890002</v>
      </c>
      <c r="X54" t="s">
        <v>366</v>
      </c>
    </row>
    <row r="55" spans="1:24" x14ac:dyDescent="0.25">
      <c r="A55" t="s">
        <v>460</v>
      </c>
      <c r="B55" t="s">
        <v>460</v>
      </c>
      <c r="C55" t="s">
        <v>477</v>
      </c>
      <c r="D55" t="s">
        <v>43</v>
      </c>
      <c r="E55" t="s">
        <v>53</v>
      </c>
      <c r="F55" t="s">
        <v>1</v>
      </c>
      <c r="G55" t="s">
        <v>196</v>
      </c>
      <c r="H55" t="s">
        <v>206</v>
      </c>
      <c r="I55" t="s">
        <v>1</v>
      </c>
      <c r="K55">
        <v>993.59999999989998</v>
      </c>
      <c r="L55">
        <v>0</v>
      </c>
      <c r="M55">
        <v>0</v>
      </c>
      <c r="N55">
        <v>0</v>
      </c>
      <c r="P55">
        <v>0</v>
      </c>
      <c r="Q55">
        <f t="shared" si="5"/>
        <v>0</v>
      </c>
      <c r="R55">
        <v>0</v>
      </c>
      <c r="S55">
        <f t="shared" si="6"/>
        <v>0</v>
      </c>
      <c r="T55">
        <v>3.5000000000000003E-2</v>
      </c>
      <c r="U55">
        <f t="shared" si="7"/>
        <v>0</v>
      </c>
      <c r="V55">
        <f t="shared" si="8"/>
        <v>0</v>
      </c>
      <c r="W55">
        <f t="shared" si="9"/>
        <v>0</v>
      </c>
      <c r="X55" t="s">
        <v>366</v>
      </c>
    </row>
    <row r="56" spans="1:24" x14ac:dyDescent="0.25">
      <c r="A56" t="s">
        <v>460</v>
      </c>
      <c r="B56" t="s">
        <v>460</v>
      </c>
      <c r="C56" t="s">
        <v>477</v>
      </c>
      <c r="D56" t="s">
        <v>43</v>
      </c>
      <c r="E56" t="s">
        <v>17</v>
      </c>
      <c r="F56" t="s">
        <v>1</v>
      </c>
      <c r="G56" t="s">
        <v>196</v>
      </c>
      <c r="H56" t="s">
        <v>169</v>
      </c>
      <c r="I56" t="s">
        <v>1</v>
      </c>
      <c r="J56">
        <v>507.41</v>
      </c>
      <c r="L56">
        <v>5903.6</v>
      </c>
      <c r="M56">
        <v>11905.049723756907</v>
      </c>
      <c r="N56">
        <v>6411.01</v>
      </c>
      <c r="O56">
        <v>11905.0497237569</v>
      </c>
      <c r="P56">
        <v>0</v>
      </c>
      <c r="Q56">
        <f t="shared" si="5"/>
        <v>11905.0497237569</v>
      </c>
      <c r="R56">
        <v>7000</v>
      </c>
      <c r="S56">
        <f t="shared" si="6"/>
        <v>-4905.0497237568998</v>
      </c>
      <c r="T56">
        <v>3.5000000000000003E-2</v>
      </c>
      <c r="U56">
        <f t="shared" si="7"/>
        <v>245.00000000000003</v>
      </c>
      <c r="V56">
        <f t="shared" si="8"/>
        <v>7245</v>
      </c>
      <c r="W56">
        <f t="shared" si="9"/>
        <v>-4660.0497237568998</v>
      </c>
      <c r="X56">
        <v>0</v>
      </c>
    </row>
    <row r="57" spans="1:24" x14ac:dyDescent="0.25">
      <c r="A57" t="s">
        <v>460</v>
      </c>
      <c r="B57" t="s">
        <v>460</v>
      </c>
      <c r="C57" t="s">
        <v>477</v>
      </c>
      <c r="D57" t="s">
        <v>43</v>
      </c>
      <c r="E57" t="s">
        <v>18</v>
      </c>
      <c r="F57" t="s">
        <v>1</v>
      </c>
      <c r="G57" t="s">
        <v>196</v>
      </c>
      <c r="H57" t="s">
        <v>170</v>
      </c>
      <c r="I57" t="s">
        <v>1</v>
      </c>
      <c r="J57">
        <v>3771.21</v>
      </c>
      <c r="L57">
        <v>2252.6</v>
      </c>
      <c r="M57">
        <v>4542.53591160221</v>
      </c>
      <c r="N57">
        <v>3522.0099999999998</v>
      </c>
      <c r="O57">
        <v>4542.5359116022</v>
      </c>
      <c r="P57">
        <v>0</v>
      </c>
      <c r="Q57">
        <f t="shared" si="5"/>
        <v>4542.5359116022</v>
      </c>
      <c r="R57">
        <v>6000</v>
      </c>
      <c r="S57">
        <f t="shared" si="6"/>
        <v>1457.4640883978</v>
      </c>
      <c r="T57">
        <v>3.5000000000000003E-2</v>
      </c>
      <c r="U57">
        <f t="shared" si="7"/>
        <v>210.00000000000003</v>
      </c>
      <c r="V57">
        <f t="shared" si="8"/>
        <v>6210</v>
      </c>
      <c r="W57">
        <f t="shared" si="9"/>
        <v>1667.4640883978</v>
      </c>
      <c r="X57">
        <v>0</v>
      </c>
    </row>
    <row r="58" spans="1:24" x14ac:dyDescent="0.25">
      <c r="A58" t="s">
        <v>460</v>
      </c>
      <c r="B58" t="s">
        <v>460</v>
      </c>
      <c r="C58" t="s">
        <v>477</v>
      </c>
      <c r="D58" t="s">
        <v>43</v>
      </c>
      <c r="E58" t="s">
        <v>22</v>
      </c>
      <c r="F58" t="s">
        <v>1</v>
      </c>
      <c r="G58" t="s">
        <v>196</v>
      </c>
      <c r="H58" t="s">
        <v>174</v>
      </c>
      <c r="I58" t="s">
        <v>1</v>
      </c>
      <c r="J58">
        <v>850.77</v>
      </c>
      <c r="L58">
        <v>0</v>
      </c>
      <c r="M58">
        <v>0</v>
      </c>
      <c r="N58">
        <v>850.77</v>
      </c>
      <c r="P58">
        <v>0</v>
      </c>
      <c r="Q58">
        <f t="shared" si="5"/>
        <v>0</v>
      </c>
      <c r="R58">
        <v>0</v>
      </c>
      <c r="S58">
        <f t="shared" si="6"/>
        <v>0</v>
      </c>
      <c r="U58">
        <f t="shared" si="7"/>
        <v>0</v>
      </c>
      <c r="V58">
        <f t="shared" si="8"/>
        <v>0</v>
      </c>
      <c r="W58">
        <f t="shared" si="9"/>
        <v>0</v>
      </c>
      <c r="X58">
        <v>0</v>
      </c>
    </row>
    <row r="59" spans="1:24" x14ac:dyDescent="0.25">
      <c r="A59" t="s">
        <v>460</v>
      </c>
      <c r="B59" t="s">
        <v>460</v>
      </c>
      <c r="C59" t="s">
        <v>477</v>
      </c>
      <c r="D59" t="s">
        <v>43</v>
      </c>
      <c r="E59" t="s">
        <v>27</v>
      </c>
      <c r="F59" t="s">
        <v>1</v>
      </c>
      <c r="G59" t="s">
        <v>196</v>
      </c>
      <c r="H59" t="s">
        <v>179</v>
      </c>
      <c r="I59" t="s">
        <v>1</v>
      </c>
      <c r="J59">
        <v>370.7</v>
      </c>
      <c r="K59">
        <v>540</v>
      </c>
      <c r="L59">
        <v>0</v>
      </c>
      <c r="M59">
        <v>0</v>
      </c>
      <c r="N59">
        <v>370.7</v>
      </c>
      <c r="P59">
        <v>0</v>
      </c>
      <c r="Q59">
        <f t="shared" si="5"/>
        <v>0</v>
      </c>
      <c r="R59">
        <v>540</v>
      </c>
      <c r="S59">
        <f t="shared" si="6"/>
        <v>540</v>
      </c>
      <c r="U59">
        <f t="shared" si="7"/>
        <v>0</v>
      </c>
      <c r="V59">
        <f t="shared" si="8"/>
        <v>540</v>
      </c>
      <c r="W59">
        <f t="shared" si="9"/>
        <v>540</v>
      </c>
      <c r="X59">
        <v>0</v>
      </c>
    </row>
    <row r="60" spans="1:24" x14ac:dyDescent="0.25">
      <c r="A60" t="s">
        <v>460</v>
      </c>
      <c r="B60" t="s">
        <v>460</v>
      </c>
      <c r="C60" t="s">
        <v>477</v>
      </c>
      <c r="D60" t="s">
        <v>43</v>
      </c>
      <c r="E60" t="s">
        <v>54</v>
      </c>
      <c r="F60" t="s">
        <v>1</v>
      </c>
      <c r="G60" t="s">
        <v>196</v>
      </c>
      <c r="H60" t="s">
        <v>207</v>
      </c>
      <c r="I60" t="s">
        <v>1</v>
      </c>
      <c r="J60">
        <v>206.46</v>
      </c>
      <c r="L60">
        <v>111.11</v>
      </c>
      <c r="M60">
        <v>224.06160220994474</v>
      </c>
      <c r="N60">
        <v>317.57</v>
      </c>
      <c r="O60">
        <v>222.22</v>
      </c>
      <c r="P60">
        <v>0</v>
      </c>
      <c r="Q60">
        <f t="shared" si="5"/>
        <v>222.22</v>
      </c>
      <c r="R60">
        <v>222.22</v>
      </c>
      <c r="S60">
        <f t="shared" si="6"/>
        <v>0</v>
      </c>
      <c r="U60">
        <f t="shared" si="7"/>
        <v>0</v>
      </c>
      <c r="V60">
        <f t="shared" si="8"/>
        <v>222.22</v>
      </c>
      <c r="W60">
        <f t="shared" si="9"/>
        <v>0</v>
      </c>
      <c r="X60">
        <v>0</v>
      </c>
    </row>
    <row r="61" spans="1:24" x14ac:dyDescent="0.25">
      <c r="A61" t="s">
        <v>460</v>
      </c>
      <c r="B61" t="s">
        <v>460</v>
      </c>
      <c r="C61" t="s">
        <v>477</v>
      </c>
      <c r="D61" t="s">
        <v>43</v>
      </c>
      <c r="E61" t="s">
        <v>29</v>
      </c>
      <c r="F61" t="s">
        <v>1</v>
      </c>
      <c r="G61" t="s">
        <v>196</v>
      </c>
      <c r="H61" t="s">
        <v>181</v>
      </c>
      <c r="I61" t="s">
        <v>1</v>
      </c>
      <c r="J61">
        <v>55.88</v>
      </c>
      <c r="L61">
        <v>77.75</v>
      </c>
      <c r="M61">
        <v>156.78867403314916</v>
      </c>
      <c r="N61">
        <v>133.63</v>
      </c>
      <c r="O61">
        <v>155.5</v>
      </c>
      <c r="P61">
        <v>0</v>
      </c>
      <c r="Q61">
        <f t="shared" si="5"/>
        <v>155.5</v>
      </c>
      <c r="R61">
        <v>155.5</v>
      </c>
      <c r="S61">
        <f t="shared" si="6"/>
        <v>0</v>
      </c>
      <c r="U61">
        <f t="shared" si="7"/>
        <v>0</v>
      </c>
      <c r="V61">
        <f t="shared" si="8"/>
        <v>155.5</v>
      </c>
      <c r="W61">
        <f t="shared" si="9"/>
        <v>0</v>
      </c>
      <c r="X61">
        <v>0</v>
      </c>
    </row>
    <row r="62" spans="1:24" x14ac:dyDescent="0.25">
      <c r="A62" t="s">
        <v>460</v>
      </c>
      <c r="B62" t="s">
        <v>460</v>
      </c>
      <c r="C62" t="s">
        <v>477</v>
      </c>
      <c r="D62" t="s">
        <v>43</v>
      </c>
      <c r="E62" t="s">
        <v>32</v>
      </c>
      <c r="F62" t="s">
        <v>1</v>
      </c>
      <c r="G62" t="s">
        <v>196</v>
      </c>
      <c r="H62" t="s">
        <v>184</v>
      </c>
      <c r="I62" t="s">
        <v>1</v>
      </c>
      <c r="J62">
        <v>1190.9100000000001</v>
      </c>
      <c r="K62">
        <v>-56.0000000004</v>
      </c>
      <c r="L62">
        <v>279.43</v>
      </c>
      <c r="M62">
        <v>563.49143646408834</v>
      </c>
      <c r="N62">
        <v>477.26</v>
      </c>
      <c r="O62">
        <v>558.86</v>
      </c>
      <c r="P62">
        <v>0</v>
      </c>
      <c r="Q62">
        <f t="shared" si="5"/>
        <v>558.86</v>
      </c>
      <c r="R62">
        <v>558.86</v>
      </c>
      <c r="S62">
        <f t="shared" si="6"/>
        <v>0</v>
      </c>
      <c r="T62">
        <v>0.03</v>
      </c>
      <c r="U62">
        <f t="shared" si="7"/>
        <v>16.765799999999999</v>
      </c>
      <c r="V62">
        <f t="shared" si="8"/>
        <v>575.62580000000003</v>
      </c>
      <c r="W62">
        <f t="shared" si="9"/>
        <v>16.765800000000013</v>
      </c>
      <c r="X62">
        <v>0</v>
      </c>
    </row>
    <row r="63" spans="1:24" x14ac:dyDescent="0.25">
      <c r="A63" t="s">
        <v>460</v>
      </c>
      <c r="B63" t="s">
        <v>460</v>
      </c>
      <c r="C63" t="s">
        <v>477</v>
      </c>
      <c r="D63" t="s">
        <v>43</v>
      </c>
      <c r="E63" t="s">
        <v>33</v>
      </c>
      <c r="F63" t="s">
        <v>1</v>
      </c>
      <c r="G63" t="s">
        <v>196</v>
      </c>
      <c r="H63" t="s">
        <v>185</v>
      </c>
      <c r="I63" t="s">
        <v>1</v>
      </c>
      <c r="L63">
        <v>11.65</v>
      </c>
      <c r="M63">
        <v>23.493093922651937</v>
      </c>
      <c r="N63">
        <v>11.65</v>
      </c>
      <c r="O63">
        <v>23.3</v>
      </c>
      <c r="P63">
        <v>0</v>
      </c>
      <c r="Q63">
        <f t="shared" si="5"/>
        <v>23.3</v>
      </c>
      <c r="R63">
        <v>23.3</v>
      </c>
      <c r="S63">
        <f t="shared" si="6"/>
        <v>0</v>
      </c>
      <c r="T63">
        <v>0.03</v>
      </c>
      <c r="U63">
        <f t="shared" si="7"/>
        <v>0.69899999999999995</v>
      </c>
      <c r="V63">
        <f t="shared" si="8"/>
        <v>23.999000000000002</v>
      </c>
      <c r="W63">
        <f t="shared" si="9"/>
        <v>0.69900000000000162</v>
      </c>
      <c r="X63">
        <v>0</v>
      </c>
    </row>
    <row r="64" spans="1:24" x14ac:dyDescent="0.25">
      <c r="A64" t="s">
        <v>460</v>
      </c>
      <c r="B64" t="s">
        <v>460</v>
      </c>
      <c r="C64" t="s">
        <v>477</v>
      </c>
      <c r="D64" t="s">
        <v>43</v>
      </c>
      <c r="E64" t="s">
        <v>40</v>
      </c>
      <c r="F64" t="s">
        <v>1</v>
      </c>
      <c r="G64" t="s">
        <v>196</v>
      </c>
      <c r="H64" t="s">
        <v>192</v>
      </c>
      <c r="I64" t="s">
        <v>1</v>
      </c>
      <c r="J64">
        <v>266617.55</v>
      </c>
      <c r="K64">
        <v>353778</v>
      </c>
      <c r="L64">
        <v>155230.72</v>
      </c>
      <c r="M64">
        <v>313034.32486187847</v>
      </c>
      <c r="N64">
        <v>212880.13</v>
      </c>
      <c r="O64">
        <v>310461.44</v>
      </c>
      <c r="P64">
        <v>0</v>
      </c>
      <c r="Q64">
        <f t="shared" si="5"/>
        <v>310461.44</v>
      </c>
      <c r="R64">
        <v>310461.44</v>
      </c>
      <c r="S64">
        <f t="shared" si="6"/>
        <v>0</v>
      </c>
      <c r="T64">
        <v>0.03</v>
      </c>
      <c r="U64">
        <f t="shared" si="7"/>
        <v>9313.8431999999993</v>
      </c>
      <c r="V64">
        <f t="shared" si="8"/>
        <v>319775.28320000001</v>
      </c>
      <c r="W64">
        <f t="shared" si="9"/>
        <v>9313.843200000003</v>
      </c>
      <c r="X64">
        <v>0</v>
      </c>
    </row>
    <row r="65" spans="1:24" x14ac:dyDescent="0.25">
      <c r="A65" t="s">
        <v>460</v>
      </c>
      <c r="B65" t="s">
        <v>460</v>
      </c>
      <c r="C65" t="s">
        <v>477</v>
      </c>
      <c r="D65" t="s">
        <v>43</v>
      </c>
      <c r="E65" t="s">
        <v>41</v>
      </c>
      <c r="F65" t="s">
        <v>1</v>
      </c>
      <c r="G65" t="s">
        <v>196</v>
      </c>
      <c r="H65" t="s">
        <v>193</v>
      </c>
      <c r="I65" t="s">
        <v>1</v>
      </c>
      <c r="J65">
        <v>152.25</v>
      </c>
      <c r="L65">
        <v>196.59</v>
      </c>
      <c r="M65">
        <v>396.43839779005532</v>
      </c>
      <c r="N65">
        <v>348.84000000000003</v>
      </c>
      <c r="O65">
        <v>396.4383977901</v>
      </c>
      <c r="P65">
        <v>0</v>
      </c>
      <c r="Q65">
        <f t="shared" si="5"/>
        <v>396.4383977901</v>
      </c>
      <c r="R65">
        <v>396.4383977901</v>
      </c>
      <c r="S65">
        <f t="shared" si="6"/>
        <v>0</v>
      </c>
      <c r="U65">
        <f t="shared" si="7"/>
        <v>0</v>
      </c>
      <c r="V65">
        <f t="shared" si="8"/>
        <v>396.4383977901</v>
      </c>
      <c r="W65">
        <f t="shared" si="9"/>
        <v>0</v>
      </c>
      <c r="X65">
        <v>0</v>
      </c>
    </row>
    <row r="66" spans="1:24" x14ac:dyDescent="0.25">
      <c r="A66" t="s">
        <v>460</v>
      </c>
      <c r="B66" t="s">
        <v>460</v>
      </c>
      <c r="C66" t="s">
        <v>477</v>
      </c>
      <c r="D66" t="s">
        <v>43</v>
      </c>
      <c r="E66" t="s">
        <v>42</v>
      </c>
      <c r="F66" t="s">
        <v>42</v>
      </c>
      <c r="G66" t="s">
        <v>208</v>
      </c>
      <c r="J66">
        <v>527893.74</v>
      </c>
      <c r="K66">
        <v>1473555.3133681731</v>
      </c>
      <c r="L66">
        <v>213509.77</v>
      </c>
      <c r="M66">
        <v>430558.37596685084</v>
      </c>
      <c r="N66">
        <v>511213.62000000017</v>
      </c>
      <c r="O66">
        <v>427699.79502216005</v>
      </c>
      <c r="P66">
        <f>SUMIF($F$40:$F$65,"&lt;&gt;EV_*",$P$40:$P$65)</f>
        <v>0</v>
      </c>
      <c r="Q66">
        <f>SUMIF($F$40:$F$65,"&lt;&gt;EV_*",$Q$40:$Q$65)</f>
        <v>427699.79502216005</v>
      </c>
      <c r="R66">
        <f>SUMIF($F$40:$F$65,"&lt;&gt;EV_*",$R$40:$R$65)</f>
        <v>327229.79839779047</v>
      </c>
      <c r="S66">
        <f>SUMIF($F$40:$F$65,"&lt;&gt;EV_*",$S$40:$S$65)</f>
        <v>-100469.99662436958</v>
      </c>
      <c r="T66">
        <v>0</v>
      </c>
      <c r="U66">
        <f>SUMIF($F$40:$F$65,"&lt;&gt;EV_*",$U$40:$U$65)</f>
        <v>9786.3079999999991</v>
      </c>
      <c r="V66">
        <f>SUMIF($F$40:$F$65,"&lt;&gt;EV_*",$V$40:$V$65)</f>
        <v>337016.10639779049</v>
      </c>
      <c r="W66">
        <f>SUMIF($F$40:$F$65,"&lt;&gt;EV_*",$W$40:$W$65)</f>
        <v>-90683.688624369592</v>
      </c>
      <c r="X66">
        <f>SUMIF($F$40:$F$65,"&lt;&gt;EV_*",$X$40:$X$65)</f>
        <v>0</v>
      </c>
    </row>
    <row r="67" spans="1:24" x14ac:dyDescent="0.25">
      <c r="A67" t="s">
        <v>461</v>
      </c>
      <c r="B67" t="s">
        <v>461</v>
      </c>
      <c r="C67" t="s">
        <v>478</v>
      </c>
      <c r="D67" t="s">
        <v>55</v>
      </c>
      <c r="E67" t="s">
        <v>5</v>
      </c>
      <c r="F67" t="s">
        <v>5</v>
      </c>
      <c r="G67" t="s">
        <v>209</v>
      </c>
    </row>
    <row r="68" spans="1:24" x14ac:dyDescent="0.25">
      <c r="A68" t="s">
        <v>461</v>
      </c>
      <c r="B68" t="s">
        <v>461</v>
      </c>
      <c r="C68" t="s">
        <v>478</v>
      </c>
      <c r="D68" t="s">
        <v>55</v>
      </c>
      <c r="E68" t="s">
        <v>13</v>
      </c>
      <c r="F68" t="s">
        <v>1</v>
      </c>
      <c r="G68" t="s">
        <v>210</v>
      </c>
      <c r="H68" t="s">
        <v>165</v>
      </c>
      <c r="I68" t="s">
        <v>1</v>
      </c>
      <c r="L68">
        <v>572</v>
      </c>
      <c r="M68">
        <v>1153.4806629834254</v>
      </c>
      <c r="N68">
        <v>572</v>
      </c>
      <c r="O68">
        <v>1150.2857142856999</v>
      </c>
      <c r="P68">
        <v>0</v>
      </c>
      <c r="Q68">
        <f t="shared" ref="Q68:Q76" si="10">O68+P68</f>
        <v>1150.2857142856999</v>
      </c>
      <c r="R68">
        <v>26100</v>
      </c>
      <c r="S68">
        <f t="shared" ref="S68:S76" si="11">IF(OR(LEFT(E68,2)="A_",LEFT(D68,5)="Total"),R68-Q68,"")</f>
        <v>24949.714285714301</v>
      </c>
      <c r="T68">
        <v>0.02</v>
      </c>
      <c r="U68">
        <f t="shared" ref="U68:U76" si="12">IFERROR(R68*T68,R68*0)</f>
        <v>522</v>
      </c>
      <c r="V68">
        <f t="shared" ref="V68:V76" si="13">IF(OR(LEFT(E68,2)="A_",LEFT(D68,5)="Total"),R68+U68,"")</f>
        <v>26622</v>
      </c>
      <c r="W68">
        <f t="shared" ref="W68:W76" si="14">IF(OR(LEFT(E68,2)="A_",LEFT(D68,5)="Total"),V68-Q68,"")</f>
        <v>25471.714285714301</v>
      </c>
      <c r="X68" t="s">
        <v>367</v>
      </c>
    </row>
    <row r="69" spans="1:24" x14ac:dyDescent="0.25">
      <c r="A69" t="s">
        <v>461</v>
      </c>
      <c r="B69" t="s">
        <v>461</v>
      </c>
      <c r="C69" t="s">
        <v>478</v>
      </c>
      <c r="D69" t="s">
        <v>55</v>
      </c>
      <c r="E69" t="s">
        <v>16</v>
      </c>
      <c r="F69" t="s">
        <v>1</v>
      </c>
      <c r="G69" t="s">
        <v>210</v>
      </c>
      <c r="H69" t="s">
        <v>168</v>
      </c>
      <c r="I69" t="s">
        <v>1</v>
      </c>
      <c r="L69">
        <v>91.44</v>
      </c>
      <c r="M69">
        <v>184.39558011049724</v>
      </c>
      <c r="N69">
        <v>91.44</v>
      </c>
      <c r="O69">
        <v>184.39558011049999</v>
      </c>
      <c r="P69">
        <v>0</v>
      </c>
      <c r="Q69">
        <f t="shared" si="10"/>
        <v>184.39558011049999</v>
      </c>
      <c r="R69">
        <v>1000</v>
      </c>
      <c r="S69">
        <f t="shared" si="11"/>
        <v>815.60441988950004</v>
      </c>
      <c r="T69">
        <v>0.03</v>
      </c>
      <c r="U69">
        <f t="shared" si="12"/>
        <v>30</v>
      </c>
      <c r="V69">
        <f t="shared" si="13"/>
        <v>1030</v>
      </c>
      <c r="W69">
        <f t="shared" si="14"/>
        <v>845.60441988950004</v>
      </c>
      <c r="X69" t="s">
        <v>368</v>
      </c>
    </row>
    <row r="70" spans="1:24" x14ac:dyDescent="0.25">
      <c r="A70" t="s">
        <v>461</v>
      </c>
      <c r="B70" t="s">
        <v>461</v>
      </c>
      <c r="C70" t="s">
        <v>478</v>
      </c>
      <c r="D70" t="s">
        <v>55</v>
      </c>
      <c r="E70" t="s">
        <v>17</v>
      </c>
      <c r="F70" t="s">
        <v>1</v>
      </c>
      <c r="G70" t="s">
        <v>210</v>
      </c>
      <c r="H70" t="s">
        <v>169</v>
      </c>
      <c r="I70" t="s">
        <v>1</v>
      </c>
      <c r="J70">
        <v>26599.69</v>
      </c>
      <c r="K70">
        <v>29196.108</v>
      </c>
      <c r="L70">
        <v>35482.57</v>
      </c>
      <c r="M70">
        <v>71553.248895027631</v>
      </c>
      <c r="N70">
        <v>52362.28</v>
      </c>
      <c r="O70">
        <v>71553.248895027602</v>
      </c>
      <c r="P70">
        <v>0</v>
      </c>
      <c r="Q70">
        <f t="shared" si="10"/>
        <v>71553.248895027602</v>
      </c>
      <c r="R70">
        <v>30000</v>
      </c>
      <c r="S70">
        <f t="shared" si="11"/>
        <v>-41553.248895027602</v>
      </c>
      <c r="T70">
        <v>3.5000000000000003E-2</v>
      </c>
      <c r="U70">
        <f t="shared" si="12"/>
        <v>1050</v>
      </c>
      <c r="V70">
        <f t="shared" si="13"/>
        <v>31050</v>
      </c>
      <c r="W70">
        <f t="shared" si="14"/>
        <v>-40503.248895027602</v>
      </c>
      <c r="X70" t="s">
        <v>369</v>
      </c>
    </row>
    <row r="71" spans="1:24" x14ac:dyDescent="0.25">
      <c r="A71" t="s">
        <v>461</v>
      </c>
      <c r="B71" t="s">
        <v>461</v>
      </c>
      <c r="C71" t="s">
        <v>478</v>
      </c>
      <c r="D71" t="s">
        <v>55</v>
      </c>
      <c r="E71" t="s">
        <v>22</v>
      </c>
      <c r="F71" t="s">
        <v>1</v>
      </c>
      <c r="G71" t="s">
        <v>210</v>
      </c>
      <c r="H71" t="s">
        <v>174</v>
      </c>
      <c r="I71" t="s">
        <v>1</v>
      </c>
      <c r="J71">
        <v>13101.46</v>
      </c>
      <c r="K71">
        <v>9588.9999999995998</v>
      </c>
      <c r="L71">
        <v>5811.57</v>
      </c>
      <c r="M71">
        <v>11719.464364640882</v>
      </c>
      <c r="N71">
        <v>14118.57</v>
      </c>
      <c r="O71">
        <v>11623.14</v>
      </c>
      <c r="P71">
        <v>0</v>
      </c>
      <c r="Q71">
        <f t="shared" si="10"/>
        <v>11623.14</v>
      </c>
      <c r="R71">
        <v>18000</v>
      </c>
      <c r="S71">
        <f t="shared" si="11"/>
        <v>6376.8600000000006</v>
      </c>
      <c r="U71">
        <f t="shared" si="12"/>
        <v>0</v>
      </c>
      <c r="V71">
        <f t="shared" si="13"/>
        <v>18000</v>
      </c>
      <c r="W71">
        <f t="shared" si="14"/>
        <v>6376.8600000000006</v>
      </c>
      <c r="X71" t="s">
        <v>369</v>
      </c>
    </row>
    <row r="72" spans="1:24" x14ac:dyDescent="0.25">
      <c r="A72" t="s">
        <v>461</v>
      </c>
      <c r="B72" t="s">
        <v>461</v>
      </c>
      <c r="C72" t="s">
        <v>478</v>
      </c>
      <c r="D72" t="s">
        <v>55</v>
      </c>
      <c r="E72" t="s">
        <v>27</v>
      </c>
      <c r="F72" t="s">
        <v>1</v>
      </c>
      <c r="G72" t="s">
        <v>210</v>
      </c>
      <c r="H72" t="s">
        <v>179</v>
      </c>
      <c r="I72" t="s">
        <v>1</v>
      </c>
      <c r="J72">
        <v>468.05</v>
      </c>
      <c r="K72">
        <v>1305</v>
      </c>
      <c r="L72">
        <v>0</v>
      </c>
      <c r="M72">
        <v>0</v>
      </c>
      <c r="N72">
        <v>468.05</v>
      </c>
      <c r="P72">
        <v>0</v>
      </c>
      <c r="Q72">
        <f t="shared" si="10"/>
        <v>0</v>
      </c>
      <c r="R72">
        <v>0</v>
      </c>
      <c r="S72">
        <f t="shared" si="11"/>
        <v>0</v>
      </c>
      <c r="U72">
        <f t="shared" si="12"/>
        <v>0</v>
      </c>
      <c r="V72">
        <f t="shared" si="13"/>
        <v>0</v>
      </c>
      <c r="W72">
        <f t="shared" si="14"/>
        <v>0</v>
      </c>
      <c r="X72">
        <v>0</v>
      </c>
    </row>
    <row r="73" spans="1:24" x14ac:dyDescent="0.25">
      <c r="A73" t="s">
        <v>461</v>
      </c>
      <c r="B73" t="s">
        <v>461</v>
      </c>
      <c r="C73" t="s">
        <v>478</v>
      </c>
      <c r="D73" t="s">
        <v>55</v>
      </c>
      <c r="E73" t="s">
        <v>28</v>
      </c>
      <c r="F73" t="s">
        <v>1</v>
      </c>
      <c r="G73" t="s">
        <v>210</v>
      </c>
      <c r="H73" t="s">
        <v>180</v>
      </c>
      <c r="I73" t="s">
        <v>1</v>
      </c>
      <c r="J73">
        <v>621.96</v>
      </c>
      <c r="L73">
        <v>848.05</v>
      </c>
      <c r="M73">
        <v>1710.1560773480662</v>
      </c>
      <c r="N73">
        <v>848.05</v>
      </c>
      <c r="O73">
        <v>1696.1</v>
      </c>
      <c r="P73">
        <v>0</v>
      </c>
      <c r="Q73">
        <f t="shared" si="10"/>
        <v>1696.1</v>
      </c>
      <c r="R73">
        <v>2400</v>
      </c>
      <c r="S73">
        <f t="shared" si="11"/>
        <v>703.90000000000009</v>
      </c>
      <c r="U73">
        <f t="shared" si="12"/>
        <v>0</v>
      </c>
      <c r="V73">
        <f t="shared" si="13"/>
        <v>2400</v>
      </c>
      <c r="W73">
        <f t="shared" si="14"/>
        <v>703.90000000000009</v>
      </c>
      <c r="X73" t="s">
        <v>370</v>
      </c>
    </row>
    <row r="74" spans="1:24" x14ac:dyDescent="0.25">
      <c r="A74" t="s">
        <v>461</v>
      </c>
      <c r="B74" t="s">
        <v>461</v>
      </c>
      <c r="C74" t="s">
        <v>478</v>
      </c>
      <c r="D74" t="s">
        <v>55</v>
      </c>
      <c r="E74" t="s">
        <v>32</v>
      </c>
      <c r="F74" t="s">
        <v>1</v>
      </c>
      <c r="G74" t="s">
        <v>210</v>
      </c>
      <c r="H74" t="s">
        <v>184</v>
      </c>
      <c r="I74" t="s">
        <v>1</v>
      </c>
      <c r="J74">
        <v>212.07</v>
      </c>
      <c r="L74">
        <v>0</v>
      </c>
      <c r="M74">
        <v>0</v>
      </c>
      <c r="N74">
        <v>212.07</v>
      </c>
      <c r="P74">
        <v>0</v>
      </c>
      <c r="Q74">
        <f t="shared" si="10"/>
        <v>0</v>
      </c>
      <c r="R74">
        <v>1000</v>
      </c>
      <c r="S74">
        <f t="shared" si="11"/>
        <v>1000</v>
      </c>
      <c r="T74">
        <v>0.03</v>
      </c>
      <c r="U74">
        <f t="shared" si="12"/>
        <v>30</v>
      </c>
      <c r="V74">
        <f t="shared" si="13"/>
        <v>1030</v>
      </c>
      <c r="W74">
        <f t="shared" si="14"/>
        <v>1030</v>
      </c>
      <c r="X74" t="s">
        <v>371</v>
      </c>
    </row>
    <row r="75" spans="1:24" x14ac:dyDescent="0.25">
      <c r="A75" t="s">
        <v>461</v>
      </c>
      <c r="B75" t="s">
        <v>461</v>
      </c>
      <c r="C75" t="s">
        <v>478</v>
      </c>
      <c r="D75" t="s">
        <v>55</v>
      </c>
      <c r="E75" t="s">
        <v>36</v>
      </c>
      <c r="F75" t="s">
        <v>1</v>
      </c>
      <c r="G75" t="s">
        <v>210</v>
      </c>
      <c r="H75" t="s">
        <v>188</v>
      </c>
      <c r="I75" t="s">
        <v>1</v>
      </c>
      <c r="J75">
        <v>1071</v>
      </c>
      <c r="K75">
        <v>4755.9999999995998</v>
      </c>
      <c r="L75">
        <v>0</v>
      </c>
      <c r="M75">
        <v>0</v>
      </c>
      <c r="N75">
        <v>0</v>
      </c>
      <c r="P75">
        <v>0</v>
      </c>
      <c r="Q75">
        <f t="shared" si="10"/>
        <v>0</v>
      </c>
      <c r="R75">
        <v>0</v>
      </c>
      <c r="S75">
        <f t="shared" si="11"/>
        <v>0</v>
      </c>
      <c r="T75">
        <v>0.03</v>
      </c>
      <c r="U75">
        <f t="shared" si="12"/>
        <v>0</v>
      </c>
      <c r="V75">
        <f t="shared" si="13"/>
        <v>0</v>
      </c>
      <c r="W75">
        <f t="shared" si="14"/>
        <v>0</v>
      </c>
      <c r="X75" t="s">
        <v>372</v>
      </c>
    </row>
    <row r="76" spans="1:24" x14ac:dyDescent="0.25">
      <c r="A76" t="s">
        <v>461</v>
      </c>
      <c r="B76" t="s">
        <v>461</v>
      </c>
      <c r="C76" t="s">
        <v>478</v>
      </c>
      <c r="D76" t="s">
        <v>55</v>
      </c>
      <c r="E76" t="s">
        <v>41</v>
      </c>
      <c r="F76" t="s">
        <v>1</v>
      </c>
      <c r="G76" t="s">
        <v>210</v>
      </c>
      <c r="H76" t="s">
        <v>193</v>
      </c>
      <c r="I76" t="s">
        <v>1</v>
      </c>
      <c r="J76">
        <v>207.17</v>
      </c>
      <c r="L76">
        <v>196.59</v>
      </c>
      <c r="M76">
        <v>396.43839779005532</v>
      </c>
      <c r="N76">
        <v>403.76</v>
      </c>
      <c r="O76">
        <v>396.4383977901</v>
      </c>
      <c r="P76">
        <v>0</v>
      </c>
      <c r="Q76">
        <f t="shared" si="10"/>
        <v>396.4383977901</v>
      </c>
      <c r="R76">
        <v>0</v>
      </c>
      <c r="S76">
        <f t="shared" si="11"/>
        <v>-396.4383977901</v>
      </c>
      <c r="U76">
        <f t="shared" si="12"/>
        <v>0</v>
      </c>
      <c r="V76">
        <f t="shared" si="13"/>
        <v>0</v>
      </c>
      <c r="W76">
        <f t="shared" si="14"/>
        <v>-396.4383977901</v>
      </c>
      <c r="X76" t="s">
        <v>373</v>
      </c>
    </row>
    <row r="77" spans="1:24" x14ac:dyDescent="0.25">
      <c r="A77" t="s">
        <v>461</v>
      </c>
      <c r="B77" t="s">
        <v>461</v>
      </c>
      <c r="C77" t="s">
        <v>478</v>
      </c>
      <c r="D77" t="s">
        <v>55</v>
      </c>
      <c r="E77" t="s">
        <v>42</v>
      </c>
      <c r="F77" t="s">
        <v>42</v>
      </c>
      <c r="G77" t="s">
        <v>211</v>
      </c>
      <c r="J77">
        <v>42281.399999999994</v>
      </c>
      <c r="K77">
        <v>44846.1079999992</v>
      </c>
      <c r="L77">
        <v>43002.22</v>
      </c>
      <c r="M77">
        <v>86717.183977900553</v>
      </c>
      <c r="N77">
        <v>69076.220000000016</v>
      </c>
      <c r="O77">
        <v>86603.608587213908</v>
      </c>
      <c r="P77">
        <f>SUMIF($F$67:$F$76,"&lt;&gt;EV_*",$P$67:$P$76)</f>
        <v>0</v>
      </c>
      <c r="Q77">
        <f>SUMIF($F$67:$F$76,"&lt;&gt;EV_*",$Q$67:$Q$76)</f>
        <v>86603.608587213908</v>
      </c>
      <c r="R77">
        <f>SUMIF($F$67:$F$76,"&lt;&gt;EV_*",$R$67:$R$76)</f>
        <v>78500</v>
      </c>
      <c r="S77">
        <f>SUMIF($F$67:$F$76,"&lt;&gt;EV_*",$S$67:$S$76)</f>
        <v>-8103.608587213901</v>
      </c>
      <c r="T77">
        <v>0</v>
      </c>
      <c r="U77">
        <f>SUMIF($F$67:$F$76,"&lt;&gt;EV_*",$U$67:$U$76)</f>
        <v>1632</v>
      </c>
      <c r="V77">
        <f>SUMIF($F$67:$F$76,"&lt;&gt;EV_*",$V$67:$V$76)</f>
        <v>80132</v>
      </c>
      <c r="W77">
        <f>SUMIF($F$67:$F$76,"&lt;&gt;EV_*",$W$67:$W$76)</f>
        <v>-6471.608587213901</v>
      </c>
      <c r="X77">
        <f>SUMIF($F$67:$F$76,"&lt;&gt;EV_*",$X$67:$X$76)</f>
        <v>0</v>
      </c>
    </row>
    <row r="78" spans="1:24" x14ac:dyDescent="0.25">
      <c r="A78" t="s">
        <v>462</v>
      </c>
      <c r="B78" t="s">
        <v>462</v>
      </c>
      <c r="C78" t="s">
        <v>479</v>
      </c>
      <c r="D78" t="s">
        <v>56</v>
      </c>
      <c r="E78" t="s">
        <v>5</v>
      </c>
      <c r="F78" t="s">
        <v>5</v>
      </c>
      <c r="G78" t="s">
        <v>212</v>
      </c>
    </row>
    <row r="79" spans="1:24" x14ac:dyDescent="0.25">
      <c r="A79" t="s">
        <v>462</v>
      </c>
      <c r="B79" t="s">
        <v>462</v>
      </c>
      <c r="C79" t="s">
        <v>479</v>
      </c>
      <c r="D79" t="s">
        <v>56</v>
      </c>
      <c r="E79" t="s">
        <v>44</v>
      </c>
      <c r="F79" t="s">
        <v>1</v>
      </c>
      <c r="G79" t="s">
        <v>213</v>
      </c>
      <c r="H79" t="s">
        <v>197</v>
      </c>
      <c r="I79" t="s">
        <v>1</v>
      </c>
      <c r="L79">
        <v>-26.29</v>
      </c>
      <c r="M79">
        <v>-53.01574585635359</v>
      </c>
      <c r="N79">
        <v>-26.29</v>
      </c>
      <c r="O79">
        <v>-52.868901098899997</v>
      </c>
      <c r="P79">
        <v>0</v>
      </c>
      <c r="Q79">
        <f t="shared" ref="Q79:Q93" si="15">O79+P79</f>
        <v>-52.868901098899997</v>
      </c>
      <c r="R79">
        <v>-52.868901098899997</v>
      </c>
      <c r="S79">
        <f t="shared" ref="S79:S93" si="16">IF(OR(LEFT(E79,2)="A_",LEFT(D79,5)="Total"),R79-Q79,"")</f>
        <v>0</v>
      </c>
      <c r="U79">
        <f t="shared" ref="U79:U93" si="17">IFERROR(R79*T79,R79*0)</f>
        <v>0</v>
      </c>
      <c r="V79">
        <f t="shared" ref="V79:V93" si="18">IF(OR(LEFT(E79,2)="A_",LEFT(D79,5)="Total"),R79+U79,"")</f>
        <v>-52.868901098899997</v>
      </c>
      <c r="W79">
        <f t="shared" ref="W79:W93" si="19">IF(OR(LEFT(E79,2)="A_",LEFT(D79,5)="Total"),V79-Q79,"")</f>
        <v>0</v>
      </c>
      <c r="X79">
        <v>0</v>
      </c>
    </row>
    <row r="80" spans="1:24" x14ac:dyDescent="0.25">
      <c r="A80" t="s">
        <v>462</v>
      </c>
      <c r="B80" t="s">
        <v>462</v>
      </c>
      <c r="C80" t="s">
        <v>479</v>
      </c>
      <c r="D80" t="s">
        <v>56</v>
      </c>
      <c r="E80" t="s">
        <v>57</v>
      </c>
      <c r="F80" t="s">
        <v>1</v>
      </c>
      <c r="G80" t="s">
        <v>213</v>
      </c>
      <c r="H80" t="s">
        <v>214</v>
      </c>
      <c r="I80" t="s">
        <v>1</v>
      </c>
      <c r="J80">
        <v>185.16</v>
      </c>
      <c r="L80">
        <v>0</v>
      </c>
      <c r="M80">
        <v>0</v>
      </c>
      <c r="N80">
        <v>0</v>
      </c>
      <c r="P80">
        <v>0</v>
      </c>
      <c r="Q80">
        <f t="shared" si="15"/>
        <v>0</v>
      </c>
      <c r="R80">
        <v>0</v>
      </c>
      <c r="S80">
        <f t="shared" si="16"/>
        <v>0</v>
      </c>
      <c r="T80">
        <v>0.04</v>
      </c>
      <c r="U80">
        <f t="shared" si="17"/>
        <v>0</v>
      </c>
      <c r="V80">
        <f t="shared" si="18"/>
        <v>0</v>
      </c>
      <c r="W80">
        <f t="shared" si="19"/>
        <v>0</v>
      </c>
      <c r="X80">
        <v>0</v>
      </c>
    </row>
    <row r="81" spans="1:24" x14ac:dyDescent="0.25">
      <c r="A81" t="s">
        <v>462</v>
      </c>
      <c r="B81" t="s">
        <v>462</v>
      </c>
      <c r="C81" t="s">
        <v>479</v>
      </c>
      <c r="D81" t="s">
        <v>56</v>
      </c>
      <c r="E81" t="s">
        <v>52</v>
      </c>
      <c r="F81" t="s">
        <v>1</v>
      </c>
      <c r="G81" t="s">
        <v>213</v>
      </c>
      <c r="H81" t="s">
        <v>205</v>
      </c>
      <c r="I81" t="s">
        <v>1</v>
      </c>
      <c r="J81">
        <v>596.52</v>
      </c>
      <c r="L81">
        <v>1840.68</v>
      </c>
      <c r="M81">
        <v>3711.868508287293</v>
      </c>
      <c r="N81">
        <v>2437.1999999999998</v>
      </c>
      <c r="O81">
        <v>3701.5872527473002</v>
      </c>
      <c r="P81">
        <v>0</v>
      </c>
      <c r="Q81">
        <f t="shared" si="15"/>
        <v>3701.5872527473002</v>
      </c>
      <c r="R81">
        <v>3701.5872527473002</v>
      </c>
      <c r="S81">
        <f t="shared" si="16"/>
        <v>0</v>
      </c>
      <c r="T81">
        <v>0.04</v>
      </c>
      <c r="U81">
        <f t="shared" si="17"/>
        <v>148.063490109892</v>
      </c>
      <c r="V81">
        <f t="shared" si="18"/>
        <v>3849.6507428571922</v>
      </c>
      <c r="W81">
        <f t="shared" si="19"/>
        <v>148.06349010989197</v>
      </c>
      <c r="X81">
        <v>0</v>
      </c>
    </row>
    <row r="82" spans="1:24" x14ac:dyDescent="0.25">
      <c r="A82" t="s">
        <v>462</v>
      </c>
      <c r="B82" t="s">
        <v>462</v>
      </c>
      <c r="C82" t="s">
        <v>479</v>
      </c>
      <c r="D82" t="s">
        <v>56</v>
      </c>
      <c r="E82" t="s">
        <v>16</v>
      </c>
      <c r="F82" t="s">
        <v>1</v>
      </c>
      <c r="G82" t="s">
        <v>213</v>
      </c>
      <c r="H82" t="s">
        <v>168</v>
      </c>
      <c r="I82" t="s">
        <v>1</v>
      </c>
      <c r="J82">
        <v>116427.5</v>
      </c>
      <c r="K82">
        <v>176034.6</v>
      </c>
      <c r="L82">
        <v>74713.53</v>
      </c>
      <c r="M82">
        <v>150665.40580110496</v>
      </c>
      <c r="N82">
        <v>171408.56999999998</v>
      </c>
      <c r="O82">
        <v>150665.40580110499</v>
      </c>
      <c r="P82">
        <v>0</v>
      </c>
      <c r="Q82">
        <f t="shared" si="15"/>
        <v>150665.40580110499</v>
      </c>
      <c r="R82">
        <v>163341</v>
      </c>
      <c r="S82">
        <f t="shared" si="16"/>
        <v>12675.594198895007</v>
      </c>
      <c r="T82">
        <v>0.03</v>
      </c>
      <c r="U82">
        <f t="shared" si="17"/>
        <v>4900.2299999999996</v>
      </c>
      <c r="V82">
        <f t="shared" si="18"/>
        <v>168241.23</v>
      </c>
      <c r="W82">
        <f t="shared" si="19"/>
        <v>17575.824198895018</v>
      </c>
      <c r="X82" t="s">
        <v>374</v>
      </c>
    </row>
    <row r="83" spans="1:24" x14ac:dyDescent="0.25">
      <c r="A83" t="s">
        <v>462</v>
      </c>
      <c r="B83" t="s">
        <v>462</v>
      </c>
      <c r="C83" t="s">
        <v>479</v>
      </c>
      <c r="D83" t="s">
        <v>56</v>
      </c>
      <c r="E83" t="s">
        <v>53</v>
      </c>
      <c r="F83" t="s">
        <v>1</v>
      </c>
      <c r="G83" t="s">
        <v>213</v>
      </c>
      <c r="H83" t="s">
        <v>206</v>
      </c>
      <c r="I83" t="s">
        <v>1</v>
      </c>
      <c r="J83">
        <v>1453.9</v>
      </c>
      <c r="L83">
        <v>1195.95</v>
      </c>
      <c r="M83">
        <v>2411.7223756906078</v>
      </c>
      <c r="N83">
        <v>2415.35</v>
      </c>
      <c r="O83">
        <v>2411.7223756906001</v>
      </c>
      <c r="P83">
        <v>0</v>
      </c>
      <c r="Q83">
        <f t="shared" si="15"/>
        <v>2411.7223756906001</v>
      </c>
      <c r="R83">
        <v>2411.7223756906001</v>
      </c>
      <c r="S83">
        <f t="shared" si="16"/>
        <v>0</v>
      </c>
      <c r="T83">
        <v>3.5000000000000003E-2</v>
      </c>
      <c r="U83">
        <f t="shared" si="17"/>
        <v>84.410283149171008</v>
      </c>
      <c r="V83">
        <f t="shared" si="18"/>
        <v>2496.132658839771</v>
      </c>
      <c r="W83">
        <f t="shared" si="19"/>
        <v>84.410283149170937</v>
      </c>
      <c r="X83" t="s">
        <v>375</v>
      </c>
    </row>
    <row r="84" spans="1:24" x14ac:dyDescent="0.25">
      <c r="A84" t="s">
        <v>462</v>
      </c>
      <c r="B84" t="s">
        <v>462</v>
      </c>
      <c r="C84" t="s">
        <v>479</v>
      </c>
      <c r="D84" t="s">
        <v>56</v>
      </c>
      <c r="E84" t="s">
        <v>17</v>
      </c>
      <c r="F84" t="s">
        <v>1</v>
      </c>
      <c r="G84" t="s">
        <v>213</v>
      </c>
      <c r="H84" t="s">
        <v>169</v>
      </c>
      <c r="I84" t="s">
        <v>1</v>
      </c>
      <c r="J84">
        <v>1476.87</v>
      </c>
      <c r="L84">
        <v>1295.6099999999999</v>
      </c>
      <c r="M84">
        <v>2612.6941988950275</v>
      </c>
      <c r="N84">
        <v>2772.48</v>
      </c>
      <c r="O84">
        <v>2612.6941988950002</v>
      </c>
      <c r="P84">
        <v>0</v>
      </c>
      <c r="Q84">
        <f t="shared" si="15"/>
        <v>2612.6941988950002</v>
      </c>
      <c r="R84">
        <v>2612.6941988950002</v>
      </c>
      <c r="S84">
        <f t="shared" si="16"/>
        <v>0</v>
      </c>
      <c r="T84">
        <v>3.5000000000000003E-2</v>
      </c>
      <c r="U84">
        <f t="shared" si="17"/>
        <v>91.444296961325023</v>
      </c>
      <c r="V84">
        <f t="shared" si="18"/>
        <v>2704.1384958563253</v>
      </c>
      <c r="W84">
        <f t="shared" si="19"/>
        <v>91.444296961325108</v>
      </c>
      <c r="X84">
        <v>0</v>
      </c>
    </row>
    <row r="85" spans="1:24" x14ac:dyDescent="0.25">
      <c r="A85" t="s">
        <v>462</v>
      </c>
      <c r="B85" t="s">
        <v>462</v>
      </c>
      <c r="C85" t="s">
        <v>479</v>
      </c>
      <c r="D85" t="s">
        <v>56</v>
      </c>
      <c r="E85" t="s">
        <v>18</v>
      </c>
      <c r="F85" t="s">
        <v>1</v>
      </c>
      <c r="G85" t="s">
        <v>213</v>
      </c>
      <c r="H85" t="s">
        <v>170</v>
      </c>
      <c r="I85" t="s">
        <v>1</v>
      </c>
      <c r="J85">
        <v>7350.63</v>
      </c>
      <c r="K85">
        <v>854.90999999990004</v>
      </c>
      <c r="L85">
        <v>6242.79</v>
      </c>
      <c r="M85">
        <v>12589.051657458564</v>
      </c>
      <c r="N85">
        <v>12624.1</v>
      </c>
      <c r="O85">
        <v>12589.0516574586</v>
      </c>
      <c r="P85">
        <v>0</v>
      </c>
      <c r="Q85">
        <f t="shared" si="15"/>
        <v>12589.0516574586</v>
      </c>
      <c r="R85">
        <v>30589.0516574586</v>
      </c>
      <c r="S85">
        <f t="shared" si="16"/>
        <v>18000</v>
      </c>
      <c r="T85">
        <v>3.5000000000000003E-2</v>
      </c>
      <c r="U85">
        <f t="shared" si="17"/>
        <v>1070.616808011051</v>
      </c>
      <c r="V85">
        <f t="shared" si="18"/>
        <v>31659.668465469651</v>
      </c>
      <c r="W85">
        <f t="shared" si="19"/>
        <v>19070.616808011051</v>
      </c>
      <c r="X85" t="s">
        <v>376</v>
      </c>
    </row>
    <row r="86" spans="1:24" x14ac:dyDescent="0.25">
      <c r="A86" t="s">
        <v>462</v>
      </c>
      <c r="B86" t="s">
        <v>462</v>
      </c>
      <c r="C86" t="s">
        <v>479</v>
      </c>
      <c r="D86" t="s">
        <v>56</v>
      </c>
      <c r="E86" t="s">
        <v>22</v>
      </c>
      <c r="F86" t="s">
        <v>1</v>
      </c>
      <c r="G86" t="s">
        <v>213</v>
      </c>
      <c r="H86" t="s">
        <v>174</v>
      </c>
      <c r="I86" t="s">
        <v>1</v>
      </c>
      <c r="J86">
        <v>218.94</v>
      </c>
      <c r="L86">
        <v>268.16000000000003</v>
      </c>
      <c r="M86">
        <v>540.76464088397802</v>
      </c>
      <c r="N86">
        <v>487.09999999999997</v>
      </c>
      <c r="O86">
        <v>536.32000000000005</v>
      </c>
      <c r="P86">
        <v>0</v>
      </c>
      <c r="Q86">
        <f t="shared" si="15"/>
        <v>536.32000000000005</v>
      </c>
      <c r="R86">
        <v>200</v>
      </c>
      <c r="S86">
        <f t="shared" si="16"/>
        <v>-336.32000000000005</v>
      </c>
      <c r="U86">
        <f t="shared" si="17"/>
        <v>0</v>
      </c>
      <c r="V86">
        <f t="shared" si="18"/>
        <v>200</v>
      </c>
      <c r="W86">
        <f t="shared" si="19"/>
        <v>-336.32000000000005</v>
      </c>
      <c r="X86">
        <v>0</v>
      </c>
    </row>
    <row r="87" spans="1:24" x14ac:dyDescent="0.25">
      <c r="A87" t="s">
        <v>462</v>
      </c>
      <c r="B87" t="s">
        <v>462</v>
      </c>
      <c r="C87" t="s">
        <v>479</v>
      </c>
      <c r="D87" t="s">
        <v>56</v>
      </c>
      <c r="E87" t="s">
        <v>23</v>
      </c>
      <c r="F87" t="s">
        <v>1</v>
      </c>
      <c r="G87" t="s">
        <v>213</v>
      </c>
      <c r="H87" t="s">
        <v>175</v>
      </c>
      <c r="I87" t="s">
        <v>1</v>
      </c>
      <c r="J87">
        <v>-164.68</v>
      </c>
      <c r="L87">
        <v>0</v>
      </c>
      <c r="M87">
        <v>0</v>
      </c>
      <c r="N87">
        <v>-164.68</v>
      </c>
      <c r="P87">
        <v>0</v>
      </c>
      <c r="Q87">
        <f t="shared" si="15"/>
        <v>0</v>
      </c>
      <c r="R87">
        <v>0</v>
      </c>
      <c r="S87">
        <f t="shared" si="16"/>
        <v>0</v>
      </c>
      <c r="U87">
        <f t="shared" si="17"/>
        <v>0</v>
      </c>
      <c r="V87">
        <f t="shared" si="18"/>
        <v>0</v>
      </c>
      <c r="W87">
        <f t="shared" si="19"/>
        <v>0</v>
      </c>
      <c r="X87">
        <v>0</v>
      </c>
    </row>
    <row r="88" spans="1:24" x14ac:dyDescent="0.25">
      <c r="A88" t="s">
        <v>462</v>
      </c>
      <c r="B88" t="s">
        <v>462</v>
      </c>
      <c r="C88" t="s">
        <v>479</v>
      </c>
      <c r="D88" t="s">
        <v>56</v>
      </c>
      <c r="E88" t="s">
        <v>27</v>
      </c>
      <c r="F88" t="s">
        <v>1</v>
      </c>
      <c r="G88" t="s">
        <v>213</v>
      </c>
      <c r="H88" t="s">
        <v>179</v>
      </c>
      <c r="I88" t="s">
        <v>1</v>
      </c>
      <c r="J88">
        <v>685.73</v>
      </c>
      <c r="K88">
        <v>1575</v>
      </c>
      <c r="L88">
        <v>0</v>
      </c>
      <c r="M88">
        <v>0</v>
      </c>
      <c r="N88">
        <v>685.73</v>
      </c>
      <c r="P88">
        <v>0</v>
      </c>
      <c r="Q88">
        <f t="shared" si="15"/>
        <v>0</v>
      </c>
      <c r="R88">
        <v>600</v>
      </c>
      <c r="S88">
        <f t="shared" si="16"/>
        <v>600</v>
      </c>
      <c r="U88">
        <f t="shared" si="17"/>
        <v>0</v>
      </c>
      <c r="V88">
        <f t="shared" si="18"/>
        <v>600</v>
      </c>
      <c r="W88">
        <f t="shared" si="19"/>
        <v>600</v>
      </c>
      <c r="X88">
        <v>0</v>
      </c>
    </row>
    <row r="89" spans="1:24" x14ac:dyDescent="0.25">
      <c r="A89" t="s">
        <v>462</v>
      </c>
      <c r="B89" t="s">
        <v>462</v>
      </c>
      <c r="C89" t="s">
        <v>479</v>
      </c>
      <c r="D89" t="s">
        <v>56</v>
      </c>
      <c r="E89" t="s">
        <v>32</v>
      </c>
      <c r="F89" t="s">
        <v>1</v>
      </c>
      <c r="G89" t="s">
        <v>213</v>
      </c>
      <c r="H89" t="s">
        <v>184</v>
      </c>
      <c r="I89" t="s">
        <v>1</v>
      </c>
      <c r="J89">
        <v>681.04</v>
      </c>
      <c r="K89">
        <v>212.00000000040001</v>
      </c>
      <c r="L89">
        <v>599.82000000000005</v>
      </c>
      <c r="M89">
        <v>1209.5817679558013</v>
      </c>
      <c r="N89">
        <v>1175.8499999999999</v>
      </c>
      <c r="O89">
        <v>1199.6400000000001</v>
      </c>
      <c r="P89">
        <v>0</v>
      </c>
      <c r="Q89">
        <f t="shared" si="15"/>
        <v>1199.6400000000001</v>
      </c>
      <c r="R89">
        <v>599.82000000000005</v>
      </c>
      <c r="S89">
        <f t="shared" si="16"/>
        <v>-599.82000000000005</v>
      </c>
      <c r="T89">
        <v>0.03</v>
      </c>
      <c r="U89">
        <f t="shared" si="17"/>
        <v>17.994600000000002</v>
      </c>
      <c r="V89">
        <f t="shared" si="18"/>
        <v>617.81460000000004</v>
      </c>
      <c r="W89">
        <f t="shared" si="19"/>
        <v>-581.82540000000006</v>
      </c>
      <c r="X89">
        <v>0</v>
      </c>
    </row>
    <row r="90" spans="1:24" x14ac:dyDescent="0.25">
      <c r="A90" t="s">
        <v>462</v>
      </c>
      <c r="B90" t="s">
        <v>462</v>
      </c>
      <c r="C90" t="s">
        <v>479</v>
      </c>
      <c r="D90" t="s">
        <v>56</v>
      </c>
      <c r="E90" t="s">
        <v>58</v>
      </c>
      <c r="F90" t="s">
        <v>1</v>
      </c>
      <c r="G90" t="s">
        <v>213</v>
      </c>
      <c r="H90" t="s">
        <v>215</v>
      </c>
      <c r="I90" t="s">
        <v>1</v>
      </c>
      <c r="K90">
        <v>12000</v>
      </c>
      <c r="L90">
        <v>11031.95</v>
      </c>
      <c r="M90">
        <v>22246.75</v>
      </c>
      <c r="N90">
        <v>11031.95</v>
      </c>
      <c r="O90">
        <v>22063.9</v>
      </c>
      <c r="P90">
        <v>0</v>
      </c>
      <c r="Q90">
        <f t="shared" si="15"/>
        <v>22063.9</v>
      </c>
      <c r="R90">
        <v>12000</v>
      </c>
      <c r="S90">
        <f t="shared" si="16"/>
        <v>-10063.900000000001</v>
      </c>
      <c r="T90">
        <v>0.03</v>
      </c>
      <c r="U90">
        <f t="shared" si="17"/>
        <v>360</v>
      </c>
      <c r="V90">
        <f t="shared" si="18"/>
        <v>12360</v>
      </c>
      <c r="W90">
        <f t="shared" si="19"/>
        <v>-9703.9000000000015</v>
      </c>
      <c r="X90" t="s">
        <v>377</v>
      </c>
    </row>
    <row r="91" spans="1:24" x14ac:dyDescent="0.25">
      <c r="A91" t="s">
        <v>462</v>
      </c>
      <c r="B91" t="s">
        <v>462</v>
      </c>
      <c r="C91" t="s">
        <v>479</v>
      </c>
      <c r="D91" t="s">
        <v>56</v>
      </c>
      <c r="E91" t="s">
        <v>59</v>
      </c>
      <c r="F91" t="s">
        <v>1</v>
      </c>
      <c r="G91" t="s">
        <v>213</v>
      </c>
      <c r="H91" t="s">
        <v>216</v>
      </c>
      <c r="I91" t="s">
        <v>1</v>
      </c>
      <c r="K91">
        <v>12000</v>
      </c>
      <c r="L91">
        <v>23500</v>
      </c>
      <c r="M91">
        <v>47389.502762430937</v>
      </c>
      <c r="N91">
        <v>23500</v>
      </c>
      <c r="O91">
        <v>47000</v>
      </c>
      <c r="P91">
        <v>0</v>
      </c>
      <c r="Q91">
        <f t="shared" si="15"/>
        <v>47000</v>
      </c>
      <c r="R91">
        <v>12000</v>
      </c>
      <c r="S91">
        <f t="shared" si="16"/>
        <v>-35000</v>
      </c>
      <c r="T91">
        <v>0.03</v>
      </c>
      <c r="U91">
        <f t="shared" si="17"/>
        <v>360</v>
      </c>
      <c r="V91">
        <f t="shared" si="18"/>
        <v>12360</v>
      </c>
      <c r="W91">
        <f t="shared" si="19"/>
        <v>-34640</v>
      </c>
      <c r="X91">
        <v>0</v>
      </c>
    </row>
    <row r="92" spans="1:24" x14ac:dyDescent="0.25">
      <c r="A92" t="s">
        <v>462</v>
      </c>
      <c r="B92" t="s">
        <v>462</v>
      </c>
      <c r="C92" t="s">
        <v>479</v>
      </c>
      <c r="D92" t="s">
        <v>56</v>
      </c>
      <c r="E92" t="s">
        <v>36</v>
      </c>
      <c r="F92" t="s">
        <v>1</v>
      </c>
      <c r="G92" t="s">
        <v>213</v>
      </c>
      <c r="H92" t="s">
        <v>188</v>
      </c>
      <c r="I92" t="s">
        <v>1</v>
      </c>
      <c r="J92">
        <v>1795</v>
      </c>
      <c r="K92">
        <v>31325.000400000001</v>
      </c>
      <c r="L92">
        <v>649.46</v>
      </c>
      <c r="M92">
        <v>1309.6845303867403</v>
      </c>
      <c r="N92">
        <v>2444.46</v>
      </c>
      <c r="O92">
        <v>1298.92</v>
      </c>
      <c r="P92">
        <v>0</v>
      </c>
      <c r="Q92">
        <f t="shared" si="15"/>
        <v>1298.92</v>
      </c>
      <c r="R92">
        <v>0</v>
      </c>
      <c r="S92">
        <f t="shared" si="16"/>
        <v>-1298.92</v>
      </c>
      <c r="T92">
        <v>0.03</v>
      </c>
      <c r="U92">
        <f t="shared" si="17"/>
        <v>0</v>
      </c>
      <c r="V92">
        <f t="shared" si="18"/>
        <v>0</v>
      </c>
      <c r="W92">
        <f t="shared" si="19"/>
        <v>-1298.92</v>
      </c>
      <c r="X92">
        <v>0</v>
      </c>
    </row>
    <row r="93" spans="1:24" x14ac:dyDescent="0.25">
      <c r="A93" t="s">
        <v>462</v>
      </c>
      <c r="B93" t="s">
        <v>462</v>
      </c>
      <c r="C93" t="s">
        <v>479</v>
      </c>
      <c r="D93" t="s">
        <v>56</v>
      </c>
      <c r="E93" t="s">
        <v>60</v>
      </c>
      <c r="F93" t="s">
        <v>1</v>
      </c>
      <c r="G93" t="s">
        <v>213</v>
      </c>
      <c r="H93" t="s">
        <v>217</v>
      </c>
      <c r="I93" t="s">
        <v>1</v>
      </c>
      <c r="J93">
        <v>33543.410000000003</v>
      </c>
      <c r="K93">
        <v>97651.000000000306</v>
      </c>
      <c r="L93">
        <v>0</v>
      </c>
      <c r="M93">
        <v>0</v>
      </c>
      <c r="N93">
        <v>0</v>
      </c>
      <c r="P93">
        <v>0</v>
      </c>
      <c r="Q93">
        <f t="shared" si="15"/>
        <v>0</v>
      </c>
      <c r="R93">
        <v>0</v>
      </c>
      <c r="S93">
        <f t="shared" si="16"/>
        <v>0</v>
      </c>
      <c r="U93">
        <f t="shared" si="17"/>
        <v>0</v>
      </c>
      <c r="V93">
        <f t="shared" si="18"/>
        <v>0</v>
      </c>
      <c r="W93">
        <f t="shared" si="19"/>
        <v>0</v>
      </c>
      <c r="X93">
        <v>0</v>
      </c>
    </row>
    <row r="94" spans="1:24" x14ac:dyDescent="0.25">
      <c r="A94" t="s">
        <v>462</v>
      </c>
      <c r="B94" t="s">
        <v>462</v>
      </c>
      <c r="C94" t="s">
        <v>479</v>
      </c>
      <c r="D94" t="s">
        <v>56</v>
      </c>
      <c r="E94" t="s">
        <v>42</v>
      </c>
      <c r="F94" t="s">
        <v>42</v>
      </c>
      <c r="G94" t="s">
        <v>218</v>
      </c>
      <c r="J94">
        <v>164250.01999999999</v>
      </c>
      <c r="K94">
        <v>331652.51040000061</v>
      </c>
      <c r="L94">
        <v>121311.66</v>
      </c>
      <c r="M94">
        <v>244634.01049723753</v>
      </c>
      <c r="N94">
        <v>230791.82000000004</v>
      </c>
      <c r="O94">
        <v>244026.37238479761</v>
      </c>
      <c r="P94">
        <f>SUMIF($F$78:$F$93,"&lt;&gt;EV_*",$P$78:$P$93)</f>
        <v>0</v>
      </c>
      <c r="Q94">
        <f>SUMIF($F$78:$F$93,"&lt;&gt;EV_*",$Q$78:$Q$93)</f>
        <v>244026.37238479761</v>
      </c>
      <c r="R94">
        <f>SUMIF($F$78:$F$93,"&lt;&gt;EV_*",$R$78:$R$93)</f>
        <v>228003.00658369259</v>
      </c>
      <c r="S94">
        <f>SUMIF($F$78:$F$93,"&lt;&gt;EV_*",$S$78:$S$93)</f>
        <v>-16023.365801104994</v>
      </c>
      <c r="T94">
        <v>0</v>
      </c>
      <c r="U94">
        <f>SUMIF($F$78:$F$93,"&lt;&gt;EV_*",$U$78:$U$93)</f>
        <v>7032.7594782314382</v>
      </c>
      <c r="V94">
        <f>SUMIF($F$78:$F$93,"&lt;&gt;EV_*",$V$78:$V$93)</f>
        <v>235035.76606192405</v>
      </c>
      <c r="W94">
        <f>SUMIF($F$78:$F$93,"&lt;&gt;EV_*",$W$78:$W$93)</f>
        <v>-8990.6063228735457</v>
      </c>
      <c r="X94">
        <f>SUMIF($F$78:$F$93,"&lt;&gt;EV_*",$X$78:$X$93)</f>
        <v>0</v>
      </c>
    </row>
    <row r="95" spans="1:24" x14ac:dyDescent="0.25">
      <c r="A95" t="s">
        <v>463</v>
      </c>
      <c r="B95" t="s">
        <v>463</v>
      </c>
      <c r="C95" t="s">
        <v>480</v>
      </c>
      <c r="D95" t="s">
        <v>61</v>
      </c>
      <c r="E95" t="s">
        <v>5</v>
      </c>
      <c r="F95" t="s">
        <v>5</v>
      </c>
      <c r="G95" t="s">
        <v>219</v>
      </c>
    </row>
    <row r="96" spans="1:24" x14ac:dyDescent="0.25">
      <c r="A96" t="s">
        <v>463</v>
      </c>
      <c r="B96" t="s">
        <v>463</v>
      </c>
      <c r="C96" t="s">
        <v>480</v>
      </c>
      <c r="D96" t="s">
        <v>61</v>
      </c>
      <c r="E96" t="s">
        <v>62</v>
      </c>
      <c r="F96" t="s">
        <v>1</v>
      </c>
      <c r="G96" t="s">
        <v>220</v>
      </c>
      <c r="H96" t="s">
        <v>221</v>
      </c>
      <c r="I96" t="s">
        <v>1</v>
      </c>
      <c r="J96">
        <v>267307.65000000002</v>
      </c>
      <c r="K96">
        <v>162000</v>
      </c>
      <c r="L96">
        <v>0</v>
      </c>
      <c r="M96">
        <v>0</v>
      </c>
      <c r="N96">
        <v>53889.880000000005</v>
      </c>
      <c r="P96">
        <v>0</v>
      </c>
      <c r="Q96">
        <f t="shared" ref="Q96:Q124" si="20">O96+P96</f>
        <v>0</v>
      </c>
      <c r="R96">
        <v>0</v>
      </c>
      <c r="S96">
        <f t="shared" ref="S96:S124" si="21">IF(OR(LEFT(E96,2)="A_",LEFT(D96,5)="Total"),R96-Q96,"")</f>
        <v>0</v>
      </c>
      <c r="U96">
        <f t="shared" ref="U96:U124" si="22">IFERROR(R96*T96,R96*0)</f>
        <v>0</v>
      </c>
      <c r="V96">
        <f t="shared" ref="V96:V124" si="23">IF(OR(LEFT(E96,2)="A_",LEFT(D96,5)="Total"),R96+U96,"")</f>
        <v>0</v>
      </c>
      <c r="W96">
        <f t="shared" ref="W96:W124" si="24">IF(OR(LEFT(E96,2)="A_",LEFT(D96,5)="Total"),V96-Q96,"")</f>
        <v>0</v>
      </c>
      <c r="X96">
        <v>0</v>
      </c>
    </row>
    <row r="97" spans="1:24" x14ac:dyDescent="0.25">
      <c r="A97" t="s">
        <v>463</v>
      </c>
      <c r="B97" t="s">
        <v>463</v>
      </c>
      <c r="C97" t="s">
        <v>480</v>
      </c>
      <c r="D97" t="s">
        <v>61</v>
      </c>
      <c r="E97" t="s">
        <v>7</v>
      </c>
      <c r="F97" t="s">
        <v>1</v>
      </c>
      <c r="G97" t="s">
        <v>220</v>
      </c>
      <c r="H97" t="s">
        <v>159</v>
      </c>
      <c r="I97" t="s">
        <v>1</v>
      </c>
      <c r="J97">
        <v>50</v>
      </c>
      <c r="L97">
        <v>0</v>
      </c>
      <c r="M97">
        <v>0</v>
      </c>
      <c r="N97">
        <v>0</v>
      </c>
      <c r="P97">
        <v>0</v>
      </c>
      <c r="Q97">
        <f t="shared" si="20"/>
        <v>0</v>
      </c>
      <c r="R97">
        <v>0</v>
      </c>
      <c r="S97">
        <f t="shared" si="21"/>
        <v>0</v>
      </c>
      <c r="U97">
        <f t="shared" si="22"/>
        <v>0</v>
      </c>
      <c r="V97">
        <f t="shared" si="23"/>
        <v>0</v>
      </c>
      <c r="W97">
        <f t="shared" si="24"/>
        <v>0</v>
      </c>
      <c r="X97">
        <v>0</v>
      </c>
    </row>
    <row r="98" spans="1:24" x14ac:dyDescent="0.25">
      <c r="A98" t="s">
        <v>463</v>
      </c>
      <c r="B98" t="s">
        <v>463</v>
      </c>
      <c r="C98" t="s">
        <v>480</v>
      </c>
      <c r="D98" t="s">
        <v>61</v>
      </c>
      <c r="E98" t="s">
        <v>10</v>
      </c>
      <c r="F98" t="s">
        <v>1</v>
      </c>
      <c r="G98" t="s">
        <v>220</v>
      </c>
      <c r="H98" t="s">
        <v>162</v>
      </c>
      <c r="I98" t="s">
        <v>1</v>
      </c>
      <c r="L98">
        <v>236</v>
      </c>
      <c r="M98">
        <v>475.91160220994476</v>
      </c>
      <c r="N98">
        <v>236</v>
      </c>
      <c r="O98">
        <v>472</v>
      </c>
      <c r="P98">
        <v>0</v>
      </c>
      <c r="Q98">
        <f t="shared" si="20"/>
        <v>472</v>
      </c>
      <c r="R98">
        <v>525</v>
      </c>
      <c r="S98">
        <f t="shared" si="21"/>
        <v>53</v>
      </c>
      <c r="U98">
        <f t="shared" si="22"/>
        <v>0</v>
      </c>
      <c r="V98">
        <f t="shared" si="23"/>
        <v>525</v>
      </c>
      <c r="W98">
        <f t="shared" si="24"/>
        <v>53</v>
      </c>
      <c r="X98">
        <v>0</v>
      </c>
    </row>
    <row r="99" spans="1:24" x14ac:dyDescent="0.25">
      <c r="A99" t="s">
        <v>463</v>
      </c>
      <c r="B99" t="s">
        <v>463</v>
      </c>
      <c r="C99" t="s">
        <v>480</v>
      </c>
      <c r="D99" t="s">
        <v>61</v>
      </c>
      <c r="E99" t="s">
        <v>44</v>
      </c>
      <c r="F99" t="s">
        <v>1</v>
      </c>
      <c r="G99" t="s">
        <v>220</v>
      </c>
      <c r="H99" t="s">
        <v>197</v>
      </c>
      <c r="I99" t="s">
        <v>1</v>
      </c>
      <c r="J99">
        <v>-267.44</v>
      </c>
      <c r="K99">
        <v>-9.9999999999</v>
      </c>
      <c r="L99">
        <v>-1661.34</v>
      </c>
      <c r="M99">
        <v>-3350.2160220994474</v>
      </c>
      <c r="N99">
        <v>-1920.7800000000002</v>
      </c>
      <c r="O99">
        <v>-3340.9364835165002</v>
      </c>
      <c r="P99">
        <v>0</v>
      </c>
      <c r="Q99">
        <f t="shared" si="20"/>
        <v>-3340.9364835165002</v>
      </c>
      <c r="R99">
        <v>-9.9999999999</v>
      </c>
      <c r="S99">
        <f t="shared" si="21"/>
        <v>3330.9364835166002</v>
      </c>
      <c r="U99">
        <f t="shared" si="22"/>
        <v>0</v>
      </c>
      <c r="V99">
        <f t="shared" si="23"/>
        <v>-9.9999999999</v>
      </c>
      <c r="W99">
        <f t="shared" si="24"/>
        <v>3330.9364835166002</v>
      </c>
      <c r="X99">
        <v>0</v>
      </c>
    </row>
    <row r="100" spans="1:24" x14ac:dyDescent="0.25">
      <c r="A100" t="s">
        <v>463</v>
      </c>
      <c r="B100" t="s">
        <v>463</v>
      </c>
      <c r="C100" t="s">
        <v>480</v>
      </c>
      <c r="D100" t="s">
        <v>61</v>
      </c>
      <c r="E100" t="s">
        <v>63</v>
      </c>
      <c r="F100" t="s">
        <v>1</v>
      </c>
      <c r="G100" t="s">
        <v>220</v>
      </c>
      <c r="H100" t="s">
        <v>222</v>
      </c>
      <c r="I100" t="s">
        <v>1</v>
      </c>
      <c r="J100">
        <v>59.42</v>
      </c>
      <c r="L100">
        <v>0</v>
      </c>
      <c r="M100">
        <v>0</v>
      </c>
      <c r="N100">
        <v>29.71</v>
      </c>
      <c r="P100">
        <v>0</v>
      </c>
      <c r="Q100">
        <f t="shared" si="20"/>
        <v>0</v>
      </c>
      <c r="R100">
        <v>0</v>
      </c>
      <c r="S100">
        <f t="shared" si="21"/>
        <v>0</v>
      </c>
      <c r="T100">
        <v>2.75E-2</v>
      </c>
      <c r="U100">
        <f t="shared" si="22"/>
        <v>0</v>
      </c>
      <c r="V100">
        <f t="shared" si="23"/>
        <v>0</v>
      </c>
      <c r="W100">
        <f t="shared" si="24"/>
        <v>0</v>
      </c>
      <c r="X100">
        <v>0</v>
      </c>
    </row>
    <row r="101" spans="1:24" x14ac:dyDescent="0.25">
      <c r="A101" t="s">
        <v>463</v>
      </c>
      <c r="B101" t="s">
        <v>463</v>
      </c>
      <c r="C101" t="s">
        <v>480</v>
      </c>
      <c r="D101" t="s">
        <v>61</v>
      </c>
      <c r="E101" t="s">
        <v>13</v>
      </c>
      <c r="F101" t="s">
        <v>1</v>
      </c>
      <c r="G101" t="s">
        <v>220</v>
      </c>
      <c r="H101" t="s">
        <v>165</v>
      </c>
      <c r="I101" t="s">
        <v>1</v>
      </c>
      <c r="J101">
        <v>56766.46</v>
      </c>
      <c r="K101">
        <v>49769.201888889103</v>
      </c>
      <c r="L101">
        <v>28165.19</v>
      </c>
      <c r="M101">
        <v>56797.206353591158</v>
      </c>
      <c r="N101">
        <v>60985.009999999995</v>
      </c>
      <c r="O101">
        <v>56639.887582417599</v>
      </c>
      <c r="P101">
        <v>0</v>
      </c>
      <c r="Q101">
        <f t="shared" si="20"/>
        <v>56639.887582417599</v>
      </c>
      <c r="R101">
        <v>56639.887582417599</v>
      </c>
      <c r="S101">
        <f t="shared" si="21"/>
        <v>0</v>
      </c>
      <c r="T101">
        <v>0.02</v>
      </c>
      <c r="U101">
        <f t="shared" si="22"/>
        <v>1132.797751648352</v>
      </c>
      <c r="V101">
        <f t="shared" si="23"/>
        <v>57772.685334065951</v>
      </c>
      <c r="W101">
        <f t="shared" si="24"/>
        <v>1132.7977516483516</v>
      </c>
      <c r="X101">
        <v>0</v>
      </c>
    </row>
    <row r="102" spans="1:24" x14ac:dyDescent="0.25">
      <c r="A102" t="s">
        <v>463</v>
      </c>
      <c r="B102" t="s">
        <v>463</v>
      </c>
      <c r="C102" t="s">
        <v>480</v>
      </c>
      <c r="D102" t="s">
        <v>61</v>
      </c>
      <c r="E102" t="s">
        <v>45</v>
      </c>
      <c r="F102" t="s">
        <v>1</v>
      </c>
      <c r="G102" t="s">
        <v>220</v>
      </c>
      <c r="H102" t="s">
        <v>198</v>
      </c>
      <c r="I102" t="s">
        <v>1</v>
      </c>
      <c r="J102">
        <v>134972.22</v>
      </c>
      <c r="K102">
        <v>121814.19024074099</v>
      </c>
      <c r="L102">
        <v>29850.83</v>
      </c>
      <c r="M102">
        <v>60196.425138121551</v>
      </c>
      <c r="N102">
        <v>105156.65999999999</v>
      </c>
      <c r="O102">
        <v>60029.691098901101</v>
      </c>
      <c r="P102">
        <v>0</v>
      </c>
      <c r="Q102">
        <f t="shared" si="20"/>
        <v>60029.691098901101</v>
      </c>
      <c r="R102">
        <v>60029.691098901101</v>
      </c>
      <c r="S102">
        <f t="shared" si="21"/>
        <v>0</v>
      </c>
      <c r="T102">
        <v>3.5000000000000003E-2</v>
      </c>
      <c r="U102">
        <f t="shared" si="22"/>
        <v>2101.0391884615387</v>
      </c>
      <c r="V102">
        <f t="shared" si="23"/>
        <v>62130.73028736264</v>
      </c>
      <c r="W102">
        <f t="shared" si="24"/>
        <v>2101.0391884615383</v>
      </c>
      <c r="X102">
        <v>0</v>
      </c>
    </row>
    <row r="103" spans="1:24" x14ac:dyDescent="0.25">
      <c r="A103" t="s">
        <v>463</v>
      </c>
      <c r="B103" t="s">
        <v>463</v>
      </c>
      <c r="C103" t="s">
        <v>480</v>
      </c>
      <c r="D103" t="s">
        <v>61</v>
      </c>
      <c r="E103" t="s">
        <v>64</v>
      </c>
      <c r="F103" t="s">
        <v>1</v>
      </c>
      <c r="G103" t="s">
        <v>220</v>
      </c>
      <c r="H103" t="s">
        <v>223</v>
      </c>
      <c r="I103" t="s">
        <v>1</v>
      </c>
      <c r="J103">
        <v>22.66</v>
      </c>
      <c r="L103">
        <v>0</v>
      </c>
      <c r="M103">
        <v>0</v>
      </c>
      <c r="N103">
        <v>0</v>
      </c>
      <c r="P103">
        <v>0</v>
      </c>
      <c r="Q103">
        <f t="shared" si="20"/>
        <v>0</v>
      </c>
      <c r="R103">
        <v>0</v>
      </c>
      <c r="S103">
        <f t="shared" si="21"/>
        <v>0</v>
      </c>
      <c r="T103">
        <v>0.02</v>
      </c>
      <c r="U103">
        <f t="shared" si="22"/>
        <v>0</v>
      </c>
      <c r="V103">
        <f t="shared" si="23"/>
        <v>0</v>
      </c>
      <c r="W103">
        <f t="shared" si="24"/>
        <v>0</v>
      </c>
      <c r="X103">
        <v>0</v>
      </c>
    </row>
    <row r="104" spans="1:24" x14ac:dyDescent="0.25">
      <c r="A104" t="s">
        <v>463</v>
      </c>
      <c r="B104" t="s">
        <v>463</v>
      </c>
      <c r="C104" t="s">
        <v>480</v>
      </c>
      <c r="D104" t="s">
        <v>61</v>
      </c>
      <c r="E104" t="s">
        <v>15</v>
      </c>
      <c r="F104" t="s">
        <v>1</v>
      </c>
      <c r="G104" t="s">
        <v>220</v>
      </c>
      <c r="H104" t="s">
        <v>167</v>
      </c>
      <c r="I104" t="s">
        <v>1</v>
      </c>
      <c r="L104">
        <v>617.17999999999995</v>
      </c>
      <c r="M104">
        <v>1244.5895027624308</v>
      </c>
      <c r="N104">
        <v>617.17999999999995</v>
      </c>
      <c r="O104">
        <v>1241.1421978021999</v>
      </c>
      <c r="P104">
        <v>0</v>
      </c>
      <c r="Q104">
        <f t="shared" si="20"/>
        <v>1241.1421978021999</v>
      </c>
      <c r="R104">
        <v>1241.1421978021999</v>
      </c>
      <c r="S104">
        <f t="shared" si="21"/>
        <v>0</v>
      </c>
      <c r="T104">
        <v>3.5000000000000003E-2</v>
      </c>
      <c r="U104">
        <f t="shared" si="22"/>
        <v>43.439976923077005</v>
      </c>
      <c r="V104">
        <f t="shared" si="23"/>
        <v>1284.5821747252769</v>
      </c>
      <c r="W104">
        <f t="shared" si="24"/>
        <v>43.439976923076983</v>
      </c>
      <c r="X104">
        <v>0</v>
      </c>
    </row>
    <row r="105" spans="1:24" x14ac:dyDescent="0.25">
      <c r="A105" t="s">
        <v>463</v>
      </c>
      <c r="B105" t="s">
        <v>463</v>
      </c>
      <c r="C105" t="s">
        <v>480</v>
      </c>
      <c r="D105" t="s">
        <v>61</v>
      </c>
      <c r="E105" t="s">
        <v>47</v>
      </c>
      <c r="F105" t="s">
        <v>1</v>
      </c>
      <c r="G105" t="s">
        <v>220</v>
      </c>
      <c r="H105" t="s">
        <v>200</v>
      </c>
      <c r="I105" t="s">
        <v>1</v>
      </c>
      <c r="J105">
        <v>695.28</v>
      </c>
      <c r="L105">
        <v>828.6</v>
      </c>
      <c r="M105">
        <v>1670.9337016574586</v>
      </c>
      <c r="N105">
        <v>944.48</v>
      </c>
      <c r="O105">
        <v>1666.3054945055001</v>
      </c>
      <c r="P105">
        <v>0</v>
      </c>
      <c r="Q105">
        <f t="shared" si="20"/>
        <v>1666.3054945055001</v>
      </c>
      <c r="R105">
        <v>1666.3054945055001</v>
      </c>
      <c r="S105">
        <f t="shared" si="21"/>
        <v>0</v>
      </c>
      <c r="T105">
        <v>0.02</v>
      </c>
      <c r="U105">
        <f t="shared" si="22"/>
        <v>33.326109890110004</v>
      </c>
      <c r="V105">
        <f t="shared" si="23"/>
        <v>1699.6316043956101</v>
      </c>
      <c r="W105">
        <f t="shared" si="24"/>
        <v>33.326109890110047</v>
      </c>
      <c r="X105">
        <v>0</v>
      </c>
    </row>
    <row r="106" spans="1:24" x14ac:dyDescent="0.25">
      <c r="A106" t="s">
        <v>463</v>
      </c>
      <c r="B106" t="s">
        <v>463</v>
      </c>
      <c r="C106" t="s">
        <v>480</v>
      </c>
      <c r="D106" t="s">
        <v>61</v>
      </c>
      <c r="E106" t="s">
        <v>52</v>
      </c>
      <c r="F106" t="s">
        <v>1</v>
      </c>
      <c r="G106" t="s">
        <v>220</v>
      </c>
      <c r="H106" t="s">
        <v>205</v>
      </c>
      <c r="I106" t="s">
        <v>1</v>
      </c>
      <c r="J106">
        <v>291.60000000000002</v>
      </c>
      <c r="L106">
        <v>71.17</v>
      </c>
      <c r="M106">
        <v>143.51961325966852</v>
      </c>
      <c r="N106">
        <v>362.77000000000004</v>
      </c>
      <c r="O106">
        <v>143.1220879121</v>
      </c>
      <c r="P106">
        <v>0</v>
      </c>
      <c r="Q106">
        <f t="shared" si="20"/>
        <v>143.1220879121</v>
      </c>
      <c r="R106">
        <v>143.1220879121</v>
      </c>
      <c r="S106">
        <f t="shared" si="21"/>
        <v>0</v>
      </c>
      <c r="T106">
        <v>0.04</v>
      </c>
      <c r="U106">
        <f t="shared" si="22"/>
        <v>5.7248835164839997</v>
      </c>
      <c r="V106">
        <f t="shared" si="23"/>
        <v>148.846971428584</v>
      </c>
      <c r="W106">
        <f t="shared" si="24"/>
        <v>5.7248835164839988</v>
      </c>
      <c r="X106">
        <v>0</v>
      </c>
    </row>
    <row r="107" spans="1:24" x14ac:dyDescent="0.25">
      <c r="A107" t="s">
        <v>463</v>
      </c>
      <c r="B107" t="s">
        <v>463</v>
      </c>
      <c r="C107" t="s">
        <v>480</v>
      </c>
      <c r="D107" t="s">
        <v>61</v>
      </c>
      <c r="E107" t="s">
        <v>16</v>
      </c>
      <c r="F107" t="s">
        <v>1</v>
      </c>
      <c r="G107" t="s">
        <v>220</v>
      </c>
      <c r="H107" t="s">
        <v>168</v>
      </c>
      <c r="I107" t="s">
        <v>1</v>
      </c>
      <c r="J107">
        <v>1016.46</v>
      </c>
      <c r="K107">
        <v>1525.1699999999</v>
      </c>
      <c r="L107">
        <v>313.39</v>
      </c>
      <c r="M107">
        <v>631.97430939226513</v>
      </c>
      <c r="N107">
        <v>629.42999999999995</v>
      </c>
      <c r="O107">
        <v>631.97430939230003</v>
      </c>
      <c r="P107">
        <v>0</v>
      </c>
      <c r="Q107">
        <f t="shared" si="20"/>
        <v>631.97430939230003</v>
      </c>
      <c r="R107">
        <v>631.97430939230003</v>
      </c>
      <c r="S107">
        <f t="shared" si="21"/>
        <v>0</v>
      </c>
      <c r="T107">
        <v>0.03</v>
      </c>
      <c r="U107">
        <f t="shared" si="22"/>
        <v>18.959229281769002</v>
      </c>
      <c r="V107">
        <f t="shared" si="23"/>
        <v>650.93353867406904</v>
      </c>
      <c r="W107">
        <f t="shared" si="24"/>
        <v>18.959229281769012</v>
      </c>
      <c r="X107">
        <v>0</v>
      </c>
    </row>
    <row r="108" spans="1:24" x14ac:dyDescent="0.25">
      <c r="A108" t="s">
        <v>463</v>
      </c>
      <c r="B108" t="s">
        <v>463</v>
      </c>
      <c r="C108" t="s">
        <v>480</v>
      </c>
      <c r="D108" t="s">
        <v>61</v>
      </c>
      <c r="E108" t="s">
        <v>53</v>
      </c>
      <c r="F108" t="s">
        <v>1</v>
      </c>
      <c r="G108" t="s">
        <v>220</v>
      </c>
      <c r="H108" t="s">
        <v>206</v>
      </c>
      <c r="I108" t="s">
        <v>1</v>
      </c>
      <c r="J108">
        <v>261</v>
      </c>
      <c r="K108">
        <v>155.24999999990001</v>
      </c>
      <c r="L108">
        <v>46.08</v>
      </c>
      <c r="M108">
        <v>92.923756906077344</v>
      </c>
      <c r="N108">
        <v>150.48000000000002</v>
      </c>
      <c r="O108">
        <v>92.923756906099996</v>
      </c>
      <c r="P108">
        <v>0</v>
      </c>
      <c r="Q108">
        <f t="shared" si="20"/>
        <v>92.923756906099996</v>
      </c>
      <c r="R108">
        <v>92.923756906099996</v>
      </c>
      <c r="S108">
        <f t="shared" si="21"/>
        <v>0</v>
      </c>
      <c r="T108">
        <v>3.5000000000000003E-2</v>
      </c>
      <c r="U108">
        <f t="shared" si="22"/>
        <v>3.2523314917135</v>
      </c>
      <c r="V108">
        <f t="shared" si="23"/>
        <v>96.176088397813501</v>
      </c>
      <c r="W108">
        <f t="shared" si="24"/>
        <v>3.2523314917135053</v>
      </c>
      <c r="X108">
        <v>0</v>
      </c>
    </row>
    <row r="109" spans="1:24" x14ac:dyDescent="0.25">
      <c r="A109" t="s">
        <v>463</v>
      </c>
      <c r="B109" t="s">
        <v>463</v>
      </c>
      <c r="C109" t="s">
        <v>480</v>
      </c>
      <c r="D109" t="s">
        <v>61</v>
      </c>
      <c r="E109" t="s">
        <v>17</v>
      </c>
      <c r="F109" t="s">
        <v>1</v>
      </c>
      <c r="G109" t="s">
        <v>220</v>
      </c>
      <c r="H109" t="s">
        <v>169</v>
      </c>
      <c r="I109" t="s">
        <v>1</v>
      </c>
      <c r="J109">
        <v>6853.6</v>
      </c>
      <c r="K109">
        <v>5302.3049999999002</v>
      </c>
      <c r="L109">
        <v>861.02</v>
      </c>
      <c r="M109">
        <v>1736.3110497237569</v>
      </c>
      <c r="N109">
        <v>1790.6100000000001</v>
      </c>
      <c r="O109">
        <v>1736.3110497237999</v>
      </c>
      <c r="P109">
        <v>0</v>
      </c>
      <c r="Q109">
        <f t="shared" si="20"/>
        <v>1736.3110497237999</v>
      </c>
      <c r="R109">
        <v>4236</v>
      </c>
      <c r="S109">
        <f t="shared" si="21"/>
        <v>2499.6889502762001</v>
      </c>
      <c r="T109">
        <v>3.5000000000000003E-2</v>
      </c>
      <c r="U109">
        <f t="shared" si="22"/>
        <v>148.26000000000002</v>
      </c>
      <c r="V109">
        <f t="shared" si="23"/>
        <v>4384.26</v>
      </c>
      <c r="W109">
        <f t="shared" si="24"/>
        <v>2647.9489502762003</v>
      </c>
      <c r="X109">
        <v>0</v>
      </c>
    </row>
    <row r="110" spans="1:24" x14ac:dyDescent="0.25">
      <c r="A110" t="s">
        <v>463</v>
      </c>
      <c r="B110" t="s">
        <v>463</v>
      </c>
      <c r="C110" t="s">
        <v>480</v>
      </c>
      <c r="D110" t="s">
        <v>61</v>
      </c>
      <c r="E110" t="s">
        <v>18</v>
      </c>
      <c r="F110" t="s">
        <v>1</v>
      </c>
      <c r="G110" t="s">
        <v>220</v>
      </c>
      <c r="H110" t="s">
        <v>170</v>
      </c>
      <c r="I110" t="s">
        <v>1</v>
      </c>
      <c r="J110">
        <v>358.6</v>
      </c>
      <c r="L110">
        <v>188.03</v>
      </c>
      <c r="M110">
        <v>379.17651933701654</v>
      </c>
      <c r="N110">
        <v>245.03</v>
      </c>
      <c r="O110">
        <v>379.176519337</v>
      </c>
      <c r="P110">
        <v>0</v>
      </c>
      <c r="Q110">
        <f t="shared" si="20"/>
        <v>379.176519337</v>
      </c>
      <c r="R110">
        <v>379.176519337</v>
      </c>
      <c r="S110">
        <f t="shared" si="21"/>
        <v>0</v>
      </c>
      <c r="T110">
        <v>3.5000000000000003E-2</v>
      </c>
      <c r="U110">
        <f t="shared" si="22"/>
        <v>13.271178176795001</v>
      </c>
      <c r="V110">
        <f t="shared" si="23"/>
        <v>392.44769751379499</v>
      </c>
      <c r="W110">
        <f t="shared" si="24"/>
        <v>13.27117817679499</v>
      </c>
      <c r="X110">
        <v>0</v>
      </c>
    </row>
    <row r="111" spans="1:24" x14ac:dyDescent="0.25">
      <c r="A111" t="s">
        <v>463</v>
      </c>
      <c r="B111" t="s">
        <v>463</v>
      </c>
      <c r="C111" t="s">
        <v>480</v>
      </c>
      <c r="D111" t="s">
        <v>61</v>
      </c>
      <c r="E111" t="s">
        <v>19</v>
      </c>
      <c r="F111" t="s">
        <v>1</v>
      </c>
      <c r="G111" t="s">
        <v>220</v>
      </c>
      <c r="H111" t="s">
        <v>171</v>
      </c>
      <c r="I111" t="s">
        <v>1</v>
      </c>
      <c r="K111">
        <v>3999.9996000000001</v>
      </c>
      <c r="L111">
        <v>0</v>
      </c>
      <c r="M111">
        <v>0</v>
      </c>
      <c r="N111">
        <v>0</v>
      </c>
      <c r="P111">
        <v>0</v>
      </c>
      <c r="Q111">
        <f t="shared" si="20"/>
        <v>0</v>
      </c>
      <c r="R111">
        <v>0</v>
      </c>
      <c r="S111">
        <f t="shared" si="21"/>
        <v>0</v>
      </c>
      <c r="U111">
        <f t="shared" si="22"/>
        <v>0</v>
      </c>
      <c r="V111">
        <f t="shared" si="23"/>
        <v>0</v>
      </c>
      <c r="W111">
        <f t="shared" si="24"/>
        <v>0</v>
      </c>
      <c r="X111">
        <v>0</v>
      </c>
    </row>
    <row r="112" spans="1:24" x14ac:dyDescent="0.25">
      <c r="A112" t="s">
        <v>463</v>
      </c>
      <c r="B112" t="s">
        <v>463</v>
      </c>
      <c r="C112" t="s">
        <v>480</v>
      </c>
      <c r="D112" t="s">
        <v>61</v>
      </c>
      <c r="E112" t="s">
        <v>22</v>
      </c>
      <c r="F112" t="s">
        <v>1</v>
      </c>
      <c r="G112" t="s">
        <v>220</v>
      </c>
      <c r="H112" t="s">
        <v>174</v>
      </c>
      <c r="I112" t="s">
        <v>1</v>
      </c>
      <c r="J112">
        <v>51.63</v>
      </c>
      <c r="K112">
        <v>96</v>
      </c>
      <c r="L112">
        <v>51.77</v>
      </c>
      <c r="M112">
        <v>104.39806629834256</v>
      </c>
      <c r="N112">
        <v>55.559999999999995</v>
      </c>
      <c r="O112">
        <v>103.54</v>
      </c>
      <c r="P112">
        <v>0</v>
      </c>
      <c r="Q112">
        <f t="shared" si="20"/>
        <v>103.54</v>
      </c>
      <c r="R112">
        <v>103.54</v>
      </c>
      <c r="S112">
        <f t="shared" si="21"/>
        <v>0</v>
      </c>
      <c r="U112">
        <f t="shared" si="22"/>
        <v>0</v>
      </c>
      <c r="V112">
        <f t="shared" si="23"/>
        <v>103.54</v>
      </c>
      <c r="W112">
        <f t="shared" si="24"/>
        <v>0</v>
      </c>
      <c r="X112">
        <v>0</v>
      </c>
    </row>
    <row r="113" spans="1:24" x14ac:dyDescent="0.25">
      <c r="A113" t="s">
        <v>463</v>
      </c>
      <c r="B113" t="s">
        <v>463</v>
      </c>
      <c r="C113" t="s">
        <v>480</v>
      </c>
      <c r="D113" t="s">
        <v>61</v>
      </c>
      <c r="E113" t="s">
        <v>23</v>
      </c>
      <c r="F113" t="s">
        <v>1</v>
      </c>
      <c r="G113" t="s">
        <v>220</v>
      </c>
      <c r="H113" t="s">
        <v>175</v>
      </c>
      <c r="I113" t="s">
        <v>1</v>
      </c>
      <c r="J113">
        <v>2990.05</v>
      </c>
      <c r="K113">
        <v>1830</v>
      </c>
      <c r="L113">
        <v>0</v>
      </c>
      <c r="M113">
        <v>0</v>
      </c>
      <c r="N113">
        <v>1160.05</v>
      </c>
      <c r="P113">
        <v>0</v>
      </c>
      <c r="Q113">
        <f t="shared" si="20"/>
        <v>0</v>
      </c>
      <c r="R113">
        <v>1830</v>
      </c>
      <c r="S113">
        <f t="shared" si="21"/>
        <v>1830</v>
      </c>
      <c r="U113">
        <f t="shared" si="22"/>
        <v>0</v>
      </c>
      <c r="V113">
        <f t="shared" si="23"/>
        <v>1830</v>
      </c>
      <c r="W113">
        <f t="shared" si="24"/>
        <v>1830</v>
      </c>
      <c r="X113">
        <v>0</v>
      </c>
    </row>
    <row r="114" spans="1:24" x14ac:dyDescent="0.25">
      <c r="A114" t="s">
        <v>463</v>
      </c>
      <c r="B114" t="s">
        <v>463</v>
      </c>
      <c r="C114" t="s">
        <v>480</v>
      </c>
      <c r="D114" t="s">
        <v>61</v>
      </c>
      <c r="E114" t="s">
        <v>27</v>
      </c>
      <c r="F114" t="s">
        <v>1</v>
      </c>
      <c r="G114" t="s">
        <v>220</v>
      </c>
      <c r="H114" t="s">
        <v>179</v>
      </c>
      <c r="I114" t="s">
        <v>1</v>
      </c>
      <c r="J114">
        <v>460.7</v>
      </c>
      <c r="K114">
        <v>1305</v>
      </c>
      <c r="L114">
        <v>0</v>
      </c>
      <c r="M114">
        <v>0</v>
      </c>
      <c r="N114">
        <v>460.7</v>
      </c>
      <c r="P114">
        <v>0</v>
      </c>
      <c r="Q114">
        <f t="shared" si="20"/>
        <v>0</v>
      </c>
      <c r="R114">
        <v>1305</v>
      </c>
      <c r="S114">
        <f t="shared" si="21"/>
        <v>1305</v>
      </c>
      <c r="U114">
        <f t="shared" si="22"/>
        <v>0</v>
      </c>
      <c r="V114">
        <f t="shared" si="23"/>
        <v>1305</v>
      </c>
      <c r="W114">
        <f t="shared" si="24"/>
        <v>1305</v>
      </c>
      <c r="X114">
        <v>0</v>
      </c>
    </row>
    <row r="115" spans="1:24" x14ac:dyDescent="0.25">
      <c r="A115" t="s">
        <v>463</v>
      </c>
      <c r="B115" t="s">
        <v>463</v>
      </c>
      <c r="C115" t="s">
        <v>480</v>
      </c>
      <c r="D115" t="s">
        <v>61</v>
      </c>
      <c r="E115" t="s">
        <v>28</v>
      </c>
      <c r="F115" t="s">
        <v>1</v>
      </c>
      <c r="G115" t="s">
        <v>220</v>
      </c>
      <c r="H115" t="s">
        <v>180</v>
      </c>
      <c r="I115" t="s">
        <v>1</v>
      </c>
      <c r="J115">
        <v>94.55</v>
      </c>
      <c r="L115">
        <v>0</v>
      </c>
      <c r="M115">
        <v>0</v>
      </c>
      <c r="N115">
        <v>0</v>
      </c>
      <c r="P115">
        <v>0</v>
      </c>
      <c r="Q115">
        <f t="shared" si="20"/>
        <v>0</v>
      </c>
      <c r="R115">
        <v>1500</v>
      </c>
      <c r="S115">
        <f t="shared" si="21"/>
        <v>1500</v>
      </c>
      <c r="U115">
        <f t="shared" si="22"/>
        <v>0</v>
      </c>
      <c r="V115">
        <f t="shared" si="23"/>
        <v>1500</v>
      </c>
      <c r="W115">
        <f t="shared" si="24"/>
        <v>1500</v>
      </c>
      <c r="X115">
        <v>0</v>
      </c>
    </row>
    <row r="116" spans="1:24" x14ac:dyDescent="0.25">
      <c r="A116" t="s">
        <v>463</v>
      </c>
      <c r="B116" t="s">
        <v>463</v>
      </c>
      <c r="C116" t="s">
        <v>480</v>
      </c>
      <c r="D116" t="s">
        <v>61</v>
      </c>
      <c r="E116" t="s">
        <v>65</v>
      </c>
      <c r="F116" t="s">
        <v>1</v>
      </c>
      <c r="G116" t="s">
        <v>220</v>
      </c>
      <c r="H116" t="s">
        <v>224</v>
      </c>
      <c r="I116" t="s">
        <v>1</v>
      </c>
      <c r="J116">
        <v>42177</v>
      </c>
      <c r="K116">
        <v>145080</v>
      </c>
      <c r="L116">
        <v>27170</v>
      </c>
      <c r="M116">
        <v>54790.331491712706</v>
      </c>
      <c r="N116">
        <v>69347</v>
      </c>
      <c r="O116">
        <v>54340</v>
      </c>
      <c r="P116">
        <v>0</v>
      </c>
      <c r="Q116">
        <f t="shared" si="20"/>
        <v>54340</v>
      </c>
      <c r="R116">
        <v>81510</v>
      </c>
      <c r="S116">
        <f t="shared" si="21"/>
        <v>27170</v>
      </c>
      <c r="U116">
        <f t="shared" si="22"/>
        <v>0</v>
      </c>
      <c r="V116">
        <f t="shared" si="23"/>
        <v>81510</v>
      </c>
      <c r="W116">
        <f t="shared" si="24"/>
        <v>27170</v>
      </c>
      <c r="X116">
        <v>0</v>
      </c>
    </row>
    <row r="117" spans="1:24" x14ac:dyDescent="0.25">
      <c r="A117" t="s">
        <v>463</v>
      </c>
      <c r="B117" t="s">
        <v>463</v>
      </c>
      <c r="C117" t="s">
        <v>480</v>
      </c>
      <c r="D117" t="s">
        <v>61</v>
      </c>
      <c r="E117" t="s">
        <v>30</v>
      </c>
      <c r="F117" t="s">
        <v>1</v>
      </c>
      <c r="G117" t="s">
        <v>220</v>
      </c>
      <c r="H117" t="s">
        <v>182</v>
      </c>
      <c r="I117" t="s">
        <v>1</v>
      </c>
      <c r="J117">
        <v>23388.75</v>
      </c>
      <c r="L117">
        <v>20047.5</v>
      </c>
      <c r="M117">
        <v>40427.279005524862</v>
      </c>
      <c r="N117">
        <v>43436.25</v>
      </c>
      <c r="O117">
        <v>40095</v>
      </c>
      <c r="P117">
        <v>0</v>
      </c>
      <c r="Q117">
        <f t="shared" si="20"/>
        <v>40095</v>
      </c>
      <c r="R117">
        <v>54540</v>
      </c>
      <c r="S117">
        <f t="shared" si="21"/>
        <v>14445</v>
      </c>
      <c r="T117">
        <v>0.03</v>
      </c>
      <c r="U117">
        <f t="shared" si="22"/>
        <v>1636.2</v>
      </c>
      <c r="V117">
        <f t="shared" si="23"/>
        <v>56176.2</v>
      </c>
      <c r="W117">
        <f t="shared" si="24"/>
        <v>16081.199999999997</v>
      </c>
      <c r="X117">
        <v>0</v>
      </c>
    </row>
    <row r="118" spans="1:24" x14ac:dyDescent="0.25">
      <c r="A118" t="s">
        <v>463</v>
      </c>
      <c r="B118" t="s">
        <v>463</v>
      </c>
      <c r="C118" t="s">
        <v>480</v>
      </c>
      <c r="D118" t="s">
        <v>61</v>
      </c>
      <c r="E118" t="s">
        <v>31</v>
      </c>
      <c r="F118" t="s">
        <v>1</v>
      </c>
      <c r="G118" t="s">
        <v>220</v>
      </c>
      <c r="H118" t="s">
        <v>183</v>
      </c>
      <c r="I118" t="s">
        <v>1</v>
      </c>
      <c r="J118">
        <v>116468.03</v>
      </c>
      <c r="K118">
        <v>118481.0004</v>
      </c>
      <c r="L118">
        <v>62383.7</v>
      </c>
      <c r="M118">
        <v>125801.38397790055</v>
      </c>
      <c r="N118">
        <v>127313.06</v>
      </c>
      <c r="O118">
        <v>124767.4</v>
      </c>
      <c r="P118">
        <v>0</v>
      </c>
      <c r="Q118">
        <f t="shared" si="20"/>
        <v>124767.4</v>
      </c>
      <c r="R118">
        <v>118481.0004</v>
      </c>
      <c r="S118">
        <f t="shared" si="21"/>
        <v>-6286.3995999999897</v>
      </c>
      <c r="T118">
        <v>0.03</v>
      </c>
      <c r="U118">
        <f t="shared" si="22"/>
        <v>3554.4300119999998</v>
      </c>
      <c r="V118">
        <f t="shared" si="23"/>
        <v>122035.430412</v>
      </c>
      <c r="W118">
        <f t="shared" si="24"/>
        <v>-2731.9695879999927</v>
      </c>
      <c r="X118">
        <v>0</v>
      </c>
    </row>
    <row r="119" spans="1:24" x14ac:dyDescent="0.25">
      <c r="A119" t="s">
        <v>463</v>
      </c>
      <c r="B119" t="s">
        <v>463</v>
      </c>
      <c r="C119" t="s">
        <v>480</v>
      </c>
      <c r="D119" t="s">
        <v>61</v>
      </c>
      <c r="E119" t="s">
        <v>32</v>
      </c>
      <c r="F119" t="s">
        <v>1</v>
      </c>
      <c r="G119" t="s">
        <v>220</v>
      </c>
      <c r="H119" t="s">
        <v>184</v>
      </c>
      <c r="I119" t="s">
        <v>1</v>
      </c>
      <c r="J119">
        <v>4854.8599999999997</v>
      </c>
      <c r="K119">
        <v>2852.0000000004002</v>
      </c>
      <c r="L119">
        <v>2843.88</v>
      </c>
      <c r="M119">
        <v>5734.8961325966857</v>
      </c>
      <c r="N119">
        <v>5763.8899999999994</v>
      </c>
      <c r="O119">
        <v>5687.76</v>
      </c>
      <c r="P119">
        <v>0</v>
      </c>
      <c r="Q119">
        <f t="shared" si="20"/>
        <v>5687.76</v>
      </c>
      <c r="R119">
        <v>5687.76</v>
      </c>
      <c r="S119">
        <f t="shared" si="21"/>
        <v>0</v>
      </c>
      <c r="T119">
        <v>0.03</v>
      </c>
      <c r="U119">
        <f t="shared" si="22"/>
        <v>170.6328</v>
      </c>
      <c r="V119">
        <f t="shared" si="23"/>
        <v>5858.3928000000005</v>
      </c>
      <c r="W119">
        <f t="shared" si="24"/>
        <v>170.63280000000032</v>
      </c>
      <c r="X119">
        <v>0</v>
      </c>
    </row>
    <row r="120" spans="1:24" x14ac:dyDescent="0.25">
      <c r="A120" t="s">
        <v>463</v>
      </c>
      <c r="B120" t="s">
        <v>463</v>
      </c>
      <c r="C120" t="s">
        <v>480</v>
      </c>
      <c r="D120" t="s">
        <v>61</v>
      </c>
      <c r="E120" t="s">
        <v>66</v>
      </c>
      <c r="F120" t="s">
        <v>1</v>
      </c>
      <c r="G120" t="s">
        <v>220</v>
      </c>
      <c r="H120" t="s">
        <v>225</v>
      </c>
      <c r="I120" t="s">
        <v>1</v>
      </c>
      <c r="J120">
        <v>129339.92</v>
      </c>
      <c r="K120">
        <v>120000</v>
      </c>
      <c r="L120">
        <v>69425.39</v>
      </c>
      <c r="M120">
        <v>140001.4770718232</v>
      </c>
      <c r="N120">
        <v>136838.53</v>
      </c>
      <c r="O120">
        <v>138850.78</v>
      </c>
      <c r="P120">
        <v>0</v>
      </c>
      <c r="Q120">
        <f t="shared" si="20"/>
        <v>138850.78</v>
      </c>
      <c r="R120">
        <v>138850.78</v>
      </c>
      <c r="S120">
        <f t="shared" si="21"/>
        <v>0</v>
      </c>
      <c r="T120">
        <v>0.03</v>
      </c>
      <c r="U120">
        <f t="shared" si="22"/>
        <v>4165.5234</v>
      </c>
      <c r="V120">
        <f t="shared" si="23"/>
        <v>143016.3034</v>
      </c>
      <c r="W120">
        <f t="shared" si="24"/>
        <v>4165.5234000000055</v>
      </c>
      <c r="X120">
        <v>0</v>
      </c>
    </row>
    <row r="121" spans="1:24" x14ac:dyDescent="0.25">
      <c r="A121" t="s">
        <v>463</v>
      </c>
      <c r="B121" t="s">
        <v>463</v>
      </c>
      <c r="C121" t="s">
        <v>480</v>
      </c>
      <c r="D121" t="s">
        <v>61</v>
      </c>
      <c r="E121" t="s">
        <v>33</v>
      </c>
      <c r="F121" t="s">
        <v>1</v>
      </c>
      <c r="G121" t="s">
        <v>220</v>
      </c>
      <c r="H121" t="s">
        <v>185</v>
      </c>
      <c r="I121" t="s">
        <v>1</v>
      </c>
      <c r="J121">
        <v>9003</v>
      </c>
      <c r="K121">
        <v>8834.0000000004002</v>
      </c>
      <c r="L121">
        <v>0</v>
      </c>
      <c r="M121">
        <v>0</v>
      </c>
      <c r="N121">
        <v>0</v>
      </c>
      <c r="P121">
        <v>0</v>
      </c>
      <c r="Q121">
        <f t="shared" si="20"/>
        <v>0</v>
      </c>
      <c r="R121">
        <v>8834.0000000004002</v>
      </c>
      <c r="S121">
        <f t="shared" si="21"/>
        <v>8834.0000000004002</v>
      </c>
      <c r="T121">
        <v>0.03</v>
      </c>
      <c r="U121">
        <f t="shared" si="22"/>
        <v>265.02000000001198</v>
      </c>
      <c r="V121">
        <f t="shared" si="23"/>
        <v>9099.0200000004115</v>
      </c>
      <c r="W121">
        <f t="shared" si="24"/>
        <v>9099.0200000004115</v>
      </c>
      <c r="X121">
        <v>0</v>
      </c>
    </row>
    <row r="122" spans="1:24" x14ac:dyDescent="0.25">
      <c r="A122" t="s">
        <v>463</v>
      </c>
      <c r="B122" t="s">
        <v>463</v>
      </c>
      <c r="C122" t="s">
        <v>480</v>
      </c>
      <c r="D122" t="s">
        <v>61</v>
      </c>
      <c r="E122" t="s">
        <v>67</v>
      </c>
      <c r="F122" t="s">
        <v>1</v>
      </c>
      <c r="G122" t="s">
        <v>220</v>
      </c>
      <c r="H122" t="s">
        <v>226</v>
      </c>
      <c r="I122" t="s">
        <v>1</v>
      </c>
      <c r="J122">
        <v>11243.06</v>
      </c>
      <c r="K122">
        <v>5400</v>
      </c>
      <c r="L122">
        <v>11567.9</v>
      </c>
      <c r="M122">
        <v>23327.533149171271</v>
      </c>
      <c r="N122">
        <v>21370.9</v>
      </c>
      <c r="O122">
        <v>23135.8</v>
      </c>
      <c r="P122">
        <v>0</v>
      </c>
      <c r="Q122">
        <f t="shared" si="20"/>
        <v>23135.8</v>
      </c>
      <c r="R122">
        <v>15000</v>
      </c>
      <c r="S122">
        <f t="shared" si="21"/>
        <v>-8135.7999999999993</v>
      </c>
      <c r="T122">
        <v>0.03</v>
      </c>
      <c r="U122">
        <f t="shared" si="22"/>
        <v>450</v>
      </c>
      <c r="V122">
        <f t="shared" si="23"/>
        <v>15450</v>
      </c>
      <c r="W122">
        <f t="shared" si="24"/>
        <v>-7685.7999999999993</v>
      </c>
      <c r="X122">
        <v>0</v>
      </c>
    </row>
    <row r="123" spans="1:24" x14ac:dyDescent="0.25">
      <c r="A123" t="s">
        <v>463</v>
      </c>
      <c r="B123" t="s">
        <v>463</v>
      </c>
      <c r="C123" t="s">
        <v>480</v>
      </c>
      <c r="D123" t="s">
        <v>61</v>
      </c>
      <c r="E123" t="s">
        <v>68</v>
      </c>
      <c r="F123" t="s">
        <v>1</v>
      </c>
      <c r="G123" t="s">
        <v>220</v>
      </c>
      <c r="H123" t="s">
        <v>227</v>
      </c>
      <c r="I123" t="s">
        <v>1</v>
      </c>
      <c r="J123">
        <v>7613</v>
      </c>
      <c r="K123">
        <v>7476</v>
      </c>
      <c r="L123">
        <v>3115</v>
      </c>
      <c r="M123">
        <v>6281.6298342541431</v>
      </c>
      <c r="N123">
        <v>7613</v>
      </c>
      <c r="O123">
        <v>6230</v>
      </c>
      <c r="P123">
        <v>0</v>
      </c>
      <c r="Q123">
        <f t="shared" si="20"/>
        <v>6230</v>
      </c>
      <c r="R123">
        <v>6230</v>
      </c>
      <c r="S123">
        <f t="shared" si="21"/>
        <v>0</v>
      </c>
      <c r="T123">
        <v>0.03</v>
      </c>
      <c r="U123">
        <f t="shared" si="22"/>
        <v>186.9</v>
      </c>
      <c r="V123">
        <f t="shared" si="23"/>
        <v>6416.9</v>
      </c>
      <c r="W123">
        <f t="shared" si="24"/>
        <v>186.89999999999964</v>
      </c>
      <c r="X123">
        <v>0</v>
      </c>
    </row>
    <row r="124" spans="1:24" x14ac:dyDescent="0.25">
      <c r="A124" t="s">
        <v>463</v>
      </c>
      <c r="B124" t="s">
        <v>463</v>
      </c>
      <c r="C124" t="s">
        <v>480</v>
      </c>
      <c r="D124" t="s">
        <v>61</v>
      </c>
      <c r="E124" t="s">
        <v>36</v>
      </c>
      <c r="F124" t="s">
        <v>1</v>
      </c>
      <c r="G124" t="s">
        <v>220</v>
      </c>
      <c r="H124" t="s">
        <v>188</v>
      </c>
      <c r="I124" t="s">
        <v>1</v>
      </c>
      <c r="J124">
        <v>78.199999999999804</v>
      </c>
      <c r="K124">
        <v>612</v>
      </c>
      <c r="L124">
        <v>5666.32</v>
      </c>
      <c r="M124">
        <v>11426.556906077347</v>
      </c>
      <c r="N124">
        <v>4323.32</v>
      </c>
      <c r="O124">
        <v>11332.64</v>
      </c>
      <c r="P124">
        <v>0</v>
      </c>
      <c r="Q124">
        <f t="shared" si="20"/>
        <v>11332.64</v>
      </c>
      <c r="R124">
        <v>2374</v>
      </c>
      <c r="S124">
        <f t="shared" si="21"/>
        <v>-8958.64</v>
      </c>
      <c r="T124">
        <v>0.03</v>
      </c>
      <c r="U124">
        <f t="shared" si="22"/>
        <v>71.22</v>
      </c>
      <c r="V124">
        <f t="shared" si="23"/>
        <v>2445.2199999999998</v>
      </c>
      <c r="W124">
        <f t="shared" si="24"/>
        <v>-8887.42</v>
      </c>
      <c r="X124">
        <v>0</v>
      </c>
    </row>
    <row r="125" spans="1:24" x14ac:dyDescent="0.25">
      <c r="A125" t="s">
        <v>463</v>
      </c>
      <c r="B125" t="s">
        <v>463</v>
      </c>
      <c r="C125" t="s">
        <v>480</v>
      </c>
      <c r="D125" t="s">
        <v>61</v>
      </c>
      <c r="E125" t="s">
        <v>42</v>
      </c>
      <c r="F125" t="s">
        <v>42</v>
      </c>
      <c r="G125" t="s">
        <v>228</v>
      </c>
      <c r="J125">
        <v>816150.26</v>
      </c>
      <c r="K125">
        <v>756522.11712963053</v>
      </c>
      <c r="L125">
        <v>261787.61000000002</v>
      </c>
      <c r="M125">
        <v>527914.24116022105</v>
      </c>
      <c r="N125">
        <v>640798.71999999997</v>
      </c>
      <c r="O125">
        <v>524234.51761338121</v>
      </c>
      <c r="P125">
        <f>SUMIF($F$95:$F$124,"&lt;&gt;EV_*",$P$95:$P$124)</f>
        <v>0</v>
      </c>
      <c r="Q125">
        <f>SUMIF($F$95:$F$124,"&lt;&gt;EV_*",$Q$95:$Q$124)</f>
        <v>524234.51761338121</v>
      </c>
      <c r="R125">
        <f>SUMIF($F$95:$F$124,"&lt;&gt;EV_*",$R$95:$R$124)</f>
        <v>561821.30344717437</v>
      </c>
      <c r="S125">
        <f>SUMIF($F$95:$F$124,"&lt;&gt;EV_*",$S$95:$S$124)</f>
        <v>37586.785833793212</v>
      </c>
      <c r="T125">
        <v>0</v>
      </c>
      <c r="U125">
        <f>SUMIF($F$95:$F$124,"&lt;&gt;EV_*",$U$95:$U$124)</f>
        <v>13999.996861389849</v>
      </c>
      <c r="V125">
        <f>SUMIF($F$95:$F$124,"&lt;&gt;EV_*",$V$95:$V$124)</f>
        <v>575821.30030856421</v>
      </c>
      <c r="W125">
        <f>SUMIF($F$95:$F$124,"&lt;&gt;EV_*",$W$95:$W$124)</f>
        <v>51586.782695183058</v>
      </c>
      <c r="X125">
        <f>SUMIF($F$95:$F$124,"&lt;&gt;EV_*",$X$95:$X$124)</f>
        <v>0</v>
      </c>
    </row>
    <row r="126" spans="1:24" x14ac:dyDescent="0.25">
      <c r="A126" t="s">
        <v>464</v>
      </c>
      <c r="B126" t="s">
        <v>465</v>
      </c>
      <c r="C126" t="s">
        <v>481</v>
      </c>
      <c r="D126" t="s">
        <v>69</v>
      </c>
      <c r="E126" t="s">
        <v>5</v>
      </c>
      <c r="F126" t="s">
        <v>5</v>
      </c>
      <c r="G126" t="s">
        <v>229</v>
      </c>
    </row>
    <row r="127" spans="1:24" x14ac:dyDescent="0.25">
      <c r="A127" t="s">
        <v>464</v>
      </c>
      <c r="B127" t="s">
        <v>465</v>
      </c>
      <c r="C127" t="s">
        <v>481</v>
      </c>
      <c r="D127" t="s">
        <v>69</v>
      </c>
      <c r="E127" t="s">
        <v>70</v>
      </c>
      <c r="F127" t="s">
        <v>1</v>
      </c>
      <c r="G127" t="s">
        <v>230</v>
      </c>
      <c r="H127" t="s">
        <v>231</v>
      </c>
      <c r="I127" t="s">
        <v>1</v>
      </c>
      <c r="J127">
        <v>-54.91</v>
      </c>
      <c r="L127">
        <v>-102.42</v>
      </c>
      <c r="M127">
        <v>-206.53756906077351</v>
      </c>
      <c r="N127">
        <v>-136.29000000000002</v>
      </c>
      <c r="O127">
        <v>-205.9654945055</v>
      </c>
      <c r="P127">
        <v>0</v>
      </c>
      <c r="Q127">
        <f t="shared" ref="Q127:Q160" si="25">O127+P127</f>
        <v>-205.9654945055</v>
      </c>
      <c r="R127">
        <v>0</v>
      </c>
      <c r="S127">
        <f t="shared" ref="S127:S160" si="26">IF(OR(LEFT(E127,2)="A_",LEFT(D127,5)="Total"),R127-Q127,"")</f>
        <v>205.9654945055</v>
      </c>
      <c r="U127">
        <f t="shared" ref="U127:U160" si="27">IFERROR(R127*T127,R127*0)</f>
        <v>0</v>
      </c>
      <c r="V127">
        <f t="shared" ref="V127:V160" si="28">IF(OR(LEFT(E127,2)="A_",LEFT(D127,5)="Total"),R127+U127,"")</f>
        <v>0</v>
      </c>
      <c r="W127">
        <f t="shared" ref="W127:W160" si="29">IF(OR(LEFT(E127,2)="A_",LEFT(D127,5)="Total"),V127-Q127,"")</f>
        <v>205.9654945055</v>
      </c>
      <c r="X127">
        <v>0</v>
      </c>
    </row>
    <row r="128" spans="1:24" x14ac:dyDescent="0.25">
      <c r="A128" t="s">
        <v>464</v>
      </c>
      <c r="B128" t="s">
        <v>465</v>
      </c>
      <c r="C128" t="s">
        <v>481</v>
      </c>
      <c r="D128" t="s">
        <v>69</v>
      </c>
      <c r="E128" t="s">
        <v>44</v>
      </c>
      <c r="F128" t="s">
        <v>1</v>
      </c>
      <c r="G128" t="s">
        <v>230</v>
      </c>
      <c r="H128" t="s">
        <v>197</v>
      </c>
      <c r="I128" t="s">
        <v>1</v>
      </c>
      <c r="J128">
        <v>-82.64</v>
      </c>
      <c r="L128">
        <v>-612.64</v>
      </c>
      <c r="M128">
        <v>-1235.4342541436463</v>
      </c>
      <c r="N128">
        <v>-634.28000000000009</v>
      </c>
      <c r="O128">
        <v>-1232.0123076923001</v>
      </c>
      <c r="P128">
        <v>0</v>
      </c>
      <c r="Q128">
        <f t="shared" si="25"/>
        <v>-1232.0123076923001</v>
      </c>
      <c r="R128">
        <v>-1232.0123076923001</v>
      </c>
      <c r="S128">
        <f t="shared" si="26"/>
        <v>0</v>
      </c>
      <c r="U128">
        <f t="shared" si="27"/>
        <v>0</v>
      </c>
      <c r="V128">
        <f t="shared" si="28"/>
        <v>-1232.0123076923001</v>
      </c>
      <c r="W128">
        <f t="shared" si="29"/>
        <v>0</v>
      </c>
      <c r="X128">
        <v>0</v>
      </c>
    </row>
    <row r="129" spans="1:24" x14ac:dyDescent="0.25">
      <c r="A129" t="s">
        <v>464</v>
      </c>
      <c r="B129" t="s">
        <v>465</v>
      </c>
      <c r="C129" t="s">
        <v>481</v>
      </c>
      <c r="D129" t="s">
        <v>69</v>
      </c>
      <c r="E129" t="s">
        <v>63</v>
      </c>
      <c r="F129" t="s">
        <v>1</v>
      </c>
      <c r="G129" t="s">
        <v>230</v>
      </c>
      <c r="H129" t="s">
        <v>222</v>
      </c>
      <c r="I129" t="s">
        <v>1</v>
      </c>
      <c r="J129">
        <v>2970.84</v>
      </c>
      <c r="K129">
        <v>104306.00472983799</v>
      </c>
      <c r="L129">
        <v>1011.45</v>
      </c>
      <c r="M129">
        <v>2039.6643646408841</v>
      </c>
      <c r="N129">
        <v>1657.34</v>
      </c>
      <c r="O129">
        <v>2034.0148351647999</v>
      </c>
      <c r="P129">
        <v>6</v>
      </c>
      <c r="Q129">
        <f t="shared" si="25"/>
        <v>2040.0148351647999</v>
      </c>
      <c r="R129">
        <v>2039.6643646408841</v>
      </c>
      <c r="S129">
        <f t="shared" si="26"/>
        <v>-0.35047052391587386</v>
      </c>
      <c r="T129">
        <v>2.75E-2</v>
      </c>
      <c r="U129">
        <f t="shared" si="27"/>
        <v>56.090770027624309</v>
      </c>
      <c r="V129">
        <f t="shared" si="28"/>
        <v>2095.7551346685082</v>
      </c>
      <c r="W129">
        <f t="shared" si="29"/>
        <v>55.740299503708229</v>
      </c>
      <c r="X129">
        <v>0</v>
      </c>
    </row>
    <row r="130" spans="1:24" x14ac:dyDescent="0.25">
      <c r="A130" t="s">
        <v>464</v>
      </c>
      <c r="B130" t="s">
        <v>465</v>
      </c>
      <c r="C130" t="s">
        <v>481</v>
      </c>
      <c r="D130" t="s">
        <v>69</v>
      </c>
      <c r="E130" t="s">
        <v>71</v>
      </c>
      <c r="F130" t="s">
        <v>1</v>
      </c>
      <c r="G130" t="s">
        <v>230</v>
      </c>
      <c r="H130" t="s">
        <v>232</v>
      </c>
      <c r="I130" t="s">
        <v>1</v>
      </c>
      <c r="J130">
        <v>686.09</v>
      </c>
      <c r="K130">
        <v>11319.577014516301</v>
      </c>
      <c r="L130">
        <v>520.98</v>
      </c>
      <c r="M130">
        <v>1050.5950276243093</v>
      </c>
      <c r="N130">
        <v>1034.8499999999999</v>
      </c>
      <c r="O130">
        <v>1047.6850549451001</v>
      </c>
      <c r="P130">
        <v>3</v>
      </c>
      <c r="Q130">
        <f t="shared" si="25"/>
        <v>1050.6850549451001</v>
      </c>
      <c r="R130">
        <v>1050.5950276243093</v>
      </c>
      <c r="S130">
        <f t="shared" si="26"/>
        <v>-9.0027320790795784E-2</v>
      </c>
      <c r="T130">
        <v>2.2499999999999999E-2</v>
      </c>
      <c r="U130">
        <f t="shared" si="27"/>
        <v>23.63838812154696</v>
      </c>
      <c r="V130">
        <f t="shared" si="28"/>
        <v>1074.2334157458563</v>
      </c>
      <c r="W130">
        <f t="shared" si="29"/>
        <v>23.5483608007562</v>
      </c>
      <c r="X130">
        <v>0</v>
      </c>
    </row>
    <row r="131" spans="1:24" x14ac:dyDescent="0.25">
      <c r="A131" t="s">
        <v>464</v>
      </c>
      <c r="B131" t="s">
        <v>465</v>
      </c>
      <c r="C131" t="s">
        <v>481</v>
      </c>
      <c r="D131" t="s">
        <v>69</v>
      </c>
      <c r="E131" t="s">
        <v>12</v>
      </c>
      <c r="F131" t="s">
        <v>1</v>
      </c>
      <c r="G131" t="s">
        <v>230</v>
      </c>
      <c r="H131" t="s">
        <v>164</v>
      </c>
      <c r="I131" t="s">
        <v>1</v>
      </c>
      <c r="J131">
        <v>15.89</v>
      </c>
      <c r="L131">
        <v>0</v>
      </c>
      <c r="M131">
        <v>0</v>
      </c>
      <c r="N131">
        <v>0</v>
      </c>
      <c r="P131">
        <v>0</v>
      </c>
      <c r="Q131">
        <f t="shared" si="25"/>
        <v>0</v>
      </c>
      <c r="R131">
        <v>0</v>
      </c>
      <c r="S131">
        <f t="shared" si="26"/>
        <v>0</v>
      </c>
      <c r="T131">
        <v>3.2500000000000001E-2</v>
      </c>
      <c r="U131">
        <f t="shared" si="27"/>
        <v>0</v>
      </c>
      <c r="V131">
        <f t="shared" si="28"/>
        <v>0</v>
      </c>
      <c r="W131">
        <f t="shared" si="29"/>
        <v>0</v>
      </c>
      <c r="X131">
        <v>0</v>
      </c>
    </row>
    <row r="132" spans="1:24" x14ac:dyDescent="0.25">
      <c r="A132" t="s">
        <v>464</v>
      </c>
      <c r="B132" t="s">
        <v>465</v>
      </c>
      <c r="C132" t="s">
        <v>481</v>
      </c>
      <c r="D132" t="s">
        <v>69</v>
      </c>
      <c r="E132" t="s">
        <v>13</v>
      </c>
      <c r="F132" t="s">
        <v>1</v>
      </c>
      <c r="G132" t="s">
        <v>230</v>
      </c>
      <c r="H132" t="s">
        <v>165</v>
      </c>
      <c r="I132" t="s">
        <v>1</v>
      </c>
      <c r="J132">
        <v>40457.480000000003</v>
      </c>
      <c r="K132">
        <v>154920.31770322099</v>
      </c>
      <c r="L132">
        <v>15936.64</v>
      </c>
      <c r="M132">
        <v>32137.423204419891</v>
      </c>
      <c r="N132">
        <v>37554.810000000005</v>
      </c>
      <c r="O132">
        <v>32048.4079120879</v>
      </c>
      <c r="P132">
        <v>89</v>
      </c>
      <c r="Q132">
        <f t="shared" si="25"/>
        <v>32137.4079120879</v>
      </c>
      <c r="R132">
        <v>32137</v>
      </c>
      <c r="S132">
        <f t="shared" si="26"/>
        <v>-0.40791208789960365</v>
      </c>
      <c r="T132">
        <v>0.02</v>
      </c>
      <c r="U132">
        <f t="shared" si="27"/>
        <v>642.74</v>
      </c>
      <c r="V132">
        <f t="shared" si="28"/>
        <v>32779.74</v>
      </c>
      <c r="W132">
        <f t="shared" si="29"/>
        <v>642.33208791209836</v>
      </c>
      <c r="X132">
        <v>0</v>
      </c>
    </row>
    <row r="133" spans="1:24" x14ac:dyDescent="0.25">
      <c r="A133" t="s">
        <v>464</v>
      </c>
      <c r="B133" t="s">
        <v>465</v>
      </c>
      <c r="C133" t="s">
        <v>481</v>
      </c>
      <c r="D133" t="s">
        <v>69</v>
      </c>
      <c r="E133" t="s">
        <v>14</v>
      </c>
      <c r="F133" t="s">
        <v>1</v>
      </c>
      <c r="G133" t="s">
        <v>230</v>
      </c>
      <c r="H133" t="s">
        <v>166</v>
      </c>
      <c r="I133" t="s">
        <v>1</v>
      </c>
      <c r="J133">
        <v>46.27</v>
      </c>
      <c r="K133">
        <v>1979.1200000002</v>
      </c>
      <c r="L133">
        <v>0</v>
      </c>
      <c r="M133">
        <v>0</v>
      </c>
      <c r="N133">
        <v>46.27</v>
      </c>
      <c r="P133">
        <v>0</v>
      </c>
      <c r="Q133">
        <f t="shared" si="25"/>
        <v>0</v>
      </c>
      <c r="R133">
        <v>0</v>
      </c>
      <c r="S133">
        <f t="shared" si="26"/>
        <v>0</v>
      </c>
      <c r="T133">
        <v>0.04</v>
      </c>
      <c r="U133">
        <f t="shared" si="27"/>
        <v>0</v>
      </c>
      <c r="V133">
        <f t="shared" si="28"/>
        <v>0</v>
      </c>
      <c r="W133">
        <f t="shared" si="29"/>
        <v>0</v>
      </c>
      <c r="X133">
        <v>0</v>
      </c>
    </row>
    <row r="134" spans="1:24" x14ac:dyDescent="0.25">
      <c r="A134" t="s">
        <v>464</v>
      </c>
      <c r="B134" t="s">
        <v>465</v>
      </c>
      <c r="C134" t="s">
        <v>481</v>
      </c>
      <c r="D134" t="s">
        <v>69</v>
      </c>
      <c r="E134" t="s">
        <v>57</v>
      </c>
      <c r="F134" t="s">
        <v>1</v>
      </c>
      <c r="G134" t="s">
        <v>230</v>
      </c>
      <c r="H134" t="s">
        <v>214</v>
      </c>
      <c r="I134" t="s">
        <v>1</v>
      </c>
      <c r="K134">
        <v>12480</v>
      </c>
      <c r="L134">
        <v>0</v>
      </c>
      <c r="M134">
        <v>0</v>
      </c>
      <c r="N134">
        <v>0</v>
      </c>
      <c r="P134">
        <v>0</v>
      </c>
      <c r="Q134">
        <f t="shared" si="25"/>
        <v>0</v>
      </c>
      <c r="R134">
        <v>0</v>
      </c>
      <c r="S134">
        <f t="shared" si="26"/>
        <v>0</v>
      </c>
      <c r="T134">
        <v>0.04</v>
      </c>
      <c r="U134">
        <f t="shared" si="27"/>
        <v>0</v>
      </c>
      <c r="V134">
        <f t="shared" si="28"/>
        <v>0</v>
      </c>
      <c r="W134">
        <f t="shared" si="29"/>
        <v>0</v>
      </c>
      <c r="X134">
        <v>0</v>
      </c>
    </row>
    <row r="135" spans="1:24" x14ac:dyDescent="0.25">
      <c r="A135" t="s">
        <v>464</v>
      </c>
      <c r="B135" t="s">
        <v>465</v>
      </c>
      <c r="C135" t="s">
        <v>481</v>
      </c>
      <c r="D135" t="s">
        <v>69</v>
      </c>
      <c r="E135" t="s">
        <v>64</v>
      </c>
      <c r="F135" t="s">
        <v>1</v>
      </c>
      <c r="G135" t="s">
        <v>230</v>
      </c>
      <c r="H135" t="s">
        <v>223</v>
      </c>
      <c r="I135" t="s">
        <v>1</v>
      </c>
      <c r="L135">
        <v>577.86</v>
      </c>
      <c r="M135">
        <v>1165.2977900552487</v>
      </c>
      <c r="N135">
        <v>577.86</v>
      </c>
      <c r="O135">
        <v>1162.0701098901</v>
      </c>
      <c r="P135">
        <v>3</v>
      </c>
      <c r="Q135">
        <f t="shared" si="25"/>
        <v>1165.0701098901</v>
      </c>
      <c r="R135">
        <v>1165.2977900552487</v>
      </c>
      <c r="S135">
        <f t="shared" si="26"/>
        <v>0.22768016514874034</v>
      </c>
      <c r="T135">
        <v>0.02</v>
      </c>
      <c r="U135">
        <f t="shared" si="27"/>
        <v>23.305955801104975</v>
      </c>
      <c r="V135">
        <f t="shared" si="28"/>
        <v>1188.6037458563537</v>
      </c>
      <c r="W135">
        <f t="shared" si="29"/>
        <v>23.533635966253769</v>
      </c>
      <c r="X135">
        <v>0</v>
      </c>
    </row>
    <row r="136" spans="1:24" x14ac:dyDescent="0.25">
      <c r="A136" t="s">
        <v>464</v>
      </c>
      <c r="B136" t="s">
        <v>465</v>
      </c>
      <c r="C136" t="s">
        <v>481</v>
      </c>
      <c r="D136" t="s">
        <v>69</v>
      </c>
      <c r="E136" t="s">
        <v>15</v>
      </c>
      <c r="F136" t="s">
        <v>1</v>
      </c>
      <c r="G136" t="s">
        <v>230</v>
      </c>
      <c r="H136" t="s">
        <v>167</v>
      </c>
      <c r="I136" t="s">
        <v>1</v>
      </c>
      <c r="J136">
        <v>10344.77</v>
      </c>
      <c r="K136">
        <v>265850.16629354801</v>
      </c>
      <c r="L136">
        <v>3323.63</v>
      </c>
      <c r="M136">
        <v>6702.3477900552489</v>
      </c>
      <c r="N136">
        <v>8854.6200000000008</v>
      </c>
      <c r="O136">
        <v>6683.7834065934003</v>
      </c>
      <c r="P136">
        <v>19</v>
      </c>
      <c r="Q136">
        <f t="shared" si="25"/>
        <v>6702.7834065934003</v>
      </c>
      <c r="R136">
        <v>6702.3477900552489</v>
      </c>
      <c r="S136">
        <f t="shared" si="26"/>
        <v>-0.43561653815140744</v>
      </c>
      <c r="T136">
        <v>3.5000000000000003E-2</v>
      </c>
      <c r="U136">
        <f t="shared" si="27"/>
        <v>234.58217265193375</v>
      </c>
      <c r="V136">
        <f t="shared" si="28"/>
        <v>6936.9299627071823</v>
      </c>
      <c r="W136">
        <f t="shared" si="29"/>
        <v>234.14655611378203</v>
      </c>
      <c r="X136">
        <v>0</v>
      </c>
    </row>
    <row r="137" spans="1:24" x14ac:dyDescent="0.25">
      <c r="A137" t="s">
        <v>464</v>
      </c>
      <c r="B137" t="s">
        <v>465</v>
      </c>
      <c r="C137" t="s">
        <v>481</v>
      </c>
      <c r="D137" t="s">
        <v>69</v>
      </c>
      <c r="E137" t="s">
        <v>47</v>
      </c>
      <c r="F137" t="s">
        <v>1</v>
      </c>
      <c r="G137" t="s">
        <v>230</v>
      </c>
      <c r="H137" t="s">
        <v>200</v>
      </c>
      <c r="I137" t="s">
        <v>1</v>
      </c>
      <c r="J137">
        <v>156.38999999999999</v>
      </c>
      <c r="K137">
        <v>6774.360764516</v>
      </c>
      <c r="L137">
        <v>0</v>
      </c>
      <c r="M137">
        <v>0</v>
      </c>
      <c r="N137">
        <v>0</v>
      </c>
      <c r="P137">
        <v>0</v>
      </c>
      <c r="Q137">
        <f t="shared" si="25"/>
        <v>0</v>
      </c>
      <c r="R137">
        <v>0</v>
      </c>
      <c r="S137">
        <f t="shared" si="26"/>
        <v>0</v>
      </c>
      <c r="T137">
        <v>0.02</v>
      </c>
      <c r="U137">
        <f t="shared" si="27"/>
        <v>0</v>
      </c>
      <c r="V137">
        <f t="shared" si="28"/>
        <v>0</v>
      </c>
      <c r="W137">
        <f t="shared" si="29"/>
        <v>0</v>
      </c>
      <c r="X137">
        <v>0</v>
      </c>
    </row>
    <row r="138" spans="1:24" x14ac:dyDescent="0.25">
      <c r="A138" t="s">
        <v>464</v>
      </c>
      <c r="B138" t="s">
        <v>465</v>
      </c>
      <c r="C138" t="s">
        <v>481</v>
      </c>
      <c r="D138" t="s">
        <v>69</v>
      </c>
      <c r="E138" t="s">
        <v>48</v>
      </c>
      <c r="F138" t="s">
        <v>1</v>
      </c>
      <c r="G138" t="s">
        <v>230</v>
      </c>
      <c r="H138" t="s">
        <v>201</v>
      </c>
      <c r="I138" t="s">
        <v>1</v>
      </c>
      <c r="J138">
        <v>4650.3999999999996</v>
      </c>
      <c r="K138">
        <v>20276.478193548399</v>
      </c>
      <c r="L138">
        <v>0</v>
      </c>
      <c r="M138">
        <v>0</v>
      </c>
      <c r="N138">
        <v>4180</v>
      </c>
      <c r="P138">
        <v>0</v>
      </c>
      <c r="Q138">
        <f t="shared" si="25"/>
        <v>0</v>
      </c>
      <c r="R138">
        <v>0</v>
      </c>
      <c r="S138">
        <f t="shared" si="26"/>
        <v>0</v>
      </c>
      <c r="T138">
        <v>1.4999999999999999E-2</v>
      </c>
      <c r="U138">
        <f t="shared" si="27"/>
        <v>0</v>
      </c>
      <c r="V138">
        <f t="shared" si="28"/>
        <v>0</v>
      </c>
      <c r="W138">
        <f t="shared" si="29"/>
        <v>0</v>
      </c>
      <c r="X138">
        <v>0</v>
      </c>
    </row>
    <row r="139" spans="1:24" x14ac:dyDescent="0.25">
      <c r="A139" t="s">
        <v>464</v>
      </c>
      <c r="B139" t="s">
        <v>465</v>
      </c>
      <c r="C139" t="s">
        <v>481</v>
      </c>
      <c r="D139" t="s">
        <v>69</v>
      </c>
      <c r="E139" t="s">
        <v>51</v>
      </c>
      <c r="F139" t="s">
        <v>1</v>
      </c>
      <c r="G139" t="s">
        <v>230</v>
      </c>
      <c r="H139" t="s">
        <v>204</v>
      </c>
      <c r="I139" t="s">
        <v>1</v>
      </c>
      <c r="J139">
        <v>1948.37</v>
      </c>
      <c r="K139">
        <v>85638.874957258304</v>
      </c>
      <c r="L139">
        <v>0</v>
      </c>
      <c r="M139">
        <v>0</v>
      </c>
      <c r="N139">
        <v>0</v>
      </c>
      <c r="P139">
        <v>0</v>
      </c>
      <c r="Q139">
        <f t="shared" si="25"/>
        <v>0</v>
      </c>
      <c r="R139">
        <v>0</v>
      </c>
      <c r="S139">
        <f t="shared" si="26"/>
        <v>0</v>
      </c>
      <c r="T139">
        <v>3.5000000000000003E-2</v>
      </c>
      <c r="U139">
        <f t="shared" si="27"/>
        <v>0</v>
      </c>
      <c r="V139">
        <f t="shared" si="28"/>
        <v>0</v>
      </c>
      <c r="W139">
        <f t="shared" si="29"/>
        <v>0</v>
      </c>
      <c r="X139">
        <v>0</v>
      </c>
    </row>
    <row r="140" spans="1:24" x14ac:dyDescent="0.25">
      <c r="A140" t="s">
        <v>464</v>
      </c>
      <c r="B140" t="s">
        <v>465</v>
      </c>
      <c r="C140" t="s">
        <v>481</v>
      </c>
      <c r="D140" t="s">
        <v>69</v>
      </c>
      <c r="E140" t="s">
        <v>52</v>
      </c>
      <c r="F140" t="s">
        <v>1</v>
      </c>
      <c r="G140" t="s">
        <v>230</v>
      </c>
      <c r="H140" t="s">
        <v>205</v>
      </c>
      <c r="I140" t="s">
        <v>1</v>
      </c>
      <c r="J140">
        <v>8217.64</v>
      </c>
      <c r="K140">
        <v>236324.56172903199</v>
      </c>
      <c r="L140">
        <v>2478.23</v>
      </c>
      <c r="M140">
        <v>4997.535635359116</v>
      </c>
      <c r="N140">
        <v>5421.4400000000005</v>
      </c>
      <c r="O140">
        <v>4983.6932967032999</v>
      </c>
      <c r="P140">
        <v>14</v>
      </c>
      <c r="Q140">
        <f t="shared" si="25"/>
        <v>4997.6932967032999</v>
      </c>
      <c r="R140">
        <v>4997.535635359116</v>
      </c>
      <c r="S140">
        <f t="shared" si="26"/>
        <v>-0.1576613441839072</v>
      </c>
      <c r="T140">
        <v>0.04</v>
      </c>
      <c r="U140">
        <f t="shared" si="27"/>
        <v>199.90142541436464</v>
      </c>
      <c r="V140">
        <f t="shared" si="28"/>
        <v>5197.4370607734809</v>
      </c>
      <c r="W140">
        <f t="shared" si="29"/>
        <v>199.74376407018099</v>
      </c>
      <c r="X140">
        <v>0</v>
      </c>
    </row>
    <row r="141" spans="1:24" x14ac:dyDescent="0.25">
      <c r="A141" t="s">
        <v>464</v>
      </c>
      <c r="B141" t="s">
        <v>465</v>
      </c>
      <c r="C141" t="s">
        <v>481</v>
      </c>
      <c r="D141" t="s">
        <v>69</v>
      </c>
      <c r="E141" t="s">
        <v>16</v>
      </c>
      <c r="F141" t="s">
        <v>1</v>
      </c>
      <c r="G141" t="s">
        <v>230</v>
      </c>
      <c r="H141" t="s">
        <v>168</v>
      </c>
      <c r="I141" t="s">
        <v>1</v>
      </c>
      <c r="J141">
        <v>2085.3000000000002</v>
      </c>
      <c r="K141">
        <v>2531</v>
      </c>
      <c r="L141">
        <v>1472.85</v>
      </c>
      <c r="M141">
        <v>2970.1118784530386</v>
      </c>
      <c r="N141">
        <v>3394.35</v>
      </c>
      <c r="O141">
        <v>2970.1118784529999</v>
      </c>
      <c r="P141">
        <v>0</v>
      </c>
      <c r="Q141">
        <f t="shared" si="25"/>
        <v>2970.1118784529999</v>
      </c>
      <c r="R141">
        <v>2970.1118784530386</v>
      </c>
      <c r="S141">
        <f t="shared" si="26"/>
        <v>3.865352482534945E-11</v>
      </c>
      <c r="T141">
        <v>0.03</v>
      </c>
      <c r="U141">
        <f t="shared" si="27"/>
        <v>89.103356353591153</v>
      </c>
      <c r="V141">
        <f t="shared" si="28"/>
        <v>3059.2152348066297</v>
      </c>
      <c r="W141">
        <f t="shared" si="29"/>
        <v>89.103356353629806</v>
      </c>
      <c r="X141">
        <v>0</v>
      </c>
    </row>
    <row r="142" spans="1:24" x14ac:dyDescent="0.25">
      <c r="A142" t="s">
        <v>464</v>
      </c>
      <c r="B142" t="s">
        <v>465</v>
      </c>
      <c r="C142" t="s">
        <v>481</v>
      </c>
      <c r="D142" t="s">
        <v>69</v>
      </c>
      <c r="E142" t="s">
        <v>17</v>
      </c>
      <c r="F142" t="s">
        <v>1</v>
      </c>
      <c r="G142" t="s">
        <v>230</v>
      </c>
      <c r="H142" t="s">
        <v>169</v>
      </c>
      <c r="I142" t="s">
        <v>1</v>
      </c>
      <c r="J142">
        <v>3596.64</v>
      </c>
      <c r="K142">
        <v>1973.7449999998</v>
      </c>
      <c r="L142">
        <v>809.24</v>
      </c>
      <c r="M142">
        <v>1631.892817679558</v>
      </c>
      <c r="N142">
        <v>4383.66</v>
      </c>
      <c r="O142">
        <v>1631.8928176796001</v>
      </c>
      <c r="P142">
        <v>0</v>
      </c>
      <c r="Q142">
        <f t="shared" si="25"/>
        <v>1631.8928176796001</v>
      </c>
      <c r="R142">
        <v>1631.892817679558</v>
      </c>
      <c r="S142">
        <f t="shared" si="26"/>
        <v>-4.2064129956997931E-11</v>
      </c>
      <c r="T142">
        <v>3.5000000000000003E-2</v>
      </c>
      <c r="U142">
        <f t="shared" si="27"/>
        <v>57.116248618784532</v>
      </c>
      <c r="V142">
        <f t="shared" si="28"/>
        <v>1689.0090662983425</v>
      </c>
      <c r="W142">
        <f t="shared" si="29"/>
        <v>57.116248618742475</v>
      </c>
      <c r="X142">
        <v>0</v>
      </c>
    </row>
    <row r="143" spans="1:24" x14ac:dyDescent="0.25">
      <c r="A143" t="s">
        <v>464</v>
      </c>
      <c r="B143" t="s">
        <v>465</v>
      </c>
      <c r="C143" t="s">
        <v>481</v>
      </c>
      <c r="D143" t="s">
        <v>69</v>
      </c>
      <c r="E143" t="s">
        <v>18</v>
      </c>
      <c r="F143" t="s">
        <v>1</v>
      </c>
      <c r="G143" t="s">
        <v>230</v>
      </c>
      <c r="H143" t="s">
        <v>170</v>
      </c>
      <c r="I143" t="s">
        <v>1</v>
      </c>
      <c r="J143">
        <v>383</v>
      </c>
      <c r="K143">
        <v>682.06500000000005</v>
      </c>
      <c r="L143">
        <v>623.38</v>
      </c>
      <c r="M143">
        <v>1257.0922651933702</v>
      </c>
      <c r="N143">
        <v>679.63</v>
      </c>
      <c r="O143">
        <v>1257.0922651934</v>
      </c>
      <c r="P143">
        <v>0</v>
      </c>
      <c r="Q143">
        <f t="shared" si="25"/>
        <v>1257.0922651934</v>
      </c>
      <c r="R143">
        <v>1257.0922651933702</v>
      </c>
      <c r="S143">
        <f t="shared" si="26"/>
        <v>-2.97859514830634E-11</v>
      </c>
      <c r="T143">
        <v>3.5000000000000003E-2</v>
      </c>
      <c r="U143">
        <f t="shared" si="27"/>
        <v>43.998229281767962</v>
      </c>
      <c r="V143">
        <f t="shared" si="28"/>
        <v>1301.090494475138</v>
      </c>
      <c r="W143">
        <f t="shared" si="29"/>
        <v>43.998229281738077</v>
      </c>
      <c r="X143">
        <v>0</v>
      </c>
    </row>
    <row r="144" spans="1:24" x14ac:dyDescent="0.25">
      <c r="A144" t="s">
        <v>464</v>
      </c>
      <c r="B144" t="s">
        <v>465</v>
      </c>
      <c r="C144" t="s">
        <v>481</v>
      </c>
      <c r="D144" t="s">
        <v>69</v>
      </c>
      <c r="E144" t="s">
        <v>19</v>
      </c>
      <c r="F144" t="s">
        <v>1</v>
      </c>
      <c r="G144" t="s">
        <v>230</v>
      </c>
      <c r="H144" t="s">
        <v>171</v>
      </c>
      <c r="I144" t="s">
        <v>1</v>
      </c>
      <c r="K144">
        <v>6000</v>
      </c>
      <c r="L144">
        <v>0</v>
      </c>
      <c r="M144">
        <v>0</v>
      </c>
      <c r="N144">
        <v>0</v>
      </c>
      <c r="P144">
        <v>0</v>
      </c>
      <c r="Q144">
        <f t="shared" si="25"/>
        <v>0</v>
      </c>
      <c r="R144">
        <v>0</v>
      </c>
      <c r="S144">
        <f t="shared" si="26"/>
        <v>0</v>
      </c>
      <c r="U144">
        <f t="shared" si="27"/>
        <v>0</v>
      </c>
      <c r="V144">
        <f t="shared" si="28"/>
        <v>0</v>
      </c>
      <c r="W144">
        <f t="shared" si="29"/>
        <v>0</v>
      </c>
      <c r="X144">
        <v>0</v>
      </c>
    </row>
    <row r="145" spans="1:24" x14ac:dyDescent="0.25">
      <c r="A145" t="s">
        <v>464</v>
      </c>
      <c r="B145" t="s">
        <v>465</v>
      </c>
      <c r="C145" t="s">
        <v>481</v>
      </c>
      <c r="D145" t="s">
        <v>69</v>
      </c>
      <c r="E145" t="s">
        <v>21</v>
      </c>
      <c r="F145" t="s">
        <v>1</v>
      </c>
      <c r="G145" t="s">
        <v>230</v>
      </c>
      <c r="H145" t="s">
        <v>173</v>
      </c>
      <c r="I145" t="s">
        <v>1</v>
      </c>
      <c r="J145">
        <v>864</v>
      </c>
      <c r="K145">
        <v>1320</v>
      </c>
      <c r="L145">
        <v>228.64</v>
      </c>
      <c r="M145">
        <v>461.06961325966847</v>
      </c>
      <c r="N145">
        <v>817.64</v>
      </c>
      <c r="O145">
        <v>457.28</v>
      </c>
      <c r="P145">
        <v>-457</v>
      </c>
      <c r="Q145">
        <f t="shared" si="25"/>
        <v>0.27999999999997272</v>
      </c>
      <c r="R145">
        <v>0</v>
      </c>
      <c r="S145">
        <f t="shared" si="26"/>
        <v>-0.27999999999997272</v>
      </c>
      <c r="U145">
        <f t="shared" si="27"/>
        <v>0</v>
      </c>
      <c r="V145">
        <f t="shared" si="28"/>
        <v>0</v>
      </c>
      <c r="W145">
        <f t="shared" si="29"/>
        <v>-0.27999999999997272</v>
      </c>
      <c r="X145" t="s">
        <v>378</v>
      </c>
    </row>
    <row r="146" spans="1:24" x14ac:dyDescent="0.25">
      <c r="A146" t="s">
        <v>464</v>
      </c>
      <c r="B146" t="s">
        <v>465</v>
      </c>
      <c r="C146" t="s">
        <v>481</v>
      </c>
      <c r="D146" t="s">
        <v>69</v>
      </c>
      <c r="E146" t="s">
        <v>22</v>
      </c>
      <c r="F146" t="s">
        <v>1</v>
      </c>
      <c r="G146" t="s">
        <v>230</v>
      </c>
      <c r="H146" t="s">
        <v>174</v>
      </c>
      <c r="I146" t="s">
        <v>1</v>
      </c>
      <c r="J146">
        <v>5446.56</v>
      </c>
      <c r="K146">
        <v>4407</v>
      </c>
      <c r="L146">
        <v>371.02</v>
      </c>
      <c r="M146">
        <v>748.18950276243095</v>
      </c>
      <c r="N146">
        <v>2540.6299999999997</v>
      </c>
      <c r="O146">
        <v>742.04</v>
      </c>
      <c r="P146">
        <v>6</v>
      </c>
      <c r="Q146">
        <f t="shared" si="25"/>
        <v>748.04</v>
      </c>
      <c r="R146">
        <v>748.18950276243095</v>
      </c>
      <c r="S146">
        <f t="shared" si="26"/>
        <v>0.14950276243098415</v>
      </c>
      <c r="U146">
        <f t="shared" si="27"/>
        <v>0</v>
      </c>
      <c r="V146">
        <f t="shared" si="28"/>
        <v>748.18950276243095</v>
      </c>
      <c r="W146">
        <f t="shared" si="29"/>
        <v>0.14950276243098415</v>
      </c>
      <c r="X146">
        <v>0</v>
      </c>
    </row>
    <row r="147" spans="1:24" x14ac:dyDescent="0.25">
      <c r="A147" t="s">
        <v>464</v>
      </c>
      <c r="B147" t="s">
        <v>465</v>
      </c>
      <c r="C147" t="s">
        <v>481</v>
      </c>
      <c r="D147" t="s">
        <v>69</v>
      </c>
      <c r="E147" t="s">
        <v>23</v>
      </c>
      <c r="F147" t="s">
        <v>1</v>
      </c>
      <c r="G147" t="s">
        <v>230</v>
      </c>
      <c r="H147" t="s">
        <v>175</v>
      </c>
      <c r="I147" t="s">
        <v>1</v>
      </c>
      <c r="J147">
        <v>120.16</v>
      </c>
      <c r="K147">
        <v>399.99999999959999</v>
      </c>
      <c r="L147">
        <v>13.04</v>
      </c>
      <c r="M147">
        <v>26.296132596685084</v>
      </c>
      <c r="N147">
        <v>104.91</v>
      </c>
      <c r="O147">
        <v>26.08</v>
      </c>
      <c r="P147">
        <v>0</v>
      </c>
      <c r="Q147">
        <f t="shared" si="25"/>
        <v>26.08</v>
      </c>
      <c r="R147">
        <v>26.296132596685084</v>
      </c>
      <c r="S147">
        <f t="shared" si="26"/>
        <v>0.21613259668508533</v>
      </c>
      <c r="U147">
        <f t="shared" si="27"/>
        <v>0</v>
      </c>
      <c r="V147">
        <f t="shared" si="28"/>
        <v>26.296132596685084</v>
      </c>
      <c r="W147">
        <f t="shared" si="29"/>
        <v>0.21613259668508533</v>
      </c>
      <c r="X147">
        <v>0</v>
      </c>
    </row>
    <row r="148" spans="1:24" x14ac:dyDescent="0.25">
      <c r="A148" t="s">
        <v>464</v>
      </c>
      <c r="B148" t="s">
        <v>465</v>
      </c>
      <c r="C148" t="s">
        <v>481</v>
      </c>
      <c r="D148" t="s">
        <v>69</v>
      </c>
      <c r="E148" t="s">
        <v>72</v>
      </c>
      <c r="F148" t="s">
        <v>1</v>
      </c>
      <c r="G148" t="s">
        <v>230</v>
      </c>
      <c r="H148" t="s">
        <v>233</v>
      </c>
      <c r="I148" t="s">
        <v>1</v>
      </c>
      <c r="L148">
        <v>2500</v>
      </c>
      <c r="M148">
        <v>5041.4364640883978</v>
      </c>
      <c r="N148">
        <v>2500</v>
      </c>
      <c r="O148">
        <v>5000</v>
      </c>
      <c r="P148">
        <v>-2500</v>
      </c>
      <c r="Q148">
        <f t="shared" si="25"/>
        <v>2500</v>
      </c>
      <c r="R148">
        <v>2500</v>
      </c>
      <c r="S148">
        <f t="shared" si="26"/>
        <v>0</v>
      </c>
      <c r="U148">
        <f t="shared" si="27"/>
        <v>0</v>
      </c>
      <c r="V148">
        <f t="shared" si="28"/>
        <v>2500</v>
      </c>
      <c r="W148">
        <f t="shared" si="29"/>
        <v>0</v>
      </c>
      <c r="X148" t="s">
        <v>379</v>
      </c>
    </row>
    <row r="149" spans="1:24" x14ac:dyDescent="0.25">
      <c r="A149" t="s">
        <v>464</v>
      </c>
      <c r="B149" t="s">
        <v>465</v>
      </c>
      <c r="C149" t="s">
        <v>481</v>
      </c>
      <c r="D149" t="s">
        <v>69</v>
      </c>
      <c r="E149" t="s">
        <v>27</v>
      </c>
      <c r="F149" t="s">
        <v>1</v>
      </c>
      <c r="G149" t="s">
        <v>230</v>
      </c>
      <c r="H149" t="s">
        <v>179</v>
      </c>
      <c r="I149" t="s">
        <v>1</v>
      </c>
      <c r="J149">
        <v>228.7</v>
      </c>
      <c r="K149">
        <v>1260</v>
      </c>
      <c r="L149">
        <v>13.53</v>
      </c>
      <c r="M149">
        <v>27.284254143646407</v>
      </c>
      <c r="N149">
        <v>242.23</v>
      </c>
      <c r="O149">
        <v>27.06</v>
      </c>
      <c r="P149">
        <v>1233</v>
      </c>
      <c r="Q149">
        <f t="shared" si="25"/>
        <v>1260.06</v>
      </c>
      <c r="R149">
        <v>1260</v>
      </c>
      <c r="S149">
        <f t="shared" si="26"/>
        <v>-5.999999999994543E-2</v>
      </c>
      <c r="U149">
        <f t="shared" si="27"/>
        <v>0</v>
      </c>
      <c r="V149">
        <f t="shared" si="28"/>
        <v>1260</v>
      </c>
      <c r="W149">
        <f t="shared" si="29"/>
        <v>-5.999999999994543E-2</v>
      </c>
      <c r="X149" t="s">
        <v>380</v>
      </c>
    </row>
    <row r="150" spans="1:24" x14ac:dyDescent="0.25">
      <c r="A150" t="s">
        <v>464</v>
      </c>
      <c r="B150" t="s">
        <v>465</v>
      </c>
      <c r="C150" t="s">
        <v>481</v>
      </c>
      <c r="D150" t="s">
        <v>69</v>
      </c>
      <c r="E150" t="s">
        <v>28</v>
      </c>
      <c r="F150" t="s">
        <v>1</v>
      </c>
      <c r="G150" t="s">
        <v>230</v>
      </c>
      <c r="H150" t="s">
        <v>180</v>
      </c>
      <c r="I150" t="s">
        <v>1</v>
      </c>
      <c r="L150">
        <v>43.15</v>
      </c>
      <c r="M150">
        <v>87.015193370165747</v>
      </c>
      <c r="N150">
        <v>43.15</v>
      </c>
      <c r="O150">
        <v>86.3</v>
      </c>
      <c r="P150">
        <v>-86</v>
      </c>
      <c r="Q150">
        <f t="shared" si="25"/>
        <v>0.29999999999999716</v>
      </c>
      <c r="R150">
        <v>0</v>
      </c>
      <c r="S150">
        <f t="shared" si="26"/>
        <v>-0.29999999999999716</v>
      </c>
      <c r="U150">
        <f t="shared" si="27"/>
        <v>0</v>
      </c>
      <c r="V150">
        <f t="shared" si="28"/>
        <v>0</v>
      </c>
      <c r="W150">
        <f t="shared" si="29"/>
        <v>-0.29999999999999716</v>
      </c>
      <c r="X150">
        <v>0</v>
      </c>
    </row>
    <row r="151" spans="1:24" x14ac:dyDescent="0.25">
      <c r="A151" t="s">
        <v>464</v>
      </c>
      <c r="B151" t="s">
        <v>465</v>
      </c>
      <c r="C151" t="s">
        <v>481</v>
      </c>
      <c r="D151" t="s">
        <v>69</v>
      </c>
      <c r="E151" t="s">
        <v>54</v>
      </c>
      <c r="F151" t="s">
        <v>1</v>
      </c>
      <c r="G151" t="s">
        <v>230</v>
      </c>
      <c r="H151" t="s">
        <v>207</v>
      </c>
      <c r="I151" t="s">
        <v>1</v>
      </c>
      <c r="J151">
        <v>31.93</v>
      </c>
      <c r="L151">
        <v>0</v>
      </c>
      <c r="M151">
        <v>0</v>
      </c>
      <c r="N151">
        <v>0</v>
      </c>
      <c r="P151">
        <v>0</v>
      </c>
      <c r="Q151">
        <f t="shared" si="25"/>
        <v>0</v>
      </c>
      <c r="R151">
        <v>0</v>
      </c>
      <c r="S151">
        <f t="shared" si="26"/>
        <v>0</v>
      </c>
      <c r="U151">
        <f t="shared" si="27"/>
        <v>0</v>
      </c>
      <c r="V151">
        <f t="shared" si="28"/>
        <v>0</v>
      </c>
      <c r="W151">
        <f t="shared" si="29"/>
        <v>0</v>
      </c>
      <c r="X151">
        <v>0</v>
      </c>
    </row>
    <row r="152" spans="1:24" x14ac:dyDescent="0.25">
      <c r="A152" t="s">
        <v>464</v>
      </c>
      <c r="B152" t="s">
        <v>465</v>
      </c>
      <c r="C152" t="s">
        <v>481</v>
      </c>
      <c r="D152" t="s">
        <v>69</v>
      </c>
      <c r="E152" t="s">
        <v>29</v>
      </c>
      <c r="F152" t="s">
        <v>1</v>
      </c>
      <c r="G152" t="s">
        <v>230</v>
      </c>
      <c r="H152" t="s">
        <v>181</v>
      </c>
      <c r="I152" t="s">
        <v>1</v>
      </c>
      <c r="J152">
        <v>1298.9000000000001</v>
      </c>
      <c r="K152">
        <v>2000.0000000004</v>
      </c>
      <c r="L152">
        <v>92.92</v>
      </c>
      <c r="M152">
        <v>187.38011049723758</v>
      </c>
      <c r="N152">
        <v>92.92</v>
      </c>
      <c r="O152">
        <v>185.84</v>
      </c>
      <c r="P152">
        <v>-186</v>
      </c>
      <c r="Q152">
        <f t="shared" si="25"/>
        <v>-0.15999999999999659</v>
      </c>
      <c r="R152">
        <v>0</v>
      </c>
      <c r="S152">
        <f t="shared" si="26"/>
        <v>0.15999999999999659</v>
      </c>
      <c r="U152">
        <f t="shared" si="27"/>
        <v>0</v>
      </c>
      <c r="V152">
        <f t="shared" si="28"/>
        <v>0</v>
      </c>
      <c r="W152">
        <f t="shared" si="29"/>
        <v>0.15999999999999659</v>
      </c>
      <c r="X152" t="s">
        <v>378</v>
      </c>
    </row>
    <row r="153" spans="1:24" x14ac:dyDescent="0.25">
      <c r="A153" t="s">
        <v>464</v>
      </c>
      <c r="B153" t="s">
        <v>465</v>
      </c>
      <c r="C153" t="s">
        <v>481</v>
      </c>
      <c r="D153" t="s">
        <v>69</v>
      </c>
      <c r="E153" t="s">
        <v>65</v>
      </c>
      <c r="F153" t="s">
        <v>1</v>
      </c>
      <c r="G153" t="s">
        <v>230</v>
      </c>
      <c r="H153" t="s">
        <v>224</v>
      </c>
      <c r="I153" t="s">
        <v>1</v>
      </c>
      <c r="J153">
        <v>13585</v>
      </c>
      <c r="L153">
        <v>10868</v>
      </c>
      <c r="M153">
        <v>21916.132596685085</v>
      </c>
      <c r="N153">
        <v>24453</v>
      </c>
      <c r="O153">
        <v>21736</v>
      </c>
      <c r="P153">
        <v>-21736</v>
      </c>
      <c r="Q153">
        <f t="shared" si="25"/>
        <v>0</v>
      </c>
      <c r="R153">
        <v>0</v>
      </c>
      <c r="S153">
        <f t="shared" si="26"/>
        <v>0</v>
      </c>
      <c r="U153">
        <f t="shared" si="27"/>
        <v>0</v>
      </c>
      <c r="V153">
        <f t="shared" si="28"/>
        <v>0</v>
      </c>
      <c r="W153">
        <f t="shared" si="29"/>
        <v>0</v>
      </c>
      <c r="X153">
        <v>0</v>
      </c>
    </row>
    <row r="154" spans="1:24" x14ac:dyDescent="0.25">
      <c r="A154" t="s">
        <v>464</v>
      </c>
      <c r="B154" t="s">
        <v>465</v>
      </c>
      <c r="C154" t="s">
        <v>481</v>
      </c>
      <c r="D154" t="s">
        <v>69</v>
      </c>
      <c r="E154" t="s">
        <v>32</v>
      </c>
      <c r="F154" t="s">
        <v>1</v>
      </c>
      <c r="G154" t="s">
        <v>230</v>
      </c>
      <c r="H154" t="s">
        <v>184</v>
      </c>
      <c r="I154" t="s">
        <v>1</v>
      </c>
      <c r="J154">
        <v>1812.92</v>
      </c>
      <c r="L154">
        <v>58.98</v>
      </c>
      <c r="M154">
        <v>118.93756906077348</v>
      </c>
      <c r="N154">
        <v>989.73</v>
      </c>
      <c r="O154">
        <v>117.96</v>
      </c>
      <c r="P154">
        <v>1</v>
      </c>
      <c r="Q154">
        <f t="shared" si="25"/>
        <v>118.96</v>
      </c>
      <c r="R154">
        <v>118.93756906077348</v>
      </c>
      <c r="S154">
        <f t="shared" si="26"/>
        <v>-2.243093922650985E-2</v>
      </c>
      <c r="T154">
        <v>0.03</v>
      </c>
      <c r="U154">
        <f t="shared" si="27"/>
        <v>3.5681270718232043</v>
      </c>
      <c r="V154">
        <f t="shared" si="28"/>
        <v>122.50569613259668</v>
      </c>
      <c r="W154">
        <f t="shared" si="29"/>
        <v>3.5456961325966887</v>
      </c>
      <c r="X154">
        <v>0</v>
      </c>
    </row>
    <row r="155" spans="1:24" x14ac:dyDescent="0.25">
      <c r="A155" t="s">
        <v>464</v>
      </c>
      <c r="B155" t="s">
        <v>465</v>
      </c>
      <c r="C155" t="s">
        <v>481</v>
      </c>
      <c r="D155" t="s">
        <v>69</v>
      </c>
      <c r="E155" t="s">
        <v>33</v>
      </c>
      <c r="F155" t="s">
        <v>1</v>
      </c>
      <c r="G155" t="s">
        <v>230</v>
      </c>
      <c r="H155" t="s">
        <v>185</v>
      </c>
      <c r="I155" t="s">
        <v>1</v>
      </c>
      <c r="L155">
        <v>322.39999999999998</v>
      </c>
      <c r="M155">
        <v>650.1436464088398</v>
      </c>
      <c r="N155">
        <v>322.39999999999998</v>
      </c>
      <c r="O155">
        <v>644.79999999999995</v>
      </c>
      <c r="P155">
        <v>5</v>
      </c>
      <c r="Q155">
        <f t="shared" si="25"/>
        <v>649.79999999999995</v>
      </c>
      <c r="R155">
        <v>650.1436464088398</v>
      </c>
      <c r="S155">
        <f t="shared" si="26"/>
        <v>0.34364640883984521</v>
      </c>
      <c r="T155">
        <v>0.03</v>
      </c>
      <c r="U155">
        <f t="shared" si="27"/>
        <v>19.504309392265192</v>
      </c>
      <c r="V155">
        <f t="shared" si="28"/>
        <v>669.64795580110501</v>
      </c>
      <c r="W155">
        <f t="shared" si="29"/>
        <v>19.847955801105059</v>
      </c>
      <c r="X155">
        <v>0</v>
      </c>
    </row>
    <row r="156" spans="1:24" x14ac:dyDescent="0.25">
      <c r="A156" t="s">
        <v>464</v>
      </c>
      <c r="B156" t="s">
        <v>465</v>
      </c>
      <c r="C156" t="s">
        <v>481</v>
      </c>
      <c r="D156" t="s">
        <v>69</v>
      </c>
      <c r="E156" t="s">
        <v>68</v>
      </c>
      <c r="F156" t="s">
        <v>1</v>
      </c>
      <c r="G156" t="s">
        <v>230</v>
      </c>
      <c r="H156" t="s">
        <v>227</v>
      </c>
      <c r="I156" t="s">
        <v>1</v>
      </c>
      <c r="J156">
        <v>21.35</v>
      </c>
      <c r="L156">
        <v>0</v>
      </c>
      <c r="M156">
        <v>0</v>
      </c>
      <c r="N156">
        <v>21.35</v>
      </c>
      <c r="P156">
        <v>0</v>
      </c>
      <c r="Q156">
        <f t="shared" si="25"/>
        <v>0</v>
      </c>
      <c r="R156">
        <v>0</v>
      </c>
      <c r="S156">
        <f t="shared" si="26"/>
        <v>0</v>
      </c>
      <c r="T156">
        <v>0.03</v>
      </c>
      <c r="U156">
        <f t="shared" si="27"/>
        <v>0</v>
      </c>
      <c r="V156">
        <f t="shared" si="28"/>
        <v>0</v>
      </c>
      <c r="W156">
        <f t="shared" si="29"/>
        <v>0</v>
      </c>
      <c r="X156">
        <v>0</v>
      </c>
    </row>
    <row r="157" spans="1:24" x14ac:dyDescent="0.25">
      <c r="A157" t="s">
        <v>464</v>
      </c>
      <c r="B157" t="s">
        <v>465</v>
      </c>
      <c r="C157" t="s">
        <v>481</v>
      </c>
      <c r="D157" t="s">
        <v>69</v>
      </c>
      <c r="E157" t="s">
        <v>36</v>
      </c>
      <c r="F157" t="s">
        <v>1</v>
      </c>
      <c r="G157" t="s">
        <v>230</v>
      </c>
      <c r="H157" t="s">
        <v>188</v>
      </c>
      <c r="I157" t="s">
        <v>1</v>
      </c>
      <c r="J157">
        <v>106</v>
      </c>
      <c r="L157">
        <v>1117.05</v>
      </c>
      <c r="M157">
        <v>2252.6146408839777</v>
      </c>
      <c r="N157">
        <v>1223.05</v>
      </c>
      <c r="O157">
        <v>2234.1</v>
      </c>
      <c r="P157">
        <v>-2234</v>
      </c>
      <c r="Q157">
        <f t="shared" si="25"/>
        <v>9.9999999999909051E-2</v>
      </c>
      <c r="R157">
        <v>0</v>
      </c>
      <c r="S157">
        <f t="shared" si="26"/>
        <v>-9.9999999999909051E-2</v>
      </c>
      <c r="T157">
        <v>0.03</v>
      </c>
      <c r="U157">
        <f t="shared" si="27"/>
        <v>0</v>
      </c>
      <c r="V157">
        <f t="shared" si="28"/>
        <v>0</v>
      </c>
      <c r="W157">
        <f t="shared" si="29"/>
        <v>-9.9999999999909051E-2</v>
      </c>
      <c r="X157">
        <v>0</v>
      </c>
    </row>
    <row r="158" spans="1:24" x14ac:dyDescent="0.25">
      <c r="A158" t="s">
        <v>464</v>
      </c>
      <c r="B158" t="s">
        <v>465</v>
      </c>
      <c r="C158" t="s">
        <v>481</v>
      </c>
      <c r="D158" t="s">
        <v>69</v>
      </c>
      <c r="E158" t="s">
        <v>37</v>
      </c>
      <c r="F158" t="s">
        <v>1</v>
      </c>
      <c r="G158" t="s">
        <v>230</v>
      </c>
      <c r="H158" t="s">
        <v>189</v>
      </c>
      <c r="I158" t="s">
        <v>1</v>
      </c>
      <c r="J158">
        <v>180</v>
      </c>
      <c r="K158">
        <v>999.99999999960005</v>
      </c>
      <c r="L158">
        <v>933</v>
      </c>
      <c r="M158">
        <v>1881.46408839779</v>
      </c>
      <c r="N158">
        <v>1113</v>
      </c>
      <c r="O158">
        <v>1866</v>
      </c>
      <c r="P158">
        <v>-666</v>
      </c>
      <c r="Q158">
        <f t="shared" si="25"/>
        <v>1200</v>
      </c>
      <c r="R158">
        <v>1200</v>
      </c>
      <c r="S158">
        <f t="shared" si="26"/>
        <v>0</v>
      </c>
      <c r="T158">
        <v>0.03</v>
      </c>
      <c r="U158">
        <f t="shared" si="27"/>
        <v>36</v>
      </c>
      <c r="V158">
        <f t="shared" si="28"/>
        <v>1236</v>
      </c>
      <c r="W158">
        <f t="shared" si="29"/>
        <v>36</v>
      </c>
      <c r="X158" t="s">
        <v>381</v>
      </c>
    </row>
    <row r="159" spans="1:24" x14ac:dyDescent="0.25">
      <c r="A159" t="s">
        <v>464</v>
      </c>
      <c r="B159" t="s">
        <v>465</v>
      </c>
      <c r="C159" t="s">
        <v>481</v>
      </c>
      <c r="D159" t="s">
        <v>69</v>
      </c>
      <c r="E159" t="s">
        <v>73</v>
      </c>
      <c r="F159" t="s">
        <v>1</v>
      </c>
      <c r="G159" t="s">
        <v>230</v>
      </c>
      <c r="H159" t="s">
        <v>234</v>
      </c>
      <c r="I159" t="s">
        <v>1</v>
      </c>
      <c r="J159">
        <v>346</v>
      </c>
      <c r="L159">
        <v>0</v>
      </c>
      <c r="M159">
        <v>0</v>
      </c>
      <c r="N159">
        <v>346</v>
      </c>
      <c r="P159">
        <v>0</v>
      </c>
      <c r="Q159">
        <f t="shared" si="25"/>
        <v>0</v>
      </c>
      <c r="R159">
        <v>0</v>
      </c>
      <c r="S159">
        <f t="shared" si="26"/>
        <v>0</v>
      </c>
      <c r="T159">
        <v>0.03</v>
      </c>
      <c r="U159">
        <f t="shared" si="27"/>
        <v>0</v>
      </c>
      <c r="V159">
        <f t="shared" si="28"/>
        <v>0</v>
      </c>
      <c r="W159">
        <f t="shared" si="29"/>
        <v>0</v>
      </c>
      <c r="X159">
        <v>0</v>
      </c>
    </row>
    <row r="160" spans="1:24" x14ac:dyDescent="0.25">
      <c r="A160" t="s">
        <v>464</v>
      </c>
      <c r="B160" t="s">
        <v>465</v>
      </c>
      <c r="C160" t="s">
        <v>481</v>
      </c>
      <c r="D160" t="s">
        <v>69</v>
      </c>
      <c r="E160" t="s">
        <v>41</v>
      </c>
      <c r="F160" t="s">
        <v>1</v>
      </c>
      <c r="G160" t="s">
        <v>230</v>
      </c>
      <c r="H160" t="s">
        <v>193</v>
      </c>
      <c r="I160" t="s">
        <v>1</v>
      </c>
      <c r="J160">
        <v>405.6</v>
      </c>
      <c r="L160">
        <v>393.18</v>
      </c>
      <c r="M160">
        <v>792.87679558011064</v>
      </c>
      <c r="N160">
        <v>798.78</v>
      </c>
      <c r="O160">
        <v>792.87679558009995</v>
      </c>
      <c r="P160">
        <v>0</v>
      </c>
      <c r="Q160">
        <f t="shared" si="25"/>
        <v>792.87679558009995</v>
      </c>
      <c r="R160">
        <v>793</v>
      </c>
      <c r="S160">
        <f t="shared" si="26"/>
        <v>0.12320441990004838</v>
      </c>
      <c r="U160">
        <f t="shared" si="27"/>
        <v>0</v>
      </c>
      <c r="V160">
        <f t="shared" si="28"/>
        <v>793</v>
      </c>
      <c r="W160">
        <f t="shared" si="29"/>
        <v>0.12320441990004838</v>
      </c>
      <c r="X160">
        <v>0</v>
      </c>
    </row>
    <row r="161" spans="1:24" x14ac:dyDescent="0.25">
      <c r="A161" t="s">
        <v>464</v>
      </c>
      <c r="B161" t="s">
        <v>465</v>
      </c>
      <c r="C161" t="s">
        <v>481</v>
      </c>
      <c r="D161" t="s">
        <v>69</v>
      </c>
      <c r="E161" t="s">
        <v>42</v>
      </c>
      <c r="F161" t="s">
        <v>42</v>
      </c>
      <c r="G161" t="s">
        <v>235</v>
      </c>
      <c r="J161">
        <v>99868.65</v>
      </c>
      <c r="K161">
        <v>921443.27138547762</v>
      </c>
      <c r="L161">
        <v>42994.110000000008</v>
      </c>
      <c r="M161">
        <v>86700.829558011043</v>
      </c>
      <c r="N161">
        <v>102623.05</v>
      </c>
      <c r="O161">
        <v>86297.110570092904</v>
      </c>
      <c r="P161">
        <f>SUMIF($F$126:$F$160,"&lt;&gt;EV_*",$P$126:$P$160)</f>
        <v>-26486</v>
      </c>
      <c r="Q161">
        <f>SUMIF($F$126:$F$160,"&lt;&gt;EV_*",$Q$126:$Q$160)</f>
        <v>59811.110570092897</v>
      </c>
      <c r="R161">
        <f>SUMIF($F$126:$F$160,"&lt;&gt;EV_*",$R$126:$R$160)</f>
        <v>60016.092112197206</v>
      </c>
      <c r="S161">
        <f>SUMIF($F$126:$F$160,"&lt;&gt;EV_*",$S$126:$S$160)</f>
        <v>204.98154210430357</v>
      </c>
      <c r="T161">
        <v>0</v>
      </c>
      <c r="U161">
        <f>SUMIF($F$126:$F$160,"&lt;&gt;EV_*",$U$126:$U$160)</f>
        <v>1429.5489827348067</v>
      </c>
      <c r="V161">
        <f>SUMIF($F$126:$F$160,"&lt;&gt;EV_*",$V$126:$V$160)</f>
        <v>61445.641094932005</v>
      </c>
      <c r="W161">
        <f>SUMIF($F$126:$F$160,"&lt;&gt;EV_*",$W$126:$W$160)</f>
        <v>1634.5305248391082</v>
      </c>
      <c r="X161">
        <f>SUMIF($F$126:$F$160,"&lt;&gt;EV_*",$X$126:$X$160)</f>
        <v>0</v>
      </c>
    </row>
    <row r="162" spans="1:24" x14ac:dyDescent="0.25">
      <c r="A162" t="s">
        <v>464</v>
      </c>
      <c r="B162" t="s">
        <v>465</v>
      </c>
      <c r="C162" t="s">
        <v>482</v>
      </c>
      <c r="D162" t="s">
        <v>74</v>
      </c>
      <c r="E162" t="s">
        <v>5</v>
      </c>
      <c r="F162" t="s">
        <v>5</v>
      </c>
      <c r="G162" t="s">
        <v>236</v>
      </c>
    </row>
    <row r="163" spans="1:24" x14ac:dyDescent="0.25">
      <c r="A163" t="s">
        <v>464</v>
      </c>
      <c r="B163" t="s">
        <v>465</v>
      </c>
      <c r="C163" t="s">
        <v>482</v>
      </c>
      <c r="D163" t="s">
        <v>74</v>
      </c>
      <c r="E163" t="s">
        <v>13</v>
      </c>
      <c r="F163" t="s">
        <v>1</v>
      </c>
      <c r="G163" t="s">
        <v>237</v>
      </c>
      <c r="H163" t="s">
        <v>165</v>
      </c>
      <c r="I163" t="s">
        <v>1</v>
      </c>
      <c r="J163">
        <v>4044</v>
      </c>
      <c r="K163">
        <v>88193.6090322581</v>
      </c>
      <c r="L163">
        <v>-1623</v>
      </c>
      <c r="M163">
        <v>-3272.9005524861877</v>
      </c>
      <c r="N163">
        <v>2421</v>
      </c>
      <c r="O163">
        <v>-3263.8351648352</v>
      </c>
      <c r="P163">
        <v>3264</v>
      </c>
      <c r="Q163">
        <f t="shared" ref="Q163:Q174" si="30">O163+P163</f>
        <v>0.16483516480002436</v>
      </c>
      <c r="R163">
        <v>2421</v>
      </c>
      <c r="S163">
        <f t="shared" ref="S163:S174" si="31">IF(OR(LEFT(E163,2)="A_",LEFT(D163,5)="Total"),R163-Q163,"")</f>
        <v>2420.8351648352</v>
      </c>
      <c r="T163">
        <v>0.02</v>
      </c>
      <c r="U163">
        <f t="shared" ref="U163:U174" si="32">IFERROR(R163*T163,R163*0)</f>
        <v>48.42</v>
      </c>
      <c r="V163">
        <f t="shared" ref="V163:V174" si="33">IF(OR(LEFT(E163,2)="A_",LEFT(D163,5)="Total"),R163+U163,"")</f>
        <v>2469.42</v>
      </c>
      <c r="W163">
        <f t="shared" ref="W163:W174" si="34">IF(OR(LEFT(E163,2)="A_",LEFT(D163,5)="Total"),V163-Q163,"")</f>
        <v>2469.2551648352</v>
      </c>
      <c r="X163" t="s">
        <v>382</v>
      </c>
    </row>
    <row r="164" spans="1:24" x14ac:dyDescent="0.25">
      <c r="A164" t="s">
        <v>464</v>
      </c>
      <c r="B164" t="s">
        <v>465</v>
      </c>
      <c r="C164" t="s">
        <v>482</v>
      </c>
      <c r="D164" t="s">
        <v>74</v>
      </c>
      <c r="E164" t="s">
        <v>64</v>
      </c>
      <c r="F164" t="s">
        <v>1</v>
      </c>
      <c r="G164" t="s">
        <v>237</v>
      </c>
      <c r="H164" t="s">
        <v>223</v>
      </c>
      <c r="I164" t="s">
        <v>1</v>
      </c>
      <c r="J164">
        <v>16.41</v>
      </c>
      <c r="L164">
        <v>2162.35</v>
      </c>
      <c r="M164">
        <v>4360.540055248619</v>
      </c>
      <c r="N164">
        <v>2178.7600000000002</v>
      </c>
      <c r="O164">
        <v>4348.4620879121003</v>
      </c>
      <c r="P164">
        <v>-4348</v>
      </c>
      <c r="Q164">
        <f t="shared" si="30"/>
        <v>0.46208791210028721</v>
      </c>
      <c r="R164">
        <v>2179</v>
      </c>
      <c r="S164">
        <f t="shared" si="31"/>
        <v>2178.5379120878997</v>
      </c>
      <c r="T164">
        <v>0.02</v>
      </c>
      <c r="U164">
        <f t="shared" si="32"/>
        <v>43.58</v>
      </c>
      <c r="V164">
        <f t="shared" si="33"/>
        <v>2222.58</v>
      </c>
      <c r="W164">
        <f t="shared" si="34"/>
        <v>2222.1179120878996</v>
      </c>
      <c r="X164" t="s">
        <v>382</v>
      </c>
    </row>
    <row r="165" spans="1:24" x14ac:dyDescent="0.25">
      <c r="A165" t="s">
        <v>464</v>
      </c>
      <c r="B165" t="s">
        <v>465</v>
      </c>
      <c r="C165" t="s">
        <v>482</v>
      </c>
      <c r="D165" t="s">
        <v>74</v>
      </c>
      <c r="E165" t="s">
        <v>17</v>
      </c>
      <c r="F165" t="s">
        <v>1</v>
      </c>
      <c r="G165" t="s">
        <v>237</v>
      </c>
      <c r="H165" t="s">
        <v>169</v>
      </c>
      <c r="I165" t="s">
        <v>1</v>
      </c>
      <c r="K165">
        <v>1921.9950000000999</v>
      </c>
      <c r="L165">
        <v>167.21</v>
      </c>
      <c r="M165">
        <v>337.19143646408844</v>
      </c>
      <c r="N165">
        <v>167.21</v>
      </c>
      <c r="O165">
        <v>337.19143646409998</v>
      </c>
      <c r="P165">
        <v>0</v>
      </c>
      <c r="Q165">
        <f t="shared" si="30"/>
        <v>337.19143646409998</v>
      </c>
      <c r="R165">
        <v>337</v>
      </c>
      <c r="S165">
        <f t="shared" si="31"/>
        <v>-0.19143646409997928</v>
      </c>
      <c r="T165">
        <v>3.5000000000000003E-2</v>
      </c>
      <c r="U165">
        <f t="shared" si="32"/>
        <v>11.795000000000002</v>
      </c>
      <c r="V165">
        <f t="shared" si="33"/>
        <v>348.79500000000002</v>
      </c>
      <c r="W165">
        <f t="shared" si="34"/>
        <v>11.603563535900037</v>
      </c>
      <c r="X165">
        <v>0</v>
      </c>
    </row>
    <row r="166" spans="1:24" x14ac:dyDescent="0.25">
      <c r="A166" t="s">
        <v>464</v>
      </c>
      <c r="B166" t="s">
        <v>465</v>
      </c>
      <c r="C166" t="s">
        <v>482</v>
      </c>
      <c r="D166" t="s">
        <v>74</v>
      </c>
      <c r="E166" t="s">
        <v>18</v>
      </c>
      <c r="F166" t="s">
        <v>1</v>
      </c>
      <c r="G166" t="s">
        <v>237</v>
      </c>
      <c r="H166" t="s">
        <v>170</v>
      </c>
      <c r="I166" t="s">
        <v>1</v>
      </c>
      <c r="J166">
        <v>320.58</v>
      </c>
      <c r="L166">
        <v>26.13</v>
      </c>
      <c r="M166">
        <v>52.693093922651933</v>
      </c>
      <c r="N166">
        <v>346.71</v>
      </c>
      <c r="O166">
        <v>52.693093922700001</v>
      </c>
      <c r="P166">
        <v>0</v>
      </c>
      <c r="Q166">
        <f t="shared" si="30"/>
        <v>52.693093922700001</v>
      </c>
      <c r="R166">
        <v>53</v>
      </c>
      <c r="S166">
        <f t="shared" si="31"/>
        <v>0.30690607729999897</v>
      </c>
      <c r="T166">
        <v>3.5000000000000003E-2</v>
      </c>
      <c r="U166">
        <f t="shared" si="32"/>
        <v>1.8550000000000002</v>
      </c>
      <c r="V166">
        <f t="shared" si="33"/>
        <v>54.854999999999997</v>
      </c>
      <c r="W166">
        <f t="shared" si="34"/>
        <v>2.1619060772999958</v>
      </c>
      <c r="X166">
        <v>0</v>
      </c>
    </row>
    <row r="167" spans="1:24" x14ac:dyDescent="0.25">
      <c r="A167" t="s">
        <v>464</v>
      </c>
      <c r="B167" t="s">
        <v>465</v>
      </c>
      <c r="C167" t="s">
        <v>482</v>
      </c>
      <c r="D167" t="s">
        <v>74</v>
      </c>
      <c r="E167" t="s">
        <v>19</v>
      </c>
      <c r="F167" t="s">
        <v>1</v>
      </c>
      <c r="G167" t="s">
        <v>237</v>
      </c>
      <c r="H167" t="s">
        <v>171</v>
      </c>
      <c r="I167" t="s">
        <v>1</v>
      </c>
      <c r="K167">
        <v>1200</v>
      </c>
      <c r="L167">
        <v>0</v>
      </c>
      <c r="M167">
        <v>0</v>
      </c>
      <c r="N167">
        <v>0</v>
      </c>
      <c r="P167">
        <v>0</v>
      </c>
      <c r="Q167">
        <f t="shared" si="30"/>
        <v>0</v>
      </c>
      <c r="R167">
        <v>0</v>
      </c>
      <c r="S167">
        <f t="shared" si="31"/>
        <v>0</v>
      </c>
      <c r="U167">
        <f t="shared" si="32"/>
        <v>0</v>
      </c>
      <c r="V167">
        <f t="shared" si="33"/>
        <v>0</v>
      </c>
      <c r="W167">
        <f t="shared" si="34"/>
        <v>0</v>
      </c>
      <c r="X167">
        <v>0</v>
      </c>
    </row>
    <row r="168" spans="1:24" x14ac:dyDescent="0.25">
      <c r="A168" t="s">
        <v>464</v>
      </c>
      <c r="B168" t="s">
        <v>465</v>
      </c>
      <c r="C168" t="s">
        <v>482</v>
      </c>
      <c r="D168" t="s">
        <v>74</v>
      </c>
      <c r="E168" t="s">
        <v>21</v>
      </c>
      <c r="F168" t="s">
        <v>1</v>
      </c>
      <c r="G168" t="s">
        <v>237</v>
      </c>
      <c r="H168" t="s">
        <v>173</v>
      </c>
      <c r="I168" t="s">
        <v>1</v>
      </c>
      <c r="J168">
        <v>30</v>
      </c>
      <c r="K168">
        <v>3200.0003999999999</v>
      </c>
      <c r="L168">
        <v>0</v>
      </c>
      <c r="M168">
        <v>0</v>
      </c>
      <c r="N168">
        <v>30</v>
      </c>
      <c r="P168">
        <v>0</v>
      </c>
      <c r="Q168">
        <f t="shared" si="30"/>
        <v>0</v>
      </c>
      <c r="R168">
        <v>0</v>
      </c>
      <c r="S168">
        <f t="shared" si="31"/>
        <v>0</v>
      </c>
      <c r="U168">
        <f t="shared" si="32"/>
        <v>0</v>
      </c>
      <c r="V168">
        <f t="shared" si="33"/>
        <v>0</v>
      </c>
      <c r="W168">
        <f t="shared" si="34"/>
        <v>0</v>
      </c>
      <c r="X168">
        <v>0</v>
      </c>
    </row>
    <row r="169" spans="1:24" x14ac:dyDescent="0.25">
      <c r="A169" t="s">
        <v>464</v>
      </c>
      <c r="B169" t="s">
        <v>465</v>
      </c>
      <c r="C169" t="s">
        <v>482</v>
      </c>
      <c r="D169" t="s">
        <v>74</v>
      </c>
      <c r="E169" t="s">
        <v>23</v>
      </c>
      <c r="F169" t="s">
        <v>1</v>
      </c>
      <c r="G169" t="s">
        <v>237</v>
      </c>
      <c r="H169" t="s">
        <v>175</v>
      </c>
      <c r="I169" t="s">
        <v>1</v>
      </c>
      <c r="J169">
        <v>107.94</v>
      </c>
      <c r="K169">
        <v>3741</v>
      </c>
      <c r="L169">
        <v>0</v>
      </c>
      <c r="M169">
        <v>0</v>
      </c>
      <c r="N169">
        <v>107.94</v>
      </c>
      <c r="P169">
        <v>0</v>
      </c>
      <c r="Q169">
        <f t="shared" si="30"/>
        <v>0</v>
      </c>
      <c r="R169">
        <v>0</v>
      </c>
      <c r="S169">
        <f t="shared" si="31"/>
        <v>0</v>
      </c>
      <c r="U169">
        <f t="shared" si="32"/>
        <v>0</v>
      </c>
      <c r="V169">
        <f t="shared" si="33"/>
        <v>0</v>
      </c>
      <c r="W169">
        <f t="shared" si="34"/>
        <v>0</v>
      </c>
      <c r="X169">
        <v>0</v>
      </c>
    </row>
    <row r="170" spans="1:24" x14ac:dyDescent="0.25">
      <c r="A170" t="s">
        <v>464</v>
      </c>
      <c r="B170" t="s">
        <v>465</v>
      </c>
      <c r="C170" t="s">
        <v>482</v>
      </c>
      <c r="D170" t="s">
        <v>74</v>
      </c>
      <c r="E170" t="s">
        <v>27</v>
      </c>
      <c r="F170" t="s">
        <v>1</v>
      </c>
      <c r="G170" t="s">
        <v>237</v>
      </c>
      <c r="H170" t="s">
        <v>179</v>
      </c>
      <c r="I170" t="s">
        <v>1</v>
      </c>
      <c r="K170">
        <v>450</v>
      </c>
      <c r="L170">
        <v>0</v>
      </c>
      <c r="M170">
        <v>0</v>
      </c>
      <c r="N170">
        <v>0</v>
      </c>
      <c r="P170">
        <v>0</v>
      </c>
      <c r="Q170">
        <f t="shared" si="30"/>
        <v>0</v>
      </c>
      <c r="R170">
        <v>0</v>
      </c>
      <c r="S170">
        <f t="shared" si="31"/>
        <v>0</v>
      </c>
      <c r="U170">
        <f t="shared" si="32"/>
        <v>0</v>
      </c>
      <c r="V170">
        <f t="shared" si="33"/>
        <v>0</v>
      </c>
      <c r="W170">
        <f t="shared" si="34"/>
        <v>0</v>
      </c>
      <c r="X170">
        <v>0</v>
      </c>
    </row>
    <row r="171" spans="1:24" x14ac:dyDescent="0.25">
      <c r="A171" t="s">
        <v>464</v>
      </c>
      <c r="B171" t="s">
        <v>465</v>
      </c>
      <c r="C171" t="s">
        <v>482</v>
      </c>
      <c r="D171" t="s">
        <v>74</v>
      </c>
      <c r="E171" t="s">
        <v>65</v>
      </c>
      <c r="F171" t="s">
        <v>1</v>
      </c>
      <c r="G171" t="s">
        <v>237</v>
      </c>
      <c r="H171" t="s">
        <v>224</v>
      </c>
      <c r="I171" t="s">
        <v>1</v>
      </c>
      <c r="J171">
        <v>2926</v>
      </c>
      <c r="L171">
        <v>0</v>
      </c>
      <c r="M171">
        <v>0</v>
      </c>
      <c r="N171">
        <v>0</v>
      </c>
      <c r="P171">
        <v>0</v>
      </c>
      <c r="Q171">
        <f t="shared" si="30"/>
        <v>0</v>
      </c>
      <c r="R171">
        <v>0</v>
      </c>
      <c r="S171">
        <f t="shared" si="31"/>
        <v>0</v>
      </c>
      <c r="U171">
        <f t="shared" si="32"/>
        <v>0</v>
      </c>
      <c r="V171">
        <f t="shared" si="33"/>
        <v>0</v>
      </c>
      <c r="W171">
        <f t="shared" si="34"/>
        <v>0</v>
      </c>
      <c r="X171">
        <v>0</v>
      </c>
    </row>
    <row r="172" spans="1:24" x14ac:dyDescent="0.25">
      <c r="A172" t="s">
        <v>464</v>
      </c>
      <c r="B172" t="s">
        <v>465</v>
      </c>
      <c r="C172" t="s">
        <v>482</v>
      </c>
      <c r="D172" t="s">
        <v>74</v>
      </c>
      <c r="E172" t="s">
        <v>32</v>
      </c>
      <c r="F172" t="s">
        <v>1</v>
      </c>
      <c r="G172" t="s">
        <v>237</v>
      </c>
      <c r="H172" t="s">
        <v>184</v>
      </c>
      <c r="I172" t="s">
        <v>1</v>
      </c>
      <c r="L172">
        <v>30</v>
      </c>
      <c r="M172">
        <v>60.497237569060772</v>
      </c>
      <c r="N172">
        <v>30</v>
      </c>
      <c r="O172">
        <v>60</v>
      </c>
      <c r="P172">
        <v>0</v>
      </c>
      <c r="Q172">
        <f t="shared" si="30"/>
        <v>60</v>
      </c>
      <c r="R172">
        <v>60</v>
      </c>
      <c r="S172">
        <f t="shared" si="31"/>
        <v>0</v>
      </c>
      <c r="T172">
        <v>0.03</v>
      </c>
      <c r="U172">
        <f t="shared" si="32"/>
        <v>1.7999999999999998</v>
      </c>
      <c r="V172">
        <f t="shared" si="33"/>
        <v>61.8</v>
      </c>
      <c r="W172">
        <f t="shared" si="34"/>
        <v>1.7999999999999972</v>
      </c>
      <c r="X172">
        <v>0</v>
      </c>
    </row>
    <row r="173" spans="1:24" x14ac:dyDescent="0.25">
      <c r="A173" t="s">
        <v>464</v>
      </c>
      <c r="B173" t="s">
        <v>465</v>
      </c>
      <c r="C173" t="s">
        <v>482</v>
      </c>
      <c r="D173" t="s">
        <v>74</v>
      </c>
      <c r="E173" t="s">
        <v>36</v>
      </c>
      <c r="F173" t="s">
        <v>1</v>
      </c>
      <c r="G173" t="s">
        <v>237</v>
      </c>
      <c r="H173" t="s">
        <v>188</v>
      </c>
      <c r="I173" t="s">
        <v>1</v>
      </c>
      <c r="L173">
        <v>2790</v>
      </c>
      <c r="M173">
        <v>5626.2430939226515</v>
      </c>
      <c r="N173">
        <v>2790</v>
      </c>
      <c r="O173">
        <v>5580</v>
      </c>
      <c r="P173">
        <v>0</v>
      </c>
      <c r="Q173">
        <f t="shared" si="30"/>
        <v>5580</v>
      </c>
      <c r="R173">
        <v>5580</v>
      </c>
      <c r="S173">
        <f t="shared" si="31"/>
        <v>0</v>
      </c>
      <c r="T173">
        <v>0.03</v>
      </c>
      <c r="U173">
        <f t="shared" si="32"/>
        <v>167.4</v>
      </c>
      <c r="V173">
        <f t="shared" si="33"/>
        <v>5747.4</v>
      </c>
      <c r="W173">
        <f t="shared" si="34"/>
        <v>167.39999999999964</v>
      </c>
      <c r="X173">
        <v>0</v>
      </c>
    </row>
    <row r="174" spans="1:24" x14ac:dyDescent="0.25">
      <c r="A174" t="s">
        <v>464</v>
      </c>
      <c r="B174" t="s">
        <v>465</v>
      </c>
      <c r="C174" t="s">
        <v>482</v>
      </c>
      <c r="D174" t="s">
        <v>74</v>
      </c>
      <c r="E174" t="s">
        <v>41</v>
      </c>
      <c r="F174" t="s">
        <v>1</v>
      </c>
      <c r="G174" t="s">
        <v>237</v>
      </c>
      <c r="H174" t="s">
        <v>193</v>
      </c>
      <c r="I174" t="s">
        <v>1</v>
      </c>
      <c r="J174">
        <v>219.28</v>
      </c>
      <c r="L174">
        <v>5.54</v>
      </c>
      <c r="M174">
        <v>11.171823204419889</v>
      </c>
      <c r="N174">
        <v>224.82000000000002</v>
      </c>
      <c r="O174">
        <v>11.171823204400001</v>
      </c>
      <c r="P174">
        <v>-11</v>
      </c>
      <c r="Q174">
        <f t="shared" si="30"/>
        <v>0.17182320440000076</v>
      </c>
      <c r="R174">
        <v>0</v>
      </c>
      <c r="S174">
        <f t="shared" si="31"/>
        <v>-0.17182320440000076</v>
      </c>
      <c r="U174">
        <f t="shared" si="32"/>
        <v>0</v>
      </c>
      <c r="V174">
        <f t="shared" si="33"/>
        <v>0</v>
      </c>
      <c r="W174">
        <f t="shared" si="34"/>
        <v>-0.17182320440000076</v>
      </c>
      <c r="X174">
        <v>0</v>
      </c>
    </row>
    <row r="175" spans="1:24" x14ac:dyDescent="0.25">
      <c r="A175" t="s">
        <v>464</v>
      </c>
      <c r="B175" t="s">
        <v>465</v>
      </c>
      <c r="C175" t="s">
        <v>482</v>
      </c>
      <c r="D175" t="s">
        <v>74</v>
      </c>
      <c r="E175" t="s">
        <v>42</v>
      </c>
      <c r="F175" t="s">
        <v>42</v>
      </c>
      <c r="G175" t="s">
        <v>238</v>
      </c>
      <c r="J175">
        <v>7664.2099999999991</v>
      </c>
      <c r="K175">
        <v>98706.604432258202</v>
      </c>
      <c r="L175">
        <v>3558.23</v>
      </c>
      <c r="M175">
        <v>7175.4361878453037</v>
      </c>
      <c r="N175">
        <v>8296.44</v>
      </c>
      <c r="O175">
        <v>7125.6832766681009</v>
      </c>
      <c r="P175">
        <f>SUMIF($F$162:$F$174,"&lt;&gt;EV_*",$P$162:$P$174)</f>
        <v>-1095</v>
      </c>
      <c r="Q175">
        <f>SUMIF($F$162:$F$174,"&lt;&gt;EV_*",$Q$162:$Q$174)</f>
        <v>6030.6832766681009</v>
      </c>
      <c r="R175">
        <f>SUMIF($F$162:$F$174,"&lt;&gt;EV_*",$R$162:$R$174)</f>
        <v>10630</v>
      </c>
      <c r="S175">
        <f>SUMIF($F$162:$F$174,"&lt;&gt;EV_*",$S$162:$S$174)</f>
        <v>4599.3167233318991</v>
      </c>
      <c r="T175">
        <v>0</v>
      </c>
      <c r="U175">
        <f>SUMIF($F$162:$F$174,"&lt;&gt;EV_*",$U$162:$U$174)</f>
        <v>274.85000000000002</v>
      </c>
      <c r="V175">
        <f>SUMIF($F$162:$F$174,"&lt;&gt;EV_*",$V$162:$V$174)</f>
        <v>10904.849999999999</v>
      </c>
      <c r="W175">
        <f>SUMIF($F$162:$F$174,"&lt;&gt;EV_*",$W$162:$W$174)</f>
        <v>4874.1667233318994</v>
      </c>
      <c r="X175">
        <f>SUMIF($F$162:$F$174,"&lt;&gt;EV_*",$X$162:$X$174)</f>
        <v>0</v>
      </c>
    </row>
    <row r="176" spans="1:24" x14ac:dyDescent="0.25">
      <c r="A176" t="s">
        <v>466</v>
      </c>
      <c r="B176" t="s">
        <v>466</v>
      </c>
      <c r="C176" t="s">
        <v>483</v>
      </c>
      <c r="D176" t="s">
        <v>75</v>
      </c>
      <c r="E176" t="s">
        <v>5</v>
      </c>
      <c r="F176" t="s">
        <v>5</v>
      </c>
      <c r="G176" t="s">
        <v>239</v>
      </c>
    </row>
    <row r="177" spans="1:24" x14ac:dyDescent="0.25">
      <c r="A177" t="s">
        <v>466</v>
      </c>
      <c r="B177" t="s">
        <v>466</v>
      </c>
      <c r="C177" t="s">
        <v>483</v>
      </c>
      <c r="D177" t="s">
        <v>75</v>
      </c>
      <c r="E177" t="s">
        <v>76</v>
      </c>
      <c r="F177" t="s">
        <v>1</v>
      </c>
      <c r="G177" t="s">
        <v>240</v>
      </c>
      <c r="H177" t="s">
        <v>241</v>
      </c>
      <c r="I177" t="s">
        <v>1</v>
      </c>
      <c r="J177">
        <v>92.5</v>
      </c>
      <c r="L177">
        <v>0</v>
      </c>
      <c r="M177">
        <v>0</v>
      </c>
      <c r="N177">
        <v>92.5</v>
      </c>
      <c r="P177">
        <v>0</v>
      </c>
      <c r="Q177">
        <f t="shared" ref="Q177:Q201" si="35">O177+P177</f>
        <v>0</v>
      </c>
      <c r="R177">
        <v>0</v>
      </c>
      <c r="S177">
        <f t="shared" ref="S177:S201" si="36">IF(OR(LEFT(E177,2)="A_",LEFT(D177,5)="Total"),R177-Q177,"")</f>
        <v>0</v>
      </c>
      <c r="T177">
        <v>3.7499999999999999E-2</v>
      </c>
      <c r="U177">
        <f t="shared" ref="U177:U201" si="37">IFERROR(R177*T177,R177*0)</f>
        <v>0</v>
      </c>
      <c r="V177">
        <f t="shared" ref="V177:V201" si="38">IF(OR(LEFT(E177,2)="A_",LEFT(D177,5)="Total"),R177+U177,"")</f>
        <v>0</v>
      </c>
      <c r="W177">
        <f t="shared" ref="W177:W201" si="39">IF(OR(LEFT(E177,2)="A_",LEFT(D177,5)="Total"),V177-Q177,"")</f>
        <v>0</v>
      </c>
      <c r="X177">
        <v>0</v>
      </c>
    </row>
    <row r="178" spans="1:24" x14ac:dyDescent="0.25">
      <c r="A178" t="s">
        <v>466</v>
      </c>
      <c r="B178" t="s">
        <v>466</v>
      </c>
      <c r="C178" t="s">
        <v>483</v>
      </c>
      <c r="D178" t="s">
        <v>75</v>
      </c>
      <c r="E178" t="s">
        <v>77</v>
      </c>
      <c r="F178" t="s">
        <v>1</v>
      </c>
      <c r="G178" t="s">
        <v>240</v>
      </c>
      <c r="H178" t="s">
        <v>242</v>
      </c>
      <c r="I178" t="s">
        <v>1</v>
      </c>
      <c r="J178">
        <v>84288.41</v>
      </c>
      <c r="K178">
        <v>7441.5119999999997</v>
      </c>
      <c r="L178">
        <v>4765.92</v>
      </c>
      <c r="M178">
        <v>9610.8331491712706</v>
      </c>
      <c r="N178">
        <v>45780.21</v>
      </c>
      <c r="O178">
        <v>9610.8331491712997</v>
      </c>
      <c r="P178">
        <v>0</v>
      </c>
      <c r="Q178">
        <f t="shared" si="35"/>
        <v>9610.8331491712997</v>
      </c>
      <c r="R178">
        <v>9000</v>
      </c>
      <c r="S178">
        <f t="shared" si="36"/>
        <v>-610.83314917129974</v>
      </c>
      <c r="T178">
        <v>3.6999999999999998E-2</v>
      </c>
      <c r="U178">
        <f t="shared" si="37"/>
        <v>333</v>
      </c>
      <c r="V178">
        <f t="shared" si="38"/>
        <v>9333</v>
      </c>
      <c r="W178">
        <f t="shared" si="39"/>
        <v>-277.83314917129974</v>
      </c>
      <c r="X178" t="s">
        <v>383</v>
      </c>
    </row>
    <row r="179" spans="1:24" x14ac:dyDescent="0.25">
      <c r="A179" t="s">
        <v>466</v>
      </c>
      <c r="B179" t="s">
        <v>466</v>
      </c>
      <c r="C179" t="s">
        <v>483</v>
      </c>
      <c r="D179" t="s">
        <v>75</v>
      </c>
      <c r="E179" t="s">
        <v>78</v>
      </c>
      <c r="F179" t="s">
        <v>1</v>
      </c>
      <c r="G179" t="s">
        <v>240</v>
      </c>
      <c r="H179" t="s">
        <v>243</v>
      </c>
      <c r="I179" t="s">
        <v>1</v>
      </c>
      <c r="J179">
        <v>155464.76999999999</v>
      </c>
      <c r="K179">
        <v>448486.95400000003</v>
      </c>
      <c r="L179">
        <v>207175.49</v>
      </c>
      <c r="M179">
        <v>417784.82790055248</v>
      </c>
      <c r="N179">
        <v>329058.47000000003</v>
      </c>
      <c r="O179">
        <v>417784.82790055202</v>
      </c>
      <c r="P179">
        <v>0</v>
      </c>
      <c r="Q179">
        <f t="shared" si="35"/>
        <v>417784.82790055202</v>
      </c>
      <c r="R179">
        <v>432000</v>
      </c>
      <c r="S179">
        <f t="shared" si="36"/>
        <v>14215.172099447984</v>
      </c>
      <c r="T179">
        <v>3.5000000000000003E-2</v>
      </c>
      <c r="U179">
        <f t="shared" si="37"/>
        <v>15120.000000000002</v>
      </c>
      <c r="V179">
        <f t="shared" si="38"/>
        <v>447120</v>
      </c>
      <c r="W179">
        <f t="shared" si="39"/>
        <v>29335.172099447984</v>
      </c>
      <c r="X179" t="s">
        <v>384</v>
      </c>
    </row>
    <row r="180" spans="1:24" x14ac:dyDescent="0.25">
      <c r="A180" t="s">
        <v>466</v>
      </c>
      <c r="B180" t="s">
        <v>466</v>
      </c>
      <c r="C180" t="s">
        <v>483</v>
      </c>
      <c r="D180" t="s">
        <v>75</v>
      </c>
      <c r="E180" t="s">
        <v>79</v>
      </c>
      <c r="F180" t="s">
        <v>1</v>
      </c>
      <c r="G180" t="s">
        <v>240</v>
      </c>
      <c r="H180" t="s">
        <v>244</v>
      </c>
      <c r="I180" t="s">
        <v>1</v>
      </c>
      <c r="J180">
        <v>1148.0899999999999</v>
      </c>
      <c r="L180">
        <v>73.78</v>
      </c>
      <c r="M180">
        <v>148.7828729281768</v>
      </c>
      <c r="N180">
        <v>373.72999999999996</v>
      </c>
      <c r="O180">
        <v>148.78287292819999</v>
      </c>
      <c r="P180">
        <v>0</v>
      </c>
      <c r="Q180">
        <f t="shared" si="35"/>
        <v>148.78287292819999</v>
      </c>
      <c r="R180">
        <v>148.78287292819999</v>
      </c>
      <c r="S180">
        <f t="shared" si="36"/>
        <v>0</v>
      </c>
      <c r="T180">
        <v>3.5000000000000003E-2</v>
      </c>
      <c r="U180">
        <f t="shared" si="37"/>
        <v>5.207400552487</v>
      </c>
      <c r="V180">
        <f t="shared" si="38"/>
        <v>153.99027348068699</v>
      </c>
      <c r="W180">
        <f t="shared" si="39"/>
        <v>5.2074005524870017</v>
      </c>
      <c r="X180">
        <v>0</v>
      </c>
    </row>
    <row r="181" spans="1:24" x14ac:dyDescent="0.25">
      <c r="A181" t="s">
        <v>466</v>
      </c>
      <c r="B181" t="s">
        <v>466</v>
      </c>
      <c r="C181" t="s">
        <v>483</v>
      </c>
      <c r="D181" t="s">
        <v>75</v>
      </c>
      <c r="E181" t="s">
        <v>80</v>
      </c>
      <c r="F181" t="s">
        <v>1</v>
      </c>
      <c r="G181" t="s">
        <v>240</v>
      </c>
      <c r="H181" t="s">
        <v>245</v>
      </c>
      <c r="I181" t="s">
        <v>1</v>
      </c>
      <c r="J181">
        <v>1217.72</v>
      </c>
      <c r="L181">
        <v>1175.47</v>
      </c>
      <c r="M181">
        <v>2370.4229281767953</v>
      </c>
      <c r="N181">
        <v>2393.19</v>
      </c>
      <c r="O181">
        <v>2370.4229281767998</v>
      </c>
      <c r="P181">
        <v>0</v>
      </c>
      <c r="Q181">
        <f t="shared" si="35"/>
        <v>2370.4229281767998</v>
      </c>
      <c r="R181">
        <v>2370.4229281767998</v>
      </c>
      <c r="S181">
        <f t="shared" si="36"/>
        <v>0</v>
      </c>
      <c r="T181">
        <v>0.04</v>
      </c>
      <c r="U181">
        <f t="shared" si="37"/>
        <v>94.816917127071989</v>
      </c>
      <c r="V181">
        <f t="shared" si="38"/>
        <v>2465.2398453038718</v>
      </c>
      <c r="W181">
        <f t="shared" si="39"/>
        <v>94.816917127071974</v>
      </c>
      <c r="X181">
        <v>0</v>
      </c>
    </row>
    <row r="182" spans="1:24" x14ac:dyDescent="0.25">
      <c r="A182" t="s">
        <v>466</v>
      </c>
      <c r="B182" t="s">
        <v>466</v>
      </c>
      <c r="C182" t="s">
        <v>483</v>
      </c>
      <c r="D182" t="s">
        <v>75</v>
      </c>
      <c r="E182" t="s">
        <v>81</v>
      </c>
      <c r="F182" t="s">
        <v>1</v>
      </c>
      <c r="G182" t="s">
        <v>240</v>
      </c>
      <c r="H182" t="s">
        <v>246</v>
      </c>
      <c r="I182" t="s">
        <v>1</v>
      </c>
      <c r="J182">
        <v>21320.27</v>
      </c>
      <c r="K182">
        <v>40799.999999999898</v>
      </c>
      <c r="L182">
        <v>25195.53</v>
      </c>
      <c r="M182">
        <v>50808.665469613261</v>
      </c>
      <c r="N182">
        <v>45652.97</v>
      </c>
      <c r="O182">
        <v>50808.665469613297</v>
      </c>
      <c r="P182">
        <v>0</v>
      </c>
      <c r="Q182">
        <f t="shared" si="35"/>
        <v>50808.665469613297</v>
      </c>
      <c r="R182">
        <v>50000</v>
      </c>
      <c r="S182">
        <f t="shared" si="36"/>
        <v>-808.66546961329732</v>
      </c>
      <c r="T182">
        <v>0.02</v>
      </c>
      <c r="U182">
        <f t="shared" si="37"/>
        <v>1000</v>
      </c>
      <c r="V182">
        <f t="shared" si="38"/>
        <v>51000</v>
      </c>
      <c r="W182">
        <f t="shared" si="39"/>
        <v>191.33453038670268</v>
      </c>
      <c r="X182" t="s">
        <v>385</v>
      </c>
    </row>
    <row r="183" spans="1:24" x14ac:dyDescent="0.25">
      <c r="A183" t="s">
        <v>466</v>
      </c>
      <c r="B183" t="s">
        <v>466</v>
      </c>
      <c r="C183" t="s">
        <v>483</v>
      </c>
      <c r="D183" t="s">
        <v>75</v>
      </c>
      <c r="E183" t="s">
        <v>82</v>
      </c>
      <c r="F183" t="s">
        <v>1</v>
      </c>
      <c r="G183" t="s">
        <v>240</v>
      </c>
      <c r="H183" t="s">
        <v>247</v>
      </c>
      <c r="I183" t="s">
        <v>1</v>
      </c>
      <c r="J183">
        <v>-170.17</v>
      </c>
      <c r="L183">
        <v>-333.97</v>
      </c>
      <c r="M183">
        <v>-673.47541436464098</v>
      </c>
      <c r="N183">
        <v>-504.14</v>
      </c>
      <c r="O183">
        <v>-673.47541436460006</v>
      </c>
      <c r="P183">
        <v>0</v>
      </c>
      <c r="Q183">
        <f t="shared" si="35"/>
        <v>-673.47541436460006</v>
      </c>
      <c r="R183">
        <v>-673.47541436460006</v>
      </c>
      <c r="S183">
        <f t="shared" si="36"/>
        <v>0</v>
      </c>
      <c r="U183">
        <f t="shared" si="37"/>
        <v>0</v>
      </c>
      <c r="V183">
        <f t="shared" si="38"/>
        <v>-673.47541436460006</v>
      </c>
      <c r="W183">
        <f t="shared" si="39"/>
        <v>0</v>
      </c>
      <c r="X183">
        <v>0</v>
      </c>
    </row>
    <row r="184" spans="1:24" x14ac:dyDescent="0.25">
      <c r="A184" t="s">
        <v>466</v>
      </c>
      <c r="B184" t="s">
        <v>466</v>
      </c>
      <c r="C184" t="s">
        <v>483</v>
      </c>
      <c r="D184" t="s">
        <v>75</v>
      </c>
      <c r="E184" t="s">
        <v>44</v>
      </c>
      <c r="F184" t="s">
        <v>1</v>
      </c>
      <c r="G184" t="s">
        <v>240</v>
      </c>
      <c r="H184" t="s">
        <v>197</v>
      </c>
      <c r="I184" t="s">
        <v>1</v>
      </c>
      <c r="J184">
        <v>-4.13</v>
      </c>
      <c r="L184">
        <v>-3.14</v>
      </c>
      <c r="M184">
        <v>-6.3320441988950273</v>
      </c>
      <c r="N184">
        <v>-7.27</v>
      </c>
      <c r="O184">
        <v>-6.3145054944999996</v>
      </c>
      <c r="P184">
        <v>0</v>
      </c>
      <c r="Q184">
        <f t="shared" si="35"/>
        <v>-6.3145054944999996</v>
      </c>
      <c r="R184">
        <v>-6.3145054944999996</v>
      </c>
      <c r="S184">
        <f t="shared" si="36"/>
        <v>0</v>
      </c>
      <c r="U184">
        <f t="shared" si="37"/>
        <v>0</v>
      </c>
      <c r="V184">
        <f t="shared" si="38"/>
        <v>-6.3145054944999996</v>
      </c>
      <c r="W184">
        <f t="shared" si="39"/>
        <v>0</v>
      </c>
      <c r="X184">
        <v>0</v>
      </c>
    </row>
    <row r="185" spans="1:24" x14ac:dyDescent="0.25">
      <c r="A185" t="s">
        <v>466</v>
      </c>
      <c r="B185" t="s">
        <v>466</v>
      </c>
      <c r="C185" t="s">
        <v>483</v>
      </c>
      <c r="D185" t="s">
        <v>75</v>
      </c>
      <c r="E185" t="s">
        <v>13</v>
      </c>
      <c r="F185" t="s">
        <v>1</v>
      </c>
      <c r="G185" t="s">
        <v>240</v>
      </c>
      <c r="H185" t="s">
        <v>165</v>
      </c>
      <c r="I185" t="s">
        <v>1</v>
      </c>
      <c r="J185">
        <v>832</v>
      </c>
      <c r="K185">
        <v>29282.357419354699</v>
      </c>
      <c r="L185">
        <v>3416.88</v>
      </c>
      <c r="M185">
        <v>6890.393370165747</v>
      </c>
      <c r="N185">
        <v>4248.88</v>
      </c>
      <c r="O185">
        <v>6871.3081318680997</v>
      </c>
      <c r="P185">
        <v>0</v>
      </c>
      <c r="Q185">
        <f t="shared" si="35"/>
        <v>6871.3081318680997</v>
      </c>
      <c r="R185">
        <v>0</v>
      </c>
      <c r="S185">
        <f t="shared" si="36"/>
        <v>-6871.3081318680997</v>
      </c>
      <c r="T185">
        <v>0.02</v>
      </c>
      <c r="U185">
        <f t="shared" si="37"/>
        <v>0</v>
      </c>
      <c r="V185">
        <f t="shared" si="38"/>
        <v>0</v>
      </c>
      <c r="W185">
        <f t="shared" si="39"/>
        <v>-6871.3081318680997</v>
      </c>
      <c r="X185" t="s">
        <v>386</v>
      </c>
    </row>
    <row r="186" spans="1:24" x14ac:dyDescent="0.25">
      <c r="A186" t="s">
        <v>466</v>
      </c>
      <c r="B186" t="s">
        <v>466</v>
      </c>
      <c r="C186" t="s">
        <v>483</v>
      </c>
      <c r="D186" t="s">
        <v>75</v>
      </c>
      <c r="E186" t="s">
        <v>16</v>
      </c>
      <c r="F186" t="s">
        <v>1</v>
      </c>
      <c r="G186" t="s">
        <v>240</v>
      </c>
      <c r="H186" t="s">
        <v>168</v>
      </c>
      <c r="I186" t="s">
        <v>1</v>
      </c>
      <c r="J186">
        <v>27005.040000000001</v>
      </c>
      <c r="K186">
        <v>-339.3000000001</v>
      </c>
      <c r="L186">
        <v>10873.34</v>
      </c>
      <c r="M186">
        <v>21926.901104972374</v>
      </c>
      <c r="N186">
        <v>26195.23</v>
      </c>
      <c r="O186">
        <v>21926.901104972399</v>
      </c>
      <c r="P186">
        <v>0</v>
      </c>
      <c r="Q186">
        <f t="shared" si="35"/>
        <v>21926.901104972399</v>
      </c>
      <c r="R186">
        <v>21926.901104972399</v>
      </c>
      <c r="S186">
        <f t="shared" si="36"/>
        <v>0</v>
      </c>
      <c r="T186">
        <v>0.03</v>
      </c>
      <c r="U186">
        <f t="shared" si="37"/>
        <v>657.80703314917196</v>
      </c>
      <c r="V186">
        <f t="shared" si="38"/>
        <v>22584.708138121572</v>
      </c>
      <c r="W186">
        <f t="shared" si="39"/>
        <v>657.80703314917264</v>
      </c>
      <c r="X186" t="s">
        <v>387</v>
      </c>
    </row>
    <row r="187" spans="1:24" x14ac:dyDescent="0.25">
      <c r="A187" t="s">
        <v>466</v>
      </c>
      <c r="B187" t="s">
        <v>466</v>
      </c>
      <c r="C187" t="s">
        <v>483</v>
      </c>
      <c r="D187" t="s">
        <v>75</v>
      </c>
      <c r="E187" t="s">
        <v>17</v>
      </c>
      <c r="F187" t="s">
        <v>1</v>
      </c>
      <c r="G187" t="s">
        <v>240</v>
      </c>
      <c r="H187" t="s">
        <v>169</v>
      </c>
      <c r="I187" t="s">
        <v>1</v>
      </c>
      <c r="J187">
        <v>545.08000000000004</v>
      </c>
      <c r="L187">
        <v>3185.84</v>
      </c>
      <c r="M187">
        <v>6424.4839779005524</v>
      </c>
      <c r="N187">
        <v>3643.18</v>
      </c>
      <c r="O187">
        <v>6424.4839779005997</v>
      </c>
      <c r="P187">
        <v>0</v>
      </c>
      <c r="Q187">
        <f t="shared" si="35"/>
        <v>6424.4839779005997</v>
      </c>
      <c r="R187">
        <v>4000</v>
      </c>
      <c r="S187">
        <f t="shared" si="36"/>
        <v>-2424.4839779005997</v>
      </c>
      <c r="T187">
        <v>3.5000000000000003E-2</v>
      </c>
      <c r="U187">
        <f t="shared" si="37"/>
        <v>140</v>
      </c>
      <c r="V187">
        <f t="shared" si="38"/>
        <v>4140</v>
      </c>
      <c r="W187">
        <f t="shared" si="39"/>
        <v>-2284.4839779005997</v>
      </c>
      <c r="X187" t="s">
        <v>388</v>
      </c>
    </row>
    <row r="188" spans="1:24" x14ac:dyDescent="0.25">
      <c r="A188" t="s">
        <v>466</v>
      </c>
      <c r="B188" t="s">
        <v>466</v>
      </c>
      <c r="C188" t="s">
        <v>483</v>
      </c>
      <c r="D188" t="s">
        <v>75</v>
      </c>
      <c r="E188" t="s">
        <v>18</v>
      </c>
      <c r="F188" t="s">
        <v>1</v>
      </c>
      <c r="G188" t="s">
        <v>240</v>
      </c>
      <c r="H188" t="s">
        <v>170</v>
      </c>
      <c r="I188" t="s">
        <v>1</v>
      </c>
      <c r="J188">
        <v>1355.05</v>
      </c>
      <c r="L188">
        <v>714.48</v>
      </c>
      <c r="M188">
        <v>1440.8022099447514</v>
      </c>
      <c r="N188">
        <v>2034.3899999999999</v>
      </c>
      <c r="O188">
        <v>1440.8022099448001</v>
      </c>
      <c r="P188">
        <v>0</v>
      </c>
      <c r="Q188">
        <f t="shared" si="35"/>
        <v>1440.8022099448001</v>
      </c>
      <c r="R188">
        <v>2680</v>
      </c>
      <c r="S188">
        <f t="shared" si="36"/>
        <v>1239.1977900551999</v>
      </c>
      <c r="T188">
        <v>3.5000000000000003E-2</v>
      </c>
      <c r="U188">
        <f t="shared" si="37"/>
        <v>93.800000000000011</v>
      </c>
      <c r="V188">
        <f t="shared" si="38"/>
        <v>2773.8</v>
      </c>
      <c r="W188">
        <f t="shared" si="39"/>
        <v>1332.9977900552001</v>
      </c>
      <c r="X188" t="s">
        <v>389</v>
      </c>
    </row>
    <row r="189" spans="1:24" x14ac:dyDescent="0.25">
      <c r="A189" t="s">
        <v>466</v>
      </c>
      <c r="B189" t="s">
        <v>466</v>
      </c>
      <c r="C189" t="s">
        <v>483</v>
      </c>
      <c r="D189" t="s">
        <v>75</v>
      </c>
      <c r="E189" t="s">
        <v>22</v>
      </c>
      <c r="F189" t="s">
        <v>1</v>
      </c>
      <c r="G189" t="s">
        <v>240</v>
      </c>
      <c r="H189" t="s">
        <v>174</v>
      </c>
      <c r="I189" t="s">
        <v>1</v>
      </c>
      <c r="J189">
        <v>11755.48</v>
      </c>
      <c r="K189">
        <v>18870</v>
      </c>
      <c r="L189">
        <v>1522.91</v>
      </c>
      <c r="M189">
        <v>3071.0616022099448</v>
      </c>
      <c r="N189">
        <v>2478.39</v>
      </c>
      <c r="O189">
        <v>3045.82</v>
      </c>
      <c r="P189">
        <v>0</v>
      </c>
      <c r="Q189">
        <f t="shared" si="35"/>
        <v>3045.82</v>
      </c>
      <c r="R189">
        <v>5000</v>
      </c>
      <c r="S189">
        <f t="shared" si="36"/>
        <v>1954.1799999999998</v>
      </c>
      <c r="U189">
        <f t="shared" si="37"/>
        <v>0</v>
      </c>
      <c r="V189">
        <f t="shared" si="38"/>
        <v>5000</v>
      </c>
      <c r="W189">
        <f t="shared" si="39"/>
        <v>1954.1799999999998</v>
      </c>
      <c r="X189" t="s">
        <v>390</v>
      </c>
    </row>
    <row r="190" spans="1:24" x14ac:dyDescent="0.25">
      <c r="A190" t="s">
        <v>466</v>
      </c>
      <c r="B190" t="s">
        <v>466</v>
      </c>
      <c r="C190" t="s">
        <v>483</v>
      </c>
      <c r="D190" t="s">
        <v>75</v>
      </c>
      <c r="E190" t="s">
        <v>23</v>
      </c>
      <c r="F190" t="s">
        <v>1</v>
      </c>
      <c r="G190" t="s">
        <v>240</v>
      </c>
      <c r="H190" t="s">
        <v>175</v>
      </c>
      <c r="I190" t="s">
        <v>1</v>
      </c>
      <c r="J190">
        <v>136.87</v>
      </c>
      <c r="K190">
        <v>4538.0003999999999</v>
      </c>
      <c r="L190">
        <v>290.10000000000002</v>
      </c>
      <c r="M190">
        <v>585.00828729281773</v>
      </c>
      <c r="N190">
        <v>426.97</v>
      </c>
      <c r="O190">
        <v>580.20000000000005</v>
      </c>
      <c r="P190">
        <v>0</v>
      </c>
      <c r="Q190">
        <f t="shared" si="35"/>
        <v>580.20000000000005</v>
      </c>
      <c r="R190">
        <v>1600</v>
      </c>
      <c r="S190">
        <f t="shared" si="36"/>
        <v>1019.8</v>
      </c>
      <c r="U190">
        <f t="shared" si="37"/>
        <v>0</v>
      </c>
      <c r="V190">
        <f t="shared" si="38"/>
        <v>1600</v>
      </c>
      <c r="W190">
        <f t="shared" si="39"/>
        <v>1019.8</v>
      </c>
      <c r="X190" t="s">
        <v>391</v>
      </c>
    </row>
    <row r="191" spans="1:24" x14ac:dyDescent="0.25">
      <c r="A191" t="s">
        <v>466</v>
      </c>
      <c r="B191" t="s">
        <v>466</v>
      </c>
      <c r="C191" t="s">
        <v>483</v>
      </c>
      <c r="D191" t="s">
        <v>75</v>
      </c>
      <c r="E191" t="s">
        <v>25</v>
      </c>
      <c r="F191" t="s">
        <v>1</v>
      </c>
      <c r="G191" t="s">
        <v>240</v>
      </c>
      <c r="H191" t="s">
        <v>177</v>
      </c>
      <c r="I191" t="s">
        <v>1</v>
      </c>
      <c r="J191">
        <v>5616</v>
      </c>
      <c r="L191">
        <v>0</v>
      </c>
      <c r="M191">
        <v>0</v>
      </c>
      <c r="N191">
        <v>5616</v>
      </c>
      <c r="P191">
        <v>0</v>
      </c>
      <c r="Q191">
        <f t="shared" si="35"/>
        <v>0</v>
      </c>
      <c r="R191">
        <v>0</v>
      </c>
      <c r="S191">
        <f t="shared" si="36"/>
        <v>0</v>
      </c>
      <c r="U191">
        <f t="shared" si="37"/>
        <v>0</v>
      </c>
      <c r="V191">
        <f t="shared" si="38"/>
        <v>0</v>
      </c>
      <c r="W191">
        <f t="shared" si="39"/>
        <v>0</v>
      </c>
      <c r="X191">
        <v>0</v>
      </c>
    </row>
    <row r="192" spans="1:24" x14ac:dyDescent="0.25">
      <c r="A192" t="s">
        <v>466</v>
      </c>
      <c r="B192" t="s">
        <v>466</v>
      </c>
      <c r="C192" t="s">
        <v>483</v>
      </c>
      <c r="D192" t="s">
        <v>75</v>
      </c>
      <c r="E192" t="s">
        <v>27</v>
      </c>
      <c r="F192" t="s">
        <v>1</v>
      </c>
      <c r="G192" t="s">
        <v>240</v>
      </c>
      <c r="H192" t="s">
        <v>179</v>
      </c>
      <c r="I192" t="s">
        <v>1</v>
      </c>
      <c r="J192">
        <v>720.99</v>
      </c>
      <c r="K192">
        <v>5460</v>
      </c>
      <c r="L192">
        <v>0</v>
      </c>
      <c r="M192">
        <v>0</v>
      </c>
      <c r="N192">
        <v>329.8</v>
      </c>
      <c r="P192">
        <v>0</v>
      </c>
      <c r="Q192">
        <f t="shared" si="35"/>
        <v>0</v>
      </c>
      <c r="R192">
        <v>0</v>
      </c>
      <c r="S192">
        <f t="shared" si="36"/>
        <v>0</v>
      </c>
      <c r="U192">
        <f t="shared" si="37"/>
        <v>0</v>
      </c>
      <c r="V192">
        <f t="shared" si="38"/>
        <v>0</v>
      </c>
      <c r="W192">
        <f t="shared" si="39"/>
        <v>0</v>
      </c>
      <c r="X192">
        <v>0</v>
      </c>
    </row>
    <row r="193" spans="1:24" x14ac:dyDescent="0.25">
      <c r="A193" t="s">
        <v>466</v>
      </c>
      <c r="B193" t="s">
        <v>466</v>
      </c>
      <c r="C193" t="s">
        <v>483</v>
      </c>
      <c r="D193" t="s">
        <v>75</v>
      </c>
      <c r="E193" t="s">
        <v>28</v>
      </c>
      <c r="F193" t="s">
        <v>1</v>
      </c>
      <c r="G193" t="s">
        <v>240</v>
      </c>
      <c r="H193" t="s">
        <v>180</v>
      </c>
      <c r="I193" t="s">
        <v>1</v>
      </c>
      <c r="J193">
        <v>195.53</v>
      </c>
      <c r="K193">
        <v>300</v>
      </c>
      <c r="L193">
        <v>0</v>
      </c>
      <c r="M193">
        <v>0</v>
      </c>
      <c r="N193">
        <v>0</v>
      </c>
      <c r="P193">
        <v>0</v>
      </c>
      <c r="Q193">
        <f t="shared" si="35"/>
        <v>0</v>
      </c>
      <c r="R193">
        <v>0</v>
      </c>
      <c r="S193">
        <f t="shared" si="36"/>
        <v>0</v>
      </c>
      <c r="U193">
        <f t="shared" si="37"/>
        <v>0</v>
      </c>
      <c r="V193">
        <f t="shared" si="38"/>
        <v>0</v>
      </c>
      <c r="W193">
        <f t="shared" si="39"/>
        <v>0</v>
      </c>
      <c r="X193">
        <v>0</v>
      </c>
    </row>
    <row r="194" spans="1:24" x14ac:dyDescent="0.25">
      <c r="A194" t="s">
        <v>466</v>
      </c>
      <c r="B194" t="s">
        <v>466</v>
      </c>
      <c r="C194" t="s">
        <v>483</v>
      </c>
      <c r="D194" t="s">
        <v>75</v>
      </c>
      <c r="E194" t="s">
        <v>83</v>
      </c>
      <c r="F194" t="s">
        <v>1</v>
      </c>
      <c r="G194" t="s">
        <v>240</v>
      </c>
      <c r="H194" t="s">
        <v>248</v>
      </c>
      <c r="I194" t="s">
        <v>1</v>
      </c>
      <c r="J194">
        <v>1224</v>
      </c>
      <c r="L194">
        <v>0</v>
      </c>
      <c r="M194">
        <v>0</v>
      </c>
      <c r="N194">
        <v>62.4</v>
      </c>
      <c r="P194">
        <v>0</v>
      </c>
      <c r="Q194">
        <f t="shared" si="35"/>
        <v>0</v>
      </c>
      <c r="R194">
        <v>0</v>
      </c>
      <c r="S194">
        <f t="shared" si="36"/>
        <v>0</v>
      </c>
      <c r="U194">
        <f t="shared" si="37"/>
        <v>0</v>
      </c>
      <c r="V194">
        <f t="shared" si="38"/>
        <v>0</v>
      </c>
      <c r="W194">
        <f t="shared" si="39"/>
        <v>0</v>
      </c>
      <c r="X194">
        <v>0</v>
      </c>
    </row>
    <row r="195" spans="1:24" x14ac:dyDescent="0.25">
      <c r="A195" t="s">
        <v>466</v>
      </c>
      <c r="B195" t="s">
        <v>466</v>
      </c>
      <c r="C195" t="s">
        <v>483</v>
      </c>
      <c r="D195" t="s">
        <v>75</v>
      </c>
      <c r="E195" t="s">
        <v>29</v>
      </c>
      <c r="F195" t="s">
        <v>1</v>
      </c>
      <c r="G195" t="s">
        <v>240</v>
      </c>
      <c r="H195" t="s">
        <v>181</v>
      </c>
      <c r="I195" t="s">
        <v>1</v>
      </c>
      <c r="J195">
        <v>1687.59</v>
      </c>
      <c r="L195">
        <v>0</v>
      </c>
      <c r="M195">
        <v>0</v>
      </c>
      <c r="N195">
        <v>0</v>
      </c>
      <c r="P195">
        <v>0</v>
      </c>
      <c r="Q195">
        <f t="shared" si="35"/>
        <v>0</v>
      </c>
      <c r="R195">
        <v>0</v>
      </c>
      <c r="S195">
        <f t="shared" si="36"/>
        <v>0</v>
      </c>
      <c r="U195">
        <f t="shared" si="37"/>
        <v>0</v>
      </c>
      <c r="V195">
        <f t="shared" si="38"/>
        <v>0</v>
      </c>
      <c r="W195">
        <f t="shared" si="39"/>
        <v>0</v>
      </c>
      <c r="X195">
        <v>0</v>
      </c>
    </row>
    <row r="196" spans="1:24" x14ac:dyDescent="0.25">
      <c r="A196" t="s">
        <v>466</v>
      </c>
      <c r="B196" t="s">
        <v>466</v>
      </c>
      <c r="C196" t="s">
        <v>483</v>
      </c>
      <c r="D196" t="s">
        <v>75</v>
      </c>
      <c r="E196" t="s">
        <v>32</v>
      </c>
      <c r="F196" t="s">
        <v>1</v>
      </c>
      <c r="G196" t="s">
        <v>240</v>
      </c>
      <c r="H196" t="s">
        <v>184</v>
      </c>
      <c r="I196" t="s">
        <v>1</v>
      </c>
      <c r="J196">
        <v>2817.62</v>
      </c>
      <c r="L196">
        <v>1798.28</v>
      </c>
      <c r="M196">
        <v>3626.3657458563539</v>
      </c>
      <c r="N196">
        <v>4615.9000000000005</v>
      </c>
      <c r="O196">
        <v>3596.56</v>
      </c>
      <c r="P196">
        <v>0</v>
      </c>
      <c r="Q196">
        <f t="shared" si="35"/>
        <v>3596.56</v>
      </c>
      <c r="R196">
        <v>3596.56</v>
      </c>
      <c r="S196">
        <f t="shared" si="36"/>
        <v>0</v>
      </c>
      <c r="T196">
        <v>0.03</v>
      </c>
      <c r="U196">
        <f t="shared" si="37"/>
        <v>107.8968</v>
      </c>
      <c r="V196">
        <f t="shared" si="38"/>
        <v>3704.4567999999999</v>
      </c>
      <c r="W196">
        <f t="shared" si="39"/>
        <v>107.89679999999998</v>
      </c>
      <c r="X196">
        <v>0</v>
      </c>
    </row>
    <row r="197" spans="1:24" x14ac:dyDescent="0.25">
      <c r="A197" t="s">
        <v>466</v>
      </c>
      <c r="B197" t="s">
        <v>466</v>
      </c>
      <c r="C197" t="s">
        <v>483</v>
      </c>
      <c r="D197" t="s">
        <v>75</v>
      </c>
      <c r="E197" t="s">
        <v>33</v>
      </c>
      <c r="F197" t="s">
        <v>1</v>
      </c>
      <c r="G197" t="s">
        <v>240</v>
      </c>
      <c r="H197" t="s">
        <v>185</v>
      </c>
      <c r="I197" t="s">
        <v>1</v>
      </c>
      <c r="K197">
        <v>21000</v>
      </c>
      <c r="L197">
        <v>0</v>
      </c>
      <c r="M197">
        <v>0</v>
      </c>
      <c r="N197">
        <v>0</v>
      </c>
      <c r="P197">
        <v>0</v>
      </c>
      <c r="Q197">
        <f t="shared" si="35"/>
        <v>0</v>
      </c>
      <c r="R197">
        <v>0</v>
      </c>
      <c r="S197">
        <f t="shared" si="36"/>
        <v>0</v>
      </c>
      <c r="T197">
        <v>0.03</v>
      </c>
      <c r="U197">
        <f t="shared" si="37"/>
        <v>0</v>
      </c>
      <c r="V197">
        <f t="shared" si="38"/>
        <v>0</v>
      </c>
      <c r="W197">
        <f t="shared" si="39"/>
        <v>0</v>
      </c>
      <c r="X197">
        <v>0</v>
      </c>
    </row>
    <row r="198" spans="1:24" x14ac:dyDescent="0.25">
      <c r="A198" t="s">
        <v>466</v>
      </c>
      <c r="B198" t="s">
        <v>466</v>
      </c>
      <c r="C198" t="s">
        <v>483</v>
      </c>
      <c r="D198" t="s">
        <v>75</v>
      </c>
      <c r="E198" t="s">
        <v>36</v>
      </c>
      <c r="F198" t="s">
        <v>1</v>
      </c>
      <c r="G198" t="s">
        <v>240</v>
      </c>
      <c r="H198" t="s">
        <v>188</v>
      </c>
      <c r="I198" t="s">
        <v>1</v>
      </c>
      <c r="J198">
        <v>40295.39</v>
      </c>
      <c r="K198">
        <v>202008</v>
      </c>
      <c r="L198">
        <v>58756.45</v>
      </c>
      <c r="M198">
        <v>118486.76381215469</v>
      </c>
      <c r="N198">
        <v>98876.45</v>
      </c>
      <c r="O198">
        <v>117512.9</v>
      </c>
      <c r="P198">
        <v>0</v>
      </c>
      <c r="Q198">
        <f t="shared" si="35"/>
        <v>117512.9</v>
      </c>
      <c r="R198">
        <v>0</v>
      </c>
      <c r="S198">
        <f t="shared" si="36"/>
        <v>-117512.9</v>
      </c>
      <c r="T198">
        <v>0.03</v>
      </c>
      <c r="U198">
        <f t="shared" si="37"/>
        <v>0</v>
      </c>
      <c r="V198">
        <f t="shared" si="38"/>
        <v>0</v>
      </c>
      <c r="W198">
        <f t="shared" si="39"/>
        <v>-117512.9</v>
      </c>
      <c r="X198" t="s">
        <v>392</v>
      </c>
    </row>
    <row r="199" spans="1:24" x14ac:dyDescent="0.25">
      <c r="A199" t="s">
        <v>466</v>
      </c>
      <c r="B199" t="s">
        <v>466</v>
      </c>
      <c r="C199" t="s">
        <v>483</v>
      </c>
      <c r="D199" t="s">
        <v>75</v>
      </c>
      <c r="E199" t="s">
        <v>38</v>
      </c>
      <c r="F199" t="s">
        <v>1</v>
      </c>
      <c r="G199" t="s">
        <v>240</v>
      </c>
      <c r="H199" t="s">
        <v>190</v>
      </c>
      <c r="I199" t="s">
        <v>1</v>
      </c>
      <c r="L199">
        <v>48.45</v>
      </c>
      <c r="M199">
        <v>97.703038674033166</v>
      </c>
      <c r="N199">
        <v>48.45</v>
      </c>
      <c r="O199">
        <v>96.9</v>
      </c>
      <c r="P199">
        <v>0</v>
      </c>
      <c r="Q199">
        <f t="shared" si="35"/>
        <v>96.9</v>
      </c>
      <c r="R199">
        <v>96.9</v>
      </c>
      <c r="S199">
        <f t="shared" si="36"/>
        <v>0</v>
      </c>
      <c r="T199">
        <v>0.03</v>
      </c>
      <c r="U199">
        <f t="shared" si="37"/>
        <v>2.907</v>
      </c>
      <c r="V199">
        <f t="shared" si="38"/>
        <v>99.807000000000002</v>
      </c>
      <c r="W199">
        <f t="shared" si="39"/>
        <v>2.9069999999999965</v>
      </c>
      <c r="X199">
        <v>0</v>
      </c>
    </row>
    <row r="200" spans="1:24" x14ac:dyDescent="0.25">
      <c r="A200" t="s">
        <v>466</v>
      </c>
      <c r="B200" t="s">
        <v>466</v>
      </c>
      <c r="C200" t="s">
        <v>483</v>
      </c>
      <c r="D200" t="s">
        <v>75</v>
      </c>
      <c r="E200" t="s">
        <v>73</v>
      </c>
      <c r="F200" t="s">
        <v>1</v>
      </c>
      <c r="G200" t="s">
        <v>240</v>
      </c>
      <c r="H200" t="s">
        <v>234</v>
      </c>
      <c r="I200" t="s">
        <v>1</v>
      </c>
      <c r="J200">
        <v>263.75</v>
      </c>
      <c r="L200">
        <v>0</v>
      </c>
      <c r="M200">
        <v>0</v>
      </c>
      <c r="N200">
        <v>263.75</v>
      </c>
      <c r="P200">
        <v>0</v>
      </c>
      <c r="Q200">
        <f t="shared" si="35"/>
        <v>0</v>
      </c>
      <c r="R200">
        <v>263.75</v>
      </c>
      <c r="S200">
        <f t="shared" si="36"/>
        <v>263.75</v>
      </c>
      <c r="T200">
        <v>0.03</v>
      </c>
      <c r="U200">
        <f t="shared" si="37"/>
        <v>7.9124999999999996</v>
      </c>
      <c r="V200">
        <f t="shared" si="38"/>
        <v>271.66250000000002</v>
      </c>
      <c r="W200">
        <f t="shared" si="39"/>
        <v>271.66250000000002</v>
      </c>
      <c r="X200">
        <v>0</v>
      </c>
    </row>
    <row r="201" spans="1:24" x14ac:dyDescent="0.25">
      <c r="A201" t="s">
        <v>466</v>
      </c>
      <c r="B201" t="s">
        <v>466</v>
      </c>
      <c r="C201" t="s">
        <v>483</v>
      </c>
      <c r="D201" t="s">
        <v>75</v>
      </c>
      <c r="E201" t="s">
        <v>41</v>
      </c>
      <c r="F201" t="s">
        <v>1</v>
      </c>
      <c r="G201" t="s">
        <v>240</v>
      </c>
      <c r="H201" t="s">
        <v>193</v>
      </c>
      <c r="I201" t="s">
        <v>1</v>
      </c>
      <c r="J201">
        <v>220.72</v>
      </c>
      <c r="L201">
        <v>196.59</v>
      </c>
      <c r="M201">
        <v>396.43839779005532</v>
      </c>
      <c r="N201">
        <v>417.30999999999995</v>
      </c>
      <c r="O201">
        <v>396.4383977901</v>
      </c>
      <c r="P201">
        <v>0</v>
      </c>
      <c r="Q201">
        <f t="shared" si="35"/>
        <v>396.4383977901</v>
      </c>
      <c r="R201">
        <v>396.4383977901</v>
      </c>
      <c r="S201">
        <f t="shared" si="36"/>
        <v>0</v>
      </c>
      <c r="U201">
        <f t="shared" si="37"/>
        <v>0</v>
      </c>
      <c r="V201">
        <f t="shared" si="38"/>
        <v>396.4383977901</v>
      </c>
      <c r="W201">
        <f t="shared" si="39"/>
        <v>0</v>
      </c>
      <c r="X201">
        <v>0</v>
      </c>
    </row>
    <row r="202" spans="1:24" x14ac:dyDescent="0.25">
      <c r="A202" t="s">
        <v>466</v>
      </c>
      <c r="B202" t="s">
        <v>466</v>
      </c>
      <c r="C202" t="s">
        <v>483</v>
      </c>
      <c r="D202" t="s">
        <v>75</v>
      </c>
      <c r="E202" t="s">
        <v>42</v>
      </c>
      <c r="F202" t="s">
        <v>42</v>
      </c>
      <c r="G202" t="s">
        <v>249</v>
      </c>
      <c r="J202">
        <v>358028.57</v>
      </c>
      <c r="K202">
        <v>777847.5238193546</v>
      </c>
      <c r="L202">
        <v>318852.40000000002</v>
      </c>
      <c r="M202">
        <v>642989.64640883973</v>
      </c>
      <c r="N202">
        <v>572096.76</v>
      </c>
      <c r="O202">
        <v>641936.05622305849</v>
      </c>
      <c r="P202">
        <f>SUMIF($F$176:$F$201,"&lt;&gt;EV_*",$P$176:$P$201)</f>
        <v>0</v>
      </c>
      <c r="Q202">
        <f>SUMIF($F$176:$F$201,"&lt;&gt;EV_*",$Q$176:$Q$201)</f>
        <v>641936.05622305849</v>
      </c>
      <c r="R202">
        <f>SUMIF($F$176:$F$201,"&lt;&gt;EV_*",$R$176:$R$201)</f>
        <v>532399.96538400848</v>
      </c>
      <c r="S202">
        <f>SUMIF($F$176:$F$201,"&lt;&gt;EV_*",$S$176:$S$201)</f>
        <v>-109536.09083905011</v>
      </c>
      <c r="T202">
        <v>0</v>
      </c>
      <c r="U202">
        <f>SUMIF($F$176:$F$201,"&lt;&gt;EV_*",$U$176:$U$201)</f>
        <v>17563.347650828731</v>
      </c>
      <c r="V202">
        <f>SUMIF($F$176:$F$201,"&lt;&gt;EV_*",$V$176:$V$201)</f>
        <v>549963.31303483725</v>
      </c>
      <c r="W202">
        <f>SUMIF($F$176:$F$201,"&lt;&gt;EV_*",$W$176:$W$201)</f>
        <v>-91972.743188221357</v>
      </c>
      <c r="X202">
        <f>SUMIF($F$176:$F$201,"&lt;&gt;EV_*",$X$176:$X$201)</f>
        <v>0</v>
      </c>
    </row>
    <row r="203" spans="1:24" x14ac:dyDescent="0.25">
      <c r="A203" t="s">
        <v>467</v>
      </c>
      <c r="B203" t="s">
        <v>467</v>
      </c>
      <c r="C203" t="s">
        <v>484</v>
      </c>
      <c r="D203" t="s">
        <v>84</v>
      </c>
      <c r="E203" t="s">
        <v>5</v>
      </c>
      <c r="F203" t="s">
        <v>5</v>
      </c>
      <c r="G203" t="s">
        <v>250</v>
      </c>
    </row>
    <row r="204" spans="1:24" x14ac:dyDescent="0.25">
      <c r="A204" t="s">
        <v>467</v>
      </c>
      <c r="B204" t="s">
        <v>467</v>
      </c>
      <c r="C204" t="s">
        <v>484</v>
      </c>
      <c r="D204" t="s">
        <v>84</v>
      </c>
      <c r="E204" t="s">
        <v>13</v>
      </c>
      <c r="F204" t="s">
        <v>1</v>
      </c>
      <c r="G204" t="s">
        <v>251</v>
      </c>
      <c r="H204" t="s">
        <v>165</v>
      </c>
      <c r="I204" t="s">
        <v>1</v>
      </c>
      <c r="J204">
        <v>411</v>
      </c>
      <c r="L204">
        <v>0</v>
      </c>
      <c r="M204">
        <v>0</v>
      </c>
      <c r="N204">
        <v>411</v>
      </c>
      <c r="P204">
        <v>0</v>
      </c>
      <c r="Q204">
        <f t="shared" ref="Q204:Q212" si="40">O204+P204</f>
        <v>0</v>
      </c>
      <c r="R204">
        <v>0</v>
      </c>
      <c r="S204">
        <f t="shared" ref="S204:S212" si="41">IF(OR(LEFT(E204,2)="A_",LEFT(D204,5)="Total"),R204-Q204,"")</f>
        <v>0</v>
      </c>
      <c r="T204">
        <v>0.02</v>
      </c>
      <c r="U204">
        <f t="shared" ref="U204:U212" si="42">IFERROR(R204*T204,R204*0)</f>
        <v>0</v>
      </c>
      <c r="V204">
        <f t="shared" ref="V204:V212" si="43">IF(OR(LEFT(E204,2)="A_",LEFT(D204,5)="Total"),R204+U204,"")</f>
        <v>0</v>
      </c>
      <c r="W204">
        <f t="shared" ref="W204:W212" si="44">IF(OR(LEFT(E204,2)="A_",LEFT(D204,5)="Total"),V204-Q204,"")</f>
        <v>0</v>
      </c>
      <c r="X204">
        <v>0</v>
      </c>
    </row>
    <row r="205" spans="1:24" x14ac:dyDescent="0.25">
      <c r="A205" t="s">
        <v>467</v>
      </c>
      <c r="B205" t="s">
        <v>467</v>
      </c>
      <c r="C205" t="s">
        <v>484</v>
      </c>
      <c r="D205" t="s">
        <v>84</v>
      </c>
      <c r="E205" t="s">
        <v>16</v>
      </c>
      <c r="F205" t="s">
        <v>1</v>
      </c>
      <c r="G205" t="s">
        <v>251</v>
      </c>
      <c r="H205" t="s">
        <v>168</v>
      </c>
      <c r="I205" t="s">
        <v>1</v>
      </c>
      <c r="L205">
        <v>40.58</v>
      </c>
      <c r="M205">
        <v>81.832596685082876</v>
      </c>
      <c r="N205">
        <v>40.58</v>
      </c>
      <c r="O205">
        <v>81.8325966851</v>
      </c>
      <c r="P205">
        <v>0</v>
      </c>
      <c r="Q205">
        <f t="shared" si="40"/>
        <v>81.8325966851</v>
      </c>
      <c r="R205">
        <v>0</v>
      </c>
      <c r="S205">
        <f t="shared" si="41"/>
        <v>-81.8325966851</v>
      </c>
      <c r="T205">
        <v>0.03</v>
      </c>
      <c r="U205">
        <f t="shared" si="42"/>
        <v>0</v>
      </c>
      <c r="V205">
        <f t="shared" si="43"/>
        <v>0</v>
      </c>
      <c r="W205">
        <f t="shared" si="44"/>
        <v>-81.8325966851</v>
      </c>
      <c r="X205">
        <v>0</v>
      </c>
    </row>
    <row r="206" spans="1:24" x14ac:dyDescent="0.25">
      <c r="A206" t="s">
        <v>467</v>
      </c>
      <c r="B206" t="s">
        <v>467</v>
      </c>
      <c r="C206" t="s">
        <v>484</v>
      </c>
      <c r="D206" t="s">
        <v>84</v>
      </c>
      <c r="E206" t="s">
        <v>17</v>
      </c>
      <c r="F206" t="s">
        <v>1</v>
      </c>
      <c r="G206" t="s">
        <v>251</v>
      </c>
      <c r="H206" t="s">
        <v>169</v>
      </c>
      <c r="I206" t="s">
        <v>1</v>
      </c>
      <c r="J206">
        <v>9660.19</v>
      </c>
      <c r="K206">
        <v>10122.300000000199</v>
      </c>
      <c r="L206">
        <v>6390.2</v>
      </c>
      <c r="M206">
        <v>12886.314917127071</v>
      </c>
      <c r="N206">
        <v>14888.189999999999</v>
      </c>
      <c r="O206">
        <v>12886.3149171271</v>
      </c>
      <c r="P206">
        <v>0</v>
      </c>
      <c r="Q206">
        <f t="shared" si="40"/>
        <v>12886.3149171271</v>
      </c>
      <c r="R206">
        <v>0</v>
      </c>
      <c r="S206">
        <f t="shared" si="41"/>
        <v>-12886.3149171271</v>
      </c>
      <c r="T206">
        <v>3.5000000000000003E-2</v>
      </c>
      <c r="U206">
        <f t="shared" si="42"/>
        <v>0</v>
      </c>
      <c r="V206">
        <f t="shared" si="43"/>
        <v>0</v>
      </c>
      <c r="W206">
        <f t="shared" si="44"/>
        <v>-12886.3149171271</v>
      </c>
      <c r="X206">
        <v>0</v>
      </c>
    </row>
    <row r="207" spans="1:24" x14ac:dyDescent="0.25">
      <c r="A207" t="s">
        <v>467</v>
      </c>
      <c r="B207" t="s">
        <v>467</v>
      </c>
      <c r="C207" t="s">
        <v>484</v>
      </c>
      <c r="D207" t="s">
        <v>84</v>
      </c>
      <c r="E207" t="s">
        <v>18</v>
      </c>
      <c r="F207" t="s">
        <v>1</v>
      </c>
      <c r="G207" t="s">
        <v>251</v>
      </c>
      <c r="H207" t="s">
        <v>170</v>
      </c>
      <c r="I207" t="s">
        <v>1</v>
      </c>
      <c r="J207">
        <v>48.98</v>
      </c>
      <c r="L207">
        <v>0</v>
      </c>
      <c r="M207">
        <v>0</v>
      </c>
      <c r="N207">
        <v>48.98</v>
      </c>
      <c r="P207">
        <v>0</v>
      </c>
      <c r="Q207">
        <f t="shared" si="40"/>
        <v>0</v>
      </c>
      <c r="R207">
        <v>0</v>
      </c>
      <c r="S207">
        <f t="shared" si="41"/>
        <v>0</v>
      </c>
      <c r="T207">
        <v>3.5000000000000003E-2</v>
      </c>
      <c r="U207">
        <f t="shared" si="42"/>
        <v>0</v>
      </c>
      <c r="V207">
        <f t="shared" si="43"/>
        <v>0</v>
      </c>
      <c r="W207">
        <f t="shared" si="44"/>
        <v>0</v>
      </c>
      <c r="X207">
        <v>0</v>
      </c>
    </row>
    <row r="208" spans="1:24" x14ac:dyDescent="0.25">
      <c r="A208" t="s">
        <v>467</v>
      </c>
      <c r="B208" t="s">
        <v>467</v>
      </c>
      <c r="C208" t="s">
        <v>484</v>
      </c>
      <c r="D208" t="s">
        <v>84</v>
      </c>
      <c r="E208" t="s">
        <v>22</v>
      </c>
      <c r="F208" t="s">
        <v>1</v>
      </c>
      <c r="G208" t="s">
        <v>251</v>
      </c>
      <c r="H208" t="s">
        <v>174</v>
      </c>
      <c r="I208" t="s">
        <v>1</v>
      </c>
      <c r="L208">
        <v>856.48</v>
      </c>
      <c r="M208">
        <v>1727.1558011049726</v>
      </c>
      <c r="N208">
        <v>856.48</v>
      </c>
      <c r="O208">
        <v>1712.96</v>
      </c>
      <c r="P208">
        <v>0</v>
      </c>
      <c r="Q208">
        <f t="shared" si="40"/>
        <v>1712.96</v>
      </c>
      <c r="R208">
        <v>0</v>
      </c>
      <c r="S208">
        <f t="shared" si="41"/>
        <v>-1712.96</v>
      </c>
      <c r="U208">
        <f t="shared" si="42"/>
        <v>0</v>
      </c>
      <c r="V208">
        <f t="shared" si="43"/>
        <v>0</v>
      </c>
      <c r="W208">
        <f t="shared" si="44"/>
        <v>-1712.96</v>
      </c>
      <c r="X208">
        <v>0</v>
      </c>
    </row>
    <row r="209" spans="1:24" x14ac:dyDescent="0.25">
      <c r="A209" t="s">
        <v>467</v>
      </c>
      <c r="B209" t="s">
        <v>467</v>
      </c>
      <c r="C209" t="s">
        <v>484</v>
      </c>
      <c r="D209" t="s">
        <v>84</v>
      </c>
      <c r="E209" t="s">
        <v>23</v>
      </c>
      <c r="F209" t="s">
        <v>1</v>
      </c>
      <c r="G209" t="s">
        <v>251</v>
      </c>
      <c r="H209" t="s">
        <v>175</v>
      </c>
      <c r="I209" t="s">
        <v>1</v>
      </c>
      <c r="J209">
        <v>156.72</v>
      </c>
      <c r="L209">
        <v>0</v>
      </c>
      <c r="M209">
        <v>0</v>
      </c>
      <c r="N209">
        <v>156.72</v>
      </c>
      <c r="P209">
        <v>0</v>
      </c>
      <c r="Q209">
        <f t="shared" si="40"/>
        <v>0</v>
      </c>
      <c r="R209">
        <v>0</v>
      </c>
      <c r="S209">
        <f t="shared" si="41"/>
        <v>0</v>
      </c>
      <c r="U209">
        <f t="shared" si="42"/>
        <v>0</v>
      </c>
      <c r="V209">
        <f t="shared" si="43"/>
        <v>0</v>
      </c>
      <c r="W209">
        <f t="shared" si="44"/>
        <v>0</v>
      </c>
      <c r="X209">
        <v>0</v>
      </c>
    </row>
    <row r="210" spans="1:24" x14ac:dyDescent="0.25">
      <c r="A210" t="s">
        <v>467</v>
      </c>
      <c r="B210" t="s">
        <v>467</v>
      </c>
      <c r="C210" t="s">
        <v>484</v>
      </c>
      <c r="D210" t="s">
        <v>84</v>
      </c>
      <c r="E210" t="s">
        <v>27</v>
      </c>
      <c r="F210" t="s">
        <v>1</v>
      </c>
      <c r="G210" t="s">
        <v>251</v>
      </c>
      <c r="H210" t="s">
        <v>179</v>
      </c>
      <c r="I210" t="s">
        <v>1</v>
      </c>
      <c r="K210">
        <v>1800</v>
      </c>
      <c r="L210">
        <v>0</v>
      </c>
      <c r="M210">
        <v>0</v>
      </c>
      <c r="N210">
        <v>0</v>
      </c>
      <c r="P210">
        <v>0</v>
      </c>
      <c r="Q210">
        <f t="shared" si="40"/>
        <v>0</v>
      </c>
      <c r="R210">
        <v>0</v>
      </c>
      <c r="S210">
        <f t="shared" si="41"/>
        <v>0</v>
      </c>
      <c r="U210">
        <f t="shared" si="42"/>
        <v>0</v>
      </c>
      <c r="V210">
        <f t="shared" si="43"/>
        <v>0</v>
      </c>
      <c r="W210">
        <f t="shared" si="44"/>
        <v>0</v>
      </c>
      <c r="X210">
        <v>0</v>
      </c>
    </row>
    <row r="211" spans="1:24" x14ac:dyDescent="0.25">
      <c r="A211" t="s">
        <v>467</v>
      </c>
      <c r="B211" t="s">
        <v>467</v>
      </c>
      <c r="C211" t="s">
        <v>484</v>
      </c>
      <c r="D211" t="s">
        <v>84</v>
      </c>
      <c r="E211" t="s">
        <v>32</v>
      </c>
      <c r="F211" t="s">
        <v>1</v>
      </c>
      <c r="G211" t="s">
        <v>251</v>
      </c>
      <c r="H211" t="s">
        <v>184</v>
      </c>
      <c r="I211" t="s">
        <v>1</v>
      </c>
      <c r="J211">
        <v>18.170000000000002</v>
      </c>
      <c r="L211">
        <v>0</v>
      </c>
      <c r="M211">
        <v>0</v>
      </c>
      <c r="N211">
        <v>0</v>
      </c>
      <c r="P211">
        <v>0</v>
      </c>
      <c r="Q211">
        <f t="shared" si="40"/>
        <v>0</v>
      </c>
      <c r="R211">
        <v>0</v>
      </c>
      <c r="S211">
        <f t="shared" si="41"/>
        <v>0</v>
      </c>
      <c r="T211">
        <v>0.03</v>
      </c>
      <c r="U211">
        <f t="shared" si="42"/>
        <v>0</v>
      </c>
      <c r="V211">
        <f t="shared" si="43"/>
        <v>0</v>
      </c>
      <c r="W211">
        <f t="shared" si="44"/>
        <v>0</v>
      </c>
      <c r="X211">
        <v>0</v>
      </c>
    </row>
    <row r="212" spans="1:24" x14ac:dyDescent="0.25">
      <c r="A212" t="s">
        <v>467</v>
      </c>
      <c r="B212" t="s">
        <v>467</v>
      </c>
      <c r="C212" t="s">
        <v>484</v>
      </c>
      <c r="D212" t="s">
        <v>84</v>
      </c>
      <c r="E212" t="s">
        <v>35</v>
      </c>
      <c r="F212" t="s">
        <v>1</v>
      </c>
      <c r="G212" t="s">
        <v>251</v>
      </c>
      <c r="H212" t="s">
        <v>187</v>
      </c>
      <c r="I212" t="s">
        <v>1</v>
      </c>
      <c r="K212">
        <v>2421357</v>
      </c>
      <c r="L212">
        <v>1322869.3899999999</v>
      </c>
      <c r="M212">
        <v>2667664.7919889502</v>
      </c>
      <c r="N212">
        <v>1322869.3899999999</v>
      </c>
      <c r="O212">
        <v>2645738.7799999998</v>
      </c>
      <c r="P212">
        <v>0</v>
      </c>
      <c r="Q212">
        <f t="shared" si="40"/>
        <v>2645738.7799999998</v>
      </c>
      <c r="R212">
        <v>2927612</v>
      </c>
      <c r="S212">
        <f t="shared" si="41"/>
        <v>281873.2200000002</v>
      </c>
      <c r="T212">
        <v>0.03</v>
      </c>
      <c r="U212">
        <f t="shared" si="42"/>
        <v>87828.36</v>
      </c>
      <c r="V212">
        <f t="shared" si="43"/>
        <v>3015440.36</v>
      </c>
      <c r="W212">
        <f t="shared" si="44"/>
        <v>369701.58000000007</v>
      </c>
      <c r="X212" t="s">
        <v>393</v>
      </c>
    </row>
    <row r="213" spans="1:24" x14ac:dyDescent="0.25">
      <c r="A213" t="s">
        <v>467</v>
      </c>
      <c r="B213" t="s">
        <v>467</v>
      </c>
      <c r="C213" t="s">
        <v>484</v>
      </c>
      <c r="D213" t="s">
        <v>84</v>
      </c>
      <c r="E213" t="s">
        <v>42</v>
      </c>
      <c r="F213" t="s">
        <v>42</v>
      </c>
      <c r="G213" t="s">
        <v>252</v>
      </c>
      <c r="J213">
        <v>10295.06</v>
      </c>
      <c r="K213">
        <v>2433279.3000000003</v>
      </c>
      <c r="L213">
        <v>1330156.6499999999</v>
      </c>
      <c r="M213">
        <v>2682360.0953038675</v>
      </c>
      <c r="N213">
        <v>1339271.3399999999</v>
      </c>
      <c r="O213">
        <v>2660419.8875138122</v>
      </c>
      <c r="P213">
        <f>SUMIF($F$203:$F$212,"&lt;&gt;EV_*",$P$203:$P$212)</f>
        <v>0</v>
      </c>
      <c r="Q213">
        <f>SUMIF($F$203:$F$212,"&lt;&gt;EV_*",$Q$203:$Q$212)</f>
        <v>2660419.8875138122</v>
      </c>
      <c r="R213">
        <f>SUMIF($F$203:$F$212,"&lt;&gt;EV_*",$R$203:$R$212)</f>
        <v>2927612</v>
      </c>
      <c r="S213">
        <f>SUMIF($F$203:$F$212,"&lt;&gt;EV_*",$S$203:$S$212)</f>
        <v>267192.11248618801</v>
      </c>
      <c r="T213">
        <v>0</v>
      </c>
      <c r="U213">
        <f>SUMIF($F$203:$F$212,"&lt;&gt;EV_*",$U$203:$U$212)</f>
        <v>87828.36</v>
      </c>
      <c r="V213">
        <f>SUMIF($F$203:$F$212,"&lt;&gt;EV_*",$V$203:$V$212)</f>
        <v>3015440.36</v>
      </c>
      <c r="W213">
        <f>SUMIF($F$203:$F$212,"&lt;&gt;EV_*",$W$203:$W$212)</f>
        <v>355020.47248618788</v>
      </c>
      <c r="X213">
        <f>SUMIF($F$203:$F$212,"&lt;&gt;EV_*",$X$203:$X$212)</f>
        <v>0</v>
      </c>
    </row>
    <row r="214" spans="1:24" x14ac:dyDescent="0.25">
      <c r="A214" t="s">
        <v>458</v>
      </c>
      <c r="B214" t="s">
        <v>458</v>
      </c>
      <c r="C214" t="s">
        <v>485</v>
      </c>
      <c r="D214" t="s">
        <v>85</v>
      </c>
      <c r="E214" t="s">
        <v>5</v>
      </c>
      <c r="F214" t="s">
        <v>5</v>
      </c>
      <c r="G214" t="s">
        <v>253</v>
      </c>
    </row>
    <row r="215" spans="1:24" x14ac:dyDescent="0.25">
      <c r="A215" t="s">
        <v>458</v>
      </c>
      <c r="B215" t="s">
        <v>458</v>
      </c>
      <c r="C215" t="s">
        <v>485</v>
      </c>
      <c r="D215" t="s">
        <v>85</v>
      </c>
      <c r="E215" t="s">
        <v>44</v>
      </c>
      <c r="F215" t="s">
        <v>1</v>
      </c>
      <c r="G215" t="s">
        <v>254</v>
      </c>
      <c r="H215" t="s">
        <v>197</v>
      </c>
      <c r="I215" t="s">
        <v>1</v>
      </c>
      <c r="J215">
        <v>-118.61</v>
      </c>
      <c r="K215">
        <v>-149.99999999990001</v>
      </c>
      <c r="L215">
        <v>0</v>
      </c>
      <c r="M215">
        <v>0</v>
      </c>
      <c r="N215">
        <v>-87.06</v>
      </c>
      <c r="P215">
        <v>0</v>
      </c>
      <c r="Q215">
        <f t="shared" ref="Q215:Q224" si="45">O215+P215</f>
        <v>0</v>
      </c>
      <c r="R215">
        <v>0</v>
      </c>
      <c r="S215">
        <f t="shared" ref="S215:S224" si="46">IF(OR(LEFT(E215,2)="A_",LEFT(D215,5)="Total"),R215-Q215,"")</f>
        <v>0</v>
      </c>
      <c r="U215">
        <f t="shared" ref="U215:U224" si="47">IFERROR(R215*T215,R215*0)</f>
        <v>0</v>
      </c>
      <c r="V215">
        <f t="shared" ref="V215:V224" si="48">IF(OR(LEFT(E215,2)="A_",LEFT(D215,5)="Total"),R215+U215,"")</f>
        <v>0</v>
      </c>
      <c r="W215">
        <f t="shared" ref="W215:W224" si="49">IF(OR(LEFT(E215,2)="A_",LEFT(D215,5)="Total"),V215-Q215,"")</f>
        <v>0</v>
      </c>
      <c r="X215">
        <v>0</v>
      </c>
    </row>
    <row r="216" spans="1:24" x14ac:dyDescent="0.25">
      <c r="A216" t="s">
        <v>458</v>
      </c>
      <c r="B216" t="s">
        <v>458</v>
      </c>
      <c r="C216" t="s">
        <v>485</v>
      </c>
      <c r="D216" t="s">
        <v>85</v>
      </c>
      <c r="E216" t="s">
        <v>63</v>
      </c>
      <c r="F216" t="s">
        <v>1</v>
      </c>
      <c r="G216" t="s">
        <v>254</v>
      </c>
      <c r="H216" t="s">
        <v>222</v>
      </c>
      <c r="I216" t="s">
        <v>1</v>
      </c>
      <c r="J216">
        <v>525</v>
      </c>
      <c r="L216">
        <v>0</v>
      </c>
      <c r="M216">
        <v>0</v>
      </c>
      <c r="N216">
        <v>525</v>
      </c>
      <c r="P216">
        <v>0</v>
      </c>
      <c r="Q216">
        <f t="shared" si="45"/>
        <v>0</v>
      </c>
      <c r="R216">
        <v>0</v>
      </c>
      <c r="S216">
        <f t="shared" si="46"/>
        <v>0</v>
      </c>
      <c r="T216">
        <v>2.75E-2</v>
      </c>
      <c r="U216">
        <f t="shared" si="47"/>
        <v>0</v>
      </c>
      <c r="V216">
        <f t="shared" si="48"/>
        <v>0</v>
      </c>
      <c r="W216">
        <f t="shared" si="49"/>
        <v>0</v>
      </c>
      <c r="X216">
        <v>0</v>
      </c>
    </row>
    <row r="217" spans="1:24" x14ac:dyDescent="0.25">
      <c r="A217" t="s">
        <v>458</v>
      </c>
      <c r="B217" t="s">
        <v>458</v>
      </c>
      <c r="C217" t="s">
        <v>485</v>
      </c>
      <c r="D217" t="s">
        <v>85</v>
      </c>
      <c r="E217" t="s">
        <v>13</v>
      </c>
      <c r="F217" t="s">
        <v>1</v>
      </c>
      <c r="G217" t="s">
        <v>254</v>
      </c>
      <c r="H217" t="s">
        <v>165</v>
      </c>
      <c r="I217" t="s">
        <v>1</v>
      </c>
      <c r="J217">
        <v>4265.59</v>
      </c>
      <c r="K217">
        <v>6538.2468024691998</v>
      </c>
      <c r="L217">
        <v>0</v>
      </c>
      <c r="M217">
        <v>0</v>
      </c>
      <c r="N217">
        <v>495.2</v>
      </c>
      <c r="P217">
        <v>0</v>
      </c>
      <c r="Q217">
        <f t="shared" si="45"/>
        <v>0</v>
      </c>
      <c r="R217">
        <v>0</v>
      </c>
      <c r="S217">
        <f t="shared" si="46"/>
        <v>0</v>
      </c>
      <c r="T217">
        <v>0.02</v>
      </c>
      <c r="U217">
        <f t="shared" si="47"/>
        <v>0</v>
      </c>
      <c r="V217">
        <f t="shared" si="48"/>
        <v>0</v>
      </c>
      <c r="W217">
        <f t="shared" si="49"/>
        <v>0</v>
      </c>
      <c r="X217">
        <v>0</v>
      </c>
    </row>
    <row r="218" spans="1:24" x14ac:dyDescent="0.25">
      <c r="A218" t="s">
        <v>458</v>
      </c>
      <c r="B218" t="s">
        <v>458</v>
      </c>
      <c r="C218" t="s">
        <v>485</v>
      </c>
      <c r="D218" t="s">
        <v>85</v>
      </c>
      <c r="E218" t="s">
        <v>64</v>
      </c>
      <c r="F218" t="s">
        <v>1</v>
      </c>
      <c r="G218" t="s">
        <v>254</v>
      </c>
      <c r="H218" t="s">
        <v>223</v>
      </c>
      <c r="I218" t="s">
        <v>1</v>
      </c>
      <c r="J218">
        <v>2878.53</v>
      </c>
      <c r="K218">
        <v>3138.7494567901999</v>
      </c>
      <c r="L218">
        <v>1496.69</v>
      </c>
      <c r="M218">
        <v>3018.1870165745854</v>
      </c>
      <c r="N218">
        <v>3834.93</v>
      </c>
      <c r="O218">
        <v>3009.8271428571002</v>
      </c>
      <c r="P218">
        <v>0</v>
      </c>
      <c r="Q218">
        <f t="shared" si="45"/>
        <v>3009.8271428571002</v>
      </c>
      <c r="R218">
        <v>0</v>
      </c>
      <c r="S218">
        <f t="shared" si="46"/>
        <v>-3009.8271428571002</v>
      </c>
      <c r="T218">
        <v>0.02</v>
      </c>
      <c r="U218">
        <f t="shared" si="47"/>
        <v>0</v>
      </c>
      <c r="V218">
        <f t="shared" si="48"/>
        <v>0</v>
      </c>
      <c r="W218">
        <f t="shared" si="49"/>
        <v>-3009.8271428571002</v>
      </c>
      <c r="X218">
        <v>0</v>
      </c>
    </row>
    <row r="219" spans="1:24" x14ac:dyDescent="0.25">
      <c r="A219" t="s">
        <v>458</v>
      </c>
      <c r="B219" t="s">
        <v>458</v>
      </c>
      <c r="C219" t="s">
        <v>485</v>
      </c>
      <c r="D219" t="s">
        <v>85</v>
      </c>
      <c r="E219" t="s">
        <v>15</v>
      </c>
      <c r="F219" t="s">
        <v>1</v>
      </c>
      <c r="G219" t="s">
        <v>254</v>
      </c>
      <c r="H219" t="s">
        <v>167</v>
      </c>
      <c r="I219" t="s">
        <v>1</v>
      </c>
      <c r="J219">
        <v>-255</v>
      </c>
      <c r="K219">
        <v>-4.8555552999999998E-3</v>
      </c>
      <c r="L219">
        <v>0</v>
      </c>
      <c r="M219">
        <v>0</v>
      </c>
      <c r="N219">
        <v>0</v>
      </c>
      <c r="P219">
        <v>0</v>
      </c>
      <c r="Q219">
        <f t="shared" si="45"/>
        <v>0</v>
      </c>
      <c r="R219">
        <v>0</v>
      </c>
      <c r="S219">
        <f t="shared" si="46"/>
        <v>0</v>
      </c>
      <c r="T219">
        <v>3.5000000000000003E-2</v>
      </c>
      <c r="U219">
        <f t="shared" si="47"/>
        <v>0</v>
      </c>
      <c r="V219">
        <f t="shared" si="48"/>
        <v>0</v>
      </c>
      <c r="W219">
        <f t="shared" si="49"/>
        <v>0</v>
      </c>
      <c r="X219">
        <v>0</v>
      </c>
    </row>
    <row r="220" spans="1:24" x14ac:dyDescent="0.25">
      <c r="A220" t="s">
        <v>458</v>
      </c>
      <c r="B220" t="s">
        <v>458</v>
      </c>
      <c r="C220" t="s">
        <v>485</v>
      </c>
      <c r="D220" t="s">
        <v>85</v>
      </c>
      <c r="E220" t="s">
        <v>47</v>
      </c>
      <c r="F220" t="s">
        <v>1</v>
      </c>
      <c r="G220" t="s">
        <v>254</v>
      </c>
      <c r="H220" t="s">
        <v>200</v>
      </c>
      <c r="I220" t="s">
        <v>1</v>
      </c>
      <c r="J220">
        <v>189.78</v>
      </c>
      <c r="L220">
        <v>0</v>
      </c>
      <c r="M220">
        <v>0</v>
      </c>
      <c r="N220">
        <v>0</v>
      </c>
      <c r="P220">
        <v>0</v>
      </c>
      <c r="Q220">
        <f t="shared" si="45"/>
        <v>0</v>
      </c>
      <c r="R220">
        <v>0</v>
      </c>
      <c r="S220">
        <f t="shared" si="46"/>
        <v>0</v>
      </c>
      <c r="T220">
        <v>0.02</v>
      </c>
      <c r="U220">
        <f t="shared" si="47"/>
        <v>0</v>
      </c>
      <c r="V220">
        <f t="shared" si="48"/>
        <v>0</v>
      </c>
      <c r="W220">
        <f t="shared" si="49"/>
        <v>0</v>
      </c>
      <c r="X220">
        <v>0</v>
      </c>
    </row>
    <row r="221" spans="1:24" x14ac:dyDescent="0.25">
      <c r="A221" t="s">
        <v>458</v>
      </c>
      <c r="B221" t="s">
        <v>458</v>
      </c>
      <c r="C221" t="s">
        <v>485</v>
      </c>
      <c r="D221" t="s">
        <v>85</v>
      </c>
      <c r="E221" t="s">
        <v>51</v>
      </c>
      <c r="F221" t="s">
        <v>1</v>
      </c>
      <c r="G221" t="s">
        <v>254</v>
      </c>
      <c r="H221" t="s">
        <v>204</v>
      </c>
      <c r="I221" t="s">
        <v>1</v>
      </c>
      <c r="J221">
        <v>428</v>
      </c>
      <c r="L221">
        <v>0</v>
      </c>
      <c r="M221">
        <v>0</v>
      </c>
      <c r="N221">
        <v>0</v>
      </c>
      <c r="P221">
        <v>0</v>
      </c>
      <c r="Q221">
        <f t="shared" si="45"/>
        <v>0</v>
      </c>
      <c r="R221">
        <v>0</v>
      </c>
      <c r="S221">
        <f t="shared" si="46"/>
        <v>0</v>
      </c>
      <c r="T221">
        <v>3.5000000000000003E-2</v>
      </c>
      <c r="U221">
        <f t="shared" si="47"/>
        <v>0</v>
      </c>
      <c r="V221">
        <f t="shared" si="48"/>
        <v>0</v>
      </c>
      <c r="W221">
        <f t="shared" si="49"/>
        <v>0</v>
      </c>
      <c r="X221">
        <v>0</v>
      </c>
    </row>
    <row r="222" spans="1:24" x14ac:dyDescent="0.25">
      <c r="A222" t="s">
        <v>458</v>
      </c>
      <c r="B222" t="s">
        <v>458</v>
      </c>
      <c r="C222" t="s">
        <v>485</v>
      </c>
      <c r="D222" t="s">
        <v>85</v>
      </c>
      <c r="E222" t="s">
        <v>52</v>
      </c>
      <c r="F222" t="s">
        <v>1</v>
      </c>
      <c r="G222" t="s">
        <v>254</v>
      </c>
      <c r="H222" t="s">
        <v>205</v>
      </c>
      <c r="I222" t="s">
        <v>1</v>
      </c>
      <c r="J222">
        <v>614.79999999999995</v>
      </c>
      <c r="L222">
        <v>0</v>
      </c>
      <c r="M222">
        <v>0</v>
      </c>
      <c r="N222">
        <v>0</v>
      </c>
      <c r="P222">
        <v>0</v>
      </c>
      <c r="Q222">
        <f t="shared" si="45"/>
        <v>0</v>
      </c>
      <c r="R222">
        <v>0</v>
      </c>
      <c r="S222">
        <f t="shared" si="46"/>
        <v>0</v>
      </c>
      <c r="T222">
        <v>0.04</v>
      </c>
      <c r="U222">
        <f t="shared" si="47"/>
        <v>0</v>
      </c>
      <c r="V222">
        <f t="shared" si="48"/>
        <v>0</v>
      </c>
      <c r="W222">
        <f t="shared" si="49"/>
        <v>0</v>
      </c>
      <c r="X222">
        <v>0</v>
      </c>
    </row>
    <row r="223" spans="1:24" x14ac:dyDescent="0.25">
      <c r="A223" t="s">
        <v>458</v>
      </c>
      <c r="B223" t="s">
        <v>458</v>
      </c>
      <c r="C223" t="s">
        <v>485</v>
      </c>
      <c r="D223" t="s">
        <v>85</v>
      </c>
      <c r="E223" t="s">
        <v>18</v>
      </c>
      <c r="F223" t="s">
        <v>1</v>
      </c>
      <c r="G223" t="s">
        <v>254</v>
      </c>
      <c r="H223" t="s">
        <v>170</v>
      </c>
      <c r="I223" t="s">
        <v>1</v>
      </c>
      <c r="J223">
        <v>244.26</v>
      </c>
      <c r="L223">
        <v>0</v>
      </c>
      <c r="M223">
        <v>0</v>
      </c>
      <c r="N223">
        <v>244.26</v>
      </c>
      <c r="P223">
        <v>0</v>
      </c>
      <c r="Q223">
        <f t="shared" si="45"/>
        <v>0</v>
      </c>
      <c r="R223">
        <v>0</v>
      </c>
      <c r="S223">
        <f t="shared" si="46"/>
        <v>0</v>
      </c>
      <c r="T223">
        <v>3.5000000000000003E-2</v>
      </c>
      <c r="U223">
        <f t="shared" si="47"/>
        <v>0</v>
      </c>
      <c r="V223">
        <f t="shared" si="48"/>
        <v>0</v>
      </c>
      <c r="W223">
        <f t="shared" si="49"/>
        <v>0</v>
      </c>
      <c r="X223">
        <v>0</v>
      </c>
    </row>
    <row r="224" spans="1:24" x14ac:dyDescent="0.25">
      <c r="A224" t="s">
        <v>458</v>
      </c>
      <c r="B224" t="s">
        <v>458</v>
      </c>
      <c r="C224" t="s">
        <v>485</v>
      </c>
      <c r="D224" t="s">
        <v>85</v>
      </c>
      <c r="E224" t="s">
        <v>32</v>
      </c>
      <c r="F224" t="s">
        <v>1</v>
      </c>
      <c r="G224" t="s">
        <v>254</v>
      </c>
      <c r="H224" t="s">
        <v>184</v>
      </c>
      <c r="I224" t="s">
        <v>1</v>
      </c>
      <c r="J224">
        <v>183.43</v>
      </c>
      <c r="L224">
        <v>-61.72</v>
      </c>
      <c r="M224">
        <v>-124.46298342541436</v>
      </c>
      <c r="N224">
        <v>-4.2600000000000016</v>
      </c>
      <c r="O224">
        <v>-123.44</v>
      </c>
      <c r="P224">
        <v>0</v>
      </c>
      <c r="Q224">
        <f t="shared" si="45"/>
        <v>-123.44</v>
      </c>
      <c r="R224">
        <v>0</v>
      </c>
      <c r="S224">
        <f t="shared" si="46"/>
        <v>123.44</v>
      </c>
      <c r="T224">
        <v>0.03</v>
      </c>
      <c r="U224">
        <f t="shared" si="47"/>
        <v>0</v>
      </c>
      <c r="V224">
        <f t="shared" si="48"/>
        <v>0</v>
      </c>
      <c r="W224">
        <f t="shared" si="49"/>
        <v>123.44</v>
      </c>
      <c r="X224">
        <v>0</v>
      </c>
    </row>
    <row r="225" spans="1:24" x14ac:dyDescent="0.25">
      <c r="A225" t="s">
        <v>458</v>
      </c>
      <c r="B225" t="s">
        <v>458</v>
      </c>
      <c r="C225" t="s">
        <v>485</v>
      </c>
      <c r="D225" t="s">
        <v>85</v>
      </c>
      <c r="E225" t="s">
        <v>42</v>
      </c>
      <c r="F225" t="s">
        <v>42</v>
      </c>
      <c r="G225" t="s">
        <v>255</v>
      </c>
      <c r="J225">
        <v>8955.7800000000007</v>
      </c>
      <c r="K225">
        <v>9526.9914037041999</v>
      </c>
      <c r="L225">
        <v>1434.97</v>
      </c>
      <c r="M225">
        <v>2893.7240331491712</v>
      </c>
      <c r="N225">
        <v>5008.07</v>
      </c>
      <c r="O225">
        <v>2886.3871428571001</v>
      </c>
      <c r="P225">
        <f>SUMIF($F$214:$F$224,"&lt;&gt;EV_*",$P$214:$P$224)</f>
        <v>0</v>
      </c>
      <c r="Q225">
        <f>SUMIF($F$214:$F$224,"&lt;&gt;EV_*",$Q$214:$Q$224)</f>
        <v>2886.3871428571001</v>
      </c>
      <c r="R225">
        <f>SUMIF($F$214:$F$224,"&lt;&gt;EV_*",$R$214:$R$224)</f>
        <v>0</v>
      </c>
      <c r="S225">
        <f>SUMIF($F$214:$F$224,"&lt;&gt;EV_*",$S$214:$S$224)</f>
        <v>-2886.3871428571001</v>
      </c>
      <c r="T225">
        <v>0</v>
      </c>
      <c r="U225">
        <f>SUMIF($F$214:$F$224,"&lt;&gt;EV_*",$U$214:$U$224)</f>
        <v>0</v>
      </c>
      <c r="V225">
        <f>SUMIF($F$214:$F$224,"&lt;&gt;EV_*",$V$214:$V$224)</f>
        <v>0</v>
      </c>
      <c r="W225">
        <f>SUMIF($F$214:$F$224,"&lt;&gt;EV_*",$W$214:$W$224)</f>
        <v>-2886.3871428571001</v>
      </c>
      <c r="X225">
        <f>SUMIF($F$214:$F$224,"&lt;&gt;EV_*",$X$214:$X$224)</f>
        <v>0</v>
      </c>
    </row>
    <row r="226" spans="1:24" x14ac:dyDescent="0.25">
      <c r="A226" t="s">
        <v>462</v>
      </c>
      <c r="B226" t="s">
        <v>462</v>
      </c>
      <c r="C226" t="s">
        <v>486</v>
      </c>
      <c r="D226" t="s">
        <v>86</v>
      </c>
      <c r="E226" t="s">
        <v>5</v>
      </c>
      <c r="F226" t="s">
        <v>5</v>
      </c>
      <c r="G226" t="s">
        <v>256</v>
      </c>
    </row>
    <row r="227" spans="1:24" x14ac:dyDescent="0.25">
      <c r="A227" t="s">
        <v>462</v>
      </c>
      <c r="B227" t="s">
        <v>462</v>
      </c>
      <c r="C227" t="s">
        <v>486</v>
      </c>
      <c r="D227" t="s">
        <v>86</v>
      </c>
      <c r="E227" t="s">
        <v>6</v>
      </c>
      <c r="F227" t="s">
        <v>1</v>
      </c>
      <c r="G227" t="s">
        <v>257</v>
      </c>
      <c r="H227" t="s">
        <v>158</v>
      </c>
      <c r="I227" t="s">
        <v>1</v>
      </c>
      <c r="J227">
        <v>-20486.25</v>
      </c>
      <c r="L227">
        <v>0</v>
      </c>
      <c r="M227">
        <v>0</v>
      </c>
      <c r="N227">
        <v>-24900</v>
      </c>
      <c r="P227">
        <v>0</v>
      </c>
      <c r="Q227">
        <f t="shared" ref="Q227:Q266" si="50">O227+P227</f>
        <v>0</v>
      </c>
      <c r="R227">
        <v>0</v>
      </c>
      <c r="S227">
        <f t="shared" ref="S227:S266" si="51">IF(OR(LEFT(E227,2)="A_",LEFT(D227,5)="Total"),R227-Q227,"")</f>
        <v>0</v>
      </c>
      <c r="U227">
        <f t="shared" ref="U227:U266" si="52">IFERROR(R227*T227,R227*0)</f>
        <v>0</v>
      </c>
      <c r="V227">
        <f t="shared" ref="V227:V266" si="53">IF(OR(LEFT(E227,2)="A_",LEFT(D227,5)="Total"),R227+U227,"")</f>
        <v>0</v>
      </c>
      <c r="W227">
        <f t="shared" ref="W227:W266" si="54">IF(OR(LEFT(E227,2)="A_",LEFT(D227,5)="Total"),V227-Q227,"")</f>
        <v>0</v>
      </c>
      <c r="X227">
        <v>0</v>
      </c>
    </row>
    <row r="228" spans="1:24" x14ac:dyDescent="0.25">
      <c r="A228" t="s">
        <v>462</v>
      </c>
      <c r="B228" t="s">
        <v>462</v>
      </c>
      <c r="C228" t="s">
        <v>486</v>
      </c>
      <c r="D228" t="s">
        <v>86</v>
      </c>
      <c r="E228" t="s">
        <v>7</v>
      </c>
      <c r="F228" t="s">
        <v>1</v>
      </c>
      <c r="G228" t="s">
        <v>257</v>
      </c>
      <c r="H228" t="s">
        <v>159</v>
      </c>
      <c r="I228" t="s">
        <v>1</v>
      </c>
      <c r="J228">
        <v>4530.16</v>
      </c>
      <c r="K228">
        <v>5580</v>
      </c>
      <c r="L228">
        <v>0</v>
      </c>
      <c r="M228">
        <v>0</v>
      </c>
      <c r="N228">
        <v>300</v>
      </c>
      <c r="P228">
        <v>0</v>
      </c>
      <c r="Q228">
        <f t="shared" si="50"/>
        <v>0</v>
      </c>
      <c r="R228">
        <v>0</v>
      </c>
      <c r="S228">
        <f t="shared" si="51"/>
        <v>0</v>
      </c>
      <c r="U228">
        <f t="shared" si="52"/>
        <v>0</v>
      </c>
      <c r="V228">
        <f t="shared" si="53"/>
        <v>0</v>
      </c>
      <c r="W228">
        <f t="shared" si="54"/>
        <v>0</v>
      </c>
      <c r="X228">
        <v>0</v>
      </c>
    </row>
    <row r="229" spans="1:24" x14ac:dyDescent="0.25">
      <c r="A229" t="s">
        <v>462</v>
      </c>
      <c r="B229" t="s">
        <v>462</v>
      </c>
      <c r="C229" t="s">
        <v>486</v>
      </c>
      <c r="D229" t="s">
        <v>86</v>
      </c>
      <c r="E229" t="s">
        <v>8</v>
      </c>
      <c r="F229" t="s">
        <v>1</v>
      </c>
      <c r="G229" t="s">
        <v>257</v>
      </c>
      <c r="H229" t="s">
        <v>160</v>
      </c>
      <c r="I229" t="s">
        <v>1</v>
      </c>
      <c r="J229">
        <v>14222.93</v>
      </c>
      <c r="K229">
        <v>4896</v>
      </c>
      <c r="L229">
        <v>10696.1</v>
      </c>
      <c r="M229">
        <v>21569.483425414368</v>
      </c>
      <c r="N229">
        <v>21923.74</v>
      </c>
      <c r="O229">
        <v>21392.2</v>
      </c>
      <c r="P229">
        <v>0</v>
      </c>
      <c r="Q229">
        <f t="shared" si="50"/>
        <v>21392.2</v>
      </c>
      <c r="R229">
        <v>15612</v>
      </c>
      <c r="S229">
        <f t="shared" si="51"/>
        <v>-5780.2000000000007</v>
      </c>
      <c r="U229">
        <f t="shared" si="52"/>
        <v>0</v>
      </c>
      <c r="V229">
        <f t="shared" si="53"/>
        <v>15612</v>
      </c>
      <c r="W229">
        <f t="shared" si="54"/>
        <v>-5780.2000000000007</v>
      </c>
      <c r="X229" t="s">
        <v>394</v>
      </c>
    </row>
    <row r="230" spans="1:24" x14ac:dyDescent="0.25">
      <c r="A230" t="s">
        <v>462</v>
      </c>
      <c r="B230" t="s">
        <v>462</v>
      </c>
      <c r="C230" t="s">
        <v>486</v>
      </c>
      <c r="D230" t="s">
        <v>86</v>
      </c>
      <c r="E230" t="s">
        <v>10</v>
      </c>
      <c r="F230" t="s">
        <v>1</v>
      </c>
      <c r="G230" t="s">
        <v>257</v>
      </c>
      <c r="H230" t="s">
        <v>162</v>
      </c>
      <c r="I230" t="s">
        <v>1</v>
      </c>
      <c r="J230">
        <v>1588.5</v>
      </c>
      <c r="L230">
        <v>233.6</v>
      </c>
      <c r="M230">
        <v>471.0718232044199</v>
      </c>
      <c r="N230">
        <v>233.6</v>
      </c>
      <c r="O230">
        <v>467.2</v>
      </c>
      <c r="P230">
        <v>0</v>
      </c>
      <c r="Q230">
        <f t="shared" si="50"/>
        <v>467.2</v>
      </c>
      <c r="R230">
        <v>233.6</v>
      </c>
      <c r="S230">
        <f t="shared" si="51"/>
        <v>-233.6</v>
      </c>
      <c r="U230">
        <f t="shared" si="52"/>
        <v>0</v>
      </c>
      <c r="V230">
        <f t="shared" si="53"/>
        <v>233.6</v>
      </c>
      <c r="W230">
        <f t="shared" si="54"/>
        <v>-233.6</v>
      </c>
      <c r="X230" t="s">
        <v>395</v>
      </c>
    </row>
    <row r="231" spans="1:24" x14ac:dyDescent="0.25">
      <c r="A231" t="s">
        <v>462</v>
      </c>
      <c r="B231" t="s">
        <v>462</v>
      </c>
      <c r="C231" t="s">
        <v>486</v>
      </c>
      <c r="D231" t="s">
        <v>86</v>
      </c>
      <c r="E231" t="s">
        <v>44</v>
      </c>
      <c r="F231" t="s">
        <v>1</v>
      </c>
      <c r="G231" t="s">
        <v>257</v>
      </c>
      <c r="H231" t="s">
        <v>197</v>
      </c>
      <c r="I231" t="s">
        <v>1</v>
      </c>
      <c r="J231">
        <v>-673.51</v>
      </c>
      <c r="K231">
        <v>-3850.0000000002001</v>
      </c>
      <c r="L231">
        <v>-282.85000000000002</v>
      </c>
      <c r="M231">
        <v>-570.38812154696143</v>
      </c>
      <c r="N231">
        <v>116.88999999999993</v>
      </c>
      <c r="O231">
        <v>-568.80824175819998</v>
      </c>
      <c r="P231">
        <v>0</v>
      </c>
      <c r="Q231">
        <f t="shared" si="50"/>
        <v>-568.80824175819998</v>
      </c>
      <c r="R231">
        <v>-568.80824175819998</v>
      </c>
      <c r="S231">
        <f t="shared" si="51"/>
        <v>0</v>
      </c>
      <c r="U231">
        <f t="shared" si="52"/>
        <v>0</v>
      </c>
      <c r="V231">
        <f t="shared" si="53"/>
        <v>-568.80824175819998</v>
      </c>
      <c r="W231">
        <f t="shared" si="54"/>
        <v>0</v>
      </c>
      <c r="X231">
        <v>0</v>
      </c>
    </row>
    <row r="232" spans="1:24" x14ac:dyDescent="0.25">
      <c r="A232" t="s">
        <v>462</v>
      </c>
      <c r="B232" t="s">
        <v>462</v>
      </c>
      <c r="C232" t="s">
        <v>486</v>
      </c>
      <c r="D232" t="s">
        <v>86</v>
      </c>
      <c r="E232" t="s">
        <v>13</v>
      </c>
      <c r="F232" t="s">
        <v>1</v>
      </c>
      <c r="G232" t="s">
        <v>257</v>
      </c>
      <c r="H232" t="s">
        <v>165</v>
      </c>
      <c r="I232" t="s">
        <v>1</v>
      </c>
      <c r="J232">
        <v>2122</v>
      </c>
      <c r="K232">
        <v>295.8000000001</v>
      </c>
      <c r="L232">
        <v>383.74</v>
      </c>
      <c r="M232">
        <v>773.84033149171273</v>
      </c>
      <c r="N232">
        <v>2505.7399999999998</v>
      </c>
      <c r="O232">
        <v>771.69692307690002</v>
      </c>
      <c r="P232">
        <v>0</v>
      </c>
      <c r="Q232">
        <f t="shared" si="50"/>
        <v>771.69692307690002</v>
      </c>
      <c r="R232">
        <v>0</v>
      </c>
      <c r="S232">
        <f t="shared" si="51"/>
        <v>-771.69692307690002</v>
      </c>
      <c r="T232">
        <v>0.02</v>
      </c>
      <c r="U232">
        <f t="shared" si="52"/>
        <v>0</v>
      </c>
      <c r="V232">
        <f t="shared" si="53"/>
        <v>0</v>
      </c>
      <c r="W232">
        <f t="shared" si="54"/>
        <v>-771.69692307690002</v>
      </c>
      <c r="X232" t="s">
        <v>396</v>
      </c>
    </row>
    <row r="233" spans="1:24" x14ac:dyDescent="0.25">
      <c r="A233" t="s">
        <v>462</v>
      </c>
      <c r="B233" t="s">
        <v>462</v>
      </c>
      <c r="C233" t="s">
        <v>486</v>
      </c>
      <c r="D233" t="s">
        <v>86</v>
      </c>
      <c r="E233" t="s">
        <v>57</v>
      </c>
      <c r="F233" t="s">
        <v>1</v>
      </c>
      <c r="G233" t="s">
        <v>257</v>
      </c>
      <c r="H233" t="s">
        <v>214</v>
      </c>
      <c r="I233" t="s">
        <v>1</v>
      </c>
      <c r="J233">
        <v>15768.38</v>
      </c>
      <c r="K233">
        <v>10747.3039341563</v>
      </c>
      <c r="L233">
        <v>8004.8</v>
      </c>
      <c r="M233">
        <v>16142.276243093922</v>
      </c>
      <c r="N233">
        <v>18650.96</v>
      </c>
      <c r="O233">
        <v>16097.5648351648</v>
      </c>
      <c r="P233">
        <v>0</v>
      </c>
      <c r="Q233">
        <f t="shared" si="50"/>
        <v>16097.5648351648</v>
      </c>
      <c r="R233">
        <v>16097.5648351648</v>
      </c>
      <c r="S233">
        <f t="shared" si="51"/>
        <v>0</v>
      </c>
      <c r="T233">
        <v>0.04</v>
      </c>
      <c r="U233">
        <f t="shared" si="52"/>
        <v>643.90259340659202</v>
      </c>
      <c r="V233">
        <f t="shared" si="53"/>
        <v>16741.467428571392</v>
      </c>
      <c r="W233">
        <f t="shared" si="54"/>
        <v>643.90259340659213</v>
      </c>
      <c r="X233" t="s">
        <v>397</v>
      </c>
    </row>
    <row r="234" spans="1:24" x14ac:dyDescent="0.25">
      <c r="A234" t="s">
        <v>462</v>
      </c>
      <c r="B234" t="s">
        <v>462</v>
      </c>
      <c r="C234" t="s">
        <v>486</v>
      </c>
      <c r="D234" t="s">
        <v>86</v>
      </c>
      <c r="E234" t="s">
        <v>16</v>
      </c>
      <c r="F234" t="s">
        <v>1</v>
      </c>
      <c r="G234" t="s">
        <v>257</v>
      </c>
      <c r="H234" t="s">
        <v>168</v>
      </c>
      <c r="I234" t="s">
        <v>1</v>
      </c>
      <c r="J234">
        <v>59590.67</v>
      </c>
      <c r="K234">
        <v>-4247.8100000001004</v>
      </c>
      <c r="L234">
        <v>8077.9</v>
      </c>
      <c r="M234">
        <v>16289.687845303866</v>
      </c>
      <c r="N234">
        <v>15455.480000000001</v>
      </c>
      <c r="O234">
        <v>16289.687845303901</v>
      </c>
      <c r="P234">
        <v>0</v>
      </c>
      <c r="Q234">
        <f t="shared" si="50"/>
        <v>16289.687845303901</v>
      </c>
      <c r="R234">
        <v>0</v>
      </c>
      <c r="S234">
        <f t="shared" si="51"/>
        <v>-16289.687845303901</v>
      </c>
      <c r="T234">
        <v>0.03</v>
      </c>
      <c r="U234">
        <f t="shared" si="52"/>
        <v>0</v>
      </c>
      <c r="V234">
        <f t="shared" si="53"/>
        <v>0</v>
      </c>
      <c r="W234">
        <f t="shared" si="54"/>
        <v>-16289.687845303901</v>
      </c>
      <c r="X234" t="s">
        <v>398</v>
      </c>
    </row>
    <row r="235" spans="1:24" x14ac:dyDescent="0.25">
      <c r="A235" t="s">
        <v>462</v>
      </c>
      <c r="B235" t="s">
        <v>462</v>
      </c>
      <c r="C235" t="s">
        <v>486</v>
      </c>
      <c r="D235" t="s">
        <v>86</v>
      </c>
      <c r="E235" t="s">
        <v>53</v>
      </c>
      <c r="F235" t="s">
        <v>1</v>
      </c>
      <c r="G235" t="s">
        <v>257</v>
      </c>
      <c r="H235" t="s">
        <v>206</v>
      </c>
      <c r="I235" t="s">
        <v>1</v>
      </c>
      <c r="J235">
        <v>539.35</v>
      </c>
      <c r="L235">
        <v>0</v>
      </c>
      <c r="M235">
        <v>0</v>
      </c>
      <c r="N235">
        <v>0</v>
      </c>
      <c r="P235">
        <v>0</v>
      </c>
      <c r="Q235">
        <f t="shared" si="50"/>
        <v>0</v>
      </c>
      <c r="R235">
        <v>0</v>
      </c>
      <c r="S235">
        <f t="shared" si="51"/>
        <v>0</v>
      </c>
      <c r="T235">
        <v>3.5000000000000003E-2</v>
      </c>
      <c r="U235">
        <f t="shared" si="52"/>
        <v>0</v>
      </c>
      <c r="V235">
        <f t="shared" si="53"/>
        <v>0</v>
      </c>
      <c r="W235">
        <f t="shared" si="54"/>
        <v>0</v>
      </c>
      <c r="X235">
        <v>0</v>
      </c>
    </row>
    <row r="236" spans="1:24" x14ac:dyDescent="0.25">
      <c r="A236" t="s">
        <v>462</v>
      </c>
      <c r="B236" t="s">
        <v>462</v>
      </c>
      <c r="C236" t="s">
        <v>486</v>
      </c>
      <c r="D236" t="s">
        <v>86</v>
      </c>
      <c r="E236" t="s">
        <v>17</v>
      </c>
      <c r="F236" t="s">
        <v>1</v>
      </c>
      <c r="G236" t="s">
        <v>257</v>
      </c>
      <c r="H236" t="s">
        <v>169</v>
      </c>
      <c r="I236" t="s">
        <v>1</v>
      </c>
      <c r="J236">
        <v>15129.47</v>
      </c>
      <c r="K236">
        <v>6903.4499999998998</v>
      </c>
      <c r="L236">
        <v>615.59</v>
      </c>
      <c r="M236">
        <v>1241.3831491712708</v>
      </c>
      <c r="N236">
        <v>2996.65</v>
      </c>
      <c r="O236">
        <v>1241.3831491712999</v>
      </c>
      <c r="P236">
        <v>0</v>
      </c>
      <c r="Q236">
        <f t="shared" si="50"/>
        <v>1241.3831491712999</v>
      </c>
      <c r="R236">
        <v>1241.3831491712999</v>
      </c>
      <c r="S236">
        <f t="shared" si="51"/>
        <v>0</v>
      </c>
      <c r="T236">
        <v>3.5000000000000003E-2</v>
      </c>
      <c r="U236">
        <f t="shared" si="52"/>
        <v>43.448410220995498</v>
      </c>
      <c r="V236">
        <f t="shared" si="53"/>
        <v>1284.8315593922955</v>
      </c>
      <c r="W236">
        <f t="shared" si="54"/>
        <v>43.448410220995584</v>
      </c>
      <c r="X236">
        <v>0</v>
      </c>
    </row>
    <row r="237" spans="1:24" x14ac:dyDescent="0.25">
      <c r="A237" t="s">
        <v>462</v>
      </c>
      <c r="B237" t="s">
        <v>462</v>
      </c>
      <c r="C237" t="s">
        <v>486</v>
      </c>
      <c r="D237" t="s">
        <v>86</v>
      </c>
      <c r="E237" t="s">
        <v>18</v>
      </c>
      <c r="F237" t="s">
        <v>1</v>
      </c>
      <c r="G237" t="s">
        <v>257</v>
      </c>
      <c r="H237" t="s">
        <v>170</v>
      </c>
      <c r="I237" t="s">
        <v>1</v>
      </c>
      <c r="J237">
        <v>63773.47</v>
      </c>
      <c r="K237">
        <v>42680.2950000001</v>
      </c>
      <c r="L237">
        <v>56305.48</v>
      </c>
      <c r="M237">
        <v>113544.20000000001</v>
      </c>
      <c r="N237">
        <v>86281.640000000014</v>
      </c>
      <c r="O237">
        <v>113544.2</v>
      </c>
      <c r="P237">
        <v>0</v>
      </c>
      <c r="Q237">
        <f t="shared" si="50"/>
        <v>113544.2</v>
      </c>
      <c r="R237">
        <v>63773.47</v>
      </c>
      <c r="S237">
        <f t="shared" si="51"/>
        <v>-49770.729999999996</v>
      </c>
      <c r="T237">
        <v>3.5000000000000003E-2</v>
      </c>
      <c r="U237">
        <f t="shared" si="52"/>
        <v>2232.0714500000004</v>
      </c>
      <c r="V237">
        <f t="shared" si="53"/>
        <v>66005.541450000004</v>
      </c>
      <c r="W237">
        <f t="shared" si="54"/>
        <v>-47538.658549999993</v>
      </c>
      <c r="X237" t="s">
        <v>399</v>
      </c>
    </row>
    <row r="238" spans="1:24" x14ac:dyDescent="0.25">
      <c r="A238" t="s">
        <v>462</v>
      </c>
      <c r="B238" t="s">
        <v>462</v>
      </c>
      <c r="C238" t="s">
        <v>486</v>
      </c>
      <c r="D238" t="s">
        <v>86</v>
      </c>
      <c r="E238" t="s">
        <v>87</v>
      </c>
      <c r="F238" t="s">
        <v>1</v>
      </c>
      <c r="G238" t="s">
        <v>257</v>
      </c>
      <c r="H238" t="s">
        <v>258</v>
      </c>
      <c r="I238" t="s">
        <v>1</v>
      </c>
      <c r="J238">
        <v>-678.91</v>
      </c>
      <c r="L238">
        <v>-605.79999999999995</v>
      </c>
      <c r="M238">
        <v>-1221.6408839779006</v>
      </c>
      <c r="N238">
        <v>-1284.71</v>
      </c>
      <c r="O238">
        <v>-1221.6408839779001</v>
      </c>
      <c r="P238">
        <v>0</v>
      </c>
      <c r="Q238">
        <f t="shared" si="50"/>
        <v>-1221.6408839779001</v>
      </c>
      <c r="R238">
        <v>0</v>
      </c>
      <c r="S238">
        <f t="shared" si="51"/>
        <v>1221.6408839779001</v>
      </c>
      <c r="U238">
        <f t="shared" si="52"/>
        <v>0</v>
      </c>
      <c r="V238">
        <f t="shared" si="53"/>
        <v>0</v>
      </c>
      <c r="W238">
        <f t="shared" si="54"/>
        <v>1221.6408839779001</v>
      </c>
      <c r="X238">
        <v>0</v>
      </c>
    </row>
    <row r="239" spans="1:24" x14ac:dyDescent="0.25">
      <c r="A239" t="s">
        <v>462</v>
      </c>
      <c r="B239" t="s">
        <v>462</v>
      </c>
      <c r="C239" t="s">
        <v>486</v>
      </c>
      <c r="D239" t="s">
        <v>86</v>
      </c>
      <c r="E239" t="s">
        <v>21</v>
      </c>
      <c r="F239" t="s">
        <v>1</v>
      </c>
      <c r="G239" t="s">
        <v>257</v>
      </c>
      <c r="H239" t="s">
        <v>173</v>
      </c>
      <c r="I239" t="s">
        <v>1</v>
      </c>
      <c r="K239">
        <v>500.00000000040001</v>
      </c>
      <c r="L239">
        <v>0</v>
      </c>
      <c r="M239">
        <v>0</v>
      </c>
      <c r="N239">
        <v>0</v>
      </c>
      <c r="P239">
        <v>0</v>
      </c>
      <c r="Q239">
        <f t="shared" si="50"/>
        <v>0</v>
      </c>
      <c r="R239">
        <v>0</v>
      </c>
      <c r="S239">
        <f t="shared" si="51"/>
        <v>0</v>
      </c>
      <c r="U239">
        <f t="shared" si="52"/>
        <v>0</v>
      </c>
      <c r="V239">
        <f t="shared" si="53"/>
        <v>0</v>
      </c>
      <c r="W239">
        <f t="shared" si="54"/>
        <v>0</v>
      </c>
      <c r="X239">
        <v>0</v>
      </c>
    </row>
    <row r="240" spans="1:24" x14ac:dyDescent="0.25">
      <c r="A240" t="s">
        <v>462</v>
      </c>
      <c r="B240" t="s">
        <v>462</v>
      </c>
      <c r="C240" t="s">
        <v>486</v>
      </c>
      <c r="D240" t="s">
        <v>86</v>
      </c>
      <c r="E240" t="s">
        <v>88</v>
      </c>
      <c r="F240" t="s">
        <v>1</v>
      </c>
      <c r="G240" t="s">
        <v>257</v>
      </c>
      <c r="H240" t="s">
        <v>259</v>
      </c>
      <c r="I240" t="s">
        <v>1</v>
      </c>
      <c r="J240">
        <v>9.9600000000000009</v>
      </c>
      <c r="L240">
        <v>0</v>
      </c>
      <c r="M240">
        <v>0</v>
      </c>
      <c r="N240">
        <v>0</v>
      </c>
      <c r="P240">
        <v>0</v>
      </c>
      <c r="Q240">
        <f t="shared" si="50"/>
        <v>0</v>
      </c>
      <c r="R240">
        <v>0</v>
      </c>
      <c r="S240">
        <f t="shared" si="51"/>
        <v>0</v>
      </c>
      <c r="U240">
        <f t="shared" si="52"/>
        <v>0</v>
      </c>
      <c r="V240">
        <f t="shared" si="53"/>
        <v>0</v>
      </c>
      <c r="W240">
        <f t="shared" si="54"/>
        <v>0</v>
      </c>
      <c r="X240">
        <v>0</v>
      </c>
    </row>
    <row r="241" spans="1:24" x14ac:dyDescent="0.25">
      <c r="A241" t="s">
        <v>462</v>
      </c>
      <c r="B241" t="s">
        <v>462</v>
      </c>
      <c r="C241" t="s">
        <v>486</v>
      </c>
      <c r="D241" t="s">
        <v>86</v>
      </c>
      <c r="E241" t="s">
        <v>22</v>
      </c>
      <c r="F241" t="s">
        <v>1</v>
      </c>
      <c r="G241" t="s">
        <v>257</v>
      </c>
      <c r="H241" t="s">
        <v>174</v>
      </c>
      <c r="I241" t="s">
        <v>1</v>
      </c>
      <c r="J241">
        <v>783.08</v>
      </c>
      <c r="K241">
        <v>489.99</v>
      </c>
      <c r="L241">
        <v>0</v>
      </c>
      <c r="M241">
        <v>0</v>
      </c>
      <c r="N241">
        <v>195.88000000000002</v>
      </c>
      <c r="P241">
        <v>0</v>
      </c>
      <c r="Q241">
        <f t="shared" si="50"/>
        <v>0</v>
      </c>
      <c r="R241">
        <v>0</v>
      </c>
      <c r="S241">
        <f t="shared" si="51"/>
        <v>0</v>
      </c>
      <c r="U241">
        <f t="shared" si="52"/>
        <v>0</v>
      </c>
      <c r="V241">
        <f t="shared" si="53"/>
        <v>0</v>
      </c>
      <c r="W241">
        <f t="shared" si="54"/>
        <v>0</v>
      </c>
      <c r="X241">
        <v>0</v>
      </c>
    </row>
    <row r="242" spans="1:24" x14ac:dyDescent="0.25">
      <c r="A242" t="s">
        <v>462</v>
      </c>
      <c r="B242" t="s">
        <v>462</v>
      </c>
      <c r="C242" t="s">
        <v>486</v>
      </c>
      <c r="D242" t="s">
        <v>86</v>
      </c>
      <c r="E242" t="s">
        <v>23</v>
      </c>
      <c r="F242" t="s">
        <v>1</v>
      </c>
      <c r="G242" t="s">
        <v>257</v>
      </c>
      <c r="H242" t="s">
        <v>175</v>
      </c>
      <c r="I242" t="s">
        <v>1</v>
      </c>
      <c r="J242">
        <v>395.03</v>
      </c>
      <c r="K242">
        <v>797.00000000039995</v>
      </c>
      <c r="L242">
        <v>10.77</v>
      </c>
      <c r="M242">
        <v>21.718508287292817</v>
      </c>
      <c r="N242">
        <v>10.77</v>
      </c>
      <c r="O242">
        <v>21.54</v>
      </c>
      <c r="P242">
        <v>0</v>
      </c>
      <c r="Q242">
        <f t="shared" si="50"/>
        <v>21.54</v>
      </c>
      <c r="R242">
        <v>21.54</v>
      </c>
      <c r="S242">
        <f t="shared" si="51"/>
        <v>0</v>
      </c>
      <c r="U242">
        <f t="shared" si="52"/>
        <v>0</v>
      </c>
      <c r="V242">
        <f t="shared" si="53"/>
        <v>21.54</v>
      </c>
      <c r="W242">
        <f t="shared" si="54"/>
        <v>0</v>
      </c>
      <c r="X242">
        <v>0</v>
      </c>
    </row>
    <row r="243" spans="1:24" x14ac:dyDescent="0.25">
      <c r="A243" t="s">
        <v>462</v>
      </c>
      <c r="B243" t="s">
        <v>462</v>
      </c>
      <c r="C243" t="s">
        <v>486</v>
      </c>
      <c r="D243" t="s">
        <v>86</v>
      </c>
      <c r="E243" t="s">
        <v>27</v>
      </c>
      <c r="F243" t="s">
        <v>1</v>
      </c>
      <c r="G243" t="s">
        <v>257</v>
      </c>
      <c r="H243" t="s">
        <v>179</v>
      </c>
      <c r="I243" t="s">
        <v>1</v>
      </c>
      <c r="J243">
        <v>545.37</v>
      </c>
      <c r="K243">
        <v>720</v>
      </c>
      <c r="L243">
        <v>205.9</v>
      </c>
      <c r="M243">
        <v>415.21270718232046</v>
      </c>
      <c r="N243">
        <v>751.27</v>
      </c>
      <c r="O243">
        <v>411.8</v>
      </c>
      <c r="P243">
        <v>0</v>
      </c>
      <c r="Q243">
        <f t="shared" si="50"/>
        <v>411.8</v>
      </c>
      <c r="R243">
        <v>411.8</v>
      </c>
      <c r="S243">
        <f t="shared" si="51"/>
        <v>0</v>
      </c>
      <c r="U243">
        <f t="shared" si="52"/>
        <v>0</v>
      </c>
      <c r="V243">
        <f t="shared" si="53"/>
        <v>411.8</v>
      </c>
      <c r="W243">
        <f t="shared" si="54"/>
        <v>0</v>
      </c>
      <c r="X243">
        <v>0</v>
      </c>
    </row>
    <row r="244" spans="1:24" x14ac:dyDescent="0.25">
      <c r="A244" t="s">
        <v>462</v>
      </c>
      <c r="B244" t="s">
        <v>462</v>
      </c>
      <c r="C244" t="s">
        <v>486</v>
      </c>
      <c r="D244" t="s">
        <v>86</v>
      </c>
      <c r="E244" t="s">
        <v>30</v>
      </c>
      <c r="F244" t="s">
        <v>1</v>
      </c>
      <c r="G244" t="s">
        <v>257</v>
      </c>
      <c r="H244" t="s">
        <v>182</v>
      </c>
      <c r="I244" t="s">
        <v>1</v>
      </c>
      <c r="J244">
        <v>314584.25</v>
      </c>
      <c r="K244">
        <v>272270.00040000002</v>
      </c>
      <c r="L244">
        <v>176975.2</v>
      </c>
      <c r="M244">
        <v>356883.69060773484</v>
      </c>
      <c r="N244">
        <v>342688.69999999995</v>
      </c>
      <c r="O244">
        <v>353950.4</v>
      </c>
      <c r="P244">
        <v>0</v>
      </c>
      <c r="Q244">
        <f t="shared" si="50"/>
        <v>353950.4</v>
      </c>
      <c r="R244">
        <v>273970</v>
      </c>
      <c r="S244">
        <f t="shared" si="51"/>
        <v>-79980.400000000023</v>
      </c>
      <c r="T244">
        <v>0.03</v>
      </c>
      <c r="U244">
        <f t="shared" si="52"/>
        <v>8219.1</v>
      </c>
      <c r="V244">
        <f t="shared" si="53"/>
        <v>282189.09999999998</v>
      </c>
      <c r="W244">
        <f t="shared" si="54"/>
        <v>-71761.300000000047</v>
      </c>
      <c r="X244" t="s">
        <v>400</v>
      </c>
    </row>
    <row r="245" spans="1:24" x14ac:dyDescent="0.25">
      <c r="A245" t="s">
        <v>462</v>
      </c>
      <c r="B245" t="s">
        <v>462</v>
      </c>
      <c r="C245" t="s">
        <v>486</v>
      </c>
      <c r="D245" t="s">
        <v>86</v>
      </c>
      <c r="E245" t="s">
        <v>31</v>
      </c>
      <c r="F245" t="s">
        <v>1</v>
      </c>
      <c r="G245" t="s">
        <v>257</v>
      </c>
      <c r="H245" t="s">
        <v>183</v>
      </c>
      <c r="I245" t="s">
        <v>1</v>
      </c>
      <c r="K245">
        <v>22425</v>
      </c>
      <c r="L245">
        <v>0</v>
      </c>
      <c r="M245">
        <v>0</v>
      </c>
      <c r="N245">
        <v>0</v>
      </c>
      <c r="P245">
        <v>0</v>
      </c>
      <c r="Q245">
        <f t="shared" si="50"/>
        <v>0</v>
      </c>
      <c r="R245">
        <v>0</v>
      </c>
      <c r="S245">
        <f t="shared" si="51"/>
        <v>0</v>
      </c>
      <c r="T245">
        <v>0.03</v>
      </c>
      <c r="U245">
        <f t="shared" si="52"/>
        <v>0</v>
      </c>
      <c r="V245">
        <f t="shared" si="53"/>
        <v>0</v>
      </c>
      <c r="W245">
        <f t="shared" si="54"/>
        <v>0</v>
      </c>
      <c r="X245">
        <v>0</v>
      </c>
    </row>
    <row r="246" spans="1:24" x14ac:dyDescent="0.25">
      <c r="A246" t="s">
        <v>462</v>
      </c>
      <c r="B246" t="s">
        <v>462</v>
      </c>
      <c r="C246" t="s">
        <v>486</v>
      </c>
      <c r="D246" t="s">
        <v>86</v>
      </c>
      <c r="E246" t="s">
        <v>32</v>
      </c>
      <c r="F246" t="s">
        <v>1</v>
      </c>
      <c r="G246" t="s">
        <v>257</v>
      </c>
      <c r="H246" t="s">
        <v>184</v>
      </c>
      <c r="I246" t="s">
        <v>1</v>
      </c>
      <c r="J246">
        <v>8523.65</v>
      </c>
      <c r="K246">
        <v>12525</v>
      </c>
      <c r="L246">
        <v>4003.67</v>
      </c>
      <c r="M246">
        <v>8073.6991712707177</v>
      </c>
      <c r="N246">
        <v>6860.03</v>
      </c>
      <c r="O246">
        <v>8007.34</v>
      </c>
      <c r="P246">
        <v>0</v>
      </c>
      <c r="Q246">
        <f t="shared" si="50"/>
        <v>8007.34</v>
      </c>
      <c r="R246">
        <v>8007.34</v>
      </c>
      <c r="S246">
        <f t="shared" si="51"/>
        <v>0</v>
      </c>
      <c r="T246">
        <v>0.03</v>
      </c>
      <c r="U246">
        <f t="shared" si="52"/>
        <v>240.22020000000001</v>
      </c>
      <c r="V246">
        <f t="shared" si="53"/>
        <v>8247.5601999999999</v>
      </c>
      <c r="W246">
        <f t="shared" si="54"/>
        <v>240.22019999999975</v>
      </c>
      <c r="X246">
        <v>0</v>
      </c>
    </row>
    <row r="247" spans="1:24" x14ac:dyDescent="0.25">
      <c r="A247" t="s">
        <v>462</v>
      </c>
      <c r="B247" t="s">
        <v>462</v>
      </c>
      <c r="C247" t="s">
        <v>486</v>
      </c>
      <c r="D247" t="s">
        <v>86</v>
      </c>
      <c r="E247" t="s">
        <v>33</v>
      </c>
      <c r="F247" t="s">
        <v>1</v>
      </c>
      <c r="G247" t="s">
        <v>257</v>
      </c>
      <c r="H247" t="s">
        <v>185</v>
      </c>
      <c r="I247" t="s">
        <v>1</v>
      </c>
      <c r="J247">
        <v>169</v>
      </c>
      <c r="L247">
        <v>0</v>
      </c>
      <c r="M247">
        <v>0</v>
      </c>
      <c r="N247">
        <v>0</v>
      </c>
      <c r="P247">
        <v>0</v>
      </c>
      <c r="Q247">
        <f t="shared" si="50"/>
        <v>0</v>
      </c>
      <c r="R247">
        <v>0</v>
      </c>
      <c r="S247">
        <f t="shared" si="51"/>
        <v>0</v>
      </c>
      <c r="T247">
        <v>0.03</v>
      </c>
      <c r="U247">
        <f t="shared" si="52"/>
        <v>0</v>
      </c>
      <c r="V247">
        <f t="shared" si="53"/>
        <v>0</v>
      </c>
      <c r="W247">
        <f t="shared" si="54"/>
        <v>0</v>
      </c>
      <c r="X247">
        <v>0</v>
      </c>
    </row>
    <row r="248" spans="1:24" x14ac:dyDescent="0.25">
      <c r="A248" t="s">
        <v>462</v>
      </c>
      <c r="B248" t="s">
        <v>462</v>
      </c>
      <c r="C248" t="s">
        <v>486</v>
      </c>
      <c r="D248" t="s">
        <v>86</v>
      </c>
      <c r="E248" t="s">
        <v>58</v>
      </c>
      <c r="F248" t="s">
        <v>1</v>
      </c>
      <c r="G248" t="s">
        <v>257</v>
      </c>
      <c r="H248" t="s">
        <v>215</v>
      </c>
      <c r="I248" t="s">
        <v>1</v>
      </c>
      <c r="J248">
        <v>5506</v>
      </c>
      <c r="L248">
        <v>5499.1</v>
      </c>
      <c r="M248">
        <v>11089.345303867403</v>
      </c>
      <c r="N248">
        <v>5499.1</v>
      </c>
      <c r="O248">
        <v>10998.2</v>
      </c>
      <c r="P248">
        <v>0</v>
      </c>
      <c r="Q248">
        <f t="shared" si="50"/>
        <v>10998.2</v>
      </c>
      <c r="R248">
        <v>9380</v>
      </c>
      <c r="S248">
        <f t="shared" si="51"/>
        <v>-1618.2000000000007</v>
      </c>
      <c r="T248">
        <v>0.03</v>
      </c>
      <c r="U248">
        <f t="shared" si="52"/>
        <v>281.39999999999998</v>
      </c>
      <c r="V248">
        <f t="shared" si="53"/>
        <v>9661.4</v>
      </c>
      <c r="W248">
        <f t="shared" si="54"/>
        <v>-1336.8000000000011</v>
      </c>
      <c r="X248" t="s">
        <v>401</v>
      </c>
    </row>
    <row r="249" spans="1:24" x14ac:dyDescent="0.25">
      <c r="A249" t="s">
        <v>462</v>
      </c>
      <c r="B249" t="s">
        <v>462</v>
      </c>
      <c r="C249" t="s">
        <v>486</v>
      </c>
      <c r="D249" t="s">
        <v>86</v>
      </c>
      <c r="E249" t="s">
        <v>89</v>
      </c>
      <c r="F249" t="s">
        <v>1</v>
      </c>
      <c r="G249" t="s">
        <v>257</v>
      </c>
      <c r="H249" t="s">
        <v>260</v>
      </c>
      <c r="I249" t="s">
        <v>1</v>
      </c>
      <c r="J249">
        <v>20291.07</v>
      </c>
      <c r="K249">
        <v>44451.9999999996</v>
      </c>
      <c r="L249">
        <v>17923.96</v>
      </c>
      <c r="M249">
        <v>36145.002209944752</v>
      </c>
      <c r="N249">
        <v>16171.7</v>
      </c>
      <c r="O249">
        <v>35847.919999999998</v>
      </c>
      <c r="P249">
        <v>0</v>
      </c>
      <c r="Q249">
        <f t="shared" si="50"/>
        <v>35847.919999999998</v>
      </c>
      <c r="R249">
        <v>35847.919999999998</v>
      </c>
      <c r="S249">
        <f t="shared" si="51"/>
        <v>0</v>
      </c>
      <c r="T249">
        <v>0.03</v>
      </c>
      <c r="U249">
        <f t="shared" si="52"/>
        <v>1075.4376</v>
      </c>
      <c r="V249">
        <f t="shared" si="53"/>
        <v>36923.357599999996</v>
      </c>
      <c r="W249">
        <f t="shared" si="54"/>
        <v>1075.4375999999975</v>
      </c>
      <c r="X249" t="s">
        <v>402</v>
      </c>
    </row>
    <row r="250" spans="1:24" x14ac:dyDescent="0.25">
      <c r="A250" t="s">
        <v>462</v>
      </c>
      <c r="B250" t="s">
        <v>462</v>
      </c>
      <c r="C250" t="s">
        <v>486</v>
      </c>
      <c r="D250" t="s">
        <v>86</v>
      </c>
      <c r="E250" t="s">
        <v>90</v>
      </c>
      <c r="F250" t="s">
        <v>1</v>
      </c>
      <c r="G250" t="s">
        <v>257</v>
      </c>
      <c r="H250" t="s">
        <v>261</v>
      </c>
      <c r="I250" t="s">
        <v>1</v>
      </c>
      <c r="J250">
        <v>38320.57</v>
      </c>
      <c r="K250">
        <v>47109.9999999996</v>
      </c>
      <c r="L250">
        <v>22393.08</v>
      </c>
      <c r="M250">
        <v>45157.316022099454</v>
      </c>
      <c r="N250">
        <v>42661.16</v>
      </c>
      <c r="O250">
        <v>44786.16</v>
      </c>
      <c r="P250">
        <v>0</v>
      </c>
      <c r="Q250">
        <f t="shared" si="50"/>
        <v>44786.16</v>
      </c>
      <c r="R250">
        <v>47109.9999999996</v>
      </c>
      <c r="S250">
        <f t="shared" si="51"/>
        <v>2323.8399999995963</v>
      </c>
      <c r="T250">
        <v>0.03</v>
      </c>
      <c r="U250">
        <f t="shared" si="52"/>
        <v>1413.2999999999879</v>
      </c>
      <c r="V250">
        <f t="shared" si="53"/>
        <v>48523.299999999588</v>
      </c>
      <c r="W250">
        <f t="shared" si="54"/>
        <v>3737.1399999995847</v>
      </c>
      <c r="X250" t="s">
        <v>403</v>
      </c>
    </row>
    <row r="251" spans="1:24" x14ac:dyDescent="0.25">
      <c r="A251" t="s">
        <v>462</v>
      </c>
      <c r="B251" t="s">
        <v>462</v>
      </c>
      <c r="C251" t="s">
        <v>486</v>
      </c>
      <c r="D251" t="s">
        <v>86</v>
      </c>
      <c r="E251" t="s">
        <v>91</v>
      </c>
      <c r="F251" t="s">
        <v>1</v>
      </c>
      <c r="G251" t="s">
        <v>257</v>
      </c>
      <c r="H251" t="s">
        <v>262</v>
      </c>
      <c r="I251" t="s">
        <v>1</v>
      </c>
      <c r="J251">
        <v>98341.66</v>
      </c>
      <c r="K251">
        <v>66822</v>
      </c>
      <c r="L251">
        <v>32176.78</v>
      </c>
      <c r="M251">
        <v>64886.876795580101</v>
      </c>
      <c r="N251">
        <v>86657.12999999999</v>
      </c>
      <c r="O251">
        <v>64353.56</v>
      </c>
      <c r="P251">
        <v>0</v>
      </c>
      <c r="Q251">
        <f t="shared" si="50"/>
        <v>64353.56</v>
      </c>
      <c r="R251">
        <v>66822</v>
      </c>
      <c r="S251">
        <f t="shared" si="51"/>
        <v>2468.4400000000023</v>
      </c>
      <c r="T251">
        <v>0.03</v>
      </c>
      <c r="U251">
        <f t="shared" si="52"/>
        <v>2004.6599999999999</v>
      </c>
      <c r="V251">
        <f t="shared" si="53"/>
        <v>68826.66</v>
      </c>
      <c r="W251">
        <f t="shared" si="54"/>
        <v>4473.1000000000058</v>
      </c>
      <c r="X251" t="s">
        <v>404</v>
      </c>
    </row>
    <row r="252" spans="1:24" x14ac:dyDescent="0.25">
      <c r="A252" t="s">
        <v>462</v>
      </c>
      <c r="B252" t="s">
        <v>462</v>
      </c>
      <c r="C252" t="s">
        <v>486</v>
      </c>
      <c r="D252" t="s">
        <v>86</v>
      </c>
      <c r="E252" t="s">
        <v>92</v>
      </c>
      <c r="F252" t="s">
        <v>1</v>
      </c>
      <c r="G252" t="s">
        <v>257</v>
      </c>
      <c r="H252" t="s">
        <v>263</v>
      </c>
      <c r="I252" t="s">
        <v>1</v>
      </c>
      <c r="J252">
        <v>184472</v>
      </c>
      <c r="K252">
        <v>198320</v>
      </c>
      <c r="L252">
        <v>143305.73000000001</v>
      </c>
      <c r="M252">
        <v>288986.69309392263</v>
      </c>
      <c r="N252">
        <v>230105.41999999998</v>
      </c>
      <c r="O252">
        <v>286611.46000000002</v>
      </c>
      <c r="P252">
        <v>0</v>
      </c>
      <c r="Q252">
        <f t="shared" si="50"/>
        <v>286611.46000000002</v>
      </c>
      <c r="R252">
        <v>240000</v>
      </c>
      <c r="S252">
        <f t="shared" si="51"/>
        <v>-46611.460000000021</v>
      </c>
      <c r="T252">
        <v>0.03</v>
      </c>
      <c r="U252">
        <f t="shared" si="52"/>
        <v>7200</v>
      </c>
      <c r="V252">
        <f t="shared" si="53"/>
        <v>247200</v>
      </c>
      <c r="W252">
        <f t="shared" si="54"/>
        <v>-39411.460000000021</v>
      </c>
      <c r="X252">
        <v>0</v>
      </c>
    </row>
    <row r="253" spans="1:24" x14ac:dyDescent="0.25">
      <c r="A253" t="s">
        <v>462</v>
      </c>
      <c r="B253" t="s">
        <v>462</v>
      </c>
      <c r="C253" t="s">
        <v>486</v>
      </c>
      <c r="D253" t="s">
        <v>86</v>
      </c>
      <c r="E253" t="s">
        <v>93</v>
      </c>
      <c r="F253" t="s">
        <v>1</v>
      </c>
      <c r="G253" t="s">
        <v>257</v>
      </c>
      <c r="H253" t="s">
        <v>264</v>
      </c>
      <c r="I253" t="s">
        <v>1</v>
      </c>
      <c r="J253">
        <v>129518.49</v>
      </c>
      <c r="K253">
        <v>55997.0000000004</v>
      </c>
      <c r="L253">
        <v>38168.160000000003</v>
      </c>
      <c r="M253">
        <v>76968.941436464098</v>
      </c>
      <c r="N253">
        <v>132446.25</v>
      </c>
      <c r="O253">
        <v>76336.320000000007</v>
      </c>
      <c r="P253">
        <v>0</v>
      </c>
      <c r="Q253">
        <f t="shared" si="50"/>
        <v>76336.320000000007</v>
      </c>
      <c r="R253">
        <v>76336.320000000007</v>
      </c>
      <c r="S253">
        <f t="shared" si="51"/>
        <v>0</v>
      </c>
      <c r="T253">
        <v>0.03</v>
      </c>
      <c r="U253">
        <f t="shared" si="52"/>
        <v>2290.0896000000002</v>
      </c>
      <c r="V253">
        <f t="shared" si="53"/>
        <v>78626.409600000014</v>
      </c>
      <c r="W253">
        <f t="shared" si="54"/>
        <v>2290.0896000000066</v>
      </c>
      <c r="X253">
        <v>0</v>
      </c>
    </row>
    <row r="254" spans="1:24" x14ac:dyDescent="0.25">
      <c r="A254" t="s">
        <v>462</v>
      </c>
      <c r="B254" t="s">
        <v>462</v>
      </c>
      <c r="C254" t="s">
        <v>486</v>
      </c>
      <c r="D254" t="s">
        <v>86</v>
      </c>
      <c r="E254" t="s">
        <v>94</v>
      </c>
      <c r="F254" t="s">
        <v>1</v>
      </c>
      <c r="G254" t="s">
        <v>257</v>
      </c>
      <c r="H254" t="s">
        <v>265</v>
      </c>
      <c r="I254" t="s">
        <v>1</v>
      </c>
      <c r="J254">
        <v>66699.39</v>
      </c>
      <c r="K254">
        <v>52392</v>
      </c>
      <c r="L254">
        <v>12733.76</v>
      </c>
      <c r="M254">
        <v>25678.576795580113</v>
      </c>
      <c r="N254">
        <v>54909.140000000007</v>
      </c>
      <c r="O254">
        <v>25467.52</v>
      </c>
      <c r="P254">
        <v>0</v>
      </c>
      <c r="Q254">
        <f t="shared" si="50"/>
        <v>25467.52</v>
      </c>
      <c r="R254">
        <v>52392</v>
      </c>
      <c r="S254">
        <f t="shared" si="51"/>
        <v>26924.48</v>
      </c>
      <c r="T254">
        <v>0.03</v>
      </c>
      <c r="U254">
        <f t="shared" si="52"/>
        <v>1571.76</v>
      </c>
      <c r="V254">
        <f t="shared" si="53"/>
        <v>53963.76</v>
      </c>
      <c r="W254">
        <f t="shared" si="54"/>
        <v>28496.240000000002</v>
      </c>
      <c r="X254" t="s">
        <v>405</v>
      </c>
    </row>
    <row r="255" spans="1:24" x14ac:dyDescent="0.25">
      <c r="A255" t="s">
        <v>462</v>
      </c>
      <c r="B255" t="s">
        <v>462</v>
      </c>
      <c r="C255" t="s">
        <v>486</v>
      </c>
      <c r="D255" t="s">
        <v>86</v>
      </c>
      <c r="E255" t="s">
        <v>95</v>
      </c>
      <c r="F255" t="s">
        <v>1</v>
      </c>
      <c r="G255" t="s">
        <v>257</v>
      </c>
      <c r="H255" t="s">
        <v>266</v>
      </c>
      <c r="I255" t="s">
        <v>1</v>
      </c>
      <c r="J255">
        <v>36219.370000000003</v>
      </c>
      <c r="K255">
        <v>104472.9996</v>
      </c>
      <c r="L255">
        <v>31142.560000000001</v>
      </c>
      <c r="M255">
        <v>62801.295027624314</v>
      </c>
      <c r="N255">
        <v>36273.86</v>
      </c>
      <c r="O255">
        <v>62285.120000000003</v>
      </c>
      <c r="P255">
        <v>0</v>
      </c>
      <c r="Q255">
        <f t="shared" si="50"/>
        <v>62285.120000000003</v>
      </c>
      <c r="R255">
        <v>81357</v>
      </c>
      <c r="S255">
        <f t="shared" si="51"/>
        <v>19071.879999999997</v>
      </c>
      <c r="T255">
        <v>0.03</v>
      </c>
      <c r="U255">
        <f t="shared" si="52"/>
        <v>2440.71</v>
      </c>
      <c r="V255">
        <f t="shared" si="53"/>
        <v>83797.710000000006</v>
      </c>
      <c r="W255">
        <f t="shared" si="54"/>
        <v>21512.590000000004</v>
      </c>
      <c r="X255" t="s">
        <v>406</v>
      </c>
    </row>
    <row r="256" spans="1:24" x14ac:dyDescent="0.25">
      <c r="A256" t="s">
        <v>462</v>
      </c>
      <c r="B256" t="s">
        <v>462</v>
      </c>
      <c r="C256" t="s">
        <v>486</v>
      </c>
      <c r="D256" t="s">
        <v>86</v>
      </c>
      <c r="E256" t="s">
        <v>68</v>
      </c>
      <c r="F256" t="s">
        <v>1</v>
      </c>
      <c r="G256" t="s">
        <v>257</v>
      </c>
      <c r="H256" t="s">
        <v>227</v>
      </c>
      <c r="I256" t="s">
        <v>1</v>
      </c>
      <c r="L256">
        <v>392</v>
      </c>
      <c r="M256">
        <v>790.49723756906064</v>
      </c>
      <c r="N256">
        <v>392</v>
      </c>
      <c r="O256">
        <v>784</v>
      </c>
      <c r="P256">
        <v>0</v>
      </c>
      <c r="Q256">
        <f t="shared" si="50"/>
        <v>784</v>
      </c>
      <c r="R256">
        <v>0</v>
      </c>
      <c r="S256">
        <f t="shared" si="51"/>
        <v>-784</v>
      </c>
      <c r="T256">
        <v>0.03</v>
      </c>
      <c r="U256">
        <f t="shared" si="52"/>
        <v>0</v>
      </c>
      <c r="V256">
        <f t="shared" si="53"/>
        <v>0</v>
      </c>
      <c r="W256">
        <f t="shared" si="54"/>
        <v>-784</v>
      </c>
      <c r="X256">
        <v>0</v>
      </c>
    </row>
    <row r="257" spans="1:24" x14ac:dyDescent="0.25">
      <c r="A257" t="s">
        <v>462</v>
      </c>
      <c r="B257" t="s">
        <v>462</v>
      </c>
      <c r="C257" t="s">
        <v>486</v>
      </c>
      <c r="D257" t="s">
        <v>86</v>
      </c>
      <c r="E257" t="s">
        <v>59</v>
      </c>
      <c r="F257" t="s">
        <v>1</v>
      </c>
      <c r="G257" t="s">
        <v>257</v>
      </c>
      <c r="H257" t="s">
        <v>216</v>
      </c>
      <c r="I257" t="s">
        <v>1</v>
      </c>
      <c r="J257">
        <v>15927.57</v>
      </c>
      <c r="L257">
        <v>0</v>
      </c>
      <c r="M257">
        <v>0</v>
      </c>
      <c r="N257">
        <v>0</v>
      </c>
      <c r="P257">
        <v>0</v>
      </c>
      <c r="Q257">
        <f t="shared" si="50"/>
        <v>0</v>
      </c>
      <c r="R257">
        <v>0</v>
      </c>
      <c r="S257">
        <f t="shared" si="51"/>
        <v>0</v>
      </c>
      <c r="T257">
        <v>0.03</v>
      </c>
      <c r="U257">
        <f t="shared" si="52"/>
        <v>0</v>
      </c>
      <c r="V257">
        <f t="shared" si="53"/>
        <v>0</v>
      </c>
      <c r="W257">
        <f t="shared" si="54"/>
        <v>0</v>
      </c>
      <c r="X257">
        <v>0</v>
      </c>
    </row>
    <row r="258" spans="1:24" x14ac:dyDescent="0.25">
      <c r="A258" t="s">
        <v>462</v>
      </c>
      <c r="B258" t="s">
        <v>462</v>
      </c>
      <c r="C258" t="s">
        <v>486</v>
      </c>
      <c r="D258" t="s">
        <v>86</v>
      </c>
      <c r="E258" t="s">
        <v>35</v>
      </c>
      <c r="F258" t="s">
        <v>1</v>
      </c>
      <c r="G258" t="s">
        <v>257</v>
      </c>
      <c r="H258" t="s">
        <v>187</v>
      </c>
      <c r="I258" t="s">
        <v>1</v>
      </c>
      <c r="J258">
        <v>2786917.95</v>
      </c>
      <c r="L258">
        <v>-0.2</v>
      </c>
      <c r="M258">
        <v>-0.40331491712707185</v>
      </c>
      <c r="N258">
        <v>1432927.11</v>
      </c>
      <c r="O258">
        <v>-0.4</v>
      </c>
      <c r="P258">
        <v>0</v>
      </c>
      <c r="Q258">
        <f t="shared" si="50"/>
        <v>-0.4</v>
      </c>
      <c r="R258">
        <v>0</v>
      </c>
      <c r="S258">
        <f t="shared" si="51"/>
        <v>0.4</v>
      </c>
      <c r="T258">
        <v>0.03</v>
      </c>
      <c r="U258">
        <f t="shared" si="52"/>
        <v>0</v>
      </c>
      <c r="V258">
        <f t="shared" si="53"/>
        <v>0</v>
      </c>
      <c r="W258">
        <f t="shared" si="54"/>
        <v>0.4</v>
      </c>
      <c r="X258">
        <v>0</v>
      </c>
    </row>
    <row r="259" spans="1:24" x14ac:dyDescent="0.25">
      <c r="A259" t="s">
        <v>462</v>
      </c>
      <c r="B259" t="s">
        <v>462</v>
      </c>
      <c r="C259" t="s">
        <v>486</v>
      </c>
      <c r="D259" t="s">
        <v>86</v>
      </c>
      <c r="E259" t="s">
        <v>36</v>
      </c>
      <c r="F259" t="s">
        <v>1</v>
      </c>
      <c r="G259" t="s">
        <v>257</v>
      </c>
      <c r="H259" t="s">
        <v>188</v>
      </c>
      <c r="I259" t="s">
        <v>1</v>
      </c>
      <c r="J259">
        <v>101178.24000000001</v>
      </c>
      <c r="K259">
        <v>43980</v>
      </c>
      <c r="L259">
        <v>41630.29</v>
      </c>
      <c r="M259">
        <v>83950.584806629835</v>
      </c>
      <c r="N259">
        <v>82360.19</v>
      </c>
      <c r="O259">
        <v>83260.58</v>
      </c>
      <c r="P259">
        <v>0</v>
      </c>
      <c r="Q259">
        <f t="shared" si="50"/>
        <v>83260.58</v>
      </c>
      <c r="R259">
        <v>35200</v>
      </c>
      <c r="S259">
        <f t="shared" si="51"/>
        <v>-48060.58</v>
      </c>
      <c r="T259">
        <v>0.03</v>
      </c>
      <c r="U259">
        <f t="shared" si="52"/>
        <v>1056</v>
      </c>
      <c r="V259">
        <f t="shared" si="53"/>
        <v>36256</v>
      </c>
      <c r="W259">
        <f t="shared" si="54"/>
        <v>-47004.58</v>
      </c>
      <c r="X259" t="s">
        <v>407</v>
      </c>
    </row>
    <row r="260" spans="1:24" x14ac:dyDescent="0.25">
      <c r="A260" t="s">
        <v>462</v>
      </c>
      <c r="B260" t="s">
        <v>462</v>
      </c>
      <c r="C260" t="s">
        <v>486</v>
      </c>
      <c r="D260" t="s">
        <v>86</v>
      </c>
      <c r="E260" t="s">
        <v>38</v>
      </c>
      <c r="F260" t="s">
        <v>1</v>
      </c>
      <c r="G260" t="s">
        <v>257</v>
      </c>
      <c r="H260" t="s">
        <v>190</v>
      </c>
      <c r="I260" t="s">
        <v>1</v>
      </c>
      <c r="J260">
        <v>385.06</v>
      </c>
      <c r="K260">
        <v>99.999999999600007</v>
      </c>
      <c r="L260">
        <v>17.96</v>
      </c>
      <c r="M260">
        <v>36.217679558011049</v>
      </c>
      <c r="N260">
        <v>152.82000000000002</v>
      </c>
      <c r="O260">
        <v>35.92</v>
      </c>
      <c r="P260">
        <v>0</v>
      </c>
      <c r="Q260">
        <f t="shared" si="50"/>
        <v>35.92</v>
      </c>
      <c r="R260">
        <v>35.92</v>
      </c>
      <c r="S260">
        <f t="shared" si="51"/>
        <v>0</v>
      </c>
      <c r="T260">
        <v>0.03</v>
      </c>
      <c r="U260">
        <f t="shared" si="52"/>
        <v>1.0776000000000001</v>
      </c>
      <c r="V260">
        <f t="shared" si="53"/>
        <v>36.997599999999998</v>
      </c>
      <c r="W260">
        <f t="shared" si="54"/>
        <v>1.0775999999999968</v>
      </c>
      <c r="X260">
        <v>0</v>
      </c>
    </row>
    <row r="261" spans="1:24" x14ac:dyDescent="0.25">
      <c r="A261" t="s">
        <v>462</v>
      </c>
      <c r="B261" t="s">
        <v>462</v>
      </c>
      <c r="C261" t="s">
        <v>486</v>
      </c>
      <c r="D261" t="s">
        <v>86</v>
      </c>
      <c r="E261" t="s">
        <v>40</v>
      </c>
      <c r="F261" t="s">
        <v>1</v>
      </c>
      <c r="G261" t="s">
        <v>257</v>
      </c>
      <c r="H261" t="s">
        <v>192</v>
      </c>
      <c r="I261" t="s">
        <v>1</v>
      </c>
      <c r="J261">
        <v>16473.150000000001</v>
      </c>
      <c r="L261">
        <v>9484.44</v>
      </c>
      <c r="M261">
        <v>19126.080662983426</v>
      </c>
      <c r="N261">
        <v>15818.199999999999</v>
      </c>
      <c r="O261">
        <v>18968.88</v>
      </c>
      <c r="P261">
        <v>0</v>
      </c>
      <c r="Q261">
        <f t="shared" si="50"/>
        <v>18968.88</v>
      </c>
      <c r="R261">
        <v>18968.88</v>
      </c>
      <c r="S261">
        <f t="shared" si="51"/>
        <v>0</v>
      </c>
      <c r="T261">
        <v>0.03</v>
      </c>
      <c r="U261">
        <f t="shared" si="52"/>
        <v>569.06640000000004</v>
      </c>
      <c r="V261">
        <f t="shared" si="53"/>
        <v>19537.946400000001</v>
      </c>
      <c r="W261">
        <f t="shared" si="54"/>
        <v>569.0663999999997</v>
      </c>
      <c r="X261" t="s">
        <v>408</v>
      </c>
    </row>
    <row r="262" spans="1:24" x14ac:dyDescent="0.25">
      <c r="A262" t="s">
        <v>462</v>
      </c>
      <c r="B262" t="s">
        <v>462</v>
      </c>
      <c r="C262" t="s">
        <v>486</v>
      </c>
      <c r="D262" t="s">
        <v>86</v>
      </c>
      <c r="E262" t="s">
        <v>96</v>
      </c>
      <c r="F262" t="s">
        <v>1</v>
      </c>
      <c r="G262" t="s">
        <v>257</v>
      </c>
      <c r="H262" t="s">
        <v>267</v>
      </c>
      <c r="I262" t="s">
        <v>1</v>
      </c>
      <c r="J262">
        <v>1094453.4099999999</v>
      </c>
      <c r="K262">
        <v>1206000.0004</v>
      </c>
      <c r="L262">
        <v>609146.39</v>
      </c>
      <c r="M262">
        <v>1228389.1290055248</v>
      </c>
      <c r="N262">
        <v>1203797.4300000002</v>
      </c>
      <c r="O262">
        <v>1228389.1290055199</v>
      </c>
      <c r="P262">
        <v>0</v>
      </c>
      <c r="Q262">
        <f t="shared" si="50"/>
        <v>1228389.1290055199</v>
      </c>
      <c r="R262">
        <v>1228389.1290055199</v>
      </c>
      <c r="S262">
        <f t="shared" si="51"/>
        <v>0</v>
      </c>
      <c r="U262">
        <f t="shared" si="52"/>
        <v>0</v>
      </c>
      <c r="V262">
        <f t="shared" si="53"/>
        <v>1228389.1290055199</v>
      </c>
      <c r="W262">
        <f t="shared" si="54"/>
        <v>0</v>
      </c>
      <c r="X262">
        <v>0</v>
      </c>
    </row>
    <row r="263" spans="1:24" x14ac:dyDescent="0.25">
      <c r="A263" t="s">
        <v>462</v>
      </c>
      <c r="B263" t="s">
        <v>462</v>
      </c>
      <c r="C263" t="s">
        <v>486</v>
      </c>
      <c r="D263" t="s">
        <v>86</v>
      </c>
      <c r="E263" t="s">
        <v>97</v>
      </c>
      <c r="F263" t="s">
        <v>1</v>
      </c>
      <c r="G263" t="s">
        <v>257</v>
      </c>
      <c r="H263" t="s">
        <v>268</v>
      </c>
      <c r="I263" t="s">
        <v>1</v>
      </c>
      <c r="J263">
        <v>578.88</v>
      </c>
      <c r="K263">
        <v>3435.9999999995998</v>
      </c>
      <c r="L263">
        <v>3862.65</v>
      </c>
      <c r="M263">
        <v>7789.321823204421</v>
      </c>
      <c r="N263">
        <v>3862.65</v>
      </c>
      <c r="O263">
        <v>7789.3218232044001</v>
      </c>
      <c r="P263">
        <v>0</v>
      </c>
      <c r="Q263">
        <f t="shared" si="50"/>
        <v>7789.3218232044001</v>
      </c>
      <c r="R263">
        <v>7789.3218232044001</v>
      </c>
      <c r="S263">
        <f t="shared" si="51"/>
        <v>0</v>
      </c>
      <c r="U263">
        <f t="shared" si="52"/>
        <v>0</v>
      </c>
      <c r="V263">
        <f t="shared" si="53"/>
        <v>7789.3218232044001</v>
      </c>
      <c r="W263">
        <f t="shared" si="54"/>
        <v>0</v>
      </c>
      <c r="X263">
        <v>0</v>
      </c>
    </row>
    <row r="264" spans="1:24" x14ac:dyDescent="0.25">
      <c r="A264" t="s">
        <v>462</v>
      </c>
      <c r="B264" t="s">
        <v>462</v>
      </c>
      <c r="C264" t="s">
        <v>486</v>
      </c>
      <c r="D264" t="s">
        <v>86</v>
      </c>
      <c r="E264" t="s">
        <v>60</v>
      </c>
      <c r="F264" t="s">
        <v>1</v>
      </c>
      <c r="G264" t="s">
        <v>257</v>
      </c>
      <c r="H264" t="s">
        <v>217</v>
      </c>
      <c r="I264" t="s">
        <v>1</v>
      </c>
      <c r="J264">
        <v>36567.42</v>
      </c>
      <c r="L264">
        <v>27017.23</v>
      </c>
      <c r="M264">
        <v>54482.259392265194</v>
      </c>
      <c r="N264">
        <v>63584.649999999994</v>
      </c>
      <c r="O264">
        <v>54482.259392265201</v>
      </c>
      <c r="P264">
        <v>0</v>
      </c>
      <c r="Q264">
        <f t="shared" si="50"/>
        <v>54482.259392265201</v>
      </c>
      <c r="R264">
        <v>54482.259392265201</v>
      </c>
      <c r="S264">
        <f t="shared" si="51"/>
        <v>0</v>
      </c>
      <c r="U264">
        <f t="shared" si="52"/>
        <v>0</v>
      </c>
      <c r="V264">
        <f t="shared" si="53"/>
        <v>54482.259392265201</v>
      </c>
      <c r="W264">
        <f t="shared" si="54"/>
        <v>0</v>
      </c>
      <c r="X264">
        <v>0</v>
      </c>
    </row>
    <row r="265" spans="1:24" x14ac:dyDescent="0.25">
      <c r="A265" t="s">
        <v>462</v>
      </c>
      <c r="B265" t="s">
        <v>462</v>
      </c>
      <c r="C265" t="s">
        <v>486</v>
      </c>
      <c r="D265" t="s">
        <v>86</v>
      </c>
      <c r="E265" t="s">
        <v>41</v>
      </c>
      <c r="F265" t="s">
        <v>1</v>
      </c>
      <c r="G265" t="s">
        <v>257</v>
      </c>
      <c r="H265" t="s">
        <v>193</v>
      </c>
      <c r="I265" t="s">
        <v>1</v>
      </c>
      <c r="J265">
        <v>46516.06</v>
      </c>
      <c r="K265">
        <v>46500.0000000004</v>
      </c>
      <c r="L265">
        <v>27196.71</v>
      </c>
      <c r="M265">
        <v>54844.19419889502</v>
      </c>
      <c r="N265">
        <v>50653.830000000009</v>
      </c>
      <c r="O265">
        <v>54844.194198894998</v>
      </c>
      <c r="P265">
        <v>0</v>
      </c>
      <c r="Q265">
        <f t="shared" si="50"/>
        <v>54844.194198894998</v>
      </c>
      <c r="R265">
        <v>54844.194198894998</v>
      </c>
      <c r="S265">
        <f t="shared" si="51"/>
        <v>0</v>
      </c>
      <c r="U265">
        <f t="shared" si="52"/>
        <v>0</v>
      </c>
      <c r="V265">
        <f t="shared" si="53"/>
        <v>54844.194198894998</v>
      </c>
      <c r="W265">
        <f t="shared" si="54"/>
        <v>0</v>
      </c>
      <c r="X265">
        <v>0</v>
      </c>
    </row>
    <row r="266" spans="1:24" x14ac:dyDescent="0.25">
      <c r="A266" t="s">
        <v>462</v>
      </c>
      <c r="B266" t="s">
        <v>462</v>
      </c>
      <c r="C266" t="s">
        <v>486</v>
      </c>
      <c r="D266" t="s">
        <v>86</v>
      </c>
      <c r="E266" t="s">
        <v>98</v>
      </c>
      <c r="F266" t="s">
        <v>1</v>
      </c>
      <c r="G266" t="s">
        <v>257</v>
      </c>
      <c r="H266" t="s">
        <v>269</v>
      </c>
      <c r="I266" t="s">
        <v>1</v>
      </c>
      <c r="J266">
        <v>609899.74</v>
      </c>
      <c r="K266">
        <v>732000.00009999995</v>
      </c>
      <c r="L266">
        <v>362155.09</v>
      </c>
      <c r="M266">
        <v>730312.75055248628</v>
      </c>
      <c r="N266">
        <v>580467.06999999995</v>
      </c>
      <c r="O266">
        <v>730312.75055248605</v>
      </c>
      <c r="P266">
        <v>0</v>
      </c>
      <c r="Q266">
        <f t="shared" si="50"/>
        <v>730312.75055248605</v>
      </c>
      <c r="R266">
        <v>730312.75055248605</v>
      </c>
      <c r="S266">
        <f t="shared" si="51"/>
        <v>0</v>
      </c>
      <c r="U266">
        <f t="shared" si="52"/>
        <v>0</v>
      </c>
      <c r="V266">
        <f t="shared" si="53"/>
        <v>730312.75055248605</v>
      </c>
      <c r="W266">
        <f t="shared" si="54"/>
        <v>0</v>
      </c>
      <c r="X266">
        <v>0</v>
      </c>
    </row>
    <row r="267" spans="1:24" x14ac:dyDescent="0.25">
      <c r="A267" t="s">
        <v>462</v>
      </c>
      <c r="B267" t="s">
        <v>462</v>
      </c>
      <c r="C267" t="s">
        <v>486</v>
      </c>
      <c r="D267" t="s">
        <v>86</v>
      </c>
      <c r="E267" t="s">
        <v>42</v>
      </c>
      <c r="F267" t="s">
        <v>42</v>
      </c>
      <c r="G267" t="s">
        <v>270</v>
      </c>
      <c r="J267">
        <v>5768702.6299999999</v>
      </c>
      <c r="K267">
        <v>2974314.0294341557</v>
      </c>
      <c r="L267">
        <v>1648869.79</v>
      </c>
      <c r="M267">
        <v>3325068.9135359121</v>
      </c>
      <c r="N267">
        <v>4511526.3499999996</v>
      </c>
      <c r="O267">
        <v>3315957.4585993513</v>
      </c>
      <c r="P267">
        <f>SUMIF($F$226:$F$266,"&lt;&gt;EV_*",$P$226:$P$266)</f>
        <v>0</v>
      </c>
      <c r="Q267">
        <f>SUMIF($F$226:$F$266,"&lt;&gt;EV_*",$Q$226:$Q$266)</f>
        <v>3315957.4585993513</v>
      </c>
      <c r="R267">
        <f>SUMIF($F$226:$F$266,"&lt;&gt;EV_*",$R$226:$R$266)</f>
        <v>3118067.5847149477</v>
      </c>
      <c r="S267">
        <f>SUMIF($F$226:$F$266,"&lt;&gt;EV_*",$S$226:$S$266)</f>
        <v>-197889.87388440332</v>
      </c>
      <c r="T267">
        <v>0</v>
      </c>
      <c r="U267">
        <f>SUMIF($F$226:$F$266,"&lt;&gt;EV_*",$U$226:$U$266)</f>
        <v>31282.243853627573</v>
      </c>
      <c r="V267">
        <f>SUMIF($F$226:$F$266,"&lt;&gt;EV_*",$V$226:$V$266)</f>
        <v>3149349.8285685754</v>
      </c>
      <c r="W267">
        <f>SUMIF($F$226:$F$266,"&lt;&gt;EV_*",$W$226:$W$266)</f>
        <v>-166607.63003077576</v>
      </c>
      <c r="X267">
        <f>SUMIF($F$226:$F$266,"&lt;&gt;EV_*",$X$226:$X$266)</f>
        <v>0</v>
      </c>
    </row>
    <row r="268" spans="1:24" x14ac:dyDescent="0.25">
      <c r="A268" t="s">
        <v>464</v>
      </c>
      <c r="B268" t="s">
        <v>468</v>
      </c>
      <c r="C268" t="s">
        <v>487</v>
      </c>
      <c r="D268" t="s">
        <v>99</v>
      </c>
      <c r="E268" t="s">
        <v>5</v>
      </c>
      <c r="F268" t="s">
        <v>5</v>
      </c>
      <c r="G268" t="s">
        <v>271</v>
      </c>
    </row>
    <row r="269" spans="1:24" x14ac:dyDescent="0.25">
      <c r="A269" t="s">
        <v>464</v>
      </c>
      <c r="B269" t="s">
        <v>468</v>
      </c>
      <c r="C269" t="s">
        <v>487</v>
      </c>
      <c r="D269" t="s">
        <v>99</v>
      </c>
      <c r="E269" t="s">
        <v>77</v>
      </c>
      <c r="F269" t="s">
        <v>1</v>
      </c>
      <c r="G269" t="s">
        <v>272</v>
      </c>
      <c r="H269" t="s">
        <v>242</v>
      </c>
      <c r="I269" t="s">
        <v>1</v>
      </c>
      <c r="J269">
        <v>1707.8</v>
      </c>
      <c r="L269">
        <v>0</v>
      </c>
      <c r="M269">
        <v>0</v>
      </c>
      <c r="N269">
        <v>0</v>
      </c>
      <c r="P269">
        <v>0</v>
      </c>
      <c r="Q269">
        <f t="shared" ref="Q269:Q300" si="55">O269+P269</f>
        <v>0</v>
      </c>
      <c r="R269">
        <v>0</v>
      </c>
      <c r="S269">
        <f t="shared" ref="S269:S300" si="56">IF(OR(LEFT(E269,2)="A_",LEFT(D269,5)="Total"),R269-Q269,"")</f>
        <v>0</v>
      </c>
      <c r="T269">
        <v>3.6999999999999998E-2</v>
      </c>
      <c r="U269">
        <f t="shared" ref="U269:U300" si="57">IFERROR(R269*T269,R269*0)</f>
        <v>0</v>
      </c>
      <c r="V269">
        <f t="shared" ref="V269:V300" si="58">IF(OR(LEFT(E269,2)="A_",LEFT(D269,5)="Total"),R269+U269,"")</f>
        <v>0</v>
      </c>
      <c r="W269">
        <f t="shared" ref="W269:W300" si="59">IF(OR(LEFT(E269,2)="A_",LEFT(D269,5)="Total"),V269-Q269,"")</f>
        <v>0</v>
      </c>
      <c r="X269" t="s">
        <v>409</v>
      </c>
    </row>
    <row r="270" spans="1:24" x14ac:dyDescent="0.25">
      <c r="A270" t="s">
        <v>464</v>
      </c>
      <c r="B270" t="s">
        <v>468</v>
      </c>
      <c r="C270" t="s">
        <v>487</v>
      </c>
      <c r="D270" t="s">
        <v>99</v>
      </c>
      <c r="E270" t="s">
        <v>78</v>
      </c>
      <c r="F270" t="s">
        <v>1</v>
      </c>
      <c r="G270" t="s">
        <v>272</v>
      </c>
      <c r="H270" t="s">
        <v>243</v>
      </c>
      <c r="I270" t="s">
        <v>1</v>
      </c>
      <c r="J270">
        <v>2542.2600000000002</v>
      </c>
      <c r="L270">
        <v>0</v>
      </c>
      <c r="M270">
        <v>0</v>
      </c>
      <c r="N270">
        <v>-93.74</v>
      </c>
      <c r="P270">
        <v>0</v>
      </c>
      <c r="Q270">
        <f t="shared" si="55"/>
        <v>0</v>
      </c>
      <c r="R270">
        <v>0</v>
      </c>
      <c r="S270">
        <f t="shared" si="56"/>
        <v>0</v>
      </c>
      <c r="T270">
        <v>3.5000000000000003E-2</v>
      </c>
      <c r="U270">
        <f t="shared" si="57"/>
        <v>0</v>
      </c>
      <c r="V270">
        <f t="shared" si="58"/>
        <v>0</v>
      </c>
      <c r="W270">
        <f t="shared" si="59"/>
        <v>0</v>
      </c>
      <c r="X270" t="s">
        <v>409</v>
      </c>
    </row>
    <row r="271" spans="1:24" x14ac:dyDescent="0.25">
      <c r="A271" t="s">
        <v>464</v>
      </c>
      <c r="B271" t="s">
        <v>468</v>
      </c>
      <c r="C271" t="s">
        <v>487</v>
      </c>
      <c r="D271" t="s">
        <v>99</v>
      </c>
      <c r="E271" t="s">
        <v>79</v>
      </c>
      <c r="F271" t="s">
        <v>1</v>
      </c>
      <c r="G271" t="s">
        <v>272</v>
      </c>
      <c r="H271" t="s">
        <v>244</v>
      </c>
      <c r="I271" t="s">
        <v>1</v>
      </c>
      <c r="J271">
        <v>330.36</v>
      </c>
      <c r="L271">
        <v>0</v>
      </c>
      <c r="M271">
        <v>0</v>
      </c>
      <c r="N271">
        <v>0</v>
      </c>
      <c r="P271">
        <v>0</v>
      </c>
      <c r="Q271">
        <f t="shared" si="55"/>
        <v>0</v>
      </c>
      <c r="R271">
        <v>0</v>
      </c>
      <c r="S271">
        <f t="shared" si="56"/>
        <v>0</v>
      </c>
      <c r="T271">
        <v>3.5000000000000003E-2</v>
      </c>
      <c r="U271">
        <f t="shared" si="57"/>
        <v>0</v>
      </c>
      <c r="V271">
        <f t="shared" si="58"/>
        <v>0</v>
      </c>
      <c r="W271">
        <f t="shared" si="59"/>
        <v>0</v>
      </c>
      <c r="X271" t="s">
        <v>409</v>
      </c>
    </row>
    <row r="272" spans="1:24" x14ac:dyDescent="0.25">
      <c r="A272" t="s">
        <v>464</v>
      </c>
      <c r="B272" t="s">
        <v>468</v>
      </c>
      <c r="C272" t="s">
        <v>487</v>
      </c>
      <c r="D272" t="s">
        <v>99</v>
      </c>
      <c r="E272" t="s">
        <v>100</v>
      </c>
      <c r="F272" t="s">
        <v>1</v>
      </c>
      <c r="G272" t="s">
        <v>272</v>
      </c>
      <c r="H272" t="s">
        <v>273</v>
      </c>
      <c r="I272" t="s">
        <v>1</v>
      </c>
      <c r="L272">
        <v>0</v>
      </c>
      <c r="M272">
        <v>0</v>
      </c>
      <c r="N272">
        <v>0</v>
      </c>
      <c r="P272">
        <v>0</v>
      </c>
      <c r="Q272">
        <f t="shared" si="55"/>
        <v>0</v>
      </c>
      <c r="R272">
        <v>0</v>
      </c>
      <c r="S272">
        <f t="shared" si="56"/>
        <v>0</v>
      </c>
      <c r="T272">
        <v>0.02</v>
      </c>
      <c r="U272">
        <f t="shared" si="57"/>
        <v>0</v>
      </c>
      <c r="V272">
        <f t="shared" si="58"/>
        <v>0</v>
      </c>
      <c r="W272">
        <f t="shared" si="59"/>
        <v>0</v>
      </c>
      <c r="X272" t="s">
        <v>409</v>
      </c>
    </row>
    <row r="273" spans="1:24" x14ac:dyDescent="0.25">
      <c r="A273" t="s">
        <v>464</v>
      </c>
      <c r="B273" t="s">
        <v>468</v>
      </c>
      <c r="C273" t="s">
        <v>487</v>
      </c>
      <c r="D273" t="s">
        <v>99</v>
      </c>
      <c r="E273" t="s">
        <v>81</v>
      </c>
      <c r="F273" t="s">
        <v>1</v>
      </c>
      <c r="G273" t="s">
        <v>272</v>
      </c>
      <c r="H273" t="s">
        <v>246</v>
      </c>
      <c r="I273" t="s">
        <v>1</v>
      </c>
      <c r="J273">
        <v>1030.26</v>
      </c>
      <c r="L273">
        <v>450.56</v>
      </c>
      <c r="M273">
        <v>908.58784530386743</v>
      </c>
      <c r="N273">
        <v>956.22999999999979</v>
      </c>
      <c r="O273">
        <v>908.58784530390005</v>
      </c>
      <c r="P273">
        <v>-909</v>
      </c>
      <c r="Q273">
        <f t="shared" si="55"/>
        <v>-0.4121546960999467</v>
      </c>
      <c r="R273">
        <v>0</v>
      </c>
      <c r="S273">
        <f t="shared" si="56"/>
        <v>0.4121546960999467</v>
      </c>
      <c r="T273">
        <v>0.02</v>
      </c>
      <c r="U273">
        <f t="shared" si="57"/>
        <v>0</v>
      </c>
      <c r="V273">
        <f t="shared" si="58"/>
        <v>0</v>
      </c>
      <c r="W273">
        <f t="shared" si="59"/>
        <v>0.4121546960999467</v>
      </c>
      <c r="X273" t="s">
        <v>410</v>
      </c>
    </row>
    <row r="274" spans="1:24" x14ac:dyDescent="0.25">
      <c r="A274" t="s">
        <v>464</v>
      </c>
      <c r="B274" t="s">
        <v>468</v>
      </c>
      <c r="C274" t="s">
        <v>487</v>
      </c>
      <c r="D274" t="s">
        <v>99</v>
      </c>
      <c r="E274" t="s">
        <v>8</v>
      </c>
      <c r="F274" t="s">
        <v>1</v>
      </c>
      <c r="G274" t="s">
        <v>272</v>
      </c>
      <c r="H274" t="s">
        <v>160</v>
      </c>
      <c r="I274" t="s">
        <v>1</v>
      </c>
      <c r="J274">
        <v>1182</v>
      </c>
      <c r="K274">
        <v>990</v>
      </c>
      <c r="L274">
        <v>1294.5</v>
      </c>
      <c r="M274">
        <v>2610.4558011049726</v>
      </c>
      <c r="N274">
        <v>2146.5</v>
      </c>
      <c r="O274">
        <v>2589</v>
      </c>
      <c r="P274">
        <v>-2589</v>
      </c>
      <c r="Q274">
        <f t="shared" si="55"/>
        <v>0</v>
      </c>
      <c r="R274">
        <v>0</v>
      </c>
      <c r="S274">
        <f t="shared" si="56"/>
        <v>0</v>
      </c>
      <c r="U274">
        <f t="shared" si="57"/>
        <v>0</v>
      </c>
      <c r="V274">
        <f t="shared" si="58"/>
        <v>0</v>
      </c>
      <c r="W274">
        <f t="shared" si="59"/>
        <v>0</v>
      </c>
      <c r="X274" t="s">
        <v>411</v>
      </c>
    </row>
    <row r="275" spans="1:24" x14ac:dyDescent="0.25">
      <c r="A275" t="s">
        <v>464</v>
      </c>
      <c r="B275" t="s">
        <v>468</v>
      </c>
      <c r="C275" t="s">
        <v>487</v>
      </c>
      <c r="D275" t="s">
        <v>99</v>
      </c>
      <c r="E275" t="s">
        <v>11</v>
      </c>
      <c r="F275" t="s">
        <v>1</v>
      </c>
      <c r="G275" t="s">
        <v>272</v>
      </c>
      <c r="H275" t="s">
        <v>163</v>
      </c>
      <c r="I275" t="s">
        <v>1</v>
      </c>
      <c r="J275">
        <v>5031.46</v>
      </c>
      <c r="L275">
        <v>9254.07</v>
      </c>
      <c r="M275">
        <v>18661.522375690609</v>
      </c>
      <c r="N275">
        <v>14285.529999999999</v>
      </c>
      <c r="O275">
        <v>18508.14</v>
      </c>
      <c r="P275">
        <v>0</v>
      </c>
      <c r="Q275">
        <f t="shared" si="55"/>
        <v>18508.14</v>
      </c>
      <c r="R275">
        <v>18661.522375690609</v>
      </c>
      <c r="S275">
        <f t="shared" si="56"/>
        <v>153.38237569060948</v>
      </c>
      <c r="U275">
        <f t="shared" si="57"/>
        <v>0</v>
      </c>
      <c r="V275">
        <f t="shared" si="58"/>
        <v>18661.522375690609</v>
      </c>
      <c r="W275">
        <f t="shared" si="59"/>
        <v>153.38237569060948</v>
      </c>
      <c r="X275" t="s">
        <v>412</v>
      </c>
    </row>
    <row r="276" spans="1:24" x14ac:dyDescent="0.25">
      <c r="A276" t="s">
        <v>464</v>
      </c>
      <c r="B276" t="s">
        <v>468</v>
      </c>
      <c r="C276" t="s">
        <v>487</v>
      </c>
      <c r="D276" t="s">
        <v>99</v>
      </c>
      <c r="E276" t="s">
        <v>70</v>
      </c>
      <c r="F276" t="s">
        <v>1</v>
      </c>
      <c r="G276" t="s">
        <v>272</v>
      </c>
      <c r="H276" t="s">
        <v>231</v>
      </c>
      <c r="I276" t="s">
        <v>1</v>
      </c>
      <c r="J276">
        <v>-1529.79</v>
      </c>
      <c r="L276">
        <v>-1555.35</v>
      </c>
      <c r="M276">
        <v>-3136.4792817679554</v>
      </c>
      <c r="N276">
        <v>-2029.1999999999998</v>
      </c>
      <c r="O276">
        <v>-3127.7917582417999</v>
      </c>
      <c r="P276">
        <v>0</v>
      </c>
      <c r="Q276">
        <f t="shared" si="55"/>
        <v>-3127.7917582417999</v>
      </c>
      <c r="R276">
        <v>0</v>
      </c>
      <c r="S276">
        <f t="shared" si="56"/>
        <v>3127.7917582417999</v>
      </c>
      <c r="U276">
        <f t="shared" si="57"/>
        <v>0</v>
      </c>
      <c r="V276">
        <f t="shared" si="58"/>
        <v>0</v>
      </c>
      <c r="W276">
        <f t="shared" si="59"/>
        <v>3127.7917582417999</v>
      </c>
      <c r="X276">
        <v>0</v>
      </c>
    </row>
    <row r="277" spans="1:24" x14ac:dyDescent="0.25">
      <c r="A277" t="s">
        <v>464</v>
      </c>
      <c r="B277" t="s">
        <v>468</v>
      </c>
      <c r="C277" t="s">
        <v>487</v>
      </c>
      <c r="D277" t="s">
        <v>99</v>
      </c>
      <c r="E277" t="s">
        <v>44</v>
      </c>
      <c r="F277" t="s">
        <v>1</v>
      </c>
      <c r="G277" t="s">
        <v>272</v>
      </c>
      <c r="H277" t="s">
        <v>197</v>
      </c>
      <c r="I277" t="s">
        <v>1</v>
      </c>
      <c r="J277">
        <v>-18836.37</v>
      </c>
      <c r="K277">
        <v>-16620</v>
      </c>
      <c r="L277">
        <v>-12891.97</v>
      </c>
      <c r="M277">
        <v>-25997.619060773479</v>
      </c>
      <c r="N277">
        <v>-21851.15</v>
      </c>
      <c r="O277">
        <v>-25925.61</v>
      </c>
      <c r="P277">
        <v>0</v>
      </c>
      <c r="Q277">
        <f t="shared" si="55"/>
        <v>-25925.61</v>
      </c>
      <c r="R277">
        <v>-25925.61</v>
      </c>
      <c r="S277">
        <f t="shared" si="56"/>
        <v>0</v>
      </c>
      <c r="U277">
        <f t="shared" si="57"/>
        <v>0</v>
      </c>
      <c r="V277">
        <f t="shared" si="58"/>
        <v>-25925.61</v>
      </c>
      <c r="W277">
        <f t="shared" si="59"/>
        <v>0</v>
      </c>
      <c r="X277">
        <v>0</v>
      </c>
    </row>
    <row r="278" spans="1:24" x14ac:dyDescent="0.25">
      <c r="A278" t="s">
        <v>464</v>
      </c>
      <c r="B278" t="s">
        <v>468</v>
      </c>
      <c r="C278" t="s">
        <v>487</v>
      </c>
      <c r="D278" t="s">
        <v>99</v>
      </c>
      <c r="E278" t="s">
        <v>63</v>
      </c>
      <c r="F278" t="s">
        <v>1</v>
      </c>
      <c r="G278" t="s">
        <v>272</v>
      </c>
      <c r="H278" t="s">
        <v>222</v>
      </c>
      <c r="I278" t="s">
        <v>1</v>
      </c>
      <c r="J278">
        <v>46021.54</v>
      </c>
      <c r="K278">
        <v>42782.967778559003</v>
      </c>
      <c r="L278">
        <v>18482.419999999998</v>
      </c>
      <c r="M278">
        <v>37271.178453038672</v>
      </c>
      <c r="N278">
        <v>41134.419999999991</v>
      </c>
      <c r="O278">
        <v>37167.943516483501</v>
      </c>
      <c r="P278">
        <v>3966</v>
      </c>
      <c r="Q278">
        <f t="shared" si="55"/>
        <v>41133.943516483501</v>
      </c>
      <c r="R278">
        <v>41134</v>
      </c>
      <c r="S278">
        <f t="shared" si="56"/>
        <v>5.6483516498701647E-2</v>
      </c>
      <c r="T278">
        <v>2.75E-2</v>
      </c>
      <c r="U278">
        <f t="shared" si="57"/>
        <v>1131.1849999999999</v>
      </c>
      <c r="V278">
        <f t="shared" si="58"/>
        <v>42265.184999999998</v>
      </c>
      <c r="W278">
        <f t="shared" si="59"/>
        <v>1131.2414835164964</v>
      </c>
      <c r="X278" t="s">
        <v>382</v>
      </c>
    </row>
    <row r="279" spans="1:24" x14ac:dyDescent="0.25">
      <c r="A279" t="s">
        <v>464</v>
      </c>
      <c r="B279" t="s">
        <v>468</v>
      </c>
      <c r="C279" t="s">
        <v>487</v>
      </c>
      <c r="D279" t="s">
        <v>99</v>
      </c>
      <c r="E279" t="s">
        <v>71</v>
      </c>
      <c r="F279" t="s">
        <v>1</v>
      </c>
      <c r="G279" t="s">
        <v>272</v>
      </c>
      <c r="H279" t="s">
        <v>232</v>
      </c>
      <c r="I279" t="s">
        <v>1</v>
      </c>
      <c r="J279">
        <v>29900.98</v>
      </c>
      <c r="K279">
        <v>30569.567458499801</v>
      </c>
      <c r="L279">
        <v>14540.04</v>
      </c>
      <c r="M279">
        <v>29321.075138121545</v>
      </c>
      <c r="N279">
        <v>29845.619999999995</v>
      </c>
      <c r="O279">
        <v>29239.860659340698</v>
      </c>
      <c r="P279">
        <v>606</v>
      </c>
      <c r="Q279">
        <f t="shared" si="55"/>
        <v>29845.860659340698</v>
      </c>
      <c r="R279">
        <v>29846</v>
      </c>
      <c r="S279">
        <f t="shared" si="56"/>
        <v>0.13934065930152428</v>
      </c>
      <c r="T279">
        <v>2.2499999999999999E-2</v>
      </c>
      <c r="U279">
        <f t="shared" si="57"/>
        <v>671.53499999999997</v>
      </c>
      <c r="V279">
        <f t="shared" si="58"/>
        <v>30517.535</v>
      </c>
      <c r="W279">
        <f t="shared" si="59"/>
        <v>671.67434065930138</v>
      </c>
      <c r="X279" t="s">
        <v>382</v>
      </c>
    </row>
    <row r="280" spans="1:24" x14ac:dyDescent="0.25">
      <c r="A280" t="s">
        <v>464</v>
      </c>
      <c r="B280" t="s">
        <v>468</v>
      </c>
      <c r="C280" t="s">
        <v>487</v>
      </c>
      <c r="D280" t="s">
        <v>99</v>
      </c>
      <c r="E280" t="s">
        <v>12</v>
      </c>
      <c r="F280" t="s">
        <v>1</v>
      </c>
      <c r="G280" t="s">
        <v>272</v>
      </c>
      <c r="H280" t="s">
        <v>164</v>
      </c>
      <c r="I280" t="s">
        <v>1</v>
      </c>
      <c r="J280">
        <v>25838.87</v>
      </c>
      <c r="K280">
        <v>25510.694003212</v>
      </c>
      <c r="L280">
        <v>14286.33</v>
      </c>
      <c r="M280">
        <v>28809.449999999997</v>
      </c>
      <c r="N280">
        <v>27498.339999999997</v>
      </c>
      <c r="O280">
        <v>28729.6526373626</v>
      </c>
      <c r="P280">
        <v>0</v>
      </c>
      <c r="Q280">
        <f t="shared" si="55"/>
        <v>28729.6526373626</v>
      </c>
      <c r="R280">
        <v>28809.449999999997</v>
      </c>
      <c r="S280">
        <f t="shared" si="56"/>
        <v>79.797362637396873</v>
      </c>
      <c r="T280">
        <v>3.2500000000000001E-2</v>
      </c>
      <c r="U280">
        <f t="shared" si="57"/>
        <v>936.30712499999993</v>
      </c>
      <c r="V280">
        <f t="shared" si="58"/>
        <v>29745.757124999996</v>
      </c>
      <c r="W280">
        <f t="shared" si="59"/>
        <v>1016.1044876373962</v>
      </c>
      <c r="X280" t="s">
        <v>413</v>
      </c>
    </row>
    <row r="281" spans="1:24" x14ac:dyDescent="0.25">
      <c r="A281" t="s">
        <v>464</v>
      </c>
      <c r="B281" t="s">
        <v>468</v>
      </c>
      <c r="C281" t="s">
        <v>487</v>
      </c>
      <c r="D281" t="s">
        <v>99</v>
      </c>
      <c r="E281" t="s">
        <v>13</v>
      </c>
      <c r="F281" t="s">
        <v>1</v>
      </c>
      <c r="G281" t="s">
        <v>272</v>
      </c>
      <c r="H281" t="s">
        <v>165</v>
      </c>
      <c r="I281" t="s">
        <v>1</v>
      </c>
      <c r="J281">
        <v>296725.13</v>
      </c>
      <c r="K281">
        <v>289813.07750007999</v>
      </c>
      <c r="L281">
        <v>164689.04999999999</v>
      </c>
      <c r="M281">
        <v>332107.75276243093</v>
      </c>
      <c r="N281">
        <v>322870.25</v>
      </c>
      <c r="O281">
        <v>331187.86978021997</v>
      </c>
      <c r="P281">
        <v>0</v>
      </c>
      <c r="Q281">
        <f t="shared" si="55"/>
        <v>331187.86978021997</v>
      </c>
      <c r="R281">
        <v>332107.75276243093</v>
      </c>
      <c r="S281">
        <f t="shared" si="56"/>
        <v>919.88298221095465</v>
      </c>
      <c r="T281">
        <v>0.02</v>
      </c>
      <c r="U281">
        <f t="shared" si="57"/>
        <v>6642.1550552486187</v>
      </c>
      <c r="V281">
        <f t="shared" si="58"/>
        <v>338749.90781767957</v>
      </c>
      <c r="W281">
        <f t="shared" si="59"/>
        <v>7562.0380374595989</v>
      </c>
      <c r="X281" t="s">
        <v>414</v>
      </c>
    </row>
    <row r="282" spans="1:24" x14ac:dyDescent="0.25">
      <c r="A282" t="s">
        <v>464</v>
      </c>
      <c r="B282" t="s">
        <v>468</v>
      </c>
      <c r="C282" t="s">
        <v>487</v>
      </c>
      <c r="D282" t="s">
        <v>99</v>
      </c>
      <c r="E282" t="s">
        <v>14</v>
      </c>
      <c r="F282" t="s">
        <v>1</v>
      </c>
      <c r="G282" t="s">
        <v>272</v>
      </c>
      <c r="H282" t="s">
        <v>166</v>
      </c>
      <c r="I282" t="s">
        <v>1</v>
      </c>
      <c r="J282">
        <v>976.52</v>
      </c>
      <c r="K282">
        <v>1088.4678518518001</v>
      </c>
      <c r="L282">
        <v>497.68</v>
      </c>
      <c r="M282">
        <v>1003.6088397790055</v>
      </c>
      <c r="N282">
        <v>940.49</v>
      </c>
      <c r="O282">
        <v>1000.829010989</v>
      </c>
      <c r="P282">
        <v>0</v>
      </c>
      <c r="Q282">
        <f t="shared" si="55"/>
        <v>1000.829010989</v>
      </c>
      <c r="R282">
        <v>1001</v>
      </c>
      <c r="S282">
        <f t="shared" si="56"/>
        <v>0.17098901099996056</v>
      </c>
      <c r="T282">
        <v>0.04</v>
      </c>
      <c r="U282">
        <f t="shared" si="57"/>
        <v>40.04</v>
      </c>
      <c r="V282">
        <f t="shared" si="58"/>
        <v>1041.04</v>
      </c>
      <c r="W282">
        <f t="shared" si="59"/>
        <v>40.210989010999924</v>
      </c>
      <c r="X282" t="s">
        <v>415</v>
      </c>
    </row>
    <row r="283" spans="1:24" x14ac:dyDescent="0.25">
      <c r="A283" t="s">
        <v>464</v>
      </c>
      <c r="B283" t="s">
        <v>468</v>
      </c>
      <c r="C283" t="s">
        <v>487</v>
      </c>
      <c r="D283" t="s">
        <v>99</v>
      </c>
      <c r="E283" t="s">
        <v>57</v>
      </c>
      <c r="F283" t="s">
        <v>1</v>
      </c>
      <c r="G283" t="s">
        <v>272</v>
      </c>
      <c r="H283" t="s">
        <v>214</v>
      </c>
      <c r="I283" t="s">
        <v>1</v>
      </c>
      <c r="J283">
        <v>-100.18</v>
      </c>
      <c r="L283">
        <v>0</v>
      </c>
      <c r="M283">
        <v>0</v>
      </c>
      <c r="N283">
        <v>-100.18</v>
      </c>
      <c r="P283">
        <v>0</v>
      </c>
      <c r="Q283">
        <f t="shared" si="55"/>
        <v>0</v>
      </c>
      <c r="R283">
        <v>0</v>
      </c>
      <c r="S283">
        <f t="shared" si="56"/>
        <v>0</v>
      </c>
      <c r="T283">
        <v>0.04</v>
      </c>
      <c r="U283">
        <f t="shared" si="57"/>
        <v>0</v>
      </c>
      <c r="V283">
        <f t="shared" si="58"/>
        <v>0</v>
      </c>
      <c r="W283">
        <f t="shared" si="59"/>
        <v>0</v>
      </c>
      <c r="X283">
        <v>0</v>
      </c>
    </row>
    <row r="284" spans="1:24" x14ac:dyDescent="0.25">
      <c r="A284" t="s">
        <v>464</v>
      </c>
      <c r="B284" t="s">
        <v>468</v>
      </c>
      <c r="C284" t="s">
        <v>487</v>
      </c>
      <c r="D284" t="s">
        <v>99</v>
      </c>
      <c r="E284" t="s">
        <v>45</v>
      </c>
      <c r="F284" t="s">
        <v>1</v>
      </c>
      <c r="G284" t="s">
        <v>272</v>
      </c>
      <c r="H284" t="s">
        <v>198</v>
      </c>
      <c r="I284" t="s">
        <v>1</v>
      </c>
      <c r="J284">
        <v>94.5</v>
      </c>
      <c r="L284">
        <v>32451.84</v>
      </c>
      <c r="M284">
        <v>65441.555801104972</v>
      </c>
      <c r="N284">
        <v>32451.84</v>
      </c>
      <c r="O284">
        <v>65260.293626373597</v>
      </c>
      <c r="P284">
        <v>62740</v>
      </c>
      <c r="Q284">
        <f t="shared" si="55"/>
        <v>128000.2936263736</v>
      </c>
      <c r="R284">
        <v>128000</v>
      </c>
      <c r="S284">
        <f t="shared" si="56"/>
        <v>-0.2936263736046385</v>
      </c>
      <c r="T284">
        <v>3.5000000000000003E-2</v>
      </c>
      <c r="U284">
        <f t="shared" si="57"/>
        <v>4480</v>
      </c>
      <c r="V284">
        <f t="shared" si="58"/>
        <v>132480</v>
      </c>
      <c r="W284">
        <f t="shared" si="59"/>
        <v>4479.7063736263954</v>
      </c>
      <c r="X284" t="s">
        <v>416</v>
      </c>
    </row>
    <row r="285" spans="1:24" x14ac:dyDescent="0.25">
      <c r="A285" t="s">
        <v>464</v>
      </c>
      <c r="B285" t="s">
        <v>468</v>
      </c>
      <c r="C285" t="s">
        <v>487</v>
      </c>
      <c r="D285" t="s">
        <v>99</v>
      </c>
      <c r="E285" t="s">
        <v>64</v>
      </c>
      <c r="F285" t="s">
        <v>1</v>
      </c>
      <c r="G285" t="s">
        <v>272</v>
      </c>
      <c r="H285" t="s">
        <v>223</v>
      </c>
      <c r="I285" t="s">
        <v>1</v>
      </c>
      <c r="J285">
        <v>10051.52</v>
      </c>
      <c r="L285">
        <v>6023.51</v>
      </c>
      <c r="M285">
        <v>12146.857182320444</v>
      </c>
      <c r="N285">
        <v>16075.03</v>
      </c>
      <c r="O285">
        <v>12113.212417582399</v>
      </c>
      <c r="P285">
        <v>0</v>
      </c>
      <c r="Q285">
        <f t="shared" si="55"/>
        <v>12113.212417582399</v>
      </c>
      <c r="R285">
        <v>12146.857182320444</v>
      </c>
      <c r="S285">
        <f t="shared" si="56"/>
        <v>33.644764738044614</v>
      </c>
      <c r="T285">
        <v>0.02</v>
      </c>
      <c r="U285">
        <f t="shared" si="57"/>
        <v>242.93714364640888</v>
      </c>
      <c r="V285">
        <f t="shared" si="58"/>
        <v>12389.794325966852</v>
      </c>
      <c r="W285">
        <f t="shared" si="59"/>
        <v>276.58190838445262</v>
      </c>
      <c r="X285">
        <v>0</v>
      </c>
    </row>
    <row r="286" spans="1:24" x14ac:dyDescent="0.25">
      <c r="A286" t="s">
        <v>464</v>
      </c>
      <c r="B286" t="s">
        <v>468</v>
      </c>
      <c r="C286" t="s">
        <v>487</v>
      </c>
      <c r="D286" t="s">
        <v>99</v>
      </c>
      <c r="E286" t="s">
        <v>15</v>
      </c>
      <c r="F286" t="s">
        <v>1</v>
      </c>
      <c r="G286" t="s">
        <v>272</v>
      </c>
      <c r="H286" t="s">
        <v>167</v>
      </c>
      <c r="I286" t="s">
        <v>1</v>
      </c>
      <c r="J286">
        <v>301954.01</v>
      </c>
      <c r="K286">
        <v>309436.83133056201</v>
      </c>
      <c r="L286">
        <v>164698.54</v>
      </c>
      <c r="M286">
        <v>332126.89005524863</v>
      </c>
      <c r="N286">
        <v>320432</v>
      </c>
      <c r="O286">
        <v>331206.954065934</v>
      </c>
      <c r="P286">
        <v>0</v>
      </c>
      <c r="Q286">
        <f t="shared" si="55"/>
        <v>331206.954065934</v>
      </c>
      <c r="R286">
        <v>332126.89005524863</v>
      </c>
      <c r="S286">
        <f t="shared" si="56"/>
        <v>919.93598931463202</v>
      </c>
      <c r="T286">
        <v>3.5000000000000003E-2</v>
      </c>
      <c r="U286">
        <f t="shared" si="57"/>
        <v>11624.441151933703</v>
      </c>
      <c r="V286">
        <f t="shared" si="58"/>
        <v>343751.33120718232</v>
      </c>
      <c r="W286">
        <f t="shared" si="59"/>
        <v>12544.377141248318</v>
      </c>
      <c r="X286" t="s">
        <v>414</v>
      </c>
    </row>
    <row r="287" spans="1:24" x14ac:dyDescent="0.25">
      <c r="A287" t="s">
        <v>464</v>
      </c>
      <c r="B287" t="s">
        <v>468</v>
      </c>
      <c r="C287" t="s">
        <v>487</v>
      </c>
      <c r="D287" t="s">
        <v>99</v>
      </c>
      <c r="E287" t="s">
        <v>47</v>
      </c>
      <c r="F287" t="s">
        <v>1</v>
      </c>
      <c r="G287" t="s">
        <v>272</v>
      </c>
      <c r="H287" t="s">
        <v>200</v>
      </c>
      <c r="I287" t="s">
        <v>1</v>
      </c>
      <c r="J287">
        <v>18234.55</v>
      </c>
      <c r="K287">
        <v>18264.024758077499</v>
      </c>
      <c r="L287">
        <v>10581.72</v>
      </c>
      <c r="M287">
        <v>21338.82762430939</v>
      </c>
      <c r="N287">
        <v>19977.97</v>
      </c>
      <c r="O287">
        <v>21279.7226373626</v>
      </c>
      <c r="P287">
        <v>0</v>
      </c>
      <c r="Q287">
        <f t="shared" si="55"/>
        <v>21279.7226373626</v>
      </c>
      <c r="R287">
        <v>21338.82762430939</v>
      </c>
      <c r="S287">
        <f t="shared" si="56"/>
        <v>59.104986946789722</v>
      </c>
      <c r="T287">
        <v>0.02</v>
      </c>
      <c r="U287">
        <f t="shared" si="57"/>
        <v>426.77655248618782</v>
      </c>
      <c r="V287">
        <f t="shared" si="58"/>
        <v>21765.604176795576</v>
      </c>
      <c r="W287">
        <f t="shared" si="59"/>
        <v>485.88153943297584</v>
      </c>
      <c r="X287" t="s">
        <v>414</v>
      </c>
    </row>
    <row r="288" spans="1:24" x14ac:dyDescent="0.25">
      <c r="A288" t="s">
        <v>464</v>
      </c>
      <c r="B288" t="s">
        <v>468</v>
      </c>
      <c r="C288" t="s">
        <v>487</v>
      </c>
      <c r="D288" t="s">
        <v>99</v>
      </c>
      <c r="E288" t="s">
        <v>48</v>
      </c>
      <c r="F288" t="s">
        <v>1</v>
      </c>
      <c r="G288" t="s">
        <v>272</v>
      </c>
      <c r="H288" t="s">
        <v>201</v>
      </c>
      <c r="I288" t="s">
        <v>1</v>
      </c>
      <c r="J288">
        <v>12316.62</v>
      </c>
      <c r="K288">
        <v>14791.001478586</v>
      </c>
      <c r="L288">
        <v>7038.57</v>
      </c>
      <c r="M288">
        <v>14193.801381215468</v>
      </c>
      <c r="N288">
        <v>13227.46</v>
      </c>
      <c r="O288">
        <v>14154.4869230769</v>
      </c>
      <c r="P288">
        <v>39</v>
      </c>
      <c r="Q288">
        <f t="shared" si="55"/>
        <v>14193.4869230769</v>
      </c>
      <c r="R288">
        <v>14193.801381215468</v>
      </c>
      <c r="S288">
        <f t="shared" si="56"/>
        <v>0.31445813856771565</v>
      </c>
      <c r="T288">
        <v>1.4999999999999999E-2</v>
      </c>
      <c r="U288">
        <f t="shared" si="57"/>
        <v>212.90702071823202</v>
      </c>
      <c r="V288">
        <f t="shared" si="58"/>
        <v>14406.7084019337</v>
      </c>
      <c r="W288">
        <f t="shared" si="59"/>
        <v>213.22147885679988</v>
      </c>
      <c r="X288">
        <v>0</v>
      </c>
    </row>
    <row r="289" spans="1:24" x14ac:dyDescent="0.25">
      <c r="A289" t="s">
        <v>464</v>
      </c>
      <c r="B289" t="s">
        <v>468</v>
      </c>
      <c r="C289" t="s">
        <v>487</v>
      </c>
      <c r="D289" t="s">
        <v>99</v>
      </c>
      <c r="E289" t="s">
        <v>101</v>
      </c>
      <c r="F289" t="s">
        <v>1</v>
      </c>
      <c r="G289" t="s">
        <v>272</v>
      </c>
      <c r="H289" t="s">
        <v>274</v>
      </c>
      <c r="I289" t="s">
        <v>1</v>
      </c>
      <c r="J289">
        <v>1353</v>
      </c>
      <c r="L289">
        <v>0</v>
      </c>
      <c r="M289">
        <v>0</v>
      </c>
      <c r="N289">
        <v>1353</v>
      </c>
      <c r="P289">
        <v>0</v>
      </c>
      <c r="Q289">
        <f t="shared" si="55"/>
        <v>0</v>
      </c>
      <c r="R289">
        <v>0</v>
      </c>
      <c r="S289">
        <f t="shared" si="56"/>
        <v>0</v>
      </c>
      <c r="T289">
        <v>0.04</v>
      </c>
      <c r="U289">
        <f t="shared" si="57"/>
        <v>0</v>
      </c>
      <c r="V289">
        <f t="shared" si="58"/>
        <v>0</v>
      </c>
      <c r="W289">
        <f t="shared" si="59"/>
        <v>0</v>
      </c>
      <c r="X289">
        <v>0</v>
      </c>
    </row>
    <row r="290" spans="1:24" x14ac:dyDescent="0.25">
      <c r="A290" t="s">
        <v>464</v>
      </c>
      <c r="B290" t="s">
        <v>468</v>
      </c>
      <c r="C290" t="s">
        <v>487</v>
      </c>
      <c r="D290" t="s">
        <v>99</v>
      </c>
      <c r="E290" t="s">
        <v>51</v>
      </c>
      <c r="F290" t="s">
        <v>1</v>
      </c>
      <c r="G290" t="s">
        <v>272</v>
      </c>
      <c r="H290" t="s">
        <v>204</v>
      </c>
      <c r="I290" t="s">
        <v>1</v>
      </c>
      <c r="J290">
        <v>2779.3</v>
      </c>
      <c r="K290">
        <v>2154.5460316474</v>
      </c>
      <c r="L290">
        <v>4081.89</v>
      </c>
      <c r="M290">
        <v>8231.4356353591156</v>
      </c>
      <c r="N290">
        <v>5572.98</v>
      </c>
      <c r="O290">
        <v>8208.6359340659001</v>
      </c>
      <c r="P290">
        <v>-2636</v>
      </c>
      <c r="Q290">
        <f t="shared" si="55"/>
        <v>5572.6359340659001</v>
      </c>
      <c r="R290">
        <v>5573</v>
      </c>
      <c r="S290">
        <f t="shared" si="56"/>
        <v>0.36406593409992638</v>
      </c>
      <c r="T290">
        <v>3.5000000000000003E-2</v>
      </c>
      <c r="U290">
        <f t="shared" si="57"/>
        <v>195.05500000000001</v>
      </c>
      <c r="V290">
        <f t="shared" si="58"/>
        <v>5768.0550000000003</v>
      </c>
      <c r="W290">
        <f t="shared" si="59"/>
        <v>195.41906593410022</v>
      </c>
      <c r="X290" t="s">
        <v>417</v>
      </c>
    </row>
    <row r="291" spans="1:24" x14ac:dyDescent="0.25">
      <c r="A291" t="s">
        <v>464</v>
      </c>
      <c r="B291" t="s">
        <v>468</v>
      </c>
      <c r="C291" t="s">
        <v>487</v>
      </c>
      <c r="D291" t="s">
        <v>99</v>
      </c>
      <c r="E291" t="s">
        <v>52</v>
      </c>
      <c r="F291" t="s">
        <v>1</v>
      </c>
      <c r="G291" t="s">
        <v>272</v>
      </c>
      <c r="H291" t="s">
        <v>205</v>
      </c>
      <c r="I291" t="s">
        <v>1</v>
      </c>
      <c r="J291">
        <v>41985.94</v>
      </c>
      <c r="K291">
        <v>39193.473361601697</v>
      </c>
      <c r="L291">
        <v>21093.5</v>
      </c>
      <c r="M291">
        <v>42536.61602209945</v>
      </c>
      <c r="N291">
        <v>42675.15</v>
      </c>
      <c r="O291">
        <v>42418.796703296699</v>
      </c>
      <c r="P291">
        <v>118</v>
      </c>
      <c r="Q291">
        <f t="shared" si="55"/>
        <v>42536.796703296699</v>
      </c>
      <c r="R291">
        <v>42536.61602209945</v>
      </c>
      <c r="S291">
        <f t="shared" si="56"/>
        <v>-0.18068119724921416</v>
      </c>
      <c r="T291">
        <v>0.04</v>
      </c>
      <c r="U291">
        <f t="shared" si="57"/>
        <v>1701.4646408839781</v>
      </c>
      <c r="V291">
        <f t="shared" si="58"/>
        <v>44238.080662983426</v>
      </c>
      <c r="W291">
        <f t="shared" si="59"/>
        <v>1701.283959686727</v>
      </c>
      <c r="X291" t="s">
        <v>418</v>
      </c>
    </row>
    <row r="292" spans="1:24" x14ac:dyDescent="0.25">
      <c r="A292" t="s">
        <v>464</v>
      </c>
      <c r="B292" t="s">
        <v>468</v>
      </c>
      <c r="C292" t="s">
        <v>487</v>
      </c>
      <c r="D292" t="s">
        <v>99</v>
      </c>
      <c r="E292" t="s">
        <v>16</v>
      </c>
      <c r="F292" t="s">
        <v>1</v>
      </c>
      <c r="G292" t="s">
        <v>272</v>
      </c>
      <c r="H292" t="s">
        <v>168</v>
      </c>
      <c r="I292" t="s">
        <v>1</v>
      </c>
      <c r="J292">
        <v>19796.38</v>
      </c>
      <c r="K292">
        <v>17456.4900000003</v>
      </c>
      <c r="L292">
        <v>11634.79</v>
      </c>
      <c r="M292">
        <v>23462.421823204422</v>
      </c>
      <c r="N292">
        <v>18744.809999999998</v>
      </c>
      <c r="O292">
        <v>23462.4218232044</v>
      </c>
      <c r="P292">
        <v>0</v>
      </c>
      <c r="Q292">
        <f t="shared" si="55"/>
        <v>23462.4218232044</v>
      </c>
      <c r="R292">
        <v>23462.421823204422</v>
      </c>
      <c r="S292">
        <f t="shared" si="56"/>
        <v>2.1827872842550278E-11</v>
      </c>
      <c r="T292">
        <v>0.03</v>
      </c>
      <c r="U292">
        <f t="shared" si="57"/>
        <v>703.8726546961326</v>
      </c>
      <c r="V292">
        <f t="shared" si="58"/>
        <v>24166.294477900556</v>
      </c>
      <c r="W292">
        <f t="shared" si="59"/>
        <v>703.87265469615522</v>
      </c>
      <c r="X292" t="s">
        <v>419</v>
      </c>
    </row>
    <row r="293" spans="1:24" x14ac:dyDescent="0.25">
      <c r="A293" t="s">
        <v>464</v>
      </c>
      <c r="B293" t="s">
        <v>468</v>
      </c>
      <c r="C293" t="s">
        <v>487</v>
      </c>
      <c r="D293" t="s">
        <v>99</v>
      </c>
      <c r="E293" t="s">
        <v>53</v>
      </c>
      <c r="F293" t="s">
        <v>1</v>
      </c>
      <c r="G293" t="s">
        <v>272</v>
      </c>
      <c r="H293" t="s">
        <v>206</v>
      </c>
      <c r="I293" t="s">
        <v>1</v>
      </c>
      <c r="J293">
        <v>108.38</v>
      </c>
      <c r="L293">
        <v>53.7</v>
      </c>
      <c r="M293">
        <v>108.2900552486188</v>
      </c>
      <c r="N293">
        <v>134.79</v>
      </c>
      <c r="O293">
        <v>108.2900552486</v>
      </c>
      <c r="P293">
        <v>0</v>
      </c>
      <c r="Q293">
        <f t="shared" si="55"/>
        <v>108.2900552486</v>
      </c>
      <c r="R293">
        <v>108.2900552486188</v>
      </c>
      <c r="S293">
        <f t="shared" si="56"/>
        <v>1.8800960788212251E-11</v>
      </c>
      <c r="T293">
        <v>3.5000000000000003E-2</v>
      </c>
      <c r="U293">
        <f t="shared" si="57"/>
        <v>3.7901519337016585</v>
      </c>
      <c r="V293">
        <f t="shared" si="58"/>
        <v>112.08020718232046</v>
      </c>
      <c r="W293">
        <f t="shared" si="59"/>
        <v>3.7901519337204661</v>
      </c>
      <c r="X293" t="s">
        <v>420</v>
      </c>
    </row>
    <row r="294" spans="1:24" x14ac:dyDescent="0.25">
      <c r="A294" t="s">
        <v>464</v>
      </c>
      <c r="B294" t="s">
        <v>468</v>
      </c>
      <c r="C294" t="s">
        <v>487</v>
      </c>
      <c r="D294" t="s">
        <v>99</v>
      </c>
      <c r="E294" t="s">
        <v>17</v>
      </c>
      <c r="F294" t="s">
        <v>1</v>
      </c>
      <c r="G294" t="s">
        <v>272</v>
      </c>
      <c r="H294" t="s">
        <v>169</v>
      </c>
      <c r="I294" t="s">
        <v>1</v>
      </c>
      <c r="J294">
        <v>11827.19</v>
      </c>
      <c r="K294">
        <v>24839.9999999998</v>
      </c>
      <c r="L294">
        <v>22766.45</v>
      </c>
      <c r="M294">
        <v>45910.244475138119</v>
      </c>
      <c r="N294">
        <v>24248.660000000003</v>
      </c>
      <c r="O294">
        <v>45910.244475138097</v>
      </c>
      <c r="P294">
        <v>-21070</v>
      </c>
      <c r="Q294">
        <f t="shared" si="55"/>
        <v>24840.244475138097</v>
      </c>
      <c r="R294">
        <v>24840</v>
      </c>
      <c r="S294">
        <f t="shared" si="56"/>
        <v>-0.24447513809718657</v>
      </c>
      <c r="T294">
        <v>3.5000000000000003E-2</v>
      </c>
      <c r="U294">
        <f t="shared" si="57"/>
        <v>869.40000000000009</v>
      </c>
      <c r="V294">
        <f t="shared" si="58"/>
        <v>25709.4</v>
      </c>
      <c r="W294">
        <f t="shared" si="59"/>
        <v>869.15552486190427</v>
      </c>
      <c r="X294" t="s">
        <v>421</v>
      </c>
    </row>
    <row r="295" spans="1:24" x14ac:dyDescent="0.25">
      <c r="A295" t="s">
        <v>464</v>
      </c>
      <c r="B295" t="s">
        <v>468</v>
      </c>
      <c r="C295" t="s">
        <v>487</v>
      </c>
      <c r="D295" t="s">
        <v>99</v>
      </c>
      <c r="E295" t="s">
        <v>18</v>
      </c>
      <c r="F295" t="s">
        <v>1</v>
      </c>
      <c r="G295" t="s">
        <v>272</v>
      </c>
      <c r="H295" t="s">
        <v>170</v>
      </c>
      <c r="I295" t="s">
        <v>1</v>
      </c>
      <c r="J295">
        <v>10087.709999999999</v>
      </c>
      <c r="K295">
        <v>6483.2399999998997</v>
      </c>
      <c r="L295">
        <v>9794.1200000000008</v>
      </c>
      <c r="M295">
        <v>19750.573480662984</v>
      </c>
      <c r="N295">
        <v>13375.57</v>
      </c>
      <c r="O295">
        <v>19750.573480662999</v>
      </c>
      <c r="P295">
        <v>0</v>
      </c>
      <c r="Q295">
        <f t="shared" si="55"/>
        <v>19750.573480662999</v>
      </c>
      <c r="R295">
        <v>19750.573480662984</v>
      </c>
      <c r="S295">
        <f t="shared" si="56"/>
        <v>-1.4551915228366852E-11</v>
      </c>
      <c r="T295">
        <v>3.5000000000000003E-2</v>
      </c>
      <c r="U295">
        <f t="shared" si="57"/>
        <v>691.27007182320449</v>
      </c>
      <c r="V295">
        <f t="shared" si="58"/>
        <v>20441.843552486189</v>
      </c>
      <c r="W295">
        <f t="shared" si="59"/>
        <v>691.27007182318994</v>
      </c>
      <c r="X295" t="s">
        <v>422</v>
      </c>
    </row>
    <row r="296" spans="1:24" x14ac:dyDescent="0.25">
      <c r="A296" t="s">
        <v>464</v>
      </c>
      <c r="B296" t="s">
        <v>468</v>
      </c>
      <c r="C296" t="s">
        <v>487</v>
      </c>
      <c r="D296" t="s">
        <v>99</v>
      </c>
      <c r="E296" t="s">
        <v>19</v>
      </c>
      <c r="F296" t="s">
        <v>1</v>
      </c>
      <c r="G296" t="s">
        <v>272</v>
      </c>
      <c r="H296" t="s">
        <v>171</v>
      </c>
      <c r="I296" t="s">
        <v>1</v>
      </c>
      <c r="K296">
        <v>5000.0000000004002</v>
      </c>
      <c r="L296">
        <v>0</v>
      </c>
      <c r="M296">
        <v>0</v>
      </c>
      <c r="N296">
        <v>0</v>
      </c>
      <c r="P296">
        <v>0</v>
      </c>
      <c r="Q296">
        <f t="shared" si="55"/>
        <v>0</v>
      </c>
      <c r="R296">
        <v>0</v>
      </c>
      <c r="S296">
        <f t="shared" si="56"/>
        <v>0</v>
      </c>
      <c r="U296">
        <f t="shared" si="57"/>
        <v>0</v>
      </c>
      <c r="V296">
        <f t="shared" si="58"/>
        <v>0</v>
      </c>
      <c r="W296">
        <f t="shared" si="59"/>
        <v>0</v>
      </c>
      <c r="X296">
        <v>0</v>
      </c>
    </row>
    <row r="297" spans="1:24" x14ac:dyDescent="0.25">
      <c r="A297" t="s">
        <v>464</v>
      </c>
      <c r="B297" t="s">
        <v>468</v>
      </c>
      <c r="C297" t="s">
        <v>487</v>
      </c>
      <c r="D297" t="s">
        <v>99</v>
      </c>
      <c r="E297" t="s">
        <v>21</v>
      </c>
      <c r="F297" t="s">
        <v>1</v>
      </c>
      <c r="G297" t="s">
        <v>272</v>
      </c>
      <c r="H297" t="s">
        <v>173</v>
      </c>
      <c r="I297" t="s">
        <v>1</v>
      </c>
      <c r="K297">
        <v>3200.0000000004002</v>
      </c>
      <c r="L297">
        <v>0</v>
      </c>
      <c r="M297">
        <v>0</v>
      </c>
      <c r="N297">
        <v>0</v>
      </c>
      <c r="P297">
        <v>1200</v>
      </c>
      <c r="Q297">
        <f t="shared" si="55"/>
        <v>1200</v>
      </c>
      <c r="R297">
        <v>1200</v>
      </c>
      <c r="S297">
        <f t="shared" si="56"/>
        <v>0</v>
      </c>
      <c r="U297">
        <f t="shared" si="57"/>
        <v>0</v>
      </c>
      <c r="V297">
        <f t="shared" si="58"/>
        <v>1200</v>
      </c>
      <c r="W297">
        <f t="shared" si="59"/>
        <v>0</v>
      </c>
      <c r="X297" t="s">
        <v>423</v>
      </c>
    </row>
    <row r="298" spans="1:24" x14ac:dyDescent="0.25">
      <c r="A298" t="s">
        <v>464</v>
      </c>
      <c r="B298" t="s">
        <v>468</v>
      </c>
      <c r="C298" t="s">
        <v>487</v>
      </c>
      <c r="D298" t="s">
        <v>99</v>
      </c>
      <c r="E298" t="s">
        <v>102</v>
      </c>
      <c r="F298" t="s">
        <v>1</v>
      </c>
      <c r="G298" t="s">
        <v>272</v>
      </c>
      <c r="H298" t="s">
        <v>275</v>
      </c>
      <c r="I298" t="s">
        <v>1</v>
      </c>
      <c r="J298">
        <v>941.49</v>
      </c>
      <c r="L298">
        <v>455.21</v>
      </c>
      <c r="M298">
        <v>917.96491712707177</v>
      </c>
      <c r="N298">
        <v>1078.5199999999998</v>
      </c>
      <c r="O298">
        <v>910.42</v>
      </c>
      <c r="P298">
        <v>8</v>
      </c>
      <c r="Q298">
        <f t="shared" si="55"/>
        <v>918.42</v>
      </c>
      <c r="R298">
        <v>917.96491712707177</v>
      </c>
      <c r="S298">
        <f t="shared" si="56"/>
        <v>-0.4550828729281875</v>
      </c>
      <c r="U298">
        <f t="shared" si="57"/>
        <v>0</v>
      </c>
      <c r="V298">
        <f t="shared" si="58"/>
        <v>917.96491712707177</v>
      </c>
      <c r="W298">
        <f t="shared" si="59"/>
        <v>-0.4550828729281875</v>
      </c>
      <c r="X298" t="s">
        <v>424</v>
      </c>
    </row>
    <row r="299" spans="1:24" x14ac:dyDescent="0.25">
      <c r="A299" t="s">
        <v>464</v>
      </c>
      <c r="B299" t="s">
        <v>468</v>
      </c>
      <c r="C299" t="s">
        <v>487</v>
      </c>
      <c r="D299" t="s">
        <v>99</v>
      </c>
      <c r="E299" t="s">
        <v>22</v>
      </c>
      <c r="F299" t="s">
        <v>1</v>
      </c>
      <c r="G299" t="s">
        <v>272</v>
      </c>
      <c r="H299" t="s">
        <v>174</v>
      </c>
      <c r="I299" t="s">
        <v>1</v>
      </c>
      <c r="J299">
        <v>15803.83</v>
      </c>
      <c r="K299">
        <v>21540</v>
      </c>
      <c r="L299">
        <v>1838.31</v>
      </c>
      <c r="M299">
        <v>3707.0892265193365</v>
      </c>
      <c r="N299">
        <v>7200.0700000000006</v>
      </c>
      <c r="O299">
        <v>3676.62</v>
      </c>
      <c r="P299">
        <v>3523</v>
      </c>
      <c r="Q299">
        <f t="shared" si="55"/>
        <v>7199.62</v>
      </c>
      <c r="R299">
        <v>7200</v>
      </c>
      <c r="S299">
        <f t="shared" si="56"/>
        <v>0.38000000000010914</v>
      </c>
      <c r="U299">
        <f t="shared" si="57"/>
        <v>0</v>
      </c>
      <c r="V299">
        <f t="shared" si="58"/>
        <v>7200</v>
      </c>
      <c r="W299">
        <f t="shared" si="59"/>
        <v>0.38000000000010914</v>
      </c>
      <c r="X299" t="s">
        <v>425</v>
      </c>
    </row>
    <row r="300" spans="1:24" x14ac:dyDescent="0.25">
      <c r="A300" t="s">
        <v>464</v>
      </c>
      <c r="B300" t="s">
        <v>468</v>
      </c>
      <c r="C300" t="s">
        <v>487</v>
      </c>
      <c r="D300" t="s">
        <v>99</v>
      </c>
      <c r="E300" t="s">
        <v>23</v>
      </c>
      <c r="F300" t="s">
        <v>1</v>
      </c>
      <c r="G300" t="s">
        <v>272</v>
      </c>
      <c r="H300" t="s">
        <v>175</v>
      </c>
      <c r="I300" t="s">
        <v>1</v>
      </c>
      <c r="J300">
        <v>4610.3999999999996</v>
      </c>
      <c r="L300">
        <v>11.59</v>
      </c>
      <c r="M300">
        <v>23.372099447513811</v>
      </c>
      <c r="N300">
        <v>4621.99</v>
      </c>
      <c r="O300">
        <v>23.18</v>
      </c>
      <c r="P300">
        <v>0</v>
      </c>
      <c r="Q300">
        <f t="shared" si="55"/>
        <v>23.18</v>
      </c>
      <c r="R300">
        <v>23.372099447513811</v>
      </c>
      <c r="S300">
        <f t="shared" si="56"/>
        <v>0.19209944751381158</v>
      </c>
      <c r="U300">
        <f t="shared" si="57"/>
        <v>0</v>
      </c>
      <c r="V300">
        <f t="shared" si="58"/>
        <v>23.372099447513811</v>
      </c>
      <c r="W300">
        <f t="shared" si="59"/>
        <v>0.19209944751381158</v>
      </c>
      <c r="X300">
        <v>0</v>
      </c>
    </row>
    <row r="301" spans="1:24" x14ac:dyDescent="0.25">
      <c r="A301" t="s">
        <v>464</v>
      </c>
      <c r="B301" t="s">
        <v>468</v>
      </c>
      <c r="C301" t="s">
        <v>487</v>
      </c>
      <c r="D301" t="s">
        <v>99</v>
      </c>
      <c r="E301" t="s">
        <v>72</v>
      </c>
      <c r="F301" t="s">
        <v>1</v>
      </c>
      <c r="G301" t="s">
        <v>272</v>
      </c>
      <c r="H301" t="s">
        <v>233</v>
      </c>
      <c r="I301" t="s">
        <v>1</v>
      </c>
      <c r="L301">
        <v>26.99</v>
      </c>
      <c r="M301">
        <v>54.427348066298336</v>
      </c>
      <c r="N301">
        <v>26.99</v>
      </c>
      <c r="O301">
        <v>53.98</v>
      </c>
      <c r="P301">
        <v>0</v>
      </c>
      <c r="Q301">
        <f t="shared" ref="Q301:Q322" si="60">O301+P301</f>
        <v>53.98</v>
      </c>
      <c r="R301">
        <v>54.427348066298336</v>
      </c>
      <c r="S301">
        <f t="shared" ref="S301:S322" si="61">IF(OR(LEFT(E301,2)="A_",LEFT(D301,5)="Total"),R301-Q301,"")</f>
        <v>0.44734806629833912</v>
      </c>
      <c r="U301">
        <f t="shared" ref="U301:U322" si="62">IFERROR(R301*T301,R301*0)</f>
        <v>0</v>
      </c>
      <c r="V301">
        <f t="shared" ref="V301:V322" si="63">IF(OR(LEFT(E301,2)="A_",LEFT(D301,5)="Total"),R301+U301,"")</f>
        <v>54.427348066298336</v>
      </c>
      <c r="W301">
        <f t="shared" ref="W301:W322" si="64">IF(OR(LEFT(E301,2)="A_",LEFT(D301,5)="Total"),V301-Q301,"")</f>
        <v>0.44734806629833912</v>
      </c>
      <c r="X301">
        <v>0</v>
      </c>
    </row>
    <row r="302" spans="1:24" x14ac:dyDescent="0.25">
      <c r="A302" t="s">
        <v>464</v>
      </c>
      <c r="B302" t="s">
        <v>468</v>
      </c>
      <c r="C302" t="s">
        <v>487</v>
      </c>
      <c r="D302" t="s">
        <v>99</v>
      </c>
      <c r="E302" t="s">
        <v>25</v>
      </c>
      <c r="F302" t="s">
        <v>1</v>
      </c>
      <c r="G302" t="s">
        <v>272</v>
      </c>
      <c r="H302" t="s">
        <v>177</v>
      </c>
      <c r="I302" t="s">
        <v>1</v>
      </c>
      <c r="K302">
        <v>750</v>
      </c>
      <c r="L302">
        <v>0</v>
      </c>
      <c r="M302">
        <v>0</v>
      </c>
      <c r="N302">
        <v>0</v>
      </c>
      <c r="P302">
        <v>1950</v>
      </c>
      <c r="Q302">
        <f t="shared" si="60"/>
        <v>1950</v>
      </c>
      <c r="R302">
        <v>1950</v>
      </c>
      <c r="S302">
        <f t="shared" si="61"/>
        <v>0</v>
      </c>
      <c r="U302">
        <f t="shared" si="62"/>
        <v>0</v>
      </c>
      <c r="V302">
        <f t="shared" si="63"/>
        <v>1950</v>
      </c>
      <c r="W302">
        <f t="shared" si="64"/>
        <v>0</v>
      </c>
      <c r="X302" t="s">
        <v>426</v>
      </c>
    </row>
    <row r="303" spans="1:24" x14ac:dyDescent="0.25">
      <c r="A303" t="s">
        <v>464</v>
      </c>
      <c r="B303" t="s">
        <v>468</v>
      </c>
      <c r="C303" t="s">
        <v>487</v>
      </c>
      <c r="D303" t="s">
        <v>99</v>
      </c>
      <c r="E303" t="s">
        <v>27</v>
      </c>
      <c r="F303" t="s">
        <v>1</v>
      </c>
      <c r="G303" t="s">
        <v>272</v>
      </c>
      <c r="H303" t="s">
        <v>179</v>
      </c>
      <c r="I303" t="s">
        <v>1</v>
      </c>
      <c r="J303">
        <v>1408.67</v>
      </c>
      <c r="K303">
        <v>4275</v>
      </c>
      <c r="L303">
        <v>0</v>
      </c>
      <c r="M303">
        <v>0</v>
      </c>
      <c r="N303">
        <v>1373.37</v>
      </c>
      <c r="P303">
        <v>4675</v>
      </c>
      <c r="Q303">
        <f t="shared" si="60"/>
        <v>4675</v>
      </c>
      <c r="R303">
        <v>4675</v>
      </c>
      <c r="S303">
        <f t="shared" si="61"/>
        <v>0</v>
      </c>
      <c r="U303">
        <f t="shared" si="62"/>
        <v>0</v>
      </c>
      <c r="V303">
        <f t="shared" si="63"/>
        <v>4675</v>
      </c>
      <c r="W303">
        <f t="shared" si="64"/>
        <v>0</v>
      </c>
      <c r="X303" t="s">
        <v>427</v>
      </c>
    </row>
    <row r="304" spans="1:24" x14ac:dyDescent="0.25">
      <c r="A304" t="s">
        <v>464</v>
      </c>
      <c r="B304" t="s">
        <v>468</v>
      </c>
      <c r="C304" t="s">
        <v>487</v>
      </c>
      <c r="D304" t="s">
        <v>99</v>
      </c>
      <c r="E304" t="s">
        <v>83</v>
      </c>
      <c r="F304" t="s">
        <v>1</v>
      </c>
      <c r="G304" t="s">
        <v>272</v>
      </c>
      <c r="H304" t="s">
        <v>248</v>
      </c>
      <c r="I304" t="s">
        <v>1</v>
      </c>
      <c r="J304">
        <v>385.2</v>
      </c>
      <c r="L304">
        <v>0</v>
      </c>
      <c r="M304">
        <v>0</v>
      </c>
      <c r="N304">
        <v>0</v>
      </c>
      <c r="P304">
        <v>0</v>
      </c>
      <c r="Q304">
        <f t="shared" si="60"/>
        <v>0</v>
      </c>
      <c r="R304">
        <v>0</v>
      </c>
      <c r="S304">
        <f t="shared" si="61"/>
        <v>0</v>
      </c>
      <c r="U304">
        <f t="shared" si="62"/>
        <v>0</v>
      </c>
      <c r="V304">
        <f t="shared" si="63"/>
        <v>0</v>
      </c>
      <c r="W304">
        <f t="shared" si="64"/>
        <v>0</v>
      </c>
      <c r="X304">
        <v>0</v>
      </c>
    </row>
    <row r="305" spans="1:24" x14ac:dyDescent="0.25">
      <c r="A305" t="s">
        <v>464</v>
      </c>
      <c r="B305" t="s">
        <v>468</v>
      </c>
      <c r="C305" t="s">
        <v>487</v>
      </c>
      <c r="D305" t="s">
        <v>99</v>
      </c>
      <c r="E305" t="s">
        <v>29</v>
      </c>
      <c r="F305" t="s">
        <v>1</v>
      </c>
      <c r="G305" t="s">
        <v>272</v>
      </c>
      <c r="H305" t="s">
        <v>181</v>
      </c>
      <c r="I305" t="s">
        <v>1</v>
      </c>
      <c r="J305">
        <v>4097.7</v>
      </c>
      <c r="K305">
        <v>3249.9999999995998</v>
      </c>
      <c r="L305">
        <v>1697.05</v>
      </c>
      <c r="M305">
        <v>3422.2279005524861</v>
      </c>
      <c r="N305">
        <v>4083.6</v>
      </c>
      <c r="O305">
        <v>3394.1</v>
      </c>
      <c r="P305">
        <v>-794</v>
      </c>
      <c r="Q305">
        <f t="shared" si="60"/>
        <v>2600.1</v>
      </c>
      <c r="R305">
        <v>2600</v>
      </c>
      <c r="S305">
        <f t="shared" si="61"/>
        <v>-9.9999999999909051E-2</v>
      </c>
      <c r="U305">
        <f t="shared" si="62"/>
        <v>0</v>
      </c>
      <c r="V305">
        <f t="shared" si="63"/>
        <v>2600</v>
      </c>
      <c r="W305">
        <f t="shared" si="64"/>
        <v>-9.9999999999909051E-2</v>
      </c>
      <c r="X305" t="s">
        <v>428</v>
      </c>
    </row>
    <row r="306" spans="1:24" x14ac:dyDescent="0.25">
      <c r="A306" t="s">
        <v>464</v>
      </c>
      <c r="B306" t="s">
        <v>468</v>
      </c>
      <c r="C306" t="s">
        <v>487</v>
      </c>
      <c r="D306" t="s">
        <v>99</v>
      </c>
      <c r="E306" t="s">
        <v>103</v>
      </c>
      <c r="F306" t="s">
        <v>1</v>
      </c>
      <c r="G306" t="s">
        <v>272</v>
      </c>
      <c r="H306" t="s">
        <v>276</v>
      </c>
      <c r="I306" t="s">
        <v>1</v>
      </c>
      <c r="J306">
        <v>5800</v>
      </c>
      <c r="K306">
        <v>6000</v>
      </c>
      <c r="L306">
        <v>0</v>
      </c>
      <c r="M306">
        <v>0</v>
      </c>
      <c r="N306">
        <v>1740</v>
      </c>
      <c r="P306">
        <v>6000</v>
      </c>
      <c r="Q306">
        <f t="shared" si="60"/>
        <v>6000</v>
      </c>
      <c r="R306">
        <v>6000</v>
      </c>
      <c r="S306">
        <f t="shared" si="61"/>
        <v>0</v>
      </c>
      <c r="U306">
        <f t="shared" si="62"/>
        <v>0</v>
      </c>
      <c r="V306">
        <f t="shared" si="63"/>
        <v>6000</v>
      </c>
      <c r="W306">
        <f t="shared" si="64"/>
        <v>0</v>
      </c>
      <c r="X306" t="s">
        <v>429</v>
      </c>
    </row>
    <row r="307" spans="1:24" x14ac:dyDescent="0.25">
      <c r="A307" t="s">
        <v>464</v>
      </c>
      <c r="B307" t="s">
        <v>468</v>
      </c>
      <c r="C307" t="s">
        <v>487</v>
      </c>
      <c r="D307" t="s">
        <v>99</v>
      </c>
      <c r="E307" t="s">
        <v>65</v>
      </c>
      <c r="F307" t="s">
        <v>1</v>
      </c>
      <c r="G307" t="s">
        <v>272</v>
      </c>
      <c r="H307" t="s">
        <v>224</v>
      </c>
      <c r="I307" t="s">
        <v>1</v>
      </c>
      <c r="J307">
        <v>209892</v>
      </c>
      <c r="K307">
        <v>90000</v>
      </c>
      <c r="L307">
        <v>0</v>
      </c>
      <c r="M307">
        <v>0</v>
      </c>
      <c r="N307">
        <v>7836.42</v>
      </c>
      <c r="P307">
        <v>0</v>
      </c>
      <c r="Q307">
        <f t="shared" si="60"/>
        <v>0</v>
      </c>
      <c r="R307">
        <v>0</v>
      </c>
      <c r="S307">
        <f t="shared" si="61"/>
        <v>0</v>
      </c>
      <c r="U307">
        <f t="shared" si="62"/>
        <v>0</v>
      </c>
      <c r="V307">
        <f t="shared" si="63"/>
        <v>0</v>
      </c>
      <c r="W307">
        <f t="shared" si="64"/>
        <v>0</v>
      </c>
      <c r="X307" t="s">
        <v>430</v>
      </c>
    </row>
    <row r="308" spans="1:24" x14ac:dyDescent="0.25">
      <c r="A308" t="s">
        <v>464</v>
      </c>
      <c r="B308" t="s">
        <v>468</v>
      </c>
      <c r="C308" t="s">
        <v>487</v>
      </c>
      <c r="D308" t="s">
        <v>99</v>
      </c>
      <c r="E308" t="s">
        <v>30</v>
      </c>
      <c r="F308" t="s">
        <v>1</v>
      </c>
      <c r="G308" t="s">
        <v>272</v>
      </c>
      <c r="H308" t="s">
        <v>182</v>
      </c>
      <c r="I308" t="s">
        <v>1</v>
      </c>
      <c r="J308">
        <v>17889.900000000001</v>
      </c>
      <c r="K308">
        <v>6306.9999999995998</v>
      </c>
      <c r="L308">
        <v>0</v>
      </c>
      <c r="M308">
        <v>0</v>
      </c>
      <c r="N308">
        <v>11582.8</v>
      </c>
      <c r="P308">
        <v>0</v>
      </c>
      <c r="Q308">
        <f t="shared" si="60"/>
        <v>0</v>
      </c>
      <c r="R308">
        <v>0</v>
      </c>
      <c r="S308">
        <f t="shared" si="61"/>
        <v>0</v>
      </c>
      <c r="T308">
        <v>0.03</v>
      </c>
      <c r="U308">
        <f t="shared" si="62"/>
        <v>0</v>
      </c>
      <c r="V308">
        <f t="shared" si="63"/>
        <v>0</v>
      </c>
      <c r="W308">
        <f t="shared" si="64"/>
        <v>0</v>
      </c>
      <c r="X308">
        <v>0</v>
      </c>
    </row>
    <row r="309" spans="1:24" x14ac:dyDescent="0.25">
      <c r="A309" t="s">
        <v>464</v>
      </c>
      <c r="B309" t="s">
        <v>468</v>
      </c>
      <c r="C309" t="s">
        <v>487</v>
      </c>
      <c r="D309" t="s">
        <v>99</v>
      </c>
      <c r="E309" t="s">
        <v>31</v>
      </c>
      <c r="F309" t="s">
        <v>1</v>
      </c>
      <c r="G309" t="s">
        <v>272</v>
      </c>
      <c r="H309" t="s">
        <v>183</v>
      </c>
      <c r="I309" t="s">
        <v>1</v>
      </c>
      <c r="J309">
        <v>33231.93</v>
      </c>
      <c r="K309">
        <v>16250.7</v>
      </c>
      <c r="L309">
        <v>14576.7</v>
      </c>
      <c r="M309">
        <v>29395.00276243094</v>
      </c>
      <c r="N309">
        <v>30715.280000000002</v>
      </c>
      <c r="O309">
        <v>29153.4</v>
      </c>
      <c r="P309">
        <v>55</v>
      </c>
      <c r="Q309">
        <f t="shared" si="60"/>
        <v>29208.400000000001</v>
      </c>
      <c r="R309">
        <v>29208</v>
      </c>
      <c r="S309">
        <f t="shared" si="61"/>
        <v>-0.40000000000145519</v>
      </c>
      <c r="T309">
        <v>0.03</v>
      </c>
      <c r="U309">
        <f t="shared" si="62"/>
        <v>876.24</v>
      </c>
      <c r="V309">
        <f t="shared" si="63"/>
        <v>30084.240000000002</v>
      </c>
      <c r="W309">
        <f t="shared" si="64"/>
        <v>875.84000000000015</v>
      </c>
      <c r="X309" t="s">
        <v>431</v>
      </c>
    </row>
    <row r="310" spans="1:24" x14ac:dyDescent="0.25">
      <c r="A310" t="s">
        <v>464</v>
      </c>
      <c r="B310" t="s">
        <v>468</v>
      </c>
      <c r="C310" t="s">
        <v>487</v>
      </c>
      <c r="D310" t="s">
        <v>99</v>
      </c>
      <c r="E310" t="s">
        <v>32</v>
      </c>
      <c r="F310" t="s">
        <v>1</v>
      </c>
      <c r="G310" t="s">
        <v>272</v>
      </c>
      <c r="H310" t="s">
        <v>184</v>
      </c>
      <c r="I310" t="s">
        <v>1</v>
      </c>
      <c r="J310">
        <v>4246.3900000000003</v>
      </c>
      <c r="K310">
        <v>2313</v>
      </c>
      <c r="L310">
        <v>2080.65</v>
      </c>
      <c r="M310">
        <v>4195.78591160221</v>
      </c>
      <c r="N310">
        <v>5305.9</v>
      </c>
      <c r="O310">
        <v>4161.3</v>
      </c>
      <c r="P310">
        <v>0</v>
      </c>
      <c r="Q310">
        <f t="shared" si="60"/>
        <v>4161.3</v>
      </c>
      <c r="R310">
        <v>4195.78591160221</v>
      </c>
      <c r="S310">
        <f t="shared" si="61"/>
        <v>34.485911602209853</v>
      </c>
      <c r="T310">
        <v>0.03</v>
      </c>
      <c r="U310">
        <f t="shared" si="62"/>
        <v>125.87357734806629</v>
      </c>
      <c r="V310">
        <f t="shared" si="63"/>
        <v>4321.6594889502767</v>
      </c>
      <c r="W310">
        <f t="shared" si="64"/>
        <v>160.3594889502765</v>
      </c>
      <c r="X310" t="s">
        <v>432</v>
      </c>
    </row>
    <row r="311" spans="1:24" x14ac:dyDescent="0.25">
      <c r="A311" t="s">
        <v>464</v>
      </c>
      <c r="B311" t="s">
        <v>468</v>
      </c>
      <c r="C311" t="s">
        <v>487</v>
      </c>
      <c r="D311" t="s">
        <v>99</v>
      </c>
      <c r="E311" t="s">
        <v>66</v>
      </c>
      <c r="F311" t="s">
        <v>1</v>
      </c>
      <c r="G311" t="s">
        <v>272</v>
      </c>
      <c r="H311" t="s">
        <v>225</v>
      </c>
      <c r="I311" t="s">
        <v>1</v>
      </c>
      <c r="J311">
        <v>5526</v>
      </c>
      <c r="K311">
        <v>5526</v>
      </c>
      <c r="L311">
        <v>2763</v>
      </c>
      <c r="M311">
        <v>5571.7955801104972</v>
      </c>
      <c r="N311">
        <v>5526</v>
      </c>
      <c r="O311">
        <v>5526</v>
      </c>
      <c r="P311">
        <v>0</v>
      </c>
      <c r="Q311">
        <f t="shared" si="60"/>
        <v>5526</v>
      </c>
      <c r="R311">
        <v>5571.7955801104972</v>
      </c>
      <c r="S311">
        <f t="shared" si="61"/>
        <v>45.795580110497212</v>
      </c>
      <c r="T311">
        <v>0.03</v>
      </c>
      <c r="U311">
        <f t="shared" si="62"/>
        <v>167.15386740331491</v>
      </c>
      <c r="V311">
        <f t="shared" si="63"/>
        <v>5738.9494475138117</v>
      </c>
      <c r="W311">
        <f t="shared" si="64"/>
        <v>212.94944751381172</v>
      </c>
      <c r="X311" t="s">
        <v>433</v>
      </c>
    </row>
    <row r="312" spans="1:24" x14ac:dyDescent="0.25">
      <c r="A312" t="s">
        <v>464</v>
      </c>
      <c r="B312" t="s">
        <v>468</v>
      </c>
      <c r="C312" t="s">
        <v>487</v>
      </c>
      <c r="D312" t="s">
        <v>99</v>
      </c>
      <c r="E312" t="s">
        <v>33</v>
      </c>
      <c r="F312" t="s">
        <v>1</v>
      </c>
      <c r="G312" t="s">
        <v>272</v>
      </c>
      <c r="H312" t="s">
        <v>185</v>
      </c>
      <c r="I312" t="s">
        <v>1</v>
      </c>
      <c r="J312">
        <v>36749</v>
      </c>
      <c r="L312">
        <v>17813.759999999998</v>
      </c>
      <c r="M312">
        <v>35922.775690607727</v>
      </c>
      <c r="N312">
        <v>36375.17</v>
      </c>
      <c r="O312">
        <v>35627.519999999997</v>
      </c>
      <c r="P312">
        <v>-35628</v>
      </c>
      <c r="Q312">
        <f t="shared" si="60"/>
        <v>-0.48000000000320142</v>
      </c>
      <c r="R312">
        <v>0</v>
      </c>
      <c r="S312">
        <f t="shared" si="61"/>
        <v>0.48000000000320142</v>
      </c>
      <c r="T312">
        <v>0.03</v>
      </c>
      <c r="U312">
        <f t="shared" si="62"/>
        <v>0</v>
      </c>
      <c r="V312">
        <f t="shared" si="63"/>
        <v>0</v>
      </c>
      <c r="W312">
        <f t="shared" si="64"/>
        <v>0.48000000000320142</v>
      </c>
      <c r="X312" t="s">
        <v>434</v>
      </c>
    </row>
    <row r="313" spans="1:24" x14ac:dyDescent="0.25">
      <c r="A313" t="s">
        <v>464</v>
      </c>
      <c r="B313" t="s">
        <v>468</v>
      </c>
      <c r="C313" t="s">
        <v>487</v>
      </c>
      <c r="D313" t="s">
        <v>99</v>
      </c>
      <c r="E313" t="s">
        <v>92</v>
      </c>
      <c r="F313" t="s">
        <v>1</v>
      </c>
      <c r="G313" t="s">
        <v>272</v>
      </c>
      <c r="H313" t="s">
        <v>263</v>
      </c>
      <c r="I313" t="s">
        <v>1</v>
      </c>
      <c r="K313">
        <v>1706.0000000004</v>
      </c>
      <c r="L313">
        <v>0</v>
      </c>
      <c r="M313">
        <v>0</v>
      </c>
      <c r="N313">
        <v>0</v>
      </c>
      <c r="P313">
        <v>1700</v>
      </c>
      <c r="Q313">
        <f t="shared" si="60"/>
        <v>1700</v>
      </c>
      <c r="R313">
        <v>1700</v>
      </c>
      <c r="S313">
        <f t="shared" si="61"/>
        <v>0</v>
      </c>
      <c r="T313">
        <v>0.03</v>
      </c>
      <c r="U313">
        <f t="shared" si="62"/>
        <v>51</v>
      </c>
      <c r="V313">
        <f t="shared" si="63"/>
        <v>1751</v>
      </c>
      <c r="W313">
        <f t="shared" si="64"/>
        <v>51</v>
      </c>
      <c r="X313" t="s">
        <v>435</v>
      </c>
    </row>
    <row r="314" spans="1:24" x14ac:dyDescent="0.25">
      <c r="A314" t="s">
        <v>464</v>
      </c>
      <c r="B314" t="s">
        <v>468</v>
      </c>
      <c r="C314" t="s">
        <v>487</v>
      </c>
      <c r="D314" t="s">
        <v>99</v>
      </c>
      <c r="E314" t="s">
        <v>67</v>
      </c>
      <c r="F314" t="s">
        <v>1</v>
      </c>
      <c r="G314" t="s">
        <v>272</v>
      </c>
      <c r="H314" t="s">
        <v>226</v>
      </c>
      <c r="I314" t="s">
        <v>1</v>
      </c>
      <c r="J314">
        <v>1120</v>
      </c>
      <c r="L314">
        <v>1542.4</v>
      </c>
      <c r="M314">
        <v>3110.3646408839782</v>
      </c>
      <c r="N314">
        <v>2662.4</v>
      </c>
      <c r="O314">
        <v>3084.8</v>
      </c>
      <c r="P314">
        <v>-423</v>
      </c>
      <c r="Q314">
        <f t="shared" si="60"/>
        <v>2661.8</v>
      </c>
      <c r="R314">
        <v>2662</v>
      </c>
      <c r="S314">
        <f t="shared" si="61"/>
        <v>0.1999999999998181</v>
      </c>
      <c r="T314">
        <v>0.03</v>
      </c>
      <c r="U314">
        <f t="shared" si="62"/>
        <v>79.86</v>
      </c>
      <c r="V314">
        <f t="shared" si="63"/>
        <v>2741.86</v>
      </c>
      <c r="W314">
        <f t="shared" si="64"/>
        <v>80.059999999999945</v>
      </c>
      <c r="X314" t="s">
        <v>382</v>
      </c>
    </row>
    <row r="315" spans="1:24" x14ac:dyDescent="0.25">
      <c r="A315" t="s">
        <v>464</v>
      </c>
      <c r="B315" t="s">
        <v>468</v>
      </c>
      <c r="C315" t="s">
        <v>487</v>
      </c>
      <c r="D315" t="s">
        <v>99</v>
      </c>
      <c r="E315" t="s">
        <v>36</v>
      </c>
      <c r="F315" t="s">
        <v>1</v>
      </c>
      <c r="G315" t="s">
        <v>272</v>
      </c>
      <c r="H315" t="s">
        <v>188</v>
      </c>
      <c r="I315" t="s">
        <v>1</v>
      </c>
      <c r="J315">
        <v>11885.54</v>
      </c>
      <c r="K315">
        <v>8522.0000000004002</v>
      </c>
      <c r="L315">
        <v>4168.6099999999997</v>
      </c>
      <c r="M315">
        <v>8406.3129834254141</v>
      </c>
      <c r="N315">
        <v>8256.59</v>
      </c>
      <c r="O315">
        <v>8337.2199999999993</v>
      </c>
      <c r="P315">
        <v>69</v>
      </c>
      <c r="Q315">
        <f t="shared" si="60"/>
        <v>8406.2199999999993</v>
      </c>
      <c r="R315">
        <v>8406.3129834254141</v>
      </c>
      <c r="S315">
        <f t="shared" si="61"/>
        <v>9.2983425414786325E-2</v>
      </c>
      <c r="T315">
        <v>0.03</v>
      </c>
      <c r="U315">
        <f t="shared" si="62"/>
        <v>252.18938950276242</v>
      </c>
      <c r="V315">
        <f t="shared" si="63"/>
        <v>8658.5023729281766</v>
      </c>
      <c r="W315">
        <f t="shared" si="64"/>
        <v>252.28237292817721</v>
      </c>
      <c r="X315" t="s">
        <v>436</v>
      </c>
    </row>
    <row r="316" spans="1:24" x14ac:dyDescent="0.25">
      <c r="A316" t="s">
        <v>464</v>
      </c>
      <c r="B316" t="s">
        <v>468</v>
      </c>
      <c r="C316" t="s">
        <v>487</v>
      </c>
      <c r="D316" t="s">
        <v>99</v>
      </c>
      <c r="E316" t="s">
        <v>37</v>
      </c>
      <c r="F316" t="s">
        <v>1</v>
      </c>
      <c r="G316" t="s">
        <v>272</v>
      </c>
      <c r="H316" t="s">
        <v>189</v>
      </c>
      <c r="I316" t="s">
        <v>1</v>
      </c>
      <c r="J316">
        <v>791.71</v>
      </c>
      <c r="K316">
        <v>999.99999999960005</v>
      </c>
      <c r="L316">
        <v>0</v>
      </c>
      <c r="M316">
        <v>0</v>
      </c>
      <c r="N316">
        <v>516.71</v>
      </c>
      <c r="P316">
        <v>0</v>
      </c>
      <c r="Q316">
        <f t="shared" si="60"/>
        <v>0</v>
      </c>
      <c r="R316">
        <v>0</v>
      </c>
      <c r="S316">
        <f t="shared" si="61"/>
        <v>0</v>
      </c>
      <c r="T316">
        <v>0.03</v>
      </c>
      <c r="U316">
        <f t="shared" si="62"/>
        <v>0</v>
      </c>
      <c r="V316">
        <f t="shared" si="63"/>
        <v>0</v>
      </c>
      <c r="W316">
        <f t="shared" si="64"/>
        <v>0</v>
      </c>
      <c r="X316" t="s">
        <v>437</v>
      </c>
    </row>
    <row r="317" spans="1:24" x14ac:dyDescent="0.25">
      <c r="A317" t="s">
        <v>464</v>
      </c>
      <c r="B317" t="s">
        <v>468</v>
      </c>
      <c r="C317" t="s">
        <v>487</v>
      </c>
      <c r="D317" t="s">
        <v>99</v>
      </c>
      <c r="E317" t="s">
        <v>38</v>
      </c>
      <c r="F317" t="s">
        <v>1</v>
      </c>
      <c r="G317" t="s">
        <v>272</v>
      </c>
      <c r="H317" t="s">
        <v>190</v>
      </c>
      <c r="I317" t="s">
        <v>1</v>
      </c>
      <c r="J317">
        <v>3198.81</v>
      </c>
      <c r="K317">
        <v>876</v>
      </c>
      <c r="L317">
        <v>4538.78</v>
      </c>
      <c r="M317">
        <v>9152.7883977900547</v>
      </c>
      <c r="N317">
        <v>7303.35</v>
      </c>
      <c r="O317">
        <v>9077.56</v>
      </c>
      <c r="P317">
        <v>75</v>
      </c>
      <c r="Q317">
        <f t="shared" si="60"/>
        <v>9152.56</v>
      </c>
      <c r="R317">
        <v>9152.7883977900547</v>
      </c>
      <c r="S317">
        <f t="shared" si="61"/>
        <v>0.22839779005516903</v>
      </c>
      <c r="T317">
        <v>0.03</v>
      </c>
      <c r="U317">
        <f t="shared" si="62"/>
        <v>274.58365193370162</v>
      </c>
      <c r="V317">
        <f t="shared" si="63"/>
        <v>9427.3720497237555</v>
      </c>
      <c r="W317">
        <f t="shared" si="64"/>
        <v>274.81204972375599</v>
      </c>
      <c r="X317" t="s">
        <v>438</v>
      </c>
    </row>
    <row r="318" spans="1:24" x14ac:dyDescent="0.25">
      <c r="A318" t="s">
        <v>464</v>
      </c>
      <c r="B318" t="s">
        <v>468</v>
      </c>
      <c r="C318" t="s">
        <v>487</v>
      </c>
      <c r="D318" t="s">
        <v>99</v>
      </c>
      <c r="E318" t="s">
        <v>73</v>
      </c>
      <c r="F318" t="s">
        <v>1</v>
      </c>
      <c r="G318" t="s">
        <v>272</v>
      </c>
      <c r="H318" t="s">
        <v>234</v>
      </c>
      <c r="I318" t="s">
        <v>1</v>
      </c>
      <c r="J318">
        <v>0</v>
      </c>
      <c r="K318">
        <v>60000</v>
      </c>
      <c r="L318">
        <v>0</v>
      </c>
      <c r="M318">
        <v>0</v>
      </c>
      <c r="N318">
        <v>-30000</v>
      </c>
      <c r="P318">
        <v>0</v>
      </c>
      <c r="Q318">
        <f t="shared" si="60"/>
        <v>0</v>
      </c>
      <c r="R318">
        <v>0</v>
      </c>
      <c r="S318">
        <f t="shared" si="61"/>
        <v>0</v>
      </c>
      <c r="T318">
        <v>0.03</v>
      </c>
      <c r="U318">
        <f t="shared" si="62"/>
        <v>0</v>
      </c>
      <c r="V318">
        <f t="shared" si="63"/>
        <v>0</v>
      </c>
      <c r="W318">
        <f t="shared" si="64"/>
        <v>0</v>
      </c>
      <c r="X318" t="s">
        <v>439</v>
      </c>
    </row>
    <row r="319" spans="1:24" x14ac:dyDescent="0.25">
      <c r="A319" t="s">
        <v>464</v>
      </c>
      <c r="B319" t="s">
        <v>468</v>
      </c>
      <c r="C319" t="s">
        <v>487</v>
      </c>
      <c r="D319" t="s">
        <v>99</v>
      </c>
      <c r="E319" t="s">
        <v>104</v>
      </c>
      <c r="F319" t="s">
        <v>1</v>
      </c>
      <c r="G319" t="s">
        <v>272</v>
      </c>
      <c r="H319" t="s">
        <v>277</v>
      </c>
      <c r="I319" t="s">
        <v>1</v>
      </c>
      <c r="K319">
        <v>1200</v>
      </c>
      <c r="L319">
        <v>0</v>
      </c>
      <c r="M319">
        <v>0</v>
      </c>
      <c r="N319">
        <v>0</v>
      </c>
      <c r="P319">
        <v>0</v>
      </c>
      <c r="Q319">
        <f t="shared" si="60"/>
        <v>0</v>
      </c>
      <c r="R319">
        <v>0</v>
      </c>
      <c r="S319">
        <f t="shared" si="61"/>
        <v>0</v>
      </c>
      <c r="T319">
        <v>0.03</v>
      </c>
      <c r="U319">
        <f t="shared" si="62"/>
        <v>0</v>
      </c>
      <c r="V319">
        <f t="shared" si="63"/>
        <v>0</v>
      </c>
      <c r="W319">
        <f t="shared" si="64"/>
        <v>0</v>
      </c>
      <c r="X319" t="s">
        <v>440</v>
      </c>
    </row>
    <row r="320" spans="1:24" x14ac:dyDescent="0.25">
      <c r="A320" t="s">
        <v>464</v>
      </c>
      <c r="B320" t="s">
        <v>468</v>
      </c>
      <c r="C320" t="s">
        <v>487</v>
      </c>
      <c r="D320" t="s">
        <v>99</v>
      </c>
      <c r="E320" t="s">
        <v>105</v>
      </c>
      <c r="F320" t="s">
        <v>1</v>
      </c>
      <c r="G320" t="s">
        <v>272</v>
      </c>
      <c r="H320" t="s">
        <v>278</v>
      </c>
      <c r="I320" t="s">
        <v>1</v>
      </c>
      <c r="L320">
        <v>862.9</v>
      </c>
      <c r="M320">
        <v>1740.1022099447514</v>
      </c>
      <c r="N320">
        <v>862.90000000000009</v>
      </c>
      <c r="O320">
        <v>1725.8</v>
      </c>
      <c r="P320">
        <v>-1726</v>
      </c>
      <c r="Q320">
        <f t="shared" si="60"/>
        <v>-0.20000000000004547</v>
      </c>
      <c r="R320">
        <v>0</v>
      </c>
      <c r="S320">
        <f t="shared" si="61"/>
        <v>0.20000000000004547</v>
      </c>
      <c r="T320">
        <v>0.03</v>
      </c>
      <c r="U320">
        <f t="shared" si="62"/>
        <v>0</v>
      </c>
      <c r="V320">
        <f t="shared" si="63"/>
        <v>0</v>
      </c>
      <c r="W320">
        <f t="shared" si="64"/>
        <v>0.20000000000004547</v>
      </c>
      <c r="X320" t="s">
        <v>441</v>
      </c>
    </row>
    <row r="321" spans="1:24" x14ac:dyDescent="0.25">
      <c r="A321" t="s">
        <v>464</v>
      </c>
      <c r="B321" t="s">
        <v>468</v>
      </c>
      <c r="C321" t="s">
        <v>487</v>
      </c>
      <c r="D321" t="s">
        <v>99</v>
      </c>
      <c r="E321" t="s">
        <v>40</v>
      </c>
      <c r="F321" t="s">
        <v>1</v>
      </c>
      <c r="G321" t="s">
        <v>272</v>
      </c>
      <c r="H321" t="s">
        <v>192</v>
      </c>
      <c r="I321" t="s">
        <v>1</v>
      </c>
      <c r="J321">
        <v>8246.89</v>
      </c>
      <c r="L321">
        <v>3454.62</v>
      </c>
      <c r="M321">
        <v>6966.4988950276238</v>
      </c>
      <c r="N321">
        <v>8198</v>
      </c>
      <c r="O321">
        <v>6909.24</v>
      </c>
      <c r="P321">
        <v>57</v>
      </c>
      <c r="Q321">
        <f t="shared" si="60"/>
        <v>6966.24</v>
      </c>
      <c r="R321">
        <v>6966.4988950276238</v>
      </c>
      <c r="S321">
        <f t="shared" si="61"/>
        <v>0.25889502762402117</v>
      </c>
      <c r="T321">
        <v>0.03</v>
      </c>
      <c r="U321">
        <f t="shared" si="62"/>
        <v>208.99496685082872</v>
      </c>
      <c r="V321">
        <f t="shared" si="63"/>
        <v>7175.4938618784527</v>
      </c>
      <c r="W321">
        <f t="shared" si="64"/>
        <v>209.25386187845288</v>
      </c>
      <c r="X321" t="s">
        <v>442</v>
      </c>
    </row>
    <row r="322" spans="1:24" x14ac:dyDescent="0.25">
      <c r="A322" t="s">
        <v>464</v>
      </c>
      <c r="B322" t="s">
        <v>468</v>
      </c>
      <c r="C322" t="s">
        <v>487</v>
      </c>
      <c r="D322" t="s">
        <v>99</v>
      </c>
      <c r="E322" t="s">
        <v>41</v>
      </c>
      <c r="F322" t="s">
        <v>1</v>
      </c>
      <c r="G322" t="s">
        <v>272</v>
      </c>
      <c r="H322" t="s">
        <v>193</v>
      </c>
      <c r="I322" t="s">
        <v>1</v>
      </c>
      <c r="J322">
        <v>7176.06</v>
      </c>
      <c r="K322">
        <v>2633.9999999999</v>
      </c>
      <c r="L322">
        <v>1082.93</v>
      </c>
      <c r="M322">
        <v>2183.8091160220997</v>
      </c>
      <c r="N322">
        <v>2000.3099999999997</v>
      </c>
      <c r="O322">
        <v>2183.8091160221002</v>
      </c>
      <c r="P322">
        <v>0</v>
      </c>
      <c r="Q322">
        <f t="shared" si="60"/>
        <v>2183.8091160221002</v>
      </c>
      <c r="R322">
        <v>2183.8091160220997</v>
      </c>
      <c r="S322">
        <f t="shared" si="61"/>
        <v>-4.5474735088646412E-13</v>
      </c>
      <c r="U322">
        <f t="shared" si="62"/>
        <v>0</v>
      </c>
      <c r="V322">
        <f t="shared" si="63"/>
        <v>2183.8091160220997</v>
      </c>
      <c r="W322">
        <f t="shared" si="64"/>
        <v>-4.5474735088646412E-13</v>
      </c>
      <c r="X322" t="s">
        <v>443</v>
      </c>
    </row>
    <row r="323" spans="1:24" x14ac:dyDescent="0.25">
      <c r="A323" t="s">
        <v>464</v>
      </c>
      <c r="B323" t="s">
        <v>468</v>
      </c>
      <c r="C323" t="s">
        <v>487</v>
      </c>
      <c r="D323" t="s">
        <v>99</v>
      </c>
      <c r="E323" t="s">
        <v>42</v>
      </c>
      <c r="F323" t="s">
        <v>42</v>
      </c>
      <c r="G323" t="s">
        <v>279</v>
      </c>
      <c r="J323">
        <v>1194411.4599999997</v>
      </c>
      <c r="K323">
        <v>1047104.0815526773</v>
      </c>
      <c r="L323">
        <v>556179.46000000008</v>
      </c>
      <c r="M323">
        <v>1121577.3640883977</v>
      </c>
      <c r="N323">
        <v>1041138.7400000001</v>
      </c>
      <c r="O323">
        <v>1117997.0629494265</v>
      </c>
      <c r="P323">
        <f>SUMIF($F$268:$F$322,"&lt;&gt;EV_*",$P$268:$P$322)</f>
        <v>21006</v>
      </c>
      <c r="Q323">
        <f>SUMIF($F$268:$F$322,"&lt;&gt;EV_*",$Q$268:$Q$322)</f>
        <v>1139003.0629494265</v>
      </c>
      <c r="R323">
        <f>SUMIF($F$268:$F$322,"&lt;&gt;EV_*",$R$268:$R$322)</f>
        <v>1144379.14801105</v>
      </c>
      <c r="S323">
        <f>SUMIF($F$268:$F$322,"&lt;&gt;EV_*",$S$268:$S$322)</f>
        <v>5376.0850616235566</v>
      </c>
      <c r="T323">
        <v>0</v>
      </c>
      <c r="U323">
        <f>SUMIF($F$268:$F$322,"&lt;&gt;EV_*",$U$268:$U$322)</f>
        <v>32609.032021408842</v>
      </c>
      <c r="V323">
        <f>SUMIF($F$268:$F$322,"&lt;&gt;EV_*",$V$268:$V$322)</f>
        <v>1176988.1800324591</v>
      </c>
      <c r="W323">
        <f>SUMIF($F$268:$F$322,"&lt;&gt;EV_*",$W$268:$W$322)</f>
        <v>37985.11708303239</v>
      </c>
      <c r="X323">
        <f>SUMIF($F$268:$F$322,"&lt;&gt;EV_*",$X$268:$X$322)</f>
        <v>0</v>
      </c>
    </row>
    <row r="324" spans="1:24" x14ac:dyDescent="0.25">
      <c r="A324" t="s">
        <v>469</v>
      </c>
      <c r="B324" t="s">
        <v>469</v>
      </c>
      <c r="C324" t="s">
        <v>488</v>
      </c>
      <c r="D324" t="s">
        <v>106</v>
      </c>
      <c r="E324" t="s">
        <v>5</v>
      </c>
      <c r="F324" t="s">
        <v>5</v>
      </c>
      <c r="G324" t="s">
        <v>280</v>
      </c>
    </row>
    <row r="325" spans="1:24" x14ac:dyDescent="0.25">
      <c r="A325" t="s">
        <v>469</v>
      </c>
      <c r="B325" t="s">
        <v>469</v>
      </c>
      <c r="C325" t="s">
        <v>488</v>
      </c>
      <c r="D325" t="s">
        <v>106</v>
      </c>
      <c r="E325" t="s">
        <v>18</v>
      </c>
      <c r="F325" t="s">
        <v>1</v>
      </c>
      <c r="G325" t="s">
        <v>281</v>
      </c>
      <c r="H325" t="s">
        <v>170</v>
      </c>
      <c r="I325" t="s">
        <v>1</v>
      </c>
      <c r="J325">
        <v>0</v>
      </c>
      <c r="L325">
        <v>3390.25</v>
      </c>
      <c r="M325">
        <v>6836.691988950276</v>
      </c>
      <c r="N325">
        <v>3390.25</v>
      </c>
      <c r="O325">
        <v>6836.6919889502997</v>
      </c>
      <c r="P325">
        <v>0</v>
      </c>
      <c r="Q325">
        <f>O325+P325</f>
        <v>6836.6919889502997</v>
      </c>
      <c r="R325">
        <v>0</v>
      </c>
      <c r="S325">
        <f>IF(OR(LEFT(E325,2)="A_",LEFT(D325,5)="Total"),R325-Q325,"")</f>
        <v>-6836.6919889502997</v>
      </c>
      <c r="T325">
        <v>3.5000000000000003E-2</v>
      </c>
      <c r="U325">
        <f>IFERROR(R325*T325,R325*0)</f>
        <v>0</v>
      </c>
      <c r="V325">
        <f>IF(OR(LEFT(E325,2)="A_",LEFT(D325,5)="Total"),R325+U325,"")</f>
        <v>0</v>
      </c>
      <c r="W325">
        <f>IF(OR(LEFT(E325,2)="A_",LEFT(D325,5)="Total"),V325-Q325,"")</f>
        <v>-6836.6919889502997</v>
      </c>
      <c r="X325">
        <v>0</v>
      </c>
    </row>
    <row r="326" spans="1:24" x14ac:dyDescent="0.25">
      <c r="A326" t="s">
        <v>469</v>
      </c>
      <c r="B326" t="s">
        <v>469</v>
      </c>
      <c r="C326" t="s">
        <v>488</v>
      </c>
      <c r="D326" t="s">
        <v>106</v>
      </c>
      <c r="E326" t="s">
        <v>92</v>
      </c>
      <c r="F326" t="s">
        <v>1</v>
      </c>
      <c r="G326" t="s">
        <v>281</v>
      </c>
      <c r="H326" t="s">
        <v>263</v>
      </c>
      <c r="I326" t="s">
        <v>1</v>
      </c>
      <c r="L326">
        <v>88139.37</v>
      </c>
      <c r="M326">
        <v>177739.6135359116</v>
      </c>
      <c r="N326">
        <v>88139.37</v>
      </c>
      <c r="O326">
        <v>176278.74</v>
      </c>
      <c r="P326">
        <v>0</v>
      </c>
      <c r="Q326">
        <f>O326+P326</f>
        <v>176278.74</v>
      </c>
      <c r="R326">
        <v>0</v>
      </c>
      <c r="S326">
        <f>IF(OR(LEFT(E326,2)="A_",LEFT(D326,5)="Total"),R326-Q326,"")</f>
        <v>-176278.74</v>
      </c>
      <c r="T326">
        <v>0.03</v>
      </c>
      <c r="U326">
        <f>IFERROR(R326*T326,R326*0)</f>
        <v>0</v>
      </c>
      <c r="V326">
        <f>IF(OR(LEFT(E326,2)="A_",LEFT(D326,5)="Total"),R326+U326,"")</f>
        <v>0</v>
      </c>
      <c r="W326">
        <f>IF(OR(LEFT(E326,2)="A_",LEFT(D326,5)="Total"),V326-Q326,"")</f>
        <v>-176278.74</v>
      </c>
      <c r="X326">
        <v>0</v>
      </c>
    </row>
    <row r="327" spans="1:24" x14ac:dyDescent="0.25">
      <c r="A327" t="s">
        <v>469</v>
      </c>
      <c r="B327" t="s">
        <v>469</v>
      </c>
      <c r="C327" t="s">
        <v>488</v>
      </c>
      <c r="D327" t="s">
        <v>106</v>
      </c>
      <c r="E327" t="s">
        <v>36</v>
      </c>
      <c r="F327" t="s">
        <v>1</v>
      </c>
      <c r="G327" t="s">
        <v>281</v>
      </c>
      <c r="H327" t="s">
        <v>188</v>
      </c>
      <c r="I327" t="s">
        <v>1</v>
      </c>
      <c r="L327">
        <v>16030.26</v>
      </c>
      <c r="M327">
        <v>32326.214917127076</v>
      </c>
      <c r="N327">
        <v>16030.260000000002</v>
      </c>
      <c r="O327">
        <v>32060.52</v>
      </c>
      <c r="P327">
        <v>0</v>
      </c>
      <c r="Q327">
        <f>O327+P327</f>
        <v>32060.52</v>
      </c>
      <c r="R327">
        <v>0</v>
      </c>
      <c r="S327">
        <f>IF(OR(LEFT(E327,2)="A_",LEFT(D327,5)="Total"),R327-Q327,"")</f>
        <v>-32060.52</v>
      </c>
      <c r="T327">
        <v>0.03</v>
      </c>
      <c r="U327">
        <f>IFERROR(R327*T327,R327*0)</f>
        <v>0</v>
      </c>
      <c r="V327">
        <f>IF(OR(LEFT(E327,2)="A_",LEFT(D327,5)="Total"),R327+U327,"")</f>
        <v>0</v>
      </c>
      <c r="W327">
        <f>IF(OR(LEFT(E327,2)="A_",LEFT(D327,5)="Total"),V327-Q327,"")</f>
        <v>-32060.52</v>
      </c>
      <c r="X327">
        <v>0</v>
      </c>
    </row>
    <row r="328" spans="1:24" x14ac:dyDescent="0.25">
      <c r="A328" t="s">
        <v>469</v>
      </c>
      <c r="B328" t="s">
        <v>469</v>
      </c>
      <c r="C328" t="s">
        <v>488</v>
      </c>
      <c r="D328" t="s">
        <v>106</v>
      </c>
      <c r="E328" t="s">
        <v>42</v>
      </c>
      <c r="F328" t="s">
        <v>42</v>
      </c>
      <c r="G328" t="s">
        <v>282</v>
      </c>
      <c r="J328">
        <v>0</v>
      </c>
      <c r="K328">
        <v>0</v>
      </c>
      <c r="L328">
        <v>107559.87999999999</v>
      </c>
      <c r="M328">
        <v>216902.52044198895</v>
      </c>
      <c r="N328">
        <v>107559.88</v>
      </c>
      <c r="O328">
        <v>215175.95198895028</v>
      </c>
      <c r="P328">
        <f>SUMIF($F$324:$F$327,"&lt;&gt;EV_*",$P$324:$P$327)</f>
        <v>0</v>
      </c>
      <c r="Q328">
        <f>SUMIF($F$324:$F$327,"&lt;&gt;EV_*",$Q$324:$Q$327)</f>
        <v>215175.95198895028</v>
      </c>
      <c r="R328">
        <f>SUMIF($F$324:$F$327,"&lt;&gt;EV_*",$R$324:$R$327)</f>
        <v>0</v>
      </c>
      <c r="S328">
        <f>SUMIF($F$324:$F$327,"&lt;&gt;EV_*",$S$324:$S$327)</f>
        <v>-215175.95198895028</v>
      </c>
      <c r="T328">
        <v>0</v>
      </c>
      <c r="U328">
        <f>SUMIF($F$324:$F$327,"&lt;&gt;EV_*",$U$324:$U$327)</f>
        <v>0</v>
      </c>
      <c r="V328">
        <f>SUMIF($F$324:$F$327,"&lt;&gt;EV_*",$V$324:$V$327)</f>
        <v>0</v>
      </c>
      <c r="W328">
        <f>SUMIF($F$324:$F$327,"&lt;&gt;EV_*",$W$324:$W$327)</f>
        <v>-215175.95198895028</v>
      </c>
      <c r="X328">
        <f>SUMIF($F$324:$F$327,"&lt;&gt;EV_*",$X$324:$X$327)</f>
        <v>0</v>
      </c>
    </row>
    <row r="329" spans="1:24" x14ac:dyDescent="0.25">
      <c r="A329" t="s">
        <v>470</v>
      </c>
      <c r="B329" t="s">
        <v>470</v>
      </c>
      <c r="C329" t="s">
        <v>489</v>
      </c>
      <c r="D329" t="s">
        <v>107</v>
      </c>
      <c r="E329" t="s">
        <v>5</v>
      </c>
      <c r="F329" t="s">
        <v>5</v>
      </c>
      <c r="G329" t="s">
        <v>283</v>
      </c>
    </row>
    <row r="330" spans="1:24" x14ac:dyDescent="0.25">
      <c r="A330" t="s">
        <v>470</v>
      </c>
      <c r="B330" t="s">
        <v>470</v>
      </c>
      <c r="C330" t="s">
        <v>489</v>
      </c>
      <c r="D330" t="s">
        <v>107</v>
      </c>
      <c r="E330" t="s">
        <v>108</v>
      </c>
      <c r="F330" t="s">
        <v>1</v>
      </c>
      <c r="G330" t="s">
        <v>284</v>
      </c>
      <c r="H330" t="s">
        <v>285</v>
      </c>
      <c r="I330" t="s">
        <v>1</v>
      </c>
      <c r="J330">
        <v>135211.43</v>
      </c>
      <c r="K330">
        <v>133789</v>
      </c>
      <c r="L330">
        <v>70938.42</v>
      </c>
      <c r="M330">
        <v>143052.61491712707</v>
      </c>
      <c r="N330">
        <v>141881.59</v>
      </c>
      <c r="O330">
        <v>141876.84</v>
      </c>
      <c r="P330">
        <v>0</v>
      </c>
      <c r="Q330">
        <f t="shared" ref="Q330:Q352" si="65">O330+P330</f>
        <v>141876.84</v>
      </c>
      <c r="R330">
        <v>0</v>
      </c>
      <c r="S330">
        <f t="shared" ref="S330:S352" si="66">IF(OR(LEFT(E330,2)="A_",LEFT(D330,5)="Total"),R330-Q330,"")</f>
        <v>-141876.84</v>
      </c>
      <c r="U330">
        <f t="shared" ref="U330:U352" si="67">IFERROR(R330*T330,R330*0)</f>
        <v>0</v>
      </c>
      <c r="V330">
        <f t="shared" ref="V330:V352" si="68">IF(OR(LEFT(E330,2)="A_",LEFT(D330,5)="Total"),R330+U330,"")</f>
        <v>0</v>
      </c>
      <c r="W330">
        <f t="shared" ref="W330:W352" si="69">IF(OR(LEFT(E330,2)="A_",LEFT(D330,5)="Total"),V330-Q330,"")</f>
        <v>-141876.84</v>
      </c>
      <c r="X330" t="s">
        <v>444</v>
      </c>
    </row>
    <row r="331" spans="1:24" x14ac:dyDescent="0.25">
      <c r="A331" t="s">
        <v>470</v>
      </c>
      <c r="B331" t="s">
        <v>470</v>
      </c>
      <c r="C331" t="s">
        <v>489</v>
      </c>
      <c r="D331" t="s">
        <v>107</v>
      </c>
      <c r="E331" t="s">
        <v>7</v>
      </c>
      <c r="F331" t="s">
        <v>1</v>
      </c>
      <c r="G331" t="s">
        <v>284</v>
      </c>
      <c r="H331" t="s">
        <v>159</v>
      </c>
      <c r="I331" t="s">
        <v>1</v>
      </c>
      <c r="J331">
        <v>8948.65</v>
      </c>
      <c r="K331">
        <v>6000</v>
      </c>
      <c r="L331">
        <v>1408.52</v>
      </c>
      <c r="M331">
        <v>2840.3856353591159</v>
      </c>
      <c r="N331">
        <v>7468.6299999999992</v>
      </c>
      <c r="O331">
        <v>2817.04</v>
      </c>
      <c r="P331">
        <v>0</v>
      </c>
      <c r="Q331">
        <f t="shared" si="65"/>
        <v>2817.04</v>
      </c>
      <c r="R331">
        <v>6000</v>
      </c>
      <c r="S331">
        <f t="shared" si="66"/>
        <v>3182.96</v>
      </c>
      <c r="U331">
        <f t="shared" si="67"/>
        <v>0</v>
      </c>
      <c r="V331">
        <f t="shared" si="68"/>
        <v>6000</v>
      </c>
      <c r="W331">
        <f t="shared" si="69"/>
        <v>3182.96</v>
      </c>
      <c r="X331" t="s">
        <v>445</v>
      </c>
    </row>
    <row r="332" spans="1:24" x14ac:dyDescent="0.25">
      <c r="A332" t="s">
        <v>470</v>
      </c>
      <c r="B332" t="s">
        <v>470</v>
      </c>
      <c r="C332" t="s">
        <v>489</v>
      </c>
      <c r="D332" t="s">
        <v>107</v>
      </c>
      <c r="E332" t="s">
        <v>9</v>
      </c>
      <c r="F332" t="s">
        <v>1</v>
      </c>
      <c r="G332" t="s">
        <v>284</v>
      </c>
      <c r="H332" t="s">
        <v>161</v>
      </c>
      <c r="I332" t="s">
        <v>1</v>
      </c>
      <c r="J332">
        <v>8907.83</v>
      </c>
      <c r="K332">
        <v>2499.9999999995998</v>
      </c>
      <c r="L332">
        <v>5391.44</v>
      </c>
      <c r="M332">
        <v>10872.2408839779</v>
      </c>
      <c r="N332">
        <v>10711.619999999999</v>
      </c>
      <c r="O332">
        <v>10782.88</v>
      </c>
      <c r="P332">
        <v>0</v>
      </c>
      <c r="Q332">
        <f t="shared" si="65"/>
        <v>10782.88</v>
      </c>
      <c r="R332">
        <v>10782.88</v>
      </c>
      <c r="S332">
        <f t="shared" si="66"/>
        <v>0</v>
      </c>
      <c r="U332">
        <f t="shared" si="67"/>
        <v>0</v>
      </c>
      <c r="V332">
        <f t="shared" si="68"/>
        <v>10782.88</v>
      </c>
      <c r="W332">
        <f t="shared" si="69"/>
        <v>0</v>
      </c>
      <c r="X332">
        <v>0</v>
      </c>
    </row>
    <row r="333" spans="1:24" x14ac:dyDescent="0.25">
      <c r="A333" t="s">
        <v>470</v>
      </c>
      <c r="B333" t="s">
        <v>470</v>
      </c>
      <c r="C333" t="s">
        <v>489</v>
      </c>
      <c r="D333" t="s">
        <v>107</v>
      </c>
      <c r="E333" t="s">
        <v>44</v>
      </c>
      <c r="F333" t="s">
        <v>1</v>
      </c>
      <c r="G333" t="s">
        <v>284</v>
      </c>
      <c r="H333" t="s">
        <v>197</v>
      </c>
      <c r="I333" t="s">
        <v>1</v>
      </c>
      <c r="J333">
        <v>-14402</v>
      </c>
      <c r="K333">
        <v>-8969.9999999997999</v>
      </c>
      <c r="L333">
        <v>-7422.28</v>
      </c>
      <c r="M333">
        <v>-14967.581215469614</v>
      </c>
      <c r="N333">
        <v>-18882.16</v>
      </c>
      <c r="O333">
        <v>-14926.1235164835</v>
      </c>
      <c r="P333">
        <v>0</v>
      </c>
      <c r="Q333">
        <f t="shared" si="65"/>
        <v>-14926.1235164835</v>
      </c>
      <c r="R333">
        <v>-14926.1235164835</v>
      </c>
      <c r="S333">
        <f t="shared" si="66"/>
        <v>0</v>
      </c>
      <c r="U333">
        <f t="shared" si="67"/>
        <v>0</v>
      </c>
      <c r="V333">
        <f t="shared" si="68"/>
        <v>-14926.1235164835</v>
      </c>
      <c r="W333">
        <f t="shared" si="69"/>
        <v>0</v>
      </c>
      <c r="X333">
        <v>0</v>
      </c>
    </row>
    <row r="334" spans="1:24" x14ac:dyDescent="0.25">
      <c r="A334" t="s">
        <v>470</v>
      </c>
      <c r="B334" t="s">
        <v>470</v>
      </c>
      <c r="C334" t="s">
        <v>489</v>
      </c>
      <c r="D334" t="s">
        <v>107</v>
      </c>
      <c r="E334" t="s">
        <v>63</v>
      </c>
      <c r="F334" t="s">
        <v>1</v>
      </c>
      <c r="G334" t="s">
        <v>284</v>
      </c>
      <c r="H334" t="s">
        <v>222</v>
      </c>
      <c r="I334" t="s">
        <v>1</v>
      </c>
      <c r="J334">
        <v>300411.96000000002</v>
      </c>
      <c r="K334">
        <v>251175.60026685701</v>
      </c>
      <c r="L334">
        <v>135337.37</v>
      </c>
      <c r="M334">
        <v>272917.90082872927</v>
      </c>
      <c r="N334">
        <v>349502.03</v>
      </c>
      <c r="O334">
        <v>272161.96384615399</v>
      </c>
      <c r="P334">
        <v>0</v>
      </c>
      <c r="Q334">
        <f t="shared" si="65"/>
        <v>272161.96384615399</v>
      </c>
      <c r="R334">
        <v>300000</v>
      </c>
      <c r="S334">
        <f t="shared" si="66"/>
        <v>27838.036153846013</v>
      </c>
      <c r="T334">
        <v>2.75E-2</v>
      </c>
      <c r="U334">
        <f t="shared" si="67"/>
        <v>8250</v>
      </c>
      <c r="V334">
        <f t="shared" si="68"/>
        <v>308250</v>
      </c>
      <c r="W334">
        <f t="shared" si="69"/>
        <v>36088.036153846013</v>
      </c>
      <c r="X334">
        <v>0</v>
      </c>
    </row>
    <row r="335" spans="1:24" x14ac:dyDescent="0.25">
      <c r="A335" t="s">
        <v>470</v>
      </c>
      <c r="B335" t="s">
        <v>470</v>
      </c>
      <c r="C335" t="s">
        <v>489</v>
      </c>
      <c r="D335" t="s">
        <v>107</v>
      </c>
      <c r="E335" t="s">
        <v>71</v>
      </c>
      <c r="F335" t="s">
        <v>1</v>
      </c>
      <c r="G335" t="s">
        <v>284</v>
      </c>
      <c r="H335" t="s">
        <v>232</v>
      </c>
      <c r="I335" t="s">
        <v>1</v>
      </c>
      <c r="J335">
        <v>732702.99</v>
      </c>
      <c r="K335">
        <v>729665.58864947304</v>
      </c>
      <c r="L335">
        <v>323043.07</v>
      </c>
      <c r="M335">
        <v>651440.44502762437</v>
      </c>
      <c r="N335">
        <v>651533.22999999986</v>
      </c>
      <c r="O335">
        <v>649636.06384615402</v>
      </c>
      <c r="P335">
        <v>0</v>
      </c>
      <c r="Q335">
        <f t="shared" si="65"/>
        <v>649636.06384615402</v>
      </c>
      <c r="R335">
        <v>700000</v>
      </c>
      <c r="S335">
        <f t="shared" si="66"/>
        <v>50363.936153845978</v>
      </c>
      <c r="T335">
        <v>2.2499999999999999E-2</v>
      </c>
      <c r="U335">
        <f t="shared" si="67"/>
        <v>15750</v>
      </c>
      <c r="V335">
        <f t="shared" si="68"/>
        <v>715750</v>
      </c>
      <c r="W335">
        <f t="shared" si="69"/>
        <v>66113.936153845978</v>
      </c>
      <c r="X335">
        <v>0</v>
      </c>
    </row>
    <row r="336" spans="1:24" x14ac:dyDescent="0.25">
      <c r="A336" t="s">
        <v>470</v>
      </c>
      <c r="B336" t="s">
        <v>470</v>
      </c>
      <c r="C336" t="s">
        <v>489</v>
      </c>
      <c r="D336" t="s">
        <v>107</v>
      </c>
      <c r="E336" t="s">
        <v>13</v>
      </c>
      <c r="F336" t="s">
        <v>1</v>
      </c>
      <c r="G336" t="s">
        <v>284</v>
      </c>
      <c r="H336" t="s">
        <v>165</v>
      </c>
      <c r="I336" t="s">
        <v>1</v>
      </c>
      <c r="J336">
        <v>9822.82</v>
      </c>
      <c r="K336">
        <v>7510.6875436468999</v>
      </c>
      <c r="L336">
        <v>2328.7399999999998</v>
      </c>
      <c r="M336">
        <v>4696.0779005524855</v>
      </c>
      <c r="N336">
        <v>9431.91</v>
      </c>
      <c r="O336">
        <v>4683.0705494506001</v>
      </c>
      <c r="P336">
        <v>0</v>
      </c>
      <c r="Q336">
        <f t="shared" si="65"/>
        <v>4683.0705494506001</v>
      </c>
      <c r="R336">
        <v>4683.0705494506001</v>
      </c>
      <c r="S336">
        <f t="shared" si="66"/>
        <v>0</v>
      </c>
      <c r="T336">
        <v>0.02</v>
      </c>
      <c r="U336">
        <f t="shared" si="67"/>
        <v>93.661410989011998</v>
      </c>
      <c r="V336">
        <f t="shared" si="68"/>
        <v>4776.7319604396125</v>
      </c>
      <c r="W336">
        <f t="shared" si="69"/>
        <v>93.661410989012438</v>
      </c>
      <c r="X336">
        <v>0</v>
      </c>
    </row>
    <row r="337" spans="1:24" x14ac:dyDescent="0.25">
      <c r="A337" t="s">
        <v>470</v>
      </c>
      <c r="B337" t="s">
        <v>470</v>
      </c>
      <c r="C337" t="s">
        <v>489</v>
      </c>
      <c r="D337" t="s">
        <v>107</v>
      </c>
      <c r="E337" t="s">
        <v>64</v>
      </c>
      <c r="F337" t="s">
        <v>1</v>
      </c>
      <c r="G337" t="s">
        <v>284</v>
      </c>
      <c r="H337" t="s">
        <v>223</v>
      </c>
      <c r="I337" t="s">
        <v>1</v>
      </c>
      <c r="J337">
        <v>94.52</v>
      </c>
      <c r="K337">
        <v>2.3925929000000001E-3</v>
      </c>
      <c r="L337">
        <v>1211.1099999999999</v>
      </c>
      <c r="M337">
        <v>2442.2936464088398</v>
      </c>
      <c r="N337">
        <v>1555.6299999999999</v>
      </c>
      <c r="O337">
        <v>2435.5289010989</v>
      </c>
      <c r="P337">
        <v>0</v>
      </c>
      <c r="Q337">
        <f t="shared" si="65"/>
        <v>2435.5289010989</v>
      </c>
      <c r="R337">
        <v>0</v>
      </c>
      <c r="S337">
        <f t="shared" si="66"/>
        <v>-2435.5289010989</v>
      </c>
      <c r="T337">
        <v>0.02</v>
      </c>
      <c r="U337">
        <f t="shared" si="67"/>
        <v>0</v>
      </c>
      <c r="V337">
        <f t="shared" si="68"/>
        <v>0</v>
      </c>
      <c r="W337">
        <f t="shared" si="69"/>
        <v>-2435.5289010989</v>
      </c>
      <c r="X337">
        <v>0</v>
      </c>
    </row>
    <row r="338" spans="1:24" x14ac:dyDescent="0.25">
      <c r="A338" t="s">
        <v>470</v>
      </c>
      <c r="B338" t="s">
        <v>470</v>
      </c>
      <c r="C338" t="s">
        <v>489</v>
      </c>
      <c r="D338" t="s">
        <v>107</v>
      </c>
      <c r="E338" t="s">
        <v>52</v>
      </c>
      <c r="F338" t="s">
        <v>1</v>
      </c>
      <c r="G338" t="s">
        <v>284</v>
      </c>
      <c r="H338" t="s">
        <v>205</v>
      </c>
      <c r="I338" t="s">
        <v>1</v>
      </c>
      <c r="J338">
        <v>1443.96</v>
      </c>
      <c r="K338">
        <v>1349.6440408265</v>
      </c>
      <c r="L338">
        <v>338.62</v>
      </c>
      <c r="M338">
        <v>682.85248618784533</v>
      </c>
      <c r="N338">
        <v>926.46999999999991</v>
      </c>
      <c r="O338">
        <v>680.96109890109994</v>
      </c>
      <c r="P338">
        <v>0</v>
      </c>
      <c r="Q338">
        <f t="shared" si="65"/>
        <v>680.96109890109994</v>
      </c>
      <c r="R338">
        <v>680.96109890109994</v>
      </c>
      <c r="S338">
        <f t="shared" si="66"/>
        <v>0</v>
      </c>
      <c r="T338">
        <v>0.04</v>
      </c>
      <c r="U338">
        <f t="shared" si="67"/>
        <v>27.238443956043998</v>
      </c>
      <c r="V338">
        <f t="shared" si="68"/>
        <v>708.19954285714391</v>
      </c>
      <c r="W338">
        <f t="shared" si="69"/>
        <v>27.238443956043966</v>
      </c>
      <c r="X338">
        <v>0</v>
      </c>
    </row>
    <row r="339" spans="1:24" x14ac:dyDescent="0.25">
      <c r="A339" t="s">
        <v>470</v>
      </c>
      <c r="B339" t="s">
        <v>470</v>
      </c>
      <c r="C339" t="s">
        <v>489</v>
      </c>
      <c r="D339" t="s">
        <v>107</v>
      </c>
      <c r="E339" t="s">
        <v>16</v>
      </c>
      <c r="F339" t="s">
        <v>1</v>
      </c>
      <c r="G339" t="s">
        <v>284</v>
      </c>
      <c r="H339" t="s">
        <v>168</v>
      </c>
      <c r="I339" t="s">
        <v>1</v>
      </c>
      <c r="J339">
        <v>993</v>
      </c>
      <c r="L339">
        <v>279.68</v>
      </c>
      <c r="M339">
        <v>563.99558011049726</v>
      </c>
      <c r="N339">
        <v>1272.68</v>
      </c>
      <c r="O339">
        <v>563.99558011049999</v>
      </c>
      <c r="P339">
        <v>0</v>
      </c>
      <c r="Q339">
        <f t="shared" si="65"/>
        <v>563.99558011049999</v>
      </c>
      <c r="R339">
        <v>563.99558011049999</v>
      </c>
      <c r="S339">
        <f t="shared" si="66"/>
        <v>0</v>
      </c>
      <c r="T339">
        <v>0.03</v>
      </c>
      <c r="U339">
        <f t="shared" si="67"/>
        <v>16.919867403314999</v>
      </c>
      <c r="V339">
        <f t="shared" si="68"/>
        <v>580.91544751381502</v>
      </c>
      <c r="W339">
        <f t="shared" si="69"/>
        <v>16.919867403315038</v>
      </c>
      <c r="X339">
        <v>0</v>
      </c>
    </row>
    <row r="340" spans="1:24" x14ac:dyDescent="0.25">
      <c r="A340" t="s">
        <v>470</v>
      </c>
      <c r="B340" t="s">
        <v>470</v>
      </c>
      <c r="C340" t="s">
        <v>489</v>
      </c>
      <c r="D340" t="s">
        <v>107</v>
      </c>
      <c r="E340" t="s">
        <v>17</v>
      </c>
      <c r="F340" t="s">
        <v>1</v>
      </c>
      <c r="G340" t="s">
        <v>284</v>
      </c>
      <c r="H340" t="s">
        <v>169</v>
      </c>
      <c r="I340" t="s">
        <v>1</v>
      </c>
      <c r="J340">
        <v>429.38</v>
      </c>
      <c r="K340">
        <v>267.02999999970001</v>
      </c>
      <c r="L340">
        <v>1183.7</v>
      </c>
      <c r="M340">
        <v>2387.0193370165744</v>
      </c>
      <c r="N340">
        <v>1462.7</v>
      </c>
      <c r="O340">
        <v>2387.0193370165998</v>
      </c>
      <c r="P340">
        <v>0</v>
      </c>
      <c r="Q340">
        <f t="shared" si="65"/>
        <v>2387.0193370165998</v>
      </c>
      <c r="R340">
        <v>4000</v>
      </c>
      <c r="S340">
        <f t="shared" si="66"/>
        <v>1612.9806629834002</v>
      </c>
      <c r="T340">
        <v>3.5000000000000003E-2</v>
      </c>
      <c r="U340">
        <f t="shared" si="67"/>
        <v>140</v>
      </c>
      <c r="V340">
        <f t="shared" si="68"/>
        <v>4140</v>
      </c>
      <c r="W340">
        <f t="shared" si="69"/>
        <v>1752.9806629834002</v>
      </c>
      <c r="X340" t="s">
        <v>446</v>
      </c>
    </row>
    <row r="341" spans="1:24" x14ac:dyDescent="0.25">
      <c r="A341" t="s">
        <v>470</v>
      </c>
      <c r="B341" t="s">
        <v>470</v>
      </c>
      <c r="C341" t="s">
        <v>489</v>
      </c>
      <c r="D341" t="s">
        <v>107</v>
      </c>
      <c r="E341" t="s">
        <v>18</v>
      </c>
      <c r="F341" t="s">
        <v>1</v>
      </c>
      <c r="G341" t="s">
        <v>284</v>
      </c>
      <c r="H341" t="s">
        <v>170</v>
      </c>
      <c r="I341" t="s">
        <v>1</v>
      </c>
      <c r="J341">
        <v>515.91</v>
      </c>
      <c r="K341">
        <v>415.0350000002</v>
      </c>
      <c r="L341">
        <v>1756.39</v>
      </c>
      <c r="M341">
        <v>3541.8914364640882</v>
      </c>
      <c r="N341">
        <v>2073.2800000000002</v>
      </c>
      <c r="O341">
        <v>3541.8914364641</v>
      </c>
      <c r="P341">
        <v>0</v>
      </c>
      <c r="Q341">
        <f t="shared" si="65"/>
        <v>3541.8914364641</v>
      </c>
      <c r="R341">
        <v>3542</v>
      </c>
      <c r="S341">
        <f t="shared" si="66"/>
        <v>0.10856353589997525</v>
      </c>
      <c r="T341">
        <v>3.5000000000000003E-2</v>
      </c>
      <c r="U341">
        <f t="shared" si="67"/>
        <v>123.97000000000001</v>
      </c>
      <c r="V341">
        <f t="shared" si="68"/>
        <v>3665.97</v>
      </c>
      <c r="W341">
        <f t="shared" si="69"/>
        <v>124.07856353589978</v>
      </c>
      <c r="X341">
        <v>0</v>
      </c>
    </row>
    <row r="342" spans="1:24" x14ac:dyDescent="0.25">
      <c r="A342" t="s">
        <v>470</v>
      </c>
      <c r="B342" t="s">
        <v>470</v>
      </c>
      <c r="C342" t="s">
        <v>489</v>
      </c>
      <c r="D342" t="s">
        <v>107</v>
      </c>
      <c r="E342" t="s">
        <v>21</v>
      </c>
      <c r="F342" t="s">
        <v>1</v>
      </c>
      <c r="G342" t="s">
        <v>284</v>
      </c>
      <c r="H342" t="s">
        <v>173</v>
      </c>
      <c r="I342" t="s">
        <v>1</v>
      </c>
      <c r="K342">
        <v>450</v>
      </c>
      <c r="L342">
        <v>0</v>
      </c>
      <c r="M342">
        <v>0</v>
      </c>
      <c r="N342">
        <v>0</v>
      </c>
      <c r="P342">
        <v>0</v>
      </c>
      <c r="Q342">
        <f t="shared" si="65"/>
        <v>0</v>
      </c>
      <c r="R342">
        <v>0</v>
      </c>
      <c r="S342">
        <f t="shared" si="66"/>
        <v>0</v>
      </c>
      <c r="U342">
        <f t="shared" si="67"/>
        <v>0</v>
      </c>
      <c r="V342">
        <f t="shared" si="68"/>
        <v>0</v>
      </c>
      <c r="W342">
        <f t="shared" si="69"/>
        <v>0</v>
      </c>
      <c r="X342">
        <v>0</v>
      </c>
    </row>
    <row r="343" spans="1:24" x14ac:dyDescent="0.25">
      <c r="A343" t="s">
        <v>470</v>
      </c>
      <c r="B343" t="s">
        <v>470</v>
      </c>
      <c r="C343" t="s">
        <v>489</v>
      </c>
      <c r="D343" t="s">
        <v>107</v>
      </c>
      <c r="E343" t="s">
        <v>22</v>
      </c>
      <c r="F343" t="s">
        <v>1</v>
      </c>
      <c r="G343" t="s">
        <v>284</v>
      </c>
      <c r="H343" t="s">
        <v>174</v>
      </c>
      <c r="I343" t="s">
        <v>1</v>
      </c>
      <c r="K343">
        <v>249.99999999959999</v>
      </c>
      <c r="L343">
        <v>0</v>
      </c>
      <c r="M343">
        <v>0</v>
      </c>
      <c r="N343">
        <v>0</v>
      </c>
      <c r="P343">
        <v>0</v>
      </c>
      <c r="Q343">
        <f t="shared" si="65"/>
        <v>0</v>
      </c>
      <c r="R343">
        <v>0</v>
      </c>
      <c r="S343">
        <f t="shared" si="66"/>
        <v>0</v>
      </c>
      <c r="U343">
        <f t="shared" si="67"/>
        <v>0</v>
      </c>
      <c r="V343">
        <f t="shared" si="68"/>
        <v>0</v>
      </c>
      <c r="W343">
        <f t="shared" si="69"/>
        <v>0</v>
      </c>
      <c r="X343">
        <v>0</v>
      </c>
    </row>
    <row r="344" spans="1:24" x14ac:dyDescent="0.25">
      <c r="A344" t="s">
        <v>470</v>
      </c>
      <c r="B344" t="s">
        <v>470</v>
      </c>
      <c r="C344" t="s">
        <v>489</v>
      </c>
      <c r="D344" t="s">
        <v>107</v>
      </c>
      <c r="E344" t="s">
        <v>27</v>
      </c>
      <c r="F344" t="s">
        <v>1</v>
      </c>
      <c r="G344" t="s">
        <v>284</v>
      </c>
      <c r="H344" t="s">
        <v>179</v>
      </c>
      <c r="I344" t="s">
        <v>1</v>
      </c>
      <c r="J344">
        <v>1194.27</v>
      </c>
      <c r="K344">
        <v>675</v>
      </c>
      <c r="L344">
        <v>241.98</v>
      </c>
      <c r="M344">
        <v>487.97071823204419</v>
      </c>
      <c r="N344">
        <v>455.23</v>
      </c>
      <c r="O344">
        <v>483.96</v>
      </c>
      <c r="P344">
        <v>0</v>
      </c>
      <c r="Q344">
        <f t="shared" si="65"/>
        <v>483.96</v>
      </c>
      <c r="R344">
        <v>500</v>
      </c>
      <c r="S344">
        <f t="shared" si="66"/>
        <v>16.04000000000002</v>
      </c>
      <c r="U344">
        <f t="shared" si="67"/>
        <v>0</v>
      </c>
      <c r="V344">
        <f t="shared" si="68"/>
        <v>500</v>
      </c>
      <c r="W344">
        <f t="shared" si="69"/>
        <v>16.04000000000002</v>
      </c>
      <c r="X344">
        <v>0</v>
      </c>
    </row>
    <row r="345" spans="1:24" x14ac:dyDescent="0.25">
      <c r="A345" t="s">
        <v>470</v>
      </c>
      <c r="B345" t="s">
        <v>470</v>
      </c>
      <c r="C345" t="s">
        <v>489</v>
      </c>
      <c r="D345" t="s">
        <v>107</v>
      </c>
      <c r="E345" t="s">
        <v>29</v>
      </c>
      <c r="F345" t="s">
        <v>1</v>
      </c>
      <c r="G345" t="s">
        <v>284</v>
      </c>
      <c r="H345" t="s">
        <v>181</v>
      </c>
      <c r="I345" t="s">
        <v>1</v>
      </c>
      <c r="K345">
        <v>338.00000000040001</v>
      </c>
      <c r="L345">
        <v>0</v>
      </c>
      <c r="M345">
        <v>0</v>
      </c>
      <c r="N345">
        <v>0</v>
      </c>
      <c r="P345">
        <v>0</v>
      </c>
      <c r="Q345">
        <f t="shared" si="65"/>
        <v>0</v>
      </c>
      <c r="R345">
        <v>0</v>
      </c>
      <c r="S345">
        <f t="shared" si="66"/>
        <v>0</v>
      </c>
      <c r="U345">
        <f t="shared" si="67"/>
        <v>0</v>
      </c>
      <c r="V345">
        <f t="shared" si="68"/>
        <v>0</v>
      </c>
      <c r="W345">
        <f t="shared" si="69"/>
        <v>0</v>
      </c>
      <c r="X345">
        <v>0</v>
      </c>
    </row>
    <row r="346" spans="1:24" x14ac:dyDescent="0.25">
      <c r="A346" t="s">
        <v>470</v>
      </c>
      <c r="B346" t="s">
        <v>470</v>
      </c>
      <c r="C346" t="s">
        <v>489</v>
      </c>
      <c r="D346" t="s">
        <v>107</v>
      </c>
      <c r="E346" t="s">
        <v>30</v>
      </c>
      <c r="F346" t="s">
        <v>1</v>
      </c>
      <c r="G346" t="s">
        <v>284</v>
      </c>
      <c r="H346" t="s">
        <v>182</v>
      </c>
      <c r="I346" t="s">
        <v>1</v>
      </c>
      <c r="J346">
        <v>17505.55</v>
      </c>
      <c r="L346">
        <v>0</v>
      </c>
      <c r="M346">
        <v>0</v>
      </c>
      <c r="N346">
        <v>8905.7100000000009</v>
      </c>
      <c r="P346">
        <v>0</v>
      </c>
      <c r="Q346">
        <f t="shared" si="65"/>
        <v>0</v>
      </c>
      <c r="R346">
        <v>0</v>
      </c>
      <c r="S346">
        <f t="shared" si="66"/>
        <v>0</v>
      </c>
      <c r="T346">
        <v>0.03</v>
      </c>
      <c r="U346">
        <f t="shared" si="67"/>
        <v>0</v>
      </c>
      <c r="V346">
        <f t="shared" si="68"/>
        <v>0</v>
      </c>
      <c r="W346">
        <f t="shared" si="69"/>
        <v>0</v>
      </c>
      <c r="X346">
        <v>0</v>
      </c>
    </row>
    <row r="347" spans="1:24" x14ac:dyDescent="0.25">
      <c r="A347" t="s">
        <v>470</v>
      </c>
      <c r="B347" t="s">
        <v>470</v>
      </c>
      <c r="C347" t="s">
        <v>489</v>
      </c>
      <c r="D347" t="s">
        <v>107</v>
      </c>
      <c r="E347" t="s">
        <v>32</v>
      </c>
      <c r="F347" t="s">
        <v>1</v>
      </c>
      <c r="G347" t="s">
        <v>284</v>
      </c>
      <c r="H347" t="s">
        <v>184</v>
      </c>
      <c r="I347" t="s">
        <v>1</v>
      </c>
      <c r="J347">
        <v>21175.67</v>
      </c>
      <c r="K347">
        <v>20873.0000000004</v>
      </c>
      <c r="L347">
        <v>10759.97</v>
      </c>
      <c r="M347">
        <v>21698.282044198895</v>
      </c>
      <c r="N347">
        <v>19349.84</v>
      </c>
      <c r="O347">
        <v>21519.94</v>
      </c>
      <c r="P347">
        <v>0</v>
      </c>
      <c r="Q347">
        <f t="shared" si="65"/>
        <v>21519.94</v>
      </c>
      <c r="R347">
        <v>21698</v>
      </c>
      <c r="S347">
        <f t="shared" si="66"/>
        <v>178.06000000000131</v>
      </c>
      <c r="T347">
        <v>0.03</v>
      </c>
      <c r="U347">
        <f t="shared" si="67"/>
        <v>650.93999999999994</v>
      </c>
      <c r="V347">
        <f t="shared" si="68"/>
        <v>22348.94</v>
      </c>
      <c r="W347">
        <f t="shared" si="69"/>
        <v>829</v>
      </c>
      <c r="X347">
        <v>0</v>
      </c>
    </row>
    <row r="348" spans="1:24" x14ac:dyDescent="0.25">
      <c r="A348" t="s">
        <v>470</v>
      </c>
      <c r="B348" t="s">
        <v>470</v>
      </c>
      <c r="C348" t="s">
        <v>489</v>
      </c>
      <c r="D348" t="s">
        <v>107</v>
      </c>
      <c r="E348" t="s">
        <v>92</v>
      </c>
      <c r="F348" t="s">
        <v>1</v>
      </c>
      <c r="G348" t="s">
        <v>284</v>
      </c>
      <c r="H348" t="s">
        <v>263</v>
      </c>
      <c r="I348" t="s">
        <v>1</v>
      </c>
      <c r="J348">
        <v>693.94</v>
      </c>
      <c r="K348">
        <v>345</v>
      </c>
      <c r="L348">
        <v>191</v>
      </c>
      <c r="M348">
        <v>385.16574585635362</v>
      </c>
      <c r="N348">
        <v>539.94000000000005</v>
      </c>
      <c r="O348">
        <v>382</v>
      </c>
      <c r="P348">
        <v>0</v>
      </c>
      <c r="Q348">
        <f t="shared" si="65"/>
        <v>382</v>
      </c>
      <c r="R348">
        <v>385</v>
      </c>
      <c r="S348">
        <f t="shared" si="66"/>
        <v>3</v>
      </c>
      <c r="T348">
        <v>0.03</v>
      </c>
      <c r="U348">
        <f t="shared" si="67"/>
        <v>11.549999999999999</v>
      </c>
      <c r="V348">
        <f t="shared" si="68"/>
        <v>396.55</v>
      </c>
      <c r="W348">
        <f t="shared" si="69"/>
        <v>14.550000000000011</v>
      </c>
      <c r="X348">
        <v>0</v>
      </c>
    </row>
    <row r="349" spans="1:24" x14ac:dyDescent="0.25">
      <c r="A349" t="s">
        <v>470</v>
      </c>
      <c r="B349" t="s">
        <v>470</v>
      </c>
      <c r="C349" t="s">
        <v>489</v>
      </c>
      <c r="D349" t="s">
        <v>107</v>
      </c>
      <c r="E349" t="s">
        <v>67</v>
      </c>
      <c r="F349" t="s">
        <v>1</v>
      </c>
      <c r="G349" t="s">
        <v>284</v>
      </c>
      <c r="H349" t="s">
        <v>226</v>
      </c>
      <c r="I349" t="s">
        <v>1</v>
      </c>
      <c r="J349">
        <v>5567.21</v>
      </c>
      <c r="K349">
        <v>5391.9999999995998</v>
      </c>
      <c r="L349">
        <v>415.37</v>
      </c>
      <c r="M349">
        <v>837.62458563535915</v>
      </c>
      <c r="N349">
        <v>415.37</v>
      </c>
      <c r="O349">
        <v>830.74</v>
      </c>
      <c r="P349">
        <v>0</v>
      </c>
      <c r="Q349">
        <f t="shared" si="65"/>
        <v>830.74</v>
      </c>
      <c r="R349">
        <v>500</v>
      </c>
      <c r="S349">
        <f t="shared" si="66"/>
        <v>-330.74</v>
      </c>
      <c r="T349">
        <v>0.03</v>
      </c>
      <c r="U349">
        <f t="shared" si="67"/>
        <v>15</v>
      </c>
      <c r="V349">
        <f t="shared" si="68"/>
        <v>515</v>
      </c>
      <c r="W349">
        <f t="shared" si="69"/>
        <v>-315.74</v>
      </c>
      <c r="X349">
        <v>0</v>
      </c>
    </row>
    <row r="350" spans="1:24" x14ac:dyDescent="0.25">
      <c r="A350" t="s">
        <v>470</v>
      </c>
      <c r="B350" t="s">
        <v>470</v>
      </c>
      <c r="C350" t="s">
        <v>489</v>
      </c>
      <c r="D350" t="s">
        <v>107</v>
      </c>
      <c r="E350" t="s">
        <v>36</v>
      </c>
      <c r="F350" t="s">
        <v>1</v>
      </c>
      <c r="G350" t="s">
        <v>284</v>
      </c>
      <c r="H350" t="s">
        <v>188</v>
      </c>
      <c r="I350" t="s">
        <v>1</v>
      </c>
      <c r="J350">
        <v>4244.5</v>
      </c>
      <c r="K350">
        <v>11430.999599999999</v>
      </c>
      <c r="L350">
        <v>5300.73</v>
      </c>
      <c r="M350">
        <v>10689.317403314917</v>
      </c>
      <c r="N350">
        <v>5449.23</v>
      </c>
      <c r="O350">
        <v>10601.46</v>
      </c>
      <c r="P350">
        <v>0</v>
      </c>
      <c r="Q350">
        <f t="shared" si="65"/>
        <v>10601.46</v>
      </c>
      <c r="R350">
        <v>10689</v>
      </c>
      <c r="S350">
        <f t="shared" si="66"/>
        <v>87.540000000000873</v>
      </c>
      <c r="T350">
        <v>0.03</v>
      </c>
      <c r="U350">
        <f t="shared" si="67"/>
        <v>320.67</v>
      </c>
      <c r="V350">
        <f t="shared" si="68"/>
        <v>11009.67</v>
      </c>
      <c r="W350">
        <f t="shared" si="69"/>
        <v>408.21000000000095</v>
      </c>
      <c r="X350">
        <v>0</v>
      </c>
    </row>
    <row r="351" spans="1:24" x14ac:dyDescent="0.25">
      <c r="A351" t="s">
        <v>470</v>
      </c>
      <c r="B351" t="s">
        <v>470</v>
      </c>
      <c r="C351" t="s">
        <v>489</v>
      </c>
      <c r="D351" t="s">
        <v>107</v>
      </c>
      <c r="E351" t="s">
        <v>38</v>
      </c>
      <c r="F351" t="s">
        <v>1</v>
      </c>
      <c r="G351" t="s">
        <v>284</v>
      </c>
      <c r="H351" t="s">
        <v>190</v>
      </c>
      <c r="I351" t="s">
        <v>1</v>
      </c>
      <c r="J351">
        <v>99.25</v>
      </c>
      <c r="K351">
        <v>600</v>
      </c>
      <c r="L351">
        <v>20.95</v>
      </c>
      <c r="M351">
        <v>42.247237569060772</v>
      </c>
      <c r="N351">
        <v>20.95</v>
      </c>
      <c r="O351">
        <v>41.9</v>
      </c>
      <c r="P351">
        <v>0</v>
      </c>
      <c r="Q351">
        <f t="shared" si="65"/>
        <v>41.9</v>
      </c>
      <c r="R351">
        <v>600</v>
      </c>
      <c r="S351">
        <f t="shared" si="66"/>
        <v>558.1</v>
      </c>
      <c r="T351">
        <v>0.03</v>
      </c>
      <c r="U351">
        <f t="shared" si="67"/>
        <v>18</v>
      </c>
      <c r="V351">
        <f t="shared" si="68"/>
        <v>618</v>
      </c>
      <c r="W351">
        <f t="shared" si="69"/>
        <v>576.1</v>
      </c>
      <c r="X351">
        <v>0</v>
      </c>
    </row>
    <row r="352" spans="1:24" x14ac:dyDescent="0.25">
      <c r="A352" t="s">
        <v>470</v>
      </c>
      <c r="B352" t="s">
        <v>470</v>
      </c>
      <c r="C352" t="s">
        <v>489</v>
      </c>
      <c r="D352" t="s">
        <v>107</v>
      </c>
      <c r="E352" t="s">
        <v>41</v>
      </c>
      <c r="F352" t="s">
        <v>1</v>
      </c>
      <c r="G352" t="s">
        <v>284</v>
      </c>
      <c r="H352" t="s">
        <v>193</v>
      </c>
      <c r="I352" t="s">
        <v>1</v>
      </c>
      <c r="J352">
        <v>720.82</v>
      </c>
      <c r="K352">
        <v>786.00000000019998</v>
      </c>
      <c r="L352">
        <v>393.18</v>
      </c>
      <c r="M352">
        <v>792.87679558011064</v>
      </c>
      <c r="N352">
        <v>786.33999999999992</v>
      </c>
      <c r="O352">
        <v>792.87679558009995</v>
      </c>
      <c r="P352">
        <v>0</v>
      </c>
      <c r="Q352">
        <f t="shared" si="65"/>
        <v>792.87679558009995</v>
      </c>
      <c r="R352">
        <v>786</v>
      </c>
      <c r="S352">
        <f t="shared" si="66"/>
        <v>-6.8767955800999516</v>
      </c>
      <c r="U352">
        <f t="shared" si="67"/>
        <v>0</v>
      </c>
      <c r="V352">
        <f t="shared" si="68"/>
        <v>786</v>
      </c>
      <c r="W352">
        <f t="shared" si="69"/>
        <v>-6.8767955800999516</v>
      </c>
      <c r="X352">
        <v>0</v>
      </c>
    </row>
    <row r="353" spans="1:24" x14ac:dyDescent="0.25">
      <c r="A353" t="s">
        <v>470</v>
      </c>
      <c r="B353" t="s">
        <v>470</v>
      </c>
      <c r="C353" t="s">
        <v>489</v>
      </c>
      <c r="D353" t="s">
        <v>107</v>
      </c>
      <c r="E353" t="s">
        <v>42</v>
      </c>
      <c r="F353" t="s">
        <v>42</v>
      </c>
      <c r="G353" t="s">
        <v>286</v>
      </c>
      <c r="J353">
        <v>1236281.6599999997</v>
      </c>
      <c r="K353">
        <v>1164842.5874933961</v>
      </c>
      <c r="L353">
        <v>553117.96</v>
      </c>
      <c r="M353">
        <v>1115403.620994475</v>
      </c>
      <c r="N353">
        <v>1194860.2199999997</v>
      </c>
      <c r="O353">
        <v>1111294.0078744462</v>
      </c>
      <c r="P353">
        <f>SUMIF($F$329:$F$352,"&lt;&gt;EV_*",$P$329:$P$352)</f>
        <v>0</v>
      </c>
      <c r="Q353">
        <f>SUMIF($F$329:$F$352,"&lt;&gt;EV_*",$Q$329:$Q$352)</f>
        <v>1111294.0078744462</v>
      </c>
      <c r="R353">
        <f>SUMIF($F$329:$F$352,"&lt;&gt;EV_*",$R$329:$R$352)</f>
        <v>1050484.7837119787</v>
      </c>
      <c r="S353">
        <f>SUMIF($F$329:$F$352,"&lt;&gt;EV_*",$S$329:$S$352)</f>
        <v>-60809.224162467719</v>
      </c>
      <c r="T353">
        <v>0</v>
      </c>
      <c r="U353">
        <f>SUMIF($F$329:$F$352,"&lt;&gt;EV_*",$U$329:$U$352)</f>
        <v>25417.949722348367</v>
      </c>
      <c r="V353">
        <f>SUMIF($F$329:$F$352,"&lt;&gt;EV_*",$V$329:$V$352)</f>
        <v>1075902.7334343269</v>
      </c>
      <c r="W353">
        <f>SUMIF($F$329:$F$352,"&lt;&gt;EV_*",$W$329:$W$352)</f>
        <v>-35391.274440119341</v>
      </c>
      <c r="X353">
        <f>SUMIF($F$329:$F$352,"&lt;&gt;EV_*",$X$329:$X$352)</f>
        <v>0</v>
      </c>
    </row>
    <row r="354" spans="1:24" x14ac:dyDescent="0.25">
      <c r="A354" t="s">
        <v>471</v>
      </c>
      <c r="B354" t="s">
        <v>472</v>
      </c>
      <c r="C354" t="s">
        <v>490</v>
      </c>
      <c r="D354" t="s">
        <v>109</v>
      </c>
      <c r="E354" t="s">
        <v>5</v>
      </c>
      <c r="F354" t="s">
        <v>5</v>
      </c>
      <c r="G354" t="s">
        <v>287</v>
      </c>
    </row>
    <row r="355" spans="1:24" x14ac:dyDescent="0.25">
      <c r="A355" t="s">
        <v>471</v>
      </c>
      <c r="B355" t="s">
        <v>472</v>
      </c>
      <c r="C355" t="s">
        <v>490</v>
      </c>
      <c r="D355" t="s">
        <v>109</v>
      </c>
      <c r="E355" t="s">
        <v>6</v>
      </c>
      <c r="F355" t="s">
        <v>1</v>
      </c>
      <c r="G355" t="s">
        <v>288</v>
      </c>
      <c r="H355" t="s">
        <v>158</v>
      </c>
      <c r="I355" t="s">
        <v>1</v>
      </c>
      <c r="J355">
        <v>280862.06</v>
      </c>
      <c r="L355">
        <v>26545.85</v>
      </c>
      <c r="M355">
        <v>53531.686464088387</v>
      </c>
      <c r="N355">
        <v>134301.91</v>
      </c>
      <c r="O355">
        <v>53091.7</v>
      </c>
      <c r="P355">
        <v>0</v>
      </c>
      <c r="Q355">
        <f t="shared" ref="Q355:Q386" si="70">O355+P355</f>
        <v>53091.7</v>
      </c>
      <c r="R355">
        <v>53091.7</v>
      </c>
      <c r="S355">
        <f t="shared" ref="S355:S386" si="71">IF(OR(LEFT(E355,2)="A_",LEFT(D355,5)="Total"),R355-Q355,"")</f>
        <v>0</v>
      </c>
      <c r="U355">
        <f t="shared" ref="U355:U386" si="72">IFERROR(R355*T355,R355*0)</f>
        <v>0</v>
      </c>
      <c r="V355">
        <f t="shared" ref="V355:V386" si="73">IF(OR(LEFT(E355,2)="A_",LEFT(D355,5)="Total"),R355+U355,"")</f>
        <v>53091.7</v>
      </c>
      <c r="W355">
        <f t="shared" ref="W355:W386" si="74">IF(OR(LEFT(E355,2)="A_",LEFT(D355,5)="Total"),V355-Q355,"")</f>
        <v>0</v>
      </c>
      <c r="X355">
        <v>0</v>
      </c>
    </row>
    <row r="356" spans="1:24" x14ac:dyDescent="0.25">
      <c r="A356" t="s">
        <v>471</v>
      </c>
      <c r="B356" t="s">
        <v>472</v>
      </c>
      <c r="C356" t="s">
        <v>490</v>
      </c>
      <c r="D356" t="s">
        <v>109</v>
      </c>
      <c r="E356" t="s">
        <v>108</v>
      </c>
      <c r="F356" t="s">
        <v>1</v>
      </c>
      <c r="G356" t="s">
        <v>288</v>
      </c>
      <c r="H356" t="s">
        <v>285</v>
      </c>
      <c r="I356" t="s">
        <v>1</v>
      </c>
      <c r="J356">
        <v>45872.87</v>
      </c>
      <c r="K356">
        <v>163076</v>
      </c>
      <c r="L356">
        <v>0</v>
      </c>
      <c r="M356">
        <v>0</v>
      </c>
      <c r="N356">
        <v>0</v>
      </c>
      <c r="P356">
        <v>0</v>
      </c>
      <c r="Q356">
        <f t="shared" si="70"/>
        <v>0</v>
      </c>
      <c r="R356">
        <v>0</v>
      </c>
      <c r="S356">
        <f t="shared" si="71"/>
        <v>0</v>
      </c>
      <c r="U356">
        <f t="shared" si="72"/>
        <v>0</v>
      </c>
      <c r="V356">
        <f t="shared" si="73"/>
        <v>0</v>
      </c>
      <c r="W356">
        <f t="shared" si="74"/>
        <v>0</v>
      </c>
      <c r="X356">
        <v>0</v>
      </c>
    </row>
    <row r="357" spans="1:24" x14ac:dyDescent="0.25">
      <c r="A357" t="s">
        <v>471</v>
      </c>
      <c r="B357" t="s">
        <v>472</v>
      </c>
      <c r="C357" t="s">
        <v>490</v>
      </c>
      <c r="D357" t="s">
        <v>109</v>
      </c>
      <c r="E357" t="s">
        <v>7</v>
      </c>
      <c r="F357" t="s">
        <v>1</v>
      </c>
      <c r="G357" t="s">
        <v>288</v>
      </c>
      <c r="H357" t="s">
        <v>159</v>
      </c>
      <c r="I357" t="s">
        <v>1</v>
      </c>
      <c r="J357">
        <v>70</v>
      </c>
      <c r="L357">
        <v>0</v>
      </c>
      <c r="M357">
        <v>0</v>
      </c>
      <c r="N357">
        <v>0</v>
      </c>
      <c r="P357">
        <v>0</v>
      </c>
      <c r="Q357">
        <f t="shared" si="70"/>
        <v>0</v>
      </c>
      <c r="R357">
        <v>0</v>
      </c>
      <c r="S357">
        <f t="shared" si="71"/>
        <v>0</v>
      </c>
      <c r="U357">
        <f t="shared" si="72"/>
        <v>0</v>
      </c>
      <c r="V357">
        <f t="shared" si="73"/>
        <v>0</v>
      </c>
      <c r="W357">
        <f t="shared" si="74"/>
        <v>0</v>
      </c>
      <c r="X357">
        <v>0</v>
      </c>
    </row>
    <row r="358" spans="1:24" x14ac:dyDescent="0.25">
      <c r="A358" t="s">
        <v>471</v>
      </c>
      <c r="B358" t="s">
        <v>472</v>
      </c>
      <c r="C358" t="s">
        <v>490</v>
      </c>
      <c r="D358" t="s">
        <v>109</v>
      </c>
      <c r="E358" t="s">
        <v>8</v>
      </c>
      <c r="F358" t="s">
        <v>1</v>
      </c>
      <c r="G358" t="s">
        <v>288</v>
      </c>
      <c r="H358" t="s">
        <v>160</v>
      </c>
      <c r="I358" t="s">
        <v>1</v>
      </c>
      <c r="J358">
        <v>97950.05</v>
      </c>
      <c r="K358">
        <v>104155</v>
      </c>
      <c r="L358">
        <v>63531</v>
      </c>
      <c r="M358">
        <v>128115</v>
      </c>
      <c r="N358">
        <v>109403.75</v>
      </c>
      <c r="O358">
        <v>127062</v>
      </c>
      <c r="P358">
        <v>0</v>
      </c>
      <c r="Q358">
        <f t="shared" si="70"/>
        <v>127062</v>
      </c>
      <c r="R358">
        <v>127062</v>
      </c>
      <c r="S358">
        <f t="shared" si="71"/>
        <v>0</v>
      </c>
      <c r="U358">
        <f t="shared" si="72"/>
        <v>0</v>
      </c>
      <c r="V358">
        <f t="shared" si="73"/>
        <v>127062</v>
      </c>
      <c r="W358">
        <f t="shared" si="74"/>
        <v>0</v>
      </c>
      <c r="X358">
        <v>0</v>
      </c>
    </row>
    <row r="359" spans="1:24" x14ac:dyDescent="0.25">
      <c r="A359" t="s">
        <v>471</v>
      </c>
      <c r="B359" t="s">
        <v>472</v>
      </c>
      <c r="C359" t="s">
        <v>490</v>
      </c>
      <c r="D359" t="s">
        <v>109</v>
      </c>
      <c r="E359" t="s">
        <v>9</v>
      </c>
      <c r="F359" t="s">
        <v>1</v>
      </c>
      <c r="G359" t="s">
        <v>288</v>
      </c>
      <c r="H359" t="s">
        <v>161</v>
      </c>
      <c r="I359" t="s">
        <v>1</v>
      </c>
      <c r="J359">
        <v>7669.37</v>
      </c>
      <c r="K359">
        <v>5252.0000000004002</v>
      </c>
      <c r="L359">
        <v>2926.56</v>
      </c>
      <c r="M359">
        <v>5901.6265193370164</v>
      </c>
      <c r="N359">
        <v>7027.11</v>
      </c>
      <c r="O359">
        <v>5853.12</v>
      </c>
      <c r="P359">
        <v>0</v>
      </c>
      <c r="Q359">
        <f t="shared" si="70"/>
        <v>5853.12</v>
      </c>
      <c r="R359">
        <v>5853.12</v>
      </c>
      <c r="S359">
        <f t="shared" si="71"/>
        <v>0</v>
      </c>
      <c r="U359">
        <f t="shared" si="72"/>
        <v>0</v>
      </c>
      <c r="V359">
        <f t="shared" si="73"/>
        <v>5853.12</v>
      </c>
      <c r="W359">
        <f t="shared" si="74"/>
        <v>0</v>
      </c>
      <c r="X359">
        <v>0</v>
      </c>
    </row>
    <row r="360" spans="1:24" x14ac:dyDescent="0.25">
      <c r="A360" t="s">
        <v>471</v>
      </c>
      <c r="B360" t="s">
        <v>472</v>
      </c>
      <c r="C360" t="s">
        <v>490</v>
      </c>
      <c r="D360" t="s">
        <v>109</v>
      </c>
      <c r="E360" t="s">
        <v>70</v>
      </c>
      <c r="F360" t="s">
        <v>1</v>
      </c>
      <c r="G360" t="s">
        <v>288</v>
      </c>
      <c r="H360" t="s">
        <v>231</v>
      </c>
      <c r="I360" t="s">
        <v>1</v>
      </c>
      <c r="J360">
        <v>-818.94</v>
      </c>
      <c r="L360">
        <v>-474.39</v>
      </c>
      <c r="M360">
        <v>-956.64281767955799</v>
      </c>
      <c r="N360">
        <v>-670.69999999999993</v>
      </c>
      <c r="O360">
        <v>-953.99307692310003</v>
      </c>
      <c r="P360">
        <v>0</v>
      </c>
      <c r="Q360">
        <f t="shared" si="70"/>
        <v>-953.99307692310003</v>
      </c>
      <c r="R360">
        <v>-953.99307692310003</v>
      </c>
      <c r="S360">
        <f t="shared" si="71"/>
        <v>0</v>
      </c>
      <c r="U360">
        <f t="shared" si="72"/>
        <v>0</v>
      </c>
      <c r="V360">
        <f t="shared" si="73"/>
        <v>-953.99307692310003</v>
      </c>
      <c r="W360">
        <f t="shared" si="74"/>
        <v>0</v>
      </c>
      <c r="X360">
        <v>0</v>
      </c>
    </row>
    <row r="361" spans="1:24" x14ac:dyDescent="0.25">
      <c r="A361" t="s">
        <v>471</v>
      </c>
      <c r="B361" t="s">
        <v>472</v>
      </c>
      <c r="C361" t="s">
        <v>490</v>
      </c>
      <c r="D361" t="s">
        <v>109</v>
      </c>
      <c r="E361" t="s">
        <v>44</v>
      </c>
      <c r="F361" t="s">
        <v>1</v>
      </c>
      <c r="G361" t="s">
        <v>288</v>
      </c>
      <c r="H361" t="s">
        <v>197</v>
      </c>
      <c r="I361" t="s">
        <v>1</v>
      </c>
      <c r="J361">
        <v>-70609.52</v>
      </c>
      <c r="K361">
        <v>-90109.999999999898</v>
      </c>
      <c r="L361">
        <v>-57903.3</v>
      </c>
      <c r="M361">
        <v>-116766.3232044199</v>
      </c>
      <c r="N361">
        <v>-97969.89</v>
      </c>
      <c r="O361">
        <v>-116442.9</v>
      </c>
      <c r="P361">
        <v>0</v>
      </c>
      <c r="Q361">
        <f t="shared" si="70"/>
        <v>-116442.9</v>
      </c>
      <c r="R361">
        <v>-116442.9</v>
      </c>
      <c r="S361">
        <f t="shared" si="71"/>
        <v>0</v>
      </c>
      <c r="U361">
        <f t="shared" si="72"/>
        <v>0</v>
      </c>
      <c r="V361">
        <f t="shared" si="73"/>
        <v>-116442.9</v>
      </c>
      <c r="W361">
        <f t="shared" si="74"/>
        <v>0</v>
      </c>
      <c r="X361">
        <v>0</v>
      </c>
    </row>
    <row r="362" spans="1:24" x14ac:dyDescent="0.25">
      <c r="A362" t="s">
        <v>471</v>
      </c>
      <c r="B362" t="s">
        <v>472</v>
      </c>
      <c r="C362" t="s">
        <v>490</v>
      </c>
      <c r="D362" t="s">
        <v>109</v>
      </c>
      <c r="E362" t="s">
        <v>63</v>
      </c>
      <c r="F362" t="s">
        <v>1</v>
      </c>
      <c r="G362" t="s">
        <v>288</v>
      </c>
      <c r="H362" t="s">
        <v>222</v>
      </c>
      <c r="I362" t="s">
        <v>1</v>
      </c>
      <c r="J362">
        <v>9441.92</v>
      </c>
      <c r="K362">
        <v>9634.6670740739992</v>
      </c>
      <c r="L362">
        <v>4381.78</v>
      </c>
      <c r="M362">
        <v>8836.1861878453037</v>
      </c>
      <c r="N362">
        <v>8570.7800000000007</v>
      </c>
      <c r="O362">
        <v>8811.7114285713997</v>
      </c>
      <c r="P362">
        <v>0</v>
      </c>
      <c r="Q362">
        <f t="shared" si="70"/>
        <v>8811.7114285713997</v>
      </c>
      <c r="R362">
        <v>8811.7114285713997</v>
      </c>
      <c r="S362">
        <f t="shared" si="71"/>
        <v>0</v>
      </c>
      <c r="T362">
        <v>2.75E-2</v>
      </c>
      <c r="U362">
        <f t="shared" si="72"/>
        <v>242.32206428571348</v>
      </c>
      <c r="V362">
        <f t="shared" si="73"/>
        <v>9054.0334928571137</v>
      </c>
      <c r="W362">
        <f t="shared" si="74"/>
        <v>242.32206428571408</v>
      </c>
      <c r="X362">
        <v>0</v>
      </c>
    </row>
    <row r="363" spans="1:24" x14ac:dyDescent="0.25">
      <c r="A363" t="s">
        <v>471</v>
      </c>
      <c r="B363" t="s">
        <v>472</v>
      </c>
      <c r="C363" t="s">
        <v>490</v>
      </c>
      <c r="D363" t="s">
        <v>109</v>
      </c>
      <c r="E363" t="s">
        <v>71</v>
      </c>
      <c r="F363" t="s">
        <v>1</v>
      </c>
      <c r="G363" t="s">
        <v>288</v>
      </c>
      <c r="H363" t="s">
        <v>232</v>
      </c>
      <c r="I363" t="s">
        <v>1</v>
      </c>
      <c r="J363">
        <v>256.2</v>
      </c>
      <c r="L363">
        <v>80.36</v>
      </c>
      <c r="M363">
        <v>162.05193370165748</v>
      </c>
      <c r="N363">
        <v>80.36</v>
      </c>
      <c r="O363">
        <v>161.60307692309999</v>
      </c>
      <c r="P363">
        <v>0</v>
      </c>
      <c r="Q363">
        <f t="shared" si="70"/>
        <v>161.60307692309999</v>
      </c>
      <c r="R363">
        <v>161.60307692309999</v>
      </c>
      <c r="S363">
        <f t="shared" si="71"/>
        <v>0</v>
      </c>
      <c r="T363">
        <v>2.2499999999999999E-2</v>
      </c>
      <c r="U363">
        <f t="shared" si="72"/>
        <v>3.6360692307697495</v>
      </c>
      <c r="V363">
        <f t="shared" si="73"/>
        <v>165.23914615386974</v>
      </c>
      <c r="W363">
        <f t="shared" si="74"/>
        <v>3.6360692307697491</v>
      </c>
      <c r="X363">
        <v>0</v>
      </c>
    </row>
    <row r="364" spans="1:24" x14ac:dyDescent="0.25">
      <c r="A364" t="s">
        <v>471</v>
      </c>
      <c r="B364" t="s">
        <v>472</v>
      </c>
      <c r="C364" t="s">
        <v>490</v>
      </c>
      <c r="D364" t="s">
        <v>109</v>
      </c>
      <c r="E364" t="s">
        <v>110</v>
      </c>
      <c r="F364" t="s">
        <v>1</v>
      </c>
      <c r="G364" t="s">
        <v>288</v>
      </c>
      <c r="H364" t="s">
        <v>289</v>
      </c>
      <c r="I364" t="s">
        <v>1</v>
      </c>
      <c r="J364">
        <v>33357.49</v>
      </c>
      <c r="K364">
        <v>24075.9230164609</v>
      </c>
      <c r="L364">
        <v>380</v>
      </c>
      <c r="M364">
        <v>766.29834254143645</v>
      </c>
      <c r="N364">
        <v>26015.57</v>
      </c>
      <c r="O364">
        <v>764.17582417580002</v>
      </c>
      <c r="P364">
        <v>0</v>
      </c>
      <c r="Q364">
        <f t="shared" si="70"/>
        <v>764.17582417580002</v>
      </c>
      <c r="R364">
        <v>764.17582417580002</v>
      </c>
      <c r="S364">
        <f t="shared" si="71"/>
        <v>0</v>
      </c>
      <c r="T364">
        <v>2.2499999999999999E-2</v>
      </c>
      <c r="U364">
        <f t="shared" si="72"/>
        <v>17.193956043955499</v>
      </c>
      <c r="V364">
        <f t="shared" si="73"/>
        <v>781.36978021975551</v>
      </c>
      <c r="W364">
        <f t="shared" si="74"/>
        <v>17.193956043955495</v>
      </c>
      <c r="X364">
        <v>0</v>
      </c>
    </row>
    <row r="365" spans="1:24" x14ac:dyDescent="0.25">
      <c r="A365" t="s">
        <v>471</v>
      </c>
      <c r="B365" t="s">
        <v>472</v>
      </c>
      <c r="C365" t="s">
        <v>490</v>
      </c>
      <c r="D365" t="s">
        <v>109</v>
      </c>
      <c r="E365" t="s">
        <v>111</v>
      </c>
      <c r="F365" t="s">
        <v>1</v>
      </c>
      <c r="G365" t="s">
        <v>288</v>
      </c>
      <c r="H365" t="s">
        <v>290</v>
      </c>
      <c r="I365" t="s">
        <v>1</v>
      </c>
      <c r="J365">
        <v>1094675.47</v>
      </c>
      <c r="K365">
        <v>1294366.4396144301</v>
      </c>
      <c r="L365">
        <v>492569.22</v>
      </c>
      <c r="M365">
        <v>993302.57071823196</v>
      </c>
      <c r="N365">
        <v>1038191.0899999999</v>
      </c>
      <c r="O365">
        <v>990551.28857142804</v>
      </c>
      <c r="P365">
        <v>0</v>
      </c>
      <c r="Q365">
        <f t="shared" si="70"/>
        <v>990551.28857142804</v>
      </c>
      <c r="R365">
        <v>990551.28857142804</v>
      </c>
      <c r="S365">
        <f t="shared" si="71"/>
        <v>0</v>
      </c>
      <c r="T365">
        <v>1.4999999999999999E-2</v>
      </c>
      <c r="U365">
        <f t="shared" si="72"/>
        <v>14858.269328571419</v>
      </c>
      <c r="V365">
        <f t="shared" si="73"/>
        <v>1005409.5578999994</v>
      </c>
      <c r="W365">
        <f t="shared" si="74"/>
        <v>14858.26932857139</v>
      </c>
      <c r="X365">
        <v>0</v>
      </c>
    </row>
    <row r="366" spans="1:24" x14ac:dyDescent="0.25">
      <c r="A366" t="s">
        <v>471</v>
      </c>
      <c r="B366" t="s">
        <v>472</v>
      </c>
      <c r="C366" t="s">
        <v>490</v>
      </c>
      <c r="D366" t="s">
        <v>109</v>
      </c>
      <c r="E366" t="s">
        <v>112</v>
      </c>
      <c r="F366" t="s">
        <v>1</v>
      </c>
      <c r="G366" t="s">
        <v>288</v>
      </c>
      <c r="H366" t="s">
        <v>291</v>
      </c>
      <c r="I366" t="s">
        <v>1</v>
      </c>
      <c r="J366">
        <v>2896963.56</v>
      </c>
      <c r="K366">
        <v>3386240.5160913202</v>
      </c>
      <c r="L366">
        <v>1594684.9</v>
      </c>
      <c r="M366">
        <v>3215801.0414364636</v>
      </c>
      <c r="N366">
        <v>3020531.82</v>
      </c>
      <c r="O366">
        <v>3206893.80989011</v>
      </c>
      <c r="P366">
        <v>0</v>
      </c>
      <c r="Q366">
        <f t="shared" si="70"/>
        <v>3206893.80989011</v>
      </c>
      <c r="R366">
        <v>3206893.80989011</v>
      </c>
      <c r="S366">
        <f t="shared" si="71"/>
        <v>0</v>
      </c>
      <c r="T366">
        <v>2.5000000000000001E-2</v>
      </c>
      <c r="U366">
        <f t="shared" si="72"/>
        <v>80172.345247252757</v>
      </c>
      <c r="V366">
        <f t="shared" si="73"/>
        <v>3287066.1551373629</v>
      </c>
      <c r="W366">
        <f t="shared" si="74"/>
        <v>80172.345247252844</v>
      </c>
      <c r="X366">
        <v>0</v>
      </c>
    </row>
    <row r="367" spans="1:24" x14ac:dyDescent="0.25">
      <c r="A367" t="s">
        <v>471</v>
      </c>
      <c r="B367" t="s">
        <v>472</v>
      </c>
      <c r="C367" t="s">
        <v>490</v>
      </c>
      <c r="D367" t="s">
        <v>109</v>
      </c>
      <c r="E367" t="s">
        <v>113</v>
      </c>
      <c r="F367" t="s">
        <v>1</v>
      </c>
      <c r="G367" t="s">
        <v>288</v>
      </c>
      <c r="H367" t="s">
        <v>292</v>
      </c>
      <c r="I367" t="s">
        <v>1</v>
      </c>
      <c r="J367">
        <v>2340478.75</v>
      </c>
      <c r="K367">
        <v>2256507.8916765898</v>
      </c>
      <c r="L367">
        <v>1234586.72</v>
      </c>
      <c r="M367">
        <v>2489636.2033149172</v>
      </c>
      <c r="N367">
        <v>2563907.63</v>
      </c>
      <c r="O367">
        <v>2482740.3270329698</v>
      </c>
      <c r="P367">
        <v>0</v>
      </c>
      <c r="Q367">
        <f t="shared" si="70"/>
        <v>2482740.3270329698</v>
      </c>
      <c r="R367">
        <v>2482740.3270329698</v>
      </c>
      <c r="S367">
        <f t="shared" si="71"/>
        <v>0</v>
      </c>
      <c r="T367">
        <v>0.03</v>
      </c>
      <c r="U367">
        <f t="shared" si="72"/>
        <v>74482.209810989094</v>
      </c>
      <c r="V367">
        <f t="shared" si="73"/>
        <v>2557222.5368439588</v>
      </c>
      <c r="W367">
        <f t="shared" si="74"/>
        <v>74482.209810988978</v>
      </c>
      <c r="X367">
        <v>0</v>
      </c>
    </row>
    <row r="368" spans="1:24" x14ac:dyDescent="0.25">
      <c r="A368" t="s">
        <v>471</v>
      </c>
      <c r="B368" t="s">
        <v>472</v>
      </c>
      <c r="C368" t="s">
        <v>490</v>
      </c>
      <c r="D368" t="s">
        <v>109</v>
      </c>
      <c r="E368" t="s">
        <v>12</v>
      </c>
      <c r="F368" t="s">
        <v>1</v>
      </c>
      <c r="G368" t="s">
        <v>288</v>
      </c>
      <c r="H368" t="s">
        <v>164</v>
      </c>
      <c r="I368" t="s">
        <v>1</v>
      </c>
      <c r="J368">
        <v>470284.61</v>
      </c>
      <c r="K368">
        <v>511476.469556686</v>
      </c>
      <c r="L368">
        <v>260105.39</v>
      </c>
      <c r="M368">
        <v>524521.91906077357</v>
      </c>
      <c r="N368">
        <v>492210.67999999993</v>
      </c>
      <c r="O368">
        <v>523069.08098901098</v>
      </c>
      <c r="P368">
        <v>0</v>
      </c>
      <c r="Q368">
        <f t="shared" si="70"/>
        <v>523069.08098901098</v>
      </c>
      <c r="R368">
        <v>523069.08098901098</v>
      </c>
      <c r="S368">
        <f t="shared" si="71"/>
        <v>0</v>
      </c>
      <c r="T368">
        <v>3.2500000000000001E-2</v>
      </c>
      <c r="U368">
        <f t="shared" si="72"/>
        <v>16999.745132142856</v>
      </c>
      <c r="V368">
        <f t="shared" si="73"/>
        <v>540068.82612115389</v>
      </c>
      <c r="W368">
        <f t="shared" si="74"/>
        <v>16999.745132142911</v>
      </c>
      <c r="X368">
        <v>0</v>
      </c>
    </row>
    <row r="369" spans="1:24" x14ac:dyDescent="0.25">
      <c r="A369" t="s">
        <v>471</v>
      </c>
      <c r="B369" t="s">
        <v>472</v>
      </c>
      <c r="C369" t="s">
        <v>490</v>
      </c>
      <c r="D369" t="s">
        <v>109</v>
      </c>
      <c r="E369" t="s">
        <v>13</v>
      </c>
      <c r="F369" t="s">
        <v>1</v>
      </c>
      <c r="G369" t="s">
        <v>288</v>
      </c>
      <c r="H369" t="s">
        <v>165</v>
      </c>
      <c r="I369" t="s">
        <v>1</v>
      </c>
      <c r="J369">
        <v>556062.12</v>
      </c>
      <c r="K369">
        <v>451025.35210948001</v>
      </c>
      <c r="L369">
        <v>234354.21</v>
      </c>
      <c r="M369">
        <v>472592.74392265186</v>
      </c>
      <c r="N369">
        <v>574651.94999999995</v>
      </c>
      <c r="O369">
        <v>471283.74098901101</v>
      </c>
      <c r="P369">
        <v>0</v>
      </c>
      <c r="Q369">
        <f t="shared" si="70"/>
        <v>471283.74098901101</v>
      </c>
      <c r="R369">
        <v>471283.74098901101</v>
      </c>
      <c r="S369">
        <f t="shared" si="71"/>
        <v>0</v>
      </c>
      <c r="T369">
        <v>0.02</v>
      </c>
      <c r="U369">
        <f t="shared" si="72"/>
        <v>9425.6748197802208</v>
      </c>
      <c r="V369">
        <f t="shared" si="73"/>
        <v>480709.41580879124</v>
      </c>
      <c r="W369">
        <f t="shared" si="74"/>
        <v>9425.6748197802226</v>
      </c>
      <c r="X369">
        <v>0</v>
      </c>
    </row>
    <row r="370" spans="1:24" x14ac:dyDescent="0.25">
      <c r="A370" t="s">
        <v>471</v>
      </c>
      <c r="B370" t="s">
        <v>472</v>
      </c>
      <c r="C370" t="s">
        <v>490</v>
      </c>
      <c r="D370" t="s">
        <v>109</v>
      </c>
      <c r="E370" t="s">
        <v>14</v>
      </c>
      <c r="F370" t="s">
        <v>1</v>
      </c>
      <c r="G370" t="s">
        <v>288</v>
      </c>
      <c r="H370" t="s">
        <v>166</v>
      </c>
      <c r="I370" t="s">
        <v>1</v>
      </c>
      <c r="J370">
        <v>249</v>
      </c>
      <c r="L370">
        <v>0</v>
      </c>
      <c r="M370">
        <v>0</v>
      </c>
      <c r="N370">
        <v>0</v>
      </c>
      <c r="P370">
        <v>0</v>
      </c>
      <c r="Q370">
        <f t="shared" si="70"/>
        <v>0</v>
      </c>
      <c r="R370">
        <v>0</v>
      </c>
      <c r="S370">
        <f t="shared" si="71"/>
        <v>0</v>
      </c>
      <c r="T370">
        <v>0.04</v>
      </c>
      <c r="U370">
        <f t="shared" si="72"/>
        <v>0</v>
      </c>
      <c r="V370">
        <f t="shared" si="73"/>
        <v>0</v>
      </c>
      <c r="W370">
        <f t="shared" si="74"/>
        <v>0</v>
      </c>
      <c r="X370">
        <v>0</v>
      </c>
    </row>
    <row r="371" spans="1:24" x14ac:dyDescent="0.25">
      <c r="A371" t="s">
        <v>471</v>
      </c>
      <c r="B371" t="s">
        <v>472</v>
      </c>
      <c r="C371" t="s">
        <v>490</v>
      </c>
      <c r="D371" t="s">
        <v>109</v>
      </c>
      <c r="E371" t="s">
        <v>57</v>
      </c>
      <c r="F371" t="s">
        <v>1</v>
      </c>
      <c r="G371" t="s">
        <v>288</v>
      </c>
      <c r="H371" t="s">
        <v>214</v>
      </c>
      <c r="I371" t="s">
        <v>1</v>
      </c>
      <c r="J371">
        <v>215.65</v>
      </c>
      <c r="L371">
        <v>0</v>
      </c>
      <c r="M371">
        <v>0</v>
      </c>
      <c r="N371">
        <v>-15.1</v>
      </c>
      <c r="P371">
        <v>0</v>
      </c>
      <c r="Q371">
        <f t="shared" si="70"/>
        <v>0</v>
      </c>
      <c r="R371">
        <v>0</v>
      </c>
      <c r="S371">
        <f t="shared" si="71"/>
        <v>0</v>
      </c>
      <c r="T371">
        <v>0.04</v>
      </c>
      <c r="U371">
        <f t="shared" si="72"/>
        <v>0</v>
      </c>
      <c r="V371">
        <f t="shared" si="73"/>
        <v>0</v>
      </c>
      <c r="W371">
        <f t="shared" si="74"/>
        <v>0</v>
      </c>
      <c r="X371">
        <v>0</v>
      </c>
    </row>
    <row r="372" spans="1:24" x14ac:dyDescent="0.25">
      <c r="A372" t="s">
        <v>471</v>
      </c>
      <c r="B372" t="s">
        <v>472</v>
      </c>
      <c r="C372" t="s">
        <v>490</v>
      </c>
      <c r="D372" t="s">
        <v>109</v>
      </c>
      <c r="E372" t="s">
        <v>45</v>
      </c>
      <c r="F372" t="s">
        <v>1</v>
      </c>
      <c r="G372" t="s">
        <v>288</v>
      </c>
      <c r="H372" t="s">
        <v>198</v>
      </c>
      <c r="I372" t="s">
        <v>1</v>
      </c>
      <c r="J372">
        <v>9470.2099999999991</v>
      </c>
      <c r="K372">
        <v>13722.451453703899</v>
      </c>
      <c r="L372">
        <v>13130</v>
      </c>
      <c r="M372">
        <v>26477.624309392264</v>
      </c>
      <c r="N372">
        <v>16025.21</v>
      </c>
      <c r="O372">
        <v>26404.285714285699</v>
      </c>
      <c r="P372">
        <v>0</v>
      </c>
      <c r="Q372">
        <f t="shared" si="70"/>
        <v>26404.285714285699</v>
      </c>
      <c r="R372">
        <v>26404.285714285699</v>
      </c>
      <c r="S372">
        <f t="shared" si="71"/>
        <v>0</v>
      </c>
      <c r="T372">
        <v>3.5000000000000003E-2</v>
      </c>
      <c r="U372">
        <f t="shared" si="72"/>
        <v>924.14999999999952</v>
      </c>
      <c r="V372">
        <f t="shared" si="73"/>
        <v>27328.435714285697</v>
      </c>
      <c r="W372">
        <f t="shared" si="74"/>
        <v>924.14999999999782</v>
      </c>
      <c r="X372">
        <v>0</v>
      </c>
    </row>
    <row r="373" spans="1:24" x14ac:dyDescent="0.25">
      <c r="A373" t="s">
        <v>471</v>
      </c>
      <c r="B373" t="s">
        <v>472</v>
      </c>
      <c r="C373" t="s">
        <v>490</v>
      </c>
      <c r="D373" t="s">
        <v>109</v>
      </c>
      <c r="E373" t="s">
        <v>64</v>
      </c>
      <c r="F373" t="s">
        <v>1</v>
      </c>
      <c r="G373" t="s">
        <v>288</v>
      </c>
      <c r="H373" t="s">
        <v>223</v>
      </c>
      <c r="I373" t="s">
        <v>1</v>
      </c>
      <c r="J373">
        <v>27454.57</v>
      </c>
      <c r="K373">
        <v>20008.3871465107</v>
      </c>
      <c r="L373">
        <v>11369.09</v>
      </c>
      <c r="M373">
        <v>22926.617955801106</v>
      </c>
      <c r="N373">
        <v>31130.510000000006</v>
      </c>
      <c r="O373">
        <v>22863.115054945101</v>
      </c>
      <c r="P373">
        <v>0</v>
      </c>
      <c r="Q373">
        <f t="shared" si="70"/>
        <v>22863.115054945101</v>
      </c>
      <c r="R373">
        <v>22863.115054945101</v>
      </c>
      <c r="S373">
        <f t="shared" si="71"/>
        <v>0</v>
      </c>
      <c r="T373">
        <v>0.02</v>
      </c>
      <c r="U373">
        <f t="shared" si="72"/>
        <v>457.26230109890201</v>
      </c>
      <c r="V373">
        <f t="shared" si="73"/>
        <v>23320.377356044002</v>
      </c>
      <c r="W373">
        <f t="shared" si="74"/>
        <v>457.26230109890093</v>
      </c>
      <c r="X373">
        <v>0</v>
      </c>
    </row>
    <row r="374" spans="1:24" x14ac:dyDescent="0.25">
      <c r="A374" t="s">
        <v>471</v>
      </c>
      <c r="B374" t="s">
        <v>472</v>
      </c>
      <c r="C374" t="s">
        <v>490</v>
      </c>
      <c r="D374" t="s">
        <v>109</v>
      </c>
      <c r="E374" t="s">
        <v>15</v>
      </c>
      <c r="F374" t="s">
        <v>1</v>
      </c>
      <c r="G374" t="s">
        <v>288</v>
      </c>
      <c r="H374" t="s">
        <v>167</v>
      </c>
      <c r="I374" t="s">
        <v>1</v>
      </c>
      <c r="J374">
        <v>48267.41</v>
      </c>
      <c r="K374">
        <v>56117.636350480003</v>
      </c>
      <c r="L374">
        <v>21577.7</v>
      </c>
      <c r="M374">
        <v>43513.041436464089</v>
      </c>
      <c r="N374">
        <v>45634.91</v>
      </c>
      <c r="O374">
        <v>43392.517582417597</v>
      </c>
      <c r="P374">
        <v>0</v>
      </c>
      <c r="Q374">
        <f t="shared" si="70"/>
        <v>43392.517582417597</v>
      </c>
      <c r="R374">
        <v>43392.517582417597</v>
      </c>
      <c r="S374">
        <f t="shared" si="71"/>
        <v>0</v>
      </c>
      <c r="T374">
        <v>3.5000000000000003E-2</v>
      </c>
      <c r="U374">
        <f t="shared" si="72"/>
        <v>1518.7381153846161</v>
      </c>
      <c r="V374">
        <f t="shared" si="73"/>
        <v>44911.255697802211</v>
      </c>
      <c r="W374">
        <f t="shared" si="74"/>
        <v>1518.7381153846145</v>
      </c>
      <c r="X374">
        <v>0</v>
      </c>
    </row>
    <row r="375" spans="1:24" x14ac:dyDescent="0.25">
      <c r="A375" t="s">
        <v>471</v>
      </c>
      <c r="B375" t="s">
        <v>472</v>
      </c>
      <c r="C375" t="s">
        <v>490</v>
      </c>
      <c r="D375" t="s">
        <v>109</v>
      </c>
      <c r="E375" t="s">
        <v>47</v>
      </c>
      <c r="F375" t="s">
        <v>1</v>
      </c>
      <c r="G375" t="s">
        <v>288</v>
      </c>
      <c r="H375" t="s">
        <v>200</v>
      </c>
      <c r="I375" t="s">
        <v>1</v>
      </c>
      <c r="J375">
        <v>239383.16</v>
      </c>
      <c r="K375">
        <v>256981.70122764001</v>
      </c>
      <c r="L375">
        <v>128769.19</v>
      </c>
      <c r="M375">
        <v>259672.67596685083</v>
      </c>
      <c r="N375">
        <v>250470.27000000002</v>
      </c>
      <c r="O375">
        <v>258953.42604395599</v>
      </c>
      <c r="P375">
        <v>0</v>
      </c>
      <c r="Q375">
        <f t="shared" si="70"/>
        <v>258953.42604395599</v>
      </c>
      <c r="R375">
        <v>258953.42604395599</v>
      </c>
      <c r="S375">
        <f t="shared" si="71"/>
        <v>0</v>
      </c>
      <c r="T375">
        <v>0.02</v>
      </c>
      <c r="U375">
        <f t="shared" si="72"/>
        <v>5179.0685208791201</v>
      </c>
      <c r="V375">
        <f t="shared" si="73"/>
        <v>264132.4945648351</v>
      </c>
      <c r="W375">
        <f t="shared" si="74"/>
        <v>5179.068520879111</v>
      </c>
      <c r="X375">
        <v>0</v>
      </c>
    </row>
    <row r="376" spans="1:24" x14ac:dyDescent="0.25">
      <c r="A376" t="s">
        <v>471</v>
      </c>
      <c r="B376" t="s">
        <v>472</v>
      </c>
      <c r="C376" t="s">
        <v>490</v>
      </c>
      <c r="D376" t="s">
        <v>109</v>
      </c>
      <c r="E376" t="s">
        <v>48</v>
      </c>
      <c r="F376" t="s">
        <v>1</v>
      </c>
      <c r="G376" t="s">
        <v>288</v>
      </c>
      <c r="H376" t="s">
        <v>201</v>
      </c>
      <c r="I376" t="s">
        <v>1</v>
      </c>
      <c r="J376">
        <v>12303.21</v>
      </c>
      <c r="K376">
        <v>8682.4093050544998</v>
      </c>
      <c r="L376">
        <v>10347.16</v>
      </c>
      <c r="M376">
        <v>20865.819889502764</v>
      </c>
      <c r="N376">
        <v>18397.27</v>
      </c>
      <c r="O376">
        <v>20808.025054945101</v>
      </c>
      <c r="P376">
        <v>0</v>
      </c>
      <c r="Q376">
        <f t="shared" si="70"/>
        <v>20808.025054945101</v>
      </c>
      <c r="R376">
        <v>20808.025054945101</v>
      </c>
      <c r="S376">
        <f t="shared" si="71"/>
        <v>0</v>
      </c>
      <c r="T376">
        <v>1.4999999999999999E-2</v>
      </c>
      <c r="U376">
        <f t="shared" si="72"/>
        <v>312.12037582417651</v>
      </c>
      <c r="V376">
        <f t="shared" si="73"/>
        <v>21120.145430769277</v>
      </c>
      <c r="W376">
        <f t="shared" si="74"/>
        <v>312.12037582417543</v>
      </c>
      <c r="X376">
        <v>0</v>
      </c>
    </row>
    <row r="377" spans="1:24" x14ac:dyDescent="0.25">
      <c r="A377" t="s">
        <v>471</v>
      </c>
      <c r="B377" t="s">
        <v>472</v>
      </c>
      <c r="C377" t="s">
        <v>490</v>
      </c>
      <c r="D377" t="s">
        <v>109</v>
      </c>
      <c r="E377" t="s">
        <v>114</v>
      </c>
      <c r="F377" t="s">
        <v>1</v>
      </c>
      <c r="G377" t="s">
        <v>288</v>
      </c>
      <c r="H377" t="s">
        <v>293</v>
      </c>
      <c r="I377" t="s">
        <v>1</v>
      </c>
      <c r="J377">
        <v>0</v>
      </c>
      <c r="K377">
        <v>-473.99999999990001</v>
      </c>
      <c r="L377">
        <v>17534</v>
      </c>
      <c r="M377">
        <v>35358.618784530387</v>
      </c>
      <c r="N377">
        <v>17534</v>
      </c>
      <c r="O377">
        <v>35260.681318681301</v>
      </c>
      <c r="P377">
        <v>0</v>
      </c>
      <c r="Q377">
        <f t="shared" si="70"/>
        <v>35260.681318681301</v>
      </c>
      <c r="R377">
        <v>35260.681318681301</v>
      </c>
      <c r="S377">
        <f t="shared" si="71"/>
        <v>0</v>
      </c>
      <c r="T377">
        <v>0.02</v>
      </c>
      <c r="U377">
        <f t="shared" si="72"/>
        <v>705.21362637362608</v>
      </c>
      <c r="V377">
        <f t="shared" si="73"/>
        <v>35965.894945054926</v>
      </c>
      <c r="W377">
        <f t="shared" si="74"/>
        <v>705.21362637362472</v>
      </c>
      <c r="X377">
        <v>0</v>
      </c>
    </row>
    <row r="378" spans="1:24" x14ac:dyDescent="0.25">
      <c r="A378" t="s">
        <v>471</v>
      </c>
      <c r="B378" t="s">
        <v>472</v>
      </c>
      <c r="C378" t="s">
        <v>490</v>
      </c>
      <c r="D378" t="s">
        <v>109</v>
      </c>
      <c r="E378" t="s">
        <v>115</v>
      </c>
      <c r="F378" t="s">
        <v>1</v>
      </c>
      <c r="G378" t="s">
        <v>288</v>
      </c>
      <c r="H378" t="s">
        <v>294</v>
      </c>
      <c r="I378" t="s">
        <v>1</v>
      </c>
      <c r="K378">
        <v>-1746</v>
      </c>
      <c r="L378">
        <v>57444</v>
      </c>
      <c r="M378">
        <v>115840.11049723758</v>
      </c>
      <c r="N378">
        <v>57444</v>
      </c>
      <c r="O378">
        <v>115519.25274725301</v>
      </c>
      <c r="P378">
        <v>0</v>
      </c>
      <c r="Q378">
        <f t="shared" si="70"/>
        <v>115519.25274725301</v>
      </c>
      <c r="R378">
        <v>115519.25274725301</v>
      </c>
      <c r="S378">
        <f t="shared" si="71"/>
        <v>0</v>
      </c>
      <c r="T378">
        <v>0.02</v>
      </c>
      <c r="U378">
        <f t="shared" si="72"/>
        <v>2310.3850549450603</v>
      </c>
      <c r="V378">
        <f t="shared" si="73"/>
        <v>117829.63780219806</v>
      </c>
      <c r="W378">
        <f t="shared" si="74"/>
        <v>2310.3850549450581</v>
      </c>
      <c r="X378">
        <v>0</v>
      </c>
    </row>
    <row r="379" spans="1:24" x14ac:dyDescent="0.25">
      <c r="A379" t="s">
        <v>471</v>
      </c>
      <c r="B379" t="s">
        <v>472</v>
      </c>
      <c r="C379" t="s">
        <v>490</v>
      </c>
      <c r="D379" t="s">
        <v>109</v>
      </c>
      <c r="E379" t="s">
        <v>49</v>
      </c>
      <c r="F379" t="s">
        <v>1</v>
      </c>
      <c r="G379" t="s">
        <v>288</v>
      </c>
      <c r="H379" t="s">
        <v>202</v>
      </c>
      <c r="I379" t="s">
        <v>1</v>
      </c>
      <c r="J379">
        <v>4790.1000000000004</v>
      </c>
      <c r="K379">
        <v>10101.4516049383</v>
      </c>
      <c r="L379">
        <v>1050</v>
      </c>
      <c r="M379">
        <v>2117.4033149171273</v>
      </c>
      <c r="N379">
        <v>2370.9</v>
      </c>
      <c r="O379">
        <v>2111.5384615385001</v>
      </c>
      <c r="P379">
        <v>0</v>
      </c>
      <c r="Q379">
        <f t="shared" si="70"/>
        <v>2111.5384615385001</v>
      </c>
      <c r="R379">
        <v>2111.5384615385001</v>
      </c>
      <c r="S379">
        <f t="shared" si="71"/>
        <v>0</v>
      </c>
      <c r="T379">
        <v>0.03</v>
      </c>
      <c r="U379">
        <f t="shared" si="72"/>
        <v>63.346153846154998</v>
      </c>
      <c r="V379">
        <f t="shared" si="73"/>
        <v>2174.8846153846553</v>
      </c>
      <c r="W379">
        <f t="shared" si="74"/>
        <v>63.346153846155175</v>
      </c>
      <c r="X379">
        <v>0</v>
      </c>
    </row>
    <row r="380" spans="1:24" x14ac:dyDescent="0.25">
      <c r="A380" t="s">
        <v>471</v>
      </c>
      <c r="B380" t="s">
        <v>472</v>
      </c>
      <c r="C380" t="s">
        <v>490</v>
      </c>
      <c r="D380" t="s">
        <v>109</v>
      </c>
      <c r="E380" t="s">
        <v>116</v>
      </c>
      <c r="F380" t="s">
        <v>1</v>
      </c>
      <c r="G380" t="s">
        <v>288</v>
      </c>
      <c r="H380" t="s">
        <v>295</v>
      </c>
      <c r="I380" t="s">
        <v>1</v>
      </c>
      <c r="J380">
        <v>32084.5</v>
      </c>
      <c r="K380">
        <v>16624.431944444499</v>
      </c>
      <c r="L380">
        <v>37471.5</v>
      </c>
      <c r="M380">
        <v>75564.074585635361</v>
      </c>
      <c r="N380">
        <v>59836</v>
      </c>
      <c r="O380">
        <v>75354.774725274707</v>
      </c>
      <c r="P380">
        <v>0</v>
      </c>
      <c r="Q380">
        <f t="shared" si="70"/>
        <v>75354.774725274707</v>
      </c>
      <c r="R380">
        <v>75354.774725274707</v>
      </c>
      <c r="S380">
        <f t="shared" si="71"/>
        <v>0</v>
      </c>
      <c r="T380">
        <v>3.5000000000000003E-2</v>
      </c>
      <c r="U380">
        <f t="shared" si="72"/>
        <v>2637.417115384615</v>
      </c>
      <c r="V380">
        <f t="shared" si="73"/>
        <v>77992.191840659318</v>
      </c>
      <c r="W380">
        <f t="shared" si="74"/>
        <v>2637.417115384611</v>
      </c>
      <c r="X380">
        <v>0</v>
      </c>
    </row>
    <row r="381" spans="1:24" x14ac:dyDescent="0.25">
      <c r="A381" t="s">
        <v>471</v>
      </c>
      <c r="B381" t="s">
        <v>472</v>
      </c>
      <c r="C381" t="s">
        <v>490</v>
      </c>
      <c r="D381" t="s">
        <v>109</v>
      </c>
      <c r="E381" t="s">
        <v>51</v>
      </c>
      <c r="F381" t="s">
        <v>1</v>
      </c>
      <c r="G381" t="s">
        <v>288</v>
      </c>
      <c r="H381" t="s">
        <v>204</v>
      </c>
      <c r="I381" t="s">
        <v>1</v>
      </c>
      <c r="J381">
        <v>189382.32</v>
      </c>
      <c r="K381">
        <v>141243.85983800399</v>
      </c>
      <c r="L381">
        <v>267081</v>
      </c>
      <c r="M381">
        <v>538588.75690607727</v>
      </c>
      <c r="N381">
        <v>389795.69999999995</v>
      </c>
      <c r="O381">
        <v>537096.95604395599</v>
      </c>
      <c r="P381">
        <v>0</v>
      </c>
      <c r="Q381">
        <f t="shared" si="70"/>
        <v>537096.95604395599</v>
      </c>
      <c r="R381">
        <v>537096.95604395599</v>
      </c>
      <c r="S381">
        <f t="shared" si="71"/>
        <v>0</v>
      </c>
      <c r="T381">
        <v>3.5000000000000003E-2</v>
      </c>
      <c r="U381">
        <f t="shared" si="72"/>
        <v>18798.393461538461</v>
      </c>
      <c r="V381">
        <f t="shared" si="73"/>
        <v>555895.34950549447</v>
      </c>
      <c r="W381">
        <f t="shared" si="74"/>
        <v>18798.393461538479</v>
      </c>
      <c r="X381">
        <v>0</v>
      </c>
    </row>
    <row r="382" spans="1:24" x14ac:dyDescent="0.25">
      <c r="A382" t="s">
        <v>471</v>
      </c>
      <c r="B382" t="s">
        <v>472</v>
      </c>
      <c r="C382" t="s">
        <v>490</v>
      </c>
      <c r="D382" t="s">
        <v>109</v>
      </c>
      <c r="E382" t="s">
        <v>117</v>
      </c>
      <c r="F382" t="s">
        <v>1</v>
      </c>
      <c r="G382" t="s">
        <v>288</v>
      </c>
      <c r="H382" t="s">
        <v>296</v>
      </c>
      <c r="I382" t="s">
        <v>1</v>
      </c>
      <c r="J382">
        <v>-126015.9</v>
      </c>
      <c r="K382">
        <v>-111095.863120988</v>
      </c>
      <c r="L382">
        <v>0</v>
      </c>
      <c r="M382">
        <v>0</v>
      </c>
      <c r="N382">
        <v>-126192.95</v>
      </c>
      <c r="P382">
        <v>0</v>
      </c>
      <c r="Q382">
        <f t="shared" si="70"/>
        <v>0</v>
      </c>
      <c r="R382">
        <v>0</v>
      </c>
      <c r="S382">
        <f t="shared" si="71"/>
        <v>0</v>
      </c>
      <c r="T382">
        <v>0.04</v>
      </c>
      <c r="U382">
        <f t="shared" si="72"/>
        <v>0</v>
      </c>
      <c r="V382">
        <f t="shared" si="73"/>
        <v>0</v>
      </c>
      <c r="W382">
        <f t="shared" si="74"/>
        <v>0</v>
      </c>
      <c r="X382">
        <v>0</v>
      </c>
    </row>
    <row r="383" spans="1:24" x14ac:dyDescent="0.25">
      <c r="A383" t="s">
        <v>471</v>
      </c>
      <c r="B383" t="s">
        <v>472</v>
      </c>
      <c r="C383" t="s">
        <v>490</v>
      </c>
      <c r="D383" t="s">
        <v>109</v>
      </c>
      <c r="E383" t="s">
        <v>52</v>
      </c>
      <c r="F383" t="s">
        <v>1</v>
      </c>
      <c r="G383" t="s">
        <v>288</v>
      </c>
      <c r="H383" t="s">
        <v>205</v>
      </c>
      <c r="I383" t="s">
        <v>1</v>
      </c>
      <c r="J383">
        <v>2165110.7000000002</v>
      </c>
      <c r="K383">
        <v>2379360.8500222601</v>
      </c>
      <c r="L383">
        <v>1088372.04</v>
      </c>
      <c r="M383">
        <v>2194783.3955801106</v>
      </c>
      <c r="N383">
        <v>2191530.6</v>
      </c>
      <c r="O383">
        <v>2188704.2123076902</v>
      </c>
      <c r="P383">
        <v>0</v>
      </c>
      <c r="Q383">
        <f t="shared" si="70"/>
        <v>2188704.2123076902</v>
      </c>
      <c r="R383">
        <v>2188704.2123076902</v>
      </c>
      <c r="S383">
        <f t="shared" si="71"/>
        <v>0</v>
      </c>
      <c r="T383">
        <v>0.04</v>
      </c>
      <c r="U383">
        <f t="shared" si="72"/>
        <v>87548.16849230761</v>
      </c>
      <c r="V383">
        <f t="shared" si="73"/>
        <v>2276252.3807999976</v>
      </c>
      <c r="W383">
        <f t="shared" si="74"/>
        <v>87548.168492307421</v>
      </c>
      <c r="X383">
        <v>0</v>
      </c>
    </row>
    <row r="384" spans="1:24" x14ac:dyDescent="0.25">
      <c r="A384" t="s">
        <v>471</v>
      </c>
      <c r="B384" t="s">
        <v>472</v>
      </c>
      <c r="C384" t="s">
        <v>490</v>
      </c>
      <c r="D384" t="s">
        <v>109</v>
      </c>
      <c r="E384" t="s">
        <v>16</v>
      </c>
      <c r="F384" t="s">
        <v>1</v>
      </c>
      <c r="G384" t="s">
        <v>288</v>
      </c>
      <c r="H384" t="s">
        <v>168</v>
      </c>
      <c r="I384" t="s">
        <v>1</v>
      </c>
      <c r="J384">
        <v>716.68</v>
      </c>
      <c r="K384">
        <v>-681.20000000009998</v>
      </c>
      <c r="L384">
        <v>2474.89</v>
      </c>
      <c r="M384">
        <v>4990.8002762430933</v>
      </c>
      <c r="N384">
        <v>4005.15</v>
      </c>
      <c r="O384">
        <v>4990.8002762430997</v>
      </c>
      <c r="P384">
        <v>0</v>
      </c>
      <c r="Q384">
        <f t="shared" si="70"/>
        <v>4990.8002762430997</v>
      </c>
      <c r="R384">
        <v>4990.8002762430997</v>
      </c>
      <c r="S384">
        <f t="shared" si="71"/>
        <v>0</v>
      </c>
      <c r="T384">
        <v>0.03</v>
      </c>
      <c r="U384">
        <f t="shared" si="72"/>
        <v>149.72400828729297</v>
      </c>
      <c r="V384">
        <f t="shared" si="73"/>
        <v>5140.5242845303928</v>
      </c>
      <c r="W384">
        <f t="shared" si="74"/>
        <v>149.72400828729315</v>
      </c>
      <c r="X384">
        <v>0</v>
      </c>
    </row>
    <row r="385" spans="1:24" x14ac:dyDescent="0.25">
      <c r="A385" t="s">
        <v>471</v>
      </c>
      <c r="B385" t="s">
        <v>472</v>
      </c>
      <c r="C385" t="s">
        <v>490</v>
      </c>
      <c r="D385" t="s">
        <v>109</v>
      </c>
      <c r="E385" t="s">
        <v>53</v>
      </c>
      <c r="F385" t="s">
        <v>1</v>
      </c>
      <c r="G385" t="s">
        <v>288</v>
      </c>
      <c r="H385" t="s">
        <v>206</v>
      </c>
      <c r="I385" t="s">
        <v>1</v>
      </c>
      <c r="J385">
        <v>1207.03</v>
      </c>
      <c r="K385">
        <v>1345.5</v>
      </c>
      <c r="L385">
        <v>0</v>
      </c>
      <c r="M385">
        <v>0</v>
      </c>
      <c r="N385">
        <v>562.38000000000011</v>
      </c>
      <c r="P385">
        <v>0</v>
      </c>
      <c r="Q385">
        <f t="shared" si="70"/>
        <v>0</v>
      </c>
      <c r="R385">
        <v>0</v>
      </c>
      <c r="S385">
        <f t="shared" si="71"/>
        <v>0</v>
      </c>
      <c r="T385">
        <v>3.5000000000000003E-2</v>
      </c>
      <c r="U385">
        <f t="shared" si="72"/>
        <v>0</v>
      </c>
      <c r="V385">
        <f t="shared" si="73"/>
        <v>0</v>
      </c>
      <c r="W385">
        <f t="shared" si="74"/>
        <v>0</v>
      </c>
      <c r="X385">
        <v>0</v>
      </c>
    </row>
    <row r="386" spans="1:24" x14ac:dyDescent="0.25">
      <c r="A386" t="s">
        <v>471</v>
      </c>
      <c r="B386" t="s">
        <v>472</v>
      </c>
      <c r="C386" t="s">
        <v>490</v>
      </c>
      <c r="D386" t="s">
        <v>109</v>
      </c>
      <c r="E386" t="s">
        <v>17</v>
      </c>
      <c r="F386" t="s">
        <v>1</v>
      </c>
      <c r="G386" t="s">
        <v>288</v>
      </c>
      <c r="H386" t="s">
        <v>169</v>
      </c>
      <c r="I386" t="s">
        <v>1</v>
      </c>
      <c r="J386">
        <v>7465.82</v>
      </c>
      <c r="K386">
        <v>4676.13</v>
      </c>
      <c r="L386">
        <v>25683.77</v>
      </c>
      <c r="M386">
        <v>51793.237845303869</v>
      </c>
      <c r="N386">
        <v>30909.279999999999</v>
      </c>
      <c r="O386">
        <v>51793.237845303898</v>
      </c>
      <c r="P386">
        <v>0</v>
      </c>
      <c r="Q386">
        <f t="shared" si="70"/>
        <v>51793.237845303898</v>
      </c>
      <c r="R386">
        <v>51793.237845303898</v>
      </c>
      <c r="S386">
        <f t="shared" si="71"/>
        <v>0</v>
      </c>
      <c r="T386">
        <v>3.5000000000000003E-2</v>
      </c>
      <c r="U386">
        <f t="shared" si="72"/>
        <v>1812.7633245856366</v>
      </c>
      <c r="V386">
        <f t="shared" si="73"/>
        <v>53606.001169889532</v>
      </c>
      <c r="W386">
        <f t="shared" si="74"/>
        <v>1812.7633245856341</v>
      </c>
      <c r="X386">
        <v>0</v>
      </c>
    </row>
    <row r="387" spans="1:24" x14ac:dyDescent="0.25">
      <c r="A387" t="s">
        <v>471</v>
      </c>
      <c r="B387" t="s">
        <v>472</v>
      </c>
      <c r="C387" t="s">
        <v>490</v>
      </c>
      <c r="D387" t="s">
        <v>109</v>
      </c>
      <c r="E387" t="s">
        <v>18</v>
      </c>
      <c r="F387" t="s">
        <v>1</v>
      </c>
      <c r="G387" t="s">
        <v>288</v>
      </c>
      <c r="H387" t="s">
        <v>170</v>
      </c>
      <c r="I387" t="s">
        <v>1</v>
      </c>
      <c r="J387">
        <v>10296.01</v>
      </c>
      <c r="L387">
        <v>2204.02</v>
      </c>
      <c r="M387">
        <v>4444.5707182320439</v>
      </c>
      <c r="N387">
        <v>3073.3300000000004</v>
      </c>
      <c r="O387">
        <v>4444.5707182320002</v>
      </c>
      <c r="P387">
        <v>0</v>
      </c>
      <c r="Q387">
        <f t="shared" ref="Q387:Q415" si="75">O387+P387</f>
        <v>4444.5707182320002</v>
      </c>
      <c r="R387">
        <v>4444.5707182320002</v>
      </c>
      <c r="S387">
        <f t="shared" ref="S387:S415" si="76">IF(OR(LEFT(E387,2)="A_",LEFT(D387,5)="Total"),R387-Q387,"")</f>
        <v>0</v>
      </c>
      <c r="T387">
        <v>3.5000000000000003E-2</v>
      </c>
      <c r="U387">
        <f t="shared" ref="U387:U415" si="77">IFERROR(R387*T387,R387*0)</f>
        <v>155.55997513812002</v>
      </c>
      <c r="V387">
        <f t="shared" ref="V387:V415" si="78">IF(OR(LEFT(E387,2)="A_",LEFT(D387,5)="Total"),R387+U387,"")</f>
        <v>4600.1306933701198</v>
      </c>
      <c r="W387">
        <f t="shared" ref="W387:W415" si="79">IF(OR(LEFT(E387,2)="A_",LEFT(D387,5)="Total"),V387-Q387,"")</f>
        <v>155.55997513811963</v>
      </c>
      <c r="X387">
        <v>0</v>
      </c>
    </row>
    <row r="388" spans="1:24" x14ac:dyDescent="0.25">
      <c r="A388" t="s">
        <v>471</v>
      </c>
      <c r="B388" t="s">
        <v>472</v>
      </c>
      <c r="C388" t="s">
        <v>490</v>
      </c>
      <c r="D388" t="s">
        <v>109</v>
      </c>
      <c r="E388" t="s">
        <v>87</v>
      </c>
      <c r="F388" t="s">
        <v>1</v>
      </c>
      <c r="G388" t="s">
        <v>288</v>
      </c>
      <c r="H388" t="s">
        <v>258</v>
      </c>
      <c r="I388" t="s">
        <v>1</v>
      </c>
      <c r="J388">
        <v>-125.85</v>
      </c>
      <c r="L388">
        <v>0</v>
      </c>
      <c r="M388">
        <v>0</v>
      </c>
      <c r="N388">
        <v>-125.85</v>
      </c>
      <c r="P388">
        <v>0</v>
      </c>
      <c r="Q388">
        <f t="shared" si="75"/>
        <v>0</v>
      </c>
      <c r="R388">
        <v>0</v>
      </c>
      <c r="S388">
        <f t="shared" si="76"/>
        <v>0</v>
      </c>
      <c r="U388">
        <f t="shared" si="77"/>
        <v>0</v>
      </c>
      <c r="V388">
        <f t="shared" si="78"/>
        <v>0</v>
      </c>
      <c r="W388">
        <f t="shared" si="79"/>
        <v>0</v>
      </c>
      <c r="X388">
        <v>0</v>
      </c>
    </row>
    <row r="389" spans="1:24" x14ac:dyDescent="0.25">
      <c r="A389" t="s">
        <v>471</v>
      </c>
      <c r="B389" t="s">
        <v>472</v>
      </c>
      <c r="C389" t="s">
        <v>490</v>
      </c>
      <c r="D389" t="s">
        <v>109</v>
      </c>
      <c r="E389" t="s">
        <v>102</v>
      </c>
      <c r="F389" t="s">
        <v>1</v>
      </c>
      <c r="G389" t="s">
        <v>288</v>
      </c>
      <c r="H389" t="s">
        <v>275</v>
      </c>
      <c r="I389" t="s">
        <v>1</v>
      </c>
      <c r="J389">
        <v>115.26</v>
      </c>
      <c r="L389">
        <v>65.28</v>
      </c>
      <c r="M389">
        <v>131.64198895027624</v>
      </c>
      <c r="N389">
        <v>114.78999999999999</v>
      </c>
      <c r="O389">
        <v>130.56</v>
      </c>
      <c r="P389">
        <v>0</v>
      </c>
      <c r="Q389">
        <f t="shared" si="75"/>
        <v>130.56</v>
      </c>
      <c r="R389">
        <v>130.56</v>
      </c>
      <c r="S389">
        <f t="shared" si="76"/>
        <v>0</v>
      </c>
      <c r="U389">
        <f t="shared" si="77"/>
        <v>0</v>
      </c>
      <c r="V389">
        <f t="shared" si="78"/>
        <v>130.56</v>
      </c>
      <c r="W389">
        <f t="shared" si="79"/>
        <v>0</v>
      </c>
      <c r="X389">
        <v>0</v>
      </c>
    </row>
    <row r="390" spans="1:24" x14ac:dyDescent="0.25">
      <c r="A390" t="s">
        <v>471</v>
      </c>
      <c r="B390" t="s">
        <v>472</v>
      </c>
      <c r="C390" t="s">
        <v>490</v>
      </c>
      <c r="D390" t="s">
        <v>109</v>
      </c>
      <c r="E390" t="s">
        <v>22</v>
      </c>
      <c r="F390" t="s">
        <v>1</v>
      </c>
      <c r="G390" t="s">
        <v>288</v>
      </c>
      <c r="H390" t="s">
        <v>174</v>
      </c>
      <c r="I390" t="s">
        <v>1</v>
      </c>
      <c r="J390">
        <v>6536.35</v>
      </c>
      <c r="K390">
        <v>9219</v>
      </c>
      <c r="L390">
        <v>1368.12</v>
      </c>
      <c r="M390">
        <v>2758.9160220994472</v>
      </c>
      <c r="N390">
        <v>3332.8799999999997</v>
      </c>
      <c r="O390">
        <v>2736.24</v>
      </c>
      <c r="P390">
        <v>0</v>
      </c>
      <c r="Q390">
        <f t="shared" si="75"/>
        <v>2736.24</v>
      </c>
      <c r="R390">
        <v>2736.24</v>
      </c>
      <c r="S390">
        <f t="shared" si="76"/>
        <v>0</v>
      </c>
      <c r="U390">
        <f t="shared" si="77"/>
        <v>0</v>
      </c>
      <c r="V390">
        <f t="shared" si="78"/>
        <v>2736.24</v>
      </c>
      <c r="W390">
        <f t="shared" si="79"/>
        <v>0</v>
      </c>
      <c r="X390">
        <v>0</v>
      </c>
    </row>
    <row r="391" spans="1:24" x14ac:dyDescent="0.25">
      <c r="A391" t="s">
        <v>471</v>
      </c>
      <c r="B391" t="s">
        <v>472</v>
      </c>
      <c r="C391" t="s">
        <v>490</v>
      </c>
      <c r="D391" t="s">
        <v>109</v>
      </c>
      <c r="E391" t="s">
        <v>23</v>
      </c>
      <c r="F391" t="s">
        <v>1</v>
      </c>
      <c r="G391" t="s">
        <v>288</v>
      </c>
      <c r="H391" t="s">
        <v>175</v>
      </c>
      <c r="I391" t="s">
        <v>1</v>
      </c>
      <c r="J391">
        <v>567.5</v>
      </c>
      <c r="L391">
        <v>0</v>
      </c>
      <c r="M391">
        <v>0</v>
      </c>
      <c r="N391">
        <v>0</v>
      </c>
      <c r="P391">
        <v>0</v>
      </c>
      <c r="Q391">
        <f t="shared" si="75"/>
        <v>0</v>
      </c>
      <c r="R391">
        <v>0</v>
      </c>
      <c r="S391">
        <f t="shared" si="76"/>
        <v>0</v>
      </c>
      <c r="U391">
        <f t="shared" si="77"/>
        <v>0</v>
      </c>
      <c r="V391">
        <f t="shared" si="78"/>
        <v>0</v>
      </c>
      <c r="W391">
        <f t="shared" si="79"/>
        <v>0</v>
      </c>
      <c r="X391">
        <v>0</v>
      </c>
    </row>
    <row r="392" spans="1:24" x14ac:dyDescent="0.25">
      <c r="A392" t="s">
        <v>471</v>
      </c>
      <c r="B392" t="s">
        <v>472</v>
      </c>
      <c r="C392" t="s">
        <v>490</v>
      </c>
      <c r="D392" t="s">
        <v>109</v>
      </c>
      <c r="E392" t="s">
        <v>72</v>
      </c>
      <c r="F392" t="s">
        <v>1</v>
      </c>
      <c r="G392" t="s">
        <v>288</v>
      </c>
      <c r="H392" t="s">
        <v>233</v>
      </c>
      <c r="I392" t="s">
        <v>1</v>
      </c>
      <c r="L392">
        <v>157.69</v>
      </c>
      <c r="M392">
        <v>317.99364640883977</v>
      </c>
      <c r="N392">
        <v>157.69</v>
      </c>
      <c r="O392">
        <v>315.38</v>
      </c>
      <c r="P392">
        <v>0</v>
      </c>
      <c r="Q392">
        <f t="shared" si="75"/>
        <v>315.38</v>
      </c>
      <c r="R392">
        <v>315.38</v>
      </c>
      <c r="S392">
        <f t="shared" si="76"/>
        <v>0</v>
      </c>
      <c r="U392">
        <f t="shared" si="77"/>
        <v>0</v>
      </c>
      <c r="V392">
        <f t="shared" si="78"/>
        <v>315.38</v>
      </c>
      <c r="W392">
        <f t="shared" si="79"/>
        <v>0</v>
      </c>
      <c r="X392">
        <v>0</v>
      </c>
    </row>
    <row r="393" spans="1:24" x14ac:dyDescent="0.25">
      <c r="A393" t="s">
        <v>471</v>
      </c>
      <c r="B393" t="s">
        <v>472</v>
      </c>
      <c r="C393" t="s">
        <v>490</v>
      </c>
      <c r="D393" t="s">
        <v>109</v>
      </c>
      <c r="E393" t="s">
        <v>27</v>
      </c>
      <c r="F393" t="s">
        <v>1</v>
      </c>
      <c r="G393" t="s">
        <v>288</v>
      </c>
      <c r="H393" t="s">
        <v>179</v>
      </c>
      <c r="I393" t="s">
        <v>1</v>
      </c>
      <c r="J393">
        <v>875.69</v>
      </c>
      <c r="K393">
        <v>2205</v>
      </c>
      <c r="L393">
        <v>887.6</v>
      </c>
      <c r="M393">
        <v>1789.9116022099449</v>
      </c>
      <c r="N393">
        <v>1763.29</v>
      </c>
      <c r="O393">
        <v>1775.2</v>
      </c>
      <c r="P393">
        <v>0</v>
      </c>
      <c r="Q393">
        <f t="shared" si="75"/>
        <v>1775.2</v>
      </c>
      <c r="R393">
        <v>1775.2</v>
      </c>
      <c r="S393">
        <f t="shared" si="76"/>
        <v>0</v>
      </c>
      <c r="U393">
        <f t="shared" si="77"/>
        <v>0</v>
      </c>
      <c r="V393">
        <f t="shared" si="78"/>
        <v>1775.2</v>
      </c>
      <c r="W393">
        <f t="shared" si="79"/>
        <v>0</v>
      </c>
      <c r="X393">
        <v>0</v>
      </c>
    </row>
    <row r="394" spans="1:24" x14ac:dyDescent="0.25">
      <c r="A394" t="s">
        <v>471</v>
      </c>
      <c r="B394" t="s">
        <v>472</v>
      </c>
      <c r="C394" t="s">
        <v>490</v>
      </c>
      <c r="D394" t="s">
        <v>109</v>
      </c>
      <c r="E394" t="s">
        <v>28</v>
      </c>
      <c r="F394" t="s">
        <v>1</v>
      </c>
      <c r="G394" t="s">
        <v>288</v>
      </c>
      <c r="H394" t="s">
        <v>180</v>
      </c>
      <c r="I394" t="s">
        <v>1</v>
      </c>
      <c r="L394">
        <v>65.77</v>
      </c>
      <c r="M394">
        <v>132.63011049723755</v>
      </c>
      <c r="N394">
        <v>65.77</v>
      </c>
      <c r="O394">
        <v>131.54</v>
      </c>
      <c r="P394">
        <v>0</v>
      </c>
      <c r="Q394">
        <f t="shared" si="75"/>
        <v>131.54</v>
      </c>
      <c r="R394">
        <v>131.54</v>
      </c>
      <c r="S394">
        <f t="shared" si="76"/>
        <v>0</v>
      </c>
      <c r="U394">
        <f t="shared" si="77"/>
        <v>0</v>
      </c>
      <c r="V394">
        <f t="shared" si="78"/>
        <v>131.54</v>
      </c>
      <c r="W394">
        <f t="shared" si="79"/>
        <v>0</v>
      </c>
      <c r="X394">
        <v>0</v>
      </c>
    </row>
    <row r="395" spans="1:24" x14ac:dyDescent="0.25">
      <c r="A395" t="s">
        <v>471</v>
      </c>
      <c r="B395" t="s">
        <v>472</v>
      </c>
      <c r="C395" t="s">
        <v>490</v>
      </c>
      <c r="D395" t="s">
        <v>109</v>
      </c>
      <c r="E395" t="s">
        <v>54</v>
      </c>
      <c r="F395" t="s">
        <v>1</v>
      </c>
      <c r="G395" t="s">
        <v>288</v>
      </c>
      <c r="H395" t="s">
        <v>207</v>
      </c>
      <c r="I395" t="s">
        <v>1</v>
      </c>
      <c r="K395">
        <v>134.00000000040001</v>
      </c>
      <c r="L395">
        <v>0</v>
      </c>
      <c r="M395">
        <v>0</v>
      </c>
      <c r="N395">
        <v>0</v>
      </c>
      <c r="P395">
        <v>0</v>
      </c>
      <c r="Q395">
        <f t="shared" si="75"/>
        <v>0</v>
      </c>
      <c r="R395">
        <v>0</v>
      </c>
      <c r="S395">
        <f t="shared" si="76"/>
        <v>0</v>
      </c>
      <c r="U395">
        <f t="shared" si="77"/>
        <v>0</v>
      </c>
      <c r="V395">
        <f t="shared" si="78"/>
        <v>0</v>
      </c>
      <c r="W395">
        <f t="shared" si="79"/>
        <v>0</v>
      </c>
      <c r="X395">
        <v>0</v>
      </c>
    </row>
    <row r="396" spans="1:24" x14ac:dyDescent="0.25">
      <c r="A396" t="s">
        <v>471</v>
      </c>
      <c r="B396" t="s">
        <v>472</v>
      </c>
      <c r="C396" t="s">
        <v>490</v>
      </c>
      <c r="D396" t="s">
        <v>109</v>
      </c>
      <c r="E396" t="s">
        <v>29</v>
      </c>
      <c r="F396" t="s">
        <v>1</v>
      </c>
      <c r="G396" t="s">
        <v>288</v>
      </c>
      <c r="H396" t="s">
        <v>181</v>
      </c>
      <c r="I396" t="s">
        <v>1</v>
      </c>
      <c r="J396">
        <v>1642.93</v>
      </c>
      <c r="K396">
        <v>3861</v>
      </c>
      <c r="L396">
        <v>338.89</v>
      </c>
      <c r="M396">
        <v>683.3969613259668</v>
      </c>
      <c r="N396">
        <v>591.57000000000005</v>
      </c>
      <c r="O396">
        <v>677.78</v>
      </c>
      <c r="P396">
        <v>0</v>
      </c>
      <c r="Q396">
        <f t="shared" si="75"/>
        <v>677.78</v>
      </c>
      <c r="R396">
        <v>677.78</v>
      </c>
      <c r="S396">
        <f t="shared" si="76"/>
        <v>0</v>
      </c>
      <c r="U396">
        <f t="shared" si="77"/>
        <v>0</v>
      </c>
      <c r="V396">
        <f t="shared" si="78"/>
        <v>677.78</v>
      </c>
      <c r="W396">
        <f t="shared" si="79"/>
        <v>0</v>
      </c>
      <c r="X396">
        <v>0</v>
      </c>
    </row>
    <row r="397" spans="1:24" x14ac:dyDescent="0.25">
      <c r="A397" t="s">
        <v>471</v>
      </c>
      <c r="B397" t="s">
        <v>472</v>
      </c>
      <c r="C397" t="s">
        <v>490</v>
      </c>
      <c r="D397" t="s">
        <v>109</v>
      </c>
      <c r="E397" t="s">
        <v>103</v>
      </c>
      <c r="F397" t="s">
        <v>1</v>
      </c>
      <c r="G397" t="s">
        <v>288</v>
      </c>
      <c r="H397" t="s">
        <v>276</v>
      </c>
      <c r="I397" t="s">
        <v>1</v>
      </c>
      <c r="J397">
        <v>148</v>
      </c>
      <c r="L397">
        <v>116.13</v>
      </c>
      <c r="M397">
        <v>234.18480662983424</v>
      </c>
      <c r="N397">
        <v>264.13</v>
      </c>
      <c r="O397">
        <v>232.26</v>
      </c>
      <c r="P397">
        <v>0</v>
      </c>
      <c r="Q397">
        <f t="shared" si="75"/>
        <v>232.26</v>
      </c>
      <c r="R397">
        <v>232.26</v>
      </c>
      <c r="S397">
        <f t="shared" si="76"/>
        <v>0</v>
      </c>
      <c r="U397">
        <f t="shared" si="77"/>
        <v>0</v>
      </c>
      <c r="V397">
        <f t="shared" si="78"/>
        <v>232.26</v>
      </c>
      <c r="W397">
        <f t="shared" si="79"/>
        <v>0</v>
      </c>
      <c r="X397">
        <v>0</v>
      </c>
    </row>
    <row r="398" spans="1:24" x14ac:dyDescent="0.25">
      <c r="A398" t="s">
        <v>471</v>
      </c>
      <c r="B398" t="s">
        <v>472</v>
      </c>
      <c r="C398" t="s">
        <v>490</v>
      </c>
      <c r="D398" t="s">
        <v>109</v>
      </c>
      <c r="E398" t="s">
        <v>65</v>
      </c>
      <c r="F398" t="s">
        <v>1</v>
      </c>
      <c r="G398" t="s">
        <v>288</v>
      </c>
      <c r="H398" t="s">
        <v>224</v>
      </c>
      <c r="I398" t="s">
        <v>1</v>
      </c>
      <c r="J398">
        <v>46680.57</v>
      </c>
      <c r="K398">
        <v>102000</v>
      </c>
      <c r="L398">
        <v>13794</v>
      </c>
      <c r="M398">
        <v>27816.629834254145</v>
      </c>
      <c r="N398">
        <v>30139.71</v>
      </c>
      <c r="O398">
        <v>27588</v>
      </c>
      <c r="P398">
        <v>0</v>
      </c>
      <c r="Q398">
        <f t="shared" si="75"/>
        <v>27588</v>
      </c>
      <c r="R398">
        <v>27588</v>
      </c>
      <c r="S398">
        <f t="shared" si="76"/>
        <v>0</v>
      </c>
      <c r="U398">
        <f t="shared" si="77"/>
        <v>0</v>
      </c>
      <c r="V398">
        <f t="shared" si="78"/>
        <v>27588</v>
      </c>
      <c r="W398">
        <f t="shared" si="79"/>
        <v>0</v>
      </c>
      <c r="X398">
        <v>0</v>
      </c>
    </row>
    <row r="399" spans="1:24" x14ac:dyDescent="0.25">
      <c r="A399" t="s">
        <v>471</v>
      </c>
      <c r="B399" t="s">
        <v>472</v>
      </c>
      <c r="C399" t="s">
        <v>490</v>
      </c>
      <c r="D399" t="s">
        <v>109</v>
      </c>
      <c r="E399" t="s">
        <v>30</v>
      </c>
      <c r="F399" t="s">
        <v>1</v>
      </c>
      <c r="G399" t="s">
        <v>288</v>
      </c>
      <c r="H399" t="s">
        <v>182</v>
      </c>
      <c r="I399" t="s">
        <v>1</v>
      </c>
      <c r="J399">
        <v>464.36</v>
      </c>
      <c r="K399">
        <v>1269</v>
      </c>
      <c r="L399">
        <v>0</v>
      </c>
      <c r="M399">
        <v>0</v>
      </c>
      <c r="N399">
        <v>232.18</v>
      </c>
      <c r="P399">
        <v>0</v>
      </c>
      <c r="Q399">
        <f t="shared" si="75"/>
        <v>0</v>
      </c>
      <c r="R399">
        <v>0</v>
      </c>
      <c r="S399">
        <f t="shared" si="76"/>
        <v>0</v>
      </c>
      <c r="T399">
        <v>0.03</v>
      </c>
      <c r="U399">
        <f t="shared" si="77"/>
        <v>0</v>
      </c>
      <c r="V399">
        <f t="shared" si="78"/>
        <v>0</v>
      </c>
      <c r="W399">
        <f t="shared" si="79"/>
        <v>0</v>
      </c>
      <c r="X399">
        <v>0</v>
      </c>
    </row>
    <row r="400" spans="1:24" x14ac:dyDescent="0.25">
      <c r="A400" t="s">
        <v>471</v>
      </c>
      <c r="B400" t="s">
        <v>472</v>
      </c>
      <c r="C400" t="s">
        <v>490</v>
      </c>
      <c r="D400" t="s">
        <v>109</v>
      </c>
      <c r="E400" t="s">
        <v>31</v>
      </c>
      <c r="F400" t="s">
        <v>1</v>
      </c>
      <c r="G400" t="s">
        <v>288</v>
      </c>
      <c r="H400" t="s">
        <v>183</v>
      </c>
      <c r="I400" t="s">
        <v>1</v>
      </c>
      <c r="J400">
        <v>555892.43999999994</v>
      </c>
      <c r="K400">
        <v>285138.55782988103</v>
      </c>
      <c r="L400">
        <v>257624.42</v>
      </c>
      <c r="M400">
        <v>519518.8580110498</v>
      </c>
      <c r="N400">
        <v>561750.04</v>
      </c>
      <c r="O400">
        <v>515248.84</v>
      </c>
      <c r="P400">
        <v>0</v>
      </c>
      <c r="Q400">
        <f t="shared" si="75"/>
        <v>515248.84</v>
      </c>
      <c r="R400">
        <v>515248.84</v>
      </c>
      <c r="S400">
        <f t="shared" si="76"/>
        <v>0</v>
      </c>
      <c r="T400">
        <v>0.03</v>
      </c>
      <c r="U400">
        <f t="shared" si="77"/>
        <v>15457.465200000001</v>
      </c>
      <c r="V400">
        <f t="shared" si="78"/>
        <v>530706.30520000006</v>
      </c>
      <c r="W400">
        <f t="shared" si="79"/>
        <v>15457.465200000035</v>
      </c>
      <c r="X400">
        <v>0</v>
      </c>
    </row>
    <row r="401" spans="1:24" x14ac:dyDescent="0.25">
      <c r="A401" t="s">
        <v>471</v>
      </c>
      <c r="B401" t="s">
        <v>472</v>
      </c>
      <c r="C401" t="s">
        <v>490</v>
      </c>
      <c r="D401" t="s">
        <v>109</v>
      </c>
      <c r="E401" t="s">
        <v>32</v>
      </c>
      <c r="F401" t="s">
        <v>1</v>
      </c>
      <c r="G401" t="s">
        <v>288</v>
      </c>
      <c r="H401" t="s">
        <v>184</v>
      </c>
      <c r="I401" t="s">
        <v>1</v>
      </c>
      <c r="J401">
        <v>149490.46</v>
      </c>
      <c r="K401">
        <v>140564</v>
      </c>
      <c r="L401">
        <v>62299.82</v>
      </c>
      <c r="M401">
        <v>125632.23370165746</v>
      </c>
      <c r="N401">
        <v>139301.93</v>
      </c>
      <c r="O401">
        <v>124599.64</v>
      </c>
      <c r="P401">
        <v>0</v>
      </c>
      <c r="Q401">
        <f t="shared" si="75"/>
        <v>124599.64</v>
      </c>
      <c r="R401">
        <v>124599.64</v>
      </c>
      <c r="S401">
        <f t="shared" si="76"/>
        <v>0</v>
      </c>
      <c r="T401">
        <v>0.03</v>
      </c>
      <c r="U401">
        <f t="shared" si="77"/>
        <v>3737.9892</v>
      </c>
      <c r="V401">
        <f t="shared" si="78"/>
        <v>128337.6292</v>
      </c>
      <c r="W401">
        <f t="shared" si="79"/>
        <v>3737.9891999999963</v>
      </c>
      <c r="X401">
        <v>0</v>
      </c>
    </row>
    <row r="402" spans="1:24" x14ac:dyDescent="0.25">
      <c r="A402" t="s">
        <v>471</v>
      </c>
      <c r="B402" t="s">
        <v>472</v>
      </c>
      <c r="C402" t="s">
        <v>490</v>
      </c>
      <c r="D402" t="s">
        <v>109</v>
      </c>
      <c r="E402" t="s">
        <v>66</v>
      </c>
      <c r="F402" t="s">
        <v>1</v>
      </c>
      <c r="G402" t="s">
        <v>288</v>
      </c>
      <c r="H402" t="s">
        <v>225</v>
      </c>
      <c r="I402" t="s">
        <v>1</v>
      </c>
      <c r="J402">
        <v>23667.51</v>
      </c>
      <c r="K402">
        <v>23835.9999999996</v>
      </c>
      <c r="L402">
        <v>11214.09</v>
      </c>
      <c r="M402">
        <v>22614.048895027623</v>
      </c>
      <c r="N402">
        <v>22963.33</v>
      </c>
      <c r="O402">
        <v>22428.18</v>
      </c>
      <c r="P402">
        <v>0</v>
      </c>
      <c r="Q402">
        <f t="shared" si="75"/>
        <v>22428.18</v>
      </c>
      <c r="R402">
        <v>22428.18</v>
      </c>
      <c r="S402">
        <f t="shared" si="76"/>
        <v>0</v>
      </c>
      <c r="T402">
        <v>0.03</v>
      </c>
      <c r="U402">
        <f t="shared" si="77"/>
        <v>672.84540000000004</v>
      </c>
      <c r="V402">
        <f t="shared" si="78"/>
        <v>23101.025399999999</v>
      </c>
      <c r="W402">
        <f t="shared" si="79"/>
        <v>672.84539999999834</v>
      </c>
      <c r="X402">
        <v>0</v>
      </c>
    </row>
    <row r="403" spans="1:24" x14ac:dyDescent="0.25">
      <c r="A403" t="s">
        <v>471</v>
      </c>
      <c r="B403" t="s">
        <v>472</v>
      </c>
      <c r="C403" t="s">
        <v>490</v>
      </c>
      <c r="D403" t="s">
        <v>109</v>
      </c>
      <c r="E403" t="s">
        <v>33</v>
      </c>
      <c r="F403" t="s">
        <v>1</v>
      </c>
      <c r="G403" t="s">
        <v>288</v>
      </c>
      <c r="H403" t="s">
        <v>185</v>
      </c>
      <c r="I403" t="s">
        <v>1</v>
      </c>
      <c r="J403">
        <v>173490.81</v>
      </c>
      <c r="K403">
        <v>137546</v>
      </c>
      <c r="L403">
        <v>68668.399999999994</v>
      </c>
      <c r="M403">
        <v>138474.95027624306</v>
      </c>
      <c r="N403">
        <v>162182.56000000003</v>
      </c>
      <c r="O403">
        <v>137336.79999999999</v>
      </c>
      <c r="P403">
        <v>0</v>
      </c>
      <c r="Q403">
        <f t="shared" si="75"/>
        <v>137336.79999999999</v>
      </c>
      <c r="R403">
        <v>137336.79999999999</v>
      </c>
      <c r="S403">
        <f t="shared" si="76"/>
        <v>0</v>
      </c>
      <c r="T403">
        <v>0.03</v>
      </c>
      <c r="U403">
        <f t="shared" si="77"/>
        <v>4120.1039999999994</v>
      </c>
      <c r="V403">
        <f t="shared" si="78"/>
        <v>141456.90399999998</v>
      </c>
      <c r="W403">
        <f t="shared" si="79"/>
        <v>4120.1039999999921</v>
      </c>
      <c r="X403">
        <v>0</v>
      </c>
    </row>
    <row r="404" spans="1:24" x14ac:dyDescent="0.25">
      <c r="A404" t="s">
        <v>471</v>
      </c>
      <c r="B404" t="s">
        <v>472</v>
      </c>
      <c r="C404" t="s">
        <v>490</v>
      </c>
      <c r="D404" t="s">
        <v>109</v>
      </c>
      <c r="E404" t="s">
        <v>92</v>
      </c>
      <c r="F404" t="s">
        <v>1</v>
      </c>
      <c r="G404" t="s">
        <v>288</v>
      </c>
      <c r="H404" t="s">
        <v>263</v>
      </c>
      <c r="I404" t="s">
        <v>1</v>
      </c>
      <c r="J404">
        <v>25280.98</v>
      </c>
      <c r="K404">
        <v>23051.0000000004</v>
      </c>
      <c r="L404">
        <v>6737.66</v>
      </c>
      <c r="M404">
        <v>13586.993922651933</v>
      </c>
      <c r="N404">
        <v>8967.5499999999993</v>
      </c>
      <c r="O404">
        <v>13475.32</v>
      </c>
      <c r="P404">
        <v>0</v>
      </c>
      <c r="Q404">
        <f t="shared" si="75"/>
        <v>13475.32</v>
      </c>
      <c r="R404">
        <v>13475.32</v>
      </c>
      <c r="S404">
        <f t="shared" si="76"/>
        <v>0</v>
      </c>
      <c r="T404">
        <v>0.03</v>
      </c>
      <c r="U404">
        <f t="shared" si="77"/>
        <v>404.25959999999998</v>
      </c>
      <c r="V404">
        <f t="shared" si="78"/>
        <v>13879.579599999999</v>
      </c>
      <c r="W404">
        <f t="shared" si="79"/>
        <v>404.25959999999941</v>
      </c>
      <c r="X404">
        <v>0</v>
      </c>
    </row>
    <row r="405" spans="1:24" x14ac:dyDescent="0.25">
      <c r="A405" t="s">
        <v>471</v>
      </c>
      <c r="B405" t="s">
        <v>472</v>
      </c>
      <c r="C405" t="s">
        <v>490</v>
      </c>
      <c r="D405" t="s">
        <v>109</v>
      </c>
      <c r="E405" t="s">
        <v>67</v>
      </c>
      <c r="F405" t="s">
        <v>1</v>
      </c>
      <c r="G405" t="s">
        <v>288</v>
      </c>
      <c r="H405" t="s">
        <v>226</v>
      </c>
      <c r="I405" t="s">
        <v>1</v>
      </c>
      <c r="J405">
        <v>8115.39</v>
      </c>
      <c r="K405">
        <v>3386.5682111676001</v>
      </c>
      <c r="L405">
        <v>1033.75</v>
      </c>
      <c r="M405">
        <v>2084.6339779005525</v>
      </c>
      <c r="N405">
        <v>9713.75</v>
      </c>
      <c r="O405">
        <v>2067.5</v>
      </c>
      <c r="P405">
        <v>0</v>
      </c>
      <c r="Q405">
        <f t="shared" si="75"/>
        <v>2067.5</v>
      </c>
      <c r="R405">
        <v>2067.5</v>
      </c>
      <c r="S405">
        <f t="shared" si="76"/>
        <v>0</v>
      </c>
      <c r="T405">
        <v>0.03</v>
      </c>
      <c r="U405">
        <f t="shared" si="77"/>
        <v>62.024999999999999</v>
      </c>
      <c r="V405">
        <f t="shared" si="78"/>
        <v>2129.5250000000001</v>
      </c>
      <c r="W405">
        <f t="shared" si="79"/>
        <v>62.025000000000091</v>
      </c>
      <c r="X405">
        <v>0</v>
      </c>
    </row>
    <row r="406" spans="1:24" x14ac:dyDescent="0.25">
      <c r="A406" t="s">
        <v>471</v>
      </c>
      <c r="B406" t="s">
        <v>472</v>
      </c>
      <c r="C406" t="s">
        <v>490</v>
      </c>
      <c r="D406" t="s">
        <v>109</v>
      </c>
      <c r="E406" t="s">
        <v>68</v>
      </c>
      <c r="F406" t="s">
        <v>1</v>
      </c>
      <c r="G406" t="s">
        <v>288</v>
      </c>
      <c r="H406" t="s">
        <v>227</v>
      </c>
      <c r="I406" t="s">
        <v>1</v>
      </c>
      <c r="J406">
        <v>9207</v>
      </c>
      <c r="K406">
        <v>5364</v>
      </c>
      <c r="L406">
        <v>17159</v>
      </c>
      <c r="M406">
        <v>34602.40331491713</v>
      </c>
      <c r="N406">
        <v>24131</v>
      </c>
      <c r="O406">
        <v>34318</v>
      </c>
      <c r="P406">
        <v>0</v>
      </c>
      <c r="Q406">
        <f t="shared" si="75"/>
        <v>34318</v>
      </c>
      <c r="R406">
        <v>34318</v>
      </c>
      <c r="S406">
        <f t="shared" si="76"/>
        <v>0</v>
      </c>
      <c r="T406">
        <v>0.03</v>
      </c>
      <c r="U406">
        <f t="shared" si="77"/>
        <v>1029.54</v>
      </c>
      <c r="V406">
        <f t="shared" si="78"/>
        <v>35347.54</v>
      </c>
      <c r="W406">
        <f t="shared" si="79"/>
        <v>1029.5400000000009</v>
      </c>
      <c r="X406">
        <v>0</v>
      </c>
    </row>
    <row r="407" spans="1:24" x14ac:dyDescent="0.25">
      <c r="A407" t="s">
        <v>471</v>
      </c>
      <c r="B407" t="s">
        <v>472</v>
      </c>
      <c r="C407" t="s">
        <v>490</v>
      </c>
      <c r="D407" t="s">
        <v>109</v>
      </c>
      <c r="E407" t="s">
        <v>36</v>
      </c>
      <c r="F407" t="s">
        <v>1</v>
      </c>
      <c r="G407" t="s">
        <v>288</v>
      </c>
      <c r="H407" t="s">
        <v>188</v>
      </c>
      <c r="I407" t="s">
        <v>1</v>
      </c>
      <c r="J407">
        <v>25723.85</v>
      </c>
      <c r="K407">
        <v>13296</v>
      </c>
      <c r="L407">
        <v>5589.92</v>
      </c>
      <c r="M407">
        <v>11272.490607734806</v>
      </c>
      <c r="N407">
        <v>16479.54</v>
      </c>
      <c r="O407">
        <v>11179.84</v>
      </c>
      <c r="P407">
        <v>0</v>
      </c>
      <c r="Q407">
        <f t="shared" si="75"/>
        <v>11179.84</v>
      </c>
      <c r="R407">
        <v>11179.84</v>
      </c>
      <c r="S407">
        <f t="shared" si="76"/>
        <v>0</v>
      </c>
      <c r="T407">
        <v>0.03</v>
      </c>
      <c r="U407">
        <f t="shared" si="77"/>
        <v>335.39519999999999</v>
      </c>
      <c r="V407">
        <f t="shared" si="78"/>
        <v>11515.235200000001</v>
      </c>
      <c r="W407">
        <f t="shared" si="79"/>
        <v>335.39520000000084</v>
      </c>
      <c r="X407">
        <v>0</v>
      </c>
    </row>
    <row r="408" spans="1:24" x14ac:dyDescent="0.25">
      <c r="A408" t="s">
        <v>471</v>
      </c>
      <c r="B408" t="s">
        <v>472</v>
      </c>
      <c r="C408" t="s">
        <v>490</v>
      </c>
      <c r="D408" t="s">
        <v>109</v>
      </c>
      <c r="E408" t="s">
        <v>37</v>
      </c>
      <c r="F408" t="s">
        <v>1</v>
      </c>
      <c r="G408" t="s">
        <v>288</v>
      </c>
      <c r="H408" t="s">
        <v>189</v>
      </c>
      <c r="I408" t="s">
        <v>1</v>
      </c>
      <c r="J408">
        <v>295</v>
      </c>
      <c r="L408">
        <v>0</v>
      </c>
      <c r="M408">
        <v>0</v>
      </c>
      <c r="N408">
        <v>295</v>
      </c>
      <c r="P408">
        <v>0</v>
      </c>
      <c r="Q408">
        <f t="shared" si="75"/>
        <v>0</v>
      </c>
      <c r="R408">
        <v>0</v>
      </c>
      <c r="S408">
        <f t="shared" si="76"/>
        <v>0</v>
      </c>
      <c r="T408">
        <v>0.03</v>
      </c>
      <c r="U408">
        <f t="shared" si="77"/>
        <v>0</v>
      </c>
      <c r="V408">
        <f t="shared" si="78"/>
        <v>0</v>
      </c>
      <c r="W408">
        <f t="shared" si="79"/>
        <v>0</v>
      </c>
      <c r="X408">
        <v>0</v>
      </c>
    </row>
    <row r="409" spans="1:24" x14ac:dyDescent="0.25">
      <c r="A409" t="s">
        <v>471</v>
      </c>
      <c r="B409" t="s">
        <v>472</v>
      </c>
      <c r="C409" t="s">
        <v>490</v>
      </c>
      <c r="D409" t="s">
        <v>109</v>
      </c>
      <c r="E409" t="s">
        <v>38</v>
      </c>
      <c r="F409" t="s">
        <v>1</v>
      </c>
      <c r="G409" t="s">
        <v>288</v>
      </c>
      <c r="H409" t="s">
        <v>190</v>
      </c>
      <c r="I409" t="s">
        <v>1</v>
      </c>
      <c r="K409">
        <v>341.00000000040001</v>
      </c>
      <c r="L409">
        <v>0</v>
      </c>
      <c r="M409">
        <v>0</v>
      </c>
      <c r="N409">
        <v>0</v>
      </c>
      <c r="P409">
        <v>0</v>
      </c>
      <c r="Q409">
        <f t="shared" si="75"/>
        <v>0</v>
      </c>
      <c r="R409">
        <v>0</v>
      </c>
      <c r="S409">
        <f t="shared" si="76"/>
        <v>0</v>
      </c>
      <c r="T409">
        <v>0.03</v>
      </c>
      <c r="U409">
        <f t="shared" si="77"/>
        <v>0</v>
      </c>
      <c r="V409">
        <f t="shared" si="78"/>
        <v>0</v>
      </c>
      <c r="W409">
        <f t="shared" si="79"/>
        <v>0</v>
      </c>
      <c r="X409">
        <v>0</v>
      </c>
    </row>
    <row r="410" spans="1:24" x14ac:dyDescent="0.25">
      <c r="A410" t="s">
        <v>471</v>
      </c>
      <c r="B410" t="s">
        <v>472</v>
      </c>
      <c r="C410" t="s">
        <v>490</v>
      </c>
      <c r="D410" t="s">
        <v>109</v>
      </c>
      <c r="E410" t="s">
        <v>73</v>
      </c>
      <c r="F410" t="s">
        <v>1</v>
      </c>
      <c r="G410" t="s">
        <v>288</v>
      </c>
      <c r="H410" t="s">
        <v>234</v>
      </c>
      <c r="I410" t="s">
        <v>1</v>
      </c>
      <c r="J410">
        <v>1988.59</v>
      </c>
      <c r="K410">
        <v>4776</v>
      </c>
      <c r="L410">
        <v>0</v>
      </c>
      <c r="M410">
        <v>0</v>
      </c>
      <c r="N410">
        <v>1988.59</v>
      </c>
      <c r="P410">
        <v>0</v>
      </c>
      <c r="Q410">
        <f t="shared" si="75"/>
        <v>0</v>
      </c>
      <c r="R410">
        <v>0</v>
      </c>
      <c r="S410">
        <f t="shared" si="76"/>
        <v>0</v>
      </c>
      <c r="T410">
        <v>0.03</v>
      </c>
      <c r="U410">
        <f t="shared" si="77"/>
        <v>0</v>
      </c>
      <c r="V410">
        <f t="shared" si="78"/>
        <v>0</v>
      </c>
      <c r="W410">
        <f t="shared" si="79"/>
        <v>0</v>
      </c>
      <c r="X410">
        <v>0</v>
      </c>
    </row>
    <row r="411" spans="1:24" x14ac:dyDescent="0.25">
      <c r="A411" t="s">
        <v>471</v>
      </c>
      <c r="B411" t="s">
        <v>472</v>
      </c>
      <c r="C411" t="s">
        <v>490</v>
      </c>
      <c r="D411" t="s">
        <v>109</v>
      </c>
      <c r="E411" t="s">
        <v>104</v>
      </c>
      <c r="F411" t="s">
        <v>1</v>
      </c>
      <c r="G411" t="s">
        <v>288</v>
      </c>
      <c r="H411" t="s">
        <v>277</v>
      </c>
      <c r="I411" t="s">
        <v>1</v>
      </c>
      <c r="J411">
        <v>-1150</v>
      </c>
      <c r="L411">
        <v>0</v>
      </c>
      <c r="M411">
        <v>0</v>
      </c>
      <c r="N411">
        <v>0</v>
      </c>
      <c r="P411">
        <v>0</v>
      </c>
      <c r="Q411">
        <f t="shared" si="75"/>
        <v>0</v>
      </c>
      <c r="R411">
        <v>0</v>
      </c>
      <c r="S411">
        <f t="shared" si="76"/>
        <v>0</v>
      </c>
      <c r="T411">
        <v>0.03</v>
      </c>
      <c r="U411">
        <f t="shared" si="77"/>
        <v>0</v>
      </c>
      <c r="V411">
        <f t="shared" si="78"/>
        <v>0</v>
      </c>
      <c r="W411">
        <f t="shared" si="79"/>
        <v>0</v>
      </c>
      <c r="X411">
        <v>0</v>
      </c>
    </row>
    <row r="412" spans="1:24" x14ac:dyDescent="0.25">
      <c r="A412" t="s">
        <v>471</v>
      </c>
      <c r="B412" t="s">
        <v>472</v>
      </c>
      <c r="C412" t="s">
        <v>490</v>
      </c>
      <c r="D412" t="s">
        <v>109</v>
      </c>
      <c r="E412" t="s">
        <v>40</v>
      </c>
      <c r="F412" t="s">
        <v>1</v>
      </c>
      <c r="G412" t="s">
        <v>288</v>
      </c>
      <c r="H412" t="s">
        <v>192</v>
      </c>
      <c r="I412" t="s">
        <v>1</v>
      </c>
      <c r="J412">
        <v>24054.43</v>
      </c>
      <c r="L412">
        <v>13538.39</v>
      </c>
      <c r="M412">
        <v>27301.173204419891</v>
      </c>
      <c r="N412">
        <v>36203.81</v>
      </c>
      <c r="O412">
        <v>27076.78</v>
      </c>
      <c r="P412">
        <v>0</v>
      </c>
      <c r="Q412">
        <f t="shared" si="75"/>
        <v>27076.78</v>
      </c>
      <c r="R412">
        <v>27076.78</v>
      </c>
      <c r="S412">
        <f t="shared" si="76"/>
        <v>0</v>
      </c>
      <c r="T412">
        <v>0.03</v>
      </c>
      <c r="U412">
        <f t="shared" si="77"/>
        <v>812.3033999999999</v>
      </c>
      <c r="V412">
        <f t="shared" si="78"/>
        <v>27889.0834</v>
      </c>
      <c r="W412">
        <f t="shared" si="79"/>
        <v>812.30340000000069</v>
      </c>
      <c r="X412">
        <v>0</v>
      </c>
    </row>
    <row r="413" spans="1:24" x14ac:dyDescent="0.25">
      <c r="A413" t="s">
        <v>471</v>
      </c>
      <c r="B413" t="s">
        <v>472</v>
      </c>
      <c r="C413" t="s">
        <v>490</v>
      </c>
      <c r="D413" t="s">
        <v>109</v>
      </c>
      <c r="E413" t="s">
        <v>118</v>
      </c>
      <c r="F413" t="s">
        <v>1</v>
      </c>
      <c r="G413" t="s">
        <v>288</v>
      </c>
      <c r="H413" t="s">
        <v>297</v>
      </c>
      <c r="I413" t="s">
        <v>1</v>
      </c>
      <c r="J413">
        <v>262071.69</v>
      </c>
      <c r="L413">
        <v>44892.11</v>
      </c>
      <c r="M413">
        <v>90528.288121546953</v>
      </c>
      <c r="N413">
        <v>306963.79999999993</v>
      </c>
      <c r="O413">
        <v>89784.22</v>
      </c>
      <c r="P413">
        <v>0</v>
      </c>
      <c r="Q413">
        <f t="shared" si="75"/>
        <v>89784.22</v>
      </c>
      <c r="R413">
        <v>89784.22</v>
      </c>
      <c r="S413">
        <f t="shared" si="76"/>
        <v>0</v>
      </c>
      <c r="U413">
        <f t="shared" si="77"/>
        <v>0</v>
      </c>
      <c r="V413">
        <f t="shared" si="78"/>
        <v>89784.22</v>
      </c>
      <c r="W413">
        <f t="shared" si="79"/>
        <v>0</v>
      </c>
      <c r="X413">
        <v>0</v>
      </c>
    </row>
    <row r="414" spans="1:24" x14ac:dyDescent="0.25">
      <c r="A414" t="s">
        <v>471</v>
      </c>
      <c r="B414" t="s">
        <v>472</v>
      </c>
      <c r="C414" t="s">
        <v>490</v>
      </c>
      <c r="D414" t="s">
        <v>109</v>
      </c>
      <c r="E414" t="s">
        <v>60</v>
      </c>
      <c r="F414" t="s">
        <v>1</v>
      </c>
      <c r="G414" t="s">
        <v>288</v>
      </c>
      <c r="H414" t="s">
        <v>217</v>
      </c>
      <c r="I414" t="s">
        <v>1</v>
      </c>
      <c r="J414">
        <v>1764.83</v>
      </c>
      <c r="L414">
        <v>895.58</v>
      </c>
      <c r="M414">
        <v>1806.0038674033151</v>
      </c>
      <c r="N414">
        <v>1452.4499999999998</v>
      </c>
      <c r="O414">
        <v>1806.0038674033001</v>
      </c>
      <c r="P414">
        <v>0</v>
      </c>
      <c r="Q414">
        <f t="shared" si="75"/>
        <v>1806.0038674033001</v>
      </c>
      <c r="R414">
        <v>1806.0038674033001</v>
      </c>
      <c r="S414">
        <f t="shared" si="76"/>
        <v>0</v>
      </c>
      <c r="U414">
        <f t="shared" si="77"/>
        <v>0</v>
      </c>
      <c r="V414">
        <f t="shared" si="78"/>
        <v>1806.0038674033001</v>
      </c>
      <c r="W414">
        <f t="shared" si="79"/>
        <v>0</v>
      </c>
      <c r="X414">
        <v>0</v>
      </c>
    </row>
    <row r="415" spans="1:24" x14ac:dyDescent="0.25">
      <c r="A415" t="s">
        <v>471</v>
      </c>
      <c r="B415" t="s">
        <v>472</v>
      </c>
      <c r="C415" t="s">
        <v>490</v>
      </c>
      <c r="D415" t="s">
        <v>109</v>
      </c>
      <c r="E415" t="s">
        <v>41</v>
      </c>
      <c r="F415" t="s">
        <v>1</v>
      </c>
      <c r="G415" t="s">
        <v>288</v>
      </c>
      <c r="H415" t="s">
        <v>193</v>
      </c>
      <c r="I415" t="s">
        <v>1</v>
      </c>
      <c r="J415">
        <v>2756.2</v>
      </c>
      <c r="K415">
        <v>1616</v>
      </c>
      <c r="L415">
        <v>1066.9000000000001</v>
      </c>
      <c r="M415">
        <v>2151.4834254143648</v>
      </c>
      <c r="N415">
        <v>2322.4900000000002</v>
      </c>
      <c r="O415">
        <v>2151.4834254143998</v>
      </c>
      <c r="P415">
        <v>0</v>
      </c>
      <c r="Q415">
        <f t="shared" si="75"/>
        <v>2151.4834254143998</v>
      </c>
      <c r="R415">
        <v>2151.4834254143998</v>
      </c>
      <c r="S415">
        <f t="shared" si="76"/>
        <v>0</v>
      </c>
      <c r="U415">
        <f t="shared" si="77"/>
        <v>0</v>
      </c>
      <c r="V415">
        <f t="shared" si="78"/>
        <v>2151.4834254143998</v>
      </c>
      <c r="W415">
        <f t="shared" si="79"/>
        <v>0</v>
      </c>
      <c r="X415">
        <v>0</v>
      </c>
    </row>
    <row r="416" spans="1:24" x14ac:dyDescent="0.25">
      <c r="A416" t="s">
        <v>471</v>
      </c>
      <c r="B416" t="s">
        <v>472</v>
      </c>
      <c r="C416" t="s">
        <v>490</v>
      </c>
      <c r="D416" t="s">
        <v>109</v>
      </c>
      <c r="E416" t="s">
        <v>42</v>
      </c>
      <c r="F416" t="s">
        <v>42</v>
      </c>
      <c r="G416" t="s">
        <v>298</v>
      </c>
      <c r="J416">
        <v>11704450.469999999</v>
      </c>
      <c r="K416">
        <v>11668171.13095214</v>
      </c>
      <c r="L416">
        <v>6047790.1799999997</v>
      </c>
      <c r="M416">
        <v>12195819.976243092</v>
      </c>
      <c r="N416">
        <v>12200015.52</v>
      </c>
      <c r="O416">
        <v>12155642.625912815</v>
      </c>
      <c r="P416">
        <f>SUMIF($F$354:$F$415,"&lt;&gt;EV_*",$P$354:$P$415)</f>
        <v>0</v>
      </c>
      <c r="Q416">
        <f>SUMIF($F$354:$F$415,"&lt;&gt;EV_*",$Q$354:$Q$415)</f>
        <v>12155642.625912815</v>
      </c>
      <c r="R416">
        <f>SUMIF($F$354:$F$415,"&lt;&gt;EV_*",$R$354:$R$415)</f>
        <v>12155642.625912815</v>
      </c>
      <c r="S416">
        <f>SUMIF($F$354:$F$415,"&lt;&gt;EV_*",$S$354:$S$415)</f>
        <v>0</v>
      </c>
      <c r="T416">
        <v>0</v>
      </c>
      <c r="U416">
        <f>SUMIF($F$354:$F$415,"&lt;&gt;EV_*",$U$354:$U$415)</f>
        <v>345405.63395389012</v>
      </c>
      <c r="V416">
        <f>SUMIF($F$354:$F$415,"&lt;&gt;EV_*",$V$354:$V$415)</f>
        <v>12501048.259866709</v>
      </c>
      <c r="W416">
        <f>SUMIF($F$354:$F$415,"&lt;&gt;EV_*",$W$354:$W$415)</f>
        <v>345405.63395389001</v>
      </c>
      <c r="X416">
        <f>SUMIF($F$354:$F$415,"&lt;&gt;EV_*",$X$354:$X$415)</f>
        <v>0</v>
      </c>
    </row>
    <row r="417" spans="1:24" x14ac:dyDescent="0.25">
      <c r="A417" t="s">
        <v>471</v>
      </c>
      <c r="B417" t="s">
        <v>472</v>
      </c>
      <c r="C417" t="s">
        <v>491</v>
      </c>
      <c r="D417" t="s">
        <v>119</v>
      </c>
      <c r="E417" t="s">
        <v>5</v>
      </c>
      <c r="F417" t="s">
        <v>5</v>
      </c>
      <c r="G417" t="s">
        <v>299</v>
      </c>
    </row>
    <row r="418" spans="1:24" x14ac:dyDescent="0.25">
      <c r="A418" t="s">
        <v>471</v>
      </c>
      <c r="B418" t="s">
        <v>472</v>
      </c>
      <c r="C418" t="s">
        <v>491</v>
      </c>
      <c r="D418" t="s">
        <v>119</v>
      </c>
      <c r="E418" t="s">
        <v>8</v>
      </c>
      <c r="F418" t="s">
        <v>1</v>
      </c>
      <c r="G418" t="s">
        <v>300</v>
      </c>
      <c r="H418" t="s">
        <v>160</v>
      </c>
      <c r="I418" t="s">
        <v>1</v>
      </c>
      <c r="J418">
        <v>8831.4699999999993</v>
      </c>
      <c r="L418">
        <v>4887.8999999999996</v>
      </c>
      <c r="M418">
        <v>9856.8149171270707</v>
      </c>
      <c r="N418">
        <v>9685.51</v>
      </c>
      <c r="O418">
        <v>9775.7999999999993</v>
      </c>
      <c r="P418">
        <v>0</v>
      </c>
      <c r="Q418">
        <f t="shared" ref="Q418:Q446" si="80">O418+P418</f>
        <v>9775.7999999999993</v>
      </c>
      <c r="R418">
        <v>9775.7999999999993</v>
      </c>
      <c r="S418">
        <f t="shared" ref="S418:S446" si="81">IF(OR(LEFT(E418,2)="A_",LEFT(D418,5)="Total"),R418-Q418,"")</f>
        <v>0</v>
      </c>
      <c r="U418">
        <f t="shared" ref="U418:U446" si="82">IFERROR(R418*T418,R418*0)</f>
        <v>0</v>
      </c>
      <c r="V418">
        <f t="shared" ref="V418:V446" si="83">IF(OR(LEFT(E418,2)="A_",LEFT(D418,5)="Total"),R418+U418,"")</f>
        <v>9775.7999999999993</v>
      </c>
      <c r="W418">
        <f t="shared" ref="W418:W446" si="84">IF(OR(LEFT(E418,2)="A_",LEFT(D418,5)="Total"),V418-Q418,"")</f>
        <v>0</v>
      </c>
      <c r="X418">
        <v>0</v>
      </c>
    </row>
    <row r="419" spans="1:24" x14ac:dyDescent="0.25">
      <c r="A419" t="s">
        <v>471</v>
      </c>
      <c r="B419" t="s">
        <v>472</v>
      </c>
      <c r="C419" t="s">
        <v>491</v>
      </c>
      <c r="D419" t="s">
        <v>119</v>
      </c>
      <c r="E419" t="s">
        <v>70</v>
      </c>
      <c r="F419" t="s">
        <v>1</v>
      </c>
      <c r="G419" t="s">
        <v>300</v>
      </c>
      <c r="H419" t="s">
        <v>231</v>
      </c>
      <c r="I419" t="s">
        <v>1</v>
      </c>
      <c r="J419">
        <v>-64.260000000000005</v>
      </c>
      <c r="L419">
        <v>-76.069999999999993</v>
      </c>
      <c r="M419">
        <v>-153.40082872928176</v>
      </c>
      <c r="N419">
        <v>-87.33</v>
      </c>
      <c r="O419">
        <v>-152.97593406589999</v>
      </c>
      <c r="P419">
        <v>0</v>
      </c>
      <c r="Q419">
        <f t="shared" si="80"/>
        <v>-152.97593406589999</v>
      </c>
      <c r="R419">
        <v>-152.97593406589999</v>
      </c>
      <c r="S419">
        <f t="shared" si="81"/>
        <v>0</v>
      </c>
      <c r="U419">
        <f t="shared" si="82"/>
        <v>0</v>
      </c>
      <c r="V419">
        <f t="shared" si="83"/>
        <v>-152.97593406589999</v>
      </c>
      <c r="W419">
        <f t="shared" si="84"/>
        <v>0</v>
      </c>
      <c r="X419">
        <v>0</v>
      </c>
    </row>
    <row r="420" spans="1:24" x14ac:dyDescent="0.25">
      <c r="A420" t="s">
        <v>471</v>
      </c>
      <c r="B420" t="s">
        <v>472</v>
      </c>
      <c r="C420" t="s">
        <v>491</v>
      </c>
      <c r="D420" t="s">
        <v>119</v>
      </c>
      <c r="E420" t="s">
        <v>44</v>
      </c>
      <c r="F420" t="s">
        <v>1</v>
      </c>
      <c r="G420" t="s">
        <v>300</v>
      </c>
      <c r="H420" t="s">
        <v>197</v>
      </c>
      <c r="I420" t="s">
        <v>1</v>
      </c>
      <c r="J420">
        <v>-1530.57</v>
      </c>
      <c r="K420">
        <v>-29.999999999900002</v>
      </c>
      <c r="L420">
        <v>-1604.7</v>
      </c>
      <c r="M420">
        <v>-3235.9972375690609</v>
      </c>
      <c r="N420">
        <v>-2355.85</v>
      </c>
      <c r="O420">
        <v>-3227.0340659341</v>
      </c>
      <c r="P420">
        <v>0</v>
      </c>
      <c r="Q420">
        <f t="shared" si="80"/>
        <v>-3227.0340659341</v>
      </c>
      <c r="R420">
        <v>-3227.0340659341</v>
      </c>
      <c r="S420">
        <f t="shared" si="81"/>
        <v>0</v>
      </c>
      <c r="U420">
        <f t="shared" si="82"/>
        <v>0</v>
      </c>
      <c r="V420">
        <f t="shared" si="83"/>
        <v>-3227.0340659341</v>
      </c>
      <c r="W420">
        <f t="shared" si="84"/>
        <v>0</v>
      </c>
      <c r="X420">
        <v>0</v>
      </c>
    </row>
    <row r="421" spans="1:24" x14ac:dyDescent="0.25">
      <c r="A421" t="s">
        <v>471</v>
      </c>
      <c r="B421" t="s">
        <v>472</v>
      </c>
      <c r="C421" t="s">
        <v>491</v>
      </c>
      <c r="D421" t="s">
        <v>119</v>
      </c>
      <c r="E421" t="s">
        <v>63</v>
      </c>
      <c r="F421" t="s">
        <v>1</v>
      </c>
      <c r="G421" t="s">
        <v>300</v>
      </c>
      <c r="H421" t="s">
        <v>222</v>
      </c>
      <c r="I421" t="s">
        <v>1</v>
      </c>
      <c r="J421">
        <v>9678.75</v>
      </c>
      <c r="K421">
        <v>9331.8274706202992</v>
      </c>
      <c r="L421">
        <v>6942.36</v>
      </c>
      <c r="M421">
        <v>13999.78674033149</v>
      </c>
      <c r="N421">
        <v>12132</v>
      </c>
      <c r="O421">
        <v>13961.0096703297</v>
      </c>
      <c r="P421">
        <v>0</v>
      </c>
      <c r="Q421">
        <f t="shared" si="80"/>
        <v>13961.0096703297</v>
      </c>
      <c r="R421">
        <v>13961.0096703297</v>
      </c>
      <c r="S421">
        <f t="shared" si="81"/>
        <v>0</v>
      </c>
      <c r="T421">
        <v>2.75E-2</v>
      </c>
      <c r="U421">
        <f t="shared" si="82"/>
        <v>383.92776593406677</v>
      </c>
      <c r="V421">
        <f t="shared" si="83"/>
        <v>14344.937436263766</v>
      </c>
      <c r="W421">
        <f t="shared" si="84"/>
        <v>383.92776593406597</v>
      </c>
      <c r="X421">
        <v>0</v>
      </c>
    </row>
    <row r="422" spans="1:24" x14ac:dyDescent="0.25">
      <c r="A422" t="s">
        <v>471</v>
      </c>
      <c r="B422" t="s">
        <v>472</v>
      </c>
      <c r="C422" t="s">
        <v>491</v>
      </c>
      <c r="D422" t="s">
        <v>119</v>
      </c>
      <c r="E422" t="s">
        <v>112</v>
      </c>
      <c r="F422" t="s">
        <v>1</v>
      </c>
      <c r="G422" t="s">
        <v>300</v>
      </c>
      <c r="H422" t="s">
        <v>291</v>
      </c>
      <c r="I422" t="s">
        <v>1</v>
      </c>
      <c r="J422">
        <v>6000</v>
      </c>
      <c r="K422">
        <v>9237.6543209875999</v>
      </c>
      <c r="L422">
        <v>0</v>
      </c>
      <c r="M422">
        <v>0</v>
      </c>
      <c r="N422">
        <v>0</v>
      </c>
      <c r="P422">
        <v>0</v>
      </c>
      <c r="Q422">
        <f t="shared" si="80"/>
        <v>0</v>
      </c>
      <c r="R422">
        <v>0</v>
      </c>
      <c r="S422">
        <f t="shared" si="81"/>
        <v>0</v>
      </c>
      <c r="T422">
        <v>2.5000000000000001E-2</v>
      </c>
      <c r="U422">
        <f t="shared" si="82"/>
        <v>0</v>
      </c>
      <c r="V422">
        <f t="shared" si="83"/>
        <v>0</v>
      </c>
      <c r="W422">
        <f t="shared" si="84"/>
        <v>0</v>
      </c>
      <c r="X422">
        <v>0</v>
      </c>
    </row>
    <row r="423" spans="1:24" x14ac:dyDescent="0.25">
      <c r="A423" t="s">
        <v>471</v>
      </c>
      <c r="B423" t="s">
        <v>472</v>
      </c>
      <c r="C423" t="s">
        <v>491</v>
      </c>
      <c r="D423" t="s">
        <v>119</v>
      </c>
      <c r="E423" t="s">
        <v>12</v>
      </c>
      <c r="F423" t="s">
        <v>1</v>
      </c>
      <c r="G423" t="s">
        <v>300</v>
      </c>
      <c r="H423" t="s">
        <v>164</v>
      </c>
      <c r="I423" t="s">
        <v>1</v>
      </c>
      <c r="J423">
        <v>16670</v>
      </c>
      <c r="K423">
        <v>7397.6712962961001</v>
      </c>
      <c r="L423">
        <v>13400</v>
      </c>
      <c r="M423">
        <v>27022.099447513814</v>
      </c>
      <c r="N423">
        <v>25300</v>
      </c>
      <c r="O423">
        <v>26947.2527472527</v>
      </c>
      <c r="P423">
        <v>0</v>
      </c>
      <c r="Q423">
        <f t="shared" si="80"/>
        <v>26947.2527472527</v>
      </c>
      <c r="R423">
        <v>26947.2527472527</v>
      </c>
      <c r="S423">
        <f t="shared" si="81"/>
        <v>0</v>
      </c>
      <c r="T423">
        <v>3.2500000000000001E-2</v>
      </c>
      <c r="U423">
        <f t="shared" si="82"/>
        <v>875.78571428571274</v>
      </c>
      <c r="V423">
        <f t="shared" si="83"/>
        <v>27823.038461538414</v>
      </c>
      <c r="W423">
        <f t="shared" si="84"/>
        <v>875.78571428571377</v>
      </c>
      <c r="X423">
        <v>0</v>
      </c>
    </row>
    <row r="424" spans="1:24" x14ac:dyDescent="0.25">
      <c r="A424" t="s">
        <v>471</v>
      </c>
      <c r="B424" t="s">
        <v>472</v>
      </c>
      <c r="C424" t="s">
        <v>491</v>
      </c>
      <c r="D424" t="s">
        <v>119</v>
      </c>
      <c r="E424" t="s">
        <v>13</v>
      </c>
      <c r="F424" t="s">
        <v>1</v>
      </c>
      <c r="G424" t="s">
        <v>300</v>
      </c>
      <c r="H424" t="s">
        <v>165</v>
      </c>
      <c r="I424" t="s">
        <v>1</v>
      </c>
      <c r="J424">
        <v>52098.91</v>
      </c>
      <c r="K424">
        <v>58467.708495930703</v>
      </c>
      <c r="L424">
        <v>27171.65</v>
      </c>
      <c r="M424">
        <v>54793.658839779004</v>
      </c>
      <c r="N424">
        <v>55735.47</v>
      </c>
      <c r="O424">
        <v>54641.889560439602</v>
      </c>
      <c r="P424">
        <v>0</v>
      </c>
      <c r="Q424">
        <f t="shared" si="80"/>
        <v>54641.889560439602</v>
      </c>
      <c r="R424">
        <v>54641.889560439602</v>
      </c>
      <c r="S424">
        <f t="shared" si="81"/>
        <v>0</v>
      </c>
      <c r="T424">
        <v>0.02</v>
      </c>
      <c r="U424">
        <f t="shared" si="82"/>
        <v>1092.8377912087922</v>
      </c>
      <c r="V424">
        <f t="shared" si="83"/>
        <v>55734.727351648391</v>
      </c>
      <c r="W424">
        <f t="shared" si="84"/>
        <v>1092.837791208789</v>
      </c>
      <c r="X424">
        <v>0</v>
      </c>
    </row>
    <row r="425" spans="1:24" x14ac:dyDescent="0.25">
      <c r="A425" t="s">
        <v>471</v>
      </c>
      <c r="B425" t="s">
        <v>472</v>
      </c>
      <c r="C425" t="s">
        <v>491</v>
      </c>
      <c r="D425" t="s">
        <v>119</v>
      </c>
      <c r="E425" t="s">
        <v>14</v>
      </c>
      <c r="F425" t="s">
        <v>1</v>
      </c>
      <c r="G425" t="s">
        <v>300</v>
      </c>
      <c r="H425" t="s">
        <v>166</v>
      </c>
      <c r="I425" t="s">
        <v>1</v>
      </c>
      <c r="J425">
        <v>1521.51</v>
      </c>
      <c r="K425">
        <v>1703.2404077419001</v>
      </c>
      <c r="L425">
        <v>695.52</v>
      </c>
      <c r="M425">
        <v>1402.567955801105</v>
      </c>
      <c r="N425">
        <v>1416.5999999999997</v>
      </c>
      <c r="O425">
        <v>1398.6830769231001</v>
      </c>
      <c r="P425">
        <v>0</v>
      </c>
      <c r="Q425">
        <f t="shared" si="80"/>
        <v>1398.6830769231001</v>
      </c>
      <c r="R425">
        <v>1398.6830769231001</v>
      </c>
      <c r="S425">
        <f t="shared" si="81"/>
        <v>0</v>
      </c>
      <c r="T425">
        <v>0.04</v>
      </c>
      <c r="U425">
        <f t="shared" si="82"/>
        <v>55.947323076924008</v>
      </c>
      <c r="V425">
        <f t="shared" si="83"/>
        <v>1454.6304000000241</v>
      </c>
      <c r="W425">
        <f t="shared" si="84"/>
        <v>55.947323076924022</v>
      </c>
      <c r="X425">
        <v>0</v>
      </c>
    </row>
    <row r="426" spans="1:24" x14ac:dyDescent="0.25">
      <c r="A426" t="s">
        <v>471</v>
      </c>
      <c r="B426" t="s">
        <v>472</v>
      </c>
      <c r="C426" t="s">
        <v>491</v>
      </c>
      <c r="D426" t="s">
        <v>119</v>
      </c>
      <c r="E426" t="s">
        <v>57</v>
      </c>
      <c r="F426" t="s">
        <v>1</v>
      </c>
      <c r="G426" t="s">
        <v>300</v>
      </c>
      <c r="H426" t="s">
        <v>214</v>
      </c>
      <c r="I426" t="s">
        <v>1</v>
      </c>
      <c r="J426">
        <v>2055.81</v>
      </c>
      <c r="K426">
        <v>2042.1479612902999</v>
      </c>
      <c r="L426">
        <v>1301.8599999999999</v>
      </c>
      <c r="M426">
        <v>2625.2977900552482</v>
      </c>
      <c r="N426">
        <v>2447.08</v>
      </c>
      <c r="O426">
        <v>2618.0261538462</v>
      </c>
      <c r="P426">
        <v>0</v>
      </c>
      <c r="Q426">
        <f t="shared" si="80"/>
        <v>2618.0261538462</v>
      </c>
      <c r="R426">
        <v>2618.0261538462</v>
      </c>
      <c r="S426">
        <f t="shared" si="81"/>
        <v>0</v>
      </c>
      <c r="T426">
        <v>0.04</v>
      </c>
      <c r="U426">
        <f t="shared" si="82"/>
        <v>104.72104615384801</v>
      </c>
      <c r="V426">
        <f t="shared" si="83"/>
        <v>2722.747200000048</v>
      </c>
      <c r="W426">
        <f t="shared" si="84"/>
        <v>104.72104615384796</v>
      </c>
      <c r="X426">
        <v>0</v>
      </c>
    </row>
    <row r="427" spans="1:24" x14ac:dyDescent="0.25">
      <c r="A427" t="s">
        <v>471</v>
      </c>
      <c r="B427" t="s">
        <v>472</v>
      </c>
      <c r="C427" t="s">
        <v>491</v>
      </c>
      <c r="D427" t="s">
        <v>119</v>
      </c>
      <c r="E427" t="s">
        <v>45</v>
      </c>
      <c r="F427" t="s">
        <v>1</v>
      </c>
      <c r="G427" t="s">
        <v>300</v>
      </c>
      <c r="H427" t="s">
        <v>198</v>
      </c>
      <c r="I427" t="s">
        <v>1</v>
      </c>
      <c r="J427">
        <v>3507.21</v>
      </c>
      <c r="K427">
        <v>2924.2948055554998</v>
      </c>
      <c r="L427">
        <v>380</v>
      </c>
      <c r="M427">
        <v>766.29834254143645</v>
      </c>
      <c r="N427">
        <v>1520</v>
      </c>
      <c r="O427">
        <v>764.17582417580002</v>
      </c>
      <c r="P427">
        <v>0</v>
      </c>
      <c r="Q427">
        <f t="shared" si="80"/>
        <v>764.17582417580002</v>
      </c>
      <c r="R427">
        <v>764.17582417580002</v>
      </c>
      <c r="S427">
        <f t="shared" si="81"/>
        <v>0</v>
      </c>
      <c r="T427">
        <v>3.5000000000000003E-2</v>
      </c>
      <c r="U427">
        <f t="shared" si="82"/>
        <v>26.746153846153003</v>
      </c>
      <c r="V427">
        <f t="shared" si="83"/>
        <v>790.92197802195301</v>
      </c>
      <c r="W427">
        <f t="shared" si="84"/>
        <v>26.746153846152993</v>
      </c>
      <c r="X427">
        <v>0</v>
      </c>
    </row>
    <row r="428" spans="1:24" x14ac:dyDescent="0.25">
      <c r="A428" t="s">
        <v>471</v>
      </c>
      <c r="B428" t="s">
        <v>472</v>
      </c>
      <c r="C428" t="s">
        <v>491</v>
      </c>
      <c r="D428" t="s">
        <v>119</v>
      </c>
      <c r="E428" t="s">
        <v>64</v>
      </c>
      <c r="F428" t="s">
        <v>1</v>
      </c>
      <c r="G428" t="s">
        <v>300</v>
      </c>
      <c r="H428" t="s">
        <v>223</v>
      </c>
      <c r="I428" t="s">
        <v>1</v>
      </c>
      <c r="J428">
        <v>11718.77</v>
      </c>
      <c r="L428">
        <v>4326.6000000000004</v>
      </c>
      <c r="M428">
        <v>8724.9116022099461</v>
      </c>
      <c r="N428">
        <v>15491.919999999998</v>
      </c>
      <c r="O428">
        <v>8700.7450549451005</v>
      </c>
      <c r="P428">
        <v>0</v>
      </c>
      <c r="Q428">
        <f t="shared" si="80"/>
        <v>8700.7450549451005</v>
      </c>
      <c r="R428">
        <v>8700.7450549451005</v>
      </c>
      <c r="S428">
        <f t="shared" si="81"/>
        <v>0</v>
      </c>
      <c r="T428">
        <v>0.02</v>
      </c>
      <c r="U428">
        <f t="shared" si="82"/>
        <v>174.01490109890202</v>
      </c>
      <c r="V428">
        <f t="shared" si="83"/>
        <v>8874.759956044003</v>
      </c>
      <c r="W428">
        <f t="shared" si="84"/>
        <v>174.01490109890256</v>
      </c>
      <c r="X428">
        <v>0</v>
      </c>
    </row>
    <row r="429" spans="1:24" x14ac:dyDescent="0.25">
      <c r="A429" t="s">
        <v>471</v>
      </c>
      <c r="B429" t="s">
        <v>472</v>
      </c>
      <c r="C429" t="s">
        <v>491</v>
      </c>
      <c r="D429" t="s">
        <v>119</v>
      </c>
      <c r="E429" t="s">
        <v>15</v>
      </c>
      <c r="F429" t="s">
        <v>1</v>
      </c>
      <c r="G429" t="s">
        <v>300</v>
      </c>
      <c r="H429" t="s">
        <v>167</v>
      </c>
      <c r="I429" t="s">
        <v>1</v>
      </c>
      <c r="J429">
        <v>10182.969999999999</v>
      </c>
      <c r="K429">
        <v>12726.791435769101</v>
      </c>
      <c r="L429">
        <v>7497.82</v>
      </c>
      <c r="M429">
        <v>15119.913259668507</v>
      </c>
      <c r="N429">
        <v>11106.9</v>
      </c>
      <c r="O429">
        <v>15078.033626373601</v>
      </c>
      <c r="P429">
        <v>0</v>
      </c>
      <c r="Q429">
        <f t="shared" si="80"/>
        <v>15078.033626373601</v>
      </c>
      <c r="R429">
        <v>15078.033626373601</v>
      </c>
      <c r="S429">
        <f t="shared" si="81"/>
        <v>0</v>
      </c>
      <c r="T429">
        <v>3.5000000000000003E-2</v>
      </c>
      <c r="U429">
        <f t="shared" si="82"/>
        <v>527.73117692307608</v>
      </c>
      <c r="V429">
        <f t="shared" si="83"/>
        <v>15605.764803296677</v>
      </c>
      <c r="W429">
        <f t="shared" si="84"/>
        <v>527.73117692307642</v>
      </c>
      <c r="X429">
        <v>0</v>
      </c>
    </row>
    <row r="430" spans="1:24" x14ac:dyDescent="0.25">
      <c r="A430" t="s">
        <v>471</v>
      </c>
      <c r="B430" t="s">
        <v>472</v>
      </c>
      <c r="C430" t="s">
        <v>491</v>
      </c>
      <c r="D430" t="s">
        <v>119</v>
      </c>
      <c r="E430" t="s">
        <v>47</v>
      </c>
      <c r="F430" t="s">
        <v>1</v>
      </c>
      <c r="G430" t="s">
        <v>300</v>
      </c>
      <c r="H430" t="s">
        <v>200</v>
      </c>
      <c r="I430" t="s">
        <v>1</v>
      </c>
      <c r="J430">
        <v>96624</v>
      </c>
      <c r="K430">
        <v>110262.23285359801</v>
      </c>
      <c r="L430">
        <v>54608</v>
      </c>
      <c r="M430">
        <v>110121.10497237569</v>
      </c>
      <c r="N430">
        <v>100192</v>
      </c>
      <c r="O430">
        <v>109816.087912088</v>
      </c>
      <c r="P430">
        <v>0</v>
      </c>
      <c r="Q430">
        <f t="shared" si="80"/>
        <v>109816.087912088</v>
      </c>
      <c r="R430">
        <v>109816.087912088</v>
      </c>
      <c r="S430">
        <f t="shared" si="81"/>
        <v>0</v>
      </c>
      <c r="T430">
        <v>0.02</v>
      </c>
      <c r="U430">
        <f t="shared" si="82"/>
        <v>2196.3217582417601</v>
      </c>
      <c r="V430">
        <f t="shared" si="83"/>
        <v>112012.40967032975</v>
      </c>
      <c r="W430">
        <f t="shared" si="84"/>
        <v>2196.3217582417565</v>
      </c>
      <c r="X430">
        <v>0</v>
      </c>
    </row>
    <row r="431" spans="1:24" x14ac:dyDescent="0.25">
      <c r="A431" t="s">
        <v>471</v>
      </c>
      <c r="B431" t="s">
        <v>472</v>
      </c>
      <c r="C431" t="s">
        <v>491</v>
      </c>
      <c r="D431" t="s">
        <v>119</v>
      </c>
      <c r="E431" t="s">
        <v>48</v>
      </c>
      <c r="F431" t="s">
        <v>1</v>
      </c>
      <c r="G431" t="s">
        <v>300</v>
      </c>
      <c r="H431" t="s">
        <v>201</v>
      </c>
      <c r="I431" t="s">
        <v>1</v>
      </c>
      <c r="J431">
        <v>1105.5999999999999</v>
      </c>
      <c r="K431">
        <v>1685.585020576</v>
      </c>
      <c r="L431">
        <v>0</v>
      </c>
      <c r="M431">
        <v>0</v>
      </c>
      <c r="N431">
        <v>0</v>
      </c>
      <c r="P431">
        <v>0</v>
      </c>
      <c r="Q431">
        <f t="shared" si="80"/>
        <v>0</v>
      </c>
      <c r="R431">
        <v>0</v>
      </c>
      <c r="S431">
        <f t="shared" si="81"/>
        <v>0</v>
      </c>
      <c r="T431">
        <v>1.4999999999999999E-2</v>
      </c>
      <c r="U431">
        <f t="shared" si="82"/>
        <v>0</v>
      </c>
      <c r="V431">
        <f t="shared" si="83"/>
        <v>0</v>
      </c>
      <c r="W431">
        <f t="shared" si="84"/>
        <v>0</v>
      </c>
      <c r="X431">
        <v>0</v>
      </c>
    </row>
    <row r="432" spans="1:24" x14ac:dyDescent="0.25">
      <c r="A432" t="s">
        <v>471</v>
      </c>
      <c r="B432" t="s">
        <v>472</v>
      </c>
      <c r="C432" t="s">
        <v>491</v>
      </c>
      <c r="D432" t="s">
        <v>119</v>
      </c>
      <c r="E432" t="s">
        <v>51</v>
      </c>
      <c r="F432" t="s">
        <v>1</v>
      </c>
      <c r="G432" t="s">
        <v>300</v>
      </c>
      <c r="H432" t="s">
        <v>204</v>
      </c>
      <c r="I432" t="s">
        <v>1</v>
      </c>
      <c r="J432">
        <v>95414.62</v>
      </c>
      <c r="K432">
        <v>111396.134859678</v>
      </c>
      <c r="L432">
        <v>37628.82</v>
      </c>
      <c r="M432">
        <v>75881.322099447512</v>
      </c>
      <c r="N432">
        <v>82780.14</v>
      </c>
      <c r="O432">
        <v>75671.143516483498</v>
      </c>
      <c r="P432">
        <v>0</v>
      </c>
      <c r="Q432">
        <f t="shared" si="80"/>
        <v>75671.143516483498</v>
      </c>
      <c r="R432">
        <v>75671.143516483498</v>
      </c>
      <c r="S432">
        <f t="shared" si="81"/>
        <v>0</v>
      </c>
      <c r="T432">
        <v>3.5000000000000003E-2</v>
      </c>
      <c r="U432">
        <f t="shared" si="82"/>
        <v>2648.4900230769226</v>
      </c>
      <c r="V432">
        <f t="shared" si="83"/>
        <v>78319.633539560426</v>
      </c>
      <c r="W432">
        <f t="shared" si="84"/>
        <v>2648.4900230769272</v>
      </c>
      <c r="X432">
        <v>0</v>
      </c>
    </row>
    <row r="433" spans="1:24" x14ac:dyDescent="0.25">
      <c r="A433" t="s">
        <v>471</v>
      </c>
      <c r="B433" t="s">
        <v>472</v>
      </c>
      <c r="C433" t="s">
        <v>491</v>
      </c>
      <c r="D433" t="s">
        <v>119</v>
      </c>
      <c r="E433" t="s">
        <v>52</v>
      </c>
      <c r="F433" t="s">
        <v>1</v>
      </c>
      <c r="G433" t="s">
        <v>300</v>
      </c>
      <c r="H433" t="s">
        <v>205</v>
      </c>
      <c r="I433" t="s">
        <v>1</v>
      </c>
      <c r="J433">
        <v>400874.35</v>
      </c>
      <c r="K433">
        <v>450258.59091354901</v>
      </c>
      <c r="L433">
        <v>232357.55</v>
      </c>
      <c r="M433">
        <v>468566.33011049719</v>
      </c>
      <c r="N433">
        <v>460287.67000000004</v>
      </c>
      <c r="O433">
        <v>467268.47967033001</v>
      </c>
      <c r="P433">
        <v>0</v>
      </c>
      <c r="Q433">
        <f t="shared" si="80"/>
        <v>467268.47967033001</v>
      </c>
      <c r="R433">
        <v>467268.47967033001</v>
      </c>
      <c r="S433">
        <f t="shared" si="81"/>
        <v>0</v>
      </c>
      <c r="T433">
        <v>0.04</v>
      </c>
      <c r="U433">
        <f t="shared" si="82"/>
        <v>18690.7391868132</v>
      </c>
      <c r="V433">
        <f t="shared" si="83"/>
        <v>485959.21885714319</v>
      </c>
      <c r="W433">
        <f t="shared" si="84"/>
        <v>18690.739186813182</v>
      </c>
      <c r="X433">
        <v>0</v>
      </c>
    </row>
    <row r="434" spans="1:24" x14ac:dyDescent="0.25">
      <c r="A434" t="s">
        <v>471</v>
      </c>
      <c r="B434" t="s">
        <v>472</v>
      </c>
      <c r="C434" t="s">
        <v>491</v>
      </c>
      <c r="D434" t="s">
        <v>119</v>
      </c>
      <c r="E434" t="s">
        <v>16</v>
      </c>
      <c r="F434" t="s">
        <v>1</v>
      </c>
      <c r="G434" t="s">
        <v>300</v>
      </c>
      <c r="H434" t="s">
        <v>168</v>
      </c>
      <c r="I434" t="s">
        <v>1</v>
      </c>
      <c r="J434">
        <v>11730</v>
      </c>
      <c r="L434">
        <v>1107.4100000000001</v>
      </c>
      <c r="M434">
        <v>2233.1748618784532</v>
      </c>
      <c r="N434">
        <v>3647.41</v>
      </c>
      <c r="O434">
        <v>2233.1748618785</v>
      </c>
      <c r="P434">
        <v>0</v>
      </c>
      <c r="Q434">
        <f t="shared" si="80"/>
        <v>2233.1748618785</v>
      </c>
      <c r="R434">
        <v>2233.1748618785</v>
      </c>
      <c r="S434">
        <f t="shared" si="81"/>
        <v>0</v>
      </c>
      <c r="T434">
        <v>0.03</v>
      </c>
      <c r="U434">
        <f t="shared" si="82"/>
        <v>66.995245856354998</v>
      </c>
      <c r="V434">
        <f t="shared" si="83"/>
        <v>2300.1701077348548</v>
      </c>
      <c r="W434">
        <f t="shared" si="84"/>
        <v>66.995245856354813</v>
      </c>
      <c r="X434">
        <v>0</v>
      </c>
    </row>
    <row r="435" spans="1:24" x14ac:dyDescent="0.25">
      <c r="A435" t="s">
        <v>471</v>
      </c>
      <c r="B435" t="s">
        <v>472</v>
      </c>
      <c r="C435" t="s">
        <v>491</v>
      </c>
      <c r="D435" t="s">
        <v>119</v>
      </c>
      <c r="E435" t="s">
        <v>53</v>
      </c>
      <c r="F435" t="s">
        <v>1</v>
      </c>
      <c r="G435" t="s">
        <v>300</v>
      </c>
      <c r="H435" t="s">
        <v>206</v>
      </c>
      <c r="I435" t="s">
        <v>1</v>
      </c>
      <c r="J435">
        <v>92.16</v>
      </c>
      <c r="L435">
        <v>0</v>
      </c>
      <c r="M435">
        <v>0</v>
      </c>
      <c r="N435">
        <v>92.16</v>
      </c>
      <c r="P435">
        <v>0</v>
      </c>
      <c r="Q435">
        <f t="shared" si="80"/>
        <v>0</v>
      </c>
      <c r="R435">
        <v>0</v>
      </c>
      <c r="S435">
        <f t="shared" si="81"/>
        <v>0</v>
      </c>
      <c r="T435">
        <v>3.5000000000000003E-2</v>
      </c>
      <c r="U435">
        <f t="shared" si="82"/>
        <v>0</v>
      </c>
      <c r="V435">
        <f t="shared" si="83"/>
        <v>0</v>
      </c>
      <c r="W435">
        <f t="shared" si="84"/>
        <v>0</v>
      </c>
      <c r="X435">
        <v>0</v>
      </c>
    </row>
    <row r="436" spans="1:24" x14ac:dyDescent="0.25">
      <c r="A436" t="s">
        <v>471</v>
      </c>
      <c r="B436" t="s">
        <v>472</v>
      </c>
      <c r="C436" t="s">
        <v>491</v>
      </c>
      <c r="D436" t="s">
        <v>119</v>
      </c>
      <c r="E436" t="s">
        <v>17</v>
      </c>
      <c r="F436" t="s">
        <v>1</v>
      </c>
      <c r="G436" t="s">
        <v>300</v>
      </c>
      <c r="H436" t="s">
        <v>169</v>
      </c>
      <c r="I436" t="s">
        <v>1</v>
      </c>
      <c r="J436">
        <v>508.84</v>
      </c>
      <c r="L436">
        <v>68.25</v>
      </c>
      <c r="M436">
        <v>137.63121546961327</v>
      </c>
      <c r="N436">
        <v>577.08999999999992</v>
      </c>
      <c r="O436">
        <v>137.63121546959999</v>
      </c>
      <c r="P436">
        <v>0</v>
      </c>
      <c r="Q436">
        <f t="shared" si="80"/>
        <v>137.63121546959999</v>
      </c>
      <c r="R436">
        <v>137.63121546959999</v>
      </c>
      <c r="S436">
        <f t="shared" si="81"/>
        <v>0</v>
      </c>
      <c r="T436">
        <v>3.5000000000000003E-2</v>
      </c>
      <c r="U436">
        <f t="shared" si="82"/>
        <v>4.8170925414360006</v>
      </c>
      <c r="V436">
        <f t="shared" si="83"/>
        <v>142.448308011036</v>
      </c>
      <c r="W436">
        <f t="shared" si="84"/>
        <v>4.8170925414360113</v>
      </c>
      <c r="X436">
        <v>0</v>
      </c>
    </row>
    <row r="437" spans="1:24" x14ac:dyDescent="0.25">
      <c r="A437" t="s">
        <v>471</v>
      </c>
      <c r="B437" t="s">
        <v>472</v>
      </c>
      <c r="C437" t="s">
        <v>491</v>
      </c>
      <c r="D437" t="s">
        <v>119</v>
      </c>
      <c r="E437" t="s">
        <v>18</v>
      </c>
      <c r="F437" t="s">
        <v>1</v>
      </c>
      <c r="G437" t="s">
        <v>300</v>
      </c>
      <c r="H437" t="s">
        <v>170</v>
      </c>
      <c r="I437" t="s">
        <v>1</v>
      </c>
      <c r="J437">
        <v>603.99</v>
      </c>
      <c r="K437">
        <v>1260.6300000000999</v>
      </c>
      <c r="L437">
        <v>367.58</v>
      </c>
      <c r="M437">
        <v>741.25248618784531</v>
      </c>
      <c r="N437">
        <v>367.58</v>
      </c>
      <c r="O437">
        <v>741.25248618779995</v>
      </c>
      <c r="P437">
        <v>0</v>
      </c>
      <c r="Q437">
        <f t="shared" si="80"/>
        <v>741.25248618779995</v>
      </c>
      <c r="R437">
        <v>741.25248618779995</v>
      </c>
      <c r="S437">
        <f t="shared" si="81"/>
        <v>0</v>
      </c>
      <c r="T437">
        <v>3.5000000000000003E-2</v>
      </c>
      <c r="U437">
        <f t="shared" si="82"/>
        <v>25.943837016572999</v>
      </c>
      <c r="V437">
        <f t="shared" si="83"/>
        <v>767.1963232043729</v>
      </c>
      <c r="W437">
        <f t="shared" si="84"/>
        <v>25.943837016572957</v>
      </c>
      <c r="X437">
        <v>0</v>
      </c>
    </row>
    <row r="438" spans="1:24" x14ac:dyDescent="0.25">
      <c r="A438" t="s">
        <v>471</v>
      </c>
      <c r="B438" t="s">
        <v>472</v>
      </c>
      <c r="C438" t="s">
        <v>491</v>
      </c>
      <c r="D438" t="s">
        <v>119</v>
      </c>
      <c r="E438" t="s">
        <v>23</v>
      </c>
      <c r="F438" t="s">
        <v>1</v>
      </c>
      <c r="G438" t="s">
        <v>300</v>
      </c>
      <c r="H438" t="s">
        <v>175</v>
      </c>
      <c r="I438" t="s">
        <v>1</v>
      </c>
      <c r="L438">
        <v>473.35</v>
      </c>
      <c r="M438">
        <v>954.54558011049733</v>
      </c>
      <c r="N438">
        <v>473.35</v>
      </c>
      <c r="O438">
        <v>946.7</v>
      </c>
      <c r="P438">
        <v>0</v>
      </c>
      <c r="Q438">
        <f t="shared" si="80"/>
        <v>946.7</v>
      </c>
      <c r="R438">
        <v>946.7</v>
      </c>
      <c r="S438">
        <f t="shared" si="81"/>
        <v>0</v>
      </c>
      <c r="U438">
        <f t="shared" si="82"/>
        <v>0</v>
      </c>
      <c r="V438">
        <f t="shared" si="83"/>
        <v>946.7</v>
      </c>
      <c r="W438">
        <f t="shared" si="84"/>
        <v>0</v>
      </c>
      <c r="X438">
        <v>0</v>
      </c>
    </row>
    <row r="439" spans="1:24" x14ac:dyDescent="0.25">
      <c r="A439" t="s">
        <v>471</v>
      </c>
      <c r="B439" t="s">
        <v>472</v>
      </c>
      <c r="C439" t="s">
        <v>491</v>
      </c>
      <c r="D439" t="s">
        <v>119</v>
      </c>
      <c r="E439" t="s">
        <v>27</v>
      </c>
      <c r="F439" t="s">
        <v>1</v>
      </c>
      <c r="G439" t="s">
        <v>300</v>
      </c>
      <c r="H439" t="s">
        <v>179</v>
      </c>
      <c r="I439" t="s">
        <v>1</v>
      </c>
      <c r="K439">
        <v>585</v>
      </c>
      <c r="L439">
        <v>0</v>
      </c>
      <c r="M439">
        <v>0</v>
      </c>
      <c r="N439">
        <v>0</v>
      </c>
      <c r="P439">
        <v>0</v>
      </c>
      <c r="Q439">
        <f t="shared" si="80"/>
        <v>0</v>
      </c>
      <c r="R439">
        <v>0</v>
      </c>
      <c r="S439">
        <f t="shared" si="81"/>
        <v>0</v>
      </c>
      <c r="U439">
        <f t="shared" si="82"/>
        <v>0</v>
      </c>
      <c r="V439">
        <f t="shared" si="83"/>
        <v>0</v>
      </c>
      <c r="W439">
        <f t="shared" si="84"/>
        <v>0</v>
      </c>
      <c r="X439">
        <v>0</v>
      </c>
    </row>
    <row r="440" spans="1:24" x14ac:dyDescent="0.25">
      <c r="A440" t="s">
        <v>471</v>
      </c>
      <c r="B440" t="s">
        <v>472</v>
      </c>
      <c r="C440" t="s">
        <v>491</v>
      </c>
      <c r="D440" t="s">
        <v>119</v>
      </c>
      <c r="E440" t="s">
        <v>29</v>
      </c>
      <c r="F440" t="s">
        <v>1</v>
      </c>
      <c r="G440" t="s">
        <v>300</v>
      </c>
      <c r="H440" t="s">
        <v>181</v>
      </c>
      <c r="I440" t="s">
        <v>1</v>
      </c>
      <c r="J440">
        <v>650.16999999999996</v>
      </c>
      <c r="L440">
        <v>0</v>
      </c>
      <c r="M440">
        <v>0</v>
      </c>
      <c r="N440">
        <v>0</v>
      </c>
      <c r="P440">
        <v>0</v>
      </c>
      <c r="Q440">
        <f t="shared" si="80"/>
        <v>0</v>
      </c>
      <c r="R440">
        <v>0</v>
      </c>
      <c r="S440">
        <f t="shared" si="81"/>
        <v>0</v>
      </c>
      <c r="U440">
        <f t="shared" si="82"/>
        <v>0</v>
      </c>
      <c r="V440">
        <f t="shared" si="83"/>
        <v>0</v>
      </c>
      <c r="W440">
        <f t="shared" si="84"/>
        <v>0</v>
      </c>
      <c r="X440">
        <v>0</v>
      </c>
    </row>
    <row r="441" spans="1:24" x14ac:dyDescent="0.25">
      <c r="A441" t="s">
        <v>471</v>
      </c>
      <c r="B441" t="s">
        <v>472</v>
      </c>
      <c r="C441" t="s">
        <v>491</v>
      </c>
      <c r="D441" t="s">
        <v>119</v>
      </c>
      <c r="E441" t="s">
        <v>30</v>
      </c>
      <c r="F441" t="s">
        <v>1</v>
      </c>
      <c r="G441" t="s">
        <v>300</v>
      </c>
      <c r="H441" t="s">
        <v>182</v>
      </c>
      <c r="I441" t="s">
        <v>1</v>
      </c>
      <c r="L441">
        <v>3569.52</v>
      </c>
      <c r="M441">
        <v>7198.2033149171275</v>
      </c>
      <c r="N441">
        <v>3569.52</v>
      </c>
      <c r="O441">
        <v>7139.04</v>
      </c>
      <c r="P441">
        <v>0</v>
      </c>
      <c r="Q441">
        <f t="shared" si="80"/>
        <v>7139.04</v>
      </c>
      <c r="R441">
        <v>7139.04</v>
      </c>
      <c r="S441">
        <f t="shared" si="81"/>
        <v>0</v>
      </c>
      <c r="T441">
        <v>0.03</v>
      </c>
      <c r="U441">
        <f t="shared" si="82"/>
        <v>214.1712</v>
      </c>
      <c r="V441">
        <f t="shared" si="83"/>
        <v>7353.2111999999997</v>
      </c>
      <c r="W441">
        <f t="shared" si="84"/>
        <v>214.17119999999977</v>
      </c>
      <c r="X441">
        <v>0</v>
      </c>
    </row>
    <row r="442" spans="1:24" x14ac:dyDescent="0.25">
      <c r="A442" t="s">
        <v>471</v>
      </c>
      <c r="B442" t="s">
        <v>472</v>
      </c>
      <c r="C442" t="s">
        <v>491</v>
      </c>
      <c r="D442" t="s">
        <v>119</v>
      </c>
      <c r="E442" t="s">
        <v>31</v>
      </c>
      <c r="F442" t="s">
        <v>1</v>
      </c>
      <c r="G442" t="s">
        <v>300</v>
      </c>
      <c r="H442" t="s">
        <v>183</v>
      </c>
      <c r="I442" t="s">
        <v>1</v>
      </c>
      <c r="J442">
        <v>172486.03</v>
      </c>
      <c r="K442">
        <v>348116</v>
      </c>
      <c r="L442">
        <v>103491.62</v>
      </c>
      <c r="M442">
        <v>208698.57071823202</v>
      </c>
      <c r="N442">
        <v>241210.65</v>
      </c>
      <c r="O442">
        <v>206983.24</v>
      </c>
      <c r="P442">
        <v>0</v>
      </c>
      <c r="Q442">
        <f t="shared" si="80"/>
        <v>206983.24</v>
      </c>
      <c r="R442">
        <v>206983.24</v>
      </c>
      <c r="S442">
        <f t="shared" si="81"/>
        <v>0</v>
      </c>
      <c r="T442">
        <v>0.03</v>
      </c>
      <c r="U442">
        <f t="shared" si="82"/>
        <v>6209.4971999999998</v>
      </c>
      <c r="V442">
        <f t="shared" si="83"/>
        <v>213192.7372</v>
      </c>
      <c r="W442">
        <f t="shared" si="84"/>
        <v>6209.4972000000125</v>
      </c>
      <c r="X442">
        <v>0</v>
      </c>
    </row>
    <row r="443" spans="1:24" x14ac:dyDescent="0.25">
      <c r="A443" t="s">
        <v>471</v>
      </c>
      <c r="B443" t="s">
        <v>472</v>
      </c>
      <c r="C443" t="s">
        <v>491</v>
      </c>
      <c r="D443" t="s">
        <v>119</v>
      </c>
      <c r="E443" t="s">
        <v>32</v>
      </c>
      <c r="F443" t="s">
        <v>1</v>
      </c>
      <c r="G443" t="s">
        <v>300</v>
      </c>
      <c r="H443" t="s">
        <v>184</v>
      </c>
      <c r="I443" t="s">
        <v>1</v>
      </c>
      <c r="J443">
        <v>25872.03</v>
      </c>
      <c r="K443">
        <v>24807.9999999996</v>
      </c>
      <c r="L443">
        <v>13907.92</v>
      </c>
      <c r="M443">
        <v>28046.358011049724</v>
      </c>
      <c r="N443">
        <v>27477.87</v>
      </c>
      <c r="O443">
        <v>27815.84</v>
      </c>
      <c r="P443">
        <v>0</v>
      </c>
      <c r="Q443">
        <f t="shared" si="80"/>
        <v>27815.84</v>
      </c>
      <c r="R443">
        <v>27815.84</v>
      </c>
      <c r="S443">
        <f t="shared" si="81"/>
        <v>0</v>
      </c>
      <c r="T443">
        <v>0.03</v>
      </c>
      <c r="U443">
        <f t="shared" si="82"/>
        <v>834.47519999999997</v>
      </c>
      <c r="V443">
        <f t="shared" si="83"/>
        <v>28650.315200000001</v>
      </c>
      <c r="W443">
        <f t="shared" si="84"/>
        <v>834.47520000000077</v>
      </c>
      <c r="X443">
        <v>0</v>
      </c>
    </row>
    <row r="444" spans="1:24" x14ac:dyDescent="0.25">
      <c r="A444" t="s">
        <v>471</v>
      </c>
      <c r="B444" t="s">
        <v>472</v>
      </c>
      <c r="C444" t="s">
        <v>491</v>
      </c>
      <c r="D444" t="s">
        <v>119</v>
      </c>
      <c r="E444" t="s">
        <v>33</v>
      </c>
      <c r="F444" t="s">
        <v>1</v>
      </c>
      <c r="G444" t="s">
        <v>300</v>
      </c>
      <c r="H444" t="s">
        <v>185</v>
      </c>
      <c r="I444" t="s">
        <v>1</v>
      </c>
      <c r="J444">
        <v>10874.4</v>
      </c>
      <c r="L444">
        <v>-9300</v>
      </c>
      <c r="M444">
        <v>-18754.14364640884</v>
      </c>
      <c r="N444">
        <v>-7725.6</v>
      </c>
      <c r="O444">
        <v>-18600</v>
      </c>
      <c r="P444">
        <v>0</v>
      </c>
      <c r="Q444">
        <f t="shared" si="80"/>
        <v>-18600</v>
      </c>
      <c r="R444">
        <v>-18600</v>
      </c>
      <c r="S444">
        <f t="shared" si="81"/>
        <v>0</v>
      </c>
      <c r="T444">
        <v>0.03</v>
      </c>
      <c r="U444">
        <f t="shared" si="82"/>
        <v>-558</v>
      </c>
      <c r="V444">
        <f t="shared" si="83"/>
        <v>-19158</v>
      </c>
      <c r="W444">
        <f t="shared" si="84"/>
        <v>-558</v>
      </c>
      <c r="X444">
        <v>0</v>
      </c>
    </row>
    <row r="445" spans="1:24" x14ac:dyDescent="0.25">
      <c r="A445" t="s">
        <v>471</v>
      </c>
      <c r="B445" t="s">
        <v>472</v>
      </c>
      <c r="C445" t="s">
        <v>491</v>
      </c>
      <c r="D445" t="s">
        <v>119</v>
      </c>
      <c r="E445" t="s">
        <v>36</v>
      </c>
      <c r="F445" t="s">
        <v>1</v>
      </c>
      <c r="G445" t="s">
        <v>300</v>
      </c>
      <c r="H445" t="s">
        <v>188</v>
      </c>
      <c r="I445" t="s">
        <v>1</v>
      </c>
      <c r="J445">
        <v>175.1</v>
      </c>
      <c r="L445">
        <v>0</v>
      </c>
      <c r="M445">
        <v>0</v>
      </c>
      <c r="N445">
        <v>0</v>
      </c>
      <c r="P445">
        <v>0</v>
      </c>
      <c r="Q445">
        <f t="shared" si="80"/>
        <v>0</v>
      </c>
      <c r="R445">
        <v>0</v>
      </c>
      <c r="S445">
        <f t="shared" si="81"/>
        <v>0</v>
      </c>
      <c r="T445">
        <v>0.03</v>
      </c>
      <c r="U445">
        <f t="shared" si="82"/>
        <v>0</v>
      </c>
      <c r="V445">
        <f t="shared" si="83"/>
        <v>0</v>
      </c>
      <c r="W445">
        <f t="shared" si="84"/>
        <v>0</v>
      </c>
      <c r="X445">
        <v>0</v>
      </c>
    </row>
    <row r="446" spans="1:24" x14ac:dyDescent="0.25">
      <c r="A446" t="s">
        <v>471</v>
      </c>
      <c r="B446" t="s">
        <v>472</v>
      </c>
      <c r="C446" t="s">
        <v>491</v>
      </c>
      <c r="D446" t="s">
        <v>119</v>
      </c>
      <c r="E446" t="s">
        <v>37</v>
      </c>
      <c r="F446" t="s">
        <v>1</v>
      </c>
      <c r="G446" t="s">
        <v>300</v>
      </c>
      <c r="H446" t="s">
        <v>189</v>
      </c>
      <c r="I446" t="s">
        <v>1</v>
      </c>
      <c r="J446">
        <v>270</v>
      </c>
      <c r="L446">
        <v>0</v>
      </c>
      <c r="M446">
        <v>0</v>
      </c>
      <c r="N446">
        <v>0</v>
      </c>
      <c r="P446">
        <v>0</v>
      </c>
      <c r="Q446">
        <f t="shared" si="80"/>
        <v>0</v>
      </c>
      <c r="R446">
        <v>0</v>
      </c>
      <c r="S446">
        <f t="shared" si="81"/>
        <v>0</v>
      </c>
      <c r="T446">
        <v>0.03</v>
      </c>
      <c r="U446">
        <f t="shared" si="82"/>
        <v>0</v>
      </c>
      <c r="V446">
        <f t="shared" si="83"/>
        <v>0</v>
      </c>
      <c r="W446">
        <f t="shared" si="84"/>
        <v>0</v>
      </c>
      <c r="X446">
        <v>0</v>
      </c>
    </row>
    <row r="447" spans="1:24" x14ac:dyDescent="0.25">
      <c r="A447" t="s">
        <v>471</v>
      </c>
      <c r="B447" t="s">
        <v>472</v>
      </c>
      <c r="C447" t="s">
        <v>491</v>
      </c>
      <c r="D447" t="s">
        <v>119</v>
      </c>
      <c r="E447" t="s">
        <v>42</v>
      </c>
      <c r="F447" t="s">
        <v>42</v>
      </c>
      <c r="G447" t="s">
        <v>301</v>
      </c>
      <c r="J447">
        <v>937951.8600000001</v>
      </c>
      <c r="K447">
        <v>1152173.5098415923</v>
      </c>
      <c r="L447">
        <v>503202.95999999996</v>
      </c>
      <c r="M447">
        <v>1014746.3005524862</v>
      </c>
      <c r="N447">
        <v>1045342.1400000002</v>
      </c>
      <c r="O447">
        <v>1010658.1953767232</v>
      </c>
      <c r="P447">
        <f>SUMIF($F$417:$F$446,"&lt;&gt;EV_*",$P$417:$P$446)</f>
        <v>0</v>
      </c>
      <c r="Q447">
        <f>SUMIF($F$417:$F$446,"&lt;&gt;EV_*",$Q$417:$Q$446)</f>
        <v>1010658.1953767232</v>
      </c>
      <c r="R447">
        <f>SUMIF($F$417:$F$446,"&lt;&gt;EV_*",$R$417:$R$446)</f>
        <v>1010658.1953767232</v>
      </c>
      <c r="S447">
        <f>SUMIF($F$417:$F$446,"&lt;&gt;EV_*",$S$417:$S$446)</f>
        <v>0</v>
      </c>
      <c r="T447">
        <v>0</v>
      </c>
      <c r="U447">
        <f>SUMIF($F$417:$F$446,"&lt;&gt;EV_*",$U$417:$U$446)</f>
        <v>33575.162616073721</v>
      </c>
      <c r="V447">
        <f>SUMIF($F$417:$F$446,"&lt;&gt;EV_*",$V$417:$V$446)</f>
        <v>1044233.3579927967</v>
      </c>
      <c r="W447">
        <f>SUMIF($F$417:$F$446,"&lt;&gt;EV_*",$W$417:$W$446)</f>
        <v>33575.162616073714</v>
      </c>
      <c r="X447">
        <f>SUMIF($F$417:$F$446,"&lt;&gt;EV_*",$X$417:$X$446)</f>
        <v>0</v>
      </c>
    </row>
    <row r="448" spans="1:24" x14ac:dyDescent="0.25">
      <c r="A448" t="s">
        <v>458</v>
      </c>
      <c r="B448" t="s">
        <v>458</v>
      </c>
      <c r="C448" t="s">
        <v>492</v>
      </c>
      <c r="D448" t="s">
        <v>120</v>
      </c>
      <c r="E448" t="s">
        <v>5</v>
      </c>
      <c r="F448" t="s">
        <v>5</v>
      </c>
      <c r="G448" t="s">
        <v>302</v>
      </c>
    </row>
    <row r="449" spans="1:24" x14ac:dyDescent="0.25">
      <c r="A449" t="s">
        <v>458</v>
      </c>
      <c r="B449" t="s">
        <v>458</v>
      </c>
      <c r="C449" t="s">
        <v>492</v>
      </c>
      <c r="D449" t="s">
        <v>120</v>
      </c>
      <c r="E449" t="s">
        <v>9</v>
      </c>
      <c r="F449" t="s">
        <v>1</v>
      </c>
      <c r="G449" t="s">
        <v>303</v>
      </c>
      <c r="H449" t="s">
        <v>161</v>
      </c>
      <c r="I449" t="s">
        <v>1</v>
      </c>
      <c r="J449">
        <v>688.91</v>
      </c>
      <c r="K449">
        <v>-488.82999999959998</v>
      </c>
      <c r="L449">
        <v>0</v>
      </c>
      <c r="M449">
        <v>0</v>
      </c>
      <c r="N449">
        <v>-2.13</v>
      </c>
      <c r="P449">
        <v>0</v>
      </c>
      <c r="Q449">
        <f>O449+P449</f>
        <v>0</v>
      </c>
      <c r="R449">
        <v>0</v>
      </c>
      <c r="S449">
        <f>IF(OR(LEFT(E449,2)="A_",LEFT(D449,5)="Total"),R449-Q449,"")</f>
        <v>0</v>
      </c>
      <c r="U449">
        <f>IFERROR(R449*T449,R449*0)</f>
        <v>0</v>
      </c>
      <c r="V449">
        <f>IF(OR(LEFT(E449,2)="A_",LEFT(D449,5)="Total"),R449+U449,"")</f>
        <v>0</v>
      </c>
      <c r="W449">
        <f>IF(OR(LEFT(E449,2)="A_",LEFT(D449,5)="Total"),V449-Q449,"")</f>
        <v>0</v>
      </c>
      <c r="X449">
        <v>0</v>
      </c>
    </row>
    <row r="450" spans="1:24" x14ac:dyDescent="0.25">
      <c r="A450" t="s">
        <v>458</v>
      </c>
      <c r="B450" t="s">
        <v>458</v>
      </c>
      <c r="C450" t="s">
        <v>492</v>
      </c>
      <c r="D450" t="s">
        <v>120</v>
      </c>
      <c r="E450" t="s">
        <v>44</v>
      </c>
      <c r="F450" t="s">
        <v>1</v>
      </c>
      <c r="G450" t="s">
        <v>303</v>
      </c>
      <c r="H450" t="s">
        <v>197</v>
      </c>
      <c r="I450" t="s">
        <v>1</v>
      </c>
      <c r="J450">
        <v>-279.5</v>
      </c>
      <c r="K450">
        <v>-20.000000000099998</v>
      </c>
      <c r="L450">
        <v>-724.63</v>
      </c>
      <c r="M450">
        <v>-1461.2704419889501</v>
      </c>
      <c r="N450">
        <v>-1004.13</v>
      </c>
      <c r="O450">
        <v>-1457.222967033</v>
      </c>
      <c r="P450">
        <v>0</v>
      </c>
      <c r="Q450">
        <f>O450+P450</f>
        <v>-1457.222967033</v>
      </c>
      <c r="R450">
        <v>0</v>
      </c>
      <c r="S450">
        <f>IF(OR(LEFT(E450,2)="A_",LEFT(D450,5)="Total"),R450-Q450,"")</f>
        <v>1457.222967033</v>
      </c>
      <c r="U450">
        <f>IFERROR(R450*T450,R450*0)</f>
        <v>0</v>
      </c>
      <c r="V450">
        <f>IF(OR(LEFT(E450,2)="A_",LEFT(D450,5)="Total"),R450+U450,"")</f>
        <v>0</v>
      </c>
      <c r="W450">
        <f>IF(OR(LEFT(E450,2)="A_",LEFT(D450,5)="Total"),V450-Q450,"")</f>
        <v>1457.222967033</v>
      </c>
      <c r="X450">
        <v>0</v>
      </c>
    </row>
    <row r="451" spans="1:24" x14ac:dyDescent="0.25">
      <c r="A451" t="s">
        <v>458</v>
      </c>
      <c r="B451" t="s">
        <v>458</v>
      </c>
      <c r="C451" t="s">
        <v>492</v>
      </c>
      <c r="D451" t="s">
        <v>120</v>
      </c>
      <c r="E451" t="s">
        <v>16</v>
      </c>
      <c r="F451" t="s">
        <v>1</v>
      </c>
      <c r="G451" t="s">
        <v>303</v>
      </c>
      <c r="H451" t="s">
        <v>168</v>
      </c>
      <c r="I451" t="s">
        <v>1</v>
      </c>
      <c r="K451">
        <v>-137.11999999989999</v>
      </c>
      <c r="L451">
        <v>0</v>
      </c>
      <c r="M451">
        <v>0</v>
      </c>
      <c r="N451">
        <v>0</v>
      </c>
      <c r="P451">
        <v>0</v>
      </c>
      <c r="Q451">
        <f>O451+P451</f>
        <v>0</v>
      </c>
      <c r="R451">
        <v>0</v>
      </c>
      <c r="S451">
        <f>IF(OR(LEFT(E451,2)="A_",LEFT(D451,5)="Total"),R451-Q451,"")</f>
        <v>0</v>
      </c>
      <c r="T451">
        <v>0.03</v>
      </c>
      <c r="U451">
        <f>IFERROR(R451*T451,R451*0)</f>
        <v>0</v>
      </c>
      <c r="V451">
        <f>IF(OR(LEFT(E451,2)="A_",LEFT(D451,5)="Total"),R451+U451,"")</f>
        <v>0</v>
      </c>
      <c r="W451">
        <f>IF(OR(LEFT(E451,2)="A_",LEFT(D451,5)="Total"),V451-Q451,"")</f>
        <v>0</v>
      </c>
      <c r="X451">
        <v>0</v>
      </c>
    </row>
    <row r="452" spans="1:24" x14ac:dyDescent="0.25">
      <c r="A452" t="s">
        <v>458</v>
      </c>
      <c r="B452" t="s">
        <v>458</v>
      </c>
      <c r="C452" t="s">
        <v>492</v>
      </c>
      <c r="D452" t="s">
        <v>120</v>
      </c>
      <c r="E452" t="s">
        <v>73</v>
      </c>
      <c r="F452" t="s">
        <v>1</v>
      </c>
      <c r="G452" t="s">
        <v>303</v>
      </c>
      <c r="H452" t="s">
        <v>234</v>
      </c>
      <c r="I452" t="s">
        <v>1</v>
      </c>
      <c r="J452">
        <v>52533.75</v>
      </c>
      <c r="K452">
        <v>-4076.31</v>
      </c>
      <c r="L452">
        <v>26255.86</v>
      </c>
      <c r="M452">
        <v>52946.9</v>
      </c>
      <c r="N452">
        <v>57582.57</v>
      </c>
      <c r="O452">
        <v>52511.72</v>
      </c>
      <c r="P452">
        <v>0</v>
      </c>
      <c r="Q452">
        <f>O452+P452</f>
        <v>52511.72</v>
      </c>
      <c r="R452">
        <v>0</v>
      </c>
      <c r="S452">
        <f>IF(OR(LEFT(E452,2)="A_",LEFT(D452,5)="Total"),R452-Q452,"")</f>
        <v>-52511.72</v>
      </c>
      <c r="T452">
        <v>0.03</v>
      </c>
      <c r="U452">
        <f>IFERROR(R452*T452,R452*0)</f>
        <v>0</v>
      </c>
      <c r="V452">
        <f>IF(OR(LEFT(E452,2)="A_",LEFT(D452,5)="Total"),R452+U452,"")</f>
        <v>0</v>
      </c>
      <c r="W452">
        <f>IF(OR(LEFT(E452,2)="A_",LEFT(D452,5)="Total"),V452-Q452,"")</f>
        <v>-52511.72</v>
      </c>
      <c r="X452">
        <v>0</v>
      </c>
    </row>
    <row r="453" spans="1:24" x14ac:dyDescent="0.25">
      <c r="A453" t="s">
        <v>458</v>
      </c>
      <c r="B453" t="s">
        <v>458</v>
      </c>
      <c r="C453" t="s">
        <v>492</v>
      </c>
      <c r="D453" t="s">
        <v>120</v>
      </c>
      <c r="E453" t="s">
        <v>41</v>
      </c>
      <c r="F453" t="s">
        <v>1</v>
      </c>
      <c r="G453" t="s">
        <v>303</v>
      </c>
      <c r="H453" t="s">
        <v>193</v>
      </c>
      <c r="I453" t="s">
        <v>1</v>
      </c>
      <c r="J453">
        <v>3599.85</v>
      </c>
      <c r="L453">
        <v>1799.94</v>
      </c>
      <c r="M453">
        <v>3629.7132596685083</v>
      </c>
      <c r="N453">
        <v>3599.8799999999992</v>
      </c>
      <c r="O453">
        <v>3629.7132596685001</v>
      </c>
      <c r="P453">
        <v>0</v>
      </c>
      <c r="Q453">
        <f>O453+P453</f>
        <v>3629.7132596685001</v>
      </c>
      <c r="R453">
        <v>0</v>
      </c>
      <c r="S453">
        <f>IF(OR(LEFT(E453,2)="A_",LEFT(D453,5)="Total"),R453-Q453,"")</f>
        <v>-3629.7132596685001</v>
      </c>
      <c r="U453">
        <f>IFERROR(R453*T453,R453*0)</f>
        <v>0</v>
      </c>
      <c r="V453">
        <f>IF(OR(LEFT(E453,2)="A_",LEFT(D453,5)="Total"),R453+U453,"")</f>
        <v>0</v>
      </c>
      <c r="W453">
        <f>IF(OR(LEFT(E453,2)="A_",LEFT(D453,5)="Total"),V453-Q453,"")</f>
        <v>-3629.7132596685001</v>
      </c>
      <c r="X453">
        <v>0</v>
      </c>
    </row>
    <row r="454" spans="1:24" x14ac:dyDescent="0.25">
      <c r="A454" t="s">
        <v>458</v>
      </c>
      <c r="B454" t="s">
        <v>458</v>
      </c>
      <c r="C454" t="s">
        <v>492</v>
      </c>
      <c r="D454" t="s">
        <v>120</v>
      </c>
      <c r="E454" t="s">
        <v>42</v>
      </c>
      <c r="F454" t="s">
        <v>42</v>
      </c>
      <c r="G454" t="s">
        <v>304</v>
      </c>
      <c r="J454">
        <v>56543.01</v>
      </c>
      <c r="K454">
        <v>-4722.2599999996</v>
      </c>
      <c r="L454">
        <v>27331.17</v>
      </c>
      <c r="M454">
        <v>55115.342817679564</v>
      </c>
      <c r="N454">
        <v>60176.189999999995</v>
      </c>
      <c r="O454">
        <v>54684.2102926355</v>
      </c>
      <c r="P454">
        <f>SUMIF($F$448:$F$453,"&lt;&gt;EV_*",$P$448:$P$453)</f>
        <v>0</v>
      </c>
      <c r="Q454">
        <f>SUMIF($F$448:$F$453,"&lt;&gt;EV_*",$Q$448:$Q$453)</f>
        <v>54684.2102926355</v>
      </c>
      <c r="R454">
        <v>0</v>
      </c>
      <c r="S454">
        <f>SUMIF($F$448:$F$453,"&lt;&gt;EV_*",$S$448:$S$453)</f>
        <v>-54684.2102926355</v>
      </c>
      <c r="T454">
        <v>0</v>
      </c>
      <c r="U454">
        <f>SUMIF($F$448:$F$453,"&lt;&gt;EV_*",$U$448:$U$453)</f>
        <v>0</v>
      </c>
      <c r="V454">
        <f>SUMIF($F$448:$F$453,"&lt;&gt;EV_*",$V$448:$V$453)</f>
        <v>0</v>
      </c>
      <c r="W454">
        <f>SUMIF($F$448:$F$453,"&lt;&gt;EV_*",$W$448:$W$453)</f>
        <v>-54684.2102926355</v>
      </c>
      <c r="X454">
        <f>SUMIF($F$448:$F$453,"&lt;&gt;EV_*",$X$448:$X$453)</f>
        <v>0</v>
      </c>
    </row>
    <row r="455" spans="1:24" x14ac:dyDescent="0.25">
      <c r="A455" t="s">
        <v>473</v>
      </c>
      <c r="B455" t="s">
        <v>473</v>
      </c>
      <c r="C455" t="s">
        <v>493</v>
      </c>
      <c r="D455" t="s">
        <v>121</v>
      </c>
      <c r="E455" t="s">
        <v>5</v>
      </c>
      <c r="F455" t="s">
        <v>5</v>
      </c>
      <c r="G455" t="s">
        <v>305</v>
      </c>
    </row>
    <row r="456" spans="1:24" x14ac:dyDescent="0.25">
      <c r="A456" t="s">
        <v>473</v>
      </c>
      <c r="B456" t="s">
        <v>473</v>
      </c>
      <c r="C456" t="s">
        <v>493</v>
      </c>
      <c r="D456" t="s">
        <v>121</v>
      </c>
      <c r="E456" t="s">
        <v>122</v>
      </c>
      <c r="F456" t="s">
        <v>1</v>
      </c>
      <c r="G456" t="s">
        <v>306</v>
      </c>
      <c r="H456" t="s">
        <v>307</v>
      </c>
      <c r="I456" t="s">
        <v>1</v>
      </c>
      <c r="J456">
        <v>20461.73</v>
      </c>
      <c r="K456">
        <v>337499.71939838701</v>
      </c>
      <c r="L456">
        <v>0</v>
      </c>
      <c r="M456">
        <v>0</v>
      </c>
      <c r="N456">
        <v>18362</v>
      </c>
      <c r="P456">
        <v>0</v>
      </c>
      <c r="Q456">
        <f t="shared" ref="Q456:Q498" si="85">O456+P456</f>
        <v>0</v>
      </c>
      <c r="R456">
        <v>0</v>
      </c>
      <c r="S456">
        <f t="shared" ref="S456:S498" si="86">IF(OR(LEFT(E456,2)="A_",LEFT(D456,5)="Total"),R456-Q456,"")</f>
        <v>0</v>
      </c>
      <c r="T456">
        <v>0.03</v>
      </c>
      <c r="U456">
        <f t="shared" ref="U456:U498" si="87">IFERROR(R456*T456,R456*0)</f>
        <v>0</v>
      </c>
      <c r="V456">
        <f t="shared" ref="V456:V498" si="88">IF(OR(LEFT(E456,2)="A_",LEFT(D456,5)="Total"),R456+U456,"")</f>
        <v>0</v>
      </c>
      <c r="W456">
        <f t="shared" ref="W456:W498" si="89">IF(OR(LEFT(E456,2)="A_",LEFT(D456,5)="Total"),V456-Q456,"")</f>
        <v>0</v>
      </c>
      <c r="X456">
        <v>0</v>
      </c>
    </row>
    <row r="457" spans="1:24" x14ac:dyDescent="0.25">
      <c r="A457" t="s">
        <v>473</v>
      </c>
      <c r="B457" t="s">
        <v>473</v>
      </c>
      <c r="C457" t="s">
        <v>493</v>
      </c>
      <c r="D457" t="s">
        <v>121</v>
      </c>
      <c r="E457" t="s">
        <v>70</v>
      </c>
      <c r="F457" t="s">
        <v>1</v>
      </c>
      <c r="G457" t="s">
        <v>306</v>
      </c>
      <c r="H457" t="s">
        <v>231</v>
      </c>
      <c r="I457" t="s">
        <v>1</v>
      </c>
      <c r="L457">
        <v>-25.03</v>
      </c>
      <c r="M457">
        <v>-50.474861878453041</v>
      </c>
      <c r="N457">
        <v>-25.03</v>
      </c>
      <c r="O457">
        <v>-50.335054945099998</v>
      </c>
      <c r="P457">
        <v>0</v>
      </c>
      <c r="Q457">
        <f t="shared" si="85"/>
        <v>-50.335054945099998</v>
      </c>
      <c r="R457">
        <v>0</v>
      </c>
      <c r="S457">
        <f t="shared" si="86"/>
        <v>50.335054945099998</v>
      </c>
      <c r="U457">
        <f t="shared" si="87"/>
        <v>0</v>
      </c>
      <c r="V457">
        <f t="shared" si="88"/>
        <v>0</v>
      </c>
      <c r="W457">
        <f t="shared" si="89"/>
        <v>50.335054945099998</v>
      </c>
      <c r="X457">
        <v>0</v>
      </c>
    </row>
    <row r="458" spans="1:24" x14ac:dyDescent="0.25">
      <c r="A458" t="s">
        <v>473</v>
      </c>
      <c r="B458" t="s">
        <v>473</v>
      </c>
      <c r="C458" t="s">
        <v>493</v>
      </c>
      <c r="D458" t="s">
        <v>121</v>
      </c>
      <c r="E458" t="s">
        <v>44</v>
      </c>
      <c r="F458" t="s">
        <v>1</v>
      </c>
      <c r="G458" t="s">
        <v>306</v>
      </c>
      <c r="H458" t="s">
        <v>197</v>
      </c>
      <c r="I458" t="s">
        <v>1</v>
      </c>
      <c r="J458">
        <v>-20119</v>
      </c>
      <c r="L458">
        <v>-16.68</v>
      </c>
      <c r="M458">
        <v>-33.636464088397787</v>
      </c>
      <c r="N458">
        <v>-20130.68</v>
      </c>
      <c r="O458">
        <v>-33.543296703300001</v>
      </c>
      <c r="P458">
        <v>0</v>
      </c>
      <c r="Q458">
        <f t="shared" si="85"/>
        <v>-33.543296703300001</v>
      </c>
      <c r="R458">
        <v>-33.543296703300001</v>
      </c>
      <c r="S458">
        <f t="shared" si="86"/>
        <v>0</v>
      </c>
      <c r="U458">
        <f t="shared" si="87"/>
        <v>0</v>
      </c>
      <c r="V458">
        <f t="shared" si="88"/>
        <v>-33.543296703300001</v>
      </c>
      <c r="W458">
        <f t="shared" si="89"/>
        <v>0</v>
      </c>
      <c r="X458">
        <v>0</v>
      </c>
    </row>
    <row r="459" spans="1:24" x14ac:dyDescent="0.25">
      <c r="A459" t="s">
        <v>473</v>
      </c>
      <c r="B459" t="s">
        <v>473</v>
      </c>
      <c r="C459" t="s">
        <v>493</v>
      </c>
      <c r="D459" t="s">
        <v>121</v>
      </c>
      <c r="E459" t="s">
        <v>13</v>
      </c>
      <c r="F459" t="s">
        <v>1</v>
      </c>
      <c r="G459" t="s">
        <v>306</v>
      </c>
      <c r="H459" t="s">
        <v>165</v>
      </c>
      <c r="I459" t="s">
        <v>1</v>
      </c>
      <c r="J459">
        <v>7663.68</v>
      </c>
      <c r="K459">
        <v>3404.4858541386002</v>
      </c>
      <c r="L459">
        <v>2880.11</v>
      </c>
      <c r="M459">
        <v>5807.9566298342543</v>
      </c>
      <c r="N459">
        <v>10543.79</v>
      </c>
      <c r="O459">
        <v>5791.8695604395998</v>
      </c>
      <c r="P459">
        <v>0</v>
      </c>
      <c r="Q459">
        <f t="shared" si="85"/>
        <v>5791.8695604395998</v>
      </c>
      <c r="R459">
        <v>5791.8695604395998</v>
      </c>
      <c r="S459">
        <f t="shared" si="86"/>
        <v>0</v>
      </c>
      <c r="T459">
        <v>0.02</v>
      </c>
      <c r="U459">
        <f t="shared" si="87"/>
        <v>115.837391208792</v>
      </c>
      <c r="V459">
        <f t="shared" si="88"/>
        <v>5907.7069516483916</v>
      </c>
      <c r="W459">
        <f t="shared" si="89"/>
        <v>115.83739120879181</v>
      </c>
      <c r="X459">
        <v>0</v>
      </c>
    </row>
    <row r="460" spans="1:24" x14ac:dyDescent="0.25">
      <c r="A460" t="s">
        <v>473</v>
      </c>
      <c r="B460" t="s">
        <v>473</v>
      </c>
      <c r="C460" t="s">
        <v>493</v>
      </c>
      <c r="D460" t="s">
        <v>121</v>
      </c>
      <c r="E460" t="s">
        <v>15</v>
      </c>
      <c r="F460" t="s">
        <v>1</v>
      </c>
      <c r="G460" t="s">
        <v>306</v>
      </c>
      <c r="H460" t="s">
        <v>167</v>
      </c>
      <c r="I460" t="s">
        <v>1</v>
      </c>
      <c r="J460">
        <v>6172</v>
      </c>
      <c r="K460">
        <v>4232.4981150357999</v>
      </c>
      <c r="L460">
        <v>5177.84</v>
      </c>
      <c r="M460">
        <v>10441.500552486188</v>
      </c>
      <c r="N460">
        <v>8676.619999999999</v>
      </c>
      <c r="O460">
        <v>10412.5793406593</v>
      </c>
      <c r="P460">
        <v>0</v>
      </c>
      <c r="Q460">
        <f t="shared" si="85"/>
        <v>10412.5793406593</v>
      </c>
      <c r="R460">
        <v>10412.5793406593</v>
      </c>
      <c r="S460">
        <f t="shared" si="86"/>
        <v>0</v>
      </c>
      <c r="T460">
        <v>3.5000000000000003E-2</v>
      </c>
      <c r="U460">
        <f t="shared" si="87"/>
        <v>364.44027692307554</v>
      </c>
      <c r="V460">
        <f t="shared" si="88"/>
        <v>10777.019617582377</v>
      </c>
      <c r="W460">
        <f t="shared" si="89"/>
        <v>364.44027692307645</v>
      </c>
      <c r="X460">
        <v>0</v>
      </c>
    </row>
    <row r="461" spans="1:24" x14ac:dyDescent="0.25">
      <c r="A461" t="s">
        <v>473</v>
      </c>
      <c r="B461" t="s">
        <v>473</v>
      </c>
      <c r="C461" t="s">
        <v>493</v>
      </c>
      <c r="D461" t="s">
        <v>121</v>
      </c>
      <c r="E461" t="s">
        <v>47</v>
      </c>
      <c r="F461" t="s">
        <v>1</v>
      </c>
      <c r="G461" t="s">
        <v>306</v>
      </c>
      <c r="H461" t="s">
        <v>200</v>
      </c>
      <c r="I461" t="s">
        <v>1</v>
      </c>
      <c r="J461">
        <v>112.6</v>
      </c>
      <c r="L461">
        <v>0</v>
      </c>
      <c r="M461">
        <v>0</v>
      </c>
      <c r="N461">
        <v>112.6</v>
      </c>
      <c r="P461">
        <v>0</v>
      </c>
      <c r="Q461">
        <f t="shared" si="85"/>
        <v>0</v>
      </c>
      <c r="R461">
        <v>0</v>
      </c>
      <c r="S461">
        <f t="shared" si="86"/>
        <v>0</v>
      </c>
      <c r="T461">
        <v>0.02</v>
      </c>
      <c r="U461">
        <f t="shared" si="87"/>
        <v>0</v>
      </c>
      <c r="V461">
        <f t="shared" si="88"/>
        <v>0</v>
      </c>
      <c r="W461">
        <f t="shared" si="89"/>
        <v>0</v>
      </c>
      <c r="X461">
        <v>0</v>
      </c>
    </row>
    <row r="462" spans="1:24" x14ac:dyDescent="0.25">
      <c r="A462" t="s">
        <v>473</v>
      </c>
      <c r="B462" t="s">
        <v>473</v>
      </c>
      <c r="C462" t="s">
        <v>493</v>
      </c>
      <c r="D462" t="s">
        <v>121</v>
      </c>
      <c r="E462" t="s">
        <v>101</v>
      </c>
      <c r="F462" t="s">
        <v>1</v>
      </c>
      <c r="G462" t="s">
        <v>306</v>
      </c>
      <c r="H462" t="s">
        <v>274</v>
      </c>
      <c r="I462" t="s">
        <v>1</v>
      </c>
      <c r="J462">
        <v>125</v>
      </c>
      <c r="L462">
        <v>0</v>
      </c>
      <c r="M462">
        <v>0</v>
      </c>
      <c r="N462">
        <v>125</v>
      </c>
      <c r="P462">
        <v>0</v>
      </c>
      <c r="Q462">
        <f t="shared" si="85"/>
        <v>0</v>
      </c>
      <c r="R462">
        <v>0</v>
      </c>
      <c r="S462">
        <f t="shared" si="86"/>
        <v>0</v>
      </c>
      <c r="T462">
        <v>0.04</v>
      </c>
      <c r="U462">
        <f t="shared" si="87"/>
        <v>0</v>
      </c>
      <c r="V462">
        <f t="shared" si="88"/>
        <v>0</v>
      </c>
      <c r="W462">
        <f t="shared" si="89"/>
        <v>0</v>
      </c>
      <c r="X462">
        <v>0</v>
      </c>
    </row>
    <row r="463" spans="1:24" x14ac:dyDescent="0.25">
      <c r="A463" t="s">
        <v>473</v>
      </c>
      <c r="B463" t="s">
        <v>473</v>
      </c>
      <c r="C463" t="s">
        <v>493</v>
      </c>
      <c r="D463" t="s">
        <v>121</v>
      </c>
      <c r="E463" t="s">
        <v>52</v>
      </c>
      <c r="F463" t="s">
        <v>1</v>
      </c>
      <c r="G463" t="s">
        <v>306</v>
      </c>
      <c r="H463" t="s">
        <v>205</v>
      </c>
      <c r="I463" t="s">
        <v>1</v>
      </c>
      <c r="J463">
        <v>414.06</v>
      </c>
      <c r="L463">
        <v>0</v>
      </c>
      <c r="M463">
        <v>0</v>
      </c>
      <c r="N463">
        <v>414.06</v>
      </c>
      <c r="P463">
        <v>0</v>
      </c>
      <c r="Q463">
        <f t="shared" si="85"/>
        <v>0</v>
      </c>
      <c r="R463">
        <v>0</v>
      </c>
      <c r="S463">
        <f t="shared" si="86"/>
        <v>0</v>
      </c>
      <c r="T463">
        <v>0.04</v>
      </c>
      <c r="U463">
        <f t="shared" si="87"/>
        <v>0</v>
      </c>
      <c r="V463">
        <f t="shared" si="88"/>
        <v>0</v>
      </c>
      <c r="W463">
        <f t="shared" si="89"/>
        <v>0</v>
      </c>
      <c r="X463">
        <v>0</v>
      </c>
    </row>
    <row r="464" spans="1:24" x14ac:dyDescent="0.25">
      <c r="A464" t="s">
        <v>473</v>
      </c>
      <c r="B464" t="s">
        <v>473</v>
      </c>
      <c r="C464" t="s">
        <v>493</v>
      </c>
      <c r="D464" t="s">
        <v>121</v>
      </c>
      <c r="E464" t="s">
        <v>16</v>
      </c>
      <c r="F464" t="s">
        <v>1</v>
      </c>
      <c r="G464" t="s">
        <v>306</v>
      </c>
      <c r="H464" t="s">
        <v>168</v>
      </c>
      <c r="I464" t="s">
        <v>1</v>
      </c>
      <c r="J464">
        <v>3683.03</v>
      </c>
      <c r="K464">
        <v>2965.8600000001002</v>
      </c>
      <c r="L464">
        <v>1590.01</v>
      </c>
      <c r="M464">
        <v>3206.3737569060772</v>
      </c>
      <c r="N464">
        <v>3837</v>
      </c>
      <c r="O464">
        <v>3206.3737569061</v>
      </c>
      <c r="P464">
        <v>0</v>
      </c>
      <c r="Q464">
        <f t="shared" si="85"/>
        <v>3206.3737569061</v>
      </c>
      <c r="R464">
        <v>3206.3737569061</v>
      </c>
      <c r="S464">
        <f t="shared" si="86"/>
        <v>0</v>
      </c>
      <c r="T464">
        <v>0.03</v>
      </c>
      <c r="U464">
        <f t="shared" si="87"/>
        <v>96.191212707182999</v>
      </c>
      <c r="V464">
        <f t="shared" si="88"/>
        <v>3302.5649696132828</v>
      </c>
      <c r="W464">
        <f t="shared" si="89"/>
        <v>96.191212707182785</v>
      </c>
      <c r="X464">
        <v>0</v>
      </c>
    </row>
    <row r="465" spans="1:24" x14ac:dyDescent="0.25">
      <c r="A465" t="s">
        <v>473</v>
      </c>
      <c r="B465" t="s">
        <v>473</v>
      </c>
      <c r="C465" t="s">
        <v>493</v>
      </c>
      <c r="D465" t="s">
        <v>121</v>
      </c>
      <c r="E465" t="s">
        <v>17</v>
      </c>
      <c r="F465" t="s">
        <v>1</v>
      </c>
      <c r="G465" t="s">
        <v>306</v>
      </c>
      <c r="H465" t="s">
        <v>169</v>
      </c>
      <c r="I465" t="s">
        <v>1</v>
      </c>
      <c r="J465">
        <v>410.62</v>
      </c>
      <c r="K465">
        <v>562.00499999980002</v>
      </c>
      <c r="L465">
        <v>292.91000000000003</v>
      </c>
      <c r="M465">
        <v>590.67486187845304</v>
      </c>
      <c r="N465">
        <v>434.35</v>
      </c>
      <c r="O465">
        <v>590.6748618785</v>
      </c>
      <c r="P465">
        <v>0</v>
      </c>
      <c r="Q465">
        <f t="shared" si="85"/>
        <v>590.6748618785</v>
      </c>
      <c r="R465">
        <v>590.6748618785</v>
      </c>
      <c r="S465">
        <f t="shared" si="86"/>
        <v>0</v>
      </c>
      <c r="T465">
        <v>3.5000000000000003E-2</v>
      </c>
      <c r="U465">
        <f t="shared" si="87"/>
        <v>20.673620165747501</v>
      </c>
      <c r="V465">
        <f t="shared" si="88"/>
        <v>611.34848204424748</v>
      </c>
      <c r="W465">
        <f t="shared" si="89"/>
        <v>20.673620165747479</v>
      </c>
      <c r="X465">
        <v>0</v>
      </c>
    </row>
    <row r="466" spans="1:24" x14ac:dyDescent="0.25">
      <c r="A466" t="s">
        <v>473</v>
      </c>
      <c r="B466" t="s">
        <v>473</v>
      </c>
      <c r="C466" t="s">
        <v>493</v>
      </c>
      <c r="D466" t="s">
        <v>121</v>
      </c>
      <c r="E466" t="s">
        <v>18</v>
      </c>
      <c r="F466" t="s">
        <v>1</v>
      </c>
      <c r="G466" t="s">
        <v>306</v>
      </c>
      <c r="H466" t="s">
        <v>170</v>
      </c>
      <c r="I466" t="s">
        <v>1</v>
      </c>
      <c r="J466">
        <v>1227.8499999999999</v>
      </c>
      <c r="L466">
        <v>1655.8</v>
      </c>
      <c r="M466">
        <v>3339.0441988950279</v>
      </c>
      <c r="N466">
        <v>2883.65</v>
      </c>
      <c r="O466">
        <v>3339.0441988950001</v>
      </c>
      <c r="P466">
        <v>0</v>
      </c>
      <c r="Q466">
        <f t="shared" si="85"/>
        <v>3339.0441988950001</v>
      </c>
      <c r="R466">
        <v>3339.0441988950001</v>
      </c>
      <c r="S466">
        <f t="shared" si="86"/>
        <v>0</v>
      </c>
      <c r="T466">
        <v>3.5000000000000003E-2</v>
      </c>
      <c r="U466">
        <f t="shared" si="87"/>
        <v>116.86654696132501</v>
      </c>
      <c r="V466">
        <f t="shared" si="88"/>
        <v>3455.9107458563253</v>
      </c>
      <c r="W466">
        <f t="shared" si="89"/>
        <v>116.86654696132518</v>
      </c>
      <c r="X466">
        <v>0</v>
      </c>
    </row>
    <row r="467" spans="1:24" x14ac:dyDescent="0.25">
      <c r="A467" t="s">
        <v>473</v>
      </c>
      <c r="B467" t="s">
        <v>473</v>
      </c>
      <c r="C467" t="s">
        <v>493</v>
      </c>
      <c r="D467" t="s">
        <v>121</v>
      </c>
      <c r="E467" t="s">
        <v>21</v>
      </c>
      <c r="F467" t="s">
        <v>1</v>
      </c>
      <c r="G467" t="s">
        <v>306</v>
      </c>
      <c r="H467" t="s">
        <v>173</v>
      </c>
      <c r="I467" t="s">
        <v>1</v>
      </c>
      <c r="J467">
        <v>743.02</v>
      </c>
      <c r="K467">
        <v>978</v>
      </c>
      <c r="L467">
        <v>67.83</v>
      </c>
      <c r="M467">
        <v>136.78425414364639</v>
      </c>
      <c r="N467">
        <v>325.83</v>
      </c>
      <c r="O467">
        <v>135.66</v>
      </c>
      <c r="P467">
        <v>0</v>
      </c>
      <c r="Q467">
        <f t="shared" si="85"/>
        <v>135.66</v>
      </c>
      <c r="R467">
        <v>135.66</v>
      </c>
      <c r="S467">
        <f t="shared" si="86"/>
        <v>0</v>
      </c>
      <c r="U467">
        <f t="shared" si="87"/>
        <v>0</v>
      </c>
      <c r="V467">
        <f t="shared" si="88"/>
        <v>135.66</v>
      </c>
      <c r="W467">
        <f t="shared" si="89"/>
        <v>0</v>
      </c>
      <c r="X467">
        <v>0</v>
      </c>
    </row>
    <row r="468" spans="1:24" x14ac:dyDescent="0.25">
      <c r="A468" t="s">
        <v>473</v>
      </c>
      <c r="B468" t="s">
        <v>473</v>
      </c>
      <c r="C468" t="s">
        <v>493</v>
      </c>
      <c r="D468" t="s">
        <v>121</v>
      </c>
      <c r="E468" t="s">
        <v>22</v>
      </c>
      <c r="F468" t="s">
        <v>1</v>
      </c>
      <c r="G468" t="s">
        <v>306</v>
      </c>
      <c r="H468" t="s">
        <v>174</v>
      </c>
      <c r="I468" t="s">
        <v>1</v>
      </c>
      <c r="J468">
        <v>2802.69</v>
      </c>
      <c r="L468">
        <v>0</v>
      </c>
      <c r="M468">
        <v>0</v>
      </c>
      <c r="N468">
        <v>2802.69</v>
      </c>
      <c r="P468">
        <v>0</v>
      </c>
      <c r="Q468">
        <f t="shared" si="85"/>
        <v>0</v>
      </c>
      <c r="R468">
        <v>0</v>
      </c>
      <c r="S468">
        <f t="shared" si="86"/>
        <v>0</v>
      </c>
      <c r="U468">
        <f t="shared" si="87"/>
        <v>0</v>
      </c>
      <c r="V468">
        <f t="shared" si="88"/>
        <v>0</v>
      </c>
      <c r="W468">
        <f t="shared" si="89"/>
        <v>0</v>
      </c>
      <c r="X468">
        <v>0</v>
      </c>
    </row>
    <row r="469" spans="1:24" x14ac:dyDescent="0.25">
      <c r="A469" t="s">
        <v>473</v>
      </c>
      <c r="B469" t="s">
        <v>473</v>
      </c>
      <c r="C469" t="s">
        <v>493</v>
      </c>
      <c r="D469" t="s">
        <v>121</v>
      </c>
      <c r="E469" t="s">
        <v>23</v>
      </c>
      <c r="F469" t="s">
        <v>1</v>
      </c>
      <c r="G469" t="s">
        <v>306</v>
      </c>
      <c r="H469" t="s">
        <v>175</v>
      </c>
      <c r="I469" t="s">
        <v>1</v>
      </c>
      <c r="J469">
        <v>1950</v>
      </c>
      <c r="K469">
        <v>3327</v>
      </c>
      <c r="L469">
        <v>0</v>
      </c>
      <c r="M469">
        <v>0</v>
      </c>
      <c r="N469">
        <v>300</v>
      </c>
      <c r="P469">
        <v>0</v>
      </c>
      <c r="Q469">
        <f t="shared" si="85"/>
        <v>0</v>
      </c>
      <c r="R469">
        <v>0</v>
      </c>
      <c r="S469">
        <f t="shared" si="86"/>
        <v>0</v>
      </c>
      <c r="U469">
        <f t="shared" si="87"/>
        <v>0</v>
      </c>
      <c r="V469">
        <f t="shared" si="88"/>
        <v>0</v>
      </c>
      <c r="W469">
        <f t="shared" si="89"/>
        <v>0</v>
      </c>
      <c r="X469">
        <v>0</v>
      </c>
    </row>
    <row r="470" spans="1:24" x14ac:dyDescent="0.25">
      <c r="A470" t="s">
        <v>473</v>
      </c>
      <c r="B470" t="s">
        <v>473</v>
      </c>
      <c r="C470" t="s">
        <v>493</v>
      </c>
      <c r="D470" t="s">
        <v>121</v>
      </c>
      <c r="E470" t="s">
        <v>27</v>
      </c>
      <c r="F470" t="s">
        <v>1</v>
      </c>
      <c r="G470" t="s">
        <v>306</v>
      </c>
      <c r="H470" t="s">
        <v>179</v>
      </c>
      <c r="I470" t="s">
        <v>1</v>
      </c>
      <c r="J470">
        <v>227.48</v>
      </c>
      <c r="K470">
        <v>720</v>
      </c>
      <c r="L470">
        <v>270.66000000000003</v>
      </c>
      <c r="M470">
        <v>545.80607734806631</v>
      </c>
      <c r="N470">
        <v>498.14</v>
      </c>
      <c r="O470">
        <v>541.32000000000005</v>
      </c>
      <c r="P470">
        <v>0</v>
      </c>
      <c r="Q470">
        <f t="shared" si="85"/>
        <v>541.32000000000005</v>
      </c>
      <c r="R470">
        <v>541.32000000000005</v>
      </c>
      <c r="S470">
        <f t="shared" si="86"/>
        <v>0</v>
      </c>
      <c r="U470">
        <f t="shared" si="87"/>
        <v>0</v>
      </c>
      <c r="V470">
        <f t="shared" si="88"/>
        <v>541.32000000000005</v>
      </c>
      <c r="W470">
        <f t="shared" si="89"/>
        <v>0</v>
      </c>
      <c r="X470">
        <v>0</v>
      </c>
    </row>
    <row r="471" spans="1:24" x14ac:dyDescent="0.25">
      <c r="A471" t="s">
        <v>473</v>
      </c>
      <c r="B471" t="s">
        <v>473</v>
      </c>
      <c r="C471" t="s">
        <v>493</v>
      </c>
      <c r="D471" t="s">
        <v>121</v>
      </c>
      <c r="E471" t="s">
        <v>29</v>
      </c>
      <c r="F471" t="s">
        <v>1</v>
      </c>
      <c r="G471" t="s">
        <v>306</v>
      </c>
      <c r="H471" t="s">
        <v>181</v>
      </c>
      <c r="I471" t="s">
        <v>1</v>
      </c>
      <c r="J471">
        <v>39.479999999999997</v>
      </c>
      <c r="K471">
        <v>80.000000000399993</v>
      </c>
      <c r="L471">
        <v>115.1</v>
      </c>
      <c r="M471">
        <v>232.10773480662982</v>
      </c>
      <c r="N471">
        <v>115.1</v>
      </c>
      <c r="O471">
        <v>230.2</v>
      </c>
      <c r="P471">
        <v>0</v>
      </c>
      <c r="Q471">
        <f t="shared" si="85"/>
        <v>230.2</v>
      </c>
      <c r="R471">
        <v>230.2</v>
      </c>
      <c r="S471">
        <f t="shared" si="86"/>
        <v>0</v>
      </c>
      <c r="U471">
        <f t="shared" si="87"/>
        <v>0</v>
      </c>
      <c r="V471">
        <f t="shared" si="88"/>
        <v>230.2</v>
      </c>
      <c r="W471">
        <f t="shared" si="89"/>
        <v>0</v>
      </c>
      <c r="X471">
        <v>0</v>
      </c>
    </row>
    <row r="472" spans="1:24" x14ac:dyDescent="0.25">
      <c r="A472" t="s">
        <v>473</v>
      </c>
      <c r="B472" t="s">
        <v>473</v>
      </c>
      <c r="C472" t="s">
        <v>493</v>
      </c>
      <c r="D472" t="s">
        <v>121</v>
      </c>
      <c r="E472" t="s">
        <v>123</v>
      </c>
      <c r="F472" t="s">
        <v>1</v>
      </c>
      <c r="G472" t="s">
        <v>306</v>
      </c>
      <c r="H472" t="s">
        <v>308</v>
      </c>
      <c r="I472" t="s">
        <v>1</v>
      </c>
      <c r="J472">
        <v>-23658.81</v>
      </c>
      <c r="K472">
        <v>-26414.3100000001</v>
      </c>
      <c r="L472">
        <v>-45788.97</v>
      </c>
      <c r="M472">
        <v>-92336.873204419899</v>
      </c>
      <c r="N472">
        <v>-55750.68</v>
      </c>
      <c r="O472">
        <v>-92336.873204419899</v>
      </c>
      <c r="P472">
        <v>0</v>
      </c>
      <c r="Q472">
        <f t="shared" si="85"/>
        <v>-92336.873204419899</v>
      </c>
      <c r="R472">
        <v>-92336.873204419899</v>
      </c>
      <c r="S472">
        <f t="shared" si="86"/>
        <v>0</v>
      </c>
      <c r="U472">
        <f t="shared" si="87"/>
        <v>0</v>
      </c>
      <c r="V472">
        <f t="shared" si="88"/>
        <v>-92336.873204419899</v>
      </c>
      <c r="W472">
        <f t="shared" si="89"/>
        <v>0</v>
      </c>
      <c r="X472">
        <v>0</v>
      </c>
    </row>
    <row r="473" spans="1:24" x14ac:dyDescent="0.25">
      <c r="A473" t="s">
        <v>473</v>
      </c>
      <c r="B473" t="s">
        <v>473</v>
      </c>
      <c r="C473" t="s">
        <v>493</v>
      </c>
      <c r="D473" t="s">
        <v>121</v>
      </c>
      <c r="E473" t="s">
        <v>124</v>
      </c>
      <c r="F473" t="s">
        <v>1</v>
      </c>
      <c r="G473" t="s">
        <v>306</v>
      </c>
      <c r="H473" t="s">
        <v>309</v>
      </c>
      <c r="I473" t="s">
        <v>1</v>
      </c>
      <c r="J473">
        <v>650053.46</v>
      </c>
      <c r="K473">
        <v>1705389.29402884</v>
      </c>
      <c r="L473">
        <v>595515.13</v>
      </c>
      <c r="M473">
        <v>1200900.6765193371</v>
      </c>
      <c r="N473">
        <v>984019.24</v>
      </c>
      <c r="O473">
        <v>1200900.6765193399</v>
      </c>
      <c r="P473">
        <v>0</v>
      </c>
      <c r="Q473">
        <f t="shared" si="85"/>
        <v>1200900.6765193399</v>
      </c>
      <c r="R473">
        <v>1200900.6765193399</v>
      </c>
      <c r="S473">
        <f t="shared" si="86"/>
        <v>0</v>
      </c>
      <c r="T473">
        <v>3.2500000000000001E-2</v>
      </c>
      <c r="U473">
        <f t="shared" si="87"/>
        <v>39029.27198687855</v>
      </c>
      <c r="V473">
        <f t="shared" si="88"/>
        <v>1239929.9485062184</v>
      </c>
      <c r="W473">
        <f t="shared" si="89"/>
        <v>39029.271986878477</v>
      </c>
      <c r="X473">
        <v>0</v>
      </c>
    </row>
    <row r="474" spans="1:24" x14ac:dyDescent="0.25">
      <c r="A474" t="s">
        <v>473</v>
      </c>
      <c r="B474" t="s">
        <v>473</v>
      </c>
      <c r="C474" t="s">
        <v>493</v>
      </c>
      <c r="D474" t="s">
        <v>121</v>
      </c>
      <c r="E474" t="s">
        <v>125</v>
      </c>
      <c r="F474" t="s">
        <v>1</v>
      </c>
      <c r="G474" t="s">
        <v>306</v>
      </c>
      <c r="H474" t="s">
        <v>310</v>
      </c>
      <c r="I474" t="s">
        <v>1</v>
      </c>
      <c r="J474">
        <v>23762.71</v>
      </c>
      <c r="K474">
        <v>15610.2140919921</v>
      </c>
      <c r="L474">
        <v>20390.939999999999</v>
      </c>
      <c r="M474">
        <v>41119.851381215471</v>
      </c>
      <c r="N474">
        <v>35044.299999999996</v>
      </c>
      <c r="O474">
        <v>41119.8513812155</v>
      </c>
      <c r="P474">
        <v>0</v>
      </c>
      <c r="Q474">
        <f t="shared" si="85"/>
        <v>41119.8513812155</v>
      </c>
      <c r="R474">
        <v>41119.8513812155</v>
      </c>
      <c r="S474">
        <f t="shared" si="86"/>
        <v>0</v>
      </c>
      <c r="T474">
        <v>2.8000000000000001E-2</v>
      </c>
      <c r="U474">
        <f t="shared" si="87"/>
        <v>1151.355838674034</v>
      </c>
      <c r="V474">
        <f t="shared" si="88"/>
        <v>42271.207219889533</v>
      </c>
      <c r="W474">
        <f t="shared" si="89"/>
        <v>1151.3558386740333</v>
      </c>
      <c r="X474">
        <v>0</v>
      </c>
    </row>
    <row r="475" spans="1:24" x14ac:dyDescent="0.25">
      <c r="A475" t="s">
        <v>473</v>
      </c>
      <c r="B475" t="s">
        <v>473</v>
      </c>
      <c r="C475" t="s">
        <v>493</v>
      </c>
      <c r="D475" t="s">
        <v>121</v>
      </c>
      <c r="E475" t="s">
        <v>126</v>
      </c>
      <c r="F475" t="s">
        <v>1</v>
      </c>
      <c r="G475" t="s">
        <v>306</v>
      </c>
      <c r="H475" t="s">
        <v>311</v>
      </c>
      <c r="I475" t="s">
        <v>1</v>
      </c>
      <c r="J475">
        <v>46132.59</v>
      </c>
      <c r="K475">
        <v>68336.769201872405</v>
      </c>
      <c r="L475">
        <v>10274.950000000001</v>
      </c>
      <c r="M475">
        <v>20720.203038674033</v>
      </c>
      <c r="N475">
        <v>27155.040000000001</v>
      </c>
      <c r="O475">
        <v>20720.203038674001</v>
      </c>
      <c r="P475">
        <v>0</v>
      </c>
      <c r="Q475">
        <f t="shared" si="85"/>
        <v>20720.203038674001</v>
      </c>
      <c r="R475">
        <v>20720.203038674001</v>
      </c>
      <c r="S475">
        <f t="shared" si="86"/>
        <v>0</v>
      </c>
      <c r="T475">
        <v>3.5000000000000003E-2</v>
      </c>
      <c r="U475">
        <f t="shared" si="87"/>
        <v>725.20710635359012</v>
      </c>
      <c r="V475">
        <f t="shared" si="88"/>
        <v>21445.410145027592</v>
      </c>
      <c r="W475">
        <f t="shared" si="89"/>
        <v>725.20710635359137</v>
      </c>
      <c r="X475">
        <v>0</v>
      </c>
    </row>
    <row r="476" spans="1:24" x14ac:dyDescent="0.25">
      <c r="A476" t="s">
        <v>473</v>
      </c>
      <c r="B476" t="s">
        <v>473</v>
      </c>
      <c r="C476" t="s">
        <v>493</v>
      </c>
      <c r="D476" t="s">
        <v>121</v>
      </c>
      <c r="E476" t="s">
        <v>127</v>
      </c>
      <c r="F476" t="s">
        <v>1</v>
      </c>
      <c r="G476" t="s">
        <v>306</v>
      </c>
      <c r="H476" t="s">
        <v>312</v>
      </c>
      <c r="I476" t="s">
        <v>1</v>
      </c>
      <c r="J476">
        <v>26.14</v>
      </c>
      <c r="L476">
        <v>0</v>
      </c>
      <c r="M476">
        <v>0</v>
      </c>
      <c r="N476">
        <v>26.14</v>
      </c>
      <c r="P476">
        <v>0</v>
      </c>
      <c r="Q476">
        <f t="shared" si="85"/>
        <v>0</v>
      </c>
      <c r="R476">
        <v>0</v>
      </c>
      <c r="S476">
        <f t="shared" si="86"/>
        <v>0</v>
      </c>
      <c r="T476">
        <v>4.4999999999999998E-2</v>
      </c>
      <c r="U476">
        <f t="shared" si="87"/>
        <v>0</v>
      </c>
      <c r="V476">
        <f t="shared" si="88"/>
        <v>0</v>
      </c>
      <c r="W476">
        <f t="shared" si="89"/>
        <v>0</v>
      </c>
      <c r="X476">
        <v>0</v>
      </c>
    </row>
    <row r="477" spans="1:24" x14ac:dyDescent="0.25">
      <c r="A477" t="s">
        <v>473</v>
      </c>
      <c r="B477" t="s">
        <v>473</v>
      </c>
      <c r="C477" t="s">
        <v>493</v>
      </c>
      <c r="D477" t="s">
        <v>121</v>
      </c>
      <c r="E477" t="s">
        <v>128</v>
      </c>
      <c r="F477" t="s">
        <v>1</v>
      </c>
      <c r="G477" t="s">
        <v>306</v>
      </c>
      <c r="H477" t="s">
        <v>313</v>
      </c>
      <c r="I477" t="s">
        <v>1</v>
      </c>
      <c r="J477">
        <v>68835.16</v>
      </c>
      <c r="K477">
        <v>58483.240396240399</v>
      </c>
      <c r="L477">
        <v>29239.05</v>
      </c>
      <c r="M477">
        <v>58962.725138121546</v>
      </c>
      <c r="N477">
        <v>64236.73</v>
      </c>
      <c r="O477">
        <v>58962.725138121597</v>
      </c>
      <c r="P477">
        <v>0</v>
      </c>
      <c r="Q477">
        <f t="shared" si="85"/>
        <v>58962.725138121597</v>
      </c>
      <c r="R477">
        <v>58962.725138121597</v>
      </c>
      <c r="S477">
        <f t="shared" si="86"/>
        <v>0</v>
      </c>
      <c r="T477">
        <v>2.5000000000000001E-2</v>
      </c>
      <c r="U477">
        <f t="shared" si="87"/>
        <v>1474.0681284530401</v>
      </c>
      <c r="V477">
        <f t="shared" si="88"/>
        <v>60436.793266574634</v>
      </c>
      <c r="W477">
        <f t="shared" si="89"/>
        <v>1474.0681284530365</v>
      </c>
      <c r="X477">
        <v>0</v>
      </c>
    </row>
    <row r="478" spans="1:24" x14ac:dyDescent="0.25">
      <c r="A478" t="s">
        <v>473</v>
      </c>
      <c r="B478" t="s">
        <v>473</v>
      </c>
      <c r="C478" t="s">
        <v>493</v>
      </c>
      <c r="D478" t="s">
        <v>121</v>
      </c>
      <c r="E478" t="s">
        <v>129</v>
      </c>
      <c r="F478" t="s">
        <v>1</v>
      </c>
      <c r="G478" t="s">
        <v>306</v>
      </c>
      <c r="H478" t="s">
        <v>314</v>
      </c>
      <c r="I478" t="s">
        <v>1</v>
      </c>
      <c r="J478">
        <v>18373.91</v>
      </c>
      <c r="K478">
        <v>25800.7701604596</v>
      </c>
      <c r="L478">
        <v>1000.77</v>
      </c>
      <c r="M478">
        <v>2018.1273480662985</v>
      </c>
      <c r="N478">
        <v>2728.5600000000004</v>
      </c>
      <c r="O478">
        <v>2018.1273480663001</v>
      </c>
      <c r="P478">
        <v>0</v>
      </c>
      <c r="Q478">
        <f t="shared" si="85"/>
        <v>2018.1273480663001</v>
      </c>
      <c r="R478">
        <v>2018.1273480663001</v>
      </c>
      <c r="S478">
        <f t="shared" si="86"/>
        <v>0</v>
      </c>
      <c r="T478">
        <v>2.2499999999999999E-2</v>
      </c>
      <c r="U478">
        <f t="shared" si="87"/>
        <v>45.407865331491749</v>
      </c>
      <c r="V478">
        <f t="shared" si="88"/>
        <v>2063.5352133977917</v>
      </c>
      <c r="W478">
        <f t="shared" si="89"/>
        <v>45.407865331491621</v>
      </c>
      <c r="X478">
        <v>0</v>
      </c>
    </row>
    <row r="479" spans="1:24" x14ac:dyDescent="0.25">
      <c r="A479" t="s">
        <v>473</v>
      </c>
      <c r="B479" t="s">
        <v>473</v>
      </c>
      <c r="C479" t="s">
        <v>493</v>
      </c>
      <c r="D479" t="s">
        <v>121</v>
      </c>
      <c r="E479" t="s">
        <v>130</v>
      </c>
      <c r="F479" t="s">
        <v>1</v>
      </c>
      <c r="G479" t="s">
        <v>306</v>
      </c>
      <c r="H479" t="s">
        <v>315</v>
      </c>
      <c r="I479" t="s">
        <v>1</v>
      </c>
      <c r="J479">
        <v>2470.0300000000002</v>
      </c>
      <c r="K479">
        <v>3884.6032184421001</v>
      </c>
      <c r="L479">
        <v>263.10000000000002</v>
      </c>
      <c r="M479">
        <v>530.56077348066299</v>
      </c>
      <c r="N479">
        <v>320.35000000000002</v>
      </c>
      <c r="O479">
        <v>530.56077348070005</v>
      </c>
      <c r="P479">
        <v>0</v>
      </c>
      <c r="Q479">
        <f t="shared" si="85"/>
        <v>530.56077348070005</v>
      </c>
      <c r="R479">
        <v>530.56077348070005</v>
      </c>
      <c r="S479">
        <f t="shared" si="86"/>
        <v>0</v>
      </c>
      <c r="T479">
        <v>3.7499999999999999E-2</v>
      </c>
      <c r="U479">
        <f t="shared" si="87"/>
        <v>19.896029005526252</v>
      </c>
      <c r="V479">
        <f t="shared" si="88"/>
        <v>550.45680248622625</v>
      </c>
      <c r="W479">
        <f t="shared" si="89"/>
        <v>19.896029005526202</v>
      </c>
      <c r="X479">
        <v>0</v>
      </c>
    </row>
    <row r="480" spans="1:24" x14ac:dyDescent="0.25">
      <c r="A480" t="s">
        <v>473</v>
      </c>
      <c r="B480" t="s">
        <v>473</v>
      </c>
      <c r="C480" t="s">
        <v>493</v>
      </c>
      <c r="D480" t="s">
        <v>121</v>
      </c>
      <c r="E480" t="s">
        <v>131</v>
      </c>
      <c r="F480" t="s">
        <v>1</v>
      </c>
      <c r="G480" t="s">
        <v>306</v>
      </c>
      <c r="H480" t="s">
        <v>316</v>
      </c>
      <c r="I480" t="s">
        <v>1</v>
      </c>
      <c r="J480">
        <v>484.53</v>
      </c>
      <c r="L480">
        <v>699.31</v>
      </c>
      <c r="M480">
        <v>1410.210773480663</v>
      </c>
      <c r="N480">
        <v>865.42</v>
      </c>
      <c r="O480">
        <v>1410.2107734807</v>
      </c>
      <c r="P480">
        <v>0</v>
      </c>
      <c r="Q480">
        <f t="shared" si="85"/>
        <v>1410.2107734807</v>
      </c>
      <c r="R480">
        <v>1410.2107734807</v>
      </c>
      <c r="S480">
        <f t="shared" si="86"/>
        <v>0</v>
      </c>
      <c r="T480">
        <v>0.02</v>
      </c>
      <c r="U480">
        <f t="shared" si="87"/>
        <v>28.204215469614002</v>
      </c>
      <c r="V480">
        <f t="shared" si="88"/>
        <v>1438.414988950314</v>
      </c>
      <c r="W480">
        <f t="shared" si="89"/>
        <v>28.204215469613928</v>
      </c>
      <c r="X480">
        <v>0</v>
      </c>
    </row>
    <row r="481" spans="1:24" x14ac:dyDescent="0.25">
      <c r="A481" t="s">
        <v>473</v>
      </c>
      <c r="B481" t="s">
        <v>473</v>
      </c>
      <c r="C481" t="s">
        <v>493</v>
      </c>
      <c r="D481" t="s">
        <v>121</v>
      </c>
      <c r="E481" t="s">
        <v>132</v>
      </c>
      <c r="F481" t="s">
        <v>1</v>
      </c>
      <c r="G481" t="s">
        <v>306</v>
      </c>
      <c r="H481" t="s">
        <v>317</v>
      </c>
      <c r="I481" t="s">
        <v>1</v>
      </c>
      <c r="J481">
        <v>743.29</v>
      </c>
      <c r="L481">
        <v>1153.5</v>
      </c>
      <c r="M481">
        <v>2326.1187845303866</v>
      </c>
      <c r="N481">
        <v>1896.79</v>
      </c>
      <c r="O481">
        <v>2326.1187845303998</v>
      </c>
      <c r="P481">
        <v>0</v>
      </c>
      <c r="Q481">
        <f t="shared" si="85"/>
        <v>2326.1187845303998</v>
      </c>
      <c r="R481">
        <v>2326.1187845303998</v>
      </c>
      <c r="S481">
        <f t="shared" si="86"/>
        <v>0</v>
      </c>
      <c r="T481">
        <v>0.03</v>
      </c>
      <c r="U481">
        <f t="shared" si="87"/>
        <v>69.783563535911995</v>
      </c>
      <c r="V481">
        <f t="shared" si="88"/>
        <v>2395.9023480663118</v>
      </c>
      <c r="W481">
        <f t="shared" si="89"/>
        <v>69.783563535911981</v>
      </c>
      <c r="X481">
        <v>0</v>
      </c>
    </row>
    <row r="482" spans="1:24" x14ac:dyDescent="0.25">
      <c r="A482" t="s">
        <v>473</v>
      </c>
      <c r="B482" t="s">
        <v>473</v>
      </c>
      <c r="C482" t="s">
        <v>493</v>
      </c>
      <c r="D482" t="s">
        <v>121</v>
      </c>
      <c r="E482" t="s">
        <v>133</v>
      </c>
      <c r="F482" t="s">
        <v>1</v>
      </c>
      <c r="G482" t="s">
        <v>306</v>
      </c>
      <c r="H482" t="s">
        <v>318</v>
      </c>
      <c r="I482" t="s">
        <v>1</v>
      </c>
      <c r="J482">
        <v>1028.42</v>
      </c>
      <c r="L482">
        <v>199.49</v>
      </c>
      <c r="M482">
        <v>402.28646408839779</v>
      </c>
      <c r="N482">
        <v>1112.9299999999998</v>
      </c>
      <c r="O482">
        <v>402.28646408840001</v>
      </c>
      <c r="P482">
        <v>0</v>
      </c>
      <c r="Q482">
        <f t="shared" si="85"/>
        <v>402.28646408840001</v>
      </c>
      <c r="R482">
        <v>402.28646408840001</v>
      </c>
      <c r="S482">
        <f t="shared" si="86"/>
        <v>0</v>
      </c>
      <c r="T482">
        <v>2.5000000000000001E-2</v>
      </c>
      <c r="U482">
        <f t="shared" si="87"/>
        <v>10.057161602210002</v>
      </c>
      <c r="V482">
        <f t="shared" si="88"/>
        <v>412.34362569061</v>
      </c>
      <c r="W482">
        <f t="shared" si="89"/>
        <v>10.057161602209987</v>
      </c>
      <c r="X482">
        <v>0</v>
      </c>
    </row>
    <row r="483" spans="1:24" x14ac:dyDescent="0.25">
      <c r="A483" t="s">
        <v>473</v>
      </c>
      <c r="B483" t="s">
        <v>473</v>
      </c>
      <c r="C483" t="s">
        <v>493</v>
      </c>
      <c r="D483" t="s">
        <v>121</v>
      </c>
      <c r="E483" t="s">
        <v>134</v>
      </c>
      <c r="F483" t="s">
        <v>1</v>
      </c>
      <c r="G483" t="s">
        <v>306</v>
      </c>
      <c r="H483" t="s">
        <v>319</v>
      </c>
      <c r="I483" t="s">
        <v>1</v>
      </c>
      <c r="J483">
        <v>596.80999999999995</v>
      </c>
      <c r="L483">
        <v>0</v>
      </c>
      <c r="M483">
        <v>0</v>
      </c>
      <c r="N483">
        <v>55.71</v>
      </c>
      <c r="P483">
        <v>0</v>
      </c>
      <c r="Q483">
        <f t="shared" si="85"/>
        <v>0</v>
      </c>
      <c r="R483">
        <v>0</v>
      </c>
      <c r="S483">
        <f t="shared" si="86"/>
        <v>0</v>
      </c>
      <c r="T483">
        <v>2.2499999999999999E-2</v>
      </c>
      <c r="U483">
        <f t="shared" si="87"/>
        <v>0</v>
      </c>
      <c r="V483">
        <f t="shared" si="88"/>
        <v>0</v>
      </c>
      <c r="W483">
        <f t="shared" si="89"/>
        <v>0</v>
      </c>
      <c r="X483">
        <v>0</v>
      </c>
    </row>
    <row r="484" spans="1:24" x14ac:dyDescent="0.25">
      <c r="A484" t="s">
        <v>473</v>
      </c>
      <c r="B484" t="s">
        <v>473</v>
      </c>
      <c r="C484" t="s">
        <v>493</v>
      </c>
      <c r="D484" t="s">
        <v>121</v>
      </c>
      <c r="E484" t="s">
        <v>135</v>
      </c>
      <c r="F484" t="s">
        <v>1</v>
      </c>
      <c r="G484" t="s">
        <v>306</v>
      </c>
      <c r="H484" t="s">
        <v>320</v>
      </c>
      <c r="I484" t="s">
        <v>1</v>
      </c>
      <c r="J484">
        <v>68630.34</v>
      </c>
      <c r="K484">
        <v>33809.510968603703</v>
      </c>
      <c r="L484">
        <v>21066.78</v>
      </c>
      <c r="M484">
        <v>42482.733149171268</v>
      </c>
      <c r="N484">
        <v>81736.900000000009</v>
      </c>
      <c r="O484">
        <v>42482.733149171298</v>
      </c>
      <c r="P484">
        <v>0</v>
      </c>
      <c r="Q484">
        <f t="shared" si="85"/>
        <v>42482.733149171298</v>
      </c>
      <c r="R484">
        <v>42482.733149171298</v>
      </c>
      <c r="S484">
        <f t="shared" si="86"/>
        <v>0</v>
      </c>
      <c r="T484">
        <v>2.5000000000000001E-2</v>
      </c>
      <c r="U484">
        <f t="shared" si="87"/>
        <v>1062.0683287292825</v>
      </c>
      <c r="V484">
        <f t="shared" si="88"/>
        <v>43544.801477900583</v>
      </c>
      <c r="W484">
        <f t="shared" si="89"/>
        <v>1062.068328729285</v>
      </c>
      <c r="X484">
        <v>0</v>
      </c>
    </row>
    <row r="485" spans="1:24" x14ac:dyDescent="0.25">
      <c r="A485" t="s">
        <v>473</v>
      </c>
      <c r="B485" t="s">
        <v>473</v>
      </c>
      <c r="C485" t="s">
        <v>493</v>
      </c>
      <c r="D485" t="s">
        <v>121</v>
      </c>
      <c r="E485" t="s">
        <v>136</v>
      </c>
      <c r="F485" t="s">
        <v>1</v>
      </c>
      <c r="G485" t="s">
        <v>306</v>
      </c>
      <c r="H485" t="s">
        <v>321</v>
      </c>
      <c r="I485" t="s">
        <v>1</v>
      </c>
      <c r="J485">
        <v>88286.91</v>
      </c>
      <c r="K485">
        <v>91814.508116535595</v>
      </c>
      <c r="L485">
        <v>48405.440000000002</v>
      </c>
      <c r="M485">
        <v>97613.180110497255</v>
      </c>
      <c r="N485">
        <v>108785.98</v>
      </c>
      <c r="O485">
        <v>97613.180110497196</v>
      </c>
      <c r="P485">
        <v>0</v>
      </c>
      <c r="Q485">
        <f t="shared" si="85"/>
        <v>97613.180110497196</v>
      </c>
      <c r="R485">
        <v>97613.180110497196</v>
      </c>
      <c r="S485">
        <f t="shared" si="86"/>
        <v>0</v>
      </c>
      <c r="T485">
        <v>2.2499999999999999E-2</v>
      </c>
      <c r="U485">
        <f t="shared" si="87"/>
        <v>2196.296552486187</v>
      </c>
      <c r="V485">
        <f t="shared" si="88"/>
        <v>99809.47666298339</v>
      </c>
      <c r="W485">
        <f t="shared" si="89"/>
        <v>2196.2965524861938</v>
      </c>
      <c r="X485">
        <v>0</v>
      </c>
    </row>
    <row r="486" spans="1:24" x14ac:dyDescent="0.25">
      <c r="A486" t="s">
        <v>473</v>
      </c>
      <c r="B486" t="s">
        <v>473</v>
      </c>
      <c r="C486" t="s">
        <v>493</v>
      </c>
      <c r="D486" t="s">
        <v>121</v>
      </c>
      <c r="E486" t="s">
        <v>137</v>
      </c>
      <c r="F486" t="s">
        <v>1</v>
      </c>
      <c r="G486" t="s">
        <v>306</v>
      </c>
      <c r="H486" t="s">
        <v>322</v>
      </c>
      <c r="I486" t="s">
        <v>1</v>
      </c>
      <c r="J486">
        <v>956.26</v>
      </c>
      <c r="K486">
        <v>1227.9771536247999</v>
      </c>
      <c r="L486">
        <v>207.3</v>
      </c>
      <c r="M486">
        <v>418.03591160220992</v>
      </c>
      <c r="N486">
        <v>600.18999999999994</v>
      </c>
      <c r="O486">
        <v>418.03591160219997</v>
      </c>
      <c r="P486">
        <v>0</v>
      </c>
      <c r="Q486">
        <f t="shared" si="85"/>
        <v>418.03591160219997</v>
      </c>
      <c r="R486">
        <v>418.03591160219997</v>
      </c>
      <c r="S486">
        <f t="shared" si="86"/>
        <v>0</v>
      </c>
      <c r="T486">
        <v>2.75E-2</v>
      </c>
      <c r="U486">
        <f t="shared" si="87"/>
        <v>11.4959875690605</v>
      </c>
      <c r="V486">
        <f t="shared" si="88"/>
        <v>429.53189917126048</v>
      </c>
      <c r="W486">
        <f t="shared" si="89"/>
        <v>11.495987569060503</v>
      </c>
      <c r="X486">
        <v>0</v>
      </c>
    </row>
    <row r="487" spans="1:24" x14ac:dyDescent="0.25">
      <c r="A487" t="s">
        <v>473</v>
      </c>
      <c r="B487" t="s">
        <v>473</v>
      </c>
      <c r="C487" t="s">
        <v>493</v>
      </c>
      <c r="D487" t="s">
        <v>121</v>
      </c>
      <c r="E487" t="s">
        <v>138</v>
      </c>
      <c r="F487" t="s">
        <v>1</v>
      </c>
      <c r="G487" t="s">
        <v>306</v>
      </c>
      <c r="H487" t="s">
        <v>323</v>
      </c>
      <c r="I487" t="s">
        <v>1</v>
      </c>
      <c r="J487">
        <v>5145.83</v>
      </c>
      <c r="K487">
        <v>5460.0814886324997</v>
      </c>
      <c r="L487">
        <v>1946.72</v>
      </c>
      <c r="M487">
        <v>3925.7060773480662</v>
      </c>
      <c r="N487">
        <v>5350.71</v>
      </c>
      <c r="O487">
        <v>3925.7060773480998</v>
      </c>
      <c r="P487">
        <v>0</v>
      </c>
      <c r="Q487">
        <f t="shared" si="85"/>
        <v>3925.7060773480998</v>
      </c>
      <c r="R487">
        <v>3925.7060773480998</v>
      </c>
      <c r="S487">
        <f t="shared" si="86"/>
        <v>0</v>
      </c>
      <c r="T487">
        <v>0.03</v>
      </c>
      <c r="U487">
        <f t="shared" si="87"/>
        <v>117.77118232044299</v>
      </c>
      <c r="V487">
        <f t="shared" si="88"/>
        <v>4043.477259668543</v>
      </c>
      <c r="W487">
        <f t="shared" si="89"/>
        <v>117.77118232044313</v>
      </c>
      <c r="X487">
        <v>0</v>
      </c>
    </row>
    <row r="488" spans="1:24" x14ac:dyDescent="0.25">
      <c r="A488" t="s">
        <v>473</v>
      </c>
      <c r="B488" t="s">
        <v>473</v>
      </c>
      <c r="C488" t="s">
        <v>493</v>
      </c>
      <c r="D488" t="s">
        <v>121</v>
      </c>
      <c r="E488" t="s">
        <v>139</v>
      </c>
      <c r="F488" t="s">
        <v>1</v>
      </c>
      <c r="G488" t="s">
        <v>306</v>
      </c>
      <c r="H488" t="s">
        <v>324</v>
      </c>
      <c r="I488" t="s">
        <v>1</v>
      </c>
      <c r="J488">
        <v>151802.01</v>
      </c>
      <c r="K488">
        <v>96997.604142177501</v>
      </c>
      <c r="L488">
        <v>46718.78</v>
      </c>
      <c r="M488">
        <v>94211.904419889484</v>
      </c>
      <c r="N488">
        <v>158853.64000000001</v>
      </c>
      <c r="O488">
        <v>94211.904419889499</v>
      </c>
      <c r="P488">
        <v>0</v>
      </c>
      <c r="Q488">
        <f t="shared" si="85"/>
        <v>94211.904419889499</v>
      </c>
      <c r="R488">
        <v>94211.904419889499</v>
      </c>
      <c r="S488">
        <f t="shared" si="86"/>
        <v>0</v>
      </c>
      <c r="T488">
        <v>0.03</v>
      </c>
      <c r="U488">
        <f t="shared" si="87"/>
        <v>2826.357132596685</v>
      </c>
      <c r="V488">
        <f t="shared" si="88"/>
        <v>97038.26155248619</v>
      </c>
      <c r="W488">
        <f t="shared" si="89"/>
        <v>2826.3571325966914</v>
      </c>
      <c r="X488">
        <v>0</v>
      </c>
    </row>
    <row r="489" spans="1:24" x14ac:dyDescent="0.25">
      <c r="A489" t="s">
        <v>473</v>
      </c>
      <c r="B489" t="s">
        <v>473</v>
      </c>
      <c r="C489" t="s">
        <v>493</v>
      </c>
      <c r="D489" t="s">
        <v>121</v>
      </c>
      <c r="E489" t="s">
        <v>30</v>
      </c>
      <c r="F489" t="s">
        <v>1</v>
      </c>
      <c r="G489" t="s">
        <v>306</v>
      </c>
      <c r="H489" t="s">
        <v>182</v>
      </c>
      <c r="I489" t="s">
        <v>1</v>
      </c>
      <c r="J489">
        <v>29359</v>
      </c>
      <c r="K489">
        <v>46875</v>
      </c>
      <c r="L489">
        <v>21684.25</v>
      </c>
      <c r="M489">
        <v>43727.907458563539</v>
      </c>
      <c r="N489">
        <v>39527.25</v>
      </c>
      <c r="O489">
        <v>43368.5</v>
      </c>
      <c r="P489">
        <v>0</v>
      </c>
      <c r="Q489">
        <f t="shared" si="85"/>
        <v>43368.5</v>
      </c>
      <c r="R489">
        <v>51501</v>
      </c>
      <c r="S489">
        <f t="shared" si="86"/>
        <v>8132.5</v>
      </c>
      <c r="T489">
        <v>0.03</v>
      </c>
      <c r="U489">
        <f t="shared" si="87"/>
        <v>1545.03</v>
      </c>
      <c r="V489">
        <f t="shared" si="88"/>
        <v>53046.03</v>
      </c>
      <c r="W489">
        <f t="shared" si="89"/>
        <v>9677.5299999999988</v>
      </c>
      <c r="X489" t="s">
        <v>447</v>
      </c>
    </row>
    <row r="490" spans="1:24" x14ac:dyDescent="0.25">
      <c r="A490" t="s">
        <v>473</v>
      </c>
      <c r="B490" t="s">
        <v>473</v>
      </c>
      <c r="C490" t="s">
        <v>493</v>
      </c>
      <c r="D490" t="s">
        <v>121</v>
      </c>
      <c r="E490" t="s">
        <v>31</v>
      </c>
      <c r="F490" t="s">
        <v>1</v>
      </c>
      <c r="G490" t="s">
        <v>306</v>
      </c>
      <c r="H490" t="s">
        <v>183</v>
      </c>
      <c r="I490" t="s">
        <v>1</v>
      </c>
      <c r="J490">
        <v>2879</v>
      </c>
      <c r="L490">
        <v>0</v>
      </c>
      <c r="M490">
        <v>0</v>
      </c>
      <c r="N490">
        <v>0</v>
      </c>
      <c r="P490">
        <v>0</v>
      </c>
      <c r="Q490">
        <f t="shared" si="85"/>
        <v>0</v>
      </c>
      <c r="R490">
        <v>0</v>
      </c>
      <c r="S490">
        <f t="shared" si="86"/>
        <v>0</v>
      </c>
      <c r="T490">
        <v>0.03</v>
      </c>
      <c r="U490">
        <f t="shared" si="87"/>
        <v>0</v>
      </c>
      <c r="V490">
        <f t="shared" si="88"/>
        <v>0</v>
      </c>
      <c r="W490">
        <f t="shared" si="89"/>
        <v>0</v>
      </c>
      <c r="X490">
        <v>0</v>
      </c>
    </row>
    <row r="491" spans="1:24" x14ac:dyDescent="0.25">
      <c r="A491" t="s">
        <v>473</v>
      </c>
      <c r="B491" t="s">
        <v>473</v>
      </c>
      <c r="C491" t="s">
        <v>493</v>
      </c>
      <c r="D491" t="s">
        <v>121</v>
      </c>
      <c r="E491" t="s">
        <v>32</v>
      </c>
      <c r="F491" t="s">
        <v>1</v>
      </c>
      <c r="G491" t="s">
        <v>306</v>
      </c>
      <c r="H491" t="s">
        <v>184</v>
      </c>
      <c r="I491" t="s">
        <v>1</v>
      </c>
      <c r="J491">
        <v>962.63</v>
      </c>
      <c r="L491">
        <v>1267.7</v>
      </c>
      <c r="M491">
        <v>2556.4116022099447</v>
      </c>
      <c r="N491">
        <v>2044.7499999999995</v>
      </c>
      <c r="O491">
        <v>2535.4</v>
      </c>
      <c r="P491">
        <v>0</v>
      </c>
      <c r="Q491">
        <f t="shared" si="85"/>
        <v>2535.4</v>
      </c>
      <c r="R491">
        <v>2535.4</v>
      </c>
      <c r="S491">
        <f t="shared" si="86"/>
        <v>0</v>
      </c>
      <c r="T491">
        <v>0.03</v>
      </c>
      <c r="U491">
        <f t="shared" si="87"/>
        <v>76.061999999999998</v>
      </c>
      <c r="V491">
        <f t="shared" si="88"/>
        <v>2611.462</v>
      </c>
      <c r="W491">
        <f t="shared" si="89"/>
        <v>76.061999999999898</v>
      </c>
      <c r="X491">
        <v>0</v>
      </c>
    </row>
    <row r="492" spans="1:24" x14ac:dyDescent="0.25">
      <c r="A492" t="s">
        <v>473</v>
      </c>
      <c r="B492" t="s">
        <v>473</v>
      </c>
      <c r="C492" t="s">
        <v>493</v>
      </c>
      <c r="D492" t="s">
        <v>121</v>
      </c>
      <c r="E492" t="s">
        <v>33</v>
      </c>
      <c r="F492" t="s">
        <v>1</v>
      </c>
      <c r="G492" t="s">
        <v>306</v>
      </c>
      <c r="H492" t="s">
        <v>185</v>
      </c>
      <c r="I492" t="s">
        <v>1</v>
      </c>
      <c r="J492">
        <v>6972.79</v>
      </c>
      <c r="L492">
        <v>28.81</v>
      </c>
      <c r="M492">
        <v>58.097513812154695</v>
      </c>
      <c r="N492">
        <v>7016.19</v>
      </c>
      <c r="O492">
        <v>57.62</v>
      </c>
      <c r="P492">
        <v>0</v>
      </c>
      <c r="Q492">
        <f t="shared" si="85"/>
        <v>57.62</v>
      </c>
      <c r="R492">
        <v>57.62</v>
      </c>
      <c r="S492">
        <f t="shared" si="86"/>
        <v>0</v>
      </c>
      <c r="T492">
        <v>0.03</v>
      </c>
      <c r="U492">
        <f t="shared" si="87"/>
        <v>1.7285999999999999</v>
      </c>
      <c r="V492">
        <f t="shared" si="88"/>
        <v>59.348599999999998</v>
      </c>
      <c r="W492">
        <f t="shared" si="89"/>
        <v>1.7286000000000001</v>
      </c>
      <c r="X492">
        <v>0</v>
      </c>
    </row>
    <row r="493" spans="1:24" x14ac:dyDescent="0.25">
      <c r="A493" t="s">
        <v>473</v>
      </c>
      <c r="B493" t="s">
        <v>473</v>
      </c>
      <c r="C493" t="s">
        <v>493</v>
      </c>
      <c r="D493" t="s">
        <v>121</v>
      </c>
      <c r="E493" t="s">
        <v>92</v>
      </c>
      <c r="F493" t="s">
        <v>1</v>
      </c>
      <c r="G493" t="s">
        <v>306</v>
      </c>
      <c r="H493" t="s">
        <v>263</v>
      </c>
      <c r="I493" t="s">
        <v>1</v>
      </c>
      <c r="L493">
        <v>2545</v>
      </c>
      <c r="M493">
        <v>5132.1823204419888</v>
      </c>
      <c r="N493">
        <v>2545</v>
      </c>
      <c r="O493">
        <v>5090</v>
      </c>
      <c r="P493">
        <v>0</v>
      </c>
      <c r="Q493">
        <f t="shared" si="85"/>
        <v>5090</v>
      </c>
      <c r="R493">
        <v>5090</v>
      </c>
      <c r="S493">
        <f t="shared" si="86"/>
        <v>0</v>
      </c>
      <c r="T493">
        <v>0.03</v>
      </c>
      <c r="U493">
        <f t="shared" si="87"/>
        <v>152.69999999999999</v>
      </c>
      <c r="V493">
        <f t="shared" si="88"/>
        <v>5242.7</v>
      </c>
      <c r="W493">
        <f t="shared" si="89"/>
        <v>152.69999999999982</v>
      </c>
      <c r="X493">
        <v>0</v>
      </c>
    </row>
    <row r="494" spans="1:24" x14ac:dyDescent="0.25">
      <c r="A494" t="s">
        <v>473</v>
      </c>
      <c r="B494" t="s">
        <v>473</v>
      </c>
      <c r="C494" t="s">
        <v>493</v>
      </c>
      <c r="D494" t="s">
        <v>121</v>
      </c>
      <c r="E494" t="s">
        <v>67</v>
      </c>
      <c r="F494" t="s">
        <v>1</v>
      </c>
      <c r="G494" t="s">
        <v>306</v>
      </c>
      <c r="H494" t="s">
        <v>226</v>
      </c>
      <c r="I494" t="s">
        <v>1</v>
      </c>
      <c r="J494">
        <v>2145</v>
      </c>
      <c r="L494">
        <v>0</v>
      </c>
      <c r="M494">
        <v>0</v>
      </c>
      <c r="N494">
        <v>2145</v>
      </c>
      <c r="P494">
        <v>0</v>
      </c>
      <c r="Q494">
        <f t="shared" si="85"/>
        <v>0</v>
      </c>
      <c r="R494">
        <v>0</v>
      </c>
      <c r="S494">
        <f t="shared" si="86"/>
        <v>0</v>
      </c>
      <c r="T494">
        <v>0.03</v>
      </c>
      <c r="U494">
        <f t="shared" si="87"/>
        <v>0</v>
      </c>
      <c r="V494">
        <f t="shared" si="88"/>
        <v>0</v>
      </c>
      <c r="W494">
        <f t="shared" si="89"/>
        <v>0</v>
      </c>
      <c r="X494">
        <v>0</v>
      </c>
    </row>
    <row r="495" spans="1:24" x14ac:dyDescent="0.25">
      <c r="A495" t="s">
        <v>473</v>
      </c>
      <c r="B495" t="s">
        <v>473</v>
      </c>
      <c r="C495" t="s">
        <v>493</v>
      </c>
      <c r="D495" t="s">
        <v>121</v>
      </c>
      <c r="E495" t="s">
        <v>36</v>
      </c>
      <c r="F495" t="s">
        <v>1</v>
      </c>
      <c r="G495" t="s">
        <v>306</v>
      </c>
      <c r="H495" t="s">
        <v>188</v>
      </c>
      <c r="I495" t="s">
        <v>1</v>
      </c>
      <c r="J495">
        <v>3871</v>
      </c>
      <c r="K495">
        <v>13680</v>
      </c>
      <c r="L495">
        <v>0</v>
      </c>
      <c r="M495">
        <v>0</v>
      </c>
      <c r="N495">
        <v>3438.4</v>
      </c>
      <c r="P495">
        <v>0</v>
      </c>
      <c r="Q495">
        <f t="shared" si="85"/>
        <v>0</v>
      </c>
      <c r="R495">
        <v>0</v>
      </c>
      <c r="S495">
        <f t="shared" si="86"/>
        <v>0</v>
      </c>
      <c r="T495">
        <v>0.03</v>
      </c>
      <c r="U495">
        <f t="shared" si="87"/>
        <v>0</v>
      </c>
      <c r="V495">
        <f t="shared" si="88"/>
        <v>0</v>
      </c>
      <c r="W495">
        <f t="shared" si="89"/>
        <v>0</v>
      </c>
      <c r="X495">
        <v>0</v>
      </c>
    </row>
    <row r="496" spans="1:24" x14ac:dyDescent="0.25">
      <c r="A496" t="s">
        <v>473</v>
      </c>
      <c r="B496" t="s">
        <v>473</v>
      </c>
      <c r="C496" t="s">
        <v>493</v>
      </c>
      <c r="D496" t="s">
        <v>121</v>
      </c>
      <c r="E496" t="s">
        <v>37</v>
      </c>
      <c r="F496" t="s">
        <v>1</v>
      </c>
      <c r="G496" t="s">
        <v>306</v>
      </c>
      <c r="H496" t="s">
        <v>189</v>
      </c>
      <c r="I496" t="s">
        <v>1</v>
      </c>
      <c r="J496">
        <v>1038</v>
      </c>
      <c r="K496">
        <v>600</v>
      </c>
      <c r="L496">
        <v>260</v>
      </c>
      <c r="M496">
        <v>524.30939226519342</v>
      </c>
      <c r="N496">
        <v>310</v>
      </c>
      <c r="O496">
        <v>520</v>
      </c>
      <c r="P496">
        <v>0</v>
      </c>
      <c r="Q496">
        <f t="shared" si="85"/>
        <v>520</v>
      </c>
      <c r="R496">
        <v>520</v>
      </c>
      <c r="S496">
        <f t="shared" si="86"/>
        <v>0</v>
      </c>
      <c r="T496">
        <v>0.03</v>
      </c>
      <c r="U496">
        <f t="shared" si="87"/>
        <v>15.6</v>
      </c>
      <c r="V496">
        <f t="shared" si="88"/>
        <v>535.6</v>
      </c>
      <c r="W496">
        <f t="shared" si="89"/>
        <v>15.600000000000023</v>
      </c>
      <c r="X496">
        <v>0</v>
      </c>
    </row>
    <row r="497" spans="1:24" x14ac:dyDescent="0.25">
      <c r="A497" t="s">
        <v>473</v>
      </c>
      <c r="B497" t="s">
        <v>473</v>
      </c>
      <c r="C497" t="s">
        <v>493</v>
      </c>
      <c r="D497" t="s">
        <v>121</v>
      </c>
      <c r="E497" t="s">
        <v>60</v>
      </c>
      <c r="F497" t="s">
        <v>1</v>
      </c>
      <c r="G497" t="s">
        <v>306</v>
      </c>
      <c r="H497" t="s">
        <v>217</v>
      </c>
      <c r="I497" t="s">
        <v>1</v>
      </c>
      <c r="J497">
        <v>1790.23</v>
      </c>
      <c r="L497">
        <v>0</v>
      </c>
      <c r="M497">
        <v>0</v>
      </c>
      <c r="N497">
        <v>0</v>
      </c>
      <c r="P497">
        <v>0</v>
      </c>
      <c r="Q497">
        <f t="shared" si="85"/>
        <v>0</v>
      </c>
      <c r="R497">
        <v>0</v>
      </c>
      <c r="S497">
        <f t="shared" si="86"/>
        <v>0</v>
      </c>
      <c r="U497">
        <f t="shared" si="87"/>
        <v>0</v>
      </c>
      <c r="V497">
        <f t="shared" si="88"/>
        <v>0</v>
      </c>
      <c r="W497">
        <f t="shared" si="89"/>
        <v>0</v>
      </c>
      <c r="X497">
        <v>0</v>
      </c>
    </row>
    <row r="498" spans="1:24" x14ac:dyDescent="0.25">
      <c r="A498" t="s">
        <v>473</v>
      </c>
      <c r="B498" t="s">
        <v>473</v>
      </c>
      <c r="C498" t="s">
        <v>493</v>
      </c>
      <c r="D498" t="s">
        <v>121</v>
      </c>
      <c r="E498" t="s">
        <v>41</v>
      </c>
      <c r="F498" t="s">
        <v>1</v>
      </c>
      <c r="G498" t="s">
        <v>306</v>
      </c>
      <c r="H498" t="s">
        <v>193</v>
      </c>
      <c r="I498" t="s">
        <v>1</v>
      </c>
      <c r="J498">
        <v>360.41</v>
      </c>
      <c r="K498">
        <v>393.00000000009999</v>
      </c>
      <c r="L498">
        <v>196.59</v>
      </c>
      <c r="M498">
        <v>396.43839779005532</v>
      </c>
      <c r="N498">
        <v>393.16999999999996</v>
      </c>
      <c r="O498">
        <v>396.4383977901</v>
      </c>
      <c r="P498">
        <v>0</v>
      </c>
      <c r="Q498">
        <f t="shared" si="85"/>
        <v>396.4383977901</v>
      </c>
      <c r="R498">
        <v>396.4383977901</v>
      </c>
      <c r="S498">
        <f t="shared" si="86"/>
        <v>0</v>
      </c>
      <c r="U498">
        <f t="shared" si="87"/>
        <v>0</v>
      </c>
      <c r="V498">
        <f t="shared" si="88"/>
        <v>396.4383977901</v>
      </c>
      <c r="W498">
        <f t="shared" si="89"/>
        <v>0</v>
      </c>
      <c r="X498">
        <v>0</v>
      </c>
    </row>
    <row r="499" spans="1:24" x14ac:dyDescent="0.25">
      <c r="A499" t="s">
        <v>473</v>
      </c>
      <c r="B499" t="s">
        <v>473</v>
      </c>
      <c r="C499" t="s">
        <v>493</v>
      </c>
      <c r="D499" t="s">
        <v>121</v>
      </c>
      <c r="E499" t="s">
        <v>42</v>
      </c>
      <c r="F499" t="s">
        <v>42</v>
      </c>
      <c r="G499" t="s">
        <v>325</v>
      </c>
      <c r="J499">
        <v>1178961.8899999999</v>
      </c>
      <c r="K499">
        <v>2495717.8313349821</v>
      </c>
      <c r="L499">
        <v>769283.19000000006</v>
      </c>
      <c r="M499">
        <v>1551316.9301104974</v>
      </c>
      <c r="N499">
        <v>1503732.8299999996</v>
      </c>
      <c r="O499">
        <v>1550837.2484500059</v>
      </c>
      <c r="P499">
        <f>SUMIF($F$455:$F$498,"&lt;&gt;EV_*",$P$455:$P$498)</f>
        <v>0</v>
      </c>
      <c r="Q499">
        <f>SUMIF($F$455:$F$498,"&lt;&gt;EV_*",$Q$455:$Q$498)</f>
        <v>1550837.2484500059</v>
      </c>
      <c r="R499">
        <f>SUMIF($F$455:$F$498,"&lt;&gt;EV_*",$R$455:$R$498)</f>
        <v>1559020.0835049511</v>
      </c>
      <c r="S499">
        <f>SUMIF($F$455:$F$498,"&lt;&gt;EV_*",$S$455:$S$498)</f>
        <v>8182.8350549450997</v>
      </c>
      <c r="T499">
        <v>0</v>
      </c>
      <c r="U499">
        <f>SUMIF($F$455:$F$498,"&lt;&gt;EV_*",$U$455:$U$498)</f>
        <v>51272.370726971763</v>
      </c>
      <c r="V499">
        <f>SUMIF($F$455:$F$498,"&lt;&gt;EV_*",$V$455:$V$498)</f>
        <v>1610292.4542319225</v>
      </c>
      <c r="W499">
        <f>SUMIF($F$455:$F$498,"&lt;&gt;EV_*",$W$455:$W$498)</f>
        <v>59455.205781916797</v>
      </c>
      <c r="X499">
        <f>SUMIF($F$455:$F$498,"&lt;&gt;EV_*",$X$455:$X$498)</f>
        <v>0</v>
      </c>
    </row>
    <row r="500" spans="1:24" x14ac:dyDescent="0.25">
      <c r="A500" t="s">
        <v>474</v>
      </c>
      <c r="B500" t="s">
        <v>474</v>
      </c>
      <c r="C500" t="s">
        <v>494</v>
      </c>
      <c r="D500" t="s">
        <v>140</v>
      </c>
      <c r="E500" t="s">
        <v>5</v>
      </c>
      <c r="F500" t="s">
        <v>5</v>
      </c>
      <c r="G500" t="s">
        <v>326</v>
      </c>
    </row>
    <row r="501" spans="1:24" x14ac:dyDescent="0.25">
      <c r="A501" t="s">
        <v>474</v>
      </c>
      <c r="B501" t="s">
        <v>474</v>
      </c>
      <c r="C501" t="s">
        <v>494</v>
      </c>
      <c r="D501" t="s">
        <v>140</v>
      </c>
      <c r="E501" t="s">
        <v>6</v>
      </c>
      <c r="F501" t="s">
        <v>1</v>
      </c>
      <c r="G501" t="s">
        <v>327</v>
      </c>
      <c r="H501" t="s">
        <v>158</v>
      </c>
      <c r="I501" t="s">
        <v>1</v>
      </c>
      <c r="J501">
        <v>7600</v>
      </c>
      <c r="L501">
        <v>0</v>
      </c>
      <c r="M501">
        <v>0</v>
      </c>
      <c r="N501">
        <v>0</v>
      </c>
      <c r="P501">
        <v>0</v>
      </c>
      <c r="Q501">
        <f t="shared" ref="Q501:Q532" si="90">O501+P501</f>
        <v>0</v>
      </c>
      <c r="R501">
        <v>0</v>
      </c>
      <c r="S501">
        <f t="shared" ref="S501:S532" si="91">IF(OR(LEFT(E501,2)="A_",LEFT(D501,5)="Total"),R501-Q501,"")</f>
        <v>0</v>
      </c>
      <c r="U501">
        <f t="shared" ref="U501:U532" si="92">IFERROR(R501*T501,R501*0)</f>
        <v>0</v>
      </c>
      <c r="V501">
        <f t="shared" ref="V501:V532" si="93">IF(OR(LEFT(E501,2)="A_",LEFT(D501,5)="Total"),R501+U501,"")</f>
        <v>0</v>
      </c>
      <c r="W501">
        <f t="shared" ref="W501:W532" si="94">IF(OR(LEFT(E501,2)="A_",LEFT(D501,5)="Total"),V501-Q501,"")</f>
        <v>0</v>
      </c>
      <c r="X501">
        <v>0</v>
      </c>
    </row>
    <row r="502" spans="1:24" x14ac:dyDescent="0.25">
      <c r="A502" t="s">
        <v>474</v>
      </c>
      <c r="B502" t="s">
        <v>474</v>
      </c>
      <c r="C502" t="s">
        <v>494</v>
      </c>
      <c r="D502" t="s">
        <v>140</v>
      </c>
      <c r="E502" t="s">
        <v>62</v>
      </c>
      <c r="F502" t="s">
        <v>1</v>
      </c>
      <c r="G502" t="s">
        <v>327</v>
      </c>
      <c r="H502" t="s">
        <v>221</v>
      </c>
      <c r="I502" t="s">
        <v>1</v>
      </c>
      <c r="J502">
        <v>67020</v>
      </c>
      <c r="L502">
        <v>0</v>
      </c>
      <c r="M502">
        <v>0</v>
      </c>
      <c r="N502">
        <v>46760</v>
      </c>
      <c r="P502">
        <v>0</v>
      </c>
      <c r="Q502">
        <f t="shared" si="90"/>
        <v>0</v>
      </c>
      <c r="R502">
        <v>0</v>
      </c>
      <c r="S502">
        <f t="shared" si="91"/>
        <v>0</v>
      </c>
      <c r="U502">
        <f t="shared" si="92"/>
        <v>0</v>
      </c>
      <c r="V502">
        <f t="shared" si="93"/>
        <v>0</v>
      </c>
      <c r="W502">
        <f t="shared" si="94"/>
        <v>0</v>
      </c>
      <c r="X502">
        <v>0</v>
      </c>
    </row>
    <row r="503" spans="1:24" x14ac:dyDescent="0.25">
      <c r="A503" t="s">
        <v>474</v>
      </c>
      <c r="B503" t="s">
        <v>474</v>
      </c>
      <c r="C503" t="s">
        <v>494</v>
      </c>
      <c r="D503" t="s">
        <v>140</v>
      </c>
      <c r="E503" t="s">
        <v>7</v>
      </c>
      <c r="F503" t="s">
        <v>1</v>
      </c>
      <c r="G503" t="s">
        <v>327</v>
      </c>
      <c r="H503" t="s">
        <v>159</v>
      </c>
      <c r="I503" t="s">
        <v>1</v>
      </c>
      <c r="L503">
        <v>888</v>
      </c>
      <c r="M503">
        <v>1790.7182320441989</v>
      </c>
      <c r="N503">
        <v>888</v>
      </c>
      <c r="O503">
        <v>1776</v>
      </c>
      <c r="P503">
        <v>0</v>
      </c>
      <c r="Q503">
        <f t="shared" si="90"/>
        <v>1776</v>
      </c>
      <c r="R503">
        <v>1776</v>
      </c>
      <c r="S503">
        <f t="shared" si="91"/>
        <v>0</v>
      </c>
      <c r="U503">
        <f t="shared" si="92"/>
        <v>0</v>
      </c>
      <c r="V503">
        <f t="shared" si="93"/>
        <v>1776</v>
      </c>
      <c r="W503">
        <f t="shared" si="94"/>
        <v>0</v>
      </c>
      <c r="X503">
        <v>0</v>
      </c>
    </row>
    <row r="504" spans="1:24" x14ac:dyDescent="0.25">
      <c r="A504" t="s">
        <v>474</v>
      </c>
      <c r="B504" t="s">
        <v>474</v>
      </c>
      <c r="C504" t="s">
        <v>494</v>
      </c>
      <c r="D504" t="s">
        <v>140</v>
      </c>
      <c r="E504" t="s">
        <v>81</v>
      </c>
      <c r="F504" t="s">
        <v>1</v>
      </c>
      <c r="G504" t="s">
        <v>327</v>
      </c>
      <c r="H504" t="s">
        <v>246</v>
      </c>
      <c r="I504" t="s">
        <v>1</v>
      </c>
      <c r="J504">
        <v>12.6</v>
      </c>
      <c r="L504">
        <v>0</v>
      </c>
      <c r="M504">
        <v>0</v>
      </c>
      <c r="N504">
        <v>0</v>
      </c>
      <c r="P504">
        <v>0</v>
      </c>
      <c r="Q504">
        <f t="shared" si="90"/>
        <v>0</v>
      </c>
      <c r="R504">
        <v>0</v>
      </c>
      <c r="S504">
        <f t="shared" si="91"/>
        <v>0</v>
      </c>
      <c r="T504">
        <v>0.02</v>
      </c>
      <c r="U504">
        <f t="shared" si="92"/>
        <v>0</v>
      </c>
      <c r="V504">
        <f t="shared" si="93"/>
        <v>0</v>
      </c>
      <c r="W504">
        <f t="shared" si="94"/>
        <v>0</v>
      </c>
      <c r="X504">
        <v>0</v>
      </c>
    </row>
    <row r="505" spans="1:24" x14ac:dyDescent="0.25">
      <c r="A505" t="s">
        <v>474</v>
      </c>
      <c r="B505" t="s">
        <v>474</v>
      </c>
      <c r="C505" t="s">
        <v>494</v>
      </c>
      <c r="D505" t="s">
        <v>140</v>
      </c>
      <c r="E505" t="s">
        <v>9</v>
      </c>
      <c r="F505" t="s">
        <v>1</v>
      </c>
      <c r="G505" t="s">
        <v>327</v>
      </c>
      <c r="H505" t="s">
        <v>161</v>
      </c>
      <c r="I505" t="s">
        <v>1</v>
      </c>
      <c r="K505">
        <v>2988.9999999995998</v>
      </c>
      <c r="L505">
        <v>0</v>
      </c>
      <c r="M505">
        <v>0</v>
      </c>
      <c r="N505">
        <v>0</v>
      </c>
      <c r="P505">
        <v>0</v>
      </c>
      <c r="Q505">
        <f t="shared" si="90"/>
        <v>0</v>
      </c>
      <c r="R505">
        <v>0</v>
      </c>
      <c r="S505">
        <f t="shared" si="91"/>
        <v>0</v>
      </c>
      <c r="U505">
        <f t="shared" si="92"/>
        <v>0</v>
      </c>
      <c r="V505">
        <f t="shared" si="93"/>
        <v>0</v>
      </c>
      <c r="W505">
        <f t="shared" si="94"/>
        <v>0</v>
      </c>
      <c r="X505">
        <v>0</v>
      </c>
    </row>
    <row r="506" spans="1:24" x14ac:dyDescent="0.25">
      <c r="A506" t="s">
        <v>474</v>
      </c>
      <c r="B506" t="s">
        <v>474</v>
      </c>
      <c r="C506" t="s">
        <v>494</v>
      </c>
      <c r="D506" t="s">
        <v>140</v>
      </c>
      <c r="E506" t="s">
        <v>11</v>
      </c>
      <c r="F506" t="s">
        <v>1</v>
      </c>
      <c r="G506" t="s">
        <v>327</v>
      </c>
      <c r="H506" t="s">
        <v>163</v>
      </c>
      <c r="I506" t="s">
        <v>1</v>
      </c>
      <c r="J506">
        <v>163.93</v>
      </c>
      <c r="L506">
        <v>-36.43</v>
      </c>
      <c r="M506">
        <v>-73.463812154696129</v>
      </c>
      <c r="N506">
        <v>127.5</v>
      </c>
      <c r="O506">
        <v>-72.86</v>
      </c>
      <c r="P506">
        <v>0</v>
      </c>
      <c r="Q506">
        <f t="shared" si="90"/>
        <v>-72.86</v>
      </c>
      <c r="R506">
        <v>0</v>
      </c>
      <c r="S506">
        <f t="shared" si="91"/>
        <v>72.86</v>
      </c>
      <c r="U506">
        <f t="shared" si="92"/>
        <v>0</v>
      </c>
      <c r="V506">
        <f t="shared" si="93"/>
        <v>0</v>
      </c>
      <c r="W506">
        <f t="shared" si="94"/>
        <v>72.86</v>
      </c>
      <c r="X506">
        <v>0</v>
      </c>
    </row>
    <row r="507" spans="1:24" x14ac:dyDescent="0.25">
      <c r="A507" t="s">
        <v>474</v>
      </c>
      <c r="B507" t="s">
        <v>474</v>
      </c>
      <c r="C507" t="s">
        <v>494</v>
      </c>
      <c r="D507" t="s">
        <v>140</v>
      </c>
      <c r="E507" t="s">
        <v>70</v>
      </c>
      <c r="F507" t="s">
        <v>1</v>
      </c>
      <c r="G507" t="s">
        <v>327</v>
      </c>
      <c r="H507" t="s">
        <v>231</v>
      </c>
      <c r="I507" t="s">
        <v>1</v>
      </c>
      <c r="J507">
        <v>-7</v>
      </c>
      <c r="L507">
        <v>-28</v>
      </c>
      <c r="M507">
        <v>-56.46408839779005</v>
      </c>
      <c r="N507">
        <v>-35</v>
      </c>
      <c r="O507">
        <v>-56.307692307700002</v>
      </c>
      <c r="P507">
        <v>0</v>
      </c>
      <c r="Q507">
        <f t="shared" si="90"/>
        <v>-56.307692307700002</v>
      </c>
      <c r="R507">
        <v>0</v>
      </c>
      <c r="S507">
        <f t="shared" si="91"/>
        <v>56.307692307700002</v>
      </c>
      <c r="U507">
        <f t="shared" si="92"/>
        <v>0</v>
      </c>
      <c r="V507">
        <f t="shared" si="93"/>
        <v>0</v>
      </c>
      <c r="W507">
        <f t="shared" si="94"/>
        <v>56.307692307700002</v>
      </c>
      <c r="X507">
        <v>0</v>
      </c>
    </row>
    <row r="508" spans="1:24" x14ac:dyDescent="0.25">
      <c r="A508" t="s">
        <v>474</v>
      </c>
      <c r="B508" t="s">
        <v>474</v>
      </c>
      <c r="C508" t="s">
        <v>494</v>
      </c>
      <c r="D508" t="s">
        <v>140</v>
      </c>
      <c r="E508" t="s">
        <v>44</v>
      </c>
      <c r="F508" t="s">
        <v>1</v>
      </c>
      <c r="G508" t="s">
        <v>327</v>
      </c>
      <c r="H508" t="s">
        <v>197</v>
      </c>
      <c r="I508" t="s">
        <v>1</v>
      </c>
      <c r="J508">
        <v>-37019.43</v>
      </c>
      <c r="K508">
        <v>-517871</v>
      </c>
      <c r="L508">
        <v>-306646.34000000003</v>
      </c>
      <c r="M508">
        <v>-618375.21602209948</v>
      </c>
      <c r="N508">
        <v>-342947.75000000006</v>
      </c>
      <c r="O508">
        <v>-616662.42000000004</v>
      </c>
      <c r="P508">
        <v>0</v>
      </c>
      <c r="Q508">
        <f t="shared" si="90"/>
        <v>-616662.42000000004</v>
      </c>
      <c r="R508">
        <v>-616662.42000000004</v>
      </c>
      <c r="S508">
        <f t="shared" si="91"/>
        <v>0</v>
      </c>
      <c r="U508">
        <f t="shared" si="92"/>
        <v>0</v>
      </c>
      <c r="V508">
        <f t="shared" si="93"/>
        <v>-616662.42000000004</v>
      </c>
      <c r="W508">
        <f t="shared" si="94"/>
        <v>0</v>
      </c>
      <c r="X508">
        <v>0</v>
      </c>
    </row>
    <row r="509" spans="1:24" x14ac:dyDescent="0.25">
      <c r="A509" t="s">
        <v>474</v>
      </c>
      <c r="B509" t="s">
        <v>474</v>
      </c>
      <c r="C509" t="s">
        <v>494</v>
      </c>
      <c r="D509" t="s">
        <v>140</v>
      </c>
      <c r="E509" t="s">
        <v>63</v>
      </c>
      <c r="F509" t="s">
        <v>1</v>
      </c>
      <c r="G509" t="s">
        <v>327</v>
      </c>
      <c r="H509" t="s">
        <v>222</v>
      </c>
      <c r="I509" t="s">
        <v>1</v>
      </c>
      <c r="J509">
        <v>14544.3</v>
      </c>
      <c r="K509">
        <v>9821.3074594592999</v>
      </c>
      <c r="L509">
        <v>8652</v>
      </c>
      <c r="M509">
        <v>17447.403314917126</v>
      </c>
      <c r="N509">
        <v>22011.77</v>
      </c>
      <c r="O509">
        <v>17399.0769230769</v>
      </c>
      <c r="P509">
        <v>0</v>
      </c>
      <c r="Q509">
        <f t="shared" si="90"/>
        <v>17399.0769230769</v>
      </c>
      <c r="R509">
        <v>17399.0769230769</v>
      </c>
      <c r="S509">
        <f t="shared" si="91"/>
        <v>0</v>
      </c>
      <c r="T509">
        <v>2.75E-2</v>
      </c>
      <c r="U509">
        <f t="shared" si="92"/>
        <v>478.47461538461476</v>
      </c>
      <c r="V509">
        <f t="shared" si="93"/>
        <v>17877.551538461514</v>
      </c>
      <c r="W509">
        <f t="shared" si="94"/>
        <v>478.47461538461357</v>
      </c>
      <c r="X509" t="s">
        <v>448</v>
      </c>
    </row>
    <row r="510" spans="1:24" x14ac:dyDescent="0.25">
      <c r="A510" t="s">
        <v>474</v>
      </c>
      <c r="B510" t="s">
        <v>474</v>
      </c>
      <c r="C510" t="s">
        <v>494</v>
      </c>
      <c r="D510" t="s">
        <v>140</v>
      </c>
      <c r="E510" t="s">
        <v>71</v>
      </c>
      <c r="F510" t="s">
        <v>1</v>
      </c>
      <c r="G510" t="s">
        <v>327</v>
      </c>
      <c r="H510" t="s">
        <v>232</v>
      </c>
      <c r="I510" t="s">
        <v>1</v>
      </c>
      <c r="J510">
        <v>37229.980000000003</v>
      </c>
      <c r="K510">
        <v>161194.637837838</v>
      </c>
      <c r="L510">
        <v>14059.84</v>
      </c>
      <c r="M510">
        <v>28352.716022099452</v>
      </c>
      <c r="N510">
        <v>49929.82</v>
      </c>
      <c r="O510">
        <v>28274.183736263702</v>
      </c>
      <c r="P510">
        <v>0</v>
      </c>
      <c r="Q510">
        <f t="shared" si="90"/>
        <v>28274.183736263702</v>
      </c>
      <c r="R510">
        <v>28274.183736263702</v>
      </c>
      <c r="S510">
        <f t="shared" si="91"/>
        <v>0</v>
      </c>
      <c r="T510">
        <v>2.2499999999999999E-2</v>
      </c>
      <c r="U510">
        <f t="shared" si="92"/>
        <v>636.16913406593324</v>
      </c>
      <c r="V510">
        <f t="shared" si="93"/>
        <v>28910.352870329636</v>
      </c>
      <c r="W510">
        <f t="shared" si="94"/>
        <v>636.16913406593449</v>
      </c>
      <c r="X510" t="s">
        <v>448</v>
      </c>
    </row>
    <row r="511" spans="1:24" x14ac:dyDescent="0.25">
      <c r="A511" t="s">
        <v>474</v>
      </c>
      <c r="B511" t="s">
        <v>474</v>
      </c>
      <c r="C511" t="s">
        <v>494</v>
      </c>
      <c r="D511" t="s">
        <v>140</v>
      </c>
      <c r="E511" t="s">
        <v>111</v>
      </c>
      <c r="F511" t="s">
        <v>1</v>
      </c>
      <c r="G511" t="s">
        <v>327</v>
      </c>
      <c r="H511" t="s">
        <v>290</v>
      </c>
      <c r="I511" t="s">
        <v>1</v>
      </c>
      <c r="L511">
        <v>3300</v>
      </c>
      <c r="M511">
        <v>6654.6961325966859</v>
      </c>
      <c r="N511">
        <v>3300</v>
      </c>
      <c r="O511">
        <v>6636.2637362636997</v>
      </c>
      <c r="P511">
        <v>0</v>
      </c>
      <c r="Q511">
        <f t="shared" si="90"/>
        <v>6636.2637362636997</v>
      </c>
      <c r="R511">
        <v>6636.2637362636997</v>
      </c>
      <c r="S511">
        <f t="shared" si="91"/>
        <v>0</v>
      </c>
      <c r="T511">
        <v>1.4999999999999999E-2</v>
      </c>
      <c r="U511">
        <f t="shared" si="92"/>
        <v>99.54395604395549</v>
      </c>
      <c r="V511">
        <f t="shared" si="93"/>
        <v>6735.8076923076551</v>
      </c>
      <c r="W511">
        <f t="shared" si="94"/>
        <v>99.543956043955404</v>
      </c>
      <c r="X511" t="s">
        <v>449</v>
      </c>
    </row>
    <row r="512" spans="1:24" x14ac:dyDescent="0.25">
      <c r="A512" t="s">
        <v>474</v>
      </c>
      <c r="B512" t="s">
        <v>474</v>
      </c>
      <c r="C512" t="s">
        <v>494</v>
      </c>
      <c r="D512" t="s">
        <v>140</v>
      </c>
      <c r="E512" t="s">
        <v>112</v>
      </c>
      <c r="F512" t="s">
        <v>1</v>
      </c>
      <c r="G512" t="s">
        <v>327</v>
      </c>
      <c r="H512" t="s">
        <v>291</v>
      </c>
      <c r="I512" t="s">
        <v>1</v>
      </c>
      <c r="L512">
        <v>707</v>
      </c>
      <c r="M512">
        <v>1425.7182320441989</v>
      </c>
      <c r="N512">
        <v>707</v>
      </c>
      <c r="O512">
        <v>1421.7692307692</v>
      </c>
      <c r="P512">
        <v>0</v>
      </c>
      <c r="Q512">
        <f t="shared" si="90"/>
        <v>1421.7692307692</v>
      </c>
      <c r="R512">
        <v>1421.7692307692</v>
      </c>
      <c r="S512">
        <f t="shared" si="91"/>
        <v>0</v>
      </c>
      <c r="T512">
        <v>2.5000000000000001E-2</v>
      </c>
      <c r="U512">
        <f t="shared" si="92"/>
        <v>35.544230769230005</v>
      </c>
      <c r="V512">
        <f t="shared" si="93"/>
        <v>1457.3134615384299</v>
      </c>
      <c r="W512">
        <f t="shared" si="94"/>
        <v>35.544230769229898</v>
      </c>
      <c r="X512" t="s">
        <v>449</v>
      </c>
    </row>
    <row r="513" spans="1:24" x14ac:dyDescent="0.25">
      <c r="A513" t="s">
        <v>474</v>
      </c>
      <c r="B513" t="s">
        <v>474</v>
      </c>
      <c r="C513" t="s">
        <v>494</v>
      </c>
      <c r="D513" t="s">
        <v>140</v>
      </c>
      <c r="E513" t="s">
        <v>113</v>
      </c>
      <c r="F513" t="s">
        <v>1</v>
      </c>
      <c r="G513" t="s">
        <v>327</v>
      </c>
      <c r="H513" t="s">
        <v>292</v>
      </c>
      <c r="I513" t="s">
        <v>1</v>
      </c>
      <c r="J513">
        <v>544</v>
      </c>
      <c r="K513">
        <v>80663.41</v>
      </c>
      <c r="L513">
        <v>3831</v>
      </c>
      <c r="M513">
        <v>7725.4972375690613</v>
      </c>
      <c r="N513">
        <v>4375</v>
      </c>
      <c r="O513">
        <v>7704.0989010988997</v>
      </c>
      <c r="P513">
        <v>0</v>
      </c>
      <c r="Q513">
        <f t="shared" si="90"/>
        <v>7704.0989010988997</v>
      </c>
      <c r="R513">
        <v>7704.0989010988997</v>
      </c>
      <c r="S513">
        <f t="shared" si="91"/>
        <v>0</v>
      </c>
      <c r="T513">
        <v>0.03</v>
      </c>
      <c r="U513">
        <f t="shared" si="92"/>
        <v>231.12296703296698</v>
      </c>
      <c r="V513">
        <f t="shared" si="93"/>
        <v>7935.2218681318664</v>
      </c>
      <c r="W513">
        <f t="shared" si="94"/>
        <v>231.1229670329667</v>
      </c>
      <c r="X513" t="s">
        <v>449</v>
      </c>
    </row>
    <row r="514" spans="1:24" x14ac:dyDescent="0.25">
      <c r="A514" t="s">
        <v>474</v>
      </c>
      <c r="B514" t="s">
        <v>474</v>
      </c>
      <c r="C514" t="s">
        <v>494</v>
      </c>
      <c r="D514" t="s">
        <v>140</v>
      </c>
      <c r="E514" t="s">
        <v>12</v>
      </c>
      <c r="F514" t="s">
        <v>1</v>
      </c>
      <c r="G514" t="s">
        <v>327</v>
      </c>
      <c r="H514" t="s">
        <v>164</v>
      </c>
      <c r="I514" t="s">
        <v>1</v>
      </c>
      <c r="J514">
        <v>5305.23</v>
      </c>
      <c r="K514">
        <v>63969.172627026899</v>
      </c>
      <c r="L514">
        <v>2145.08</v>
      </c>
      <c r="M514">
        <v>4325.7138121546959</v>
      </c>
      <c r="N514">
        <v>5714.630000000001</v>
      </c>
      <c r="O514">
        <v>4313.7323076923003</v>
      </c>
      <c r="P514">
        <v>0</v>
      </c>
      <c r="Q514">
        <f t="shared" si="90"/>
        <v>4313.7323076923003</v>
      </c>
      <c r="R514">
        <v>4313.7323076923003</v>
      </c>
      <c r="S514">
        <f t="shared" si="91"/>
        <v>0</v>
      </c>
      <c r="T514">
        <v>3.2500000000000001E-2</v>
      </c>
      <c r="U514">
        <f t="shared" si="92"/>
        <v>140.19629999999975</v>
      </c>
      <c r="V514">
        <f t="shared" si="93"/>
        <v>4453.9286076922999</v>
      </c>
      <c r="W514">
        <f t="shared" si="94"/>
        <v>140.19629999999961</v>
      </c>
      <c r="X514" t="s">
        <v>448</v>
      </c>
    </row>
    <row r="515" spans="1:24" x14ac:dyDescent="0.25">
      <c r="A515" t="s">
        <v>474</v>
      </c>
      <c r="B515" t="s">
        <v>474</v>
      </c>
      <c r="C515" t="s">
        <v>494</v>
      </c>
      <c r="D515" t="s">
        <v>140</v>
      </c>
      <c r="E515" t="s">
        <v>13</v>
      </c>
      <c r="F515" t="s">
        <v>1</v>
      </c>
      <c r="G515" t="s">
        <v>327</v>
      </c>
      <c r="H515" t="s">
        <v>165</v>
      </c>
      <c r="I515" t="s">
        <v>1</v>
      </c>
      <c r="J515">
        <v>202589.28</v>
      </c>
      <c r="K515">
        <v>506670.589135135</v>
      </c>
      <c r="L515">
        <v>107882.43</v>
      </c>
      <c r="M515">
        <v>217552.96657458565</v>
      </c>
      <c r="N515">
        <v>310471.71000000002</v>
      </c>
      <c r="O515">
        <v>216950.38120879099</v>
      </c>
      <c r="P515">
        <v>0</v>
      </c>
      <c r="Q515">
        <f t="shared" si="90"/>
        <v>216950.38120879099</v>
      </c>
      <c r="R515">
        <v>216950.38120879099</v>
      </c>
      <c r="S515">
        <f t="shared" si="91"/>
        <v>0</v>
      </c>
      <c r="T515">
        <v>0.02</v>
      </c>
      <c r="U515">
        <f t="shared" si="92"/>
        <v>4339.0076241758197</v>
      </c>
      <c r="V515">
        <f t="shared" si="93"/>
        <v>221289.3888329668</v>
      </c>
      <c r="W515">
        <f t="shared" si="94"/>
        <v>4339.007624175807</v>
      </c>
      <c r="X515" t="s">
        <v>448</v>
      </c>
    </row>
    <row r="516" spans="1:24" x14ac:dyDescent="0.25">
      <c r="A516" t="s">
        <v>474</v>
      </c>
      <c r="B516" t="s">
        <v>474</v>
      </c>
      <c r="C516" t="s">
        <v>494</v>
      </c>
      <c r="D516" t="s">
        <v>140</v>
      </c>
      <c r="E516" t="s">
        <v>14</v>
      </c>
      <c r="F516" t="s">
        <v>1</v>
      </c>
      <c r="G516" t="s">
        <v>327</v>
      </c>
      <c r="H516" t="s">
        <v>166</v>
      </c>
      <c r="I516" t="s">
        <v>1</v>
      </c>
      <c r="K516">
        <v>683.27999999969995</v>
      </c>
      <c r="L516">
        <v>0</v>
      </c>
      <c r="M516">
        <v>0</v>
      </c>
      <c r="N516">
        <v>0</v>
      </c>
      <c r="P516">
        <v>0</v>
      </c>
      <c r="Q516">
        <f t="shared" si="90"/>
        <v>0</v>
      </c>
      <c r="R516">
        <v>0</v>
      </c>
      <c r="S516">
        <f t="shared" si="91"/>
        <v>0</v>
      </c>
      <c r="T516">
        <v>0.04</v>
      </c>
      <c r="U516">
        <f t="shared" si="92"/>
        <v>0</v>
      </c>
      <c r="V516">
        <f t="shared" si="93"/>
        <v>0</v>
      </c>
      <c r="W516">
        <f t="shared" si="94"/>
        <v>0</v>
      </c>
      <c r="X516">
        <v>0</v>
      </c>
    </row>
    <row r="517" spans="1:24" x14ac:dyDescent="0.25">
      <c r="A517" t="s">
        <v>474</v>
      </c>
      <c r="B517" t="s">
        <v>474</v>
      </c>
      <c r="C517" t="s">
        <v>494</v>
      </c>
      <c r="D517" t="s">
        <v>140</v>
      </c>
      <c r="E517" t="s">
        <v>57</v>
      </c>
      <c r="F517" t="s">
        <v>1</v>
      </c>
      <c r="G517" t="s">
        <v>327</v>
      </c>
      <c r="H517" t="s">
        <v>214</v>
      </c>
      <c r="I517" t="s">
        <v>1</v>
      </c>
      <c r="K517">
        <v>915.20000000029995</v>
      </c>
      <c r="L517">
        <v>0</v>
      </c>
      <c r="M517">
        <v>0</v>
      </c>
      <c r="N517">
        <v>0</v>
      </c>
      <c r="P517">
        <v>0</v>
      </c>
      <c r="Q517">
        <f t="shared" si="90"/>
        <v>0</v>
      </c>
      <c r="R517">
        <v>0</v>
      </c>
      <c r="S517">
        <f t="shared" si="91"/>
        <v>0</v>
      </c>
      <c r="T517">
        <v>0.04</v>
      </c>
      <c r="U517">
        <f t="shared" si="92"/>
        <v>0</v>
      </c>
      <c r="V517">
        <f t="shared" si="93"/>
        <v>0</v>
      </c>
      <c r="W517">
        <f t="shared" si="94"/>
        <v>0</v>
      </c>
      <c r="X517">
        <v>0</v>
      </c>
    </row>
    <row r="518" spans="1:24" x14ac:dyDescent="0.25">
      <c r="A518" t="s">
        <v>474</v>
      </c>
      <c r="B518" t="s">
        <v>474</v>
      </c>
      <c r="C518" t="s">
        <v>494</v>
      </c>
      <c r="D518" t="s">
        <v>140</v>
      </c>
      <c r="E518" t="s">
        <v>45</v>
      </c>
      <c r="F518" t="s">
        <v>1</v>
      </c>
      <c r="G518" t="s">
        <v>327</v>
      </c>
      <c r="H518" t="s">
        <v>198</v>
      </c>
      <c r="I518" t="s">
        <v>1</v>
      </c>
      <c r="J518">
        <v>76580.52</v>
      </c>
      <c r="K518">
        <v>335334.37855135201</v>
      </c>
      <c r="L518">
        <v>133593.82</v>
      </c>
      <c r="M518">
        <v>269401.90220994479</v>
      </c>
      <c r="N518">
        <v>206896.84</v>
      </c>
      <c r="O518">
        <v>268655.70395604399</v>
      </c>
      <c r="P518">
        <v>0</v>
      </c>
      <c r="Q518">
        <f t="shared" si="90"/>
        <v>268655.70395604399</v>
      </c>
      <c r="R518">
        <v>268655.70395604399</v>
      </c>
      <c r="S518">
        <f t="shared" si="91"/>
        <v>0</v>
      </c>
      <c r="T518">
        <v>3.5000000000000003E-2</v>
      </c>
      <c r="U518">
        <f t="shared" si="92"/>
        <v>9402.9496384615413</v>
      </c>
      <c r="V518">
        <f t="shared" si="93"/>
        <v>278058.65359450551</v>
      </c>
      <c r="W518">
        <f t="shared" si="94"/>
        <v>9402.9496384615195</v>
      </c>
      <c r="X518" t="s">
        <v>450</v>
      </c>
    </row>
    <row r="519" spans="1:24" x14ac:dyDescent="0.25">
      <c r="A519" t="s">
        <v>474</v>
      </c>
      <c r="B519" t="s">
        <v>474</v>
      </c>
      <c r="C519" t="s">
        <v>494</v>
      </c>
      <c r="D519" t="s">
        <v>140</v>
      </c>
      <c r="E519" t="s">
        <v>64</v>
      </c>
      <c r="F519" t="s">
        <v>1</v>
      </c>
      <c r="G519" t="s">
        <v>327</v>
      </c>
      <c r="H519" t="s">
        <v>223</v>
      </c>
      <c r="I519" t="s">
        <v>1</v>
      </c>
      <c r="J519">
        <v>214.85</v>
      </c>
      <c r="K519">
        <v>2653.4555675672</v>
      </c>
      <c r="L519">
        <v>2376.4699999999998</v>
      </c>
      <c r="M519">
        <v>4792.3290055248617</v>
      </c>
      <c r="N519">
        <v>2591.3199999999997</v>
      </c>
      <c r="O519">
        <v>4779.0550549451</v>
      </c>
      <c r="P519">
        <v>0</v>
      </c>
      <c r="Q519">
        <f t="shared" si="90"/>
        <v>4779.0550549451</v>
      </c>
      <c r="R519">
        <v>4779.0550549451</v>
      </c>
      <c r="S519">
        <f t="shared" si="91"/>
        <v>0</v>
      </c>
      <c r="T519">
        <v>0.02</v>
      </c>
      <c r="U519">
        <f t="shared" si="92"/>
        <v>95.581101098901996</v>
      </c>
      <c r="V519">
        <f t="shared" si="93"/>
        <v>4874.6361560440018</v>
      </c>
      <c r="W519">
        <f t="shared" si="94"/>
        <v>95.581101098901854</v>
      </c>
      <c r="X519" t="s">
        <v>451</v>
      </c>
    </row>
    <row r="520" spans="1:24" x14ac:dyDescent="0.25">
      <c r="A520" t="s">
        <v>474</v>
      </c>
      <c r="B520" t="s">
        <v>474</v>
      </c>
      <c r="C520" t="s">
        <v>494</v>
      </c>
      <c r="D520" t="s">
        <v>140</v>
      </c>
      <c r="E520" t="s">
        <v>15</v>
      </c>
      <c r="F520" t="s">
        <v>1</v>
      </c>
      <c r="G520" t="s">
        <v>327</v>
      </c>
      <c r="H520" t="s">
        <v>167</v>
      </c>
      <c r="I520" t="s">
        <v>1</v>
      </c>
      <c r="J520">
        <v>8474.11</v>
      </c>
      <c r="K520">
        <v>45732.257124324497</v>
      </c>
      <c r="L520">
        <v>10673.72</v>
      </c>
      <c r="M520">
        <v>21524.352486187843</v>
      </c>
      <c r="N520">
        <v>18151.180000000004</v>
      </c>
      <c r="O520">
        <v>21464.7336263736</v>
      </c>
      <c r="P520">
        <v>0</v>
      </c>
      <c r="Q520">
        <f t="shared" si="90"/>
        <v>21464.7336263736</v>
      </c>
      <c r="R520">
        <v>21464.7336263736</v>
      </c>
      <c r="S520">
        <f t="shared" si="91"/>
        <v>0</v>
      </c>
      <c r="T520">
        <v>3.5000000000000003E-2</v>
      </c>
      <c r="U520">
        <f t="shared" si="92"/>
        <v>751.26567692307606</v>
      </c>
      <c r="V520">
        <f t="shared" si="93"/>
        <v>22215.999303296674</v>
      </c>
      <c r="W520">
        <f t="shared" si="94"/>
        <v>751.26567692307435</v>
      </c>
      <c r="X520" t="s">
        <v>448</v>
      </c>
    </row>
    <row r="521" spans="1:24" x14ac:dyDescent="0.25">
      <c r="A521" t="s">
        <v>474</v>
      </c>
      <c r="B521" t="s">
        <v>474</v>
      </c>
      <c r="C521" t="s">
        <v>494</v>
      </c>
      <c r="D521" t="s">
        <v>140</v>
      </c>
      <c r="E521" t="s">
        <v>46</v>
      </c>
      <c r="F521" t="s">
        <v>1</v>
      </c>
      <c r="G521" t="s">
        <v>327</v>
      </c>
      <c r="H521" t="s">
        <v>199</v>
      </c>
      <c r="I521" t="s">
        <v>1</v>
      </c>
      <c r="J521">
        <v>199925</v>
      </c>
      <c r="K521">
        <v>291737.40540540498</v>
      </c>
      <c r="L521">
        <v>384386.5</v>
      </c>
      <c r="M521">
        <v>775144.04696132592</v>
      </c>
      <c r="N521">
        <v>580261.5</v>
      </c>
      <c r="O521">
        <v>772997.027472527</v>
      </c>
      <c r="P521">
        <v>0</v>
      </c>
      <c r="Q521">
        <f t="shared" si="90"/>
        <v>772997.027472527</v>
      </c>
      <c r="R521">
        <v>772997.027472527</v>
      </c>
      <c r="S521">
        <f t="shared" si="91"/>
        <v>0</v>
      </c>
      <c r="T521">
        <v>0.02</v>
      </c>
      <c r="U521">
        <f t="shared" si="92"/>
        <v>15459.940549450541</v>
      </c>
      <c r="V521">
        <f t="shared" si="93"/>
        <v>788456.96802197758</v>
      </c>
      <c r="W521">
        <f t="shared" si="94"/>
        <v>15459.940549450577</v>
      </c>
      <c r="X521" t="s">
        <v>448</v>
      </c>
    </row>
    <row r="522" spans="1:24" x14ac:dyDescent="0.25">
      <c r="A522" t="s">
        <v>474</v>
      </c>
      <c r="B522" t="s">
        <v>474</v>
      </c>
      <c r="C522" t="s">
        <v>494</v>
      </c>
      <c r="D522" t="s">
        <v>140</v>
      </c>
      <c r="E522" t="s">
        <v>141</v>
      </c>
      <c r="F522" t="s">
        <v>1</v>
      </c>
      <c r="G522" t="s">
        <v>327</v>
      </c>
      <c r="H522" t="s">
        <v>328</v>
      </c>
      <c r="I522" t="s">
        <v>1</v>
      </c>
      <c r="J522">
        <v>62928</v>
      </c>
      <c r="K522">
        <v>348005.91567567497</v>
      </c>
      <c r="L522">
        <v>96396</v>
      </c>
      <c r="M522">
        <v>194389.72375690605</v>
      </c>
      <c r="N522">
        <v>159324</v>
      </c>
      <c r="O522">
        <v>193851.296703297</v>
      </c>
      <c r="P522">
        <v>0</v>
      </c>
      <c r="Q522">
        <f t="shared" si="90"/>
        <v>193851.296703297</v>
      </c>
      <c r="R522">
        <v>193851.296703297</v>
      </c>
      <c r="S522">
        <f t="shared" si="91"/>
        <v>0</v>
      </c>
      <c r="T522">
        <v>0.02</v>
      </c>
      <c r="U522">
        <f t="shared" si="92"/>
        <v>3877.02593406594</v>
      </c>
      <c r="V522">
        <f t="shared" si="93"/>
        <v>197728.32263736296</v>
      </c>
      <c r="W522">
        <f t="shared" si="94"/>
        <v>3877.0259340659541</v>
      </c>
      <c r="X522" t="s">
        <v>448</v>
      </c>
    </row>
    <row r="523" spans="1:24" x14ac:dyDescent="0.25">
      <c r="A523" t="s">
        <v>474</v>
      </c>
      <c r="B523" t="s">
        <v>474</v>
      </c>
      <c r="C523" t="s">
        <v>494</v>
      </c>
      <c r="D523" t="s">
        <v>140</v>
      </c>
      <c r="E523" t="s">
        <v>47</v>
      </c>
      <c r="F523" t="s">
        <v>1</v>
      </c>
      <c r="G523" t="s">
        <v>327</v>
      </c>
      <c r="H523" t="s">
        <v>200</v>
      </c>
      <c r="I523" t="s">
        <v>1</v>
      </c>
      <c r="J523">
        <v>44903.97</v>
      </c>
      <c r="K523">
        <v>28827.136345946201</v>
      </c>
      <c r="L523">
        <v>129756.96</v>
      </c>
      <c r="M523">
        <v>261664.58784530387</v>
      </c>
      <c r="N523">
        <v>168555.53</v>
      </c>
      <c r="O523">
        <v>260939.820659341</v>
      </c>
      <c r="P523">
        <v>0</v>
      </c>
      <c r="Q523">
        <f t="shared" si="90"/>
        <v>260939.820659341</v>
      </c>
      <c r="R523">
        <v>260939.820659341</v>
      </c>
      <c r="S523">
        <f t="shared" si="91"/>
        <v>0</v>
      </c>
      <c r="T523">
        <v>0.02</v>
      </c>
      <c r="U523">
        <f t="shared" si="92"/>
        <v>5218.7964131868202</v>
      </c>
      <c r="V523">
        <f t="shared" si="93"/>
        <v>266158.61707252782</v>
      </c>
      <c r="W523">
        <f t="shared" si="94"/>
        <v>5218.7964131868212</v>
      </c>
      <c r="X523" t="s">
        <v>448</v>
      </c>
    </row>
    <row r="524" spans="1:24" x14ac:dyDescent="0.25">
      <c r="A524" t="s">
        <v>474</v>
      </c>
      <c r="B524" t="s">
        <v>474</v>
      </c>
      <c r="C524" t="s">
        <v>494</v>
      </c>
      <c r="D524" t="s">
        <v>140</v>
      </c>
      <c r="E524" t="s">
        <v>48</v>
      </c>
      <c r="F524" t="s">
        <v>1</v>
      </c>
      <c r="G524" t="s">
        <v>327</v>
      </c>
      <c r="H524" t="s">
        <v>201</v>
      </c>
      <c r="I524" t="s">
        <v>1</v>
      </c>
      <c r="J524">
        <v>316721.59999999998</v>
      </c>
      <c r="K524">
        <v>873419.90823783795</v>
      </c>
      <c r="L524">
        <v>447982.08000000002</v>
      </c>
      <c r="M524">
        <v>903389.27734806645</v>
      </c>
      <c r="N524">
        <v>764703.67999999993</v>
      </c>
      <c r="O524">
        <v>900887.04000000004</v>
      </c>
      <c r="P524">
        <v>0</v>
      </c>
      <c r="Q524">
        <f t="shared" si="90"/>
        <v>900887.04000000004</v>
      </c>
      <c r="R524">
        <v>900887.04000000004</v>
      </c>
      <c r="S524">
        <f t="shared" si="91"/>
        <v>0</v>
      </c>
      <c r="T524">
        <v>1.4999999999999999E-2</v>
      </c>
      <c r="U524">
        <f t="shared" si="92"/>
        <v>13513.3056</v>
      </c>
      <c r="V524">
        <f t="shared" si="93"/>
        <v>914400.3456</v>
      </c>
      <c r="W524">
        <f t="shared" si="94"/>
        <v>13513.305599999963</v>
      </c>
      <c r="X524" t="s">
        <v>448</v>
      </c>
    </row>
    <row r="525" spans="1:24" x14ac:dyDescent="0.25">
      <c r="A525" t="s">
        <v>474</v>
      </c>
      <c r="B525" t="s">
        <v>474</v>
      </c>
      <c r="C525" t="s">
        <v>494</v>
      </c>
      <c r="D525" t="s">
        <v>140</v>
      </c>
      <c r="E525" t="s">
        <v>114</v>
      </c>
      <c r="F525" t="s">
        <v>1</v>
      </c>
      <c r="G525" t="s">
        <v>327</v>
      </c>
      <c r="H525" t="s">
        <v>293</v>
      </c>
      <c r="I525" t="s">
        <v>1</v>
      </c>
      <c r="J525">
        <v>118835.1</v>
      </c>
      <c r="K525">
        <v>15363.2400000002</v>
      </c>
      <c r="L525">
        <v>297824.2</v>
      </c>
      <c r="M525">
        <v>600584.71270718228</v>
      </c>
      <c r="N525">
        <v>416659.30000000005</v>
      </c>
      <c r="O525">
        <v>598921.19340659399</v>
      </c>
      <c r="P525">
        <v>0</v>
      </c>
      <c r="Q525">
        <f t="shared" si="90"/>
        <v>598921.19340659399</v>
      </c>
      <c r="R525">
        <v>598921.19340659399</v>
      </c>
      <c r="S525">
        <f t="shared" si="91"/>
        <v>0</v>
      </c>
      <c r="T525">
        <v>0.02</v>
      </c>
      <c r="U525">
        <f t="shared" si="92"/>
        <v>11978.42386813188</v>
      </c>
      <c r="V525">
        <f t="shared" si="93"/>
        <v>610899.61727472581</v>
      </c>
      <c r="W525">
        <f t="shared" si="94"/>
        <v>11978.423868131824</v>
      </c>
      <c r="X525" t="s">
        <v>448</v>
      </c>
    </row>
    <row r="526" spans="1:24" x14ac:dyDescent="0.25">
      <c r="A526" t="s">
        <v>474</v>
      </c>
      <c r="B526" t="s">
        <v>474</v>
      </c>
      <c r="C526" t="s">
        <v>494</v>
      </c>
      <c r="D526" t="s">
        <v>140</v>
      </c>
      <c r="E526" t="s">
        <v>115</v>
      </c>
      <c r="F526" t="s">
        <v>1</v>
      </c>
      <c r="G526" t="s">
        <v>327</v>
      </c>
      <c r="H526" t="s">
        <v>294</v>
      </c>
      <c r="I526" t="s">
        <v>1</v>
      </c>
      <c r="J526">
        <v>203978.6</v>
      </c>
      <c r="L526">
        <v>165205</v>
      </c>
      <c r="M526">
        <v>333148.20441988949</v>
      </c>
      <c r="N526">
        <v>369183.6</v>
      </c>
      <c r="O526">
        <v>332225.43956044002</v>
      </c>
      <c r="P526">
        <v>0</v>
      </c>
      <c r="Q526">
        <f t="shared" si="90"/>
        <v>332225.43956044002</v>
      </c>
      <c r="R526">
        <v>332225.43956044002</v>
      </c>
      <c r="S526">
        <f t="shared" si="91"/>
        <v>0</v>
      </c>
      <c r="T526">
        <v>0.02</v>
      </c>
      <c r="U526">
        <f t="shared" si="92"/>
        <v>6644.5087912088002</v>
      </c>
      <c r="V526">
        <f t="shared" si="93"/>
        <v>338869.94835164881</v>
      </c>
      <c r="W526">
        <f t="shared" si="94"/>
        <v>6644.5087912087911</v>
      </c>
      <c r="X526" t="s">
        <v>448</v>
      </c>
    </row>
    <row r="527" spans="1:24" x14ac:dyDescent="0.25">
      <c r="A527" t="s">
        <v>474</v>
      </c>
      <c r="B527" t="s">
        <v>474</v>
      </c>
      <c r="C527" t="s">
        <v>494</v>
      </c>
      <c r="D527" t="s">
        <v>140</v>
      </c>
      <c r="E527" t="s">
        <v>49</v>
      </c>
      <c r="F527" t="s">
        <v>1</v>
      </c>
      <c r="G527" t="s">
        <v>327</v>
      </c>
      <c r="H527" t="s">
        <v>202</v>
      </c>
      <c r="I527" t="s">
        <v>1</v>
      </c>
      <c r="J527">
        <v>565638.66</v>
      </c>
      <c r="K527">
        <v>1641266.7530378399</v>
      </c>
      <c r="L527">
        <v>1278328.06</v>
      </c>
      <c r="M527">
        <v>2577843.8779005525</v>
      </c>
      <c r="N527">
        <v>1843966.72</v>
      </c>
      <c r="O527">
        <v>2570703.6810988998</v>
      </c>
      <c r="P527">
        <v>0</v>
      </c>
      <c r="Q527">
        <f t="shared" si="90"/>
        <v>2570703.6810988998</v>
      </c>
      <c r="R527">
        <v>2570703.6810988998</v>
      </c>
      <c r="S527">
        <f t="shared" si="91"/>
        <v>0</v>
      </c>
      <c r="T527">
        <v>0.03</v>
      </c>
      <c r="U527">
        <f t="shared" si="92"/>
        <v>77121.110432966991</v>
      </c>
      <c r="V527">
        <f t="shared" si="93"/>
        <v>2647824.7915318669</v>
      </c>
      <c r="W527">
        <f t="shared" si="94"/>
        <v>77121.110432967078</v>
      </c>
      <c r="X527" t="s">
        <v>448</v>
      </c>
    </row>
    <row r="528" spans="1:24" x14ac:dyDescent="0.25">
      <c r="A528" t="s">
        <v>474</v>
      </c>
      <c r="B528" t="s">
        <v>474</v>
      </c>
      <c r="C528" t="s">
        <v>494</v>
      </c>
      <c r="D528" t="s">
        <v>140</v>
      </c>
      <c r="E528" t="s">
        <v>51</v>
      </c>
      <c r="F528" t="s">
        <v>1</v>
      </c>
      <c r="G528" t="s">
        <v>327</v>
      </c>
      <c r="H528" t="s">
        <v>204</v>
      </c>
      <c r="I528" t="s">
        <v>1</v>
      </c>
      <c r="J528">
        <v>34415.89</v>
      </c>
      <c r="K528">
        <v>197508.756843243</v>
      </c>
      <c r="L528">
        <v>31898.36</v>
      </c>
      <c r="M528">
        <v>64325.422099447511</v>
      </c>
      <c r="N528">
        <v>57478.020000000004</v>
      </c>
      <c r="O528">
        <v>64147.251428571399</v>
      </c>
      <c r="P528">
        <v>0</v>
      </c>
      <c r="Q528">
        <f t="shared" si="90"/>
        <v>64147.251428571399</v>
      </c>
      <c r="R528">
        <v>64147.251428571399</v>
      </c>
      <c r="S528">
        <f t="shared" si="91"/>
        <v>0</v>
      </c>
      <c r="T528">
        <v>3.5000000000000003E-2</v>
      </c>
      <c r="U528">
        <f t="shared" si="92"/>
        <v>2245.1537999999991</v>
      </c>
      <c r="V528">
        <f t="shared" si="93"/>
        <v>66392.405228571399</v>
      </c>
      <c r="W528">
        <f t="shared" si="94"/>
        <v>2245.1538</v>
      </c>
      <c r="X528">
        <v>0</v>
      </c>
    </row>
    <row r="529" spans="1:24" x14ac:dyDescent="0.25">
      <c r="A529" t="s">
        <v>474</v>
      </c>
      <c r="B529" t="s">
        <v>474</v>
      </c>
      <c r="C529" t="s">
        <v>494</v>
      </c>
      <c r="D529" t="s">
        <v>140</v>
      </c>
      <c r="E529" t="s">
        <v>142</v>
      </c>
      <c r="F529" t="s">
        <v>1</v>
      </c>
      <c r="G529" t="s">
        <v>327</v>
      </c>
      <c r="H529" t="s">
        <v>329</v>
      </c>
      <c r="I529" t="s">
        <v>1</v>
      </c>
      <c r="J529">
        <v>225000</v>
      </c>
      <c r="K529">
        <v>85387.000000000204</v>
      </c>
      <c r="L529">
        <v>27000</v>
      </c>
      <c r="M529">
        <v>54447.513812154699</v>
      </c>
      <c r="N529">
        <v>252000</v>
      </c>
      <c r="O529">
        <v>54296.703296703301</v>
      </c>
      <c r="P529">
        <v>0</v>
      </c>
      <c r="Q529">
        <f t="shared" si="90"/>
        <v>54296.703296703301</v>
      </c>
      <c r="R529">
        <v>54296.703296703301</v>
      </c>
      <c r="S529">
        <f t="shared" si="91"/>
        <v>0</v>
      </c>
      <c r="T529">
        <v>0</v>
      </c>
      <c r="U529">
        <f t="shared" si="92"/>
        <v>0</v>
      </c>
      <c r="V529">
        <f t="shared" si="93"/>
        <v>54296.703296703301</v>
      </c>
      <c r="W529">
        <f t="shared" si="94"/>
        <v>0</v>
      </c>
      <c r="X529" t="s">
        <v>452</v>
      </c>
    </row>
    <row r="530" spans="1:24" x14ac:dyDescent="0.25">
      <c r="A530" t="s">
        <v>474</v>
      </c>
      <c r="B530" t="s">
        <v>474</v>
      </c>
      <c r="C530" t="s">
        <v>494</v>
      </c>
      <c r="D530" t="s">
        <v>140</v>
      </c>
      <c r="E530" t="s">
        <v>143</v>
      </c>
      <c r="F530" t="s">
        <v>1</v>
      </c>
      <c r="G530" t="s">
        <v>327</v>
      </c>
      <c r="H530" t="s">
        <v>330</v>
      </c>
      <c r="I530" t="s">
        <v>1</v>
      </c>
      <c r="J530">
        <v>92500</v>
      </c>
      <c r="L530">
        <v>0</v>
      </c>
      <c r="M530">
        <v>0</v>
      </c>
      <c r="N530">
        <v>92500</v>
      </c>
      <c r="P530">
        <v>0</v>
      </c>
      <c r="Q530">
        <f t="shared" si="90"/>
        <v>0</v>
      </c>
      <c r="R530">
        <v>0</v>
      </c>
      <c r="S530">
        <f t="shared" si="91"/>
        <v>0</v>
      </c>
      <c r="T530">
        <v>0</v>
      </c>
      <c r="U530">
        <f t="shared" si="92"/>
        <v>0</v>
      </c>
      <c r="V530">
        <f t="shared" si="93"/>
        <v>0</v>
      </c>
      <c r="W530">
        <f t="shared" si="94"/>
        <v>0</v>
      </c>
      <c r="X530">
        <v>0</v>
      </c>
    </row>
    <row r="531" spans="1:24" x14ac:dyDescent="0.25">
      <c r="A531" t="s">
        <v>474</v>
      </c>
      <c r="B531" t="s">
        <v>474</v>
      </c>
      <c r="C531" t="s">
        <v>494</v>
      </c>
      <c r="D531" t="s">
        <v>140</v>
      </c>
      <c r="E531" t="s">
        <v>144</v>
      </c>
      <c r="F531" t="s">
        <v>1</v>
      </c>
      <c r="G531" t="s">
        <v>327</v>
      </c>
      <c r="H531" t="s">
        <v>331</v>
      </c>
      <c r="I531" t="s">
        <v>1</v>
      </c>
      <c r="J531">
        <v>230395</v>
      </c>
      <c r="K531">
        <v>56932.790123456798</v>
      </c>
      <c r="L531">
        <v>300765</v>
      </c>
      <c r="M531">
        <v>606515.05524861882</v>
      </c>
      <c r="N531">
        <v>531160</v>
      </c>
      <c r="O531">
        <v>604835.10989010998</v>
      </c>
      <c r="P531">
        <v>0</v>
      </c>
      <c r="Q531">
        <f t="shared" si="90"/>
        <v>604835.10989010998</v>
      </c>
      <c r="R531">
        <v>604835.10989010998</v>
      </c>
      <c r="S531">
        <f t="shared" si="91"/>
        <v>0</v>
      </c>
      <c r="T531">
        <v>0.02</v>
      </c>
      <c r="U531">
        <f t="shared" si="92"/>
        <v>12096.7021978022</v>
      </c>
      <c r="V531">
        <f t="shared" si="93"/>
        <v>616931.81208791223</v>
      </c>
      <c r="W531">
        <f t="shared" si="94"/>
        <v>12096.702197802253</v>
      </c>
      <c r="X531">
        <v>0</v>
      </c>
    </row>
    <row r="532" spans="1:24" x14ac:dyDescent="0.25">
      <c r="A532" t="s">
        <v>474</v>
      </c>
      <c r="B532" t="s">
        <v>474</v>
      </c>
      <c r="C532" t="s">
        <v>494</v>
      </c>
      <c r="D532" t="s">
        <v>140</v>
      </c>
      <c r="E532" t="s">
        <v>52</v>
      </c>
      <c r="F532" t="s">
        <v>1</v>
      </c>
      <c r="G532" t="s">
        <v>327</v>
      </c>
      <c r="H532" t="s">
        <v>205</v>
      </c>
      <c r="I532" t="s">
        <v>1</v>
      </c>
      <c r="J532">
        <v>180159.58</v>
      </c>
      <c r="K532">
        <v>509018.14067027101</v>
      </c>
      <c r="L532">
        <v>293504.65000000002</v>
      </c>
      <c r="M532">
        <v>591874.0179558011</v>
      </c>
      <c r="N532">
        <v>473664.23</v>
      </c>
      <c r="O532">
        <v>590234.62582417601</v>
      </c>
      <c r="P532">
        <v>0</v>
      </c>
      <c r="Q532">
        <f t="shared" si="90"/>
        <v>590234.62582417601</v>
      </c>
      <c r="R532">
        <v>590234.62582417601</v>
      </c>
      <c r="S532">
        <f t="shared" si="91"/>
        <v>0</v>
      </c>
      <c r="T532">
        <v>0.04</v>
      </c>
      <c r="U532">
        <f t="shared" si="92"/>
        <v>23609.385032967042</v>
      </c>
      <c r="V532">
        <f t="shared" si="93"/>
        <v>613844.01085714309</v>
      </c>
      <c r="W532">
        <f t="shared" si="94"/>
        <v>23609.385032967082</v>
      </c>
      <c r="X532">
        <v>0</v>
      </c>
    </row>
    <row r="533" spans="1:24" x14ac:dyDescent="0.25">
      <c r="A533" t="s">
        <v>474</v>
      </c>
      <c r="B533" t="s">
        <v>474</v>
      </c>
      <c r="C533" t="s">
        <v>494</v>
      </c>
      <c r="D533" t="s">
        <v>140</v>
      </c>
      <c r="E533" t="s">
        <v>16</v>
      </c>
      <c r="F533" t="s">
        <v>1</v>
      </c>
      <c r="G533" t="s">
        <v>327</v>
      </c>
      <c r="H533" t="s">
        <v>168</v>
      </c>
      <c r="I533" t="s">
        <v>1</v>
      </c>
      <c r="J533">
        <v>2364.61</v>
      </c>
      <c r="K533">
        <v>16802.39</v>
      </c>
      <c r="L533">
        <v>1648.08</v>
      </c>
      <c r="M533">
        <v>3323.4762430939227</v>
      </c>
      <c r="N533">
        <v>3866.62</v>
      </c>
      <c r="O533">
        <v>3323.4762430938999</v>
      </c>
      <c r="P533">
        <v>0</v>
      </c>
      <c r="Q533">
        <f t="shared" ref="Q533:Q553" si="95">O533+P533</f>
        <v>3323.4762430938999</v>
      </c>
      <c r="R533">
        <v>3323.4762430938999</v>
      </c>
      <c r="S533">
        <f t="shared" ref="S533:S553" si="96">IF(OR(LEFT(E533,2)="A_",LEFT(D533,5)="Total"),R533-Q533,"")</f>
        <v>0</v>
      </c>
      <c r="T533">
        <v>0.03</v>
      </c>
      <c r="U533">
        <f t="shared" ref="U533:U553" si="97">IFERROR(R533*T533,R533*0)</f>
        <v>99.704287292817</v>
      </c>
      <c r="V533">
        <f t="shared" ref="V533:V553" si="98">IF(OR(LEFT(E533,2)="A_",LEFT(D533,5)="Total"),R533+U533,"")</f>
        <v>3423.1805303867168</v>
      </c>
      <c r="W533">
        <f t="shared" ref="W533:W553" si="99">IF(OR(LEFT(E533,2)="A_",LEFT(D533,5)="Total"),V533-Q533,"")</f>
        <v>99.704287292816844</v>
      </c>
      <c r="X533">
        <v>0</v>
      </c>
    </row>
    <row r="534" spans="1:24" x14ac:dyDescent="0.25">
      <c r="A534" t="s">
        <v>474</v>
      </c>
      <c r="B534" t="s">
        <v>474</v>
      </c>
      <c r="C534" t="s">
        <v>494</v>
      </c>
      <c r="D534" t="s">
        <v>140</v>
      </c>
      <c r="E534" t="s">
        <v>17</v>
      </c>
      <c r="F534" t="s">
        <v>1</v>
      </c>
      <c r="G534" t="s">
        <v>327</v>
      </c>
      <c r="H534" t="s">
        <v>169</v>
      </c>
      <c r="I534" t="s">
        <v>1</v>
      </c>
      <c r="J534">
        <v>4020.22</v>
      </c>
      <c r="K534">
        <v>8145.45</v>
      </c>
      <c r="L534">
        <v>3124.44</v>
      </c>
      <c r="M534">
        <v>6300.6662983425413</v>
      </c>
      <c r="N534">
        <v>6460.079999999999</v>
      </c>
      <c r="O534">
        <v>6300.6662983425003</v>
      </c>
      <c r="P534">
        <v>0</v>
      </c>
      <c r="Q534">
        <f t="shared" si="95"/>
        <v>6300.6662983425003</v>
      </c>
      <c r="R534">
        <v>6300.6662983425003</v>
      </c>
      <c r="S534">
        <f t="shared" si="96"/>
        <v>0</v>
      </c>
      <c r="T534">
        <v>3.5000000000000003E-2</v>
      </c>
      <c r="U534">
        <f t="shared" si="97"/>
        <v>220.52332044198752</v>
      </c>
      <c r="V534">
        <f t="shared" si="98"/>
        <v>6521.1896187844877</v>
      </c>
      <c r="W534">
        <f t="shared" si="99"/>
        <v>220.52332044198738</v>
      </c>
      <c r="X534">
        <v>0</v>
      </c>
    </row>
    <row r="535" spans="1:24" x14ac:dyDescent="0.25">
      <c r="A535" t="s">
        <v>474</v>
      </c>
      <c r="B535" t="s">
        <v>474</v>
      </c>
      <c r="C535" t="s">
        <v>494</v>
      </c>
      <c r="D535" t="s">
        <v>140</v>
      </c>
      <c r="E535" t="s">
        <v>18</v>
      </c>
      <c r="F535" t="s">
        <v>1</v>
      </c>
      <c r="G535" t="s">
        <v>327</v>
      </c>
      <c r="H535" t="s">
        <v>170</v>
      </c>
      <c r="I535" t="s">
        <v>1</v>
      </c>
      <c r="J535">
        <v>35648.58</v>
      </c>
      <c r="K535">
        <v>13999.41</v>
      </c>
      <c r="L535">
        <v>3914.89</v>
      </c>
      <c r="M535">
        <v>7894.6676795580115</v>
      </c>
      <c r="N535">
        <v>27981.039999999997</v>
      </c>
      <c r="O535">
        <v>7894.6676795579997</v>
      </c>
      <c r="P535">
        <v>0</v>
      </c>
      <c r="Q535">
        <f t="shared" si="95"/>
        <v>7894.6676795579997</v>
      </c>
      <c r="R535">
        <v>7894.6676795579997</v>
      </c>
      <c r="S535">
        <f t="shared" si="96"/>
        <v>0</v>
      </c>
      <c r="T535">
        <v>3.5000000000000003E-2</v>
      </c>
      <c r="U535">
        <f t="shared" si="97"/>
        <v>276.31336878453004</v>
      </c>
      <c r="V535">
        <f t="shared" si="98"/>
        <v>8170.9810483425299</v>
      </c>
      <c r="W535">
        <f t="shared" si="99"/>
        <v>276.31336878453021</v>
      </c>
      <c r="X535">
        <v>0</v>
      </c>
    </row>
    <row r="536" spans="1:24" x14ac:dyDescent="0.25">
      <c r="A536" t="s">
        <v>474</v>
      </c>
      <c r="B536" t="s">
        <v>474</v>
      </c>
      <c r="C536" t="s">
        <v>494</v>
      </c>
      <c r="D536" t="s">
        <v>140</v>
      </c>
      <c r="E536" t="s">
        <v>19</v>
      </c>
      <c r="F536" t="s">
        <v>1</v>
      </c>
      <c r="G536" t="s">
        <v>327</v>
      </c>
      <c r="H536" t="s">
        <v>171</v>
      </c>
      <c r="I536" t="s">
        <v>1</v>
      </c>
      <c r="J536">
        <v>530</v>
      </c>
      <c r="K536">
        <v>6000</v>
      </c>
      <c r="L536">
        <v>0</v>
      </c>
      <c r="M536">
        <v>0</v>
      </c>
      <c r="N536">
        <v>530</v>
      </c>
      <c r="P536">
        <v>0</v>
      </c>
      <c r="Q536">
        <f t="shared" si="95"/>
        <v>0</v>
      </c>
      <c r="R536">
        <v>0</v>
      </c>
      <c r="S536">
        <f t="shared" si="96"/>
        <v>0</v>
      </c>
      <c r="U536">
        <f t="shared" si="97"/>
        <v>0</v>
      </c>
      <c r="V536">
        <f t="shared" si="98"/>
        <v>0</v>
      </c>
      <c r="W536">
        <f t="shared" si="99"/>
        <v>0</v>
      </c>
      <c r="X536">
        <v>0</v>
      </c>
    </row>
    <row r="537" spans="1:24" x14ac:dyDescent="0.25">
      <c r="A537" t="s">
        <v>474</v>
      </c>
      <c r="B537" t="s">
        <v>474</v>
      </c>
      <c r="C537" t="s">
        <v>494</v>
      </c>
      <c r="D537" t="s">
        <v>140</v>
      </c>
      <c r="E537" t="s">
        <v>21</v>
      </c>
      <c r="F537" t="s">
        <v>1</v>
      </c>
      <c r="G537" t="s">
        <v>327</v>
      </c>
      <c r="H537" t="s">
        <v>173</v>
      </c>
      <c r="I537" t="s">
        <v>1</v>
      </c>
      <c r="K537">
        <v>2310</v>
      </c>
      <c r="L537">
        <v>750</v>
      </c>
      <c r="M537">
        <v>1512.4309392265195</v>
      </c>
      <c r="N537">
        <v>750</v>
      </c>
      <c r="O537">
        <v>1500</v>
      </c>
      <c r="P537">
        <v>-500</v>
      </c>
      <c r="Q537">
        <f t="shared" si="95"/>
        <v>1000</v>
      </c>
      <c r="R537">
        <v>1000</v>
      </c>
      <c r="S537">
        <f t="shared" si="96"/>
        <v>0</v>
      </c>
      <c r="U537">
        <f t="shared" si="97"/>
        <v>0</v>
      </c>
      <c r="V537">
        <f t="shared" si="98"/>
        <v>1000</v>
      </c>
      <c r="W537">
        <f t="shared" si="99"/>
        <v>0</v>
      </c>
      <c r="X537" t="s">
        <v>453</v>
      </c>
    </row>
    <row r="538" spans="1:24" x14ac:dyDescent="0.25">
      <c r="A538" t="s">
        <v>474</v>
      </c>
      <c r="B538" t="s">
        <v>474</v>
      </c>
      <c r="C538" t="s">
        <v>494</v>
      </c>
      <c r="D538" t="s">
        <v>140</v>
      </c>
      <c r="E538" t="s">
        <v>102</v>
      </c>
      <c r="F538" t="s">
        <v>1</v>
      </c>
      <c r="G538" t="s">
        <v>327</v>
      </c>
      <c r="H538" t="s">
        <v>275</v>
      </c>
      <c r="I538" t="s">
        <v>1</v>
      </c>
      <c r="K538">
        <v>2451</v>
      </c>
      <c r="L538">
        <v>0</v>
      </c>
      <c r="M538">
        <v>0</v>
      </c>
      <c r="N538">
        <v>0</v>
      </c>
      <c r="P538">
        <v>0</v>
      </c>
      <c r="Q538">
        <f t="shared" si="95"/>
        <v>0</v>
      </c>
      <c r="R538">
        <v>0</v>
      </c>
      <c r="S538">
        <f t="shared" si="96"/>
        <v>0</v>
      </c>
      <c r="U538">
        <f t="shared" si="97"/>
        <v>0</v>
      </c>
      <c r="V538">
        <f t="shared" si="98"/>
        <v>0</v>
      </c>
      <c r="W538">
        <f t="shared" si="99"/>
        <v>0</v>
      </c>
      <c r="X538">
        <v>0</v>
      </c>
    </row>
    <row r="539" spans="1:24" x14ac:dyDescent="0.25">
      <c r="A539" t="s">
        <v>474</v>
      </c>
      <c r="B539" t="s">
        <v>474</v>
      </c>
      <c r="C539" t="s">
        <v>494</v>
      </c>
      <c r="D539" t="s">
        <v>140</v>
      </c>
      <c r="E539" t="s">
        <v>22</v>
      </c>
      <c r="F539" t="s">
        <v>1</v>
      </c>
      <c r="G539" t="s">
        <v>327</v>
      </c>
      <c r="H539" t="s">
        <v>174</v>
      </c>
      <c r="I539" t="s">
        <v>1</v>
      </c>
      <c r="J539">
        <v>466.4</v>
      </c>
      <c r="K539">
        <v>33933.999600000003</v>
      </c>
      <c r="L539">
        <v>45.97</v>
      </c>
      <c r="M539">
        <v>92.701933701657467</v>
      </c>
      <c r="N539">
        <v>45.97</v>
      </c>
      <c r="O539">
        <v>91.94</v>
      </c>
      <c r="P539">
        <v>0</v>
      </c>
      <c r="Q539">
        <f t="shared" si="95"/>
        <v>91.94</v>
      </c>
      <c r="R539">
        <v>91.94</v>
      </c>
      <c r="S539">
        <f t="shared" si="96"/>
        <v>0</v>
      </c>
      <c r="U539">
        <f t="shared" si="97"/>
        <v>0</v>
      </c>
      <c r="V539">
        <f t="shared" si="98"/>
        <v>91.94</v>
      </c>
      <c r="W539">
        <f t="shared" si="99"/>
        <v>0</v>
      </c>
      <c r="X539">
        <v>0</v>
      </c>
    </row>
    <row r="540" spans="1:24" x14ac:dyDescent="0.25">
      <c r="A540" t="s">
        <v>474</v>
      </c>
      <c r="B540" t="s">
        <v>474</v>
      </c>
      <c r="C540" t="s">
        <v>494</v>
      </c>
      <c r="D540" t="s">
        <v>140</v>
      </c>
      <c r="E540" t="s">
        <v>23</v>
      </c>
      <c r="F540" t="s">
        <v>1</v>
      </c>
      <c r="G540" t="s">
        <v>327</v>
      </c>
      <c r="H540" t="s">
        <v>175</v>
      </c>
      <c r="I540" t="s">
        <v>1</v>
      </c>
      <c r="J540">
        <v>60.49</v>
      </c>
      <c r="K540">
        <v>4800</v>
      </c>
      <c r="L540">
        <v>423.3</v>
      </c>
      <c r="M540">
        <v>853.6160220994476</v>
      </c>
      <c r="N540">
        <v>483.79</v>
      </c>
      <c r="O540">
        <v>846.6</v>
      </c>
      <c r="P540">
        <v>0</v>
      </c>
      <c r="Q540">
        <f t="shared" si="95"/>
        <v>846.6</v>
      </c>
      <c r="R540">
        <v>846.6</v>
      </c>
      <c r="S540">
        <f t="shared" si="96"/>
        <v>0</v>
      </c>
      <c r="U540">
        <f t="shared" si="97"/>
        <v>0</v>
      </c>
      <c r="V540">
        <f t="shared" si="98"/>
        <v>846.6</v>
      </c>
      <c r="W540">
        <f t="shared" si="99"/>
        <v>0</v>
      </c>
      <c r="X540">
        <v>0</v>
      </c>
    </row>
    <row r="541" spans="1:24" x14ac:dyDescent="0.25">
      <c r="A541" t="s">
        <v>474</v>
      </c>
      <c r="B541" t="s">
        <v>474</v>
      </c>
      <c r="C541" t="s">
        <v>494</v>
      </c>
      <c r="D541" t="s">
        <v>140</v>
      </c>
      <c r="E541" t="s">
        <v>27</v>
      </c>
      <c r="F541" t="s">
        <v>1</v>
      </c>
      <c r="G541" t="s">
        <v>327</v>
      </c>
      <c r="H541" t="s">
        <v>179</v>
      </c>
      <c r="I541" t="s">
        <v>1</v>
      </c>
      <c r="K541">
        <v>1260</v>
      </c>
      <c r="L541">
        <v>40.58</v>
      </c>
      <c r="M541">
        <v>81.832596685082876</v>
      </c>
      <c r="N541">
        <v>40.58</v>
      </c>
      <c r="O541">
        <v>81.16</v>
      </c>
      <c r="P541">
        <v>1134</v>
      </c>
      <c r="Q541">
        <f t="shared" si="95"/>
        <v>1215.1600000000001</v>
      </c>
      <c r="R541">
        <v>1215</v>
      </c>
      <c r="S541">
        <f t="shared" si="96"/>
        <v>-0.16000000000008185</v>
      </c>
      <c r="U541">
        <f t="shared" si="97"/>
        <v>0</v>
      </c>
      <c r="V541">
        <f t="shared" si="98"/>
        <v>1215</v>
      </c>
      <c r="W541">
        <f t="shared" si="99"/>
        <v>-0.16000000000008185</v>
      </c>
      <c r="X541" t="s">
        <v>454</v>
      </c>
    </row>
    <row r="542" spans="1:24" x14ac:dyDescent="0.25">
      <c r="A542" t="s">
        <v>474</v>
      </c>
      <c r="B542" t="s">
        <v>474</v>
      </c>
      <c r="C542" t="s">
        <v>494</v>
      </c>
      <c r="D542" t="s">
        <v>140</v>
      </c>
      <c r="E542" t="s">
        <v>28</v>
      </c>
      <c r="F542" t="s">
        <v>1</v>
      </c>
      <c r="G542" t="s">
        <v>327</v>
      </c>
      <c r="H542" t="s">
        <v>180</v>
      </c>
      <c r="I542" t="s">
        <v>1</v>
      </c>
      <c r="J542">
        <v>300</v>
      </c>
      <c r="L542">
        <v>363.23</v>
      </c>
      <c r="M542">
        <v>732.48038674033148</v>
      </c>
      <c r="N542">
        <v>363.23</v>
      </c>
      <c r="O542">
        <v>726.46</v>
      </c>
      <c r="P542">
        <v>-726</v>
      </c>
      <c r="Q542">
        <f t="shared" si="95"/>
        <v>0.46000000000003638</v>
      </c>
      <c r="R542">
        <v>0</v>
      </c>
      <c r="S542">
        <f t="shared" si="96"/>
        <v>-0.46000000000003638</v>
      </c>
      <c r="U542">
        <f t="shared" si="97"/>
        <v>0</v>
      </c>
      <c r="V542">
        <f t="shared" si="98"/>
        <v>0</v>
      </c>
      <c r="W542">
        <f t="shared" si="99"/>
        <v>-0.46000000000003638</v>
      </c>
      <c r="X542" t="s">
        <v>455</v>
      </c>
    </row>
    <row r="543" spans="1:24" x14ac:dyDescent="0.25">
      <c r="A543" t="s">
        <v>474</v>
      </c>
      <c r="B543" t="s">
        <v>474</v>
      </c>
      <c r="C543" t="s">
        <v>494</v>
      </c>
      <c r="D543" t="s">
        <v>140</v>
      </c>
      <c r="E543" t="s">
        <v>54</v>
      </c>
      <c r="F543" t="s">
        <v>1</v>
      </c>
      <c r="G543" t="s">
        <v>327</v>
      </c>
      <c r="H543" t="s">
        <v>207</v>
      </c>
      <c r="I543" t="s">
        <v>1</v>
      </c>
      <c r="J543">
        <v>335.67</v>
      </c>
      <c r="L543">
        <v>0</v>
      </c>
      <c r="M543">
        <v>0</v>
      </c>
      <c r="N543">
        <v>219.85</v>
      </c>
      <c r="P543">
        <v>0</v>
      </c>
      <c r="Q543">
        <f t="shared" si="95"/>
        <v>0</v>
      </c>
      <c r="R543">
        <v>0</v>
      </c>
      <c r="S543">
        <f t="shared" si="96"/>
        <v>0</v>
      </c>
      <c r="U543">
        <f t="shared" si="97"/>
        <v>0</v>
      </c>
      <c r="V543">
        <f t="shared" si="98"/>
        <v>0</v>
      </c>
      <c r="W543">
        <f t="shared" si="99"/>
        <v>0</v>
      </c>
      <c r="X543">
        <v>0</v>
      </c>
    </row>
    <row r="544" spans="1:24" x14ac:dyDescent="0.25">
      <c r="A544" t="s">
        <v>474</v>
      </c>
      <c r="B544" t="s">
        <v>474</v>
      </c>
      <c r="C544" t="s">
        <v>494</v>
      </c>
      <c r="D544" t="s">
        <v>140</v>
      </c>
      <c r="E544" t="s">
        <v>29</v>
      </c>
      <c r="F544" t="s">
        <v>1</v>
      </c>
      <c r="G544" t="s">
        <v>327</v>
      </c>
      <c r="H544" t="s">
        <v>181</v>
      </c>
      <c r="I544" t="s">
        <v>1</v>
      </c>
      <c r="J544">
        <v>428.85</v>
      </c>
      <c r="L544">
        <v>558.42999999999995</v>
      </c>
      <c r="M544">
        <v>1126.1157458563534</v>
      </c>
      <c r="N544">
        <v>693.59999999999991</v>
      </c>
      <c r="O544">
        <v>1116.8599999999999</v>
      </c>
      <c r="P544">
        <v>-117</v>
      </c>
      <c r="Q544">
        <f t="shared" si="95"/>
        <v>999.8599999999999</v>
      </c>
      <c r="R544">
        <v>1000</v>
      </c>
      <c r="S544">
        <f t="shared" si="96"/>
        <v>0.14000000000010004</v>
      </c>
      <c r="U544">
        <f t="shared" si="97"/>
        <v>0</v>
      </c>
      <c r="V544">
        <f t="shared" si="98"/>
        <v>1000</v>
      </c>
      <c r="W544">
        <f t="shared" si="99"/>
        <v>0.14000000000010004</v>
      </c>
      <c r="X544" t="s">
        <v>453</v>
      </c>
    </row>
    <row r="545" spans="1:24" x14ac:dyDescent="0.25">
      <c r="A545" t="s">
        <v>474</v>
      </c>
      <c r="B545" t="s">
        <v>474</v>
      </c>
      <c r="C545" t="s">
        <v>494</v>
      </c>
      <c r="D545" t="s">
        <v>140</v>
      </c>
      <c r="E545" t="s">
        <v>103</v>
      </c>
      <c r="F545" t="s">
        <v>1</v>
      </c>
      <c r="G545" t="s">
        <v>327</v>
      </c>
      <c r="H545" t="s">
        <v>276</v>
      </c>
      <c r="I545" t="s">
        <v>1</v>
      </c>
      <c r="L545">
        <v>214.62</v>
      </c>
      <c r="M545">
        <v>432.79723756906077</v>
      </c>
      <c r="N545">
        <v>214.62</v>
      </c>
      <c r="O545">
        <v>429.24</v>
      </c>
      <c r="P545">
        <v>0</v>
      </c>
      <c r="Q545">
        <f t="shared" si="95"/>
        <v>429.24</v>
      </c>
      <c r="R545">
        <v>429.24</v>
      </c>
      <c r="S545">
        <f t="shared" si="96"/>
        <v>0</v>
      </c>
      <c r="U545">
        <f t="shared" si="97"/>
        <v>0</v>
      </c>
      <c r="V545">
        <f t="shared" si="98"/>
        <v>429.24</v>
      </c>
      <c r="W545">
        <f t="shared" si="99"/>
        <v>0</v>
      </c>
      <c r="X545">
        <v>0</v>
      </c>
    </row>
    <row r="546" spans="1:24" x14ac:dyDescent="0.25">
      <c r="A546" t="s">
        <v>474</v>
      </c>
      <c r="B546" t="s">
        <v>474</v>
      </c>
      <c r="C546" t="s">
        <v>494</v>
      </c>
      <c r="D546" t="s">
        <v>140</v>
      </c>
      <c r="E546" t="s">
        <v>31</v>
      </c>
      <c r="F546" t="s">
        <v>1</v>
      </c>
      <c r="G546" t="s">
        <v>327</v>
      </c>
      <c r="H546" t="s">
        <v>183</v>
      </c>
      <c r="I546" t="s">
        <v>1</v>
      </c>
      <c r="J546">
        <v>91122.48</v>
      </c>
      <c r="K546">
        <v>84999.999999999607</v>
      </c>
      <c r="L546">
        <v>50582.14</v>
      </c>
      <c r="M546">
        <v>102002.65801104972</v>
      </c>
      <c r="N546">
        <v>105104.61999999998</v>
      </c>
      <c r="O546">
        <v>101164.28</v>
      </c>
      <c r="P546">
        <v>291333</v>
      </c>
      <c r="Q546">
        <f t="shared" si="95"/>
        <v>392497.28</v>
      </c>
      <c r="R546">
        <v>392497</v>
      </c>
      <c r="S546">
        <f t="shared" si="96"/>
        <v>-0.28000000002793968</v>
      </c>
      <c r="T546">
        <v>0.03</v>
      </c>
      <c r="U546">
        <f t="shared" si="97"/>
        <v>11774.91</v>
      </c>
      <c r="V546">
        <f t="shared" si="98"/>
        <v>404271.91</v>
      </c>
      <c r="W546">
        <f t="shared" si="99"/>
        <v>11774.629999999946</v>
      </c>
      <c r="X546" t="s">
        <v>456</v>
      </c>
    </row>
    <row r="547" spans="1:24" x14ac:dyDescent="0.25">
      <c r="A547" t="s">
        <v>474</v>
      </c>
      <c r="B547" t="s">
        <v>474</v>
      </c>
      <c r="C547" t="s">
        <v>494</v>
      </c>
      <c r="D547" t="s">
        <v>140</v>
      </c>
      <c r="E547" t="s">
        <v>32</v>
      </c>
      <c r="F547" t="s">
        <v>1</v>
      </c>
      <c r="G547" t="s">
        <v>327</v>
      </c>
      <c r="H547" t="s">
        <v>184</v>
      </c>
      <c r="I547" t="s">
        <v>1</v>
      </c>
      <c r="J547">
        <v>26485.07</v>
      </c>
      <c r="K547">
        <v>9085.9999999991996</v>
      </c>
      <c r="L547">
        <v>17447.689999999999</v>
      </c>
      <c r="M547">
        <v>35184.568232044192</v>
      </c>
      <c r="N547">
        <v>35991.210000000006</v>
      </c>
      <c r="O547">
        <v>34895.379999999997</v>
      </c>
      <c r="P547">
        <v>0</v>
      </c>
      <c r="Q547">
        <f t="shared" si="95"/>
        <v>34895.379999999997</v>
      </c>
      <c r="R547">
        <v>34895.379999999997</v>
      </c>
      <c r="S547">
        <f t="shared" si="96"/>
        <v>0</v>
      </c>
      <c r="T547">
        <v>0.03</v>
      </c>
      <c r="U547">
        <f t="shared" si="97"/>
        <v>1046.8613999999998</v>
      </c>
      <c r="V547">
        <f t="shared" si="98"/>
        <v>35942.241399999999</v>
      </c>
      <c r="W547">
        <f t="shared" si="99"/>
        <v>1046.8614000000016</v>
      </c>
      <c r="X547">
        <v>0</v>
      </c>
    </row>
    <row r="548" spans="1:24" x14ac:dyDescent="0.25">
      <c r="A548" t="s">
        <v>474</v>
      </c>
      <c r="B548" t="s">
        <v>474</v>
      </c>
      <c r="C548" t="s">
        <v>494</v>
      </c>
      <c r="D548" t="s">
        <v>140</v>
      </c>
      <c r="E548" t="s">
        <v>33</v>
      </c>
      <c r="F548" t="s">
        <v>1</v>
      </c>
      <c r="G548" t="s">
        <v>327</v>
      </c>
      <c r="H548" t="s">
        <v>185</v>
      </c>
      <c r="I548" t="s">
        <v>1</v>
      </c>
      <c r="J548">
        <v>9327.1</v>
      </c>
      <c r="L548">
        <v>6390.56</v>
      </c>
      <c r="M548">
        <v>12887.040883977901</v>
      </c>
      <c r="N548">
        <v>15717.66</v>
      </c>
      <c r="O548">
        <v>12781.12</v>
      </c>
      <c r="P548">
        <v>0</v>
      </c>
      <c r="Q548">
        <f t="shared" si="95"/>
        <v>12781.12</v>
      </c>
      <c r="R548">
        <v>12781.12</v>
      </c>
      <c r="S548">
        <f t="shared" si="96"/>
        <v>0</v>
      </c>
      <c r="T548">
        <v>0.03</v>
      </c>
      <c r="U548">
        <f t="shared" si="97"/>
        <v>383.43360000000001</v>
      </c>
      <c r="V548">
        <f t="shared" si="98"/>
        <v>13164.553600000001</v>
      </c>
      <c r="W548">
        <f t="shared" si="99"/>
        <v>383.4336000000003</v>
      </c>
      <c r="X548">
        <v>0</v>
      </c>
    </row>
    <row r="549" spans="1:24" x14ac:dyDescent="0.25">
      <c r="A549" t="s">
        <v>474</v>
      </c>
      <c r="B549" t="s">
        <v>474</v>
      </c>
      <c r="C549" t="s">
        <v>494</v>
      </c>
      <c r="D549" t="s">
        <v>140</v>
      </c>
      <c r="E549" t="s">
        <v>92</v>
      </c>
      <c r="F549" t="s">
        <v>1</v>
      </c>
      <c r="G549" t="s">
        <v>327</v>
      </c>
      <c r="H549" t="s">
        <v>263</v>
      </c>
      <c r="I549" t="s">
        <v>1</v>
      </c>
      <c r="J549">
        <v>700</v>
      </c>
      <c r="L549">
        <v>0</v>
      </c>
      <c r="M549">
        <v>0</v>
      </c>
      <c r="N549">
        <v>700</v>
      </c>
      <c r="P549">
        <v>0</v>
      </c>
      <c r="Q549">
        <f t="shared" si="95"/>
        <v>0</v>
      </c>
      <c r="R549">
        <v>0</v>
      </c>
      <c r="S549">
        <f t="shared" si="96"/>
        <v>0</v>
      </c>
      <c r="T549">
        <v>0.03</v>
      </c>
      <c r="U549">
        <f t="shared" si="97"/>
        <v>0</v>
      </c>
      <c r="V549">
        <f t="shared" si="98"/>
        <v>0</v>
      </c>
      <c r="W549">
        <f t="shared" si="99"/>
        <v>0</v>
      </c>
      <c r="X549">
        <v>0</v>
      </c>
    </row>
    <row r="550" spans="1:24" x14ac:dyDescent="0.25">
      <c r="A550" t="s">
        <v>474</v>
      </c>
      <c r="B550" t="s">
        <v>474</v>
      </c>
      <c r="C550" t="s">
        <v>494</v>
      </c>
      <c r="D550" t="s">
        <v>140</v>
      </c>
      <c r="E550" t="s">
        <v>68</v>
      </c>
      <c r="F550" t="s">
        <v>1</v>
      </c>
      <c r="G550" t="s">
        <v>327</v>
      </c>
      <c r="H550" t="s">
        <v>227</v>
      </c>
      <c r="I550" t="s">
        <v>1</v>
      </c>
      <c r="J550">
        <v>1290</v>
      </c>
      <c r="L550">
        <v>1075</v>
      </c>
      <c r="M550">
        <v>2167.8176795580112</v>
      </c>
      <c r="N550">
        <v>2365</v>
      </c>
      <c r="O550">
        <v>2150</v>
      </c>
      <c r="P550">
        <v>0</v>
      </c>
      <c r="Q550">
        <f t="shared" si="95"/>
        <v>2150</v>
      </c>
      <c r="R550">
        <v>2150</v>
      </c>
      <c r="S550">
        <f t="shared" si="96"/>
        <v>0</v>
      </c>
      <c r="T550">
        <v>0.03</v>
      </c>
      <c r="U550">
        <f t="shared" si="97"/>
        <v>64.5</v>
      </c>
      <c r="V550">
        <f t="shared" si="98"/>
        <v>2214.5</v>
      </c>
      <c r="W550">
        <f t="shared" si="99"/>
        <v>64.5</v>
      </c>
      <c r="X550">
        <v>0</v>
      </c>
    </row>
    <row r="551" spans="1:24" x14ac:dyDescent="0.25">
      <c r="A551" t="s">
        <v>474</v>
      </c>
      <c r="B551" t="s">
        <v>474</v>
      </c>
      <c r="C551" t="s">
        <v>494</v>
      </c>
      <c r="D551" t="s">
        <v>140</v>
      </c>
      <c r="E551" t="s">
        <v>37</v>
      </c>
      <c r="F551" t="s">
        <v>1</v>
      </c>
      <c r="G551" t="s">
        <v>327</v>
      </c>
      <c r="H551" t="s">
        <v>189</v>
      </c>
      <c r="I551" t="s">
        <v>1</v>
      </c>
      <c r="J551">
        <v>1598</v>
      </c>
      <c r="L551">
        <v>92.54</v>
      </c>
      <c r="M551">
        <v>186.61381215469618</v>
      </c>
      <c r="N551">
        <v>1690.54</v>
      </c>
      <c r="O551">
        <v>185.08</v>
      </c>
      <c r="P551">
        <v>-185</v>
      </c>
      <c r="Q551">
        <f t="shared" si="95"/>
        <v>8.0000000000012506E-2</v>
      </c>
      <c r="R551">
        <v>0</v>
      </c>
      <c r="S551">
        <f t="shared" si="96"/>
        <v>-8.0000000000012506E-2</v>
      </c>
      <c r="T551">
        <v>0.03</v>
      </c>
      <c r="U551">
        <f t="shared" si="97"/>
        <v>0</v>
      </c>
      <c r="V551">
        <f t="shared" si="98"/>
        <v>0</v>
      </c>
      <c r="W551">
        <f t="shared" si="99"/>
        <v>-8.0000000000012506E-2</v>
      </c>
      <c r="X551" t="s">
        <v>457</v>
      </c>
    </row>
    <row r="552" spans="1:24" x14ac:dyDescent="0.25">
      <c r="A552" t="s">
        <v>474</v>
      </c>
      <c r="B552" t="s">
        <v>474</v>
      </c>
      <c r="C552" t="s">
        <v>494</v>
      </c>
      <c r="D552" t="s">
        <v>140</v>
      </c>
      <c r="E552" t="s">
        <v>73</v>
      </c>
      <c r="F552" t="s">
        <v>1</v>
      </c>
      <c r="G552" t="s">
        <v>327</v>
      </c>
      <c r="H552" t="s">
        <v>234</v>
      </c>
      <c r="I552" t="s">
        <v>1</v>
      </c>
      <c r="J552">
        <v>346</v>
      </c>
      <c r="L552">
        <v>0</v>
      </c>
      <c r="M552">
        <v>0</v>
      </c>
      <c r="N552">
        <v>346</v>
      </c>
      <c r="P552">
        <v>0</v>
      </c>
      <c r="Q552">
        <f t="shared" si="95"/>
        <v>0</v>
      </c>
      <c r="R552">
        <v>0</v>
      </c>
      <c r="S552">
        <f t="shared" si="96"/>
        <v>0</v>
      </c>
      <c r="T552">
        <v>0.03</v>
      </c>
      <c r="U552">
        <f t="shared" si="97"/>
        <v>0</v>
      </c>
      <c r="V552">
        <f t="shared" si="98"/>
        <v>0</v>
      </c>
      <c r="W552">
        <f t="shared" si="99"/>
        <v>0</v>
      </c>
      <c r="X552">
        <v>0</v>
      </c>
    </row>
    <row r="553" spans="1:24" x14ac:dyDescent="0.25">
      <c r="A553" t="s">
        <v>474</v>
      </c>
      <c r="B553" t="s">
        <v>474</v>
      </c>
      <c r="C553" t="s">
        <v>494</v>
      </c>
      <c r="D553" t="s">
        <v>140</v>
      </c>
      <c r="E553" t="s">
        <v>145</v>
      </c>
      <c r="F553" t="s">
        <v>1</v>
      </c>
      <c r="G553" t="s">
        <v>327</v>
      </c>
      <c r="H553" t="s">
        <v>332</v>
      </c>
      <c r="I553" t="s">
        <v>1</v>
      </c>
      <c r="J553">
        <v>149.85</v>
      </c>
      <c r="L553">
        <v>0</v>
      </c>
      <c r="M553">
        <v>0</v>
      </c>
      <c r="N553">
        <v>149.85</v>
      </c>
      <c r="P553">
        <v>0</v>
      </c>
      <c r="Q553">
        <f t="shared" si="95"/>
        <v>0</v>
      </c>
      <c r="R553">
        <v>0</v>
      </c>
      <c r="S553">
        <f t="shared" si="96"/>
        <v>0</v>
      </c>
      <c r="T553">
        <v>0.03</v>
      </c>
      <c r="U553">
        <f t="shared" si="97"/>
        <v>0</v>
      </c>
      <c r="V553">
        <f t="shared" si="98"/>
        <v>0</v>
      </c>
      <c r="W553">
        <f t="shared" si="99"/>
        <v>0</v>
      </c>
      <c r="X553">
        <v>0</v>
      </c>
    </row>
    <row r="554" spans="1:24" x14ac:dyDescent="0.25">
      <c r="A554" t="s">
        <v>474</v>
      </c>
      <c r="B554" t="s">
        <v>474</v>
      </c>
      <c r="C554" t="s">
        <v>494</v>
      </c>
      <c r="D554" t="s">
        <v>140</v>
      </c>
      <c r="E554" t="s">
        <v>42</v>
      </c>
      <c r="F554" t="s">
        <v>42</v>
      </c>
      <c r="G554" t="s">
        <v>333</v>
      </c>
      <c r="J554">
        <v>2833827.0900000008</v>
      </c>
      <c r="K554">
        <v>4924010.9842423759</v>
      </c>
      <c r="L554">
        <v>3521116.8700000006</v>
      </c>
      <c r="M554">
        <v>7100594.7930939244</v>
      </c>
      <c r="N554">
        <v>6242112.8599999994</v>
      </c>
      <c r="O554">
        <v>7080109.5305506652</v>
      </c>
      <c r="P554">
        <f>SUMIF($F$500:$F$553,"&lt;&gt;EV_*",$P$500:$P$553)</f>
        <v>290939</v>
      </c>
      <c r="Q554">
        <f>SUMIF($F$500:$F$553,"&lt;&gt;EV_*",$Q$500:$Q$553)</f>
        <v>7371048.5305506652</v>
      </c>
      <c r="R554">
        <f>SUMIF($F$500:$F$553,"&lt;&gt;EV_*",$R$500:$R$553)</f>
        <v>7371176.8582429718</v>
      </c>
      <c r="S554">
        <f>SUMIF($F$500:$F$553,"&lt;&gt;EV_*",$S$500:$S$553)</f>
        <v>128.32769230767204</v>
      </c>
      <c r="T554">
        <v>0</v>
      </c>
      <c r="U554">
        <f>SUMIF($F$500:$F$553,"&lt;&gt;EV_*",$U$500:$U$553)</f>
        <v>201840.45384025556</v>
      </c>
      <c r="V554">
        <f>SUMIF($F$500:$F$553,"&lt;&gt;EV_*",$V$500:$V$553)</f>
        <v>7573017.3120832294</v>
      </c>
      <c r="W554">
        <f>SUMIF($F$500:$F$553,"&lt;&gt;EV_*",$W$500:$W$553)</f>
        <v>201968.78153256333</v>
      </c>
      <c r="X554">
        <f>SUMIF($F$500:$F$553,"&lt;&gt;EV_*",$X$500:$X$553)</f>
        <v>0</v>
      </c>
    </row>
    <row r="555" spans="1:24" x14ac:dyDescent="0.25">
      <c r="A555" t="s">
        <v>471</v>
      </c>
      <c r="B555" t="s">
        <v>472</v>
      </c>
      <c r="C555" t="s">
        <v>495</v>
      </c>
      <c r="D555" t="s">
        <v>146</v>
      </c>
      <c r="E555" t="s">
        <v>5</v>
      </c>
      <c r="F555" t="s">
        <v>5</v>
      </c>
      <c r="G555" t="s">
        <v>334</v>
      </c>
    </row>
    <row r="556" spans="1:24" x14ac:dyDescent="0.25">
      <c r="A556" t="s">
        <v>471</v>
      </c>
      <c r="B556" t="s">
        <v>472</v>
      </c>
      <c r="C556" t="s">
        <v>495</v>
      </c>
      <c r="D556" t="s">
        <v>146</v>
      </c>
      <c r="E556" t="s">
        <v>70</v>
      </c>
      <c r="F556" t="s">
        <v>1</v>
      </c>
      <c r="G556" t="s">
        <v>335</v>
      </c>
      <c r="H556" t="s">
        <v>231</v>
      </c>
      <c r="I556" t="s">
        <v>1</v>
      </c>
      <c r="J556">
        <v>-6</v>
      </c>
      <c r="L556">
        <v>-14.77</v>
      </c>
      <c r="M556">
        <v>-29.784806629834254</v>
      </c>
      <c r="N556">
        <v>-20.77</v>
      </c>
      <c r="O556">
        <v>-29.7023076923</v>
      </c>
      <c r="P556">
        <v>0</v>
      </c>
      <c r="Q556">
        <f t="shared" ref="Q556:Q566" si="100">O556+P556</f>
        <v>-29.7023076923</v>
      </c>
      <c r="R556">
        <v>-29.7023076923</v>
      </c>
      <c r="S556">
        <f t="shared" ref="S556:S566" si="101">IF(OR(LEFT(E556,2)="A_",LEFT(D556,5)="Total"),R556-Q556,"")</f>
        <v>0</v>
      </c>
      <c r="U556">
        <f t="shared" ref="U556:U566" si="102">IFERROR(R556*T556,R556*0)</f>
        <v>0</v>
      </c>
      <c r="V556">
        <f t="shared" ref="V556:V566" si="103">IF(OR(LEFT(E556,2)="A_",LEFT(D556,5)="Total"),R556+U556,"")</f>
        <v>-29.7023076923</v>
      </c>
      <c r="W556">
        <f t="shared" ref="W556:W566" si="104">IF(OR(LEFT(E556,2)="A_",LEFT(D556,5)="Total"),V556-Q556,"")</f>
        <v>0</v>
      </c>
      <c r="X556">
        <v>0</v>
      </c>
    </row>
    <row r="557" spans="1:24" x14ac:dyDescent="0.25">
      <c r="A557" t="s">
        <v>471</v>
      </c>
      <c r="B557" t="s">
        <v>472</v>
      </c>
      <c r="C557" t="s">
        <v>495</v>
      </c>
      <c r="D557" t="s">
        <v>146</v>
      </c>
      <c r="E557" t="s">
        <v>44</v>
      </c>
      <c r="F557" t="s">
        <v>1</v>
      </c>
      <c r="G557" t="s">
        <v>335</v>
      </c>
      <c r="H557" t="s">
        <v>197</v>
      </c>
      <c r="I557" t="s">
        <v>1</v>
      </c>
      <c r="J557">
        <v>-265.62</v>
      </c>
      <c r="L557">
        <v>-472.09</v>
      </c>
      <c r="M557">
        <v>-952.00469613259668</v>
      </c>
      <c r="N557">
        <v>-737.71</v>
      </c>
      <c r="O557">
        <v>-949.36780219779996</v>
      </c>
      <c r="P557">
        <v>0</v>
      </c>
      <c r="Q557">
        <f t="shared" si="100"/>
        <v>-949.36780219779996</v>
      </c>
      <c r="R557">
        <v>-949.36780219779996</v>
      </c>
      <c r="S557">
        <f t="shared" si="101"/>
        <v>0</v>
      </c>
      <c r="U557">
        <f t="shared" si="102"/>
        <v>0</v>
      </c>
      <c r="V557">
        <f t="shared" si="103"/>
        <v>-949.36780219779996</v>
      </c>
      <c r="W557">
        <f t="shared" si="104"/>
        <v>0</v>
      </c>
      <c r="X557">
        <v>0</v>
      </c>
    </row>
    <row r="558" spans="1:24" x14ac:dyDescent="0.25">
      <c r="A558" t="s">
        <v>471</v>
      </c>
      <c r="B558" t="s">
        <v>472</v>
      </c>
      <c r="C558" t="s">
        <v>495</v>
      </c>
      <c r="D558" t="s">
        <v>146</v>
      </c>
      <c r="E558" t="s">
        <v>112</v>
      </c>
      <c r="F558" t="s">
        <v>1</v>
      </c>
      <c r="G558" t="s">
        <v>335</v>
      </c>
      <c r="H558" t="s">
        <v>291</v>
      </c>
      <c r="I558" t="s">
        <v>1</v>
      </c>
      <c r="J558">
        <v>2558.4</v>
      </c>
      <c r="L558">
        <v>40213.11</v>
      </c>
      <c r="M558">
        <v>81092.735635359117</v>
      </c>
      <c r="N558">
        <v>42771.51</v>
      </c>
      <c r="O558">
        <v>80868.122307692305</v>
      </c>
      <c r="P558">
        <v>0</v>
      </c>
      <c r="Q558">
        <f t="shared" si="100"/>
        <v>80868.122307692305</v>
      </c>
      <c r="R558">
        <v>80868.122307692305</v>
      </c>
      <c r="S558">
        <f t="shared" si="101"/>
        <v>0</v>
      </c>
      <c r="T558">
        <v>2.5000000000000001E-2</v>
      </c>
      <c r="U558">
        <f t="shared" si="102"/>
        <v>2021.7030576923078</v>
      </c>
      <c r="V558">
        <f t="shared" si="103"/>
        <v>82889.825365384619</v>
      </c>
      <c r="W558">
        <f t="shared" si="104"/>
        <v>2021.7030576923135</v>
      </c>
      <c r="X558">
        <v>0</v>
      </c>
    </row>
    <row r="559" spans="1:24" x14ac:dyDescent="0.25">
      <c r="A559" t="s">
        <v>471</v>
      </c>
      <c r="B559" t="s">
        <v>472</v>
      </c>
      <c r="C559" t="s">
        <v>495</v>
      </c>
      <c r="D559" t="s">
        <v>146</v>
      </c>
      <c r="E559" t="s">
        <v>12</v>
      </c>
      <c r="F559" t="s">
        <v>1</v>
      </c>
      <c r="G559" t="s">
        <v>335</v>
      </c>
      <c r="H559" t="s">
        <v>164</v>
      </c>
      <c r="I559" t="s">
        <v>1</v>
      </c>
      <c r="L559">
        <v>293.76</v>
      </c>
      <c r="M559">
        <v>592.38895027624312</v>
      </c>
      <c r="N559">
        <v>293.76</v>
      </c>
      <c r="O559">
        <v>590.74813186810002</v>
      </c>
      <c r="P559">
        <v>0</v>
      </c>
      <c r="Q559">
        <f t="shared" si="100"/>
        <v>590.74813186810002</v>
      </c>
      <c r="R559">
        <v>590.74813186810002</v>
      </c>
      <c r="S559">
        <f t="shared" si="101"/>
        <v>0</v>
      </c>
      <c r="T559">
        <v>3.2500000000000001E-2</v>
      </c>
      <c r="U559">
        <f t="shared" si="102"/>
        <v>19.19931428571325</v>
      </c>
      <c r="V559">
        <f t="shared" si="103"/>
        <v>609.9474461538133</v>
      </c>
      <c r="W559">
        <f t="shared" si="104"/>
        <v>19.199314285713285</v>
      </c>
      <c r="X559">
        <v>0</v>
      </c>
    </row>
    <row r="560" spans="1:24" x14ac:dyDescent="0.25">
      <c r="A560" t="s">
        <v>471</v>
      </c>
      <c r="B560" t="s">
        <v>472</v>
      </c>
      <c r="C560" t="s">
        <v>495</v>
      </c>
      <c r="D560" t="s">
        <v>146</v>
      </c>
      <c r="E560" t="s">
        <v>13</v>
      </c>
      <c r="F560" t="s">
        <v>1</v>
      </c>
      <c r="G560" t="s">
        <v>335</v>
      </c>
      <c r="H560" t="s">
        <v>165</v>
      </c>
      <c r="I560" t="s">
        <v>1</v>
      </c>
      <c r="J560">
        <v>7930.76</v>
      </c>
      <c r="K560">
        <v>5275.4756790125002</v>
      </c>
      <c r="L560">
        <v>2878.77</v>
      </c>
      <c r="M560">
        <v>5805.254419889503</v>
      </c>
      <c r="N560">
        <v>8473.68</v>
      </c>
      <c r="O560">
        <v>5789.1748351648002</v>
      </c>
      <c r="P560">
        <v>0</v>
      </c>
      <c r="Q560">
        <f t="shared" si="100"/>
        <v>5789.1748351648002</v>
      </c>
      <c r="R560">
        <v>5789.1748351648002</v>
      </c>
      <c r="S560">
        <f t="shared" si="101"/>
        <v>0</v>
      </c>
      <c r="T560">
        <v>0.02</v>
      </c>
      <c r="U560">
        <f t="shared" si="102"/>
        <v>115.78349670329601</v>
      </c>
      <c r="V560">
        <f t="shared" si="103"/>
        <v>5904.9583318680961</v>
      </c>
      <c r="W560">
        <f t="shared" si="104"/>
        <v>115.7834967032959</v>
      </c>
      <c r="X560">
        <v>0</v>
      </c>
    </row>
    <row r="561" spans="1:24" x14ac:dyDescent="0.25">
      <c r="A561" t="s">
        <v>471</v>
      </c>
      <c r="B561" t="s">
        <v>472</v>
      </c>
      <c r="C561" t="s">
        <v>495</v>
      </c>
      <c r="D561" t="s">
        <v>146</v>
      </c>
      <c r="E561" t="s">
        <v>14</v>
      </c>
      <c r="F561" t="s">
        <v>1</v>
      </c>
      <c r="G561" t="s">
        <v>335</v>
      </c>
      <c r="H561" t="s">
        <v>166</v>
      </c>
      <c r="I561" t="s">
        <v>1</v>
      </c>
      <c r="J561">
        <v>1070.54</v>
      </c>
      <c r="L561">
        <v>720.28</v>
      </c>
      <c r="M561">
        <v>1452.4983425414364</v>
      </c>
      <c r="N561">
        <v>1790.82</v>
      </c>
      <c r="O561">
        <v>1448.4751648352001</v>
      </c>
      <c r="P561">
        <v>0</v>
      </c>
      <c r="Q561">
        <f t="shared" si="100"/>
        <v>1448.4751648352001</v>
      </c>
      <c r="R561">
        <v>1448.4751648352001</v>
      </c>
      <c r="S561">
        <f t="shared" si="101"/>
        <v>0</v>
      </c>
      <c r="T561">
        <v>0.04</v>
      </c>
      <c r="U561">
        <f t="shared" si="102"/>
        <v>57.939006593408003</v>
      </c>
      <c r="V561">
        <f t="shared" si="103"/>
        <v>1506.4141714286081</v>
      </c>
      <c r="W561">
        <f t="shared" si="104"/>
        <v>57.939006593408067</v>
      </c>
      <c r="X561">
        <v>0</v>
      </c>
    </row>
    <row r="562" spans="1:24" x14ac:dyDescent="0.25">
      <c r="A562" t="s">
        <v>471</v>
      </c>
      <c r="B562" t="s">
        <v>472</v>
      </c>
      <c r="C562" t="s">
        <v>495</v>
      </c>
      <c r="D562" t="s">
        <v>146</v>
      </c>
      <c r="E562" t="s">
        <v>64</v>
      </c>
      <c r="F562" t="s">
        <v>1</v>
      </c>
      <c r="G562" t="s">
        <v>335</v>
      </c>
      <c r="H562" t="s">
        <v>223</v>
      </c>
      <c r="I562" t="s">
        <v>1</v>
      </c>
      <c r="J562">
        <v>654.48</v>
      </c>
      <c r="L562">
        <v>1570</v>
      </c>
      <c r="M562">
        <v>3166.0220994475139</v>
      </c>
      <c r="N562">
        <v>1771.96</v>
      </c>
      <c r="O562">
        <v>3157.2527472528</v>
      </c>
      <c r="P562">
        <v>0</v>
      </c>
      <c r="Q562">
        <f t="shared" si="100"/>
        <v>3157.2527472528</v>
      </c>
      <c r="R562">
        <v>3157.2527472528</v>
      </c>
      <c r="S562">
        <f t="shared" si="101"/>
        <v>0</v>
      </c>
      <c r="T562">
        <v>0.02</v>
      </c>
      <c r="U562">
        <f t="shared" si="102"/>
        <v>63.145054945056003</v>
      </c>
      <c r="V562">
        <f t="shared" si="103"/>
        <v>3220.397802197856</v>
      </c>
      <c r="W562">
        <f t="shared" si="104"/>
        <v>63.145054945056017</v>
      </c>
      <c r="X562">
        <v>0</v>
      </c>
    </row>
    <row r="563" spans="1:24" x14ac:dyDescent="0.25">
      <c r="A563" t="s">
        <v>471</v>
      </c>
      <c r="B563" t="s">
        <v>472</v>
      </c>
      <c r="C563" t="s">
        <v>495</v>
      </c>
      <c r="D563" t="s">
        <v>146</v>
      </c>
      <c r="E563" t="s">
        <v>52</v>
      </c>
      <c r="F563" t="s">
        <v>1</v>
      </c>
      <c r="G563" t="s">
        <v>335</v>
      </c>
      <c r="H563" t="s">
        <v>205</v>
      </c>
      <c r="I563" t="s">
        <v>1</v>
      </c>
      <c r="J563">
        <v>70606.14</v>
      </c>
      <c r="K563">
        <v>61626.544864197203</v>
      </c>
      <c r="L563">
        <v>251149.02</v>
      </c>
      <c r="M563">
        <v>506460.73093922652</v>
      </c>
      <c r="N563">
        <v>291278.51</v>
      </c>
      <c r="O563">
        <v>505057.91934065899</v>
      </c>
      <c r="P563">
        <v>0</v>
      </c>
      <c r="Q563">
        <f t="shared" si="100"/>
        <v>505057.91934065899</v>
      </c>
      <c r="R563">
        <v>505057.91934065899</v>
      </c>
      <c r="S563">
        <f t="shared" si="101"/>
        <v>0</v>
      </c>
      <c r="T563">
        <v>0.04</v>
      </c>
      <c r="U563">
        <f t="shared" si="102"/>
        <v>20202.31677362636</v>
      </c>
      <c r="V563">
        <f t="shared" si="103"/>
        <v>525260.2361142853</v>
      </c>
      <c r="W563">
        <f t="shared" si="104"/>
        <v>20202.316773626313</v>
      </c>
      <c r="X563">
        <v>0</v>
      </c>
    </row>
    <row r="564" spans="1:24" x14ac:dyDescent="0.25">
      <c r="A564" t="s">
        <v>471</v>
      </c>
      <c r="B564" t="s">
        <v>472</v>
      </c>
      <c r="C564" t="s">
        <v>495</v>
      </c>
      <c r="D564" t="s">
        <v>146</v>
      </c>
      <c r="E564" t="s">
        <v>18</v>
      </c>
      <c r="F564" t="s">
        <v>1</v>
      </c>
      <c r="G564" t="s">
        <v>335</v>
      </c>
      <c r="H564" t="s">
        <v>170</v>
      </c>
      <c r="I564" t="s">
        <v>1</v>
      </c>
      <c r="J564">
        <v>612.1</v>
      </c>
      <c r="K564">
        <v>8193.0600000002996</v>
      </c>
      <c r="L564">
        <v>780</v>
      </c>
      <c r="M564">
        <v>1572.9281767955802</v>
      </c>
      <c r="N564">
        <v>780</v>
      </c>
      <c r="O564">
        <v>1572.9281767955999</v>
      </c>
      <c r="P564">
        <v>0</v>
      </c>
      <c r="Q564">
        <f t="shared" si="100"/>
        <v>1572.9281767955999</v>
      </c>
      <c r="R564">
        <v>1572.9281767955999</v>
      </c>
      <c r="S564">
        <f t="shared" si="101"/>
        <v>0</v>
      </c>
      <c r="T564">
        <v>3.5000000000000003E-2</v>
      </c>
      <c r="U564">
        <f t="shared" si="102"/>
        <v>55.052486187846</v>
      </c>
      <c r="V564">
        <f t="shared" si="103"/>
        <v>1627.9806629834459</v>
      </c>
      <c r="W564">
        <f t="shared" si="104"/>
        <v>55.052486187845943</v>
      </c>
      <c r="X564">
        <v>0</v>
      </c>
    </row>
    <row r="565" spans="1:24" x14ac:dyDescent="0.25">
      <c r="A565" t="s">
        <v>471</v>
      </c>
      <c r="B565" t="s">
        <v>472</v>
      </c>
      <c r="C565" t="s">
        <v>495</v>
      </c>
      <c r="D565" t="s">
        <v>146</v>
      </c>
      <c r="E565" t="s">
        <v>32</v>
      </c>
      <c r="F565" t="s">
        <v>1</v>
      </c>
      <c r="G565" t="s">
        <v>335</v>
      </c>
      <c r="H565" t="s">
        <v>184</v>
      </c>
      <c r="I565" t="s">
        <v>1</v>
      </c>
      <c r="J565">
        <v>13446.65</v>
      </c>
      <c r="K565">
        <v>13953</v>
      </c>
      <c r="L565">
        <v>5790.62</v>
      </c>
      <c r="M565">
        <v>11677.217127071823</v>
      </c>
      <c r="N565">
        <v>12318.230000000003</v>
      </c>
      <c r="O565">
        <v>11581.24</v>
      </c>
      <c r="P565">
        <v>0</v>
      </c>
      <c r="Q565">
        <f t="shared" si="100"/>
        <v>11581.24</v>
      </c>
      <c r="R565">
        <v>11581.24</v>
      </c>
      <c r="S565">
        <f t="shared" si="101"/>
        <v>0</v>
      </c>
      <c r="T565">
        <v>0.03</v>
      </c>
      <c r="U565">
        <f t="shared" si="102"/>
        <v>347.43719999999996</v>
      </c>
      <c r="V565">
        <f t="shared" si="103"/>
        <v>11928.6772</v>
      </c>
      <c r="W565">
        <f t="shared" si="104"/>
        <v>347.4372000000003</v>
      </c>
      <c r="X565">
        <v>0</v>
      </c>
    </row>
    <row r="566" spans="1:24" x14ac:dyDescent="0.25">
      <c r="A566" t="s">
        <v>471</v>
      </c>
      <c r="B566" t="s">
        <v>472</v>
      </c>
      <c r="C566" t="s">
        <v>495</v>
      </c>
      <c r="D566" t="s">
        <v>146</v>
      </c>
      <c r="E566" t="s">
        <v>36</v>
      </c>
      <c r="F566" t="s">
        <v>1</v>
      </c>
      <c r="G566" t="s">
        <v>335</v>
      </c>
      <c r="H566" t="s">
        <v>188</v>
      </c>
      <c r="I566" t="s">
        <v>1</v>
      </c>
      <c r="J566">
        <v>-9475.09</v>
      </c>
      <c r="K566">
        <v>16647</v>
      </c>
      <c r="L566">
        <v>7092</v>
      </c>
      <c r="M566">
        <v>14301.546961325967</v>
      </c>
      <c r="N566">
        <v>-10638</v>
      </c>
      <c r="O566">
        <v>14184</v>
      </c>
      <c r="P566">
        <v>0</v>
      </c>
      <c r="Q566">
        <f t="shared" si="100"/>
        <v>14184</v>
      </c>
      <c r="R566">
        <v>14184</v>
      </c>
      <c r="S566">
        <f t="shared" si="101"/>
        <v>0</v>
      </c>
      <c r="T566">
        <v>0.03</v>
      </c>
      <c r="U566">
        <f t="shared" si="102"/>
        <v>425.52</v>
      </c>
      <c r="V566">
        <f t="shared" si="103"/>
        <v>14609.52</v>
      </c>
      <c r="W566">
        <f t="shared" si="104"/>
        <v>425.52000000000044</v>
      </c>
      <c r="X566">
        <v>0</v>
      </c>
    </row>
    <row r="567" spans="1:24" x14ac:dyDescent="0.25">
      <c r="A567" t="s">
        <v>471</v>
      </c>
      <c r="B567" t="s">
        <v>472</v>
      </c>
      <c r="C567" t="s">
        <v>495</v>
      </c>
      <c r="D567" t="s">
        <v>146</v>
      </c>
      <c r="E567" t="s">
        <v>42</v>
      </c>
      <c r="F567" t="s">
        <v>42</v>
      </c>
      <c r="G567" t="s">
        <v>336</v>
      </c>
      <c r="J567">
        <v>87132.36</v>
      </c>
      <c r="K567">
        <v>105695.08054321</v>
      </c>
      <c r="L567">
        <v>310000.69999999995</v>
      </c>
      <c r="M567">
        <v>625139.53314917127</v>
      </c>
      <c r="N567">
        <v>348081.99</v>
      </c>
      <c r="O567">
        <v>623270.79059437767</v>
      </c>
      <c r="P567">
        <f>SUMIF($F$555:$F$566,"&lt;&gt;EV_*",$P$555:$P$566)</f>
        <v>0</v>
      </c>
      <c r="Q567">
        <f>SUMIF($F$555:$F$566,"&lt;&gt;EV_*",$Q$555:$Q$566)</f>
        <v>623270.79059437767</v>
      </c>
      <c r="R567">
        <f>SUMIF($F$555:$F$566,"&lt;&gt;EV_*",$R$555:$R$566)</f>
        <v>623270.79059437767</v>
      </c>
      <c r="S567">
        <f>SUMIF($F$555:$F$566,"&lt;&gt;EV_*",$S$555:$S$566)</f>
        <v>0</v>
      </c>
      <c r="T567">
        <v>0</v>
      </c>
      <c r="U567">
        <f>SUMIF($F$555:$F$566,"&lt;&gt;EV_*",$U$555:$U$566)</f>
        <v>23308.096390033988</v>
      </c>
      <c r="V567">
        <f>SUMIF($F$555:$F$566,"&lt;&gt;EV_*",$V$555:$V$566)</f>
        <v>646578.88698441174</v>
      </c>
      <c r="W567">
        <f>SUMIF($F$555:$F$566,"&lt;&gt;EV_*",$W$555:$W$566)</f>
        <v>23308.096390033948</v>
      </c>
      <c r="X567">
        <f>SUMIF($F$555:$F$566,"&lt;&gt;EV_*",$X$555:$X$566)</f>
        <v>0</v>
      </c>
    </row>
    <row r="568" spans="1:24" x14ac:dyDescent="0.25">
      <c r="A568" t="s">
        <v>474</v>
      </c>
      <c r="B568" t="s">
        <v>474</v>
      </c>
      <c r="C568" t="s">
        <v>496</v>
      </c>
      <c r="D568" t="s">
        <v>147</v>
      </c>
      <c r="E568" t="s">
        <v>5</v>
      </c>
      <c r="F568" t="s">
        <v>5</v>
      </c>
      <c r="G568" t="s">
        <v>337</v>
      </c>
    </row>
    <row r="569" spans="1:24" x14ac:dyDescent="0.25">
      <c r="A569" t="s">
        <v>474</v>
      </c>
      <c r="B569" t="s">
        <v>474</v>
      </c>
      <c r="C569" t="s">
        <v>496</v>
      </c>
      <c r="D569" t="s">
        <v>147</v>
      </c>
      <c r="E569" t="s">
        <v>29</v>
      </c>
      <c r="F569" t="s">
        <v>1</v>
      </c>
      <c r="G569" t="s">
        <v>338</v>
      </c>
      <c r="H569" t="s">
        <v>181</v>
      </c>
      <c r="I569" t="s">
        <v>1</v>
      </c>
      <c r="J569">
        <v>10.48</v>
      </c>
      <c r="L569">
        <v>0</v>
      </c>
      <c r="M569">
        <v>0</v>
      </c>
      <c r="N569">
        <v>10.48</v>
      </c>
      <c r="P569">
        <v>0</v>
      </c>
      <c r="Q569">
        <f>O569+P569</f>
        <v>0</v>
      </c>
      <c r="R569">
        <v>0</v>
      </c>
      <c r="S569">
        <f>IF(OR(LEFT(E569,2)="A_",LEFT(D569,5)="Total"),R569-Q569,"")</f>
        <v>0</v>
      </c>
      <c r="U569">
        <f>IFERROR(R569*T569,R569*0)</f>
        <v>0</v>
      </c>
      <c r="V569">
        <f>IF(OR(LEFT(E569,2)="A_",LEFT(D569,5)="Total"),R569+U569,"")</f>
        <v>0</v>
      </c>
      <c r="W569">
        <f>IF(OR(LEFT(E569,2)="A_",LEFT(D569,5)="Total"),V569-Q569,"")</f>
        <v>0</v>
      </c>
      <c r="X569">
        <v>0</v>
      </c>
    </row>
    <row r="570" spans="1:24" x14ac:dyDescent="0.25">
      <c r="A570" t="s">
        <v>474</v>
      </c>
      <c r="B570" t="s">
        <v>474</v>
      </c>
      <c r="C570" t="s">
        <v>496</v>
      </c>
      <c r="D570" t="s">
        <v>147</v>
      </c>
      <c r="E570" t="s">
        <v>32</v>
      </c>
      <c r="F570" t="s">
        <v>1</v>
      </c>
      <c r="G570" t="s">
        <v>338</v>
      </c>
      <c r="H570" t="s">
        <v>184</v>
      </c>
      <c r="I570" t="s">
        <v>1</v>
      </c>
      <c r="J570">
        <v>52.21</v>
      </c>
      <c r="L570">
        <v>0</v>
      </c>
      <c r="M570">
        <v>0</v>
      </c>
      <c r="N570">
        <v>0</v>
      </c>
      <c r="P570">
        <v>0</v>
      </c>
      <c r="Q570">
        <f>O570+P570</f>
        <v>0</v>
      </c>
      <c r="R570">
        <v>0</v>
      </c>
      <c r="S570">
        <f>IF(OR(LEFT(E570,2)="A_",LEFT(D570,5)="Total"),R570-Q570,"")</f>
        <v>0</v>
      </c>
      <c r="T570">
        <v>0.03</v>
      </c>
      <c r="U570">
        <f>IFERROR(R570*T570,R570*0)</f>
        <v>0</v>
      </c>
      <c r="V570">
        <f>IF(OR(LEFT(E570,2)="A_",LEFT(D570,5)="Total"),R570+U570,"")</f>
        <v>0</v>
      </c>
      <c r="W570">
        <f>IF(OR(LEFT(E570,2)="A_",LEFT(D570,5)="Total"),V570-Q570,"")</f>
        <v>0</v>
      </c>
      <c r="X570">
        <v>0</v>
      </c>
    </row>
    <row r="571" spans="1:24" x14ac:dyDescent="0.25">
      <c r="A571" t="s">
        <v>474</v>
      </c>
      <c r="B571" t="s">
        <v>474</v>
      </c>
      <c r="C571" t="s">
        <v>496</v>
      </c>
      <c r="D571" t="s">
        <v>147</v>
      </c>
      <c r="E571" t="s">
        <v>33</v>
      </c>
      <c r="F571" t="s">
        <v>1</v>
      </c>
      <c r="G571" t="s">
        <v>338</v>
      </c>
      <c r="H571" t="s">
        <v>185</v>
      </c>
      <c r="I571" t="s">
        <v>1</v>
      </c>
      <c r="J571">
        <v>-9210.02</v>
      </c>
      <c r="L571">
        <v>0</v>
      </c>
      <c r="M571">
        <v>0</v>
      </c>
      <c r="N571">
        <v>-9210.02</v>
      </c>
      <c r="P571">
        <v>0</v>
      </c>
      <c r="Q571">
        <f>O571+P571</f>
        <v>0</v>
      </c>
      <c r="R571">
        <v>0</v>
      </c>
      <c r="S571">
        <f>IF(OR(LEFT(E571,2)="A_",LEFT(D571,5)="Total"),R571-Q571,"")</f>
        <v>0</v>
      </c>
      <c r="T571">
        <v>0.03</v>
      </c>
      <c r="U571">
        <f>IFERROR(R571*T571,R571*0)</f>
        <v>0</v>
      </c>
      <c r="V571">
        <f>IF(OR(LEFT(E571,2)="A_",LEFT(D571,5)="Total"),R571+U571,"")</f>
        <v>0</v>
      </c>
      <c r="W571">
        <f>IF(OR(LEFT(E571,2)="A_",LEFT(D571,5)="Total"),V571-Q571,"")</f>
        <v>0</v>
      </c>
      <c r="X571">
        <v>0</v>
      </c>
    </row>
    <row r="572" spans="1:24" x14ac:dyDescent="0.25">
      <c r="A572" t="s">
        <v>474</v>
      </c>
      <c r="B572" t="s">
        <v>474</v>
      </c>
      <c r="C572" t="s">
        <v>496</v>
      </c>
      <c r="D572" t="s">
        <v>147</v>
      </c>
      <c r="E572" t="s">
        <v>42</v>
      </c>
      <c r="F572" t="s">
        <v>42</v>
      </c>
      <c r="G572" t="s">
        <v>339</v>
      </c>
      <c r="J572">
        <v>-9147.33</v>
      </c>
      <c r="K572">
        <v>0</v>
      </c>
      <c r="L572">
        <v>0</v>
      </c>
      <c r="M572">
        <v>0</v>
      </c>
      <c r="N572">
        <v>-9199.5400000000009</v>
      </c>
      <c r="O572">
        <v>0</v>
      </c>
      <c r="P572">
        <f>SUMIF($F$568:$F$571,"&lt;&gt;EV_*",$P$568:$P$571)</f>
        <v>0</v>
      </c>
      <c r="Q572">
        <f>SUMIF($F$568:$F$571,"&lt;&gt;EV_*",$Q$568:$Q$571)</f>
        <v>0</v>
      </c>
      <c r="R572">
        <f>SUMIF($F$568:$F$571,"&lt;&gt;EV_*",$R$568:$R$571)</f>
        <v>0</v>
      </c>
      <c r="S572">
        <f>SUMIF($F$568:$F$571,"&lt;&gt;EV_*",$S$568:$S$571)</f>
        <v>0</v>
      </c>
      <c r="T572">
        <v>0</v>
      </c>
      <c r="U572">
        <f>SUMIF($F$568:$F$571,"&lt;&gt;EV_*",$U$568:$U$571)</f>
        <v>0</v>
      </c>
      <c r="V572">
        <f>SUMIF($F$568:$F$571,"&lt;&gt;EV_*",$V$568:$V$571)</f>
        <v>0</v>
      </c>
      <c r="W572">
        <f>SUMIF($F$568:$F$571,"&lt;&gt;EV_*",$W$568:$W$571)</f>
        <v>0</v>
      </c>
      <c r="X572">
        <f>SUMIF($F$568:$F$571,"&lt;&gt;EV_*",$X$568:$X$571)</f>
        <v>0</v>
      </c>
    </row>
    <row r="573" spans="1:24" x14ac:dyDescent="0.25">
      <c r="A573" t="s">
        <v>471</v>
      </c>
      <c r="B573" t="s">
        <v>472</v>
      </c>
      <c r="C573" t="s">
        <v>497</v>
      </c>
      <c r="D573" t="s">
        <v>148</v>
      </c>
      <c r="E573" t="s">
        <v>5</v>
      </c>
      <c r="F573" t="s">
        <v>5</v>
      </c>
      <c r="G573" t="s">
        <v>340</v>
      </c>
    </row>
    <row r="574" spans="1:24" x14ac:dyDescent="0.25">
      <c r="A574" t="s">
        <v>471</v>
      </c>
      <c r="B574" t="s">
        <v>472</v>
      </c>
      <c r="C574" t="s">
        <v>497</v>
      </c>
      <c r="D574" t="s">
        <v>148</v>
      </c>
      <c r="E574" t="s">
        <v>70</v>
      </c>
      <c r="F574" t="s">
        <v>1</v>
      </c>
      <c r="G574" t="s">
        <v>341</v>
      </c>
      <c r="H574" t="s">
        <v>231</v>
      </c>
      <c r="I574" t="s">
        <v>1</v>
      </c>
      <c r="J574">
        <v>-352.94</v>
      </c>
      <c r="L574">
        <v>-234.15</v>
      </c>
      <c r="M574">
        <v>-472.18093922651934</v>
      </c>
      <c r="N574">
        <v>-463.12</v>
      </c>
      <c r="O574">
        <v>-470.87307692309997</v>
      </c>
      <c r="P574">
        <v>0</v>
      </c>
      <c r="Q574">
        <f t="shared" ref="Q574:Q591" si="105">O574+P574</f>
        <v>-470.87307692309997</v>
      </c>
      <c r="R574">
        <v>-470.87307692309997</v>
      </c>
      <c r="S574">
        <f t="shared" ref="S574:S591" si="106">IF(OR(LEFT(E574,2)="A_",LEFT(D574,5)="Total"),R574-Q574,"")</f>
        <v>0</v>
      </c>
      <c r="U574">
        <f t="shared" ref="U574:U591" si="107">IFERROR(R574*T574,R574*0)</f>
        <v>0</v>
      </c>
      <c r="V574">
        <f t="shared" ref="V574:V591" si="108">IF(OR(LEFT(E574,2)="A_",LEFT(D574,5)="Total"),R574+U574,"")</f>
        <v>-470.87307692309997</v>
      </c>
      <c r="W574">
        <f t="shared" ref="W574:W591" si="109">IF(OR(LEFT(E574,2)="A_",LEFT(D574,5)="Total"),V574-Q574,"")</f>
        <v>0</v>
      </c>
      <c r="X574">
        <v>0</v>
      </c>
    </row>
    <row r="575" spans="1:24" x14ac:dyDescent="0.25">
      <c r="A575" t="s">
        <v>471</v>
      </c>
      <c r="B575" t="s">
        <v>472</v>
      </c>
      <c r="C575" t="s">
        <v>497</v>
      </c>
      <c r="D575" t="s">
        <v>148</v>
      </c>
      <c r="E575" t="s">
        <v>44</v>
      </c>
      <c r="F575" t="s">
        <v>1</v>
      </c>
      <c r="G575" t="s">
        <v>341</v>
      </c>
      <c r="H575" t="s">
        <v>197</v>
      </c>
      <c r="I575" t="s">
        <v>1</v>
      </c>
      <c r="J575">
        <v>-1418.12</v>
      </c>
      <c r="L575">
        <v>-2817.54</v>
      </c>
      <c r="M575">
        <v>-5681.7795580110496</v>
      </c>
      <c r="N575">
        <v>-4156.5600000000004</v>
      </c>
      <c r="O575">
        <v>-5666.041978022</v>
      </c>
      <c r="P575">
        <v>0</v>
      </c>
      <c r="Q575">
        <f t="shared" si="105"/>
        <v>-5666.041978022</v>
      </c>
      <c r="R575">
        <v>-5666.041978022</v>
      </c>
      <c r="S575">
        <f t="shared" si="106"/>
        <v>0</v>
      </c>
      <c r="U575">
        <f t="shared" si="107"/>
        <v>0</v>
      </c>
      <c r="V575">
        <f t="shared" si="108"/>
        <v>-5666.041978022</v>
      </c>
      <c r="W575">
        <f t="shared" si="109"/>
        <v>0</v>
      </c>
      <c r="X575">
        <v>0</v>
      </c>
    </row>
    <row r="576" spans="1:24" x14ac:dyDescent="0.25">
      <c r="A576" t="s">
        <v>471</v>
      </c>
      <c r="B576" t="s">
        <v>472</v>
      </c>
      <c r="C576" t="s">
        <v>497</v>
      </c>
      <c r="D576" t="s">
        <v>148</v>
      </c>
      <c r="E576" t="s">
        <v>63</v>
      </c>
      <c r="F576" t="s">
        <v>1</v>
      </c>
      <c r="G576" t="s">
        <v>341</v>
      </c>
      <c r="H576" t="s">
        <v>222</v>
      </c>
      <c r="I576" t="s">
        <v>1</v>
      </c>
      <c r="J576">
        <v>1754.9</v>
      </c>
      <c r="K576">
        <v>1569.1846805553</v>
      </c>
      <c r="L576">
        <v>1142.23</v>
      </c>
      <c r="M576">
        <v>2303.3919889502763</v>
      </c>
      <c r="N576">
        <v>2221.0500000000002</v>
      </c>
      <c r="O576">
        <v>2297.0119780220002</v>
      </c>
      <c r="P576">
        <v>0</v>
      </c>
      <c r="Q576">
        <f t="shared" si="105"/>
        <v>2297.0119780220002</v>
      </c>
      <c r="R576">
        <v>2297.0119780220002</v>
      </c>
      <c r="S576">
        <f t="shared" si="106"/>
        <v>0</v>
      </c>
      <c r="T576">
        <v>2.75E-2</v>
      </c>
      <c r="U576">
        <f t="shared" si="107"/>
        <v>63.167829395605004</v>
      </c>
      <c r="V576">
        <f t="shared" si="108"/>
        <v>2360.1798074176054</v>
      </c>
      <c r="W576">
        <f t="shared" si="109"/>
        <v>63.167829395605168</v>
      </c>
      <c r="X576">
        <v>0</v>
      </c>
    </row>
    <row r="577" spans="1:24" x14ac:dyDescent="0.25">
      <c r="A577" t="s">
        <v>471</v>
      </c>
      <c r="B577" t="s">
        <v>472</v>
      </c>
      <c r="C577" t="s">
        <v>497</v>
      </c>
      <c r="D577" t="s">
        <v>148</v>
      </c>
      <c r="E577" t="s">
        <v>71</v>
      </c>
      <c r="F577" t="s">
        <v>1</v>
      </c>
      <c r="G577" t="s">
        <v>341</v>
      </c>
      <c r="H577" t="s">
        <v>232</v>
      </c>
      <c r="I577" t="s">
        <v>1</v>
      </c>
      <c r="J577">
        <v>498.96</v>
      </c>
      <c r="L577">
        <v>586.88</v>
      </c>
      <c r="M577">
        <v>1183.4872928176796</v>
      </c>
      <c r="N577">
        <v>836.64</v>
      </c>
      <c r="O577">
        <v>1180.2092307692001</v>
      </c>
      <c r="P577">
        <v>0</v>
      </c>
      <c r="Q577">
        <f t="shared" si="105"/>
        <v>1180.2092307692001</v>
      </c>
      <c r="R577">
        <v>1180.2092307692001</v>
      </c>
      <c r="S577">
        <f t="shared" si="106"/>
        <v>0</v>
      </c>
      <c r="T577">
        <v>2.2499999999999999E-2</v>
      </c>
      <c r="U577">
        <f t="shared" si="107"/>
        <v>26.554707692307002</v>
      </c>
      <c r="V577">
        <f t="shared" si="108"/>
        <v>1206.763938461507</v>
      </c>
      <c r="W577">
        <f t="shared" si="109"/>
        <v>26.55470769230692</v>
      </c>
      <c r="X577">
        <v>0</v>
      </c>
    </row>
    <row r="578" spans="1:24" x14ac:dyDescent="0.25">
      <c r="A578" t="s">
        <v>471</v>
      </c>
      <c r="B578" t="s">
        <v>472</v>
      </c>
      <c r="C578" t="s">
        <v>497</v>
      </c>
      <c r="D578" t="s">
        <v>148</v>
      </c>
      <c r="E578" t="s">
        <v>112</v>
      </c>
      <c r="F578" t="s">
        <v>1</v>
      </c>
      <c r="G578" t="s">
        <v>341</v>
      </c>
      <c r="H578" t="s">
        <v>291</v>
      </c>
      <c r="I578" t="s">
        <v>1</v>
      </c>
      <c r="L578">
        <v>3205</v>
      </c>
      <c r="M578">
        <v>6463.1215469613262</v>
      </c>
      <c r="N578">
        <v>3205</v>
      </c>
      <c r="O578">
        <v>6445.2197802197998</v>
      </c>
      <c r="P578">
        <v>0</v>
      </c>
      <c r="Q578">
        <f t="shared" si="105"/>
        <v>6445.2197802197998</v>
      </c>
      <c r="R578">
        <v>6445.2197802197998</v>
      </c>
      <c r="S578">
        <f t="shared" si="106"/>
        <v>0</v>
      </c>
      <c r="T578">
        <v>2.5000000000000001E-2</v>
      </c>
      <c r="U578">
        <f t="shared" si="107"/>
        <v>161.13049450549499</v>
      </c>
      <c r="V578">
        <f t="shared" si="108"/>
        <v>6606.3502747252951</v>
      </c>
      <c r="W578">
        <f t="shared" si="109"/>
        <v>161.13049450549534</v>
      </c>
      <c r="X578">
        <v>0</v>
      </c>
    </row>
    <row r="579" spans="1:24" x14ac:dyDescent="0.25">
      <c r="A579" t="s">
        <v>471</v>
      </c>
      <c r="B579" t="s">
        <v>472</v>
      </c>
      <c r="C579" t="s">
        <v>497</v>
      </c>
      <c r="D579" t="s">
        <v>148</v>
      </c>
      <c r="E579" t="s">
        <v>12</v>
      </c>
      <c r="F579" t="s">
        <v>1</v>
      </c>
      <c r="G579" t="s">
        <v>341</v>
      </c>
      <c r="H579" t="s">
        <v>164</v>
      </c>
      <c r="I579" t="s">
        <v>1</v>
      </c>
      <c r="J579">
        <v>2645.45</v>
      </c>
      <c r="L579">
        <v>4415.8100000000004</v>
      </c>
      <c r="M579">
        <v>8904.8102209944755</v>
      </c>
      <c r="N579">
        <v>6867.36</v>
      </c>
      <c r="O579">
        <v>8880.1453846154</v>
      </c>
      <c r="P579">
        <v>0</v>
      </c>
      <c r="Q579">
        <f t="shared" si="105"/>
        <v>8880.1453846154</v>
      </c>
      <c r="R579">
        <v>8880.1453846154</v>
      </c>
      <c r="S579">
        <f t="shared" si="106"/>
        <v>0</v>
      </c>
      <c r="T579">
        <v>3.2500000000000001E-2</v>
      </c>
      <c r="U579">
        <f t="shared" si="107"/>
        <v>288.60472500000049</v>
      </c>
      <c r="V579">
        <f t="shared" si="108"/>
        <v>9168.750109615401</v>
      </c>
      <c r="W579">
        <f t="shared" si="109"/>
        <v>288.60472500000105</v>
      </c>
      <c r="X579">
        <v>0</v>
      </c>
    </row>
    <row r="580" spans="1:24" x14ac:dyDescent="0.25">
      <c r="A580" t="s">
        <v>471</v>
      </c>
      <c r="B580" t="s">
        <v>472</v>
      </c>
      <c r="C580" t="s">
        <v>497</v>
      </c>
      <c r="D580" t="s">
        <v>148</v>
      </c>
      <c r="E580" t="s">
        <v>13</v>
      </c>
      <c r="F580" t="s">
        <v>1</v>
      </c>
      <c r="G580" t="s">
        <v>341</v>
      </c>
      <c r="H580" t="s">
        <v>165</v>
      </c>
      <c r="I580" t="s">
        <v>1</v>
      </c>
      <c r="J580">
        <v>65630.179999999993</v>
      </c>
      <c r="K580">
        <v>54296.2068024693</v>
      </c>
      <c r="L580">
        <v>67000.039999999994</v>
      </c>
      <c r="M580">
        <v>135110.57790055248</v>
      </c>
      <c r="N580">
        <v>109437.13</v>
      </c>
      <c r="O580">
        <v>134736.34417582399</v>
      </c>
      <c r="P580">
        <v>0</v>
      </c>
      <c r="Q580">
        <f t="shared" si="105"/>
        <v>134736.34417582399</v>
      </c>
      <c r="R580">
        <v>134736.34417582399</v>
      </c>
      <c r="S580">
        <f t="shared" si="106"/>
        <v>0</v>
      </c>
      <c r="T580">
        <v>0.02</v>
      </c>
      <c r="U580">
        <f t="shared" si="107"/>
        <v>2694.72688351648</v>
      </c>
      <c r="V580">
        <f t="shared" si="108"/>
        <v>137431.07105934047</v>
      </c>
      <c r="W580">
        <f t="shared" si="109"/>
        <v>2694.7268835164723</v>
      </c>
      <c r="X580">
        <v>0</v>
      </c>
    </row>
    <row r="581" spans="1:24" x14ac:dyDescent="0.25">
      <c r="A581" t="s">
        <v>471</v>
      </c>
      <c r="B581" t="s">
        <v>472</v>
      </c>
      <c r="C581" t="s">
        <v>497</v>
      </c>
      <c r="D581" t="s">
        <v>148</v>
      </c>
      <c r="E581" t="s">
        <v>57</v>
      </c>
      <c r="F581" t="s">
        <v>1</v>
      </c>
      <c r="G581" t="s">
        <v>341</v>
      </c>
      <c r="H581" t="s">
        <v>214</v>
      </c>
      <c r="I581" t="s">
        <v>1</v>
      </c>
      <c r="J581">
        <v>18.12</v>
      </c>
      <c r="L581">
        <v>0</v>
      </c>
      <c r="M581">
        <v>0</v>
      </c>
      <c r="N581">
        <v>18.12</v>
      </c>
      <c r="P581">
        <v>0</v>
      </c>
      <c r="Q581">
        <f t="shared" si="105"/>
        <v>0</v>
      </c>
      <c r="R581">
        <v>0</v>
      </c>
      <c r="S581">
        <f t="shared" si="106"/>
        <v>0</v>
      </c>
      <c r="T581">
        <v>0.04</v>
      </c>
      <c r="U581">
        <f t="shared" si="107"/>
        <v>0</v>
      </c>
      <c r="V581">
        <f t="shared" si="108"/>
        <v>0</v>
      </c>
      <c r="W581">
        <f t="shared" si="109"/>
        <v>0</v>
      </c>
      <c r="X581">
        <v>0</v>
      </c>
    </row>
    <row r="582" spans="1:24" x14ac:dyDescent="0.25">
      <c r="A582" t="s">
        <v>471</v>
      </c>
      <c r="B582" t="s">
        <v>472</v>
      </c>
      <c r="C582" t="s">
        <v>497</v>
      </c>
      <c r="D582" t="s">
        <v>148</v>
      </c>
      <c r="E582" t="s">
        <v>64</v>
      </c>
      <c r="F582" t="s">
        <v>1</v>
      </c>
      <c r="G582" t="s">
        <v>341</v>
      </c>
      <c r="H582" t="s">
        <v>223</v>
      </c>
      <c r="I582" t="s">
        <v>1</v>
      </c>
      <c r="J582">
        <v>820.5</v>
      </c>
      <c r="K582">
        <v>1257.0870370371999</v>
      </c>
      <c r="L582">
        <v>253.31</v>
      </c>
      <c r="M582">
        <v>510.81850828729284</v>
      </c>
      <c r="N582">
        <v>253.31</v>
      </c>
      <c r="O582">
        <v>509.40362637359999</v>
      </c>
      <c r="P582">
        <v>0</v>
      </c>
      <c r="Q582">
        <f t="shared" si="105"/>
        <v>509.40362637359999</v>
      </c>
      <c r="R582">
        <v>509.40362637359999</v>
      </c>
      <c r="S582">
        <f t="shared" si="106"/>
        <v>0</v>
      </c>
      <c r="T582">
        <v>0.02</v>
      </c>
      <c r="U582">
        <f t="shared" si="107"/>
        <v>10.188072527472</v>
      </c>
      <c r="V582">
        <f t="shared" si="108"/>
        <v>519.59169890107194</v>
      </c>
      <c r="W582">
        <f t="shared" si="109"/>
        <v>10.188072527471945</v>
      </c>
      <c r="X582">
        <v>0</v>
      </c>
    </row>
    <row r="583" spans="1:24" x14ac:dyDescent="0.25">
      <c r="A583" t="s">
        <v>471</v>
      </c>
      <c r="B583" t="s">
        <v>472</v>
      </c>
      <c r="C583" t="s">
        <v>497</v>
      </c>
      <c r="D583" t="s">
        <v>148</v>
      </c>
      <c r="E583" t="s">
        <v>15</v>
      </c>
      <c r="F583" t="s">
        <v>1</v>
      </c>
      <c r="G583" t="s">
        <v>341</v>
      </c>
      <c r="H583" t="s">
        <v>167</v>
      </c>
      <c r="I583" t="s">
        <v>1</v>
      </c>
      <c r="J583">
        <v>75156.789999999994</v>
      </c>
      <c r="K583">
        <v>74239.472407407506</v>
      </c>
      <c r="L583">
        <v>53200.18</v>
      </c>
      <c r="M583">
        <v>107282.13093922651</v>
      </c>
      <c r="N583">
        <v>94138.81</v>
      </c>
      <c r="O583">
        <v>106984.977362637</v>
      </c>
      <c r="P583">
        <v>0</v>
      </c>
      <c r="Q583">
        <f t="shared" si="105"/>
        <v>106984.977362637</v>
      </c>
      <c r="R583">
        <v>106984.977362637</v>
      </c>
      <c r="S583">
        <f t="shared" si="106"/>
        <v>0</v>
      </c>
      <c r="T583">
        <v>3.5000000000000003E-2</v>
      </c>
      <c r="U583">
        <f t="shared" si="107"/>
        <v>3744.4742076922953</v>
      </c>
      <c r="V583">
        <f t="shared" si="108"/>
        <v>110729.4515703293</v>
      </c>
      <c r="W583">
        <f t="shared" si="109"/>
        <v>3744.4742076922994</v>
      </c>
      <c r="X583">
        <v>0</v>
      </c>
    </row>
    <row r="584" spans="1:24" x14ac:dyDescent="0.25">
      <c r="A584" t="s">
        <v>471</v>
      </c>
      <c r="B584" t="s">
        <v>472</v>
      </c>
      <c r="C584" t="s">
        <v>497</v>
      </c>
      <c r="D584" t="s">
        <v>148</v>
      </c>
      <c r="E584" t="s">
        <v>47</v>
      </c>
      <c r="F584" t="s">
        <v>1</v>
      </c>
      <c r="G584" t="s">
        <v>341</v>
      </c>
      <c r="H584" t="s">
        <v>200</v>
      </c>
      <c r="I584" t="s">
        <v>1</v>
      </c>
      <c r="J584">
        <v>190.57</v>
      </c>
      <c r="L584">
        <v>0</v>
      </c>
      <c r="M584">
        <v>0</v>
      </c>
      <c r="N584">
        <v>145.44999999999999</v>
      </c>
      <c r="P584">
        <v>0</v>
      </c>
      <c r="Q584">
        <f t="shared" si="105"/>
        <v>0</v>
      </c>
      <c r="R584">
        <v>0</v>
      </c>
      <c r="S584">
        <f t="shared" si="106"/>
        <v>0</v>
      </c>
      <c r="T584">
        <v>0.02</v>
      </c>
      <c r="U584">
        <f t="shared" si="107"/>
        <v>0</v>
      </c>
      <c r="V584">
        <f t="shared" si="108"/>
        <v>0</v>
      </c>
      <c r="W584">
        <f t="shared" si="109"/>
        <v>0</v>
      </c>
      <c r="X584">
        <v>0</v>
      </c>
    </row>
    <row r="585" spans="1:24" x14ac:dyDescent="0.25">
      <c r="A585" t="s">
        <v>471</v>
      </c>
      <c r="B585" t="s">
        <v>472</v>
      </c>
      <c r="C585" t="s">
        <v>497</v>
      </c>
      <c r="D585" t="s">
        <v>148</v>
      </c>
      <c r="E585" t="s">
        <v>51</v>
      </c>
      <c r="F585" t="s">
        <v>1</v>
      </c>
      <c r="G585" t="s">
        <v>341</v>
      </c>
      <c r="H585" t="s">
        <v>204</v>
      </c>
      <c r="I585" t="s">
        <v>1</v>
      </c>
      <c r="J585">
        <v>492.9</v>
      </c>
      <c r="L585">
        <v>0</v>
      </c>
      <c r="M585">
        <v>0</v>
      </c>
      <c r="N585">
        <v>0</v>
      </c>
      <c r="P585">
        <v>0</v>
      </c>
      <c r="Q585">
        <f t="shared" si="105"/>
        <v>0</v>
      </c>
      <c r="R585">
        <v>0</v>
      </c>
      <c r="S585">
        <f t="shared" si="106"/>
        <v>0</v>
      </c>
      <c r="T585">
        <v>3.5000000000000003E-2</v>
      </c>
      <c r="U585">
        <f t="shared" si="107"/>
        <v>0</v>
      </c>
      <c r="V585">
        <f t="shared" si="108"/>
        <v>0</v>
      </c>
      <c r="W585">
        <f t="shared" si="109"/>
        <v>0</v>
      </c>
      <c r="X585">
        <v>0</v>
      </c>
    </row>
    <row r="586" spans="1:24" x14ac:dyDescent="0.25">
      <c r="A586" t="s">
        <v>471</v>
      </c>
      <c r="B586" t="s">
        <v>472</v>
      </c>
      <c r="C586" t="s">
        <v>497</v>
      </c>
      <c r="D586" t="s">
        <v>148</v>
      </c>
      <c r="E586" t="s">
        <v>52</v>
      </c>
      <c r="F586" t="s">
        <v>1</v>
      </c>
      <c r="G586" t="s">
        <v>341</v>
      </c>
      <c r="H586" t="s">
        <v>205</v>
      </c>
      <c r="I586" t="s">
        <v>1</v>
      </c>
      <c r="J586">
        <v>5489.58</v>
      </c>
      <c r="K586">
        <v>5677.3785514404999</v>
      </c>
      <c r="L586">
        <v>2386.8000000000002</v>
      </c>
      <c r="M586">
        <v>4813.1602209944758</v>
      </c>
      <c r="N586">
        <v>6325.8399999999992</v>
      </c>
      <c r="O586">
        <v>4799.8285714286003</v>
      </c>
      <c r="P586">
        <v>0</v>
      </c>
      <c r="Q586">
        <f t="shared" si="105"/>
        <v>4799.8285714286003</v>
      </c>
      <c r="R586">
        <v>4799.8285714286003</v>
      </c>
      <c r="S586">
        <f t="shared" si="106"/>
        <v>0</v>
      </c>
      <c r="T586">
        <v>0.04</v>
      </c>
      <c r="U586">
        <f t="shared" si="107"/>
        <v>191.99314285714402</v>
      </c>
      <c r="V586">
        <f t="shared" si="108"/>
        <v>4991.8217142857447</v>
      </c>
      <c r="W586">
        <f t="shared" si="109"/>
        <v>191.99314285714445</v>
      </c>
      <c r="X586">
        <v>0</v>
      </c>
    </row>
    <row r="587" spans="1:24" x14ac:dyDescent="0.25">
      <c r="A587" t="s">
        <v>471</v>
      </c>
      <c r="B587" t="s">
        <v>472</v>
      </c>
      <c r="C587" t="s">
        <v>497</v>
      </c>
      <c r="D587" t="s">
        <v>148</v>
      </c>
      <c r="E587" t="s">
        <v>16</v>
      </c>
      <c r="F587" t="s">
        <v>1</v>
      </c>
      <c r="G587" t="s">
        <v>341</v>
      </c>
      <c r="H587" t="s">
        <v>168</v>
      </c>
      <c r="I587" t="s">
        <v>1</v>
      </c>
      <c r="J587">
        <v>3593.86</v>
      </c>
      <c r="K587">
        <v>3555.9299999998002</v>
      </c>
      <c r="L587">
        <v>1306.69</v>
      </c>
      <c r="M587">
        <v>2635.0378453038675</v>
      </c>
      <c r="N587">
        <v>3187.2999999999997</v>
      </c>
      <c r="O587">
        <v>2635.0378453039002</v>
      </c>
      <c r="P587">
        <v>0</v>
      </c>
      <c r="Q587">
        <f t="shared" si="105"/>
        <v>2635.0378453039002</v>
      </c>
      <c r="R587">
        <v>2635.0378453039002</v>
      </c>
      <c r="S587">
        <f t="shared" si="106"/>
        <v>0</v>
      </c>
      <c r="T587">
        <v>0.03</v>
      </c>
      <c r="U587">
        <f t="shared" si="107"/>
        <v>79.051135359116998</v>
      </c>
      <c r="V587">
        <f t="shared" si="108"/>
        <v>2714.0889806630171</v>
      </c>
      <c r="W587">
        <f t="shared" si="109"/>
        <v>79.05113535911687</v>
      </c>
      <c r="X587">
        <v>0</v>
      </c>
    </row>
    <row r="588" spans="1:24" x14ac:dyDescent="0.25">
      <c r="A588" t="s">
        <v>471</v>
      </c>
      <c r="B588" t="s">
        <v>472</v>
      </c>
      <c r="C588" t="s">
        <v>497</v>
      </c>
      <c r="D588" t="s">
        <v>148</v>
      </c>
      <c r="E588" t="s">
        <v>53</v>
      </c>
      <c r="F588" t="s">
        <v>1</v>
      </c>
      <c r="G588" t="s">
        <v>341</v>
      </c>
      <c r="H588" t="s">
        <v>206</v>
      </c>
      <c r="I588" t="s">
        <v>1</v>
      </c>
      <c r="J588">
        <v>184.32</v>
      </c>
      <c r="L588">
        <v>182.51</v>
      </c>
      <c r="M588">
        <v>368.04502762430934</v>
      </c>
      <c r="N588">
        <v>366.82999999999993</v>
      </c>
      <c r="O588">
        <v>368.04502762430002</v>
      </c>
      <c r="P588">
        <v>0</v>
      </c>
      <c r="Q588">
        <f t="shared" si="105"/>
        <v>368.04502762430002</v>
      </c>
      <c r="R588">
        <v>368.04502762430002</v>
      </c>
      <c r="S588">
        <f t="shared" si="106"/>
        <v>0</v>
      </c>
      <c r="T588">
        <v>3.5000000000000003E-2</v>
      </c>
      <c r="U588">
        <f t="shared" si="107"/>
        <v>12.881575966850502</v>
      </c>
      <c r="V588">
        <f t="shared" si="108"/>
        <v>380.92660359115052</v>
      </c>
      <c r="W588">
        <f t="shared" si="109"/>
        <v>12.881575966850505</v>
      </c>
      <c r="X588">
        <v>0</v>
      </c>
    </row>
    <row r="589" spans="1:24" x14ac:dyDescent="0.25">
      <c r="A589" t="s">
        <v>471</v>
      </c>
      <c r="B589" t="s">
        <v>472</v>
      </c>
      <c r="C589" t="s">
        <v>497</v>
      </c>
      <c r="D589" t="s">
        <v>148</v>
      </c>
      <c r="E589" t="s">
        <v>18</v>
      </c>
      <c r="F589" t="s">
        <v>1</v>
      </c>
      <c r="G589" t="s">
        <v>341</v>
      </c>
      <c r="H589" t="s">
        <v>170</v>
      </c>
      <c r="I589" t="s">
        <v>1</v>
      </c>
      <c r="J589">
        <v>16.579999999999998</v>
      </c>
      <c r="K589">
        <v>34.154999999899999</v>
      </c>
      <c r="L589">
        <v>30.9</v>
      </c>
      <c r="M589">
        <v>62.312154696132595</v>
      </c>
      <c r="N589">
        <v>30.9</v>
      </c>
      <c r="O589">
        <v>62.312154696100002</v>
      </c>
      <c r="P589">
        <v>0</v>
      </c>
      <c r="Q589">
        <f t="shared" si="105"/>
        <v>62.312154696100002</v>
      </c>
      <c r="R589">
        <v>62.312154696100002</v>
      </c>
      <c r="S589">
        <f t="shared" si="106"/>
        <v>0</v>
      </c>
      <c r="T589">
        <v>3.5000000000000003E-2</v>
      </c>
      <c r="U589">
        <f t="shared" si="107"/>
        <v>2.1809254143635002</v>
      </c>
      <c r="V589">
        <f t="shared" si="108"/>
        <v>64.493080110463495</v>
      </c>
      <c r="W589">
        <f t="shared" si="109"/>
        <v>2.1809254143634931</v>
      </c>
      <c r="X589">
        <v>0</v>
      </c>
    </row>
    <row r="590" spans="1:24" x14ac:dyDescent="0.25">
      <c r="A590" t="s">
        <v>471</v>
      </c>
      <c r="B590" t="s">
        <v>472</v>
      </c>
      <c r="C590" t="s">
        <v>497</v>
      </c>
      <c r="D590" t="s">
        <v>148</v>
      </c>
      <c r="E590" t="s">
        <v>32</v>
      </c>
      <c r="F590" t="s">
        <v>1</v>
      </c>
      <c r="G590" t="s">
        <v>341</v>
      </c>
      <c r="H590" t="s">
        <v>184</v>
      </c>
      <c r="I590" t="s">
        <v>1</v>
      </c>
      <c r="J590">
        <v>307.89</v>
      </c>
      <c r="K590">
        <v>123.99999999960001</v>
      </c>
      <c r="L590">
        <v>138.28</v>
      </c>
      <c r="M590">
        <v>278.85193370165746</v>
      </c>
      <c r="N590">
        <v>384.76000000000005</v>
      </c>
      <c r="O590">
        <v>276.56</v>
      </c>
      <c r="P590">
        <v>0</v>
      </c>
      <c r="Q590">
        <f t="shared" si="105"/>
        <v>276.56</v>
      </c>
      <c r="R590">
        <v>276.56</v>
      </c>
      <c r="S590">
        <f t="shared" si="106"/>
        <v>0</v>
      </c>
      <c r="T590">
        <v>0.03</v>
      </c>
      <c r="U590">
        <f t="shared" si="107"/>
        <v>8.2967999999999993</v>
      </c>
      <c r="V590">
        <f t="shared" si="108"/>
        <v>284.85680000000002</v>
      </c>
      <c r="W590">
        <f t="shared" si="109"/>
        <v>8.2968000000000188</v>
      </c>
      <c r="X590">
        <v>0</v>
      </c>
    </row>
    <row r="591" spans="1:24" x14ac:dyDescent="0.25">
      <c r="A591" t="s">
        <v>471</v>
      </c>
      <c r="B591" t="s">
        <v>472</v>
      </c>
      <c r="C591" t="s">
        <v>497</v>
      </c>
      <c r="D591" t="s">
        <v>148</v>
      </c>
      <c r="E591" t="s">
        <v>37</v>
      </c>
      <c r="F591" t="s">
        <v>1</v>
      </c>
      <c r="G591" t="s">
        <v>341</v>
      </c>
      <c r="H591" t="s">
        <v>189</v>
      </c>
      <c r="I591" t="s">
        <v>1</v>
      </c>
      <c r="J591">
        <v>1230</v>
      </c>
      <c r="K591">
        <v>594.99999999960005</v>
      </c>
      <c r="L591">
        <v>0</v>
      </c>
      <c r="M591">
        <v>0</v>
      </c>
      <c r="N591">
        <v>935</v>
      </c>
      <c r="P591">
        <v>0</v>
      </c>
      <c r="Q591">
        <f t="shared" si="105"/>
        <v>0</v>
      </c>
      <c r="R591">
        <v>0</v>
      </c>
      <c r="S591">
        <f t="shared" si="106"/>
        <v>0</v>
      </c>
      <c r="T591">
        <v>0.03</v>
      </c>
      <c r="U591">
        <f t="shared" si="107"/>
        <v>0</v>
      </c>
      <c r="V591">
        <f t="shared" si="108"/>
        <v>0</v>
      </c>
      <c r="W591">
        <f t="shared" si="109"/>
        <v>0</v>
      </c>
      <c r="X591">
        <v>0</v>
      </c>
    </row>
    <row r="592" spans="1:24" x14ac:dyDescent="0.25">
      <c r="A592" t="s">
        <v>471</v>
      </c>
      <c r="B592" t="s">
        <v>472</v>
      </c>
      <c r="C592" t="s">
        <v>497</v>
      </c>
      <c r="D592" t="s">
        <v>148</v>
      </c>
      <c r="E592" t="s">
        <v>42</v>
      </c>
      <c r="F592" t="s">
        <v>42</v>
      </c>
      <c r="G592" t="s">
        <v>342</v>
      </c>
      <c r="J592">
        <v>156259.53999999995</v>
      </c>
      <c r="K592">
        <v>141348.41447890867</v>
      </c>
      <c r="L592">
        <v>130796.93999999997</v>
      </c>
      <c r="M592">
        <v>263761.7850828729</v>
      </c>
      <c r="N592">
        <v>223733.81999999998</v>
      </c>
      <c r="O592">
        <v>263038.18008256878</v>
      </c>
      <c r="P592">
        <f>SUMIF($F$573:$F$591,"&lt;&gt;EV_*",$P$573:$P$591)</f>
        <v>0</v>
      </c>
      <c r="Q592">
        <f>SUMIF($F$573:$F$591,"&lt;&gt;EV_*",$Q$573:$Q$591)</f>
        <v>263038.18008256878</v>
      </c>
      <c r="R592">
        <f>SUMIF($F$573:$F$591,"&lt;&gt;EV_*",$R$573:$R$591)</f>
        <v>263038.18008256878</v>
      </c>
      <c r="S592">
        <f>SUMIF($F$573:$F$591,"&lt;&gt;EV_*",$S$573:$S$591)</f>
        <v>0</v>
      </c>
      <c r="T592">
        <v>0</v>
      </c>
      <c r="U592">
        <f>SUMIF($F$573:$F$591,"&lt;&gt;EV_*",$U$573:$U$591)</f>
        <v>7283.2504999271305</v>
      </c>
      <c r="V592">
        <f>SUMIF($F$573:$F$591,"&lt;&gt;EV_*",$V$573:$V$591)</f>
        <v>270321.43058249593</v>
      </c>
      <c r="W592">
        <f>SUMIF($F$573:$F$591,"&lt;&gt;EV_*",$W$573:$W$591)</f>
        <v>7283.2504999271268</v>
      </c>
      <c r="X592">
        <f>SUMIF($F$573:$F$591,"&lt;&gt;EV_*",$X$573:$X$591)</f>
        <v>0</v>
      </c>
    </row>
    <row r="593" spans="1:24" x14ac:dyDescent="0.25">
      <c r="A593" t="s">
        <v>475</v>
      </c>
      <c r="B593" t="s">
        <v>475</v>
      </c>
      <c r="C593" t="s">
        <v>498</v>
      </c>
      <c r="D593" t="s">
        <v>149</v>
      </c>
      <c r="E593" t="s">
        <v>5</v>
      </c>
      <c r="F593" t="s">
        <v>5</v>
      </c>
      <c r="G593" t="s">
        <v>343</v>
      </c>
    </row>
    <row r="594" spans="1:24" x14ac:dyDescent="0.25">
      <c r="A594" t="s">
        <v>475</v>
      </c>
      <c r="B594" t="s">
        <v>475</v>
      </c>
      <c r="C594" t="s">
        <v>498</v>
      </c>
      <c r="D594" t="s">
        <v>149</v>
      </c>
      <c r="E594" t="s">
        <v>44</v>
      </c>
      <c r="F594" t="s">
        <v>1</v>
      </c>
      <c r="G594" t="s">
        <v>344</v>
      </c>
      <c r="H594" t="s">
        <v>197</v>
      </c>
      <c r="I594" t="s">
        <v>1</v>
      </c>
      <c r="L594">
        <v>0</v>
      </c>
      <c r="M594">
        <v>0</v>
      </c>
      <c r="N594">
        <v>0</v>
      </c>
      <c r="P594">
        <v>0</v>
      </c>
      <c r="Q594">
        <f>O594+P594</f>
        <v>0</v>
      </c>
      <c r="R594">
        <v>0</v>
      </c>
      <c r="S594">
        <f>IF(OR(LEFT(E594,2)="A_",LEFT(D594,5)="Total"),R594-Q594,"")</f>
        <v>0</v>
      </c>
      <c r="U594">
        <f>IFERROR(R594*T594,R594*0)</f>
        <v>0</v>
      </c>
      <c r="V594">
        <f>IF(OR(LEFT(E594,2)="A_",LEFT(D594,5)="Total"),R594+U594,"")</f>
        <v>0</v>
      </c>
      <c r="W594">
        <f>IF(OR(LEFT(E594,2)="A_",LEFT(D594,5)="Total"),V594-Q594,"")</f>
        <v>0</v>
      </c>
      <c r="X594">
        <v>0</v>
      </c>
    </row>
    <row r="595" spans="1:24" x14ac:dyDescent="0.25">
      <c r="A595" t="s">
        <v>475</v>
      </c>
      <c r="B595" t="s">
        <v>475</v>
      </c>
      <c r="C595" t="s">
        <v>498</v>
      </c>
      <c r="D595" t="s">
        <v>149</v>
      </c>
      <c r="E595" t="s">
        <v>41</v>
      </c>
      <c r="F595" t="s">
        <v>1</v>
      </c>
      <c r="G595" t="s">
        <v>344</v>
      </c>
      <c r="H595" t="s">
        <v>193</v>
      </c>
      <c r="I595" t="s">
        <v>1</v>
      </c>
      <c r="J595">
        <v>24632.2</v>
      </c>
      <c r="L595">
        <v>-26.340000000000099</v>
      </c>
      <c r="M595">
        <v>-53.116574585635561</v>
      </c>
      <c r="N595">
        <v>15427.34</v>
      </c>
      <c r="O595">
        <v>-53.116574585599999</v>
      </c>
      <c r="P595">
        <v>0</v>
      </c>
      <c r="Q595">
        <f>O595+P595</f>
        <v>-53.116574585599999</v>
      </c>
      <c r="R595">
        <v>0</v>
      </c>
      <c r="S595">
        <f>IF(OR(LEFT(E595,2)="A_",LEFT(D595,5)="Total"),R595-Q595,"")</f>
        <v>53.116574585599999</v>
      </c>
      <c r="U595">
        <f>IFERROR(R595*T595,R595*0)</f>
        <v>0</v>
      </c>
      <c r="V595">
        <f>IF(OR(LEFT(E595,2)="A_",LEFT(D595,5)="Total"),R595+U595,"")</f>
        <v>0</v>
      </c>
      <c r="W595">
        <f>IF(OR(LEFT(E595,2)="A_",LEFT(D595,5)="Total"),V595-Q595,"")</f>
        <v>53.116574585599999</v>
      </c>
      <c r="X595">
        <v>0</v>
      </c>
    </row>
    <row r="596" spans="1:24" x14ac:dyDescent="0.25">
      <c r="A596" t="s">
        <v>475</v>
      </c>
      <c r="B596" t="s">
        <v>475</v>
      </c>
      <c r="C596" t="s">
        <v>498</v>
      </c>
      <c r="D596" t="s">
        <v>149</v>
      </c>
      <c r="E596" t="s">
        <v>42</v>
      </c>
      <c r="F596" t="s">
        <v>42</v>
      </c>
      <c r="G596" t="s">
        <v>345</v>
      </c>
      <c r="J596">
        <v>24632.2</v>
      </c>
      <c r="K596">
        <v>0</v>
      </c>
      <c r="L596">
        <v>-26.340000000000099</v>
      </c>
      <c r="M596">
        <v>-53.116574585635561</v>
      </c>
      <c r="N596">
        <v>15427.34</v>
      </c>
      <c r="O596">
        <v>-53.116574585599999</v>
      </c>
      <c r="P596">
        <f>SUMIF($F$593:$F$595,"&lt;&gt;EV_*",$P$593:$P$595)</f>
        <v>0</v>
      </c>
      <c r="Q596">
        <f>SUMIF($F$593:$F$595,"&lt;&gt;EV_*",$Q$593:$Q$595)</f>
        <v>-53.116574585599999</v>
      </c>
      <c r="R596">
        <f>SUMIF($F$593:$F$595,"&lt;&gt;EV_*",$R$593:$R$595)</f>
        <v>0</v>
      </c>
      <c r="S596">
        <f>SUMIF($F$593:$F$595,"&lt;&gt;EV_*",$S$593:$S$595)</f>
        <v>53.116574585599999</v>
      </c>
      <c r="T596">
        <v>0</v>
      </c>
      <c r="U596">
        <f>SUMIF($F$593:$F$595,"&lt;&gt;EV_*",$U$593:$U$595)</f>
        <v>0</v>
      </c>
      <c r="V596">
        <f>SUMIF($F$593:$F$595,"&lt;&gt;EV_*",$V$593:$V$595)</f>
        <v>0</v>
      </c>
      <c r="W596">
        <f>SUMIF($F$593:$F$595,"&lt;&gt;EV_*",$W$593:$W$595)</f>
        <v>53.116574585599999</v>
      </c>
      <c r="X596">
        <f>SUMIF($F$593:$F$595,"&lt;&gt;EV_*",$X$593:$X$595)</f>
        <v>0</v>
      </c>
    </row>
    <row r="597" spans="1:24" x14ac:dyDescent="0.25">
      <c r="A597">
        <v>0</v>
      </c>
      <c r="B597" t="s">
        <v>346</v>
      </c>
      <c r="G597" t="s">
        <v>0</v>
      </c>
      <c r="J597">
        <v>28027769.719999999</v>
      </c>
      <c r="K597">
        <v>33114271.718184873</v>
      </c>
      <c r="L597">
        <v>16734387.85</v>
      </c>
      <c r="M597">
        <v>33746141.244475134</v>
      </c>
      <c r="N597">
        <v>32436803.649999999</v>
      </c>
      <c r="O597">
        <v>33624504.402400583</v>
      </c>
      <c r="P597">
        <f>SUMIF($E2:$E596,"EV_AFTER",P2:P596)</f>
        <v>284364</v>
      </c>
      <c r="Q597">
        <f>SUMIF($E2:$E596,"EV_AFTER",Q2:Q596)</f>
        <v>33908868.402400583</v>
      </c>
      <c r="R597">
        <f>SUMIF($E2:$E596,"EV_AFTER",R2:R596)</f>
        <v>33514644.758397691</v>
      </c>
      <c r="S597">
        <f>SUMIF($E2:$E596,"EV_AFTER",S2:S596)</f>
        <v>-394223.64400288911</v>
      </c>
      <c r="U597">
        <f>SUMIF($E2:$E596,"EV_AFTER",U2:U596)</f>
        <v>892616.6072781086</v>
      </c>
      <c r="V597">
        <f>SUMIF($E2:$E596,"EV_AFTER",V2:V596)</f>
        <v>34407261.3656758</v>
      </c>
      <c r="W597">
        <f>SUMIF($E2:$E596,"EV_AFTER",W2:W596)</f>
        <v>498392.96327521937</v>
      </c>
    </row>
    <row r="600" spans="1:24" x14ac:dyDescent="0.25">
      <c r="G600" t="s">
        <v>150</v>
      </c>
    </row>
    <row r="601" spans="1:24" x14ac:dyDescent="0.25">
      <c r="G601" t="s">
        <v>151</v>
      </c>
      <c r="H601" t="s">
        <v>152</v>
      </c>
      <c r="I601" t="s">
        <v>153</v>
      </c>
      <c r="P601" t="e">
        <f>_xlfn.CONCAT(#REF!," Projection Adj")</f>
        <v>#REF!</v>
      </c>
      <c r="Q601" t="e">
        <f>_xlfn.CONCAT(#REF!," Final Projection")</f>
        <v>#REF!</v>
      </c>
      <c r="R601" t="e">
        <f>_xlfn.CONCAT(#REF!+1," Budget without Inflation")</f>
        <v>#REF!</v>
      </c>
      <c r="S601" t="s">
        <v>2</v>
      </c>
      <c r="V601" t="e">
        <f>_xlfn.CONCAT(#REF!+1," Budget")</f>
        <v>#REF!</v>
      </c>
      <c r="W601" t="s">
        <v>2</v>
      </c>
      <c r="X601" t="s">
        <v>3</v>
      </c>
    </row>
    <row r="602" spans="1:24" x14ac:dyDescent="0.25">
      <c r="D602" t="s">
        <v>346</v>
      </c>
      <c r="E602" t="s">
        <v>346</v>
      </c>
      <c r="F602" t="s">
        <v>1</v>
      </c>
      <c r="I602" t="s">
        <v>1</v>
      </c>
      <c r="Q602">
        <f>P602</f>
        <v>0</v>
      </c>
      <c r="S602">
        <f>R602-Q602</f>
        <v>0</v>
      </c>
      <c r="V602">
        <f>R602</f>
        <v>0</v>
      </c>
      <c r="W602">
        <f>V602-Q602</f>
        <v>0</v>
      </c>
    </row>
    <row r="603" spans="1:24" x14ac:dyDescent="0.25">
      <c r="D603" t="s">
        <v>346</v>
      </c>
      <c r="E603" t="s">
        <v>346</v>
      </c>
      <c r="F603" t="s">
        <v>1</v>
      </c>
      <c r="I603" t="s">
        <v>1</v>
      </c>
      <c r="Q603">
        <f t="shared" ref="Q603:Q611" si="110">P603</f>
        <v>0</v>
      </c>
      <c r="S603">
        <f t="shared" ref="S603:S611" si="111">R603-Q603</f>
        <v>0</v>
      </c>
      <c r="V603">
        <f t="shared" ref="V603:V611" si="112">R603</f>
        <v>0</v>
      </c>
      <c r="W603">
        <f t="shared" ref="W603:W611" si="113">V603-Q603</f>
        <v>0</v>
      </c>
    </row>
    <row r="604" spans="1:24" x14ac:dyDescent="0.25">
      <c r="D604" t="s">
        <v>346</v>
      </c>
      <c r="E604" t="s">
        <v>346</v>
      </c>
      <c r="F604" t="s">
        <v>1</v>
      </c>
      <c r="I604" t="s">
        <v>1</v>
      </c>
      <c r="Q604">
        <f t="shared" si="110"/>
        <v>0</v>
      </c>
      <c r="S604">
        <f>R604-Q604</f>
        <v>0</v>
      </c>
      <c r="V604">
        <f t="shared" si="112"/>
        <v>0</v>
      </c>
      <c r="W604">
        <f t="shared" si="113"/>
        <v>0</v>
      </c>
    </row>
    <row r="605" spans="1:24" x14ac:dyDescent="0.25">
      <c r="D605" t="s">
        <v>346</v>
      </c>
      <c r="E605" t="s">
        <v>346</v>
      </c>
      <c r="F605" t="s">
        <v>1</v>
      </c>
      <c r="I605" t="s">
        <v>1</v>
      </c>
      <c r="Q605">
        <f t="shared" si="110"/>
        <v>0</v>
      </c>
      <c r="S605">
        <f t="shared" si="111"/>
        <v>0</v>
      </c>
      <c r="V605">
        <f t="shared" si="112"/>
        <v>0</v>
      </c>
      <c r="W605">
        <f t="shared" si="113"/>
        <v>0</v>
      </c>
    </row>
    <row r="606" spans="1:24" x14ac:dyDescent="0.25">
      <c r="D606" t="s">
        <v>346</v>
      </c>
      <c r="E606" t="s">
        <v>346</v>
      </c>
      <c r="F606" t="s">
        <v>1</v>
      </c>
      <c r="I606" t="s">
        <v>1</v>
      </c>
      <c r="Q606">
        <f t="shared" si="110"/>
        <v>0</v>
      </c>
      <c r="S606">
        <f t="shared" si="111"/>
        <v>0</v>
      </c>
      <c r="V606">
        <f t="shared" si="112"/>
        <v>0</v>
      </c>
      <c r="W606">
        <f t="shared" si="113"/>
        <v>0</v>
      </c>
    </row>
    <row r="607" spans="1:24" x14ac:dyDescent="0.25">
      <c r="D607" t="s">
        <v>346</v>
      </c>
      <c r="E607" t="s">
        <v>346</v>
      </c>
      <c r="F607" t="s">
        <v>1</v>
      </c>
      <c r="I607" t="s">
        <v>1</v>
      </c>
      <c r="Q607">
        <f t="shared" si="110"/>
        <v>0</v>
      </c>
      <c r="S607">
        <f t="shared" si="111"/>
        <v>0</v>
      </c>
      <c r="V607">
        <f t="shared" si="112"/>
        <v>0</v>
      </c>
      <c r="W607">
        <f t="shared" si="113"/>
        <v>0</v>
      </c>
    </row>
    <row r="608" spans="1:24" x14ac:dyDescent="0.25">
      <c r="D608" t="s">
        <v>346</v>
      </c>
      <c r="E608" t="s">
        <v>346</v>
      </c>
      <c r="F608" t="s">
        <v>1</v>
      </c>
      <c r="I608" t="s">
        <v>1</v>
      </c>
      <c r="Q608">
        <f>P608</f>
        <v>0</v>
      </c>
      <c r="S608">
        <f t="shared" si="111"/>
        <v>0</v>
      </c>
      <c r="V608">
        <f t="shared" si="112"/>
        <v>0</v>
      </c>
      <c r="W608">
        <f t="shared" si="113"/>
        <v>0</v>
      </c>
    </row>
    <row r="609" spans="4:23" x14ac:dyDescent="0.25">
      <c r="D609" t="s">
        <v>346</v>
      </c>
      <c r="E609" t="s">
        <v>346</v>
      </c>
      <c r="F609" t="s">
        <v>1</v>
      </c>
      <c r="I609" t="s">
        <v>1</v>
      </c>
      <c r="Q609">
        <f t="shared" si="110"/>
        <v>0</v>
      </c>
      <c r="S609">
        <f t="shared" si="111"/>
        <v>0</v>
      </c>
      <c r="V609">
        <f t="shared" si="112"/>
        <v>0</v>
      </c>
      <c r="W609">
        <f t="shared" si="113"/>
        <v>0</v>
      </c>
    </row>
    <row r="610" spans="4:23" x14ac:dyDescent="0.25">
      <c r="D610" t="s">
        <v>346</v>
      </c>
      <c r="E610" t="s">
        <v>346</v>
      </c>
      <c r="F610" t="s">
        <v>1</v>
      </c>
      <c r="I610" t="s">
        <v>1</v>
      </c>
      <c r="Q610">
        <f t="shared" si="110"/>
        <v>0</v>
      </c>
      <c r="S610">
        <f t="shared" si="111"/>
        <v>0</v>
      </c>
      <c r="V610">
        <f t="shared" si="112"/>
        <v>0</v>
      </c>
      <c r="W610">
        <f t="shared" si="113"/>
        <v>0</v>
      </c>
    </row>
    <row r="611" spans="4:23" x14ac:dyDescent="0.25">
      <c r="D611" t="s">
        <v>346</v>
      </c>
      <c r="E611" t="s">
        <v>346</v>
      </c>
      <c r="F611" t="s">
        <v>1</v>
      </c>
      <c r="I611" t="s">
        <v>1</v>
      </c>
      <c r="Q611">
        <f t="shared" si="110"/>
        <v>0</v>
      </c>
      <c r="S611">
        <f t="shared" si="111"/>
        <v>0</v>
      </c>
      <c r="V611">
        <f t="shared" si="112"/>
        <v>0</v>
      </c>
      <c r="W611">
        <f t="shared" si="113"/>
        <v>0</v>
      </c>
    </row>
    <row r="612" spans="4:23" x14ac:dyDescent="0.25">
      <c r="G612" t="s">
        <v>154</v>
      </c>
      <c r="P612">
        <f>SUM(P602:P611)</f>
        <v>0</v>
      </c>
      <c r="Q612">
        <f>SUM(Q602:Q611)</f>
        <v>0</v>
      </c>
      <c r="R612">
        <f>SUM(R602:R611)</f>
        <v>0</v>
      </c>
      <c r="S612">
        <f>SUM(S602:S611)</f>
        <v>0</v>
      </c>
      <c r="V612">
        <f>SUM(V602:V611)</f>
        <v>0</v>
      </c>
      <c r="W612">
        <f>SUM(W602:W611)</f>
        <v>0</v>
      </c>
    </row>
    <row r="614" spans="4:23" x14ac:dyDescent="0.25">
      <c r="G614" t="s">
        <v>155</v>
      </c>
      <c r="J614">
        <v>28027769.719999999</v>
      </c>
      <c r="K614">
        <v>33114271.718184873</v>
      </c>
      <c r="L614">
        <v>16734387.85</v>
      </c>
      <c r="M614">
        <v>33746141.244475134</v>
      </c>
      <c r="N614">
        <v>32436803.649999999</v>
      </c>
      <c r="O614">
        <v>33624504.402400583</v>
      </c>
      <c r="P614">
        <f t="shared" ref="P614:W614" si="114">P597+P612</f>
        <v>284364</v>
      </c>
      <c r="Q614">
        <f t="shared" si="114"/>
        <v>33908868.402400583</v>
      </c>
      <c r="R614">
        <f t="shared" si="114"/>
        <v>33514644.758397691</v>
      </c>
      <c r="S614">
        <f t="shared" si="114"/>
        <v>-394223.64400288911</v>
      </c>
      <c r="U614">
        <f t="shared" si="114"/>
        <v>892616.6072781086</v>
      </c>
      <c r="V614">
        <f t="shared" si="114"/>
        <v>34407261.3656758</v>
      </c>
      <c r="W614">
        <f t="shared" si="114"/>
        <v>498392.96327521937</v>
      </c>
    </row>
    <row r="1797" ht="17.25" customHeight="1" x14ac:dyDescent="0.25"/>
  </sheetData>
  <pageMargins left="0.75" right="0.75" top="1" bottom="1" header="0.5" footer="0.5"/>
  <pageSetup orientation="portrait" horizontalDpi="1200" verticalDpi="1200" r:id="rId1"/>
  <headerFooter alignWithMargins="0"/>
  <customProperties>
    <customPr name="EpmWorksheetKeyString_GUID" r:id="rId2"/>
  </customProperties>
  <drawing r:id="rId3"/>
  <legacyDrawing r:id="rId4"/>
  <controls>
    <mc:AlternateContent xmlns:mc="http://schemas.openxmlformats.org/markup-compatibility/2006">
      <mc:Choice Requires="x14">
        <control shapeId="1025" r:id="rId5" name="FPMExcelClientSheetOptionstb1">
          <controlPr defaultSize="0" autoLine="0" r:id="rId6">
            <anchor moveWithCells="1" sizeWithCells="1">
              <from>
                <xdr:col>0</xdr:col>
                <xdr:colOff>0</xdr:colOff>
                <xdr:row>0</xdr:row>
                <xdr:rowOff>0</xdr:rowOff>
              </from>
              <to>
                <xdr:col>0</xdr:col>
                <xdr:colOff>0</xdr:colOff>
                <xdr:row>0</xdr:row>
                <xdr:rowOff>0</xdr:rowOff>
              </to>
            </anchor>
          </controlPr>
        </control>
      </mc:Choice>
      <mc:Fallback>
        <control shapeId="1025" r:id="rId5" name="FPMExcelClientSheetOptionstb1"/>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OTS Prepop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Gabrinowitz, Steven</dc:creator>
  <cp:lastModifiedBy>Bixby, Kate</cp:lastModifiedBy>
  <dcterms:created xsi:type="dcterms:W3CDTF">2026-07-22T17:07:22Z</dcterms:created>
  <dcterms:modified xsi:type="dcterms:W3CDTF">2026-09-01T20:00:07Z</dcterms:modified>
</cp:coreProperties>
</file>