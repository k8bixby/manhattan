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northwell-my.sharepoint.com/personal/kbixby_northwell_edu/Documents/Scripts/ots/source_files/"/>
    </mc:Choice>
  </mc:AlternateContent>
  <xr:revisionPtr revIDLastSave="15" documentId="8_{68B3AE4C-DF75-4191-901E-6EDD47EA93FB}" xr6:coauthVersionLast="47" xr6:coauthVersionMax="47" xr10:uidLastSave="{E9ECFB1E-24C7-4E9E-9373-9F5EAF7C847E}"/>
  <bookViews>
    <workbookView xWindow="-108" yWindow="-108" windowWidth="23256" windowHeight="12456" xr2:uid="{D844BF4E-5498-4258-99C5-3DE17AEDD703}"/>
  </bookViews>
  <sheets>
    <sheet name="OTS Prepop" sheetId="1" r:id="rId1"/>
  </sheets>
  <externalReferences>
    <externalReference r:id="rId2"/>
    <externalReference r:id="rId3"/>
    <externalReference r:id="rId4"/>
  </externalReferences>
  <definedNames>
    <definedName name="__123Graph_A" localSheetId="0" hidden="1">'[1]Amort Schedule'!#REF!</definedName>
    <definedName name="__123Graph_A" hidden="1">'[1]Amort Schedule'!#REF!</definedName>
    <definedName name="__123Graph_LBL_A" localSheetId="0" hidden="1">'[1]Amort Schedule'!#REF!</definedName>
    <definedName name="__123Graph_LBL_A" hidden="1">'[1]Amort Schedule'!#REF!</definedName>
    <definedName name="__FPMExcelClient_CellBasedFunctionStatus" localSheetId="0" hidden="1">"2_1_1_2_2"</definedName>
    <definedName name="__FPMExcelClient_Connection" localSheetId="0">"_FPM_BPCMS10_[HTTPS://SYKPBPCAP32V/sap/BPC/]_[NSLIJHS]_[Finance]_[false]_[false]\1"</definedName>
    <definedName name="_2__123Graph_AP_I" localSheetId="0" hidden="1">'[1]Amort Schedule'!#REF!</definedName>
    <definedName name="_2__123Graph_AP_I" hidden="1">'[1]Amort Schedule'!#REF!</definedName>
    <definedName name="_4__123Graph_LBL_AP_I" localSheetId="0" hidden="1">'[1]Amort Schedule'!#REF!</definedName>
    <definedName name="_4__123Graph_LBL_AP_I" hidden="1">'[1]Amort Schedule'!#REF!</definedName>
    <definedName name="_6__123Graph_LBL_BP_I" localSheetId="0" hidden="1">'[1]Amort Schedule'!#REF!</definedName>
    <definedName name="_6__123Graph_LBL_BP_I" hidden="1">'[1]Amort Schedule'!#REF!</definedName>
    <definedName name="_Fill" localSheetId="0" hidden="1">#REF!</definedName>
    <definedName name="_Fill" hidden="1">#REF!</definedName>
    <definedName name="_xlnm._FilterDatabase" localSheetId="0" hidden="1">'OTS Prepop'!$G$1:$X$720</definedName>
    <definedName name="_Key1" localSheetId="0" hidden="1">#REF!</definedName>
    <definedName name="_Key1" hidden="1">#REF!</definedName>
    <definedName name="_Key2" localSheetId="0" hidden="1">#REF!</definedName>
    <definedName name="_Key2" hidden="1">[2]ACUTE!#REF!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a" localSheetId="0" hidden="1">[3]ACUTE!#REF!</definedName>
    <definedName name="a" hidden="1">[3]ACUTE!#REF!</definedName>
    <definedName name="aa">"V2004-05-31"</definedName>
    <definedName name="Action_Plan">#REF!</definedName>
    <definedName name="anscount" hidden="1">1</definedName>
    <definedName name="AS2DocOpenMode" hidden="1">"AS2DocumentEdit"</definedName>
    <definedName name="august">"[Drill4]JRNLLAYOUT!$A$4:$A$1061"</definedName>
    <definedName name="BUList">#REF!</definedName>
    <definedName name="CHK_CHOOSEALL">#REF!</definedName>
    <definedName name="EPMWorkbookOptions_1" hidden="1">"dgEAAB+LCAAAAAAABACF0MEOgjAMBuC7ie+w7C4DTTwYwINeTCQYTdRrhQKL0JFtOh9fokGjHrz+/dqmDee3pmZX1EYqinjg+ZwhZSqXVEb8YotRMOXzeDgID0qfT0qd09Z21LCuj8zsZvKIV9a2MyGcc56beEqXYuz7gTgm611WYQP8heV/PJJkLFCGvNvKWLjFQqOpUkpbpLiA2mAoPsOHW9QIegkWUtrBFXv5HT9sf8tGK4uZxbzXv4VP"</definedName>
    <definedName name="EPMWorkbookOptions_2" hidden="1">"73ImntHK7EFLONWYoC7fE37y7nXi63fxHS3iv392AQAA"</definedName>
    <definedName name="EPMWorkbookOptions_3">"pimnl0vDWOBkYIxftYh34UYNJBQAjXo|UtvqIvv8gXk7z|aln8onXOUL93fHLy5Vcv3rw6/f74e9/epX|Onz///fXD1zT43hs9mN8u8jqrp/Nr1yglznq0LMrPPmrrNTHO3f5bTwsaG/j29m89vvtNDvvN2ZcvXj4/fhGO2376/9uRnxy/Of38y1e/jxn3k6|efn765v/H4/328avPT0||fGo5/M2Xb46f//7u8/8fs/nT4zfHr1|d|DxuPvr/7"</definedName>
    <definedName name="EPMWorkbookOptions_4" hidden="1">"5i/PHnz5atgyPLJ/29H/O0vX788I55|ffrqJ89OTt/8Pi8Dbf7t1/8/Fu|zF6|/enX84uTU1|XBh78/0eD/v|P/4vXTV5/7sy0f/P92vC9|n|6A9ZP/3474zdkXVpz3dnbvjdl|/f93vF|cHpP0klUef4/|9/L01dmXT8/|P2OvNnzjffHtYjbLl7bjZgPJbKOfLJpiUpRFe32rIRwdT6fVetm|On18N/Z1hHjA6QgDfnxX/9gw6pvx|oZGgRjp"</definedName>
    <definedName name="EPMWorkbookOptions_5" hidden="1">"ZZkt/z89jJOszS|q|vr/24OYZ/VFflLN8v9PDwO5htf19P/bY6imbVX/f3oIp8uW2v5/egjfrppV0Wbl67y|LKb5m|vV/7cl42zZrGvk|v4/r2/ZC/7/9AjErf3/9BDe0Gf/nx6AcUV/bgYRNN7oMfqDdUnnnlf5el65Tk|qsqoV18gXm17l0UfejFCFX6Q0f5u/a59ll1VdtIQXZ9bl5d53t3j/WVE3rYdA/PsOIIvlMIFu22qAW97T4fahCM1"</definedName>
    <definedName name="EPMWorkbookOptions_6" hidden="1">"pueY|BXgHux6A2Gzwu1/Ws7w|2nl8V36JQm9WZXb9sq5WeU28tXv/0/vn|eR8|/6ns/3t/b3zh9sH9/N8eyfL9/Znkwf7Dyb30HP4VgTw86xpX|clrdzkMwnKYjQK2TLaIP1ZWZFQyF8rGNR3I/N3u3c3BcLy/W2I583/zyK3vl9gFWPXnZ39g52d23Pr7v8fufXDF5IU|I8Ytt/Ojz7fK4SOsOu9e/fv7|/v355d9/5fzq5fg12//uqfgvx/JZ"</definedName>
    <definedName name="EPMWorkbookOptions_7" hidden="1">"N|XeHtUoPE9qvbpVYV5P8rqfH/IpF9z4RRRGg/fbC7c3Dw4PZCe|//h0L7zSxhK/wf8Wy/nUe198oORhiWnKJPP7137z28ov3//3Hs0|M3x69fnQSL8PrRjxjVa3arVkOM|h4p4Bifvnesef//h3z65cmbL18FbCqf/IhLvWa3ajXApe|T5f9GuPTT//9x6emLN2dvrJNKUeXZi9//7P/zkeU3Q40vjl98|/hH1FBqvP59vnz9|kfUUGo8|5Jy9"</definedName>
    <definedName name="EPMWorkbookOptions_8" hidden="1">"z|ihlJD/vr9n3z1/3Vy/L/HuH3t9V8f3te2dA/|/2fpvv3l65dnFNq|Pn31k2cnp29|n5fBKsC3X/9/PlX1/x7m/RqL/d8I2x78/49tz17QMvHxi5NTfx0g|PD3J/b9Eev6zW7VaoB1v3j99NXnP0SWffj/P5ZlEvq6VT74EYt6zW7VaoBFX/w|P2Qe3d35/x|TChF9LtVPfsSmXrNbtRpg0zf02Q|TSXf//8ekb86|sE7qHtFjzIsz/19n0W|I"</definedName>
    <definedName name="EPMWorkbookOptions_9" hidden="1">"Grv//6DG/3sE9ovTY3IrT1|jrx|W0O79/09oDRmJS5FSPX119uXTsx8tTr1XowCbeKPHd49Xq7KYZi3BsZ8Hn5rmBK1aLglx|gxrsPyx/|Gbqjv4x6/y8zpv5l8uv1zly6PzrGzImIUfcruTMs9qAP1y|Tq7zE3L7sfc9rtV/XZSVW|JN1smo2nd/yJsfzXjWXMNv1zJ|P4fTVOGDqdDAAA="</definedName>
    <definedName name="EV__CVPARAMS__" hidden="1">"Trend!$B$17:$C$38;"</definedName>
    <definedName name="EV__DECIMALSYMBOL__" hidden="1">"."</definedName>
    <definedName name="EV__EVCOM_OPTIONS__" localSheetId="0" hidden="1">8</definedName>
    <definedName name="EV__EVCOM_OPTIONS__" hidden="1">4</definedName>
    <definedName name="EV__EXPOPTIONS__" localSheetId="0" hidden="1">0</definedName>
    <definedName name="EV__EXPOPTIONS__" hidden="1">1</definedName>
    <definedName name="EV__LASTREFTIME__" localSheetId="0" hidden="1">41312.6676041667</definedName>
    <definedName name="EV__LASTREFTIME__" hidden="1">41002.5208564815</definedName>
    <definedName name="EV__LOCKEDCVW__CAPITAL" hidden="1">"TotAcctCA,ALL_ActionPlan,Tot_AssetClass,ACTUAL,ALL_DataSrc,All_Doctor,All_Entity,ALL_Projects,2007.TOTAL,PERIODIC,"</definedName>
    <definedName name="EV__LOCKEDCVW__FINANCE" hidden="1">"Net_Income,ALL_ActionPlan,Total_Affiliates,ACTUAL,All_ChargeCodes,ALL_DATASRCFIN,All_Entity,ALL_Projects,2007.TOTAL,PERIODIC,"</definedName>
    <definedName name="EV__LOCKEDCVW__FPP" hidden="1">"TOT_AccDescFP,TotAcctFP,ALL_ActionPlan,Total_Affiliates,ACTUAL,ALL_DataSrc,All_EntityFP,All_Procat,2007.TOTAL,PERIODIC,"</definedName>
    <definedName name="EV__LOCKEDCVW__HRB" hidden="1">"TotAcctHH,ACTUAL,ALL_DataSrc,All_Entity,All_Payor,All_ServiceType,2007.TOTAL,PERIODIC,"</definedName>
    <definedName name="EV__LOCKEDCVW__REIMBURSEMENT" hidden="1">"Cases,Base,Budget,No_ChargeCode,RevenueActualDB,No_Doctor,MANHA_IN,All_HST,No_InsurancePlan,All_MSDRG,All_NYSDRG,2008.Total,PERIODIC,"</definedName>
    <definedName name="EV__LOCKEDCVW__STAFF_BUDGET" hidden="1">"DOLLARS_Total,ALL_ActionPlan,ACTUAL,All_DataSrc_Staff,TOT_ENTITIES,All_JobCode,2007.TOTAL,No_Week,PERIODIC,"</definedName>
    <definedName name="EV__LOCKSTATUS__" hidden="1">1</definedName>
    <definedName name="EV__MAXEXPCOLS__" localSheetId="0" hidden="1">100</definedName>
    <definedName name="EV__MAXEXPCOLS__" hidden="1">255</definedName>
    <definedName name="EV__MAXEXPROWS__" localSheetId="0" hidden="1">500000</definedName>
    <definedName name="EV__MAXEXPROWS__" hidden="1">65000</definedName>
    <definedName name="EV__MEMORYCVW__" hidden="1">0</definedName>
    <definedName name="EV__USERCHANGEOPTIONS__" hidden="1">1</definedName>
    <definedName name="EV__WBEVMODE__" localSheetId="0" hidden="1">1</definedName>
    <definedName name="EV__WBEVMODE__" hidden="1">0</definedName>
    <definedName name="EV__WBREFOPTIONS__" hidden="1">134217728</definedName>
    <definedName name="EV__WBVERSION__" hidden="1">0</definedName>
    <definedName name="EV__WSINFO__" hidden="1">12345</definedName>
    <definedName name="EV_LASTREFTIME__2" hidden="1">39819.6636805556</definedName>
    <definedName name="Excel_BuiltIn_Print_Titles_0">#N/A</definedName>
    <definedName name="K2_WBEVMODE" hidden="1">0</definedName>
    <definedName name="ListOffset" hidden="1">1</definedName>
    <definedName name="m">38148.6898263889</definedName>
    <definedName name="METHOD_USED">#REF!</definedName>
    <definedName name="MEWarning" localSheetId="0" hidden="1">0</definedName>
    <definedName name="MEWarning" hidden="1">1</definedName>
    <definedName name="MNU_OVERRIDE">#REF!</definedName>
    <definedName name="MODEL">#REF!</definedName>
    <definedName name="NvsAnswerCol">"[Drill2]JRNLLAYOUT!$A$4:$A$84"</definedName>
    <definedName name="NvsAnswerCol___0">"[Drill2]JRNLLAYOUT!$A$4:$A$84"</definedName>
    <definedName name="NvsASD">"V2006-12-31"</definedName>
    <definedName name="NvsASD___0">"V2004-07-31"</definedName>
    <definedName name="NvsASD___2">"V2004-12-31"</definedName>
    <definedName name="NvsASD___4">"V2004-12-31"</definedName>
    <definedName name="NvsAutoDrillOk">"VN"</definedName>
    <definedName name="NvsAutoDrillOk___0">"VY"</definedName>
    <definedName name="NvsAutoDrillOk___2">"VN"</definedName>
    <definedName name="NvsAutoDrillOk___4">"VN"</definedName>
    <definedName name="NvsDateToNumber">"Y"</definedName>
    <definedName name="NvsElapsedTime">0.000347222223354038</definedName>
    <definedName name="NvsElapsedTime___0">0.00077546296233777</definedName>
    <definedName name="NvsElapsedTime___2">0.0000231481462833472</definedName>
    <definedName name="NvsElapsedTime___4">0.0000231481462833472</definedName>
    <definedName name="NvsEndTime">38736.6081828704</definedName>
    <definedName name="NvsEndTime___0">38215.6885763889</definedName>
    <definedName name="NvsEndTime___2">38367.7220486111</definedName>
    <definedName name="NvsEndTime___4">38367.7220486111</definedName>
    <definedName name="NvsInstanceHook">"Module2.hide_ckup"</definedName>
    <definedName name="NvsInstLang">"VENG"</definedName>
    <definedName name="NvsInstSpec">"%"</definedName>
    <definedName name="NvsInstSpec___0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"V2099-01-01"</definedName>
    <definedName name="NvsPanelEffdt___0">"V1900-01-01"</definedName>
    <definedName name="NvsPanelEffdt___4">"V1990-01-01"</definedName>
    <definedName name="NvsPanelSetid">"VNSLIJ"</definedName>
    <definedName name="NvsParentRef">"'[LIJMC Detailed Balance Sheets - 2004-11-30.xls]Sheet1'!$F$50"</definedName>
    <definedName name="NvsParentRef___0">"'[MANHA Operating Expenses - 2005-01-31.xls]Operating Expenses'!$B$36"</definedName>
    <definedName name="NvsReqBU">"VMANHA"</definedName>
    <definedName name="NvsReqBU___0">"VLIJMC"</definedName>
    <definedName name="NvsReqBU___2">"VGLENC"</definedName>
    <definedName name="NvsReqBU___4">"VGLENC"</definedName>
    <definedName name="NvsReqBUOnly">"VY"</definedName>
    <definedName name="NvsReqBUOnly___0">"VN"</definedName>
    <definedName name="NvsReqBUOnly___2">"VY"</definedName>
    <definedName name="NvsReqBUOnly___4">"VY"</definedName>
    <definedName name="NvsTransLed">"VN"</definedName>
    <definedName name="NvsTreeASD">"V2006-12-31"</definedName>
    <definedName name="NvsTreeASD___0">"V2004-07-31"</definedName>
    <definedName name="NvsTreeASD___2">"V2004-12-31"</definedName>
    <definedName name="NvsTreeASD___4">"V2004-12-31"</definedName>
    <definedName name="NvsValTbl.ACCOUNT">"GL_ACCOUNT_TBL"</definedName>
    <definedName name="NvsValTbl.ALTACCT">"BUS_UNIT_TBL_GL"</definedName>
    <definedName name="NvsValTbl.BUSINESS_UNIT">"BUS_UNIT_TBL_GL"</definedName>
    <definedName name="NvsValTbl.CURRENCY_CD">"CURRENCY_CD_TBL"</definedName>
    <definedName name="NvsValTbl.DEPTID">"DEPT_TBL"</definedName>
    <definedName name="NvsValTbl.LEDGER">"LED_DETL_VW"</definedName>
    <definedName name="PARENT_MEMBER">#REF!</definedName>
    <definedName name="PATHNAME">#REF!</definedName>
    <definedName name="pl">0.0000578703693463467</definedName>
    <definedName name="wrn.ambulances." hidden="1">{#N/A,#N/A,FALSE,"Sheet1"}</definedName>
    <definedName name="wrn.Financial._.Statements." hidden="1">{#N/A,#N/A,FALSE,"COVER";#N/A,#N/A,FALSE,"INDEX";#N/A,#N/A,FALSE,"Stat. High.";#N/A,#N/A,FALSE,"BS";#N/A,#N/A,FALSE,"PL";#N/A,#N/A,FALSE,"NA";#N/A,#N/A,FALSE,"CashflowYTD";#N/A,#N/A,FALSE,"Patient Stats";#N/A,#N/A,FALSE,"Payor Info";#N/A,#N/A,FALSE,"Payor1";#N/A,#N/A,FALSE,"Census"}</definedName>
    <definedName name="wrn.MR111._.REPORT." hidden="1">{#N/A,#N/A,FALSE,"Metrics_Sheet";#N/A,#N/A,FALSE,"MR111-Totals";#N/A,#N/A,FALSE,"Billing";#N/A,#N/A,FALSE,"Microsoft VendorSheet";#N/A,#N/A,FALSE,"AAC VendorSheet"}</definedName>
    <definedName name="wrn.MR111._.RPT" hidden="1">{#N/A,#N/A,FALSE,"Metrics_Sheet";#N/A,#N/A,FALSE,"MR111-Totals";#N/A,#N/A,FALSE,"Billing";#N/A,#N/A,FALSE,"Microsoft VendorSheet";#N/A,#N/A,FALSE,"AAC VendorSheet"}</definedName>
    <definedName name="wrn.mr111._.rpt2" hidden="1">{#N/A,#N/A,FALSE,"Metrics_Sheet";#N/A,#N/A,FALSE,"MR111-Totals";#N/A,#N/A,FALSE,"Billing";#N/A,#N/A,FALSE,"Microsoft VendorSheet";#N/A,#N/A,FALSE,"AAC VendorSheet"}</definedName>
    <definedName name="wrn.mr111._rpt3" hidden="1">{#N/A,#N/A,FALSE,"Metrics_Sheet";#N/A,#N/A,FALSE,"MR111-Totals";#N/A,#N/A,FALSE,"Billing";#N/A,#N/A,FALSE,"Microsoft VendorSheet";#N/A,#N/A,FALSE,"AAC VendorSheet"}</definedName>
    <definedName name="Yea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78" i="1" l="1"/>
  <c r="X701" i="1"/>
  <c r="X670" i="1"/>
  <c r="X622" i="1"/>
  <c r="X601" i="1"/>
  <c r="X565" i="1"/>
  <c r="X537" i="1"/>
  <c r="X509" i="1"/>
  <c r="X468" i="1"/>
  <c r="X441" i="1"/>
  <c r="X410" i="1"/>
  <c r="X385" i="1"/>
  <c r="X355" i="1"/>
  <c r="X308" i="1"/>
  <c r="X266" i="1"/>
  <c r="X256" i="1"/>
  <c r="X236" i="1"/>
  <c r="X167" i="1"/>
  <c r="X130" i="1"/>
  <c r="X108" i="1"/>
  <c r="X98" i="1"/>
  <c r="X69" i="1"/>
  <c r="X51" i="1"/>
  <c r="R719" i="1"/>
  <c r="R712" i="1"/>
  <c r="R707" i="1"/>
  <c r="R701" i="1"/>
  <c r="R670" i="1"/>
  <c r="R636" i="1"/>
  <c r="R631" i="1"/>
  <c r="R622" i="1"/>
  <c r="R601" i="1"/>
  <c r="R578" i="1"/>
  <c r="R565" i="1"/>
  <c r="R509" i="1"/>
  <c r="R468" i="1"/>
  <c r="R455" i="1"/>
  <c r="R441" i="1"/>
  <c r="R410" i="1"/>
  <c r="R385" i="1"/>
  <c r="R355" i="1"/>
  <c r="R286" i="1"/>
  <c r="R256" i="1"/>
  <c r="R236" i="1"/>
  <c r="R174" i="1"/>
  <c r="R167" i="1"/>
  <c r="R147" i="1"/>
  <c r="R123" i="1"/>
  <c r="R108" i="1"/>
  <c r="R98" i="1"/>
  <c r="R69" i="1"/>
  <c r="P719" i="1"/>
  <c r="P707" i="1"/>
  <c r="Q697" i="1"/>
  <c r="P701" i="1"/>
  <c r="Q684" i="1"/>
  <c r="Q680" i="1"/>
  <c r="Q676" i="1"/>
  <c r="P688" i="1"/>
  <c r="Q650" i="1"/>
  <c r="Q646" i="1"/>
  <c r="Q642" i="1"/>
  <c r="P640" i="1"/>
  <c r="P631" i="1"/>
  <c r="Q618" i="1"/>
  <c r="Q614" i="1"/>
  <c r="Q610" i="1"/>
  <c r="P622" i="1"/>
  <c r="Q597" i="1"/>
  <c r="Q593" i="1"/>
  <c r="Q589" i="1"/>
  <c r="Q585" i="1"/>
  <c r="P601" i="1"/>
  <c r="Q574" i="1"/>
  <c r="P578" i="1"/>
  <c r="Q562" i="1"/>
  <c r="Q558" i="1"/>
  <c r="Q554" i="1"/>
  <c r="Q550" i="1"/>
  <c r="Q546" i="1"/>
  <c r="Q542" i="1"/>
  <c r="S542" i="1" s="1"/>
  <c r="P565" i="1"/>
  <c r="Q533" i="1"/>
  <c r="Q529" i="1"/>
  <c r="Q525" i="1"/>
  <c r="Q521" i="1"/>
  <c r="Q517" i="1"/>
  <c r="Q516" i="1"/>
  <c r="P537" i="1"/>
  <c r="Q512" i="1"/>
  <c r="Q505" i="1"/>
  <c r="Q501" i="1"/>
  <c r="Q497" i="1"/>
  <c r="Q493" i="1"/>
  <c r="Q489" i="1"/>
  <c r="Q485" i="1"/>
  <c r="Q481" i="1"/>
  <c r="Q477" i="1"/>
  <c r="Q473" i="1"/>
  <c r="Q464" i="1"/>
  <c r="Q460" i="1"/>
  <c r="P468" i="1"/>
  <c r="Q451" i="1"/>
  <c r="Q447" i="1"/>
  <c r="P455" i="1"/>
  <c r="Q421" i="1"/>
  <c r="Q417" i="1"/>
  <c r="Q413" i="1"/>
  <c r="Q394" i="1"/>
  <c r="P389" i="1"/>
  <c r="Q381" i="1"/>
  <c r="Q377" i="1"/>
  <c r="P385" i="1"/>
  <c r="Q351" i="1"/>
  <c r="Q331" i="1"/>
  <c r="Q327" i="1"/>
  <c r="Q323" i="1"/>
  <c r="Q319" i="1"/>
  <c r="Q315" i="1"/>
  <c r="P355" i="1"/>
  <c r="P312" i="1"/>
  <c r="Q304" i="1"/>
  <c r="Q300" i="1"/>
  <c r="Q296" i="1"/>
  <c r="P308" i="1"/>
  <c r="Q282" i="1"/>
  <c r="Q278" i="1"/>
  <c r="Q274" i="1"/>
  <c r="P286" i="1"/>
  <c r="Q252" i="1"/>
  <c r="Q248" i="1"/>
  <c r="Q244" i="1"/>
  <c r="Q240" i="1"/>
  <c r="Q212" i="1"/>
  <c r="Q208" i="1"/>
  <c r="Q204" i="1"/>
  <c r="Q200" i="1"/>
  <c r="Q196" i="1"/>
  <c r="Q194" i="1"/>
  <c r="Q192" i="1"/>
  <c r="Q190" i="1"/>
  <c r="Q188" i="1"/>
  <c r="Q186" i="1"/>
  <c r="Q184" i="1"/>
  <c r="Q182" i="1"/>
  <c r="Q180" i="1"/>
  <c r="Q178" i="1"/>
  <c r="Q176" i="1"/>
  <c r="P174" i="1"/>
  <c r="Q166" i="1"/>
  <c r="S166" i="1" s="1"/>
  <c r="Q162" i="1"/>
  <c r="Q158" i="1"/>
  <c r="S158" i="1" s="1"/>
  <c r="P167" i="1"/>
  <c r="Q143" i="1"/>
  <c r="Q139" i="1"/>
  <c r="P147" i="1"/>
  <c r="Q128" i="1"/>
  <c r="S128" i="1" s="1"/>
  <c r="P123" i="1"/>
  <c r="Q104" i="1"/>
  <c r="Q100" i="1"/>
  <c r="Q94" i="1"/>
  <c r="Q90" i="1"/>
  <c r="P98" i="1"/>
  <c r="Q71" i="1"/>
  <c r="Q65" i="1"/>
  <c r="Q61" i="1"/>
  <c r="Q57" i="1"/>
  <c r="P69" i="1"/>
  <c r="X42" i="1"/>
  <c r="Q38" i="1"/>
  <c r="Q34" i="1"/>
  <c r="Q26" i="1"/>
  <c r="Q22" i="1"/>
  <c r="Q18" i="1"/>
  <c r="Q14" i="1"/>
  <c r="Q10" i="1"/>
  <c r="Q6" i="1"/>
  <c r="Q30" i="1"/>
  <c r="Q24" i="1"/>
  <c r="Q20" i="1"/>
  <c r="Q16" i="1"/>
  <c r="Q12" i="1"/>
  <c r="Q8" i="1"/>
  <c r="Q4" i="1"/>
  <c r="Q3" i="1"/>
  <c r="R735" i="1"/>
  <c r="P735" i="1"/>
  <c r="V734" i="1"/>
  <c r="Q734" i="1"/>
  <c r="S734" i="1" s="1"/>
  <c r="V733" i="1"/>
  <c r="Q733" i="1"/>
  <c r="S733" i="1" s="1"/>
  <c r="V732" i="1"/>
  <c r="Q732" i="1"/>
  <c r="S732" i="1" s="1"/>
  <c r="V731" i="1"/>
  <c r="Q731" i="1"/>
  <c r="S731" i="1" s="1"/>
  <c r="V730" i="1"/>
  <c r="Q730" i="1"/>
  <c r="V729" i="1"/>
  <c r="Q729" i="1"/>
  <c r="S729" i="1" s="1"/>
  <c r="V728" i="1"/>
  <c r="Q728" i="1"/>
  <c r="S728" i="1" s="1"/>
  <c r="V727" i="1"/>
  <c r="Q727" i="1"/>
  <c r="S727" i="1" s="1"/>
  <c r="V726" i="1"/>
  <c r="Q726" i="1"/>
  <c r="S726" i="1" s="1"/>
  <c r="V725" i="1"/>
  <c r="Q725" i="1"/>
  <c r="X719" i="1"/>
  <c r="Q718" i="1"/>
  <c r="Q717" i="1"/>
  <c r="Q716" i="1"/>
  <c r="Q714" i="1"/>
  <c r="S714" i="1" s="1"/>
  <c r="X712" i="1"/>
  <c r="P712" i="1"/>
  <c r="Q711" i="1"/>
  <c r="Q710" i="1"/>
  <c r="S710" i="1" s="1"/>
  <c r="Q709" i="1"/>
  <c r="X707" i="1"/>
  <c r="Q706" i="1"/>
  <c r="Q705" i="1"/>
  <c r="Q704" i="1"/>
  <c r="Q700" i="1"/>
  <c r="Q699" i="1"/>
  <c r="Q698" i="1"/>
  <c r="S698" i="1" s="1"/>
  <c r="Q696" i="1"/>
  <c r="S696" i="1" s="1"/>
  <c r="Q695" i="1"/>
  <c r="Q694" i="1"/>
  <c r="Q692" i="1"/>
  <c r="Q691" i="1"/>
  <c r="Q690" i="1"/>
  <c r="X688" i="1"/>
  <c r="R688" i="1"/>
  <c r="Q687" i="1"/>
  <c r="Q686" i="1"/>
  <c r="Q685" i="1"/>
  <c r="S685" i="1" s="1"/>
  <c r="Q683" i="1"/>
  <c r="S683" i="1" s="1"/>
  <c r="Q682" i="1"/>
  <c r="Q681" i="1"/>
  <c r="S681" i="1" s="1"/>
  <c r="Q679" i="1"/>
  <c r="Q678" i="1"/>
  <c r="Q677" i="1"/>
  <c r="S677" i="1" s="1"/>
  <c r="Q675" i="1"/>
  <c r="Q674" i="1"/>
  <c r="Q673" i="1"/>
  <c r="S673" i="1" s="1"/>
  <c r="P670" i="1"/>
  <c r="Q669" i="1"/>
  <c r="S669" i="1" s="1"/>
  <c r="Q668" i="1"/>
  <c r="Q667" i="1"/>
  <c r="Q666" i="1"/>
  <c r="Q665" i="1"/>
  <c r="S665" i="1" s="1"/>
  <c r="Q664" i="1"/>
  <c r="Q663" i="1"/>
  <c r="S663" i="1" s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49" i="1"/>
  <c r="Q648" i="1"/>
  <c r="Q647" i="1"/>
  <c r="Q645" i="1"/>
  <c r="Q644" i="1"/>
  <c r="Q643" i="1"/>
  <c r="X640" i="1"/>
  <c r="R640" i="1"/>
  <c r="Q639" i="1"/>
  <c r="Q638" i="1"/>
  <c r="S638" i="1" s="1"/>
  <c r="X636" i="1"/>
  <c r="P636" i="1"/>
  <c r="Q635" i="1"/>
  <c r="Q634" i="1"/>
  <c r="S634" i="1" s="1"/>
  <c r="Q633" i="1"/>
  <c r="X631" i="1"/>
  <c r="Q630" i="1"/>
  <c r="Q629" i="1"/>
  <c r="Q628" i="1"/>
  <c r="Q626" i="1"/>
  <c r="S626" i="1" s="1"/>
  <c r="Q625" i="1"/>
  <c r="S625" i="1" s="1"/>
  <c r="Q624" i="1"/>
  <c r="S624" i="1" s="1"/>
  <c r="Q621" i="1"/>
  <c r="Q620" i="1"/>
  <c r="Q619" i="1"/>
  <c r="Q617" i="1"/>
  <c r="Q616" i="1"/>
  <c r="Q615" i="1"/>
  <c r="Q613" i="1"/>
  <c r="Q612" i="1"/>
  <c r="Q611" i="1"/>
  <c r="Q609" i="1"/>
  <c r="S609" i="1" s="1"/>
  <c r="Q608" i="1"/>
  <c r="Q607" i="1"/>
  <c r="Q605" i="1"/>
  <c r="S605" i="1" s="1"/>
  <c r="Q604" i="1"/>
  <c r="Q603" i="1"/>
  <c r="S603" i="1" s="1"/>
  <c r="Q600" i="1"/>
  <c r="S600" i="1" s="1"/>
  <c r="Q599" i="1"/>
  <c r="Q598" i="1"/>
  <c r="S598" i="1" s="1"/>
  <c r="Q596" i="1"/>
  <c r="Q595" i="1"/>
  <c r="Q594" i="1"/>
  <c r="S594" i="1" s="1"/>
  <c r="Q592" i="1"/>
  <c r="S592" i="1" s="1"/>
  <c r="Q591" i="1"/>
  <c r="Q590" i="1"/>
  <c r="S590" i="1" s="1"/>
  <c r="Q588" i="1"/>
  <c r="Q587" i="1"/>
  <c r="Q586" i="1"/>
  <c r="S586" i="1" s="1"/>
  <c r="Q584" i="1"/>
  <c r="S584" i="1" s="1"/>
  <c r="Q583" i="1"/>
  <c r="S583" i="1" s="1"/>
  <c r="Q582" i="1"/>
  <c r="Q580" i="1"/>
  <c r="X578" i="1"/>
  <c r="Q577" i="1"/>
  <c r="Q576" i="1"/>
  <c r="S576" i="1" s="1"/>
  <c r="Q575" i="1"/>
  <c r="Q573" i="1"/>
  <c r="S573" i="1" s="1"/>
  <c r="Q572" i="1"/>
  <c r="S572" i="1" s="1"/>
  <c r="Q571" i="1"/>
  <c r="Q569" i="1"/>
  <c r="Q568" i="1"/>
  <c r="S568" i="1" s="1"/>
  <c r="Q567" i="1"/>
  <c r="S567" i="1" s="1"/>
  <c r="Q564" i="1"/>
  <c r="S564" i="1" s="1"/>
  <c r="Q563" i="1"/>
  <c r="S563" i="1" s="1"/>
  <c r="Q561" i="1"/>
  <c r="Q560" i="1"/>
  <c r="Q559" i="1"/>
  <c r="S559" i="1" s="1"/>
  <c r="Q557" i="1"/>
  <c r="S557" i="1" s="1"/>
  <c r="Q556" i="1"/>
  <c r="S556" i="1" s="1"/>
  <c r="Q555" i="1"/>
  <c r="Q553" i="1"/>
  <c r="Q552" i="1"/>
  <c r="Q551" i="1"/>
  <c r="Q549" i="1"/>
  <c r="Q548" i="1"/>
  <c r="Q547" i="1"/>
  <c r="S547" i="1" s="1"/>
  <c r="Q545" i="1"/>
  <c r="Q544" i="1"/>
  <c r="Q543" i="1"/>
  <c r="S543" i="1" s="1"/>
  <c r="Q541" i="1"/>
  <c r="Q539" i="1"/>
  <c r="R537" i="1"/>
  <c r="Q536" i="1"/>
  <c r="Q535" i="1"/>
  <c r="Q534" i="1"/>
  <c r="Q532" i="1"/>
  <c r="Q531" i="1"/>
  <c r="Q530" i="1"/>
  <c r="S530" i="1" s="1"/>
  <c r="Q528" i="1"/>
  <c r="S528" i="1" s="1"/>
  <c r="Q527" i="1"/>
  <c r="S527" i="1" s="1"/>
  <c r="Q526" i="1"/>
  <c r="S526" i="1" s="1"/>
  <c r="Q524" i="1"/>
  <c r="Q523" i="1"/>
  <c r="Q522" i="1"/>
  <c r="Q520" i="1"/>
  <c r="Q519" i="1"/>
  <c r="Q518" i="1"/>
  <c r="Q515" i="1"/>
  <c r="Q514" i="1"/>
  <c r="Q511" i="1"/>
  <c r="S511" i="1" s="1"/>
  <c r="Q508" i="1"/>
  <c r="Q507" i="1"/>
  <c r="S507" i="1" s="1"/>
  <c r="Q506" i="1"/>
  <c r="Q504" i="1"/>
  <c r="Q503" i="1"/>
  <c r="Q502" i="1"/>
  <c r="S502" i="1" s="1"/>
  <c r="Q500" i="1"/>
  <c r="S500" i="1" s="1"/>
  <c r="Q499" i="1"/>
  <c r="Q498" i="1"/>
  <c r="S498" i="1" s="1"/>
  <c r="Q496" i="1"/>
  <c r="S496" i="1" s="1"/>
  <c r="Q495" i="1"/>
  <c r="S495" i="1" s="1"/>
  <c r="Q494" i="1"/>
  <c r="Q492" i="1"/>
  <c r="Q491" i="1"/>
  <c r="S491" i="1" s="1"/>
  <c r="Q490" i="1"/>
  <c r="Q488" i="1"/>
  <c r="Q487" i="1"/>
  <c r="S487" i="1" s="1"/>
  <c r="Q486" i="1"/>
  <c r="Q484" i="1"/>
  <c r="Q483" i="1"/>
  <c r="S483" i="1" s="1"/>
  <c r="Q482" i="1"/>
  <c r="Q480" i="1"/>
  <c r="Q479" i="1"/>
  <c r="S479" i="1" s="1"/>
  <c r="Q478" i="1"/>
  <c r="Q476" i="1"/>
  <c r="Q475" i="1"/>
  <c r="S475" i="1" s="1"/>
  <c r="Q474" i="1"/>
  <c r="Q472" i="1"/>
  <c r="Q471" i="1"/>
  <c r="Q470" i="1"/>
  <c r="Q467" i="1"/>
  <c r="Q466" i="1"/>
  <c r="S466" i="1" s="1"/>
  <c r="Q465" i="1"/>
  <c r="Q463" i="1"/>
  <c r="Q462" i="1"/>
  <c r="S462" i="1" s="1"/>
  <c r="Q461" i="1"/>
  <c r="Q459" i="1"/>
  <c r="Q458" i="1"/>
  <c r="Q457" i="1"/>
  <c r="X455" i="1"/>
  <c r="Q454" i="1"/>
  <c r="Q453" i="1"/>
  <c r="Q452" i="1"/>
  <c r="Q450" i="1"/>
  <c r="Q449" i="1"/>
  <c r="Q448" i="1"/>
  <c r="Q446" i="1"/>
  <c r="Q445" i="1"/>
  <c r="Q444" i="1"/>
  <c r="P441" i="1"/>
  <c r="Q440" i="1"/>
  <c r="Q439" i="1"/>
  <c r="Q438" i="1"/>
  <c r="Q437" i="1"/>
  <c r="Q436" i="1"/>
  <c r="Q435" i="1"/>
  <c r="Q434" i="1"/>
  <c r="Q433" i="1"/>
  <c r="Q432" i="1"/>
  <c r="S432" i="1" s="1"/>
  <c r="Q431" i="1"/>
  <c r="Q430" i="1"/>
  <c r="Q429" i="1"/>
  <c r="Q428" i="1"/>
  <c r="Q427" i="1"/>
  <c r="Q426" i="1"/>
  <c r="Q425" i="1"/>
  <c r="Q424" i="1"/>
  <c r="S424" i="1" s="1"/>
  <c r="Q423" i="1"/>
  <c r="S423" i="1" s="1"/>
  <c r="Q422" i="1"/>
  <c r="S422" i="1" s="1"/>
  <c r="Q420" i="1"/>
  <c r="Q419" i="1"/>
  <c r="Q418" i="1"/>
  <c r="Q416" i="1"/>
  <c r="Q415" i="1"/>
  <c r="Q414" i="1"/>
  <c r="Q412" i="1"/>
  <c r="S412" i="1" s="1"/>
  <c r="P410" i="1"/>
  <c r="Q409" i="1"/>
  <c r="Q408" i="1"/>
  <c r="S408" i="1" s="1"/>
  <c r="Q407" i="1"/>
  <c r="S407" i="1" s="1"/>
  <c r="Q406" i="1"/>
  <c r="Q405" i="1"/>
  <c r="Q404" i="1"/>
  <c r="Q403" i="1"/>
  <c r="Q402" i="1"/>
  <c r="S402" i="1" s="1"/>
  <c r="Q401" i="1"/>
  <c r="Q400" i="1"/>
  <c r="Q399" i="1"/>
  <c r="Q398" i="1"/>
  <c r="S398" i="1" s="1"/>
  <c r="Q397" i="1"/>
  <c r="Q396" i="1"/>
  <c r="Q395" i="1"/>
  <c r="Q393" i="1"/>
  <c r="Q392" i="1"/>
  <c r="S392" i="1" s="1"/>
  <c r="Q391" i="1"/>
  <c r="X389" i="1"/>
  <c r="Q388" i="1"/>
  <c r="S388" i="1" s="1"/>
  <c r="Q387" i="1"/>
  <c r="Q384" i="1"/>
  <c r="Q383" i="1"/>
  <c r="S383" i="1" s="1"/>
  <c r="Q382" i="1"/>
  <c r="Q380" i="1"/>
  <c r="S380" i="1" s="1"/>
  <c r="Q379" i="1"/>
  <c r="Q378" i="1"/>
  <c r="Q376" i="1"/>
  <c r="S376" i="1" s="1"/>
  <c r="Q375" i="1"/>
  <c r="Q374" i="1"/>
  <c r="Q373" i="1"/>
  <c r="S373" i="1" s="1"/>
  <c r="Q372" i="1"/>
  <c r="Q371" i="1"/>
  <c r="Q370" i="1"/>
  <c r="Q369" i="1"/>
  <c r="S369" i="1" s="1"/>
  <c r="Q368" i="1"/>
  <c r="Q367" i="1"/>
  <c r="Q366" i="1"/>
  <c r="Q365" i="1"/>
  <c r="Q364" i="1"/>
  <c r="S364" i="1" s="1"/>
  <c r="Q363" i="1"/>
  <c r="Q362" i="1"/>
  <c r="S362" i="1" s="1"/>
  <c r="Q361" i="1"/>
  <c r="Q360" i="1"/>
  <c r="Q359" i="1"/>
  <c r="Q358" i="1"/>
  <c r="Q357" i="1"/>
  <c r="Q354" i="1"/>
  <c r="Q353" i="1"/>
  <c r="S353" i="1" s="1"/>
  <c r="Q352" i="1"/>
  <c r="Q350" i="1"/>
  <c r="Q349" i="1"/>
  <c r="Q348" i="1"/>
  <c r="S348" i="1" s="1"/>
  <c r="Q347" i="1"/>
  <c r="Q346" i="1"/>
  <c r="Q345" i="1"/>
  <c r="S345" i="1" s="1"/>
  <c r="Q344" i="1"/>
  <c r="Q343" i="1"/>
  <c r="Q342" i="1"/>
  <c r="Q341" i="1"/>
  <c r="S341" i="1" s="1"/>
  <c r="Q340" i="1"/>
  <c r="S340" i="1" s="1"/>
  <c r="Q339" i="1"/>
  <c r="Q338" i="1"/>
  <c r="S338" i="1" s="1"/>
  <c r="Q337" i="1"/>
  <c r="S337" i="1" s="1"/>
  <c r="Q336" i="1"/>
  <c r="S336" i="1" s="1"/>
  <c r="Q335" i="1"/>
  <c r="Q334" i="1"/>
  <c r="Q333" i="1"/>
  <c r="Q332" i="1"/>
  <c r="Q330" i="1"/>
  <c r="S330" i="1" s="1"/>
  <c r="Q329" i="1"/>
  <c r="S329" i="1" s="1"/>
  <c r="Q328" i="1"/>
  <c r="Q326" i="1"/>
  <c r="S326" i="1" s="1"/>
  <c r="Q325" i="1"/>
  <c r="Q324" i="1"/>
  <c r="Q322" i="1"/>
  <c r="Q321" i="1"/>
  <c r="S321" i="1" s="1"/>
  <c r="Q320" i="1"/>
  <c r="Q318" i="1"/>
  <c r="Q317" i="1"/>
  <c r="Q316" i="1"/>
  <c r="Q314" i="1"/>
  <c r="X312" i="1"/>
  <c r="R312" i="1"/>
  <c r="Q311" i="1"/>
  <c r="R308" i="1"/>
  <c r="Q307" i="1"/>
  <c r="Q306" i="1"/>
  <c r="Q305" i="1"/>
  <c r="Q303" i="1"/>
  <c r="Q302" i="1"/>
  <c r="S302" i="1" s="1"/>
  <c r="Q301" i="1"/>
  <c r="Q299" i="1"/>
  <c r="Q298" i="1"/>
  <c r="S298" i="1" s="1"/>
  <c r="Q297" i="1"/>
  <c r="Q295" i="1"/>
  <c r="Q294" i="1"/>
  <c r="S294" i="1" s="1"/>
  <c r="Q293" i="1"/>
  <c r="Q292" i="1"/>
  <c r="Q291" i="1"/>
  <c r="Q290" i="1"/>
  <c r="Q289" i="1"/>
  <c r="Q288" i="1"/>
  <c r="X286" i="1"/>
  <c r="Q285" i="1"/>
  <c r="Q284" i="1"/>
  <c r="Q283" i="1"/>
  <c r="Q281" i="1"/>
  <c r="S281" i="1" s="1"/>
  <c r="Q280" i="1"/>
  <c r="Q279" i="1"/>
  <c r="S279" i="1" s="1"/>
  <c r="Q277" i="1"/>
  <c r="Q276" i="1"/>
  <c r="S276" i="1" s="1"/>
  <c r="Q275" i="1"/>
  <c r="Q273" i="1"/>
  <c r="Q272" i="1"/>
  <c r="Q271" i="1"/>
  <c r="S271" i="1" s="1"/>
  <c r="Q269" i="1"/>
  <c r="S269" i="1" s="1"/>
  <c r="Q268" i="1"/>
  <c r="S268" i="1" s="1"/>
  <c r="R266" i="1"/>
  <c r="P266" i="1"/>
  <c r="Q265" i="1"/>
  <c r="Q264" i="1"/>
  <c r="S264" i="1" s="1"/>
  <c r="Q263" i="1"/>
  <c r="Q262" i="1"/>
  <c r="Q261" i="1"/>
  <c r="Q260" i="1"/>
  <c r="Q259" i="1"/>
  <c r="Q258" i="1"/>
  <c r="P256" i="1"/>
  <c r="Q255" i="1"/>
  <c r="S255" i="1" s="1"/>
  <c r="Q254" i="1"/>
  <c r="Q253" i="1"/>
  <c r="Q251" i="1"/>
  <c r="Q250" i="1"/>
  <c r="Q249" i="1"/>
  <c r="Q247" i="1"/>
  <c r="Q246" i="1"/>
  <c r="S246" i="1" s="1"/>
  <c r="Q245" i="1"/>
  <c r="S245" i="1" s="1"/>
  <c r="Q243" i="1"/>
  <c r="Q242" i="1"/>
  <c r="Q241" i="1"/>
  <c r="S241" i="1" s="1"/>
  <c r="Q239" i="1"/>
  <c r="S239" i="1" s="1"/>
  <c r="Q238" i="1"/>
  <c r="Q235" i="1"/>
  <c r="Q234" i="1"/>
  <c r="Q233" i="1"/>
  <c r="Q232" i="1"/>
  <c r="Q231" i="1"/>
  <c r="Q230" i="1"/>
  <c r="S230" i="1" s="1"/>
  <c r="Q229" i="1"/>
  <c r="Q228" i="1"/>
  <c r="Q227" i="1"/>
  <c r="Q226" i="1"/>
  <c r="Q225" i="1"/>
  <c r="Q224" i="1"/>
  <c r="S224" i="1" s="1"/>
  <c r="Q223" i="1"/>
  <c r="Q222" i="1"/>
  <c r="S222" i="1" s="1"/>
  <c r="Q221" i="1"/>
  <c r="Q220" i="1"/>
  <c r="S220" i="1" s="1"/>
  <c r="Q219" i="1"/>
  <c r="Q218" i="1"/>
  <c r="Q217" i="1"/>
  <c r="S217" i="1" s="1"/>
  <c r="Q216" i="1"/>
  <c r="Q215" i="1"/>
  <c r="Q214" i="1"/>
  <c r="Q213" i="1"/>
  <c r="S213" i="1" s="1"/>
  <c r="Q211" i="1"/>
  <c r="S211" i="1" s="1"/>
  <c r="Q210" i="1"/>
  <c r="Q209" i="1"/>
  <c r="Q207" i="1"/>
  <c r="Q206" i="1"/>
  <c r="S206" i="1" s="1"/>
  <c r="Q205" i="1"/>
  <c r="Q203" i="1"/>
  <c r="Q202" i="1"/>
  <c r="S202" i="1" s="1"/>
  <c r="Q201" i="1"/>
  <c r="S201" i="1" s="1"/>
  <c r="Q199" i="1"/>
  <c r="Q198" i="1"/>
  <c r="Q197" i="1"/>
  <c r="Q195" i="1"/>
  <c r="Q193" i="1"/>
  <c r="Q191" i="1"/>
  <c r="S191" i="1" s="1"/>
  <c r="Q189" i="1"/>
  <c r="Q187" i="1"/>
  <c r="Q185" i="1"/>
  <c r="S185" i="1" s="1"/>
  <c r="Q183" i="1"/>
  <c r="Q181" i="1"/>
  <c r="S181" i="1" s="1"/>
  <c r="Q179" i="1"/>
  <c r="Q177" i="1"/>
  <c r="X174" i="1"/>
  <c r="Q173" i="1"/>
  <c r="Q172" i="1"/>
  <c r="Q171" i="1"/>
  <c r="Q169" i="1"/>
  <c r="Q165" i="1"/>
  <c r="Q164" i="1"/>
  <c r="Q163" i="1"/>
  <c r="Q161" i="1"/>
  <c r="Q160" i="1"/>
  <c r="Q159" i="1"/>
  <c r="Q157" i="1"/>
  <c r="Q156" i="1"/>
  <c r="Q155" i="1"/>
  <c r="Q153" i="1"/>
  <c r="S153" i="1" s="1"/>
  <c r="X151" i="1"/>
  <c r="R151" i="1"/>
  <c r="P151" i="1"/>
  <c r="Q150" i="1"/>
  <c r="Q149" i="1"/>
  <c r="S149" i="1" s="1"/>
  <c r="X147" i="1"/>
  <c r="Q146" i="1"/>
  <c r="S146" i="1" s="1"/>
  <c r="Q145" i="1"/>
  <c r="Q144" i="1"/>
  <c r="Q142" i="1"/>
  <c r="S142" i="1" s="1"/>
  <c r="Q141" i="1"/>
  <c r="S141" i="1" s="1"/>
  <c r="Q140" i="1"/>
  <c r="Q138" i="1"/>
  <c r="Q137" i="1"/>
  <c r="S137" i="1" s="1"/>
  <c r="Q136" i="1"/>
  <c r="Q134" i="1"/>
  <c r="Q133" i="1"/>
  <c r="Q132" i="1"/>
  <c r="R130" i="1"/>
  <c r="P130" i="1"/>
  <c r="Q129" i="1"/>
  <c r="X126" i="1"/>
  <c r="R126" i="1"/>
  <c r="P126" i="1"/>
  <c r="Q125" i="1"/>
  <c r="S125" i="1" s="1"/>
  <c r="S126" i="1" s="1"/>
  <c r="X123" i="1"/>
  <c r="Q122" i="1"/>
  <c r="Q121" i="1"/>
  <c r="Q120" i="1"/>
  <c r="Q118" i="1"/>
  <c r="Q117" i="1"/>
  <c r="S117" i="1" s="1"/>
  <c r="Q116" i="1"/>
  <c r="X114" i="1"/>
  <c r="R114" i="1"/>
  <c r="P114" i="1"/>
  <c r="Q113" i="1"/>
  <c r="X111" i="1"/>
  <c r="R111" i="1"/>
  <c r="P111" i="1"/>
  <c r="Q110" i="1"/>
  <c r="Q107" i="1"/>
  <c r="Q106" i="1"/>
  <c r="Q105" i="1"/>
  <c r="Q103" i="1"/>
  <c r="Q102" i="1"/>
  <c r="Q101" i="1"/>
  <c r="Q97" i="1"/>
  <c r="Q96" i="1"/>
  <c r="Q95" i="1"/>
  <c r="S95" i="1" s="1"/>
  <c r="Q93" i="1"/>
  <c r="Q92" i="1"/>
  <c r="S92" i="1" s="1"/>
  <c r="Q91" i="1"/>
  <c r="Q89" i="1"/>
  <c r="Q88" i="1"/>
  <c r="Q87" i="1"/>
  <c r="Q85" i="1"/>
  <c r="Q84" i="1"/>
  <c r="S84" i="1" s="1"/>
  <c r="X82" i="1"/>
  <c r="R82" i="1"/>
  <c r="P82" i="1"/>
  <c r="Q81" i="1"/>
  <c r="Q80" i="1"/>
  <c r="S80" i="1" s="1"/>
  <c r="X78" i="1"/>
  <c r="R78" i="1"/>
  <c r="Q77" i="1"/>
  <c r="S77" i="1" s="1"/>
  <c r="S78" i="1" s="1"/>
  <c r="X75" i="1"/>
  <c r="R75" i="1"/>
  <c r="Q74" i="1"/>
  <c r="Q73" i="1"/>
  <c r="S73" i="1" s="1"/>
  <c r="Q72" i="1"/>
  <c r="Q68" i="1"/>
  <c r="Q67" i="1"/>
  <c r="S67" i="1" s="1"/>
  <c r="Q66" i="1"/>
  <c r="Q64" i="1"/>
  <c r="Q63" i="1"/>
  <c r="Q62" i="1"/>
  <c r="Q60" i="1"/>
  <c r="Q59" i="1"/>
  <c r="Q58" i="1"/>
  <c r="Q56" i="1"/>
  <c r="Q55" i="1"/>
  <c r="Q54" i="1"/>
  <c r="P51" i="1"/>
  <c r="Q50" i="1"/>
  <c r="Q49" i="1"/>
  <c r="Q48" i="1"/>
  <c r="X46" i="1"/>
  <c r="P46" i="1"/>
  <c r="Q45" i="1"/>
  <c r="Q44" i="1"/>
  <c r="Q41" i="1"/>
  <c r="Q40" i="1"/>
  <c r="Q39" i="1"/>
  <c r="S39" i="1" s="1"/>
  <c r="Q37" i="1"/>
  <c r="Q36" i="1"/>
  <c r="Q35" i="1"/>
  <c r="Q33" i="1"/>
  <c r="Q32" i="1"/>
  <c r="Q31" i="1"/>
  <c r="S31" i="1" s="1"/>
  <c r="Q29" i="1"/>
  <c r="Q28" i="1"/>
  <c r="Q27" i="1"/>
  <c r="Q25" i="1"/>
  <c r="Q23" i="1"/>
  <c r="Q21" i="1"/>
  <c r="Q19" i="1"/>
  <c r="Q17" i="1"/>
  <c r="Q15" i="1"/>
  <c r="S15" i="1" s="1"/>
  <c r="Q13" i="1"/>
  <c r="Q11" i="1"/>
  <c r="Q9" i="1"/>
  <c r="Q7" i="1"/>
  <c r="Q5" i="1"/>
  <c r="W729" i="1" l="1"/>
  <c r="W730" i="1"/>
  <c r="S352" i="1"/>
  <c r="S653" i="1"/>
  <c r="W726" i="1"/>
  <c r="W728" i="1"/>
  <c r="Q389" i="1"/>
  <c r="S324" i="1"/>
  <c r="S709" i="1"/>
  <c r="S680" i="1"/>
  <c r="S658" i="1"/>
  <c r="S618" i="1"/>
  <c r="S589" i="1"/>
  <c r="S574" i="1"/>
  <c r="S541" i="1"/>
  <c r="S553" i="1"/>
  <c r="S521" i="1"/>
  <c r="S533" i="1"/>
  <c r="S489" i="1"/>
  <c r="S497" i="1"/>
  <c r="S501" i="1"/>
  <c r="S478" i="1"/>
  <c r="R389" i="1"/>
  <c r="S377" i="1"/>
  <c r="S319" i="1"/>
  <c r="S331" i="1"/>
  <c r="S335" i="1"/>
  <c r="S343" i="1"/>
  <c r="S347" i="1"/>
  <c r="S300" i="1"/>
  <c r="S282" i="1"/>
  <c r="S240" i="1"/>
  <c r="S244" i="1"/>
  <c r="S248" i="1"/>
  <c r="S180" i="1"/>
  <c r="S200" i="1"/>
  <c r="S178" i="1"/>
  <c r="S90" i="1"/>
  <c r="S65" i="1"/>
  <c r="Q715" i="1"/>
  <c r="Q703" i="1"/>
  <c r="Q707" i="1" s="1"/>
  <c r="Q693" i="1"/>
  <c r="S693" i="1" s="1"/>
  <c r="Q672" i="1"/>
  <c r="S672" i="1" s="1"/>
  <c r="Q627" i="1"/>
  <c r="S627" i="1" s="1"/>
  <c r="Q606" i="1"/>
  <c r="S606" i="1" s="1"/>
  <c r="Q581" i="1"/>
  <c r="Q570" i="1"/>
  <c r="S570" i="1" s="1"/>
  <c r="Q540" i="1"/>
  <c r="S540" i="1" s="1"/>
  <c r="S516" i="1"/>
  <c r="Q513" i="1"/>
  <c r="S513" i="1" s="1"/>
  <c r="P509" i="1"/>
  <c r="Q443" i="1"/>
  <c r="S421" i="1"/>
  <c r="S394" i="1"/>
  <c r="S332" i="1"/>
  <c r="Q310" i="1"/>
  <c r="S310" i="1" s="1"/>
  <c r="Q270" i="1"/>
  <c r="S208" i="1"/>
  <c r="P236" i="1"/>
  <c r="Q170" i="1"/>
  <c r="Q154" i="1"/>
  <c r="Q135" i="1"/>
  <c r="S135" i="1" s="1"/>
  <c r="Q119" i="1"/>
  <c r="P108" i="1"/>
  <c r="Q86" i="1"/>
  <c r="S86" i="1" s="1"/>
  <c r="P75" i="1"/>
  <c r="Q53" i="1"/>
  <c r="S50" i="1"/>
  <c r="S6" i="1"/>
  <c r="S25" i="1"/>
  <c r="P42" i="1"/>
  <c r="R51" i="1"/>
  <c r="R46" i="1"/>
  <c r="S40" i="1"/>
  <c r="S49" i="1"/>
  <c r="S62" i="1"/>
  <c r="S209" i="1"/>
  <c r="S277" i="1"/>
  <c r="S363" i="1"/>
  <c r="S384" i="1"/>
  <c r="S427" i="1"/>
  <c r="S438" i="1"/>
  <c r="S457" i="1"/>
  <c r="S515" i="1"/>
  <c r="S517" i="1"/>
  <c r="S520" i="1"/>
  <c r="S615" i="1"/>
  <c r="S633" i="1"/>
  <c r="S652" i="1"/>
  <c r="S686" i="1"/>
  <c r="S730" i="1"/>
  <c r="S5" i="1"/>
  <c r="S16" i="1"/>
  <c r="S20" i="1"/>
  <c r="S188" i="1"/>
  <c r="S17" i="1"/>
  <c r="S28" i="1"/>
  <c r="S36" i="1"/>
  <c r="S10" i="1"/>
  <c r="S14" i="1"/>
  <c r="Q75" i="1"/>
  <c r="S116" i="1"/>
  <c r="Q126" i="1"/>
  <c r="S311" i="1"/>
  <c r="S472" i="1"/>
  <c r="S536" i="1"/>
  <c r="S550" i="1"/>
  <c r="S558" i="1"/>
  <c r="S655" i="1"/>
  <c r="R42" i="1"/>
  <c r="S30" i="1"/>
  <c r="S3" i="1"/>
  <c r="Q46" i="1"/>
  <c r="Q51" i="1"/>
  <c r="S74" i="1"/>
  <c r="S173" i="1"/>
  <c r="S186" i="1"/>
  <c r="S198" i="1"/>
  <c r="S219" i="1"/>
  <c r="S233" i="1"/>
  <c r="S274" i="1"/>
  <c r="S328" i="1"/>
  <c r="S357" i="1"/>
  <c r="S378" i="1"/>
  <c r="S397" i="1"/>
  <c r="S400" i="1"/>
  <c r="S420" i="1"/>
  <c r="S429" i="1"/>
  <c r="S431" i="1"/>
  <c r="S474" i="1"/>
  <c r="S697" i="1"/>
  <c r="S717" i="1"/>
  <c r="W731" i="1"/>
  <c r="W734" i="1"/>
  <c r="Q151" i="1"/>
  <c r="W733" i="1"/>
  <c r="S60" i="1"/>
  <c r="S66" i="1"/>
  <c r="S102" i="1"/>
  <c r="S136" i="1"/>
  <c r="S163" i="1"/>
  <c r="S193" i="1"/>
  <c r="S292" i="1"/>
  <c r="S304" i="1"/>
  <c r="S307" i="1"/>
  <c r="S342" i="1"/>
  <c r="S361" i="1"/>
  <c r="S382" i="1"/>
  <c r="S460" i="1"/>
  <c r="S613" i="1"/>
  <c r="S662" i="1"/>
  <c r="W732" i="1"/>
  <c r="S334" i="1"/>
  <c r="S470" i="1"/>
  <c r="S518" i="1"/>
  <c r="S548" i="1"/>
  <c r="S593" i="1"/>
  <c r="S604" i="1"/>
  <c r="S664" i="1"/>
  <c r="S375" i="1"/>
  <c r="S629" i="1"/>
  <c r="S654" i="1"/>
  <c r="S104" i="1"/>
  <c r="S118" i="1"/>
  <c r="S129" i="1"/>
  <c r="S130" i="1" s="1"/>
  <c r="S177" i="1"/>
  <c r="S258" i="1"/>
  <c r="S346" i="1"/>
  <c r="S354" i="1"/>
  <c r="S409" i="1"/>
  <c r="S430" i="1"/>
  <c r="S484" i="1"/>
  <c r="S508" i="1"/>
  <c r="S539" i="1"/>
  <c r="S679" i="1"/>
  <c r="S690" i="1"/>
  <c r="S716" i="1"/>
  <c r="S11" i="1"/>
  <c r="S41" i="1"/>
  <c r="S93" i="1"/>
  <c r="S107" i="1"/>
  <c r="S192" i="1"/>
  <c r="S327" i="1"/>
  <c r="S367" i="1"/>
  <c r="S461" i="1"/>
  <c r="S473" i="1"/>
  <c r="S619" i="1"/>
  <c r="S667" i="1"/>
  <c r="S215" i="1"/>
  <c r="S226" i="1"/>
  <c r="S718" i="1"/>
  <c r="S134" i="1"/>
  <c r="S59" i="1"/>
  <c r="S207" i="1"/>
  <c r="S218" i="1"/>
  <c r="S318" i="1"/>
  <c r="S426" i="1"/>
  <c r="S635" i="1"/>
  <c r="S160" i="1"/>
  <c r="S196" i="1"/>
  <c r="S229" i="1"/>
  <c r="S350" i="1"/>
  <c r="S371" i="1"/>
  <c r="S453" i="1"/>
  <c r="S492" i="1"/>
  <c r="S524" i="1"/>
  <c r="S534" i="1"/>
  <c r="S612" i="1"/>
  <c r="S650" i="1"/>
  <c r="S661" i="1"/>
  <c r="S138" i="1"/>
  <c r="S159" i="1"/>
  <c r="S465" i="1"/>
  <c r="S555" i="1"/>
  <c r="S172" i="1"/>
  <c r="S242" i="1"/>
  <c r="S253" i="1"/>
  <c r="S290" i="1"/>
  <c r="S503" i="1"/>
  <c r="S23" i="1"/>
  <c r="S64" i="1"/>
  <c r="S164" i="1"/>
  <c r="S395" i="1"/>
  <c r="S387" i="1"/>
  <c r="S389" i="1" s="1"/>
  <c r="S595" i="1"/>
  <c r="S157" i="1"/>
  <c r="S532" i="1"/>
  <c r="S133" i="1"/>
  <c r="S145" i="1"/>
  <c r="S288" i="1"/>
  <c r="S301" i="1"/>
  <c r="S414" i="1"/>
  <c r="S463" i="1"/>
  <c r="S599" i="1"/>
  <c r="S694" i="1"/>
  <c r="S183" i="1"/>
  <c r="S195" i="1"/>
  <c r="S228" i="1"/>
  <c r="S275" i="1"/>
  <c r="S349" i="1"/>
  <c r="S358" i="1"/>
  <c r="S370" i="1"/>
  <c r="S401" i="1"/>
  <c r="S660" i="1"/>
  <c r="S435" i="1"/>
  <c r="Q130" i="1"/>
  <c r="S259" i="1"/>
  <c r="S216" i="1"/>
  <c r="S227" i="1"/>
  <c r="S262" i="1"/>
  <c r="S57" i="1"/>
  <c r="S122" i="1"/>
  <c r="S339" i="1"/>
  <c r="S425" i="1"/>
  <c r="S434" i="1"/>
  <c r="S512" i="1"/>
  <c r="S522" i="1"/>
  <c r="S575" i="1"/>
  <c r="S647" i="1"/>
  <c r="S554" i="1"/>
  <c r="S476" i="1"/>
  <c r="S88" i="1"/>
  <c r="S161" i="1"/>
  <c r="S197" i="1"/>
  <c r="S243" i="1"/>
  <c r="S254" i="1"/>
  <c r="S372" i="1"/>
  <c r="S393" i="1"/>
  <c r="S493" i="1"/>
  <c r="S525" i="1"/>
  <c r="S546" i="1"/>
  <c r="S449" i="1"/>
  <c r="S428" i="1"/>
  <c r="S494" i="1"/>
  <c r="S506" i="1"/>
  <c r="S687" i="1"/>
  <c r="U451" i="1"/>
  <c r="V451" i="1" s="1"/>
  <c r="W451" i="1" s="1"/>
  <c r="U36" i="1"/>
  <c r="V36" i="1" s="1"/>
  <c r="W36" i="1" s="1"/>
  <c r="U49" i="1"/>
  <c r="V49" i="1" s="1"/>
  <c r="W49" i="1" s="1"/>
  <c r="U57" i="1"/>
  <c r="V57" i="1" s="1"/>
  <c r="W57" i="1" s="1"/>
  <c r="U198" i="1"/>
  <c r="V198" i="1" s="1"/>
  <c r="W198" i="1" s="1"/>
  <c r="U143" i="1"/>
  <c r="V143" i="1" s="1"/>
  <c r="W143" i="1" s="1"/>
  <c r="U6" i="1"/>
  <c r="V6" i="1" s="1"/>
  <c r="W6" i="1" s="1"/>
  <c r="U107" i="1"/>
  <c r="V107" i="1" s="1"/>
  <c r="W107" i="1" s="1"/>
  <c r="U122" i="1"/>
  <c r="V122" i="1" s="1"/>
  <c r="W122" i="1" s="1"/>
  <c r="U133" i="1"/>
  <c r="V133" i="1" s="1"/>
  <c r="W133" i="1" s="1"/>
  <c r="U140" i="1"/>
  <c r="V140" i="1" s="1"/>
  <c r="W140" i="1" s="1"/>
  <c r="U41" i="1"/>
  <c r="V41" i="1" s="1"/>
  <c r="W41" i="1" s="1"/>
  <c r="U472" i="1"/>
  <c r="V472" i="1" s="1"/>
  <c r="W472" i="1" s="1"/>
  <c r="U37" i="1"/>
  <c r="V37" i="1" s="1"/>
  <c r="W37" i="1" s="1"/>
  <c r="U178" i="1"/>
  <c r="V178" i="1" s="1"/>
  <c r="W178" i="1" s="1"/>
  <c r="U280" i="1"/>
  <c r="V280" i="1" s="1"/>
  <c r="W280" i="1" s="1"/>
  <c r="U314" i="1"/>
  <c r="U352" i="1"/>
  <c r="V352" i="1" s="1"/>
  <c r="W352" i="1" s="1"/>
  <c r="U64" i="1"/>
  <c r="V64" i="1" s="1"/>
  <c r="W64" i="1" s="1"/>
  <c r="U172" i="1"/>
  <c r="V172" i="1" s="1"/>
  <c r="W172" i="1" s="1"/>
  <c r="U227" i="1"/>
  <c r="V227" i="1" s="1"/>
  <c r="W227" i="1" s="1"/>
  <c r="U405" i="1"/>
  <c r="V405" i="1" s="1"/>
  <c r="W405" i="1" s="1"/>
  <c r="U95" i="1"/>
  <c r="V95" i="1" s="1"/>
  <c r="W95" i="1" s="1"/>
  <c r="U136" i="1"/>
  <c r="V136" i="1" s="1"/>
  <c r="W136" i="1" s="1"/>
  <c r="U654" i="1"/>
  <c r="V654" i="1" s="1"/>
  <c r="W654" i="1" s="1"/>
  <c r="U247" i="1"/>
  <c r="V247" i="1" s="1"/>
  <c r="W247" i="1" s="1"/>
  <c r="U27" i="1"/>
  <c r="V27" i="1" s="1"/>
  <c r="W27" i="1" s="1"/>
  <c r="U50" i="1"/>
  <c r="V50" i="1" s="1"/>
  <c r="W50" i="1" s="1"/>
  <c r="U53" i="1"/>
  <c r="U156" i="1"/>
  <c r="V156" i="1" s="1"/>
  <c r="W156" i="1" s="1"/>
  <c r="U200" i="1"/>
  <c r="V200" i="1" s="1"/>
  <c r="W200" i="1" s="1"/>
  <c r="U310" i="1"/>
  <c r="U19" i="1"/>
  <c r="V19" i="1" s="1"/>
  <c r="W19" i="1" s="1"/>
  <c r="U91" i="1"/>
  <c r="V91" i="1" s="1"/>
  <c r="W91" i="1" s="1"/>
  <c r="U120" i="1"/>
  <c r="V120" i="1" s="1"/>
  <c r="W120" i="1" s="1"/>
  <c r="U504" i="1"/>
  <c r="V504" i="1" s="1"/>
  <c r="W504" i="1" s="1"/>
  <c r="U409" i="1"/>
  <c r="V409" i="1" s="1"/>
  <c r="W409" i="1" s="1"/>
  <c r="U8" i="1"/>
  <c r="V8" i="1" s="1"/>
  <c r="W8" i="1" s="1"/>
  <c r="U161" i="1"/>
  <c r="V161" i="1" s="1"/>
  <c r="W161" i="1" s="1"/>
  <c r="U350" i="1"/>
  <c r="V350" i="1" s="1"/>
  <c r="W350" i="1" s="1"/>
  <c r="U38" i="1"/>
  <c r="V38" i="1" s="1"/>
  <c r="W38" i="1" s="1"/>
  <c r="U13" i="1"/>
  <c r="V13" i="1" s="1"/>
  <c r="W13" i="1" s="1"/>
  <c r="U81" i="1"/>
  <c r="V81" i="1" s="1"/>
  <c r="W81" i="1" s="1"/>
  <c r="U193" i="1"/>
  <c r="V193" i="1" s="1"/>
  <c r="W193" i="1" s="1"/>
  <c r="U22" i="1"/>
  <c r="V22" i="1" s="1"/>
  <c r="W22" i="1" s="1"/>
  <c r="U105" i="1"/>
  <c r="V105" i="1" s="1"/>
  <c r="W105" i="1" s="1"/>
  <c r="U298" i="1"/>
  <c r="V298" i="1" s="1"/>
  <c r="W298" i="1" s="1"/>
  <c r="U25" i="1"/>
  <c r="V25" i="1" s="1"/>
  <c r="W25" i="1" s="1"/>
  <c r="U66" i="1"/>
  <c r="V66" i="1" s="1"/>
  <c r="W66" i="1" s="1"/>
  <c r="U138" i="1"/>
  <c r="V138" i="1" s="1"/>
  <c r="W138" i="1" s="1"/>
  <c r="U145" i="1"/>
  <c r="V145" i="1" s="1"/>
  <c r="W145" i="1" s="1"/>
  <c r="U428" i="1"/>
  <c r="V428" i="1" s="1"/>
  <c r="W428" i="1" s="1"/>
  <c r="U40" i="1"/>
  <c r="V40" i="1" s="1"/>
  <c r="W40" i="1" s="1"/>
  <c r="U59" i="1"/>
  <c r="V59" i="1" s="1"/>
  <c r="W59" i="1" s="1"/>
  <c r="U212" i="1"/>
  <c r="V212" i="1" s="1"/>
  <c r="W212" i="1" s="1"/>
  <c r="U205" i="1"/>
  <c r="V205" i="1" s="1"/>
  <c r="W205" i="1" s="1"/>
  <c r="U33" i="1"/>
  <c r="V33" i="1" s="1"/>
  <c r="W33" i="1" s="1"/>
  <c r="U15" i="1"/>
  <c r="V15" i="1" s="1"/>
  <c r="W15" i="1" s="1"/>
  <c r="U188" i="1"/>
  <c r="V188" i="1" s="1"/>
  <c r="W188" i="1" s="1"/>
  <c r="U39" i="1"/>
  <c r="V39" i="1" s="1"/>
  <c r="W39" i="1" s="1"/>
  <c r="U4" i="1"/>
  <c r="V4" i="1" s="1"/>
  <c r="W4" i="1" s="1"/>
  <c r="U44" i="1"/>
  <c r="U374" i="1"/>
  <c r="V374" i="1" s="1"/>
  <c r="W374" i="1" s="1"/>
  <c r="U29" i="1"/>
  <c r="V29" i="1" s="1"/>
  <c r="W29" i="1" s="1"/>
  <c r="U17" i="1"/>
  <c r="V17" i="1" s="1"/>
  <c r="W17" i="1" s="1"/>
  <c r="U61" i="1"/>
  <c r="V61" i="1" s="1"/>
  <c r="W61" i="1" s="1"/>
  <c r="U128" i="1"/>
  <c r="U166" i="1"/>
  <c r="V166" i="1" s="1"/>
  <c r="W166" i="1" s="1"/>
  <c r="U270" i="1"/>
  <c r="V270" i="1" s="1"/>
  <c r="U291" i="1"/>
  <c r="V291" i="1" s="1"/>
  <c r="W291" i="1" s="1"/>
  <c r="U294" i="1"/>
  <c r="V294" i="1" s="1"/>
  <c r="W294" i="1" s="1"/>
  <c r="U303" i="1"/>
  <c r="V303" i="1" s="1"/>
  <c r="W303" i="1" s="1"/>
  <c r="U433" i="1"/>
  <c r="V433" i="1" s="1"/>
  <c r="W433" i="1" s="1"/>
  <c r="U125" i="1"/>
  <c r="U229" i="1"/>
  <c r="V229" i="1" s="1"/>
  <c r="W229" i="1" s="1"/>
  <c r="U241" i="1"/>
  <c r="V241" i="1" s="1"/>
  <c r="W241" i="1" s="1"/>
  <c r="U364" i="1"/>
  <c r="V364" i="1" s="1"/>
  <c r="W364" i="1" s="1"/>
  <c r="U420" i="1"/>
  <c r="V420" i="1" s="1"/>
  <c r="W420" i="1" s="1"/>
  <c r="U454" i="1"/>
  <c r="V454" i="1" s="1"/>
  <c r="W454" i="1" s="1"/>
  <c r="U97" i="1"/>
  <c r="V97" i="1" s="1"/>
  <c r="W97" i="1" s="1"/>
  <c r="U159" i="1"/>
  <c r="V159" i="1" s="1"/>
  <c r="W159" i="1" s="1"/>
  <c r="U164" i="1"/>
  <c r="V164" i="1" s="1"/>
  <c r="W164" i="1" s="1"/>
  <c r="U191" i="1"/>
  <c r="V191" i="1" s="1"/>
  <c r="W191" i="1" s="1"/>
  <c r="U239" i="1"/>
  <c r="V239" i="1" s="1"/>
  <c r="W239" i="1" s="1"/>
  <c r="U262" i="1"/>
  <c r="V262" i="1" s="1"/>
  <c r="W262" i="1" s="1"/>
  <c r="U304" i="1"/>
  <c r="V304" i="1" s="1"/>
  <c r="W304" i="1" s="1"/>
  <c r="U333" i="1"/>
  <c r="V333" i="1" s="1"/>
  <c r="W333" i="1" s="1"/>
  <c r="U134" i="1"/>
  <c r="V134" i="1" s="1"/>
  <c r="W134" i="1" s="1"/>
  <c r="U170" i="1"/>
  <c r="V170" i="1" s="1"/>
  <c r="U186" i="1"/>
  <c r="V186" i="1" s="1"/>
  <c r="W186" i="1" s="1"/>
  <c r="U253" i="1"/>
  <c r="V253" i="1" s="1"/>
  <c r="W253" i="1" s="1"/>
  <c r="U274" i="1"/>
  <c r="V274" i="1" s="1"/>
  <c r="W274" i="1" s="1"/>
  <c r="U307" i="1"/>
  <c r="V307" i="1" s="1"/>
  <c r="W307" i="1" s="1"/>
  <c r="U545" i="1"/>
  <c r="V545" i="1" s="1"/>
  <c r="W545" i="1" s="1"/>
  <c r="U110" i="1"/>
  <c r="U225" i="1"/>
  <c r="V225" i="1" s="1"/>
  <c r="W225" i="1" s="1"/>
  <c r="U269" i="1"/>
  <c r="V269" i="1" s="1"/>
  <c r="W269" i="1" s="1"/>
  <c r="U348" i="1"/>
  <c r="V348" i="1" s="1"/>
  <c r="W348" i="1" s="1"/>
  <c r="U395" i="1"/>
  <c r="V395" i="1" s="1"/>
  <c r="W395" i="1" s="1"/>
  <c r="U414" i="1"/>
  <c r="V414" i="1" s="1"/>
  <c r="W414" i="1" s="1"/>
  <c r="U452" i="1"/>
  <c r="V452" i="1" s="1"/>
  <c r="W452" i="1" s="1"/>
  <c r="U204" i="1"/>
  <c r="V204" i="1" s="1"/>
  <c r="W204" i="1" s="1"/>
  <c r="U245" i="1"/>
  <c r="V245" i="1" s="1"/>
  <c r="W245" i="1" s="1"/>
  <c r="U366" i="1"/>
  <c r="V366" i="1" s="1"/>
  <c r="W366" i="1" s="1"/>
  <c r="U121" i="1"/>
  <c r="V121" i="1" s="1"/>
  <c r="W121" i="1" s="1"/>
  <c r="U182" i="1"/>
  <c r="V182" i="1" s="1"/>
  <c r="W182" i="1" s="1"/>
  <c r="U197" i="1"/>
  <c r="V197" i="1" s="1"/>
  <c r="W197" i="1" s="1"/>
  <c r="U357" i="1"/>
  <c r="U393" i="1"/>
  <c r="V393" i="1" s="1"/>
  <c r="W393" i="1" s="1"/>
  <c r="U89" i="1"/>
  <c r="V89" i="1" s="1"/>
  <c r="W89" i="1" s="1"/>
  <c r="U157" i="1"/>
  <c r="V157" i="1" s="1"/>
  <c r="W157" i="1" s="1"/>
  <c r="U215" i="1"/>
  <c r="V215" i="1" s="1"/>
  <c r="W215" i="1" s="1"/>
  <c r="U293" i="1"/>
  <c r="V293" i="1" s="1"/>
  <c r="W293" i="1" s="1"/>
  <c r="U302" i="1"/>
  <c r="V302" i="1" s="1"/>
  <c r="W302" i="1" s="1"/>
  <c r="U315" i="1"/>
  <c r="V315" i="1" s="1"/>
  <c r="W315" i="1" s="1"/>
  <c r="U9" i="1"/>
  <c r="V9" i="1" s="1"/>
  <c r="W9" i="1" s="1"/>
  <c r="U85" i="1"/>
  <c r="V85" i="1" s="1"/>
  <c r="W85" i="1" s="1"/>
  <c r="U322" i="1"/>
  <c r="V322" i="1" s="1"/>
  <c r="W322" i="1" s="1"/>
  <c r="U400" i="1"/>
  <c r="V400" i="1" s="1"/>
  <c r="W400" i="1" s="1"/>
  <c r="U101" i="1"/>
  <c r="V101" i="1" s="1"/>
  <c r="W101" i="1" s="1"/>
  <c r="U199" i="1"/>
  <c r="V199" i="1" s="1"/>
  <c r="W199" i="1" s="1"/>
  <c r="U226" i="1"/>
  <c r="V226" i="1" s="1"/>
  <c r="W226" i="1" s="1"/>
  <c r="U7" i="1"/>
  <c r="V7" i="1" s="1"/>
  <c r="W7" i="1" s="1"/>
  <c r="U18" i="1"/>
  <c r="V18" i="1" s="1"/>
  <c r="W18" i="1" s="1"/>
  <c r="U45" i="1"/>
  <c r="V45" i="1" s="1"/>
  <c r="W45" i="1" s="1"/>
  <c r="U77" i="1"/>
  <c r="U119" i="1"/>
  <c r="V119" i="1" s="1"/>
  <c r="U155" i="1"/>
  <c r="V155" i="1" s="1"/>
  <c r="W155" i="1" s="1"/>
  <c r="U54" i="1"/>
  <c r="V54" i="1" s="1"/>
  <c r="W54" i="1" s="1"/>
  <c r="U94" i="1"/>
  <c r="V94" i="1" s="1"/>
  <c r="W94" i="1" s="1"/>
  <c r="U137" i="1"/>
  <c r="V137" i="1" s="1"/>
  <c r="W137" i="1" s="1"/>
  <c r="U213" i="1"/>
  <c r="V213" i="1" s="1"/>
  <c r="W213" i="1" s="1"/>
  <c r="U243" i="1"/>
  <c r="V243" i="1" s="1"/>
  <c r="W243" i="1" s="1"/>
  <c r="U264" i="1"/>
  <c r="V264" i="1" s="1"/>
  <c r="W264" i="1" s="1"/>
  <c r="U272" i="1"/>
  <c r="V272" i="1" s="1"/>
  <c r="W272" i="1" s="1"/>
  <c r="U284" i="1"/>
  <c r="V284" i="1" s="1"/>
  <c r="W284" i="1" s="1"/>
  <c r="U638" i="1"/>
  <c r="U87" i="1"/>
  <c r="V87" i="1" s="1"/>
  <c r="W87" i="1" s="1"/>
  <c r="U439" i="1"/>
  <c r="V439" i="1" s="1"/>
  <c r="W439" i="1" s="1"/>
  <c r="U11" i="1"/>
  <c r="V11" i="1" s="1"/>
  <c r="W11" i="1" s="1"/>
  <c r="U24" i="1"/>
  <c r="V24" i="1" s="1"/>
  <c r="W24" i="1" s="1"/>
  <c r="U187" i="1"/>
  <c r="V187" i="1" s="1"/>
  <c r="W187" i="1" s="1"/>
  <c r="U202" i="1"/>
  <c r="V202" i="1" s="1"/>
  <c r="W202" i="1" s="1"/>
  <c r="U426" i="1"/>
  <c r="V426" i="1" s="1"/>
  <c r="W426" i="1" s="1"/>
  <c r="U3" i="1"/>
  <c r="U163" i="1"/>
  <c r="V163" i="1" s="1"/>
  <c r="W163" i="1" s="1"/>
  <c r="U218" i="1"/>
  <c r="V218" i="1" s="1"/>
  <c r="W218" i="1" s="1"/>
  <c r="U231" i="1"/>
  <c r="V231" i="1" s="1"/>
  <c r="W231" i="1" s="1"/>
  <c r="U306" i="1"/>
  <c r="V306" i="1" s="1"/>
  <c r="W306" i="1" s="1"/>
  <c r="U354" i="1"/>
  <c r="V354" i="1" s="1"/>
  <c r="W354" i="1" s="1"/>
  <c r="U491" i="1"/>
  <c r="V491" i="1" s="1"/>
  <c r="W491" i="1" s="1"/>
  <c r="U132" i="1"/>
  <c r="U189" i="1"/>
  <c r="V189" i="1" s="1"/>
  <c r="W189" i="1" s="1"/>
  <c r="U682" i="1"/>
  <c r="V682" i="1" s="1"/>
  <c r="W682" i="1" s="1"/>
  <c r="U30" i="1"/>
  <c r="V30" i="1" s="1"/>
  <c r="W30" i="1" s="1"/>
  <c r="U165" i="1"/>
  <c r="V165" i="1" s="1"/>
  <c r="W165" i="1" s="1"/>
  <c r="U176" i="1"/>
  <c r="U20" i="1"/>
  <c r="V20" i="1" s="1"/>
  <c r="W20" i="1" s="1"/>
  <c r="U103" i="1"/>
  <c r="V103" i="1" s="1"/>
  <c r="W103" i="1" s="1"/>
  <c r="U546" i="1"/>
  <c r="V546" i="1" s="1"/>
  <c r="W546" i="1" s="1"/>
  <c r="U139" i="1"/>
  <c r="V139" i="1" s="1"/>
  <c r="W139" i="1" s="1"/>
  <c r="U48" i="1"/>
  <c r="U153" i="1"/>
  <c r="U180" i="1"/>
  <c r="V180" i="1" s="1"/>
  <c r="W180" i="1" s="1"/>
  <c r="U261" i="1"/>
  <c r="V261" i="1" s="1"/>
  <c r="W261" i="1" s="1"/>
  <c r="U335" i="1"/>
  <c r="V335" i="1" s="1"/>
  <c r="W335" i="1" s="1"/>
  <c r="U475" i="1"/>
  <c r="V475" i="1" s="1"/>
  <c r="W475" i="1" s="1"/>
  <c r="U590" i="1"/>
  <c r="V590" i="1" s="1"/>
  <c r="W590" i="1" s="1"/>
  <c r="U611" i="1"/>
  <c r="V611" i="1" s="1"/>
  <c r="W611" i="1" s="1"/>
  <c r="U625" i="1"/>
  <c r="V625" i="1" s="1"/>
  <c r="W625" i="1" s="1"/>
  <c r="U162" i="1"/>
  <c r="V162" i="1" s="1"/>
  <c r="W162" i="1" s="1"/>
  <c r="U260" i="1"/>
  <c r="V260" i="1" s="1"/>
  <c r="W260" i="1" s="1"/>
  <c r="U449" i="1"/>
  <c r="V449" i="1" s="1"/>
  <c r="W449" i="1" s="1"/>
  <c r="U617" i="1"/>
  <c r="V617" i="1" s="1"/>
  <c r="W617" i="1" s="1"/>
  <c r="U86" i="1"/>
  <c r="V86" i="1" s="1"/>
  <c r="U12" i="1"/>
  <c r="V12" i="1" s="1"/>
  <c r="W12" i="1" s="1"/>
  <c r="U113" i="1"/>
  <c r="U214" i="1"/>
  <c r="V214" i="1" s="1"/>
  <c r="W214" i="1" s="1"/>
  <c r="U300" i="1"/>
  <c r="V300" i="1" s="1"/>
  <c r="W300" i="1" s="1"/>
  <c r="U317" i="1"/>
  <c r="V317" i="1" s="1"/>
  <c r="W317" i="1" s="1"/>
  <c r="U320" i="1"/>
  <c r="V320" i="1" s="1"/>
  <c r="W320" i="1" s="1"/>
  <c r="U14" i="1"/>
  <c r="V14" i="1" s="1"/>
  <c r="W14" i="1" s="1"/>
  <c r="U21" i="1"/>
  <c r="V21" i="1" s="1"/>
  <c r="W21" i="1" s="1"/>
  <c r="U28" i="1"/>
  <c r="V28" i="1" s="1"/>
  <c r="W28" i="1" s="1"/>
  <c r="U35" i="1"/>
  <c r="V35" i="1" s="1"/>
  <c r="W35" i="1" s="1"/>
  <c r="U65" i="1"/>
  <c r="V65" i="1" s="1"/>
  <c r="W65" i="1" s="1"/>
  <c r="U71" i="1"/>
  <c r="U73" i="1"/>
  <c r="V73" i="1" s="1"/>
  <c r="W73" i="1" s="1"/>
  <c r="U88" i="1"/>
  <c r="V88" i="1" s="1"/>
  <c r="W88" i="1" s="1"/>
  <c r="U208" i="1"/>
  <c r="V208" i="1" s="1"/>
  <c r="W208" i="1" s="1"/>
  <c r="U210" i="1"/>
  <c r="V210" i="1" s="1"/>
  <c r="W210" i="1" s="1"/>
  <c r="U221" i="1"/>
  <c r="V221" i="1" s="1"/>
  <c r="W221" i="1" s="1"/>
  <c r="U232" i="1"/>
  <c r="V232" i="1" s="1"/>
  <c r="W232" i="1" s="1"/>
  <c r="U249" i="1"/>
  <c r="V249" i="1" s="1"/>
  <c r="W249" i="1" s="1"/>
  <c r="U263" i="1"/>
  <c r="V263" i="1" s="1"/>
  <c r="W263" i="1" s="1"/>
  <c r="U278" i="1"/>
  <c r="V278" i="1" s="1"/>
  <c r="W278" i="1" s="1"/>
  <c r="U311" i="1"/>
  <c r="V311" i="1" s="1"/>
  <c r="W311" i="1" s="1"/>
  <c r="U485" i="1"/>
  <c r="V485" i="1" s="1"/>
  <c r="W485" i="1" s="1"/>
  <c r="U524" i="1"/>
  <c r="V524" i="1" s="1"/>
  <c r="W524" i="1" s="1"/>
  <c r="U56" i="1"/>
  <c r="V56" i="1" s="1"/>
  <c r="W56" i="1" s="1"/>
  <c r="U63" i="1"/>
  <c r="V63" i="1" s="1"/>
  <c r="W63" i="1" s="1"/>
  <c r="U392" i="1"/>
  <c r="V392" i="1" s="1"/>
  <c r="W392" i="1" s="1"/>
  <c r="U90" i="1"/>
  <c r="V90" i="1" s="1"/>
  <c r="W90" i="1" s="1"/>
  <c r="U92" i="1"/>
  <c r="V92" i="1" s="1"/>
  <c r="W92" i="1" s="1"/>
  <c r="U102" i="1"/>
  <c r="V102" i="1" s="1"/>
  <c r="W102" i="1" s="1"/>
  <c r="U104" i="1"/>
  <c r="V104" i="1" s="1"/>
  <c r="W104" i="1" s="1"/>
  <c r="U116" i="1"/>
  <c r="U118" i="1"/>
  <c r="V118" i="1" s="1"/>
  <c r="W118" i="1" s="1"/>
  <c r="U190" i="1"/>
  <c r="V190" i="1" s="1"/>
  <c r="W190" i="1" s="1"/>
  <c r="U219" i="1"/>
  <c r="V219" i="1" s="1"/>
  <c r="W219" i="1" s="1"/>
  <c r="U252" i="1"/>
  <c r="V252" i="1" s="1"/>
  <c r="W252" i="1" s="1"/>
  <c r="U258" i="1"/>
  <c r="U292" i="1"/>
  <c r="V292" i="1" s="1"/>
  <c r="W292" i="1" s="1"/>
  <c r="U379" i="1"/>
  <c r="V379" i="1" s="1"/>
  <c r="W379" i="1" s="1"/>
  <c r="U434" i="1"/>
  <c r="V434" i="1" s="1"/>
  <c r="W434" i="1" s="1"/>
  <c r="U84" i="1"/>
  <c r="U16" i="1"/>
  <c r="V16" i="1" s="1"/>
  <c r="W16" i="1" s="1"/>
  <c r="U371" i="1"/>
  <c r="V371" i="1" s="1"/>
  <c r="W371" i="1" s="1"/>
  <c r="U58" i="1"/>
  <c r="V58" i="1" s="1"/>
  <c r="W58" i="1" s="1"/>
  <c r="U67" i="1"/>
  <c r="V67" i="1" s="1"/>
  <c r="W67" i="1" s="1"/>
  <c r="U80" i="1"/>
  <c r="U149" i="1"/>
  <c r="U230" i="1"/>
  <c r="V230" i="1" s="1"/>
  <c r="W230" i="1" s="1"/>
  <c r="U271" i="1"/>
  <c r="V271" i="1" s="1"/>
  <c r="W271" i="1" s="1"/>
  <c r="U339" i="1"/>
  <c r="V339" i="1" s="1"/>
  <c r="W339" i="1" s="1"/>
  <c r="U458" i="1"/>
  <c r="V458" i="1" s="1"/>
  <c r="W458" i="1" s="1"/>
  <c r="U497" i="1"/>
  <c r="V497" i="1" s="1"/>
  <c r="W497" i="1" s="1"/>
  <c r="U490" i="1"/>
  <c r="V490" i="1" s="1"/>
  <c r="W490" i="1" s="1"/>
  <c r="U503" i="1"/>
  <c r="V503" i="1" s="1"/>
  <c r="W503" i="1" s="1"/>
  <c r="U517" i="1"/>
  <c r="V517" i="1" s="1"/>
  <c r="W517" i="1" s="1"/>
  <c r="U577" i="1"/>
  <c r="V577" i="1" s="1"/>
  <c r="W577" i="1" s="1"/>
  <c r="U593" i="1"/>
  <c r="V593" i="1" s="1"/>
  <c r="W593" i="1" s="1"/>
  <c r="U620" i="1"/>
  <c r="V620" i="1" s="1"/>
  <c r="W620" i="1" s="1"/>
  <c r="U532" i="1"/>
  <c r="V532" i="1" s="1"/>
  <c r="W532" i="1" s="1"/>
  <c r="U575" i="1"/>
  <c r="V575" i="1" s="1"/>
  <c r="W575" i="1" s="1"/>
  <c r="U516" i="1"/>
  <c r="V516" i="1" s="1"/>
  <c r="W516" i="1" s="1"/>
  <c r="U203" i="1"/>
  <c r="V203" i="1" s="1"/>
  <c r="W203" i="1" s="1"/>
  <c r="U216" i="1"/>
  <c r="V216" i="1" s="1"/>
  <c r="W216" i="1" s="1"/>
  <c r="U301" i="1"/>
  <c r="V301" i="1" s="1"/>
  <c r="W301" i="1" s="1"/>
  <c r="U305" i="1"/>
  <c r="V305" i="1" s="1"/>
  <c r="W305" i="1" s="1"/>
  <c r="U318" i="1"/>
  <c r="V318" i="1" s="1"/>
  <c r="W318" i="1" s="1"/>
  <c r="U424" i="1"/>
  <c r="V424" i="1" s="1"/>
  <c r="W424" i="1" s="1"/>
  <c r="U502" i="1"/>
  <c r="V502" i="1" s="1"/>
  <c r="W502" i="1" s="1"/>
  <c r="U543" i="1"/>
  <c r="V543" i="1" s="1"/>
  <c r="W543" i="1" s="1"/>
  <c r="U667" i="1"/>
  <c r="V667" i="1" s="1"/>
  <c r="W667" i="1" s="1"/>
  <c r="U325" i="1"/>
  <c r="V325" i="1" s="1"/>
  <c r="W325" i="1" s="1"/>
  <c r="U338" i="1"/>
  <c r="V338" i="1" s="1"/>
  <c r="W338" i="1" s="1"/>
  <c r="U370" i="1"/>
  <c r="V370" i="1" s="1"/>
  <c r="W370" i="1" s="1"/>
  <c r="U377" i="1"/>
  <c r="V377" i="1" s="1"/>
  <c r="W377" i="1" s="1"/>
  <c r="U396" i="1"/>
  <c r="V396" i="1" s="1"/>
  <c r="W396" i="1" s="1"/>
  <c r="U486" i="1"/>
  <c r="V486" i="1" s="1"/>
  <c r="W486" i="1" s="1"/>
  <c r="U171" i="1"/>
  <c r="V171" i="1" s="1"/>
  <c r="W171" i="1" s="1"/>
  <c r="U177" i="1"/>
  <c r="V177" i="1" s="1"/>
  <c r="W177" i="1" s="1"/>
  <c r="U250" i="1"/>
  <c r="V250" i="1" s="1"/>
  <c r="W250" i="1" s="1"/>
  <c r="U342" i="1"/>
  <c r="V342" i="1" s="1"/>
  <c r="W342" i="1" s="1"/>
  <c r="U457" i="1"/>
  <c r="U513" i="1"/>
  <c r="V513" i="1" s="1"/>
  <c r="U533" i="1"/>
  <c r="V533" i="1" s="1"/>
  <c r="W533" i="1" s="1"/>
  <c r="U540" i="1"/>
  <c r="V540" i="1" s="1"/>
  <c r="U596" i="1"/>
  <c r="V596" i="1" s="1"/>
  <c r="W596" i="1" s="1"/>
  <c r="U192" i="1"/>
  <c r="V192" i="1" s="1"/>
  <c r="W192" i="1" s="1"/>
  <c r="U207" i="1"/>
  <c r="V207" i="1" s="1"/>
  <c r="W207" i="1" s="1"/>
  <c r="U290" i="1"/>
  <c r="V290" i="1" s="1"/>
  <c r="W290" i="1" s="1"/>
  <c r="U340" i="1"/>
  <c r="V340" i="1" s="1"/>
  <c r="W340" i="1" s="1"/>
  <c r="U26" i="1"/>
  <c r="V26" i="1" s="1"/>
  <c r="W26" i="1" s="1"/>
  <c r="U34" i="1"/>
  <c r="V34" i="1" s="1"/>
  <c r="W34" i="1" s="1"/>
  <c r="U55" i="1"/>
  <c r="V55" i="1" s="1"/>
  <c r="W55" i="1" s="1"/>
  <c r="U68" i="1"/>
  <c r="V68" i="1" s="1"/>
  <c r="W68" i="1" s="1"/>
  <c r="U72" i="1"/>
  <c r="V72" i="1" s="1"/>
  <c r="W72" i="1" s="1"/>
  <c r="U106" i="1"/>
  <c r="V106" i="1" s="1"/>
  <c r="W106" i="1" s="1"/>
  <c r="U142" i="1"/>
  <c r="V142" i="1" s="1"/>
  <c r="W142" i="1" s="1"/>
  <c r="U158" i="1"/>
  <c r="V158" i="1" s="1"/>
  <c r="W158" i="1" s="1"/>
  <c r="U240" i="1"/>
  <c r="V240" i="1" s="1"/>
  <c r="W240" i="1" s="1"/>
  <c r="U277" i="1"/>
  <c r="V277" i="1" s="1"/>
  <c r="W277" i="1" s="1"/>
  <c r="U279" i="1"/>
  <c r="V279" i="1" s="1"/>
  <c r="W279" i="1" s="1"/>
  <c r="U283" i="1"/>
  <c r="V283" i="1" s="1"/>
  <c r="W283" i="1" s="1"/>
  <c r="U419" i="1"/>
  <c r="V419" i="1" s="1"/>
  <c r="W419" i="1" s="1"/>
  <c r="U444" i="1"/>
  <c r="V444" i="1" s="1"/>
  <c r="W444" i="1" s="1"/>
  <c r="U135" i="1"/>
  <c r="V135" i="1" s="1"/>
  <c r="U288" i="1"/>
  <c r="U399" i="1"/>
  <c r="V399" i="1" s="1"/>
  <c r="W399" i="1" s="1"/>
  <c r="U429" i="1"/>
  <c r="V429" i="1" s="1"/>
  <c r="W429" i="1" s="1"/>
  <c r="U438" i="1"/>
  <c r="V438" i="1" s="1"/>
  <c r="W438" i="1" s="1"/>
  <c r="U499" i="1"/>
  <c r="V499" i="1" s="1"/>
  <c r="W499" i="1" s="1"/>
  <c r="U530" i="1"/>
  <c r="V530" i="1" s="1"/>
  <c r="W530" i="1" s="1"/>
  <c r="U703" i="1"/>
  <c r="U194" i="1"/>
  <c r="V194" i="1" s="1"/>
  <c r="W194" i="1" s="1"/>
  <c r="U220" i="1"/>
  <c r="V220" i="1" s="1"/>
  <c r="W220" i="1" s="1"/>
  <c r="U238" i="1"/>
  <c r="U281" i="1"/>
  <c r="V281" i="1" s="1"/>
  <c r="W281" i="1" s="1"/>
  <c r="U10" i="1"/>
  <c r="V10" i="1" s="1"/>
  <c r="W10" i="1" s="1"/>
  <c r="U23" i="1"/>
  <c r="V23" i="1" s="1"/>
  <c r="W23" i="1" s="1"/>
  <c r="U60" i="1"/>
  <c r="V60" i="1" s="1"/>
  <c r="W60" i="1" s="1"/>
  <c r="U93" i="1"/>
  <c r="V93" i="1" s="1"/>
  <c r="W93" i="1" s="1"/>
  <c r="U129" i="1"/>
  <c r="V129" i="1" s="1"/>
  <c r="W129" i="1" s="1"/>
  <c r="U160" i="1"/>
  <c r="V160" i="1" s="1"/>
  <c r="W160" i="1" s="1"/>
  <c r="U173" i="1"/>
  <c r="V173" i="1" s="1"/>
  <c r="W173" i="1" s="1"/>
  <c r="U183" i="1"/>
  <c r="V183" i="1" s="1"/>
  <c r="W183" i="1" s="1"/>
  <c r="U196" i="1"/>
  <c r="V196" i="1" s="1"/>
  <c r="W196" i="1" s="1"/>
  <c r="U209" i="1"/>
  <c r="V209" i="1" s="1"/>
  <c r="W209" i="1" s="1"/>
  <c r="U222" i="1"/>
  <c r="V222" i="1" s="1"/>
  <c r="W222" i="1" s="1"/>
  <c r="U242" i="1"/>
  <c r="V242" i="1" s="1"/>
  <c r="W242" i="1" s="1"/>
  <c r="U246" i="1"/>
  <c r="V246" i="1" s="1"/>
  <c r="W246" i="1" s="1"/>
  <c r="U248" i="1"/>
  <c r="V248" i="1" s="1"/>
  <c r="W248" i="1" s="1"/>
  <c r="U334" i="1"/>
  <c r="V334" i="1" s="1"/>
  <c r="W334" i="1" s="1"/>
  <c r="U358" i="1"/>
  <c r="V358" i="1" s="1"/>
  <c r="W358" i="1" s="1"/>
  <c r="U408" i="1"/>
  <c r="V408" i="1" s="1"/>
  <c r="W408" i="1" s="1"/>
  <c r="U435" i="1"/>
  <c r="V435" i="1" s="1"/>
  <c r="W435" i="1" s="1"/>
  <c r="U604" i="1"/>
  <c r="V604" i="1" s="1"/>
  <c r="W604" i="1" s="1"/>
  <c r="U608" i="1"/>
  <c r="V608" i="1" s="1"/>
  <c r="W608" i="1" s="1"/>
  <c r="U181" i="1"/>
  <c r="V181" i="1" s="1"/>
  <c r="W181" i="1" s="1"/>
  <c r="U316" i="1"/>
  <c r="V316" i="1" s="1"/>
  <c r="W316" i="1" s="1"/>
  <c r="U323" i="1"/>
  <c r="V323" i="1" s="1"/>
  <c r="W323" i="1" s="1"/>
  <c r="U5" i="1"/>
  <c r="V5" i="1" s="1"/>
  <c r="W5" i="1" s="1"/>
  <c r="U31" i="1"/>
  <c r="V31" i="1" s="1"/>
  <c r="W31" i="1" s="1"/>
  <c r="U74" i="1"/>
  <c r="V74" i="1" s="1"/>
  <c r="W74" i="1" s="1"/>
  <c r="U117" i="1"/>
  <c r="V117" i="1" s="1"/>
  <c r="W117" i="1" s="1"/>
  <c r="U144" i="1"/>
  <c r="V144" i="1" s="1"/>
  <c r="W144" i="1" s="1"/>
  <c r="U185" i="1"/>
  <c r="V185" i="1" s="1"/>
  <c r="W185" i="1" s="1"/>
  <c r="U211" i="1"/>
  <c r="V211" i="1" s="1"/>
  <c r="W211" i="1" s="1"/>
  <c r="U224" i="1"/>
  <c r="V224" i="1" s="1"/>
  <c r="W224" i="1" s="1"/>
  <c r="U321" i="1"/>
  <c r="V321" i="1" s="1"/>
  <c r="W321" i="1" s="1"/>
  <c r="U332" i="1"/>
  <c r="V332" i="1" s="1"/>
  <c r="W332" i="1" s="1"/>
  <c r="U349" i="1"/>
  <c r="V349" i="1" s="1"/>
  <c r="W349" i="1" s="1"/>
  <c r="U351" i="1"/>
  <c r="V351" i="1" s="1"/>
  <c r="W351" i="1" s="1"/>
  <c r="U373" i="1"/>
  <c r="V373" i="1" s="1"/>
  <c r="W373" i="1" s="1"/>
  <c r="U388" i="1"/>
  <c r="V388" i="1" s="1"/>
  <c r="W388" i="1" s="1"/>
  <c r="U402" i="1"/>
  <c r="V402" i="1" s="1"/>
  <c r="W402" i="1" s="1"/>
  <c r="U461" i="1"/>
  <c r="V461" i="1" s="1"/>
  <c r="W461" i="1" s="1"/>
  <c r="U570" i="1"/>
  <c r="V570" i="1" s="1"/>
  <c r="U397" i="1"/>
  <c r="V397" i="1" s="1"/>
  <c r="W397" i="1" s="1"/>
  <c r="U416" i="1"/>
  <c r="V416" i="1" s="1"/>
  <c r="W416" i="1" s="1"/>
  <c r="U404" i="1"/>
  <c r="V404" i="1" s="1"/>
  <c r="W404" i="1" s="1"/>
  <c r="U423" i="1"/>
  <c r="V423" i="1" s="1"/>
  <c r="W423" i="1" s="1"/>
  <c r="U448" i="1"/>
  <c r="V448" i="1" s="1"/>
  <c r="W448" i="1" s="1"/>
  <c r="U453" i="1"/>
  <c r="V453" i="1" s="1"/>
  <c r="W453" i="1" s="1"/>
  <c r="U466" i="1"/>
  <c r="V466" i="1" s="1"/>
  <c r="W466" i="1" s="1"/>
  <c r="U492" i="1"/>
  <c r="V492" i="1" s="1"/>
  <c r="W492" i="1" s="1"/>
  <c r="U669" i="1"/>
  <c r="V669" i="1" s="1"/>
  <c r="W669" i="1" s="1"/>
  <c r="U700" i="1"/>
  <c r="V700" i="1" s="1"/>
  <c r="W700" i="1" s="1"/>
  <c r="U709" i="1"/>
  <c r="U265" i="1"/>
  <c r="V265" i="1" s="1"/>
  <c r="W265" i="1" s="1"/>
  <c r="U296" i="1"/>
  <c r="V296" i="1" s="1"/>
  <c r="W296" i="1" s="1"/>
  <c r="U324" i="1"/>
  <c r="V324" i="1" s="1"/>
  <c r="W324" i="1" s="1"/>
  <c r="U330" i="1"/>
  <c r="V330" i="1" s="1"/>
  <c r="W330" i="1" s="1"/>
  <c r="U368" i="1"/>
  <c r="V368" i="1" s="1"/>
  <c r="W368" i="1" s="1"/>
  <c r="U412" i="1"/>
  <c r="U430" i="1"/>
  <c r="V430" i="1" s="1"/>
  <c r="W430" i="1" s="1"/>
  <c r="U459" i="1"/>
  <c r="V459" i="1" s="1"/>
  <c r="W459" i="1" s="1"/>
  <c r="U506" i="1"/>
  <c r="V506" i="1" s="1"/>
  <c r="W506" i="1" s="1"/>
  <c r="U514" i="1"/>
  <c r="V514" i="1" s="1"/>
  <c r="W514" i="1" s="1"/>
  <c r="U588" i="1"/>
  <c r="V588" i="1" s="1"/>
  <c r="W588" i="1" s="1"/>
  <c r="U605" i="1"/>
  <c r="V605" i="1" s="1"/>
  <c r="W605" i="1" s="1"/>
  <c r="U169" i="1"/>
  <c r="U195" i="1"/>
  <c r="V195" i="1" s="1"/>
  <c r="W195" i="1" s="1"/>
  <c r="U217" i="1"/>
  <c r="V217" i="1" s="1"/>
  <c r="W217" i="1" s="1"/>
  <c r="U234" i="1"/>
  <c r="V234" i="1" s="1"/>
  <c r="W234" i="1" s="1"/>
  <c r="U273" i="1"/>
  <c r="V273" i="1" s="1"/>
  <c r="W273" i="1" s="1"/>
  <c r="U326" i="1"/>
  <c r="V326" i="1" s="1"/>
  <c r="W326" i="1" s="1"/>
  <c r="U360" i="1"/>
  <c r="V360" i="1" s="1"/>
  <c r="W360" i="1" s="1"/>
  <c r="U391" i="1"/>
  <c r="U398" i="1"/>
  <c r="V398" i="1" s="1"/>
  <c r="W398" i="1" s="1"/>
  <c r="U417" i="1"/>
  <c r="V417" i="1" s="1"/>
  <c r="W417" i="1" s="1"/>
  <c r="U488" i="1"/>
  <c r="V488" i="1" s="1"/>
  <c r="W488" i="1" s="1"/>
  <c r="U501" i="1"/>
  <c r="V501" i="1" s="1"/>
  <c r="W501" i="1" s="1"/>
  <c r="U535" i="1"/>
  <c r="V535" i="1" s="1"/>
  <c r="W535" i="1" s="1"/>
  <c r="U697" i="1"/>
  <c r="V697" i="1" s="1"/>
  <c r="W697" i="1" s="1"/>
  <c r="U522" i="1"/>
  <c r="V522" i="1" s="1"/>
  <c r="W522" i="1" s="1"/>
  <c r="U646" i="1"/>
  <c r="V646" i="1" s="1"/>
  <c r="W646" i="1" s="1"/>
  <c r="U652" i="1"/>
  <c r="V652" i="1" s="1"/>
  <c r="W652" i="1" s="1"/>
  <c r="U674" i="1"/>
  <c r="V674" i="1" s="1"/>
  <c r="W674" i="1" s="1"/>
  <c r="U687" i="1"/>
  <c r="V687" i="1" s="1"/>
  <c r="W687" i="1" s="1"/>
  <c r="U576" i="1"/>
  <c r="V576" i="1" s="1"/>
  <c r="W576" i="1" s="1"/>
  <c r="U655" i="1"/>
  <c r="V655" i="1" s="1"/>
  <c r="W655" i="1" s="1"/>
  <c r="U661" i="1"/>
  <c r="V661" i="1" s="1"/>
  <c r="W661" i="1" s="1"/>
  <c r="U496" i="1"/>
  <c r="V496" i="1" s="1"/>
  <c r="W496" i="1" s="1"/>
  <c r="U589" i="1"/>
  <c r="V589" i="1" s="1"/>
  <c r="W589" i="1" s="1"/>
  <c r="U609" i="1"/>
  <c r="V609" i="1" s="1"/>
  <c r="W609" i="1" s="1"/>
  <c r="U714" i="1"/>
  <c r="U520" i="1"/>
  <c r="V520" i="1" s="1"/>
  <c r="W520" i="1" s="1"/>
  <c r="U525" i="1"/>
  <c r="V525" i="1" s="1"/>
  <c r="W525" i="1" s="1"/>
  <c r="U539" i="1"/>
  <c r="U550" i="1"/>
  <c r="V550" i="1" s="1"/>
  <c r="W550" i="1" s="1"/>
  <c r="U583" i="1"/>
  <c r="V583" i="1" s="1"/>
  <c r="W583" i="1" s="1"/>
  <c r="U615" i="1"/>
  <c r="V615" i="1" s="1"/>
  <c r="W615" i="1" s="1"/>
  <c r="U678" i="1"/>
  <c r="V678" i="1" s="1"/>
  <c r="W678" i="1" s="1"/>
  <c r="U706" i="1"/>
  <c r="V706" i="1" s="1"/>
  <c r="W706" i="1" s="1"/>
  <c r="U465" i="1"/>
  <c r="V465" i="1" s="1"/>
  <c r="W465" i="1" s="1"/>
  <c r="U473" i="1"/>
  <c r="V473" i="1" s="1"/>
  <c r="W473" i="1" s="1"/>
  <c r="U515" i="1"/>
  <c r="V515" i="1" s="1"/>
  <c r="W515" i="1" s="1"/>
  <c r="U606" i="1"/>
  <c r="V606" i="1" s="1"/>
  <c r="U612" i="1"/>
  <c r="V612" i="1" s="1"/>
  <c r="W612" i="1" s="1"/>
  <c r="U695" i="1"/>
  <c r="V695" i="1" s="1"/>
  <c r="W695" i="1" s="1"/>
  <c r="U507" i="1"/>
  <c r="V507" i="1" s="1"/>
  <c r="W507" i="1" s="1"/>
  <c r="U556" i="1"/>
  <c r="V556" i="1" s="1"/>
  <c r="W556" i="1" s="1"/>
  <c r="U685" i="1"/>
  <c r="V685" i="1" s="1"/>
  <c r="W685" i="1" s="1"/>
  <c r="U460" i="1"/>
  <c r="V460" i="1" s="1"/>
  <c r="W460" i="1" s="1"/>
  <c r="U481" i="1"/>
  <c r="V481" i="1" s="1"/>
  <c r="W481" i="1" s="1"/>
  <c r="U494" i="1"/>
  <c r="V494" i="1" s="1"/>
  <c r="W494" i="1" s="1"/>
  <c r="U650" i="1"/>
  <c r="V650" i="1" s="1"/>
  <c r="W650" i="1" s="1"/>
  <c r="U668" i="1"/>
  <c r="V668" i="1" s="1"/>
  <c r="W668" i="1" s="1"/>
  <c r="U672" i="1"/>
  <c r="U598" i="1"/>
  <c r="V598" i="1" s="1"/>
  <c r="W598" i="1" s="1"/>
  <c r="U634" i="1"/>
  <c r="V634" i="1" s="1"/>
  <c r="W634" i="1" s="1"/>
  <c r="U653" i="1"/>
  <c r="V653" i="1" s="1"/>
  <c r="W653" i="1" s="1"/>
  <c r="U32" i="1"/>
  <c r="V32" i="1" s="1"/>
  <c r="W32" i="1" s="1"/>
  <c r="U62" i="1"/>
  <c r="V62" i="1" s="1"/>
  <c r="W62" i="1" s="1"/>
  <c r="U96" i="1"/>
  <c r="V96" i="1" s="1"/>
  <c r="W96" i="1" s="1"/>
  <c r="U100" i="1"/>
  <c r="U146" i="1"/>
  <c r="V146" i="1" s="1"/>
  <c r="W146" i="1" s="1"/>
  <c r="U150" i="1"/>
  <c r="V150" i="1" s="1"/>
  <c r="W150" i="1" s="1"/>
  <c r="U154" i="1"/>
  <c r="V154" i="1" s="1"/>
  <c r="U184" i="1"/>
  <c r="V184" i="1" s="1"/>
  <c r="W184" i="1" s="1"/>
  <c r="U206" i="1"/>
  <c r="V206" i="1" s="1"/>
  <c r="W206" i="1" s="1"/>
  <c r="U228" i="1"/>
  <c r="V228" i="1" s="1"/>
  <c r="W228" i="1" s="1"/>
  <c r="U254" i="1"/>
  <c r="V254" i="1" s="1"/>
  <c r="W254" i="1" s="1"/>
  <c r="U297" i="1"/>
  <c r="V297" i="1" s="1"/>
  <c r="W297" i="1" s="1"/>
  <c r="U327" i="1"/>
  <c r="V327" i="1" s="1"/>
  <c r="W327" i="1" s="1"/>
  <c r="U345" i="1"/>
  <c r="V345" i="1" s="1"/>
  <c r="W345" i="1" s="1"/>
  <c r="U347" i="1"/>
  <c r="V347" i="1" s="1"/>
  <c r="W347" i="1" s="1"/>
  <c r="U361" i="1"/>
  <c r="V361" i="1" s="1"/>
  <c r="W361" i="1" s="1"/>
  <c r="U363" i="1"/>
  <c r="V363" i="1" s="1"/>
  <c r="W363" i="1" s="1"/>
  <c r="U365" i="1"/>
  <c r="V365" i="1" s="1"/>
  <c r="W365" i="1" s="1"/>
  <c r="U367" i="1"/>
  <c r="V367" i="1" s="1"/>
  <c r="W367" i="1" s="1"/>
  <c r="U406" i="1"/>
  <c r="V406" i="1" s="1"/>
  <c r="W406" i="1" s="1"/>
  <c r="U450" i="1"/>
  <c r="V450" i="1" s="1"/>
  <c r="W450" i="1" s="1"/>
  <c r="U463" i="1"/>
  <c r="V463" i="1" s="1"/>
  <c r="W463" i="1" s="1"/>
  <c r="U659" i="1"/>
  <c r="V659" i="1" s="1"/>
  <c r="W659" i="1" s="1"/>
  <c r="U141" i="1"/>
  <c r="V141" i="1" s="1"/>
  <c r="W141" i="1" s="1"/>
  <c r="U179" i="1"/>
  <c r="V179" i="1" s="1"/>
  <c r="W179" i="1" s="1"/>
  <c r="U201" i="1"/>
  <c r="V201" i="1" s="1"/>
  <c r="W201" i="1" s="1"/>
  <c r="U223" i="1"/>
  <c r="V223" i="1" s="1"/>
  <c r="W223" i="1" s="1"/>
  <c r="U235" i="1"/>
  <c r="V235" i="1" s="1"/>
  <c r="W235" i="1" s="1"/>
  <c r="U276" i="1"/>
  <c r="V276" i="1" s="1"/>
  <c r="W276" i="1" s="1"/>
  <c r="U299" i="1"/>
  <c r="V299" i="1" s="1"/>
  <c r="W299" i="1" s="1"/>
  <c r="U329" i="1"/>
  <c r="V329" i="1" s="1"/>
  <c r="W329" i="1" s="1"/>
  <c r="U331" i="1"/>
  <c r="V331" i="1" s="1"/>
  <c r="W331" i="1" s="1"/>
  <c r="U343" i="1"/>
  <c r="V343" i="1" s="1"/>
  <c r="W343" i="1" s="1"/>
  <c r="U418" i="1"/>
  <c r="V418" i="1" s="1"/>
  <c r="W418" i="1" s="1"/>
  <c r="U427" i="1"/>
  <c r="V427" i="1" s="1"/>
  <c r="W427" i="1" s="1"/>
  <c r="U534" i="1"/>
  <c r="V534" i="1" s="1"/>
  <c r="W534" i="1" s="1"/>
  <c r="U548" i="1"/>
  <c r="V548" i="1" s="1"/>
  <c r="W548" i="1" s="1"/>
  <c r="U569" i="1"/>
  <c r="V569" i="1" s="1"/>
  <c r="W569" i="1" s="1"/>
  <c r="U610" i="1"/>
  <c r="V610" i="1" s="1"/>
  <c r="W610" i="1" s="1"/>
  <c r="U628" i="1"/>
  <c r="V628" i="1" s="1"/>
  <c r="W628" i="1" s="1"/>
  <c r="U344" i="1"/>
  <c r="V344" i="1" s="1"/>
  <c r="W344" i="1" s="1"/>
  <c r="U353" i="1"/>
  <c r="V353" i="1" s="1"/>
  <c r="W353" i="1" s="1"/>
  <c r="U372" i="1"/>
  <c r="V372" i="1" s="1"/>
  <c r="W372" i="1" s="1"/>
  <c r="U403" i="1"/>
  <c r="V403" i="1" s="1"/>
  <c r="W403" i="1" s="1"/>
  <c r="U445" i="1"/>
  <c r="V445" i="1" s="1"/>
  <c r="W445" i="1" s="1"/>
  <c r="U474" i="1"/>
  <c r="V474" i="1" s="1"/>
  <c r="W474" i="1" s="1"/>
  <c r="U571" i="1"/>
  <c r="V571" i="1" s="1"/>
  <c r="W571" i="1" s="1"/>
  <c r="U618" i="1"/>
  <c r="V618" i="1" s="1"/>
  <c r="W618" i="1" s="1"/>
  <c r="U635" i="1"/>
  <c r="V635" i="1" s="1"/>
  <c r="W635" i="1" s="1"/>
  <c r="U664" i="1"/>
  <c r="V664" i="1" s="1"/>
  <c r="W664" i="1" s="1"/>
  <c r="U233" i="1"/>
  <c r="V233" i="1" s="1"/>
  <c r="W233" i="1" s="1"/>
  <c r="U244" i="1"/>
  <c r="V244" i="1" s="1"/>
  <c r="W244" i="1" s="1"/>
  <c r="U268" i="1"/>
  <c r="U275" i="1"/>
  <c r="V275" i="1" s="1"/>
  <c r="W275" i="1" s="1"/>
  <c r="U328" i="1"/>
  <c r="V328" i="1" s="1"/>
  <c r="W328" i="1" s="1"/>
  <c r="U346" i="1"/>
  <c r="V346" i="1" s="1"/>
  <c r="W346" i="1" s="1"/>
  <c r="U378" i="1"/>
  <c r="V378" i="1" s="1"/>
  <c r="W378" i="1" s="1"/>
  <c r="U380" i="1"/>
  <c r="V380" i="1" s="1"/>
  <c r="W380" i="1" s="1"/>
  <c r="U384" i="1"/>
  <c r="V384" i="1" s="1"/>
  <c r="W384" i="1" s="1"/>
  <c r="U443" i="1"/>
  <c r="U479" i="1"/>
  <c r="V479" i="1" s="1"/>
  <c r="W479" i="1" s="1"/>
  <c r="U508" i="1"/>
  <c r="V508" i="1" s="1"/>
  <c r="W508" i="1" s="1"/>
  <c r="U549" i="1"/>
  <c r="V549" i="1" s="1"/>
  <c r="W549" i="1" s="1"/>
  <c r="U648" i="1"/>
  <c r="V648" i="1" s="1"/>
  <c r="W648" i="1" s="1"/>
  <c r="U680" i="1"/>
  <c r="V680" i="1" s="1"/>
  <c r="W680" i="1" s="1"/>
  <c r="U251" i="1"/>
  <c r="V251" i="1" s="1"/>
  <c r="W251" i="1" s="1"/>
  <c r="U282" i="1"/>
  <c r="V282" i="1" s="1"/>
  <c r="W282" i="1" s="1"/>
  <c r="U295" i="1"/>
  <c r="V295" i="1" s="1"/>
  <c r="W295" i="1" s="1"/>
  <c r="U337" i="1"/>
  <c r="V337" i="1" s="1"/>
  <c r="W337" i="1" s="1"/>
  <c r="U359" i="1"/>
  <c r="V359" i="1" s="1"/>
  <c r="W359" i="1" s="1"/>
  <c r="U431" i="1"/>
  <c r="V431" i="1" s="1"/>
  <c r="W431" i="1" s="1"/>
  <c r="U489" i="1"/>
  <c r="V489" i="1" s="1"/>
  <c r="W489" i="1" s="1"/>
  <c r="U580" i="1"/>
  <c r="U662" i="1"/>
  <c r="V662" i="1" s="1"/>
  <c r="W662" i="1" s="1"/>
  <c r="U421" i="1"/>
  <c r="V421" i="1" s="1"/>
  <c r="W421" i="1" s="1"/>
  <c r="U464" i="1"/>
  <c r="V464" i="1" s="1"/>
  <c r="W464" i="1" s="1"/>
  <c r="U529" i="1"/>
  <c r="V529" i="1" s="1"/>
  <c r="W529" i="1" s="1"/>
  <c r="U567" i="1"/>
  <c r="U581" i="1"/>
  <c r="V581" i="1" s="1"/>
  <c r="U595" i="1"/>
  <c r="V595" i="1" s="1"/>
  <c r="W595" i="1" s="1"/>
  <c r="U607" i="1"/>
  <c r="V607" i="1" s="1"/>
  <c r="W607" i="1" s="1"/>
  <c r="U616" i="1"/>
  <c r="V616" i="1" s="1"/>
  <c r="W616" i="1" s="1"/>
  <c r="U375" i="1"/>
  <c r="V375" i="1" s="1"/>
  <c r="W375" i="1" s="1"/>
  <c r="U382" i="1"/>
  <c r="V382" i="1" s="1"/>
  <c r="W382" i="1" s="1"/>
  <c r="U440" i="1"/>
  <c r="V440" i="1" s="1"/>
  <c r="W440" i="1" s="1"/>
  <c r="U477" i="1"/>
  <c r="V477" i="1" s="1"/>
  <c r="W477" i="1" s="1"/>
  <c r="U527" i="1"/>
  <c r="V527" i="1" s="1"/>
  <c r="W527" i="1" s="1"/>
  <c r="U564" i="1"/>
  <c r="V564" i="1" s="1"/>
  <c r="W564" i="1" s="1"/>
  <c r="U586" i="1"/>
  <c r="V586" i="1" s="1"/>
  <c r="W586" i="1" s="1"/>
  <c r="U644" i="1"/>
  <c r="V644" i="1" s="1"/>
  <c r="W644" i="1" s="1"/>
  <c r="U698" i="1"/>
  <c r="V698" i="1" s="1"/>
  <c r="W698" i="1" s="1"/>
  <c r="U600" i="1"/>
  <c r="V600" i="1" s="1"/>
  <c r="W600" i="1" s="1"/>
  <c r="U614" i="1"/>
  <c r="V614" i="1" s="1"/>
  <c r="W614" i="1" s="1"/>
  <c r="U656" i="1"/>
  <c r="V656" i="1" s="1"/>
  <c r="W656" i="1" s="1"/>
  <c r="U562" i="1"/>
  <c r="V562" i="1" s="1"/>
  <c r="W562" i="1" s="1"/>
  <c r="U574" i="1"/>
  <c r="V574" i="1" s="1"/>
  <c r="W574" i="1" s="1"/>
  <c r="U642" i="1"/>
  <c r="U704" i="1"/>
  <c r="V704" i="1" s="1"/>
  <c r="W704" i="1" s="1"/>
  <c r="U394" i="1"/>
  <c r="V394" i="1" s="1"/>
  <c r="W394" i="1" s="1"/>
  <c r="U401" i="1"/>
  <c r="V401" i="1" s="1"/>
  <c r="W401" i="1" s="1"/>
  <c r="U425" i="1"/>
  <c r="V425" i="1" s="1"/>
  <c r="W425" i="1" s="1"/>
  <c r="U512" i="1"/>
  <c r="V512" i="1" s="1"/>
  <c r="W512" i="1" s="1"/>
  <c r="U541" i="1"/>
  <c r="V541" i="1" s="1"/>
  <c r="W541" i="1" s="1"/>
  <c r="U555" i="1"/>
  <c r="V555" i="1" s="1"/>
  <c r="W555" i="1" s="1"/>
  <c r="U572" i="1"/>
  <c r="V572" i="1" s="1"/>
  <c r="W572" i="1" s="1"/>
  <c r="U591" i="1"/>
  <c r="V591" i="1" s="1"/>
  <c r="W591" i="1" s="1"/>
  <c r="U681" i="1"/>
  <c r="V681" i="1" s="1"/>
  <c r="W681" i="1" s="1"/>
  <c r="U691" i="1"/>
  <c r="V691" i="1" s="1"/>
  <c r="W691" i="1" s="1"/>
  <c r="U696" i="1"/>
  <c r="V696" i="1" s="1"/>
  <c r="W696" i="1" s="1"/>
  <c r="U718" i="1"/>
  <c r="V718" i="1" s="1"/>
  <c r="W718" i="1" s="1"/>
  <c r="U657" i="1"/>
  <c r="V657" i="1" s="1"/>
  <c r="W657" i="1" s="1"/>
  <c r="U684" i="1"/>
  <c r="V684" i="1" s="1"/>
  <c r="W684" i="1" s="1"/>
  <c r="U255" i="1"/>
  <c r="V255" i="1" s="1"/>
  <c r="W255" i="1" s="1"/>
  <c r="U259" i="1"/>
  <c r="V259" i="1" s="1"/>
  <c r="W259" i="1" s="1"/>
  <c r="U285" i="1"/>
  <c r="V285" i="1" s="1"/>
  <c r="W285" i="1" s="1"/>
  <c r="U289" i="1"/>
  <c r="V289" i="1" s="1"/>
  <c r="W289" i="1" s="1"/>
  <c r="U319" i="1"/>
  <c r="V319" i="1" s="1"/>
  <c r="W319" i="1" s="1"/>
  <c r="U341" i="1"/>
  <c r="V341" i="1" s="1"/>
  <c r="W341" i="1" s="1"/>
  <c r="U387" i="1"/>
  <c r="U422" i="1"/>
  <c r="V422" i="1" s="1"/>
  <c r="W422" i="1" s="1"/>
  <c r="U544" i="1"/>
  <c r="V544" i="1" s="1"/>
  <c r="W544" i="1" s="1"/>
  <c r="U666" i="1"/>
  <c r="V666" i="1" s="1"/>
  <c r="W666" i="1" s="1"/>
  <c r="U336" i="1"/>
  <c r="V336" i="1" s="1"/>
  <c r="W336" i="1" s="1"/>
  <c r="U362" i="1"/>
  <c r="V362" i="1" s="1"/>
  <c r="W362" i="1" s="1"/>
  <c r="U369" i="1"/>
  <c r="V369" i="1" s="1"/>
  <c r="W369" i="1" s="1"/>
  <c r="U376" i="1"/>
  <c r="V376" i="1" s="1"/>
  <c r="W376" i="1" s="1"/>
  <c r="U383" i="1"/>
  <c r="V383" i="1" s="1"/>
  <c r="W383" i="1" s="1"/>
  <c r="U413" i="1"/>
  <c r="V413" i="1" s="1"/>
  <c r="W413" i="1" s="1"/>
  <c r="U480" i="1"/>
  <c r="V480" i="1" s="1"/>
  <c r="W480" i="1" s="1"/>
  <c r="U482" i="1"/>
  <c r="V482" i="1" s="1"/>
  <c r="W482" i="1" s="1"/>
  <c r="U526" i="1"/>
  <c r="V526" i="1" s="1"/>
  <c r="W526" i="1" s="1"/>
  <c r="U563" i="1"/>
  <c r="V563" i="1" s="1"/>
  <c r="W563" i="1" s="1"/>
  <c r="U692" i="1"/>
  <c r="V692" i="1" s="1"/>
  <c r="W692" i="1" s="1"/>
  <c r="U716" i="1"/>
  <c r="V716" i="1" s="1"/>
  <c r="W716" i="1" s="1"/>
  <c r="U432" i="1"/>
  <c r="V432" i="1" s="1"/>
  <c r="W432" i="1" s="1"/>
  <c r="U447" i="1"/>
  <c r="V447" i="1" s="1"/>
  <c r="W447" i="1" s="1"/>
  <c r="U462" i="1"/>
  <c r="V462" i="1" s="1"/>
  <c r="W462" i="1" s="1"/>
  <c r="U470" i="1"/>
  <c r="U511" i="1"/>
  <c r="U519" i="1"/>
  <c r="V519" i="1" s="1"/>
  <c r="W519" i="1" s="1"/>
  <c r="U585" i="1"/>
  <c r="V585" i="1" s="1"/>
  <c r="W585" i="1" s="1"/>
  <c r="U649" i="1"/>
  <c r="V649" i="1" s="1"/>
  <c r="W649" i="1" s="1"/>
  <c r="U694" i="1"/>
  <c r="V694" i="1" s="1"/>
  <c r="W694" i="1" s="1"/>
  <c r="U645" i="1"/>
  <c r="V645" i="1" s="1"/>
  <c r="W645" i="1" s="1"/>
  <c r="U676" i="1"/>
  <c r="V676" i="1" s="1"/>
  <c r="W676" i="1" s="1"/>
  <c r="U699" i="1"/>
  <c r="V699" i="1" s="1"/>
  <c r="W699" i="1" s="1"/>
  <c r="U717" i="1"/>
  <c r="V717" i="1" s="1"/>
  <c r="W717" i="1" s="1"/>
  <c r="U407" i="1"/>
  <c r="V407" i="1" s="1"/>
  <c r="W407" i="1" s="1"/>
  <c r="U436" i="1"/>
  <c r="V436" i="1" s="1"/>
  <c r="W436" i="1" s="1"/>
  <c r="U528" i="1"/>
  <c r="V528" i="1" s="1"/>
  <c r="W528" i="1" s="1"/>
  <c r="U552" i="1"/>
  <c r="V552" i="1" s="1"/>
  <c r="W552" i="1" s="1"/>
  <c r="U554" i="1"/>
  <c r="V554" i="1" s="1"/>
  <c r="W554" i="1" s="1"/>
  <c r="U561" i="1"/>
  <c r="V561" i="1" s="1"/>
  <c r="W561" i="1" s="1"/>
  <c r="U568" i="1"/>
  <c r="V568" i="1" s="1"/>
  <c r="W568" i="1" s="1"/>
  <c r="U619" i="1"/>
  <c r="V619" i="1" s="1"/>
  <c r="W619" i="1" s="1"/>
  <c r="U621" i="1"/>
  <c r="V621" i="1" s="1"/>
  <c r="W621" i="1" s="1"/>
  <c r="U624" i="1"/>
  <c r="U626" i="1"/>
  <c r="V626" i="1" s="1"/>
  <c r="W626" i="1" s="1"/>
  <c r="U643" i="1"/>
  <c r="V643" i="1" s="1"/>
  <c r="W643" i="1" s="1"/>
  <c r="U658" i="1"/>
  <c r="V658" i="1" s="1"/>
  <c r="W658" i="1" s="1"/>
  <c r="U690" i="1"/>
  <c r="U484" i="1"/>
  <c r="V484" i="1" s="1"/>
  <c r="W484" i="1" s="1"/>
  <c r="U493" i="1"/>
  <c r="V493" i="1" s="1"/>
  <c r="W493" i="1" s="1"/>
  <c r="U559" i="1"/>
  <c r="V559" i="1" s="1"/>
  <c r="W559" i="1" s="1"/>
  <c r="U582" i="1"/>
  <c r="V582" i="1" s="1"/>
  <c r="W582" i="1" s="1"/>
  <c r="U584" i="1"/>
  <c r="V584" i="1" s="1"/>
  <c r="W584" i="1" s="1"/>
  <c r="U594" i="1"/>
  <c r="V594" i="1" s="1"/>
  <c r="W594" i="1" s="1"/>
  <c r="U675" i="1"/>
  <c r="V675" i="1" s="1"/>
  <c r="W675" i="1" s="1"/>
  <c r="U679" i="1"/>
  <c r="V679" i="1" s="1"/>
  <c r="W679" i="1" s="1"/>
  <c r="U683" i="1"/>
  <c r="V683" i="1" s="1"/>
  <c r="W683" i="1" s="1"/>
  <c r="U710" i="1"/>
  <c r="V710" i="1" s="1"/>
  <c r="W710" i="1" s="1"/>
  <c r="U446" i="1"/>
  <c r="V446" i="1" s="1"/>
  <c r="W446" i="1" s="1"/>
  <c r="U498" i="1"/>
  <c r="V498" i="1" s="1"/>
  <c r="W498" i="1" s="1"/>
  <c r="U500" i="1"/>
  <c r="V500" i="1" s="1"/>
  <c r="W500" i="1" s="1"/>
  <c r="U630" i="1"/>
  <c r="V630" i="1" s="1"/>
  <c r="W630" i="1" s="1"/>
  <c r="U639" i="1"/>
  <c r="V639" i="1" s="1"/>
  <c r="W639" i="1" s="1"/>
  <c r="U381" i="1"/>
  <c r="V381" i="1" s="1"/>
  <c r="W381" i="1" s="1"/>
  <c r="U415" i="1"/>
  <c r="V415" i="1" s="1"/>
  <c r="W415" i="1" s="1"/>
  <c r="U437" i="1"/>
  <c r="V437" i="1" s="1"/>
  <c r="W437" i="1" s="1"/>
  <c r="U467" i="1"/>
  <c r="V467" i="1" s="1"/>
  <c r="W467" i="1" s="1"/>
  <c r="U471" i="1"/>
  <c r="V471" i="1" s="1"/>
  <c r="W471" i="1" s="1"/>
  <c r="U478" i="1"/>
  <c r="V478" i="1" s="1"/>
  <c r="W478" i="1" s="1"/>
  <c r="U487" i="1"/>
  <c r="V487" i="1" s="1"/>
  <c r="W487" i="1" s="1"/>
  <c r="U476" i="1"/>
  <c r="V476" i="1" s="1"/>
  <c r="W476" i="1" s="1"/>
  <c r="U523" i="1"/>
  <c r="V523" i="1" s="1"/>
  <c r="W523" i="1" s="1"/>
  <c r="U558" i="1"/>
  <c r="V558" i="1" s="1"/>
  <c r="W558" i="1" s="1"/>
  <c r="U597" i="1"/>
  <c r="V597" i="1" s="1"/>
  <c r="W597" i="1" s="1"/>
  <c r="U627" i="1"/>
  <c r="V627" i="1" s="1"/>
  <c r="U647" i="1"/>
  <c r="V647" i="1" s="1"/>
  <c r="W647" i="1" s="1"/>
  <c r="U665" i="1"/>
  <c r="V665" i="1" s="1"/>
  <c r="W665" i="1" s="1"/>
  <c r="U673" i="1"/>
  <c r="V673" i="1" s="1"/>
  <c r="W673" i="1" s="1"/>
  <c r="U542" i="1"/>
  <c r="V542" i="1" s="1"/>
  <c r="W542" i="1" s="1"/>
  <c r="U551" i="1"/>
  <c r="V551" i="1" s="1"/>
  <c r="W551" i="1" s="1"/>
  <c r="U560" i="1"/>
  <c r="V560" i="1" s="1"/>
  <c r="W560" i="1" s="1"/>
  <c r="U705" i="1"/>
  <c r="V705" i="1" s="1"/>
  <c r="W705" i="1" s="1"/>
  <c r="U518" i="1"/>
  <c r="V518" i="1" s="1"/>
  <c r="W518" i="1" s="1"/>
  <c r="U536" i="1"/>
  <c r="V536" i="1" s="1"/>
  <c r="W536" i="1" s="1"/>
  <c r="U553" i="1"/>
  <c r="V553" i="1" s="1"/>
  <c r="W553" i="1" s="1"/>
  <c r="U592" i="1"/>
  <c r="V592" i="1" s="1"/>
  <c r="W592" i="1" s="1"/>
  <c r="U660" i="1"/>
  <c r="V660" i="1" s="1"/>
  <c r="W660" i="1" s="1"/>
  <c r="U686" i="1"/>
  <c r="V686" i="1" s="1"/>
  <c r="W686" i="1" s="1"/>
  <c r="U483" i="1"/>
  <c r="V483" i="1" s="1"/>
  <c r="W483" i="1" s="1"/>
  <c r="U505" i="1"/>
  <c r="V505" i="1" s="1"/>
  <c r="W505" i="1" s="1"/>
  <c r="U531" i="1"/>
  <c r="V531" i="1" s="1"/>
  <c r="W531" i="1" s="1"/>
  <c r="U557" i="1"/>
  <c r="V557" i="1" s="1"/>
  <c r="W557" i="1" s="1"/>
  <c r="U587" i="1"/>
  <c r="V587" i="1" s="1"/>
  <c r="W587" i="1" s="1"/>
  <c r="U613" i="1"/>
  <c r="V613" i="1" s="1"/>
  <c r="W613" i="1" s="1"/>
  <c r="U651" i="1"/>
  <c r="V651" i="1" s="1"/>
  <c r="W651" i="1" s="1"/>
  <c r="U677" i="1"/>
  <c r="V677" i="1" s="1"/>
  <c r="W677" i="1" s="1"/>
  <c r="U711" i="1"/>
  <c r="V711" i="1" s="1"/>
  <c r="W711" i="1" s="1"/>
  <c r="U715" i="1"/>
  <c r="V715" i="1" s="1"/>
  <c r="U495" i="1"/>
  <c r="V495" i="1" s="1"/>
  <c r="W495" i="1" s="1"/>
  <c r="U521" i="1"/>
  <c r="V521" i="1" s="1"/>
  <c r="W521" i="1" s="1"/>
  <c r="U547" i="1"/>
  <c r="V547" i="1" s="1"/>
  <c r="W547" i="1" s="1"/>
  <c r="U573" i="1"/>
  <c r="V573" i="1" s="1"/>
  <c r="W573" i="1" s="1"/>
  <c r="U599" i="1"/>
  <c r="V599" i="1" s="1"/>
  <c r="W599" i="1" s="1"/>
  <c r="U603" i="1"/>
  <c r="U629" i="1"/>
  <c r="V629" i="1" s="1"/>
  <c r="W629" i="1" s="1"/>
  <c r="U633" i="1"/>
  <c r="U663" i="1"/>
  <c r="V663" i="1" s="1"/>
  <c r="W663" i="1" s="1"/>
  <c r="U693" i="1"/>
  <c r="V693" i="1" s="1"/>
  <c r="S587" i="1"/>
  <c r="S250" i="1"/>
  <c r="S325" i="1"/>
  <c r="S143" i="1"/>
  <c r="S184" i="1"/>
  <c r="S87" i="1"/>
  <c r="S296" i="1"/>
  <c r="S333" i="1"/>
  <c r="S381" i="1"/>
  <c r="S439" i="1"/>
  <c r="S617" i="1"/>
  <c r="S89" i="1"/>
  <c r="S38" i="1"/>
  <c r="S165" i="1"/>
  <c r="S21" i="1"/>
  <c r="S4" i="1"/>
  <c r="S225" i="1"/>
  <c r="S374" i="1"/>
  <c r="S19" i="1"/>
  <c r="S68" i="1"/>
  <c r="S97" i="1"/>
  <c r="S120" i="1"/>
  <c r="S459" i="1"/>
  <c r="S22" i="1"/>
  <c r="S32" i="1"/>
  <c r="S35" i="1"/>
  <c r="S265" i="1"/>
  <c r="S293" i="1"/>
  <c r="S8" i="1"/>
  <c r="S33" i="1"/>
  <c r="S132" i="1"/>
  <c r="Q111" i="1"/>
  <c r="S110" i="1"/>
  <c r="S111" i="1" s="1"/>
  <c r="S176" i="1"/>
  <c r="Q236" i="1"/>
  <c r="S12" i="1"/>
  <c r="Q42" i="1"/>
  <c r="S162" i="1"/>
  <c r="S81" i="1"/>
  <c r="S82" i="1" s="1"/>
  <c r="S27" i="1"/>
  <c r="S61" i="1"/>
  <c r="S204" i="1"/>
  <c r="S285" i="1"/>
  <c r="S315" i="1"/>
  <c r="S212" i="1"/>
  <c r="S447" i="1"/>
  <c r="S552" i="1"/>
  <c r="S9" i="1"/>
  <c r="S406" i="1"/>
  <c r="S44" i="1"/>
  <c r="S55" i="1"/>
  <c r="S13" i="1"/>
  <c r="S24" i="1"/>
  <c r="S29" i="1"/>
  <c r="S34" i="1"/>
  <c r="S189" i="1"/>
  <c r="S280" i="1"/>
  <c r="S63" i="1"/>
  <c r="S53" i="1"/>
  <c r="S417" i="1"/>
  <c r="S56" i="1"/>
  <c r="S582" i="1"/>
  <c r="S488" i="1"/>
  <c r="S140" i="1"/>
  <c r="S205" i="1"/>
  <c r="S235" i="1"/>
  <c r="S504" i="1"/>
  <c r="Q108" i="1"/>
  <c r="S214" i="1"/>
  <c r="S529" i="1"/>
  <c r="S561" i="1"/>
  <c r="S113" i="1"/>
  <c r="S114" i="1" s="1"/>
  <c r="S452" i="1"/>
  <c r="S588" i="1"/>
  <c r="S91" i="1"/>
  <c r="S105" i="1"/>
  <c r="S299" i="1"/>
  <c r="S322" i="1"/>
  <c r="S403" i="1"/>
  <c r="S482" i="1"/>
  <c r="S223" i="1"/>
  <c r="S251" i="1"/>
  <c r="S436" i="1"/>
  <c r="S96" i="1"/>
  <c r="S234" i="1"/>
  <c r="S272" i="1"/>
  <c r="S519" i="1"/>
  <c r="S85" i="1"/>
  <c r="S101" i="1"/>
  <c r="S139" i="1"/>
  <c r="S199" i="1"/>
  <c r="S260" i="1"/>
  <c r="S7" i="1"/>
  <c r="S18" i="1"/>
  <c r="S45" i="1"/>
  <c r="S155" i="1"/>
  <c r="S26" i="1"/>
  <c r="S54" i="1"/>
  <c r="Q114" i="1"/>
  <c r="S187" i="1"/>
  <c r="S440" i="1"/>
  <c r="S103" i="1"/>
  <c r="S182" i="1"/>
  <c r="S231" i="1"/>
  <c r="S306" i="1"/>
  <c r="S48" i="1"/>
  <c r="S72" i="1"/>
  <c r="S171" i="1"/>
  <c r="S261" i="1"/>
  <c r="S611" i="1"/>
  <c r="Q78" i="1"/>
  <c r="S121" i="1"/>
  <c r="S291" i="1"/>
  <c r="S303" i="1"/>
  <c r="S320" i="1"/>
  <c r="S433" i="1"/>
  <c r="W727" i="1"/>
  <c r="S283" i="1"/>
  <c r="S297" i="1"/>
  <c r="S317" i="1"/>
  <c r="S404" i="1"/>
  <c r="S445" i="1"/>
  <c r="S359" i="1"/>
  <c r="Q385" i="1"/>
  <c r="S485" i="1"/>
  <c r="S535" i="1"/>
  <c r="S71" i="1"/>
  <c r="S169" i="1"/>
  <c r="S210" i="1"/>
  <c r="S221" i="1"/>
  <c r="S232" i="1"/>
  <c r="S249" i="1"/>
  <c r="S263" i="1"/>
  <c r="S278" i="1"/>
  <c r="Q308" i="1"/>
  <c r="S305" i="1"/>
  <c r="S100" i="1"/>
  <c r="S106" i="1"/>
  <c r="S203" i="1"/>
  <c r="Q266" i="1"/>
  <c r="S289" i="1"/>
  <c r="Q441" i="1"/>
  <c r="S415" i="1"/>
  <c r="S630" i="1"/>
  <c r="S190" i="1"/>
  <c r="S252" i="1"/>
  <c r="S58" i="1"/>
  <c r="S344" i="1"/>
  <c r="Q82" i="1"/>
  <c r="S505" i="1"/>
  <c r="S37" i="1"/>
  <c r="S94" i="1"/>
  <c r="S156" i="1"/>
  <c r="S179" i="1"/>
  <c r="S247" i="1"/>
  <c r="S284" i="1"/>
  <c r="S446" i="1"/>
  <c r="S490" i="1"/>
  <c r="S620" i="1"/>
  <c r="S597" i="1"/>
  <c r="S646" i="1"/>
  <c r="S704" i="1"/>
  <c r="S651" i="1"/>
  <c r="S700" i="1"/>
  <c r="S666" i="1"/>
  <c r="S413" i="1"/>
  <c r="S418" i="1"/>
  <c r="S450" i="1"/>
  <c r="S360" i="1"/>
  <c r="S396" i="1"/>
  <c r="S486" i="1"/>
  <c r="S644" i="1"/>
  <c r="S596" i="1"/>
  <c r="Q256" i="1"/>
  <c r="S416" i="1"/>
  <c r="S419" i="1"/>
  <c r="S444" i="1"/>
  <c r="Q410" i="1"/>
  <c r="S391" i="1"/>
  <c r="S150" i="1"/>
  <c r="S151" i="1" s="1"/>
  <c r="S194" i="1"/>
  <c r="S238" i="1"/>
  <c r="S316" i="1"/>
  <c r="S323" i="1"/>
  <c r="S365" i="1"/>
  <c r="S399" i="1"/>
  <c r="S467" i="1"/>
  <c r="S499" i="1"/>
  <c r="S295" i="1"/>
  <c r="S477" i="1"/>
  <c r="S608" i="1"/>
  <c r="S144" i="1"/>
  <c r="S273" i="1"/>
  <c r="S351" i="1"/>
  <c r="S471" i="1"/>
  <c r="Q509" i="1"/>
  <c r="S657" i="1"/>
  <c r="S314" i="1"/>
  <c r="Q355" i="1"/>
  <c r="S368" i="1"/>
  <c r="S405" i="1"/>
  <c r="S451" i="1"/>
  <c r="S464" i="1"/>
  <c r="S437" i="1"/>
  <c r="S560" i="1"/>
  <c r="S607" i="1"/>
  <c r="S480" i="1"/>
  <c r="S366" i="1"/>
  <c r="S379" i="1"/>
  <c r="S585" i="1"/>
  <c r="S614" i="1"/>
  <c r="S544" i="1"/>
  <c r="S706" i="1"/>
  <c r="S562" i="1"/>
  <c r="S675" i="1"/>
  <c r="S695" i="1"/>
  <c r="S571" i="1"/>
  <c r="Q688" i="1"/>
  <c r="S531" i="1"/>
  <c r="S545" i="1"/>
  <c r="S577" i="1"/>
  <c r="S659" i="1"/>
  <c r="Q468" i="1"/>
  <c r="S551" i="1"/>
  <c r="S610" i="1"/>
  <c r="S616" i="1"/>
  <c r="S628" i="1"/>
  <c r="S458" i="1"/>
  <c r="S656" i="1"/>
  <c r="S682" i="1"/>
  <c r="S523" i="1"/>
  <c r="S674" i="1"/>
  <c r="S580" i="1"/>
  <c r="S591" i="1"/>
  <c r="S448" i="1"/>
  <c r="S569" i="1"/>
  <c r="S645" i="1"/>
  <c r="S454" i="1"/>
  <c r="S481" i="1"/>
  <c r="S514" i="1"/>
  <c r="S649" i="1"/>
  <c r="S678" i="1"/>
  <c r="S642" i="1"/>
  <c r="Q670" i="1"/>
  <c r="Q636" i="1"/>
  <c r="S691" i="1"/>
  <c r="S725" i="1"/>
  <c r="S735" i="1" s="1"/>
  <c r="Q735" i="1"/>
  <c r="S621" i="1"/>
  <c r="S639" i="1"/>
  <c r="S640" i="1" s="1"/>
  <c r="S676" i="1"/>
  <c r="W725" i="1"/>
  <c r="S684" i="1"/>
  <c r="S643" i="1"/>
  <c r="S692" i="1"/>
  <c r="V735" i="1"/>
  <c r="Q640" i="1"/>
  <c r="S648" i="1"/>
  <c r="S705" i="1"/>
  <c r="S711" i="1"/>
  <c r="S668" i="1"/>
  <c r="Q712" i="1"/>
  <c r="S549" i="1"/>
  <c r="S699" i="1"/>
  <c r="S170" i="1" l="1"/>
  <c r="W715" i="1"/>
  <c r="W154" i="1"/>
  <c r="Q312" i="1"/>
  <c r="W540" i="1"/>
  <c r="W86" i="1"/>
  <c r="S443" i="1"/>
  <c r="S455" i="1" s="1"/>
  <c r="S712" i="1"/>
  <c r="Q455" i="1"/>
  <c r="Q578" i="1"/>
  <c r="Q565" i="1"/>
  <c r="Q719" i="1"/>
  <c r="Q147" i="1"/>
  <c r="Q622" i="1"/>
  <c r="Q631" i="1"/>
  <c r="W627" i="1"/>
  <c r="S581" i="1"/>
  <c r="S601" i="1" s="1"/>
  <c r="Q69" i="1"/>
  <c r="Q601" i="1"/>
  <c r="Q123" i="1"/>
  <c r="W581" i="1"/>
  <c r="W270" i="1"/>
  <c r="W606" i="1"/>
  <c r="W135" i="1"/>
  <c r="S636" i="1"/>
  <c r="P720" i="1"/>
  <c r="P737" i="1" s="1"/>
  <c r="S312" i="1"/>
  <c r="S703" i="1"/>
  <c r="S707" i="1" s="1"/>
  <c r="Q286" i="1"/>
  <c r="S270" i="1"/>
  <c r="S286" i="1" s="1"/>
  <c r="W693" i="1"/>
  <c r="Q701" i="1"/>
  <c r="W570" i="1"/>
  <c r="Q167" i="1"/>
  <c r="S154" i="1"/>
  <c r="S167" i="1" s="1"/>
  <c r="Q98" i="1"/>
  <c r="R720" i="1"/>
  <c r="R737" i="1" s="1"/>
  <c r="S578" i="1"/>
  <c r="S51" i="1"/>
  <c r="S715" i="1"/>
  <c r="S719" i="1" s="1"/>
  <c r="W513" i="1"/>
  <c r="Q537" i="1"/>
  <c r="W170" i="1"/>
  <c r="Q174" i="1"/>
  <c r="S119" i="1"/>
  <c r="S123" i="1" s="1"/>
  <c r="W119" i="1"/>
  <c r="S622" i="1"/>
  <c r="S256" i="1"/>
  <c r="S42" i="1"/>
  <c r="S266" i="1"/>
  <c r="S565" i="1"/>
  <c r="S46" i="1"/>
  <c r="S441" i="1"/>
  <c r="S98" i="1"/>
  <c r="S701" i="1"/>
  <c r="S631" i="1"/>
  <c r="U719" i="1"/>
  <c r="V714" i="1"/>
  <c r="V176" i="1"/>
  <c r="U236" i="1"/>
  <c r="U640" i="1"/>
  <c r="V638" i="1"/>
  <c r="U126" i="1"/>
  <c r="V125" i="1"/>
  <c r="U355" i="1"/>
  <c r="V314" i="1"/>
  <c r="V238" i="1"/>
  <c r="U256" i="1"/>
  <c r="U537" i="1"/>
  <c r="V511" i="1"/>
  <c r="U389" i="1"/>
  <c r="V387" i="1"/>
  <c r="V642" i="1"/>
  <c r="U670" i="1"/>
  <c r="S108" i="1"/>
  <c r="U509" i="1"/>
  <c r="V470" i="1"/>
  <c r="V624" i="1"/>
  <c r="U631" i="1"/>
  <c r="V580" i="1"/>
  <c r="U601" i="1"/>
  <c r="V268" i="1"/>
  <c r="U286" i="1"/>
  <c r="U636" i="1"/>
  <c r="V633" i="1"/>
  <c r="S670" i="1"/>
  <c r="U266" i="1"/>
  <c r="V258" i="1"/>
  <c r="V132" i="1"/>
  <c r="U147" i="1"/>
  <c r="U312" i="1"/>
  <c r="V310" i="1"/>
  <c r="U123" i="1"/>
  <c r="V116" i="1"/>
  <c r="S537" i="1"/>
  <c r="V100" i="1"/>
  <c r="U108" i="1"/>
  <c r="V149" i="1"/>
  <c r="U151" i="1"/>
  <c r="V357" i="1"/>
  <c r="U385" i="1"/>
  <c r="V53" i="1"/>
  <c r="U69" i="1"/>
  <c r="V412" i="1"/>
  <c r="U441" i="1"/>
  <c r="U42" i="1"/>
  <c r="V3" i="1"/>
  <c r="R724" i="1"/>
  <c r="Q724" i="1"/>
  <c r="P724" i="1"/>
  <c r="V724" i="1"/>
  <c r="U46" i="1"/>
  <c r="V44" i="1"/>
  <c r="S468" i="1"/>
  <c r="S688" i="1"/>
  <c r="S308" i="1"/>
  <c r="S236" i="1"/>
  <c r="U565" i="1"/>
  <c r="V539" i="1"/>
  <c r="S147" i="1"/>
  <c r="U111" i="1"/>
  <c r="V110" i="1"/>
  <c r="V703" i="1"/>
  <c r="U707" i="1"/>
  <c r="U167" i="1"/>
  <c r="V153" i="1"/>
  <c r="U51" i="1"/>
  <c r="V48" i="1"/>
  <c r="S355" i="1"/>
  <c r="W735" i="1"/>
  <c r="U308" i="1"/>
  <c r="V288" i="1"/>
  <c r="U455" i="1"/>
  <c r="V443" i="1"/>
  <c r="U688" i="1"/>
  <c r="V672" i="1"/>
  <c r="V391" i="1"/>
  <c r="U410" i="1"/>
  <c r="V113" i="1"/>
  <c r="U114" i="1"/>
  <c r="S509" i="1"/>
  <c r="V169" i="1"/>
  <c r="U174" i="1"/>
  <c r="S410" i="1"/>
  <c r="U622" i="1"/>
  <c r="V603" i="1"/>
  <c r="V71" i="1"/>
  <c r="U75" i="1"/>
  <c r="V128" i="1"/>
  <c r="U130" i="1"/>
  <c r="S174" i="1"/>
  <c r="S69" i="1"/>
  <c r="S75" i="1"/>
  <c r="V80" i="1"/>
  <c r="U82" i="1"/>
  <c r="V77" i="1"/>
  <c r="U78" i="1"/>
  <c r="S385" i="1"/>
  <c r="U701" i="1"/>
  <c r="V690" i="1"/>
  <c r="U578" i="1"/>
  <c r="V567" i="1"/>
  <c r="U712" i="1"/>
  <c r="V709" i="1"/>
  <c r="V457" i="1"/>
  <c r="U468" i="1"/>
  <c r="V84" i="1"/>
  <c r="U98" i="1"/>
  <c r="Q720" i="1" l="1"/>
  <c r="Q737" i="1" s="1"/>
  <c r="S720" i="1"/>
  <c r="S737" i="1" s="1"/>
  <c r="V688" i="1"/>
  <c r="W672" i="1"/>
  <c r="W688" i="1" s="1"/>
  <c r="W314" i="1"/>
  <c r="W355" i="1" s="1"/>
  <c r="V355" i="1"/>
  <c r="V147" i="1"/>
  <c r="W132" i="1"/>
  <c r="W147" i="1" s="1"/>
  <c r="W603" i="1"/>
  <c r="W622" i="1" s="1"/>
  <c r="V622" i="1"/>
  <c r="V98" i="1"/>
  <c r="W84" i="1"/>
  <c r="W98" i="1" s="1"/>
  <c r="W238" i="1"/>
  <c r="W256" i="1" s="1"/>
  <c r="V256" i="1"/>
  <c r="W44" i="1"/>
  <c r="W46" i="1" s="1"/>
  <c r="V46" i="1"/>
  <c r="V236" i="1"/>
  <c r="W176" i="1"/>
  <c r="W236" i="1" s="1"/>
  <c r="W580" i="1"/>
  <c r="W601" i="1" s="1"/>
  <c r="V601" i="1"/>
  <c r="W457" i="1"/>
  <c r="W468" i="1" s="1"/>
  <c r="V468" i="1"/>
  <c r="W71" i="1"/>
  <c r="W75" i="1" s="1"/>
  <c r="V75" i="1"/>
  <c r="V51" i="1"/>
  <c r="W48" i="1"/>
  <c r="W51" i="1" s="1"/>
  <c r="W3" i="1"/>
  <c r="W42" i="1" s="1"/>
  <c r="V42" i="1"/>
  <c r="U720" i="1"/>
  <c r="U737" i="1" s="1"/>
  <c r="V441" i="1"/>
  <c r="W412" i="1"/>
  <c r="W441" i="1" s="1"/>
  <c r="V312" i="1"/>
  <c r="W310" i="1"/>
  <c r="W312" i="1" s="1"/>
  <c r="V712" i="1"/>
  <c r="W709" i="1"/>
  <c r="W712" i="1" s="1"/>
  <c r="V82" i="1"/>
  <c r="W80" i="1"/>
  <c r="W82" i="1" s="1"/>
  <c r="W149" i="1"/>
  <c r="W151" i="1" s="1"/>
  <c r="V151" i="1"/>
  <c r="V126" i="1"/>
  <c r="W125" i="1"/>
  <c r="W126" i="1" s="1"/>
  <c r="V308" i="1"/>
  <c r="W288" i="1"/>
  <c r="W308" i="1" s="1"/>
  <c r="V640" i="1"/>
  <c r="W638" i="1"/>
  <c r="W640" i="1" s="1"/>
  <c r="V719" i="1"/>
  <c r="W714" i="1"/>
  <c r="W719" i="1" s="1"/>
  <c r="W624" i="1"/>
  <c r="W631" i="1" s="1"/>
  <c r="V631" i="1"/>
  <c r="V167" i="1"/>
  <c r="W153" i="1"/>
  <c r="W167" i="1" s="1"/>
  <c r="V509" i="1"/>
  <c r="W470" i="1"/>
  <c r="W509" i="1" s="1"/>
  <c r="W690" i="1"/>
  <c r="W701" i="1" s="1"/>
  <c r="V701" i="1"/>
  <c r="W110" i="1"/>
  <c r="W111" i="1" s="1"/>
  <c r="V111" i="1"/>
  <c r="V565" i="1"/>
  <c r="W539" i="1"/>
  <c r="W565" i="1" s="1"/>
  <c r="V636" i="1"/>
  <c r="W633" i="1"/>
  <c r="W636" i="1" s="1"/>
  <c r="V455" i="1"/>
  <c r="W443" i="1"/>
  <c r="W455" i="1" s="1"/>
  <c r="W100" i="1"/>
  <c r="W108" i="1" s="1"/>
  <c r="V108" i="1"/>
  <c r="V123" i="1"/>
  <c r="W116" i="1"/>
  <c r="W123" i="1" s="1"/>
  <c r="V286" i="1"/>
  <c r="W268" i="1"/>
  <c r="W286" i="1" s="1"/>
  <c r="W128" i="1"/>
  <c r="W130" i="1" s="1"/>
  <c r="V130" i="1"/>
  <c r="V266" i="1"/>
  <c r="W258" i="1"/>
  <c r="W266" i="1" s="1"/>
  <c r="V578" i="1"/>
  <c r="W567" i="1"/>
  <c r="W578" i="1" s="1"/>
  <c r="W169" i="1"/>
  <c r="W174" i="1" s="1"/>
  <c r="V174" i="1"/>
  <c r="V707" i="1"/>
  <c r="W703" i="1"/>
  <c r="W707" i="1" s="1"/>
  <c r="V670" i="1"/>
  <c r="W642" i="1"/>
  <c r="W670" i="1" s="1"/>
  <c r="V389" i="1"/>
  <c r="W387" i="1"/>
  <c r="W389" i="1" s="1"/>
  <c r="W113" i="1"/>
  <c r="W114" i="1" s="1"/>
  <c r="V114" i="1"/>
  <c r="W53" i="1"/>
  <c r="W69" i="1" s="1"/>
  <c r="V69" i="1"/>
  <c r="V537" i="1"/>
  <c r="W511" i="1"/>
  <c r="W537" i="1" s="1"/>
  <c r="W77" i="1"/>
  <c r="W78" i="1" s="1"/>
  <c r="V78" i="1"/>
  <c r="W391" i="1"/>
  <c r="W410" i="1" s="1"/>
  <c r="V410" i="1"/>
  <c r="W357" i="1"/>
  <c r="W385" i="1" s="1"/>
  <c r="V385" i="1"/>
  <c r="W720" i="1" l="1"/>
  <c r="W737" i="1" s="1"/>
  <c r="V720" i="1"/>
  <c r="V737" i="1" s="1"/>
</calcChain>
</file>

<file path=xl/sharedStrings.xml><?xml version="1.0" encoding="utf-8"?>
<sst xmlns="http://schemas.openxmlformats.org/spreadsheetml/2006/main" count="5762" uniqueCount="606">
  <si>
    <t>Grand Total</t>
  </si>
  <si>
    <t>NO_AFFILIATE</t>
  </si>
  <si>
    <t>Variance</t>
  </si>
  <si>
    <t>Comments</t>
  </si>
  <si>
    <t>MEETH_29600000</t>
  </si>
  <si>
    <t>EV_BEFORE</t>
  </si>
  <si>
    <t>A_61000</t>
  </si>
  <si>
    <t>A_61010</t>
  </si>
  <si>
    <t>A_61400</t>
  </si>
  <si>
    <t>A_64505</t>
  </si>
  <si>
    <t>A_66500</t>
  </si>
  <si>
    <t>A_66510</t>
  </si>
  <si>
    <t>A_66515</t>
  </si>
  <si>
    <t>A_66524</t>
  </si>
  <si>
    <t>A_66528</t>
  </si>
  <si>
    <t>A_55010</t>
  </si>
  <si>
    <t>A_63030</t>
  </si>
  <si>
    <t>A_64000</t>
  </si>
  <si>
    <t>A_64020</t>
  </si>
  <si>
    <t>A_64030</t>
  </si>
  <si>
    <t>A_66000</t>
  </si>
  <si>
    <t>A_66010</t>
  </si>
  <si>
    <t>A_66020</t>
  </si>
  <si>
    <t>A_66050</t>
  </si>
  <si>
    <t>A_66060</t>
  </si>
  <si>
    <t>A_66070</t>
  </si>
  <si>
    <t>A_66071</t>
  </si>
  <si>
    <t>A_66075</t>
  </si>
  <si>
    <t>A_66076</t>
  </si>
  <si>
    <t>A_66090</t>
  </si>
  <si>
    <t>A_66095</t>
  </si>
  <si>
    <t>A_66150</t>
  </si>
  <si>
    <t>A_66152</t>
  </si>
  <si>
    <t>A_55020</t>
  </si>
  <si>
    <t>A_65505</t>
  </si>
  <si>
    <t>A_65507</t>
  </si>
  <si>
    <t>A_65510</t>
  </si>
  <si>
    <t>A_65517</t>
  </si>
  <si>
    <t>A_65518</t>
  </si>
  <si>
    <t>A_65525</t>
  </si>
  <si>
    <t>A_65528</t>
  </si>
  <si>
    <t>A_65535</t>
  </si>
  <si>
    <t>A_65536</t>
  </si>
  <si>
    <t>A_65540</t>
  </si>
  <si>
    <t>A_65050</t>
  </si>
  <si>
    <t>EV_AFTER</t>
  </si>
  <si>
    <t>MEETH_29600030</t>
  </si>
  <si>
    <t>MEETH_29600130</t>
  </si>
  <si>
    <t>MEETH_29600160</t>
  </si>
  <si>
    <t>A_63010</t>
  </si>
  <si>
    <t>A_63020</t>
  </si>
  <si>
    <t>A_63067</t>
  </si>
  <si>
    <t>A_63068</t>
  </si>
  <si>
    <t>A_63080</t>
  </si>
  <si>
    <t>A_66030</t>
  </si>
  <si>
    <t>MEETH_29600180</t>
  </si>
  <si>
    <t>MEETH_29600300</t>
  </si>
  <si>
    <t>MEETH_29600301</t>
  </si>
  <si>
    <t>MEETH_29601055</t>
  </si>
  <si>
    <t>A_65542</t>
  </si>
  <si>
    <t>MEETH_29620005</t>
  </si>
  <si>
    <t>MEETH_29628025</t>
  </si>
  <si>
    <t>MEETH_29630010</t>
  </si>
  <si>
    <t>MEETH_29632040</t>
  </si>
  <si>
    <t>A_64010</t>
  </si>
  <si>
    <t>MEETH_29634010</t>
  </si>
  <si>
    <t>MEETH_29641010</t>
  </si>
  <si>
    <t>MEETH_29641020</t>
  </si>
  <si>
    <t>A_63035</t>
  </si>
  <si>
    <t>MEETH_29643000</t>
  </si>
  <si>
    <t>MEETH_29650170</t>
  </si>
  <si>
    <t>A_63000</t>
  </si>
  <si>
    <t>A_63005</t>
  </si>
  <si>
    <t>A_65534</t>
  </si>
  <si>
    <t>MEETH_29651005</t>
  </si>
  <si>
    <t>MEETH_29651010</t>
  </si>
  <si>
    <t>A_61200</t>
  </si>
  <si>
    <t>A_64560</t>
  </si>
  <si>
    <t>A_66523</t>
  </si>
  <si>
    <t>A_66526</t>
  </si>
  <si>
    <t>A_55009</t>
  </si>
  <si>
    <t>A_63008</t>
  </si>
  <si>
    <t>A_63009</t>
  </si>
  <si>
    <t>A_63015</t>
  </si>
  <si>
    <t>A_63032</t>
  </si>
  <si>
    <t>A_63040</t>
  </si>
  <si>
    <t>A_63045</t>
  </si>
  <si>
    <t>A_63050</t>
  </si>
  <si>
    <t>A_63059</t>
  </si>
  <si>
    <t>A_63060</t>
  </si>
  <si>
    <t>A_63062</t>
  </si>
  <si>
    <t>A_63066</t>
  </si>
  <si>
    <t>A_63069</t>
  </si>
  <si>
    <t>A_63070</t>
  </si>
  <si>
    <t>A_63078</t>
  </si>
  <si>
    <t>A_66040</t>
  </si>
  <si>
    <t>A_66110</t>
  </si>
  <si>
    <t>A_66170</t>
  </si>
  <si>
    <t>A_65515</t>
  </si>
  <si>
    <t>A_65524</t>
  </si>
  <si>
    <t>A_65526</t>
  </si>
  <si>
    <t>A_65527</t>
  </si>
  <si>
    <t>A_65530</t>
  </si>
  <si>
    <t>MEETH_29651020</t>
  </si>
  <si>
    <t>MEETH_29651030</t>
  </si>
  <si>
    <t>MEETH_29651050</t>
  </si>
  <si>
    <t>MEETH_29653005</t>
  </si>
  <si>
    <t>A_65550</t>
  </si>
  <si>
    <t>MEETH_29653100</t>
  </si>
  <si>
    <t>MEETH_29656000</t>
  </si>
  <si>
    <t>A_63300</t>
  </si>
  <si>
    <t>A_63310</t>
  </si>
  <si>
    <t>A_63320</t>
  </si>
  <si>
    <t>A_63330</t>
  </si>
  <si>
    <t>A_63340</t>
  </si>
  <si>
    <t>A_63350</t>
  </si>
  <si>
    <t>A_63360</t>
  </si>
  <si>
    <t>A_63368</t>
  </si>
  <si>
    <t>A_63369</t>
  </si>
  <si>
    <t>A_63372</t>
  </si>
  <si>
    <t>A_63374</t>
  </si>
  <si>
    <t>A_63376</t>
  </si>
  <si>
    <t>A_63377</t>
  </si>
  <si>
    <t>A_63378</t>
  </si>
  <si>
    <t>A_63383</t>
  </si>
  <si>
    <t>A_63391</t>
  </si>
  <si>
    <t>A_65030</t>
  </si>
  <si>
    <t>MEETH_29656060</t>
  </si>
  <si>
    <t>A_65565</t>
  </si>
  <si>
    <t>MEETH_29656080</t>
  </si>
  <si>
    <t>MEETH_29657000</t>
  </si>
  <si>
    <t>MEETH_29661010</t>
  </si>
  <si>
    <t>A_65000</t>
  </si>
  <si>
    <t>MEETH_29663000</t>
  </si>
  <si>
    <t>MEETH_29663010</t>
  </si>
  <si>
    <t>MEETH_29663400</t>
  </si>
  <si>
    <t>A_61300</t>
  </si>
  <si>
    <t>A_63373</t>
  </si>
  <si>
    <t>MEETH_29663430</t>
  </si>
  <si>
    <t>MEETH_29664000</t>
  </si>
  <si>
    <t>MEETH_29665200</t>
  </si>
  <si>
    <t>MEETH_29666000</t>
  </si>
  <si>
    <t>MEETH_29690000</t>
  </si>
  <si>
    <t>A_64090</t>
  </si>
  <si>
    <t>MEETH_29690020</t>
  </si>
  <si>
    <t>MEETH_29690030</t>
  </si>
  <si>
    <t>A_65010</t>
  </si>
  <si>
    <t>MEETH_29690040</t>
  </si>
  <si>
    <t>MEETH_29690080</t>
  </si>
  <si>
    <t>A_65521</t>
  </si>
  <si>
    <t>A_65523</t>
  </si>
  <si>
    <t>A_65529</t>
  </si>
  <si>
    <t>A_65020</t>
  </si>
  <si>
    <t>A_65060</t>
  </si>
  <si>
    <t>A_65080</t>
  </si>
  <si>
    <t>MEETH_29691010</t>
  </si>
  <si>
    <t>A_64500</t>
  </si>
  <si>
    <t>A_64510</t>
  </si>
  <si>
    <t>A_64520</t>
  </si>
  <si>
    <t>A_64530</t>
  </si>
  <si>
    <t>A_64540</t>
  </si>
  <si>
    <t>A_64580</t>
  </si>
  <si>
    <t>A_64590</t>
  </si>
  <si>
    <t>A_64045</t>
  </si>
  <si>
    <t>MEETH_29692010</t>
  </si>
  <si>
    <t>A_65533</t>
  </si>
  <si>
    <t>MEETH_29693000</t>
  </si>
  <si>
    <t>MEETH_29693050</t>
  </si>
  <si>
    <t>MEETH_29699000</t>
  </si>
  <si>
    <t>NEW ADDS:</t>
  </si>
  <si>
    <t>Department (ex. LIJMC_12345678)</t>
  </si>
  <si>
    <t>Account (ex. A_12345)</t>
  </si>
  <si>
    <t>Affiliate</t>
  </si>
  <si>
    <t>Total New Adds</t>
  </si>
  <si>
    <t>Grand Total, Incl New Adds</t>
  </si>
  <si>
    <t>29600000 Hospital Administration</t>
  </si>
  <si>
    <t>MEETH_29600000 - Hospital Administration</t>
  </si>
  <si>
    <t>A_61000 - Consulting Fees</t>
  </si>
  <si>
    <t>A_61010 - Legal Fees</t>
  </si>
  <si>
    <t>A_61400 - Other Fees</t>
  </si>
  <si>
    <t>A_64505 - Food SI</t>
  </si>
  <si>
    <t>A_66500 - Property Rentals</t>
  </si>
  <si>
    <t>A_66510 - Lease-Rentals - Other</t>
  </si>
  <si>
    <t>A_66515 - Lease Rentals - Copiers</t>
  </si>
  <si>
    <t>A_66524 - Software Licensing Fees</t>
  </si>
  <si>
    <t>A_66528 - Cloud Software Licensing Fees</t>
  </si>
  <si>
    <t>A_55010 - Rebates From Vendors</t>
  </si>
  <si>
    <t>A_63030 - Supplies - Medical</t>
  </si>
  <si>
    <t>A_64000 - Supplies - Hotel Services</t>
  </si>
  <si>
    <t>A_64020 - Supplies - Office</t>
  </si>
  <si>
    <t>A_64030 - Supplies - Other Non Medical</t>
  </si>
  <si>
    <t>A_66000 - Dues</t>
  </si>
  <si>
    <t>A_66010 - Periodicals-Publ-Subscriptions</t>
  </si>
  <si>
    <t>A_66020 - Outside Training</t>
  </si>
  <si>
    <t>A_66050 - Printing And Duplication</t>
  </si>
  <si>
    <t>A_66060 - Other Expenses</t>
  </si>
  <si>
    <t>A_66070 - Advertising</t>
  </si>
  <si>
    <t>A_66071 - Ad Placement Services</t>
  </si>
  <si>
    <t>A_66075 - Promotional items</t>
  </si>
  <si>
    <t>A_66076 - Corporate Sponsorships</t>
  </si>
  <si>
    <t>A_66090 - House Functions &amp; Corp Events</t>
  </si>
  <si>
    <t>A_66095 - Meals &amp; Entertainment</t>
  </si>
  <si>
    <t>A_66150 - Travel</t>
  </si>
  <si>
    <t>A_66152 - Patient Transportation</t>
  </si>
  <si>
    <t>A_55020 - Rebates-Pharmaceuticals</t>
  </si>
  <si>
    <t>A_65505 - Equipment Service Contracts</t>
  </si>
  <si>
    <t>A_65507 - Medical Equip Srvcs Contracts</t>
  </si>
  <si>
    <t>A_65510 - Freight</t>
  </si>
  <si>
    <t>A_65517 - Software Maint and Support</t>
  </si>
  <si>
    <t>A_65518 - Cloud Maintenance and Support</t>
  </si>
  <si>
    <t>A_65525 - Maintenance And Repairs</t>
  </si>
  <si>
    <t>A_65528 - Elevator-Reprs-Prchsd-Contr Sv</t>
  </si>
  <si>
    <t>A_65535 - Other Purchased Services</t>
  </si>
  <si>
    <t>A_65536 - Oth Purch Serv- Credentialling</t>
  </si>
  <si>
    <t>A_65540 - Outside Messenger Service</t>
  </si>
  <si>
    <t>A_65050 - Telephone</t>
  </si>
  <si>
    <t>Total MEETH_29600000</t>
  </si>
  <si>
    <t>29600030 Finance Site</t>
  </si>
  <si>
    <t>MEETH_29600030 - Finance Site</t>
  </si>
  <si>
    <t>Total MEETH_29600030</t>
  </si>
  <si>
    <t>29600130 Quality Management</t>
  </si>
  <si>
    <t>MEETH_29600130 - Quality Management</t>
  </si>
  <si>
    <t>Total MEETH_29600130</t>
  </si>
  <si>
    <t>29600160 Materials Operations</t>
  </si>
  <si>
    <t>MEETH_29600160 - Materials Operations</t>
  </si>
  <si>
    <t>A_63010 - Supplies - Implnts - Oth Ortho</t>
  </si>
  <si>
    <t>A_63020 - Supplies Wound Closure</t>
  </si>
  <si>
    <t>A_63067 - Supplies - Implants - Urologic</t>
  </si>
  <si>
    <t>A_63068 - Supplies - Imp - Corneal Tissu</t>
  </si>
  <si>
    <t>A_63080 - Supplies - Surgical</t>
  </si>
  <si>
    <t>A_66030 - Microfilming &amp; Archiving</t>
  </si>
  <si>
    <t>Total MEETH_29600160</t>
  </si>
  <si>
    <t>29600180 Health Info Mgt</t>
  </si>
  <si>
    <t>MEETH_29600180 - Health Info Mgt</t>
  </si>
  <si>
    <t>Total MEETH_29600180</t>
  </si>
  <si>
    <t>29600300 Emergency Events - Covid19</t>
  </si>
  <si>
    <t>MEETH_29600300 - Emergency Events - Covid19</t>
  </si>
  <si>
    <t>Total MEETH_29600300</t>
  </si>
  <si>
    <t>29600301 Emergency Events 1</t>
  </si>
  <si>
    <t>MEETH_29600301 - Emergency Events 1</t>
  </si>
  <si>
    <t>Total MEETH_29600301</t>
  </si>
  <si>
    <t>29601055 Access Services</t>
  </si>
  <si>
    <t>MEETH_29601055 - Access Services</t>
  </si>
  <si>
    <t>A_65542 - Translation Services</t>
  </si>
  <si>
    <t>Total MEETH_29601055</t>
  </si>
  <si>
    <t>29620005 ACP Services - Amb Surgery</t>
  </si>
  <si>
    <t>MEETH_29620005 - ACP Services - Amb Surgery</t>
  </si>
  <si>
    <t>Total MEETH_29620005</t>
  </si>
  <si>
    <t>29628025 Medicine - Epidemiology</t>
  </si>
  <si>
    <t>MEETH_29628025 - Medicine - Epidemiology</t>
  </si>
  <si>
    <t>Total MEETH_29628025</t>
  </si>
  <si>
    <t>29630010 Pain Management</t>
  </si>
  <si>
    <t>MEETH_29630010 - Pain Management</t>
  </si>
  <si>
    <t>Total MEETH_29630010</t>
  </si>
  <si>
    <t>29632040 Surgery - Plastic</t>
  </si>
  <si>
    <t>MEETH_29632040 - Surgery - Plastic</t>
  </si>
  <si>
    <t>A_64010 - Supplies - Linen And Bedding</t>
  </si>
  <si>
    <t>Total MEETH_29632040</t>
  </si>
  <si>
    <t>29634010 Pediatrics Ophthalmology</t>
  </si>
  <si>
    <t>MEETH_29634010 - Pediatrics Ophthalmology</t>
  </si>
  <si>
    <t>Total MEETH_29634010</t>
  </si>
  <si>
    <t>29641010 Ophthalmology - Glover</t>
  </si>
  <si>
    <t>MEETH_29641010 - Ophthalmology - Glover</t>
  </si>
  <si>
    <t>Total MEETH_29641010</t>
  </si>
  <si>
    <t>29641020 Ophthalmology - Laser</t>
  </si>
  <si>
    <t>MEETH_29641020 - Ophthalmology - Laser</t>
  </si>
  <si>
    <t>A_63035 - Supplies - Gases</t>
  </si>
  <si>
    <t>Total MEETH_29641020</t>
  </si>
  <si>
    <t>29643000 Retinal Research</t>
  </si>
  <si>
    <t>MEETH_29643000 - Retinal Research</t>
  </si>
  <si>
    <t>Total MEETH_29643000</t>
  </si>
  <si>
    <t>29650170 Pathology - Clinical</t>
  </si>
  <si>
    <t>MEETH_29650170 - Pathology - Clinical</t>
  </si>
  <si>
    <t>A_63000 - Supplies - Laboratory</t>
  </si>
  <si>
    <t>A_63005 - Supplies - Reagents</t>
  </si>
  <si>
    <t>A_65534 - Purchased Lab Svcs-Ref Test</t>
  </si>
  <si>
    <t>Total MEETH_29650170</t>
  </si>
  <si>
    <t>29651005 OR Booking</t>
  </si>
  <si>
    <t>MEETH_29651005 - OR Booking</t>
  </si>
  <si>
    <t>Total MEETH_29651005</t>
  </si>
  <si>
    <t>29651010 POS - Operating Room</t>
  </si>
  <si>
    <t>MEETH_29651010 - POS - Operating Room</t>
  </si>
  <si>
    <t>A_61200 - Temporary Employees</t>
  </si>
  <si>
    <t>A_64560 - Dietary - Tableware</t>
  </si>
  <si>
    <t>A_66523 - Equipment Rental per click fee</t>
  </si>
  <si>
    <t>A_66526 - Rentals - Medical Equipment</t>
  </si>
  <si>
    <t>A_55009 - Supply Chain Channel Rebates</t>
  </si>
  <si>
    <t>A_63008 - Supplies - Implants - Spinal</t>
  </si>
  <si>
    <t>A_63009 - Supplies - Implants - Joint</t>
  </si>
  <si>
    <t>A_63015 - Supplies - Implants - Neuro</t>
  </si>
  <si>
    <t>A_63032 - Supplies - Medical - PPE</t>
  </si>
  <si>
    <t>A_63040 - Supplies - Radiology</t>
  </si>
  <si>
    <t>A_63045 - Supplies - Med Equip Repair</t>
  </si>
  <si>
    <t>A_63050 - Supplies - Iv Solutions &amp; Sets</t>
  </si>
  <si>
    <t>A_63059 - Supplies Impl Vascular Stents</t>
  </si>
  <si>
    <t>A_63060 - Supplies - Surgery Packs-Sheet</t>
  </si>
  <si>
    <t>A_63062 - Supplies - Impl - Oth Vascular</t>
  </si>
  <si>
    <t>A_63066 - Supplies - Implant - Breast</t>
  </si>
  <si>
    <t>A_63069 - Supplies - Imp - Intraculr Len</t>
  </si>
  <si>
    <t>A_63070 - Supplies - Implants - All Oth</t>
  </si>
  <si>
    <t>A_63078 - Supplies - Implants - Cochlear</t>
  </si>
  <si>
    <t>A_66040 - Postage</t>
  </si>
  <si>
    <t>A_66110 - Mileage</t>
  </si>
  <si>
    <t>A_66170 - FLEX-Traveler Allowance</t>
  </si>
  <si>
    <t>A_65515 - Ge Central Equip Svc Contract</t>
  </si>
  <si>
    <t>A_65524 - Fire Sup-Reprs-Prchsd-Contr Sv</t>
  </si>
  <si>
    <t>A_65526 - Door Lock-Reprs-Prchsd-Cont Sv</t>
  </si>
  <si>
    <t>A_65527 - Med Equipment Maint &amp; Repairs</t>
  </si>
  <si>
    <t>A_65530 - Medical Purchased Services</t>
  </si>
  <si>
    <t>Total MEETH_29651010</t>
  </si>
  <si>
    <t>29651020 POS - Recovery Room</t>
  </si>
  <si>
    <t>MEETH_29651020 - POS - Recovery Room</t>
  </si>
  <si>
    <t>Total MEETH_29651020</t>
  </si>
  <si>
    <t>29651030 POS - Pre Admission Testing</t>
  </si>
  <si>
    <t>MEETH_29651030 - POS - Pre Admission Testing</t>
  </si>
  <si>
    <t>Total MEETH_29651030</t>
  </si>
  <si>
    <t>29651050 POS - Central Services</t>
  </si>
  <si>
    <t>MEETH_29651050 - POS - Central Services</t>
  </si>
  <si>
    <t>Total MEETH_29651050</t>
  </si>
  <si>
    <t>29653005 Cancer Program</t>
  </si>
  <si>
    <t>MEETH_29653005 - Cancer Program</t>
  </si>
  <si>
    <t>A_65550 - Purchased Services-Subcontract</t>
  </si>
  <si>
    <t>Total MEETH_29653005</t>
  </si>
  <si>
    <t>29653100 Radiology General</t>
  </si>
  <si>
    <t>MEETH_29653100 - Radiology General</t>
  </si>
  <si>
    <t>Total MEETH_29653100</t>
  </si>
  <si>
    <t>29656000 CT - Pharmacy</t>
  </si>
  <si>
    <t>MEETH_29656000 - CT - Pharmacy</t>
  </si>
  <si>
    <t>A_63300 - Rx - All Other</t>
  </si>
  <si>
    <t>A_63310 - Rx - Anticogulants</t>
  </si>
  <si>
    <t>A_63320 - Systemic Antiinfectives</t>
  </si>
  <si>
    <t>A_63330 - Antineoplastics</t>
  </si>
  <si>
    <t>A_63340 - Hematopoietic Agents</t>
  </si>
  <si>
    <t>A_63350 - Anesthesiology</t>
  </si>
  <si>
    <t>A_63360 - Rx - Radio Pharmaceuticals</t>
  </si>
  <si>
    <t>A_63368 - Interventional Cardiology</t>
  </si>
  <si>
    <t>A_63369 - Hemostatic Agents</t>
  </si>
  <si>
    <t>A_63372 - Outsourced</t>
  </si>
  <si>
    <t>A_63374 - Modulation agents</t>
  </si>
  <si>
    <t>A_63376 - HIV Medications</t>
  </si>
  <si>
    <t>A_63377 - Thrombolytics</t>
  </si>
  <si>
    <t>A_63378 - Atypical Antipsychotics</t>
  </si>
  <si>
    <t>A_63383 - Drugs Non-Formulary</t>
  </si>
  <si>
    <t>A_63391 - Vaccines</t>
  </si>
  <si>
    <t>A_65030 - Disposable Services</t>
  </si>
  <si>
    <t>Total MEETH_29656000</t>
  </si>
  <si>
    <t>29656060 CT - Sports Medicine OP</t>
  </si>
  <si>
    <t>MEETH_29656060 - CT - Sports Medicine OP</t>
  </si>
  <si>
    <t>A_65565 - Purchases Services - Linen</t>
  </si>
  <si>
    <t>Total MEETH_29656060</t>
  </si>
  <si>
    <t>29656080 NISMAT Research</t>
  </si>
  <si>
    <t>MEETH_29656080 - NISMAT Research</t>
  </si>
  <si>
    <t>Total MEETH_29656080</t>
  </si>
  <si>
    <t>29657000 Anesthesia</t>
  </si>
  <si>
    <t>MEETH_29657000 - Anesthesia</t>
  </si>
  <si>
    <t>Total MEETH_29657000</t>
  </si>
  <si>
    <t>29661010 OP Center for Mental Health</t>
  </si>
  <si>
    <t>MEETH_29661010 - OP Center for Mental Health</t>
  </si>
  <si>
    <t>A_65000 - Electricity</t>
  </si>
  <si>
    <t>Total MEETH_29661010</t>
  </si>
  <si>
    <t>29663000 Ophthalmology</t>
  </si>
  <si>
    <t>MEETH_29663000 - Ophthalmology</t>
  </si>
  <si>
    <t>Total MEETH_29663000</t>
  </si>
  <si>
    <t>29663010 Ophthalmology Administration</t>
  </si>
  <si>
    <t>MEETH_29663010 - Ophthalmology Administration</t>
  </si>
  <si>
    <t>Total MEETH_29663010</t>
  </si>
  <si>
    <t>29663400 OP Svc - Ambulatory Infusion</t>
  </si>
  <si>
    <t>MEETH_29663400 - OP Svc - Ambulatory Infusion</t>
  </si>
  <si>
    <t>A_61300 - Nursing Fees</t>
  </si>
  <si>
    <t>A_63373 - Transplant Medications</t>
  </si>
  <si>
    <t>Total MEETH_29663400</t>
  </si>
  <si>
    <t>29663430 OP Svc - Primary Care RDC</t>
  </si>
  <si>
    <t>MEETH_29663430 - OP Svc - Primary Care RDC</t>
  </si>
  <si>
    <t>Total MEETH_29663430</t>
  </si>
  <si>
    <t>29664000 Op Svc - Plastic</t>
  </si>
  <si>
    <t>MEETH_29664000 - Op Svc - Plastic</t>
  </si>
  <si>
    <t>Total MEETH_29664000</t>
  </si>
  <si>
    <t>29665200 CAL - OPS</t>
  </si>
  <si>
    <t>MEETH_29665200 - CAL - OPS</t>
  </si>
  <si>
    <t>Total MEETH_29665200</t>
  </si>
  <si>
    <t>29666000 OP Svc - Ambulatory Surgery</t>
  </si>
  <si>
    <t>MEETH_29666000 - OP Svc - Ambulatory Surgery</t>
  </si>
  <si>
    <t>Total MEETH_29666000</t>
  </si>
  <si>
    <t>29690000 Environmental Services</t>
  </si>
  <si>
    <t>MEETH_29690000 - Environmental Services</t>
  </si>
  <si>
    <t>A_64090 - Non Med &amp; Non Surg Rebates</t>
  </si>
  <si>
    <t>Total MEETH_29690000</t>
  </si>
  <si>
    <t>29690020 Sup Svc-Biomedical</t>
  </si>
  <si>
    <t>MEETH_29690020 - Sup Svc-Biomedical</t>
  </si>
  <si>
    <t>Total MEETH_29690020</t>
  </si>
  <si>
    <t>29690030 General Maintenance</t>
  </si>
  <si>
    <t>MEETH_29690030 - General Maintenance</t>
  </si>
  <si>
    <t>A_65010 - Fuel Oil</t>
  </si>
  <si>
    <t>Total MEETH_29690030</t>
  </si>
  <si>
    <t>29690040 Storeroom</t>
  </si>
  <si>
    <t>MEETH_29690040 - Storeroom</t>
  </si>
  <si>
    <t>Total MEETH_29690040</t>
  </si>
  <si>
    <t>29690080 Sup Svc - Engineerg And Maint</t>
  </si>
  <si>
    <t>MEETH_29690080 - Sup Svc - Engineerg And Maint</t>
  </si>
  <si>
    <t>A_65521 - Landscapg-Reprs-Prchsd-Cont Sv</t>
  </si>
  <si>
    <t>A_65523 - WaterTrtmt-Repr-Prchsd-Cont Sv</t>
  </si>
  <si>
    <t>A_65529 - Generator-Reprs-Prchsd-Cont Sv</t>
  </si>
  <si>
    <t>A_65020 - Water &amp; Sewer</t>
  </si>
  <si>
    <t>A_65060 - Natural Gas</t>
  </si>
  <si>
    <t>A_65080 - Steam</t>
  </si>
  <si>
    <t>Total MEETH_29690080</t>
  </si>
  <si>
    <t>29691010 Sup Svc-Dietary</t>
  </si>
  <si>
    <t>MEETH_29691010 - Sup Svc-Dietary</t>
  </si>
  <si>
    <t>A_64500 - Dietary - Meat-Fish-Poultry</t>
  </si>
  <si>
    <t>A_64510 - Dietary-Groceries &amp; Beverages</t>
  </si>
  <si>
    <t>A_64520 - Dietary - Dairy</t>
  </si>
  <si>
    <t>A_64530 - Dietary-Bread-Bakery Products</t>
  </si>
  <si>
    <t>A_64540 - Dietary-Fruits And Vegetables</t>
  </si>
  <si>
    <t>A_64580 - Dietary - Kosher Foods</t>
  </si>
  <si>
    <t>A_64590 - Dietary - Rebates</t>
  </si>
  <si>
    <t>A_64045 - Air Condition &amp; Refrig</t>
  </si>
  <si>
    <t>Total MEETH_29691010</t>
  </si>
  <si>
    <t>29692010 Sup Svc-Security</t>
  </si>
  <si>
    <t>MEETH_29692010 - Sup Svc-Security</t>
  </si>
  <si>
    <t>A_65533 - Other Purchased Svcs-Security</t>
  </si>
  <si>
    <t>Total MEETH_29692010</t>
  </si>
  <si>
    <t>29693000 Sup Svc-Laundry and Linen</t>
  </si>
  <si>
    <t>MEETH_29693000 - Sup Svc-Laundry and Linen</t>
  </si>
  <si>
    <t>Total MEETH_29693000</t>
  </si>
  <si>
    <t>29693050 Sup Svc-Telecommunications</t>
  </si>
  <si>
    <t>MEETH_29693050 - Sup Svc-Telecommunications</t>
  </si>
  <si>
    <t>Total MEETH_29693050</t>
  </si>
  <si>
    <t>29699000 Corp retained</t>
  </si>
  <si>
    <t>MEETH_29699000 - Corp retained</t>
  </si>
  <si>
    <t>Total MEETH_29699000</t>
  </si>
  <si>
    <t/>
  </si>
  <si>
    <t>consultants &amp; architects</t>
  </si>
  <si>
    <t>DOB for façade reports</t>
  </si>
  <si>
    <t>Monroe property, TBD possibly remove</t>
  </si>
  <si>
    <t>XEROX CORP $791 per month ($9,494 per year)*</t>
  </si>
  <si>
    <t>MICROSOFT CORP $1,276 | Adobe Acrobat $2,360</t>
  </si>
  <si>
    <t>LAUDIO INC $14,938 per month ($179,250 per year)</t>
  </si>
  <si>
    <t>Promotional Items being charged here</t>
  </si>
  <si>
    <t>Staples</t>
  </si>
  <si>
    <t>COE annual dues 6 * 5,000</t>
  </si>
  <si>
    <t>HORIZON MEDIA INC $6,268 per month ($75,211 per year)</t>
  </si>
  <si>
    <t>items from supplies medical</t>
  </si>
  <si>
    <t>Employee Barbecue + Holiday Party</t>
  </si>
  <si>
    <t>Mood Media Annual</t>
  </si>
  <si>
    <t>CIPHERHEALTH LLC $30479 Annually | Cipher Rounding $18000 annually</t>
  </si>
  <si>
    <t>MICROSOFT CORP $346 per year</t>
  </si>
  <si>
    <t>Starcom $40000 Annual | Scentsair $4212 Monthly | $180,000 iPark Annual</t>
  </si>
  <si>
    <t>Conference December</t>
  </si>
  <si>
    <t>IRON MOUNTAIN RECORDS MGT</t>
  </si>
  <si>
    <t>STAPLES ADVANTAGE $173 per month ($2,076 per year)</t>
  </si>
  <si>
    <t>STAPLES ADVANTAGE $407 per month ($4,884 per year)</t>
  </si>
  <si>
    <t>Four HEAVY DUTY GRIPTION GLOVES</t>
  </si>
  <si>
    <t>Decrease in label printing</t>
  </si>
  <si>
    <t>DATIX USA INC Onesource database annual subscription</t>
  </si>
  <si>
    <t>FEDEX $221 per month ($2,652 per year)</t>
  </si>
  <si>
    <t>AGILITI HEALTH INC $174,565; BOSTON SCIENTIFIC $1,321; LINDE GAS AND EQUIPMENT INC $21,955; OLYMPUS AMERICA INC $99,524; STRYKER FINANCE $461,314; WASATCH MEDICAL SPECIALTIES LLC $25,220</t>
  </si>
  <si>
    <t>INTUITIVE SURGICAL $15,000 per month ($180,000 per year) x 3 robots</t>
  </si>
  <si>
    <t>NORTHERN LITHO LLC $4,767 per month ($36,000 per year)</t>
  </si>
  <si>
    <t>DMO (Dragon Medical One) User License Fees</t>
  </si>
  <si>
    <t>CARDINAL HEALTH MEDICAL PRODUCTS AND SVC $9,620; SHORELINE MEDICAL LLC $4,800</t>
  </si>
  <si>
    <t>Centralized to Admin</t>
  </si>
  <si>
    <t>AMO SALES AND SERVICE INC $116,211; BK MEDICAL HOLDING COMPANY INC $39,334; BOSTON SCIENTIFIC $62,244; CARL ZEISS MEDITEC USA INC $41,904; HOLOGIC SALES AND SERVICE LLC $4,941; 116211.36 $165,000; 39333.76 $58,568; OLYMPUS AMERICA INC $50,755; PHILIPS MEDICAL SYSTEMS $28,875; STRYKER INSTRUMENTS $71,154</t>
  </si>
  <si>
    <t>DATIX USA INC</t>
  </si>
  <si>
    <t>ACCURATE MONITORING LLC $1,092 per month ($13,104 per year)</t>
  </si>
  <si>
    <t>STRYKER ENDOSCOPY $580 per month ($6,930 per year)</t>
  </si>
  <si>
    <t>New whipes for Rovers and tablets</t>
  </si>
  <si>
    <t>Moved to 29666000 - OP Svc - Ambulatory Surgery</t>
  </si>
  <si>
    <t>For ring binders</t>
  </si>
  <si>
    <t>TRINITY PARTNERS IN HEALTHCARE $3,648 per month ($43,776 per year)</t>
  </si>
  <si>
    <t>SHORELINE MEDICAL LLC $3,313 per month ($39,756 per year); STAPLES ADVANTAGE $50 per month ($600 per year)</t>
  </si>
  <si>
    <t>STAPLES ADVATNAGE $364 per month ($4,366 per year)</t>
  </si>
  <si>
    <t>GETINGE USA SALES LLC $4,698.02 per month ($56,376.24 per year) ; ADVANCED STERILIZATION $6,183.16 per month ($74,197.92 per year)</t>
  </si>
  <si>
    <t>STERIS INSTRUMENT MANAGEMENT SERVICES $15,601 per month ($187,211 per year); DATIX USA INC 1,295</t>
  </si>
  <si>
    <t>ALPHA MED EQUIP NY ($5,413 Triannual) $16,238 per year</t>
  </si>
  <si>
    <t>GE PRECISION HEALTHCARE LLC $4,387 per year</t>
  </si>
  <si>
    <t>Technical Safety $1,408 per month ($16,896 per year); OMNICELL INC $3,322 per month ($39,864 per year); New 2027 contract Codonics $3,816 per month ($45,792 per year)</t>
  </si>
  <si>
    <t>MEDBRIDGE INC</t>
  </si>
  <si>
    <t>DMO User License Fees</t>
  </si>
  <si>
    <t>BANDAGES PLUS $84; HENRY SCHEIN INC $11,422; KINETEC USA INC $297; NORTH COAST MEDICAL INC $5,015; PERFORMANCE HEALTH SUPPLY INC $12,227</t>
  </si>
  <si>
    <t>Sani-Cloth</t>
  </si>
  <si>
    <t>HENRY SCHEIN INC $1,603 per year; STAPLES ADVANTAGE $3,028 per year</t>
  </si>
  <si>
    <t>Dues/certification for Physical therapist &amp; Occupational therapist</t>
  </si>
  <si>
    <t>STAPLES ADVANTAGE</t>
  </si>
  <si>
    <t>HOT PACK COVER CLEANING FEE AND LAUNDRY $1,279 per year</t>
  </si>
  <si>
    <t>XEROX CORP $71 per month ($852 per year)</t>
  </si>
  <si>
    <t>DATEX OHMEDA $2,064 per month ($24,768 per year)</t>
  </si>
  <si>
    <t>BOUND TREE MEDICAL LLC $1,021 | CARDINAL HEALTH MEDICAL PRODUCTS AND SVC $250,550 | COVIDIEN $928 | COVIDIEN SALES LLC $12,991 | DYNASTHETICS LLC $41,758 | EDWARDS LIFESCIENCES CORP $8,630 | GE MEDICAL SYS INFORMATION TECH $46,398 | MEDLINE INDUSTRIES INC $16,703 | NOVAMED USA INC $45,470 | PAJUNK MEDICAL SYSTEMS LP $69,597 | SUNMED GROUP HOLDINGS LLC $13,919 | TELEFLEX LLC $5,753 | TRI ANIM HEALTH SERVICES $928</t>
  </si>
  <si>
    <t>CARDINAL HEALTH MEDICAL PRODUCTS AND SVC $29,930 per month ($359,160 per year)</t>
  </si>
  <si>
    <t>CARDINAL HEALTH MEDICAL PRODUCTS AND SVC $23,234 per year</t>
  </si>
  <si>
    <t>STAPLES ADVANTAGE $3,600 per year</t>
  </si>
  <si>
    <t>STAPLES ADVANTAGE $3,598 per year</t>
  </si>
  <si>
    <t>COVIDIEN SALES LLC $7,079'</t>
  </si>
  <si>
    <t>GE PRECISION HEALTHCARE LLC #1,189 per month ($14,627 per year)</t>
  </si>
  <si>
    <t>STARCOM COMMUNICATIONS SERVICES INC $5,470 per year</t>
  </si>
  <si>
    <t>1176 SECOND AVENUE REALTY LLC - 5 Months @60,612+ 7months @$62430= $303,062+$437,015=$740,077.39</t>
  </si>
  <si>
    <t>XEROX CORP with added 62nd Street</t>
  </si>
  <si>
    <t>AcrobatPro</t>
  </si>
  <si>
    <t>DMO user license $18 per month ($212 per year)</t>
  </si>
  <si>
    <t xml:space="preserve">Moved to 62nd Street - increase in office supplies. </t>
  </si>
  <si>
    <t>Toys and other supplies for patient care</t>
  </si>
  <si>
    <t>Transgender Health certification, APA/AACAP Membership dues</t>
  </si>
  <si>
    <t>GUILFORD PUBLICATION - Books for patients</t>
  </si>
  <si>
    <t>Annual CME
$3,500 per 1.0 MD
$1,500 per 1.0 PhD
$500 per 1.0 LCSW</t>
  </si>
  <si>
    <t>Graduation ceremony / split w Dept Director</t>
  </si>
  <si>
    <t>NEW YORK CITY ALARM CORP - 62nd Street related</t>
  </si>
  <si>
    <t>NOUVEAU ELEVATOR INDUSTRIES INC $590 per month ($7,081 per year)</t>
  </si>
  <si>
    <t>Security on site at 62nd Street - move to security OPS account code</t>
  </si>
  <si>
    <t>License renewals for DEA licenses</t>
  </si>
  <si>
    <t>62nd Street</t>
  </si>
  <si>
    <t>AT&amp;T $50 per month ($594 per year) / Charter $153 per month ($1,840 per year) / Verizon $66 per month ($786 per year) / ZOOM $900 per month ($14,020 per year)</t>
  </si>
  <si>
    <t>468/every two months</t>
  </si>
  <si>
    <t>IQUENE</t>
  </si>
  <si>
    <t>Monsels solution new in 2026</t>
  </si>
  <si>
    <t>STARCOM COMMUNICATIONS SERVICES INC</t>
  </si>
  <si>
    <t>Lidocaine new expense as of 2026; about 8 patients a week</t>
  </si>
  <si>
    <t>GRM INFORMATION MANAGEMENT SERVICES INC</t>
  </si>
  <si>
    <t>instruments for fat grafting</t>
  </si>
  <si>
    <t>fellow trips</t>
  </si>
  <si>
    <t>PEARSON EDUCATION &amp; PAR INC - some of current supplies EOL, missing etc; moved some of RR under Dues to here</t>
  </si>
  <si>
    <t>DATABANK IMX LLC</t>
  </si>
  <si>
    <t>Includes training</t>
  </si>
  <si>
    <t>NEW YORK STATE OC $25 per @ 4 trainees</t>
  </si>
  <si>
    <t>Discharge folders moving from GRTLH</t>
  </si>
  <si>
    <t>Toys for pediatric patients</t>
  </si>
  <si>
    <t>NATIONAL DUST CONTROL SERVICES CORP</t>
  </si>
  <si>
    <t>CLOTH SUPER SANI CANISTER moved to 64000 - Supplies - Hotel Services</t>
  </si>
  <si>
    <t>I JANVEY &amp; SONS INC</t>
  </si>
  <si>
    <t>JP MCHALE PEST MANAGEMENT LLC</t>
  </si>
  <si>
    <t>CURTAIN CARE PLUS $6,500; CINTAS CORPORATION $8,500</t>
  </si>
  <si>
    <t>STERICYCLE  INC</t>
  </si>
  <si>
    <t>117/mon for Copier</t>
  </si>
  <si>
    <t>Hoses ($95ea for estimate of 5/yr)) and Air Filters ($18ea twice/yr) for 20 Bairhuggers</t>
  </si>
  <si>
    <t>Including PM parts for 2027 including 75 Alaris pump batteries @ $150 each = $11,250</t>
  </si>
  <si>
    <t>OneSource Subscription</t>
  </si>
  <si>
    <t>Vendor service not covered under agreement</t>
  </si>
  <si>
    <t>STARCOM COMMUNICATIONS SERVICES INC $331 per year</t>
  </si>
  <si>
    <t>STARCOM COMMUNICATIONS SERVICES INC $5,291 per year</t>
  </si>
  <si>
    <t>APPROVED OIL COMPANY OF BROOKLYN INC - ULSD RED DYED $12,500 per year</t>
  </si>
  <si>
    <t>XEROX CORP $224 per month ($2,688 per year)</t>
  </si>
  <si>
    <t>STAPLES ADVANTAGE $80 per month ($960 per year)</t>
  </si>
  <si>
    <t>STAPLES ADVANTAGE $220 per month ($960 per year)</t>
  </si>
  <si>
    <t>VARIOUS TOOLS &amp; HARDWARE FROM: BARSKY SCOTT $147,650 | CREST GOOD MFG CO INC $67,269 | GLOBAL INDUSTRIAL EQUIPMENT COMPANY $692 | INTERCALL OF NEW YORK INC $9,070 | JEH DESIGNS LLC $1,737 | 147649.992627453 $1,878 | 67269.3907278645 $19,987 | SOLUCORE LLC $5,734 | WILLIS PAINTS $7,637 | WW GRAINGER INC $10,223</t>
  </si>
  <si>
    <t>BRANDON SALES CORP $18,333 per QTR ($73,332 per year); CLINICAL DELIVERY SYSTEMS INC $2,736 per QTR ($10,945 per year); TRANE CO $6,140 per QTR ($24,558 per year); TS AIR SCIENCES LLC $40,000 per year; Highland Control $12,000</t>
  </si>
  <si>
    <t>DATIX USA INC $1,259 per year | $9055 work order management system</t>
  </si>
  <si>
    <t>ATLANTIC COOLING TOWER SERVICES INC $78,323 | BRANDON SALES CORP $590 | CARPET ET CETERA INC $38,707 | CITY WIDE SEWER &amp; DRAIN $5,731 | CLINICAL DELIVERY SYSTEMS INC $19,457 | EGIS CORPORATION $19,645 | GRR COOLING EXPERTS INC $31,294 | INTERCALL OF NEW YORK INC $1,675 | JOHN N FEHLINGER CO INC $16,465 | M AND S MECHANICAL SERVICES INC $91,745 | MATCO SERVICE CORP $11,252 | MICHAEL JAMES INDUSTRIES INC $35,011 | PAR ENVIRONMENTAL CORPORATION $10,886 | PW GROSSER CONSULTING ENGINEER $2,520 | PW GROSSER CONSULTING INC $1,080 | ROYAL PUMP SERVICE $8,904 | RP BUILDERS GROUP LLC $3,840 | UNITED STEEL &amp; SUPPLY INC $28,730 | VERTIV CORPORATION $4,379 | WB MARTONE LLC $2,993</t>
  </si>
  <si>
    <t>NOUVEAU ELEVATOR INDUSTRIES INC $8,359 per month ($100,305 per year)</t>
  </si>
  <si>
    <t>New Vendor (Lorenzo)</t>
  </si>
  <si>
    <t>INTELLI-TEC SECURITY</t>
  </si>
  <si>
    <t>Garder 720 hrs per week * $32.21 per hour *52 weeks = $1,205,942; ($110k for 1 M-F 8a-4p)</t>
  </si>
  <si>
    <t>GOWN WARM BAIR PAWS</t>
  </si>
  <si>
    <t>ACE JANITORIAL &amp; SURGICAL moved $5,000 to 29690000 - Environmental Services</t>
  </si>
  <si>
    <t>UNITEX TEXTILE RENTAL $165,000 for Linen; $52,000 scrubs; $3,000 for ScrubX; $14,000 EVS Uniforms</t>
  </si>
  <si>
    <t>Votra, James</t>
  </si>
  <si>
    <t>Ancheta, Rowena</t>
  </si>
  <si>
    <t>Jurik, Christopher</t>
  </si>
  <si>
    <t>Holuka, Gregory</t>
  </si>
  <si>
    <t>Bratkovsky, Elena</t>
  </si>
  <si>
    <t>Maldonado, Jannell</t>
  </si>
  <si>
    <t>DeSha, Lauren</t>
  </si>
  <si>
    <t>Emergency Events</t>
  </si>
  <si>
    <t>Desantis, Carl</t>
  </si>
  <si>
    <t>Bedi, Anupama</t>
  </si>
  <si>
    <t>Newman, Hannah S</t>
  </si>
  <si>
    <t>Girdusky, Cynthia</t>
  </si>
  <si>
    <t>Garcia-Vasquez, Karen</t>
  </si>
  <si>
    <t>Grinberg, Stan</t>
  </si>
  <si>
    <t>Whiffin, Jennifer</t>
  </si>
  <si>
    <t>Guido, Amanda</t>
  </si>
  <si>
    <t>Enodiakhemen, Nelson</t>
  </si>
  <si>
    <t>Petrone, Christina</t>
  </si>
  <si>
    <t>Grippo, Francesco</t>
  </si>
  <si>
    <t>Huang, Wen Gao</t>
  </si>
  <si>
    <t>Fukunaga, Takumi</t>
  </si>
  <si>
    <t>Fontes, Tanya M</t>
  </si>
  <si>
    <t>Moya, Luz</t>
  </si>
  <si>
    <t>Burke, Shana</t>
  </si>
  <si>
    <t>Wu, Lucy L</t>
  </si>
  <si>
    <t>Tapia, Peter</t>
  </si>
  <si>
    <t>Ng, Tammy K</t>
  </si>
  <si>
    <t>Motilal, Hardath</t>
  </si>
  <si>
    <t>Destasio, Victor</t>
  </si>
  <si>
    <t>Hohenberger, George</t>
  </si>
  <si>
    <t>vp</t>
  </si>
  <si>
    <t>director</t>
  </si>
  <si>
    <t>dept_id</t>
  </si>
  <si>
    <t>bu_dept</t>
  </si>
  <si>
    <t>account</t>
  </si>
  <si>
    <t>account_type</t>
  </si>
  <si>
    <t>dept_name</t>
  </si>
  <si>
    <t>acct_name</t>
  </si>
  <si>
    <t>affl</t>
  </si>
  <si>
    <t>2025_actual</t>
  </si>
  <si>
    <t>2026_budget</t>
  </si>
  <si>
    <t>2026_june_ytd_actual</t>
  </si>
  <si>
    <t>2026_june_ytd_annualized</t>
  </si>
  <si>
    <t>trailing_12_actual</t>
  </si>
  <si>
    <t>2026_proposed_projection</t>
  </si>
  <si>
    <t>2026_projection_adjustment</t>
  </si>
  <si>
    <t>2026_final_projection</t>
  </si>
  <si>
    <t>2027_budget_no_infl</t>
  </si>
  <si>
    <t>variance_no_infl</t>
  </si>
  <si>
    <t>inflation_pct</t>
  </si>
  <si>
    <t>inflation_amt</t>
  </si>
  <si>
    <t>2027_budget_infl</t>
  </si>
  <si>
    <t>variance_infl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</si>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</sst>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">
    <xf numFmtId="0" fontId="0" fillId="0" borderId="0" xfId="0"/>
  </cellXfs>
  <cellStyles count="3">
    <cellStyle name="Normal" xfId="0" builtinId="0"/>
    <cellStyle name="Normal 2" xfId="1" xr:uid="{1CC48972-60AD-4237-A351-B0117ED27079}"/>
    <cellStyle name="Normal 2 2" xfId="2" xr:uid="{232FC1A7-2A76-4A60-8297-26A6007444C7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1025" name="FPMExcelClientSheetOptionstb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data02\finance01\DATA\Budgt_FP\members\JillD\Financial%20Planning\Glen%20Cove%20ED\CG%20ED%20CON%20calculation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na\NYPH\8-2004\Aug%202004\Inprev%208-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data02\finance01\finance01\Tina\NYPH\8-2004\Aug%202004\Inprev%208-20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 4 &amp; Depr"/>
      <sheetName val="Old"/>
      <sheetName val="New (Sched 6 &amp; 7)"/>
      <sheetName val="Fundraising"/>
      <sheetName val="Utilities"/>
      <sheetName val="Depreciation"/>
      <sheetName val="Capital Cost"/>
      <sheetName val="Amort Schedule"/>
      <sheetName val="Rev per visit - payor"/>
      <sheetName val="ED Payments"/>
      <sheetName val="Old CT Depr Sched"/>
      <sheetName val="Notes &amp; Sources"/>
      <sheetName val="ED P &amp; L"/>
      <sheetName val="Ancillary Expenses"/>
      <sheetName val="Indirect Expenses"/>
      <sheetName val="Depreciation Expense"/>
      <sheetName val="Sheet1"/>
      <sheetName val="Sheet2"/>
      <sheetName val="Sheet 3"/>
      <sheetName val="Summary"/>
      <sheetName val="(Buy-Out) Cash Needs"/>
      <sheetName val="MD Income Summary"/>
      <sheetName val="P &amp; L Summary"/>
      <sheetName val="Payer Mix"/>
      <sheetName val="Revenue Projections"/>
      <sheetName val="wRVU Analysis"/>
      <sheetName val="Downstream CM"/>
      <sheetName val="Payroll Summary"/>
      <sheetName val="Benchmarks"/>
      <sheetName val="FTE"/>
      <sheetName val="Adjusted Data"/>
      <sheetName val="Raw Data"/>
      <sheetName val="MD Benefits"/>
      <sheetName val="Malpractice"/>
      <sheetName val="Risk MGT Form"/>
      <sheetName val="Staff Payroll &amp; Benefits"/>
      <sheetName val="Capital"/>
      <sheetName val="IT Cost Estimate"/>
      <sheetName val="Assets"/>
      <sheetName val="P &amp; L Detail"/>
      <sheetName val="General Expenses"/>
      <sheetName val="Baseline Inc St"/>
      <sheetName val="Baseline Bal Sht"/>
      <sheetName val="Changes"/>
      <sheetName val="Table"/>
      <sheetName val="Signatories"/>
      <sheetName val="MGMA"/>
      <sheetName val="sites"/>
      <sheetName val="Data - Market Data"/>
      <sheetName val="Data - Signatories"/>
      <sheetName val="Data - Renewal References"/>
      <sheetName val="Background Lists"/>
      <sheetName val="Indicator"/>
      <sheetName val="Indicator YTD"/>
      <sheetName val="2 Midnight"/>
      <sheetName val="OP Revenue"/>
      <sheetName val="OP Summary_CY vs PY"/>
      <sheetName val="IP Stat"/>
      <sheetName val="OP Stat"/>
      <sheetName val="DO NOT DELETE"/>
      <sheetName val="Detail"/>
      <sheetName val="PayerTrend"/>
      <sheetName val="ProductTrend"/>
      <sheetName val="Summary - MTD"/>
      <sheetName val="Summary - YTD"/>
      <sheetName val="Summary MedSurg"/>
      <sheetName val="PL Detail"/>
      <sheetName val="Physician Monitor"/>
      <sheetName val="Trach"/>
      <sheetName val="Calc"/>
      <sheetName val="Actual"/>
      <sheetName val="Other"/>
      <sheetName val="Outlier"/>
      <sheetName val="PPA Rec"/>
      <sheetName val="Case Rate"/>
      <sheetName val="OP Visits Detail"/>
      <sheetName val="Budget"/>
      <sheetName val="Budget Spread"/>
      <sheetName val="Query"/>
      <sheetName val="Budget Query Data"/>
      <sheetName val="Instructions"/>
    </sheetNames>
    <sheetDataSet>
      <sheetData sheetId="0">
        <row r="49">
          <cell r="H49" t="str">
            <v>Year 3</v>
          </cell>
        </row>
      </sheetData>
      <sheetData sheetId="1"/>
      <sheetData sheetId="2"/>
      <sheetData sheetId="3"/>
      <sheetData sheetId="4"/>
      <sheetData sheetId="5"/>
      <sheetData sheetId="6">
        <row r="49">
          <cell r="H49" t="str">
            <v>Year 3</v>
          </cell>
        </row>
      </sheetData>
      <sheetData sheetId="7" refreshError="1"/>
      <sheetData sheetId="8"/>
      <sheetData sheetId="9"/>
      <sheetData sheetId="10">
        <row r="18">
          <cell r="B18" t="str">
            <v>Corporate</v>
          </cell>
        </row>
      </sheetData>
      <sheetData sheetId="11"/>
      <sheetData sheetId="12"/>
      <sheetData sheetId="13">
        <row r="7">
          <cell r="AB7">
            <v>8</v>
          </cell>
        </row>
      </sheetData>
      <sheetData sheetId="14"/>
      <sheetData sheetId="15"/>
      <sheetData sheetId="16">
        <row r="18">
          <cell r="B18" t="str">
            <v>Corporate</v>
          </cell>
        </row>
      </sheetData>
      <sheetData sheetId="17"/>
      <sheetData sheetId="18"/>
      <sheetData sheetId="19">
        <row r="49">
          <cell r="H49" t="str">
            <v>Year 3</v>
          </cell>
        </row>
      </sheetData>
      <sheetData sheetId="20"/>
      <sheetData sheetId="21"/>
      <sheetData sheetId="22"/>
      <sheetData sheetId="23"/>
      <sheetData sheetId="24"/>
      <sheetData sheetId="25">
        <row r="49">
          <cell r="H49" t="str">
            <v>Year 3</v>
          </cell>
        </row>
      </sheetData>
      <sheetData sheetId="26">
        <row r="7">
          <cell r="AB7">
            <v>8</v>
          </cell>
        </row>
      </sheetData>
      <sheetData sheetId="27"/>
      <sheetData sheetId="28"/>
      <sheetData sheetId="29"/>
      <sheetData sheetId="30"/>
      <sheetData sheetId="31"/>
      <sheetData sheetId="32">
        <row r="7">
          <cell r="AB7">
            <v>8</v>
          </cell>
        </row>
      </sheetData>
      <sheetData sheetId="33"/>
      <sheetData sheetId="34"/>
      <sheetData sheetId="35">
        <row r="18">
          <cell r="B18" t="str">
            <v>Corporate</v>
          </cell>
        </row>
      </sheetData>
      <sheetData sheetId="36"/>
      <sheetData sheetId="37"/>
      <sheetData sheetId="38">
        <row r="49">
          <cell r="H49" t="str">
            <v>Year 3</v>
          </cell>
        </row>
      </sheetData>
      <sheetData sheetId="39"/>
      <sheetData sheetId="40"/>
      <sheetData sheetId="41">
        <row r="18">
          <cell r="B18" t="str">
            <v>Corporate</v>
          </cell>
        </row>
      </sheetData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18">
          <cell r="B18"/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DRG"/>
      <sheetName val="CMI&amp;VOL WORKSHEET"/>
      <sheetName val="CASE MIX"/>
      <sheetName val="ACUTE"/>
      <sheetName val="ACUTE-regroup "/>
      <sheetName val="NOTE"/>
      <sheetName val="Sheet2"/>
      <sheetName val="MONTH"/>
      <sheetName val="year to date"/>
      <sheetName val="summary"/>
      <sheetName val="comparison"/>
      <sheetName val="ACUTE (2)"/>
      <sheetName val="comm"/>
      <sheetName val="EXEMPT"/>
      <sheetName val="Managed Care schedule"/>
      <sheetName val="Comm-2"/>
      <sheetName val="stat-days"/>
      <sheetName val="stat-cases"/>
      <sheetName val="bx,aetna&amp;oxford"/>
      <sheetName val="Sheet3"/>
      <sheetName val="BOARD"/>
      <sheetName val="BUDGET BASE-2"/>
      <sheetName val="GME"/>
      <sheetName val="SHORT"/>
      <sheetName val="2004 Budget Rate"/>
      <sheetName val="BUDGET BASE"/>
      <sheetName val="2004 Budgeted CASES"/>
      <sheetName val="2004 Budgeted DAYS"/>
      <sheetName val="BUDGET 2004"/>
      <sheetName val="BUDGETSUM"/>
      <sheetName val="regroup"/>
      <sheetName val="YTD "/>
      <sheetName val="denial"/>
      <sheetName val="Sheet1"/>
      <sheetName val="pool"/>
      <sheetName val="BX INCREASE"/>
      <sheetName val="care-capital"/>
      <sheetName val="burn2004"/>
      <sheetName val="burn"/>
      <sheetName val="Drop Downs"/>
      <sheetName val="NEW_DRG"/>
      <sheetName val="CMI&amp;VOL_WORKSHEET"/>
      <sheetName val="CASE_MIX"/>
      <sheetName val="ACUTE-regroup_"/>
      <sheetName val="year_to_date"/>
      <sheetName val="ACUTE_(2)"/>
      <sheetName val="Managed_Care_schedule"/>
      <sheetName val="BUDGET_BASE-2"/>
      <sheetName val="2004_Budget_Rate"/>
      <sheetName val="BUDGET_BASE"/>
      <sheetName val="2004_Budgeted_CASES"/>
      <sheetName val="2004_Budgeted_DAYS"/>
      <sheetName val="BUDGET_2004"/>
      <sheetName val="YTD_"/>
      <sheetName val="BX_INCREASE"/>
      <sheetName val="Drop_Downs"/>
      <sheetName val="Data - Market Data"/>
      <sheetName val="Data - Signatories"/>
      <sheetName val="Data - Renewal References"/>
      <sheetName val="Inprev 8-2004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UTE"/>
      <sheetName val="NEW DRG"/>
      <sheetName val="CMI&amp;VOL WORKSHEET"/>
      <sheetName val="CASE MIX"/>
      <sheetName val="ACUTE-regroup "/>
      <sheetName val="NOTE"/>
      <sheetName val="Sheet2"/>
      <sheetName val="MONTH"/>
      <sheetName val="year to date"/>
      <sheetName val="summary"/>
      <sheetName val="comparison"/>
      <sheetName val="ACUTE (2)"/>
      <sheetName val="comm"/>
      <sheetName val="EXEMPT"/>
      <sheetName val="Managed Care schedule"/>
      <sheetName val="Comm-2"/>
      <sheetName val="stat-days"/>
      <sheetName val="stat-cases"/>
      <sheetName val="bx,aetna&amp;oxford"/>
      <sheetName val="Sheet3"/>
      <sheetName val="BOARD"/>
      <sheetName val="BUDGET BASE-2"/>
      <sheetName val="GME"/>
      <sheetName val="SHORT"/>
      <sheetName val="2004 Budget Rate"/>
      <sheetName val="BUDGET BASE"/>
      <sheetName val="2004 Budgeted CASES"/>
      <sheetName val="2004 Budgeted DAYS"/>
      <sheetName val="BUDGET 2004"/>
      <sheetName val="BUDGETSUM"/>
      <sheetName val="regroup"/>
      <sheetName val="YTD "/>
      <sheetName val="denial"/>
      <sheetName val="Sheet1"/>
      <sheetName val="pool"/>
      <sheetName val="BX INCREASE"/>
      <sheetName val="care-capital"/>
      <sheetName val="burn2004"/>
      <sheetName val="burn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6" Type="http://schemas.openxmlformats.org/officeDocument/2006/relationships/image" Target="../media/image1.emf"/><Relationship Id="rId5" Type="http://schemas.openxmlformats.org/officeDocument/2006/relationships/control" Target="../activeX/activeX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50D8-9A10-4337-8F73-085410A6BE8A}">
  <sheetPr codeName="Sheet10">
    <tabColor theme="9" tint="0.39997558519241921"/>
  </sheetPr>
  <dimension ref="A1:BD1797"/>
  <sheetViews>
    <sheetView tabSelected="1" zoomScale="60" zoomScaleNormal="60" workbookViewId="0">
      <selection activeCell="F16" sqref="F16"/>
    </sheetView>
  </sheetViews>
  <sheetFormatPr defaultColWidth="9.109375" defaultRowHeight="14.4" x14ac:dyDescent="0.3"/>
  <cols>
    <col min="1" max="1" width="17.33203125" customWidth="1"/>
    <col min="2" max="3" width="21.33203125" customWidth="1"/>
    <col min="4" max="4" width="16.5546875" customWidth="1"/>
    <col min="5" max="5" width="19.44140625" customWidth="1"/>
    <col min="6" max="6" width="17.88671875" customWidth="1"/>
    <col min="7" max="7" width="45.44140625" bestFit="1" customWidth="1"/>
    <col min="8" max="8" width="38.5546875" bestFit="1" customWidth="1"/>
    <col min="9" max="9" width="15" bestFit="1" customWidth="1"/>
    <col min="10" max="11" width="22.109375" bestFit="1" customWidth="1"/>
    <col min="12" max="13" width="21.109375" bestFit="1" customWidth="1"/>
    <col min="14" max="14" width="20.88671875" customWidth="1"/>
    <col min="15" max="15" width="25.88671875" customWidth="1"/>
    <col min="16" max="17" width="22.88671875" customWidth="1"/>
    <col min="18" max="18" width="29.88671875" customWidth="1"/>
    <col min="19" max="19" width="16.88671875" bestFit="1" customWidth="1"/>
    <col min="20" max="20" width="20.88671875" bestFit="1" customWidth="1"/>
    <col min="21" max="21" width="11.109375" customWidth="1"/>
    <col min="22" max="22" width="15.5546875" bestFit="1" customWidth="1"/>
    <col min="23" max="23" width="17.33203125" customWidth="1"/>
    <col min="24" max="24" width="40.88671875" customWidth="1"/>
  </cols>
  <sheetData>
    <row r="1" spans="1:24" x14ac:dyDescent="0.3">
      <c r="A1" t="s">
        <v>582</v>
      </c>
      <c r="B1" t="s">
        <v>583</v>
      </c>
      <c r="C1" t="s">
        <v>584</v>
      </c>
      <c r="D1" t="s">
        <v>585</v>
      </c>
      <c r="E1" t="s">
        <v>586</v>
      </c>
      <c r="F1" t="s">
        <v>587</v>
      </c>
      <c r="G1" t="s">
        <v>588</v>
      </c>
      <c r="H1" t="s">
        <v>589</v>
      </c>
      <c r="I1" t="s">
        <v>590</v>
      </c>
      <c r="J1" t="s">
        <v>591</v>
      </c>
      <c r="K1" t="s">
        <v>592</v>
      </c>
      <c r="L1" t="s">
        <v>593</v>
      </c>
      <c r="M1" t="s">
        <v>594</v>
      </c>
      <c r="N1" t="s">
        <v>595</v>
      </c>
      <c r="O1" t="s">
        <v>596</v>
      </c>
      <c r="P1" t="s">
        <v>597</v>
      </c>
      <c r="Q1" t="s">
        <v>598</v>
      </c>
      <c r="R1" t="s">
        <v>599</v>
      </c>
      <c r="S1" t="s">
        <v>600</v>
      </c>
      <c r="T1" t="s">
        <v>601</v>
      </c>
      <c r="U1" t="s">
        <v>602</v>
      </c>
      <c r="V1" t="s">
        <v>603</v>
      </c>
      <c r="W1" t="s">
        <v>604</v>
      </c>
      <c r="X1" t="s">
        <v>605</v>
      </c>
    </row>
    <row r="2" spans="1:24" x14ac:dyDescent="0.3">
      <c r="A2" t="s">
        <v>552</v>
      </c>
      <c r="B2" t="s">
        <v>553</v>
      </c>
      <c r="C2">
        <v>29600000</v>
      </c>
      <c r="D2" t="s">
        <v>4</v>
      </c>
      <c r="E2" t="s">
        <v>5</v>
      </c>
      <c r="F2" t="s">
        <v>5</v>
      </c>
      <c r="G2" t="s">
        <v>175</v>
      </c>
    </row>
    <row r="3" spans="1:24" x14ac:dyDescent="0.3">
      <c r="A3" t="s">
        <v>552</v>
      </c>
      <c r="B3" t="s">
        <v>553</v>
      </c>
      <c r="C3">
        <v>29600000</v>
      </c>
      <c r="D3" t="s">
        <v>4</v>
      </c>
      <c r="E3" t="s">
        <v>6</v>
      </c>
      <c r="F3" t="s">
        <v>1</v>
      </c>
      <c r="G3" t="s">
        <v>176</v>
      </c>
      <c r="H3" t="s">
        <v>177</v>
      </c>
      <c r="I3" t="s">
        <v>1</v>
      </c>
      <c r="J3">
        <v>85955.199999999997</v>
      </c>
      <c r="L3">
        <v>4675</v>
      </c>
      <c r="M3">
        <v>9427.486187845303</v>
      </c>
      <c r="N3">
        <v>90630.2</v>
      </c>
      <c r="O3">
        <v>9350</v>
      </c>
      <c r="P3">
        <v>0</v>
      </c>
      <c r="Q3">
        <f>O3+P3</f>
        <v>9350</v>
      </c>
      <c r="R3">
        <v>10000</v>
      </c>
      <c r="S3">
        <f t="shared" ref="S3:S41" si="0">IF(OR(LEFT(E3,2)="A_",LEFT(D3,5)="Total"),R3-Q3,"")</f>
        <v>650</v>
      </c>
      <c r="U3">
        <f>IFERROR(R3*T3,R3*0)</f>
        <v>0</v>
      </c>
      <c r="V3">
        <f t="shared" ref="V3:V41" si="1">IF(OR(LEFT(E3,2)="A_",LEFT(D3,5)="Total"),R3+U3,"")</f>
        <v>10000</v>
      </c>
      <c r="W3">
        <f t="shared" ref="W3:W41" si="2">IF(OR(LEFT(E3,2)="A_",LEFT(D3,5)="Total"),V3-Q3,"")</f>
        <v>650</v>
      </c>
      <c r="X3" t="s">
        <v>431</v>
      </c>
    </row>
    <row r="4" spans="1:24" x14ac:dyDescent="0.3">
      <c r="A4" t="s">
        <v>552</v>
      </c>
      <c r="B4" t="s">
        <v>553</v>
      </c>
      <c r="C4">
        <v>29600000</v>
      </c>
      <c r="D4" t="s">
        <v>4</v>
      </c>
      <c r="E4" t="s">
        <v>7</v>
      </c>
      <c r="F4" t="s">
        <v>1</v>
      </c>
      <c r="G4" t="s">
        <v>176</v>
      </c>
      <c r="H4" t="s">
        <v>178</v>
      </c>
      <c r="I4" t="s">
        <v>1</v>
      </c>
      <c r="J4">
        <v>41430.089999999997</v>
      </c>
      <c r="K4">
        <v>5757.9999999995998</v>
      </c>
      <c r="L4">
        <v>6943.95</v>
      </c>
      <c r="M4">
        <v>14002.993093922652</v>
      </c>
      <c r="N4">
        <v>45494.85</v>
      </c>
      <c r="O4">
        <v>13887.9</v>
      </c>
      <c r="P4">
        <v>0</v>
      </c>
      <c r="Q4">
        <f t="shared" ref="Q4:Q41" si="3">O4+P4</f>
        <v>13887.9</v>
      </c>
      <c r="R4">
        <v>10000</v>
      </c>
      <c r="S4">
        <f t="shared" si="0"/>
        <v>-3887.8999999999996</v>
      </c>
      <c r="U4">
        <f t="shared" ref="U4:U41" si="4">IFERROR(R4*T4,R4*0)</f>
        <v>0</v>
      </c>
      <c r="V4">
        <f t="shared" si="1"/>
        <v>10000</v>
      </c>
      <c r="W4">
        <f t="shared" si="2"/>
        <v>-3887.8999999999996</v>
      </c>
      <c r="X4" t="s">
        <v>432</v>
      </c>
    </row>
    <row r="5" spans="1:24" x14ac:dyDescent="0.3">
      <c r="A5" t="s">
        <v>552</v>
      </c>
      <c r="B5" t="s">
        <v>553</v>
      </c>
      <c r="C5">
        <v>29600000</v>
      </c>
      <c r="D5" t="s">
        <v>4</v>
      </c>
      <c r="E5" t="s">
        <v>8</v>
      </c>
      <c r="F5" t="s">
        <v>1</v>
      </c>
      <c r="G5" t="s">
        <v>176</v>
      </c>
      <c r="H5" t="s">
        <v>179</v>
      </c>
      <c r="I5" t="s">
        <v>1</v>
      </c>
      <c r="J5">
        <v>14.75</v>
      </c>
      <c r="L5">
        <v>511.25</v>
      </c>
      <c r="M5">
        <v>1030.9737569060774</v>
      </c>
      <c r="N5">
        <v>511.25</v>
      </c>
      <c r="O5">
        <v>1022.5</v>
      </c>
      <c r="P5">
        <v>0</v>
      </c>
      <c r="Q5">
        <f t="shared" si="3"/>
        <v>1022.5</v>
      </c>
      <c r="R5">
        <v>0</v>
      </c>
      <c r="S5">
        <f t="shared" si="0"/>
        <v>-1022.5</v>
      </c>
      <c r="U5">
        <f t="shared" si="4"/>
        <v>0</v>
      </c>
      <c r="V5">
        <f t="shared" si="1"/>
        <v>0</v>
      </c>
      <c r="W5">
        <f t="shared" si="2"/>
        <v>-1022.5</v>
      </c>
      <c r="X5">
        <v>0</v>
      </c>
    </row>
    <row r="6" spans="1:24" x14ac:dyDescent="0.3">
      <c r="A6" t="s">
        <v>552</v>
      </c>
      <c r="B6" t="s">
        <v>553</v>
      </c>
      <c r="C6">
        <v>29600000</v>
      </c>
      <c r="D6" t="s">
        <v>4</v>
      </c>
      <c r="E6" t="s">
        <v>9</v>
      </c>
      <c r="F6" t="s">
        <v>1</v>
      </c>
      <c r="G6" t="s">
        <v>176</v>
      </c>
      <c r="H6" t="s">
        <v>180</v>
      </c>
      <c r="I6" t="s">
        <v>1</v>
      </c>
      <c r="J6">
        <v>3595</v>
      </c>
      <c r="L6">
        <v>0</v>
      </c>
      <c r="M6">
        <v>0</v>
      </c>
      <c r="N6">
        <v>3595</v>
      </c>
      <c r="P6">
        <v>0</v>
      </c>
      <c r="Q6">
        <f t="shared" si="3"/>
        <v>0</v>
      </c>
      <c r="R6">
        <v>0</v>
      </c>
      <c r="S6">
        <f t="shared" si="0"/>
        <v>0</v>
      </c>
      <c r="T6">
        <v>3.6999999999999998E-2</v>
      </c>
      <c r="U6">
        <f t="shared" si="4"/>
        <v>0</v>
      </c>
      <c r="V6">
        <f t="shared" si="1"/>
        <v>0</v>
      </c>
      <c r="W6">
        <f t="shared" si="2"/>
        <v>0</v>
      </c>
      <c r="X6">
        <v>0</v>
      </c>
    </row>
    <row r="7" spans="1:24" x14ac:dyDescent="0.3">
      <c r="A7" t="s">
        <v>552</v>
      </c>
      <c r="B7" t="s">
        <v>553</v>
      </c>
      <c r="C7">
        <v>29600000</v>
      </c>
      <c r="D7" t="s">
        <v>4</v>
      </c>
      <c r="E7" t="s">
        <v>10</v>
      </c>
      <c r="F7" t="s">
        <v>1</v>
      </c>
      <c r="G7" t="s">
        <v>176</v>
      </c>
      <c r="H7" t="s">
        <v>181</v>
      </c>
      <c r="I7" t="s">
        <v>1</v>
      </c>
      <c r="J7">
        <v>12699.9</v>
      </c>
      <c r="K7">
        <v>12360</v>
      </c>
      <c r="L7">
        <v>6524.55</v>
      </c>
      <c r="M7">
        <v>13157.241712707184</v>
      </c>
      <c r="N7">
        <v>12889.949999999997</v>
      </c>
      <c r="O7">
        <v>13049.1</v>
      </c>
      <c r="P7">
        <v>0</v>
      </c>
      <c r="Q7">
        <f t="shared" si="3"/>
        <v>13049.1</v>
      </c>
      <c r="R7">
        <v>13116</v>
      </c>
      <c r="S7">
        <f t="shared" si="0"/>
        <v>66.899999999999636</v>
      </c>
      <c r="U7">
        <f t="shared" si="4"/>
        <v>0</v>
      </c>
      <c r="V7">
        <f t="shared" si="1"/>
        <v>13116</v>
      </c>
      <c r="W7">
        <f t="shared" si="2"/>
        <v>66.899999999999636</v>
      </c>
      <c r="X7" t="s">
        <v>433</v>
      </c>
    </row>
    <row r="8" spans="1:24" x14ac:dyDescent="0.3">
      <c r="A8" t="s">
        <v>552</v>
      </c>
      <c r="B8" t="s">
        <v>553</v>
      </c>
      <c r="C8">
        <v>29600000</v>
      </c>
      <c r="D8" t="s">
        <v>4</v>
      </c>
      <c r="E8" t="s">
        <v>11</v>
      </c>
      <c r="F8" t="s">
        <v>1</v>
      </c>
      <c r="G8" t="s">
        <v>176</v>
      </c>
      <c r="H8" t="s">
        <v>182</v>
      </c>
      <c r="I8" t="s">
        <v>1</v>
      </c>
      <c r="J8">
        <v>495</v>
      </c>
      <c r="K8">
        <v>1008</v>
      </c>
      <c r="L8">
        <v>330</v>
      </c>
      <c r="M8">
        <v>665.46961325966856</v>
      </c>
      <c r="N8">
        <v>660</v>
      </c>
      <c r="O8">
        <v>660</v>
      </c>
      <c r="P8">
        <v>0</v>
      </c>
      <c r="Q8">
        <f t="shared" si="3"/>
        <v>660</v>
      </c>
      <c r="R8">
        <v>1008</v>
      </c>
      <c r="S8">
        <f t="shared" si="0"/>
        <v>348</v>
      </c>
      <c r="U8">
        <f t="shared" si="4"/>
        <v>0</v>
      </c>
      <c r="V8">
        <f t="shared" si="1"/>
        <v>1008</v>
      </c>
      <c r="W8">
        <f t="shared" si="2"/>
        <v>348</v>
      </c>
      <c r="X8">
        <v>0</v>
      </c>
    </row>
    <row r="9" spans="1:24" x14ac:dyDescent="0.3">
      <c r="A9" t="s">
        <v>552</v>
      </c>
      <c r="B9" t="s">
        <v>553</v>
      </c>
      <c r="C9">
        <v>29600000</v>
      </c>
      <c r="D9" t="s">
        <v>4</v>
      </c>
      <c r="E9" t="s">
        <v>12</v>
      </c>
      <c r="F9" t="s">
        <v>1</v>
      </c>
      <c r="G9" t="s">
        <v>176</v>
      </c>
      <c r="H9" t="s">
        <v>183</v>
      </c>
      <c r="I9" t="s">
        <v>1</v>
      </c>
      <c r="J9">
        <v>7556.49</v>
      </c>
      <c r="K9">
        <v>7627.47</v>
      </c>
      <c r="L9">
        <v>4746.92</v>
      </c>
      <c r="M9">
        <v>9572.5182320441982</v>
      </c>
      <c r="N9">
        <v>8515.32</v>
      </c>
      <c r="O9">
        <v>9493.84</v>
      </c>
      <c r="P9">
        <v>0</v>
      </c>
      <c r="Q9">
        <f t="shared" si="3"/>
        <v>9493.84</v>
      </c>
      <c r="R9">
        <v>9493.84</v>
      </c>
      <c r="S9">
        <f t="shared" si="0"/>
        <v>0</v>
      </c>
      <c r="U9">
        <f t="shared" si="4"/>
        <v>0</v>
      </c>
      <c r="V9">
        <f t="shared" si="1"/>
        <v>9493.84</v>
      </c>
      <c r="W9">
        <f t="shared" si="2"/>
        <v>0</v>
      </c>
      <c r="X9" t="s">
        <v>434</v>
      </c>
    </row>
    <row r="10" spans="1:24" x14ac:dyDescent="0.3">
      <c r="A10" t="s">
        <v>552</v>
      </c>
      <c r="B10" t="s">
        <v>553</v>
      </c>
      <c r="C10">
        <v>29600000</v>
      </c>
      <c r="D10" t="s">
        <v>4</v>
      </c>
      <c r="E10" t="s">
        <v>13</v>
      </c>
      <c r="F10" t="s">
        <v>1</v>
      </c>
      <c r="G10" t="s">
        <v>176</v>
      </c>
      <c r="H10" t="s">
        <v>184</v>
      </c>
      <c r="I10" t="s">
        <v>1</v>
      </c>
      <c r="J10">
        <v>4089.76</v>
      </c>
      <c r="L10">
        <v>1818.04</v>
      </c>
      <c r="M10">
        <v>3666.2132596685083</v>
      </c>
      <c r="N10">
        <v>5907.8</v>
      </c>
      <c r="O10">
        <v>3636.08</v>
      </c>
      <c r="P10">
        <v>0</v>
      </c>
      <c r="Q10">
        <f t="shared" si="3"/>
        <v>3636.08</v>
      </c>
      <c r="R10">
        <v>3636.08</v>
      </c>
      <c r="S10">
        <f t="shared" si="0"/>
        <v>0</v>
      </c>
      <c r="U10">
        <f t="shared" si="4"/>
        <v>0</v>
      </c>
      <c r="V10">
        <f t="shared" si="1"/>
        <v>3636.08</v>
      </c>
      <c r="W10">
        <f t="shared" si="2"/>
        <v>0</v>
      </c>
      <c r="X10" t="s">
        <v>435</v>
      </c>
    </row>
    <row r="11" spans="1:24" x14ac:dyDescent="0.3">
      <c r="A11" t="s">
        <v>552</v>
      </c>
      <c r="B11" t="s">
        <v>553</v>
      </c>
      <c r="C11">
        <v>29600000</v>
      </c>
      <c r="D11" t="s">
        <v>4</v>
      </c>
      <c r="E11" t="s">
        <v>14</v>
      </c>
      <c r="F11" t="s">
        <v>1</v>
      </c>
      <c r="G11" t="s">
        <v>176</v>
      </c>
      <c r="H11" t="s">
        <v>185</v>
      </c>
      <c r="I11" t="s">
        <v>1</v>
      </c>
      <c r="J11">
        <v>179250</v>
      </c>
      <c r="K11">
        <v>179250</v>
      </c>
      <c r="L11">
        <v>89625</v>
      </c>
      <c r="M11">
        <v>180735.49723756904</v>
      </c>
      <c r="N11">
        <v>179250</v>
      </c>
      <c r="O11">
        <v>179250</v>
      </c>
      <c r="P11">
        <v>0</v>
      </c>
      <c r="Q11">
        <f t="shared" si="3"/>
        <v>179250</v>
      </c>
      <c r="R11">
        <v>180705</v>
      </c>
      <c r="S11">
        <f t="shared" si="0"/>
        <v>1455</v>
      </c>
      <c r="U11">
        <f t="shared" si="4"/>
        <v>0</v>
      </c>
      <c r="V11">
        <f t="shared" si="1"/>
        <v>180705</v>
      </c>
      <c r="W11">
        <f t="shared" si="2"/>
        <v>1455</v>
      </c>
      <c r="X11" t="s">
        <v>436</v>
      </c>
    </row>
    <row r="12" spans="1:24" x14ac:dyDescent="0.3">
      <c r="A12" t="s">
        <v>552</v>
      </c>
      <c r="B12" t="s">
        <v>553</v>
      </c>
      <c r="C12">
        <v>29600000</v>
      </c>
      <c r="D12" t="s">
        <v>4</v>
      </c>
      <c r="E12" t="s">
        <v>15</v>
      </c>
      <c r="F12" t="s">
        <v>1</v>
      </c>
      <c r="G12" t="s">
        <v>176</v>
      </c>
      <c r="H12" t="s">
        <v>186</v>
      </c>
      <c r="I12" t="s">
        <v>1</v>
      </c>
      <c r="J12">
        <v>-715.5</v>
      </c>
      <c r="K12">
        <v>-249.99999999939999</v>
      </c>
      <c r="L12">
        <v>0</v>
      </c>
      <c r="M12">
        <v>0</v>
      </c>
      <c r="N12">
        <v>-715.5</v>
      </c>
      <c r="P12">
        <v>0</v>
      </c>
      <c r="Q12">
        <f t="shared" si="3"/>
        <v>0</v>
      </c>
      <c r="R12">
        <v>0</v>
      </c>
      <c r="S12">
        <f t="shared" si="0"/>
        <v>0</v>
      </c>
      <c r="U12">
        <f t="shared" si="4"/>
        <v>0</v>
      </c>
      <c r="V12">
        <f t="shared" si="1"/>
        <v>0</v>
      </c>
      <c r="W12">
        <f t="shared" si="2"/>
        <v>0</v>
      </c>
      <c r="X12">
        <v>0</v>
      </c>
    </row>
    <row r="13" spans="1:24" x14ac:dyDescent="0.3">
      <c r="A13" t="s">
        <v>552</v>
      </c>
      <c r="B13" t="s">
        <v>553</v>
      </c>
      <c r="C13">
        <v>29600000</v>
      </c>
      <c r="D13" t="s">
        <v>4</v>
      </c>
      <c r="E13" t="s">
        <v>16</v>
      </c>
      <c r="F13" t="s">
        <v>1</v>
      </c>
      <c r="G13" t="s">
        <v>176</v>
      </c>
      <c r="H13" t="s">
        <v>187</v>
      </c>
      <c r="I13" t="s">
        <v>1</v>
      </c>
      <c r="J13">
        <v>9769.56</v>
      </c>
      <c r="K13">
        <v>3559.9234074073001</v>
      </c>
      <c r="L13">
        <v>22041.99</v>
      </c>
      <c r="M13">
        <v>44449.316850828734</v>
      </c>
      <c r="N13">
        <v>29487.989999999998</v>
      </c>
      <c r="O13">
        <v>44326.199670329697</v>
      </c>
      <c r="P13">
        <v>0</v>
      </c>
      <c r="Q13">
        <f t="shared" si="3"/>
        <v>44326.199670329697</v>
      </c>
      <c r="R13">
        <v>0</v>
      </c>
      <c r="S13">
        <f t="shared" si="0"/>
        <v>-44326.199670329697</v>
      </c>
      <c r="T13">
        <v>0.02</v>
      </c>
      <c r="U13">
        <f t="shared" si="4"/>
        <v>0</v>
      </c>
      <c r="V13">
        <f t="shared" si="1"/>
        <v>0</v>
      </c>
      <c r="W13">
        <f t="shared" si="2"/>
        <v>-44326.199670329697</v>
      </c>
      <c r="X13" t="s">
        <v>437</v>
      </c>
    </row>
    <row r="14" spans="1:24" x14ac:dyDescent="0.3">
      <c r="A14" t="s">
        <v>552</v>
      </c>
      <c r="B14" t="s">
        <v>553</v>
      </c>
      <c r="C14">
        <v>29600000</v>
      </c>
      <c r="D14" t="s">
        <v>4</v>
      </c>
      <c r="E14" t="s">
        <v>17</v>
      </c>
      <c r="F14" t="s">
        <v>1</v>
      </c>
      <c r="G14" t="s">
        <v>176</v>
      </c>
      <c r="H14" t="s">
        <v>188</v>
      </c>
      <c r="I14" t="s">
        <v>1</v>
      </c>
      <c r="J14">
        <v>3212.97</v>
      </c>
      <c r="K14">
        <v>3232.3799999999001</v>
      </c>
      <c r="L14">
        <v>684.89</v>
      </c>
      <c r="M14">
        <v>1381.131767955801</v>
      </c>
      <c r="N14">
        <v>2189.1400000000003</v>
      </c>
      <c r="O14">
        <v>1381.1317679557999</v>
      </c>
      <c r="P14">
        <v>0</v>
      </c>
      <c r="Q14">
        <f t="shared" si="3"/>
        <v>1381.1317679557999</v>
      </c>
      <c r="R14">
        <v>1000</v>
      </c>
      <c r="S14">
        <f t="shared" si="0"/>
        <v>-381.13176795579989</v>
      </c>
      <c r="T14">
        <v>0.03</v>
      </c>
      <c r="U14">
        <f t="shared" si="4"/>
        <v>30</v>
      </c>
      <c r="V14">
        <f t="shared" si="1"/>
        <v>1030</v>
      </c>
      <c r="W14">
        <f t="shared" si="2"/>
        <v>-351.13176795579989</v>
      </c>
      <c r="X14">
        <v>0</v>
      </c>
    </row>
    <row r="15" spans="1:24" x14ac:dyDescent="0.3">
      <c r="A15" t="s">
        <v>552</v>
      </c>
      <c r="B15" t="s">
        <v>553</v>
      </c>
      <c r="C15">
        <v>29600000</v>
      </c>
      <c r="D15" t="s">
        <v>4</v>
      </c>
      <c r="E15" t="s">
        <v>18</v>
      </c>
      <c r="F15" t="s">
        <v>1</v>
      </c>
      <c r="G15" t="s">
        <v>176</v>
      </c>
      <c r="H15" t="s">
        <v>189</v>
      </c>
      <c r="I15" t="s">
        <v>1</v>
      </c>
      <c r="J15">
        <v>7972.93</v>
      </c>
      <c r="K15">
        <v>8669.1600000000999</v>
      </c>
      <c r="L15">
        <v>1085.67</v>
      </c>
      <c r="M15">
        <v>2189.3345303867404</v>
      </c>
      <c r="N15">
        <v>4621.58</v>
      </c>
      <c r="O15">
        <v>2189.3345303867</v>
      </c>
      <c r="P15">
        <v>0</v>
      </c>
      <c r="Q15">
        <f t="shared" si="3"/>
        <v>2189.3345303867</v>
      </c>
      <c r="R15">
        <v>2200</v>
      </c>
      <c r="S15">
        <f t="shared" si="0"/>
        <v>10.665469613300047</v>
      </c>
      <c r="T15">
        <v>3.5000000000000003E-2</v>
      </c>
      <c r="U15">
        <f t="shared" si="4"/>
        <v>77.000000000000014</v>
      </c>
      <c r="V15">
        <f t="shared" si="1"/>
        <v>2277</v>
      </c>
      <c r="W15">
        <f t="shared" si="2"/>
        <v>87.665469613300047</v>
      </c>
      <c r="X15">
        <v>0</v>
      </c>
    </row>
    <row r="16" spans="1:24" x14ac:dyDescent="0.3">
      <c r="A16" t="s">
        <v>552</v>
      </c>
      <c r="B16" t="s">
        <v>553</v>
      </c>
      <c r="C16">
        <v>29600000</v>
      </c>
      <c r="D16" t="s">
        <v>4</v>
      </c>
      <c r="E16" t="s">
        <v>19</v>
      </c>
      <c r="F16" t="s">
        <v>1</v>
      </c>
      <c r="G16" t="s">
        <v>176</v>
      </c>
      <c r="H16" t="s">
        <v>190</v>
      </c>
      <c r="I16" t="s">
        <v>1</v>
      </c>
      <c r="J16">
        <v>55482.59</v>
      </c>
      <c r="K16">
        <v>15488.7750000002</v>
      </c>
      <c r="L16">
        <v>28554.71</v>
      </c>
      <c r="M16">
        <v>57582.702486187845</v>
      </c>
      <c r="N16">
        <v>64904.62000000001</v>
      </c>
      <c r="O16">
        <v>57582.702486187802</v>
      </c>
      <c r="P16">
        <v>0</v>
      </c>
      <c r="Q16">
        <f t="shared" si="3"/>
        <v>57582.702486187802</v>
      </c>
      <c r="R16">
        <v>40000</v>
      </c>
      <c r="S16">
        <f t="shared" si="0"/>
        <v>-17582.702486187802</v>
      </c>
      <c r="T16">
        <v>3.5000000000000003E-2</v>
      </c>
      <c r="U16">
        <f t="shared" si="4"/>
        <v>1400.0000000000002</v>
      </c>
      <c r="V16">
        <f t="shared" si="1"/>
        <v>41400</v>
      </c>
      <c r="W16">
        <f t="shared" si="2"/>
        <v>-16182.702486187802</v>
      </c>
      <c r="X16" t="s">
        <v>438</v>
      </c>
    </row>
    <row r="17" spans="1:24" x14ac:dyDescent="0.3">
      <c r="A17" t="s">
        <v>552</v>
      </c>
      <c r="B17" t="s">
        <v>553</v>
      </c>
      <c r="C17">
        <v>29600000</v>
      </c>
      <c r="D17" t="s">
        <v>4</v>
      </c>
      <c r="E17" t="s">
        <v>20</v>
      </c>
      <c r="F17" t="s">
        <v>1</v>
      </c>
      <c r="G17" t="s">
        <v>176</v>
      </c>
      <c r="H17" t="s">
        <v>191</v>
      </c>
      <c r="I17" t="s">
        <v>1</v>
      </c>
      <c r="J17">
        <v>29340.400000000001</v>
      </c>
      <c r="L17">
        <v>26000</v>
      </c>
      <c r="M17">
        <v>52430.939226519338</v>
      </c>
      <c r="N17">
        <v>36050</v>
      </c>
      <c r="O17">
        <v>52000</v>
      </c>
      <c r="P17">
        <v>0</v>
      </c>
      <c r="Q17">
        <f t="shared" si="3"/>
        <v>52000</v>
      </c>
      <c r="R17">
        <v>30000</v>
      </c>
      <c r="S17">
        <f t="shared" si="0"/>
        <v>-22000</v>
      </c>
      <c r="U17">
        <f t="shared" si="4"/>
        <v>0</v>
      </c>
      <c r="V17">
        <f t="shared" si="1"/>
        <v>30000</v>
      </c>
      <c r="W17">
        <f t="shared" si="2"/>
        <v>-22000</v>
      </c>
      <c r="X17" t="s">
        <v>439</v>
      </c>
    </row>
    <row r="18" spans="1:24" x14ac:dyDescent="0.3">
      <c r="A18" t="s">
        <v>552</v>
      </c>
      <c r="B18" t="s">
        <v>553</v>
      </c>
      <c r="C18">
        <v>29600000</v>
      </c>
      <c r="D18" t="s">
        <v>4</v>
      </c>
      <c r="E18" t="s">
        <v>21</v>
      </c>
      <c r="F18" t="s">
        <v>1</v>
      </c>
      <c r="G18" t="s">
        <v>176</v>
      </c>
      <c r="H18" t="s">
        <v>192</v>
      </c>
      <c r="I18" t="s">
        <v>1</v>
      </c>
      <c r="J18">
        <v>359.61</v>
      </c>
      <c r="K18">
        <v>750</v>
      </c>
      <c r="L18">
        <v>0</v>
      </c>
      <c r="M18">
        <v>0</v>
      </c>
      <c r="N18">
        <v>0</v>
      </c>
      <c r="P18">
        <v>0</v>
      </c>
      <c r="Q18">
        <f t="shared" si="3"/>
        <v>0</v>
      </c>
      <c r="R18">
        <v>0</v>
      </c>
      <c r="S18">
        <f t="shared" si="0"/>
        <v>0</v>
      </c>
      <c r="U18">
        <f t="shared" si="4"/>
        <v>0</v>
      </c>
      <c r="V18">
        <f t="shared" si="1"/>
        <v>0</v>
      </c>
      <c r="W18">
        <f t="shared" si="2"/>
        <v>0</v>
      </c>
      <c r="X18">
        <v>0</v>
      </c>
    </row>
    <row r="19" spans="1:24" x14ac:dyDescent="0.3">
      <c r="A19" t="s">
        <v>552</v>
      </c>
      <c r="B19" t="s">
        <v>553</v>
      </c>
      <c r="C19">
        <v>29600000</v>
      </c>
      <c r="D19" t="s">
        <v>4</v>
      </c>
      <c r="E19" t="s">
        <v>22</v>
      </c>
      <c r="F19" t="s">
        <v>1</v>
      </c>
      <c r="G19" t="s">
        <v>176</v>
      </c>
      <c r="H19" t="s">
        <v>193</v>
      </c>
      <c r="I19" t="s">
        <v>1</v>
      </c>
      <c r="L19">
        <v>688.75</v>
      </c>
      <c r="M19">
        <v>1388.9157458563536</v>
      </c>
      <c r="N19">
        <v>688.75</v>
      </c>
      <c r="O19">
        <v>1377.5</v>
      </c>
      <c r="P19">
        <v>0</v>
      </c>
      <c r="Q19">
        <f t="shared" si="3"/>
        <v>1377.5</v>
      </c>
      <c r="R19">
        <v>1500</v>
      </c>
      <c r="S19">
        <f t="shared" si="0"/>
        <v>122.5</v>
      </c>
      <c r="U19">
        <f t="shared" si="4"/>
        <v>0</v>
      </c>
      <c r="V19">
        <f t="shared" si="1"/>
        <v>1500</v>
      </c>
      <c r="W19">
        <f t="shared" si="2"/>
        <v>122.5</v>
      </c>
      <c r="X19">
        <v>0</v>
      </c>
    </row>
    <row r="20" spans="1:24" x14ac:dyDescent="0.3">
      <c r="A20" t="s">
        <v>552</v>
      </c>
      <c r="B20" t="s">
        <v>553</v>
      </c>
      <c r="C20">
        <v>29600000</v>
      </c>
      <c r="D20" t="s">
        <v>4</v>
      </c>
      <c r="E20" t="s">
        <v>23</v>
      </c>
      <c r="F20" t="s">
        <v>1</v>
      </c>
      <c r="G20" t="s">
        <v>176</v>
      </c>
      <c r="H20" t="s">
        <v>194</v>
      </c>
      <c r="I20" t="s">
        <v>1</v>
      </c>
      <c r="J20">
        <v>62440.06</v>
      </c>
      <c r="K20">
        <v>63180</v>
      </c>
      <c r="L20">
        <v>23558.15</v>
      </c>
      <c r="M20">
        <v>47506.766574585636</v>
      </c>
      <c r="N20">
        <v>50414.87</v>
      </c>
      <c r="O20">
        <v>47116.3</v>
      </c>
      <c r="P20">
        <v>0</v>
      </c>
      <c r="Q20">
        <f t="shared" si="3"/>
        <v>47116.3</v>
      </c>
      <c r="R20">
        <v>40000</v>
      </c>
      <c r="S20">
        <f t="shared" si="0"/>
        <v>-7116.3000000000029</v>
      </c>
      <c r="U20">
        <f t="shared" si="4"/>
        <v>0</v>
      </c>
      <c r="V20">
        <f t="shared" si="1"/>
        <v>40000</v>
      </c>
      <c r="W20">
        <f t="shared" si="2"/>
        <v>-7116.3000000000029</v>
      </c>
      <c r="X20">
        <v>0</v>
      </c>
    </row>
    <row r="21" spans="1:24" x14ac:dyDescent="0.3">
      <c r="A21" t="s">
        <v>552</v>
      </c>
      <c r="B21" t="s">
        <v>553</v>
      </c>
      <c r="C21">
        <v>29600000</v>
      </c>
      <c r="D21" t="s">
        <v>4</v>
      </c>
      <c r="E21" t="s">
        <v>24</v>
      </c>
      <c r="F21" t="s">
        <v>1</v>
      </c>
      <c r="G21" t="s">
        <v>176</v>
      </c>
      <c r="H21" t="s">
        <v>195</v>
      </c>
      <c r="I21" t="s">
        <v>1</v>
      </c>
      <c r="J21">
        <v>61045.09</v>
      </c>
      <c r="K21">
        <v>7104</v>
      </c>
      <c r="L21">
        <v>939.41</v>
      </c>
      <c r="M21">
        <v>1894.3903314917127</v>
      </c>
      <c r="N21">
        <v>57460.37</v>
      </c>
      <c r="O21">
        <v>1878.82</v>
      </c>
      <c r="P21">
        <v>0</v>
      </c>
      <c r="Q21">
        <f t="shared" si="3"/>
        <v>1878.82</v>
      </c>
      <c r="R21">
        <v>2500</v>
      </c>
      <c r="S21">
        <f t="shared" si="0"/>
        <v>621.18000000000006</v>
      </c>
      <c r="U21">
        <f t="shared" si="4"/>
        <v>0</v>
      </c>
      <c r="V21">
        <f t="shared" si="1"/>
        <v>2500</v>
      </c>
      <c r="W21">
        <f t="shared" si="2"/>
        <v>621.18000000000006</v>
      </c>
      <c r="X21">
        <v>0</v>
      </c>
    </row>
    <row r="22" spans="1:24" x14ac:dyDescent="0.3">
      <c r="A22" t="s">
        <v>552</v>
      </c>
      <c r="B22" t="s">
        <v>553</v>
      </c>
      <c r="C22">
        <v>29600000</v>
      </c>
      <c r="D22" t="s">
        <v>4</v>
      </c>
      <c r="E22" t="s">
        <v>25</v>
      </c>
      <c r="F22" t="s">
        <v>1</v>
      </c>
      <c r="G22" t="s">
        <v>176</v>
      </c>
      <c r="H22" t="s">
        <v>196</v>
      </c>
      <c r="I22" t="s">
        <v>1</v>
      </c>
      <c r="J22">
        <v>87612.69</v>
      </c>
      <c r="K22">
        <v>73920</v>
      </c>
      <c r="L22">
        <v>37605.599999999999</v>
      </c>
      <c r="M22">
        <v>75834.497237569056</v>
      </c>
      <c r="N22">
        <v>88381.829999999987</v>
      </c>
      <c r="O22">
        <v>75211.199999999997</v>
      </c>
      <c r="P22">
        <v>0</v>
      </c>
      <c r="Q22">
        <f t="shared" si="3"/>
        <v>75211.199999999997</v>
      </c>
      <c r="R22">
        <v>75211.199999999997</v>
      </c>
      <c r="S22">
        <f t="shared" si="0"/>
        <v>0</v>
      </c>
      <c r="U22">
        <f t="shared" si="4"/>
        <v>0</v>
      </c>
      <c r="V22">
        <f t="shared" si="1"/>
        <v>75211.199999999997</v>
      </c>
      <c r="W22">
        <f t="shared" si="2"/>
        <v>0</v>
      </c>
      <c r="X22" t="s">
        <v>440</v>
      </c>
    </row>
    <row r="23" spans="1:24" x14ac:dyDescent="0.3">
      <c r="A23" t="s">
        <v>552</v>
      </c>
      <c r="B23" t="s">
        <v>553</v>
      </c>
      <c r="C23">
        <v>29600000</v>
      </c>
      <c r="D23" t="s">
        <v>4</v>
      </c>
      <c r="E23" t="s">
        <v>26</v>
      </c>
      <c r="F23" t="s">
        <v>1</v>
      </c>
      <c r="G23" t="s">
        <v>176</v>
      </c>
      <c r="H23" t="s">
        <v>197</v>
      </c>
      <c r="I23" t="s">
        <v>1</v>
      </c>
      <c r="J23">
        <v>6000</v>
      </c>
      <c r="L23">
        <v>0</v>
      </c>
      <c r="M23">
        <v>0</v>
      </c>
      <c r="N23">
        <v>0</v>
      </c>
      <c r="P23">
        <v>0</v>
      </c>
      <c r="Q23">
        <f t="shared" si="3"/>
        <v>0</v>
      </c>
      <c r="R23">
        <v>0</v>
      </c>
      <c r="S23">
        <f t="shared" si="0"/>
        <v>0</v>
      </c>
      <c r="U23">
        <f t="shared" si="4"/>
        <v>0</v>
      </c>
      <c r="V23">
        <f t="shared" si="1"/>
        <v>0</v>
      </c>
      <c r="W23">
        <f t="shared" si="2"/>
        <v>0</v>
      </c>
      <c r="X23">
        <v>0</v>
      </c>
    </row>
    <row r="24" spans="1:24" x14ac:dyDescent="0.3">
      <c r="A24" t="s">
        <v>552</v>
      </c>
      <c r="B24" t="s">
        <v>553</v>
      </c>
      <c r="C24">
        <v>29600000</v>
      </c>
      <c r="D24" t="s">
        <v>4</v>
      </c>
      <c r="E24" t="s">
        <v>27</v>
      </c>
      <c r="F24" t="s">
        <v>1</v>
      </c>
      <c r="G24" t="s">
        <v>176</v>
      </c>
      <c r="H24" t="s">
        <v>198</v>
      </c>
      <c r="I24" t="s">
        <v>1</v>
      </c>
      <c r="J24">
        <v>7209.3</v>
      </c>
      <c r="K24">
        <v>15000</v>
      </c>
      <c r="L24">
        <v>4575</v>
      </c>
      <c r="M24">
        <v>9225.8287292817677</v>
      </c>
      <c r="N24">
        <v>4975</v>
      </c>
      <c r="O24">
        <v>9150</v>
      </c>
      <c r="P24">
        <v>0</v>
      </c>
      <c r="Q24">
        <f t="shared" si="3"/>
        <v>9150</v>
      </c>
      <c r="R24">
        <v>25000</v>
      </c>
      <c r="S24">
        <f t="shared" si="0"/>
        <v>15850</v>
      </c>
      <c r="U24">
        <f t="shared" si="4"/>
        <v>0</v>
      </c>
      <c r="V24">
        <f t="shared" si="1"/>
        <v>25000</v>
      </c>
      <c r="W24">
        <f t="shared" si="2"/>
        <v>15850</v>
      </c>
      <c r="X24" t="s">
        <v>441</v>
      </c>
    </row>
    <row r="25" spans="1:24" x14ac:dyDescent="0.3">
      <c r="A25" t="s">
        <v>552</v>
      </c>
      <c r="B25" t="s">
        <v>553</v>
      </c>
      <c r="C25">
        <v>29600000</v>
      </c>
      <c r="D25" t="s">
        <v>4</v>
      </c>
      <c r="E25" t="s">
        <v>28</v>
      </c>
      <c r="F25" t="s">
        <v>1</v>
      </c>
      <c r="G25" t="s">
        <v>176</v>
      </c>
      <c r="H25" t="s">
        <v>199</v>
      </c>
      <c r="I25" t="s">
        <v>1</v>
      </c>
      <c r="J25">
        <v>5500</v>
      </c>
      <c r="K25">
        <v>2000.0000000004</v>
      </c>
      <c r="L25">
        <v>2000</v>
      </c>
      <c r="M25">
        <v>4033.1491712707184</v>
      </c>
      <c r="N25">
        <v>5500</v>
      </c>
      <c r="O25">
        <v>4000</v>
      </c>
      <c r="P25">
        <v>0</v>
      </c>
      <c r="Q25">
        <f t="shared" si="3"/>
        <v>4000</v>
      </c>
      <c r="R25">
        <v>2000</v>
      </c>
      <c r="S25">
        <f t="shared" si="0"/>
        <v>-2000</v>
      </c>
      <c r="U25">
        <f t="shared" si="4"/>
        <v>0</v>
      </c>
      <c r="V25">
        <f t="shared" si="1"/>
        <v>2000</v>
      </c>
      <c r="W25">
        <f t="shared" si="2"/>
        <v>-2000</v>
      </c>
      <c r="X25">
        <v>0</v>
      </c>
    </row>
    <row r="26" spans="1:24" x14ac:dyDescent="0.3">
      <c r="A26" t="s">
        <v>552</v>
      </c>
      <c r="B26" t="s">
        <v>553</v>
      </c>
      <c r="C26">
        <v>29600000</v>
      </c>
      <c r="D26" t="s">
        <v>4</v>
      </c>
      <c r="E26" t="s">
        <v>29</v>
      </c>
      <c r="F26" t="s">
        <v>1</v>
      </c>
      <c r="G26" t="s">
        <v>176</v>
      </c>
      <c r="H26" t="s">
        <v>200</v>
      </c>
      <c r="I26" t="s">
        <v>1</v>
      </c>
      <c r="J26">
        <v>55816.15</v>
      </c>
      <c r="K26">
        <v>75000</v>
      </c>
      <c r="L26">
        <v>25384.59</v>
      </c>
      <c r="M26">
        <v>51189.919060773478</v>
      </c>
      <c r="N26">
        <v>55924.800000000003</v>
      </c>
      <c r="O26">
        <v>50769.18</v>
      </c>
      <c r="P26">
        <v>0</v>
      </c>
      <c r="Q26">
        <f t="shared" si="3"/>
        <v>50769.18</v>
      </c>
      <c r="R26">
        <v>75000</v>
      </c>
      <c r="S26">
        <f t="shared" si="0"/>
        <v>24230.82</v>
      </c>
      <c r="U26">
        <f t="shared" si="4"/>
        <v>0</v>
      </c>
      <c r="V26">
        <f t="shared" si="1"/>
        <v>75000</v>
      </c>
      <c r="W26">
        <f t="shared" si="2"/>
        <v>24230.82</v>
      </c>
      <c r="X26" t="s">
        <v>442</v>
      </c>
    </row>
    <row r="27" spans="1:24" x14ac:dyDescent="0.3">
      <c r="A27" t="s">
        <v>552</v>
      </c>
      <c r="B27" t="s">
        <v>553</v>
      </c>
      <c r="C27">
        <v>29600000</v>
      </c>
      <c r="D27" t="s">
        <v>4</v>
      </c>
      <c r="E27" t="s">
        <v>30</v>
      </c>
      <c r="F27" t="s">
        <v>1</v>
      </c>
      <c r="G27" t="s">
        <v>176</v>
      </c>
      <c r="H27" t="s">
        <v>201</v>
      </c>
      <c r="I27" t="s">
        <v>1</v>
      </c>
      <c r="J27">
        <v>12543.93</v>
      </c>
      <c r="K27">
        <v>3500.0000000004002</v>
      </c>
      <c r="L27">
        <v>534.05999999999995</v>
      </c>
      <c r="M27">
        <v>1076.9718232044197</v>
      </c>
      <c r="N27">
        <v>10986.990000000002</v>
      </c>
      <c r="O27">
        <v>1068.1199999999999</v>
      </c>
      <c r="P27">
        <v>0</v>
      </c>
      <c r="Q27">
        <f t="shared" si="3"/>
        <v>1068.1199999999999</v>
      </c>
      <c r="R27">
        <v>3500.0000000004002</v>
      </c>
      <c r="S27">
        <f t="shared" si="0"/>
        <v>2431.8800000004003</v>
      </c>
      <c r="U27">
        <f t="shared" si="4"/>
        <v>0</v>
      </c>
      <c r="V27">
        <f t="shared" si="1"/>
        <v>3500.0000000004002</v>
      </c>
      <c r="W27">
        <f t="shared" si="2"/>
        <v>2431.8800000004003</v>
      </c>
      <c r="X27">
        <v>0</v>
      </c>
    </row>
    <row r="28" spans="1:24" x14ac:dyDescent="0.3">
      <c r="A28" t="s">
        <v>552</v>
      </c>
      <c r="B28" t="s">
        <v>553</v>
      </c>
      <c r="C28">
        <v>29600000</v>
      </c>
      <c r="D28" t="s">
        <v>4</v>
      </c>
      <c r="E28" t="s">
        <v>31</v>
      </c>
      <c r="F28" t="s">
        <v>1</v>
      </c>
      <c r="G28" t="s">
        <v>176</v>
      </c>
      <c r="H28" t="s">
        <v>202</v>
      </c>
      <c r="I28" t="s">
        <v>1</v>
      </c>
      <c r="J28">
        <v>3402.16</v>
      </c>
      <c r="K28">
        <v>4500</v>
      </c>
      <c r="L28">
        <v>6988.6</v>
      </c>
      <c r="M28">
        <v>14093.033149171271</v>
      </c>
      <c r="N28">
        <v>7075.59</v>
      </c>
      <c r="O28">
        <v>13977.2</v>
      </c>
      <c r="P28">
        <v>0</v>
      </c>
      <c r="Q28">
        <f t="shared" si="3"/>
        <v>13977.2</v>
      </c>
      <c r="R28">
        <v>7075.59</v>
      </c>
      <c r="S28">
        <f t="shared" si="0"/>
        <v>-6901.6100000000006</v>
      </c>
      <c r="U28">
        <f t="shared" si="4"/>
        <v>0</v>
      </c>
      <c r="V28">
        <f t="shared" si="1"/>
        <v>7075.59</v>
      </c>
      <c r="W28">
        <f t="shared" si="2"/>
        <v>-6901.6100000000006</v>
      </c>
      <c r="X28">
        <v>0</v>
      </c>
    </row>
    <row r="29" spans="1:24" x14ac:dyDescent="0.3">
      <c r="A29" t="s">
        <v>552</v>
      </c>
      <c r="B29" t="s">
        <v>553</v>
      </c>
      <c r="C29">
        <v>29600000</v>
      </c>
      <c r="D29" t="s">
        <v>4</v>
      </c>
      <c r="E29" t="s">
        <v>32</v>
      </c>
      <c r="F29" t="s">
        <v>1</v>
      </c>
      <c r="G29" t="s">
        <v>176</v>
      </c>
      <c r="H29" t="s">
        <v>203</v>
      </c>
      <c r="I29" t="s">
        <v>1</v>
      </c>
      <c r="J29">
        <v>674.9</v>
      </c>
      <c r="K29">
        <v>530.00000000039995</v>
      </c>
      <c r="L29">
        <v>0</v>
      </c>
      <c r="M29">
        <v>0</v>
      </c>
      <c r="N29">
        <v>144.9</v>
      </c>
      <c r="P29">
        <v>0</v>
      </c>
      <c r="Q29">
        <f t="shared" si="3"/>
        <v>0</v>
      </c>
      <c r="R29">
        <v>0</v>
      </c>
      <c r="S29">
        <f t="shared" si="0"/>
        <v>0</v>
      </c>
      <c r="U29">
        <f t="shared" si="4"/>
        <v>0</v>
      </c>
      <c r="V29">
        <f t="shared" si="1"/>
        <v>0</v>
      </c>
      <c r="W29">
        <f t="shared" si="2"/>
        <v>0</v>
      </c>
      <c r="X29">
        <v>0</v>
      </c>
    </row>
    <row r="30" spans="1:24" x14ac:dyDescent="0.3">
      <c r="A30" t="s">
        <v>552</v>
      </c>
      <c r="B30" t="s">
        <v>553</v>
      </c>
      <c r="C30">
        <v>29600000</v>
      </c>
      <c r="D30" t="s">
        <v>4</v>
      </c>
      <c r="E30" t="s">
        <v>33</v>
      </c>
      <c r="F30" t="s">
        <v>1</v>
      </c>
      <c r="G30" t="s">
        <v>176</v>
      </c>
      <c r="H30" t="s">
        <v>204</v>
      </c>
      <c r="I30" t="s">
        <v>1</v>
      </c>
      <c r="J30">
        <v>-5232.95</v>
      </c>
      <c r="K30">
        <v>-7634.8800000001002</v>
      </c>
      <c r="L30">
        <v>0</v>
      </c>
      <c r="M30">
        <v>0</v>
      </c>
      <c r="N30">
        <v>-1200</v>
      </c>
      <c r="P30">
        <v>0</v>
      </c>
      <c r="Q30">
        <f t="shared" si="3"/>
        <v>0</v>
      </c>
      <c r="R30">
        <v>0</v>
      </c>
      <c r="S30">
        <f t="shared" si="0"/>
        <v>0</v>
      </c>
      <c r="U30">
        <f t="shared" si="4"/>
        <v>0</v>
      </c>
      <c r="V30">
        <f t="shared" si="1"/>
        <v>0</v>
      </c>
      <c r="W30">
        <f t="shared" si="2"/>
        <v>0</v>
      </c>
      <c r="X30">
        <v>0</v>
      </c>
    </row>
    <row r="31" spans="1:24" x14ac:dyDescent="0.3">
      <c r="A31" t="s">
        <v>552</v>
      </c>
      <c r="B31" t="s">
        <v>553</v>
      </c>
      <c r="C31">
        <v>29600000</v>
      </c>
      <c r="D31" t="s">
        <v>4</v>
      </c>
      <c r="E31" t="s">
        <v>34</v>
      </c>
      <c r="F31" t="s">
        <v>1</v>
      </c>
      <c r="G31" t="s">
        <v>176</v>
      </c>
      <c r="H31" t="s">
        <v>205</v>
      </c>
      <c r="I31" t="s">
        <v>1</v>
      </c>
      <c r="J31">
        <v>1100</v>
      </c>
      <c r="L31">
        <v>5270</v>
      </c>
      <c r="M31">
        <v>10627.348066298342</v>
      </c>
      <c r="N31">
        <v>6370</v>
      </c>
      <c r="O31">
        <v>10540</v>
      </c>
      <c r="P31">
        <v>0</v>
      </c>
      <c r="Q31">
        <f t="shared" si="3"/>
        <v>10540</v>
      </c>
      <c r="R31">
        <v>1800</v>
      </c>
      <c r="S31">
        <f t="shared" si="0"/>
        <v>-8740</v>
      </c>
      <c r="T31">
        <v>0.03</v>
      </c>
      <c r="U31">
        <f t="shared" si="4"/>
        <v>54</v>
      </c>
      <c r="V31">
        <f t="shared" si="1"/>
        <v>1854</v>
      </c>
      <c r="W31">
        <f t="shared" si="2"/>
        <v>-8686</v>
      </c>
      <c r="X31" t="s">
        <v>443</v>
      </c>
    </row>
    <row r="32" spans="1:24" x14ac:dyDescent="0.3">
      <c r="A32" t="s">
        <v>552</v>
      </c>
      <c r="B32" t="s">
        <v>553</v>
      </c>
      <c r="C32">
        <v>29600000</v>
      </c>
      <c r="D32" t="s">
        <v>4</v>
      </c>
      <c r="E32" t="s">
        <v>35</v>
      </c>
      <c r="F32" t="s">
        <v>1</v>
      </c>
      <c r="G32" t="s">
        <v>176</v>
      </c>
      <c r="H32" t="s">
        <v>206</v>
      </c>
      <c r="I32" t="s">
        <v>1</v>
      </c>
      <c r="J32">
        <v>10082.6</v>
      </c>
      <c r="K32">
        <v>7602.9999999995998</v>
      </c>
      <c r="L32">
        <v>0</v>
      </c>
      <c r="M32">
        <v>0</v>
      </c>
      <c r="N32">
        <v>6281.3</v>
      </c>
      <c r="P32">
        <v>0</v>
      </c>
      <c r="Q32">
        <f t="shared" si="3"/>
        <v>0</v>
      </c>
      <c r="R32">
        <v>0</v>
      </c>
      <c r="S32">
        <f t="shared" si="0"/>
        <v>0</v>
      </c>
      <c r="T32">
        <v>0.03</v>
      </c>
      <c r="U32">
        <f t="shared" si="4"/>
        <v>0</v>
      </c>
      <c r="V32">
        <f t="shared" si="1"/>
        <v>0</v>
      </c>
      <c r="W32">
        <f t="shared" si="2"/>
        <v>0</v>
      </c>
      <c r="X32">
        <v>0</v>
      </c>
    </row>
    <row r="33" spans="1:24" x14ac:dyDescent="0.3">
      <c r="A33" t="s">
        <v>552</v>
      </c>
      <c r="B33" t="s">
        <v>553</v>
      </c>
      <c r="C33">
        <v>29600000</v>
      </c>
      <c r="D33" t="s">
        <v>4</v>
      </c>
      <c r="E33" t="s">
        <v>36</v>
      </c>
      <c r="F33" t="s">
        <v>1</v>
      </c>
      <c r="G33" t="s">
        <v>176</v>
      </c>
      <c r="H33" t="s">
        <v>207</v>
      </c>
      <c r="I33" t="s">
        <v>1</v>
      </c>
      <c r="J33">
        <v>2998.15</v>
      </c>
      <c r="K33">
        <v>4335.9999999995998</v>
      </c>
      <c r="L33">
        <v>1256.83</v>
      </c>
      <c r="M33">
        <v>2534.4914364640881</v>
      </c>
      <c r="N33">
        <v>2087.11</v>
      </c>
      <c r="O33">
        <v>2513.66</v>
      </c>
      <c r="P33">
        <v>0</v>
      </c>
      <c r="Q33">
        <f t="shared" si="3"/>
        <v>2513.66</v>
      </c>
      <c r="R33">
        <v>2513.66</v>
      </c>
      <c r="S33">
        <f t="shared" si="0"/>
        <v>0</v>
      </c>
      <c r="T33">
        <v>0.03</v>
      </c>
      <c r="U33">
        <f t="shared" si="4"/>
        <v>75.40979999999999</v>
      </c>
      <c r="V33">
        <f t="shared" si="1"/>
        <v>2589.0697999999998</v>
      </c>
      <c r="W33">
        <f t="shared" si="2"/>
        <v>75.409799999999905</v>
      </c>
      <c r="X33">
        <v>0</v>
      </c>
    </row>
    <row r="34" spans="1:24" x14ac:dyDescent="0.3">
      <c r="A34" t="s">
        <v>552</v>
      </c>
      <c r="B34" t="s">
        <v>553</v>
      </c>
      <c r="C34">
        <v>29600000</v>
      </c>
      <c r="D34" t="s">
        <v>4</v>
      </c>
      <c r="E34" t="s">
        <v>37</v>
      </c>
      <c r="F34" t="s">
        <v>1</v>
      </c>
      <c r="G34" t="s">
        <v>176</v>
      </c>
      <c r="H34" t="s">
        <v>208</v>
      </c>
      <c r="I34" t="s">
        <v>1</v>
      </c>
      <c r="J34">
        <v>66541.509999999995</v>
      </c>
      <c r="K34">
        <v>38418.999600000003</v>
      </c>
      <c r="L34">
        <v>5419.8</v>
      </c>
      <c r="M34">
        <v>10929.430939226519</v>
      </c>
      <c r="N34">
        <v>39419.789999999994</v>
      </c>
      <c r="O34">
        <v>10839.6</v>
      </c>
      <c r="P34">
        <v>0</v>
      </c>
      <c r="Q34">
        <f t="shared" si="3"/>
        <v>10839.6</v>
      </c>
      <c r="R34">
        <v>48479</v>
      </c>
      <c r="S34">
        <f t="shared" si="0"/>
        <v>37639.4</v>
      </c>
      <c r="T34">
        <v>0.03</v>
      </c>
      <c r="U34">
        <f t="shared" si="4"/>
        <v>1454.37</v>
      </c>
      <c r="V34">
        <f t="shared" si="1"/>
        <v>49933.37</v>
      </c>
      <c r="W34">
        <f t="shared" si="2"/>
        <v>39093.770000000004</v>
      </c>
      <c r="X34" t="s">
        <v>444</v>
      </c>
    </row>
    <row r="35" spans="1:24" x14ac:dyDescent="0.3">
      <c r="A35" t="s">
        <v>552</v>
      </c>
      <c r="B35" t="s">
        <v>553</v>
      </c>
      <c r="C35">
        <v>29600000</v>
      </c>
      <c r="D35" t="s">
        <v>4</v>
      </c>
      <c r="E35" t="s">
        <v>38</v>
      </c>
      <c r="F35" t="s">
        <v>1</v>
      </c>
      <c r="G35" t="s">
        <v>176</v>
      </c>
      <c r="H35" t="s">
        <v>209</v>
      </c>
      <c r="I35" t="s">
        <v>1</v>
      </c>
      <c r="J35">
        <v>346.32</v>
      </c>
      <c r="L35">
        <v>346.32</v>
      </c>
      <c r="M35">
        <v>698.38011049723764</v>
      </c>
      <c r="N35">
        <v>692.64</v>
      </c>
      <c r="O35">
        <v>692.64</v>
      </c>
      <c r="P35">
        <v>0</v>
      </c>
      <c r="Q35">
        <f t="shared" si="3"/>
        <v>692.64</v>
      </c>
      <c r="R35">
        <v>346.32</v>
      </c>
      <c r="S35">
        <f t="shared" si="0"/>
        <v>-346.32</v>
      </c>
      <c r="T35">
        <v>0.03</v>
      </c>
      <c r="U35">
        <f t="shared" si="4"/>
        <v>10.3896</v>
      </c>
      <c r="V35">
        <f t="shared" si="1"/>
        <v>356.70959999999997</v>
      </c>
      <c r="W35">
        <f t="shared" si="2"/>
        <v>-335.93040000000002</v>
      </c>
      <c r="X35" t="s">
        <v>445</v>
      </c>
    </row>
    <row r="36" spans="1:24" x14ac:dyDescent="0.3">
      <c r="A36" t="s">
        <v>552</v>
      </c>
      <c r="B36" t="s">
        <v>553</v>
      </c>
      <c r="C36">
        <v>29600000</v>
      </c>
      <c r="D36" t="s">
        <v>4</v>
      </c>
      <c r="E36" t="s">
        <v>39</v>
      </c>
      <c r="F36" t="s">
        <v>1</v>
      </c>
      <c r="G36" t="s">
        <v>176</v>
      </c>
      <c r="H36" t="s">
        <v>210</v>
      </c>
      <c r="I36" t="s">
        <v>1</v>
      </c>
      <c r="J36">
        <v>104638.25</v>
      </c>
      <c r="L36">
        <v>20529.849999999999</v>
      </c>
      <c r="M36">
        <v>41399.973756906074</v>
      </c>
      <c r="N36">
        <v>115418.1</v>
      </c>
      <c r="O36">
        <v>41059.699999999997</v>
      </c>
      <c r="P36">
        <v>0</v>
      </c>
      <c r="Q36">
        <f t="shared" si="3"/>
        <v>41059.699999999997</v>
      </c>
      <c r="R36">
        <v>0</v>
      </c>
      <c r="S36">
        <f t="shared" si="0"/>
        <v>-41059.699999999997</v>
      </c>
      <c r="T36">
        <v>0.03</v>
      </c>
      <c r="U36">
        <f t="shared" si="4"/>
        <v>0</v>
      </c>
      <c r="V36">
        <f t="shared" si="1"/>
        <v>0</v>
      </c>
      <c r="W36">
        <f t="shared" si="2"/>
        <v>-41059.699999999997</v>
      </c>
      <c r="X36">
        <v>0</v>
      </c>
    </row>
    <row r="37" spans="1:24" x14ac:dyDescent="0.3">
      <c r="A37" t="s">
        <v>552</v>
      </c>
      <c r="B37" t="s">
        <v>553</v>
      </c>
      <c r="C37">
        <v>29600000</v>
      </c>
      <c r="D37" t="s">
        <v>4</v>
      </c>
      <c r="E37" t="s">
        <v>40</v>
      </c>
      <c r="F37" t="s">
        <v>1</v>
      </c>
      <c r="G37" t="s">
        <v>176</v>
      </c>
      <c r="H37" t="s">
        <v>211</v>
      </c>
      <c r="I37" t="s">
        <v>1</v>
      </c>
      <c r="J37">
        <v>0</v>
      </c>
      <c r="L37">
        <v>0</v>
      </c>
      <c r="M37">
        <v>0</v>
      </c>
      <c r="N37">
        <v>0</v>
      </c>
      <c r="P37">
        <v>0</v>
      </c>
      <c r="Q37">
        <f t="shared" si="3"/>
        <v>0</v>
      </c>
      <c r="R37">
        <v>0</v>
      </c>
      <c r="S37">
        <f t="shared" si="0"/>
        <v>0</v>
      </c>
      <c r="T37">
        <v>0.03</v>
      </c>
      <c r="U37">
        <f t="shared" si="4"/>
        <v>0</v>
      </c>
      <c r="V37">
        <f t="shared" si="1"/>
        <v>0</v>
      </c>
      <c r="W37">
        <f t="shared" si="2"/>
        <v>0</v>
      </c>
      <c r="X37">
        <v>0</v>
      </c>
    </row>
    <row r="38" spans="1:24" x14ac:dyDescent="0.3">
      <c r="A38" t="s">
        <v>552</v>
      </c>
      <c r="B38" t="s">
        <v>553</v>
      </c>
      <c r="C38">
        <v>29600000</v>
      </c>
      <c r="D38" t="s">
        <v>4</v>
      </c>
      <c r="E38" t="s">
        <v>41</v>
      </c>
      <c r="F38" t="s">
        <v>1</v>
      </c>
      <c r="G38" t="s">
        <v>176</v>
      </c>
      <c r="H38" t="s">
        <v>212</v>
      </c>
      <c r="I38" t="s">
        <v>1</v>
      </c>
      <c r="J38">
        <v>345309.39</v>
      </c>
      <c r="K38">
        <v>203211</v>
      </c>
      <c r="L38">
        <v>164244.47</v>
      </c>
      <c r="M38">
        <v>331211.22403314919</v>
      </c>
      <c r="N38">
        <v>362324.56000000006</v>
      </c>
      <c r="O38">
        <v>328488.94</v>
      </c>
      <c r="P38">
        <v>0</v>
      </c>
      <c r="Q38">
        <f t="shared" si="3"/>
        <v>328488.94</v>
      </c>
      <c r="R38">
        <v>224212</v>
      </c>
      <c r="S38">
        <f t="shared" si="0"/>
        <v>-104276.94</v>
      </c>
      <c r="T38">
        <v>0.03</v>
      </c>
      <c r="U38">
        <f t="shared" si="4"/>
        <v>6726.36</v>
      </c>
      <c r="V38">
        <f t="shared" si="1"/>
        <v>230938.36</v>
      </c>
      <c r="W38">
        <f t="shared" si="2"/>
        <v>-97550.580000000016</v>
      </c>
      <c r="X38" t="s">
        <v>446</v>
      </c>
    </row>
    <row r="39" spans="1:24" x14ac:dyDescent="0.3">
      <c r="A39" t="s">
        <v>552</v>
      </c>
      <c r="B39" t="s">
        <v>553</v>
      </c>
      <c r="C39">
        <v>29600000</v>
      </c>
      <c r="D39" t="s">
        <v>4</v>
      </c>
      <c r="E39" t="s">
        <v>42</v>
      </c>
      <c r="F39" t="s">
        <v>1</v>
      </c>
      <c r="G39" t="s">
        <v>176</v>
      </c>
      <c r="H39" t="s">
        <v>213</v>
      </c>
      <c r="I39" t="s">
        <v>1</v>
      </c>
      <c r="J39">
        <v>275</v>
      </c>
      <c r="L39">
        <v>888</v>
      </c>
      <c r="M39">
        <v>1790.7182320441989</v>
      </c>
      <c r="N39">
        <v>1163</v>
      </c>
      <c r="O39">
        <v>1776</v>
      </c>
      <c r="P39">
        <v>0</v>
      </c>
      <c r="Q39">
        <f t="shared" si="3"/>
        <v>1776</v>
      </c>
      <c r="R39">
        <v>0</v>
      </c>
      <c r="S39">
        <f t="shared" si="0"/>
        <v>-1776</v>
      </c>
      <c r="T39">
        <v>0.03</v>
      </c>
      <c r="U39">
        <f t="shared" si="4"/>
        <v>0</v>
      </c>
      <c r="V39">
        <f t="shared" si="1"/>
        <v>0</v>
      </c>
      <c r="W39">
        <f t="shared" si="2"/>
        <v>-1776</v>
      </c>
      <c r="X39">
        <v>0</v>
      </c>
    </row>
    <row r="40" spans="1:24" x14ac:dyDescent="0.3">
      <c r="A40" t="s">
        <v>552</v>
      </c>
      <c r="B40" t="s">
        <v>553</v>
      </c>
      <c r="C40">
        <v>29600000</v>
      </c>
      <c r="D40" t="s">
        <v>4</v>
      </c>
      <c r="E40" t="s">
        <v>43</v>
      </c>
      <c r="F40" t="s">
        <v>1</v>
      </c>
      <c r="G40" t="s">
        <v>176</v>
      </c>
      <c r="H40" t="s">
        <v>214</v>
      </c>
      <c r="I40" t="s">
        <v>1</v>
      </c>
      <c r="J40">
        <v>23.22</v>
      </c>
      <c r="L40">
        <v>76.33</v>
      </c>
      <c r="M40">
        <v>153.92513812154698</v>
      </c>
      <c r="N40">
        <v>99.55</v>
      </c>
      <c r="O40">
        <v>152.66</v>
      </c>
      <c r="P40">
        <v>0</v>
      </c>
      <c r="Q40">
        <f t="shared" si="3"/>
        <v>152.66</v>
      </c>
      <c r="R40">
        <v>0</v>
      </c>
      <c r="S40">
        <f t="shared" si="0"/>
        <v>-152.66</v>
      </c>
      <c r="T40">
        <v>0.03</v>
      </c>
      <c r="U40">
        <f t="shared" si="4"/>
        <v>0</v>
      </c>
      <c r="V40">
        <f t="shared" si="1"/>
        <v>0</v>
      </c>
      <c r="W40">
        <f t="shared" si="2"/>
        <v>-152.66</v>
      </c>
      <c r="X40">
        <v>0</v>
      </c>
    </row>
    <row r="41" spans="1:24" x14ac:dyDescent="0.3">
      <c r="A41" t="s">
        <v>552</v>
      </c>
      <c r="B41" t="s">
        <v>553</v>
      </c>
      <c r="C41">
        <v>29600000</v>
      </c>
      <c r="D41" t="s">
        <v>4</v>
      </c>
      <c r="E41" t="s">
        <v>44</v>
      </c>
      <c r="F41" t="s">
        <v>1</v>
      </c>
      <c r="G41" t="s">
        <v>176</v>
      </c>
      <c r="H41" t="s">
        <v>215</v>
      </c>
      <c r="I41" t="s">
        <v>1</v>
      </c>
      <c r="J41">
        <v>104059.33</v>
      </c>
      <c r="K41">
        <v>7237.9999999994998</v>
      </c>
      <c r="L41">
        <v>-42299.39</v>
      </c>
      <c r="M41">
        <v>-85299.874861878445</v>
      </c>
      <c r="N41">
        <v>58170.569999999978</v>
      </c>
      <c r="O41">
        <v>-85299.874861878401</v>
      </c>
      <c r="P41">
        <v>0</v>
      </c>
      <c r="Q41">
        <f t="shared" si="3"/>
        <v>-85299.874861878401</v>
      </c>
      <c r="R41">
        <v>0</v>
      </c>
      <c r="S41">
        <f t="shared" si="0"/>
        <v>85299.874861878401</v>
      </c>
      <c r="U41">
        <f t="shared" si="4"/>
        <v>0</v>
      </c>
      <c r="V41">
        <f t="shared" si="1"/>
        <v>0</v>
      </c>
      <c r="W41">
        <f t="shared" si="2"/>
        <v>85299.874861878401</v>
      </c>
      <c r="X41">
        <v>0</v>
      </c>
    </row>
    <row r="42" spans="1:24" x14ac:dyDescent="0.3">
      <c r="A42" t="s">
        <v>552</v>
      </c>
      <c r="B42" t="s">
        <v>553</v>
      </c>
      <c r="C42">
        <v>29600000</v>
      </c>
      <c r="D42" t="s">
        <v>4</v>
      </c>
      <c r="E42" t="s">
        <v>45</v>
      </c>
      <c r="F42" t="s">
        <v>45</v>
      </c>
      <c r="G42" t="s">
        <v>216</v>
      </c>
      <c r="J42">
        <v>1372893.8500000003</v>
      </c>
      <c r="K42">
        <v>735359.82800740749</v>
      </c>
      <c r="L42">
        <v>451548.34</v>
      </c>
      <c r="M42">
        <v>910580.90662983421</v>
      </c>
      <c r="N42">
        <v>1356371.9200000004</v>
      </c>
      <c r="O42">
        <v>903140.43359298166</v>
      </c>
      <c r="P42">
        <f>SUMIF($F$2:$F$41,"&lt;&gt;EV_*",$P$2:$P$41)</f>
        <v>0</v>
      </c>
      <c r="Q42">
        <f>SUMIF($F$2:$F$41,"&lt;&gt;EV_*",$Q$2:$Q$41)</f>
        <v>903140.43359298166</v>
      </c>
      <c r="R42">
        <f>SUMIF($F$2:$F$41,"&lt;&gt;EV_*",$R$2:$R$41)</f>
        <v>810296.69000000029</v>
      </c>
      <c r="S42">
        <f>SUMIF($F$2:$F$41,"&lt;&gt;EV_*",$S$2:$S$41)</f>
        <v>-92843.74359298122</v>
      </c>
      <c r="T42">
        <v>0</v>
      </c>
      <c r="U42">
        <f>SUMIF($F$2:$F$41,"&lt;&gt;EV_*",$U$2:$U$41)</f>
        <v>9827.5293999999994</v>
      </c>
      <c r="V42">
        <f>SUMIF($F$2:$F$41,"&lt;&gt;EV_*",$V$2:$V$41)</f>
        <v>820124.21940000029</v>
      </c>
      <c r="W42">
        <f>SUMIF($F$2:$F$41,"&lt;&gt;EV_*",$W$2:$W$41)</f>
        <v>-83016.214192981221</v>
      </c>
      <c r="X42">
        <f>SUMIF($F$2:$F$41,"&lt;&gt;EV_*",$X$2:$X$41)</f>
        <v>0</v>
      </c>
    </row>
    <row r="43" spans="1:24" x14ac:dyDescent="0.3">
      <c r="A43" t="s">
        <v>554</v>
      </c>
      <c r="B43" t="s">
        <v>555</v>
      </c>
      <c r="C43">
        <v>29600030</v>
      </c>
      <c r="D43" t="s">
        <v>46</v>
      </c>
      <c r="E43" t="s">
        <v>5</v>
      </c>
      <c r="F43" t="s">
        <v>5</v>
      </c>
      <c r="G43" t="s">
        <v>217</v>
      </c>
    </row>
    <row r="44" spans="1:24" x14ac:dyDescent="0.3">
      <c r="A44" t="s">
        <v>554</v>
      </c>
      <c r="B44" t="s">
        <v>555</v>
      </c>
      <c r="C44">
        <v>29600030</v>
      </c>
      <c r="D44" t="s">
        <v>46</v>
      </c>
      <c r="E44" t="s">
        <v>12</v>
      </c>
      <c r="F44" t="s">
        <v>1</v>
      </c>
      <c r="G44" t="s">
        <v>218</v>
      </c>
      <c r="H44" t="s">
        <v>183</v>
      </c>
      <c r="I44" t="s">
        <v>1</v>
      </c>
      <c r="J44">
        <v>2570.86</v>
      </c>
      <c r="K44">
        <v>2582.0000000004002</v>
      </c>
      <c r="L44">
        <v>1392.46</v>
      </c>
      <c r="M44">
        <v>2807.9994475138124</v>
      </c>
      <c r="N44">
        <v>2682.8500000000004</v>
      </c>
      <c r="O44">
        <v>2784.92</v>
      </c>
      <c r="P44">
        <v>0</v>
      </c>
      <c r="Q44">
        <f>O44+P44</f>
        <v>2784.92</v>
      </c>
      <c r="R44">
        <v>0</v>
      </c>
      <c r="S44">
        <f>IF(OR(LEFT(E44,2)="A_",LEFT(D44,5)="Total"),R44-Q44,"")</f>
        <v>-2784.92</v>
      </c>
      <c r="U44">
        <f>IFERROR(R44*T44,R44*0)</f>
        <v>0</v>
      </c>
      <c r="V44">
        <f>IF(OR(LEFT(E44,2)="A_",LEFT(D44,5)="Total"),R44+U44,"")</f>
        <v>0</v>
      </c>
      <c r="W44">
        <f>IF(OR(LEFT(E44,2)="A_",LEFT(D44,5)="Total"),V44-Q44,"")</f>
        <v>-2784.92</v>
      </c>
    </row>
    <row r="45" spans="1:24" x14ac:dyDescent="0.3">
      <c r="A45" t="s">
        <v>554</v>
      </c>
      <c r="B45" t="s">
        <v>555</v>
      </c>
      <c r="C45">
        <v>29600030</v>
      </c>
      <c r="D45" t="s">
        <v>46</v>
      </c>
      <c r="E45" t="s">
        <v>29</v>
      </c>
      <c r="F45" t="s">
        <v>1</v>
      </c>
      <c r="G45" t="s">
        <v>218</v>
      </c>
      <c r="H45" t="s">
        <v>200</v>
      </c>
      <c r="I45" t="s">
        <v>1</v>
      </c>
      <c r="L45">
        <v>66.16</v>
      </c>
      <c r="M45">
        <v>133.41657458563535</v>
      </c>
      <c r="N45">
        <v>66.16</v>
      </c>
      <c r="O45">
        <v>132.32</v>
      </c>
      <c r="P45">
        <v>0</v>
      </c>
      <c r="Q45">
        <f>O45+P45</f>
        <v>132.32</v>
      </c>
      <c r="R45">
        <v>0</v>
      </c>
      <c r="S45">
        <f>IF(OR(LEFT(E45,2)="A_",LEFT(D45,5)="Total"),R45-Q45,"")</f>
        <v>-132.32</v>
      </c>
      <c r="U45">
        <f>IFERROR(R45*T45,R45*0)</f>
        <v>0</v>
      </c>
      <c r="V45">
        <f>IF(OR(LEFT(E45,2)="A_",LEFT(D45,5)="Total"),R45+U45,"")</f>
        <v>0</v>
      </c>
      <c r="W45">
        <f>IF(OR(LEFT(E45,2)="A_",LEFT(D45,5)="Total"),V45-Q45,"")</f>
        <v>-132.32</v>
      </c>
    </row>
    <row r="46" spans="1:24" x14ac:dyDescent="0.3">
      <c r="A46" t="s">
        <v>554</v>
      </c>
      <c r="B46" t="s">
        <v>555</v>
      </c>
      <c r="C46">
        <v>29600030</v>
      </c>
      <c r="D46" t="s">
        <v>46</v>
      </c>
      <c r="E46" t="s">
        <v>45</v>
      </c>
      <c r="F46" t="s">
        <v>45</v>
      </c>
      <c r="G46" t="s">
        <v>219</v>
      </c>
      <c r="J46">
        <v>2570.86</v>
      </c>
      <c r="K46">
        <v>2582.0000000004002</v>
      </c>
      <c r="L46">
        <v>1458.6200000000001</v>
      </c>
      <c r="M46">
        <v>2941.4160220994477</v>
      </c>
      <c r="N46">
        <v>2749.01</v>
      </c>
      <c r="O46">
        <v>2917.2400000000002</v>
      </c>
      <c r="P46">
        <f>SUMIF($F$43:$F$45,"&lt;&gt;EV_*",$P$43:$P$45)</f>
        <v>0</v>
      </c>
      <c r="Q46">
        <f>SUMIF($F$43:$F$45,"&lt;&gt;EV_*",$Q$43:$Q$45)</f>
        <v>2917.2400000000002</v>
      </c>
      <c r="R46">
        <f>SUMIF($F$43:$F$45,"&lt;&gt;EV_*",$R$43:$R$45)</f>
        <v>0</v>
      </c>
      <c r="S46">
        <f>SUMIF($F$43:$F$45,"&lt;&gt;EV_*",$S$43:$S$45)</f>
        <v>-2917.2400000000002</v>
      </c>
      <c r="T46">
        <v>0</v>
      </c>
      <c r="U46">
        <f>SUMIF($F$43:$F$45,"&lt;&gt;EV_*",$U$43:$U$45)</f>
        <v>0</v>
      </c>
      <c r="V46">
        <f>SUMIF($F$43:$F$45,"&lt;&gt;EV_*",$V$43:$V$45)</f>
        <v>0</v>
      </c>
      <c r="W46">
        <f>SUMIF($F$43:$F$45,"&lt;&gt;EV_*",$W$43:$W$45)</f>
        <v>-2917.2400000000002</v>
      </c>
      <c r="X46">
        <f>SUMIF($F$43:$F$45,"&lt;&gt;EV_*",$X$43:$X$45)</f>
        <v>0</v>
      </c>
    </row>
    <row r="47" spans="1:24" x14ac:dyDescent="0.3">
      <c r="A47" t="s">
        <v>552</v>
      </c>
      <c r="B47" t="s">
        <v>556</v>
      </c>
      <c r="C47">
        <v>29600130</v>
      </c>
      <c r="D47" t="s">
        <v>47</v>
      </c>
      <c r="E47" t="s">
        <v>5</v>
      </c>
      <c r="F47" t="s">
        <v>5</v>
      </c>
      <c r="G47" t="s">
        <v>220</v>
      </c>
    </row>
    <row r="48" spans="1:24" x14ac:dyDescent="0.3">
      <c r="A48" t="s">
        <v>552</v>
      </c>
      <c r="B48" t="s">
        <v>556</v>
      </c>
      <c r="C48">
        <v>29600130</v>
      </c>
      <c r="D48" t="s">
        <v>47</v>
      </c>
      <c r="E48" t="s">
        <v>22</v>
      </c>
      <c r="F48" t="s">
        <v>1</v>
      </c>
      <c r="G48" t="s">
        <v>221</v>
      </c>
      <c r="H48" t="s">
        <v>193</v>
      </c>
      <c r="I48" t="s">
        <v>1</v>
      </c>
      <c r="K48">
        <v>1250.0000000004</v>
      </c>
      <c r="L48">
        <v>0</v>
      </c>
      <c r="M48">
        <v>0</v>
      </c>
      <c r="N48">
        <v>0</v>
      </c>
      <c r="P48">
        <v>0</v>
      </c>
      <c r="Q48">
        <f>O48+P48</f>
        <v>0</v>
      </c>
      <c r="R48">
        <v>1350</v>
      </c>
      <c r="S48">
        <f>IF(OR(LEFT(E48,2)="A_",LEFT(D48,5)="Total"),R48-Q48,"")</f>
        <v>1350</v>
      </c>
      <c r="U48">
        <f>IFERROR(R48*T48,R48*0)</f>
        <v>0</v>
      </c>
      <c r="V48">
        <f>IF(OR(LEFT(E48,2)="A_",LEFT(D48,5)="Total"),R48+U48,"")</f>
        <v>1350</v>
      </c>
      <c r="W48">
        <f>IF(OR(LEFT(E48,2)="A_",LEFT(D48,5)="Total"),V48-Q48,"")</f>
        <v>1350</v>
      </c>
      <c r="X48" t="s">
        <v>447</v>
      </c>
    </row>
    <row r="49" spans="1:24" x14ac:dyDescent="0.3">
      <c r="A49" t="s">
        <v>552</v>
      </c>
      <c r="B49" t="s">
        <v>556</v>
      </c>
      <c r="C49">
        <v>29600130</v>
      </c>
      <c r="D49" t="s">
        <v>47</v>
      </c>
      <c r="E49" t="s">
        <v>31</v>
      </c>
      <c r="F49" t="s">
        <v>1</v>
      </c>
      <c r="G49" t="s">
        <v>221</v>
      </c>
      <c r="H49" t="s">
        <v>202</v>
      </c>
      <c r="I49" t="s">
        <v>1</v>
      </c>
      <c r="J49">
        <v>150</v>
      </c>
      <c r="K49">
        <v>249.99999999959999</v>
      </c>
      <c r="L49">
        <v>0</v>
      </c>
      <c r="M49">
        <v>0</v>
      </c>
      <c r="N49">
        <v>150</v>
      </c>
      <c r="P49">
        <v>0</v>
      </c>
      <c r="Q49">
        <f>O49+P49</f>
        <v>0</v>
      </c>
      <c r="R49">
        <v>250</v>
      </c>
      <c r="S49">
        <f>IF(OR(LEFT(E49,2)="A_",LEFT(D49,5)="Total"),R49-Q49,"")</f>
        <v>250</v>
      </c>
      <c r="U49">
        <f>IFERROR(R49*T49,R49*0)</f>
        <v>0</v>
      </c>
      <c r="V49">
        <f>IF(OR(LEFT(E49,2)="A_",LEFT(D49,5)="Total"),R49+U49,"")</f>
        <v>250</v>
      </c>
      <c r="W49">
        <f>IF(OR(LEFT(E49,2)="A_",LEFT(D49,5)="Total"),V49-Q49,"")</f>
        <v>250</v>
      </c>
      <c r="X49">
        <v>0</v>
      </c>
    </row>
    <row r="50" spans="1:24" x14ac:dyDescent="0.3">
      <c r="A50" t="s">
        <v>552</v>
      </c>
      <c r="B50" t="s">
        <v>556</v>
      </c>
      <c r="C50">
        <v>29600130</v>
      </c>
      <c r="D50" t="s">
        <v>47</v>
      </c>
      <c r="E50" t="s">
        <v>37</v>
      </c>
      <c r="F50" t="s">
        <v>1</v>
      </c>
      <c r="G50" t="s">
        <v>221</v>
      </c>
      <c r="H50" t="s">
        <v>208</v>
      </c>
      <c r="I50" t="s">
        <v>1</v>
      </c>
      <c r="J50">
        <v>1257.06</v>
      </c>
      <c r="K50">
        <v>1257</v>
      </c>
      <c r="L50">
        <v>1294.77</v>
      </c>
      <c r="M50">
        <v>2611.000276243094</v>
      </c>
      <c r="N50">
        <v>1294.77</v>
      </c>
      <c r="O50">
        <v>2589.54</v>
      </c>
      <c r="P50">
        <v>0</v>
      </c>
      <c r="Q50">
        <f>O50+P50</f>
        <v>2589.54</v>
      </c>
      <c r="R50">
        <v>1257</v>
      </c>
      <c r="S50">
        <f>IF(OR(LEFT(E50,2)="A_",LEFT(D50,5)="Total"),R50-Q50,"")</f>
        <v>-1332.54</v>
      </c>
      <c r="T50">
        <v>0.03</v>
      </c>
      <c r="U50">
        <f>IFERROR(R50*T50,R50*0)</f>
        <v>37.71</v>
      </c>
      <c r="V50">
        <f>IF(OR(LEFT(E50,2)="A_",LEFT(D50,5)="Total"),R50+U50,"")</f>
        <v>1294.71</v>
      </c>
      <c r="W50">
        <f>IF(OR(LEFT(E50,2)="A_",LEFT(D50,5)="Total"),V50-Q50,"")</f>
        <v>-1294.83</v>
      </c>
      <c r="X50">
        <v>0</v>
      </c>
    </row>
    <row r="51" spans="1:24" x14ac:dyDescent="0.3">
      <c r="A51" t="s">
        <v>552</v>
      </c>
      <c r="B51" t="s">
        <v>556</v>
      </c>
      <c r="C51">
        <v>29600130</v>
      </c>
      <c r="D51" t="s">
        <v>47</v>
      </c>
      <c r="E51" t="s">
        <v>45</v>
      </c>
      <c r="F51" t="s">
        <v>45</v>
      </c>
      <c r="G51" t="s">
        <v>222</v>
      </c>
      <c r="J51">
        <v>1407.06</v>
      </c>
      <c r="K51">
        <v>2757</v>
      </c>
      <c r="L51">
        <v>1294.77</v>
      </c>
      <c r="M51">
        <v>2611.000276243094</v>
      </c>
      <c r="N51">
        <v>1444.77</v>
      </c>
      <c r="O51">
        <v>2589.54</v>
      </c>
      <c r="P51">
        <f>SUMIF($F$47:$F$50,"&lt;&gt;EV_*",$P$47:$P$50)</f>
        <v>0</v>
      </c>
      <c r="Q51">
        <f>SUMIF($F$47:$F$50,"&lt;&gt;EV_*",$Q$47:$Q$50)</f>
        <v>2589.54</v>
      </c>
      <c r="R51">
        <f>SUMIF($F$47:$F$50,"&lt;&gt;EV_*",$R$47:$R$50)</f>
        <v>2857</v>
      </c>
      <c r="S51">
        <f>SUMIF($F$47:$F$50,"&lt;&gt;EV_*",$S$47:$S$50)</f>
        <v>267.46000000000004</v>
      </c>
      <c r="T51">
        <v>0</v>
      </c>
      <c r="U51">
        <f>SUMIF($F$47:$F$50,"&lt;&gt;EV_*",$U$47:$U$50)</f>
        <v>37.71</v>
      </c>
      <c r="V51">
        <f>SUMIF($F$47:$F$50,"&lt;&gt;EV_*",$V$47:$V$50)</f>
        <v>2894.71</v>
      </c>
      <c r="W51">
        <f>SUMIF($F$47:$F$50,"&lt;&gt;EV_*",$W$47:$W$50)</f>
        <v>305.17000000000007</v>
      </c>
      <c r="X51">
        <f>SUMIF($F$47:$F$50,"&lt;&gt;EV_*",$X$47:$X$50)</f>
        <v>0</v>
      </c>
    </row>
    <row r="52" spans="1:24" x14ac:dyDescent="0.3">
      <c r="A52" t="s">
        <v>554</v>
      </c>
      <c r="B52" t="s">
        <v>557</v>
      </c>
      <c r="C52">
        <v>29600160</v>
      </c>
      <c r="D52" t="s">
        <v>48</v>
      </c>
      <c r="E52" t="s">
        <v>5</v>
      </c>
      <c r="F52" t="s">
        <v>5</v>
      </c>
      <c r="G52" t="s">
        <v>223</v>
      </c>
    </row>
    <row r="53" spans="1:24" x14ac:dyDescent="0.3">
      <c r="A53" t="s">
        <v>554</v>
      </c>
      <c r="B53" t="s">
        <v>557</v>
      </c>
      <c r="C53">
        <v>29600160</v>
      </c>
      <c r="D53" t="s">
        <v>48</v>
      </c>
      <c r="E53" t="s">
        <v>12</v>
      </c>
      <c r="F53" t="s">
        <v>1</v>
      </c>
      <c r="G53" t="s">
        <v>224</v>
      </c>
      <c r="H53" t="s">
        <v>183</v>
      </c>
      <c r="I53" t="s">
        <v>1</v>
      </c>
      <c r="J53">
        <v>3585.51</v>
      </c>
      <c r="K53">
        <v>3636</v>
      </c>
      <c r="L53">
        <v>1814.67</v>
      </c>
      <c r="M53">
        <v>3659.4174033149175</v>
      </c>
      <c r="N53">
        <v>3629.8199999999997</v>
      </c>
      <c r="O53">
        <v>3629.34</v>
      </c>
      <c r="P53">
        <v>0</v>
      </c>
      <c r="Q53">
        <f t="shared" ref="Q53:Q68" si="5">O53+P53</f>
        <v>3629.34</v>
      </c>
      <c r="R53">
        <v>3629.34</v>
      </c>
      <c r="S53">
        <f t="shared" ref="S53:S68" si="6">IF(OR(LEFT(E53,2)="A_",LEFT(D53,5)="Total"),R53-Q53,"")</f>
        <v>0</v>
      </c>
      <c r="U53">
        <f t="shared" ref="U53:U68" si="7">IFERROR(R53*T53,R53*0)</f>
        <v>0</v>
      </c>
      <c r="V53">
        <f t="shared" ref="V53:V68" si="8">IF(OR(LEFT(E53,2)="A_",LEFT(D53,5)="Total"),R53+U53,"")</f>
        <v>3629.34</v>
      </c>
      <c r="W53">
        <f t="shared" ref="W53:W68" si="9">IF(OR(LEFT(E53,2)="A_",LEFT(D53,5)="Total"),V53-Q53,"")</f>
        <v>0</v>
      </c>
      <c r="X53">
        <v>0</v>
      </c>
    </row>
    <row r="54" spans="1:24" x14ac:dyDescent="0.3">
      <c r="A54" t="s">
        <v>554</v>
      </c>
      <c r="B54" t="s">
        <v>557</v>
      </c>
      <c r="C54">
        <v>29600160</v>
      </c>
      <c r="D54" t="s">
        <v>48</v>
      </c>
      <c r="E54" t="s">
        <v>49</v>
      </c>
      <c r="F54" t="s">
        <v>1</v>
      </c>
      <c r="G54" t="s">
        <v>224</v>
      </c>
      <c r="H54" t="s">
        <v>225</v>
      </c>
      <c r="I54" t="s">
        <v>1</v>
      </c>
      <c r="J54">
        <v>5882.29</v>
      </c>
      <c r="K54">
        <v>8596.5692738538</v>
      </c>
      <c r="L54">
        <v>0</v>
      </c>
      <c r="M54">
        <v>0</v>
      </c>
      <c r="N54">
        <v>882.29</v>
      </c>
      <c r="P54">
        <v>0</v>
      </c>
      <c r="Q54">
        <f t="shared" si="5"/>
        <v>0</v>
      </c>
      <c r="R54">
        <v>0</v>
      </c>
      <c r="S54">
        <f t="shared" si="6"/>
        <v>0</v>
      </c>
      <c r="T54">
        <v>2.5000000000000001E-2</v>
      </c>
      <c r="U54">
        <f t="shared" si="7"/>
        <v>0</v>
      </c>
      <c r="V54">
        <f t="shared" si="8"/>
        <v>0</v>
      </c>
      <c r="W54">
        <f t="shared" si="9"/>
        <v>0</v>
      </c>
      <c r="X54">
        <v>0</v>
      </c>
    </row>
    <row r="55" spans="1:24" x14ac:dyDescent="0.3">
      <c r="A55" t="s">
        <v>554</v>
      </c>
      <c r="B55" t="s">
        <v>557</v>
      </c>
      <c r="C55">
        <v>29600160</v>
      </c>
      <c r="D55" t="s">
        <v>48</v>
      </c>
      <c r="E55" t="s">
        <v>50</v>
      </c>
      <c r="F55" t="s">
        <v>1</v>
      </c>
      <c r="G55" t="s">
        <v>224</v>
      </c>
      <c r="H55" t="s">
        <v>226</v>
      </c>
      <c r="I55" t="s">
        <v>1</v>
      </c>
      <c r="J55">
        <v>261.44</v>
      </c>
      <c r="L55">
        <v>0</v>
      </c>
      <c r="M55">
        <v>0</v>
      </c>
      <c r="N55">
        <v>261.44</v>
      </c>
      <c r="P55">
        <v>0</v>
      </c>
      <c r="Q55">
        <f t="shared" si="5"/>
        <v>0</v>
      </c>
      <c r="R55">
        <v>0</v>
      </c>
      <c r="S55">
        <f t="shared" si="6"/>
        <v>0</v>
      </c>
      <c r="T55">
        <v>3.2500000000000001E-2</v>
      </c>
      <c r="U55">
        <f t="shared" si="7"/>
        <v>0</v>
      </c>
      <c r="V55">
        <f t="shared" si="8"/>
        <v>0</v>
      </c>
      <c r="W55">
        <f t="shared" si="9"/>
        <v>0</v>
      </c>
      <c r="X55">
        <v>0</v>
      </c>
    </row>
    <row r="56" spans="1:24" x14ac:dyDescent="0.3">
      <c r="A56" t="s">
        <v>554</v>
      </c>
      <c r="B56" t="s">
        <v>557</v>
      </c>
      <c r="C56">
        <v>29600160</v>
      </c>
      <c r="D56" t="s">
        <v>48</v>
      </c>
      <c r="E56" t="s">
        <v>16</v>
      </c>
      <c r="F56" t="s">
        <v>1</v>
      </c>
      <c r="G56" t="s">
        <v>224</v>
      </c>
      <c r="H56" t="s">
        <v>187</v>
      </c>
      <c r="I56" t="s">
        <v>1</v>
      </c>
      <c r="J56">
        <v>604.17999999999995</v>
      </c>
      <c r="L56">
        <v>232.92</v>
      </c>
      <c r="M56">
        <v>469.7005524861878</v>
      </c>
      <c r="N56">
        <v>837.09999999999991</v>
      </c>
      <c r="O56">
        <v>468.39956043960001</v>
      </c>
      <c r="P56">
        <v>0</v>
      </c>
      <c r="Q56">
        <f t="shared" si="5"/>
        <v>468.39956043960001</v>
      </c>
      <c r="R56">
        <v>468.39956043960001</v>
      </c>
      <c r="S56">
        <f t="shared" si="6"/>
        <v>0</v>
      </c>
      <c r="T56">
        <v>0.02</v>
      </c>
      <c r="U56">
        <f t="shared" si="7"/>
        <v>9.3679912087920005</v>
      </c>
      <c r="V56">
        <f t="shared" si="8"/>
        <v>477.76755164839199</v>
      </c>
      <c r="W56">
        <f t="shared" si="9"/>
        <v>9.3679912087919774</v>
      </c>
      <c r="X56" t="s">
        <v>448</v>
      </c>
    </row>
    <row r="57" spans="1:24" x14ac:dyDescent="0.3">
      <c r="A57" t="s">
        <v>554</v>
      </c>
      <c r="B57" t="s">
        <v>557</v>
      </c>
      <c r="C57">
        <v>29600160</v>
      </c>
      <c r="D57" t="s">
        <v>48</v>
      </c>
      <c r="E57" t="s">
        <v>51</v>
      </c>
      <c r="F57" t="s">
        <v>1</v>
      </c>
      <c r="G57" t="s">
        <v>224</v>
      </c>
      <c r="H57" t="s">
        <v>227</v>
      </c>
      <c r="I57" t="s">
        <v>1</v>
      </c>
      <c r="J57">
        <v>542</v>
      </c>
      <c r="L57">
        <v>0</v>
      </c>
      <c r="M57">
        <v>0</v>
      </c>
      <c r="N57">
        <v>542</v>
      </c>
      <c r="P57">
        <v>0</v>
      </c>
      <c r="Q57">
        <f t="shared" si="5"/>
        <v>0</v>
      </c>
      <c r="R57">
        <v>0</v>
      </c>
      <c r="S57">
        <f t="shared" si="6"/>
        <v>0</v>
      </c>
      <c r="T57">
        <v>2.2499999999999999E-2</v>
      </c>
      <c r="U57">
        <f t="shared" si="7"/>
        <v>0</v>
      </c>
      <c r="V57">
        <f t="shared" si="8"/>
        <v>0</v>
      </c>
      <c r="W57">
        <f t="shared" si="9"/>
        <v>0</v>
      </c>
      <c r="X57">
        <v>0</v>
      </c>
    </row>
    <row r="58" spans="1:24" x14ac:dyDescent="0.3">
      <c r="A58" t="s">
        <v>554</v>
      </c>
      <c r="B58" t="s">
        <v>557</v>
      </c>
      <c r="C58">
        <v>29600160</v>
      </c>
      <c r="D58" t="s">
        <v>48</v>
      </c>
      <c r="E58" t="s">
        <v>52</v>
      </c>
      <c r="F58" t="s">
        <v>1</v>
      </c>
      <c r="G58" t="s">
        <v>224</v>
      </c>
      <c r="H58" t="s">
        <v>228</v>
      </c>
      <c r="I58" t="s">
        <v>1</v>
      </c>
      <c r="J58">
        <v>536</v>
      </c>
      <c r="L58">
        <v>0</v>
      </c>
      <c r="M58">
        <v>0</v>
      </c>
      <c r="N58">
        <v>536</v>
      </c>
      <c r="P58">
        <v>0</v>
      </c>
      <c r="Q58">
        <f t="shared" si="5"/>
        <v>0</v>
      </c>
      <c r="R58">
        <v>0</v>
      </c>
      <c r="S58">
        <f t="shared" si="6"/>
        <v>0</v>
      </c>
      <c r="T58">
        <v>3.5000000000000003E-2</v>
      </c>
      <c r="U58">
        <f t="shared" si="7"/>
        <v>0</v>
      </c>
      <c r="V58">
        <f t="shared" si="8"/>
        <v>0</v>
      </c>
      <c r="W58">
        <f t="shared" si="9"/>
        <v>0</v>
      </c>
      <c r="X58">
        <v>0</v>
      </c>
    </row>
    <row r="59" spans="1:24" x14ac:dyDescent="0.3">
      <c r="A59" t="s">
        <v>554</v>
      </c>
      <c r="B59" t="s">
        <v>557</v>
      </c>
      <c r="C59">
        <v>29600160</v>
      </c>
      <c r="D59" t="s">
        <v>48</v>
      </c>
      <c r="E59" t="s">
        <v>53</v>
      </c>
      <c r="F59" t="s">
        <v>1</v>
      </c>
      <c r="G59" t="s">
        <v>224</v>
      </c>
      <c r="H59" t="s">
        <v>229</v>
      </c>
      <c r="I59" t="s">
        <v>1</v>
      </c>
      <c r="J59">
        <v>4871.8</v>
      </c>
      <c r="L59">
        <v>0</v>
      </c>
      <c r="M59">
        <v>0</v>
      </c>
      <c r="N59">
        <v>4871.8</v>
      </c>
      <c r="P59">
        <v>0</v>
      </c>
      <c r="Q59">
        <f t="shared" si="5"/>
        <v>0</v>
      </c>
      <c r="R59">
        <v>0</v>
      </c>
      <c r="S59">
        <f t="shared" si="6"/>
        <v>0</v>
      </c>
      <c r="T59">
        <v>0.04</v>
      </c>
      <c r="U59">
        <f t="shared" si="7"/>
        <v>0</v>
      </c>
      <c r="V59">
        <f t="shared" si="8"/>
        <v>0</v>
      </c>
      <c r="W59">
        <f t="shared" si="9"/>
        <v>0</v>
      </c>
      <c r="X59">
        <v>0</v>
      </c>
    </row>
    <row r="60" spans="1:24" x14ac:dyDescent="0.3">
      <c r="A60" t="s">
        <v>554</v>
      </c>
      <c r="B60" t="s">
        <v>557</v>
      </c>
      <c r="C60">
        <v>29600160</v>
      </c>
      <c r="D60" t="s">
        <v>48</v>
      </c>
      <c r="E60" t="s">
        <v>17</v>
      </c>
      <c r="F60" t="s">
        <v>1</v>
      </c>
      <c r="G60" t="s">
        <v>224</v>
      </c>
      <c r="H60" t="s">
        <v>188</v>
      </c>
      <c r="I60" t="s">
        <v>1</v>
      </c>
      <c r="J60">
        <v>25913.45</v>
      </c>
      <c r="K60">
        <v>25298.95</v>
      </c>
      <c r="L60">
        <v>783.89</v>
      </c>
      <c r="M60">
        <v>1580.7726519337016</v>
      </c>
      <c r="N60">
        <v>6981.2800000000016</v>
      </c>
      <c r="O60">
        <v>1580.7726519337</v>
      </c>
      <c r="P60">
        <v>0</v>
      </c>
      <c r="Q60">
        <f t="shared" si="5"/>
        <v>1580.7726519337</v>
      </c>
      <c r="R60">
        <v>2076</v>
      </c>
      <c r="S60">
        <f t="shared" si="6"/>
        <v>495.22734806630001</v>
      </c>
      <c r="T60">
        <v>0.03</v>
      </c>
      <c r="U60">
        <f t="shared" si="7"/>
        <v>62.28</v>
      </c>
      <c r="V60">
        <f t="shared" si="8"/>
        <v>2138.2800000000002</v>
      </c>
      <c r="W60">
        <f t="shared" si="9"/>
        <v>557.50734806630021</v>
      </c>
      <c r="X60" t="s">
        <v>449</v>
      </c>
    </row>
    <row r="61" spans="1:24" x14ac:dyDescent="0.3">
      <c r="A61" t="s">
        <v>554</v>
      </c>
      <c r="B61" t="s">
        <v>557</v>
      </c>
      <c r="C61">
        <v>29600160</v>
      </c>
      <c r="D61" t="s">
        <v>48</v>
      </c>
      <c r="E61" t="s">
        <v>18</v>
      </c>
      <c r="F61" t="s">
        <v>1</v>
      </c>
      <c r="G61" t="s">
        <v>224</v>
      </c>
      <c r="H61" t="s">
        <v>189</v>
      </c>
      <c r="I61" t="s">
        <v>1</v>
      </c>
      <c r="J61">
        <v>16632.7</v>
      </c>
      <c r="K61">
        <v>18618.615000000002</v>
      </c>
      <c r="L61">
        <v>2443.46</v>
      </c>
      <c r="M61">
        <v>4927.4193370165749</v>
      </c>
      <c r="N61">
        <v>9191.07</v>
      </c>
      <c r="O61">
        <v>4927.4193370166004</v>
      </c>
      <c r="P61">
        <v>0</v>
      </c>
      <c r="Q61">
        <f t="shared" si="5"/>
        <v>4927.4193370166004</v>
      </c>
      <c r="R61">
        <v>4884</v>
      </c>
      <c r="S61">
        <f t="shared" si="6"/>
        <v>-43.419337016600366</v>
      </c>
      <c r="T61">
        <v>3.5000000000000003E-2</v>
      </c>
      <c r="U61">
        <f t="shared" si="7"/>
        <v>170.94000000000003</v>
      </c>
      <c r="V61">
        <f t="shared" si="8"/>
        <v>5054.9399999999996</v>
      </c>
      <c r="W61">
        <f t="shared" si="9"/>
        <v>127.52066298339923</v>
      </c>
      <c r="X61" t="s">
        <v>450</v>
      </c>
    </row>
    <row r="62" spans="1:24" x14ac:dyDescent="0.3">
      <c r="A62" t="s">
        <v>554</v>
      </c>
      <c r="B62" t="s">
        <v>557</v>
      </c>
      <c r="C62">
        <v>29600160</v>
      </c>
      <c r="D62" t="s">
        <v>48</v>
      </c>
      <c r="E62" t="s">
        <v>19</v>
      </c>
      <c r="F62" t="s">
        <v>1</v>
      </c>
      <c r="G62" t="s">
        <v>224</v>
      </c>
      <c r="H62" t="s">
        <v>190</v>
      </c>
      <c r="I62" t="s">
        <v>1</v>
      </c>
      <c r="L62">
        <v>92</v>
      </c>
      <c r="M62">
        <v>185.52486187845304</v>
      </c>
      <c r="N62">
        <v>92</v>
      </c>
      <c r="O62">
        <v>185.52486187849999</v>
      </c>
      <c r="P62">
        <v>0</v>
      </c>
      <c r="Q62">
        <f t="shared" si="5"/>
        <v>185.52486187849999</v>
      </c>
      <c r="R62">
        <v>92</v>
      </c>
      <c r="S62">
        <f t="shared" si="6"/>
        <v>-93.524861878499991</v>
      </c>
      <c r="T62">
        <v>3.5000000000000003E-2</v>
      </c>
      <c r="U62">
        <f t="shared" si="7"/>
        <v>3.22</v>
      </c>
      <c r="V62">
        <f t="shared" si="8"/>
        <v>95.22</v>
      </c>
      <c r="W62">
        <f t="shared" si="9"/>
        <v>-90.304861878499992</v>
      </c>
      <c r="X62" t="s">
        <v>451</v>
      </c>
    </row>
    <row r="63" spans="1:24" x14ac:dyDescent="0.3">
      <c r="A63" t="s">
        <v>554</v>
      </c>
      <c r="B63" t="s">
        <v>557</v>
      </c>
      <c r="C63">
        <v>29600160</v>
      </c>
      <c r="D63" t="s">
        <v>48</v>
      </c>
      <c r="E63" t="s">
        <v>54</v>
      </c>
      <c r="F63" t="s">
        <v>1</v>
      </c>
      <c r="G63" t="s">
        <v>224</v>
      </c>
      <c r="H63" t="s">
        <v>230</v>
      </c>
      <c r="I63" t="s">
        <v>1</v>
      </c>
      <c r="J63">
        <v>2663.35</v>
      </c>
      <c r="K63">
        <v>2498.0000000004002</v>
      </c>
      <c r="L63">
        <v>1202.55</v>
      </c>
      <c r="M63">
        <v>2425.0317679558011</v>
      </c>
      <c r="N63">
        <v>2445.06</v>
      </c>
      <c r="O63">
        <v>2405.1</v>
      </c>
      <c r="P63">
        <v>0</v>
      </c>
      <c r="Q63">
        <f t="shared" si="5"/>
        <v>2405.1</v>
      </c>
      <c r="R63">
        <v>2405.1</v>
      </c>
      <c r="S63">
        <f t="shared" si="6"/>
        <v>0</v>
      </c>
      <c r="U63">
        <f t="shared" si="7"/>
        <v>0</v>
      </c>
      <c r="V63">
        <f t="shared" si="8"/>
        <v>2405.1</v>
      </c>
      <c r="W63">
        <f t="shared" si="9"/>
        <v>0</v>
      </c>
      <c r="X63" t="s">
        <v>448</v>
      </c>
    </row>
    <row r="64" spans="1:24" x14ac:dyDescent="0.3">
      <c r="A64" t="s">
        <v>554</v>
      </c>
      <c r="B64" t="s">
        <v>557</v>
      </c>
      <c r="C64">
        <v>29600160</v>
      </c>
      <c r="D64" t="s">
        <v>48</v>
      </c>
      <c r="E64" t="s">
        <v>23</v>
      </c>
      <c r="F64" t="s">
        <v>1</v>
      </c>
      <c r="G64" t="s">
        <v>224</v>
      </c>
      <c r="H64" t="s">
        <v>194</v>
      </c>
      <c r="I64" t="s">
        <v>1</v>
      </c>
      <c r="J64">
        <v>12945.47</v>
      </c>
      <c r="K64">
        <v>5204.0000000004002</v>
      </c>
      <c r="L64">
        <v>236.83</v>
      </c>
      <c r="M64">
        <v>477.58535911602212</v>
      </c>
      <c r="N64">
        <v>9592.16</v>
      </c>
      <c r="O64">
        <v>473.66</v>
      </c>
      <c r="P64">
        <v>0</v>
      </c>
      <c r="Q64">
        <f t="shared" si="5"/>
        <v>473.66</v>
      </c>
      <c r="R64">
        <v>250</v>
      </c>
      <c r="S64">
        <f t="shared" si="6"/>
        <v>-223.66000000000003</v>
      </c>
      <c r="U64">
        <f t="shared" si="7"/>
        <v>0</v>
      </c>
      <c r="V64">
        <f t="shared" si="8"/>
        <v>250</v>
      </c>
      <c r="W64">
        <f t="shared" si="9"/>
        <v>-223.66000000000003</v>
      </c>
      <c r="X64" t="s">
        <v>452</v>
      </c>
    </row>
    <row r="65" spans="1:24" x14ac:dyDescent="0.3">
      <c r="A65" t="s">
        <v>554</v>
      </c>
      <c r="B65" t="s">
        <v>557</v>
      </c>
      <c r="C65">
        <v>29600160</v>
      </c>
      <c r="D65" t="s">
        <v>48</v>
      </c>
      <c r="E65" t="s">
        <v>36</v>
      </c>
      <c r="F65" t="s">
        <v>1</v>
      </c>
      <c r="G65" t="s">
        <v>224</v>
      </c>
      <c r="H65" t="s">
        <v>207</v>
      </c>
      <c r="I65" t="s">
        <v>1</v>
      </c>
      <c r="J65">
        <v>211.89</v>
      </c>
      <c r="L65">
        <v>17.28</v>
      </c>
      <c r="M65">
        <v>34.846408839779009</v>
      </c>
      <c r="N65">
        <v>167.88</v>
      </c>
      <c r="O65">
        <v>34.56</v>
      </c>
      <c r="P65">
        <v>0</v>
      </c>
      <c r="Q65">
        <f t="shared" si="5"/>
        <v>34.56</v>
      </c>
      <c r="R65">
        <v>34.56</v>
      </c>
      <c r="S65">
        <f t="shared" si="6"/>
        <v>0</v>
      </c>
      <c r="T65">
        <v>0.03</v>
      </c>
      <c r="U65">
        <f t="shared" si="7"/>
        <v>1.0367999999999999</v>
      </c>
      <c r="V65">
        <f t="shared" si="8"/>
        <v>35.596800000000002</v>
      </c>
      <c r="W65">
        <f t="shared" si="9"/>
        <v>1.0367999999999995</v>
      </c>
      <c r="X65">
        <v>0</v>
      </c>
    </row>
    <row r="66" spans="1:24" x14ac:dyDescent="0.3">
      <c r="A66" t="s">
        <v>554</v>
      </c>
      <c r="B66" t="s">
        <v>557</v>
      </c>
      <c r="C66">
        <v>29600160</v>
      </c>
      <c r="D66" t="s">
        <v>48</v>
      </c>
      <c r="E66" t="s">
        <v>37</v>
      </c>
      <c r="F66" t="s">
        <v>1</v>
      </c>
      <c r="G66" t="s">
        <v>224</v>
      </c>
      <c r="H66" t="s">
        <v>208</v>
      </c>
      <c r="I66" t="s">
        <v>1</v>
      </c>
      <c r="J66">
        <v>1257.05</v>
      </c>
      <c r="K66">
        <v>1257</v>
      </c>
      <c r="L66">
        <v>1294.76</v>
      </c>
      <c r="M66">
        <v>2610.9801104972375</v>
      </c>
      <c r="N66">
        <v>1294.76</v>
      </c>
      <c r="O66">
        <v>2589.52</v>
      </c>
      <c r="P66">
        <v>0</v>
      </c>
      <c r="Q66">
        <f t="shared" si="5"/>
        <v>2589.52</v>
      </c>
      <c r="R66">
        <v>1294.76</v>
      </c>
      <c r="S66">
        <f t="shared" si="6"/>
        <v>-1294.76</v>
      </c>
      <c r="T66">
        <v>0.03</v>
      </c>
      <c r="U66">
        <f t="shared" si="7"/>
        <v>38.842799999999997</v>
      </c>
      <c r="V66">
        <f t="shared" si="8"/>
        <v>1333.6027999999999</v>
      </c>
      <c r="W66">
        <f t="shared" si="9"/>
        <v>-1255.9172000000001</v>
      </c>
      <c r="X66" t="s">
        <v>453</v>
      </c>
    </row>
    <row r="67" spans="1:24" x14ac:dyDescent="0.3">
      <c r="A67" t="s">
        <v>554</v>
      </c>
      <c r="B67" t="s">
        <v>557</v>
      </c>
      <c r="C67">
        <v>29600160</v>
      </c>
      <c r="D67" t="s">
        <v>48</v>
      </c>
      <c r="E67" t="s">
        <v>43</v>
      </c>
      <c r="F67" t="s">
        <v>1</v>
      </c>
      <c r="G67" t="s">
        <v>224</v>
      </c>
      <c r="H67" t="s">
        <v>214</v>
      </c>
      <c r="I67" t="s">
        <v>1</v>
      </c>
      <c r="J67">
        <v>2083.21</v>
      </c>
      <c r="K67">
        <v>1707</v>
      </c>
      <c r="L67">
        <v>1326.2</v>
      </c>
      <c r="M67">
        <v>2674.3812154696134</v>
      </c>
      <c r="N67">
        <v>2562.83</v>
      </c>
      <c r="O67">
        <v>2652.4</v>
      </c>
      <c r="P67">
        <v>0</v>
      </c>
      <c r="Q67">
        <f t="shared" si="5"/>
        <v>2652.4</v>
      </c>
      <c r="R67">
        <v>2652</v>
      </c>
      <c r="S67">
        <f t="shared" si="6"/>
        <v>-0.40000000000009095</v>
      </c>
      <c r="T67">
        <v>0.03</v>
      </c>
      <c r="U67">
        <f t="shared" si="7"/>
        <v>79.56</v>
      </c>
      <c r="V67">
        <f t="shared" si="8"/>
        <v>2731.56</v>
      </c>
      <c r="W67">
        <f t="shared" si="9"/>
        <v>79.159999999999854</v>
      </c>
      <c r="X67" t="s">
        <v>454</v>
      </c>
    </row>
    <row r="68" spans="1:24" x14ac:dyDescent="0.3">
      <c r="A68" t="s">
        <v>554</v>
      </c>
      <c r="B68" t="s">
        <v>557</v>
      </c>
      <c r="C68">
        <v>29600160</v>
      </c>
      <c r="D68" t="s">
        <v>48</v>
      </c>
      <c r="E68" t="s">
        <v>44</v>
      </c>
      <c r="F68" t="s">
        <v>1</v>
      </c>
      <c r="G68" t="s">
        <v>224</v>
      </c>
      <c r="H68" t="s">
        <v>215</v>
      </c>
      <c r="I68" t="s">
        <v>1</v>
      </c>
      <c r="J68">
        <v>1891.56</v>
      </c>
      <c r="K68">
        <v>1966.0000000004</v>
      </c>
      <c r="L68">
        <v>982.95</v>
      </c>
      <c r="M68">
        <v>1982.1919889502765</v>
      </c>
      <c r="N68">
        <v>2055.36</v>
      </c>
      <c r="O68">
        <v>1982.1919889502999</v>
      </c>
      <c r="P68">
        <v>0</v>
      </c>
      <c r="Q68">
        <f t="shared" si="5"/>
        <v>1982.1919889502999</v>
      </c>
      <c r="R68">
        <v>1982.1919889502999</v>
      </c>
      <c r="S68">
        <f t="shared" si="6"/>
        <v>0</v>
      </c>
      <c r="U68">
        <f t="shared" si="7"/>
        <v>0</v>
      </c>
      <c r="V68">
        <f t="shared" si="8"/>
        <v>1982.1919889502999</v>
      </c>
      <c r="W68">
        <f t="shared" si="9"/>
        <v>0</v>
      </c>
      <c r="X68">
        <v>0</v>
      </c>
    </row>
    <row r="69" spans="1:24" x14ac:dyDescent="0.3">
      <c r="A69" t="s">
        <v>554</v>
      </c>
      <c r="B69" t="s">
        <v>557</v>
      </c>
      <c r="C69">
        <v>29600160</v>
      </c>
      <c r="D69" t="s">
        <v>48</v>
      </c>
      <c r="E69" t="s">
        <v>45</v>
      </c>
      <c r="F69" t="s">
        <v>45</v>
      </c>
      <c r="G69" t="s">
        <v>231</v>
      </c>
      <c r="J69">
        <v>79881.899999999994</v>
      </c>
      <c r="K69">
        <v>68782.134273855001</v>
      </c>
      <c r="L69">
        <v>10427.510000000002</v>
      </c>
      <c r="M69">
        <v>21027.851657458563</v>
      </c>
      <c r="N69">
        <v>45942.850000000006</v>
      </c>
      <c r="O69">
        <v>20928.888400218704</v>
      </c>
      <c r="P69">
        <f>SUMIF($F$52:$F$68,"&lt;&gt;EV_*",$P$52:$P$68)</f>
        <v>0</v>
      </c>
      <c r="Q69">
        <f>SUMIF($F$52:$F$68,"&lt;&gt;EV_*",$Q$52:$Q$68)</f>
        <v>20928.888400218704</v>
      </c>
      <c r="R69">
        <f>SUMIF($F$52:$F$68,"&lt;&gt;EV_*",$R$52:$R$68)</f>
        <v>19768.351549389899</v>
      </c>
      <c r="S69">
        <f>SUMIF($F$52:$F$68,"&lt;&gt;EV_*",$S$52:$S$68)</f>
        <v>-1160.5368508288004</v>
      </c>
      <c r="T69">
        <v>0</v>
      </c>
      <c r="U69">
        <f>SUMIF($F$52:$F$68,"&lt;&gt;EV_*",$U$52:$U$68)</f>
        <v>365.24759120879202</v>
      </c>
      <c r="V69">
        <f>SUMIF($F$52:$F$68,"&lt;&gt;EV_*",$V$52:$V$68)</f>
        <v>20133.599140598693</v>
      </c>
      <c r="W69">
        <f>SUMIF($F$52:$F$68,"&lt;&gt;EV_*",$W$52:$W$68)</f>
        <v>-795.28925962000881</v>
      </c>
      <c r="X69">
        <f>SUMIF($F$52:$F$68,"&lt;&gt;EV_*",$X$52:$X$68)</f>
        <v>0</v>
      </c>
    </row>
    <row r="70" spans="1:24" x14ac:dyDescent="0.3">
      <c r="A70" t="s">
        <v>554</v>
      </c>
      <c r="B70" t="s">
        <v>558</v>
      </c>
      <c r="C70">
        <v>29600180</v>
      </c>
      <c r="D70" t="s">
        <v>55</v>
      </c>
      <c r="E70" t="s">
        <v>5</v>
      </c>
      <c r="F70" t="s">
        <v>5</v>
      </c>
      <c r="G70" t="s">
        <v>232</v>
      </c>
    </row>
    <row r="71" spans="1:24" x14ac:dyDescent="0.3">
      <c r="A71" t="s">
        <v>554</v>
      </c>
      <c r="B71" t="s">
        <v>558</v>
      </c>
      <c r="C71">
        <v>29600180</v>
      </c>
      <c r="D71" t="s">
        <v>55</v>
      </c>
      <c r="E71" t="s">
        <v>12</v>
      </c>
      <c r="F71" t="s">
        <v>1</v>
      </c>
      <c r="G71" t="s">
        <v>233</v>
      </c>
      <c r="H71" t="s">
        <v>183</v>
      </c>
      <c r="I71" t="s">
        <v>1</v>
      </c>
      <c r="J71">
        <v>2452.9</v>
      </c>
      <c r="K71">
        <v>2258.91</v>
      </c>
      <c r="L71">
        <v>1127.74</v>
      </c>
      <c r="M71">
        <v>2274.17182320442</v>
      </c>
      <c r="N71">
        <v>2321.46</v>
      </c>
      <c r="O71">
        <v>2255.48</v>
      </c>
      <c r="P71">
        <v>0</v>
      </c>
      <c r="Q71">
        <f>O71+P71</f>
        <v>2255.48</v>
      </c>
      <c r="R71">
        <v>0</v>
      </c>
      <c r="S71">
        <f>IF(OR(LEFT(E71,2)="A_",LEFT(D71,5)="Total"),R71-Q71,"")</f>
        <v>-2255.48</v>
      </c>
      <c r="U71">
        <f>IFERROR(R71*T71,R71*0)</f>
        <v>0</v>
      </c>
      <c r="V71">
        <f>IF(OR(LEFT(E71,2)="A_",LEFT(D71,5)="Total"),R71+U71,"")</f>
        <v>0</v>
      </c>
      <c r="W71">
        <f>IF(OR(LEFT(E71,2)="A_",LEFT(D71,5)="Total"),V71-Q71,"")</f>
        <v>-2255.48</v>
      </c>
      <c r="X71">
        <v>0</v>
      </c>
    </row>
    <row r="72" spans="1:24" x14ac:dyDescent="0.3">
      <c r="A72" t="s">
        <v>554</v>
      </c>
      <c r="B72" t="s">
        <v>558</v>
      </c>
      <c r="C72">
        <v>29600180</v>
      </c>
      <c r="D72" t="s">
        <v>55</v>
      </c>
      <c r="E72" t="s">
        <v>18</v>
      </c>
      <c r="F72" t="s">
        <v>1</v>
      </c>
      <c r="G72" t="s">
        <v>233</v>
      </c>
      <c r="H72" t="s">
        <v>189</v>
      </c>
      <c r="I72" t="s">
        <v>1</v>
      </c>
      <c r="J72">
        <v>1808.68</v>
      </c>
      <c r="K72">
        <v>1893.0150000000001</v>
      </c>
      <c r="L72">
        <v>0</v>
      </c>
      <c r="M72">
        <v>0</v>
      </c>
      <c r="N72">
        <v>901.61999999999989</v>
      </c>
      <c r="P72">
        <v>0</v>
      </c>
      <c r="Q72">
        <f>O72+P72</f>
        <v>0</v>
      </c>
      <c r="R72">
        <v>0</v>
      </c>
      <c r="S72">
        <f>IF(OR(LEFT(E72,2)="A_",LEFT(D72,5)="Total"),R72-Q72,"")</f>
        <v>0</v>
      </c>
      <c r="T72">
        <v>3.5000000000000003E-2</v>
      </c>
      <c r="U72">
        <f>IFERROR(R72*T72,R72*0)</f>
        <v>0</v>
      </c>
      <c r="V72">
        <f>IF(OR(LEFT(E72,2)="A_",LEFT(D72,5)="Total"),R72+U72,"")</f>
        <v>0</v>
      </c>
      <c r="W72">
        <f>IF(OR(LEFT(E72,2)="A_",LEFT(D72,5)="Total"),V72-Q72,"")</f>
        <v>0</v>
      </c>
      <c r="X72">
        <v>0</v>
      </c>
    </row>
    <row r="73" spans="1:24" x14ac:dyDescent="0.3">
      <c r="A73" t="s">
        <v>554</v>
      </c>
      <c r="B73" t="s">
        <v>558</v>
      </c>
      <c r="C73">
        <v>29600180</v>
      </c>
      <c r="D73" t="s">
        <v>55</v>
      </c>
      <c r="E73" t="s">
        <v>23</v>
      </c>
      <c r="F73" t="s">
        <v>1</v>
      </c>
      <c r="G73" t="s">
        <v>233</v>
      </c>
      <c r="H73" t="s">
        <v>194</v>
      </c>
      <c r="I73" t="s">
        <v>1</v>
      </c>
      <c r="J73">
        <v>23.97</v>
      </c>
      <c r="L73">
        <v>55.93</v>
      </c>
      <c r="M73">
        <v>112.78701657458562</v>
      </c>
      <c r="N73">
        <v>79.900000000000006</v>
      </c>
      <c r="O73">
        <v>111.86</v>
      </c>
      <c r="P73">
        <v>0</v>
      </c>
      <c r="Q73">
        <f>O73+P73</f>
        <v>111.86</v>
      </c>
      <c r="R73">
        <v>0</v>
      </c>
      <c r="S73">
        <f>IF(OR(LEFT(E73,2)="A_",LEFT(D73,5)="Total"),R73-Q73,"")</f>
        <v>-111.86</v>
      </c>
      <c r="U73">
        <f>IFERROR(R73*T73,R73*0)</f>
        <v>0</v>
      </c>
      <c r="V73">
        <f>IF(OR(LEFT(E73,2)="A_",LEFT(D73,5)="Total"),R73+U73,"")</f>
        <v>0</v>
      </c>
      <c r="W73">
        <f>IF(OR(LEFT(E73,2)="A_",LEFT(D73,5)="Total"),V73-Q73,"")</f>
        <v>-111.86</v>
      </c>
      <c r="X73">
        <v>0</v>
      </c>
    </row>
    <row r="74" spans="1:24" x14ac:dyDescent="0.3">
      <c r="A74" t="s">
        <v>554</v>
      </c>
      <c r="B74" t="s">
        <v>558</v>
      </c>
      <c r="C74">
        <v>29600180</v>
      </c>
      <c r="D74" t="s">
        <v>55</v>
      </c>
      <c r="E74" t="s">
        <v>24</v>
      </c>
      <c r="F74" t="s">
        <v>1</v>
      </c>
      <c r="G74" t="s">
        <v>233</v>
      </c>
      <c r="H74" t="s">
        <v>195</v>
      </c>
      <c r="I74" t="s">
        <v>1</v>
      </c>
      <c r="J74">
        <v>152.80000000000001</v>
      </c>
      <c r="K74">
        <v>306</v>
      </c>
      <c r="L74">
        <v>0</v>
      </c>
      <c r="M74">
        <v>0</v>
      </c>
      <c r="N74">
        <v>0</v>
      </c>
      <c r="P74">
        <v>0</v>
      </c>
      <c r="Q74">
        <f>O74+P74</f>
        <v>0</v>
      </c>
      <c r="R74">
        <v>0</v>
      </c>
      <c r="S74">
        <f>IF(OR(LEFT(E74,2)="A_",LEFT(D74,5)="Total"),R74-Q74,"")</f>
        <v>0</v>
      </c>
      <c r="U74">
        <f>IFERROR(R74*T74,R74*0)</f>
        <v>0</v>
      </c>
      <c r="V74">
        <f>IF(OR(LEFT(E74,2)="A_",LEFT(D74,5)="Total"),R74+U74,"")</f>
        <v>0</v>
      </c>
      <c r="W74">
        <f>IF(OR(LEFT(E74,2)="A_",LEFT(D74,5)="Total"),V74-Q74,"")</f>
        <v>0</v>
      </c>
      <c r="X74">
        <v>0</v>
      </c>
    </row>
    <row r="75" spans="1:24" x14ac:dyDescent="0.3">
      <c r="A75" t="s">
        <v>554</v>
      </c>
      <c r="B75" t="s">
        <v>558</v>
      </c>
      <c r="C75">
        <v>29600180</v>
      </c>
      <c r="D75" t="s">
        <v>55</v>
      </c>
      <c r="E75" t="s">
        <v>45</v>
      </c>
      <c r="F75" t="s">
        <v>45</v>
      </c>
      <c r="G75" t="s">
        <v>234</v>
      </c>
      <c r="J75">
        <v>4438.3500000000004</v>
      </c>
      <c r="K75">
        <v>4457.9250000000002</v>
      </c>
      <c r="L75">
        <v>1183.67</v>
      </c>
      <c r="M75">
        <v>2386.9588397790058</v>
      </c>
      <c r="N75">
        <v>3302.98</v>
      </c>
      <c r="O75">
        <v>2367.34</v>
      </c>
      <c r="P75">
        <f>SUMIF($F$70:$F$74,"&lt;&gt;EV_*",$P$70:$P$74)</f>
        <v>0</v>
      </c>
      <c r="Q75">
        <f>SUMIF($F$70:$F$74,"&lt;&gt;EV_*",$Q$70:$Q$74)</f>
        <v>2367.34</v>
      </c>
      <c r="R75">
        <f>SUMIF($F$70:$F$74,"&lt;&gt;EV_*",$R$70:$R$74)</f>
        <v>0</v>
      </c>
      <c r="S75">
        <f>SUMIF($F$70:$F$74,"&lt;&gt;EV_*",$S$70:$S$74)</f>
        <v>-2367.34</v>
      </c>
      <c r="T75">
        <v>0</v>
      </c>
      <c r="U75">
        <f>SUMIF($F$70:$F$74,"&lt;&gt;EV_*",$U$70:$U$74)</f>
        <v>0</v>
      </c>
      <c r="V75">
        <f>SUMIF($F$70:$F$74,"&lt;&gt;EV_*",$V$70:$V$74)</f>
        <v>0</v>
      </c>
      <c r="W75">
        <f>SUMIF($F$70:$F$74,"&lt;&gt;EV_*",$W$70:$W$74)</f>
        <v>-2367.34</v>
      </c>
      <c r="X75">
        <f>SUMIF($F$70:$F$74,"&lt;&gt;EV_*",$X$70:$X$74)</f>
        <v>0</v>
      </c>
    </row>
    <row r="76" spans="1:24" x14ac:dyDescent="0.3">
      <c r="A76" t="s">
        <v>559</v>
      </c>
      <c r="B76" t="s">
        <v>559</v>
      </c>
      <c r="C76">
        <v>29600300</v>
      </c>
      <c r="D76" t="s">
        <v>56</v>
      </c>
      <c r="E76" t="s">
        <v>5</v>
      </c>
      <c r="F76" t="s">
        <v>5</v>
      </c>
      <c r="G76" t="s">
        <v>235</v>
      </c>
    </row>
    <row r="77" spans="1:24" x14ac:dyDescent="0.3">
      <c r="A77" t="s">
        <v>559</v>
      </c>
      <c r="B77" t="s">
        <v>559</v>
      </c>
      <c r="C77">
        <v>29600300</v>
      </c>
      <c r="D77" t="s">
        <v>56</v>
      </c>
      <c r="E77" t="s">
        <v>29</v>
      </c>
      <c r="F77" t="s">
        <v>1</v>
      </c>
      <c r="G77" t="s">
        <v>236</v>
      </c>
      <c r="H77" t="s">
        <v>200</v>
      </c>
      <c r="I77" t="s">
        <v>1</v>
      </c>
      <c r="L77">
        <v>796.19</v>
      </c>
      <c r="M77">
        <v>1605.5765193370169</v>
      </c>
      <c r="N77">
        <v>796.19</v>
      </c>
      <c r="O77">
        <v>1592.38</v>
      </c>
      <c r="P77">
        <v>0</v>
      </c>
      <c r="Q77">
        <f>O77+P77</f>
        <v>1592.38</v>
      </c>
      <c r="R77">
        <v>0</v>
      </c>
      <c r="S77">
        <f>IF(OR(LEFT(E77,2)="A_",LEFT(D77,5)="Total"),R77-Q77,"")</f>
        <v>-1592.38</v>
      </c>
      <c r="U77">
        <f>IFERROR(R77*T77,R77*0)</f>
        <v>0</v>
      </c>
      <c r="V77">
        <f>IF(OR(LEFT(E77,2)="A_",LEFT(D77,5)="Total"),R77+U77,"")</f>
        <v>0</v>
      </c>
      <c r="W77">
        <f>IF(OR(LEFT(E77,2)="A_",LEFT(D77,5)="Total"),V77-Q77,"")</f>
        <v>-1592.38</v>
      </c>
      <c r="X77">
        <v>0</v>
      </c>
    </row>
    <row r="78" spans="1:24" x14ac:dyDescent="0.3">
      <c r="A78" t="s">
        <v>559</v>
      </c>
      <c r="B78" t="s">
        <v>559</v>
      </c>
      <c r="C78">
        <v>29600300</v>
      </c>
      <c r="D78" t="s">
        <v>56</v>
      </c>
      <c r="E78" t="s">
        <v>45</v>
      </c>
      <c r="F78" t="s">
        <v>45</v>
      </c>
      <c r="G78" t="s">
        <v>237</v>
      </c>
      <c r="J78">
        <v>0</v>
      </c>
      <c r="K78">
        <v>0</v>
      </c>
      <c r="L78">
        <v>796.19</v>
      </c>
      <c r="M78">
        <v>1605.5765193370169</v>
      </c>
      <c r="N78">
        <v>796.19</v>
      </c>
      <c r="O78">
        <v>1592.38</v>
      </c>
      <c r="P78">
        <f>SUMIF($F$76:$F$77,"&lt;&gt;EV_*",$P$76:$P$77)</f>
        <v>0</v>
      </c>
      <c r="Q78">
        <f>SUMIF($F$76:$F$77,"&lt;&gt;EV_*",$Q$76:$Q$77)</f>
        <v>1592.38</v>
      </c>
      <c r="R78">
        <f>SUMIF($F$76:$F$77,"&lt;&gt;EV_*",$R$76:$R$77)</f>
        <v>0</v>
      </c>
      <c r="S78">
        <f>SUMIF($F$76:$F$77,"&lt;&gt;EV_*",$S$76:$S$77)</f>
        <v>-1592.38</v>
      </c>
      <c r="T78">
        <v>0</v>
      </c>
      <c r="U78">
        <f>SUMIF($F$76:$F$77,"&lt;&gt;EV_*",$U$76:$U$77)</f>
        <v>0</v>
      </c>
      <c r="V78">
        <f>SUMIF($F$76:$F$77,"&lt;&gt;EV_*",$V$76:$V$77)</f>
        <v>0</v>
      </c>
      <c r="W78">
        <f>SUMIF($F$76:$F$77,"&lt;&gt;EV_*",$W$76:$W$77)</f>
        <v>-1592.38</v>
      </c>
      <c r="X78">
        <f>SUMIF($F$76:$F$77,"&lt;&gt;EV_*",$X$76:$X$77)</f>
        <v>0</v>
      </c>
    </row>
    <row r="79" spans="1:24" x14ac:dyDescent="0.3">
      <c r="A79" t="s">
        <v>559</v>
      </c>
      <c r="B79" t="s">
        <v>559</v>
      </c>
      <c r="C79">
        <v>29600301</v>
      </c>
      <c r="D79" t="s">
        <v>57</v>
      </c>
      <c r="E79" t="s">
        <v>5</v>
      </c>
      <c r="F79" t="s">
        <v>5</v>
      </c>
      <c r="G79" t="s">
        <v>238</v>
      </c>
    </row>
    <row r="80" spans="1:24" x14ac:dyDescent="0.3">
      <c r="A80" t="s">
        <v>559</v>
      </c>
      <c r="B80" t="s">
        <v>559</v>
      </c>
      <c r="C80">
        <v>29600301</v>
      </c>
      <c r="D80" t="s">
        <v>57</v>
      </c>
      <c r="E80" t="s">
        <v>29</v>
      </c>
      <c r="F80" t="s">
        <v>1</v>
      </c>
      <c r="G80" t="s">
        <v>239</v>
      </c>
      <c r="H80" t="s">
        <v>200</v>
      </c>
      <c r="I80" t="s">
        <v>1</v>
      </c>
      <c r="L80">
        <v>1016.45</v>
      </c>
      <c r="M80">
        <v>2049.7472375690609</v>
      </c>
      <c r="N80">
        <v>1016.45</v>
      </c>
      <c r="O80">
        <v>2032.9</v>
      </c>
      <c r="P80">
        <v>0</v>
      </c>
      <c r="Q80">
        <f>O80+P80</f>
        <v>2032.9</v>
      </c>
      <c r="R80">
        <v>0</v>
      </c>
      <c r="S80">
        <f>IF(OR(LEFT(E80,2)="A_",LEFT(D80,5)="Total"),R80-Q80,"")</f>
        <v>-2032.9</v>
      </c>
      <c r="U80">
        <f>IFERROR(R80*T80,R80*0)</f>
        <v>0</v>
      </c>
      <c r="V80">
        <f>IF(OR(LEFT(E80,2)="A_",LEFT(D80,5)="Total"),R80+U80,"")</f>
        <v>0</v>
      </c>
      <c r="W80">
        <f>IF(OR(LEFT(E80,2)="A_",LEFT(D80,5)="Total"),V80-Q80,"")</f>
        <v>-2032.9</v>
      </c>
      <c r="X80">
        <v>0</v>
      </c>
    </row>
    <row r="81" spans="1:24" x14ac:dyDescent="0.3">
      <c r="A81" t="s">
        <v>559</v>
      </c>
      <c r="B81" t="s">
        <v>559</v>
      </c>
      <c r="C81">
        <v>29600301</v>
      </c>
      <c r="D81" t="s">
        <v>57</v>
      </c>
      <c r="E81" t="s">
        <v>31</v>
      </c>
      <c r="F81" t="s">
        <v>1</v>
      </c>
      <c r="G81" t="s">
        <v>239</v>
      </c>
      <c r="H81" t="s">
        <v>202</v>
      </c>
      <c r="I81" t="s">
        <v>1</v>
      </c>
      <c r="L81">
        <v>1974</v>
      </c>
      <c r="M81">
        <v>3980.7182320441993</v>
      </c>
      <c r="N81">
        <v>1974</v>
      </c>
      <c r="O81">
        <v>3948</v>
      </c>
      <c r="P81">
        <v>0</v>
      </c>
      <c r="Q81">
        <f>O81+P81</f>
        <v>3948</v>
      </c>
      <c r="R81">
        <v>0</v>
      </c>
      <c r="S81">
        <f>IF(OR(LEFT(E81,2)="A_",LEFT(D81,5)="Total"),R81-Q81,"")</f>
        <v>-3948</v>
      </c>
      <c r="U81">
        <f>IFERROR(R81*T81,R81*0)</f>
        <v>0</v>
      </c>
      <c r="V81">
        <f>IF(OR(LEFT(E81,2)="A_",LEFT(D81,5)="Total"),R81+U81,"")</f>
        <v>0</v>
      </c>
      <c r="W81">
        <f>IF(OR(LEFT(E81,2)="A_",LEFT(D81,5)="Total"),V81-Q81,"")</f>
        <v>-3948</v>
      </c>
      <c r="X81">
        <v>0</v>
      </c>
    </row>
    <row r="82" spans="1:24" x14ac:dyDescent="0.3">
      <c r="A82" t="s">
        <v>559</v>
      </c>
      <c r="B82" t="s">
        <v>559</v>
      </c>
      <c r="C82">
        <v>29600301</v>
      </c>
      <c r="D82" t="s">
        <v>57</v>
      </c>
      <c r="E82" t="s">
        <v>45</v>
      </c>
      <c r="F82" t="s">
        <v>45</v>
      </c>
      <c r="G82" t="s">
        <v>240</v>
      </c>
      <c r="J82">
        <v>0</v>
      </c>
      <c r="K82">
        <v>0</v>
      </c>
      <c r="L82">
        <v>2990.45</v>
      </c>
      <c r="M82">
        <v>6030.4654696132602</v>
      </c>
      <c r="N82">
        <v>2990.45</v>
      </c>
      <c r="O82">
        <v>5980.9</v>
      </c>
      <c r="P82">
        <f>SUMIF($F$79:$F$81,"&lt;&gt;EV_*",$P$79:$P$81)</f>
        <v>0</v>
      </c>
      <c r="Q82">
        <f>SUMIF($F$79:$F$81,"&lt;&gt;EV_*",$Q$79:$Q$81)</f>
        <v>5980.9</v>
      </c>
      <c r="R82">
        <f>SUMIF($F$79:$F$81,"&lt;&gt;EV_*",$R$79:$R$81)</f>
        <v>0</v>
      </c>
      <c r="S82">
        <f>SUMIF($F$79:$F$81,"&lt;&gt;EV_*",$S$79:$S$81)</f>
        <v>-5980.9</v>
      </c>
      <c r="T82">
        <v>0</v>
      </c>
      <c r="U82">
        <f>SUMIF($F$79:$F$81,"&lt;&gt;EV_*",$U$79:$U$81)</f>
        <v>0</v>
      </c>
      <c r="V82">
        <f>SUMIF($F$79:$F$81,"&lt;&gt;EV_*",$V$79:$V$81)</f>
        <v>0</v>
      </c>
      <c r="W82">
        <f>SUMIF($F$79:$F$81,"&lt;&gt;EV_*",$W$79:$W$81)</f>
        <v>-5980.9</v>
      </c>
      <c r="X82">
        <f>SUMIF($F$79:$F$81,"&lt;&gt;EV_*",$X$79:$X$81)</f>
        <v>0</v>
      </c>
    </row>
    <row r="83" spans="1:24" x14ac:dyDescent="0.3">
      <c r="A83" t="s">
        <v>554</v>
      </c>
      <c r="B83" t="s">
        <v>560</v>
      </c>
      <c r="C83">
        <v>29601055</v>
      </c>
      <c r="D83" t="s">
        <v>58</v>
      </c>
      <c r="E83" t="s">
        <v>5</v>
      </c>
      <c r="F83" t="s">
        <v>5</v>
      </c>
      <c r="G83" t="s">
        <v>241</v>
      </c>
    </row>
    <row r="84" spans="1:24" x14ac:dyDescent="0.3">
      <c r="A84" t="s">
        <v>554</v>
      </c>
      <c r="B84" t="s">
        <v>560</v>
      </c>
      <c r="C84">
        <v>29601055</v>
      </c>
      <c r="D84" t="s">
        <v>58</v>
      </c>
      <c r="E84" t="s">
        <v>12</v>
      </c>
      <c r="F84" t="s">
        <v>1</v>
      </c>
      <c r="G84" t="s">
        <v>242</v>
      </c>
      <c r="H84" t="s">
        <v>183</v>
      </c>
      <c r="I84" t="s">
        <v>1</v>
      </c>
      <c r="J84">
        <v>1122.22</v>
      </c>
      <c r="K84">
        <v>1221.9999999996</v>
      </c>
      <c r="L84">
        <v>425.74</v>
      </c>
      <c r="M84">
        <v>858.53646408839768</v>
      </c>
      <c r="N84">
        <v>937.03</v>
      </c>
      <c r="O84">
        <v>851.48</v>
      </c>
      <c r="P84">
        <v>0</v>
      </c>
      <c r="Q84">
        <f t="shared" ref="Q84:Q97" si="10">O84+P84</f>
        <v>851.48</v>
      </c>
      <c r="R84">
        <v>851</v>
      </c>
      <c r="S84">
        <f t="shared" ref="S84:S97" si="11">IF(OR(LEFT(E84,2)="A_",LEFT(D84,5)="Total"),R84-Q84,"")</f>
        <v>-0.48000000000001819</v>
      </c>
      <c r="U84">
        <f t="shared" ref="U84:U97" si="12">IFERROR(R84*T84,R84*0)</f>
        <v>0</v>
      </c>
      <c r="V84">
        <f t="shared" ref="V84:V97" si="13">IF(OR(LEFT(E84,2)="A_",LEFT(D84,5)="Total"),R84+U84,"")</f>
        <v>851</v>
      </c>
      <c r="W84">
        <f t="shared" ref="W84:W97" si="14">IF(OR(LEFT(E84,2)="A_",LEFT(D84,5)="Total"),V84-Q84,"")</f>
        <v>-0.48000000000001819</v>
      </c>
      <c r="X84">
        <v>0</v>
      </c>
    </row>
    <row r="85" spans="1:24" x14ac:dyDescent="0.3">
      <c r="A85" t="s">
        <v>554</v>
      </c>
      <c r="B85" t="s">
        <v>560</v>
      </c>
      <c r="C85">
        <v>29601055</v>
      </c>
      <c r="D85" t="s">
        <v>58</v>
      </c>
      <c r="E85" t="s">
        <v>15</v>
      </c>
      <c r="F85" t="s">
        <v>1</v>
      </c>
      <c r="G85" t="s">
        <v>242</v>
      </c>
      <c r="H85" t="s">
        <v>186</v>
      </c>
      <c r="I85" t="s">
        <v>1</v>
      </c>
      <c r="K85">
        <v>-560.00000000039995</v>
      </c>
      <c r="L85">
        <v>0</v>
      </c>
      <c r="M85">
        <v>0</v>
      </c>
      <c r="N85">
        <v>0</v>
      </c>
      <c r="P85">
        <v>0</v>
      </c>
      <c r="Q85">
        <f t="shared" si="10"/>
        <v>0</v>
      </c>
      <c r="R85">
        <v>0</v>
      </c>
      <c r="S85">
        <f t="shared" si="11"/>
        <v>0</v>
      </c>
      <c r="U85">
        <f t="shared" si="12"/>
        <v>0</v>
      </c>
      <c r="V85">
        <f t="shared" si="13"/>
        <v>0</v>
      </c>
      <c r="W85">
        <f t="shared" si="14"/>
        <v>0</v>
      </c>
      <c r="X85">
        <v>0</v>
      </c>
    </row>
    <row r="86" spans="1:24" x14ac:dyDescent="0.3">
      <c r="A86" t="s">
        <v>554</v>
      </c>
      <c r="B86" t="s">
        <v>560</v>
      </c>
      <c r="C86">
        <v>29601055</v>
      </c>
      <c r="D86" t="s">
        <v>58</v>
      </c>
      <c r="E86" t="s">
        <v>16</v>
      </c>
      <c r="F86" t="s">
        <v>1</v>
      </c>
      <c r="G86" t="s">
        <v>242</v>
      </c>
      <c r="H86" t="s">
        <v>187</v>
      </c>
      <c r="I86" t="s">
        <v>1</v>
      </c>
      <c r="J86">
        <v>4698.3999999999996</v>
      </c>
      <c r="K86">
        <v>6605.1841975306997</v>
      </c>
      <c r="L86">
        <v>1452</v>
      </c>
      <c r="M86">
        <v>2928.0662983425414</v>
      </c>
      <c r="N86">
        <v>5182.3999999999996</v>
      </c>
      <c r="O86">
        <v>2919.956043956</v>
      </c>
      <c r="P86">
        <v>0</v>
      </c>
      <c r="Q86">
        <f t="shared" si="10"/>
        <v>2919.956043956</v>
      </c>
      <c r="R86">
        <v>3000</v>
      </c>
      <c r="S86">
        <f t="shared" si="11"/>
        <v>80.04395604399997</v>
      </c>
      <c r="T86">
        <v>0.02</v>
      </c>
      <c r="U86">
        <f t="shared" si="12"/>
        <v>60</v>
      </c>
      <c r="V86">
        <f t="shared" si="13"/>
        <v>3060</v>
      </c>
      <c r="W86">
        <f t="shared" si="14"/>
        <v>140.04395604399997</v>
      </c>
      <c r="X86">
        <v>0</v>
      </c>
    </row>
    <row r="87" spans="1:24" x14ac:dyDescent="0.3">
      <c r="A87" t="s">
        <v>554</v>
      </c>
      <c r="B87" t="s">
        <v>560</v>
      </c>
      <c r="C87">
        <v>29601055</v>
      </c>
      <c r="D87" t="s">
        <v>58</v>
      </c>
      <c r="E87" t="s">
        <v>17</v>
      </c>
      <c r="F87" t="s">
        <v>1</v>
      </c>
      <c r="G87" t="s">
        <v>242</v>
      </c>
      <c r="H87" t="s">
        <v>188</v>
      </c>
      <c r="I87" t="s">
        <v>1</v>
      </c>
      <c r="J87">
        <v>543.19000000000005</v>
      </c>
      <c r="K87">
        <v>722.03000000029999</v>
      </c>
      <c r="L87">
        <v>473.34</v>
      </c>
      <c r="M87">
        <v>954.52541436464094</v>
      </c>
      <c r="N87">
        <v>669.02</v>
      </c>
      <c r="O87">
        <v>954.52541436460001</v>
      </c>
      <c r="P87">
        <v>0</v>
      </c>
      <c r="Q87">
        <f t="shared" si="10"/>
        <v>954.52541436460001</v>
      </c>
      <c r="R87">
        <v>955</v>
      </c>
      <c r="S87">
        <f t="shared" si="11"/>
        <v>0.47458563539998977</v>
      </c>
      <c r="T87">
        <v>0.03</v>
      </c>
      <c r="U87">
        <f t="shared" si="12"/>
        <v>28.65</v>
      </c>
      <c r="V87">
        <f t="shared" si="13"/>
        <v>983.65</v>
      </c>
      <c r="W87">
        <f t="shared" si="14"/>
        <v>29.124585635399967</v>
      </c>
      <c r="X87">
        <v>0</v>
      </c>
    </row>
    <row r="88" spans="1:24" x14ac:dyDescent="0.3">
      <c r="A88" t="s">
        <v>554</v>
      </c>
      <c r="B88" t="s">
        <v>560</v>
      </c>
      <c r="C88">
        <v>29601055</v>
      </c>
      <c r="D88" t="s">
        <v>58</v>
      </c>
      <c r="E88" t="s">
        <v>18</v>
      </c>
      <c r="F88" t="s">
        <v>1</v>
      </c>
      <c r="G88" t="s">
        <v>242</v>
      </c>
      <c r="H88" t="s">
        <v>189</v>
      </c>
      <c r="I88" t="s">
        <v>1</v>
      </c>
      <c r="J88">
        <v>10099.81</v>
      </c>
      <c r="K88">
        <v>10229.940000000101</v>
      </c>
      <c r="L88">
        <v>1673.47</v>
      </c>
      <c r="M88">
        <v>3374.6770718232042</v>
      </c>
      <c r="N88">
        <v>6871.93</v>
      </c>
      <c r="O88">
        <v>3374.6770718232001</v>
      </c>
      <c r="P88">
        <v>0</v>
      </c>
      <c r="Q88">
        <f t="shared" si="10"/>
        <v>3374.6770718232001</v>
      </c>
      <c r="R88">
        <v>3375</v>
      </c>
      <c r="S88">
        <f t="shared" si="11"/>
        <v>0.32292817679990549</v>
      </c>
      <c r="T88">
        <v>3.5000000000000003E-2</v>
      </c>
      <c r="U88">
        <f t="shared" si="12"/>
        <v>118.12500000000001</v>
      </c>
      <c r="V88">
        <f t="shared" si="13"/>
        <v>3493.125</v>
      </c>
      <c r="W88">
        <f t="shared" si="14"/>
        <v>118.44792817679991</v>
      </c>
      <c r="X88">
        <v>0</v>
      </c>
    </row>
    <row r="89" spans="1:24" x14ac:dyDescent="0.3">
      <c r="A89" t="s">
        <v>554</v>
      </c>
      <c r="B89" t="s">
        <v>560</v>
      </c>
      <c r="C89">
        <v>29601055</v>
      </c>
      <c r="D89" t="s">
        <v>58</v>
      </c>
      <c r="E89" t="s">
        <v>19</v>
      </c>
      <c r="F89" t="s">
        <v>1</v>
      </c>
      <c r="G89" t="s">
        <v>242</v>
      </c>
      <c r="H89" t="s">
        <v>190</v>
      </c>
      <c r="I89" t="s">
        <v>1</v>
      </c>
      <c r="L89">
        <v>727.13</v>
      </c>
      <c r="M89">
        <v>1466.3118784530386</v>
      </c>
      <c r="N89">
        <v>727.13</v>
      </c>
      <c r="O89">
        <v>1466.311878453</v>
      </c>
      <c r="P89">
        <v>0</v>
      </c>
      <c r="Q89">
        <f t="shared" si="10"/>
        <v>1466.311878453</v>
      </c>
      <c r="R89">
        <v>1466</v>
      </c>
      <c r="S89">
        <f t="shared" si="11"/>
        <v>-0.31187845299996297</v>
      </c>
      <c r="T89">
        <v>3.5000000000000003E-2</v>
      </c>
      <c r="U89">
        <f t="shared" si="12"/>
        <v>51.31</v>
      </c>
      <c r="V89">
        <f t="shared" si="13"/>
        <v>1517.31</v>
      </c>
      <c r="W89">
        <f t="shared" si="14"/>
        <v>50.998121546999982</v>
      </c>
      <c r="X89">
        <v>0</v>
      </c>
    </row>
    <row r="90" spans="1:24" x14ac:dyDescent="0.3">
      <c r="A90" t="s">
        <v>554</v>
      </c>
      <c r="B90" t="s">
        <v>560</v>
      </c>
      <c r="C90">
        <v>29601055</v>
      </c>
      <c r="D90" t="s">
        <v>58</v>
      </c>
      <c r="E90" t="s">
        <v>23</v>
      </c>
      <c r="F90" t="s">
        <v>1</v>
      </c>
      <c r="G90" t="s">
        <v>242</v>
      </c>
      <c r="H90" t="s">
        <v>194</v>
      </c>
      <c r="I90" t="s">
        <v>1</v>
      </c>
      <c r="J90">
        <v>28556.18</v>
      </c>
      <c r="K90">
        <v>26177.0000000004</v>
      </c>
      <c r="L90">
        <v>4321.99</v>
      </c>
      <c r="M90">
        <v>8715.615193370164</v>
      </c>
      <c r="N90">
        <v>19789.45</v>
      </c>
      <c r="O90">
        <v>8643.98</v>
      </c>
      <c r="P90">
        <v>0</v>
      </c>
      <c r="Q90">
        <f t="shared" si="10"/>
        <v>8643.98</v>
      </c>
      <c r="R90">
        <v>15000</v>
      </c>
      <c r="S90">
        <f t="shared" si="11"/>
        <v>6356.02</v>
      </c>
      <c r="U90">
        <f t="shared" si="12"/>
        <v>0</v>
      </c>
      <c r="V90">
        <f t="shared" si="13"/>
        <v>15000</v>
      </c>
      <c r="W90">
        <f t="shared" si="14"/>
        <v>6356.02</v>
      </c>
      <c r="X90">
        <v>0</v>
      </c>
    </row>
    <row r="91" spans="1:24" x14ac:dyDescent="0.3">
      <c r="A91" t="s">
        <v>554</v>
      </c>
      <c r="B91" t="s">
        <v>560</v>
      </c>
      <c r="C91">
        <v>29601055</v>
      </c>
      <c r="D91" t="s">
        <v>58</v>
      </c>
      <c r="E91" t="s">
        <v>24</v>
      </c>
      <c r="F91" t="s">
        <v>1</v>
      </c>
      <c r="G91" t="s">
        <v>242</v>
      </c>
      <c r="H91" t="s">
        <v>195</v>
      </c>
      <c r="I91" t="s">
        <v>1</v>
      </c>
      <c r="L91">
        <v>262.5</v>
      </c>
      <c r="M91">
        <v>529.35082872928183</v>
      </c>
      <c r="N91">
        <v>262.5</v>
      </c>
      <c r="O91">
        <v>525</v>
      </c>
      <c r="P91">
        <v>0</v>
      </c>
      <c r="Q91">
        <f t="shared" si="10"/>
        <v>525</v>
      </c>
      <c r="R91">
        <v>525</v>
      </c>
      <c r="S91">
        <f t="shared" si="11"/>
        <v>0</v>
      </c>
      <c r="U91">
        <f t="shared" si="12"/>
        <v>0</v>
      </c>
      <c r="V91">
        <f t="shared" si="13"/>
        <v>525</v>
      </c>
      <c r="W91">
        <f t="shared" si="14"/>
        <v>0</v>
      </c>
      <c r="X91">
        <v>0</v>
      </c>
    </row>
    <row r="92" spans="1:24" x14ac:dyDescent="0.3">
      <c r="A92" t="s">
        <v>554</v>
      </c>
      <c r="B92" t="s">
        <v>560</v>
      </c>
      <c r="C92">
        <v>29601055</v>
      </c>
      <c r="D92" t="s">
        <v>58</v>
      </c>
      <c r="E92" t="s">
        <v>29</v>
      </c>
      <c r="F92" t="s">
        <v>1</v>
      </c>
      <c r="G92" t="s">
        <v>242</v>
      </c>
      <c r="H92" t="s">
        <v>200</v>
      </c>
      <c r="I92" t="s">
        <v>1</v>
      </c>
      <c r="J92">
        <v>282.5</v>
      </c>
      <c r="L92">
        <v>489.98</v>
      </c>
      <c r="M92">
        <v>988.08121546961343</v>
      </c>
      <c r="N92">
        <v>489.98</v>
      </c>
      <c r="O92">
        <v>979.96</v>
      </c>
      <c r="P92">
        <v>0</v>
      </c>
      <c r="Q92">
        <f t="shared" si="10"/>
        <v>979.96</v>
      </c>
      <c r="R92">
        <v>979.96</v>
      </c>
      <c r="S92">
        <f t="shared" si="11"/>
        <v>0</v>
      </c>
      <c r="U92">
        <f t="shared" si="12"/>
        <v>0</v>
      </c>
      <c r="V92">
        <f t="shared" si="13"/>
        <v>979.96</v>
      </c>
      <c r="W92">
        <f t="shared" si="14"/>
        <v>0</v>
      </c>
      <c r="X92">
        <v>0</v>
      </c>
    </row>
    <row r="93" spans="1:24" x14ac:dyDescent="0.3">
      <c r="A93" t="s">
        <v>554</v>
      </c>
      <c r="B93" t="s">
        <v>560</v>
      </c>
      <c r="C93">
        <v>29601055</v>
      </c>
      <c r="D93" t="s">
        <v>58</v>
      </c>
      <c r="E93" t="s">
        <v>30</v>
      </c>
      <c r="F93" t="s">
        <v>1</v>
      </c>
      <c r="G93" t="s">
        <v>242</v>
      </c>
      <c r="H93" t="s">
        <v>201</v>
      </c>
      <c r="I93" t="s">
        <v>1</v>
      </c>
      <c r="J93">
        <v>72.12</v>
      </c>
      <c r="K93">
        <v>2000.0000000004</v>
      </c>
      <c r="L93">
        <v>83.18</v>
      </c>
      <c r="M93">
        <v>167.73867403314918</v>
      </c>
      <c r="N93">
        <v>83.18</v>
      </c>
      <c r="O93">
        <v>166.36</v>
      </c>
      <c r="P93">
        <v>0</v>
      </c>
      <c r="Q93">
        <f t="shared" si="10"/>
        <v>166.36</v>
      </c>
      <c r="R93">
        <v>166.36</v>
      </c>
      <c r="S93">
        <f t="shared" si="11"/>
        <v>0</v>
      </c>
      <c r="U93">
        <f t="shared" si="12"/>
        <v>0</v>
      </c>
      <c r="V93">
        <f t="shared" si="13"/>
        <v>166.36</v>
      </c>
      <c r="W93">
        <f t="shared" si="14"/>
        <v>0</v>
      </c>
      <c r="X93">
        <v>0</v>
      </c>
    </row>
    <row r="94" spans="1:24" x14ac:dyDescent="0.3">
      <c r="A94" t="s">
        <v>554</v>
      </c>
      <c r="B94" t="s">
        <v>560</v>
      </c>
      <c r="C94">
        <v>29601055</v>
      </c>
      <c r="D94" t="s">
        <v>58</v>
      </c>
      <c r="E94" t="s">
        <v>31</v>
      </c>
      <c r="F94" t="s">
        <v>1</v>
      </c>
      <c r="G94" t="s">
        <v>242</v>
      </c>
      <c r="H94" t="s">
        <v>202</v>
      </c>
      <c r="I94" t="s">
        <v>1</v>
      </c>
      <c r="J94">
        <v>22</v>
      </c>
      <c r="L94">
        <v>90.71</v>
      </c>
      <c r="M94">
        <v>182.92348066298342</v>
      </c>
      <c r="N94">
        <v>90.710000000000008</v>
      </c>
      <c r="O94">
        <v>181.42</v>
      </c>
      <c r="P94">
        <v>0</v>
      </c>
      <c r="Q94">
        <f t="shared" si="10"/>
        <v>181.42</v>
      </c>
      <c r="R94">
        <v>181.42</v>
      </c>
      <c r="S94">
        <f t="shared" si="11"/>
        <v>0</v>
      </c>
      <c r="U94">
        <f t="shared" si="12"/>
        <v>0</v>
      </c>
      <c r="V94">
        <f t="shared" si="13"/>
        <v>181.42</v>
      </c>
      <c r="W94">
        <f t="shared" si="14"/>
        <v>0</v>
      </c>
      <c r="X94">
        <v>0</v>
      </c>
    </row>
    <row r="95" spans="1:24" x14ac:dyDescent="0.3">
      <c r="A95" t="s">
        <v>554</v>
      </c>
      <c r="B95" t="s">
        <v>560</v>
      </c>
      <c r="C95">
        <v>29601055</v>
      </c>
      <c r="D95" t="s">
        <v>58</v>
      </c>
      <c r="E95" t="s">
        <v>41</v>
      </c>
      <c r="F95" t="s">
        <v>1</v>
      </c>
      <c r="G95" t="s">
        <v>242</v>
      </c>
      <c r="H95" t="s">
        <v>212</v>
      </c>
      <c r="I95" t="s">
        <v>1</v>
      </c>
      <c r="J95">
        <v>1456.75</v>
      </c>
      <c r="L95">
        <v>4612.75</v>
      </c>
      <c r="M95">
        <v>9301.9544198895019</v>
      </c>
      <c r="N95">
        <v>4612.75</v>
      </c>
      <c r="O95">
        <v>9225.5</v>
      </c>
      <c r="P95">
        <v>0</v>
      </c>
      <c r="Q95">
        <f t="shared" si="10"/>
        <v>9225.5</v>
      </c>
      <c r="R95">
        <v>4612.75</v>
      </c>
      <c r="S95">
        <f t="shared" si="11"/>
        <v>-4612.75</v>
      </c>
      <c r="T95">
        <v>0.03</v>
      </c>
      <c r="U95">
        <f t="shared" si="12"/>
        <v>138.38249999999999</v>
      </c>
      <c r="V95">
        <f t="shared" si="13"/>
        <v>4751.1324999999997</v>
      </c>
      <c r="W95">
        <f t="shared" si="14"/>
        <v>-4474.3675000000003</v>
      </c>
      <c r="X95">
        <v>0</v>
      </c>
    </row>
    <row r="96" spans="1:24" x14ac:dyDescent="0.3">
      <c r="A96" t="s">
        <v>554</v>
      </c>
      <c r="B96" t="s">
        <v>560</v>
      </c>
      <c r="C96">
        <v>29601055</v>
      </c>
      <c r="D96" t="s">
        <v>58</v>
      </c>
      <c r="E96" t="s">
        <v>59</v>
      </c>
      <c r="F96" t="s">
        <v>1</v>
      </c>
      <c r="G96" t="s">
        <v>242</v>
      </c>
      <c r="H96" t="s">
        <v>243</v>
      </c>
      <c r="I96" t="s">
        <v>1</v>
      </c>
      <c r="J96">
        <v>405</v>
      </c>
      <c r="L96">
        <v>0</v>
      </c>
      <c r="M96">
        <v>0</v>
      </c>
      <c r="N96">
        <v>405</v>
      </c>
      <c r="P96">
        <v>0</v>
      </c>
      <c r="Q96">
        <f t="shared" si="10"/>
        <v>0</v>
      </c>
      <c r="R96">
        <v>0</v>
      </c>
      <c r="S96">
        <f t="shared" si="11"/>
        <v>0</v>
      </c>
      <c r="T96">
        <v>0.03</v>
      </c>
      <c r="U96">
        <f t="shared" si="12"/>
        <v>0</v>
      </c>
      <c r="V96">
        <f t="shared" si="13"/>
        <v>0</v>
      </c>
      <c r="W96">
        <f t="shared" si="14"/>
        <v>0</v>
      </c>
      <c r="X96">
        <v>0</v>
      </c>
    </row>
    <row r="97" spans="1:24" x14ac:dyDescent="0.3">
      <c r="A97" t="s">
        <v>554</v>
      </c>
      <c r="B97" t="s">
        <v>560</v>
      </c>
      <c r="C97">
        <v>29601055</v>
      </c>
      <c r="D97" t="s">
        <v>58</v>
      </c>
      <c r="E97" t="s">
        <v>44</v>
      </c>
      <c r="F97" t="s">
        <v>1</v>
      </c>
      <c r="G97" t="s">
        <v>242</v>
      </c>
      <c r="H97" t="s">
        <v>215</v>
      </c>
      <c r="I97" t="s">
        <v>1</v>
      </c>
      <c r="J97">
        <v>688.31</v>
      </c>
      <c r="K97">
        <v>594.99999999950001</v>
      </c>
      <c r="L97">
        <v>88.7</v>
      </c>
      <c r="M97">
        <v>178.87016574585635</v>
      </c>
      <c r="N97">
        <v>482.12</v>
      </c>
      <c r="O97">
        <v>178.87016574590001</v>
      </c>
      <c r="P97">
        <v>0</v>
      </c>
      <c r="Q97">
        <f t="shared" si="10"/>
        <v>178.87016574590001</v>
      </c>
      <c r="R97">
        <v>250</v>
      </c>
      <c r="S97">
        <f t="shared" si="11"/>
        <v>71.12983425409999</v>
      </c>
      <c r="U97">
        <f t="shared" si="12"/>
        <v>0</v>
      </c>
      <c r="V97">
        <f t="shared" si="13"/>
        <v>250</v>
      </c>
      <c r="W97">
        <f t="shared" si="14"/>
        <v>71.12983425409999</v>
      </c>
      <c r="X97">
        <v>0</v>
      </c>
    </row>
    <row r="98" spans="1:24" x14ac:dyDescent="0.3">
      <c r="A98" t="s">
        <v>554</v>
      </c>
      <c r="B98" t="s">
        <v>560</v>
      </c>
      <c r="C98">
        <v>29601055</v>
      </c>
      <c r="D98" t="s">
        <v>58</v>
      </c>
      <c r="E98" t="s">
        <v>45</v>
      </c>
      <c r="F98" t="s">
        <v>45</v>
      </c>
      <c r="G98" t="s">
        <v>244</v>
      </c>
      <c r="J98">
        <v>47946.48</v>
      </c>
      <c r="K98">
        <v>46991.154197530603</v>
      </c>
      <c r="L98">
        <v>14701.49</v>
      </c>
      <c r="M98">
        <v>29646.651104972374</v>
      </c>
      <c r="N98">
        <v>40603.200000000004</v>
      </c>
      <c r="O98">
        <v>29468.040574342696</v>
      </c>
      <c r="P98">
        <f>SUMIF($F$83:$F$97,"&lt;&gt;EV_*",$P$83:$P$97)</f>
        <v>0</v>
      </c>
      <c r="Q98">
        <f>SUMIF($F$83:$F$97,"&lt;&gt;EV_*",$Q$83:$Q$97)</f>
        <v>29468.040574342696</v>
      </c>
      <c r="R98">
        <f>SUMIF($F$83:$F$97,"&lt;&gt;EV_*",$R$83:$R$97)</f>
        <v>31362.489999999998</v>
      </c>
      <c r="S98">
        <f>SUMIF($F$83:$F$97,"&lt;&gt;EV_*",$S$83:$S$97)</f>
        <v>1894.4494256573003</v>
      </c>
      <c r="T98">
        <v>0</v>
      </c>
      <c r="U98">
        <f>SUMIF($F$83:$F$97,"&lt;&gt;EV_*",$U$83:$U$97)</f>
        <v>396.46750000000003</v>
      </c>
      <c r="V98">
        <f>SUMIF($F$83:$F$97,"&lt;&gt;EV_*",$V$83:$V$97)</f>
        <v>31758.957499999997</v>
      </c>
      <c r="W98">
        <f>SUMIF($F$83:$F$97,"&lt;&gt;EV_*",$W$83:$W$97)</f>
        <v>2290.9169256573</v>
      </c>
      <c r="X98">
        <f>SUMIF($F$83:$F$97,"&lt;&gt;EV_*",$X$83:$X$97)</f>
        <v>0</v>
      </c>
    </row>
    <row r="99" spans="1:24" x14ac:dyDescent="0.3">
      <c r="A99" t="s">
        <v>552</v>
      </c>
      <c r="B99" t="s">
        <v>561</v>
      </c>
      <c r="C99">
        <v>29620005</v>
      </c>
      <c r="D99" t="s">
        <v>60</v>
      </c>
      <c r="E99" t="s">
        <v>5</v>
      </c>
      <c r="F99" t="s">
        <v>5</v>
      </c>
      <c r="G99" t="s">
        <v>245</v>
      </c>
    </row>
    <row r="100" spans="1:24" x14ac:dyDescent="0.3">
      <c r="A100" t="s">
        <v>552</v>
      </c>
      <c r="B100" t="s">
        <v>561</v>
      </c>
      <c r="C100">
        <v>29620005</v>
      </c>
      <c r="D100" t="s">
        <v>60</v>
      </c>
      <c r="E100" t="s">
        <v>14</v>
      </c>
      <c r="F100" t="s">
        <v>1</v>
      </c>
      <c r="G100" t="s">
        <v>246</v>
      </c>
      <c r="H100" t="s">
        <v>185</v>
      </c>
      <c r="I100" t="s">
        <v>1</v>
      </c>
      <c r="J100">
        <v>163.93</v>
      </c>
      <c r="L100">
        <v>-36.43</v>
      </c>
      <c r="M100">
        <v>-73.463812154696129</v>
      </c>
      <c r="N100">
        <v>127.5</v>
      </c>
      <c r="O100">
        <v>-72.86</v>
      </c>
      <c r="P100">
        <v>0</v>
      </c>
      <c r="Q100">
        <f t="shared" ref="Q100:Q107" si="15">O100+P100</f>
        <v>-72.86</v>
      </c>
      <c r="R100">
        <v>0</v>
      </c>
      <c r="S100">
        <f t="shared" ref="S100:S107" si="16">IF(OR(LEFT(E100,2)="A_",LEFT(D100,5)="Total"),R100-Q100,"")</f>
        <v>72.86</v>
      </c>
      <c r="U100">
        <f t="shared" ref="U100:U107" si="17">IFERROR(R100*T100,R100*0)</f>
        <v>0</v>
      </c>
      <c r="V100">
        <f t="shared" ref="V100:V107" si="18">IF(OR(LEFT(E100,2)="A_",LEFT(D100,5)="Total"),R100+U100,"")</f>
        <v>0</v>
      </c>
      <c r="W100">
        <f t="shared" ref="W100:W107" si="19">IF(OR(LEFT(E100,2)="A_",LEFT(D100,5)="Total"),V100-Q100,"")</f>
        <v>72.86</v>
      </c>
      <c r="X100">
        <v>0</v>
      </c>
    </row>
    <row r="101" spans="1:24" x14ac:dyDescent="0.3">
      <c r="A101" t="s">
        <v>552</v>
      </c>
      <c r="B101" t="s">
        <v>561</v>
      </c>
      <c r="C101">
        <v>29620005</v>
      </c>
      <c r="D101" t="s">
        <v>60</v>
      </c>
      <c r="E101" t="s">
        <v>15</v>
      </c>
      <c r="F101" t="s">
        <v>1</v>
      </c>
      <c r="G101" t="s">
        <v>246</v>
      </c>
      <c r="H101" t="s">
        <v>186</v>
      </c>
      <c r="I101" t="s">
        <v>1</v>
      </c>
      <c r="J101">
        <v>-2</v>
      </c>
      <c r="L101">
        <v>0</v>
      </c>
      <c r="M101">
        <v>0</v>
      </c>
      <c r="N101">
        <v>0</v>
      </c>
      <c r="P101">
        <v>0</v>
      </c>
      <c r="Q101">
        <f t="shared" si="15"/>
        <v>0</v>
      </c>
      <c r="R101">
        <v>0</v>
      </c>
      <c r="S101">
        <f t="shared" si="16"/>
        <v>0</v>
      </c>
      <c r="U101">
        <f t="shared" si="17"/>
        <v>0</v>
      </c>
      <c r="V101">
        <f t="shared" si="18"/>
        <v>0</v>
      </c>
      <c r="W101">
        <f t="shared" si="19"/>
        <v>0</v>
      </c>
      <c r="X101">
        <v>0</v>
      </c>
    </row>
    <row r="102" spans="1:24" x14ac:dyDescent="0.3">
      <c r="A102" t="s">
        <v>552</v>
      </c>
      <c r="B102" t="s">
        <v>561</v>
      </c>
      <c r="C102">
        <v>29620005</v>
      </c>
      <c r="D102" t="s">
        <v>60</v>
      </c>
      <c r="E102" t="s">
        <v>20</v>
      </c>
      <c r="F102" t="s">
        <v>1</v>
      </c>
      <c r="G102" t="s">
        <v>246</v>
      </c>
      <c r="H102" t="s">
        <v>191</v>
      </c>
      <c r="I102" t="s">
        <v>1</v>
      </c>
      <c r="J102">
        <v>995</v>
      </c>
      <c r="K102">
        <v>825</v>
      </c>
      <c r="L102">
        <v>0</v>
      </c>
      <c r="M102">
        <v>0</v>
      </c>
      <c r="N102">
        <v>995</v>
      </c>
      <c r="P102">
        <v>0</v>
      </c>
      <c r="Q102">
        <f t="shared" si="15"/>
        <v>0</v>
      </c>
      <c r="R102">
        <v>825</v>
      </c>
      <c r="S102">
        <f t="shared" si="16"/>
        <v>825</v>
      </c>
      <c r="U102">
        <f t="shared" si="17"/>
        <v>0</v>
      </c>
      <c r="V102">
        <f t="shared" si="18"/>
        <v>825</v>
      </c>
      <c r="W102">
        <f t="shared" si="19"/>
        <v>825</v>
      </c>
      <c r="X102">
        <v>0</v>
      </c>
    </row>
    <row r="103" spans="1:24" x14ac:dyDescent="0.3">
      <c r="A103" t="s">
        <v>552</v>
      </c>
      <c r="B103" t="s">
        <v>561</v>
      </c>
      <c r="C103">
        <v>29620005</v>
      </c>
      <c r="D103" t="s">
        <v>60</v>
      </c>
      <c r="E103" t="s">
        <v>22</v>
      </c>
      <c r="F103" t="s">
        <v>1</v>
      </c>
      <c r="G103" t="s">
        <v>246</v>
      </c>
      <c r="H103" t="s">
        <v>193</v>
      </c>
      <c r="I103" t="s">
        <v>1</v>
      </c>
      <c r="J103">
        <v>58</v>
      </c>
      <c r="K103">
        <v>1235.0000000004</v>
      </c>
      <c r="L103">
        <v>0</v>
      </c>
      <c r="M103">
        <v>0</v>
      </c>
      <c r="N103">
        <v>0</v>
      </c>
      <c r="P103">
        <v>0</v>
      </c>
      <c r="Q103">
        <f t="shared" si="15"/>
        <v>0</v>
      </c>
      <c r="R103">
        <v>0</v>
      </c>
      <c r="S103">
        <f t="shared" si="16"/>
        <v>0</v>
      </c>
      <c r="U103">
        <f t="shared" si="17"/>
        <v>0</v>
      </c>
      <c r="V103">
        <f t="shared" si="18"/>
        <v>0</v>
      </c>
      <c r="W103">
        <f t="shared" si="19"/>
        <v>0</v>
      </c>
      <c r="X103">
        <v>0</v>
      </c>
    </row>
    <row r="104" spans="1:24" x14ac:dyDescent="0.3">
      <c r="A104" t="s">
        <v>552</v>
      </c>
      <c r="B104" t="s">
        <v>561</v>
      </c>
      <c r="C104">
        <v>29620005</v>
      </c>
      <c r="D104" t="s">
        <v>60</v>
      </c>
      <c r="E104" t="s">
        <v>30</v>
      </c>
      <c r="F104" t="s">
        <v>1</v>
      </c>
      <c r="G104" t="s">
        <v>246</v>
      </c>
      <c r="H104" t="s">
        <v>201</v>
      </c>
      <c r="I104" t="s">
        <v>1</v>
      </c>
      <c r="L104">
        <v>176.46</v>
      </c>
      <c r="M104">
        <v>355.84475138121547</v>
      </c>
      <c r="N104">
        <v>176.46</v>
      </c>
      <c r="O104">
        <v>352.92</v>
      </c>
      <c r="P104">
        <v>0</v>
      </c>
      <c r="Q104">
        <f t="shared" si="15"/>
        <v>352.92</v>
      </c>
      <c r="R104">
        <v>353</v>
      </c>
      <c r="S104">
        <f t="shared" si="16"/>
        <v>7.9999999999984084E-2</v>
      </c>
      <c r="U104">
        <f t="shared" si="17"/>
        <v>0</v>
      </c>
      <c r="V104">
        <f t="shared" si="18"/>
        <v>353</v>
      </c>
      <c r="W104">
        <f t="shared" si="19"/>
        <v>7.9999999999984084E-2</v>
      </c>
      <c r="X104">
        <v>0</v>
      </c>
    </row>
    <row r="105" spans="1:24" x14ac:dyDescent="0.3">
      <c r="A105" t="s">
        <v>552</v>
      </c>
      <c r="B105" t="s">
        <v>561</v>
      </c>
      <c r="C105">
        <v>29620005</v>
      </c>
      <c r="D105" t="s">
        <v>60</v>
      </c>
      <c r="E105" t="s">
        <v>31</v>
      </c>
      <c r="F105" t="s">
        <v>1</v>
      </c>
      <c r="G105" t="s">
        <v>246</v>
      </c>
      <c r="H105" t="s">
        <v>202</v>
      </c>
      <c r="I105" t="s">
        <v>1</v>
      </c>
      <c r="L105">
        <v>1311.45</v>
      </c>
      <c r="M105">
        <v>2644.6367403314916</v>
      </c>
      <c r="N105">
        <v>1311.45</v>
      </c>
      <c r="O105">
        <v>2622.9</v>
      </c>
      <c r="P105">
        <v>0</v>
      </c>
      <c r="Q105">
        <f t="shared" si="15"/>
        <v>2622.9</v>
      </c>
      <c r="R105">
        <v>2623</v>
      </c>
      <c r="S105">
        <f t="shared" si="16"/>
        <v>9.9999999999909051E-2</v>
      </c>
      <c r="U105">
        <f t="shared" si="17"/>
        <v>0</v>
      </c>
      <c r="V105">
        <f t="shared" si="18"/>
        <v>2623</v>
      </c>
      <c r="W105">
        <f t="shared" si="19"/>
        <v>9.9999999999909051E-2</v>
      </c>
      <c r="X105">
        <v>0</v>
      </c>
    </row>
    <row r="106" spans="1:24" x14ac:dyDescent="0.3">
      <c r="A106" t="s">
        <v>552</v>
      </c>
      <c r="B106" t="s">
        <v>561</v>
      </c>
      <c r="C106">
        <v>29620005</v>
      </c>
      <c r="D106" t="s">
        <v>60</v>
      </c>
      <c r="E106" t="s">
        <v>37</v>
      </c>
      <c r="F106" t="s">
        <v>1</v>
      </c>
      <c r="G106" t="s">
        <v>246</v>
      </c>
      <c r="H106" t="s">
        <v>208</v>
      </c>
      <c r="I106" t="s">
        <v>1</v>
      </c>
      <c r="J106">
        <v>33.229999999999997</v>
      </c>
      <c r="L106">
        <v>0</v>
      </c>
      <c r="M106">
        <v>0</v>
      </c>
      <c r="N106">
        <v>33.229999999999997</v>
      </c>
      <c r="P106">
        <v>0</v>
      </c>
      <c r="Q106">
        <f t="shared" si="15"/>
        <v>0</v>
      </c>
      <c r="R106">
        <v>0</v>
      </c>
      <c r="S106">
        <f t="shared" si="16"/>
        <v>0</v>
      </c>
      <c r="T106">
        <v>0.03</v>
      </c>
      <c r="U106">
        <f t="shared" si="17"/>
        <v>0</v>
      </c>
      <c r="V106">
        <f t="shared" si="18"/>
        <v>0</v>
      </c>
      <c r="W106">
        <f t="shared" si="19"/>
        <v>0</v>
      </c>
      <c r="X106">
        <v>0</v>
      </c>
    </row>
    <row r="107" spans="1:24" x14ac:dyDescent="0.3">
      <c r="A107" t="s">
        <v>552</v>
      </c>
      <c r="B107" t="s">
        <v>561</v>
      </c>
      <c r="C107">
        <v>29620005</v>
      </c>
      <c r="D107" t="s">
        <v>60</v>
      </c>
      <c r="E107" t="s">
        <v>42</v>
      </c>
      <c r="F107" t="s">
        <v>1</v>
      </c>
      <c r="G107" t="s">
        <v>246</v>
      </c>
      <c r="H107" t="s">
        <v>213</v>
      </c>
      <c r="I107" t="s">
        <v>1</v>
      </c>
      <c r="J107">
        <v>1643</v>
      </c>
      <c r="K107">
        <v>1284.9999999996</v>
      </c>
      <c r="L107">
        <v>0</v>
      </c>
      <c r="M107">
        <v>0</v>
      </c>
      <c r="N107">
        <v>1463</v>
      </c>
      <c r="P107">
        <v>0</v>
      </c>
      <c r="Q107">
        <f t="shared" si="15"/>
        <v>0</v>
      </c>
      <c r="R107">
        <v>1285</v>
      </c>
      <c r="S107">
        <f t="shared" si="16"/>
        <v>1285</v>
      </c>
      <c r="T107">
        <v>0.03</v>
      </c>
      <c r="U107">
        <f t="shared" si="17"/>
        <v>38.549999999999997</v>
      </c>
      <c r="V107">
        <f t="shared" si="18"/>
        <v>1323.55</v>
      </c>
      <c r="W107">
        <f t="shared" si="19"/>
        <v>1323.55</v>
      </c>
      <c r="X107">
        <v>0</v>
      </c>
    </row>
    <row r="108" spans="1:24" x14ac:dyDescent="0.3">
      <c r="A108" t="s">
        <v>552</v>
      </c>
      <c r="B108" t="s">
        <v>561</v>
      </c>
      <c r="C108">
        <v>29620005</v>
      </c>
      <c r="D108" t="s">
        <v>60</v>
      </c>
      <c r="E108" t="s">
        <v>45</v>
      </c>
      <c r="F108" t="s">
        <v>45</v>
      </c>
      <c r="G108" t="s">
        <v>247</v>
      </c>
      <c r="J108">
        <v>2891.16</v>
      </c>
      <c r="K108">
        <v>3345</v>
      </c>
      <c r="L108">
        <v>1451.48</v>
      </c>
      <c r="M108">
        <v>2927.017679558011</v>
      </c>
      <c r="N108">
        <v>4106.6399999999994</v>
      </c>
      <c r="O108">
        <v>2902.96</v>
      </c>
      <c r="P108">
        <f>SUMIF($F$99:$F$107,"&lt;&gt;EV_*",$P$99:$P$107)</f>
        <v>0</v>
      </c>
      <c r="Q108">
        <f>SUMIF($F$99:$F$107,"&lt;&gt;EV_*",$Q$99:$Q$107)</f>
        <v>2902.96</v>
      </c>
      <c r="R108">
        <f>SUMIF($F$99:$F$107,"&lt;&gt;EV_*",$R$99:$R$107)</f>
        <v>5086</v>
      </c>
      <c r="S108">
        <f>SUMIF($F$99:$F$107,"&lt;&gt;EV_*",$S$99:$S$107)</f>
        <v>2183.04</v>
      </c>
      <c r="T108">
        <v>0</v>
      </c>
      <c r="U108">
        <f>SUMIF($F$99:$F$107,"&lt;&gt;EV_*",$U$99:$U$107)</f>
        <v>38.549999999999997</v>
      </c>
      <c r="V108">
        <f>SUMIF($F$99:$F$107,"&lt;&gt;EV_*",$V$99:$V$107)</f>
        <v>5124.55</v>
      </c>
      <c r="W108">
        <f>SUMIF($F$99:$F$107,"&lt;&gt;EV_*",$W$99:$W$107)</f>
        <v>2221.59</v>
      </c>
      <c r="X108">
        <f>SUMIF($F$99:$F$107,"&lt;&gt;EV_*",$X$99:$X$107)</f>
        <v>0</v>
      </c>
    </row>
    <row r="109" spans="1:24" x14ac:dyDescent="0.3">
      <c r="A109" t="s">
        <v>552</v>
      </c>
      <c r="B109" t="s">
        <v>562</v>
      </c>
      <c r="C109">
        <v>29628025</v>
      </c>
      <c r="D109" t="s">
        <v>61</v>
      </c>
      <c r="E109" t="s">
        <v>5</v>
      </c>
      <c r="F109" t="s">
        <v>5</v>
      </c>
      <c r="G109" t="s">
        <v>248</v>
      </c>
    </row>
    <row r="110" spans="1:24" x14ac:dyDescent="0.3">
      <c r="A110" t="s">
        <v>552</v>
      </c>
      <c r="B110" t="s">
        <v>562</v>
      </c>
      <c r="C110">
        <v>29628025</v>
      </c>
      <c r="D110" t="s">
        <v>61</v>
      </c>
      <c r="E110" t="s">
        <v>24</v>
      </c>
      <c r="F110" t="s">
        <v>1</v>
      </c>
      <c r="G110" t="s">
        <v>249</v>
      </c>
      <c r="H110" t="s">
        <v>195</v>
      </c>
      <c r="I110" t="s">
        <v>1</v>
      </c>
      <c r="L110">
        <v>103.5</v>
      </c>
      <c r="M110">
        <v>208.71546961325967</v>
      </c>
      <c r="N110">
        <v>103.5</v>
      </c>
      <c r="O110">
        <v>207</v>
      </c>
      <c r="P110">
        <v>0</v>
      </c>
      <c r="Q110">
        <f>O110+P110</f>
        <v>207</v>
      </c>
      <c r="R110">
        <v>207</v>
      </c>
      <c r="S110">
        <f>IF(OR(LEFT(E110,2)="A_",LEFT(D110,5)="Total"),R110-Q110,"")</f>
        <v>0</v>
      </c>
      <c r="U110">
        <f>IFERROR(R110*T110,R110*0)</f>
        <v>0</v>
      </c>
      <c r="V110">
        <f>IF(OR(LEFT(E110,2)="A_",LEFT(D110,5)="Total"),R110+U110,"")</f>
        <v>207</v>
      </c>
      <c r="W110">
        <f>IF(OR(LEFT(E110,2)="A_",LEFT(D110,5)="Total"),V110-Q110,"")</f>
        <v>0</v>
      </c>
      <c r="X110">
        <v>0</v>
      </c>
    </row>
    <row r="111" spans="1:24" x14ac:dyDescent="0.3">
      <c r="A111" t="s">
        <v>552</v>
      </c>
      <c r="B111" t="s">
        <v>562</v>
      </c>
      <c r="C111">
        <v>29628025</v>
      </c>
      <c r="D111" t="s">
        <v>61</v>
      </c>
      <c r="E111" t="s">
        <v>45</v>
      </c>
      <c r="F111" t="s">
        <v>45</v>
      </c>
      <c r="G111" t="s">
        <v>250</v>
      </c>
      <c r="J111">
        <v>0</v>
      </c>
      <c r="K111">
        <v>0</v>
      </c>
      <c r="L111">
        <v>103.5</v>
      </c>
      <c r="M111">
        <v>208.71546961325967</v>
      </c>
      <c r="N111">
        <v>103.5</v>
      </c>
      <c r="O111">
        <v>207</v>
      </c>
      <c r="P111">
        <f>SUMIF($F$109:$F$110,"&lt;&gt;EV_*",$P$109:$P$110)</f>
        <v>0</v>
      </c>
      <c r="Q111">
        <f>SUMIF($F$109:$F$110,"&lt;&gt;EV_*",$Q$109:$Q$110)</f>
        <v>207</v>
      </c>
      <c r="R111">
        <f>SUMIF($F$109:$F$110,"&lt;&gt;EV_*",$R$109:$R$110)</f>
        <v>207</v>
      </c>
      <c r="S111">
        <f>SUMIF($F$109:$F$110,"&lt;&gt;EV_*",$S$109:$S$110)</f>
        <v>0</v>
      </c>
      <c r="T111">
        <v>0</v>
      </c>
      <c r="U111">
        <f>SUMIF($F$109:$F$110,"&lt;&gt;EV_*",$U$109:$U$110)</f>
        <v>0</v>
      </c>
      <c r="V111">
        <f>SUMIF($F$109:$F$110,"&lt;&gt;EV_*",$V$109:$V$110)</f>
        <v>207</v>
      </c>
      <c r="W111">
        <f>SUMIF($F$109:$F$110,"&lt;&gt;EV_*",$W$109:$W$110)</f>
        <v>0</v>
      </c>
      <c r="X111">
        <f>SUMIF($F$109:$F$110,"&lt;&gt;EV_*",$X$109:$X$110)</f>
        <v>0</v>
      </c>
    </row>
    <row r="112" spans="1:24" x14ac:dyDescent="0.3">
      <c r="A112" t="s">
        <v>552</v>
      </c>
      <c r="B112" t="s">
        <v>552</v>
      </c>
      <c r="C112">
        <v>29630010</v>
      </c>
      <c r="D112" t="s">
        <v>62</v>
      </c>
      <c r="E112" t="s">
        <v>5</v>
      </c>
      <c r="F112" t="s">
        <v>5</v>
      </c>
      <c r="G112" t="s">
        <v>251</v>
      </c>
    </row>
    <row r="113" spans="1:24" x14ac:dyDescent="0.3">
      <c r="A113" t="s">
        <v>552</v>
      </c>
      <c r="B113" t="s">
        <v>552</v>
      </c>
      <c r="C113">
        <v>29630010</v>
      </c>
      <c r="D113" t="s">
        <v>62</v>
      </c>
      <c r="E113" t="s">
        <v>12</v>
      </c>
      <c r="F113" t="s">
        <v>1</v>
      </c>
      <c r="G113" t="s">
        <v>252</v>
      </c>
      <c r="H113" t="s">
        <v>183</v>
      </c>
      <c r="I113" t="s">
        <v>1</v>
      </c>
      <c r="J113">
        <v>979.03</v>
      </c>
      <c r="K113">
        <v>881.31</v>
      </c>
      <c r="L113">
        <v>424.82</v>
      </c>
      <c r="M113">
        <v>856.68121546961322</v>
      </c>
      <c r="N113">
        <v>890.65</v>
      </c>
      <c r="O113">
        <v>849.64</v>
      </c>
      <c r="P113">
        <v>0</v>
      </c>
      <c r="Q113">
        <f>O113+P113</f>
        <v>849.64</v>
      </c>
      <c r="R113">
        <v>0</v>
      </c>
      <c r="S113">
        <f>IF(OR(LEFT(E113,2)="A_",LEFT(D113,5)="Total"),R113-Q113,"")</f>
        <v>-849.64</v>
      </c>
      <c r="U113">
        <f>IFERROR(R113*T113,R113*0)</f>
        <v>0</v>
      </c>
      <c r="V113">
        <f>IF(OR(LEFT(E113,2)="A_",LEFT(D113,5)="Total"),R113+U113,"")</f>
        <v>0</v>
      </c>
      <c r="W113">
        <f>IF(OR(LEFT(E113,2)="A_",LEFT(D113,5)="Total"),V113-Q113,"")</f>
        <v>-849.64</v>
      </c>
      <c r="X113">
        <v>0</v>
      </c>
    </row>
    <row r="114" spans="1:24" x14ac:dyDescent="0.3">
      <c r="A114" t="s">
        <v>552</v>
      </c>
      <c r="B114" t="s">
        <v>552</v>
      </c>
      <c r="C114">
        <v>29630010</v>
      </c>
      <c r="D114" t="s">
        <v>62</v>
      </c>
      <c r="E114" t="s">
        <v>45</v>
      </c>
      <c r="F114" t="s">
        <v>45</v>
      </c>
      <c r="G114" t="s">
        <v>253</v>
      </c>
      <c r="J114">
        <v>979.03</v>
      </c>
      <c r="K114">
        <v>881.31</v>
      </c>
      <c r="L114">
        <v>424.82</v>
      </c>
      <c r="M114">
        <v>856.68121546961322</v>
      </c>
      <c r="N114">
        <v>890.65</v>
      </c>
      <c r="O114">
        <v>849.64</v>
      </c>
      <c r="P114">
        <f>SUMIF($F$112:$F$113,"&lt;&gt;EV_*",$P$112:$P$113)</f>
        <v>0</v>
      </c>
      <c r="Q114">
        <f>SUMIF($F$112:$F$113,"&lt;&gt;EV_*",$Q$112:$Q$113)</f>
        <v>849.64</v>
      </c>
      <c r="R114">
        <f>SUMIF($F$112:$F$113,"&lt;&gt;EV_*",$R$112:$R$113)</f>
        <v>0</v>
      </c>
      <c r="S114">
        <f>SUMIF($F$112:$F$113,"&lt;&gt;EV_*",$S$112:$S$113)</f>
        <v>-849.64</v>
      </c>
      <c r="T114">
        <v>0</v>
      </c>
      <c r="U114">
        <f>SUMIF($F$112:$F$113,"&lt;&gt;EV_*",$U$112:$U$113)</f>
        <v>0</v>
      </c>
      <c r="V114">
        <f>SUMIF($F$112:$F$113,"&lt;&gt;EV_*",$V$112:$V$113)</f>
        <v>0</v>
      </c>
      <c r="W114">
        <f>SUMIF($F$112:$F$113,"&lt;&gt;EV_*",$W$112:$W$113)</f>
        <v>-849.64</v>
      </c>
      <c r="X114">
        <f>SUMIF($F$112:$F$113,"&lt;&gt;EV_*",$X$112:$X$113)</f>
        <v>0</v>
      </c>
    </row>
    <row r="115" spans="1:24" x14ac:dyDescent="0.3">
      <c r="A115" t="s">
        <v>552</v>
      </c>
      <c r="B115" t="s">
        <v>552</v>
      </c>
      <c r="C115">
        <v>29632040</v>
      </c>
      <c r="D115" t="s">
        <v>63</v>
      </c>
      <c r="E115" t="s">
        <v>5</v>
      </c>
      <c r="F115" t="s">
        <v>5</v>
      </c>
      <c r="G115" t="s">
        <v>254</v>
      </c>
    </row>
    <row r="116" spans="1:24" x14ac:dyDescent="0.3">
      <c r="A116" t="s">
        <v>552</v>
      </c>
      <c r="B116" t="s">
        <v>552</v>
      </c>
      <c r="C116">
        <v>29632040</v>
      </c>
      <c r="D116" t="s">
        <v>63</v>
      </c>
      <c r="E116" t="s">
        <v>12</v>
      </c>
      <c r="F116" t="s">
        <v>1</v>
      </c>
      <c r="G116" t="s">
        <v>255</v>
      </c>
      <c r="H116" t="s">
        <v>183</v>
      </c>
      <c r="I116" t="s">
        <v>1</v>
      </c>
      <c r="J116">
        <v>3933.21</v>
      </c>
      <c r="K116">
        <v>3340.7599999991999</v>
      </c>
      <c r="L116">
        <v>1833.44</v>
      </c>
      <c r="M116">
        <v>3697.2685082872931</v>
      </c>
      <c r="N116">
        <v>3741.38</v>
      </c>
      <c r="O116">
        <v>3666.88</v>
      </c>
      <c r="P116">
        <v>0</v>
      </c>
      <c r="Q116">
        <f t="shared" ref="Q116:Q122" si="20">O116+P116</f>
        <v>3666.88</v>
      </c>
      <c r="R116">
        <v>3666.88</v>
      </c>
      <c r="S116">
        <f t="shared" ref="S116:S122" si="21">IF(OR(LEFT(E116,2)="A_",LEFT(D116,5)="Total"),R116-Q116,"")</f>
        <v>0</v>
      </c>
      <c r="U116">
        <f t="shared" ref="U116:U122" si="22">IFERROR(R116*T116,R116*0)</f>
        <v>0</v>
      </c>
      <c r="V116">
        <f t="shared" ref="V116:V122" si="23">IF(OR(LEFT(E116,2)="A_",LEFT(D116,5)="Total"),R116+U116,"")</f>
        <v>3666.88</v>
      </c>
      <c r="W116">
        <f t="shared" ref="W116:W122" si="24">IF(OR(LEFT(E116,2)="A_",LEFT(D116,5)="Total"),V116-Q116,"")</f>
        <v>0</v>
      </c>
      <c r="X116">
        <v>0</v>
      </c>
    </row>
    <row r="117" spans="1:24" x14ac:dyDescent="0.3">
      <c r="A117" t="s">
        <v>552</v>
      </c>
      <c r="B117" t="s">
        <v>552</v>
      </c>
      <c r="C117">
        <v>29632040</v>
      </c>
      <c r="D117" t="s">
        <v>63</v>
      </c>
      <c r="E117" t="s">
        <v>16</v>
      </c>
      <c r="F117" t="s">
        <v>1</v>
      </c>
      <c r="G117" t="s">
        <v>255</v>
      </c>
      <c r="H117" t="s">
        <v>187</v>
      </c>
      <c r="I117" t="s">
        <v>1</v>
      </c>
      <c r="J117">
        <v>397.65</v>
      </c>
      <c r="L117">
        <v>0</v>
      </c>
      <c r="M117">
        <v>0</v>
      </c>
      <c r="N117">
        <v>397.65</v>
      </c>
      <c r="P117">
        <v>0</v>
      </c>
      <c r="Q117">
        <f t="shared" si="20"/>
        <v>0</v>
      </c>
      <c r="R117">
        <v>0</v>
      </c>
      <c r="S117">
        <f t="shared" si="21"/>
        <v>0</v>
      </c>
      <c r="T117">
        <v>0.02</v>
      </c>
      <c r="U117">
        <f t="shared" si="22"/>
        <v>0</v>
      </c>
      <c r="V117">
        <f t="shared" si="23"/>
        <v>0</v>
      </c>
      <c r="W117">
        <f t="shared" si="24"/>
        <v>0</v>
      </c>
      <c r="X117">
        <v>0</v>
      </c>
    </row>
    <row r="118" spans="1:24" x14ac:dyDescent="0.3">
      <c r="A118" t="s">
        <v>552</v>
      </c>
      <c r="B118" t="s">
        <v>552</v>
      </c>
      <c r="C118">
        <v>29632040</v>
      </c>
      <c r="D118" t="s">
        <v>63</v>
      </c>
      <c r="E118" t="s">
        <v>53</v>
      </c>
      <c r="F118" t="s">
        <v>1</v>
      </c>
      <c r="G118" t="s">
        <v>255</v>
      </c>
      <c r="H118" t="s">
        <v>229</v>
      </c>
      <c r="I118" t="s">
        <v>1</v>
      </c>
      <c r="J118">
        <v>160.37</v>
      </c>
      <c r="L118">
        <v>0</v>
      </c>
      <c r="M118">
        <v>0</v>
      </c>
      <c r="N118">
        <v>160.37</v>
      </c>
      <c r="P118">
        <v>0</v>
      </c>
      <c r="Q118">
        <f t="shared" si="20"/>
        <v>0</v>
      </c>
      <c r="R118">
        <v>0</v>
      </c>
      <c r="S118">
        <f t="shared" si="21"/>
        <v>0</v>
      </c>
      <c r="T118">
        <v>0.04</v>
      </c>
      <c r="U118">
        <f t="shared" si="22"/>
        <v>0</v>
      </c>
      <c r="V118">
        <f t="shared" si="23"/>
        <v>0</v>
      </c>
      <c r="W118">
        <f t="shared" si="24"/>
        <v>0</v>
      </c>
      <c r="X118">
        <v>0</v>
      </c>
    </row>
    <row r="119" spans="1:24" x14ac:dyDescent="0.3">
      <c r="A119" t="s">
        <v>552</v>
      </c>
      <c r="B119" t="s">
        <v>552</v>
      </c>
      <c r="C119">
        <v>29632040</v>
      </c>
      <c r="D119" t="s">
        <v>63</v>
      </c>
      <c r="E119" t="s">
        <v>64</v>
      </c>
      <c r="F119" t="s">
        <v>1</v>
      </c>
      <c r="G119" t="s">
        <v>255</v>
      </c>
      <c r="H119" t="s">
        <v>256</v>
      </c>
      <c r="I119" t="s">
        <v>1</v>
      </c>
      <c r="J119">
        <v>53.71</v>
      </c>
      <c r="L119">
        <v>0</v>
      </c>
      <c r="M119">
        <v>0</v>
      </c>
      <c r="N119">
        <v>53.71</v>
      </c>
      <c r="P119">
        <v>0</v>
      </c>
      <c r="Q119">
        <f t="shared" si="20"/>
        <v>0</v>
      </c>
      <c r="R119">
        <v>0</v>
      </c>
      <c r="S119">
        <f t="shared" si="21"/>
        <v>0</v>
      </c>
      <c r="T119">
        <v>3.5000000000000003E-2</v>
      </c>
      <c r="U119">
        <f t="shared" si="22"/>
        <v>0</v>
      </c>
      <c r="V119">
        <f t="shared" si="23"/>
        <v>0</v>
      </c>
      <c r="W119">
        <f t="shared" si="24"/>
        <v>0</v>
      </c>
      <c r="X119">
        <v>0</v>
      </c>
    </row>
    <row r="120" spans="1:24" x14ac:dyDescent="0.3">
      <c r="A120" t="s">
        <v>552</v>
      </c>
      <c r="B120" t="s">
        <v>552</v>
      </c>
      <c r="C120">
        <v>29632040</v>
      </c>
      <c r="D120" t="s">
        <v>63</v>
      </c>
      <c r="E120" t="s">
        <v>21</v>
      </c>
      <c r="F120" t="s">
        <v>1</v>
      </c>
      <c r="G120" t="s">
        <v>255</v>
      </c>
      <c r="H120" t="s">
        <v>192</v>
      </c>
      <c r="I120" t="s">
        <v>1</v>
      </c>
      <c r="J120">
        <v>22.2</v>
      </c>
      <c r="L120">
        <v>0</v>
      </c>
      <c r="M120">
        <v>0</v>
      </c>
      <c r="N120">
        <v>0</v>
      </c>
      <c r="P120">
        <v>0</v>
      </c>
      <c r="Q120">
        <f t="shared" si="20"/>
        <v>0</v>
      </c>
      <c r="R120">
        <v>0</v>
      </c>
      <c r="S120">
        <f t="shared" si="21"/>
        <v>0</v>
      </c>
      <c r="U120">
        <f t="shared" si="22"/>
        <v>0</v>
      </c>
      <c r="V120">
        <f t="shared" si="23"/>
        <v>0</v>
      </c>
      <c r="W120">
        <f t="shared" si="24"/>
        <v>0</v>
      </c>
      <c r="X120">
        <v>0</v>
      </c>
    </row>
    <row r="121" spans="1:24" x14ac:dyDescent="0.3">
      <c r="A121" t="s">
        <v>552</v>
      </c>
      <c r="B121" t="s">
        <v>552</v>
      </c>
      <c r="C121">
        <v>29632040</v>
      </c>
      <c r="D121" t="s">
        <v>63</v>
      </c>
      <c r="E121" t="s">
        <v>36</v>
      </c>
      <c r="F121" t="s">
        <v>1</v>
      </c>
      <c r="G121" t="s">
        <v>255</v>
      </c>
      <c r="H121" t="s">
        <v>207</v>
      </c>
      <c r="I121" t="s">
        <v>1</v>
      </c>
      <c r="L121">
        <v>12.21</v>
      </c>
      <c r="M121">
        <v>24.622375690607736</v>
      </c>
      <c r="N121">
        <v>12.21</v>
      </c>
      <c r="O121">
        <v>24.42</v>
      </c>
      <c r="P121">
        <v>0</v>
      </c>
      <c r="Q121">
        <f t="shared" si="20"/>
        <v>24.42</v>
      </c>
      <c r="R121">
        <v>0</v>
      </c>
      <c r="S121">
        <f t="shared" si="21"/>
        <v>-24.42</v>
      </c>
      <c r="T121">
        <v>0.03</v>
      </c>
      <c r="U121">
        <f t="shared" si="22"/>
        <v>0</v>
      </c>
      <c r="V121">
        <f t="shared" si="23"/>
        <v>0</v>
      </c>
      <c r="W121">
        <f t="shared" si="24"/>
        <v>-24.42</v>
      </c>
      <c r="X121">
        <v>0</v>
      </c>
    </row>
    <row r="122" spans="1:24" x14ac:dyDescent="0.3">
      <c r="A122" t="s">
        <v>552</v>
      </c>
      <c r="B122" t="s">
        <v>552</v>
      </c>
      <c r="C122">
        <v>29632040</v>
      </c>
      <c r="D122" t="s">
        <v>63</v>
      </c>
      <c r="E122" t="s">
        <v>41</v>
      </c>
      <c r="F122" t="s">
        <v>1</v>
      </c>
      <c r="G122" t="s">
        <v>255</v>
      </c>
      <c r="H122" t="s">
        <v>212</v>
      </c>
      <c r="I122" t="s">
        <v>1</v>
      </c>
      <c r="J122">
        <v>91.88</v>
      </c>
      <c r="L122">
        <v>0</v>
      </c>
      <c r="M122">
        <v>0</v>
      </c>
      <c r="N122">
        <v>0</v>
      </c>
      <c r="P122">
        <v>0</v>
      </c>
      <c r="Q122">
        <f t="shared" si="20"/>
        <v>0</v>
      </c>
      <c r="R122">
        <v>0</v>
      </c>
      <c r="S122">
        <f t="shared" si="21"/>
        <v>0</v>
      </c>
      <c r="T122">
        <v>0.03</v>
      </c>
      <c r="U122">
        <f t="shared" si="22"/>
        <v>0</v>
      </c>
      <c r="V122">
        <f t="shared" si="23"/>
        <v>0</v>
      </c>
      <c r="W122">
        <f t="shared" si="24"/>
        <v>0</v>
      </c>
      <c r="X122">
        <v>0</v>
      </c>
    </row>
    <row r="123" spans="1:24" x14ac:dyDescent="0.3">
      <c r="A123" t="s">
        <v>552</v>
      </c>
      <c r="B123" t="s">
        <v>552</v>
      </c>
      <c r="C123">
        <v>29632040</v>
      </c>
      <c r="D123" t="s">
        <v>63</v>
      </c>
      <c r="E123" t="s">
        <v>45</v>
      </c>
      <c r="F123" t="s">
        <v>45</v>
      </c>
      <c r="G123" t="s">
        <v>257</v>
      </c>
      <c r="J123">
        <v>4659.0199999999995</v>
      </c>
      <c r="K123">
        <v>3340.7599999991999</v>
      </c>
      <c r="L123">
        <v>1845.65</v>
      </c>
      <c r="M123">
        <v>3721.890883977901</v>
      </c>
      <c r="N123">
        <v>4365.32</v>
      </c>
      <c r="O123">
        <v>3691.3</v>
      </c>
      <c r="P123">
        <f>SUMIF($F$115:$F$122,"&lt;&gt;EV_*",$P$115:$P$122)</f>
        <v>0</v>
      </c>
      <c r="Q123">
        <f>SUMIF($F$115:$F$122,"&lt;&gt;EV_*",$Q$115:$Q$122)</f>
        <v>3691.3</v>
      </c>
      <c r="R123">
        <f>SUMIF($F$115:$F$122,"&lt;&gt;EV_*",$R$115:$R$122)</f>
        <v>3666.88</v>
      </c>
      <c r="S123">
        <f>SUMIF($F$115:$F$122,"&lt;&gt;EV_*",$S$115:$S$122)</f>
        <v>-24.42</v>
      </c>
      <c r="T123">
        <v>0</v>
      </c>
      <c r="U123">
        <f>SUMIF($F$115:$F$122,"&lt;&gt;EV_*",$U$115:$U$122)</f>
        <v>0</v>
      </c>
      <c r="V123">
        <f>SUMIF($F$115:$F$122,"&lt;&gt;EV_*",$V$115:$V$122)</f>
        <v>3666.88</v>
      </c>
      <c r="W123">
        <f>SUMIF($F$115:$F$122,"&lt;&gt;EV_*",$W$115:$W$122)</f>
        <v>-24.42</v>
      </c>
      <c r="X123">
        <f>SUMIF($F$115:$F$122,"&lt;&gt;EV_*",$X$115:$X$122)</f>
        <v>0</v>
      </c>
    </row>
    <row r="124" spans="1:24" x14ac:dyDescent="0.3">
      <c r="A124" t="s">
        <v>552</v>
      </c>
      <c r="B124" t="s">
        <v>552</v>
      </c>
      <c r="C124">
        <v>29634010</v>
      </c>
      <c r="D124" t="s">
        <v>65</v>
      </c>
      <c r="E124" t="s">
        <v>5</v>
      </c>
      <c r="F124" t="s">
        <v>5</v>
      </c>
      <c r="G124" t="s">
        <v>258</v>
      </c>
    </row>
    <row r="125" spans="1:24" x14ac:dyDescent="0.3">
      <c r="A125" t="s">
        <v>552</v>
      </c>
      <c r="B125" t="s">
        <v>552</v>
      </c>
      <c r="C125">
        <v>29634010</v>
      </c>
      <c r="D125" t="s">
        <v>65</v>
      </c>
      <c r="E125" t="s">
        <v>12</v>
      </c>
      <c r="F125" t="s">
        <v>1</v>
      </c>
      <c r="G125" t="s">
        <v>259</v>
      </c>
      <c r="H125" t="s">
        <v>183</v>
      </c>
      <c r="I125" t="s">
        <v>1</v>
      </c>
      <c r="J125">
        <v>3086.78</v>
      </c>
      <c r="K125">
        <v>3020.88</v>
      </c>
      <c r="L125">
        <v>1317.57</v>
      </c>
      <c r="M125">
        <v>2656.9781767955801</v>
      </c>
      <c r="N125">
        <v>2877.3799999999997</v>
      </c>
      <c r="O125">
        <v>2635.14</v>
      </c>
      <c r="P125">
        <v>0</v>
      </c>
      <c r="Q125">
        <f>O125+P125</f>
        <v>2635.14</v>
      </c>
      <c r="R125">
        <v>0</v>
      </c>
      <c r="S125">
        <f>IF(OR(LEFT(E125,2)="A_",LEFT(D125,5)="Total"),R125-Q125,"")</f>
        <v>-2635.14</v>
      </c>
      <c r="U125">
        <f>IFERROR(R125*T125,R125*0)</f>
        <v>0</v>
      </c>
      <c r="V125">
        <f>IF(OR(LEFT(E125,2)="A_",LEFT(D125,5)="Total"),R125+U125,"")</f>
        <v>0</v>
      </c>
      <c r="W125">
        <f>IF(OR(LEFT(E125,2)="A_",LEFT(D125,5)="Total"),V125-Q125,"")</f>
        <v>-2635.14</v>
      </c>
      <c r="X125">
        <v>0</v>
      </c>
    </row>
    <row r="126" spans="1:24" x14ac:dyDescent="0.3">
      <c r="A126" t="s">
        <v>552</v>
      </c>
      <c r="B126" t="s">
        <v>552</v>
      </c>
      <c r="C126">
        <v>29634010</v>
      </c>
      <c r="D126" t="s">
        <v>65</v>
      </c>
      <c r="E126" t="s">
        <v>45</v>
      </c>
      <c r="F126" t="s">
        <v>45</v>
      </c>
      <c r="G126" t="s">
        <v>260</v>
      </c>
      <c r="J126">
        <v>3086.78</v>
      </c>
      <c r="K126">
        <v>3020.88</v>
      </c>
      <c r="L126">
        <v>1317.57</v>
      </c>
      <c r="M126">
        <v>2656.9781767955801</v>
      </c>
      <c r="N126">
        <v>2877.3799999999997</v>
      </c>
      <c r="O126">
        <v>2635.14</v>
      </c>
      <c r="P126">
        <f>SUMIF($F$124:$F$125,"&lt;&gt;EV_*",$P$124:$P$125)</f>
        <v>0</v>
      </c>
      <c r="Q126">
        <f>SUMIF($F$124:$F$125,"&lt;&gt;EV_*",$Q$124:$Q$125)</f>
        <v>2635.14</v>
      </c>
      <c r="R126">
        <f>SUMIF($F$124:$F$125,"&lt;&gt;EV_*",$R$124:$R$125)</f>
        <v>0</v>
      </c>
      <c r="S126">
        <f>SUMIF($F$124:$F$125,"&lt;&gt;EV_*",$S$124:$S$125)</f>
        <v>-2635.14</v>
      </c>
      <c r="T126">
        <v>0</v>
      </c>
      <c r="U126">
        <f>SUMIF($F$124:$F$125,"&lt;&gt;EV_*",$U$124:$U$125)</f>
        <v>0</v>
      </c>
      <c r="V126">
        <f>SUMIF($F$124:$F$125,"&lt;&gt;EV_*",$V$124:$V$125)</f>
        <v>0</v>
      </c>
      <c r="W126">
        <f>SUMIF($F$124:$F$125,"&lt;&gt;EV_*",$W$124:$W$125)</f>
        <v>-2635.14</v>
      </c>
      <c r="X126">
        <f>SUMIF($F$124:$F$125,"&lt;&gt;EV_*",$X$124:$X$125)</f>
        <v>0</v>
      </c>
    </row>
    <row r="127" spans="1:24" x14ac:dyDescent="0.3">
      <c r="A127" t="s">
        <v>552</v>
      </c>
      <c r="B127" t="s">
        <v>552</v>
      </c>
      <c r="C127">
        <v>29641010</v>
      </c>
      <c r="D127" t="s">
        <v>66</v>
      </c>
      <c r="E127" t="s">
        <v>5</v>
      </c>
      <c r="F127" t="s">
        <v>5</v>
      </c>
      <c r="G127" t="s">
        <v>261</v>
      </c>
    </row>
    <row r="128" spans="1:24" x14ac:dyDescent="0.3">
      <c r="A128" t="s">
        <v>552</v>
      </c>
      <c r="B128" t="s">
        <v>552</v>
      </c>
      <c r="C128">
        <v>29641010</v>
      </c>
      <c r="D128" t="s">
        <v>66</v>
      </c>
      <c r="E128" t="s">
        <v>31</v>
      </c>
      <c r="F128" t="s">
        <v>1</v>
      </c>
      <c r="G128" t="s">
        <v>262</v>
      </c>
      <c r="H128" t="s">
        <v>202</v>
      </c>
      <c r="I128" t="s">
        <v>1</v>
      </c>
      <c r="J128">
        <v>1234.26</v>
      </c>
      <c r="K128">
        <v>1797.9999999996</v>
      </c>
      <c r="L128">
        <v>820.72</v>
      </c>
      <c r="M128">
        <v>1655.0430939226519</v>
      </c>
      <c r="N128">
        <v>820.71999999999991</v>
      </c>
      <c r="O128">
        <v>1641.44</v>
      </c>
      <c r="P128">
        <v>0</v>
      </c>
      <c r="Q128">
        <f>O128+P128</f>
        <v>1641.44</v>
      </c>
      <c r="R128">
        <v>0</v>
      </c>
      <c r="S128">
        <f>IF(OR(LEFT(E128,2)="A_",LEFT(D128,5)="Total"),R128-Q128,"")</f>
        <v>-1641.44</v>
      </c>
      <c r="U128">
        <f>IFERROR(R128*T128,R128*0)</f>
        <v>0</v>
      </c>
      <c r="V128">
        <f>IF(OR(LEFT(E128,2)="A_",LEFT(D128,5)="Total"),R128+U128,"")</f>
        <v>0</v>
      </c>
      <c r="W128">
        <f>IF(OR(LEFT(E128,2)="A_",LEFT(D128,5)="Total"),V128-Q128,"")</f>
        <v>-1641.44</v>
      </c>
      <c r="X128">
        <v>0</v>
      </c>
    </row>
    <row r="129" spans="1:24" x14ac:dyDescent="0.3">
      <c r="A129" t="s">
        <v>552</v>
      </c>
      <c r="B129" t="s">
        <v>552</v>
      </c>
      <c r="C129">
        <v>29641010</v>
      </c>
      <c r="D129" t="s">
        <v>66</v>
      </c>
      <c r="E129" t="s">
        <v>36</v>
      </c>
      <c r="F129" t="s">
        <v>1</v>
      </c>
      <c r="G129" t="s">
        <v>262</v>
      </c>
      <c r="H129" t="s">
        <v>207</v>
      </c>
      <c r="I129" t="s">
        <v>1</v>
      </c>
      <c r="J129">
        <v>38.74</v>
      </c>
      <c r="L129">
        <v>0</v>
      </c>
      <c r="M129">
        <v>0</v>
      </c>
      <c r="N129">
        <v>38.74</v>
      </c>
      <c r="P129">
        <v>0</v>
      </c>
      <c r="Q129">
        <f>O129+P129</f>
        <v>0</v>
      </c>
      <c r="R129">
        <v>0</v>
      </c>
      <c r="S129">
        <f>IF(OR(LEFT(E129,2)="A_",LEFT(D129,5)="Total"),R129-Q129,"")</f>
        <v>0</v>
      </c>
      <c r="T129">
        <v>0.03</v>
      </c>
      <c r="U129">
        <f>IFERROR(R129*T129,R129*0)</f>
        <v>0</v>
      </c>
      <c r="V129">
        <f>IF(OR(LEFT(E129,2)="A_",LEFT(D129,5)="Total"),R129+U129,"")</f>
        <v>0</v>
      </c>
      <c r="W129">
        <f>IF(OR(LEFT(E129,2)="A_",LEFT(D129,5)="Total"),V129-Q129,"")</f>
        <v>0</v>
      </c>
      <c r="X129">
        <v>0</v>
      </c>
    </row>
    <row r="130" spans="1:24" x14ac:dyDescent="0.3">
      <c r="A130" t="s">
        <v>552</v>
      </c>
      <c r="B130" t="s">
        <v>552</v>
      </c>
      <c r="C130">
        <v>29641010</v>
      </c>
      <c r="D130" t="s">
        <v>66</v>
      </c>
      <c r="E130" t="s">
        <v>45</v>
      </c>
      <c r="F130" t="s">
        <v>45</v>
      </c>
      <c r="G130" t="s">
        <v>263</v>
      </c>
      <c r="J130">
        <v>1273</v>
      </c>
      <c r="K130">
        <v>1797.9999999996</v>
      </c>
      <c r="L130">
        <v>820.72</v>
      </c>
      <c r="M130">
        <v>1655.0430939226519</v>
      </c>
      <c r="N130">
        <v>859.45999999999992</v>
      </c>
      <c r="O130">
        <v>1641.44</v>
      </c>
      <c r="P130">
        <f>SUMIF($F$127:$F$129,"&lt;&gt;EV_*",$P$127:$P$129)</f>
        <v>0</v>
      </c>
      <c r="Q130">
        <f>SUMIF($F$127:$F$129,"&lt;&gt;EV_*",$Q$127:$Q$129)</f>
        <v>1641.44</v>
      </c>
      <c r="R130">
        <f>SUMIF($F$127:$F$129,"&lt;&gt;EV_*",$R$127:$R$129)</f>
        <v>0</v>
      </c>
      <c r="S130">
        <f>SUMIF($F$127:$F$129,"&lt;&gt;EV_*",$S$127:$S$129)</f>
        <v>-1641.44</v>
      </c>
      <c r="T130">
        <v>0</v>
      </c>
      <c r="U130">
        <f>SUMIF($F$127:$F$129,"&lt;&gt;EV_*",$U$127:$U$129)</f>
        <v>0</v>
      </c>
      <c r="V130">
        <f>SUMIF($F$127:$F$129,"&lt;&gt;EV_*",$V$127:$V$129)</f>
        <v>0</v>
      </c>
      <c r="W130">
        <f>SUMIF($F$127:$F$129,"&lt;&gt;EV_*",$W$127:$W$129)</f>
        <v>-1641.44</v>
      </c>
      <c r="X130">
        <f>SUMIF($F$127:$F$129,"&lt;&gt;EV_*",$X$127:$X$129)</f>
        <v>0</v>
      </c>
    </row>
    <row r="131" spans="1:24" x14ac:dyDescent="0.3">
      <c r="A131" t="s">
        <v>563</v>
      </c>
      <c r="B131" t="s">
        <v>564</v>
      </c>
      <c r="C131">
        <v>29641020</v>
      </c>
      <c r="D131" t="s">
        <v>67</v>
      </c>
      <c r="E131" t="s">
        <v>5</v>
      </c>
      <c r="F131" t="s">
        <v>5</v>
      </c>
      <c r="G131" t="s">
        <v>264</v>
      </c>
    </row>
    <row r="132" spans="1:24" x14ac:dyDescent="0.3">
      <c r="A132" t="s">
        <v>563</v>
      </c>
      <c r="B132" t="s">
        <v>564</v>
      </c>
      <c r="C132">
        <v>29641020</v>
      </c>
      <c r="D132" t="s">
        <v>67</v>
      </c>
      <c r="E132" t="s">
        <v>11</v>
      </c>
      <c r="F132" t="s">
        <v>1</v>
      </c>
      <c r="G132" t="s">
        <v>265</v>
      </c>
      <c r="H132" t="s">
        <v>182</v>
      </c>
      <c r="I132" t="s">
        <v>1</v>
      </c>
      <c r="J132">
        <v>1181.6600000000001</v>
      </c>
      <c r="L132">
        <v>0</v>
      </c>
      <c r="M132">
        <v>0</v>
      </c>
      <c r="N132">
        <v>0</v>
      </c>
      <c r="P132">
        <v>0</v>
      </c>
      <c r="Q132">
        <f t="shared" ref="Q132:Q146" si="25">O132+P132</f>
        <v>0</v>
      </c>
      <c r="R132">
        <v>0</v>
      </c>
      <c r="S132">
        <f t="shared" ref="S132:S146" si="26">IF(OR(LEFT(E132,2)="A_",LEFT(D132,5)="Total"),R132-Q132,"")</f>
        <v>0</v>
      </c>
      <c r="U132">
        <f t="shared" ref="U132:U146" si="27">IFERROR(R132*T132,R132*0)</f>
        <v>0</v>
      </c>
      <c r="V132">
        <f t="shared" ref="V132:V146" si="28">IF(OR(LEFT(E132,2)="A_",LEFT(D132,5)="Total"),R132+U132,"")</f>
        <v>0</v>
      </c>
      <c r="W132">
        <f t="shared" ref="W132:W146" si="29">IF(OR(LEFT(E132,2)="A_",LEFT(D132,5)="Total"),V132-Q132,"")</f>
        <v>0</v>
      </c>
      <c r="X132">
        <v>0</v>
      </c>
    </row>
    <row r="133" spans="1:24" x14ac:dyDescent="0.3">
      <c r="A133" t="s">
        <v>563</v>
      </c>
      <c r="B133" t="s">
        <v>564</v>
      </c>
      <c r="C133">
        <v>29641020</v>
      </c>
      <c r="D133" t="s">
        <v>67</v>
      </c>
      <c r="E133" t="s">
        <v>15</v>
      </c>
      <c r="F133" t="s">
        <v>1</v>
      </c>
      <c r="G133" t="s">
        <v>265</v>
      </c>
      <c r="H133" t="s">
        <v>186</v>
      </c>
      <c r="I133" t="s">
        <v>1</v>
      </c>
      <c r="K133">
        <v>-420</v>
      </c>
      <c r="L133">
        <v>0</v>
      </c>
      <c r="M133">
        <v>0</v>
      </c>
      <c r="N133">
        <v>0</v>
      </c>
      <c r="P133">
        <v>0</v>
      </c>
      <c r="Q133">
        <f t="shared" si="25"/>
        <v>0</v>
      </c>
      <c r="R133">
        <v>0</v>
      </c>
      <c r="S133">
        <f t="shared" si="26"/>
        <v>0</v>
      </c>
      <c r="U133">
        <f t="shared" si="27"/>
        <v>0</v>
      </c>
      <c r="V133">
        <f t="shared" si="28"/>
        <v>0</v>
      </c>
      <c r="W133">
        <f t="shared" si="29"/>
        <v>0</v>
      </c>
      <c r="X133">
        <v>0</v>
      </c>
    </row>
    <row r="134" spans="1:24" x14ac:dyDescent="0.3">
      <c r="A134" t="s">
        <v>563</v>
      </c>
      <c r="B134" t="s">
        <v>564</v>
      </c>
      <c r="C134">
        <v>29641020</v>
      </c>
      <c r="D134" t="s">
        <v>67</v>
      </c>
      <c r="E134" t="s">
        <v>16</v>
      </c>
      <c r="F134" t="s">
        <v>1</v>
      </c>
      <c r="G134" t="s">
        <v>265</v>
      </c>
      <c r="H134" t="s">
        <v>187</v>
      </c>
      <c r="I134" t="s">
        <v>1</v>
      </c>
      <c r="J134">
        <v>164.58</v>
      </c>
      <c r="L134">
        <v>0</v>
      </c>
      <c r="M134">
        <v>0</v>
      </c>
      <c r="N134">
        <v>82.5</v>
      </c>
      <c r="P134">
        <v>0</v>
      </c>
      <c r="Q134">
        <f t="shared" si="25"/>
        <v>0</v>
      </c>
      <c r="R134">
        <v>0</v>
      </c>
      <c r="S134">
        <f t="shared" si="26"/>
        <v>0</v>
      </c>
      <c r="T134">
        <v>0.02</v>
      </c>
      <c r="U134">
        <f t="shared" si="27"/>
        <v>0</v>
      </c>
      <c r="V134">
        <f t="shared" si="28"/>
        <v>0</v>
      </c>
      <c r="W134">
        <f t="shared" si="29"/>
        <v>0</v>
      </c>
      <c r="X134">
        <v>0</v>
      </c>
    </row>
    <row r="135" spans="1:24" x14ac:dyDescent="0.3">
      <c r="A135" t="s">
        <v>563</v>
      </c>
      <c r="B135" t="s">
        <v>564</v>
      </c>
      <c r="C135">
        <v>29641020</v>
      </c>
      <c r="D135" t="s">
        <v>67</v>
      </c>
      <c r="E135" t="s">
        <v>68</v>
      </c>
      <c r="F135" t="s">
        <v>1</v>
      </c>
      <c r="G135" t="s">
        <v>265</v>
      </c>
      <c r="H135" t="s">
        <v>266</v>
      </c>
      <c r="I135" t="s">
        <v>1</v>
      </c>
      <c r="J135">
        <v>5822</v>
      </c>
      <c r="L135">
        <v>0</v>
      </c>
      <c r="M135">
        <v>0</v>
      </c>
      <c r="N135">
        <v>0</v>
      </c>
      <c r="P135">
        <v>0</v>
      </c>
      <c r="Q135">
        <f t="shared" si="25"/>
        <v>0</v>
      </c>
      <c r="R135">
        <v>0</v>
      </c>
      <c r="S135">
        <f t="shared" si="26"/>
        <v>0</v>
      </c>
      <c r="T135">
        <v>0.04</v>
      </c>
      <c r="U135">
        <f t="shared" si="27"/>
        <v>0</v>
      </c>
      <c r="V135">
        <f t="shared" si="28"/>
        <v>0</v>
      </c>
      <c r="W135">
        <f t="shared" si="29"/>
        <v>0</v>
      </c>
      <c r="X135">
        <v>0</v>
      </c>
    </row>
    <row r="136" spans="1:24" x14ac:dyDescent="0.3">
      <c r="A136" t="s">
        <v>563</v>
      </c>
      <c r="B136" t="s">
        <v>564</v>
      </c>
      <c r="C136">
        <v>29641020</v>
      </c>
      <c r="D136" t="s">
        <v>67</v>
      </c>
      <c r="E136" t="s">
        <v>53</v>
      </c>
      <c r="F136" t="s">
        <v>1</v>
      </c>
      <c r="G136" t="s">
        <v>265</v>
      </c>
      <c r="H136" t="s">
        <v>229</v>
      </c>
      <c r="I136" t="s">
        <v>1</v>
      </c>
      <c r="J136">
        <v>-1936</v>
      </c>
      <c r="L136">
        <v>-1250</v>
      </c>
      <c r="M136">
        <v>-2520.7182320441989</v>
      </c>
      <c r="N136">
        <v>-5650</v>
      </c>
      <c r="O136">
        <v>-2513.7362637362999</v>
      </c>
      <c r="P136">
        <v>0</v>
      </c>
      <c r="Q136">
        <f t="shared" si="25"/>
        <v>-2513.7362637362999</v>
      </c>
      <c r="R136">
        <v>0</v>
      </c>
      <c r="S136">
        <f t="shared" si="26"/>
        <v>2513.7362637362999</v>
      </c>
      <c r="T136">
        <v>0.04</v>
      </c>
      <c r="U136">
        <f t="shared" si="27"/>
        <v>0</v>
      </c>
      <c r="V136">
        <f t="shared" si="28"/>
        <v>0</v>
      </c>
      <c r="W136">
        <f t="shared" si="29"/>
        <v>2513.7362637362999</v>
      </c>
      <c r="X136">
        <v>0</v>
      </c>
    </row>
    <row r="137" spans="1:24" x14ac:dyDescent="0.3">
      <c r="A137" t="s">
        <v>563</v>
      </c>
      <c r="B137" t="s">
        <v>564</v>
      </c>
      <c r="C137">
        <v>29641020</v>
      </c>
      <c r="D137" t="s">
        <v>67</v>
      </c>
      <c r="E137" t="s">
        <v>17</v>
      </c>
      <c r="F137" t="s">
        <v>1</v>
      </c>
      <c r="G137" t="s">
        <v>265</v>
      </c>
      <c r="H137" t="s">
        <v>188</v>
      </c>
      <c r="I137" t="s">
        <v>1</v>
      </c>
      <c r="J137">
        <v>91.86</v>
      </c>
      <c r="L137">
        <v>0</v>
      </c>
      <c r="M137">
        <v>0</v>
      </c>
      <c r="N137">
        <v>25.86</v>
      </c>
      <c r="P137">
        <v>0</v>
      </c>
      <c r="Q137">
        <f t="shared" si="25"/>
        <v>0</v>
      </c>
      <c r="R137">
        <v>0</v>
      </c>
      <c r="S137">
        <f t="shared" si="26"/>
        <v>0</v>
      </c>
      <c r="T137">
        <v>0.03</v>
      </c>
      <c r="U137">
        <f t="shared" si="27"/>
        <v>0</v>
      </c>
      <c r="V137">
        <f t="shared" si="28"/>
        <v>0</v>
      </c>
      <c r="W137">
        <f t="shared" si="29"/>
        <v>0</v>
      </c>
      <c r="X137">
        <v>0</v>
      </c>
    </row>
    <row r="138" spans="1:24" x14ac:dyDescent="0.3">
      <c r="A138" t="s">
        <v>563</v>
      </c>
      <c r="B138" t="s">
        <v>564</v>
      </c>
      <c r="C138">
        <v>29641020</v>
      </c>
      <c r="D138" t="s">
        <v>67</v>
      </c>
      <c r="E138" t="s">
        <v>18</v>
      </c>
      <c r="F138" t="s">
        <v>1</v>
      </c>
      <c r="G138" t="s">
        <v>265</v>
      </c>
      <c r="H138" t="s">
        <v>189</v>
      </c>
      <c r="I138" t="s">
        <v>1</v>
      </c>
      <c r="J138">
        <v>646.55999999999995</v>
      </c>
      <c r="L138">
        <v>0</v>
      </c>
      <c r="M138">
        <v>0</v>
      </c>
      <c r="N138">
        <v>391.14</v>
      </c>
      <c r="P138">
        <v>0</v>
      </c>
      <c r="Q138">
        <f t="shared" si="25"/>
        <v>0</v>
      </c>
      <c r="R138">
        <v>0</v>
      </c>
      <c r="S138">
        <f t="shared" si="26"/>
        <v>0</v>
      </c>
      <c r="T138">
        <v>3.5000000000000003E-2</v>
      </c>
      <c r="U138">
        <f t="shared" si="27"/>
        <v>0</v>
      </c>
      <c r="V138">
        <f t="shared" si="28"/>
        <v>0</v>
      </c>
      <c r="W138">
        <f t="shared" si="29"/>
        <v>0</v>
      </c>
      <c r="X138">
        <v>0</v>
      </c>
    </row>
    <row r="139" spans="1:24" x14ac:dyDescent="0.3">
      <c r="A139" t="s">
        <v>563</v>
      </c>
      <c r="B139" t="s">
        <v>564</v>
      </c>
      <c r="C139">
        <v>29641020</v>
      </c>
      <c r="D139" t="s">
        <v>67</v>
      </c>
      <c r="E139" t="s">
        <v>23</v>
      </c>
      <c r="F139" t="s">
        <v>1</v>
      </c>
      <c r="G139" t="s">
        <v>265</v>
      </c>
      <c r="H139" t="s">
        <v>194</v>
      </c>
      <c r="I139" t="s">
        <v>1</v>
      </c>
      <c r="J139">
        <v>209</v>
      </c>
      <c r="L139">
        <v>0</v>
      </c>
      <c r="M139">
        <v>0</v>
      </c>
      <c r="N139">
        <v>0</v>
      </c>
      <c r="P139">
        <v>0</v>
      </c>
      <c r="Q139">
        <f t="shared" si="25"/>
        <v>0</v>
      </c>
      <c r="R139">
        <v>0</v>
      </c>
      <c r="S139">
        <f t="shared" si="26"/>
        <v>0</v>
      </c>
      <c r="U139">
        <f t="shared" si="27"/>
        <v>0</v>
      </c>
      <c r="V139">
        <f t="shared" si="28"/>
        <v>0</v>
      </c>
      <c r="W139">
        <f t="shared" si="29"/>
        <v>0</v>
      </c>
      <c r="X139">
        <v>0</v>
      </c>
    </row>
    <row r="140" spans="1:24" x14ac:dyDescent="0.3">
      <c r="A140" t="s">
        <v>563</v>
      </c>
      <c r="B140" t="s">
        <v>564</v>
      </c>
      <c r="C140">
        <v>29641020</v>
      </c>
      <c r="D140" t="s">
        <v>67</v>
      </c>
      <c r="E140" t="s">
        <v>34</v>
      </c>
      <c r="F140" t="s">
        <v>1</v>
      </c>
      <c r="G140" t="s">
        <v>265</v>
      </c>
      <c r="H140" t="s">
        <v>205</v>
      </c>
      <c r="I140" t="s">
        <v>1</v>
      </c>
      <c r="J140">
        <v>116211.36</v>
      </c>
      <c r="L140">
        <v>0</v>
      </c>
      <c r="M140">
        <v>0</v>
      </c>
      <c r="N140">
        <v>58105.68</v>
      </c>
      <c r="P140">
        <v>0</v>
      </c>
      <c r="Q140">
        <f t="shared" si="25"/>
        <v>0</v>
      </c>
      <c r="R140">
        <v>0</v>
      </c>
      <c r="S140">
        <f t="shared" si="26"/>
        <v>0</v>
      </c>
      <c r="T140">
        <v>0.03</v>
      </c>
      <c r="U140">
        <f t="shared" si="27"/>
        <v>0</v>
      </c>
      <c r="V140">
        <f t="shared" si="28"/>
        <v>0</v>
      </c>
      <c r="W140">
        <f t="shared" si="29"/>
        <v>0</v>
      </c>
      <c r="X140">
        <v>0</v>
      </c>
    </row>
    <row r="141" spans="1:24" x14ac:dyDescent="0.3">
      <c r="A141" t="s">
        <v>563</v>
      </c>
      <c r="B141" t="s">
        <v>564</v>
      </c>
      <c r="C141">
        <v>29641020</v>
      </c>
      <c r="D141" t="s">
        <v>67</v>
      </c>
      <c r="E141" t="s">
        <v>35</v>
      </c>
      <c r="F141" t="s">
        <v>1</v>
      </c>
      <c r="G141" t="s">
        <v>265</v>
      </c>
      <c r="H141" t="s">
        <v>206</v>
      </c>
      <c r="I141" t="s">
        <v>1</v>
      </c>
      <c r="J141">
        <v>0</v>
      </c>
      <c r="L141">
        <v>0</v>
      </c>
      <c r="M141">
        <v>0</v>
      </c>
      <c r="N141">
        <v>-36000</v>
      </c>
      <c r="P141">
        <v>0</v>
      </c>
      <c r="Q141">
        <f t="shared" si="25"/>
        <v>0</v>
      </c>
      <c r="R141">
        <v>0</v>
      </c>
      <c r="S141">
        <f t="shared" si="26"/>
        <v>0</v>
      </c>
      <c r="T141">
        <v>0.03</v>
      </c>
      <c r="U141">
        <f t="shared" si="27"/>
        <v>0</v>
      </c>
      <c r="V141">
        <f t="shared" si="28"/>
        <v>0</v>
      </c>
      <c r="W141">
        <f t="shared" si="29"/>
        <v>0</v>
      </c>
      <c r="X141">
        <v>0</v>
      </c>
    </row>
    <row r="142" spans="1:24" x14ac:dyDescent="0.3">
      <c r="A142" t="s">
        <v>563</v>
      </c>
      <c r="B142" t="s">
        <v>564</v>
      </c>
      <c r="C142">
        <v>29641020</v>
      </c>
      <c r="D142" t="s">
        <v>67</v>
      </c>
      <c r="E142" t="s">
        <v>36</v>
      </c>
      <c r="F142" t="s">
        <v>1</v>
      </c>
      <c r="G142" t="s">
        <v>265</v>
      </c>
      <c r="H142" t="s">
        <v>207</v>
      </c>
      <c r="I142" t="s">
        <v>1</v>
      </c>
      <c r="J142">
        <v>518.71</v>
      </c>
      <c r="L142">
        <v>0</v>
      </c>
      <c r="M142">
        <v>0</v>
      </c>
      <c r="N142">
        <v>416.78999999999996</v>
      </c>
      <c r="P142">
        <v>0</v>
      </c>
      <c r="Q142">
        <f t="shared" si="25"/>
        <v>0</v>
      </c>
      <c r="R142">
        <v>0</v>
      </c>
      <c r="S142">
        <f t="shared" si="26"/>
        <v>0</v>
      </c>
      <c r="T142">
        <v>0.03</v>
      </c>
      <c r="U142">
        <f t="shared" si="27"/>
        <v>0</v>
      </c>
      <c r="V142">
        <f t="shared" si="28"/>
        <v>0</v>
      </c>
      <c r="W142">
        <f t="shared" si="29"/>
        <v>0</v>
      </c>
      <c r="X142">
        <v>0</v>
      </c>
    </row>
    <row r="143" spans="1:24" x14ac:dyDescent="0.3">
      <c r="A143" t="s">
        <v>563</v>
      </c>
      <c r="B143" t="s">
        <v>564</v>
      </c>
      <c r="C143">
        <v>29641020</v>
      </c>
      <c r="D143" t="s">
        <v>67</v>
      </c>
      <c r="E143" t="s">
        <v>39</v>
      </c>
      <c r="F143" t="s">
        <v>1</v>
      </c>
      <c r="G143" t="s">
        <v>265</v>
      </c>
      <c r="H143" t="s">
        <v>210</v>
      </c>
      <c r="I143" t="s">
        <v>1</v>
      </c>
      <c r="J143">
        <v>9128.57</v>
      </c>
      <c r="L143">
        <v>0</v>
      </c>
      <c r="M143">
        <v>0</v>
      </c>
      <c r="N143">
        <v>9128.57</v>
      </c>
      <c r="P143">
        <v>0</v>
      </c>
      <c r="Q143">
        <f t="shared" si="25"/>
        <v>0</v>
      </c>
      <c r="R143">
        <v>0</v>
      </c>
      <c r="S143">
        <f t="shared" si="26"/>
        <v>0</v>
      </c>
      <c r="T143">
        <v>0.03</v>
      </c>
      <c r="U143">
        <f t="shared" si="27"/>
        <v>0</v>
      </c>
      <c r="V143">
        <f t="shared" si="28"/>
        <v>0</v>
      </c>
      <c r="W143">
        <f t="shared" si="29"/>
        <v>0</v>
      </c>
      <c r="X143">
        <v>0</v>
      </c>
    </row>
    <row r="144" spans="1:24" x14ac:dyDescent="0.3">
      <c r="A144" t="s">
        <v>563</v>
      </c>
      <c r="B144" t="s">
        <v>564</v>
      </c>
      <c r="C144">
        <v>29641020</v>
      </c>
      <c r="D144" t="s">
        <v>67</v>
      </c>
      <c r="E144" t="s">
        <v>42</v>
      </c>
      <c r="F144" t="s">
        <v>1</v>
      </c>
      <c r="G144" t="s">
        <v>265</v>
      </c>
      <c r="H144" t="s">
        <v>213</v>
      </c>
      <c r="I144" t="s">
        <v>1</v>
      </c>
      <c r="J144">
        <v>250</v>
      </c>
      <c r="L144">
        <v>0</v>
      </c>
      <c r="M144">
        <v>0</v>
      </c>
      <c r="N144">
        <v>250</v>
      </c>
      <c r="P144">
        <v>0</v>
      </c>
      <c r="Q144">
        <f t="shared" si="25"/>
        <v>0</v>
      </c>
      <c r="R144">
        <v>0</v>
      </c>
      <c r="S144">
        <f t="shared" si="26"/>
        <v>0</v>
      </c>
      <c r="T144">
        <v>0.03</v>
      </c>
      <c r="U144">
        <f t="shared" si="27"/>
        <v>0</v>
      </c>
      <c r="V144">
        <f t="shared" si="28"/>
        <v>0</v>
      </c>
      <c r="W144">
        <f t="shared" si="29"/>
        <v>0</v>
      </c>
      <c r="X144">
        <v>0</v>
      </c>
    </row>
    <row r="145" spans="1:24" x14ac:dyDescent="0.3">
      <c r="A145" t="s">
        <v>563</v>
      </c>
      <c r="B145" t="s">
        <v>564</v>
      </c>
      <c r="C145">
        <v>29641020</v>
      </c>
      <c r="D145" t="s">
        <v>67</v>
      </c>
      <c r="E145" t="s">
        <v>43</v>
      </c>
      <c r="F145" t="s">
        <v>1</v>
      </c>
      <c r="G145" t="s">
        <v>265</v>
      </c>
      <c r="H145" t="s">
        <v>214</v>
      </c>
      <c r="I145" t="s">
        <v>1</v>
      </c>
      <c r="J145">
        <v>15.36</v>
      </c>
      <c r="L145">
        <v>0</v>
      </c>
      <c r="M145">
        <v>0</v>
      </c>
      <c r="N145">
        <v>0</v>
      </c>
      <c r="P145">
        <v>0</v>
      </c>
      <c r="Q145">
        <f t="shared" si="25"/>
        <v>0</v>
      </c>
      <c r="R145">
        <v>0</v>
      </c>
      <c r="S145">
        <f t="shared" si="26"/>
        <v>0</v>
      </c>
      <c r="T145">
        <v>0.03</v>
      </c>
      <c r="U145">
        <f t="shared" si="27"/>
        <v>0</v>
      </c>
      <c r="V145">
        <f t="shared" si="28"/>
        <v>0</v>
      </c>
      <c r="W145">
        <f t="shared" si="29"/>
        <v>0</v>
      </c>
      <c r="X145">
        <v>0</v>
      </c>
    </row>
    <row r="146" spans="1:24" x14ac:dyDescent="0.3">
      <c r="A146" t="s">
        <v>563</v>
      </c>
      <c r="B146" t="s">
        <v>564</v>
      </c>
      <c r="C146">
        <v>29641020</v>
      </c>
      <c r="D146" t="s">
        <v>67</v>
      </c>
      <c r="E146" t="s">
        <v>44</v>
      </c>
      <c r="F146" t="s">
        <v>1</v>
      </c>
      <c r="G146" t="s">
        <v>265</v>
      </c>
      <c r="H146" t="s">
        <v>215</v>
      </c>
      <c r="I146" t="s">
        <v>1</v>
      </c>
      <c r="J146">
        <v>3105.19</v>
      </c>
      <c r="L146">
        <v>1555.26</v>
      </c>
      <c r="M146">
        <v>3136.2977900552487</v>
      </c>
      <c r="N146">
        <v>3109.4199999999992</v>
      </c>
      <c r="O146">
        <v>3136.2977900553001</v>
      </c>
      <c r="P146">
        <v>0</v>
      </c>
      <c r="Q146">
        <f t="shared" si="25"/>
        <v>3136.2977900553001</v>
      </c>
      <c r="R146">
        <v>0</v>
      </c>
      <c r="S146">
        <f t="shared" si="26"/>
        <v>-3136.2977900553001</v>
      </c>
      <c r="U146">
        <f t="shared" si="27"/>
        <v>0</v>
      </c>
      <c r="V146">
        <f t="shared" si="28"/>
        <v>0</v>
      </c>
      <c r="W146">
        <f t="shared" si="29"/>
        <v>-3136.2977900553001</v>
      </c>
      <c r="X146">
        <v>0</v>
      </c>
    </row>
    <row r="147" spans="1:24" x14ac:dyDescent="0.3">
      <c r="A147" t="s">
        <v>563</v>
      </c>
      <c r="B147" t="s">
        <v>564</v>
      </c>
      <c r="C147">
        <v>29641020</v>
      </c>
      <c r="D147" t="s">
        <v>67</v>
      </c>
      <c r="E147" t="s">
        <v>45</v>
      </c>
      <c r="F147" t="s">
        <v>45</v>
      </c>
      <c r="G147" t="s">
        <v>267</v>
      </c>
      <c r="J147">
        <v>135408.85</v>
      </c>
      <c r="K147">
        <v>-420</v>
      </c>
      <c r="L147">
        <v>305.26</v>
      </c>
      <c r="M147">
        <v>615.57955801104981</v>
      </c>
      <c r="N147">
        <v>29859.96</v>
      </c>
      <c r="O147">
        <v>622.56152631900022</v>
      </c>
      <c r="P147">
        <f>SUMIF($F$131:$F$146,"&lt;&gt;EV_*",$P$131:$P$146)</f>
        <v>0</v>
      </c>
      <c r="Q147">
        <f>SUMIF($F$131:$F$146,"&lt;&gt;EV_*",$Q$131:$Q$146)</f>
        <v>622.56152631900022</v>
      </c>
      <c r="R147">
        <f>SUMIF($F$131:$F$146,"&lt;&gt;EV_*",$R$131:$R$146)</f>
        <v>0</v>
      </c>
      <c r="S147">
        <f>SUMIF($F$131:$F$146,"&lt;&gt;EV_*",$S$131:$S$146)</f>
        <v>-622.56152631900022</v>
      </c>
      <c r="T147">
        <v>0</v>
      </c>
      <c r="U147">
        <f>SUMIF($F$131:$F$146,"&lt;&gt;EV_*",$U$131:$U$146)</f>
        <v>0</v>
      </c>
      <c r="V147">
        <f>SUMIF($F$131:$F$146,"&lt;&gt;EV_*",$V$131:$V$146)</f>
        <v>0</v>
      </c>
      <c r="W147">
        <f>SUMIF($F$131:$F$146,"&lt;&gt;EV_*",$W$131:$W$146)</f>
        <v>-622.56152631900022</v>
      </c>
      <c r="X147">
        <f>SUMIF($F$131:$F$146,"&lt;&gt;EV_*",$X$131:$X$146)</f>
        <v>0</v>
      </c>
    </row>
    <row r="148" spans="1:24" x14ac:dyDescent="0.3">
      <c r="A148" t="s">
        <v>552</v>
      </c>
      <c r="B148" t="s">
        <v>564</v>
      </c>
      <c r="C148">
        <v>29643000</v>
      </c>
      <c r="D148" t="s">
        <v>69</v>
      </c>
      <c r="E148" t="s">
        <v>5</v>
      </c>
      <c r="F148" t="s">
        <v>5</v>
      </c>
      <c r="G148" t="s">
        <v>268</v>
      </c>
    </row>
    <row r="149" spans="1:24" x14ac:dyDescent="0.3">
      <c r="A149" t="s">
        <v>552</v>
      </c>
      <c r="B149" t="s">
        <v>564</v>
      </c>
      <c r="C149">
        <v>29643000</v>
      </c>
      <c r="D149" t="s">
        <v>69</v>
      </c>
      <c r="E149" t="s">
        <v>10</v>
      </c>
      <c r="F149" t="s">
        <v>1</v>
      </c>
      <c r="G149" t="s">
        <v>269</v>
      </c>
      <c r="H149" t="s">
        <v>181</v>
      </c>
      <c r="I149" t="s">
        <v>1</v>
      </c>
      <c r="L149">
        <v>-1556.39</v>
      </c>
      <c r="M149">
        <v>-3138.5765193370166</v>
      </c>
      <c r="N149">
        <v>-1556.39</v>
      </c>
      <c r="O149">
        <v>-3112.78</v>
      </c>
      <c r="P149">
        <v>0</v>
      </c>
      <c r="Q149">
        <f>O149+P149</f>
        <v>-3112.78</v>
      </c>
      <c r="R149">
        <v>0</v>
      </c>
      <c r="S149">
        <f>IF(OR(LEFT(E149,2)="A_",LEFT(D149,5)="Total"),R149-Q149,"")</f>
        <v>3112.78</v>
      </c>
      <c r="U149">
        <f>IFERROR(R149*T149,R149*0)</f>
        <v>0</v>
      </c>
      <c r="V149">
        <f>IF(OR(LEFT(E149,2)="A_",LEFT(D149,5)="Total"),R149+U149,"")</f>
        <v>0</v>
      </c>
      <c r="W149">
        <f>IF(OR(LEFT(E149,2)="A_",LEFT(D149,5)="Total"),V149-Q149,"")</f>
        <v>3112.78</v>
      </c>
      <c r="X149">
        <v>0</v>
      </c>
    </row>
    <row r="150" spans="1:24" x14ac:dyDescent="0.3">
      <c r="A150" t="s">
        <v>552</v>
      </c>
      <c r="B150" t="s">
        <v>564</v>
      </c>
      <c r="C150">
        <v>29643000</v>
      </c>
      <c r="D150" t="s">
        <v>69</v>
      </c>
      <c r="E150" t="s">
        <v>12</v>
      </c>
      <c r="F150" t="s">
        <v>1</v>
      </c>
      <c r="G150" t="s">
        <v>269</v>
      </c>
      <c r="H150" t="s">
        <v>183</v>
      </c>
      <c r="I150" t="s">
        <v>1</v>
      </c>
      <c r="J150">
        <v>1025.1600000000001</v>
      </c>
      <c r="K150">
        <v>879.31000000079996</v>
      </c>
      <c r="L150">
        <v>424.82</v>
      </c>
      <c r="M150">
        <v>856.68121546961322</v>
      </c>
      <c r="N150">
        <v>905.8900000000001</v>
      </c>
      <c r="O150">
        <v>849.64</v>
      </c>
      <c r="P150">
        <v>0</v>
      </c>
      <c r="Q150">
        <f>O150+P150</f>
        <v>849.64</v>
      </c>
      <c r="R150">
        <v>0</v>
      </c>
      <c r="S150">
        <f>IF(OR(LEFT(E150,2)="A_",LEFT(D150,5)="Total"),R150-Q150,"")</f>
        <v>-849.64</v>
      </c>
      <c r="U150">
        <f>IFERROR(R150*T150,R150*0)</f>
        <v>0</v>
      </c>
      <c r="V150">
        <f>IF(OR(LEFT(E150,2)="A_",LEFT(D150,5)="Total"),R150+U150,"")</f>
        <v>0</v>
      </c>
      <c r="W150">
        <f>IF(OR(LEFT(E150,2)="A_",LEFT(D150,5)="Total"),V150-Q150,"")</f>
        <v>-849.64</v>
      </c>
      <c r="X150">
        <v>0</v>
      </c>
    </row>
    <row r="151" spans="1:24" x14ac:dyDescent="0.3">
      <c r="A151" t="s">
        <v>552</v>
      </c>
      <c r="B151" t="s">
        <v>564</v>
      </c>
      <c r="C151">
        <v>29643000</v>
      </c>
      <c r="D151" t="s">
        <v>69</v>
      </c>
      <c r="E151" t="s">
        <v>45</v>
      </c>
      <c r="F151" t="s">
        <v>45</v>
      </c>
      <c r="G151" t="s">
        <v>270</v>
      </c>
      <c r="J151">
        <v>1025.1600000000001</v>
      </c>
      <c r="K151">
        <v>879.31000000079996</v>
      </c>
      <c r="L151">
        <v>-1131.5700000000002</v>
      </c>
      <c r="M151">
        <v>-2281.8953038674035</v>
      </c>
      <c r="N151">
        <v>-650.5</v>
      </c>
      <c r="O151">
        <v>-2263.1400000000003</v>
      </c>
      <c r="P151">
        <f>SUMIF($F$148:$F$150,"&lt;&gt;EV_*",$P$148:$P$150)</f>
        <v>0</v>
      </c>
      <c r="Q151">
        <f>SUMIF($F$148:$F$150,"&lt;&gt;EV_*",$Q$148:$Q$150)</f>
        <v>-2263.1400000000003</v>
      </c>
      <c r="R151">
        <f>SUMIF($F$148:$F$150,"&lt;&gt;EV_*",$R$148:$R$150)</f>
        <v>0</v>
      </c>
      <c r="S151">
        <f>SUMIF($F$148:$F$150,"&lt;&gt;EV_*",$S$148:$S$150)</f>
        <v>2263.1400000000003</v>
      </c>
      <c r="T151">
        <v>0</v>
      </c>
      <c r="U151">
        <f>SUMIF($F$148:$F$150,"&lt;&gt;EV_*",$U$148:$U$150)</f>
        <v>0</v>
      </c>
      <c r="V151">
        <f>SUMIF($F$148:$F$150,"&lt;&gt;EV_*",$V$148:$V$150)</f>
        <v>0</v>
      </c>
      <c r="W151">
        <f>SUMIF($F$148:$F$150,"&lt;&gt;EV_*",$W$148:$W$150)</f>
        <v>2263.1400000000003</v>
      </c>
      <c r="X151">
        <f>SUMIF($F$148:$F$150,"&lt;&gt;EV_*",$X$148:$X$150)</f>
        <v>0</v>
      </c>
    </row>
    <row r="152" spans="1:24" x14ac:dyDescent="0.3">
      <c r="A152" t="s">
        <v>552</v>
      </c>
      <c r="B152" t="s">
        <v>565</v>
      </c>
      <c r="C152">
        <v>29650170</v>
      </c>
      <c r="D152" t="s">
        <v>70</v>
      </c>
      <c r="E152" t="s">
        <v>5</v>
      </c>
      <c r="F152" t="s">
        <v>5</v>
      </c>
      <c r="G152" t="s">
        <v>271</v>
      </c>
    </row>
    <row r="153" spans="1:24" x14ac:dyDescent="0.3">
      <c r="A153" t="s">
        <v>552</v>
      </c>
      <c r="B153" t="s">
        <v>565</v>
      </c>
      <c r="C153">
        <v>29650170</v>
      </c>
      <c r="D153" t="s">
        <v>70</v>
      </c>
      <c r="E153" t="s">
        <v>12</v>
      </c>
      <c r="F153" t="s">
        <v>1</v>
      </c>
      <c r="G153" t="s">
        <v>272</v>
      </c>
      <c r="H153" t="s">
        <v>183</v>
      </c>
      <c r="I153" t="s">
        <v>1</v>
      </c>
      <c r="J153">
        <v>2462.56</v>
      </c>
      <c r="K153">
        <v>2444.0000000004002</v>
      </c>
      <c r="L153">
        <v>1241.56</v>
      </c>
      <c r="M153">
        <v>2503.6983425414364</v>
      </c>
      <c r="N153">
        <v>2482.2599999999998</v>
      </c>
      <c r="O153">
        <v>2483.12</v>
      </c>
      <c r="P153">
        <v>0</v>
      </c>
      <c r="Q153">
        <f t="shared" ref="Q153:Q166" si="30">O153+P153</f>
        <v>2483.12</v>
      </c>
      <c r="R153">
        <v>2444.0000000004002</v>
      </c>
      <c r="S153">
        <f t="shared" ref="S153:S166" si="31">IF(OR(LEFT(E153,2)="A_",LEFT(D153,5)="Total"),R153-Q153,"")</f>
        <v>-39.119999999599713</v>
      </c>
      <c r="U153">
        <f t="shared" ref="U153:U166" si="32">IFERROR(R153*T153,R153*0)</f>
        <v>0</v>
      </c>
      <c r="V153">
        <f t="shared" ref="V153:V166" si="33">IF(OR(LEFT(E153,2)="A_",LEFT(D153,5)="Total"),R153+U153,"")</f>
        <v>2444.0000000004002</v>
      </c>
      <c r="W153">
        <f t="shared" ref="W153:W166" si="34">IF(OR(LEFT(E153,2)="A_",LEFT(D153,5)="Total"),V153-Q153,"")</f>
        <v>-39.119999999599713</v>
      </c>
      <c r="X153">
        <v>0</v>
      </c>
    </row>
    <row r="154" spans="1:24" x14ac:dyDescent="0.3">
      <c r="A154" t="s">
        <v>552</v>
      </c>
      <c r="B154" t="s">
        <v>565</v>
      </c>
      <c r="C154">
        <v>29650170</v>
      </c>
      <c r="D154" t="s">
        <v>70</v>
      </c>
      <c r="E154" t="s">
        <v>15</v>
      </c>
      <c r="F154" t="s">
        <v>1</v>
      </c>
      <c r="G154" t="s">
        <v>272</v>
      </c>
      <c r="H154" t="s">
        <v>186</v>
      </c>
      <c r="I154" t="s">
        <v>1</v>
      </c>
      <c r="J154">
        <v>-6</v>
      </c>
      <c r="K154">
        <v>-20.0000000004</v>
      </c>
      <c r="L154">
        <v>-72.5</v>
      </c>
      <c r="M154">
        <v>-146.20165745856352</v>
      </c>
      <c r="N154">
        <v>-72.5</v>
      </c>
      <c r="O154">
        <v>-145.7967032967</v>
      </c>
      <c r="P154">
        <v>0</v>
      </c>
      <c r="Q154">
        <f t="shared" si="30"/>
        <v>-145.7967032967</v>
      </c>
      <c r="R154">
        <v>-145.7967032967</v>
      </c>
      <c r="S154">
        <f t="shared" si="31"/>
        <v>0</v>
      </c>
      <c r="U154">
        <f t="shared" si="32"/>
        <v>0</v>
      </c>
      <c r="V154">
        <f t="shared" si="33"/>
        <v>-145.7967032967</v>
      </c>
      <c r="W154">
        <f t="shared" si="34"/>
        <v>0</v>
      </c>
      <c r="X154">
        <v>0</v>
      </c>
    </row>
    <row r="155" spans="1:24" x14ac:dyDescent="0.3">
      <c r="A155" t="s">
        <v>552</v>
      </c>
      <c r="B155" t="s">
        <v>565</v>
      </c>
      <c r="C155">
        <v>29650170</v>
      </c>
      <c r="D155" t="s">
        <v>70</v>
      </c>
      <c r="E155" t="s">
        <v>71</v>
      </c>
      <c r="F155" t="s">
        <v>1</v>
      </c>
      <c r="G155" t="s">
        <v>272</v>
      </c>
      <c r="H155" t="s">
        <v>273</v>
      </c>
      <c r="I155" t="s">
        <v>1</v>
      </c>
      <c r="J155">
        <v>2408.6799999999998</v>
      </c>
      <c r="K155">
        <v>3717.4704753085002</v>
      </c>
      <c r="L155">
        <v>0</v>
      </c>
      <c r="M155">
        <v>0</v>
      </c>
      <c r="N155">
        <v>61</v>
      </c>
      <c r="P155">
        <v>0</v>
      </c>
      <c r="Q155">
        <f t="shared" si="30"/>
        <v>0</v>
      </c>
      <c r="R155">
        <v>0</v>
      </c>
      <c r="S155">
        <f t="shared" si="31"/>
        <v>0</v>
      </c>
      <c r="T155">
        <v>2.75E-2</v>
      </c>
      <c r="U155">
        <f t="shared" si="32"/>
        <v>0</v>
      </c>
      <c r="V155">
        <f t="shared" si="33"/>
        <v>0</v>
      </c>
      <c r="W155">
        <f t="shared" si="34"/>
        <v>0</v>
      </c>
      <c r="X155">
        <v>0</v>
      </c>
    </row>
    <row r="156" spans="1:24" x14ac:dyDescent="0.3">
      <c r="A156" t="s">
        <v>552</v>
      </c>
      <c r="B156" t="s">
        <v>565</v>
      </c>
      <c r="C156">
        <v>29650170</v>
      </c>
      <c r="D156" t="s">
        <v>70</v>
      </c>
      <c r="E156" t="s">
        <v>72</v>
      </c>
      <c r="F156" t="s">
        <v>1</v>
      </c>
      <c r="G156" t="s">
        <v>272</v>
      </c>
      <c r="H156" t="s">
        <v>274</v>
      </c>
      <c r="I156" t="s">
        <v>1</v>
      </c>
      <c r="J156">
        <v>129174.85</v>
      </c>
      <c r="K156">
        <v>130460.077761832</v>
      </c>
      <c r="L156">
        <v>66777.11</v>
      </c>
      <c r="M156">
        <v>134661.0229281768</v>
      </c>
      <c r="N156">
        <v>130926.49000000002</v>
      </c>
      <c r="O156">
        <v>134288.03439560399</v>
      </c>
      <c r="P156">
        <v>0</v>
      </c>
      <c r="Q156">
        <f t="shared" si="30"/>
        <v>134288.03439560399</v>
      </c>
      <c r="R156">
        <v>130460.077761832</v>
      </c>
      <c r="S156">
        <f t="shared" si="31"/>
        <v>-3827.956633771988</v>
      </c>
      <c r="T156">
        <v>2.2499999999999999E-2</v>
      </c>
      <c r="U156">
        <f t="shared" si="32"/>
        <v>2935.3517496412201</v>
      </c>
      <c r="V156">
        <f t="shared" si="33"/>
        <v>133395.42951147322</v>
      </c>
      <c r="W156">
        <f t="shared" si="34"/>
        <v>-892.60488413076382</v>
      </c>
      <c r="X156">
        <v>0</v>
      </c>
    </row>
    <row r="157" spans="1:24" x14ac:dyDescent="0.3">
      <c r="A157" t="s">
        <v>552</v>
      </c>
      <c r="B157" t="s">
        <v>565</v>
      </c>
      <c r="C157">
        <v>29650170</v>
      </c>
      <c r="D157" t="s">
        <v>70</v>
      </c>
      <c r="E157" t="s">
        <v>16</v>
      </c>
      <c r="F157" t="s">
        <v>1</v>
      </c>
      <c r="G157" t="s">
        <v>272</v>
      </c>
      <c r="H157" t="s">
        <v>187</v>
      </c>
      <c r="I157" t="s">
        <v>1</v>
      </c>
      <c r="J157">
        <v>22.38</v>
      </c>
      <c r="L157">
        <v>0</v>
      </c>
      <c r="M157">
        <v>0</v>
      </c>
      <c r="N157">
        <v>0</v>
      </c>
      <c r="P157">
        <v>0</v>
      </c>
      <c r="Q157">
        <f t="shared" si="30"/>
        <v>0</v>
      </c>
      <c r="R157">
        <v>0</v>
      </c>
      <c r="S157">
        <f t="shared" si="31"/>
        <v>0</v>
      </c>
      <c r="T157">
        <v>0.02</v>
      </c>
      <c r="U157">
        <f t="shared" si="32"/>
        <v>0</v>
      </c>
      <c r="V157">
        <f t="shared" si="33"/>
        <v>0</v>
      </c>
      <c r="W157">
        <f t="shared" si="34"/>
        <v>0</v>
      </c>
      <c r="X157">
        <v>0</v>
      </c>
    </row>
    <row r="158" spans="1:24" x14ac:dyDescent="0.3">
      <c r="A158" t="s">
        <v>552</v>
      </c>
      <c r="B158" t="s">
        <v>565</v>
      </c>
      <c r="C158">
        <v>29650170</v>
      </c>
      <c r="D158" t="s">
        <v>70</v>
      </c>
      <c r="E158" t="s">
        <v>18</v>
      </c>
      <c r="F158" t="s">
        <v>1</v>
      </c>
      <c r="G158" t="s">
        <v>272</v>
      </c>
      <c r="H158" t="s">
        <v>189</v>
      </c>
      <c r="I158" t="s">
        <v>1</v>
      </c>
      <c r="J158">
        <v>267.79000000000002</v>
      </c>
      <c r="L158">
        <v>0</v>
      </c>
      <c r="M158">
        <v>0</v>
      </c>
      <c r="N158">
        <v>267.79000000000002</v>
      </c>
      <c r="P158">
        <v>0</v>
      </c>
      <c r="Q158">
        <f t="shared" si="30"/>
        <v>0</v>
      </c>
      <c r="R158">
        <v>0</v>
      </c>
      <c r="S158">
        <f t="shared" si="31"/>
        <v>0</v>
      </c>
      <c r="T158">
        <v>3.5000000000000003E-2</v>
      </c>
      <c r="U158">
        <f t="shared" si="32"/>
        <v>0</v>
      </c>
      <c r="V158">
        <f t="shared" si="33"/>
        <v>0</v>
      </c>
      <c r="W158">
        <f t="shared" si="34"/>
        <v>0</v>
      </c>
      <c r="X158">
        <v>0</v>
      </c>
    </row>
    <row r="159" spans="1:24" x14ac:dyDescent="0.3">
      <c r="A159" t="s">
        <v>552</v>
      </c>
      <c r="B159" t="s">
        <v>565</v>
      </c>
      <c r="C159">
        <v>29650170</v>
      </c>
      <c r="D159" t="s">
        <v>70</v>
      </c>
      <c r="E159" t="s">
        <v>19</v>
      </c>
      <c r="F159" t="s">
        <v>1</v>
      </c>
      <c r="G159" t="s">
        <v>272</v>
      </c>
      <c r="H159" t="s">
        <v>190</v>
      </c>
      <c r="I159" t="s">
        <v>1</v>
      </c>
      <c r="J159">
        <v>250.58</v>
      </c>
      <c r="K159">
        <v>910.8</v>
      </c>
      <c r="L159">
        <v>0</v>
      </c>
      <c r="M159">
        <v>0</v>
      </c>
      <c r="N159">
        <v>250.58</v>
      </c>
      <c r="P159">
        <v>0</v>
      </c>
      <c r="Q159">
        <f t="shared" si="30"/>
        <v>0</v>
      </c>
      <c r="R159">
        <v>910.8</v>
      </c>
      <c r="S159">
        <f t="shared" si="31"/>
        <v>910.8</v>
      </c>
      <c r="T159">
        <v>3.5000000000000003E-2</v>
      </c>
      <c r="U159">
        <f t="shared" si="32"/>
        <v>31.878</v>
      </c>
      <c r="V159">
        <f t="shared" si="33"/>
        <v>942.678</v>
      </c>
      <c r="W159">
        <f t="shared" si="34"/>
        <v>942.678</v>
      </c>
      <c r="X159">
        <v>0</v>
      </c>
    </row>
    <row r="160" spans="1:24" x14ac:dyDescent="0.3">
      <c r="A160" t="s">
        <v>552</v>
      </c>
      <c r="B160" t="s">
        <v>565</v>
      </c>
      <c r="C160">
        <v>29650170</v>
      </c>
      <c r="D160" t="s">
        <v>70</v>
      </c>
      <c r="E160" t="s">
        <v>54</v>
      </c>
      <c r="F160" t="s">
        <v>1</v>
      </c>
      <c r="G160" t="s">
        <v>272</v>
      </c>
      <c r="H160" t="s">
        <v>230</v>
      </c>
      <c r="I160" t="s">
        <v>1</v>
      </c>
      <c r="J160">
        <v>267.06</v>
      </c>
      <c r="K160">
        <v>264</v>
      </c>
      <c r="L160">
        <v>151.33000000000001</v>
      </c>
      <c r="M160">
        <v>305.16823204419893</v>
      </c>
      <c r="N160">
        <v>266.04999999999995</v>
      </c>
      <c r="O160">
        <v>302.66000000000003</v>
      </c>
      <c r="P160">
        <v>0</v>
      </c>
      <c r="Q160">
        <f t="shared" si="30"/>
        <v>302.66000000000003</v>
      </c>
      <c r="R160">
        <v>264</v>
      </c>
      <c r="S160">
        <f t="shared" si="31"/>
        <v>-38.660000000000025</v>
      </c>
      <c r="U160">
        <f t="shared" si="32"/>
        <v>0</v>
      </c>
      <c r="V160">
        <f t="shared" si="33"/>
        <v>264</v>
      </c>
      <c r="W160">
        <f t="shared" si="34"/>
        <v>-38.660000000000025</v>
      </c>
      <c r="X160">
        <v>0</v>
      </c>
    </row>
    <row r="161" spans="1:24" x14ac:dyDescent="0.3">
      <c r="A161" t="s">
        <v>552</v>
      </c>
      <c r="B161" t="s">
        <v>565</v>
      </c>
      <c r="C161">
        <v>29650170</v>
      </c>
      <c r="D161" t="s">
        <v>70</v>
      </c>
      <c r="E161" t="s">
        <v>34</v>
      </c>
      <c r="F161" t="s">
        <v>1</v>
      </c>
      <c r="G161" t="s">
        <v>272</v>
      </c>
      <c r="H161" t="s">
        <v>205</v>
      </c>
      <c r="I161" t="s">
        <v>1</v>
      </c>
      <c r="J161">
        <v>1145</v>
      </c>
      <c r="L161">
        <v>0</v>
      </c>
      <c r="M161">
        <v>0</v>
      </c>
      <c r="N161">
        <v>1145</v>
      </c>
      <c r="P161">
        <v>0</v>
      </c>
      <c r="Q161">
        <f t="shared" si="30"/>
        <v>0</v>
      </c>
      <c r="R161">
        <v>0</v>
      </c>
      <c r="S161">
        <f t="shared" si="31"/>
        <v>0</v>
      </c>
      <c r="T161">
        <v>0.03</v>
      </c>
      <c r="U161">
        <f t="shared" si="32"/>
        <v>0</v>
      </c>
      <c r="V161">
        <f t="shared" si="33"/>
        <v>0</v>
      </c>
      <c r="W161">
        <f t="shared" si="34"/>
        <v>0</v>
      </c>
      <c r="X161">
        <v>0</v>
      </c>
    </row>
    <row r="162" spans="1:24" x14ac:dyDescent="0.3">
      <c r="A162" t="s">
        <v>552</v>
      </c>
      <c r="B162" t="s">
        <v>565</v>
      </c>
      <c r="C162">
        <v>29650170</v>
      </c>
      <c r="D162" t="s">
        <v>70</v>
      </c>
      <c r="E162" t="s">
        <v>36</v>
      </c>
      <c r="F162" t="s">
        <v>1</v>
      </c>
      <c r="G162" t="s">
        <v>272</v>
      </c>
      <c r="H162" t="s">
        <v>207</v>
      </c>
      <c r="I162" t="s">
        <v>1</v>
      </c>
      <c r="J162">
        <v>10109.14</v>
      </c>
      <c r="K162">
        <v>11034</v>
      </c>
      <c r="L162">
        <v>6044.83</v>
      </c>
      <c r="M162">
        <v>12189.850552486188</v>
      </c>
      <c r="N162">
        <v>10637.12</v>
      </c>
      <c r="O162">
        <v>12089.66</v>
      </c>
      <c r="P162">
        <v>0</v>
      </c>
      <c r="Q162">
        <f t="shared" si="30"/>
        <v>12089.66</v>
      </c>
      <c r="R162">
        <v>12089.66</v>
      </c>
      <c r="S162">
        <f t="shared" si="31"/>
        <v>0</v>
      </c>
      <c r="T162">
        <v>0.03</v>
      </c>
      <c r="U162">
        <f t="shared" si="32"/>
        <v>362.68979999999999</v>
      </c>
      <c r="V162">
        <f t="shared" si="33"/>
        <v>12452.3498</v>
      </c>
      <c r="W162">
        <f t="shared" si="34"/>
        <v>362.6898000000001</v>
      </c>
      <c r="X162">
        <v>0</v>
      </c>
    </row>
    <row r="163" spans="1:24" x14ac:dyDescent="0.3">
      <c r="A163" t="s">
        <v>552</v>
      </c>
      <c r="B163" t="s">
        <v>565</v>
      </c>
      <c r="C163">
        <v>29650170</v>
      </c>
      <c r="D163" t="s">
        <v>70</v>
      </c>
      <c r="E163" t="s">
        <v>39</v>
      </c>
      <c r="F163" t="s">
        <v>1</v>
      </c>
      <c r="G163" t="s">
        <v>272</v>
      </c>
      <c r="H163" t="s">
        <v>210</v>
      </c>
      <c r="I163" t="s">
        <v>1</v>
      </c>
      <c r="J163">
        <v>10962.6</v>
      </c>
      <c r="K163">
        <v>620.00000000039995</v>
      </c>
      <c r="L163">
        <v>8719.8700000000008</v>
      </c>
      <c r="M163">
        <v>17584.2682320442</v>
      </c>
      <c r="N163">
        <v>14857.87</v>
      </c>
      <c r="O163">
        <v>17439.740000000002</v>
      </c>
      <c r="P163">
        <v>0</v>
      </c>
      <c r="Q163">
        <f t="shared" si="30"/>
        <v>17439.740000000002</v>
      </c>
      <c r="R163">
        <v>10000</v>
      </c>
      <c r="S163">
        <f t="shared" si="31"/>
        <v>-7439.7400000000016</v>
      </c>
      <c r="T163">
        <v>0.03</v>
      </c>
      <c r="U163">
        <f t="shared" si="32"/>
        <v>300</v>
      </c>
      <c r="V163">
        <f t="shared" si="33"/>
        <v>10300</v>
      </c>
      <c r="W163">
        <f t="shared" si="34"/>
        <v>-7139.7400000000016</v>
      </c>
      <c r="X163">
        <v>0</v>
      </c>
    </row>
    <row r="164" spans="1:24" x14ac:dyDescent="0.3">
      <c r="A164" t="s">
        <v>552</v>
      </c>
      <c r="B164" t="s">
        <v>565</v>
      </c>
      <c r="C164">
        <v>29650170</v>
      </c>
      <c r="D164" t="s">
        <v>70</v>
      </c>
      <c r="E164" t="s">
        <v>73</v>
      </c>
      <c r="F164" t="s">
        <v>1</v>
      </c>
      <c r="G164" t="s">
        <v>272</v>
      </c>
      <c r="H164" t="s">
        <v>275</v>
      </c>
      <c r="I164" t="s">
        <v>1</v>
      </c>
      <c r="L164">
        <v>805.96</v>
      </c>
      <c r="M164">
        <v>1625.2784530386741</v>
      </c>
      <c r="N164">
        <v>805.96</v>
      </c>
      <c r="O164">
        <v>1611.92</v>
      </c>
      <c r="P164">
        <v>0</v>
      </c>
      <c r="Q164">
        <f t="shared" si="30"/>
        <v>1611.92</v>
      </c>
      <c r="R164">
        <v>0</v>
      </c>
      <c r="S164">
        <f t="shared" si="31"/>
        <v>-1611.92</v>
      </c>
      <c r="T164">
        <v>0.03</v>
      </c>
      <c r="U164">
        <f t="shared" si="32"/>
        <v>0</v>
      </c>
      <c r="V164">
        <f t="shared" si="33"/>
        <v>0</v>
      </c>
      <c r="W164">
        <f t="shared" si="34"/>
        <v>-1611.92</v>
      </c>
      <c r="X164">
        <v>0</v>
      </c>
    </row>
    <row r="165" spans="1:24" x14ac:dyDescent="0.3">
      <c r="A165" t="s">
        <v>552</v>
      </c>
      <c r="B165" t="s">
        <v>565</v>
      </c>
      <c r="C165">
        <v>29650170</v>
      </c>
      <c r="D165" t="s">
        <v>70</v>
      </c>
      <c r="E165" t="s">
        <v>41</v>
      </c>
      <c r="F165" t="s">
        <v>1</v>
      </c>
      <c r="G165" t="s">
        <v>272</v>
      </c>
      <c r="H165" t="s">
        <v>212</v>
      </c>
      <c r="I165" t="s">
        <v>1</v>
      </c>
      <c r="K165">
        <v>3198</v>
      </c>
      <c r="L165">
        <v>0</v>
      </c>
      <c r="M165">
        <v>0</v>
      </c>
      <c r="N165">
        <v>0</v>
      </c>
      <c r="P165">
        <v>0</v>
      </c>
      <c r="Q165">
        <f t="shared" si="30"/>
        <v>0</v>
      </c>
      <c r="R165">
        <v>0</v>
      </c>
      <c r="S165">
        <f t="shared" si="31"/>
        <v>0</v>
      </c>
      <c r="T165">
        <v>0.03</v>
      </c>
      <c r="U165">
        <f t="shared" si="32"/>
        <v>0</v>
      </c>
      <c r="V165">
        <f t="shared" si="33"/>
        <v>0</v>
      </c>
      <c r="W165">
        <f t="shared" si="34"/>
        <v>0</v>
      </c>
      <c r="X165">
        <v>0</v>
      </c>
    </row>
    <row r="166" spans="1:24" x14ac:dyDescent="0.3">
      <c r="A166" t="s">
        <v>552</v>
      </c>
      <c r="B166" t="s">
        <v>565</v>
      </c>
      <c r="C166">
        <v>29650170</v>
      </c>
      <c r="D166" t="s">
        <v>70</v>
      </c>
      <c r="E166" t="s">
        <v>43</v>
      </c>
      <c r="F166" t="s">
        <v>1</v>
      </c>
      <c r="G166" t="s">
        <v>272</v>
      </c>
      <c r="H166" t="s">
        <v>214</v>
      </c>
      <c r="I166" t="s">
        <v>1</v>
      </c>
      <c r="J166">
        <v>12.38</v>
      </c>
      <c r="L166">
        <v>26.2</v>
      </c>
      <c r="M166">
        <v>52.834254143646405</v>
      </c>
      <c r="N166">
        <v>38.58</v>
      </c>
      <c r="O166">
        <v>52.4</v>
      </c>
      <c r="P166">
        <v>0</v>
      </c>
      <c r="Q166">
        <f t="shared" si="30"/>
        <v>52.4</v>
      </c>
      <c r="R166">
        <v>0</v>
      </c>
      <c r="S166">
        <f t="shared" si="31"/>
        <v>-52.4</v>
      </c>
      <c r="T166">
        <v>0.03</v>
      </c>
      <c r="U166">
        <f t="shared" si="32"/>
        <v>0</v>
      </c>
      <c r="V166">
        <f t="shared" si="33"/>
        <v>0</v>
      </c>
      <c r="W166">
        <f t="shared" si="34"/>
        <v>-52.4</v>
      </c>
      <c r="X166">
        <v>0</v>
      </c>
    </row>
    <row r="167" spans="1:24" x14ac:dyDescent="0.3">
      <c r="A167" t="s">
        <v>552</v>
      </c>
      <c r="B167" t="s">
        <v>565</v>
      </c>
      <c r="C167">
        <v>29650170</v>
      </c>
      <c r="D167" t="s">
        <v>70</v>
      </c>
      <c r="E167" t="s">
        <v>45</v>
      </c>
      <c r="F167" t="s">
        <v>45</v>
      </c>
      <c r="G167" t="s">
        <v>276</v>
      </c>
      <c r="J167">
        <v>157077.01999999999</v>
      </c>
      <c r="K167">
        <v>152628.34823714089</v>
      </c>
      <c r="L167">
        <v>83694.36</v>
      </c>
      <c r="M167">
        <v>168775.91933701662</v>
      </c>
      <c r="N167">
        <v>161666.19999999998</v>
      </c>
      <c r="O167">
        <v>168121.7376923073</v>
      </c>
      <c r="P167">
        <f>SUMIF($F$152:$F$166,"&lt;&gt;EV_*",$P$152:$P$166)</f>
        <v>0</v>
      </c>
      <c r="Q167">
        <f>SUMIF($F$152:$F$166,"&lt;&gt;EV_*",$Q$152:$Q$166)</f>
        <v>168121.7376923073</v>
      </c>
      <c r="R167">
        <f>SUMIF($F$152:$F$166,"&lt;&gt;EV_*",$R$152:$R$166)</f>
        <v>156022.7410585357</v>
      </c>
      <c r="S167">
        <f>SUMIF($F$152:$F$166,"&lt;&gt;EV_*",$S$152:$S$166)</f>
        <v>-12098.996633771589</v>
      </c>
      <c r="T167">
        <v>0</v>
      </c>
      <c r="U167">
        <f>SUMIF($F$152:$F$166,"&lt;&gt;EV_*",$U$152:$U$166)</f>
        <v>3629.9195496412203</v>
      </c>
      <c r="V167">
        <f>SUMIF($F$152:$F$166,"&lt;&gt;EV_*",$V$152:$V$166)</f>
        <v>159652.66060817693</v>
      </c>
      <c r="W167">
        <f>SUMIF($F$152:$F$166,"&lt;&gt;EV_*",$W$152:$W$166)</f>
        <v>-8469.0770841303656</v>
      </c>
      <c r="X167">
        <f>SUMIF($F$152:$F$166,"&lt;&gt;EV_*",$X$152:$X$166)</f>
        <v>0</v>
      </c>
    </row>
    <row r="168" spans="1:24" x14ac:dyDescent="0.3">
      <c r="A168" t="s">
        <v>563</v>
      </c>
      <c r="B168" t="s">
        <v>566</v>
      </c>
      <c r="C168">
        <v>29651005</v>
      </c>
      <c r="D168" t="s">
        <v>74</v>
      </c>
      <c r="E168" t="s">
        <v>5</v>
      </c>
      <c r="F168" t="s">
        <v>5</v>
      </c>
      <c r="G168" t="s">
        <v>277</v>
      </c>
    </row>
    <row r="169" spans="1:24" x14ac:dyDescent="0.3">
      <c r="A169" t="s">
        <v>563</v>
      </c>
      <c r="B169" t="s">
        <v>566</v>
      </c>
      <c r="C169">
        <v>29651005</v>
      </c>
      <c r="D169" t="s">
        <v>74</v>
      </c>
      <c r="E169" t="s">
        <v>16</v>
      </c>
      <c r="F169" t="s">
        <v>1</v>
      </c>
      <c r="G169" t="s">
        <v>278</v>
      </c>
      <c r="H169" t="s">
        <v>187</v>
      </c>
      <c r="I169" t="s">
        <v>1</v>
      </c>
      <c r="J169">
        <v>2670</v>
      </c>
      <c r="L169">
        <v>0</v>
      </c>
      <c r="M169">
        <v>0</v>
      </c>
      <c r="N169">
        <v>2670</v>
      </c>
      <c r="P169">
        <v>0</v>
      </c>
      <c r="Q169">
        <f>O169+P169</f>
        <v>0</v>
      </c>
      <c r="R169">
        <v>0</v>
      </c>
      <c r="S169">
        <f>IF(OR(LEFT(E169,2)="A_",LEFT(D169,5)="Total"),R169-Q169,"")</f>
        <v>0</v>
      </c>
      <c r="T169">
        <v>0.02</v>
      </c>
      <c r="U169">
        <f>IFERROR(R169*T169,R169*0)</f>
        <v>0</v>
      </c>
      <c r="V169">
        <f>IF(OR(LEFT(E169,2)="A_",LEFT(D169,5)="Total"),R169+U169,"")</f>
        <v>0</v>
      </c>
      <c r="W169">
        <f>IF(OR(LEFT(E169,2)="A_",LEFT(D169,5)="Total"),V169-Q169,"")</f>
        <v>0</v>
      </c>
      <c r="X169">
        <v>0</v>
      </c>
    </row>
    <row r="170" spans="1:24" x14ac:dyDescent="0.3">
      <c r="A170" t="s">
        <v>563</v>
      </c>
      <c r="B170" t="s">
        <v>566</v>
      </c>
      <c r="C170">
        <v>29651005</v>
      </c>
      <c r="D170" t="s">
        <v>74</v>
      </c>
      <c r="E170" t="s">
        <v>19</v>
      </c>
      <c r="F170" t="s">
        <v>1</v>
      </c>
      <c r="G170" t="s">
        <v>278</v>
      </c>
      <c r="H170" t="s">
        <v>190</v>
      </c>
      <c r="I170" t="s">
        <v>1</v>
      </c>
      <c r="L170">
        <v>6</v>
      </c>
      <c r="M170">
        <v>12.099447513812153</v>
      </c>
      <c r="N170">
        <v>6</v>
      </c>
      <c r="O170">
        <v>12.099447513799999</v>
      </c>
      <c r="P170">
        <v>0</v>
      </c>
      <c r="Q170">
        <f>O170+P170</f>
        <v>12.099447513799999</v>
      </c>
      <c r="R170">
        <v>0</v>
      </c>
      <c r="S170">
        <f>IF(OR(LEFT(E170,2)="A_",LEFT(D170,5)="Total"),R170-Q170,"")</f>
        <v>-12.099447513799999</v>
      </c>
      <c r="T170">
        <v>3.5000000000000003E-2</v>
      </c>
      <c r="U170">
        <f>IFERROR(R170*T170,R170*0)</f>
        <v>0</v>
      </c>
      <c r="V170">
        <f>IF(OR(LEFT(E170,2)="A_",LEFT(D170,5)="Total"),R170+U170,"")</f>
        <v>0</v>
      </c>
      <c r="W170">
        <f>IF(OR(LEFT(E170,2)="A_",LEFT(D170,5)="Total"),V170-Q170,"")</f>
        <v>-12.099447513799999</v>
      </c>
      <c r="X170">
        <v>0</v>
      </c>
    </row>
    <row r="171" spans="1:24" x14ac:dyDescent="0.3">
      <c r="A171" t="s">
        <v>563</v>
      </c>
      <c r="B171" t="s">
        <v>566</v>
      </c>
      <c r="C171">
        <v>29651005</v>
      </c>
      <c r="D171" t="s">
        <v>74</v>
      </c>
      <c r="E171" t="s">
        <v>23</v>
      </c>
      <c r="F171" t="s">
        <v>1</v>
      </c>
      <c r="G171" t="s">
        <v>278</v>
      </c>
      <c r="H171" t="s">
        <v>194</v>
      </c>
      <c r="I171" t="s">
        <v>1</v>
      </c>
      <c r="L171">
        <v>556.32000000000005</v>
      </c>
      <c r="M171">
        <v>1121.8607734806631</v>
      </c>
      <c r="N171">
        <v>556.32000000000005</v>
      </c>
      <c r="O171">
        <v>1112.6400000000001</v>
      </c>
      <c r="P171">
        <v>0</v>
      </c>
      <c r="Q171">
        <f>O171+P171</f>
        <v>1112.6400000000001</v>
      </c>
      <c r="R171">
        <v>0</v>
      </c>
      <c r="S171">
        <f>IF(OR(LEFT(E171,2)="A_",LEFT(D171,5)="Total"),R171-Q171,"")</f>
        <v>-1112.6400000000001</v>
      </c>
      <c r="U171">
        <f>IFERROR(R171*T171,R171*0)</f>
        <v>0</v>
      </c>
      <c r="V171">
        <f>IF(OR(LEFT(E171,2)="A_",LEFT(D171,5)="Total"),R171+U171,"")</f>
        <v>0</v>
      </c>
      <c r="W171">
        <f>IF(OR(LEFT(E171,2)="A_",LEFT(D171,5)="Total"),V171-Q171,"")</f>
        <v>-1112.6400000000001</v>
      </c>
      <c r="X171">
        <v>0</v>
      </c>
    </row>
    <row r="172" spans="1:24" x14ac:dyDescent="0.3">
      <c r="A172" t="s">
        <v>563</v>
      </c>
      <c r="B172" t="s">
        <v>566</v>
      </c>
      <c r="C172">
        <v>29651005</v>
      </c>
      <c r="D172" t="s">
        <v>74</v>
      </c>
      <c r="E172" t="s">
        <v>24</v>
      </c>
      <c r="F172" t="s">
        <v>1</v>
      </c>
      <c r="G172" t="s">
        <v>278</v>
      </c>
      <c r="H172" t="s">
        <v>195</v>
      </c>
      <c r="I172" t="s">
        <v>1</v>
      </c>
      <c r="J172">
        <v>112.5</v>
      </c>
      <c r="L172">
        <v>0</v>
      </c>
      <c r="M172">
        <v>0</v>
      </c>
      <c r="N172">
        <v>112.5</v>
      </c>
      <c r="P172">
        <v>0</v>
      </c>
      <c r="Q172">
        <f>O172+P172</f>
        <v>0</v>
      </c>
      <c r="R172">
        <v>0</v>
      </c>
      <c r="S172">
        <f>IF(OR(LEFT(E172,2)="A_",LEFT(D172,5)="Total"),R172-Q172,"")</f>
        <v>0</v>
      </c>
      <c r="U172">
        <f>IFERROR(R172*T172,R172*0)</f>
        <v>0</v>
      </c>
      <c r="V172">
        <f>IF(OR(LEFT(E172,2)="A_",LEFT(D172,5)="Total"),R172+U172,"")</f>
        <v>0</v>
      </c>
      <c r="W172">
        <f>IF(OR(LEFT(E172,2)="A_",LEFT(D172,5)="Total"),V172-Q172,"")</f>
        <v>0</v>
      </c>
      <c r="X172">
        <v>0</v>
      </c>
    </row>
    <row r="173" spans="1:24" x14ac:dyDescent="0.3">
      <c r="A173" t="s">
        <v>563</v>
      </c>
      <c r="B173" t="s">
        <v>566</v>
      </c>
      <c r="C173">
        <v>29651005</v>
      </c>
      <c r="D173" t="s">
        <v>74</v>
      </c>
      <c r="E173" t="s">
        <v>41</v>
      </c>
      <c r="F173" t="s">
        <v>1</v>
      </c>
      <c r="G173" t="s">
        <v>278</v>
      </c>
      <c r="H173" t="s">
        <v>212</v>
      </c>
      <c r="I173" t="s">
        <v>1</v>
      </c>
      <c r="L173">
        <v>1094.5899999999999</v>
      </c>
      <c r="M173">
        <v>2207.3223756906077</v>
      </c>
      <c r="N173">
        <v>1094.5899999999999</v>
      </c>
      <c r="O173">
        <v>2189.1799999999998</v>
      </c>
      <c r="P173">
        <v>0</v>
      </c>
      <c r="Q173">
        <f>O173+P173</f>
        <v>2189.1799999999998</v>
      </c>
      <c r="R173">
        <v>0</v>
      </c>
      <c r="S173">
        <f>IF(OR(LEFT(E173,2)="A_",LEFT(D173,5)="Total"),R173-Q173,"")</f>
        <v>-2189.1799999999998</v>
      </c>
      <c r="T173">
        <v>0.03</v>
      </c>
      <c r="U173">
        <f>IFERROR(R173*T173,R173*0)</f>
        <v>0</v>
      </c>
      <c r="V173">
        <f>IF(OR(LEFT(E173,2)="A_",LEFT(D173,5)="Total"),R173+U173,"")</f>
        <v>0</v>
      </c>
      <c r="W173">
        <f>IF(OR(LEFT(E173,2)="A_",LEFT(D173,5)="Total"),V173-Q173,"")</f>
        <v>-2189.1799999999998</v>
      </c>
      <c r="X173">
        <v>0</v>
      </c>
    </row>
    <row r="174" spans="1:24" x14ac:dyDescent="0.3">
      <c r="A174" t="s">
        <v>563</v>
      </c>
      <c r="B174" t="s">
        <v>566</v>
      </c>
      <c r="C174">
        <v>29651005</v>
      </c>
      <c r="D174" t="s">
        <v>74</v>
      </c>
      <c r="E174" t="s">
        <v>45</v>
      </c>
      <c r="F174" t="s">
        <v>45</v>
      </c>
      <c r="G174" t="s">
        <v>279</v>
      </c>
      <c r="J174">
        <v>2782.5</v>
      </c>
      <c r="K174">
        <v>0</v>
      </c>
      <c r="L174">
        <v>1656.9099999999999</v>
      </c>
      <c r="M174">
        <v>3341.2825966850833</v>
      </c>
      <c r="N174">
        <v>4439.41</v>
      </c>
      <c r="O174">
        <v>3313.9194475138002</v>
      </c>
      <c r="P174">
        <f>SUMIF($F$168:$F$173,"&lt;&gt;EV_*",$P$168:$P$173)</f>
        <v>0</v>
      </c>
      <c r="Q174">
        <f>SUMIF($F$168:$F$173,"&lt;&gt;EV_*",$Q$168:$Q$173)</f>
        <v>3313.9194475138002</v>
      </c>
      <c r="R174">
        <f>SUMIF($F$168:$F$173,"&lt;&gt;EV_*",$R$168:$R$173)</f>
        <v>0</v>
      </c>
      <c r="S174">
        <f>SUMIF($F$168:$F$173,"&lt;&gt;EV_*",$S$168:$S$173)</f>
        <v>-3313.9194475138002</v>
      </c>
      <c r="T174">
        <v>0</v>
      </c>
      <c r="U174">
        <f>SUMIF($F$168:$F$173,"&lt;&gt;EV_*",$U$168:$U$173)</f>
        <v>0</v>
      </c>
      <c r="V174">
        <f>SUMIF($F$168:$F$173,"&lt;&gt;EV_*",$V$168:$V$173)</f>
        <v>0</v>
      </c>
      <c r="W174">
        <f>SUMIF($F$168:$F$173,"&lt;&gt;EV_*",$W$168:$W$173)</f>
        <v>-3313.9194475138002</v>
      </c>
      <c r="X174">
        <f>SUMIF($F$168:$F$173,"&lt;&gt;EV_*",$X$168:$X$173)</f>
        <v>0</v>
      </c>
    </row>
    <row r="175" spans="1:24" x14ac:dyDescent="0.3">
      <c r="A175" t="s">
        <v>563</v>
      </c>
      <c r="B175" t="s">
        <v>563</v>
      </c>
      <c r="C175">
        <v>29651010</v>
      </c>
      <c r="D175" t="s">
        <v>75</v>
      </c>
      <c r="E175" t="s">
        <v>5</v>
      </c>
      <c r="F175" t="s">
        <v>5</v>
      </c>
      <c r="G175" t="s">
        <v>280</v>
      </c>
    </row>
    <row r="176" spans="1:24" x14ac:dyDescent="0.3">
      <c r="A176" t="s">
        <v>563</v>
      </c>
      <c r="B176" t="s">
        <v>563</v>
      </c>
      <c r="C176">
        <v>29651010</v>
      </c>
      <c r="D176" t="s">
        <v>75</v>
      </c>
      <c r="E176" t="s">
        <v>76</v>
      </c>
      <c r="F176" t="s">
        <v>1</v>
      </c>
      <c r="G176" t="s">
        <v>281</v>
      </c>
      <c r="H176" t="s">
        <v>282</v>
      </c>
      <c r="I176" t="s">
        <v>1</v>
      </c>
      <c r="J176">
        <v>1091.6400000000001</v>
      </c>
      <c r="L176">
        <v>0</v>
      </c>
      <c r="M176">
        <v>0</v>
      </c>
      <c r="N176">
        <v>0</v>
      </c>
      <c r="P176">
        <v>0</v>
      </c>
      <c r="Q176">
        <f t="shared" ref="Q176:Q207" si="35">O176+P176</f>
        <v>0</v>
      </c>
      <c r="R176">
        <v>0</v>
      </c>
      <c r="S176">
        <f t="shared" ref="S176:S207" si="36">IF(OR(LEFT(E176,2)="A_",LEFT(D176,5)="Total"),R176-Q176,"")</f>
        <v>0</v>
      </c>
      <c r="U176">
        <f t="shared" ref="U176:U207" si="37">IFERROR(R176*T176,R176*0)</f>
        <v>0</v>
      </c>
      <c r="V176">
        <f t="shared" ref="V176:V207" si="38">IF(OR(LEFT(E176,2)="A_",LEFT(D176,5)="Total"),R176+U176,"")</f>
        <v>0</v>
      </c>
      <c r="W176">
        <f t="shared" ref="W176:W207" si="39">IF(OR(LEFT(E176,2)="A_",LEFT(D176,5)="Total"),V176-Q176,"")</f>
        <v>0</v>
      </c>
      <c r="X176">
        <v>0</v>
      </c>
    </row>
    <row r="177" spans="1:24" x14ac:dyDescent="0.3">
      <c r="A177" t="s">
        <v>563</v>
      </c>
      <c r="B177" t="s">
        <v>563</v>
      </c>
      <c r="C177">
        <v>29651010</v>
      </c>
      <c r="D177" t="s">
        <v>75</v>
      </c>
      <c r="E177" t="s">
        <v>77</v>
      </c>
      <c r="F177" t="s">
        <v>1</v>
      </c>
      <c r="G177" t="s">
        <v>281</v>
      </c>
      <c r="H177" t="s">
        <v>283</v>
      </c>
      <c r="I177" t="s">
        <v>1</v>
      </c>
      <c r="J177">
        <v>218.01</v>
      </c>
      <c r="L177">
        <v>0</v>
      </c>
      <c r="M177">
        <v>0</v>
      </c>
      <c r="N177">
        <v>84.03</v>
      </c>
      <c r="P177">
        <v>0</v>
      </c>
      <c r="Q177">
        <f t="shared" si="35"/>
        <v>0</v>
      </c>
      <c r="R177">
        <v>0</v>
      </c>
      <c r="S177">
        <f t="shared" si="36"/>
        <v>0</v>
      </c>
      <c r="T177">
        <v>0.02</v>
      </c>
      <c r="U177">
        <f t="shared" si="37"/>
        <v>0</v>
      </c>
      <c r="V177">
        <f t="shared" si="38"/>
        <v>0</v>
      </c>
      <c r="W177">
        <f t="shared" si="39"/>
        <v>0</v>
      </c>
      <c r="X177">
        <v>0</v>
      </c>
    </row>
    <row r="178" spans="1:24" x14ac:dyDescent="0.3">
      <c r="A178" t="s">
        <v>563</v>
      </c>
      <c r="B178" t="s">
        <v>563</v>
      </c>
      <c r="C178">
        <v>29651010</v>
      </c>
      <c r="D178" t="s">
        <v>75</v>
      </c>
      <c r="E178" t="s">
        <v>11</v>
      </c>
      <c r="F178" t="s">
        <v>1</v>
      </c>
      <c r="G178" t="s">
        <v>281</v>
      </c>
      <c r="H178" t="s">
        <v>182</v>
      </c>
      <c r="I178" t="s">
        <v>1</v>
      </c>
      <c r="J178">
        <v>880820.64</v>
      </c>
      <c r="K178">
        <v>816082.99999999895</v>
      </c>
      <c r="L178">
        <v>391949.6</v>
      </c>
      <c r="M178">
        <v>790395.60220994474</v>
      </c>
      <c r="N178">
        <v>823953.88000000012</v>
      </c>
      <c r="O178">
        <v>783899.2</v>
      </c>
      <c r="P178">
        <v>0</v>
      </c>
      <c r="Q178">
        <f t="shared" si="35"/>
        <v>783899.2</v>
      </c>
      <c r="R178">
        <v>783899.2</v>
      </c>
      <c r="S178">
        <f t="shared" si="36"/>
        <v>0</v>
      </c>
      <c r="U178">
        <f t="shared" si="37"/>
        <v>0</v>
      </c>
      <c r="V178">
        <f t="shared" si="38"/>
        <v>783899.2</v>
      </c>
      <c r="W178">
        <f t="shared" si="39"/>
        <v>0</v>
      </c>
      <c r="X178" t="s">
        <v>455</v>
      </c>
    </row>
    <row r="179" spans="1:24" x14ac:dyDescent="0.3">
      <c r="A179" t="s">
        <v>563</v>
      </c>
      <c r="B179" t="s">
        <v>563</v>
      </c>
      <c r="C179">
        <v>29651010</v>
      </c>
      <c r="D179" t="s">
        <v>75</v>
      </c>
      <c r="E179" t="s">
        <v>12</v>
      </c>
      <c r="F179" t="s">
        <v>1</v>
      </c>
      <c r="G179" t="s">
        <v>281</v>
      </c>
      <c r="H179" t="s">
        <v>183</v>
      </c>
      <c r="I179" t="s">
        <v>1</v>
      </c>
      <c r="J179">
        <v>7455.85</v>
      </c>
      <c r="K179">
        <v>7167.9999999995998</v>
      </c>
      <c r="L179">
        <v>3459.07</v>
      </c>
      <c r="M179">
        <v>6975.4726519337019</v>
      </c>
      <c r="N179">
        <v>7360.27</v>
      </c>
      <c r="O179">
        <v>6918.14</v>
      </c>
      <c r="P179">
        <v>0</v>
      </c>
      <c r="Q179">
        <f t="shared" si="35"/>
        <v>6918.14</v>
      </c>
      <c r="R179">
        <v>6918.14</v>
      </c>
      <c r="S179">
        <f t="shared" si="36"/>
        <v>0</v>
      </c>
      <c r="U179">
        <f t="shared" si="37"/>
        <v>0</v>
      </c>
      <c r="V179">
        <f t="shared" si="38"/>
        <v>6918.14</v>
      </c>
      <c r="W179">
        <f t="shared" si="39"/>
        <v>0</v>
      </c>
      <c r="X179">
        <v>0</v>
      </c>
    </row>
    <row r="180" spans="1:24" x14ac:dyDescent="0.3">
      <c r="A180" t="s">
        <v>563</v>
      </c>
      <c r="B180" t="s">
        <v>563</v>
      </c>
      <c r="C180">
        <v>29651010</v>
      </c>
      <c r="D180" t="s">
        <v>75</v>
      </c>
      <c r="E180" t="s">
        <v>78</v>
      </c>
      <c r="F180" t="s">
        <v>1</v>
      </c>
      <c r="G180" t="s">
        <v>281</v>
      </c>
      <c r="H180" t="s">
        <v>284</v>
      </c>
      <c r="I180" t="s">
        <v>1</v>
      </c>
      <c r="J180">
        <v>158675</v>
      </c>
      <c r="K180">
        <v>184140</v>
      </c>
      <c r="L180">
        <v>92350</v>
      </c>
      <c r="M180">
        <v>186230.66298342543</v>
      </c>
      <c r="N180">
        <v>41455</v>
      </c>
      <c r="O180">
        <v>184700</v>
      </c>
      <c r="P180">
        <v>0</v>
      </c>
      <c r="Q180">
        <f t="shared" si="35"/>
        <v>184700</v>
      </c>
      <c r="R180">
        <v>180000</v>
      </c>
      <c r="S180">
        <f t="shared" si="36"/>
        <v>-4700</v>
      </c>
      <c r="U180">
        <f t="shared" si="37"/>
        <v>0</v>
      </c>
      <c r="V180">
        <f t="shared" si="38"/>
        <v>180000</v>
      </c>
      <c r="W180">
        <f t="shared" si="39"/>
        <v>-4700</v>
      </c>
      <c r="X180" t="s">
        <v>456</v>
      </c>
    </row>
    <row r="181" spans="1:24" x14ac:dyDescent="0.3">
      <c r="A181" t="s">
        <v>563</v>
      </c>
      <c r="B181" t="s">
        <v>563</v>
      </c>
      <c r="C181">
        <v>29651010</v>
      </c>
      <c r="D181" t="s">
        <v>75</v>
      </c>
      <c r="E181" t="s">
        <v>79</v>
      </c>
      <c r="F181" t="s">
        <v>1</v>
      </c>
      <c r="G181" t="s">
        <v>281</v>
      </c>
      <c r="H181" t="s">
        <v>285</v>
      </c>
      <c r="I181" t="s">
        <v>1</v>
      </c>
      <c r="J181">
        <v>53397</v>
      </c>
      <c r="K181">
        <v>36000</v>
      </c>
      <c r="L181">
        <v>28600</v>
      </c>
      <c r="M181">
        <v>57674.033149171271</v>
      </c>
      <c r="N181">
        <v>64850</v>
      </c>
      <c r="O181">
        <v>57200</v>
      </c>
      <c r="P181">
        <v>0</v>
      </c>
      <c r="Q181">
        <f t="shared" si="35"/>
        <v>57200</v>
      </c>
      <c r="R181">
        <v>57200</v>
      </c>
      <c r="S181">
        <f t="shared" si="36"/>
        <v>0</v>
      </c>
      <c r="U181">
        <f t="shared" si="37"/>
        <v>0</v>
      </c>
      <c r="V181">
        <f t="shared" si="38"/>
        <v>57200</v>
      </c>
      <c r="W181">
        <f t="shared" si="39"/>
        <v>0</v>
      </c>
      <c r="X181" t="s">
        <v>457</v>
      </c>
    </row>
    <row r="182" spans="1:24" x14ac:dyDescent="0.3">
      <c r="A182" t="s">
        <v>563</v>
      </c>
      <c r="B182" t="s">
        <v>563</v>
      </c>
      <c r="C182">
        <v>29651010</v>
      </c>
      <c r="D182" t="s">
        <v>75</v>
      </c>
      <c r="E182" t="s">
        <v>14</v>
      </c>
      <c r="F182" t="s">
        <v>1</v>
      </c>
      <c r="G182" t="s">
        <v>281</v>
      </c>
      <c r="H182" t="s">
        <v>185</v>
      </c>
      <c r="I182" t="s">
        <v>1</v>
      </c>
      <c r="L182">
        <v>283.05</v>
      </c>
      <c r="M182">
        <v>570.79143646408841</v>
      </c>
      <c r="N182">
        <v>283.05</v>
      </c>
      <c r="O182">
        <v>566.1</v>
      </c>
      <c r="P182">
        <v>0</v>
      </c>
      <c r="Q182">
        <f t="shared" si="35"/>
        <v>566.1</v>
      </c>
      <c r="R182">
        <v>566.1</v>
      </c>
      <c r="S182">
        <f t="shared" si="36"/>
        <v>0</v>
      </c>
      <c r="U182">
        <f t="shared" si="37"/>
        <v>0</v>
      </c>
      <c r="V182">
        <f t="shared" si="38"/>
        <v>566.1</v>
      </c>
      <c r="W182">
        <f t="shared" si="39"/>
        <v>0</v>
      </c>
      <c r="X182" t="s">
        <v>458</v>
      </c>
    </row>
    <row r="183" spans="1:24" x14ac:dyDescent="0.3">
      <c r="A183" t="s">
        <v>563</v>
      </c>
      <c r="B183" t="s">
        <v>563</v>
      </c>
      <c r="C183">
        <v>29651010</v>
      </c>
      <c r="D183" t="s">
        <v>75</v>
      </c>
      <c r="E183" t="s">
        <v>80</v>
      </c>
      <c r="F183" t="s">
        <v>1</v>
      </c>
      <c r="G183" t="s">
        <v>281</v>
      </c>
      <c r="H183" t="s">
        <v>286</v>
      </c>
      <c r="I183" t="s">
        <v>1</v>
      </c>
      <c r="J183">
        <v>-6222.93</v>
      </c>
      <c r="K183">
        <v>-6980.7699999996003</v>
      </c>
      <c r="L183">
        <v>-2164.1799999999998</v>
      </c>
      <c r="M183">
        <v>-4364.2303867403307</v>
      </c>
      <c r="N183">
        <v>-3949.91</v>
      </c>
      <c r="O183">
        <v>-4352.1421978021999</v>
      </c>
      <c r="P183">
        <v>0</v>
      </c>
      <c r="Q183">
        <f t="shared" si="35"/>
        <v>-4352.1421978021999</v>
      </c>
      <c r="R183">
        <v>0</v>
      </c>
      <c r="S183">
        <f t="shared" si="36"/>
        <v>4352.1421978021999</v>
      </c>
      <c r="U183">
        <f t="shared" si="37"/>
        <v>0</v>
      </c>
      <c r="V183">
        <f t="shared" si="38"/>
        <v>0</v>
      </c>
      <c r="W183">
        <f t="shared" si="39"/>
        <v>4352.1421978021999</v>
      </c>
      <c r="X183">
        <v>0</v>
      </c>
    </row>
    <row r="184" spans="1:24" x14ac:dyDescent="0.3">
      <c r="A184" t="s">
        <v>563</v>
      </c>
      <c r="B184" t="s">
        <v>563</v>
      </c>
      <c r="C184">
        <v>29651010</v>
      </c>
      <c r="D184" t="s">
        <v>75</v>
      </c>
      <c r="E184" t="s">
        <v>15</v>
      </c>
      <c r="F184" t="s">
        <v>1</v>
      </c>
      <c r="G184" t="s">
        <v>281</v>
      </c>
      <c r="H184" t="s">
        <v>186</v>
      </c>
      <c r="I184" t="s">
        <v>1</v>
      </c>
      <c r="J184">
        <v>-400874.59</v>
      </c>
      <c r="K184">
        <v>-335596</v>
      </c>
      <c r="L184">
        <v>-155898.51999999999</v>
      </c>
      <c r="M184">
        <v>-314380.9933701657</v>
      </c>
      <c r="N184">
        <v>-319212.69999999995</v>
      </c>
      <c r="O184">
        <v>-313510.210549451</v>
      </c>
      <c r="P184">
        <v>0</v>
      </c>
      <c r="Q184">
        <f t="shared" si="35"/>
        <v>-313510.210549451</v>
      </c>
      <c r="R184">
        <v>-313510.210549451</v>
      </c>
      <c r="S184">
        <f t="shared" si="36"/>
        <v>0</v>
      </c>
      <c r="U184">
        <f t="shared" si="37"/>
        <v>0</v>
      </c>
      <c r="V184">
        <f t="shared" si="38"/>
        <v>-313510.210549451</v>
      </c>
      <c r="W184">
        <f t="shared" si="39"/>
        <v>0</v>
      </c>
      <c r="X184">
        <v>0</v>
      </c>
    </row>
    <row r="185" spans="1:24" x14ac:dyDescent="0.3">
      <c r="A185" t="s">
        <v>563</v>
      </c>
      <c r="B185" t="s">
        <v>563</v>
      </c>
      <c r="C185">
        <v>29651010</v>
      </c>
      <c r="D185" t="s">
        <v>75</v>
      </c>
      <c r="E185" t="s">
        <v>71</v>
      </c>
      <c r="F185" t="s">
        <v>1</v>
      </c>
      <c r="G185" t="s">
        <v>281</v>
      </c>
      <c r="H185" t="s">
        <v>273</v>
      </c>
      <c r="I185" t="s">
        <v>1</v>
      </c>
      <c r="J185">
        <v>38248.230000000003</v>
      </c>
      <c r="K185">
        <v>38186.190570987703</v>
      </c>
      <c r="L185">
        <v>28470.16</v>
      </c>
      <c r="M185">
        <v>57412.201104972381</v>
      </c>
      <c r="N185">
        <v>46936.650000000009</v>
      </c>
      <c r="O185">
        <v>57253.178901098901</v>
      </c>
      <c r="P185">
        <v>0</v>
      </c>
      <c r="Q185">
        <f t="shared" si="35"/>
        <v>57253.178901098901</v>
      </c>
      <c r="R185">
        <v>57253.178901098901</v>
      </c>
      <c r="S185">
        <f t="shared" si="36"/>
        <v>0</v>
      </c>
      <c r="T185">
        <v>2.75E-2</v>
      </c>
      <c r="U185">
        <f t="shared" si="37"/>
        <v>1574.4624197802198</v>
      </c>
      <c r="V185">
        <f t="shared" si="38"/>
        <v>58827.64132087912</v>
      </c>
      <c r="W185">
        <f t="shared" si="39"/>
        <v>1574.4624197802186</v>
      </c>
      <c r="X185">
        <v>0</v>
      </c>
    </row>
    <row r="186" spans="1:24" x14ac:dyDescent="0.3">
      <c r="A186" t="s">
        <v>563</v>
      </c>
      <c r="B186" t="s">
        <v>563</v>
      </c>
      <c r="C186">
        <v>29651010</v>
      </c>
      <c r="D186" t="s">
        <v>75</v>
      </c>
      <c r="E186" t="s">
        <v>72</v>
      </c>
      <c r="F186" t="s">
        <v>1</v>
      </c>
      <c r="G186" t="s">
        <v>281</v>
      </c>
      <c r="H186" t="s">
        <v>274</v>
      </c>
      <c r="I186" t="s">
        <v>1</v>
      </c>
      <c r="J186">
        <v>10873.34</v>
      </c>
      <c r="K186">
        <v>15195.9535997941</v>
      </c>
      <c r="L186">
        <v>3851.14</v>
      </c>
      <c r="M186">
        <v>7766.111049723756</v>
      </c>
      <c r="N186">
        <v>5750.8399999999992</v>
      </c>
      <c r="O186">
        <v>7744.6002197802</v>
      </c>
      <c r="P186">
        <v>0</v>
      </c>
      <c r="Q186">
        <f t="shared" si="35"/>
        <v>7744.6002197802</v>
      </c>
      <c r="R186">
        <v>7744.6002197802</v>
      </c>
      <c r="S186">
        <f t="shared" si="36"/>
        <v>0</v>
      </c>
      <c r="T186">
        <v>2.2499999999999999E-2</v>
      </c>
      <c r="U186">
        <f t="shared" si="37"/>
        <v>174.25350494505449</v>
      </c>
      <c r="V186">
        <f t="shared" si="38"/>
        <v>7918.8537247252543</v>
      </c>
      <c r="W186">
        <f t="shared" si="39"/>
        <v>174.25350494505437</v>
      </c>
      <c r="X186">
        <v>0</v>
      </c>
    </row>
    <row r="187" spans="1:24" x14ac:dyDescent="0.3">
      <c r="A187" t="s">
        <v>563</v>
      </c>
      <c r="B187" t="s">
        <v>563</v>
      </c>
      <c r="C187">
        <v>29651010</v>
      </c>
      <c r="D187" t="s">
        <v>75</v>
      </c>
      <c r="E187" t="s">
        <v>81</v>
      </c>
      <c r="F187" t="s">
        <v>1</v>
      </c>
      <c r="G187" t="s">
        <v>281</v>
      </c>
      <c r="H187" t="s">
        <v>287</v>
      </c>
      <c r="I187" t="s">
        <v>1</v>
      </c>
      <c r="J187">
        <v>7623.25</v>
      </c>
      <c r="K187">
        <v>13623.630167695601</v>
      </c>
      <c r="L187">
        <v>1192</v>
      </c>
      <c r="M187">
        <v>2403.756906077348</v>
      </c>
      <c r="N187">
        <v>872</v>
      </c>
      <c r="O187">
        <v>2397.0989010989001</v>
      </c>
      <c r="P187">
        <v>0</v>
      </c>
      <c r="Q187">
        <f t="shared" si="35"/>
        <v>2397.0989010989001</v>
      </c>
      <c r="R187">
        <v>2397.0989010989001</v>
      </c>
      <c r="S187">
        <f t="shared" si="36"/>
        <v>0</v>
      </c>
      <c r="T187">
        <v>2.2499999999999999E-2</v>
      </c>
      <c r="U187">
        <f t="shared" si="37"/>
        <v>53.934725274725253</v>
      </c>
      <c r="V187">
        <f t="shared" si="38"/>
        <v>2451.0336263736253</v>
      </c>
      <c r="W187">
        <f t="shared" si="39"/>
        <v>53.934725274725224</v>
      </c>
      <c r="X187">
        <v>0</v>
      </c>
    </row>
    <row r="188" spans="1:24" x14ac:dyDescent="0.3">
      <c r="A188" t="s">
        <v>563</v>
      </c>
      <c r="B188" t="s">
        <v>563</v>
      </c>
      <c r="C188">
        <v>29651010</v>
      </c>
      <c r="D188" t="s">
        <v>75</v>
      </c>
      <c r="E188" t="s">
        <v>82</v>
      </c>
      <c r="F188" t="s">
        <v>1</v>
      </c>
      <c r="G188" t="s">
        <v>281</v>
      </c>
      <c r="H188" t="s">
        <v>288</v>
      </c>
      <c r="I188" t="s">
        <v>1</v>
      </c>
      <c r="J188">
        <v>124481.97</v>
      </c>
      <c r="K188">
        <v>151895.789034502</v>
      </c>
      <c r="L188">
        <v>72830.36</v>
      </c>
      <c r="M188">
        <v>146867.85303867402</v>
      </c>
      <c r="N188">
        <v>119632.66999999998</v>
      </c>
      <c r="O188">
        <v>146461.05362637399</v>
      </c>
      <c r="P188">
        <v>0</v>
      </c>
      <c r="Q188">
        <f t="shared" si="35"/>
        <v>146461.05362637399</v>
      </c>
      <c r="R188">
        <v>146461.05362637399</v>
      </c>
      <c r="S188">
        <f t="shared" si="36"/>
        <v>0</v>
      </c>
      <c r="T188">
        <v>1.4999999999999999E-2</v>
      </c>
      <c r="U188">
        <f t="shared" si="37"/>
        <v>2196.9158043956099</v>
      </c>
      <c r="V188">
        <f t="shared" si="38"/>
        <v>148657.96943076959</v>
      </c>
      <c r="W188">
        <f t="shared" si="39"/>
        <v>2196.9158043955977</v>
      </c>
      <c r="X188">
        <v>0</v>
      </c>
    </row>
    <row r="189" spans="1:24" x14ac:dyDescent="0.3">
      <c r="A189" t="s">
        <v>563</v>
      </c>
      <c r="B189" t="s">
        <v>563</v>
      </c>
      <c r="C189">
        <v>29651010</v>
      </c>
      <c r="D189" t="s">
        <v>75</v>
      </c>
      <c r="E189" t="s">
        <v>49</v>
      </c>
      <c r="F189" t="s">
        <v>1</v>
      </c>
      <c r="G189" t="s">
        <v>281</v>
      </c>
      <c r="H189" t="s">
        <v>225</v>
      </c>
      <c r="I189" t="s">
        <v>1</v>
      </c>
      <c r="J189">
        <v>1581047.64</v>
      </c>
      <c r="K189">
        <v>1867550</v>
      </c>
      <c r="L189">
        <v>799057.36</v>
      </c>
      <c r="M189">
        <v>1611358.7646408838</v>
      </c>
      <c r="N189">
        <v>1555130.9</v>
      </c>
      <c r="O189">
        <v>1606895.5701098901</v>
      </c>
      <c r="P189">
        <v>0</v>
      </c>
      <c r="Q189">
        <f t="shared" si="35"/>
        <v>1606895.5701098901</v>
      </c>
      <c r="R189">
        <v>1606895.5701098901</v>
      </c>
      <c r="S189">
        <f t="shared" si="36"/>
        <v>0</v>
      </c>
      <c r="T189">
        <v>2.5000000000000001E-2</v>
      </c>
      <c r="U189">
        <f t="shared" si="37"/>
        <v>40172.389252747256</v>
      </c>
      <c r="V189">
        <f t="shared" si="38"/>
        <v>1647067.9593626373</v>
      </c>
      <c r="W189">
        <f t="shared" si="39"/>
        <v>40172.389252747176</v>
      </c>
      <c r="X189">
        <v>0</v>
      </c>
    </row>
    <row r="190" spans="1:24" x14ac:dyDescent="0.3">
      <c r="A190" t="s">
        <v>563</v>
      </c>
      <c r="B190" t="s">
        <v>563</v>
      </c>
      <c r="C190">
        <v>29651010</v>
      </c>
      <c r="D190" t="s">
        <v>75</v>
      </c>
      <c r="E190" t="s">
        <v>83</v>
      </c>
      <c r="F190" t="s">
        <v>1</v>
      </c>
      <c r="G190" t="s">
        <v>281</v>
      </c>
      <c r="H190" t="s">
        <v>289</v>
      </c>
      <c r="I190" t="s">
        <v>1</v>
      </c>
      <c r="J190">
        <v>1364971.98</v>
      </c>
      <c r="K190">
        <v>1474260.05893671</v>
      </c>
      <c r="L190">
        <v>679963.28</v>
      </c>
      <c r="M190">
        <v>1371196.6696132596</v>
      </c>
      <c r="N190">
        <v>1206478.06</v>
      </c>
      <c r="O190">
        <v>1367398.6839560401</v>
      </c>
      <c r="P190">
        <v>0</v>
      </c>
      <c r="Q190">
        <f t="shared" si="35"/>
        <v>1367398.6839560401</v>
      </c>
      <c r="R190">
        <v>1367398.6839560401</v>
      </c>
      <c r="S190">
        <f t="shared" si="36"/>
        <v>0</v>
      </c>
      <c r="T190">
        <v>0.03</v>
      </c>
      <c r="U190">
        <f t="shared" si="37"/>
        <v>41021.960518681204</v>
      </c>
      <c r="V190">
        <f t="shared" si="38"/>
        <v>1408420.6444747213</v>
      </c>
      <c r="W190">
        <f t="shared" si="39"/>
        <v>41021.960518681211</v>
      </c>
      <c r="X190">
        <v>0</v>
      </c>
    </row>
    <row r="191" spans="1:24" x14ac:dyDescent="0.3">
      <c r="A191" t="s">
        <v>563</v>
      </c>
      <c r="B191" t="s">
        <v>563</v>
      </c>
      <c r="C191">
        <v>29651010</v>
      </c>
      <c r="D191" t="s">
        <v>75</v>
      </c>
      <c r="E191" t="s">
        <v>50</v>
      </c>
      <c r="F191" t="s">
        <v>1</v>
      </c>
      <c r="G191" t="s">
        <v>281</v>
      </c>
      <c r="H191" t="s">
        <v>226</v>
      </c>
      <c r="I191" t="s">
        <v>1</v>
      </c>
      <c r="J191">
        <v>984209.82</v>
      </c>
      <c r="K191">
        <v>1138847.5</v>
      </c>
      <c r="L191">
        <v>570523.30000000005</v>
      </c>
      <c r="M191">
        <v>1150502.7872928178</v>
      </c>
      <c r="N191">
        <v>1022303.8500000001</v>
      </c>
      <c r="O191">
        <v>1147316.08681319</v>
      </c>
      <c r="P191">
        <v>0</v>
      </c>
      <c r="Q191">
        <f t="shared" si="35"/>
        <v>1147316.08681319</v>
      </c>
      <c r="R191">
        <v>1147316.08681319</v>
      </c>
      <c r="S191">
        <f t="shared" si="36"/>
        <v>0</v>
      </c>
      <c r="T191">
        <v>3.2500000000000001E-2</v>
      </c>
      <c r="U191">
        <f t="shared" si="37"/>
        <v>37287.772821428676</v>
      </c>
      <c r="V191">
        <f t="shared" si="38"/>
        <v>1184603.8596346187</v>
      </c>
      <c r="W191">
        <f t="shared" si="39"/>
        <v>37287.77282142872</v>
      </c>
      <c r="X191">
        <v>0</v>
      </c>
    </row>
    <row r="192" spans="1:24" x14ac:dyDescent="0.3">
      <c r="A192" t="s">
        <v>563</v>
      </c>
      <c r="B192" t="s">
        <v>563</v>
      </c>
      <c r="C192">
        <v>29651010</v>
      </c>
      <c r="D192" t="s">
        <v>75</v>
      </c>
      <c r="E192" t="s">
        <v>16</v>
      </c>
      <c r="F192" t="s">
        <v>1</v>
      </c>
      <c r="G192" t="s">
        <v>281</v>
      </c>
      <c r="H192" t="s">
        <v>187</v>
      </c>
      <c r="I192" t="s">
        <v>1</v>
      </c>
      <c r="J192">
        <v>1655015.49</v>
      </c>
      <c r="K192">
        <v>1603149.54</v>
      </c>
      <c r="L192">
        <v>1077690.6200000001</v>
      </c>
      <c r="M192">
        <v>2173243.5154696135</v>
      </c>
      <c r="N192">
        <v>1938352.74</v>
      </c>
      <c r="O192">
        <v>2167223.9940659301</v>
      </c>
      <c r="P192">
        <v>0</v>
      </c>
      <c r="Q192">
        <f t="shared" si="35"/>
        <v>2167223.9940659301</v>
      </c>
      <c r="R192">
        <v>2167223.9940659301</v>
      </c>
      <c r="S192">
        <f t="shared" si="36"/>
        <v>0</v>
      </c>
      <c r="T192">
        <v>0.02</v>
      </c>
      <c r="U192">
        <f t="shared" si="37"/>
        <v>43344.479881318606</v>
      </c>
      <c r="V192">
        <f t="shared" si="38"/>
        <v>2210568.4739472489</v>
      </c>
      <c r="W192">
        <f t="shared" si="39"/>
        <v>43344.479881318752</v>
      </c>
      <c r="X192">
        <v>0</v>
      </c>
    </row>
    <row r="193" spans="1:24" x14ac:dyDescent="0.3">
      <c r="A193" t="s">
        <v>563</v>
      </c>
      <c r="B193" t="s">
        <v>563</v>
      </c>
      <c r="C193">
        <v>29651010</v>
      </c>
      <c r="D193" t="s">
        <v>75</v>
      </c>
      <c r="E193" t="s">
        <v>84</v>
      </c>
      <c r="F193" t="s">
        <v>1</v>
      </c>
      <c r="G193" t="s">
        <v>281</v>
      </c>
      <c r="H193" t="s">
        <v>290</v>
      </c>
      <c r="I193" t="s">
        <v>1</v>
      </c>
      <c r="J193">
        <v>1362.25</v>
      </c>
      <c r="K193">
        <v>1750.0469629631</v>
      </c>
      <c r="L193">
        <v>402.62</v>
      </c>
      <c r="M193">
        <v>811.9132596685082</v>
      </c>
      <c r="N193">
        <v>636.9</v>
      </c>
      <c r="O193">
        <v>809.66439560440006</v>
      </c>
      <c r="P193">
        <v>0</v>
      </c>
      <c r="Q193">
        <f t="shared" si="35"/>
        <v>809.66439560440006</v>
      </c>
      <c r="R193">
        <v>809.66439560440006</v>
      </c>
      <c r="S193">
        <f t="shared" si="36"/>
        <v>0</v>
      </c>
      <c r="T193">
        <v>0.04</v>
      </c>
      <c r="U193">
        <f t="shared" si="37"/>
        <v>32.386575824176006</v>
      </c>
      <c r="V193">
        <f t="shared" si="38"/>
        <v>842.05097142857608</v>
      </c>
      <c r="W193">
        <f t="shared" si="39"/>
        <v>32.38657582417602</v>
      </c>
      <c r="X193">
        <v>0</v>
      </c>
    </row>
    <row r="194" spans="1:24" x14ac:dyDescent="0.3">
      <c r="A194" t="s">
        <v>563</v>
      </c>
      <c r="B194" t="s">
        <v>563</v>
      </c>
      <c r="C194">
        <v>29651010</v>
      </c>
      <c r="D194" t="s">
        <v>75</v>
      </c>
      <c r="E194" t="s">
        <v>68</v>
      </c>
      <c r="F194" t="s">
        <v>1</v>
      </c>
      <c r="G194" t="s">
        <v>281</v>
      </c>
      <c r="H194" t="s">
        <v>266</v>
      </c>
      <c r="I194" t="s">
        <v>1</v>
      </c>
      <c r="J194">
        <v>80675.820000000007</v>
      </c>
      <c r="K194">
        <v>75563.988312757298</v>
      </c>
      <c r="L194">
        <v>38201.21</v>
      </c>
      <c r="M194">
        <v>77035.58922651934</v>
      </c>
      <c r="N194">
        <v>77304.84</v>
      </c>
      <c r="O194">
        <v>76822.213516483505</v>
      </c>
      <c r="P194">
        <v>0</v>
      </c>
      <c r="Q194">
        <f t="shared" si="35"/>
        <v>76822.213516483505</v>
      </c>
      <c r="R194">
        <v>76822.213516483505</v>
      </c>
      <c r="S194">
        <f t="shared" si="36"/>
        <v>0</v>
      </c>
      <c r="T194">
        <v>0.04</v>
      </c>
      <c r="U194">
        <f t="shared" si="37"/>
        <v>3072.8885406593404</v>
      </c>
      <c r="V194">
        <f t="shared" si="38"/>
        <v>79895.102057142853</v>
      </c>
      <c r="W194">
        <f t="shared" si="39"/>
        <v>3072.8885406593472</v>
      </c>
      <c r="X194">
        <v>0</v>
      </c>
    </row>
    <row r="195" spans="1:24" x14ac:dyDescent="0.3">
      <c r="A195" t="s">
        <v>563</v>
      </c>
      <c r="B195" t="s">
        <v>563</v>
      </c>
      <c r="C195">
        <v>29651010</v>
      </c>
      <c r="D195" t="s">
        <v>75</v>
      </c>
      <c r="E195" t="s">
        <v>85</v>
      </c>
      <c r="F195" t="s">
        <v>1</v>
      </c>
      <c r="G195" t="s">
        <v>281</v>
      </c>
      <c r="H195" t="s">
        <v>291</v>
      </c>
      <c r="I195" t="s">
        <v>1</v>
      </c>
      <c r="J195">
        <v>36168.199999999997</v>
      </c>
      <c r="K195">
        <v>45114.108148148</v>
      </c>
      <c r="L195">
        <v>18712.37</v>
      </c>
      <c r="M195">
        <v>37734.889779005527</v>
      </c>
      <c r="N195">
        <v>32426.37</v>
      </c>
      <c r="O195">
        <v>37630.3704395604</v>
      </c>
      <c r="P195">
        <v>0</v>
      </c>
      <c r="Q195">
        <f t="shared" si="35"/>
        <v>37630.3704395604</v>
      </c>
      <c r="R195">
        <v>37630.3704395604</v>
      </c>
      <c r="S195">
        <f t="shared" si="36"/>
        <v>0</v>
      </c>
      <c r="T195">
        <v>3.5000000000000003E-2</v>
      </c>
      <c r="U195">
        <f t="shared" si="37"/>
        <v>1317.062965384614</v>
      </c>
      <c r="V195">
        <f t="shared" si="38"/>
        <v>38947.433404945012</v>
      </c>
      <c r="W195">
        <f t="shared" si="39"/>
        <v>1317.0629653846117</v>
      </c>
      <c r="X195">
        <v>0</v>
      </c>
    </row>
    <row r="196" spans="1:24" x14ac:dyDescent="0.3">
      <c r="A196" t="s">
        <v>563</v>
      </c>
      <c r="B196" t="s">
        <v>563</v>
      </c>
      <c r="C196">
        <v>29651010</v>
      </c>
      <c r="D196" t="s">
        <v>75</v>
      </c>
      <c r="E196" t="s">
        <v>86</v>
      </c>
      <c r="F196" t="s">
        <v>1</v>
      </c>
      <c r="G196" t="s">
        <v>281</v>
      </c>
      <c r="H196" t="s">
        <v>292</v>
      </c>
      <c r="I196" t="s">
        <v>1</v>
      </c>
      <c r="J196">
        <v>17636</v>
      </c>
      <c r="K196">
        <v>27020.093827160599</v>
      </c>
      <c r="L196">
        <v>66118.02</v>
      </c>
      <c r="M196">
        <v>133331.9187845304</v>
      </c>
      <c r="N196">
        <v>66118.01999999999</v>
      </c>
      <c r="O196">
        <v>132962.611648352</v>
      </c>
      <c r="P196">
        <v>0</v>
      </c>
      <c r="Q196">
        <f t="shared" si="35"/>
        <v>132962.611648352</v>
      </c>
      <c r="R196">
        <v>132962.611648352</v>
      </c>
      <c r="S196">
        <f t="shared" si="36"/>
        <v>0</v>
      </c>
      <c r="T196">
        <v>0.02</v>
      </c>
      <c r="U196">
        <f t="shared" si="37"/>
        <v>2659.2522329670401</v>
      </c>
      <c r="V196">
        <f t="shared" si="38"/>
        <v>135621.86388131903</v>
      </c>
      <c r="W196">
        <f t="shared" si="39"/>
        <v>2659.2522329670319</v>
      </c>
      <c r="X196">
        <v>0</v>
      </c>
    </row>
    <row r="197" spans="1:24" x14ac:dyDescent="0.3">
      <c r="A197" t="s">
        <v>563</v>
      </c>
      <c r="B197" t="s">
        <v>563</v>
      </c>
      <c r="C197">
        <v>29651010</v>
      </c>
      <c r="D197" t="s">
        <v>75</v>
      </c>
      <c r="E197" t="s">
        <v>87</v>
      </c>
      <c r="F197" t="s">
        <v>1</v>
      </c>
      <c r="G197" t="s">
        <v>281</v>
      </c>
      <c r="H197" t="s">
        <v>293</v>
      </c>
      <c r="I197" t="s">
        <v>1</v>
      </c>
      <c r="J197">
        <v>157924.79999999999</v>
      </c>
      <c r="K197">
        <v>154468.386699394</v>
      </c>
      <c r="L197">
        <v>76849.56</v>
      </c>
      <c r="M197">
        <v>154972.86961325968</v>
      </c>
      <c r="N197">
        <v>163993.76999999999</v>
      </c>
      <c r="O197">
        <v>154543.62065934099</v>
      </c>
      <c r="P197">
        <v>0</v>
      </c>
      <c r="Q197">
        <f t="shared" si="35"/>
        <v>154543.62065934099</v>
      </c>
      <c r="R197">
        <v>154543.62065934099</v>
      </c>
      <c r="S197">
        <f t="shared" si="36"/>
        <v>0</v>
      </c>
      <c r="T197">
        <v>3.5000000000000003E-2</v>
      </c>
      <c r="U197">
        <f t="shared" si="37"/>
        <v>5409.026723076935</v>
      </c>
      <c r="V197">
        <f t="shared" si="38"/>
        <v>159952.64738241793</v>
      </c>
      <c r="W197">
        <f t="shared" si="39"/>
        <v>5409.0267230769387</v>
      </c>
      <c r="X197">
        <v>0</v>
      </c>
    </row>
    <row r="198" spans="1:24" x14ac:dyDescent="0.3">
      <c r="A198" t="s">
        <v>563</v>
      </c>
      <c r="B198" t="s">
        <v>563</v>
      </c>
      <c r="C198">
        <v>29651010</v>
      </c>
      <c r="D198" t="s">
        <v>75</v>
      </c>
      <c r="E198" t="s">
        <v>88</v>
      </c>
      <c r="F198" t="s">
        <v>1</v>
      </c>
      <c r="G198" t="s">
        <v>281</v>
      </c>
      <c r="H198" t="s">
        <v>294</v>
      </c>
      <c r="I198" t="s">
        <v>1</v>
      </c>
      <c r="L198">
        <v>4139</v>
      </c>
      <c r="M198">
        <v>8346.6022099447509</v>
      </c>
      <c r="N198">
        <v>4139</v>
      </c>
      <c r="O198">
        <v>8323.4835164835004</v>
      </c>
      <c r="P198">
        <v>0</v>
      </c>
      <c r="Q198">
        <f t="shared" si="35"/>
        <v>8323.4835164835004</v>
      </c>
      <c r="R198">
        <v>8323.4835164835004</v>
      </c>
      <c r="S198">
        <f t="shared" si="36"/>
        <v>0</v>
      </c>
      <c r="T198">
        <v>0.02</v>
      </c>
      <c r="U198">
        <f t="shared" si="37"/>
        <v>166.46967032967001</v>
      </c>
      <c r="V198">
        <f t="shared" si="38"/>
        <v>8489.9531868131708</v>
      </c>
      <c r="W198">
        <f t="shared" si="39"/>
        <v>166.46967032967041</v>
      </c>
      <c r="X198">
        <v>0</v>
      </c>
    </row>
    <row r="199" spans="1:24" x14ac:dyDescent="0.3">
      <c r="A199" t="s">
        <v>563</v>
      </c>
      <c r="B199" t="s">
        <v>563</v>
      </c>
      <c r="C199">
        <v>29651010</v>
      </c>
      <c r="D199" t="s">
        <v>75</v>
      </c>
      <c r="E199" t="s">
        <v>89</v>
      </c>
      <c r="F199" t="s">
        <v>1</v>
      </c>
      <c r="G199" t="s">
        <v>281</v>
      </c>
      <c r="H199" t="s">
        <v>295</v>
      </c>
      <c r="I199" t="s">
        <v>1</v>
      </c>
      <c r="J199">
        <v>1371942.58</v>
      </c>
      <c r="K199">
        <v>1454511.07</v>
      </c>
      <c r="L199">
        <v>681804.26</v>
      </c>
      <c r="M199">
        <v>1374909.1430939226</v>
      </c>
      <c r="N199">
        <v>1353155.0899999999</v>
      </c>
      <c r="O199">
        <v>1371100.8745054901</v>
      </c>
      <c r="P199">
        <v>0</v>
      </c>
      <c r="Q199">
        <f t="shared" si="35"/>
        <v>1371100.8745054901</v>
      </c>
      <c r="R199">
        <v>1371100.8745054901</v>
      </c>
      <c r="S199">
        <f t="shared" si="36"/>
        <v>0</v>
      </c>
      <c r="T199">
        <v>0.02</v>
      </c>
      <c r="U199">
        <f t="shared" si="37"/>
        <v>27422.017490109803</v>
      </c>
      <c r="V199">
        <f t="shared" si="38"/>
        <v>1398522.8919956</v>
      </c>
      <c r="W199">
        <f t="shared" si="39"/>
        <v>27422.017490109894</v>
      </c>
      <c r="X199">
        <v>0</v>
      </c>
    </row>
    <row r="200" spans="1:24" x14ac:dyDescent="0.3">
      <c r="A200" t="s">
        <v>563</v>
      </c>
      <c r="B200" t="s">
        <v>563</v>
      </c>
      <c r="C200">
        <v>29651010</v>
      </c>
      <c r="D200" t="s">
        <v>75</v>
      </c>
      <c r="E200" t="s">
        <v>90</v>
      </c>
      <c r="F200" t="s">
        <v>1</v>
      </c>
      <c r="G200" t="s">
        <v>281</v>
      </c>
      <c r="H200" t="s">
        <v>296</v>
      </c>
      <c r="I200" t="s">
        <v>1</v>
      </c>
      <c r="J200">
        <v>145723.43</v>
      </c>
      <c r="K200">
        <v>163369.045387833</v>
      </c>
      <c r="L200">
        <v>88365.64</v>
      </c>
      <c r="M200">
        <v>178195.90386740331</v>
      </c>
      <c r="N200">
        <v>160629.43</v>
      </c>
      <c r="O200">
        <v>177702.33098901101</v>
      </c>
      <c r="P200">
        <v>0</v>
      </c>
      <c r="Q200">
        <f t="shared" si="35"/>
        <v>177702.33098901101</v>
      </c>
      <c r="R200">
        <v>177702.33098901101</v>
      </c>
      <c r="S200">
        <f t="shared" si="36"/>
        <v>0</v>
      </c>
      <c r="T200">
        <v>1.4999999999999999E-2</v>
      </c>
      <c r="U200">
        <f t="shared" si="37"/>
        <v>2665.5349648351653</v>
      </c>
      <c r="V200">
        <f t="shared" si="38"/>
        <v>180367.86595384617</v>
      </c>
      <c r="W200">
        <f t="shared" si="39"/>
        <v>2665.5349648351548</v>
      </c>
      <c r="X200">
        <v>0</v>
      </c>
    </row>
    <row r="201" spans="1:24" x14ac:dyDescent="0.3">
      <c r="A201" t="s">
        <v>563</v>
      </c>
      <c r="B201" t="s">
        <v>563</v>
      </c>
      <c r="C201">
        <v>29651010</v>
      </c>
      <c r="D201" t="s">
        <v>75</v>
      </c>
      <c r="E201" t="s">
        <v>91</v>
      </c>
      <c r="F201" t="s">
        <v>1</v>
      </c>
      <c r="G201" t="s">
        <v>281</v>
      </c>
      <c r="H201" t="s">
        <v>297</v>
      </c>
      <c r="I201" t="s">
        <v>1</v>
      </c>
      <c r="J201">
        <v>182692.11</v>
      </c>
      <c r="K201">
        <v>15072.420514636</v>
      </c>
      <c r="L201">
        <v>291816.75</v>
      </c>
      <c r="M201">
        <v>588470.24171270721</v>
      </c>
      <c r="N201">
        <v>345247.73</v>
      </c>
      <c r="O201">
        <v>586840.27747252805</v>
      </c>
      <c r="P201">
        <v>0</v>
      </c>
      <c r="Q201">
        <f t="shared" si="35"/>
        <v>586840.27747252805</v>
      </c>
      <c r="R201">
        <v>586840.27747252805</v>
      </c>
      <c r="S201">
        <f t="shared" si="36"/>
        <v>0</v>
      </c>
      <c r="T201">
        <v>3.5000000000000003E-2</v>
      </c>
      <c r="U201">
        <f t="shared" si="37"/>
        <v>20539.409711538483</v>
      </c>
      <c r="V201">
        <f t="shared" si="38"/>
        <v>607379.68718406651</v>
      </c>
      <c r="W201">
        <f t="shared" si="39"/>
        <v>20539.409711538465</v>
      </c>
      <c r="X201">
        <v>0</v>
      </c>
    </row>
    <row r="202" spans="1:24" x14ac:dyDescent="0.3">
      <c r="A202" t="s">
        <v>563</v>
      </c>
      <c r="B202" t="s">
        <v>563</v>
      </c>
      <c r="C202">
        <v>29651010</v>
      </c>
      <c r="D202" t="s">
        <v>75</v>
      </c>
      <c r="E202" t="s">
        <v>51</v>
      </c>
      <c r="F202" t="s">
        <v>1</v>
      </c>
      <c r="G202" t="s">
        <v>281</v>
      </c>
      <c r="H202" t="s">
        <v>227</v>
      </c>
      <c r="I202" t="s">
        <v>1</v>
      </c>
      <c r="J202">
        <v>4940114.78</v>
      </c>
      <c r="K202">
        <v>5183052.5</v>
      </c>
      <c r="L202">
        <v>3128650.73</v>
      </c>
      <c r="M202">
        <v>6309157.5494475132</v>
      </c>
      <c r="N202">
        <v>5681788.1699999999</v>
      </c>
      <c r="O202">
        <v>6291682.2372527504</v>
      </c>
      <c r="P202">
        <v>0</v>
      </c>
      <c r="Q202">
        <f t="shared" si="35"/>
        <v>6291682.2372527504</v>
      </c>
      <c r="R202">
        <v>6291682.2372527504</v>
      </c>
      <c r="S202">
        <f t="shared" si="36"/>
        <v>0</v>
      </c>
      <c r="T202">
        <v>2.2499999999999999E-2</v>
      </c>
      <c r="U202">
        <f t="shared" si="37"/>
        <v>141562.85033818689</v>
      </c>
      <c r="V202">
        <f t="shared" si="38"/>
        <v>6433245.0875909375</v>
      </c>
      <c r="W202">
        <f t="shared" si="39"/>
        <v>141562.85033818707</v>
      </c>
      <c r="X202">
        <v>0</v>
      </c>
    </row>
    <row r="203" spans="1:24" x14ac:dyDescent="0.3">
      <c r="A203" t="s">
        <v>563</v>
      </c>
      <c r="B203" t="s">
        <v>563</v>
      </c>
      <c r="C203">
        <v>29651010</v>
      </c>
      <c r="D203" t="s">
        <v>75</v>
      </c>
      <c r="E203" t="s">
        <v>52</v>
      </c>
      <c r="F203" t="s">
        <v>1</v>
      </c>
      <c r="G203" t="s">
        <v>281</v>
      </c>
      <c r="H203" t="s">
        <v>228</v>
      </c>
      <c r="I203" t="s">
        <v>1</v>
      </c>
      <c r="J203">
        <v>1898508.26</v>
      </c>
      <c r="K203">
        <v>1878650.1464607599</v>
      </c>
      <c r="L203">
        <v>631552.04</v>
      </c>
      <c r="M203">
        <v>1273571.7933701659</v>
      </c>
      <c r="N203">
        <v>1479999.29</v>
      </c>
      <c r="O203">
        <v>1270044.2123076899</v>
      </c>
      <c r="P203">
        <v>0</v>
      </c>
      <c r="Q203">
        <f t="shared" si="35"/>
        <v>1270044.2123076899</v>
      </c>
      <c r="R203">
        <v>1270044.2123076899</v>
      </c>
      <c r="S203">
        <f t="shared" si="36"/>
        <v>0</v>
      </c>
      <c r="T203">
        <v>3.5000000000000003E-2</v>
      </c>
      <c r="U203">
        <f t="shared" si="37"/>
        <v>44451.547430769155</v>
      </c>
      <c r="V203">
        <f t="shared" si="38"/>
        <v>1314495.759738459</v>
      </c>
      <c r="W203">
        <f t="shared" si="39"/>
        <v>44451.547430769075</v>
      </c>
      <c r="X203">
        <v>0</v>
      </c>
    </row>
    <row r="204" spans="1:24" x14ac:dyDescent="0.3">
      <c r="A204" t="s">
        <v>563</v>
      </c>
      <c r="B204" t="s">
        <v>563</v>
      </c>
      <c r="C204">
        <v>29651010</v>
      </c>
      <c r="D204" t="s">
        <v>75</v>
      </c>
      <c r="E204" t="s">
        <v>92</v>
      </c>
      <c r="F204" t="s">
        <v>1</v>
      </c>
      <c r="G204" t="s">
        <v>281</v>
      </c>
      <c r="H204" t="s">
        <v>298</v>
      </c>
      <c r="I204" t="s">
        <v>1</v>
      </c>
      <c r="J204">
        <v>889538.2</v>
      </c>
      <c r="K204">
        <v>878847.692879332</v>
      </c>
      <c r="L204">
        <v>568567.19999999995</v>
      </c>
      <c r="M204">
        <v>1146558.1657458562</v>
      </c>
      <c r="N204">
        <v>1168091</v>
      </c>
      <c r="O204">
        <v>1143382.39120879</v>
      </c>
      <c r="P204">
        <v>0</v>
      </c>
      <c r="Q204">
        <f t="shared" si="35"/>
        <v>1143382.39120879</v>
      </c>
      <c r="R204">
        <v>1143382.39120879</v>
      </c>
      <c r="S204">
        <f t="shared" si="36"/>
        <v>0</v>
      </c>
      <c r="T204">
        <v>0.04</v>
      </c>
      <c r="U204">
        <f t="shared" si="37"/>
        <v>45735.295648351603</v>
      </c>
      <c r="V204">
        <f t="shared" si="38"/>
        <v>1189117.6868571416</v>
      </c>
      <c r="W204">
        <f t="shared" si="39"/>
        <v>45735.295648351545</v>
      </c>
      <c r="X204">
        <v>0</v>
      </c>
    </row>
    <row r="205" spans="1:24" x14ac:dyDescent="0.3">
      <c r="A205" t="s">
        <v>563</v>
      </c>
      <c r="B205" t="s">
        <v>563</v>
      </c>
      <c r="C205">
        <v>29651010</v>
      </c>
      <c r="D205" t="s">
        <v>75</v>
      </c>
      <c r="E205" t="s">
        <v>93</v>
      </c>
      <c r="F205" t="s">
        <v>1</v>
      </c>
      <c r="G205" t="s">
        <v>281</v>
      </c>
      <c r="H205" t="s">
        <v>299</v>
      </c>
      <c r="I205" t="s">
        <v>1</v>
      </c>
      <c r="J205">
        <v>5143687.3499999996</v>
      </c>
      <c r="K205">
        <v>5582258.1600000001</v>
      </c>
      <c r="L205">
        <v>3544670.03</v>
      </c>
      <c r="M205">
        <v>7148091.4969613254</v>
      </c>
      <c r="N205">
        <v>6335540.29</v>
      </c>
      <c r="O205">
        <v>7128292.4779120898</v>
      </c>
      <c r="P205">
        <v>0</v>
      </c>
      <c r="Q205">
        <f t="shared" si="35"/>
        <v>7128292.4779120898</v>
      </c>
      <c r="R205">
        <v>7128292.4779120898</v>
      </c>
      <c r="S205">
        <f t="shared" si="36"/>
        <v>0</v>
      </c>
      <c r="T205">
        <v>3.5000000000000003E-2</v>
      </c>
      <c r="U205">
        <f t="shared" si="37"/>
        <v>249490.23672692318</v>
      </c>
      <c r="V205">
        <f t="shared" si="38"/>
        <v>7377782.7146390127</v>
      </c>
      <c r="W205">
        <f t="shared" si="39"/>
        <v>249490.23672692291</v>
      </c>
      <c r="X205">
        <v>0</v>
      </c>
    </row>
    <row r="206" spans="1:24" x14ac:dyDescent="0.3">
      <c r="A206" t="s">
        <v>563</v>
      </c>
      <c r="B206" t="s">
        <v>563</v>
      </c>
      <c r="C206">
        <v>29651010</v>
      </c>
      <c r="D206" t="s">
        <v>75</v>
      </c>
      <c r="E206" t="s">
        <v>94</v>
      </c>
      <c r="F206" t="s">
        <v>1</v>
      </c>
      <c r="G206" t="s">
        <v>281</v>
      </c>
      <c r="H206" t="s">
        <v>300</v>
      </c>
      <c r="I206" t="s">
        <v>1</v>
      </c>
      <c r="J206">
        <v>939017.39</v>
      </c>
      <c r="K206">
        <v>1283919.0326654201</v>
      </c>
      <c r="L206">
        <v>215572</v>
      </c>
      <c r="M206">
        <v>434717.01657458564</v>
      </c>
      <c r="N206">
        <v>423849.41000000003</v>
      </c>
      <c r="O206">
        <v>433512.92307692301</v>
      </c>
      <c r="P206">
        <v>0</v>
      </c>
      <c r="Q206">
        <f t="shared" si="35"/>
        <v>433512.92307692301</v>
      </c>
      <c r="R206">
        <v>433512.92307692301</v>
      </c>
      <c r="S206">
        <f t="shared" si="36"/>
        <v>0</v>
      </c>
      <c r="T206">
        <v>0.04</v>
      </c>
      <c r="U206">
        <f t="shared" si="37"/>
        <v>17340.516923076921</v>
      </c>
      <c r="V206">
        <f t="shared" si="38"/>
        <v>450853.43999999994</v>
      </c>
      <c r="W206">
        <f t="shared" si="39"/>
        <v>17340.516923076939</v>
      </c>
      <c r="X206">
        <v>0</v>
      </c>
    </row>
    <row r="207" spans="1:24" x14ac:dyDescent="0.3">
      <c r="A207" t="s">
        <v>563</v>
      </c>
      <c r="B207" t="s">
        <v>563</v>
      </c>
      <c r="C207">
        <v>29651010</v>
      </c>
      <c r="D207" t="s">
        <v>75</v>
      </c>
      <c r="E207" t="s">
        <v>53</v>
      </c>
      <c r="F207" t="s">
        <v>1</v>
      </c>
      <c r="G207" t="s">
        <v>281</v>
      </c>
      <c r="H207" t="s">
        <v>229</v>
      </c>
      <c r="I207" t="s">
        <v>1</v>
      </c>
      <c r="J207">
        <v>7186878.6200000001</v>
      </c>
      <c r="K207">
        <v>7797680.9699999997</v>
      </c>
      <c r="L207">
        <v>4195035.0999999996</v>
      </c>
      <c r="M207">
        <v>8459601.1685082875</v>
      </c>
      <c r="N207">
        <v>7757344.1700000009</v>
      </c>
      <c r="O207">
        <v>8436169.4868131895</v>
      </c>
      <c r="P207">
        <v>0</v>
      </c>
      <c r="Q207">
        <f t="shared" si="35"/>
        <v>8436169.4868131895</v>
      </c>
      <c r="R207">
        <v>8436169.4868131895</v>
      </c>
      <c r="S207">
        <f t="shared" si="36"/>
        <v>0</v>
      </c>
      <c r="T207">
        <v>0.04</v>
      </c>
      <c r="U207">
        <f t="shared" si="37"/>
        <v>337446.77947252756</v>
      </c>
      <c r="V207">
        <f t="shared" si="38"/>
        <v>8773616.2662857175</v>
      </c>
      <c r="W207">
        <f t="shared" si="39"/>
        <v>337446.77947252803</v>
      </c>
      <c r="X207">
        <v>0</v>
      </c>
    </row>
    <row r="208" spans="1:24" x14ac:dyDescent="0.3">
      <c r="A208" t="s">
        <v>563</v>
      </c>
      <c r="B208" t="s">
        <v>563</v>
      </c>
      <c r="C208">
        <v>29651010</v>
      </c>
      <c r="D208" t="s">
        <v>75</v>
      </c>
      <c r="E208" t="s">
        <v>17</v>
      </c>
      <c r="F208" t="s">
        <v>1</v>
      </c>
      <c r="G208" t="s">
        <v>281</v>
      </c>
      <c r="H208" t="s">
        <v>188</v>
      </c>
      <c r="I208" t="s">
        <v>1</v>
      </c>
      <c r="J208">
        <v>15605.69</v>
      </c>
      <c r="K208">
        <v>15353.5900000002</v>
      </c>
      <c r="L208">
        <v>8641.4500000000007</v>
      </c>
      <c r="M208">
        <v>17426.128453038677</v>
      </c>
      <c r="N208">
        <v>16337.3</v>
      </c>
      <c r="O208">
        <v>17426.128453038698</v>
      </c>
      <c r="P208">
        <v>0</v>
      </c>
      <c r="Q208">
        <f t="shared" ref="Q208:Q235" si="40">O208+P208</f>
        <v>17426.128453038698</v>
      </c>
      <c r="R208">
        <v>17426.128453038698</v>
      </c>
      <c r="S208">
        <f t="shared" ref="S208:S235" si="41">IF(OR(LEFT(E208,2)="A_",LEFT(D208,5)="Total"),R208-Q208,"")</f>
        <v>0</v>
      </c>
      <c r="T208">
        <v>0.03</v>
      </c>
      <c r="U208">
        <f t="shared" ref="U208:U235" si="42">IFERROR(R208*T208,R208*0)</f>
        <v>522.78385359116089</v>
      </c>
      <c r="V208">
        <f t="shared" ref="V208:V235" si="43">IF(OR(LEFT(E208,2)="A_",LEFT(D208,5)="Total"),R208+U208,"")</f>
        <v>17948.91230662986</v>
      </c>
      <c r="W208">
        <f t="shared" ref="W208:W235" si="44">IF(OR(LEFT(E208,2)="A_",LEFT(D208,5)="Total"),V208-Q208,"")</f>
        <v>522.78385359116146</v>
      </c>
      <c r="X208" t="s">
        <v>459</v>
      </c>
    </row>
    <row r="209" spans="1:24" x14ac:dyDescent="0.3">
      <c r="A209" t="s">
        <v>563</v>
      </c>
      <c r="B209" t="s">
        <v>563</v>
      </c>
      <c r="C209">
        <v>29651010</v>
      </c>
      <c r="D209" t="s">
        <v>75</v>
      </c>
      <c r="E209" t="s">
        <v>64</v>
      </c>
      <c r="F209" t="s">
        <v>1</v>
      </c>
      <c r="G209" t="s">
        <v>281</v>
      </c>
      <c r="H209" t="s">
        <v>256</v>
      </c>
      <c r="I209" t="s">
        <v>1</v>
      </c>
      <c r="J209">
        <v>184.32</v>
      </c>
      <c r="K209">
        <v>189.71499999989999</v>
      </c>
      <c r="L209">
        <v>0</v>
      </c>
      <c r="M209">
        <v>0</v>
      </c>
      <c r="N209">
        <v>0</v>
      </c>
      <c r="P209">
        <v>0</v>
      </c>
      <c r="Q209">
        <f t="shared" si="40"/>
        <v>0</v>
      </c>
      <c r="R209">
        <v>0</v>
      </c>
      <c r="S209">
        <f t="shared" si="41"/>
        <v>0</v>
      </c>
      <c r="T209">
        <v>3.5000000000000003E-2</v>
      </c>
      <c r="U209">
        <f t="shared" si="42"/>
        <v>0</v>
      </c>
      <c r="V209">
        <f t="shared" si="43"/>
        <v>0</v>
      </c>
      <c r="W209">
        <f t="shared" si="44"/>
        <v>0</v>
      </c>
      <c r="X209">
        <v>0</v>
      </c>
    </row>
    <row r="210" spans="1:24" x14ac:dyDescent="0.3">
      <c r="A210" t="s">
        <v>563</v>
      </c>
      <c r="B210" t="s">
        <v>563</v>
      </c>
      <c r="C210">
        <v>29651010</v>
      </c>
      <c r="D210" t="s">
        <v>75</v>
      </c>
      <c r="E210" t="s">
        <v>18</v>
      </c>
      <c r="F210" t="s">
        <v>1</v>
      </c>
      <c r="G210" t="s">
        <v>281</v>
      </c>
      <c r="H210" t="s">
        <v>189</v>
      </c>
      <c r="I210" t="s">
        <v>1</v>
      </c>
      <c r="J210">
        <v>14060.66</v>
      </c>
      <c r="K210">
        <v>10341.720000000099</v>
      </c>
      <c r="L210">
        <v>16838.12</v>
      </c>
      <c r="M210">
        <v>33955.324861878456</v>
      </c>
      <c r="N210">
        <v>25943.62</v>
      </c>
      <c r="O210">
        <v>33955.3248618785</v>
      </c>
      <c r="P210">
        <v>0</v>
      </c>
      <c r="Q210">
        <f t="shared" si="40"/>
        <v>33955.3248618785</v>
      </c>
      <c r="R210">
        <v>33955.3248618785</v>
      </c>
      <c r="S210">
        <f t="shared" si="41"/>
        <v>0</v>
      </c>
      <c r="T210">
        <v>3.5000000000000003E-2</v>
      </c>
      <c r="U210">
        <f t="shared" si="42"/>
        <v>1188.4363701657476</v>
      </c>
      <c r="V210">
        <f t="shared" si="43"/>
        <v>35143.761232044249</v>
      </c>
      <c r="W210">
        <f t="shared" si="44"/>
        <v>1188.4363701657494</v>
      </c>
      <c r="X210">
        <v>0</v>
      </c>
    </row>
    <row r="211" spans="1:24" x14ac:dyDescent="0.3">
      <c r="A211" t="s">
        <v>563</v>
      </c>
      <c r="B211" t="s">
        <v>563</v>
      </c>
      <c r="C211">
        <v>29651010</v>
      </c>
      <c r="D211" t="s">
        <v>75</v>
      </c>
      <c r="E211" t="s">
        <v>19</v>
      </c>
      <c r="F211" t="s">
        <v>1</v>
      </c>
      <c r="G211" t="s">
        <v>281</v>
      </c>
      <c r="H211" t="s">
        <v>190</v>
      </c>
      <c r="I211" t="s">
        <v>1</v>
      </c>
      <c r="J211">
        <v>-10.0899999999983</v>
      </c>
      <c r="K211">
        <v>39959.280000000101</v>
      </c>
      <c r="L211">
        <v>10411.36</v>
      </c>
      <c r="M211">
        <v>20995.283977900552</v>
      </c>
      <c r="N211">
        <v>7814.3799999999992</v>
      </c>
      <c r="O211">
        <v>20995.283977900599</v>
      </c>
      <c r="P211">
        <v>0</v>
      </c>
      <c r="Q211">
        <f t="shared" si="40"/>
        <v>20995.283977900599</v>
      </c>
      <c r="R211">
        <v>20995.283977900599</v>
      </c>
      <c r="S211">
        <f t="shared" si="41"/>
        <v>0</v>
      </c>
      <c r="T211">
        <v>3.5000000000000003E-2</v>
      </c>
      <c r="U211">
        <f t="shared" si="42"/>
        <v>734.83493922652099</v>
      </c>
      <c r="V211">
        <f t="shared" si="43"/>
        <v>21730.118917127122</v>
      </c>
      <c r="W211">
        <f t="shared" si="44"/>
        <v>734.83493922652269</v>
      </c>
      <c r="X211">
        <v>0</v>
      </c>
    </row>
    <row r="212" spans="1:24" x14ac:dyDescent="0.3">
      <c r="A212" t="s">
        <v>563</v>
      </c>
      <c r="B212" t="s">
        <v>563</v>
      </c>
      <c r="C212">
        <v>29651010</v>
      </c>
      <c r="D212" t="s">
        <v>75</v>
      </c>
      <c r="E212" t="s">
        <v>22</v>
      </c>
      <c r="F212" t="s">
        <v>1</v>
      </c>
      <c r="G212" t="s">
        <v>281</v>
      </c>
      <c r="H212" t="s">
        <v>193</v>
      </c>
      <c r="I212" t="s">
        <v>1</v>
      </c>
      <c r="K212">
        <v>1899.9999999996</v>
      </c>
      <c r="L212">
        <v>0</v>
      </c>
      <c r="M212">
        <v>0</v>
      </c>
      <c r="N212">
        <v>0</v>
      </c>
      <c r="P212">
        <v>0</v>
      </c>
      <c r="Q212">
        <f t="shared" si="40"/>
        <v>0</v>
      </c>
      <c r="R212">
        <v>1600</v>
      </c>
      <c r="S212">
        <f t="shared" si="41"/>
        <v>1600</v>
      </c>
      <c r="U212">
        <f t="shared" si="42"/>
        <v>0</v>
      </c>
      <c r="V212">
        <f t="shared" si="43"/>
        <v>1600</v>
      </c>
      <c r="W212">
        <f t="shared" si="44"/>
        <v>1600</v>
      </c>
      <c r="X212">
        <v>0</v>
      </c>
    </row>
    <row r="213" spans="1:24" x14ac:dyDescent="0.3">
      <c r="A213" t="s">
        <v>563</v>
      </c>
      <c r="B213" t="s">
        <v>563</v>
      </c>
      <c r="C213">
        <v>29651010</v>
      </c>
      <c r="D213" t="s">
        <v>75</v>
      </c>
      <c r="E213" t="s">
        <v>95</v>
      </c>
      <c r="F213" t="s">
        <v>1</v>
      </c>
      <c r="G213" t="s">
        <v>281</v>
      </c>
      <c r="H213" t="s">
        <v>301</v>
      </c>
      <c r="I213" t="s">
        <v>1</v>
      </c>
      <c r="L213">
        <v>46.25</v>
      </c>
      <c r="M213">
        <v>93.266574585635354</v>
      </c>
      <c r="N213">
        <v>46.25</v>
      </c>
      <c r="O213">
        <v>92.5</v>
      </c>
      <c r="P213">
        <v>0</v>
      </c>
      <c r="Q213">
        <f t="shared" si="40"/>
        <v>92.5</v>
      </c>
      <c r="R213">
        <v>0</v>
      </c>
      <c r="S213">
        <f t="shared" si="41"/>
        <v>-92.5</v>
      </c>
      <c r="U213">
        <f t="shared" si="42"/>
        <v>0</v>
      </c>
      <c r="V213">
        <f t="shared" si="43"/>
        <v>0</v>
      </c>
      <c r="W213">
        <f t="shared" si="44"/>
        <v>-92.5</v>
      </c>
      <c r="X213">
        <v>0</v>
      </c>
    </row>
    <row r="214" spans="1:24" x14ac:dyDescent="0.3">
      <c r="A214" t="s">
        <v>563</v>
      </c>
      <c r="B214" t="s">
        <v>563</v>
      </c>
      <c r="C214">
        <v>29651010</v>
      </c>
      <c r="D214" t="s">
        <v>75</v>
      </c>
      <c r="E214" t="s">
        <v>23</v>
      </c>
      <c r="F214" t="s">
        <v>1</v>
      </c>
      <c r="G214" t="s">
        <v>281</v>
      </c>
      <c r="H214" t="s">
        <v>194</v>
      </c>
      <c r="I214" t="s">
        <v>1</v>
      </c>
      <c r="J214">
        <v>8205.2000000000007</v>
      </c>
      <c r="K214">
        <v>6291</v>
      </c>
      <c r="L214">
        <v>1910.96</v>
      </c>
      <c r="M214">
        <v>3853.5933701657459</v>
      </c>
      <c r="N214">
        <v>3825.1400000000003</v>
      </c>
      <c r="O214">
        <v>3821.92</v>
      </c>
      <c r="P214">
        <v>0</v>
      </c>
      <c r="Q214">
        <f t="shared" si="40"/>
        <v>3821.92</v>
      </c>
      <c r="R214">
        <v>3821.92</v>
      </c>
      <c r="S214">
        <f t="shared" si="41"/>
        <v>0</v>
      </c>
      <c r="U214">
        <f t="shared" si="42"/>
        <v>0</v>
      </c>
      <c r="V214">
        <f t="shared" si="43"/>
        <v>3821.92</v>
      </c>
      <c r="W214">
        <f t="shared" si="44"/>
        <v>0</v>
      </c>
      <c r="X214">
        <v>0</v>
      </c>
    </row>
    <row r="215" spans="1:24" x14ac:dyDescent="0.3">
      <c r="A215" t="s">
        <v>563</v>
      </c>
      <c r="B215" t="s">
        <v>563</v>
      </c>
      <c r="C215">
        <v>29651010</v>
      </c>
      <c r="D215" t="s">
        <v>75</v>
      </c>
      <c r="E215" t="s">
        <v>24</v>
      </c>
      <c r="F215" t="s">
        <v>1</v>
      </c>
      <c r="G215" t="s">
        <v>281</v>
      </c>
      <c r="H215" t="s">
        <v>195</v>
      </c>
      <c r="I215" t="s">
        <v>1</v>
      </c>
      <c r="J215">
        <v>2580.8200000000002</v>
      </c>
      <c r="K215">
        <v>500.00000000040001</v>
      </c>
      <c r="L215">
        <v>0</v>
      </c>
      <c r="M215">
        <v>0</v>
      </c>
      <c r="N215">
        <v>755.81999999999994</v>
      </c>
      <c r="P215">
        <v>0</v>
      </c>
      <c r="Q215">
        <f t="shared" si="40"/>
        <v>0</v>
      </c>
      <c r="R215">
        <v>0</v>
      </c>
      <c r="S215">
        <f t="shared" si="41"/>
        <v>0</v>
      </c>
      <c r="U215">
        <f t="shared" si="42"/>
        <v>0</v>
      </c>
      <c r="V215">
        <f t="shared" si="43"/>
        <v>0</v>
      </c>
      <c r="W215">
        <f t="shared" si="44"/>
        <v>0</v>
      </c>
      <c r="X215">
        <v>0</v>
      </c>
    </row>
    <row r="216" spans="1:24" x14ac:dyDescent="0.3">
      <c r="A216" t="s">
        <v>563</v>
      </c>
      <c r="B216" t="s">
        <v>563</v>
      </c>
      <c r="C216">
        <v>29651010</v>
      </c>
      <c r="D216" t="s">
        <v>75</v>
      </c>
      <c r="E216" t="s">
        <v>25</v>
      </c>
      <c r="F216" t="s">
        <v>1</v>
      </c>
      <c r="G216" t="s">
        <v>281</v>
      </c>
      <c r="H216" t="s">
        <v>196</v>
      </c>
      <c r="I216" t="s">
        <v>1</v>
      </c>
      <c r="J216">
        <v>528.39</v>
      </c>
      <c r="L216">
        <v>0</v>
      </c>
      <c r="M216">
        <v>0</v>
      </c>
      <c r="N216">
        <v>528.39</v>
      </c>
      <c r="P216">
        <v>0</v>
      </c>
      <c r="Q216">
        <f t="shared" si="40"/>
        <v>0</v>
      </c>
      <c r="R216">
        <v>0</v>
      </c>
      <c r="S216">
        <f t="shared" si="41"/>
        <v>0</v>
      </c>
      <c r="U216">
        <f t="shared" si="42"/>
        <v>0</v>
      </c>
      <c r="V216">
        <f t="shared" si="43"/>
        <v>0</v>
      </c>
      <c r="W216">
        <f t="shared" si="44"/>
        <v>0</v>
      </c>
      <c r="X216">
        <v>0</v>
      </c>
    </row>
    <row r="217" spans="1:24" x14ac:dyDescent="0.3">
      <c r="A217" t="s">
        <v>563</v>
      </c>
      <c r="B217" t="s">
        <v>563</v>
      </c>
      <c r="C217">
        <v>29651010</v>
      </c>
      <c r="D217" t="s">
        <v>75</v>
      </c>
      <c r="E217" t="s">
        <v>27</v>
      </c>
      <c r="F217" t="s">
        <v>1</v>
      </c>
      <c r="G217" t="s">
        <v>281</v>
      </c>
      <c r="H217" t="s">
        <v>198</v>
      </c>
      <c r="I217" t="s">
        <v>1</v>
      </c>
      <c r="K217">
        <v>2499.9999999995998</v>
      </c>
      <c r="L217">
        <v>0</v>
      </c>
      <c r="M217">
        <v>0</v>
      </c>
      <c r="N217">
        <v>0</v>
      </c>
      <c r="P217">
        <v>0</v>
      </c>
      <c r="Q217">
        <f t="shared" si="40"/>
        <v>0</v>
      </c>
      <c r="R217">
        <v>0</v>
      </c>
      <c r="S217">
        <f t="shared" si="41"/>
        <v>0</v>
      </c>
      <c r="U217">
        <f t="shared" si="42"/>
        <v>0</v>
      </c>
      <c r="V217">
        <f t="shared" si="43"/>
        <v>0</v>
      </c>
      <c r="W217">
        <f t="shared" si="44"/>
        <v>0</v>
      </c>
      <c r="X217" t="s">
        <v>460</v>
      </c>
    </row>
    <row r="218" spans="1:24" x14ac:dyDescent="0.3">
      <c r="A218" t="s">
        <v>563</v>
      </c>
      <c r="B218" t="s">
        <v>563</v>
      </c>
      <c r="C218">
        <v>29651010</v>
      </c>
      <c r="D218" t="s">
        <v>75</v>
      </c>
      <c r="E218" t="s">
        <v>29</v>
      </c>
      <c r="F218" t="s">
        <v>1</v>
      </c>
      <c r="G218" t="s">
        <v>281</v>
      </c>
      <c r="H218" t="s">
        <v>200</v>
      </c>
      <c r="I218" t="s">
        <v>1</v>
      </c>
      <c r="K218">
        <v>3750</v>
      </c>
      <c r="L218">
        <v>0</v>
      </c>
      <c r="M218">
        <v>0</v>
      </c>
      <c r="N218">
        <v>0</v>
      </c>
      <c r="P218">
        <v>0</v>
      </c>
      <c r="Q218">
        <f t="shared" si="40"/>
        <v>0</v>
      </c>
      <c r="R218">
        <v>0</v>
      </c>
      <c r="S218">
        <f t="shared" si="41"/>
        <v>0</v>
      </c>
      <c r="U218">
        <f t="shared" si="42"/>
        <v>0</v>
      </c>
      <c r="V218">
        <f t="shared" si="43"/>
        <v>0</v>
      </c>
      <c r="W218">
        <f t="shared" si="44"/>
        <v>0</v>
      </c>
      <c r="X218" t="s">
        <v>460</v>
      </c>
    </row>
    <row r="219" spans="1:24" x14ac:dyDescent="0.3">
      <c r="A219" t="s">
        <v>563</v>
      </c>
      <c r="B219" t="s">
        <v>563</v>
      </c>
      <c r="C219">
        <v>29651010</v>
      </c>
      <c r="D219" t="s">
        <v>75</v>
      </c>
      <c r="E219" t="s">
        <v>30</v>
      </c>
      <c r="F219" t="s">
        <v>1</v>
      </c>
      <c r="G219" t="s">
        <v>281</v>
      </c>
      <c r="H219" t="s">
        <v>201</v>
      </c>
      <c r="I219" t="s">
        <v>1</v>
      </c>
      <c r="K219">
        <v>699.99999999960005</v>
      </c>
      <c r="L219">
        <v>0</v>
      </c>
      <c r="M219">
        <v>0</v>
      </c>
      <c r="N219">
        <v>0</v>
      </c>
      <c r="P219">
        <v>0</v>
      </c>
      <c r="Q219">
        <f t="shared" si="40"/>
        <v>0</v>
      </c>
      <c r="R219">
        <v>0</v>
      </c>
      <c r="S219">
        <f t="shared" si="41"/>
        <v>0</v>
      </c>
      <c r="U219">
        <f t="shared" si="42"/>
        <v>0</v>
      </c>
      <c r="V219">
        <f t="shared" si="43"/>
        <v>0</v>
      </c>
      <c r="W219">
        <f t="shared" si="44"/>
        <v>0</v>
      </c>
      <c r="X219" t="s">
        <v>460</v>
      </c>
    </row>
    <row r="220" spans="1:24" x14ac:dyDescent="0.3">
      <c r="A220" t="s">
        <v>563</v>
      </c>
      <c r="B220" t="s">
        <v>563</v>
      </c>
      <c r="C220">
        <v>29651010</v>
      </c>
      <c r="D220" t="s">
        <v>75</v>
      </c>
      <c r="E220" t="s">
        <v>96</v>
      </c>
      <c r="F220" t="s">
        <v>1</v>
      </c>
      <c r="G220" t="s">
        <v>281</v>
      </c>
      <c r="H220" t="s">
        <v>302</v>
      </c>
      <c r="I220" t="s">
        <v>1</v>
      </c>
      <c r="L220">
        <v>164.8</v>
      </c>
      <c r="M220">
        <v>332.33149171270719</v>
      </c>
      <c r="N220">
        <v>164.8</v>
      </c>
      <c r="O220">
        <v>329.6</v>
      </c>
      <c r="P220">
        <v>0</v>
      </c>
      <c r="Q220">
        <f t="shared" si="40"/>
        <v>329.6</v>
      </c>
      <c r="R220">
        <v>329.6</v>
      </c>
      <c r="S220">
        <f t="shared" si="41"/>
        <v>0</v>
      </c>
      <c r="U220">
        <f t="shared" si="42"/>
        <v>0</v>
      </c>
      <c r="V220">
        <f t="shared" si="43"/>
        <v>329.6</v>
      </c>
      <c r="W220">
        <f t="shared" si="44"/>
        <v>0</v>
      </c>
      <c r="X220">
        <v>0</v>
      </c>
    </row>
    <row r="221" spans="1:24" x14ac:dyDescent="0.3">
      <c r="A221" t="s">
        <v>563</v>
      </c>
      <c r="B221" t="s">
        <v>563</v>
      </c>
      <c r="C221">
        <v>29651010</v>
      </c>
      <c r="D221" t="s">
        <v>75</v>
      </c>
      <c r="E221" t="s">
        <v>31</v>
      </c>
      <c r="F221" t="s">
        <v>1</v>
      </c>
      <c r="G221" t="s">
        <v>281</v>
      </c>
      <c r="H221" t="s">
        <v>202</v>
      </c>
      <c r="I221" t="s">
        <v>1</v>
      </c>
      <c r="J221">
        <v>4689</v>
      </c>
      <c r="K221">
        <v>4091.0000000004002</v>
      </c>
      <c r="L221">
        <v>1147.51</v>
      </c>
      <c r="M221">
        <v>2314.0395027624309</v>
      </c>
      <c r="N221">
        <v>1745.4299999999998</v>
      </c>
      <c r="O221">
        <v>2295.02</v>
      </c>
      <c r="P221">
        <v>0</v>
      </c>
      <c r="Q221">
        <f t="shared" si="40"/>
        <v>2295.02</v>
      </c>
      <c r="R221">
        <v>2400</v>
      </c>
      <c r="S221">
        <f t="shared" si="41"/>
        <v>104.98000000000002</v>
      </c>
      <c r="U221">
        <f t="shared" si="42"/>
        <v>0</v>
      </c>
      <c r="V221">
        <f t="shared" si="43"/>
        <v>2400</v>
      </c>
      <c r="W221">
        <f t="shared" si="44"/>
        <v>104.98000000000002</v>
      </c>
      <c r="X221">
        <v>0</v>
      </c>
    </row>
    <row r="222" spans="1:24" x14ac:dyDescent="0.3">
      <c r="A222" t="s">
        <v>563</v>
      </c>
      <c r="B222" t="s">
        <v>563</v>
      </c>
      <c r="C222">
        <v>29651010</v>
      </c>
      <c r="D222" t="s">
        <v>75</v>
      </c>
      <c r="E222" t="s">
        <v>97</v>
      </c>
      <c r="F222" t="s">
        <v>1</v>
      </c>
      <c r="G222" t="s">
        <v>281</v>
      </c>
      <c r="H222" t="s">
        <v>303</v>
      </c>
      <c r="I222" t="s">
        <v>1</v>
      </c>
      <c r="J222">
        <v>407210.57</v>
      </c>
      <c r="K222">
        <v>135000</v>
      </c>
      <c r="L222">
        <v>278490.86</v>
      </c>
      <c r="M222">
        <v>561597.59060773475</v>
      </c>
      <c r="N222">
        <v>588044.57999999996</v>
      </c>
      <c r="O222">
        <v>556981.72</v>
      </c>
      <c r="P222">
        <v>0</v>
      </c>
      <c r="Q222">
        <f t="shared" si="40"/>
        <v>556981.72</v>
      </c>
      <c r="R222">
        <v>0</v>
      </c>
      <c r="S222">
        <f t="shared" si="41"/>
        <v>-556981.72</v>
      </c>
      <c r="U222">
        <f t="shared" si="42"/>
        <v>0</v>
      </c>
      <c r="V222">
        <f t="shared" si="43"/>
        <v>0</v>
      </c>
      <c r="W222">
        <f t="shared" si="44"/>
        <v>-556981.72</v>
      </c>
      <c r="X222">
        <v>0</v>
      </c>
    </row>
    <row r="223" spans="1:24" x14ac:dyDescent="0.3">
      <c r="A223" t="s">
        <v>563</v>
      </c>
      <c r="B223" t="s">
        <v>563</v>
      </c>
      <c r="C223">
        <v>29651010</v>
      </c>
      <c r="D223" t="s">
        <v>75</v>
      </c>
      <c r="E223" t="s">
        <v>35</v>
      </c>
      <c r="F223" t="s">
        <v>1</v>
      </c>
      <c r="G223" t="s">
        <v>281</v>
      </c>
      <c r="H223" t="s">
        <v>206</v>
      </c>
      <c r="I223" t="s">
        <v>1</v>
      </c>
      <c r="J223">
        <v>713921.56</v>
      </c>
      <c r="K223">
        <v>593995.509528119</v>
      </c>
      <c r="L223">
        <v>396282.97</v>
      </c>
      <c r="M223">
        <v>799134.16602209944</v>
      </c>
      <c r="N223">
        <v>815867.28999999992</v>
      </c>
      <c r="O223">
        <v>792565.94</v>
      </c>
      <c r="P223">
        <v>0</v>
      </c>
      <c r="Q223">
        <f t="shared" si="40"/>
        <v>792565.94</v>
      </c>
      <c r="R223">
        <v>792565.94</v>
      </c>
      <c r="S223">
        <f t="shared" si="41"/>
        <v>0</v>
      </c>
      <c r="T223">
        <v>0.03</v>
      </c>
      <c r="U223">
        <f t="shared" si="42"/>
        <v>23776.978199999998</v>
      </c>
      <c r="V223">
        <f t="shared" si="43"/>
        <v>816342.91819999996</v>
      </c>
      <c r="W223">
        <f t="shared" si="44"/>
        <v>23776.978200000012</v>
      </c>
      <c r="X223" t="s">
        <v>461</v>
      </c>
    </row>
    <row r="224" spans="1:24" x14ac:dyDescent="0.3">
      <c r="A224" t="s">
        <v>563</v>
      </c>
      <c r="B224" t="s">
        <v>563</v>
      </c>
      <c r="C224">
        <v>29651010</v>
      </c>
      <c r="D224" t="s">
        <v>75</v>
      </c>
      <c r="E224" t="s">
        <v>36</v>
      </c>
      <c r="F224" t="s">
        <v>1</v>
      </c>
      <c r="G224" t="s">
        <v>281</v>
      </c>
      <c r="H224" t="s">
        <v>207</v>
      </c>
      <c r="I224" t="s">
        <v>1</v>
      </c>
      <c r="J224">
        <v>322804.19</v>
      </c>
      <c r="K224">
        <v>336549</v>
      </c>
      <c r="L224">
        <v>168090.35</v>
      </c>
      <c r="M224">
        <v>338966.72790055251</v>
      </c>
      <c r="N224">
        <v>317792.67</v>
      </c>
      <c r="O224">
        <v>336180.7</v>
      </c>
      <c r="P224">
        <v>0</v>
      </c>
      <c r="Q224">
        <f t="shared" si="40"/>
        <v>336180.7</v>
      </c>
      <c r="R224">
        <v>336180.7</v>
      </c>
      <c r="S224">
        <f t="shared" si="41"/>
        <v>0</v>
      </c>
      <c r="T224">
        <v>0.03</v>
      </c>
      <c r="U224">
        <f t="shared" si="42"/>
        <v>10085.421</v>
      </c>
      <c r="V224">
        <f t="shared" si="43"/>
        <v>346266.12099999998</v>
      </c>
      <c r="W224">
        <f t="shared" si="44"/>
        <v>10085.420999999973</v>
      </c>
      <c r="X224">
        <v>0</v>
      </c>
    </row>
    <row r="225" spans="1:24" x14ac:dyDescent="0.3">
      <c r="A225" t="s">
        <v>563</v>
      </c>
      <c r="B225" t="s">
        <v>563</v>
      </c>
      <c r="C225">
        <v>29651010</v>
      </c>
      <c r="D225" t="s">
        <v>75</v>
      </c>
      <c r="E225" t="s">
        <v>98</v>
      </c>
      <c r="F225" t="s">
        <v>1</v>
      </c>
      <c r="G225" t="s">
        <v>281</v>
      </c>
      <c r="H225" t="s">
        <v>304</v>
      </c>
      <c r="I225" t="s">
        <v>1</v>
      </c>
      <c r="J225">
        <v>4808.74</v>
      </c>
      <c r="K225">
        <v>4872</v>
      </c>
      <c r="L225">
        <v>2193.54</v>
      </c>
      <c r="M225">
        <v>4423.4370165745859</v>
      </c>
      <c r="N225">
        <v>4574.03</v>
      </c>
      <c r="O225">
        <v>4387.08</v>
      </c>
      <c r="P225">
        <v>0</v>
      </c>
      <c r="Q225">
        <f t="shared" si="40"/>
        <v>4387.08</v>
      </c>
      <c r="R225">
        <v>4387.08</v>
      </c>
      <c r="S225">
        <f t="shared" si="41"/>
        <v>0</v>
      </c>
      <c r="T225">
        <v>0.03</v>
      </c>
      <c r="U225">
        <f t="shared" si="42"/>
        <v>131.61239999999998</v>
      </c>
      <c r="V225">
        <f t="shared" si="43"/>
        <v>4518.6923999999999</v>
      </c>
      <c r="W225">
        <f t="shared" si="44"/>
        <v>131.61239999999998</v>
      </c>
      <c r="X225">
        <v>0</v>
      </c>
    </row>
    <row r="226" spans="1:24" x14ac:dyDescent="0.3">
      <c r="A226" t="s">
        <v>563</v>
      </c>
      <c r="B226" t="s">
        <v>563</v>
      </c>
      <c r="C226">
        <v>29651010</v>
      </c>
      <c r="D226" t="s">
        <v>75</v>
      </c>
      <c r="E226" t="s">
        <v>37</v>
      </c>
      <c r="F226" t="s">
        <v>1</v>
      </c>
      <c r="G226" t="s">
        <v>281</v>
      </c>
      <c r="H226" t="s">
        <v>208</v>
      </c>
      <c r="I226" t="s">
        <v>1</v>
      </c>
      <c r="J226">
        <v>-15022.94</v>
      </c>
      <c r="K226">
        <v>79257</v>
      </c>
      <c r="L226">
        <v>3981.36</v>
      </c>
      <c r="M226">
        <v>8028.7093922651929</v>
      </c>
      <c r="N226">
        <v>-51298.64</v>
      </c>
      <c r="O226">
        <v>7962.72</v>
      </c>
      <c r="P226">
        <v>0</v>
      </c>
      <c r="Q226">
        <f t="shared" si="40"/>
        <v>7962.72</v>
      </c>
      <c r="R226">
        <v>7962.72</v>
      </c>
      <c r="S226">
        <f t="shared" si="41"/>
        <v>0</v>
      </c>
      <c r="T226">
        <v>0.03</v>
      </c>
      <c r="U226">
        <f t="shared" si="42"/>
        <v>238.88159999999999</v>
      </c>
      <c r="V226">
        <f t="shared" si="43"/>
        <v>8201.6016</v>
      </c>
      <c r="W226">
        <f t="shared" si="44"/>
        <v>238.88159999999971</v>
      </c>
      <c r="X226" t="s">
        <v>462</v>
      </c>
    </row>
    <row r="227" spans="1:24" x14ac:dyDescent="0.3">
      <c r="A227" t="s">
        <v>563</v>
      </c>
      <c r="B227" t="s">
        <v>563</v>
      </c>
      <c r="C227">
        <v>29651010</v>
      </c>
      <c r="D227" t="s">
        <v>75</v>
      </c>
      <c r="E227" t="s">
        <v>99</v>
      </c>
      <c r="F227" t="s">
        <v>1</v>
      </c>
      <c r="G227" t="s">
        <v>281</v>
      </c>
      <c r="H227" t="s">
        <v>305</v>
      </c>
      <c r="I227" t="s">
        <v>1</v>
      </c>
      <c r="J227">
        <v>4960</v>
      </c>
      <c r="L227">
        <v>0</v>
      </c>
      <c r="M227">
        <v>0</v>
      </c>
      <c r="N227">
        <v>4960</v>
      </c>
      <c r="P227">
        <v>0</v>
      </c>
      <c r="Q227">
        <f t="shared" si="40"/>
        <v>0</v>
      </c>
      <c r="R227">
        <v>0</v>
      </c>
      <c r="S227">
        <f t="shared" si="41"/>
        <v>0</v>
      </c>
      <c r="T227">
        <v>0.03</v>
      </c>
      <c r="U227">
        <f t="shared" si="42"/>
        <v>0</v>
      </c>
      <c r="V227">
        <f t="shared" si="43"/>
        <v>0</v>
      </c>
      <c r="W227">
        <f t="shared" si="44"/>
        <v>0</v>
      </c>
      <c r="X227">
        <v>0</v>
      </c>
    </row>
    <row r="228" spans="1:24" x14ac:dyDescent="0.3">
      <c r="A228" t="s">
        <v>563</v>
      </c>
      <c r="B228" t="s">
        <v>563</v>
      </c>
      <c r="C228">
        <v>29651010</v>
      </c>
      <c r="D228" t="s">
        <v>75</v>
      </c>
      <c r="E228" t="s">
        <v>39</v>
      </c>
      <c r="F228" t="s">
        <v>1</v>
      </c>
      <c r="G228" t="s">
        <v>281</v>
      </c>
      <c r="H228" t="s">
        <v>210</v>
      </c>
      <c r="I228" t="s">
        <v>1</v>
      </c>
      <c r="J228">
        <v>102900.3</v>
      </c>
      <c r="K228">
        <v>89000.000000000393</v>
      </c>
      <c r="L228">
        <v>5434.73</v>
      </c>
      <c r="M228">
        <v>10959.538397790055</v>
      </c>
      <c r="N228">
        <v>50251.71</v>
      </c>
      <c r="O228">
        <v>10869.46</v>
      </c>
      <c r="P228">
        <v>0</v>
      </c>
      <c r="Q228">
        <f t="shared" si="40"/>
        <v>10869.46</v>
      </c>
      <c r="R228">
        <v>20000</v>
      </c>
      <c r="S228">
        <f t="shared" si="41"/>
        <v>9130.5400000000009</v>
      </c>
      <c r="T228">
        <v>0.03</v>
      </c>
      <c r="U228">
        <f t="shared" si="42"/>
        <v>600</v>
      </c>
      <c r="V228">
        <f t="shared" si="43"/>
        <v>20600</v>
      </c>
      <c r="W228">
        <f t="shared" si="44"/>
        <v>9730.5400000000009</v>
      </c>
      <c r="X228">
        <v>0</v>
      </c>
    </row>
    <row r="229" spans="1:24" x14ac:dyDescent="0.3">
      <c r="A229" t="s">
        <v>563</v>
      </c>
      <c r="B229" t="s">
        <v>563</v>
      </c>
      <c r="C229">
        <v>29651010</v>
      </c>
      <c r="D229" t="s">
        <v>75</v>
      </c>
      <c r="E229" t="s">
        <v>100</v>
      </c>
      <c r="F229" t="s">
        <v>1</v>
      </c>
      <c r="G229" t="s">
        <v>281</v>
      </c>
      <c r="H229" t="s">
        <v>306</v>
      </c>
      <c r="I229" t="s">
        <v>1</v>
      </c>
      <c r="J229">
        <v>1550</v>
      </c>
      <c r="L229">
        <v>0</v>
      </c>
      <c r="M229">
        <v>0</v>
      </c>
      <c r="N229">
        <v>0</v>
      </c>
      <c r="P229">
        <v>0</v>
      </c>
      <c r="Q229">
        <f t="shared" si="40"/>
        <v>0</v>
      </c>
      <c r="R229">
        <v>0</v>
      </c>
      <c r="S229">
        <f t="shared" si="41"/>
        <v>0</v>
      </c>
      <c r="T229">
        <v>0.03</v>
      </c>
      <c r="U229">
        <f t="shared" si="42"/>
        <v>0</v>
      </c>
      <c r="V229">
        <f t="shared" si="43"/>
        <v>0</v>
      </c>
      <c r="W229">
        <f t="shared" si="44"/>
        <v>0</v>
      </c>
      <c r="X229">
        <v>0</v>
      </c>
    </row>
    <row r="230" spans="1:24" x14ac:dyDescent="0.3">
      <c r="A230" t="s">
        <v>563</v>
      </c>
      <c r="B230" t="s">
        <v>563</v>
      </c>
      <c r="C230">
        <v>29651010</v>
      </c>
      <c r="D230" t="s">
        <v>75</v>
      </c>
      <c r="E230" t="s">
        <v>101</v>
      </c>
      <c r="F230" t="s">
        <v>1</v>
      </c>
      <c r="G230" t="s">
        <v>281</v>
      </c>
      <c r="H230" t="s">
        <v>307</v>
      </c>
      <c r="I230" t="s">
        <v>1</v>
      </c>
      <c r="J230">
        <v>42263.72</v>
      </c>
      <c r="L230">
        <v>12857.1</v>
      </c>
      <c r="M230">
        <v>25927.301104972375</v>
      </c>
      <c r="N230">
        <v>48339.619999999995</v>
      </c>
      <c r="O230">
        <v>25714.2</v>
      </c>
      <c r="P230">
        <v>0</v>
      </c>
      <c r="Q230">
        <f t="shared" si="40"/>
        <v>25714.2</v>
      </c>
      <c r="R230">
        <v>80000</v>
      </c>
      <c r="S230">
        <f t="shared" si="41"/>
        <v>54285.8</v>
      </c>
      <c r="T230">
        <v>0.03</v>
      </c>
      <c r="U230">
        <f t="shared" si="42"/>
        <v>2400</v>
      </c>
      <c r="V230">
        <f t="shared" si="43"/>
        <v>82400</v>
      </c>
      <c r="W230">
        <f t="shared" si="44"/>
        <v>56685.8</v>
      </c>
      <c r="X230">
        <v>0</v>
      </c>
    </row>
    <row r="231" spans="1:24" x14ac:dyDescent="0.3">
      <c r="A231" t="s">
        <v>563</v>
      </c>
      <c r="B231" t="s">
        <v>563</v>
      </c>
      <c r="C231">
        <v>29651010</v>
      </c>
      <c r="D231" t="s">
        <v>75</v>
      </c>
      <c r="E231" t="s">
        <v>102</v>
      </c>
      <c r="F231" t="s">
        <v>1</v>
      </c>
      <c r="G231" t="s">
        <v>281</v>
      </c>
      <c r="H231" t="s">
        <v>308</v>
      </c>
      <c r="I231" t="s">
        <v>1</v>
      </c>
      <c r="J231">
        <v>208</v>
      </c>
      <c r="L231">
        <v>6552</v>
      </c>
      <c r="M231">
        <v>13212.596685082874</v>
      </c>
      <c r="N231">
        <v>6760</v>
      </c>
      <c r="O231">
        <v>13104</v>
      </c>
      <c r="P231">
        <v>0</v>
      </c>
      <c r="Q231">
        <f t="shared" si="40"/>
        <v>13104</v>
      </c>
      <c r="R231">
        <v>13104</v>
      </c>
      <c r="S231">
        <f t="shared" si="41"/>
        <v>0</v>
      </c>
      <c r="T231">
        <v>0.03</v>
      </c>
      <c r="U231">
        <f t="shared" si="42"/>
        <v>393.12</v>
      </c>
      <c r="V231">
        <f t="shared" si="43"/>
        <v>13497.12</v>
      </c>
      <c r="W231">
        <f t="shared" si="44"/>
        <v>393.1200000000008</v>
      </c>
      <c r="X231" t="s">
        <v>463</v>
      </c>
    </row>
    <row r="232" spans="1:24" x14ac:dyDescent="0.3">
      <c r="A232" t="s">
        <v>563</v>
      </c>
      <c r="B232" t="s">
        <v>563</v>
      </c>
      <c r="C232">
        <v>29651010</v>
      </c>
      <c r="D232" t="s">
        <v>75</v>
      </c>
      <c r="E232" t="s">
        <v>41</v>
      </c>
      <c r="F232" t="s">
        <v>1</v>
      </c>
      <c r="G232" t="s">
        <v>281</v>
      </c>
      <c r="H232" t="s">
        <v>212</v>
      </c>
      <c r="I232" t="s">
        <v>1</v>
      </c>
      <c r="J232">
        <v>20053.78</v>
      </c>
      <c r="K232">
        <v>41805</v>
      </c>
      <c r="L232">
        <v>3484</v>
      </c>
      <c r="M232">
        <v>7025.7458563535911</v>
      </c>
      <c r="N232">
        <v>6708</v>
      </c>
      <c r="O232">
        <v>6968</v>
      </c>
      <c r="P232">
        <v>0</v>
      </c>
      <c r="Q232">
        <f t="shared" si="40"/>
        <v>6968</v>
      </c>
      <c r="R232">
        <v>6968</v>
      </c>
      <c r="S232">
        <f t="shared" si="41"/>
        <v>0</v>
      </c>
      <c r="T232">
        <v>0.03</v>
      </c>
      <c r="U232">
        <f t="shared" si="42"/>
        <v>209.04</v>
      </c>
      <c r="V232">
        <f t="shared" si="43"/>
        <v>7177.04</v>
      </c>
      <c r="W232">
        <f t="shared" si="44"/>
        <v>209.03999999999996</v>
      </c>
      <c r="X232" t="s">
        <v>464</v>
      </c>
    </row>
    <row r="233" spans="1:24" x14ac:dyDescent="0.3">
      <c r="A233" t="s">
        <v>563</v>
      </c>
      <c r="B233" t="s">
        <v>563</v>
      </c>
      <c r="C233">
        <v>29651010</v>
      </c>
      <c r="D233" t="s">
        <v>75</v>
      </c>
      <c r="E233" t="s">
        <v>42</v>
      </c>
      <c r="F233" t="s">
        <v>1</v>
      </c>
      <c r="G233" t="s">
        <v>281</v>
      </c>
      <c r="H233" t="s">
        <v>213</v>
      </c>
      <c r="I233" t="s">
        <v>1</v>
      </c>
      <c r="J233">
        <v>90.56</v>
      </c>
      <c r="L233">
        <v>0</v>
      </c>
      <c r="M233">
        <v>0</v>
      </c>
      <c r="N233">
        <v>50.28</v>
      </c>
      <c r="P233">
        <v>0</v>
      </c>
      <c r="Q233">
        <f t="shared" si="40"/>
        <v>0</v>
      </c>
      <c r="R233">
        <v>0</v>
      </c>
      <c r="S233">
        <f t="shared" si="41"/>
        <v>0</v>
      </c>
      <c r="T233">
        <v>0.03</v>
      </c>
      <c r="U233">
        <f t="shared" si="42"/>
        <v>0</v>
      </c>
      <c r="V233">
        <f t="shared" si="43"/>
        <v>0</v>
      </c>
      <c r="W233">
        <f t="shared" si="44"/>
        <v>0</v>
      </c>
      <c r="X233">
        <v>0</v>
      </c>
    </row>
    <row r="234" spans="1:24" x14ac:dyDescent="0.3">
      <c r="A234" t="s">
        <v>563</v>
      </c>
      <c r="B234" t="s">
        <v>563</v>
      </c>
      <c r="C234">
        <v>29651010</v>
      </c>
      <c r="D234" t="s">
        <v>75</v>
      </c>
      <c r="E234" t="s">
        <v>43</v>
      </c>
      <c r="F234" t="s">
        <v>1</v>
      </c>
      <c r="G234" t="s">
        <v>281</v>
      </c>
      <c r="H234" t="s">
        <v>214</v>
      </c>
      <c r="I234" t="s">
        <v>1</v>
      </c>
      <c r="J234">
        <v>593.14</v>
      </c>
      <c r="L234">
        <v>127.05</v>
      </c>
      <c r="M234">
        <v>256.20580110497235</v>
      </c>
      <c r="N234">
        <v>720.19</v>
      </c>
      <c r="O234">
        <v>254.1</v>
      </c>
      <c r="P234">
        <v>0</v>
      </c>
      <c r="Q234">
        <f t="shared" si="40"/>
        <v>254.1</v>
      </c>
      <c r="R234">
        <v>254.1</v>
      </c>
      <c r="S234">
        <f t="shared" si="41"/>
        <v>0</v>
      </c>
      <c r="T234">
        <v>0.03</v>
      </c>
      <c r="U234">
        <f t="shared" si="42"/>
        <v>7.6229999999999993</v>
      </c>
      <c r="V234">
        <f t="shared" si="43"/>
        <v>261.72300000000001</v>
      </c>
      <c r="W234">
        <f t="shared" si="44"/>
        <v>7.6230000000000189</v>
      </c>
      <c r="X234">
        <v>0</v>
      </c>
    </row>
    <row r="235" spans="1:24" x14ac:dyDescent="0.3">
      <c r="A235" t="s">
        <v>563</v>
      </c>
      <c r="B235" t="s">
        <v>563</v>
      </c>
      <c r="C235">
        <v>29651010</v>
      </c>
      <c r="D235" t="s">
        <v>75</v>
      </c>
      <c r="E235" t="s">
        <v>44</v>
      </c>
      <c r="F235" t="s">
        <v>1</v>
      </c>
      <c r="G235" t="s">
        <v>281</v>
      </c>
      <c r="H235" t="s">
        <v>215</v>
      </c>
      <c r="I235" t="s">
        <v>1</v>
      </c>
      <c r="J235">
        <v>2720.4</v>
      </c>
      <c r="K235">
        <v>2642.9999999995998</v>
      </c>
      <c r="L235">
        <v>1440.21</v>
      </c>
      <c r="M235">
        <v>2904.2908839779006</v>
      </c>
      <c r="N235">
        <v>2849.9700000000003</v>
      </c>
      <c r="O235">
        <v>2904.2908839779002</v>
      </c>
      <c r="P235">
        <v>0</v>
      </c>
      <c r="Q235">
        <f t="shared" si="40"/>
        <v>2904.2908839779002</v>
      </c>
      <c r="R235">
        <v>2904.2908839779002</v>
      </c>
      <c r="S235">
        <f t="shared" si="41"/>
        <v>0</v>
      </c>
      <c r="U235">
        <f t="shared" si="42"/>
        <v>0</v>
      </c>
      <c r="V235">
        <f t="shared" si="43"/>
        <v>2904.2908839779002</v>
      </c>
      <c r="W235">
        <f t="shared" si="44"/>
        <v>0</v>
      </c>
      <c r="X235">
        <v>0</v>
      </c>
    </row>
    <row r="236" spans="1:24" x14ac:dyDescent="0.3">
      <c r="A236" t="s">
        <v>563</v>
      </c>
      <c r="B236" t="s">
        <v>563</v>
      </c>
      <c r="C236">
        <v>29651010</v>
      </c>
      <c r="D236" t="s">
        <v>75</v>
      </c>
      <c r="E236" t="s">
        <v>45</v>
      </c>
      <c r="F236" t="s">
        <v>45</v>
      </c>
      <c r="G236" t="s">
        <v>309</v>
      </c>
      <c r="J236">
        <v>31107808.139999997</v>
      </c>
      <c r="K236">
        <v>32913498.368696213</v>
      </c>
      <c r="L236">
        <v>18060708.390000004</v>
      </c>
      <c r="M236">
        <v>36420765.537845306</v>
      </c>
      <c r="N236">
        <v>33413325.640000004</v>
      </c>
      <c r="O236">
        <v>36304738.517737247</v>
      </c>
      <c r="P236">
        <f>SUMIF($F$175:$F$235,"&lt;&gt;EV_*",$P$175:$P$235)</f>
        <v>0</v>
      </c>
      <c r="Q236">
        <f>SUMIF($F$175:$F$235,"&lt;&gt;EV_*",$Q$175:$Q$235)</f>
        <v>36304738.517737247</v>
      </c>
      <c r="R236">
        <f>SUMIF($F$175:$F$235,"&lt;&gt;EV_*",$R$175:$R$235)</f>
        <v>35812437.759935044</v>
      </c>
      <c r="S236">
        <f>SUMIF($F$175:$F$235,"&lt;&gt;EV_*",$S$175:$S$235)</f>
        <v>-492300.75780219777</v>
      </c>
      <c r="T236">
        <v>0</v>
      </c>
      <c r="U236">
        <f>SUMIF($F$175:$F$235,"&lt;&gt;EV_*",$U$175:$U$235)</f>
        <v>1105426.1757061156</v>
      </c>
      <c r="V236">
        <f>SUMIF($F$175:$F$235,"&lt;&gt;EV_*",$V$175:$V$235)</f>
        <v>36917863.935641147</v>
      </c>
      <c r="W236">
        <f>SUMIF($F$175:$F$235,"&lt;&gt;EV_*",$W$175:$W$235)</f>
        <v>613125.41790391819</v>
      </c>
      <c r="X236">
        <f>SUMIF($F$175:$F$235,"&lt;&gt;EV_*",$X$175:$X$235)</f>
        <v>0</v>
      </c>
    </row>
    <row r="237" spans="1:24" x14ac:dyDescent="0.3">
      <c r="A237" t="s">
        <v>563</v>
      </c>
      <c r="B237" t="s">
        <v>567</v>
      </c>
      <c r="C237">
        <v>29651020</v>
      </c>
      <c r="D237" t="s">
        <v>103</v>
      </c>
      <c r="E237" t="s">
        <v>5</v>
      </c>
      <c r="F237" t="s">
        <v>5</v>
      </c>
      <c r="G237" t="s">
        <v>310</v>
      </c>
    </row>
    <row r="238" spans="1:24" x14ac:dyDescent="0.3">
      <c r="A238" t="s">
        <v>563</v>
      </c>
      <c r="B238" t="s">
        <v>567</v>
      </c>
      <c r="C238">
        <v>29651020</v>
      </c>
      <c r="D238" t="s">
        <v>103</v>
      </c>
      <c r="E238" t="s">
        <v>77</v>
      </c>
      <c r="F238" t="s">
        <v>1</v>
      </c>
      <c r="G238" t="s">
        <v>311</v>
      </c>
      <c r="H238" t="s">
        <v>283</v>
      </c>
      <c r="I238" t="s">
        <v>1</v>
      </c>
      <c r="J238">
        <v>204.94</v>
      </c>
      <c r="K238">
        <v>185.64</v>
      </c>
      <c r="L238">
        <v>162.27000000000001</v>
      </c>
      <c r="M238">
        <v>327.22955801104973</v>
      </c>
      <c r="N238">
        <v>277.12</v>
      </c>
      <c r="O238">
        <v>327.22955801109998</v>
      </c>
      <c r="P238">
        <v>0</v>
      </c>
      <c r="Q238">
        <f t="shared" ref="Q238:Q255" si="45">O238+P238</f>
        <v>327.22955801109998</v>
      </c>
      <c r="R238">
        <v>327.22955801109998</v>
      </c>
      <c r="S238">
        <f t="shared" ref="S238:S255" si="46">IF(OR(LEFT(E238,2)="A_",LEFT(D238,5)="Total"),R238-Q238,"")</f>
        <v>0</v>
      </c>
      <c r="T238">
        <v>0.02</v>
      </c>
      <c r="U238">
        <f t="shared" ref="U238:U255" si="47">IFERROR(R238*T238,R238*0)</f>
        <v>6.5445911602219997</v>
      </c>
      <c r="V238">
        <f t="shared" ref="V238:V255" si="48">IF(OR(LEFT(E238,2)="A_",LEFT(D238,5)="Total"),R238+U238,"")</f>
        <v>333.77414917132199</v>
      </c>
      <c r="W238">
        <f t="shared" ref="W238:W255" si="49">IF(OR(LEFT(E238,2)="A_",LEFT(D238,5)="Total"),V238-Q238,"")</f>
        <v>6.5445911602220121</v>
      </c>
      <c r="X238">
        <v>0</v>
      </c>
    </row>
    <row r="239" spans="1:24" x14ac:dyDescent="0.3">
      <c r="A239" t="s">
        <v>563</v>
      </c>
      <c r="B239" t="s">
        <v>567</v>
      </c>
      <c r="C239">
        <v>29651020</v>
      </c>
      <c r="D239" t="s">
        <v>103</v>
      </c>
      <c r="E239" t="s">
        <v>12</v>
      </c>
      <c r="F239" t="s">
        <v>1</v>
      </c>
      <c r="G239" t="s">
        <v>311</v>
      </c>
      <c r="H239" t="s">
        <v>183</v>
      </c>
      <c r="I239" t="s">
        <v>1</v>
      </c>
      <c r="J239">
        <v>2122.7600000000002</v>
      </c>
      <c r="K239">
        <v>1958.31</v>
      </c>
      <c r="L239">
        <v>915.87</v>
      </c>
      <c r="M239">
        <v>1846.9201657458564</v>
      </c>
      <c r="N239">
        <v>1950.4499999999998</v>
      </c>
      <c r="O239">
        <v>1831.74</v>
      </c>
      <c r="P239">
        <v>0</v>
      </c>
      <c r="Q239">
        <f t="shared" si="45"/>
        <v>1831.74</v>
      </c>
      <c r="R239">
        <v>1831.74</v>
      </c>
      <c r="S239">
        <f t="shared" si="46"/>
        <v>0</v>
      </c>
      <c r="U239">
        <f t="shared" si="47"/>
        <v>0</v>
      </c>
      <c r="V239">
        <f t="shared" si="48"/>
        <v>1831.74</v>
      </c>
      <c r="W239">
        <f t="shared" si="49"/>
        <v>0</v>
      </c>
      <c r="X239">
        <v>0</v>
      </c>
    </row>
    <row r="240" spans="1:24" x14ac:dyDescent="0.3">
      <c r="A240" t="s">
        <v>563</v>
      </c>
      <c r="B240" t="s">
        <v>567</v>
      </c>
      <c r="C240">
        <v>29651020</v>
      </c>
      <c r="D240" t="s">
        <v>103</v>
      </c>
      <c r="E240" t="s">
        <v>80</v>
      </c>
      <c r="F240" t="s">
        <v>1</v>
      </c>
      <c r="G240" t="s">
        <v>311</v>
      </c>
      <c r="H240" t="s">
        <v>286</v>
      </c>
      <c r="I240" t="s">
        <v>1</v>
      </c>
      <c r="J240">
        <v>-97.7</v>
      </c>
      <c r="L240">
        <v>-165.97</v>
      </c>
      <c r="M240">
        <v>-334.69088397790057</v>
      </c>
      <c r="N240">
        <v>-167.97</v>
      </c>
      <c r="O240">
        <v>-333.76384615379999</v>
      </c>
      <c r="P240">
        <v>0</v>
      </c>
      <c r="Q240">
        <f t="shared" si="45"/>
        <v>-333.76384615379999</v>
      </c>
      <c r="R240">
        <v>0</v>
      </c>
      <c r="S240">
        <f t="shared" si="46"/>
        <v>333.76384615379999</v>
      </c>
      <c r="U240">
        <f t="shared" si="47"/>
        <v>0</v>
      </c>
      <c r="V240">
        <f t="shared" si="48"/>
        <v>0</v>
      </c>
      <c r="W240">
        <f t="shared" si="49"/>
        <v>333.76384615379999</v>
      </c>
      <c r="X240">
        <v>0</v>
      </c>
    </row>
    <row r="241" spans="1:24" x14ac:dyDescent="0.3">
      <c r="A241" t="s">
        <v>563</v>
      </c>
      <c r="B241" t="s">
        <v>567</v>
      </c>
      <c r="C241">
        <v>29651020</v>
      </c>
      <c r="D241" t="s">
        <v>103</v>
      </c>
      <c r="E241" t="s">
        <v>15</v>
      </c>
      <c r="F241" t="s">
        <v>1</v>
      </c>
      <c r="G241" t="s">
        <v>311</v>
      </c>
      <c r="H241" t="s">
        <v>186</v>
      </c>
      <c r="I241" t="s">
        <v>1</v>
      </c>
      <c r="J241">
        <v>-892.67</v>
      </c>
      <c r="K241">
        <v>-1250.0000000004</v>
      </c>
      <c r="L241">
        <v>-976.29</v>
      </c>
      <c r="M241">
        <v>-1968.7616022099446</v>
      </c>
      <c r="N241">
        <v>-1126.96</v>
      </c>
      <c r="O241">
        <v>-1963.3084615385001</v>
      </c>
      <c r="P241">
        <v>0</v>
      </c>
      <c r="Q241">
        <f t="shared" si="45"/>
        <v>-1963.3084615385001</v>
      </c>
      <c r="R241">
        <v>-1963.3084615385001</v>
      </c>
      <c r="S241">
        <f t="shared" si="46"/>
        <v>0</v>
      </c>
      <c r="U241">
        <f t="shared" si="47"/>
        <v>0</v>
      </c>
      <c r="V241">
        <f t="shared" si="48"/>
        <v>-1963.3084615385001</v>
      </c>
      <c r="W241">
        <f t="shared" si="49"/>
        <v>0</v>
      </c>
      <c r="X241">
        <v>0</v>
      </c>
    </row>
    <row r="242" spans="1:24" x14ac:dyDescent="0.3">
      <c r="A242" t="s">
        <v>563</v>
      </c>
      <c r="B242" t="s">
        <v>567</v>
      </c>
      <c r="C242">
        <v>29651020</v>
      </c>
      <c r="D242" t="s">
        <v>103</v>
      </c>
      <c r="E242" t="s">
        <v>71</v>
      </c>
      <c r="F242" t="s">
        <v>1</v>
      </c>
      <c r="G242" t="s">
        <v>311</v>
      </c>
      <c r="H242" t="s">
        <v>273</v>
      </c>
      <c r="I242" t="s">
        <v>1</v>
      </c>
      <c r="J242">
        <v>589.12</v>
      </c>
      <c r="L242">
        <v>498.72</v>
      </c>
      <c r="M242">
        <v>1005.7060773480664</v>
      </c>
      <c r="N242">
        <v>948.92000000000007</v>
      </c>
      <c r="O242">
        <v>1002.9204395604</v>
      </c>
      <c r="P242">
        <v>0</v>
      </c>
      <c r="Q242">
        <f t="shared" si="45"/>
        <v>1002.9204395604</v>
      </c>
      <c r="R242">
        <v>1002.9204395604</v>
      </c>
      <c r="S242">
        <f t="shared" si="46"/>
        <v>0</v>
      </c>
      <c r="T242">
        <v>2.75E-2</v>
      </c>
      <c r="U242">
        <f t="shared" si="47"/>
        <v>27.580312087911</v>
      </c>
      <c r="V242">
        <f t="shared" si="48"/>
        <v>1030.5007516483111</v>
      </c>
      <c r="W242">
        <f t="shared" si="49"/>
        <v>27.580312087911011</v>
      </c>
      <c r="X242">
        <v>0</v>
      </c>
    </row>
    <row r="243" spans="1:24" x14ac:dyDescent="0.3">
      <c r="A243" t="s">
        <v>563</v>
      </c>
      <c r="B243" t="s">
        <v>567</v>
      </c>
      <c r="C243">
        <v>29651020</v>
      </c>
      <c r="D243" t="s">
        <v>103</v>
      </c>
      <c r="E243" t="s">
        <v>16</v>
      </c>
      <c r="F243" t="s">
        <v>1</v>
      </c>
      <c r="G243" t="s">
        <v>311</v>
      </c>
      <c r="H243" t="s">
        <v>187</v>
      </c>
      <c r="I243" t="s">
        <v>1</v>
      </c>
      <c r="J243">
        <v>82494.38</v>
      </c>
      <c r="K243">
        <v>89154.078938271603</v>
      </c>
      <c r="L243">
        <v>28416.34</v>
      </c>
      <c r="M243">
        <v>57303.669060773478</v>
      </c>
      <c r="N243">
        <v>65827.740000000005</v>
      </c>
      <c r="O243">
        <v>57144.947472527499</v>
      </c>
      <c r="P243">
        <v>0</v>
      </c>
      <c r="Q243">
        <f t="shared" si="45"/>
        <v>57144.947472527499</v>
      </c>
      <c r="R243">
        <v>57144.947472527499</v>
      </c>
      <c r="S243">
        <f t="shared" si="46"/>
        <v>0</v>
      </c>
      <c r="T243">
        <v>0.02</v>
      </c>
      <c r="U243">
        <f t="shared" si="47"/>
        <v>1142.8989494505499</v>
      </c>
      <c r="V243">
        <f t="shared" si="48"/>
        <v>58287.846421978051</v>
      </c>
      <c r="W243">
        <f t="shared" si="49"/>
        <v>1142.8989494505513</v>
      </c>
      <c r="X243">
        <v>0</v>
      </c>
    </row>
    <row r="244" spans="1:24" x14ac:dyDescent="0.3">
      <c r="A244" t="s">
        <v>563</v>
      </c>
      <c r="B244" t="s">
        <v>567</v>
      </c>
      <c r="C244">
        <v>29651020</v>
      </c>
      <c r="D244" t="s">
        <v>103</v>
      </c>
      <c r="E244" t="s">
        <v>84</v>
      </c>
      <c r="F244" t="s">
        <v>1</v>
      </c>
      <c r="G244" t="s">
        <v>311</v>
      </c>
      <c r="H244" t="s">
        <v>290</v>
      </c>
      <c r="I244" t="s">
        <v>1</v>
      </c>
      <c r="J244">
        <v>105.05</v>
      </c>
      <c r="L244">
        <v>0</v>
      </c>
      <c r="M244">
        <v>0</v>
      </c>
      <c r="N244">
        <v>61.949999999999996</v>
      </c>
      <c r="P244">
        <v>0</v>
      </c>
      <c r="Q244">
        <f t="shared" si="45"/>
        <v>0</v>
      </c>
      <c r="R244">
        <v>0</v>
      </c>
      <c r="S244">
        <f t="shared" si="46"/>
        <v>0</v>
      </c>
      <c r="T244">
        <v>0.04</v>
      </c>
      <c r="U244">
        <f t="shared" si="47"/>
        <v>0</v>
      </c>
      <c r="V244">
        <f t="shared" si="48"/>
        <v>0</v>
      </c>
      <c r="W244">
        <f t="shared" si="49"/>
        <v>0</v>
      </c>
      <c r="X244">
        <v>0</v>
      </c>
    </row>
    <row r="245" spans="1:24" x14ac:dyDescent="0.3">
      <c r="A245" t="s">
        <v>563</v>
      </c>
      <c r="B245" t="s">
        <v>567</v>
      </c>
      <c r="C245">
        <v>29651020</v>
      </c>
      <c r="D245" t="s">
        <v>103</v>
      </c>
      <c r="E245" t="s">
        <v>86</v>
      </c>
      <c r="F245" t="s">
        <v>1</v>
      </c>
      <c r="G245" t="s">
        <v>311</v>
      </c>
      <c r="H245" t="s">
        <v>292</v>
      </c>
      <c r="I245" t="s">
        <v>1</v>
      </c>
      <c r="L245">
        <v>329.08</v>
      </c>
      <c r="M245">
        <v>663.61436464088399</v>
      </c>
      <c r="N245">
        <v>329.08</v>
      </c>
      <c r="O245">
        <v>661.77626373630005</v>
      </c>
      <c r="P245">
        <v>0</v>
      </c>
      <c r="Q245">
        <f t="shared" si="45"/>
        <v>661.77626373630005</v>
      </c>
      <c r="R245">
        <v>0</v>
      </c>
      <c r="S245">
        <f t="shared" si="46"/>
        <v>-661.77626373630005</v>
      </c>
      <c r="T245">
        <v>0.02</v>
      </c>
      <c r="U245">
        <f t="shared" si="47"/>
        <v>0</v>
      </c>
      <c r="V245">
        <f t="shared" si="48"/>
        <v>0</v>
      </c>
      <c r="W245">
        <f t="shared" si="49"/>
        <v>-661.77626373630005</v>
      </c>
      <c r="X245">
        <v>0</v>
      </c>
    </row>
    <row r="246" spans="1:24" x14ac:dyDescent="0.3">
      <c r="A246" t="s">
        <v>563</v>
      </c>
      <c r="B246" t="s">
        <v>567</v>
      </c>
      <c r="C246">
        <v>29651020</v>
      </c>
      <c r="D246" t="s">
        <v>103</v>
      </c>
      <c r="E246" t="s">
        <v>87</v>
      </c>
      <c r="F246" t="s">
        <v>1</v>
      </c>
      <c r="G246" t="s">
        <v>311</v>
      </c>
      <c r="H246" t="s">
        <v>293</v>
      </c>
      <c r="I246" t="s">
        <v>1</v>
      </c>
      <c r="J246">
        <v>20664.64</v>
      </c>
      <c r="K246">
        <v>20546.5402407406</v>
      </c>
      <c r="L246">
        <v>10202.530000000001</v>
      </c>
      <c r="M246">
        <v>20574.16270718232</v>
      </c>
      <c r="N246">
        <v>20994.790000000005</v>
      </c>
      <c r="O246">
        <v>20517.175714285699</v>
      </c>
      <c r="P246">
        <v>0</v>
      </c>
      <c r="Q246">
        <f t="shared" si="45"/>
        <v>20517.175714285699</v>
      </c>
      <c r="R246">
        <v>20517.175714285699</v>
      </c>
      <c r="S246">
        <f t="shared" si="46"/>
        <v>0</v>
      </c>
      <c r="T246">
        <v>3.5000000000000003E-2</v>
      </c>
      <c r="U246">
        <f t="shared" si="47"/>
        <v>718.10114999999951</v>
      </c>
      <c r="V246">
        <f t="shared" si="48"/>
        <v>21235.276864285697</v>
      </c>
      <c r="W246">
        <f t="shared" si="49"/>
        <v>718.1011499999986</v>
      </c>
      <c r="X246">
        <v>0</v>
      </c>
    </row>
    <row r="247" spans="1:24" x14ac:dyDescent="0.3">
      <c r="A247" t="s">
        <v>563</v>
      </c>
      <c r="B247" t="s">
        <v>567</v>
      </c>
      <c r="C247">
        <v>29651020</v>
      </c>
      <c r="D247" t="s">
        <v>103</v>
      </c>
      <c r="E247" t="s">
        <v>89</v>
      </c>
      <c r="F247" t="s">
        <v>1</v>
      </c>
      <c r="G247" t="s">
        <v>311</v>
      </c>
      <c r="H247" t="s">
        <v>295</v>
      </c>
      <c r="I247" t="s">
        <v>1</v>
      </c>
      <c r="J247">
        <v>23.89</v>
      </c>
      <c r="L247">
        <v>20.49</v>
      </c>
      <c r="M247">
        <v>41.3196132596685</v>
      </c>
      <c r="N247">
        <v>26.400000000000002</v>
      </c>
      <c r="O247">
        <v>41.205164835200002</v>
      </c>
      <c r="P247">
        <v>0</v>
      </c>
      <c r="Q247">
        <f t="shared" si="45"/>
        <v>41.205164835200002</v>
      </c>
      <c r="R247">
        <v>23.89</v>
      </c>
      <c r="S247">
        <f t="shared" si="46"/>
        <v>-17.315164835200001</v>
      </c>
      <c r="T247">
        <v>0.02</v>
      </c>
      <c r="U247">
        <f t="shared" si="47"/>
        <v>0.4778</v>
      </c>
      <c r="V247">
        <f t="shared" si="48"/>
        <v>24.367799999999999</v>
      </c>
      <c r="W247">
        <f t="shared" si="49"/>
        <v>-16.837364835200002</v>
      </c>
      <c r="X247">
        <v>0</v>
      </c>
    </row>
    <row r="248" spans="1:24" x14ac:dyDescent="0.3">
      <c r="A248" t="s">
        <v>563</v>
      </c>
      <c r="B248" t="s">
        <v>567</v>
      </c>
      <c r="C248">
        <v>29651020</v>
      </c>
      <c r="D248" t="s">
        <v>103</v>
      </c>
      <c r="E248" t="s">
        <v>53</v>
      </c>
      <c r="F248" t="s">
        <v>1</v>
      </c>
      <c r="G248" t="s">
        <v>311</v>
      </c>
      <c r="H248" t="s">
        <v>229</v>
      </c>
      <c r="I248" t="s">
        <v>1</v>
      </c>
      <c r="J248">
        <v>5376.97</v>
      </c>
      <c r="K248">
        <v>5381.2439670780004</v>
      </c>
      <c r="L248">
        <v>2897.59</v>
      </c>
      <c r="M248">
        <v>5843.2063535911602</v>
      </c>
      <c r="N248">
        <v>5753.5700000000015</v>
      </c>
      <c r="O248">
        <v>5827.0216483516997</v>
      </c>
      <c r="P248">
        <v>0</v>
      </c>
      <c r="Q248">
        <f t="shared" si="45"/>
        <v>5827.0216483516997</v>
      </c>
      <c r="R248">
        <v>5827.0216483516997</v>
      </c>
      <c r="S248">
        <f t="shared" si="46"/>
        <v>0</v>
      </c>
      <c r="T248">
        <v>0.04</v>
      </c>
      <c r="U248">
        <f t="shared" si="47"/>
        <v>233.08086593406799</v>
      </c>
      <c r="V248">
        <f t="shared" si="48"/>
        <v>6060.1025142857679</v>
      </c>
      <c r="W248">
        <f t="shared" si="49"/>
        <v>233.08086593406824</v>
      </c>
      <c r="X248">
        <v>0</v>
      </c>
    </row>
    <row r="249" spans="1:24" x14ac:dyDescent="0.3">
      <c r="A249" t="s">
        <v>563</v>
      </c>
      <c r="B249" t="s">
        <v>567</v>
      </c>
      <c r="C249">
        <v>29651020</v>
      </c>
      <c r="D249" t="s">
        <v>103</v>
      </c>
      <c r="E249" t="s">
        <v>17</v>
      </c>
      <c r="F249" t="s">
        <v>1</v>
      </c>
      <c r="G249" t="s">
        <v>311</v>
      </c>
      <c r="H249" t="s">
        <v>188</v>
      </c>
      <c r="I249" t="s">
        <v>1</v>
      </c>
      <c r="J249">
        <v>7429.47</v>
      </c>
      <c r="K249">
        <v>6560.0700000000998</v>
      </c>
      <c r="L249">
        <v>4054.16</v>
      </c>
      <c r="M249">
        <v>8175.5160220994476</v>
      </c>
      <c r="N249">
        <v>7590.829999999999</v>
      </c>
      <c r="O249">
        <v>8175.5160220995003</v>
      </c>
      <c r="P249">
        <v>0</v>
      </c>
      <c r="Q249">
        <f t="shared" si="45"/>
        <v>8175.5160220995003</v>
      </c>
      <c r="R249">
        <v>8175.5160220995003</v>
      </c>
      <c r="S249">
        <f t="shared" si="46"/>
        <v>0</v>
      </c>
      <c r="T249">
        <v>0.03</v>
      </c>
      <c r="U249">
        <f t="shared" si="47"/>
        <v>245.265480662985</v>
      </c>
      <c r="V249">
        <f t="shared" si="48"/>
        <v>8420.7815027624856</v>
      </c>
      <c r="W249">
        <f t="shared" si="49"/>
        <v>245.26548066298528</v>
      </c>
      <c r="X249" t="s">
        <v>465</v>
      </c>
    </row>
    <row r="250" spans="1:24" x14ac:dyDescent="0.3">
      <c r="A250" t="s">
        <v>563</v>
      </c>
      <c r="B250" t="s">
        <v>567</v>
      </c>
      <c r="C250">
        <v>29651020</v>
      </c>
      <c r="D250" t="s">
        <v>103</v>
      </c>
      <c r="E250" t="s">
        <v>18</v>
      </c>
      <c r="F250" t="s">
        <v>1</v>
      </c>
      <c r="G250" t="s">
        <v>311</v>
      </c>
      <c r="H250" t="s">
        <v>189</v>
      </c>
      <c r="I250" t="s">
        <v>1</v>
      </c>
      <c r="J250">
        <v>825.45</v>
      </c>
      <c r="K250">
        <v>401.5799999999</v>
      </c>
      <c r="L250">
        <v>0</v>
      </c>
      <c r="M250">
        <v>0</v>
      </c>
      <c r="N250">
        <v>632.93000000000006</v>
      </c>
      <c r="P250">
        <v>0</v>
      </c>
      <c r="Q250">
        <f t="shared" si="45"/>
        <v>0</v>
      </c>
      <c r="R250">
        <v>0</v>
      </c>
      <c r="S250">
        <f t="shared" si="46"/>
        <v>0</v>
      </c>
      <c r="T250">
        <v>3.5000000000000003E-2</v>
      </c>
      <c r="U250">
        <f t="shared" si="47"/>
        <v>0</v>
      </c>
      <c r="V250">
        <f t="shared" si="48"/>
        <v>0</v>
      </c>
      <c r="W250">
        <f t="shared" si="49"/>
        <v>0</v>
      </c>
      <c r="X250" t="s">
        <v>466</v>
      </c>
    </row>
    <row r="251" spans="1:24" x14ac:dyDescent="0.3">
      <c r="A251" t="s">
        <v>563</v>
      </c>
      <c r="B251" t="s">
        <v>567</v>
      </c>
      <c r="C251">
        <v>29651020</v>
      </c>
      <c r="D251" t="s">
        <v>103</v>
      </c>
      <c r="E251" t="s">
        <v>23</v>
      </c>
      <c r="F251" t="s">
        <v>1</v>
      </c>
      <c r="G251" t="s">
        <v>311</v>
      </c>
      <c r="H251" t="s">
        <v>194</v>
      </c>
      <c r="I251" t="s">
        <v>1</v>
      </c>
      <c r="L251">
        <v>52.19</v>
      </c>
      <c r="M251">
        <v>105.2450276243094</v>
      </c>
      <c r="N251">
        <v>52.19</v>
      </c>
      <c r="O251">
        <v>104.38</v>
      </c>
      <c r="P251">
        <v>0</v>
      </c>
      <c r="Q251">
        <f t="shared" si="45"/>
        <v>104.38</v>
      </c>
      <c r="R251">
        <v>0</v>
      </c>
      <c r="S251">
        <f t="shared" si="46"/>
        <v>-104.38</v>
      </c>
      <c r="U251">
        <f t="shared" si="47"/>
        <v>0</v>
      </c>
      <c r="V251">
        <f t="shared" si="48"/>
        <v>0</v>
      </c>
      <c r="W251">
        <f t="shared" si="49"/>
        <v>-104.38</v>
      </c>
      <c r="X251">
        <v>0</v>
      </c>
    </row>
    <row r="252" spans="1:24" x14ac:dyDescent="0.3">
      <c r="A252" t="s">
        <v>563</v>
      </c>
      <c r="B252" t="s">
        <v>567</v>
      </c>
      <c r="C252">
        <v>29651020</v>
      </c>
      <c r="D252" t="s">
        <v>103</v>
      </c>
      <c r="E252" t="s">
        <v>24</v>
      </c>
      <c r="F252" t="s">
        <v>1</v>
      </c>
      <c r="G252" t="s">
        <v>311</v>
      </c>
      <c r="H252" t="s">
        <v>195</v>
      </c>
      <c r="I252" t="s">
        <v>1</v>
      </c>
      <c r="J252">
        <v>163</v>
      </c>
      <c r="L252">
        <v>0</v>
      </c>
      <c r="M252">
        <v>0</v>
      </c>
      <c r="N252">
        <v>163</v>
      </c>
      <c r="P252">
        <v>0</v>
      </c>
      <c r="Q252">
        <f t="shared" si="45"/>
        <v>0</v>
      </c>
      <c r="R252">
        <v>0</v>
      </c>
      <c r="S252">
        <f t="shared" si="46"/>
        <v>0</v>
      </c>
      <c r="U252">
        <f t="shared" si="47"/>
        <v>0</v>
      </c>
      <c r="V252">
        <f t="shared" si="48"/>
        <v>0</v>
      </c>
      <c r="W252">
        <f t="shared" si="49"/>
        <v>0</v>
      </c>
      <c r="X252">
        <v>0</v>
      </c>
    </row>
    <row r="253" spans="1:24" x14ac:dyDescent="0.3">
      <c r="A253" t="s">
        <v>563</v>
      </c>
      <c r="B253" t="s">
        <v>567</v>
      </c>
      <c r="C253">
        <v>29651020</v>
      </c>
      <c r="D253" t="s">
        <v>103</v>
      </c>
      <c r="E253" t="s">
        <v>31</v>
      </c>
      <c r="F253" t="s">
        <v>1</v>
      </c>
      <c r="G253" t="s">
        <v>311</v>
      </c>
      <c r="H253" t="s">
        <v>202</v>
      </c>
      <c r="I253" t="s">
        <v>1</v>
      </c>
      <c r="J253">
        <v>949.68</v>
      </c>
      <c r="L253">
        <v>0</v>
      </c>
      <c r="M253">
        <v>0</v>
      </c>
      <c r="N253">
        <v>716.68</v>
      </c>
      <c r="P253">
        <v>0</v>
      </c>
      <c r="Q253">
        <f t="shared" si="45"/>
        <v>0</v>
      </c>
      <c r="R253">
        <v>0</v>
      </c>
      <c r="S253">
        <f t="shared" si="46"/>
        <v>0</v>
      </c>
      <c r="U253">
        <f t="shared" si="47"/>
        <v>0</v>
      </c>
      <c r="V253">
        <f t="shared" si="48"/>
        <v>0</v>
      </c>
      <c r="W253">
        <f t="shared" si="49"/>
        <v>0</v>
      </c>
      <c r="X253">
        <v>0</v>
      </c>
    </row>
    <row r="254" spans="1:24" x14ac:dyDescent="0.3">
      <c r="A254" t="s">
        <v>563</v>
      </c>
      <c r="B254" t="s">
        <v>567</v>
      </c>
      <c r="C254">
        <v>29651020</v>
      </c>
      <c r="D254" t="s">
        <v>103</v>
      </c>
      <c r="E254" t="s">
        <v>97</v>
      </c>
      <c r="F254" t="s">
        <v>1</v>
      </c>
      <c r="G254" t="s">
        <v>311</v>
      </c>
      <c r="H254" t="s">
        <v>303</v>
      </c>
      <c r="I254" t="s">
        <v>1</v>
      </c>
      <c r="J254">
        <v>5852</v>
      </c>
      <c r="L254">
        <v>17138</v>
      </c>
      <c r="M254">
        <v>34560.055248618788</v>
      </c>
      <c r="N254">
        <v>17138</v>
      </c>
      <c r="O254">
        <v>34276</v>
      </c>
      <c r="P254">
        <v>0</v>
      </c>
      <c r="Q254">
        <f t="shared" si="45"/>
        <v>34276</v>
      </c>
      <c r="R254">
        <v>0</v>
      </c>
      <c r="S254">
        <f t="shared" si="46"/>
        <v>-34276</v>
      </c>
      <c r="U254">
        <f t="shared" si="47"/>
        <v>0</v>
      </c>
      <c r="V254">
        <f t="shared" si="48"/>
        <v>0</v>
      </c>
      <c r="W254">
        <f t="shared" si="49"/>
        <v>-34276</v>
      </c>
      <c r="X254">
        <v>0</v>
      </c>
    </row>
    <row r="255" spans="1:24" x14ac:dyDescent="0.3">
      <c r="A255" t="s">
        <v>563</v>
      </c>
      <c r="B255" t="s">
        <v>567</v>
      </c>
      <c r="C255">
        <v>29651020</v>
      </c>
      <c r="D255" t="s">
        <v>103</v>
      </c>
      <c r="E255" t="s">
        <v>44</v>
      </c>
      <c r="F255" t="s">
        <v>1</v>
      </c>
      <c r="G255" t="s">
        <v>311</v>
      </c>
      <c r="H255" t="s">
        <v>215</v>
      </c>
      <c r="I255" t="s">
        <v>1</v>
      </c>
      <c r="J255">
        <v>390.4</v>
      </c>
      <c r="K255">
        <v>395.00000000030002</v>
      </c>
      <c r="L255">
        <v>196.59</v>
      </c>
      <c r="M255">
        <v>396.43839779005532</v>
      </c>
      <c r="N255">
        <v>423.15999999999991</v>
      </c>
      <c r="O255">
        <v>396.4383977901</v>
      </c>
      <c r="P255">
        <v>0</v>
      </c>
      <c r="Q255">
        <f t="shared" si="45"/>
        <v>396.4383977901</v>
      </c>
      <c r="R255">
        <v>396.4383977901</v>
      </c>
      <c r="S255">
        <f t="shared" si="46"/>
        <v>0</v>
      </c>
      <c r="U255">
        <f t="shared" si="47"/>
        <v>0</v>
      </c>
      <c r="V255">
        <f t="shared" si="48"/>
        <v>396.4383977901</v>
      </c>
      <c r="W255">
        <f t="shared" si="49"/>
        <v>0</v>
      </c>
      <c r="X255">
        <v>0</v>
      </c>
    </row>
    <row r="256" spans="1:24" x14ac:dyDescent="0.3">
      <c r="A256" t="s">
        <v>563</v>
      </c>
      <c r="B256" t="s">
        <v>567</v>
      </c>
      <c r="C256">
        <v>29651020</v>
      </c>
      <c r="D256" t="s">
        <v>103</v>
      </c>
      <c r="E256" t="s">
        <v>45</v>
      </c>
      <c r="F256" t="s">
        <v>45</v>
      </c>
      <c r="G256" t="s">
        <v>312</v>
      </c>
      <c r="J256">
        <v>126201.37999999999</v>
      </c>
      <c r="K256">
        <v>123332.4631460901</v>
      </c>
      <c r="L256">
        <v>63741.570000000007</v>
      </c>
      <c r="M256">
        <v>128539.63011049722</v>
      </c>
      <c r="N256">
        <v>121591.88</v>
      </c>
      <c r="O256">
        <v>128009.27837350521</v>
      </c>
      <c r="P256">
        <f>SUMIF($F$237:$F$255,"&lt;&gt;EV_*",$P$237:$P$255)</f>
        <v>0</v>
      </c>
      <c r="Q256">
        <f>SUMIF($F$237:$F$255,"&lt;&gt;EV_*",$Q$237:$Q$255)</f>
        <v>128009.27837350521</v>
      </c>
      <c r="R256">
        <f>SUMIF($F$237:$F$255,"&lt;&gt;EV_*",$R$237:$R$255)</f>
        <v>93283.570791087506</v>
      </c>
      <c r="S256">
        <f>SUMIF($F$237:$F$255,"&lt;&gt;EV_*",$S$237:$S$255)</f>
        <v>-34725.707582417701</v>
      </c>
      <c r="T256">
        <v>0</v>
      </c>
      <c r="U256">
        <f>SUMIF($F$237:$F$255,"&lt;&gt;EV_*",$U$237:$U$255)</f>
        <v>2373.949149295735</v>
      </c>
      <c r="V256">
        <f>SUMIF($F$237:$F$255,"&lt;&gt;EV_*",$V$237:$V$255)</f>
        <v>95657.519940383238</v>
      </c>
      <c r="W256">
        <f>SUMIF($F$237:$F$255,"&lt;&gt;EV_*",$W$237:$W$255)</f>
        <v>-32351.758433121962</v>
      </c>
      <c r="X256">
        <f>SUMIF($F$237:$F$255,"&lt;&gt;EV_*",$X$237:$X$255)</f>
        <v>0</v>
      </c>
    </row>
    <row r="257" spans="1:24" x14ac:dyDescent="0.3">
      <c r="A257" t="s">
        <v>563</v>
      </c>
      <c r="B257" t="s">
        <v>566</v>
      </c>
      <c r="C257">
        <v>29651030</v>
      </c>
      <c r="D257" t="s">
        <v>104</v>
      </c>
      <c r="E257" t="s">
        <v>5</v>
      </c>
      <c r="F257" t="s">
        <v>5</v>
      </c>
      <c r="G257" t="s">
        <v>313</v>
      </c>
    </row>
    <row r="258" spans="1:24" x14ac:dyDescent="0.3">
      <c r="A258" t="s">
        <v>563</v>
      </c>
      <c r="B258" t="s">
        <v>566</v>
      </c>
      <c r="C258">
        <v>29651030</v>
      </c>
      <c r="D258" t="s">
        <v>104</v>
      </c>
      <c r="E258" t="s">
        <v>12</v>
      </c>
      <c r="F258" t="s">
        <v>1</v>
      </c>
      <c r="G258" t="s">
        <v>314</v>
      </c>
      <c r="H258" t="s">
        <v>183</v>
      </c>
      <c r="I258" t="s">
        <v>1</v>
      </c>
      <c r="J258">
        <v>6154.15</v>
      </c>
      <c r="K258">
        <v>5178.84</v>
      </c>
      <c r="L258">
        <v>2229.83</v>
      </c>
      <c r="M258">
        <v>4496.6185082872926</v>
      </c>
      <c r="N258">
        <v>5645.5199999999995</v>
      </c>
      <c r="O258">
        <v>4459.66</v>
      </c>
      <c r="P258">
        <v>0</v>
      </c>
      <c r="Q258">
        <f t="shared" ref="Q258:Q265" si="50">O258+P258</f>
        <v>4459.66</v>
      </c>
      <c r="R258">
        <v>4459.66</v>
      </c>
      <c r="S258">
        <f t="shared" ref="S258:S265" si="51">IF(OR(LEFT(E258,2)="A_",LEFT(D258,5)="Total"),R258-Q258,"")</f>
        <v>0</v>
      </c>
      <c r="U258">
        <f t="shared" ref="U258:U265" si="52">IFERROR(R258*T258,R258*0)</f>
        <v>0</v>
      </c>
      <c r="V258">
        <f t="shared" ref="V258:V265" si="53">IF(OR(LEFT(E258,2)="A_",LEFT(D258,5)="Total"),R258+U258,"")</f>
        <v>4459.66</v>
      </c>
      <c r="W258">
        <f t="shared" ref="W258:W265" si="54">IF(OR(LEFT(E258,2)="A_",LEFT(D258,5)="Total"),V258-Q258,"")</f>
        <v>0</v>
      </c>
      <c r="X258">
        <v>0</v>
      </c>
    </row>
    <row r="259" spans="1:24" x14ac:dyDescent="0.3">
      <c r="A259" t="s">
        <v>563</v>
      </c>
      <c r="B259" t="s">
        <v>566</v>
      </c>
      <c r="C259">
        <v>29651030</v>
      </c>
      <c r="D259" t="s">
        <v>104</v>
      </c>
      <c r="E259" t="s">
        <v>16</v>
      </c>
      <c r="F259" t="s">
        <v>1</v>
      </c>
      <c r="G259" t="s">
        <v>314</v>
      </c>
      <c r="H259" t="s">
        <v>187</v>
      </c>
      <c r="I259" t="s">
        <v>1</v>
      </c>
      <c r="J259">
        <v>2317.9</v>
      </c>
      <c r="K259">
        <v>1597.9790123457001</v>
      </c>
      <c r="L259">
        <v>1159</v>
      </c>
      <c r="M259">
        <v>2337.2099447513815</v>
      </c>
      <c r="N259">
        <v>2433.9</v>
      </c>
      <c r="O259">
        <v>2330.7362637362999</v>
      </c>
      <c r="P259">
        <v>0</v>
      </c>
      <c r="Q259">
        <f t="shared" si="50"/>
        <v>2330.7362637362999</v>
      </c>
      <c r="R259">
        <v>2330.7362637362999</v>
      </c>
      <c r="S259">
        <f t="shared" si="51"/>
        <v>0</v>
      </c>
      <c r="T259">
        <v>0.02</v>
      </c>
      <c r="U259">
        <f t="shared" si="52"/>
        <v>46.614725274725998</v>
      </c>
      <c r="V259">
        <f t="shared" si="53"/>
        <v>2377.3509890110258</v>
      </c>
      <c r="W259">
        <f t="shared" si="54"/>
        <v>46.61472527472597</v>
      </c>
      <c r="X259" t="s">
        <v>467</v>
      </c>
    </row>
    <row r="260" spans="1:24" x14ac:dyDescent="0.3">
      <c r="A260" t="s">
        <v>563</v>
      </c>
      <c r="B260" t="s">
        <v>566</v>
      </c>
      <c r="C260">
        <v>29651030</v>
      </c>
      <c r="D260" t="s">
        <v>104</v>
      </c>
      <c r="E260" t="s">
        <v>17</v>
      </c>
      <c r="F260" t="s">
        <v>1</v>
      </c>
      <c r="G260" t="s">
        <v>314</v>
      </c>
      <c r="H260" t="s">
        <v>188</v>
      </c>
      <c r="I260" t="s">
        <v>1</v>
      </c>
      <c r="J260">
        <v>11.04</v>
      </c>
      <c r="L260">
        <v>32.35</v>
      </c>
      <c r="M260">
        <v>65.23618784530386</v>
      </c>
      <c r="N260">
        <v>43.39</v>
      </c>
      <c r="O260">
        <v>65.236187845299995</v>
      </c>
      <c r="P260">
        <v>0</v>
      </c>
      <c r="Q260">
        <f t="shared" si="50"/>
        <v>65.236187845299995</v>
      </c>
      <c r="R260">
        <v>65.236187845299995</v>
      </c>
      <c r="S260">
        <f t="shared" si="51"/>
        <v>0</v>
      </c>
      <c r="T260">
        <v>0.03</v>
      </c>
      <c r="U260">
        <f t="shared" si="52"/>
        <v>1.9570856353589998</v>
      </c>
      <c r="V260">
        <f t="shared" si="53"/>
        <v>67.193273480658988</v>
      </c>
      <c r="W260">
        <f t="shared" si="54"/>
        <v>1.9570856353589932</v>
      </c>
      <c r="X260">
        <v>0</v>
      </c>
    </row>
    <row r="261" spans="1:24" x14ac:dyDescent="0.3">
      <c r="A261" t="s">
        <v>563</v>
      </c>
      <c r="B261" t="s">
        <v>566</v>
      </c>
      <c r="C261">
        <v>29651030</v>
      </c>
      <c r="D261" t="s">
        <v>104</v>
      </c>
      <c r="E261" t="s">
        <v>18</v>
      </c>
      <c r="F261" t="s">
        <v>1</v>
      </c>
      <c r="G261" t="s">
        <v>314</v>
      </c>
      <c r="H261" t="s">
        <v>189</v>
      </c>
      <c r="I261" t="s">
        <v>1</v>
      </c>
      <c r="J261">
        <v>16100.87</v>
      </c>
      <c r="K261">
        <v>11945.969999999899</v>
      </c>
      <c r="L261">
        <v>2966.2</v>
      </c>
      <c r="M261">
        <v>5981.5635359116013</v>
      </c>
      <c r="N261">
        <v>10344.050000000003</v>
      </c>
      <c r="O261">
        <v>5981.5635359116004</v>
      </c>
      <c r="P261">
        <v>0</v>
      </c>
      <c r="Q261">
        <f t="shared" si="50"/>
        <v>5981.5635359116004</v>
      </c>
      <c r="R261">
        <v>5981.5635359116004</v>
      </c>
      <c r="S261">
        <f t="shared" si="51"/>
        <v>0</v>
      </c>
      <c r="T261">
        <v>3.5000000000000003E-2</v>
      </c>
      <c r="U261">
        <f t="shared" si="52"/>
        <v>209.35472375690603</v>
      </c>
      <c r="V261">
        <f t="shared" si="53"/>
        <v>6190.9182596685068</v>
      </c>
      <c r="W261">
        <f t="shared" si="54"/>
        <v>209.35472375690642</v>
      </c>
      <c r="X261">
        <v>0</v>
      </c>
    </row>
    <row r="262" spans="1:24" x14ac:dyDescent="0.3">
      <c r="A262" t="s">
        <v>563</v>
      </c>
      <c r="B262" t="s">
        <v>566</v>
      </c>
      <c r="C262">
        <v>29651030</v>
      </c>
      <c r="D262" t="s">
        <v>104</v>
      </c>
      <c r="E262" t="s">
        <v>23</v>
      </c>
      <c r="F262" t="s">
        <v>1</v>
      </c>
      <c r="G262" t="s">
        <v>314</v>
      </c>
      <c r="H262" t="s">
        <v>194</v>
      </c>
      <c r="I262" t="s">
        <v>1</v>
      </c>
      <c r="J262">
        <v>44583.31</v>
      </c>
      <c r="K262">
        <v>23961</v>
      </c>
      <c r="L262">
        <v>6969.05</v>
      </c>
      <c r="M262">
        <v>14053.6091160221</v>
      </c>
      <c r="N262">
        <v>26420.399999999998</v>
      </c>
      <c r="O262">
        <v>13938.1</v>
      </c>
      <c r="P262">
        <v>0</v>
      </c>
      <c r="Q262">
        <f t="shared" si="50"/>
        <v>13938.1</v>
      </c>
      <c r="R262">
        <v>13938.1</v>
      </c>
      <c r="S262">
        <f t="shared" si="51"/>
        <v>0</v>
      </c>
      <c r="U262">
        <f t="shared" si="52"/>
        <v>0</v>
      </c>
      <c r="V262">
        <f t="shared" si="53"/>
        <v>13938.1</v>
      </c>
      <c r="W262">
        <f t="shared" si="54"/>
        <v>0</v>
      </c>
      <c r="X262">
        <v>0</v>
      </c>
    </row>
    <row r="263" spans="1:24" x14ac:dyDescent="0.3">
      <c r="A263" t="s">
        <v>563</v>
      </c>
      <c r="B263" t="s">
        <v>566</v>
      </c>
      <c r="C263">
        <v>29651030</v>
      </c>
      <c r="D263" t="s">
        <v>104</v>
      </c>
      <c r="E263" t="s">
        <v>36</v>
      </c>
      <c r="F263" t="s">
        <v>1</v>
      </c>
      <c r="G263" t="s">
        <v>314</v>
      </c>
      <c r="H263" t="s">
        <v>207</v>
      </c>
      <c r="I263" t="s">
        <v>1</v>
      </c>
      <c r="J263">
        <v>257.43</v>
      </c>
      <c r="K263">
        <v>56.0000000004</v>
      </c>
      <c r="L263">
        <v>0</v>
      </c>
      <c r="M263">
        <v>0</v>
      </c>
      <c r="N263">
        <v>241.34</v>
      </c>
      <c r="P263">
        <v>0</v>
      </c>
      <c r="Q263">
        <f t="shared" si="50"/>
        <v>0</v>
      </c>
      <c r="R263">
        <v>0</v>
      </c>
      <c r="S263">
        <f t="shared" si="51"/>
        <v>0</v>
      </c>
      <c r="T263">
        <v>0.03</v>
      </c>
      <c r="U263">
        <f t="shared" si="52"/>
        <v>0</v>
      </c>
      <c r="V263">
        <f t="shared" si="53"/>
        <v>0</v>
      </c>
      <c r="W263">
        <f t="shared" si="54"/>
        <v>0</v>
      </c>
      <c r="X263">
        <v>0</v>
      </c>
    </row>
    <row r="264" spans="1:24" x14ac:dyDescent="0.3">
      <c r="A264" t="s">
        <v>563</v>
      </c>
      <c r="B264" t="s">
        <v>566</v>
      </c>
      <c r="C264">
        <v>29651030</v>
      </c>
      <c r="D264" t="s">
        <v>104</v>
      </c>
      <c r="E264" t="s">
        <v>42</v>
      </c>
      <c r="F264" t="s">
        <v>1</v>
      </c>
      <c r="G264" t="s">
        <v>314</v>
      </c>
      <c r="H264" t="s">
        <v>213</v>
      </c>
      <c r="I264" t="s">
        <v>1</v>
      </c>
      <c r="J264">
        <v>173</v>
      </c>
      <c r="L264">
        <v>1525</v>
      </c>
      <c r="M264">
        <v>3075.2762430939229</v>
      </c>
      <c r="N264">
        <v>1698</v>
      </c>
      <c r="O264">
        <v>3050</v>
      </c>
      <c r="P264">
        <v>0</v>
      </c>
      <c r="Q264">
        <f t="shared" si="50"/>
        <v>3050</v>
      </c>
      <c r="R264">
        <v>3050</v>
      </c>
      <c r="S264">
        <f t="shared" si="51"/>
        <v>0</v>
      </c>
      <c r="T264">
        <v>0.03</v>
      </c>
      <c r="U264">
        <f t="shared" si="52"/>
        <v>91.5</v>
      </c>
      <c r="V264">
        <f t="shared" si="53"/>
        <v>3141.5</v>
      </c>
      <c r="W264">
        <f t="shared" si="54"/>
        <v>91.5</v>
      </c>
      <c r="X264">
        <v>0</v>
      </c>
    </row>
    <row r="265" spans="1:24" x14ac:dyDescent="0.3">
      <c r="A265" t="s">
        <v>563</v>
      </c>
      <c r="B265" t="s">
        <v>566</v>
      </c>
      <c r="C265">
        <v>29651030</v>
      </c>
      <c r="D265" t="s">
        <v>104</v>
      </c>
      <c r="E265" t="s">
        <v>44</v>
      </c>
      <c r="F265" t="s">
        <v>1</v>
      </c>
      <c r="G265" t="s">
        <v>314</v>
      </c>
      <c r="H265" t="s">
        <v>215</v>
      </c>
      <c r="I265" t="s">
        <v>1</v>
      </c>
      <c r="J265">
        <v>679.16</v>
      </c>
      <c r="K265">
        <v>393.00000000009999</v>
      </c>
      <c r="L265">
        <v>393.18</v>
      </c>
      <c r="M265">
        <v>792.87679558011064</v>
      </c>
      <c r="N265">
        <v>803.4899999999999</v>
      </c>
      <c r="O265">
        <v>792.87679558009995</v>
      </c>
      <c r="P265">
        <v>0</v>
      </c>
      <c r="Q265">
        <f t="shared" si="50"/>
        <v>792.87679558009995</v>
      </c>
      <c r="R265">
        <v>792.87679558009995</v>
      </c>
      <c r="S265">
        <f t="shared" si="51"/>
        <v>0</v>
      </c>
      <c r="U265">
        <f t="shared" si="52"/>
        <v>0</v>
      </c>
      <c r="V265">
        <f t="shared" si="53"/>
        <v>792.87679558009995</v>
      </c>
      <c r="W265">
        <f t="shared" si="54"/>
        <v>0</v>
      </c>
      <c r="X265">
        <v>0</v>
      </c>
    </row>
    <row r="266" spans="1:24" x14ac:dyDescent="0.3">
      <c r="A266" t="s">
        <v>563</v>
      </c>
      <c r="B266" t="s">
        <v>566</v>
      </c>
      <c r="C266">
        <v>29651030</v>
      </c>
      <c r="D266" t="s">
        <v>104</v>
      </c>
      <c r="E266" t="s">
        <v>45</v>
      </c>
      <c r="F266" t="s">
        <v>45</v>
      </c>
      <c r="G266" t="s">
        <v>315</v>
      </c>
      <c r="J266">
        <v>70276.859999999986</v>
      </c>
      <c r="K266">
        <v>43132.789012346104</v>
      </c>
      <c r="L266">
        <v>15274.61</v>
      </c>
      <c r="M266">
        <v>30802.390331491712</v>
      </c>
      <c r="N266">
        <v>47630.09</v>
      </c>
      <c r="O266">
        <v>30618.1727830733</v>
      </c>
      <c r="P266">
        <f>SUMIF($F$257:$F$265,"&lt;&gt;EV_*",$P$257:$P$265)</f>
        <v>0</v>
      </c>
      <c r="Q266">
        <f>SUMIF($F$257:$F$265,"&lt;&gt;EV_*",$Q$257:$Q$265)</f>
        <v>30618.1727830733</v>
      </c>
      <c r="R266">
        <f>SUMIF($F$257:$F$265,"&lt;&gt;EV_*",$R$257:$R$265)</f>
        <v>30618.1727830733</v>
      </c>
      <c r="S266">
        <f>SUMIF($F$257:$F$265,"&lt;&gt;EV_*",$S$257:$S$265)</f>
        <v>0</v>
      </c>
      <c r="T266">
        <v>0</v>
      </c>
      <c r="U266">
        <f>SUMIF($F$257:$F$265,"&lt;&gt;EV_*",$U$257:$U$265)</f>
        <v>349.42653466699102</v>
      </c>
      <c r="V266">
        <f>SUMIF($F$257:$F$265,"&lt;&gt;EV_*",$V$257:$V$265)</f>
        <v>30967.599317740292</v>
      </c>
      <c r="W266">
        <f>SUMIF($F$257:$F$265,"&lt;&gt;EV_*",$W$257:$W$265)</f>
        <v>349.42653466699142</v>
      </c>
      <c r="X266">
        <f>SUMIF($F$257:$F$265,"&lt;&gt;EV_*",$X$257:$X$265)</f>
        <v>0</v>
      </c>
    </row>
    <row r="267" spans="1:24" x14ac:dyDescent="0.3">
      <c r="A267" t="s">
        <v>563</v>
      </c>
      <c r="B267" t="s">
        <v>568</v>
      </c>
      <c r="C267">
        <v>29651050</v>
      </c>
      <c r="D267" t="s">
        <v>105</v>
      </c>
      <c r="E267" t="s">
        <v>5</v>
      </c>
      <c r="F267" t="s">
        <v>5</v>
      </c>
      <c r="G267" t="s">
        <v>316</v>
      </c>
    </row>
    <row r="268" spans="1:24" x14ac:dyDescent="0.3">
      <c r="A268" t="s">
        <v>563</v>
      </c>
      <c r="B268" t="s">
        <v>568</v>
      </c>
      <c r="C268">
        <v>29651050</v>
      </c>
      <c r="D268" t="s">
        <v>105</v>
      </c>
      <c r="E268" t="s">
        <v>12</v>
      </c>
      <c r="F268" t="s">
        <v>1</v>
      </c>
      <c r="G268" t="s">
        <v>317</v>
      </c>
      <c r="H268" t="s">
        <v>183</v>
      </c>
      <c r="I268" t="s">
        <v>1</v>
      </c>
      <c r="J268">
        <v>4249.45</v>
      </c>
      <c r="K268">
        <v>3720.9200000003998</v>
      </c>
      <c r="L268">
        <v>1873.77</v>
      </c>
      <c r="M268">
        <v>3778.5969613259672</v>
      </c>
      <c r="N268">
        <v>3886.21</v>
      </c>
      <c r="O268">
        <v>3747.54</v>
      </c>
      <c r="P268">
        <v>0</v>
      </c>
      <c r="Q268">
        <f t="shared" ref="Q268:Q285" si="55">O268+P268</f>
        <v>3747.54</v>
      </c>
      <c r="R268">
        <v>3747.54</v>
      </c>
      <c r="S268">
        <f t="shared" ref="S268:S285" si="56">IF(OR(LEFT(E268,2)="A_",LEFT(D268,5)="Total"),R268-Q268,"")</f>
        <v>0</v>
      </c>
      <c r="U268">
        <f t="shared" ref="U268:U285" si="57">IFERROR(R268*T268,R268*0)</f>
        <v>0</v>
      </c>
      <c r="V268">
        <f t="shared" ref="V268:V285" si="58">IF(OR(LEFT(E268,2)="A_",LEFT(D268,5)="Total"),R268+U268,"")</f>
        <v>3747.54</v>
      </c>
      <c r="W268">
        <f t="shared" ref="W268:W285" si="59">IF(OR(LEFT(E268,2)="A_",LEFT(D268,5)="Total"),V268-Q268,"")</f>
        <v>0</v>
      </c>
      <c r="X268">
        <v>0</v>
      </c>
    </row>
    <row r="269" spans="1:24" x14ac:dyDescent="0.3">
      <c r="A269" t="s">
        <v>563</v>
      </c>
      <c r="B269" t="s">
        <v>568</v>
      </c>
      <c r="C269">
        <v>29651050</v>
      </c>
      <c r="D269" t="s">
        <v>105</v>
      </c>
      <c r="E269" t="s">
        <v>80</v>
      </c>
      <c r="F269" t="s">
        <v>1</v>
      </c>
      <c r="G269" t="s">
        <v>317</v>
      </c>
      <c r="H269" t="s">
        <v>286</v>
      </c>
      <c r="I269" t="s">
        <v>1</v>
      </c>
      <c r="J269">
        <v>-335.86</v>
      </c>
      <c r="L269">
        <v>-196.61</v>
      </c>
      <c r="M269">
        <v>-396.47872928176798</v>
      </c>
      <c r="N269">
        <v>-362.46999999999997</v>
      </c>
      <c r="O269">
        <v>-395.38054945059997</v>
      </c>
      <c r="P269">
        <v>0</v>
      </c>
      <c r="Q269">
        <f t="shared" si="55"/>
        <v>-395.38054945059997</v>
      </c>
      <c r="R269">
        <v>0</v>
      </c>
      <c r="S269">
        <f t="shared" si="56"/>
        <v>395.38054945059997</v>
      </c>
      <c r="U269">
        <f t="shared" si="57"/>
        <v>0</v>
      </c>
      <c r="V269">
        <f t="shared" si="58"/>
        <v>0</v>
      </c>
      <c r="W269">
        <f t="shared" si="59"/>
        <v>395.38054945059997</v>
      </c>
      <c r="X269">
        <v>0</v>
      </c>
    </row>
    <row r="270" spans="1:24" x14ac:dyDescent="0.3">
      <c r="A270" t="s">
        <v>563</v>
      </c>
      <c r="B270" t="s">
        <v>568</v>
      </c>
      <c r="C270">
        <v>29651050</v>
      </c>
      <c r="D270" t="s">
        <v>105</v>
      </c>
      <c r="E270" t="s">
        <v>15</v>
      </c>
      <c r="F270" t="s">
        <v>1</v>
      </c>
      <c r="G270" t="s">
        <v>317</v>
      </c>
      <c r="H270" t="s">
        <v>186</v>
      </c>
      <c r="I270" t="s">
        <v>1</v>
      </c>
      <c r="J270">
        <v>-1103.52</v>
      </c>
      <c r="K270">
        <v>-2859.9999999996999</v>
      </c>
      <c r="L270">
        <v>-891.49</v>
      </c>
      <c r="M270">
        <v>-1797.7560773480664</v>
      </c>
      <c r="N270">
        <v>-1986.01</v>
      </c>
      <c r="O270">
        <v>-1792.7765934066001</v>
      </c>
      <c r="P270">
        <v>0</v>
      </c>
      <c r="Q270">
        <f t="shared" si="55"/>
        <v>-1792.7765934066001</v>
      </c>
      <c r="R270">
        <v>-1792.7765934066001</v>
      </c>
      <c r="S270">
        <f t="shared" si="56"/>
        <v>0</v>
      </c>
      <c r="U270">
        <f t="shared" si="57"/>
        <v>0</v>
      </c>
      <c r="V270">
        <f t="shared" si="58"/>
        <v>-1792.7765934066001</v>
      </c>
      <c r="W270">
        <f t="shared" si="59"/>
        <v>0</v>
      </c>
      <c r="X270">
        <v>0</v>
      </c>
    </row>
    <row r="271" spans="1:24" x14ac:dyDescent="0.3">
      <c r="A271" t="s">
        <v>563</v>
      </c>
      <c r="B271" t="s">
        <v>568</v>
      </c>
      <c r="C271">
        <v>29651050</v>
      </c>
      <c r="D271" t="s">
        <v>105</v>
      </c>
      <c r="E271" t="s">
        <v>49</v>
      </c>
      <c r="F271" t="s">
        <v>1</v>
      </c>
      <c r="G271" t="s">
        <v>317</v>
      </c>
      <c r="H271" t="s">
        <v>225</v>
      </c>
      <c r="I271" t="s">
        <v>1</v>
      </c>
      <c r="J271">
        <v>270.25</v>
      </c>
      <c r="L271">
        <v>0</v>
      </c>
      <c r="M271">
        <v>0</v>
      </c>
      <c r="N271">
        <v>270.25</v>
      </c>
      <c r="P271">
        <v>0</v>
      </c>
      <c r="Q271">
        <f t="shared" si="55"/>
        <v>0</v>
      </c>
      <c r="R271">
        <v>0</v>
      </c>
      <c r="S271">
        <f t="shared" si="56"/>
        <v>0</v>
      </c>
      <c r="T271">
        <v>2.5000000000000001E-2</v>
      </c>
      <c r="U271">
        <f t="shared" si="57"/>
        <v>0</v>
      </c>
      <c r="V271">
        <f t="shared" si="58"/>
        <v>0</v>
      </c>
      <c r="W271">
        <f t="shared" si="59"/>
        <v>0</v>
      </c>
      <c r="X271">
        <v>0</v>
      </c>
    </row>
    <row r="272" spans="1:24" x14ac:dyDescent="0.3">
      <c r="A272" t="s">
        <v>563</v>
      </c>
      <c r="B272" t="s">
        <v>568</v>
      </c>
      <c r="C272">
        <v>29651050</v>
      </c>
      <c r="D272" t="s">
        <v>105</v>
      </c>
      <c r="E272" t="s">
        <v>16</v>
      </c>
      <c r="F272" t="s">
        <v>1</v>
      </c>
      <c r="G272" t="s">
        <v>317</v>
      </c>
      <c r="H272" t="s">
        <v>187</v>
      </c>
      <c r="I272" t="s">
        <v>1</v>
      </c>
      <c r="J272">
        <v>39816.959999999999</v>
      </c>
      <c r="K272">
        <v>43815.384172839404</v>
      </c>
      <c r="L272">
        <v>21890.93</v>
      </c>
      <c r="M272">
        <v>44144.693093922651</v>
      </c>
      <c r="N272">
        <v>41754</v>
      </c>
      <c r="O272">
        <v>44022.419670329698</v>
      </c>
      <c r="P272">
        <v>0</v>
      </c>
      <c r="Q272">
        <f t="shared" si="55"/>
        <v>44022.419670329698</v>
      </c>
      <c r="R272">
        <v>44022.419670329698</v>
      </c>
      <c r="S272">
        <f t="shared" si="56"/>
        <v>0</v>
      </c>
      <c r="T272">
        <v>0.02</v>
      </c>
      <c r="U272">
        <f t="shared" si="57"/>
        <v>880.44839340659394</v>
      </c>
      <c r="V272">
        <f t="shared" si="58"/>
        <v>44902.868063736292</v>
      </c>
      <c r="W272">
        <f t="shared" si="59"/>
        <v>880.44839340659382</v>
      </c>
      <c r="X272" t="s">
        <v>468</v>
      </c>
    </row>
    <row r="273" spans="1:24" x14ac:dyDescent="0.3">
      <c r="A273" t="s">
        <v>563</v>
      </c>
      <c r="B273" t="s">
        <v>568</v>
      </c>
      <c r="C273">
        <v>29651050</v>
      </c>
      <c r="D273" t="s">
        <v>105</v>
      </c>
      <c r="E273" t="s">
        <v>84</v>
      </c>
      <c r="F273" t="s">
        <v>1</v>
      </c>
      <c r="G273" t="s">
        <v>317</v>
      </c>
      <c r="H273" t="s">
        <v>290</v>
      </c>
      <c r="I273" t="s">
        <v>1</v>
      </c>
      <c r="J273">
        <v>10823.39</v>
      </c>
      <c r="K273">
        <v>11881.5726584365</v>
      </c>
      <c r="L273">
        <v>8505.48</v>
      </c>
      <c r="M273">
        <v>17151.934806629833</v>
      </c>
      <c r="N273">
        <v>13919.699999999999</v>
      </c>
      <c r="O273">
        <v>17104.426813186801</v>
      </c>
      <c r="P273">
        <v>0</v>
      </c>
      <c r="Q273">
        <f t="shared" si="55"/>
        <v>17104.426813186801</v>
      </c>
      <c r="R273">
        <v>17104.426813186801</v>
      </c>
      <c r="S273">
        <f t="shared" si="56"/>
        <v>0</v>
      </c>
      <c r="T273">
        <v>0.04</v>
      </c>
      <c r="U273">
        <f t="shared" si="57"/>
        <v>684.17707252747209</v>
      </c>
      <c r="V273">
        <f t="shared" si="58"/>
        <v>17788.603885714274</v>
      </c>
      <c r="W273">
        <f t="shared" si="59"/>
        <v>684.17707252747277</v>
      </c>
      <c r="X273">
        <v>0</v>
      </c>
    </row>
    <row r="274" spans="1:24" x14ac:dyDescent="0.3">
      <c r="A274" t="s">
        <v>563</v>
      </c>
      <c r="B274" t="s">
        <v>568</v>
      </c>
      <c r="C274">
        <v>29651050</v>
      </c>
      <c r="D274" t="s">
        <v>105</v>
      </c>
      <c r="E274" t="s">
        <v>86</v>
      </c>
      <c r="F274" t="s">
        <v>1</v>
      </c>
      <c r="G274" t="s">
        <v>317</v>
      </c>
      <c r="H274" t="s">
        <v>292</v>
      </c>
      <c r="I274" t="s">
        <v>1</v>
      </c>
      <c r="J274">
        <v>29500</v>
      </c>
      <c r="K274">
        <v>45196.913580247099</v>
      </c>
      <c r="L274">
        <v>0</v>
      </c>
      <c r="M274">
        <v>0</v>
      </c>
      <c r="N274">
        <v>-6500</v>
      </c>
      <c r="P274">
        <v>0</v>
      </c>
      <c r="Q274">
        <f t="shared" si="55"/>
        <v>0</v>
      </c>
      <c r="R274">
        <v>12000</v>
      </c>
      <c r="S274">
        <f t="shared" si="56"/>
        <v>12000</v>
      </c>
      <c r="T274">
        <v>0.02</v>
      </c>
      <c r="U274">
        <f t="shared" si="57"/>
        <v>240</v>
      </c>
      <c r="V274">
        <f t="shared" si="58"/>
        <v>12240</v>
      </c>
      <c r="W274">
        <f t="shared" si="59"/>
        <v>12240</v>
      </c>
      <c r="X274">
        <v>0</v>
      </c>
    </row>
    <row r="275" spans="1:24" x14ac:dyDescent="0.3">
      <c r="A275" t="s">
        <v>563</v>
      </c>
      <c r="B275" t="s">
        <v>568</v>
      </c>
      <c r="C275">
        <v>29651050</v>
      </c>
      <c r="D275" t="s">
        <v>105</v>
      </c>
      <c r="E275" t="s">
        <v>89</v>
      </c>
      <c r="F275" t="s">
        <v>1</v>
      </c>
      <c r="G275" t="s">
        <v>317</v>
      </c>
      <c r="H275" t="s">
        <v>295</v>
      </c>
      <c r="I275" t="s">
        <v>1</v>
      </c>
      <c r="J275">
        <v>517.86</v>
      </c>
      <c r="K275">
        <v>1057.8835555554999</v>
      </c>
      <c r="L275">
        <v>0</v>
      </c>
      <c r="M275">
        <v>0</v>
      </c>
      <c r="N275">
        <v>-172.62</v>
      </c>
      <c r="P275">
        <v>0</v>
      </c>
      <c r="Q275">
        <f t="shared" si="55"/>
        <v>0</v>
      </c>
      <c r="R275">
        <v>0</v>
      </c>
      <c r="S275">
        <f t="shared" si="56"/>
        <v>0</v>
      </c>
      <c r="T275">
        <v>0.02</v>
      </c>
      <c r="U275">
        <f t="shared" si="57"/>
        <v>0</v>
      </c>
      <c r="V275">
        <f t="shared" si="58"/>
        <v>0</v>
      </c>
      <c r="W275">
        <f t="shared" si="59"/>
        <v>0</v>
      </c>
      <c r="X275">
        <v>0</v>
      </c>
    </row>
    <row r="276" spans="1:24" x14ac:dyDescent="0.3">
      <c r="A276" t="s">
        <v>563</v>
      </c>
      <c r="B276" t="s">
        <v>568</v>
      </c>
      <c r="C276">
        <v>29651050</v>
      </c>
      <c r="D276" t="s">
        <v>105</v>
      </c>
      <c r="E276" t="s">
        <v>53</v>
      </c>
      <c r="F276" t="s">
        <v>1</v>
      </c>
      <c r="G276" t="s">
        <v>317</v>
      </c>
      <c r="H276" t="s">
        <v>229</v>
      </c>
      <c r="I276" t="s">
        <v>1</v>
      </c>
      <c r="J276">
        <v>208565.86</v>
      </c>
      <c r="K276">
        <v>236178.34745679001</v>
      </c>
      <c r="L276">
        <v>99342.13</v>
      </c>
      <c r="M276">
        <v>200330.814640884</v>
      </c>
      <c r="N276">
        <v>204440.36</v>
      </c>
      <c r="O276">
        <v>199775.93175824199</v>
      </c>
      <c r="P276">
        <v>0</v>
      </c>
      <c r="Q276">
        <f t="shared" si="55"/>
        <v>199775.93175824199</v>
      </c>
      <c r="R276">
        <v>204440.36</v>
      </c>
      <c r="S276">
        <f t="shared" si="56"/>
        <v>4664.4282417579961</v>
      </c>
      <c r="T276">
        <v>0.04</v>
      </c>
      <c r="U276">
        <f t="shared" si="57"/>
        <v>8177.6143999999995</v>
      </c>
      <c r="V276">
        <f t="shared" si="58"/>
        <v>212617.97439999998</v>
      </c>
      <c r="W276">
        <f t="shared" si="59"/>
        <v>12842.042641757987</v>
      </c>
      <c r="X276">
        <v>0</v>
      </c>
    </row>
    <row r="277" spans="1:24" x14ac:dyDescent="0.3">
      <c r="A277" t="s">
        <v>563</v>
      </c>
      <c r="B277" t="s">
        <v>568</v>
      </c>
      <c r="C277">
        <v>29651050</v>
      </c>
      <c r="D277" t="s">
        <v>105</v>
      </c>
      <c r="E277" t="s">
        <v>17</v>
      </c>
      <c r="F277" t="s">
        <v>1</v>
      </c>
      <c r="G277" t="s">
        <v>317</v>
      </c>
      <c r="H277" t="s">
        <v>188</v>
      </c>
      <c r="I277" t="s">
        <v>1</v>
      </c>
      <c r="J277">
        <v>41455.230000000003</v>
      </c>
      <c r="K277">
        <v>39921.589999999997</v>
      </c>
      <c r="L277">
        <v>19798.330000000002</v>
      </c>
      <c r="M277">
        <v>39924.809116022101</v>
      </c>
      <c r="N277">
        <v>41889.119999999995</v>
      </c>
      <c r="O277">
        <v>39924.809116022101</v>
      </c>
      <c r="P277">
        <v>0</v>
      </c>
      <c r="Q277">
        <f t="shared" si="55"/>
        <v>39924.809116022101</v>
      </c>
      <c r="R277">
        <v>40356</v>
      </c>
      <c r="S277">
        <f t="shared" si="56"/>
        <v>431.19088397789892</v>
      </c>
      <c r="T277">
        <v>0.03</v>
      </c>
      <c r="U277">
        <f t="shared" si="57"/>
        <v>1210.68</v>
      </c>
      <c r="V277">
        <f t="shared" si="58"/>
        <v>41566.68</v>
      </c>
      <c r="W277">
        <f t="shared" si="59"/>
        <v>1641.8708839778992</v>
      </c>
      <c r="X277" t="s">
        <v>469</v>
      </c>
    </row>
    <row r="278" spans="1:24" x14ac:dyDescent="0.3">
      <c r="A278" t="s">
        <v>563</v>
      </c>
      <c r="B278" t="s">
        <v>568</v>
      </c>
      <c r="C278">
        <v>29651050</v>
      </c>
      <c r="D278" t="s">
        <v>105</v>
      </c>
      <c r="E278" t="s">
        <v>18</v>
      </c>
      <c r="F278" t="s">
        <v>1</v>
      </c>
      <c r="G278" t="s">
        <v>317</v>
      </c>
      <c r="H278" t="s">
        <v>189</v>
      </c>
      <c r="I278" t="s">
        <v>1</v>
      </c>
      <c r="J278">
        <v>6063.82</v>
      </c>
      <c r="K278">
        <v>4905.9000000002998</v>
      </c>
      <c r="L278">
        <v>2164.87</v>
      </c>
      <c r="M278">
        <v>4365.6218232044193</v>
      </c>
      <c r="N278">
        <v>4749.3900000000003</v>
      </c>
      <c r="O278">
        <v>4365.6218232044002</v>
      </c>
      <c r="P278">
        <v>0</v>
      </c>
      <c r="Q278">
        <f t="shared" si="55"/>
        <v>4365.6218232044002</v>
      </c>
      <c r="R278">
        <v>4365.6218232044002</v>
      </c>
      <c r="S278">
        <f t="shared" si="56"/>
        <v>0</v>
      </c>
      <c r="T278">
        <v>3.5000000000000003E-2</v>
      </c>
      <c r="U278">
        <f t="shared" si="57"/>
        <v>152.79676381215401</v>
      </c>
      <c r="V278">
        <f t="shared" si="58"/>
        <v>4518.4185870165538</v>
      </c>
      <c r="W278">
        <f t="shared" si="59"/>
        <v>152.79676381215359</v>
      </c>
      <c r="X278" t="s">
        <v>470</v>
      </c>
    </row>
    <row r="279" spans="1:24" x14ac:dyDescent="0.3">
      <c r="A279" t="s">
        <v>563</v>
      </c>
      <c r="B279" t="s">
        <v>568</v>
      </c>
      <c r="C279">
        <v>29651050</v>
      </c>
      <c r="D279" t="s">
        <v>105</v>
      </c>
      <c r="E279" t="s">
        <v>19</v>
      </c>
      <c r="F279" t="s">
        <v>1</v>
      </c>
      <c r="G279" t="s">
        <v>317</v>
      </c>
      <c r="H279" t="s">
        <v>190</v>
      </c>
      <c r="I279" t="s">
        <v>1</v>
      </c>
      <c r="J279">
        <v>162.78</v>
      </c>
      <c r="L279">
        <v>0</v>
      </c>
      <c r="M279">
        <v>0</v>
      </c>
      <c r="N279">
        <v>162.78</v>
      </c>
      <c r="P279">
        <v>0</v>
      </c>
      <c r="Q279">
        <f t="shared" si="55"/>
        <v>0</v>
      </c>
      <c r="R279">
        <v>0</v>
      </c>
      <c r="S279">
        <f t="shared" si="56"/>
        <v>0</v>
      </c>
      <c r="T279">
        <v>3.5000000000000003E-2</v>
      </c>
      <c r="U279">
        <f t="shared" si="57"/>
        <v>0</v>
      </c>
      <c r="V279">
        <f t="shared" si="58"/>
        <v>0</v>
      </c>
      <c r="W279">
        <f t="shared" si="59"/>
        <v>0</v>
      </c>
      <c r="X279">
        <v>0</v>
      </c>
    </row>
    <row r="280" spans="1:24" x14ac:dyDescent="0.3">
      <c r="A280" t="s">
        <v>563</v>
      </c>
      <c r="B280" t="s">
        <v>568</v>
      </c>
      <c r="C280">
        <v>29651050</v>
      </c>
      <c r="D280" t="s">
        <v>105</v>
      </c>
      <c r="E280" t="s">
        <v>23</v>
      </c>
      <c r="F280" t="s">
        <v>1</v>
      </c>
      <c r="G280" t="s">
        <v>317</v>
      </c>
      <c r="H280" t="s">
        <v>194</v>
      </c>
      <c r="I280" t="s">
        <v>1</v>
      </c>
      <c r="J280">
        <v>968.42</v>
      </c>
      <c r="K280">
        <v>594</v>
      </c>
      <c r="L280">
        <v>573.64</v>
      </c>
      <c r="M280">
        <v>1156.7878453038672</v>
      </c>
      <c r="N280">
        <v>1012.2600000000001</v>
      </c>
      <c r="O280">
        <v>1147.28</v>
      </c>
      <c r="P280">
        <v>0</v>
      </c>
      <c r="Q280">
        <f t="shared" si="55"/>
        <v>1147.28</v>
      </c>
      <c r="R280">
        <v>594</v>
      </c>
      <c r="S280">
        <f t="shared" si="56"/>
        <v>-553.28</v>
      </c>
      <c r="U280">
        <f t="shared" si="57"/>
        <v>0</v>
      </c>
      <c r="V280">
        <f t="shared" si="58"/>
        <v>594</v>
      </c>
      <c r="W280">
        <f t="shared" si="59"/>
        <v>-553.28</v>
      </c>
      <c r="X280">
        <v>0</v>
      </c>
    </row>
    <row r="281" spans="1:24" x14ac:dyDescent="0.3">
      <c r="A281" t="s">
        <v>563</v>
      </c>
      <c r="B281" t="s">
        <v>568</v>
      </c>
      <c r="C281">
        <v>29651050</v>
      </c>
      <c r="D281" t="s">
        <v>105</v>
      </c>
      <c r="E281" t="s">
        <v>35</v>
      </c>
      <c r="F281" t="s">
        <v>1</v>
      </c>
      <c r="G281" t="s">
        <v>317</v>
      </c>
      <c r="H281" t="s">
        <v>206</v>
      </c>
      <c r="I281" t="s">
        <v>1</v>
      </c>
      <c r="J281">
        <v>129736.63</v>
      </c>
      <c r="K281">
        <v>130574</v>
      </c>
      <c r="L281">
        <v>64497.38</v>
      </c>
      <c r="M281">
        <v>130063.7773480663</v>
      </c>
      <c r="N281">
        <v>128565.45999999999</v>
      </c>
      <c r="O281">
        <v>128994.76</v>
      </c>
      <c r="P281">
        <v>0</v>
      </c>
      <c r="Q281">
        <f t="shared" si="55"/>
        <v>128994.76</v>
      </c>
      <c r="R281">
        <v>130573</v>
      </c>
      <c r="S281">
        <f t="shared" si="56"/>
        <v>1578.2400000000052</v>
      </c>
      <c r="T281">
        <v>0.03</v>
      </c>
      <c r="U281">
        <f t="shared" si="57"/>
        <v>3917.19</v>
      </c>
      <c r="V281">
        <f t="shared" si="58"/>
        <v>134490.19</v>
      </c>
      <c r="W281">
        <f t="shared" si="59"/>
        <v>5495.4300000000076</v>
      </c>
      <c r="X281" t="s">
        <v>471</v>
      </c>
    </row>
    <row r="282" spans="1:24" x14ac:dyDescent="0.3">
      <c r="A282" t="s">
        <v>563</v>
      </c>
      <c r="B282" t="s">
        <v>568</v>
      </c>
      <c r="C282">
        <v>29651050</v>
      </c>
      <c r="D282" t="s">
        <v>105</v>
      </c>
      <c r="E282" t="s">
        <v>36</v>
      </c>
      <c r="F282" t="s">
        <v>1</v>
      </c>
      <c r="G282" t="s">
        <v>317</v>
      </c>
      <c r="H282" t="s">
        <v>207</v>
      </c>
      <c r="I282" t="s">
        <v>1</v>
      </c>
      <c r="J282">
        <v>3466.05</v>
      </c>
      <c r="K282">
        <v>3455.0000000004002</v>
      </c>
      <c r="L282">
        <v>2559.25</v>
      </c>
      <c r="M282">
        <v>5160.9185082872928</v>
      </c>
      <c r="N282">
        <v>4241.84</v>
      </c>
      <c r="O282">
        <v>5118.5</v>
      </c>
      <c r="P282">
        <v>0</v>
      </c>
      <c r="Q282">
        <f t="shared" si="55"/>
        <v>5118.5</v>
      </c>
      <c r="R282">
        <v>5118.5</v>
      </c>
      <c r="S282">
        <f t="shared" si="56"/>
        <v>0</v>
      </c>
      <c r="T282">
        <v>0.03</v>
      </c>
      <c r="U282">
        <f t="shared" si="57"/>
        <v>153.55500000000001</v>
      </c>
      <c r="V282">
        <f t="shared" si="58"/>
        <v>5272.0550000000003</v>
      </c>
      <c r="W282">
        <f t="shared" si="59"/>
        <v>153.55500000000029</v>
      </c>
      <c r="X282">
        <v>0</v>
      </c>
    </row>
    <row r="283" spans="1:24" x14ac:dyDescent="0.3">
      <c r="A283" t="s">
        <v>563</v>
      </c>
      <c r="B283" t="s">
        <v>568</v>
      </c>
      <c r="C283">
        <v>29651050</v>
      </c>
      <c r="D283" t="s">
        <v>105</v>
      </c>
      <c r="E283" t="s">
        <v>37</v>
      </c>
      <c r="F283" t="s">
        <v>1</v>
      </c>
      <c r="G283" t="s">
        <v>317</v>
      </c>
      <c r="H283" t="s">
        <v>208</v>
      </c>
      <c r="I283" t="s">
        <v>1</v>
      </c>
      <c r="J283">
        <v>287233.76</v>
      </c>
      <c r="K283">
        <v>79161.999999999607</v>
      </c>
      <c r="L283">
        <v>93605.51</v>
      </c>
      <c r="M283">
        <v>188762.49254143646</v>
      </c>
      <c r="N283">
        <v>299135.47000000003</v>
      </c>
      <c r="O283">
        <v>187211.02</v>
      </c>
      <c r="P283">
        <v>0</v>
      </c>
      <c r="Q283">
        <f t="shared" si="55"/>
        <v>187211.02</v>
      </c>
      <c r="R283">
        <v>188506</v>
      </c>
      <c r="S283">
        <f t="shared" si="56"/>
        <v>1294.9800000000105</v>
      </c>
      <c r="T283">
        <v>0.03</v>
      </c>
      <c r="U283">
        <f t="shared" si="57"/>
        <v>5655.1799999999994</v>
      </c>
      <c r="V283">
        <f t="shared" si="58"/>
        <v>194161.18</v>
      </c>
      <c r="W283">
        <f t="shared" si="59"/>
        <v>6950.1600000000035</v>
      </c>
      <c r="X283" t="s">
        <v>472</v>
      </c>
    </row>
    <row r="284" spans="1:24" x14ac:dyDescent="0.3">
      <c r="A284" t="s">
        <v>563</v>
      </c>
      <c r="B284" t="s">
        <v>568</v>
      </c>
      <c r="C284">
        <v>29651050</v>
      </c>
      <c r="D284" t="s">
        <v>105</v>
      </c>
      <c r="E284" t="s">
        <v>101</v>
      </c>
      <c r="F284" t="s">
        <v>1</v>
      </c>
      <c r="G284" t="s">
        <v>317</v>
      </c>
      <c r="H284" t="s">
        <v>307</v>
      </c>
      <c r="I284" t="s">
        <v>1</v>
      </c>
      <c r="J284">
        <v>-2583.59</v>
      </c>
      <c r="K284">
        <v>153</v>
      </c>
      <c r="L284">
        <v>0.3</v>
      </c>
      <c r="M284">
        <v>0.60497237569060769</v>
      </c>
      <c r="N284">
        <v>-2659.0900000000006</v>
      </c>
      <c r="O284">
        <v>0.6</v>
      </c>
      <c r="P284">
        <v>0</v>
      </c>
      <c r="Q284">
        <f t="shared" si="55"/>
        <v>0.6</v>
      </c>
      <c r="R284">
        <v>0</v>
      </c>
      <c r="S284">
        <f t="shared" si="56"/>
        <v>-0.6</v>
      </c>
      <c r="T284">
        <v>0.03</v>
      </c>
      <c r="U284">
        <f t="shared" si="57"/>
        <v>0</v>
      </c>
      <c r="V284">
        <f t="shared" si="58"/>
        <v>0</v>
      </c>
      <c r="W284">
        <f t="shared" si="59"/>
        <v>-0.6</v>
      </c>
      <c r="X284">
        <v>0</v>
      </c>
    </row>
    <row r="285" spans="1:24" x14ac:dyDescent="0.3">
      <c r="A285" t="s">
        <v>563</v>
      </c>
      <c r="B285" t="s">
        <v>568</v>
      </c>
      <c r="C285">
        <v>29651050</v>
      </c>
      <c r="D285" t="s">
        <v>105</v>
      </c>
      <c r="E285" t="s">
        <v>43</v>
      </c>
      <c r="F285" t="s">
        <v>1</v>
      </c>
      <c r="G285" t="s">
        <v>317</v>
      </c>
      <c r="H285" t="s">
        <v>214</v>
      </c>
      <c r="I285" t="s">
        <v>1</v>
      </c>
      <c r="L285">
        <v>20.079999999999998</v>
      </c>
      <c r="M285">
        <v>40.492817679558009</v>
      </c>
      <c r="N285">
        <v>20.079999999999998</v>
      </c>
      <c r="O285">
        <v>40.159999999999997</v>
      </c>
      <c r="P285">
        <v>0</v>
      </c>
      <c r="Q285">
        <f t="shared" si="55"/>
        <v>40.159999999999997</v>
      </c>
      <c r="R285">
        <v>0</v>
      </c>
      <c r="S285">
        <f t="shared" si="56"/>
        <v>-40.159999999999997</v>
      </c>
      <c r="T285">
        <v>0.03</v>
      </c>
      <c r="U285">
        <f t="shared" si="57"/>
        <v>0</v>
      </c>
      <c r="V285">
        <f t="shared" si="58"/>
        <v>0</v>
      </c>
      <c r="W285">
        <f t="shared" si="59"/>
        <v>-40.159999999999997</v>
      </c>
      <c r="X285">
        <v>0</v>
      </c>
    </row>
    <row r="286" spans="1:24" x14ac:dyDescent="0.3">
      <c r="A286" t="s">
        <v>563</v>
      </c>
      <c r="B286" t="s">
        <v>568</v>
      </c>
      <c r="C286">
        <v>29651050</v>
      </c>
      <c r="D286" t="s">
        <v>105</v>
      </c>
      <c r="E286" t="s">
        <v>45</v>
      </c>
      <c r="F286" t="s">
        <v>45</v>
      </c>
      <c r="G286" t="s">
        <v>318</v>
      </c>
      <c r="J286">
        <v>758807.49000000011</v>
      </c>
      <c r="K286">
        <v>597756.51142386952</v>
      </c>
      <c r="L286">
        <v>313743.57</v>
      </c>
      <c r="M286">
        <v>632687.30966850824</v>
      </c>
      <c r="N286">
        <v>732366.7300000001</v>
      </c>
      <c r="O286">
        <v>629264.91203812778</v>
      </c>
      <c r="P286">
        <f>SUMIF($F$267:$F$285,"&lt;&gt;EV_*",$P$267:$P$285)</f>
        <v>0</v>
      </c>
      <c r="Q286">
        <f>SUMIF($F$267:$F$285,"&lt;&gt;EV_*",$Q$267:$Q$285)</f>
        <v>629264.91203812778</v>
      </c>
      <c r="R286">
        <f>SUMIF($F$267:$F$285,"&lt;&gt;EV_*",$R$267:$R$285)</f>
        <v>649035.09171331429</v>
      </c>
      <c r="S286">
        <f>SUMIF($F$267:$F$285,"&lt;&gt;EV_*",$S$267:$S$285)</f>
        <v>19770.179675186515</v>
      </c>
      <c r="T286">
        <v>0</v>
      </c>
      <c r="U286">
        <f>SUMIF($F$267:$F$285,"&lt;&gt;EV_*",$U$267:$U$285)</f>
        <v>21071.64162974622</v>
      </c>
      <c r="V286">
        <f>SUMIF($F$267:$F$285,"&lt;&gt;EV_*",$V$267:$V$285)</f>
        <v>670106.73334306059</v>
      </c>
      <c r="W286">
        <f>SUMIF($F$267:$F$285,"&lt;&gt;EV_*",$W$267:$W$285)</f>
        <v>40841.821304932717</v>
      </c>
      <c r="X286">
        <f>SUMIF($F$267:$F$285,"&lt;&gt;EV_*",$X$267:$X$285)</f>
        <v>0</v>
      </c>
    </row>
    <row r="287" spans="1:24" x14ac:dyDescent="0.3">
      <c r="A287" t="s">
        <v>552</v>
      </c>
      <c r="B287" t="s">
        <v>569</v>
      </c>
      <c r="C287">
        <v>29653005</v>
      </c>
      <c r="D287" t="s">
        <v>106</v>
      </c>
      <c r="E287" t="s">
        <v>5</v>
      </c>
      <c r="F287" t="s">
        <v>5</v>
      </c>
      <c r="G287" t="s">
        <v>319</v>
      </c>
    </row>
    <row r="288" spans="1:24" x14ac:dyDescent="0.3">
      <c r="A288" t="s">
        <v>552</v>
      </c>
      <c r="B288" t="s">
        <v>569</v>
      </c>
      <c r="C288">
        <v>29653005</v>
      </c>
      <c r="D288" t="s">
        <v>106</v>
      </c>
      <c r="E288" t="s">
        <v>6</v>
      </c>
      <c r="F288" t="s">
        <v>1</v>
      </c>
      <c r="G288" t="s">
        <v>320</v>
      </c>
      <c r="H288" t="s">
        <v>177</v>
      </c>
      <c r="I288" t="s">
        <v>1</v>
      </c>
      <c r="J288">
        <v>4490</v>
      </c>
      <c r="L288">
        <v>0</v>
      </c>
      <c r="M288">
        <v>0</v>
      </c>
      <c r="N288">
        <v>1060</v>
      </c>
      <c r="P288">
        <v>0</v>
      </c>
      <c r="Q288">
        <f t="shared" ref="Q288:Q307" si="60">O288+P288</f>
        <v>0</v>
      </c>
      <c r="R288">
        <v>0</v>
      </c>
      <c r="S288">
        <f t="shared" ref="S288:S307" si="61">IF(OR(LEFT(E288,2)="A_",LEFT(D288,5)="Total"),R288-Q288,"")</f>
        <v>0</v>
      </c>
      <c r="U288">
        <f t="shared" ref="U288:U307" si="62">IFERROR(R288*T288,R288*0)</f>
        <v>0</v>
      </c>
      <c r="V288">
        <f t="shared" ref="V288:V307" si="63">IF(OR(LEFT(E288,2)="A_",LEFT(D288,5)="Total"),R288+U288,"")</f>
        <v>0</v>
      </c>
      <c r="W288">
        <f t="shared" ref="W288:W307" si="64">IF(OR(LEFT(E288,2)="A_",LEFT(D288,5)="Total"),V288-Q288,"")</f>
        <v>0</v>
      </c>
      <c r="X288">
        <v>0</v>
      </c>
    </row>
    <row r="289" spans="1:24" x14ac:dyDescent="0.3">
      <c r="A289" t="s">
        <v>552</v>
      </c>
      <c r="B289" t="s">
        <v>569</v>
      </c>
      <c r="C289">
        <v>29653005</v>
      </c>
      <c r="D289" t="s">
        <v>106</v>
      </c>
      <c r="E289" t="s">
        <v>8</v>
      </c>
      <c r="F289" t="s">
        <v>1</v>
      </c>
      <c r="G289" t="s">
        <v>320</v>
      </c>
      <c r="H289" t="s">
        <v>179</v>
      </c>
      <c r="I289" t="s">
        <v>1</v>
      </c>
      <c r="J289">
        <v>2920</v>
      </c>
      <c r="L289">
        <v>0</v>
      </c>
      <c r="M289">
        <v>0</v>
      </c>
      <c r="N289">
        <v>0</v>
      </c>
      <c r="P289">
        <v>0</v>
      </c>
      <c r="Q289">
        <f t="shared" si="60"/>
        <v>0</v>
      </c>
      <c r="R289">
        <v>0</v>
      </c>
      <c r="S289">
        <f t="shared" si="61"/>
        <v>0</v>
      </c>
      <c r="U289">
        <f t="shared" si="62"/>
        <v>0</v>
      </c>
      <c r="V289">
        <f t="shared" si="63"/>
        <v>0</v>
      </c>
      <c r="W289">
        <f t="shared" si="64"/>
        <v>0</v>
      </c>
      <c r="X289">
        <v>0</v>
      </c>
    </row>
    <row r="290" spans="1:24" x14ac:dyDescent="0.3">
      <c r="A290" t="s">
        <v>552</v>
      </c>
      <c r="B290" t="s">
        <v>569</v>
      </c>
      <c r="C290">
        <v>29653005</v>
      </c>
      <c r="D290" t="s">
        <v>106</v>
      </c>
      <c r="E290" t="s">
        <v>13</v>
      </c>
      <c r="F290" t="s">
        <v>1</v>
      </c>
      <c r="G290" t="s">
        <v>320</v>
      </c>
      <c r="H290" t="s">
        <v>184</v>
      </c>
      <c r="I290" t="s">
        <v>1</v>
      </c>
      <c r="J290">
        <v>134.63999999999999</v>
      </c>
      <c r="K290">
        <v>272.00000000040001</v>
      </c>
      <c r="L290">
        <v>988.5</v>
      </c>
      <c r="M290">
        <v>1993.3839779005527</v>
      </c>
      <c r="N290">
        <v>988.5</v>
      </c>
      <c r="O290">
        <v>1977</v>
      </c>
      <c r="P290">
        <v>0</v>
      </c>
      <c r="Q290">
        <f t="shared" si="60"/>
        <v>1977</v>
      </c>
      <c r="R290">
        <v>1100</v>
      </c>
      <c r="S290">
        <f t="shared" si="61"/>
        <v>-877</v>
      </c>
      <c r="U290">
        <f t="shared" si="62"/>
        <v>0</v>
      </c>
      <c r="V290">
        <f t="shared" si="63"/>
        <v>1100</v>
      </c>
      <c r="W290">
        <f t="shared" si="64"/>
        <v>-877</v>
      </c>
      <c r="X290">
        <v>0</v>
      </c>
    </row>
    <row r="291" spans="1:24" x14ac:dyDescent="0.3">
      <c r="A291" t="s">
        <v>552</v>
      </c>
      <c r="B291" t="s">
        <v>569</v>
      </c>
      <c r="C291">
        <v>29653005</v>
      </c>
      <c r="D291" t="s">
        <v>106</v>
      </c>
      <c r="E291" t="s">
        <v>15</v>
      </c>
      <c r="F291" t="s">
        <v>1</v>
      </c>
      <c r="G291" t="s">
        <v>320</v>
      </c>
      <c r="H291" t="s">
        <v>186</v>
      </c>
      <c r="I291" t="s">
        <v>1</v>
      </c>
      <c r="L291">
        <v>-6.79</v>
      </c>
      <c r="M291">
        <v>-13.692541436464088</v>
      </c>
      <c r="N291">
        <v>-6.79</v>
      </c>
      <c r="O291">
        <v>-13.6546153846</v>
      </c>
      <c r="P291">
        <v>0</v>
      </c>
      <c r="Q291">
        <f t="shared" si="60"/>
        <v>-13.6546153846</v>
      </c>
      <c r="R291">
        <v>-13.6546153846</v>
      </c>
      <c r="S291">
        <f t="shared" si="61"/>
        <v>0</v>
      </c>
      <c r="U291">
        <f t="shared" si="62"/>
        <v>0</v>
      </c>
      <c r="V291">
        <f t="shared" si="63"/>
        <v>-13.6546153846</v>
      </c>
      <c r="W291">
        <f t="shared" si="64"/>
        <v>0</v>
      </c>
      <c r="X291">
        <v>0</v>
      </c>
    </row>
    <row r="292" spans="1:24" x14ac:dyDescent="0.3">
      <c r="A292" t="s">
        <v>552</v>
      </c>
      <c r="B292" t="s">
        <v>569</v>
      </c>
      <c r="C292">
        <v>29653005</v>
      </c>
      <c r="D292" t="s">
        <v>106</v>
      </c>
      <c r="E292" t="s">
        <v>18</v>
      </c>
      <c r="F292" t="s">
        <v>1</v>
      </c>
      <c r="G292" t="s">
        <v>320</v>
      </c>
      <c r="H292" t="s">
        <v>189</v>
      </c>
      <c r="I292" t="s">
        <v>1</v>
      </c>
      <c r="J292">
        <v>20.48</v>
      </c>
      <c r="K292">
        <v>103.5000000002</v>
      </c>
      <c r="L292">
        <v>0</v>
      </c>
      <c r="M292">
        <v>0</v>
      </c>
      <c r="N292">
        <v>0</v>
      </c>
      <c r="P292">
        <v>0</v>
      </c>
      <c r="Q292">
        <f t="shared" si="60"/>
        <v>0</v>
      </c>
      <c r="R292">
        <v>0</v>
      </c>
      <c r="S292">
        <f t="shared" si="61"/>
        <v>0</v>
      </c>
      <c r="T292">
        <v>3.5000000000000003E-2</v>
      </c>
      <c r="U292">
        <f t="shared" si="62"/>
        <v>0</v>
      </c>
      <c r="V292">
        <f t="shared" si="63"/>
        <v>0</v>
      </c>
      <c r="W292">
        <f t="shared" si="64"/>
        <v>0</v>
      </c>
      <c r="X292">
        <v>0</v>
      </c>
    </row>
    <row r="293" spans="1:24" x14ac:dyDescent="0.3">
      <c r="A293" t="s">
        <v>552</v>
      </c>
      <c r="B293" t="s">
        <v>569</v>
      </c>
      <c r="C293">
        <v>29653005</v>
      </c>
      <c r="D293" t="s">
        <v>106</v>
      </c>
      <c r="E293" t="s">
        <v>19</v>
      </c>
      <c r="F293" t="s">
        <v>1</v>
      </c>
      <c r="G293" t="s">
        <v>320</v>
      </c>
      <c r="H293" t="s">
        <v>190</v>
      </c>
      <c r="I293" t="s">
        <v>1</v>
      </c>
      <c r="J293">
        <v>207.6</v>
      </c>
      <c r="L293">
        <v>1344.9</v>
      </c>
      <c r="M293">
        <v>2712.0911602209949</v>
      </c>
      <c r="N293">
        <v>1552.5</v>
      </c>
      <c r="O293">
        <v>2712.0911602209999</v>
      </c>
      <c r="P293">
        <v>0</v>
      </c>
      <c r="Q293">
        <f t="shared" si="60"/>
        <v>2712.0911602209999</v>
      </c>
      <c r="R293">
        <v>1344.9</v>
      </c>
      <c r="S293">
        <f t="shared" si="61"/>
        <v>-1367.1911602209998</v>
      </c>
      <c r="T293">
        <v>3.5000000000000003E-2</v>
      </c>
      <c r="U293">
        <f t="shared" si="62"/>
        <v>47.071500000000007</v>
      </c>
      <c r="V293">
        <f t="shared" si="63"/>
        <v>1391.9715000000001</v>
      </c>
      <c r="W293">
        <f t="shared" si="64"/>
        <v>-1320.1196602209998</v>
      </c>
      <c r="X293">
        <v>0</v>
      </c>
    </row>
    <row r="294" spans="1:24" x14ac:dyDescent="0.3">
      <c r="A294" t="s">
        <v>552</v>
      </c>
      <c r="B294" t="s">
        <v>569</v>
      </c>
      <c r="C294">
        <v>29653005</v>
      </c>
      <c r="D294" t="s">
        <v>106</v>
      </c>
      <c r="E294" t="s">
        <v>20</v>
      </c>
      <c r="F294" t="s">
        <v>1</v>
      </c>
      <c r="G294" t="s">
        <v>320</v>
      </c>
      <c r="H294" t="s">
        <v>191</v>
      </c>
      <c r="I294" t="s">
        <v>1</v>
      </c>
      <c r="J294">
        <v>310</v>
      </c>
      <c r="K294">
        <v>429.99999999959999</v>
      </c>
      <c r="L294">
        <v>185</v>
      </c>
      <c r="M294">
        <v>373.06629834254142</v>
      </c>
      <c r="N294">
        <v>310</v>
      </c>
      <c r="O294">
        <v>370</v>
      </c>
      <c r="P294">
        <v>0</v>
      </c>
      <c r="Q294">
        <f t="shared" si="60"/>
        <v>370</v>
      </c>
      <c r="R294">
        <v>370</v>
      </c>
      <c r="S294">
        <f t="shared" si="61"/>
        <v>0</v>
      </c>
      <c r="U294">
        <f t="shared" si="62"/>
        <v>0</v>
      </c>
      <c r="V294">
        <f t="shared" si="63"/>
        <v>370</v>
      </c>
      <c r="W294">
        <f t="shared" si="64"/>
        <v>0</v>
      </c>
      <c r="X294">
        <v>0</v>
      </c>
    </row>
    <row r="295" spans="1:24" x14ac:dyDescent="0.3">
      <c r="A295" t="s">
        <v>552</v>
      </c>
      <c r="B295" t="s">
        <v>569</v>
      </c>
      <c r="C295">
        <v>29653005</v>
      </c>
      <c r="D295" t="s">
        <v>106</v>
      </c>
      <c r="E295" t="s">
        <v>22</v>
      </c>
      <c r="F295" t="s">
        <v>1</v>
      </c>
      <c r="G295" t="s">
        <v>320</v>
      </c>
      <c r="H295" t="s">
        <v>193</v>
      </c>
      <c r="I295" t="s">
        <v>1</v>
      </c>
      <c r="J295">
        <v>7796.5</v>
      </c>
      <c r="K295">
        <v>8700</v>
      </c>
      <c r="L295">
        <v>1336.5</v>
      </c>
      <c r="M295">
        <v>2695.1519337016575</v>
      </c>
      <c r="N295">
        <v>3485.5</v>
      </c>
      <c r="O295">
        <v>2673</v>
      </c>
      <c r="P295">
        <v>0</v>
      </c>
      <c r="Q295">
        <f t="shared" si="60"/>
        <v>2673</v>
      </c>
      <c r="R295">
        <v>2673</v>
      </c>
      <c r="S295">
        <f t="shared" si="61"/>
        <v>0</v>
      </c>
      <c r="U295">
        <f t="shared" si="62"/>
        <v>0</v>
      </c>
      <c r="V295">
        <f t="shared" si="63"/>
        <v>2673</v>
      </c>
      <c r="W295">
        <f t="shared" si="64"/>
        <v>0</v>
      </c>
      <c r="X295">
        <v>0</v>
      </c>
    </row>
    <row r="296" spans="1:24" x14ac:dyDescent="0.3">
      <c r="A296" t="s">
        <v>552</v>
      </c>
      <c r="B296" t="s">
        <v>569</v>
      </c>
      <c r="C296">
        <v>29653005</v>
      </c>
      <c r="D296" t="s">
        <v>106</v>
      </c>
      <c r="E296" t="s">
        <v>23</v>
      </c>
      <c r="F296" t="s">
        <v>1</v>
      </c>
      <c r="G296" t="s">
        <v>320</v>
      </c>
      <c r="H296" t="s">
        <v>194</v>
      </c>
      <c r="I296" t="s">
        <v>1</v>
      </c>
      <c r="J296">
        <v>1943.25</v>
      </c>
      <c r="K296">
        <v>2526</v>
      </c>
      <c r="L296">
        <v>4493.21</v>
      </c>
      <c r="M296">
        <v>9060.893093922652</v>
      </c>
      <c r="N296">
        <v>5173.66</v>
      </c>
      <c r="O296">
        <v>8986.42</v>
      </c>
      <c r="P296">
        <v>0</v>
      </c>
      <c r="Q296">
        <f t="shared" si="60"/>
        <v>8986.42</v>
      </c>
      <c r="R296">
        <v>4493.21</v>
      </c>
      <c r="S296">
        <f t="shared" si="61"/>
        <v>-4493.21</v>
      </c>
      <c r="U296">
        <f t="shared" si="62"/>
        <v>0</v>
      </c>
      <c r="V296">
        <f t="shared" si="63"/>
        <v>4493.21</v>
      </c>
      <c r="W296">
        <f t="shared" si="64"/>
        <v>-4493.21</v>
      </c>
      <c r="X296">
        <v>0</v>
      </c>
    </row>
    <row r="297" spans="1:24" x14ac:dyDescent="0.3">
      <c r="A297" t="s">
        <v>552</v>
      </c>
      <c r="B297" t="s">
        <v>569</v>
      </c>
      <c r="C297">
        <v>29653005</v>
      </c>
      <c r="D297" t="s">
        <v>106</v>
      </c>
      <c r="E297" t="s">
        <v>24</v>
      </c>
      <c r="F297" t="s">
        <v>1</v>
      </c>
      <c r="G297" t="s">
        <v>320</v>
      </c>
      <c r="H297" t="s">
        <v>195</v>
      </c>
      <c r="I297" t="s">
        <v>1</v>
      </c>
      <c r="J297">
        <v>70.64</v>
      </c>
      <c r="L297">
        <v>0</v>
      </c>
      <c r="M297">
        <v>0</v>
      </c>
      <c r="N297">
        <v>70.64</v>
      </c>
      <c r="P297">
        <v>0</v>
      </c>
      <c r="Q297">
        <f t="shared" si="60"/>
        <v>0</v>
      </c>
      <c r="R297">
        <v>0</v>
      </c>
      <c r="S297">
        <f t="shared" si="61"/>
        <v>0</v>
      </c>
      <c r="U297">
        <f t="shared" si="62"/>
        <v>0</v>
      </c>
      <c r="V297">
        <f t="shared" si="63"/>
        <v>0</v>
      </c>
      <c r="W297">
        <f t="shared" si="64"/>
        <v>0</v>
      </c>
      <c r="X297">
        <v>0</v>
      </c>
    </row>
    <row r="298" spans="1:24" x14ac:dyDescent="0.3">
      <c r="A298" t="s">
        <v>552</v>
      </c>
      <c r="B298" t="s">
        <v>569</v>
      </c>
      <c r="C298">
        <v>29653005</v>
      </c>
      <c r="D298" t="s">
        <v>106</v>
      </c>
      <c r="E298" t="s">
        <v>25</v>
      </c>
      <c r="F298" t="s">
        <v>1</v>
      </c>
      <c r="G298" t="s">
        <v>320</v>
      </c>
      <c r="H298" t="s">
        <v>196</v>
      </c>
      <c r="I298" t="s">
        <v>1</v>
      </c>
      <c r="L298">
        <v>477.07</v>
      </c>
      <c r="M298">
        <v>962.04723756906083</v>
      </c>
      <c r="N298">
        <v>477.07</v>
      </c>
      <c r="O298">
        <v>954.14</v>
      </c>
      <c r="P298">
        <v>0</v>
      </c>
      <c r="Q298">
        <f t="shared" si="60"/>
        <v>954.14</v>
      </c>
      <c r="R298">
        <v>0</v>
      </c>
      <c r="S298">
        <f t="shared" si="61"/>
        <v>-954.14</v>
      </c>
      <c r="U298">
        <f t="shared" si="62"/>
        <v>0</v>
      </c>
      <c r="V298">
        <f t="shared" si="63"/>
        <v>0</v>
      </c>
      <c r="W298">
        <f t="shared" si="64"/>
        <v>-954.14</v>
      </c>
      <c r="X298">
        <v>0</v>
      </c>
    </row>
    <row r="299" spans="1:24" x14ac:dyDescent="0.3">
      <c r="A299" t="s">
        <v>552</v>
      </c>
      <c r="B299" t="s">
        <v>569</v>
      </c>
      <c r="C299">
        <v>29653005</v>
      </c>
      <c r="D299" t="s">
        <v>106</v>
      </c>
      <c r="E299" t="s">
        <v>29</v>
      </c>
      <c r="F299" t="s">
        <v>1</v>
      </c>
      <c r="G299" t="s">
        <v>320</v>
      </c>
      <c r="H299" t="s">
        <v>200</v>
      </c>
      <c r="I299" t="s">
        <v>1</v>
      </c>
      <c r="J299">
        <v>10743.91</v>
      </c>
      <c r="K299">
        <v>5499.9999999995998</v>
      </c>
      <c r="L299">
        <v>2407</v>
      </c>
      <c r="M299">
        <v>4853.8950276243095</v>
      </c>
      <c r="N299">
        <v>11870.17</v>
      </c>
      <c r="O299">
        <v>4814</v>
      </c>
      <c r="P299">
        <v>0</v>
      </c>
      <c r="Q299">
        <f t="shared" si="60"/>
        <v>4814</v>
      </c>
      <c r="R299">
        <v>0</v>
      </c>
      <c r="S299">
        <f t="shared" si="61"/>
        <v>-4814</v>
      </c>
      <c r="U299">
        <f t="shared" si="62"/>
        <v>0</v>
      </c>
      <c r="V299">
        <f t="shared" si="63"/>
        <v>0</v>
      </c>
      <c r="W299">
        <f t="shared" si="64"/>
        <v>-4814</v>
      </c>
      <c r="X299">
        <v>0</v>
      </c>
    </row>
    <row r="300" spans="1:24" x14ac:dyDescent="0.3">
      <c r="A300" t="s">
        <v>552</v>
      </c>
      <c r="B300" t="s">
        <v>569</v>
      </c>
      <c r="C300">
        <v>29653005</v>
      </c>
      <c r="D300" t="s">
        <v>106</v>
      </c>
      <c r="E300" t="s">
        <v>30</v>
      </c>
      <c r="F300" t="s">
        <v>1</v>
      </c>
      <c r="G300" t="s">
        <v>320</v>
      </c>
      <c r="H300" t="s">
        <v>201</v>
      </c>
      <c r="I300" t="s">
        <v>1</v>
      </c>
      <c r="J300">
        <v>1402.57</v>
      </c>
      <c r="K300">
        <v>500.00000000040001</v>
      </c>
      <c r="L300">
        <v>0</v>
      </c>
      <c r="M300">
        <v>0</v>
      </c>
      <c r="N300">
        <v>0</v>
      </c>
      <c r="P300">
        <v>0</v>
      </c>
      <c r="Q300">
        <f t="shared" si="60"/>
        <v>0</v>
      </c>
      <c r="R300">
        <v>0</v>
      </c>
      <c r="S300">
        <f t="shared" si="61"/>
        <v>0</v>
      </c>
      <c r="U300">
        <f t="shared" si="62"/>
        <v>0</v>
      </c>
      <c r="V300">
        <f t="shared" si="63"/>
        <v>0</v>
      </c>
      <c r="W300">
        <f t="shared" si="64"/>
        <v>0</v>
      </c>
      <c r="X300">
        <v>0</v>
      </c>
    </row>
    <row r="301" spans="1:24" x14ac:dyDescent="0.3">
      <c r="A301" t="s">
        <v>552</v>
      </c>
      <c r="B301" t="s">
        <v>569</v>
      </c>
      <c r="C301">
        <v>29653005</v>
      </c>
      <c r="D301" t="s">
        <v>106</v>
      </c>
      <c r="E301" t="s">
        <v>31</v>
      </c>
      <c r="F301" t="s">
        <v>1</v>
      </c>
      <c r="G301" t="s">
        <v>320</v>
      </c>
      <c r="H301" t="s">
        <v>202</v>
      </c>
      <c r="I301" t="s">
        <v>1</v>
      </c>
      <c r="J301">
        <v>3187.31</v>
      </c>
      <c r="K301">
        <v>2799.9999999995998</v>
      </c>
      <c r="L301">
        <v>63</v>
      </c>
      <c r="M301">
        <v>127.04419889502762</v>
      </c>
      <c r="N301">
        <v>63</v>
      </c>
      <c r="O301">
        <v>126</v>
      </c>
      <c r="P301">
        <v>0</v>
      </c>
      <c r="Q301">
        <f t="shared" si="60"/>
        <v>126</v>
      </c>
      <c r="R301">
        <v>0</v>
      </c>
      <c r="S301">
        <f t="shared" si="61"/>
        <v>-126</v>
      </c>
      <c r="U301">
        <f t="shared" si="62"/>
        <v>0</v>
      </c>
      <c r="V301">
        <f t="shared" si="63"/>
        <v>0</v>
      </c>
      <c r="W301">
        <f t="shared" si="64"/>
        <v>-126</v>
      </c>
      <c r="X301">
        <v>0</v>
      </c>
    </row>
    <row r="302" spans="1:24" x14ac:dyDescent="0.3">
      <c r="A302" t="s">
        <v>552</v>
      </c>
      <c r="B302" t="s">
        <v>569</v>
      </c>
      <c r="C302">
        <v>29653005</v>
      </c>
      <c r="D302" t="s">
        <v>106</v>
      </c>
      <c r="E302" t="s">
        <v>37</v>
      </c>
      <c r="F302" t="s">
        <v>1</v>
      </c>
      <c r="G302" t="s">
        <v>320</v>
      </c>
      <c r="H302" t="s">
        <v>208</v>
      </c>
      <c r="I302" t="s">
        <v>1</v>
      </c>
      <c r="J302">
        <v>507</v>
      </c>
      <c r="L302">
        <v>0</v>
      </c>
      <c r="M302">
        <v>0</v>
      </c>
      <c r="N302">
        <v>0</v>
      </c>
      <c r="P302">
        <v>0</v>
      </c>
      <c r="Q302">
        <f t="shared" si="60"/>
        <v>0</v>
      </c>
      <c r="R302">
        <v>0</v>
      </c>
      <c r="S302">
        <f t="shared" si="61"/>
        <v>0</v>
      </c>
      <c r="T302">
        <v>0.03</v>
      </c>
      <c r="U302">
        <f t="shared" si="62"/>
        <v>0</v>
      </c>
      <c r="V302">
        <f t="shared" si="63"/>
        <v>0</v>
      </c>
      <c r="W302">
        <f t="shared" si="64"/>
        <v>0</v>
      </c>
      <c r="X302">
        <v>0</v>
      </c>
    </row>
    <row r="303" spans="1:24" x14ac:dyDescent="0.3">
      <c r="A303" t="s">
        <v>552</v>
      </c>
      <c r="B303" t="s">
        <v>569</v>
      </c>
      <c r="C303">
        <v>29653005</v>
      </c>
      <c r="D303" t="s">
        <v>106</v>
      </c>
      <c r="E303" t="s">
        <v>41</v>
      </c>
      <c r="F303" t="s">
        <v>1</v>
      </c>
      <c r="G303" t="s">
        <v>320</v>
      </c>
      <c r="H303" t="s">
        <v>212</v>
      </c>
      <c r="I303" t="s">
        <v>1</v>
      </c>
      <c r="J303">
        <v>3205.4</v>
      </c>
      <c r="L303">
        <v>1623.39</v>
      </c>
      <c r="M303">
        <v>3273.6870165745859</v>
      </c>
      <c r="N303">
        <v>4573.3900000000003</v>
      </c>
      <c r="O303">
        <v>3246.78</v>
      </c>
      <c r="P303">
        <v>0</v>
      </c>
      <c r="Q303">
        <f t="shared" si="60"/>
        <v>3246.78</v>
      </c>
      <c r="R303">
        <v>1500</v>
      </c>
      <c r="S303">
        <f t="shared" si="61"/>
        <v>-1746.7800000000002</v>
      </c>
      <c r="T303">
        <v>0.03</v>
      </c>
      <c r="U303">
        <f t="shared" si="62"/>
        <v>45</v>
      </c>
      <c r="V303">
        <f t="shared" si="63"/>
        <v>1545</v>
      </c>
      <c r="W303">
        <f t="shared" si="64"/>
        <v>-1701.7800000000002</v>
      </c>
      <c r="X303">
        <v>0</v>
      </c>
    </row>
    <row r="304" spans="1:24" x14ac:dyDescent="0.3">
      <c r="A304" t="s">
        <v>552</v>
      </c>
      <c r="B304" t="s">
        <v>569</v>
      </c>
      <c r="C304">
        <v>29653005</v>
      </c>
      <c r="D304" t="s">
        <v>106</v>
      </c>
      <c r="E304" t="s">
        <v>42</v>
      </c>
      <c r="F304" t="s">
        <v>1</v>
      </c>
      <c r="G304" t="s">
        <v>320</v>
      </c>
      <c r="H304" t="s">
        <v>213</v>
      </c>
      <c r="I304" t="s">
        <v>1</v>
      </c>
      <c r="J304">
        <v>28320</v>
      </c>
      <c r="L304">
        <v>0</v>
      </c>
      <c r="M304">
        <v>0</v>
      </c>
      <c r="N304">
        <v>28320</v>
      </c>
      <c r="P304">
        <v>0</v>
      </c>
      <c r="Q304">
        <f t="shared" si="60"/>
        <v>0</v>
      </c>
      <c r="R304">
        <v>0</v>
      </c>
      <c r="S304">
        <f t="shared" si="61"/>
        <v>0</v>
      </c>
      <c r="T304">
        <v>0.03</v>
      </c>
      <c r="U304">
        <f t="shared" si="62"/>
        <v>0</v>
      </c>
      <c r="V304">
        <f t="shared" si="63"/>
        <v>0</v>
      </c>
      <c r="W304">
        <f t="shared" si="64"/>
        <v>0</v>
      </c>
      <c r="X304">
        <v>0</v>
      </c>
    </row>
    <row r="305" spans="1:24" x14ac:dyDescent="0.3">
      <c r="A305" t="s">
        <v>552</v>
      </c>
      <c r="B305" t="s">
        <v>569</v>
      </c>
      <c r="C305">
        <v>29653005</v>
      </c>
      <c r="D305" t="s">
        <v>106</v>
      </c>
      <c r="E305" t="s">
        <v>43</v>
      </c>
      <c r="F305" t="s">
        <v>1</v>
      </c>
      <c r="G305" t="s">
        <v>320</v>
      </c>
      <c r="H305" t="s">
        <v>214</v>
      </c>
      <c r="I305" t="s">
        <v>1</v>
      </c>
      <c r="J305">
        <v>114.72</v>
      </c>
      <c r="K305">
        <v>231</v>
      </c>
      <c r="L305">
        <v>85.6</v>
      </c>
      <c r="M305">
        <v>172.61878453038673</v>
      </c>
      <c r="N305">
        <v>85.6</v>
      </c>
      <c r="O305">
        <v>171.2</v>
      </c>
      <c r="P305">
        <v>0</v>
      </c>
      <c r="Q305">
        <f t="shared" si="60"/>
        <v>171.2</v>
      </c>
      <c r="R305">
        <v>171.2</v>
      </c>
      <c r="S305">
        <f t="shared" si="61"/>
        <v>0</v>
      </c>
      <c r="T305">
        <v>0.03</v>
      </c>
      <c r="U305">
        <f t="shared" si="62"/>
        <v>5.1359999999999992</v>
      </c>
      <c r="V305">
        <f t="shared" si="63"/>
        <v>176.33599999999998</v>
      </c>
      <c r="W305">
        <f t="shared" si="64"/>
        <v>5.1359999999999957</v>
      </c>
      <c r="X305">
        <v>0</v>
      </c>
    </row>
    <row r="306" spans="1:24" x14ac:dyDescent="0.3">
      <c r="A306" t="s">
        <v>552</v>
      </c>
      <c r="B306" t="s">
        <v>569</v>
      </c>
      <c r="C306">
        <v>29653005</v>
      </c>
      <c r="D306" t="s">
        <v>106</v>
      </c>
      <c r="E306" t="s">
        <v>59</v>
      </c>
      <c r="F306" t="s">
        <v>1</v>
      </c>
      <c r="G306" t="s">
        <v>320</v>
      </c>
      <c r="H306" t="s">
        <v>243</v>
      </c>
      <c r="I306" t="s">
        <v>1</v>
      </c>
      <c r="J306">
        <v>175</v>
      </c>
      <c r="L306">
        <v>150</v>
      </c>
      <c r="M306">
        <v>302.48618784530385</v>
      </c>
      <c r="N306">
        <v>325</v>
      </c>
      <c r="O306">
        <v>300</v>
      </c>
      <c r="P306">
        <v>0</v>
      </c>
      <c r="Q306">
        <f t="shared" si="60"/>
        <v>300</v>
      </c>
      <c r="R306">
        <v>300</v>
      </c>
      <c r="S306">
        <f t="shared" si="61"/>
        <v>0</v>
      </c>
      <c r="T306">
        <v>0.03</v>
      </c>
      <c r="U306">
        <f t="shared" si="62"/>
        <v>9</v>
      </c>
      <c r="V306">
        <f t="shared" si="63"/>
        <v>309</v>
      </c>
      <c r="W306">
        <f t="shared" si="64"/>
        <v>9</v>
      </c>
      <c r="X306">
        <v>0</v>
      </c>
    </row>
    <row r="307" spans="1:24" x14ac:dyDescent="0.3">
      <c r="A307" t="s">
        <v>552</v>
      </c>
      <c r="B307" t="s">
        <v>569</v>
      </c>
      <c r="C307">
        <v>29653005</v>
      </c>
      <c r="D307" t="s">
        <v>106</v>
      </c>
      <c r="E307" t="s">
        <v>107</v>
      </c>
      <c r="F307" t="s">
        <v>1</v>
      </c>
      <c r="G307" t="s">
        <v>320</v>
      </c>
      <c r="H307" t="s">
        <v>321</v>
      </c>
      <c r="I307" t="s">
        <v>1</v>
      </c>
      <c r="J307">
        <v>463.16</v>
      </c>
      <c r="L307">
        <v>0</v>
      </c>
      <c r="M307">
        <v>0</v>
      </c>
      <c r="N307">
        <v>463.16</v>
      </c>
      <c r="P307">
        <v>0</v>
      </c>
      <c r="Q307">
        <f t="shared" si="60"/>
        <v>0</v>
      </c>
      <c r="R307">
        <v>0</v>
      </c>
      <c r="S307">
        <f t="shared" si="61"/>
        <v>0</v>
      </c>
      <c r="T307">
        <v>0.03</v>
      </c>
      <c r="U307">
        <f t="shared" si="62"/>
        <v>0</v>
      </c>
      <c r="V307">
        <f t="shared" si="63"/>
        <v>0</v>
      </c>
      <c r="W307">
        <f t="shared" si="64"/>
        <v>0</v>
      </c>
      <c r="X307">
        <v>0</v>
      </c>
    </row>
    <row r="308" spans="1:24" x14ac:dyDescent="0.3">
      <c r="A308" t="s">
        <v>552</v>
      </c>
      <c r="B308" t="s">
        <v>569</v>
      </c>
      <c r="C308">
        <v>29653005</v>
      </c>
      <c r="D308" t="s">
        <v>106</v>
      </c>
      <c r="E308" t="s">
        <v>45</v>
      </c>
      <c r="F308" t="s">
        <v>45</v>
      </c>
      <c r="G308" t="s">
        <v>322</v>
      </c>
      <c r="J308">
        <v>66012.180000000008</v>
      </c>
      <c r="K308">
        <v>21062.4999999998</v>
      </c>
      <c r="L308">
        <v>13147.38</v>
      </c>
      <c r="M308">
        <v>26512.67237569061</v>
      </c>
      <c r="N308">
        <v>58811.4</v>
      </c>
      <c r="O308">
        <v>26316.976544836398</v>
      </c>
      <c r="P308">
        <f>SUMIF($F$287:$F$307,"&lt;&gt;EV_*",$P$287:$P$307)</f>
        <v>0</v>
      </c>
      <c r="Q308">
        <f>SUMIF($F$287:$F$307,"&lt;&gt;EV_*",$Q$287:$Q$307)</f>
        <v>26316.976544836398</v>
      </c>
      <c r="R308">
        <f>SUMIF($F$287:$F$307,"&lt;&gt;EV_*",$R$287:$R$307)</f>
        <v>11938.655384615402</v>
      </c>
      <c r="S308">
        <f>SUMIF($F$287:$F$307,"&lt;&gt;EV_*",$S$287:$S$307)</f>
        <v>-14378.321160221001</v>
      </c>
      <c r="T308">
        <v>0</v>
      </c>
      <c r="U308">
        <f>SUMIF($F$287:$F$307,"&lt;&gt;EV_*",$U$287:$U$307)</f>
        <v>106.20750000000001</v>
      </c>
      <c r="V308">
        <f>SUMIF($F$287:$F$307,"&lt;&gt;EV_*",$V$287:$V$307)</f>
        <v>12044.862884615399</v>
      </c>
      <c r="W308">
        <f>SUMIF($F$287:$F$307,"&lt;&gt;EV_*",$W$287:$W$307)</f>
        <v>-14272.113660220999</v>
      </c>
      <c r="X308">
        <f>SUMIF($F$287:$F$307,"&lt;&gt;EV_*",$X$287:$X$307)</f>
        <v>0</v>
      </c>
    </row>
    <row r="309" spans="1:24" x14ac:dyDescent="0.3">
      <c r="A309" t="s">
        <v>552</v>
      </c>
      <c r="B309" t="s">
        <v>570</v>
      </c>
      <c r="C309">
        <v>29653100</v>
      </c>
      <c r="D309" t="s">
        <v>108</v>
      </c>
      <c r="E309" t="s">
        <v>5</v>
      </c>
      <c r="F309" t="s">
        <v>5</v>
      </c>
      <c r="G309" t="s">
        <v>323</v>
      </c>
    </row>
    <row r="310" spans="1:24" x14ac:dyDescent="0.3">
      <c r="A310" t="s">
        <v>552</v>
      </c>
      <c r="B310" t="s">
        <v>570</v>
      </c>
      <c r="C310">
        <v>29653100</v>
      </c>
      <c r="D310" t="s">
        <v>108</v>
      </c>
      <c r="E310" t="s">
        <v>35</v>
      </c>
      <c r="F310" t="s">
        <v>1</v>
      </c>
      <c r="G310" t="s">
        <v>324</v>
      </c>
      <c r="H310" t="s">
        <v>206</v>
      </c>
      <c r="I310" t="s">
        <v>1</v>
      </c>
      <c r="J310">
        <v>16237.5</v>
      </c>
      <c r="K310">
        <v>21650.0000000004</v>
      </c>
      <c r="L310">
        <v>0</v>
      </c>
      <c r="M310">
        <v>0</v>
      </c>
      <c r="N310">
        <v>5412.5</v>
      </c>
      <c r="P310">
        <v>0</v>
      </c>
      <c r="Q310">
        <f>O310+P310</f>
        <v>0</v>
      </c>
      <c r="R310">
        <v>21650.0000000004</v>
      </c>
      <c r="S310">
        <f>IF(OR(LEFT(E310,2)="A_",LEFT(D310,5)="Total"),R310-Q310,"")</f>
        <v>21650.0000000004</v>
      </c>
      <c r="T310">
        <v>0.03</v>
      </c>
      <c r="U310">
        <f>IFERROR(R310*T310,R310*0)</f>
        <v>649.50000000001194</v>
      </c>
      <c r="V310">
        <f>IF(OR(LEFT(E310,2)="A_",LEFT(D310,5)="Total"),R310+U310,"")</f>
        <v>22299.500000000411</v>
      </c>
      <c r="W310">
        <f>IF(OR(LEFT(E310,2)="A_",LEFT(D310,5)="Total"),V310-Q310,"")</f>
        <v>22299.500000000411</v>
      </c>
      <c r="X310" t="s">
        <v>473</v>
      </c>
    </row>
    <row r="311" spans="1:24" x14ac:dyDescent="0.3">
      <c r="A311" t="s">
        <v>552</v>
      </c>
      <c r="B311" t="s">
        <v>570</v>
      </c>
      <c r="C311">
        <v>29653100</v>
      </c>
      <c r="D311" t="s">
        <v>108</v>
      </c>
      <c r="E311" t="s">
        <v>98</v>
      </c>
      <c r="F311" t="s">
        <v>1</v>
      </c>
      <c r="G311" t="s">
        <v>324</v>
      </c>
      <c r="H311" t="s">
        <v>304</v>
      </c>
      <c r="I311" t="s">
        <v>1</v>
      </c>
      <c r="J311">
        <v>4808.74</v>
      </c>
      <c r="K311">
        <v>4848</v>
      </c>
      <c r="L311">
        <v>2193.54</v>
      </c>
      <c r="M311">
        <v>4423.4370165745859</v>
      </c>
      <c r="N311">
        <v>4574.03</v>
      </c>
      <c r="O311">
        <v>4387.08</v>
      </c>
      <c r="P311">
        <v>0</v>
      </c>
      <c r="Q311">
        <f>O311+P311</f>
        <v>4387.08</v>
      </c>
      <c r="R311">
        <v>4387.08</v>
      </c>
      <c r="S311">
        <f>IF(OR(LEFT(E311,2)="A_",LEFT(D311,5)="Total"),R311-Q311,"")</f>
        <v>0</v>
      </c>
      <c r="T311">
        <v>0.03</v>
      </c>
      <c r="U311">
        <f>IFERROR(R311*T311,R311*0)</f>
        <v>131.61239999999998</v>
      </c>
      <c r="V311">
        <f>IF(OR(LEFT(E311,2)="A_",LEFT(D311,5)="Total"),R311+U311,"")</f>
        <v>4518.6923999999999</v>
      </c>
      <c r="W311">
        <f>IF(OR(LEFT(E311,2)="A_",LEFT(D311,5)="Total"),V311-Q311,"")</f>
        <v>131.61239999999998</v>
      </c>
      <c r="X311" t="s">
        <v>474</v>
      </c>
    </row>
    <row r="312" spans="1:24" x14ac:dyDescent="0.3">
      <c r="A312" t="s">
        <v>552</v>
      </c>
      <c r="B312" t="s">
        <v>570</v>
      </c>
      <c r="C312">
        <v>29653100</v>
      </c>
      <c r="D312" t="s">
        <v>108</v>
      </c>
      <c r="E312" t="s">
        <v>45</v>
      </c>
      <c r="F312" t="s">
        <v>45</v>
      </c>
      <c r="G312" t="s">
        <v>325</v>
      </c>
      <c r="J312">
        <v>21046.239999999998</v>
      </c>
      <c r="K312">
        <v>26498.0000000004</v>
      </c>
      <c r="L312">
        <v>2193.54</v>
      </c>
      <c r="M312">
        <v>4423.4370165745859</v>
      </c>
      <c r="N312">
        <v>9986.5299999999988</v>
      </c>
      <c r="O312">
        <v>4387.08</v>
      </c>
      <c r="P312">
        <f>SUMIF($F$309:$F$311,"&lt;&gt;EV_*",$P$309:$P$311)</f>
        <v>0</v>
      </c>
      <c r="Q312">
        <f>SUMIF($F$309:$F$311,"&lt;&gt;EV_*",$Q$309:$Q$311)</f>
        <v>4387.08</v>
      </c>
      <c r="R312">
        <f>SUMIF($F$309:$F$311,"&lt;&gt;EV_*",$R$309:$R$311)</f>
        <v>26037.080000000402</v>
      </c>
      <c r="S312">
        <f>SUMIF($F$309:$F$311,"&lt;&gt;EV_*",$S$309:$S$311)</f>
        <v>21650.0000000004</v>
      </c>
      <c r="T312">
        <v>0</v>
      </c>
      <c r="U312">
        <f>SUMIF($F$309:$F$311,"&lt;&gt;EV_*",$U$309:$U$311)</f>
        <v>781.11240000001192</v>
      </c>
      <c r="V312">
        <f>SUMIF($F$309:$F$311,"&lt;&gt;EV_*",$V$309:$V$311)</f>
        <v>26818.192400000411</v>
      </c>
      <c r="W312">
        <f>SUMIF($F$309:$F$311,"&lt;&gt;EV_*",$W$309:$W$311)</f>
        <v>22431.112400000413</v>
      </c>
      <c r="X312">
        <f>SUMIF($F$309:$F$311,"&lt;&gt;EV_*",$X$309:$X$311)</f>
        <v>0</v>
      </c>
    </row>
    <row r="313" spans="1:24" x14ac:dyDescent="0.3">
      <c r="A313" t="s">
        <v>552</v>
      </c>
      <c r="B313" t="s">
        <v>571</v>
      </c>
      <c r="C313">
        <v>29656000</v>
      </c>
      <c r="D313" t="s">
        <v>109</v>
      </c>
      <c r="E313" t="s">
        <v>5</v>
      </c>
      <c r="F313" t="s">
        <v>5</v>
      </c>
      <c r="G313" t="s">
        <v>326</v>
      </c>
    </row>
    <row r="314" spans="1:24" x14ac:dyDescent="0.3">
      <c r="A314" t="s">
        <v>552</v>
      </c>
      <c r="B314" t="s">
        <v>571</v>
      </c>
      <c r="C314">
        <v>29656000</v>
      </c>
      <c r="D314" t="s">
        <v>109</v>
      </c>
      <c r="E314" t="s">
        <v>8</v>
      </c>
      <c r="F314" t="s">
        <v>1</v>
      </c>
      <c r="G314" t="s">
        <v>327</v>
      </c>
      <c r="H314" t="s">
        <v>179</v>
      </c>
      <c r="I314" t="s">
        <v>1</v>
      </c>
      <c r="J314">
        <v>1000</v>
      </c>
      <c r="L314">
        <v>0</v>
      </c>
      <c r="M314">
        <v>0</v>
      </c>
      <c r="N314">
        <v>0</v>
      </c>
      <c r="P314">
        <v>0</v>
      </c>
      <c r="Q314">
        <f t="shared" ref="Q314:Q354" si="65">O314+P314</f>
        <v>0</v>
      </c>
      <c r="R314">
        <v>0</v>
      </c>
      <c r="S314">
        <f t="shared" ref="S314:S354" si="66">IF(OR(LEFT(E314,2)="A_",LEFT(D314,5)="Total"),R314-Q314,"")</f>
        <v>0</v>
      </c>
      <c r="U314">
        <f t="shared" ref="U314:U354" si="67">IFERROR(R314*T314,R314*0)</f>
        <v>0</v>
      </c>
      <c r="V314">
        <f t="shared" ref="V314:V354" si="68">IF(OR(LEFT(E314,2)="A_",LEFT(D314,5)="Total"),R314+U314,"")</f>
        <v>0</v>
      </c>
      <c r="W314">
        <f t="shared" ref="W314:W354" si="69">IF(OR(LEFT(E314,2)="A_",LEFT(D314,5)="Total"),V314-Q314,"")</f>
        <v>0</v>
      </c>
      <c r="X314">
        <v>0</v>
      </c>
    </row>
    <row r="315" spans="1:24" x14ac:dyDescent="0.3">
      <c r="A315" t="s">
        <v>552</v>
      </c>
      <c r="B315" t="s">
        <v>571</v>
      </c>
      <c r="C315">
        <v>29656000</v>
      </c>
      <c r="D315" t="s">
        <v>109</v>
      </c>
      <c r="E315" t="s">
        <v>12</v>
      </c>
      <c r="F315" t="s">
        <v>1</v>
      </c>
      <c r="G315" t="s">
        <v>327</v>
      </c>
      <c r="H315" t="s">
        <v>183</v>
      </c>
      <c r="I315" t="s">
        <v>1</v>
      </c>
      <c r="J315">
        <v>2546.7399999999998</v>
      </c>
      <c r="K315">
        <v>2232.4299999996001</v>
      </c>
      <c r="L315">
        <v>1127.3800000000001</v>
      </c>
      <c r="M315">
        <v>2273.4458563535914</v>
      </c>
      <c r="N315">
        <v>2348.1</v>
      </c>
      <c r="O315">
        <v>2254.7600000000002</v>
      </c>
      <c r="P315">
        <v>0</v>
      </c>
      <c r="Q315">
        <f t="shared" si="65"/>
        <v>2254.7600000000002</v>
      </c>
      <c r="R315">
        <v>2254.7600000000002</v>
      </c>
      <c r="S315">
        <f t="shared" si="66"/>
        <v>0</v>
      </c>
      <c r="U315">
        <f t="shared" si="67"/>
        <v>0</v>
      </c>
      <c r="V315">
        <f t="shared" si="68"/>
        <v>2254.7600000000002</v>
      </c>
      <c r="W315">
        <f t="shared" si="69"/>
        <v>0</v>
      </c>
      <c r="X315">
        <v>0</v>
      </c>
    </row>
    <row r="316" spans="1:24" x14ac:dyDescent="0.3">
      <c r="A316" t="s">
        <v>552</v>
      </c>
      <c r="B316" t="s">
        <v>571</v>
      </c>
      <c r="C316">
        <v>29656000</v>
      </c>
      <c r="D316" t="s">
        <v>109</v>
      </c>
      <c r="E316" t="s">
        <v>15</v>
      </c>
      <c r="F316" t="s">
        <v>1</v>
      </c>
      <c r="G316" t="s">
        <v>327</v>
      </c>
      <c r="H316" t="s">
        <v>186</v>
      </c>
      <c r="I316" t="s">
        <v>1</v>
      </c>
      <c r="J316">
        <v>-1730.35</v>
      </c>
      <c r="K316">
        <v>-2229.9999999997999</v>
      </c>
      <c r="L316">
        <v>-1800.84</v>
      </c>
      <c r="M316">
        <v>-3631.5281767955798</v>
      </c>
      <c r="N316">
        <v>-2697.54</v>
      </c>
      <c r="O316">
        <v>-3621.4694505494999</v>
      </c>
      <c r="P316">
        <v>0</v>
      </c>
      <c r="Q316">
        <f t="shared" si="65"/>
        <v>-3621.4694505494999</v>
      </c>
      <c r="R316">
        <v>-3621.4694505494999</v>
      </c>
      <c r="S316">
        <f t="shared" si="66"/>
        <v>0</v>
      </c>
      <c r="U316">
        <f t="shared" si="67"/>
        <v>0</v>
      </c>
      <c r="V316">
        <f t="shared" si="68"/>
        <v>-3621.4694505494999</v>
      </c>
      <c r="W316">
        <f t="shared" si="69"/>
        <v>0</v>
      </c>
      <c r="X316">
        <v>0</v>
      </c>
    </row>
    <row r="317" spans="1:24" x14ac:dyDescent="0.3">
      <c r="A317" t="s">
        <v>552</v>
      </c>
      <c r="B317" t="s">
        <v>571</v>
      </c>
      <c r="C317">
        <v>29656000</v>
      </c>
      <c r="D317" t="s">
        <v>109</v>
      </c>
      <c r="E317" t="s">
        <v>16</v>
      </c>
      <c r="F317" t="s">
        <v>1</v>
      </c>
      <c r="G317" t="s">
        <v>327</v>
      </c>
      <c r="H317" t="s">
        <v>187</v>
      </c>
      <c r="I317" t="s">
        <v>1</v>
      </c>
      <c r="J317">
        <v>6032.49</v>
      </c>
      <c r="K317">
        <v>5069.6818416358001</v>
      </c>
      <c r="L317">
        <v>6048.92</v>
      </c>
      <c r="M317">
        <v>12198.098342541436</v>
      </c>
      <c r="N317">
        <v>9917.48</v>
      </c>
      <c r="O317">
        <v>12164.311648351601</v>
      </c>
      <c r="P317">
        <v>0</v>
      </c>
      <c r="Q317">
        <f t="shared" si="65"/>
        <v>12164.311648351601</v>
      </c>
      <c r="R317">
        <v>12164.311648351601</v>
      </c>
      <c r="S317">
        <f t="shared" si="66"/>
        <v>0</v>
      </c>
      <c r="T317">
        <v>0.02</v>
      </c>
      <c r="U317">
        <f t="shared" si="67"/>
        <v>243.28623296703202</v>
      </c>
      <c r="V317">
        <f t="shared" si="68"/>
        <v>12407.597881318632</v>
      </c>
      <c r="W317">
        <f t="shared" si="69"/>
        <v>243.28623296703154</v>
      </c>
      <c r="X317">
        <v>0</v>
      </c>
    </row>
    <row r="318" spans="1:24" x14ac:dyDescent="0.3">
      <c r="A318" t="s">
        <v>552</v>
      </c>
      <c r="B318" t="s">
        <v>571</v>
      </c>
      <c r="C318">
        <v>29656000</v>
      </c>
      <c r="D318" t="s">
        <v>109</v>
      </c>
      <c r="E318" t="s">
        <v>87</v>
      </c>
      <c r="F318" t="s">
        <v>1</v>
      </c>
      <c r="G318" t="s">
        <v>327</v>
      </c>
      <c r="H318" t="s">
        <v>293</v>
      </c>
      <c r="I318" t="s">
        <v>1</v>
      </c>
      <c r="J318">
        <v>17513.849999999999</v>
      </c>
      <c r="K318">
        <v>19529.2958505969</v>
      </c>
      <c r="L318">
        <v>5372.89</v>
      </c>
      <c r="M318">
        <v>10834.833425414365</v>
      </c>
      <c r="N318">
        <v>14038.57</v>
      </c>
      <c r="O318">
        <v>10804.8227472527</v>
      </c>
      <c r="P318">
        <v>0</v>
      </c>
      <c r="Q318">
        <f t="shared" si="65"/>
        <v>10804.8227472527</v>
      </c>
      <c r="R318">
        <v>10804.8227472527</v>
      </c>
      <c r="S318">
        <f t="shared" si="66"/>
        <v>0</v>
      </c>
      <c r="T318">
        <v>3.5000000000000003E-2</v>
      </c>
      <c r="U318">
        <f t="shared" si="67"/>
        <v>378.16879615384454</v>
      </c>
      <c r="V318">
        <f t="shared" si="68"/>
        <v>11182.991543406544</v>
      </c>
      <c r="W318">
        <f t="shared" si="69"/>
        <v>378.1687961538446</v>
      </c>
      <c r="X318">
        <v>0</v>
      </c>
    </row>
    <row r="319" spans="1:24" x14ac:dyDescent="0.3">
      <c r="A319" t="s">
        <v>552</v>
      </c>
      <c r="B319" t="s">
        <v>571</v>
      </c>
      <c r="C319">
        <v>29656000</v>
      </c>
      <c r="D319" t="s">
        <v>109</v>
      </c>
      <c r="E319" t="s">
        <v>89</v>
      </c>
      <c r="F319" t="s">
        <v>1</v>
      </c>
      <c r="G319" t="s">
        <v>327</v>
      </c>
      <c r="H319" t="s">
        <v>295</v>
      </c>
      <c r="I319" t="s">
        <v>1</v>
      </c>
      <c r="J319">
        <v>112.6</v>
      </c>
      <c r="L319">
        <v>0</v>
      </c>
      <c r="M319">
        <v>0</v>
      </c>
      <c r="N319">
        <v>112.6</v>
      </c>
      <c r="P319">
        <v>0</v>
      </c>
      <c r="Q319">
        <f t="shared" si="65"/>
        <v>0</v>
      </c>
      <c r="R319">
        <v>0</v>
      </c>
      <c r="S319">
        <f t="shared" si="66"/>
        <v>0</v>
      </c>
      <c r="T319">
        <v>0.02</v>
      </c>
      <c r="U319">
        <f t="shared" si="67"/>
        <v>0</v>
      </c>
      <c r="V319">
        <f t="shared" si="68"/>
        <v>0</v>
      </c>
      <c r="W319">
        <f t="shared" si="69"/>
        <v>0</v>
      </c>
      <c r="X319">
        <v>0</v>
      </c>
    </row>
    <row r="320" spans="1:24" x14ac:dyDescent="0.3">
      <c r="A320" t="s">
        <v>552</v>
      </c>
      <c r="B320" t="s">
        <v>571</v>
      </c>
      <c r="C320">
        <v>29656000</v>
      </c>
      <c r="D320" t="s">
        <v>109</v>
      </c>
      <c r="E320" t="s">
        <v>93</v>
      </c>
      <c r="F320" t="s">
        <v>1</v>
      </c>
      <c r="G320" t="s">
        <v>327</v>
      </c>
      <c r="H320" t="s">
        <v>299</v>
      </c>
      <c r="I320" t="s">
        <v>1</v>
      </c>
      <c r="J320">
        <v>-3170</v>
      </c>
      <c r="K320">
        <v>2.7757974000000001E-3</v>
      </c>
      <c r="L320">
        <v>0</v>
      </c>
      <c r="M320">
        <v>0</v>
      </c>
      <c r="N320">
        <v>0</v>
      </c>
      <c r="P320">
        <v>0</v>
      </c>
      <c r="Q320">
        <f t="shared" si="65"/>
        <v>0</v>
      </c>
      <c r="R320">
        <v>0</v>
      </c>
      <c r="S320">
        <f t="shared" si="66"/>
        <v>0</v>
      </c>
      <c r="T320">
        <v>3.5000000000000003E-2</v>
      </c>
      <c r="U320">
        <f t="shared" si="67"/>
        <v>0</v>
      </c>
      <c r="V320">
        <f t="shared" si="68"/>
        <v>0</v>
      </c>
      <c r="W320">
        <f t="shared" si="69"/>
        <v>0</v>
      </c>
      <c r="X320">
        <v>0</v>
      </c>
    </row>
    <row r="321" spans="1:24" x14ac:dyDescent="0.3">
      <c r="A321" t="s">
        <v>552</v>
      </c>
      <c r="B321" t="s">
        <v>571</v>
      </c>
      <c r="C321">
        <v>29656000</v>
      </c>
      <c r="D321" t="s">
        <v>109</v>
      </c>
      <c r="E321" t="s">
        <v>53</v>
      </c>
      <c r="F321" t="s">
        <v>1</v>
      </c>
      <c r="G321" t="s">
        <v>327</v>
      </c>
      <c r="H321" t="s">
        <v>229</v>
      </c>
      <c r="I321" t="s">
        <v>1</v>
      </c>
      <c r="J321">
        <v>661909.93000000005</v>
      </c>
      <c r="K321">
        <v>730751.81667610805</v>
      </c>
      <c r="L321">
        <v>278631.31</v>
      </c>
      <c r="M321">
        <v>561880.81850828731</v>
      </c>
      <c r="N321">
        <v>609472.93999999994</v>
      </c>
      <c r="O321">
        <v>560324.50252747198</v>
      </c>
      <c r="P321">
        <v>0</v>
      </c>
      <c r="Q321">
        <f t="shared" si="65"/>
        <v>560324.50252747198</v>
      </c>
      <c r="R321">
        <v>560324.50252747198</v>
      </c>
      <c r="S321">
        <f t="shared" si="66"/>
        <v>0</v>
      </c>
      <c r="T321">
        <v>0.04</v>
      </c>
      <c r="U321">
        <f t="shared" si="67"/>
        <v>22412.980101098881</v>
      </c>
      <c r="V321">
        <f t="shared" si="68"/>
        <v>582737.48262857087</v>
      </c>
      <c r="W321">
        <f t="shared" si="69"/>
        <v>22412.980101098889</v>
      </c>
      <c r="X321">
        <v>0</v>
      </c>
    </row>
    <row r="322" spans="1:24" x14ac:dyDescent="0.3">
      <c r="A322" t="s">
        <v>552</v>
      </c>
      <c r="B322" t="s">
        <v>571</v>
      </c>
      <c r="C322">
        <v>29656000</v>
      </c>
      <c r="D322" t="s">
        <v>109</v>
      </c>
      <c r="E322" t="s">
        <v>17</v>
      </c>
      <c r="F322" t="s">
        <v>1</v>
      </c>
      <c r="G322" t="s">
        <v>327</v>
      </c>
      <c r="H322" t="s">
        <v>188</v>
      </c>
      <c r="I322" t="s">
        <v>1</v>
      </c>
      <c r="J322">
        <v>3310.44</v>
      </c>
      <c r="K322">
        <v>3367.0700000001998</v>
      </c>
      <c r="L322">
        <v>6877.54</v>
      </c>
      <c r="M322">
        <v>13869.072375690608</v>
      </c>
      <c r="N322">
        <v>9562.5400000000009</v>
      </c>
      <c r="O322">
        <v>13869.072375690601</v>
      </c>
      <c r="P322">
        <v>0</v>
      </c>
      <c r="Q322">
        <f t="shared" si="65"/>
        <v>13869.072375690601</v>
      </c>
      <c r="R322">
        <v>13869.072375690601</v>
      </c>
      <c r="S322">
        <f t="shared" si="66"/>
        <v>0</v>
      </c>
      <c r="T322">
        <v>0.03</v>
      </c>
      <c r="U322">
        <f t="shared" si="67"/>
        <v>416.072171270718</v>
      </c>
      <c r="V322">
        <f t="shared" si="68"/>
        <v>14285.144546961319</v>
      </c>
      <c r="W322">
        <f t="shared" si="69"/>
        <v>416.07217127071817</v>
      </c>
      <c r="X322">
        <v>0</v>
      </c>
    </row>
    <row r="323" spans="1:24" x14ac:dyDescent="0.3">
      <c r="A323" t="s">
        <v>552</v>
      </c>
      <c r="B323" t="s">
        <v>571</v>
      </c>
      <c r="C323">
        <v>29656000</v>
      </c>
      <c r="D323" t="s">
        <v>109</v>
      </c>
      <c r="E323" t="s">
        <v>18</v>
      </c>
      <c r="F323" t="s">
        <v>1</v>
      </c>
      <c r="G323" t="s">
        <v>327</v>
      </c>
      <c r="H323" t="s">
        <v>189</v>
      </c>
      <c r="I323" t="s">
        <v>1</v>
      </c>
      <c r="J323">
        <v>872.37</v>
      </c>
      <c r="K323">
        <v>1134.3600000000999</v>
      </c>
      <c r="L323">
        <v>289.73</v>
      </c>
      <c r="M323">
        <v>584.2621546961326</v>
      </c>
      <c r="N323">
        <v>618.6</v>
      </c>
      <c r="O323">
        <v>584.26215469609997</v>
      </c>
      <c r="P323">
        <v>0</v>
      </c>
      <c r="Q323">
        <f t="shared" si="65"/>
        <v>584.26215469609997</v>
      </c>
      <c r="R323">
        <v>584.26215469609997</v>
      </c>
      <c r="S323">
        <f t="shared" si="66"/>
        <v>0</v>
      </c>
      <c r="T323">
        <v>3.5000000000000003E-2</v>
      </c>
      <c r="U323">
        <f t="shared" si="67"/>
        <v>20.449175414363502</v>
      </c>
      <c r="V323">
        <f t="shared" si="68"/>
        <v>604.71133011046345</v>
      </c>
      <c r="W323">
        <f t="shared" si="69"/>
        <v>20.449175414363481</v>
      </c>
      <c r="X323">
        <v>0</v>
      </c>
    </row>
    <row r="324" spans="1:24" x14ac:dyDescent="0.3">
      <c r="A324" t="s">
        <v>552</v>
      </c>
      <c r="B324" t="s">
        <v>571</v>
      </c>
      <c r="C324">
        <v>29656000</v>
      </c>
      <c r="D324" t="s">
        <v>109</v>
      </c>
      <c r="E324" t="s">
        <v>19</v>
      </c>
      <c r="F324" t="s">
        <v>1</v>
      </c>
      <c r="G324" t="s">
        <v>327</v>
      </c>
      <c r="H324" t="s">
        <v>190</v>
      </c>
      <c r="I324" t="s">
        <v>1</v>
      </c>
      <c r="J324">
        <v>1779.97</v>
      </c>
      <c r="K324">
        <v>1896.1199999999001</v>
      </c>
      <c r="L324">
        <v>1246.99</v>
      </c>
      <c r="M324">
        <v>2514.6483425414367</v>
      </c>
      <c r="N324">
        <v>2118.3200000000002</v>
      </c>
      <c r="O324">
        <v>2514.6483425413999</v>
      </c>
      <c r="P324">
        <v>0</v>
      </c>
      <c r="Q324">
        <f t="shared" si="65"/>
        <v>2514.6483425413999</v>
      </c>
      <c r="R324">
        <v>2514.6483425413999</v>
      </c>
      <c r="S324">
        <f t="shared" si="66"/>
        <v>0</v>
      </c>
      <c r="T324">
        <v>3.5000000000000003E-2</v>
      </c>
      <c r="U324">
        <f t="shared" si="67"/>
        <v>88.012691988949001</v>
      </c>
      <c r="V324">
        <f t="shared" si="68"/>
        <v>2602.6610345303488</v>
      </c>
      <c r="W324">
        <f t="shared" si="69"/>
        <v>88.012691988948973</v>
      </c>
      <c r="X324">
        <v>0</v>
      </c>
    </row>
    <row r="325" spans="1:24" x14ac:dyDescent="0.3">
      <c r="A325" t="s">
        <v>552</v>
      </c>
      <c r="B325" t="s">
        <v>571</v>
      </c>
      <c r="C325">
        <v>29656000</v>
      </c>
      <c r="D325" t="s">
        <v>109</v>
      </c>
      <c r="E325" t="s">
        <v>23</v>
      </c>
      <c r="F325" t="s">
        <v>1</v>
      </c>
      <c r="G325" t="s">
        <v>327</v>
      </c>
      <c r="H325" t="s">
        <v>194</v>
      </c>
      <c r="I325" t="s">
        <v>1</v>
      </c>
      <c r="J325">
        <v>134.05000000000001</v>
      </c>
      <c r="L325">
        <v>0</v>
      </c>
      <c r="M325">
        <v>0</v>
      </c>
      <c r="N325">
        <v>134.05000000000001</v>
      </c>
      <c r="P325">
        <v>0</v>
      </c>
      <c r="Q325">
        <f t="shared" si="65"/>
        <v>0</v>
      </c>
      <c r="R325">
        <v>0</v>
      </c>
      <c r="S325">
        <f t="shared" si="66"/>
        <v>0</v>
      </c>
      <c r="U325">
        <f t="shared" si="67"/>
        <v>0</v>
      </c>
      <c r="V325">
        <f t="shared" si="68"/>
        <v>0</v>
      </c>
      <c r="W325">
        <f t="shared" si="69"/>
        <v>0</v>
      </c>
      <c r="X325">
        <v>0</v>
      </c>
    </row>
    <row r="326" spans="1:24" x14ac:dyDescent="0.3">
      <c r="A326" t="s">
        <v>552</v>
      </c>
      <c r="B326" t="s">
        <v>571</v>
      </c>
      <c r="C326">
        <v>29656000</v>
      </c>
      <c r="D326" t="s">
        <v>109</v>
      </c>
      <c r="E326" t="s">
        <v>24</v>
      </c>
      <c r="F326" t="s">
        <v>1</v>
      </c>
      <c r="G326" t="s">
        <v>327</v>
      </c>
      <c r="H326" t="s">
        <v>195</v>
      </c>
      <c r="I326" t="s">
        <v>1</v>
      </c>
      <c r="J326">
        <v>50</v>
      </c>
      <c r="L326">
        <v>0</v>
      </c>
      <c r="M326">
        <v>0</v>
      </c>
      <c r="N326">
        <v>0</v>
      </c>
      <c r="P326">
        <v>0</v>
      </c>
      <c r="Q326">
        <f t="shared" si="65"/>
        <v>0</v>
      </c>
      <c r="R326">
        <v>0</v>
      </c>
      <c r="S326">
        <f t="shared" si="66"/>
        <v>0</v>
      </c>
      <c r="U326">
        <f t="shared" si="67"/>
        <v>0</v>
      </c>
      <c r="V326">
        <f t="shared" si="68"/>
        <v>0</v>
      </c>
      <c r="W326">
        <f t="shared" si="69"/>
        <v>0</v>
      </c>
      <c r="X326">
        <v>0</v>
      </c>
    </row>
    <row r="327" spans="1:24" x14ac:dyDescent="0.3">
      <c r="A327" t="s">
        <v>552</v>
      </c>
      <c r="B327" t="s">
        <v>571</v>
      </c>
      <c r="C327">
        <v>29656000</v>
      </c>
      <c r="D327" t="s">
        <v>109</v>
      </c>
      <c r="E327" t="s">
        <v>27</v>
      </c>
      <c r="F327" t="s">
        <v>1</v>
      </c>
      <c r="G327" t="s">
        <v>327</v>
      </c>
      <c r="H327" t="s">
        <v>198</v>
      </c>
      <c r="I327" t="s">
        <v>1</v>
      </c>
      <c r="J327">
        <v>822</v>
      </c>
      <c r="L327">
        <v>0</v>
      </c>
      <c r="M327">
        <v>0</v>
      </c>
      <c r="N327">
        <v>249</v>
      </c>
      <c r="P327">
        <v>0</v>
      </c>
      <c r="Q327">
        <f t="shared" si="65"/>
        <v>0</v>
      </c>
      <c r="R327">
        <v>0</v>
      </c>
      <c r="S327">
        <f t="shared" si="66"/>
        <v>0</v>
      </c>
      <c r="U327">
        <f t="shared" si="67"/>
        <v>0</v>
      </c>
      <c r="V327">
        <f t="shared" si="68"/>
        <v>0</v>
      </c>
      <c r="W327">
        <f t="shared" si="69"/>
        <v>0</v>
      </c>
      <c r="X327">
        <v>0</v>
      </c>
    </row>
    <row r="328" spans="1:24" x14ac:dyDescent="0.3">
      <c r="A328" t="s">
        <v>552</v>
      </c>
      <c r="B328" t="s">
        <v>571</v>
      </c>
      <c r="C328">
        <v>29656000</v>
      </c>
      <c r="D328" t="s">
        <v>109</v>
      </c>
      <c r="E328" t="s">
        <v>30</v>
      </c>
      <c r="F328" t="s">
        <v>1</v>
      </c>
      <c r="G328" t="s">
        <v>327</v>
      </c>
      <c r="H328" t="s">
        <v>201</v>
      </c>
      <c r="I328" t="s">
        <v>1</v>
      </c>
      <c r="J328">
        <v>144.52000000000001</v>
      </c>
      <c r="K328">
        <v>150</v>
      </c>
      <c r="L328">
        <v>0</v>
      </c>
      <c r="M328">
        <v>0</v>
      </c>
      <c r="N328">
        <v>0</v>
      </c>
      <c r="P328">
        <v>0</v>
      </c>
      <c r="Q328">
        <f t="shared" si="65"/>
        <v>0</v>
      </c>
      <c r="R328">
        <v>0</v>
      </c>
      <c r="S328">
        <f t="shared" si="66"/>
        <v>0</v>
      </c>
      <c r="U328">
        <f t="shared" si="67"/>
        <v>0</v>
      </c>
      <c r="V328">
        <f t="shared" si="68"/>
        <v>0</v>
      </c>
      <c r="W328">
        <f t="shared" si="69"/>
        <v>0</v>
      </c>
      <c r="X328">
        <v>0</v>
      </c>
    </row>
    <row r="329" spans="1:24" x14ac:dyDescent="0.3">
      <c r="A329" t="s">
        <v>552</v>
      </c>
      <c r="B329" t="s">
        <v>571</v>
      </c>
      <c r="C329">
        <v>29656000</v>
      </c>
      <c r="D329" t="s">
        <v>109</v>
      </c>
      <c r="E329" t="s">
        <v>33</v>
      </c>
      <c r="F329" t="s">
        <v>1</v>
      </c>
      <c r="G329" t="s">
        <v>327</v>
      </c>
      <c r="H329" t="s">
        <v>204</v>
      </c>
      <c r="I329" t="s">
        <v>1</v>
      </c>
      <c r="J329">
        <v>-505099.03</v>
      </c>
      <c r="K329">
        <v>-568047.5</v>
      </c>
      <c r="L329">
        <v>-223703.27</v>
      </c>
      <c r="M329">
        <v>-451114.32900552487</v>
      </c>
      <c r="N329">
        <v>-482676.30000000005</v>
      </c>
      <c r="O329">
        <v>-451114.32900552498</v>
      </c>
      <c r="P329">
        <v>0</v>
      </c>
      <c r="Q329">
        <f t="shared" si="65"/>
        <v>-451114.32900552498</v>
      </c>
      <c r="R329">
        <v>-451114.32900552498</v>
      </c>
      <c r="S329">
        <f t="shared" si="66"/>
        <v>0</v>
      </c>
      <c r="U329">
        <f t="shared" si="67"/>
        <v>0</v>
      </c>
      <c r="V329">
        <f t="shared" si="68"/>
        <v>-451114.32900552498</v>
      </c>
      <c r="W329">
        <f t="shared" si="69"/>
        <v>0</v>
      </c>
      <c r="X329">
        <v>0</v>
      </c>
    </row>
    <row r="330" spans="1:24" x14ac:dyDescent="0.3">
      <c r="A330" t="s">
        <v>552</v>
      </c>
      <c r="B330" t="s">
        <v>571</v>
      </c>
      <c r="C330">
        <v>29656000</v>
      </c>
      <c r="D330" t="s">
        <v>109</v>
      </c>
      <c r="E330" t="s">
        <v>110</v>
      </c>
      <c r="F330" t="s">
        <v>1</v>
      </c>
      <c r="G330" t="s">
        <v>327</v>
      </c>
      <c r="H330" t="s">
        <v>328</v>
      </c>
      <c r="I330" t="s">
        <v>1</v>
      </c>
      <c r="J330">
        <v>865788.1</v>
      </c>
      <c r="K330">
        <v>842594.33691524796</v>
      </c>
      <c r="L330">
        <v>486315.64</v>
      </c>
      <c r="M330">
        <v>980691.76022099447</v>
      </c>
      <c r="N330">
        <v>863515.09</v>
      </c>
      <c r="O330">
        <v>980691.76022099401</v>
      </c>
      <c r="P330">
        <v>0</v>
      </c>
      <c r="Q330">
        <f t="shared" si="65"/>
        <v>980691.76022099401</v>
      </c>
      <c r="R330">
        <v>980691.76022099401</v>
      </c>
      <c r="S330">
        <f t="shared" si="66"/>
        <v>0</v>
      </c>
      <c r="T330">
        <v>3.2500000000000001E-2</v>
      </c>
      <c r="U330">
        <f t="shared" si="67"/>
        <v>31872.482207182307</v>
      </c>
      <c r="V330">
        <f t="shared" si="68"/>
        <v>1012564.2424281763</v>
      </c>
      <c r="W330">
        <f t="shared" si="69"/>
        <v>31872.482207182329</v>
      </c>
      <c r="X330">
        <v>0</v>
      </c>
    </row>
    <row r="331" spans="1:24" x14ac:dyDescent="0.3">
      <c r="A331" t="s">
        <v>552</v>
      </c>
      <c r="B331" t="s">
        <v>571</v>
      </c>
      <c r="C331">
        <v>29656000</v>
      </c>
      <c r="D331" t="s">
        <v>109</v>
      </c>
      <c r="E331" t="s">
        <v>111</v>
      </c>
      <c r="F331" t="s">
        <v>1</v>
      </c>
      <c r="G331" t="s">
        <v>327</v>
      </c>
      <c r="H331" t="s">
        <v>329</v>
      </c>
      <c r="I331" t="s">
        <v>1</v>
      </c>
      <c r="J331">
        <v>226.5</v>
      </c>
      <c r="L331">
        <v>125.69</v>
      </c>
      <c r="M331">
        <v>253.4632596685083</v>
      </c>
      <c r="N331">
        <v>183.7</v>
      </c>
      <c r="O331">
        <v>253.4632596685</v>
      </c>
      <c r="P331">
        <v>0</v>
      </c>
      <c r="Q331">
        <f t="shared" si="65"/>
        <v>253.4632596685</v>
      </c>
      <c r="R331">
        <v>253.4632596685</v>
      </c>
      <c r="S331">
        <f t="shared" si="66"/>
        <v>0</v>
      </c>
      <c r="T331">
        <v>2.8000000000000001E-2</v>
      </c>
      <c r="U331">
        <f t="shared" si="67"/>
        <v>7.0969712707179999</v>
      </c>
      <c r="V331">
        <f t="shared" si="68"/>
        <v>260.560230939218</v>
      </c>
      <c r="W331">
        <f t="shared" si="69"/>
        <v>7.0969712707180008</v>
      </c>
      <c r="X331">
        <v>0</v>
      </c>
    </row>
    <row r="332" spans="1:24" x14ac:dyDescent="0.3">
      <c r="A332" t="s">
        <v>552</v>
      </c>
      <c r="B332" t="s">
        <v>571</v>
      </c>
      <c r="C332">
        <v>29656000</v>
      </c>
      <c r="D332" t="s">
        <v>109</v>
      </c>
      <c r="E332" t="s">
        <v>112</v>
      </c>
      <c r="F332" t="s">
        <v>1</v>
      </c>
      <c r="G332" t="s">
        <v>327</v>
      </c>
      <c r="H332" t="s">
        <v>330</v>
      </c>
      <c r="I332" t="s">
        <v>1</v>
      </c>
      <c r="J332">
        <v>20131.5</v>
      </c>
      <c r="K332">
        <v>20484.470364431902</v>
      </c>
      <c r="L332">
        <v>12873.58</v>
      </c>
      <c r="M332">
        <v>25960.534254143648</v>
      </c>
      <c r="N332">
        <v>22612.57</v>
      </c>
      <c r="O332">
        <v>25960.5342541436</v>
      </c>
      <c r="P332">
        <v>0</v>
      </c>
      <c r="Q332">
        <f t="shared" si="65"/>
        <v>25960.5342541436</v>
      </c>
      <c r="R332">
        <v>25960.5342541436</v>
      </c>
      <c r="S332">
        <f t="shared" si="66"/>
        <v>0</v>
      </c>
      <c r="T332">
        <v>3.5000000000000003E-2</v>
      </c>
      <c r="U332">
        <f t="shared" si="67"/>
        <v>908.61869889502611</v>
      </c>
      <c r="V332">
        <f t="shared" si="68"/>
        <v>26869.152953038625</v>
      </c>
      <c r="W332">
        <f t="shared" si="69"/>
        <v>908.61869889502486</v>
      </c>
      <c r="X332">
        <v>0</v>
      </c>
    </row>
    <row r="333" spans="1:24" x14ac:dyDescent="0.3">
      <c r="A333" t="s">
        <v>552</v>
      </c>
      <c r="B333" t="s">
        <v>571</v>
      </c>
      <c r="C333">
        <v>29656000</v>
      </c>
      <c r="D333" t="s">
        <v>109</v>
      </c>
      <c r="E333" t="s">
        <v>113</v>
      </c>
      <c r="F333" t="s">
        <v>1</v>
      </c>
      <c r="G333" t="s">
        <v>327</v>
      </c>
      <c r="H333" t="s">
        <v>331</v>
      </c>
      <c r="I333" t="s">
        <v>1</v>
      </c>
      <c r="J333">
        <v>3455.45</v>
      </c>
      <c r="L333">
        <v>2808.97</v>
      </c>
      <c r="M333">
        <v>5664.4975138121536</v>
      </c>
      <c r="N333">
        <v>6088.75</v>
      </c>
      <c r="O333">
        <v>5664.4975138121999</v>
      </c>
      <c r="P333">
        <v>0</v>
      </c>
      <c r="Q333">
        <f t="shared" si="65"/>
        <v>5664.4975138121999</v>
      </c>
      <c r="R333">
        <v>5664.4975138121999</v>
      </c>
      <c r="S333">
        <f t="shared" si="66"/>
        <v>0</v>
      </c>
      <c r="T333">
        <v>4.4999999999999998E-2</v>
      </c>
      <c r="U333">
        <f t="shared" si="67"/>
        <v>254.902388121549</v>
      </c>
      <c r="V333">
        <f t="shared" si="68"/>
        <v>5919.3999019337489</v>
      </c>
      <c r="W333">
        <f t="shared" si="69"/>
        <v>254.90238812154894</v>
      </c>
      <c r="X333">
        <v>0</v>
      </c>
    </row>
    <row r="334" spans="1:24" x14ac:dyDescent="0.3">
      <c r="A334" t="s">
        <v>552</v>
      </c>
      <c r="B334" t="s">
        <v>571</v>
      </c>
      <c r="C334">
        <v>29656000</v>
      </c>
      <c r="D334" t="s">
        <v>109</v>
      </c>
      <c r="E334" t="s">
        <v>114</v>
      </c>
      <c r="F334" t="s">
        <v>1</v>
      </c>
      <c r="G334" t="s">
        <v>327</v>
      </c>
      <c r="H334" t="s">
        <v>332</v>
      </c>
      <c r="I334" t="s">
        <v>1</v>
      </c>
      <c r="K334">
        <v>-192.3000000001</v>
      </c>
      <c r="L334">
        <v>0</v>
      </c>
      <c r="M334">
        <v>0</v>
      </c>
      <c r="N334">
        <v>0</v>
      </c>
      <c r="P334">
        <v>0</v>
      </c>
      <c r="Q334">
        <f t="shared" si="65"/>
        <v>0</v>
      </c>
      <c r="R334">
        <v>0</v>
      </c>
      <c r="S334">
        <f t="shared" si="66"/>
        <v>0</v>
      </c>
      <c r="T334">
        <v>2.8000000000000001E-2</v>
      </c>
      <c r="U334">
        <f t="shared" si="67"/>
        <v>0</v>
      </c>
      <c r="V334">
        <f t="shared" si="68"/>
        <v>0</v>
      </c>
      <c r="W334">
        <f t="shared" si="69"/>
        <v>0</v>
      </c>
      <c r="X334">
        <v>0</v>
      </c>
    </row>
    <row r="335" spans="1:24" x14ac:dyDescent="0.3">
      <c r="A335" t="s">
        <v>552</v>
      </c>
      <c r="B335" t="s">
        <v>571</v>
      </c>
      <c r="C335">
        <v>29656000</v>
      </c>
      <c r="D335" t="s">
        <v>109</v>
      </c>
      <c r="E335" t="s">
        <v>115</v>
      </c>
      <c r="F335" t="s">
        <v>1</v>
      </c>
      <c r="G335" t="s">
        <v>327</v>
      </c>
      <c r="H335" t="s">
        <v>333</v>
      </c>
      <c r="I335" t="s">
        <v>1</v>
      </c>
      <c r="J335">
        <v>610887.94999999995</v>
      </c>
      <c r="K335">
        <v>747225</v>
      </c>
      <c r="L335">
        <v>258078.45</v>
      </c>
      <c r="M335">
        <v>520434.44337016577</v>
      </c>
      <c r="N335">
        <v>503170.27999999991</v>
      </c>
      <c r="O335">
        <v>520434.443370166</v>
      </c>
      <c r="P335">
        <v>0</v>
      </c>
      <c r="Q335">
        <f t="shared" si="65"/>
        <v>520434.443370166</v>
      </c>
      <c r="R335">
        <v>520434.443370166</v>
      </c>
      <c r="S335">
        <f t="shared" si="66"/>
        <v>0</v>
      </c>
      <c r="T335">
        <v>2.5000000000000001E-2</v>
      </c>
      <c r="U335">
        <f t="shared" si="67"/>
        <v>13010.861084254151</v>
      </c>
      <c r="V335">
        <f t="shared" si="68"/>
        <v>533445.30445442011</v>
      </c>
      <c r="W335">
        <f t="shared" si="69"/>
        <v>13010.861084254109</v>
      </c>
      <c r="X335">
        <v>0</v>
      </c>
    </row>
    <row r="336" spans="1:24" x14ac:dyDescent="0.3">
      <c r="A336" t="s">
        <v>552</v>
      </c>
      <c r="B336" t="s">
        <v>571</v>
      </c>
      <c r="C336">
        <v>29656000</v>
      </c>
      <c r="D336" t="s">
        <v>109</v>
      </c>
      <c r="E336" t="s">
        <v>116</v>
      </c>
      <c r="F336" t="s">
        <v>1</v>
      </c>
      <c r="G336" t="s">
        <v>327</v>
      </c>
      <c r="H336" t="s">
        <v>334</v>
      </c>
      <c r="I336" t="s">
        <v>1</v>
      </c>
      <c r="J336">
        <v>428.85</v>
      </c>
      <c r="L336">
        <v>0</v>
      </c>
      <c r="M336">
        <v>0</v>
      </c>
      <c r="N336">
        <v>0</v>
      </c>
      <c r="P336">
        <v>0</v>
      </c>
      <c r="Q336">
        <f t="shared" si="65"/>
        <v>0</v>
      </c>
      <c r="R336">
        <v>0</v>
      </c>
      <c r="S336">
        <f t="shared" si="66"/>
        <v>0</v>
      </c>
      <c r="T336">
        <v>2.2499999999999999E-2</v>
      </c>
      <c r="U336">
        <f t="shared" si="67"/>
        <v>0</v>
      </c>
      <c r="V336">
        <f t="shared" si="68"/>
        <v>0</v>
      </c>
      <c r="W336">
        <f t="shared" si="69"/>
        <v>0</v>
      </c>
      <c r="X336">
        <v>0</v>
      </c>
    </row>
    <row r="337" spans="1:24" x14ac:dyDescent="0.3">
      <c r="A337" t="s">
        <v>552</v>
      </c>
      <c r="B337" t="s">
        <v>571</v>
      </c>
      <c r="C337">
        <v>29656000</v>
      </c>
      <c r="D337" t="s">
        <v>109</v>
      </c>
      <c r="E337" t="s">
        <v>117</v>
      </c>
      <c r="F337" t="s">
        <v>1</v>
      </c>
      <c r="G337" t="s">
        <v>327</v>
      </c>
      <c r="H337" t="s">
        <v>335</v>
      </c>
      <c r="I337" t="s">
        <v>1</v>
      </c>
      <c r="J337">
        <v>288.3</v>
      </c>
      <c r="L337">
        <v>143.68</v>
      </c>
      <c r="M337">
        <v>289.74143646408839</v>
      </c>
      <c r="N337">
        <v>143.68</v>
      </c>
      <c r="O337">
        <v>289.74143646409999</v>
      </c>
      <c r="P337">
        <v>0</v>
      </c>
      <c r="Q337">
        <f t="shared" si="65"/>
        <v>289.74143646409999</v>
      </c>
      <c r="R337">
        <v>289.74143646409999</v>
      </c>
      <c r="S337">
        <f t="shared" si="66"/>
        <v>0</v>
      </c>
      <c r="T337">
        <v>3.7499999999999999E-2</v>
      </c>
      <c r="U337">
        <f t="shared" si="67"/>
        <v>10.86530386740375</v>
      </c>
      <c r="V337">
        <f t="shared" si="68"/>
        <v>300.60674033150372</v>
      </c>
      <c r="W337">
        <f t="shared" si="69"/>
        <v>10.865303867403725</v>
      </c>
      <c r="X337">
        <v>0</v>
      </c>
    </row>
    <row r="338" spans="1:24" x14ac:dyDescent="0.3">
      <c r="A338" t="s">
        <v>552</v>
      </c>
      <c r="B338" t="s">
        <v>571</v>
      </c>
      <c r="C338">
        <v>29656000</v>
      </c>
      <c r="D338" t="s">
        <v>109</v>
      </c>
      <c r="E338" t="s">
        <v>118</v>
      </c>
      <c r="F338" t="s">
        <v>1</v>
      </c>
      <c r="G338" t="s">
        <v>327</v>
      </c>
      <c r="H338" t="s">
        <v>336</v>
      </c>
      <c r="I338" t="s">
        <v>1</v>
      </c>
      <c r="J338">
        <v>3543.97</v>
      </c>
      <c r="K338">
        <v>3974.9190028457001</v>
      </c>
      <c r="L338">
        <v>2050.14</v>
      </c>
      <c r="M338">
        <v>4134.2602209944744</v>
      </c>
      <c r="N338">
        <v>3588.1299999999997</v>
      </c>
      <c r="O338">
        <v>4134.2602209944998</v>
      </c>
      <c r="P338">
        <v>0</v>
      </c>
      <c r="Q338">
        <f t="shared" si="65"/>
        <v>4134.2602209944998</v>
      </c>
      <c r="R338">
        <v>4134.2602209944998</v>
      </c>
      <c r="S338">
        <f t="shared" si="66"/>
        <v>0</v>
      </c>
      <c r="T338">
        <v>0.02</v>
      </c>
      <c r="U338">
        <f t="shared" si="67"/>
        <v>82.685204419889999</v>
      </c>
      <c r="V338">
        <f t="shared" si="68"/>
        <v>4216.9454254143902</v>
      </c>
      <c r="W338">
        <f t="shared" si="69"/>
        <v>82.685204419890397</v>
      </c>
      <c r="X338">
        <v>0</v>
      </c>
    </row>
    <row r="339" spans="1:24" x14ac:dyDescent="0.3">
      <c r="A339" t="s">
        <v>552</v>
      </c>
      <c r="B339" t="s">
        <v>571</v>
      </c>
      <c r="C339">
        <v>29656000</v>
      </c>
      <c r="D339" t="s">
        <v>109</v>
      </c>
      <c r="E339" t="s">
        <v>119</v>
      </c>
      <c r="F339" t="s">
        <v>1</v>
      </c>
      <c r="G339" t="s">
        <v>327</v>
      </c>
      <c r="H339" t="s">
        <v>337</v>
      </c>
      <c r="I339" t="s">
        <v>1</v>
      </c>
      <c r="L339">
        <v>26759.9</v>
      </c>
      <c r="M339">
        <v>53963.33425414365</v>
      </c>
      <c r="N339">
        <v>26759.9</v>
      </c>
      <c r="O339">
        <v>53963.3342541436</v>
      </c>
      <c r="P339">
        <v>0</v>
      </c>
      <c r="Q339">
        <f t="shared" si="65"/>
        <v>53963.3342541436</v>
      </c>
      <c r="R339">
        <v>53963.3342541436</v>
      </c>
      <c r="S339">
        <f t="shared" si="66"/>
        <v>0</v>
      </c>
      <c r="T339">
        <v>0.03</v>
      </c>
      <c r="U339">
        <f t="shared" si="67"/>
        <v>1618.900027624308</v>
      </c>
      <c r="V339">
        <f t="shared" si="68"/>
        <v>55582.234281767909</v>
      </c>
      <c r="W339">
        <f t="shared" si="69"/>
        <v>1618.9000276243096</v>
      </c>
      <c r="X339">
        <v>0</v>
      </c>
    </row>
    <row r="340" spans="1:24" x14ac:dyDescent="0.3">
      <c r="A340" t="s">
        <v>552</v>
      </c>
      <c r="B340" t="s">
        <v>571</v>
      </c>
      <c r="C340">
        <v>29656000</v>
      </c>
      <c r="D340" t="s">
        <v>109</v>
      </c>
      <c r="E340" t="s">
        <v>120</v>
      </c>
      <c r="F340" t="s">
        <v>1</v>
      </c>
      <c r="G340" t="s">
        <v>327</v>
      </c>
      <c r="H340" t="s">
        <v>338</v>
      </c>
      <c r="I340" t="s">
        <v>1</v>
      </c>
      <c r="J340">
        <v>76172.28</v>
      </c>
      <c r="K340">
        <v>69438.182034930505</v>
      </c>
      <c r="L340">
        <v>61136.54</v>
      </c>
      <c r="M340">
        <v>123286.39281767955</v>
      </c>
      <c r="N340">
        <v>100553.42</v>
      </c>
      <c r="O340">
        <v>123286.39281768</v>
      </c>
      <c r="P340">
        <v>0</v>
      </c>
      <c r="Q340">
        <f t="shared" si="65"/>
        <v>123286.39281768</v>
      </c>
      <c r="R340">
        <v>123286.39281768</v>
      </c>
      <c r="S340">
        <f t="shared" si="66"/>
        <v>0</v>
      </c>
      <c r="T340">
        <v>2.2499999999999999E-2</v>
      </c>
      <c r="U340">
        <f t="shared" si="67"/>
        <v>2773.9438383977999</v>
      </c>
      <c r="V340">
        <f t="shared" si="68"/>
        <v>126060.33665607779</v>
      </c>
      <c r="W340">
        <f t="shared" si="69"/>
        <v>2773.9438383977977</v>
      </c>
      <c r="X340">
        <v>0</v>
      </c>
    </row>
    <row r="341" spans="1:24" x14ac:dyDescent="0.3">
      <c r="A341" t="s">
        <v>552</v>
      </c>
      <c r="B341" t="s">
        <v>571</v>
      </c>
      <c r="C341">
        <v>29656000</v>
      </c>
      <c r="D341" t="s">
        <v>109</v>
      </c>
      <c r="E341" t="s">
        <v>121</v>
      </c>
      <c r="F341" t="s">
        <v>1</v>
      </c>
      <c r="G341" t="s">
        <v>327</v>
      </c>
      <c r="H341" t="s">
        <v>339</v>
      </c>
      <c r="I341" t="s">
        <v>1</v>
      </c>
      <c r="J341">
        <v>328964.53999999998</v>
      </c>
      <c r="K341">
        <v>328646.589775878</v>
      </c>
      <c r="L341">
        <v>233005.09</v>
      </c>
      <c r="M341">
        <v>469872.14281767956</v>
      </c>
      <c r="N341">
        <v>437184.26</v>
      </c>
      <c r="O341">
        <v>469872.14281768003</v>
      </c>
      <c r="P341">
        <v>0</v>
      </c>
      <c r="Q341">
        <f t="shared" si="65"/>
        <v>469872.14281768003</v>
      </c>
      <c r="R341">
        <v>469872.14281768003</v>
      </c>
      <c r="S341">
        <f t="shared" si="66"/>
        <v>0</v>
      </c>
      <c r="T341">
        <v>2.5000000000000001E-2</v>
      </c>
      <c r="U341">
        <f t="shared" si="67"/>
        <v>11746.803570442002</v>
      </c>
      <c r="V341">
        <f t="shared" si="68"/>
        <v>481618.94638812204</v>
      </c>
      <c r="W341">
        <f t="shared" si="69"/>
        <v>11746.803570442018</v>
      </c>
      <c r="X341">
        <v>0</v>
      </c>
    </row>
    <row r="342" spans="1:24" x14ac:dyDescent="0.3">
      <c r="A342" t="s">
        <v>552</v>
      </c>
      <c r="B342" t="s">
        <v>571</v>
      </c>
      <c r="C342">
        <v>29656000</v>
      </c>
      <c r="D342" t="s">
        <v>109</v>
      </c>
      <c r="E342" t="s">
        <v>122</v>
      </c>
      <c r="F342" t="s">
        <v>1</v>
      </c>
      <c r="G342" t="s">
        <v>327</v>
      </c>
      <c r="H342" t="s">
        <v>340</v>
      </c>
      <c r="I342" t="s">
        <v>1</v>
      </c>
      <c r="J342">
        <v>180.2</v>
      </c>
      <c r="L342">
        <v>0</v>
      </c>
      <c r="M342">
        <v>0</v>
      </c>
      <c r="N342">
        <v>0</v>
      </c>
      <c r="P342">
        <v>0</v>
      </c>
      <c r="Q342">
        <f t="shared" si="65"/>
        <v>0</v>
      </c>
      <c r="R342">
        <v>0</v>
      </c>
      <c r="S342">
        <f t="shared" si="66"/>
        <v>0</v>
      </c>
      <c r="T342">
        <v>2.2499999999999999E-2</v>
      </c>
      <c r="U342">
        <f t="shared" si="67"/>
        <v>0</v>
      </c>
      <c r="V342">
        <f t="shared" si="68"/>
        <v>0</v>
      </c>
      <c r="W342">
        <f t="shared" si="69"/>
        <v>0</v>
      </c>
      <c r="X342">
        <v>0</v>
      </c>
    </row>
    <row r="343" spans="1:24" x14ac:dyDescent="0.3">
      <c r="A343" t="s">
        <v>552</v>
      </c>
      <c r="B343" t="s">
        <v>571</v>
      </c>
      <c r="C343">
        <v>29656000</v>
      </c>
      <c r="D343" t="s">
        <v>109</v>
      </c>
      <c r="E343" t="s">
        <v>123</v>
      </c>
      <c r="F343" t="s">
        <v>1</v>
      </c>
      <c r="G343" t="s">
        <v>327</v>
      </c>
      <c r="H343" t="s">
        <v>341</v>
      </c>
      <c r="I343" t="s">
        <v>1</v>
      </c>
      <c r="L343">
        <v>1021.75</v>
      </c>
      <c r="M343">
        <v>2060.4350828729284</v>
      </c>
      <c r="N343">
        <v>1021.75</v>
      </c>
      <c r="O343">
        <v>2060.4350828728998</v>
      </c>
      <c r="P343">
        <v>0</v>
      </c>
      <c r="Q343">
        <f t="shared" si="65"/>
        <v>2060.4350828728998</v>
      </c>
      <c r="R343">
        <v>2060.4350828728998</v>
      </c>
      <c r="S343">
        <f t="shared" si="66"/>
        <v>0</v>
      </c>
      <c r="T343">
        <v>2.75E-2</v>
      </c>
      <c r="U343">
        <f t="shared" si="67"/>
        <v>56.661964779004741</v>
      </c>
      <c r="V343">
        <f t="shared" si="68"/>
        <v>2117.0970476519046</v>
      </c>
      <c r="W343">
        <f t="shared" si="69"/>
        <v>56.661964779004848</v>
      </c>
      <c r="X343">
        <v>0</v>
      </c>
    </row>
    <row r="344" spans="1:24" x14ac:dyDescent="0.3">
      <c r="A344" t="s">
        <v>552</v>
      </c>
      <c r="B344" t="s">
        <v>571</v>
      </c>
      <c r="C344">
        <v>29656000</v>
      </c>
      <c r="D344" t="s">
        <v>109</v>
      </c>
      <c r="E344" t="s">
        <v>124</v>
      </c>
      <c r="F344" t="s">
        <v>1</v>
      </c>
      <c r="G344" t="s">
        <v>327</v>
      </c>
      <c r="H344" t="s">
        <v>342</v>
      </c>
      <c r="I344" t="s">
        <v>1</v>
      </c>
      <c r="J344">
        <v>108046.32</v>
      </c>
      <c r="K344">
        <v>116510.730559804</v>
      </c>
      <c r="L344">
        <v>147066.17000000001</v>
      </c>
      <c r="M344">
        <v>296569.90082872933</v>
      </c>
      <c r="N344">
        <v>183462.72999999998</v>
      </c>
      <c r="O344">
        <v>296569.90082872898</v>
      </c>
      <c r="P344">
        <v>0</v>
      </c>
      <c r="Q344">
        <f t="shared" si="65"/>
        <v>296569.90082872898</v>
      </c>
      <c r="R344">
        <v>296569.90082872898</v>
      </c>
      <c r="S344">
        <f t="shared" si="66"/>
        <v>0</v>
      </c>
      <c r="T344">
        <v>0.03</v>
      </c>
      <c r="U344">
        <f t="shared" si="67"/>
        <v>8897.0970248618687</v>
      </c>
      <c r="V344">
        <f t="shared" si="68"/>
        <v>305466.99785359087</v>
      </c>
      <c r="W344">
        <f t="shared" si="69"/>
        <v>8897.0970248618978</v>
      </c>
      <c r="X344">
        <v>0</v>
      </c>
    </row>
    <row r="345" spans="1:24" x14ac:dyDescent="0.3">
      <c r="A345" t="s">
        <v>552</v>
      </c>
      <c r="B345" t="s">
        <v>571</v>
      </c>
      <c r="C345">
        <v>29656000</v>
      </c>
      <c r="D345" t="s">
        <v>109</v>
      </c>
      <c r="E345" t="s">
        <v>125</v>
      </c>
      <c r="F345" t="s">
        <v>1</v>
      </c>
      <c r="G345" t="s">
        <v>327</v>
      </c>
      <c r="H345" t="s">
        <v>343</v>
      </c>
      <c r="I345" t="s">
        <v>1</v>
      </c>
      <c r="J345">
        <v>142053.26</v>
      </c>
      <c r="K345">
        <v>176882.20667218301</v>
      </c>
      <c r="L345">
        <v>52877.72</v>
      </c>
      <c r="M345">
        <v>106631.86629834255</v>
      </c>
      <c r="N345">
        <v>112955.95999999999</v>
      </c>
      <c r="O345">
        <v>106631.866298343</v>
      </c>
      <c r="P345">
        <v>0</v>
      </c>
      <c r="Q345">
        <f t="shared" si="65"/>
        <v>106631.866298343</v>
      </c>
      <c r="R345">
        <v>106631.866298343</v>
      </c>
      <c r="S345">
        <f t="shared" si="66"/>
        <v>0</v>
      </c>
      <c r="T345">
        <v>0.03</v>
      </c>
      <c r="U345">
        <f t="shared" si="67"/>
        <v>3198.9559889502898</v>
      </c>
      <c r="V345">
        <f t="shared" si="68"/>
        <v>109830.82228729328</v>
      </c>
      <c r="W345">
        <f t="shared" si="69"/>
        <v>3198.9559889502852</v>
      </c>
      <c r="X345">
        <v>0</v>
      </c>
    </row>
    <row r="346" spans="1:24" x14ac:dyDescent="0.3">
      <c r="A346" t="s">
        <v>552</v>
      </c>
      <c r="B346" t="s">
        <v>571</v>
      </c>
      <c r="C346">
        <v>29656000</v>
      </c>
      <c r="D346" t="s">
        <v>109</v>
      </c>
      <c r="E346" t="s">
        <v>34</v>
      </c>
      <c r="F346" t="s">
        <v>1</v>
      </c>
      <c r="G346" t="s">
        <v>327</v>
      </c>
      <c r="H346" t="s">
        <v>205</v>
      </c>
      <c r="I346" t="s">
        <v>1</v>
      </c>
      <c r="J346">
        <v>58130.5</v>
      </c>
      <c r="K346">
        <v>54510</v>
      </c>
      <c r="L346">
        <v>28138.58</v>
      </c>
      <c r="M346">
        <v>56743.54530386741</v>
      </c>
      <c r="N346">
        <v>57360.58</v>
      </c>
      <c r="O346">
        <v>56277.16</v>
      </c>
      <c r="P346">
        <v>0</v>
      </c>
      <c r="Q346">
        <f t="shared" si="65"/>
        <v>56277.16</v>
      </c>
      <c r="R346">
        <v>102552</v>
      </c>
      <c r="S346">
        <f t="shared" si="66"/>
        <v>46274.84</v>
      </c>
      <c r="T346">
        <v>0.03</v>
      </c>
      <c r="U346">
        <f t="shared" si="67"/>
        <v>3076.56</v>
      </c>
      <c r="V346">
        <f t="shared" si="68"/>
        <v>105628.56</v>
      </c>
      <c r="W346">
        <f t="shared" si="69"/>
        <v>49351.399999999994</v>
      </c>
      <c r="X346" t="s">
        <v>475</v>
      </c>
    </row>
    <row r="347" spans="1:24" x14ac:dyDescent="0.3">
      <c r="A347" t="s">
        <v>552</v>
      </c>
      <c r="B347" t="s">
        <v>571</v>
      </c>
      <c r="C347">
        <v>29656000</v>
      </c>
      <c r="D347" t="s">
        <v>109</v>
      </c>
      <c r="E347" t="s">
        <v>36</v>
      </c>
      <c r="F347" t="s">
        <v>1</v>
      </c>
      <c r="G347" t="s">
        <v>327</v>
      </c>
      <c r="H347" t="s">
        <v>207</v>
      </c>
      <c r="I347" t="s">
        <v>1</v>
      </c>
      <c r="J347">
        <v>10100.59</v>
      </c>
      <c r="K347">
        <v>8288.0000000004002</v>
      </c>
      <c r="L347">
        <v>6819.51</v>
      </c>
      <c r="M347">
        <v>13752.050552486189</v>
      </c>
      <c r="N347">
        <v>12776.350000000002</v>
      </c>
      <c r="O347">
        <v>13639.02</v>
      </c>
      <c r="P347">
        <v>0</v>
      </c>
      <c r="Q347">
        <f t="shared" si="65"/>
        <v>13639.02</v>
      </c>
      <c r="R347">
        <v>13639.02</v>
      </c>
      <c r="S347">
        <f t="shared" si="66"/>
        <v>0</v>
      </c>
      <c r="T347">
        <v>0.03</v>
      </c>
      <c r="U347">
        <f t="shared" si="67"/>
        <v>409.17059999999998</v>
      </c>
      <c r="V347">
        <f t="shared" si="68"/>
        <v>14048.1906</v>
      </c>
      <c r="W347">
        <f t="shared" si="69"/>
        <v>409.17059999999947</v>
      </c>
      <c r="X347">
        <v>0</v>
      </c>
    </row>
    <row r="348" spans="1:24" x14ac:dyDescent="0.3">
      <c r="A348" t="s">
        <v>552</v>
      </c>
      <c r="B348" t="s">
        <v>571</v>
      </c>
      <c r="C348">
        <v>29656000</v>
      </c>
      <c r="D348" t="s">
        <v>109</v>
      </c>
      <c r="E348" t="s">
        <v>37</v>
      </c>
      <c r="F348" t="s">
        <v>1</v>
      </c>
      <c r="G348" t="s">
        <v>327</v>
      </c>
      <c r="H348" t="s">
        <v>208</v>
      </c>
      <c r="I348" t="s">
        <v>1</v>
      </c>
      <c r="J348">
        <v>6988.52</v>
      </c>
      <c r="L348">
        <v>0</v>
      </c>
      <c r="M348">
        <v>0</v>
      </c>
      <c r="N348">
        <v>6903.1</v>
      </c>
      <c r="P348">
        <v>0</v>
      </c>
      <c r="Q348">
        <f t="shared" si="65"/>
        <v>0</v>
      </c>
      <c r="R348">
        <v>0</v>
      </c>
      <c r="S348">
        <f t="shared" si="66"/>
        <v>0</v>
      </c>
      <c r="T348">
        <v>0.03</v>
      </c>
      <c r="U348">
        <f t="shared" si="67"/>
        <v>0</v>
      </c>
      <c r="V348">
        <f t="shared" si="68"/>
        <v>0</v>
      </c>
      <c r="W348">
        <f t="shared" si="69"/>
        <v>0</v>
      </c>
      <c r="X348">
        <v>0</v>
      </c>
    </row>
    <row r="349" spans="1:24" x14ac:dyDescent="0.3">
      <c r="A349" t="s">
        <v>552</v>
      </c>
      <c r="B349" t="s">
        <v>571</v>
      </c>
      <c r="C349">
        <v>29656000</v>
      </c>
      <c r="D349" t="s">
        <v>109</v>
      </c>
      <c r="E349" t="s">
        <v>39</v>
      </c>
      <c r="F349" t="s">
        <v>1</v>
      </c>
      <c r="G349" t="s">
        <v>327</v>
      </c>
      <c r="H349" t="s">
        <v>210</v>
      </c>
      <c r="I349" t="s">
        <v>1</v>
      </c>
      <c r="L349">
        <v>6115.94</v>
      </c>
      <c r="M349">
        <v>12333.249171270718</v>
      </c>
      <c r="N349">
        <v>6115.94</v>
      </c>
      <c r="O349">
        <v>12231.88</v>
      </c>
      <c r="P349">
        <v>0</v>
      </c>
      <c r="Q349">
        <f t="shared" si="65"/>
        <v>12231.88</v>
      </c>
      <c r="R349">
        <v>12231.88</v>
      </c>
      <c r="S349">
        <f t="shared" si="66"/>
        <v>0</v>
      </c>
      <c r="T349">
        <v>0.03</v>
      </c>
      <c r="U349">
        <f t="shared" si="67"/>
        <v>366.95639999999997</v>
      </c>
      <c r="V349">
        <f t="shared" si="68"/>
        <v>12598.836399999998</v>
      </c>
      <c r="W349">
        <f t="shared" si="69"/>
        <v>366.95639999999912</v>
      </c>
      <c r="X349">
        <v>0</v>
      </c>
    </row>
    <row r="350" spans="1:24" x14ac:dyDescent="0.3">
      <c r="A350" t="s">
        <v>552</v>
      </c>
      <c r="B350" t="s">
        <v>571</v>
      </c>
      <c r="C350">
        <v>29656000</v>
      </c>
      <c r="D350" t="s">
        <v>109</v>
      </c>
      <c r="E350" t="s">
        <v>101</v>
      </c>
      <c r="F350" t="s">
        <v>1</v>
      </c>
      <c r="G350" t="s">
        <v>327</v>
      </c>
      <c r="H350" t="s">
        <v>307</v>
      </c>
      <c r="I350" t="s">
        <v>1</v>
      </c>
      <c r="L350">
        <v>515.65</v>
      </c>
      <c r="M350">
        <v>1039.8466850828729</v>
      </c>
      <c r="N350">
        <v>515.65</v>
      </c>
      <c r="O350">
        <v>1031.3</v>
      </c>
      <c r="P350">
        <v>0</v>
      </c>
      <c r="Q350">
        <f t="shared" si="65"/>
        <v>1031.3</v>
      </c>
      <c r="R350">
        <v>1031.3</v>
      </c>
      <c r="S350">
        <f t="shared" si="66"/>
        <v>0</v>
      </c>
      <c r="T350">
        <v>0.03</v>
      </c>
      <c r="U350">
        <f t="shared" si="67"/>
        <v>30.938999999999997</v>
      </c>
      <c r="V350">
        <f t="shared" si="68"/>
        <v>1062.239</v>
      </c>
      <c r="W350">
        <f t="shared" si="69"/>
        <v>30.939000000000078</v>
      </c>
      <c r="X350">
        <v>0</v>
      </c>
    </row>
    <row r="351" spans="1:24" x14ac:dyDescent="0.3">
      <c r="A351" t="s">
        <v>552</v>
      </c>
      <c r="B351" t="s">
        <v>571</v>
      </c>
      <c r="C351">
        <v>29656000</v>
      </c>
      <c r="D351" t="s">
        <v>109</v>
      </c>
      <c r="E351" t="s">
        <v>41</v>
      </c>
      <c r="F351" t="s">
        <v>1</v>
      </c>
      <c r="G351" t="s">
        <v>327</v>
      </c>
      <c r="H351" t="s">
        <v>212</v>
      </c>
      <c r="I351" t="s">
        <v>1</v>
      </c>
      <c r="L351">
        <v>2370</v>
      </c>
      <c r="M351">
        <v>4779.2817679558011</v>
      </c>
      <c r="N351">
        <v>2370</v>
      </c>
      <c r="O351">
        <v>4740</v>
      </c>
      <c r="P351">
        <v>0</v>
      </c>
      <c r="Q351">
        <f t="shared" si="65"/>
        <v>4740</v>
      </c>
      <c r="R351">
        <v>4740</v>
      </c>
      <c r="S351">
        <f t="shared" si="66"/>
        <v>0</v>
      </c>
      <c r="T351">
        <v>0.03</v>
      </c>
      <c r="U351">
        <f t="shared" si="67"/>
        <v>142.19999999999999</v>
      </c>
      <c r="V351">
        <f t="shared" si="68"/>
        <v>4882.2</v>
      </c>
      <c r="W351">
        <f t="shared" si="69"/>
        <v>142.19999999999982</v>
      </c>
      <c r="X351">
        <v>0</v>
      </c>
    </row>
    <row r="352" spans="1:24" x14ac:dyDescent="0.3">
      <c r="A352" t="s">
        <v>552</v>
      </c>
      <c r="B352" t="s">
        <v>571</v>
      </c>
      <c r="C352">
        <v>29656000</v>
      </c>
      <c r="D352" t="s">
        <v>109</v>
      </c>
      <c r="E352" t="s">
        <v>42</v>
      </c>
      <c r="F352" t="s">
        <v>1</v>
      </c>
      <c r="G352" t="s">
        <v>327</v>
      </c>
      <c r="H352" t="s">
        <v>213</v>
      </c>
      <c r="I352" t="s">
        <v>1</v>
      </c>
      <c r="L352">
        <v>260</v>
      </c>
      <c r="M352">
        <v>524.30939226519342</v>
      </c>
      <c r="N352">
        <v>260</v>
      </c>
      <c r="O352">
        <v>520</v>
      </c>
      <c r="P352">
        <v>0</v>
      </c>
      <c r="Q352">
        <f t="shared" si="65"/>
        <v>520</v>
      </c>
      <c r="R352">
        <v>520</v>
      </c>
      <c r="S352">
        <f t="shared" si="66"/>
        <v>0</v>
      </c>
      <c r="T352">
        <v>0.03</v>
      </c>
      <c r="U352">
        <f t="shared" si="67"/>
        <v>15.6</v>
      </c>
      <c r="V352">
        <f t="shared" si="68"/>
        <v>535.6</v>
      </c>
      <c r="W352">
        <f t="shared" si="69"/>
        <v>15.600000000000023</v>
      </c>
      <c r="X352">
        <v>0</v>
      </c>
    </row>
    <row r="353" spans="1:24" x14ac:dyDescent="0.3">
      <c r="A353" t="s">
        <v>552</v>
      </c>
      <c r="B353" t="s">
        <v>571</v>
      </c>
      <c r="C353">
        <v>29656000</v>
      </c>
      <c r="D353" t="s">
        <v>109</v>
      </c>
      <c r="E353" t="s">
        <v>126</v>
      </c>
      <c r="F353" t="s">
        <v>1</v>
      </c>
      <c r="G353" t="s">
        <v>327</v>
      </c>
      <c r="H353" t="s">
        <v>344</v>
      </c>
      <c r="I353" t="s">
        <v>1</v>
      </c>
      <c r="J353">
        <v>2808.9</v>
      </c>
      <c r="K353">
        <v>5663.9999999996999</v>
      </c>
      <c r="L353">
        <v>0</v>
      </c>
      <c r="M353">
        <v>0</v>
      </c>
      <c r="N353">
        <v>0</v>
      </c>
      <c r="P353">
        <v>0</v>
      </c>
      <c r="Q353">
        <f t="shared" si="65"/>
        <v>0</v>
      </c>
      <c r="R353">
        <v>0</v>
      </c>
      <c r="S353">
        <f t="shared" si="66"/>
        <v>0</v>
      </c>
      <c r="U353">
        <f t="shared" si="67"/>
        <v>0</v>
      </c>
      <c r="V353">
        <f t="shared" si="68"/>
        <v>0</v>
      </c>
      <c r="W353">
        <f t="shared" si="69"/>
        <v>0</v>
      </c>
      <c r="X353">
        <v>0</v>
      </c>
    </row>
    <row r="354" spans="1:24" x14ac:dyDescent="0.3">
      <c r="A354" t="s">
        <v>552</v>
      </c>
      <c r="B354" t="s">
        <v>571</v>
      </c>
      <c r="C354">
        <v>29656000</v>
      </c>
      <c r="D354" t="s">
        <v>109</v>
      </c>
      <c r="E354" t="s">
        <v>44</v>
      </c>
      <c r="F354" t="s">
        <v>1</v>
      </c>
      <c r="G354" t="s">
        <v>327</v>
      </c>
      <c r="H354" t="s">
        <v>215</v>
      </c>
      <c r="I354" t="s">
        <v>1</v>
      </c>
      <c r="J354">
        <v>360.41</v>
      </c>
      <c r="K354">
        <v>360.00000000040001</v>
      </c>
      <c r="L354">
        <v>196.59</v>
      </c>
      <c r="M354">
        <v>396.43839779005532</v>
      </c>
      <c r="N354">
        <v>393.16999999999996</v>
      </c>
      <c r="O354">
        <v>396.4383977901</v>
      </c>
      <c r="P354">
        <v>0</v>
      </c>
      <c r="Q354">
        <f t="shared" si="65"/>
        <v>396.4383977901</v>
      </c>
      <c r="R354">
        <v>396.4383977901</v>
      </c>
      <c r="S354">
        <f t="shared" si="66"/>
        <v>0</v>
      </c>
      <c r="U354">
        <f t="shared" si="67"/>
        <v>0</v>
      </c>
      <c r="V354">
        <f t="shared" si="68"/>
        <v>396.4383977901</v>
      </c>
      <c r="W354">
        <f t="shared" si="69"/>
        <v>0</v>
      </c>
      <c r="X354">
        <v>0</v>
      </c>
    </row>
    <row r="355" spans="1:24" x14ac:dyDescent="0.3">
      <c r="A355" t="s">
        <v>552</v>
      </c>
      <c r="B355" t="s">
        <v>571</v>
      </c>
      <c r="C355">
        <v>29656000</v>
      </c>
      <c r="D355" t="s">
        <v>109</v>
      </c>
      <c r="E355" t="s">
        <v>45</v>
      </c>
      <c r="F355" t="s">
        <v>45</v>
      </c>
      <c r="G355" t="s">
        <v>345</v>
      </c>
      <c r="J355">
        <v>2424785.7199999997</v>
      </c>
      <c r="K355">
        <v>2568239.4124694592</v>
      </c>
      <c r="L355">
        <v>1402770.2399999998</v>
      </c>
      <c r="M355">
        <v>2828790.8154696128</v>
      </c>
      <c r="N355">
        <v>2511133.3699999992</v>
      </c>
      <c r="O355">
        <v>2826429.1521134116</v>
      </c>
      <c r="P355">
        <f>SUMIF($F$313:$F$354,"&lt;&gt;EV_*",$P$313:$P$354)</f>
        <v>0</v>
      </c>
      <c r="Q355">
        <f>SUMIF($F$313:$F$354,"&lt;&gt;EV_*",$Q$313:$Q$354)</f>
        <v>2826429.1521134116</v>
      </c>
      <c r="R355">
        <f>SUMIF($F$313:$F$354,"&lt;&gt;EV_*",$R$313:$R$354)</f>
        <v>2872703.9921134114</v>
      </c>
      <c r="S355">
        <f>SUMIF($F$313:$F$354,"&lt;&gt;EV_*",$S$313:$S$354)</f>
        <v>46274.84</v>
      </c>
      <c r="T355">
        <v>0</v>
      </c>
      <c r="U355">
        <f>SUMIF($F$313:$F$354,"&lt;&gt;EV_*",$U$313:$U$354)</f>
        <v>102040.26944196009</v>
      </c>
      <c r="V355">
        <f>SUMIF($F$313:$F$354,"&lt;&gt;EV_*",$V$313:$V$354)</f>
        <v>2974744.2615553718</v>
      </c>
      <c r="W355">
        <f>SUMIF($F$313:$F$354,"&lt;&gt;EV_*",$W$313:$W$354)</f>
        <v>148315.10944196017</v>
      </c>
      <c r="X355">
        <f>SUMIF($F$313:$F$354,"&lt;&gt;EV_*",$X$313:$X$354)</f>
        <v>0</v>
      </c>
    </row>
    <row r="356" spans="1:24" x14ac:dyDescent="0.3">
      <c r="A356" t="s">
        <v>552</v>
      </c>
      <c r="B356" t="s">
        <v>572</v>
      </c>
      <c r="C356">
        <v>29656060</v>
      </c>
      <c r="D356" t="s">
        <v>127</v>
      </c>
      <c r="E356" t="s">
        <v>5</v>
      </c>
      <c r="F356" t="s">
        <v>5</v>
      </c>
      <c r="G356" t="s">
        <v>346</v>
      </c>
    </row>
    <row r="357" spans="1:24" x14ac:dyDescent="0.3">
      <c r="A357" t="s">
        <v>552</v>
      </c>
      <c r="B357" t="s">
        <v>572</v>
      </c>
      <c r="C357">
        <v>29656060</v>
      </c>
      <c r="D357" t="s">
        <v>127</v>
      </c>
      <c r="E357" t="s">
        <v>8</v>
      </c>
      <c r="F357" t="s">
        <v>1</v>
      </c>
      <c r="G357" t="s">
        <v>347</v>
      </c>
      <c r="H357" t="s">
        <v>179</v>
      </c>
      <c r="I357" t="s">
        <v>1</v>
      </c>
      <c r="J357">
        <v>100</v>
      </c>
      <c r="L357">
        <v>0</v>
      </c>
      <c r="M357">
        <v>0</v>
      </c>
      <c r="N357">
        <v>100</v>
      </c>
      <c r="P357">
        <v>0</v>
      </c>
      <c r="Q357">
        <f t="shared" ref="Q357:Q384" si="70">O357+P357</f>
        <v>0</v>
      </c>
      <c r="R357">
        <v>0</v>
      </c>
      <c r="S357">
        <f t="shared" ref="S357:S384" si="71">IF(OR(LEFT(E357,2)="A_",LEFT(D357,5)="Total"),R357-Q357,"")</f>
        <v>0</v>
      </c>
      <c r="U357">
        <f t="shared" ref="U357:U384" si="72">IFERROR(R357*T357,R357*0)</f>
        <v>0</v>
      </c>
      <c r="V357">
        <f t="shared" ref="V357:V384" si="73">IF(OR(LEFT(E357,2)="A_",LEFT(D357,5)="Total"),R357+U357,"")</f>
        <v>0</v>
      </c>
      <c r="W357">
        <f t="shared" ref="W357:W384" si="74">IF(OR(LEFT(E357,2)="A_",LEFT(D357,5)="Total"),V357-Q357,"")</f>
        <v>0</v>
      </c>
      <c r="X357">
        <v>0</v>
      </c>
    </row>
    <row r="358" spans="1:24" x14ac:dyDescent="0.3">
      <c r="A358" t="s">
        <v>552</v>
      </c>
      <c r="B358" t="s">
        <v>572</v>
      </c>
      <c r="C358">
        <v>29656060</v>
      </c>
      <c r="D358" t="s">
        <v>127</v>
      </c>
      <c r="E358" t="s">
        <v>13</v>
      </c>
      <c r="F358" t="s">
        <v>1</v>
      </c>
      <c r="G358" t="s">
        <v>347</v>
      </c>
      <c r="H358" t="s">
        <v>184</v>
      </c>
      <c r="I358" t="s">
        <v>1</v>
      </c>
      <c r="J358">
        <v>3063.39</v>
      </c>
      <c r="K358">
        <v>3063</v>
      </c>
      <c r="L358">
        <v>3843.12</v>
      </c>
      <c r="M358">
        <v>7749.9381215469612</v>
      </c>
      <c r="N358">
        <v>3843.12</v>
      </c>
      <c r="O358">
        <v>7686.24</v>
      </c>
      <c r="P358">
        <v>0</v>
      </c>
      <c r="Q358">
        <f t="shared" si="70"/>
        <v>7686.24</v>
      </c>
      <c r="R358">
        <v>4115</v>
      </c>
      <c r="S358">
        <f t="shared" si="71"/>
        <v>-3571.24</v>
      </c>
      <c r="U358">
        <f t="shared" si="72"/>
        <v>0</v>
      </c>
      <c r="V358">
        <f t="shared" si="73"/>
        <v>4115</v>
      </c>
      <c r="W358">
        <f t="shared" si="74"/>
        <v>-3571.24</v>
      </c>
      <c r="X358" t="s">
        <v>476</v>
      </c>
    </row>
    <row r="359" spans="1:24" x14ac:dyDescent="0.3">
      <c r="A359" t="s">
        <v>552</v>
      </c>
      <c r="B359" t="s">
        <v>572</v>
      </c>
      <c r="C359">
        <v>29656060</v>
      </c>
      <c r="D359" t="s">
        <v>127</v>
      </c>
      <c r="E359" t="s">
        <v>14</v>
      </c>
      <c r="F359" t="s">
        <v>1</v>
      </c>
      <c r="G359" t="s">
        <v>347</v>
      </c>
      <c r="H359" t="s">
        <v>185</v>
      </c>
      <c r="I359" t="s">
        <v>1</v>
      </c>
      <c r="J359">
        <v>163.93</v>
      </c>
      <c r="L359">
        <v>105.09</v>
      </c>
      <c r="M359">
        <v>211.92182320441989</v>
      </c>
      <c r="N359">
        <v>269.02</v>
      </c>
      <c r="O359">
        <v>210.18</v>
      </c>
      <c r="P359">
        <v>0</v>
      </c>
      <c r="Q359">
        <f t="shared" si="70"/>
        <v>210.18</v>
      </c>
      <c r="R359">
        <v>105</v>
      </c>
      <c r="S359">
        <f t="shared" si="71"/>
        <v>-105.18</v>
      </c>
      <c r="U359">
        <f t="shared" si="72"/>
        <v>0</v>
      </c>
      <c r="V359">
        <f t="shared" si="73"/>
        <v>105</v>
      </c>
      <c r="W359">
        <f t="shared" si="74"/>
        <v>-105.18</v>
      </c>
      <c r="X359" t="s">
        <v>477</v>
      </c>
    </row>
    <row r="360" spans="1:24" x14ac:dyDescent="0.3">
      <c r="A360" t="s">
        <v>552</v>
      </c>
      <c r="B360" t="s">
        <v>572</v>
      </c>
      <c r="C360">
        <v>29656060</v>
      </c>
      <c r="D360" t="s">
        <v>127</v>
      </c>
      <c r="E360" t="s">
        <v>15</v>
      </c>
      <c r="F360" t="s">
        <v>1</v>
      </c>
      <c r="G360" t="s">
        <v>347</v>
      </c>
      <c r="H360" t="s">
        <v>186</v>
      </c>
      <c r="I360" t="s">
        <v>1</v>
      </c>
      <c r="J360">
        <v>-56.12</v>
      </c>
      <c r="L360">
        <v>-0.21</v>
      </c>
      <c r="M360">
        <v>-0.4234806629834254</v>
      </c>
      <c r="N360">
        <v>-56.33</v>
      </c>
      <c r="O360">
        <v>-0.42230769229999998</v>
      </c>
      <c r="P360">
        <v>0</v>
      </c>
      <c r="Q360">
        <f t="shared" si="70"/>
        <v>-0.42230769229999998</v>
      </c>
      <c r="R360">
        <v>0</v>
      </c>
      <c r="S360">
        <f t="shared" si="71"/>
        <v>0.42230769229999998</v>
      </c>
      <c r="U360">
        <f t="shared" si="72"/>
        <v>0</v>
      </c>
      <c r="V360">
        <f t="shared" si="73"/>
        <v>0</v>
      </c>
      <c r="W360">
        <f t="shared" si="74"/>
        <v>0.42230769229999998</v>
      </c>
      <c r="X360">
        <v>0</v>
      </c>
    </row>
    <row r="361" spans="1:24" x14ac:dyDescent="0.3">
      <c r="A361" t="s">
        <v>552</v>
      </c>
      <c r="B361" t="s">
        <v>572</v>
      </c>
      <c r="C361">
        <v>29656060</v>
      </c>
      <c r="D361" t="s">
        <v>127</v>
      </c>
      <c r="E361" t="s">
        <v>71</v>
      </c>
      <c r="F361" t="s">
        <v>1</v>
      </c>
      <c r="G361" t="s">
        <v>347</v>
      </c>
      <c r="H361" t="s">
        <v>273</v>
      </c>
      <c r="I361" t="s">
        <v>1</v>
      </c>
      <c r="J361">
        <v>11.77</v>
      </c>
      <c r="L361">
        <v>0</v>
      </c>
      <c r="M361">
        <v>0</v>
      </c>
      <c r="N361">
        <v>11.77</v>
      </c>
      <c r="P361">
        <v>0</v>
      </c>
      <c r="Q361">
        <f t="shared" si="70"/>
        <v>0</v>
      </c>
      <c r="R361">
        <v>0</v>
      </c>
      <c r="S361">
        <f t="shared" si="71"/>
        <v>0</v>
      </c>
      <c r="T361">
        <v>2.75E-2</v>
      </c>
      <c r="U361">
        <f t="shared" si="72"/>
        <v>0</v>
      </c>
      <c r="V361">
        <f t="shared" si="73"/>
        <v>0</v>
      </c>
      <c r="W361">
        <f t="shared" si="74"/>
        <v>0</v>
      </c>
      <c r="X361">
        <v>0</v>
      </c>
    </row>
    <row r="362" spans="1:24" x14ac:dyDescent="0.3">
      <c r="A362" t="s">
        <v>552</v>
      </c>
      <c r="B362" t="s">
        <v>572</v>
      </c>
      <c r="C362">
        <v>29656060</v>
      </c>
      <c r="D362" t="s">
        <v>127</v>
      </c>
      <c r="E362" t="s">
        <v>16</v>
      </c>
      <c r="F362" t="s">
        <v>1</v>
      </c>
      <c r="G362" t="s">
        <v>347</v>
      </c>
      <c r="H362" t="s">
        <v>187</v>
      </c>
      <c r="I362" t="s">
        <v>1</v>
      </c>
      <c r="J362">
        <v>29470.85</v>
      </c>
      <c r="K362">
        <v>25314.5614814816</v>
      </c>
      <c r="L362">
        <v>14240.89</v>
      </c>
      <c r="M362">
        <v>28717.816850828727</v>
      </c>
      <c r="N362">
        <v>35437.4</v>
      </c>
      <c r="O362">
        <v>28638.273296703301</v>
      </c>
      <c r="P362">
        <v>0</v>
      </c>
      <c r="Q362">
        <f t="shared" si="70"/>
        <v>28638.273296703301</v>
      </c>
      <c r="R362">
        <v>29045</v>
      </c>
      <c r="S362">
        <f t="shared" si="71"/>
        <v>406.72670329669927</v>
      </c>
      <c r="T362">
        <v>0.02</v>
      </c>
      <c r="U362">
        <f t="shared" si="72"/>
        <v>580.9</v>
      </c>
      <c r="V362">
        <f t="shared" si="73"/>
        <v>29625.9</v>
      </c>
      <c r="W362">
        <f t="shared" si="74"/>
        <v>987.62670329670073</v>
      </c>
      <c r="X362" t="s">
        <v>478</v>
      </c>
    </row>
    <row r="363" spans="1:24" x14ac:dyDescent="0.3">
      <c r="A363" t="s">
        <v>552</v>
      </c>
      <c r="B363" t="s">
        <v>572</v>
      </c>
      <c r="C363">
        <v>29656060</v>
      </c>
      <c r="D363" t="s">
        <v>127</v>
      </c>
      <c r="E363" t="s">
        <v>86</v>
      </c>
      <c r="F363" t="s">
        <v>1</v>
      </c>
      <c r="G363" t="s">
        <v>347</v>
      </c>
      <c r="H363" t="s">
        <v>292</v>
      </c>
      <c r="I363" t="s">
        <v>1</v>
      </c>
      <c r="L363">
        <v>96.77</v>
      </c>
      <c r="M363">
        <v>195.14392265193371</v>
      </c>
      <c r="N363">
        <v>96.77</v>
      </c>
      <c r="O363">
        <v>194.6034065934</v>
      </c>
      <c r="P363">
        <v>0</v>
      </c>
      <c r="Q363">
        <f t="shared" si="70"/>
        <v>194.6034065934</v>
      </c>
      <c r="R363">
        <v>0</v>
      </c>
      <c r="S363">
        <f t="shared" si="71"/>
        <v>-194.6034065934</v>
      </c>
      <c r="T363">
        <v>0.02</v>
      </c>
      <c r="U363">
        <f t="shared" si="72"/>
        <v>0</v>
      </c>
      <c r="V363">
        <f t="shared" si="73"/>
        <v>0</v>
      </c>
      <c r="W363">
        <f t="shared" si="74"/>
        <v>-194.6034065934</v>
      </c>
      <c r="X363">
        <v>0</v>
      </c>
    </row>
    <row r="364" spans="1:24" x14ac:dyDescent="0.3">
      <c r="A364" t="s">
        <v>552</v>
      </c>
      <c r="B364" t="s">
        <v>572</v>
      </c>
      <c r="C364">
        <v>29656060</v>
      </c>
      <c r="D364" t="s">
        <v>127</v>
      </c>
      <c r="E364" t="s">
        <v>87</v>
      </c>
      <c r="F364" t="s">
        <v>1</v>
      </c>
      <c r="G364" t="s">
        <v>347</v>
      </c>
      <c r="H364" t="s">
        <v>293</v>
      </c>
      <c r="I364" t="s">
        <v>1</v>
      </c>
      <c r="J364">
        <v>17.579999999999998</v>
      </c>
      <c r="L364">
        <v>0</v>
      </c>
      <c r="M364">
        <v>0</v>
      </c>
      <c r="N364">
        <v>17.579999999999998</v>
      </c>
      <c r="P364">
        <v>0</v>
      </c>
      <c r="Q364">
        <f t="shared" si="70"/>
        <v>0</v>
      </c>
      <c r="R364">
        <v>0</v>
      </c>
      <c r="S364">
        <f t="shared" si="71"/>
        <v>0</v>
      </c>
      <c r="T364">
        <v>3.5000000000000003E-2</v>
      </c>
      <c r="U364">
        <f t="shared" si="72"/>
        <v>0</v>
      </c>
      <c r="V364">
        <f t="shared" si="73"/>
        <v>0</v>
      </c>
      <c r="W364">
        <f t="shared" si="74"/>
        <v>0</v>
      </c>
      <c r="X364">
        <v>0</v>
      </c>
    </row>
    <row r="365" spans="1:24" x14ac:dyDescent="0.3">
      <c r="A365" t="s">
        <v>552</v>
      </c>
      <c r="B365" t="s">
        <v>572</v>
      </c>
      <c r="C365">
        <v>29656060</v>
      </c>
      <c r="D365" t="s">
        <v>127</v>
      </c>
      <c r="E365" t="s">
        <v>53</v>
      </c>
      <c r="F365" t="s">
        <v>1</v>
      </c>
      <c r="G365" t="s">
        <v>347</v>
      </c>
      <c r="H365" t="s">
        <v>229</v>
      </c>
      <c r="I365" t="s">
        <v>1</v>
      </c>
      <c r="J365">
        <v>1359.03</v>
      </c>
      <c r="L365">
        <v>726.66</v>
      </c>
      <c r="M365">
        <v>1465.3640883977898</v>
      </c>
      <c r="N365">
        <v>1645.38</v>
      </c>
      <c r="O365">
        <v>1461.3052747253</v>
      </c>
      <c r="P365">
        <v>0</v>
      </c>
      <c r="Q365">
        <f t="shared" si="70"/>
        <v>1461.3052747253</v>
      </c>
      <c r="R365">
        <v>1461.3052747253</v>
      </c>
      <c r="S365">
        <f t="shared" si="71"/>
        <v>0</v>
      </c>
      <c r="T365">
        <v>0.04</v>
      </c>
      <c r="U365">
        <f t="shared" si="72"/>
        <v>58.452210989012002</v>
      </c>
      <c r="V365">
        <f t="shared" si="73"/>
        <v>1519.757485714312</v>
      </c>
      <c r="W365">
        <f t="shared" si="74"/>
        <v>58.452210989011974</v>
      </c>
      <c r="X365" t="s">
        <v>479</v>
      </c>
    </row>
    <row r="366" spans="1:24" x14ac:dyDescent="0.3">
      <c r="A366" t="s">
        <v>552</v>
      </c>
      <c r="B366" t="s">
        <v>572</v>
      </c>
      <c r="C366">
        <v>29656060</v>
      </c>
      <c r="D366" t="s">
        <v>127</v>
      </c>
      <c r="E366" t="s">
        <v>17</v>
      </c>
      <c r="F366" t="s">
        <v>1</v>
      </c>
      <c r="G366" t="s">
        <v>347</v>
      </c>
      <c r="H366" t="s">
        <v>188</v>
      </c>
      <c r="I366" t="s">
        <v>1</v>
      </c>
      <c r="J366">
        <v>7088.39</v>
      </c>
      <c r="K366">
        <v>6888.9099999998998</v>
      </c>
      <c r="L366">
        <v>2045.51</v>
      </c>
      <c r="M366">
        <v>4124.9234806629838</v>
      </c>
      <c r="N366">
        <v>4993.9599999999991</v>
      </c>
      <c r="O366">
        <v>4124.9234806630002</v>
      </c>
      <c r="P366">
        <v>0</v>
      </c>
      <c r="Q366">
        <f t="shared" si="70"/>
        <v>4124.9234806630002</v>
      </c>
      <c r="R366">
        <v>4091</v>
      </c>
      <c r="S366">
        <f t="shared" si="71"/>
        <v>-33.923480663000191</v>
      </c>
      <c r="T366">
        <v>0.03</v>
      </c>
      <c r="U366">
        <f t="shared" si="72"/>
        <v>122.72999999999999</v>
      </c>
      <c r="V366">
        <f t="shared" si="73"/>
        <v>4213.7299999999996</v>
      </c>
      <c r="W366">
        <f t="shared" si="74"/>
        <v>88.806519336999372</v>
      </c>
      <c r="X366" t="s">
        <v>480</v>
      </c>
    </row>
    <row r="367" spans="1:24" x14ac:dyDescent="0.3">
      <c r="A367" t="s">
        <v>552</v>
      </c>
      <c r="B367" t="s">
        <v>572</v>
      </c>
      <c r="C367">
        <v>29656060</v>
      </c>
      <c r="D367" t="s">
        <v>127</v>
      </c>
      <c r="E367" t="s">
        <v>64</v>
      </c>
      <c r="F367" t="s">
        <v>1</v>
      </c>
      <c r="G367" t="s">
        <v>347</v>
      </c>
      <c r="H367" t="s">
        <v>256</v>
      </c>
      <c r="I367" t="s">
        <v>1</v>
      </c>
      <c r="J367">
        <v>104.4</v>
      </c>
      <c r="L367">
        <v>0</v>
      </c>
      <c r="M367">
        <v>0</v>
      </c>
      <c r="N367">
        <v>104.4</v>
      </c>
      <c r="P367">
        <v>0</v>
      </c>
      <c r="Q367">
        <f t="shared" si="70"/>
        <v>0</v>
      </c>
      <c r="R367">
        <v>0</v>
      </c>
      <c r="S367">
        <f t="shared" si="71"/>
        <v>0</v>
      </c>
      <c r="T367">
        <v>3.5000000000000003E-2</v>
      </c>
      <c r="U367">
        <f t="shared" si="72"/>
        <v>0</v>
      </c>
      <c r="V367">
        <f t="shared" si="73"/>
        <v>0</v>
      </c>
      <c r="W367">
        <f t="shared" si="74"/>
        <v>0</v>
      </c>
      <c r="X367">
        <v>0</v>
      </c>
    </row>
    <row r="368" spans="1:24" x14ac:dyDescent="0.3">
      <c r="A368" t="s">
        <v>552</v>
      </c>
      <c r="B368" t="s">
        <v>572</v>
      </c>
      <c r="C368">
        <v>29656060</v>
      </c>
      <c r="D368" t="s">
        <v>127</v>
      </c>
      <c r="E368" t="s">
        <v>18</v>
      </c>
      <c r="F368" t="s">
        <v>1</v>
      </c>
      <c r="G368" t="s">
        <v>347</v>
      </c>
      <c r="H368" t="s">
        <v>189</v>
      </c>
      <c r="I368" t="s">
        <v>1</v>
      </c>
      <c r="J368">
        <v>4224.01</v>
      </c>
      <c r="K368">
        <v>6748.2000000001999</v>
      </c>
      <c r="L368">
        <v>2424.0100000000002</v>
      </c>
      <c r="M368">
        <v>4888.1969613259671</v>
      </c>
      <c r="N368">
        <v>3414.7299999999996</v>
      </c>
      <c r="O368">
        <v>4888.1969613259998</v>
      </c>
      <c r="P368">
        <v>0</v>
      </c>
      <c r="Q368">
        <f t="shared" si="70"/>
        <v>4888.1969613259998</v>
      </c>
      <c r="R368">
        <v>4888.1969613259998</v>
      </c>
      <c r="S368">
        <f t="shared" si="71"/>
        <v>0</v>
      </c>
      <c r="T368">
        <v>3.5000000000000003E-2</v>
      </c>
      <c r="U368">
        <f t="shared" si="72"/>
        <v>171.08689364641</v>
      </c>
      <c r="V368">
        <f t="shared" si="73"/>
        <v>5059.2838549724102</v>
      </c>
      <c r="W368">
        <f t="shared" si="74"/>
        <v>171.08689364641032</v>
      </c>
      <c r="X368">
        <v>0</v>
      </c>
    </row>
    <row r="369" spans="1:24" x14ac:dyDescent="0.3">
      <c r="A369" t="s">
        <v>552</v>
      </c>
      <c r="B369" t="s">
        <v>572</v>
      </c>
      <c r="C369">
        <v>29656060</v>
      </c>
      <c r="D369" t="s">
        <v>127</v>
      </c>
      <c r="E369" t="s">
        <v>19</v>
      </c>
      <c r="F369" t="s">
        <v>1</v>
      </c>
      <c r="G369" t="s">
        <v>347</v>
      </c>
      <c r="H369" t="s">
        <v>190</v>
      </c>
      <c r="I369" t="s">
        <v>1</v>
      </c>
      <c r="J369">
        <v>1212.7</v>
      </c>
      <c r="K369">
        <v>736.92</v>
      </c>
      <c r="L369">
        <v>399.89</v>
      </c>
      <c r="M369">
        <v>806.40801104972365</v>
      </c>
      <c r="N369">
        <v>1259.5999999999999</v>
      </c>
      <c r="O369">
        <v>806.40801104970001</v>
      </c>
      <c r="P369">
        <v>0</v>
      </c>
      <c r="Q369">
        <f t="shared" si="70"/>
        <v>806.40801104970001</v>
      </c>
      <c r="R369">
        <v>806.40801104970001</v>
      </c>
      <c r="S369">
        <f t="shared" si="71"/>
        <v>0</v>
      </c>
      <c r="T369">
        <v>3.5000000000000003E-2</v>
      </c>
      <c r="U369">
        <f t="shared" si="72"/>
        <v>28.224280386739505</v>
      </c>
      <c r="V369">
        <f t="shared" si="73"/>
        <v>834.63229143643946</v>
      </c>
      <c r="W369">
        <f t="shared" si="74"/>
        <v>28.224280386739451</v>
      </c>
      <c r="X369">
        <v>0</v>
      </c>
    </row>
    <row r="370" spans="1:24" x14ac:dyDescent="0.3">
      <c r="A370" t="s">
        <v>552</v>
      </c>
      <c r="B370" t="s">
        <v>572</v>
      </c>
      <c r="C370">
        <v>29656060</v>
      </c>
      <c r="D370" t="s">
        <v>127</v>
      </c>
      <c r="E370" t="s">
        <v>20</v>
      </c>
      <c r="F370" t="s">
        <v>1</v>
      </c>
      <c r="G370" t="s">
        <v>347</v>
      </c>
      <c r="H370" t="s">
        <v>191</v>
      </c>
      <c r="I370" t="s">
        <v>1</v>
      </c>
      <c r="J370">
        <v>2515</v>
      </c>
      <c r="K370">
        <v>3500.0000000004002</v>
      </c>
      <c r="L370">
        <v>570</v>
      </c>
      <c r="M370">
        <v>1149.4475138121547</v>
      </c>
      <c r="N370">
        <v>2550</v>
      </c>
      <c r="O370">
        <v>1140</v>
      </c>
      <c r="P370">
        <v>0</v>
      </c>
      <c r="Q370">
        <f t="shared" si="70"/>
        <v>1140</v>
      </c>
      <c r="R370">
        <v>4000</v>
      </c>
      <c r="S370">
        <f t="shared" si="71"/>
        <v>2860</v>
      </c>
      <c r="U370">
        <f t="shared" si="72"/>
        <v>0</v>
      </c>
      <c r="V370">
        <f t="shared" si="73"/>
        <v>4000</v>
      </c>
      <c r="W370">
        <f t="shared" si="74"/>
        <v>2860</v>
      </c>
      <c r="X370" t="s">
        <v>481</v>
      </c>
    </row>
    <row r="371" spans="1:24" x14ac:dyDescent="0.3">
      <c r="A371" t="s">
        <v>552</v>
      </c>
      <c r="B371" t="s">
        <v>572</v>
      </c>
      <c r="C371">
        <v>29656060</v>
      </c>
      <c r="D371" t="s">
        <v>127</v>
      </c>
      <c r="E371" t="s">
        <v>22</v>
      </c>
      <c r="F371" t="s">
        <v>1</v>
      </c>
      <c r="G371" t="s">
        <v>347</v>
      </c>
      <c r="H371" t="s">
        <v>193</v>
      </c>
      <c r="I371" t="s">
        <v>1</v>
      </c>
      <c r="J371">
        <v>3500.28</v>
      </c>
      <c r="K371">
        <v>3999.9999999995998</v>
      </c>
      <c r="L371">
        <v>3659</v>
      </c>
      <c r="M371">
        <v>7378.6464088397788</v>
      </c>
      <c r="N371">
        <v>6039</v>
      </c>
      <c r="O371">
        <v>7318</v>
      </c>
      <c r="P371">
        <v>0</v>
      </c>
      <c r="Q371">
        <f t="shared" si="70"/>
        <v>7318</v>
      </c>
      <c r="R371">
        <v>7318</v>
      </c>
      <c r="S371">
        <f t="shared" si="71"/>
        <v>0</v>
      </c>
      <c r="U371">
        <f t="shared" si="72"/>
        <v>0</v>
      </c>
      <c r="V371">
        <f t="shared" si="73"/>
        <v>7318</v>
      </c>
      <c r="W371">
        <f t="shared" si="74"/>
        <v>0</v>
      </c>
      <c r="X371" t="s">
        <v>481</v>
      </c>
    </row>
    <row r="372" spans="1:24" x14ac:dyDescent="0.3">
      <c r="A372" t="s">
        <v>552</v>
      </c>
      <c r="B372" t="s">
        <v>572</v>
      </c>
      <c r="C372">
        <v>29656060</v>
      </c>
      <c r="D372" t="s">
        <v>127</v>
      </c>
      <c r="E372" t="s">
        <v>95</v>
      </c>
      <c r="F372" t="s">
        <v>1</v>
      </c>
      <c r="G372" t="s">
        <v>347</v>
      </c>
      <c r="H372" t="s">
        <v>301</v>
      </c>
      <c r="I372" t="s">
        <v>1</v>
      </c>
      <c r="J372">
        <v>12.16</v>
      </c>
      <c r="L372">
        <v>0</v>
      </c>
      <c r="M372">
        <v>0</v>
      </c>
      <c r="N372">
        <v>12.16</v>
      </c>
      <c r="P372">
        <v>0</v>
      </c>
      <c r="Q372">
        <f t="shared" si="70"/>
        <v>0</v>
      </c>
      <c r="R372">
        <v>0</v>
      </c>
      <c r="S372">
        <f t="shared" si="71"/>
        <v>0</v>
      </c>
      <c r="U372">
        <f t="shared" si="72"/>
        <v>0</v>
      </c>
      <c r="V372">
        <f t="shared" si="73"/>
        <v>0</v>
      </c>
      <c r="W372">
        <f t="shared" si="74"/>
        <v>0</v>
      </c>
      <c r="X372">
        <v>0</v>
      </c>
    </row>
    <row r="373" spans="1:24" x14ac:dyDescent="0.3">
      <c r="A373" t="s">
        <v>552</v>
      </c>
      <c r="B373" t="s">
        <v>572</v>
      </c>
      <c r="C373">
        <v>29656060</v>
      </c>
      <c r="D373" t="s">
        <v>127</v>
      </c>
      <c r="E373" t="s">
        <v>23</v>
      </c>
      <c r="F373" t="s">
        <v>1</v>
      </c>
      <c r="G373" t="s">
        <v>347</v>
      </c>
      <c r="H373" t="s">
        <v>194</v>
      </c>
      <c r="I373" t="s">
        <v>1</v>
      </c>
      <c r="J373">
        <v>1996.17</v>
      </c>
      <c r="K373">
        <v>515.00000000039995</v>
      </c>
      <c r="L373">
        <v>427.58</v>
      </c>
      <c r="M373">
        <v>862.24696132596682</v>
      </c>
      <c r="N373">
        <v>2166.2600000000002</v>
      </c>
      <c r="O373">
        <v>855.16</v>
      </c>
      <c r="P373">
        <v>0</v>
      </c>
      <c r="Q373">
        <f t="shared" si="70"/>
        <v>855.16</v>
      </c>
      <c r="R373">
        <v>855.16</v>
      </c>
      <c r="S373">
        <f t="shared" si="71"/>
        <v>0</v>
      </c>
      <c r="U373">
        <f t="shared" si="72"/>
        <v>0</v>
      </c>
      <c r="V373">
        <f t="shared" si="73"/>
        <v>855.16</v>
      </c>
      <c r="W373">
        <f t="shared" si="74"/>
        <v>0</v>
      </c>
      <c r="X373" t="s">
        <v>482</v>
      </c>
    </row>
    <row r="374" spans="1:24" x14ac:dyDescent="0.3">
      <c r="A374" t="s">
        <v>552</v>
      </c>
      <c r="B374" t="s">
        <v>572</v>
      </c>
      <c r="C374">
        <v>29656060</v>
      </c>
      <c r="D374" t="s">
        <v>127</v>
      </c>
      <c r="E374" t="s">
        <v>24</v>
      </c>
      <c r="F374" t="s">
        <v>1</v>
      </c>
      <c r="G374" t="s">
        <v>347</v>
      </c>
      <c r="H374" t="s">
        <v>195</v>
      </c>
      <c r="I374" t="s">
        <v>1</v>
      </c>
      <c r="J374">
        <v>158</v>
      </c>
      <c r="L374">
        <v>0</v>
      </c>
      <c r="M374">
        <v>0</v>
      </c>
      <c r="N374">
        <v>110</v>
      </c>
      <c r="P374">
        <v>0</v>
      </c>
      <c r="Q374">
        <f t="shared" si="70"/>
        <v>0</v>
      </c>
      <c r="R374">
        <v>0</v>
      </c>
      <c r="S374">
        <f t="shared" si="71"/>
        <v>0</v>
      </c>
      <c r="U374">
        <f t="shared" si="72"/>
        <v>0</v>
      </c>
      <c r="V374">
        <f t="shared" si="73"/>
        <v>0</v>
      </c>
      <c r="W374">
        <f t="shared" si="74"/>
        <v>0</v>
      </c>
      <c r="X374">
        <v>0</v>
      </c>
    </row>
    <row r="375" spans="1:24" x14ac:dyDescent="0.3">
      <c r="A375" t="s">
        <v>552</v>
      </c>
      <c r="B375" t="s">
        <v>572</v>
      </c>
      <c r="C375">
        <v>29656060</v>
      </c>
      <c r="D375" t="s">
        <v>127</v>
      </c>
      <c r="E375" t="s">
        <v>27</v>
      </c>
      <c r="F375" t="s">
        <v>1</v>
      </c>
      <c r="G375" t="s">
        <v>347</v>
      </c>
      <c r="H375" t="s">
        <v>198</v>
      </c>
      <c r="I375" t="s">
        <v>1</v>
      </c>
      <c r="K375">
        <v>750</v>
      </c>
      <c r="L375">
        <v>1100.56</v>
      </c>
      <c r="M375">
        <v>2219.3613259668505</v>
      </c>
      <c r="N375">
        <v>1100.56</v>
      </c>
      <c r="O375">
        <v>2201.12</v>
      </c>
      <c r="P375">
        <v>0</v>
      </c>
      <c r="Q375">
        <f t="shared" si="70"/>
        <v>2201.12</v>
      </c>
      <c r="R375">
        <v>1000</v>
      </c>
      <c r="S375">
        <f t="shared" si="71"/>
        <v>-1201.1199999999999</v>
      </c>
      <c r="U375">
        <f t="shared" si="72"/>
        <v>0</v>
      </c>
      <c r="V375">
        <f t="shared" si="73"/>
        <v>1000</v>
      </c>
      <c r="W375">
        <f t="shared" si="74"/>
        <v>-1201.1199999999999</v>
      </c>
      <c r="X375">
        <v>0</v>
      </c>
    </row>
    <row r="376" spans="1:24" x14ac:dyDescent="0.3">
      <c r="A376" t="s">
        <v>552</v>
      </c>
      <c r="B376" t="s">
        <v>572</v>
      </c>
      <c r="C376">
        <v>29656060</v>
      </c>
      <c r="D376" t="s">
        <v>127</v>
      </c>
      <c r="E376" t="s">
        <v>29</v>
      </c>
      <c r="F376" t="s">
        <v>1</v>
      </c>
      <c r="G376" t="s">
        <v>347</v>
      </c>
      <c r="H376" t="s">
        <v>200</v>
      </c>
      <c r="I376" t="s">
        <v>1</v>
      </c>
      <c r="J376">
        <v>3039.24</v>
      </c>
      <c r="K376">
        <v>3500.0000000004002</v>
      </c>
      <c r="L376">
        <v>0</v>
      </c>
      <c r="M376">
        <v>0</v>
      </c>
      <c r="N376">
        <v>639.38</v>
      </c>
      <c r="P376">
        <v>0</v>
      </c>
      <c r="Q376">
        <f t="shared" si="70"/>
        <v>0</v>
      </c>
      <c r="R376">
        <v>3500</v>
      </c>
      <c r="S376">
        <f t="shared" si="71"/>
        <v>3500</v>
      </c>
      <c r="U376">
        <f t="shared" si="72"/>
        <v>0</v>
      </c>
      <c r="V376">
        <f t="shared" si="73"/>
        <v>3500</v>
      </c>
      <c r="W376">
        <f t="shared" si="74"/>
        <v>3500</v>
      </c>
      <c r="X376">
        <v>0</v>
      </c>
    </row>
    <row r="377" spans="1:24" x14ac:dyDescent="0.3">
      <c r="A377" t="s">
        <v>552</v>
      </c>
      <c r="B377" t="s">
        <v>572</v>
      </c>
      <c r="C377">
        <v>29656060</v>
      </c>
      <c r="D377" t="s">
        <v>127</v>
      </c>
      <c r="E377" t="s">
        <v>30</v>
      </c>
      <c r="F377" t="s">
        <v>1</v>
      </c>
      <c r="G377" t="s">
        <v>347</v>
      </c>
      <c r="H377" t="s">
        <v>201</v>
      </c>
      <c r="I377" t="s">
        <v>1</v>
      </c>
      <c r="J377">
        <v>1935.79</v>
      </c>
      <c r="K377">
        <v>2361.9999999995998</v>
      </c>
      <c r="L377">
        <v>799.6</v>
      </c>
      <c r="M377">
        <v>1612.453038674033</v>
      </c>
      <c r="N377">
        <v>1576.9899999999998</v>
      </c>
      <c r="O377">
        <v>1599.2</v>
      </c>
      <c r="P377">
        <v>0</v>
      </c>
      <c r="Q377">
        <f t="shared" si="70"/>
        <v>1599.2</v>
      </c>
      <c r="R377">
        <v>1600</v>
      </c>
      <c r="S377">
        <f t="shared" si="71"/>
        <v>0.79999999999995453</v>
      </c>
      <c r="U377">
        <f t="shared" si="72"/>
        <v>0</v>
      </c>
      <c r="V377">
        <f t="shared" si="73"/>
        <v>1600</v>
      </c>
      <c r="W377">
        <f t="shared" si="74"/>
        <v>0.79999999999995453</v>
      </c>
      <c r="X377">
        <v>0</v>
      </c>
    </row>
    <row r="378" spans="1:24" x14ac:dyDescent="0.3">
      <c r="A378" t="s">
        <v>552</v>
      </c>
      <c r="B378" t="s">
        <v>572</v>
      </c>
      <c r="C378">
        <v>29656060</v>
      </c>
      <c r="D378" t="s">
        <v>127</v>
      </c>
      <c r="E378" t="s">
        <v>31</v>
      </c>
      <c r="F378" t="s">
        <v>1</v>
      </c>
      <c r="G378" t="s">
        <v>347</v>
      </c>
      <c r="H378" t="s">
        <v>202</v>
      </c>
      <c r="I378" t="s">
        <v>1</v>
      </c>
      <c r="J378">
        <v>2504.31</v>
      </c>
      <c r="K378">
        <v>3452.0000000004002</v>
      </c>
      <c r="L378">
        <v>3152.56</v>
      </c>
      <c r="M378">
        <v>6357.3723756906084</v>
      </c>
      <c r="N378">
        <v>4050.8599999999997</v>
      </c>
      <c r="O378">
        <v>6305.12</v>
      </c>
      <c r="P378">
        <v>0</v>
      </c>
      <c r="Q378">
        <f t="shared" si="70"/>
        <v>6305.12</v>
      </c>
      <c r="R378">
        <v>3452</v>
      </c>
      <c r="S378">
        <f t="shared" si="71"/>
        <v>-2853.12</v>
      </c>
      <c r="U378">
        <f t="shared" si="72"/>
        <v>0</v>
      </c>
      <c r="V378">
        <f t="shared" si="73"/>
        <v>3452</v>
      </c>
      <c r="W378">
        <f t="shared" si="74"/>
        <v>-2853.12</v>
      </c>
      <c r="X378">
        <v>0</v>
      </c>
    </row>
    <row r="379" spans="1:24" x14ac:dyDescent="0.3">
      <c r="A379" t="s">
        <v>552</v>
      </c>
      <c r="B379" t="s">
        <v>572</v>
      </c>
      <c r="C379">
        <v>29656060</v>
      </c>
      <c r="D379" t="s">
        <v>127</v>
      </c>
      <c r="E379" t="s">
        <v>36</v>
      </c>
      <c r="F379" t="s">
        <v>1</v>
      </c>
      <c r="G379" t="s">
        <v>347</v>
      </c>
      <c r="H379" t="s">
        <v>207</v>
      </c>
      <c r="I379" t="s">
        <v>1</v>
      </c>
      <c r="J379">
        <v>522.1</v>
      </c>
      <c r="K379">
        <v>567</v>
      </c>
      <c r="L379">
        <v>112.7</v>
      </c>
      <c r="M379">
        <v>227.26795580110499</v>
      </c>
      <c r="N379">
        <v>353.77000000000004</v>
      </c>
      <c r="O379">
        <v>225.4</v>
      </c>
      <c r="P379">
        <v>0</v>
      </c>
      <c r="Q379">
        <f t="shared" si="70"/>
        <v>225.4</v>
      </c>
      <c r="R379">
        <v>225.4</v>
      </c>
      <c r="S379">
        <f t="shared" si="71"/>
        <v>0</v>
      </c>
      <c r="T379">
        <v>0.03</v>
      </c>
      <c r="U379">
        <f t="shared" si="72"/>
        <v>6.7619999999999996</v>
      </c>
      <c r="V379">
        <f t="shared" si="73"/>
        <v>232.16200000000001</v>
      </c>
      <c r="W379">
        <f t="shared" si="74"/>
        <v>6.7620000000000005</v>
      </c>
      <c r="X379">
        <v>0</v>
      </c>
    </row>
    <row r="380" spans="1:24" x14ac:dyDescent="0.3">
      <c r="A380" t="s">
        <v>552</v>
      </c>
      <c r="B380" t="s">
        <v>572</v>
      </c>
      <c r="C380">
        <v>29656060</v>
      </c>
      <c r="D380" t="s">
        <v>127</v>
      </c>
      <c r="E380" t="s">
        <v>37</v>
      </c>
      <c r="F380" t="s">
        <v>1</v>
      </c>
      <c r="G380" t="s">
        <v>347</v>
      </c>
      <c r="H380" t="s">
        <v>208</v>
      </c>
      <c r="I380" t="s">
        <v>1</v>
      </c>
      <c r="J380">
        <v>248.2</v>
      </c>
      <c r="L380">
        <v>11.65</v>
      </c>
      <c r="M380">
        <v>23.493093922651937</v>
      </c>
      <c r="N380">
        <v>259.84999999999997</v>
      </c>
      <c r="O380">
        <v>23.3</v>
      </c>
      <c r="P380">
        <v>0</v>
      </c>
      <c r="Q380">
        <f t="shared" si="70"/>
        <v>23.3</v>
      </c>
      <c r="R380">
        <v>23.3</v>
      </c>
      <c r="S380">
        <f t="shared" si="71"/>
        <v>0</v>
      </c>
      <c r="T380">
        <v>0.03</v>
      </c>
      <c r="U380">
        <f t="shared" si="72"/>
        <v>0.69899999999999995</v>
      </c>
      <c r="V380">
        <f t="shared" si="73"/>
        <v>23.999000000000002</v>
      </c>
      <c r="W380">
        <f t="shared" si="74"/>
        <v>0.69900000000000162</v>
      </c>
      <c r="X380" t="s">
        <v>477</v>
      </c>
    </row>
    <row r="381" spans="1:24" x14ac:dyDescent="0.3">
      <c r="A381" t="s">
        <v>552</v>
      </c>
      <c r="B381" t="s">
        <v>572</v>
      </c>
      <c r="C381">
        <v>29656060</v>
      </c>
      <c r="D381" t="s">
        <v>127</v>
      </c>
      <c r="E381" t="s">
        <v>42</v>
      </c>
      <c r="F381" t="s">
        <v>1</v>
      </c>
      <c r="G381" t="s">
        <v>347</v>
      </c>
      <c r="H381" t="s">
        <v>213</v>
      </c>
      <c r="I381" t="s">
        <v>1</v>
      </c>
      <c r="J381">
        <v>282</v>
      </c>
      <c r="K381">
        <v>3999.9999999995998</v>
      </c>
      <c r="L381">
        <v>814</v>
      </c>
      <c r="M381">
        <v>1641.4917127071824</v>
      </c>
      <c r="N381">
        <v>1038</v>
      </c>
      <c r="O381">
        <v>1628</v>
      </c>
      <c r="P381">
        <v>0</v>
      </c>
      <c r="Q381">
        <f t="shared" si="70"/>
        <v>1628</v>
      </c>
      <c r="R381">
        <v>1628</v>
      </c>
      <c r="S381">
        <f t="shared" si="71"/>
        <v>0</v>
      </c>
      <c r="T381">
        <v>0.03</v>
      </c>
      <c r="U381">
        <f t="shared" si="72"/>
        <v>48.839999999999996</v>
      </c>
      <c r="V381">
        <f t="shared" si="73"/>
        <v>1676.84</v>
      </c>
      <c r="W381">
        <f t="shared" si="74"/>
        <v>48.839999999999918</v>
      </c>
      <c r="X381">
        <v>0</v>
      </c>
    </row>
    <row r="382" spans="1:24" x14ac:dyDescent="0.3">
      <c r="A382" t="s">
        <v>552</v>
      </c>
      <c r="B382" t="s">
        <v>572</v>
      </c>
      <c r="C382">
        <v>29656060</v>
      </c>
      <c r="D382" t="s">
        <v>127</v>
      </c>
      <c r="E382" t="s">
        <v>59</v>
      </c>
      <c r="F382" t="s">
        <v>1</v>
      </c>
      <c r="G382" t="s">
        <v>347</v>
      </c>
      <c r="H382" t="s">
        <v>243</v>
      </c>
      <c r="I382" t="s">
        <v>1</v>
      </c>
      <c r="J382">
        <v>265.74</v>
      </c>
      <c r="L382">
        <v>0</v>
      </c>
      <c r="M382">
        <v>0</v>
      </c>
      <c r="N382">
        <v>0</v>
      </c>
      <c r="P382">
        <v>0</v>
      </c>
      <c r="Q382">
        <f t="shared" si="70"/>
        <v>0</v>
      </c>
      <c r="R382">
        <v>0</v>
      </c>
      <c r="S382">
        <f t="shared" si="71"/>
        <v>0</v>
      </c>
      <c r="T382">
        <v>0.03</v>
      </c>
      <c r="U382">
        <f t="shared" si="72"/>
        <v>0</v>
      </c>
      <c r="V382">
        <f t="shared" si="73"/>
        <v>0</v>
      </c>
      <c r="W382">
        <f t="shared" si="74"/>
        <v>0</v>
      </c>
      <c r="X382">
        <v>0</v>
      </c>
    </row>
    <row r="383" spans="1:24" x14ac:dyDescent="0.3">
      <c r="A383" t="s">
        <v>552</v>
      </c>
      <c r="B383" t="s">
        <v>572</v>
      </c>
      <c r="C383">
        <v>29656060</v>
      </c>
      <c r="D383" t="s">
        <v>127</v>
      </c>
      <c r="E383" t="s">
        <v>128</v>
      </c>
      <c r="F383" t="s">
        <v>1</v>
      </c>
      <c r="G383" t="s">
        <v>347</v>
      </c>
      <c r="H383" t="s">
        <v>348</v>
      </c>
      <c r="I383" t="s">
        <v>1</v>
      </c>
      <c r="J383">
        <v>936.46</v>
      </c>
      <c r="K383">
        <v>294.99999999959999</v>
      </c>
      <c r="L383">
        <v>639.63</v>
      </c>
      <c r="M383">
        <v>1289.8616022099447</v>
      </c>
      <c r="N383">
        <v>1429.64</v>
      </c>
      <c r="O383">
        <v>1279.26</v>
      </c>
      <c r="P383">
        <v>0</v>
      </c>
      <c r="Q383">
        <f t="shared" si="70"/>
        <v>1279.26</v>
      </c>
      <c r="R383">
        <v>1279.26</v>
      </c>
      <c r="S383">
        <f t="shared" si="71"/>
        <v>0</v>
      </c>
      <c r="T383">
        <v>0.03</v>
      </c>
      <c r="U383">
        <f t="shared" si="72"/>
        <v>38.377800000000001</v>
      </c>
      <c r="V383">
        <f t="shared" si="73"/>
        <v>1317.6378</v>
      </c>
      <c r="W383">
        <f t="shared" si="74"/>
        <v>38.377799999999979</v>
      </c>
      <c r="X383" t="s">
        <v>483</v>
      </c>
    </row>
    <row r="384" spans="1:24" x14ac:dyDescent="0.3">
      <c r="A384" t="s">
        <v>552</v>
      </c>
      <c r="B384" t="s">
        <v>572</v>
      </c>
      <c r="C384">
        <v>29656060</v>
      </c>
      <c r="D384" t="s">
        <v>127</v>
      </c>
      <c r="E384" t="s">
        <v>44</v>
      </c>
      <c r="F384" t="s">
        <v>1</v>
      </c>
      <c r="G384" t="s">
        <v>347</v>
      </c>
      <c r="H384" t="s">
        <v>215</v>
      </c>
      <c r="I384" t="s">
        <v>1</v>
      </c>
      <c r="J384">
        <v>1652.23</v>
      </c>
      <c r="K384">
        <v>1660.0000000002999</v>
      </c>
      <c r="L384">
        <v>883.61</v>
      </c>
      <c r="M384">
        <v>1781.8654696132598</v>
      </c>
      <c r="N384">
        <v>1712.5500000000002</v>
      </c>
      <c r="O384">
        <v>1781.8654696133001</v>
      </c>
      <c r="P384">
        <v>0</v>
      </c>
      <c r="Q384">
        <f t="shared" si="70"/>
        <v>1781.8654696133001</v>
      </c>
      <c r="R384">
        <v>1781.8654696133001</v>
      </c>
      <c r="S384">
        <f t="shared" si="71"/>
        <v>0</v>
      </c>
      <c r="U384">
        <f t="shared" si="72"/>
        <v>0</v>
      </c>
      <c r="V384">
        <f t="shared" si="73"/>
        <v>1781.8654696133001</v>
      </c>
      <c r="W384">
        <f t="shared" si="74"/>
        <v>0</v>
      </c>
      <c r="X384">
        <v>0</v>
      </c>
    </row>
    <row r="385" spans="1:24" x14ac:dyDescent="0.3">
      <c r="A385" t="s">
        <v>552</v>
      </c>
      <c r="B385" t="s">
        <v>572</v>
      </c>
      <c r="C385">
        <v>29656060</v>
      </c>
      <c r="D385" t="s">
        <v>127</v>
      </c>
      <c r="E385" t="s">
        <v>45</v>
      </c>
      <c r="F385" t="s">
        <v>45</v>
      </c>
      <c r="G385" t="s">
        <v>349</v>
      </c>
      <c r="J385">
        <v>66327.609999999986</v>
      </c>
      <c r="K385">
        <v>67352.591481482013</v>
      </c>
      <c r="L385">
        <v>36052.619999999995</v>
      </c>
      <c r="M385">
        <v>72702.797237569044</v>
      </c>
      <c r="N385">
        <v>74176.420000000013</v>
      </c>
      <c r="O385">
        <v>72366.1335929817</v>
      </c>
      <c r="P385">
        <f>SUMIF($F$356:$F$384,"&lt;&gt;EV_*",$P$356:$P$384)</f>
        <v>0</v>
      </c>
      <c r="Q385">
        <f>SUMIF($F$356:$F$384,"&lt;&gt;EV_*",$Q$356:$Q$384)</f>
        <v>72366.1335929817</v>
      </c>
      <c r="R385">
        <f>SUMIF($F$356:$F$384,"&lt;&gt;EV_*",$R$356:$R$384)</f>
        <v>71174.895716714309</v>
      </c>
      <c r="S385">
        <f>SUMIF($F$356:$F$384,"&lt;&gt;EV_*",$S$356:$S$384)</f>
        <v>-1191.2378762674005</v>
      </c>
      <c r="T385">
        <v>0</v>
      </c>
      <c r="U385">
        <f>SUMIF($F$356:$F$384,"&lt;&gt;EV_*",$U$356:$U$384)</f>
        <v>1056.0721850221614</v>
      </c>
      <c r="V385">
        <f>SUMIF($F$356:$F$384,"&lt;&gt;EV_*",$V$356:$V$384)</f>
        <v>72230.967901736454</v>
      </c>
      <c r="W385">
        <f>SUMIF($F$356:$F$384,"&lt;&gt;EV_*",$W$356:$W$384)</f>
        <v>-135.16569124523789</v>
      </c>
      <c r="X385">
        <f>SUMIF($F$356:$F$384,"&lt;&gt;EV_*",$X$356:$X$384)</f>
        <v>0</v>
      </c>
    </row>
    <row r="386" spans="1:24" x14ac:dyDescent="0.3">
      <c r="A386" t="s">
        <v>552</v>
      </c>
      <c r="B386" t="s">
        <v>572</v>
      </c>
      <c r="C386">
        <v>29656080</v>
      </c>
      <c r="D386" t="s">
        <v>129</v>
      </c>
      <c r="E386" t="s">
        <v>5</v>
      </c>
      <c r="F386" t="s">
        <v>5</v>
      </c>
      <c r="G386" t="s">
        <v>350</v>
      </c>
    </row>
    <row r="387" spans="1:24" x14ac:dyDescent="0.3">
      <c r="A387" t="s">
        <v>552</v>
      </c>
      <c r="B387" t="s">
        <v>572</v>
      </c>
      <c r="C387">
        <v>29656080</v>
      </c>
      <c r="D387" t="s">
        <v>129</v>
      </c>
      <c r="E387" t="s">
        <v>86</v>
      </c>
      <c r="F387" t="s">
        <v>1</v>
      </c>
      <c r="G387" t="s">
        <v>351</v>
      </c>
      <c r="H387" t="s">
        <v>292</v>
      </c>
      <c r="I387" t="s">
        <v>1</v>
      </c>
      <c r="L387">
        <v>166.45</v>
      </c>
      <c r="M387">
        <v>335.65883977900552</v>
      </c>
      <c r="N387">
        <v>166.45</v>
      </c>
      <c r="O387">
        <v>334.72912087909998</v>
      </c>
      <c r="P387">
        <v>0</v>
      </c>
      <c r="Q387">
        <f>O387+P387</f>
        <v>334.72912087909998</v>
      </c>
      <c r="R387">
        <v>334.72912087909998</v>
      </c>
      <c r="S387">
        <f>IF(OR(LEFT(E387,2)="A_",LEFT(D387,5)="Total"),R387-Q387,"")</f>
        <v>0</v>
      </c>
      <c r="T387">
        <v>0.02</v>
      </c>
      <c r="U387">
        <f>IFERROR(R387*T387,R387*0)</f>
        <v>6.6945824175819997</v>
      </c>
      <c r="V387">
        <f>IF(OR(LEFT(E387,2)="A_",LEFT(D387,5)="Total"),R387+U387,"")</f>
        <v>341.42370329668199</v>
      </c>
      <c r="W387">
        <f>IF(OR(LEFT(E387,2)="A_",LEFT(D387,5)="Total"),V387-Q387,"")</f>
        <v>6.6945824175820121</v>
      </c>
      <c r="X387">
        <v>0</v>
      </c>
    </row>
    <row r="388" spans="1:24" x14ac:dyDescent="0.3">
      <c r="A388" t="s">
        <v>552</v>
      </c>
      <c r="B388" t="s">
        <v>572</v>
      </c>
      <c r="C388">
        <v>29656080</v>
      </c>
      <c r="D388" t="s">
        <v>129</v>
      </c>
      <c r="E388" t="s">
        <v>44</v>
      </c>
      <c r="F388" t="s">
        <v>1</v>
      </c>
      <c r="G388" t="s">
        <v>351</v>
      </c>
      <c r="H388" t="s">
        <v>215</v>
      </c>
      <c r="I388" t="s">
        <v>1</v>
      </c>
      <c r="J388">
        <v>360.41</v>
      </c>
      <c r="K388">
        <v>330.00000000009999</v>
      </c>
      <c r="L388">
        <v>369.25</v>
      </c>
      <c r="M388">
        <v>744.6201657458563</v>
      </c>
      <c r="N388">
        <v>565.82999999999993</v>
      </c>
      <c r="O388">
        <v>744.62016574589995</v>
      </c>
      <c r="P388">
        <v>0</v>
      </c>
      <c r="Q388">
        <f>O388+P388</f>
        <v>744.62016574589995</v>
      </c>
      <c r="R388">
        <v>744.62016574589995</v>
      </c>
      <c r="S388">
        <f>IF(OR(LEFT(E388,2)="A_",LEFT(D388,5)="Total"),R388-Q388,"")</f>
        <v>0</v>
      </c>
      <c r="U388">
        <f>IFERROR(R388*T388,R388*0)</f>
        <v>0</v>
      </c>
      <c r="V388">
        <f>IF(OR(LEFT(E388,2)="A_",LEFT(D388,5)="Total"),R388+U388,"")</f>
        <v>744.62016574589995</v>
      </c>
      <c r="W388">
        <f>IF(OR(LEFT(E388,2)="A_",LEFT(D388,5)="Total"),V388-Q388,"")</f>
        <v>0</v>
      </c>
      <c r="X388">
        <v>0</v>
      </c>
    </row>
    <row r="389" spans="1:24" x14ac:dyDescent="0.3">
      <c r="A389" t="s">
        <v>552</v>
      </c>
      <c r="B389" t="s">
        <v>572</v>
      </c>
      <c r="C389">
        <v>29656080</v>
      </c>
      <c r="D389" t="s">
        <v>129</v>
      </c>
      <c r="E389" t="s">
        <v>45</v>
      </c>
      <c r="F389" t="s">
        <v>45</v>
      </c>
      <c r="G389" t="s">
        <v>352</v>
      </c>
      <c r="J389">
        <v>360.41</v>
      </c>
      <c r="K389">
        <v>330.00000000009999</v>
      </c>
      <c r="L389">
        <v>535.70000000000005</v>
      </c>
      <c r="M389">
        <v>1080.2790055248618</v>
      </c>
      <c r="N389">
        <v>732.28</v>
      </c>
      <c r="O389">
        <v>1079.3492866249999</v>
      </c>
      <c r="P389">
        <f>SUMIF($F$386:$F$388,"&lt;&gt;EV_*",$P$386:$P$388)</f>
        <v>0</v>
      </c>
      <c r="Q389">
        <f>SUMIF($F$386:$F$388,"&lt;&gt;EV_*",$Q$386:$Q$388)</f>
        <v>1079.3492866249999</v>
      </c>
      <c r="R389">
        <f>SUMIF($F$386:$F$388,"&lt;&gt;EV_*",$R$386:$R$388)</f>
        <v>1079.3492866249999</v>
      </c>
      <c r="S389">
        <f>SUMIF($F$386:$F$388,"&lt;&gt;EV_*",$S$386:$S$388)</f>
        <v>0</v>
      </c>
      <c r="T389">
        <v>0</v>
      </c>
      <c r="U389">
        <f>SUMIF($F$386:$F$388,"&lt;&gt;EV_*",$U$386:$U$388)</f>
        <v>6.6945824175819997</v>
      </c>
      <c r="V389">
        <f>SUMIF($F$386:$F$388,"&lt;&gt;EV_*",$V$386:$V$388)</f>
        <v>1086.0438690425819</v>
      </c>
      <c r="W389">
        <f>SUMIF($F$386:$F$388,"&lt;&gt;EV_*",$W$386:$W$388)</f>
        <v>6.6945824175820121</v>
      </c>
      <c r="X389">
        <f>SUMIF($F$386:$F$388,"&lt;&gt;EV_*",$X$386:$X$388)</f>
        <v>0</v>
      </c>
    </row>
    <row r="390" spans="1:24" x14ac:dyDescent="0.3">
      <c r="A390" t="s">
        <v>552</v>
      </c>
      <c r="B390" t="s">
        <v>573</v>
      </c>
      <c r="C390">
        <v>29657000</v>
      </c>
      <c r="D390" t="s">
        <v>130</v>
      </c>
      <c r="E390" t="s">
        <v>5</v>
      </c>
      <c r="F390" t="s">
        <v>5</v>
      </c>
      <c r="G390" t="s">
        <v>353</v>
      </c>
    </row>
    <row r="391" spans="1:24" x14ac:dyDescent="0.3">
      <c r="A391" t="s">
        <v>552</v>
      </c>
      <c r="B391" t="s">
        <v>573</v>
      </c>
      <c r="C391">
        <v>29657000</v>
      </c>
      <c r="D391" t="s">
        <v>130</v>
      </c>
      <c r="E391" t="s">
        <v>12</v>
      </c>
      <c r="F391" t="s">
        <v>1</v>
      </c>
      <c r="G391" t="s">
        <v>354</v>
      </c>
      <c r="H391" t="s">
        <v>183</v>
      </c>
      <c r="I391" t="s">
        <v>1</v>
      </c>
      <c r="J391">
        <v>976.3</v>
      </c>
      <c r="K391">
        <v>861.3099999996</v>
      </c>
      <c r="L391">
        <v>425.39</v>
      </c>
      <c r="M391">
        <v>857.83066298342533</v>
      </c>
      <c r="N391">
        <v>895.28</v>
      </c>
      <c r="O391">
        <v>850.78</v>
      </c>
      <c r="P391">
        <v>0</v>
      </c>
      <c r="Q391">
        <f t="shared" ref="Q391:Q409" si="75">O391+P391</f>
        <v>850.78</v>
      </c>
      <c r="R391">
        <v>852</v>
      </c>
      <c r="S391">
        <f t="shared" ref="S391:S409" si="76">IF(OR(LEFT(E391,2)="A_",LEFT(D391,5)="Total"),R391-Q391,"")</f>
        <v>1.2200000000000273</v>
      </c>
      <c r="U391">
        <f t="shared" ref="U391:U409" si="77">IFERROR(R391*T391,R391*0)</f>
        <v>0</v>
      </c>
      <c r="V391">
        <f t="shared" ref="V391:V409" si="78">IF(OR(LEFT(E391,2)="A_",LEFT(D391,5)="Total"),R391+U391,"")</f>
        <v>852</v>
      </c>
      <c r="W391">
        <f t="shared" ref="W391:W409" si="79">IF(OR(LEFT(E391,2)="A_",LEFT(D391,5)="Total"),V391-Q391,"")</f>
        <v>1.2200000000000273</v>
      </c>
      <c r="X391" t="s">
        <v>484</v>
      </c>
    </row>
    <row r="392" spans="1:24" x14ac:dyDescent="0.3">
      <c r="A392" t="s">
        <v>552</v>
      </c>
      <c r="B392" t="s">
        <v>573</v>
      </c>
      <c r="C392">
        <v>29657000</v>
      </c>
      <c r="D392" t="s">
        <v>130</v>
      </c>
      <c r="E392" t="s">
        <v>13</v>
      </c>
      <c r="F392" t="s">
        <v>1</v>
      </c>
      <c r="G392" t="s">
        <v>354</v>
      </c>
      <c r="H392" t="s">
        <v>184</v>
      </c>
      <c r="I392" t="s">
        <v>1</v>
      </c>
      <c r="L392">
        <v>12385.84</v>
      </c>
      <c r="M392">
        <v>24976.970165745857</v>
      </c>
      <c r="N392">
        <v>12385.839999999998</v>
      </c>
      <c r="O392">
        <v>24771.68</v>
      </c>
      <c r="P392">
        <v>0</v>
      </c>
      <c r="Q392">
        <f t="shared" si="75"/>
        <v>24771.68</v>
      </c>
      <c r="R392">
        <v>24768</v>
      </c>
      <c r="S392">
        <f t="shared" si="76"/>
        <v>-3.680000000000291</v>
      </c>
      <c r="U392">
        <f t="shared" si="77"/>
        <v>0</v>
      </c>
      <c r="V392">
        <f t="shared" si="78"/>
        <v>24768</v>
      </c>
      <c r="W392">
        <f t="shared" si="79"/>
        <v>-3.680000000000291</v>
      </c>
      <c r="X392" t="s">
        <v>485</v>
      </c>
    </row>
    <row r="393" spans="1:24" x14ac:dyDescent="0.3">
      <c r="A393" t="s">
        <v>552</v>
      </c>
      <c r="B393" t="s">
        <v>573</v>
      </c>
      <c r="C393">
        <v>29657000</v>
      </c>
      <c r="D393" t="s">
        <v>130</v>
      </c>
      <c r="E393" t="s">
        <v>80</v>
      </c>
      <c r="F393" t="s">
        <v>1</v>
      </c>
      <c r="G393" t="s">
        <v>354</v>
      </c>
      <c r="H393" t="s">
        <v>286</v>
      </c>
      <c r="I393" t="s">
        <v>1</v>
      </c>
      <c r="J393">
        <v>-1092.0899999999999</v>
      </c>
      <c r="L393">
        <v>-1182.23</v>
      </c>
      <c r="M393">
        <v>-2384.0549723756903</v>
      </c>
      <c r="N393">
        <v>-1352.2599999999998</v>
      </c>
      <c r="O393">
        <v>-2377.4515384615001</v>
      </c>
      <c r="P393">
        <v>0</v>
      </c>
      <c r="Q393">
        <f t="shared" si="75"/>
        <v>-2377.4515384615001</v>
      </c>
      <c r="R393">
        <v>-2377.4515384615001</v>
      </c>
      <c r="S393">
        <f t="shared" si="76"/>
        <v>0</v>
      </c>
      <c r="U393">
        <f t="shared" si="77"/>
        <v>0</v>
      </c>
      <c r="V393">
        <f t="shared" si="78"/>
        <v>-2377.4515384615001</v>
      </c>
      <c r="W393">
        <f t="shared" si="79"/>
        <v>0</v>
      </c>
      <c r="X393">
        <v>0</v>
      </c>
    </row>
    <row r="394" spans="1:24" x14ac:dyDescent="0.3">
      <c r="A394" t="s">
        <v>552</v>
      </c>
      <c r="B394" t="s">
        <v>573</v>
      </c>
      <c r="C394">
        <v>29657000</v>
      </c>
      <c r="D394" t="s">
        <v>130</v>
      </c>
      <c r="E394" t="s">
        <v>15</v>
      </c>
      <c r="F394" t="s">
        <v>1</v>
      </c>
      <c r="G394" t="s">
        <v>354</v>
      </c>
      <c r="H394" t="s">
        <v>186</v>
      </c>
      <c r="I394" t="s">
        <v>1</v>
      </c>
      <c r="J394">
        <v>-10545.47</v>
      </c>
      <c r="K394">
        <v>-7359.9999999995998</v>
      </c>
      <c r="L394">
        <v>-7030.27</v>
      </c>
      <c r="M394">
        <v>-14177.063812154696</v>
      </c>
      <c r="N394">
        <v>-9362.0700000000015</v>
      </c>
      <c r="O394">
        <v>-14137.795714285699</v>
      </c>
      <c r="P394">
        <v>0</v>
      </c>
      <c r="Q394">
        <f t="shared" si="75"/>
        <v>-14137.795714285699</v>
      </c>
      <c r="R394">
        <v>-14137.795714285699</v>
      </c>
      <c r="S394">
        <f t="shared" si="76"/>
        <v>0</v>
      </c>
      <c r="U394">
        <f t="shared" si="77"/>
        <v>0</v>
      </c>
      <c r="V394">
        <f t="shared" si="78"/>
        <v>-14137.795714285699</v>
      </c>
      <c r="W394">
        <f t="shared" si="79"/>
        <v>0</v>
      </c>
      <c r="X394">
        <v>0</v>
      </c>
    </row>
    <row r="395" spans="1:24" x14ac:dyDescent="0.3">
      <c r="A395" t="s">
        <v>552</v>
      </c>
      <c r="B395" t="s">
        <v>573</v>
      </c>
      <c r="C395">
        <v>29657000</v>
      </c>
      <c r="D395" t="s">
        <v>130</v>
      </c>
      <c r="E395" t="s">
        <v>16</v>
      </c>
      <c r="F395" t="s">
        <v>1</v>
      </c>
      <c r="G395" t="s">
        <v>354</v>
      </c>
      <c r="H395" t="s">
        <v>187</v>
      </c>
      <c r="I395" t="s">
        <v>1</v>
      </c>
      <c r="J395">
        <v>400360.05</v>
      </c>
      <c r="K395">
        <v>428242.898829435</v>
      </c>
      <c r="L395">
        <v>255918.17</v>
      </c>
      <c r="M395">
        <v>516078.0776243094</v>
      </c>
      <c r="N395">
        <v>455710.56999999995</v>
      </c>
      <c r="O395">
        <v>514648.62758241798</v>
      </c>
      <c r="P395">
        <v>0</v>
      </c>
      <c r="Q395">
        <f t="shared" si="75"/>
        <v>514648.62758241798</v>
      </c>
      <c r="R395">
        <v>514648.62758241798</v>
      </c>
      <c r="S395">
        <f t="shared" si="76"/>
        <v>0</v>
      </c>
      <c r="T395">
        <v>0.02</v>
      </c>
      <c r="U395">
        <f t="shared" si="77"/>
        <v>10292.97255164836</v>
      </c>
      <c r="V395">
        <f t="shared" si="78"/>
        <v>524941.60013406631</v>
      </c>
      <c r="W395">
        <f t="shared" si="79"/>
        <v>10292.97255164833</v>
      </c>
      <c r="X395" t="s">
        <v>486</v>
      </c>
    </row>
    <row r="396" spans="1:24" x14ac:dyDescent="0.3">
      <c r="A396" t="s">
        <v>552</v>
      </c>
      <c r="B396" t="s">
        <v>573</v>
      </c>
      <c r="C396">
        <v>29657000</v>
      </c>
      <c r="D396" t="s">
        <v>130</v>
      </c>
      <c r="E396" t="s">
        <v>87</v>
      </c>
      <c r="F396" t="s">
        <v>1</v>
      </c>
      <c r="G396" t="s">
        <v>354</v>
      </c>
      <c r="H396" t="s">
        <v>293</v>
      </c>
      <c r="I396" t="s">
        <v>1</v>
      </c>
      <c r="J396">
        <v>328628.81</v>
      </c>
      <c r="K396">
        <v>350108.758480196</v>
      </c>
      <c r="L396">
        <v>179579.18</v>
      </c>
      <c r="M396">
        <v>362134.81049723754</v>
      </c>
      <c r="N396">
        <v>341299.31000000006</v>
      </c>
      <c r="O396">
        <v>361131.75758241798</v>
      </c>
      <c r="P396">
        <v>0</v>
      </c>
      <c r="Q396">
        <f t="shared" si="75"/>
        <v>361131.75758241798</v>
      </c>
      <c r="R396">
        <v>359160</v>
      </c>
      <c r="S396">
        <f t="shared" si="76"/>
        <v>-1971.7575824179803</v>
      </c>
      <c r="T396">
        <v>3.5000000000000003E-2</v>
      </c>
      <c r="U396">
        <f t="shared" si="77"/>
        <v>12570.6</v>
      </c>
      <c r="V396">
        <f t="shared" si="78"/>
        <v>371730.6</v>
      </c>
      <c r="W396">
        <f t="shared" si="79"/>
        <v>10598.842417581996</v>
      </c>
      <c r="X396" t="s">
        <v>487</v>
      </c>
    </row>
    <row r="397" spans="1:24" x14ac:dyDescent="0.3">
      <c r="A397" t="s">
        <v>552</v>
      </c>
      <c r="B397" t="s">
        <v>573</v>
      </c>
      <c r="C397">
        <v>29657000</v>
      </c>
      <c r="D397" t="s">
        <v>130</v>
      </c>
      <c r="E397" t="s">
        <v>89</v>
      </c>
      <c r="F397" t="s">
        <v>1</v>
      </c>
      <c r="G397" t="s">
        <v>354</v>
      </c>
      <c r="H397" t="s">
        <v>295</v>
      </c>
      <c r="I397" t="s">
        <v>1</v>
      </c>
      <c r="J397">
        <v>721.44</v>
      </c>
      <c r="L397">
        <v>390.78</v>
      </c>
      <c r="M397">
        <v>788.03701657458566</v>
      </c>
      <c r="N397">
        <v>751.50000000000011</v>
      </c>
      <c r="O397">
        <v>785.85428571429998</v>
      </c>
      <c r="P397">
        <v>0</v>
      </c>
      <c r="Q397">
        <f t="shared" si="75"/>
        <v>785.85428571429998</v>
      </c>
      <c r="R397">
        <v>785.85428571429998</v>
      </c>
      <c r="S397">
        <f t="shared" si="76"/>
        <v>0</v>
      </c>
      <c r="T397">
        <v>0.02</v>
      </c>
      <c r="U397">
        <f t="shared" si="77"/>
        <v>15.717085714286</v>
      </c>
      <c r="V397">
        <f t="shared" si="78"/>
        <v>801.57137142858596</v>
      </c>
      <c r="W397">
        <f t="shared" si="79"/>
        <v>15.717085714285986</v>
      </c>
      <c r="X397">
        <v>0</v>
      </c>
    </row>
    <row r="398" spans="1:24" x14ac:dyDescent="0.3">
      <c r="A398" t="s">
        <v>552</v>
      </c>
      <c r="B398" t="s">
        <v>573</v>
      </c>
      <c r="C398">
        <v>29657000</v>
      </c>
      <c r="D398" t="s">
        <v>130</v>
      </c>
      <c r="E398" t="s">
        <v>90</v>
      </c>
      <c r="F398" t="s">
        <v>1</v>
      </c>
      <c r="G398" t="s">
        <v>354</v>
      </c>
      <c r="H398" t="s">
        <v>296</v>
      </c>
      <c r="I398" t="s">
        <v>1</v>
      </c>
      <c r="J398">
        <v>413.2</v>
      </c>
      <c r="L398">
        <v>0</v>
      </c>
      <c r="M398">
        <v>0</v>
      </c>
      <c r="N398">
        <v>413.2</v>
      </c>
      <c r="P398">
        <v>0</v>
      </c>
      <c r="Q398">
        <f t="shared" si="75"/>
        <v>0</v>
      </c>
      <c r="R398">
        <v>0</v>
      </c>
      <c r="S398">
        <f t="shared" si="76"/>
        <v>0</v>
      </c>
      <c r="T398">
        <v>1.4999999999999999E-2</v>
      </c>
      <c r="U398">
        <f t="shared" si="77"/>
        <v>0</v>
      </c>
      <c r="V398">
        <f t="shared" si="78"/>
        <v>0</v>
      </c>
      <c r="W398">
        <f t="shared" si="79"/>
        <v>0</v>
      </c>
      <c r="X398">
        <v>0</v>
      </c>
    </row>
    <row r="399" spans="1:24" x14ac:dyDescent="0.3">
      <c r="A399" t="s">
        <v>552</v>
      </c>
      <c r="B399" t="s">
        <v>573</v>
      </c>
      <c r="C399">
        <v>29657000</v>
      </c>
      <c r="D399" t="s">
        <v>130</v>
      </c>
      <c r="E399" t="s">
        <v>93</v>
      </c>
      <c r="F399" t="s">
        <v>1</v>
      </c>
      <c r="G399" t="s">
        <v>354</v>
      </c>
      <c r="H399" t="s">
        <v>299</v>
      </c>
      <c r="I399" t="s">
        <v>1</v>
      </c>
      <c r="J399">
        <v>12466.85</v>
      </c>
      <c r="K399">
        <v>12814.421127571501</v>
      </c>
      <c r="L399">
        <v>11553.45</v>
      </c>
      <c r="M399">
        <v>23298.39364640884</v>
      </c>
      <c r="N399">
        <v>18198.57</v>
      </c>
      <c r="O399">
        <v>23233.860989010998</v>
      </c>
      <c r="P399">
        <v>0</v>
      </c>
      <c r="Q399">
        <f t="shared" si="75"/>
        <v>23233.860989010998</v>
      </c>
      <c r="R399">
        <v>23233.860989010998</v>
      </c>
      <c r="S399">
        <f t="shared" si="76"/>
        <v>0</v>
      </c>
      <c r="T399">
        <v>3.5000000000000003E-2</v>
      </c>
      <c r="U399">
        <f t="shared" si="77"/>
        <v>813.18513461538498</v>
      </c>
      <c r="V399">
        <f t="shared" si="78"/>
        <v>24047.046123626384</v>
      </c>
      <c r="W399">
        <f t="shared" si="79"/>
        <v>813.18513461538532</v>
      </c>
      <c r="X399" t="s">
        <v>488</v>
      </c>
    </row>
    <row r="400" spans="1:24" x14ac:dyDescent="0.3">
      <c r="A400" t="s">
        <v>552</v>
      </c>
      <c r="B400" t="s">
        <v>573</v>
      </c>
      <c r="C400">
        <v>29657000</v>
      </c>
      <c r="D400" t="s">
        <v>130</v>
      </c>
      <c r="E400" t="s">
        <v>53</v>
      </c>
      <c r="F400" t="s">
        <v>1</v>
      </c>
      <c r="G400" t="s">
        <v>354</v>
      </c>
      <c r="H400" t="s">
        <v>229</v>
      </c>
      <c r="I400" t="s">
        <v>1</v>
      </c>
      <c r="J400">
        <v>127196.31</v>
      </c>
      <c r="K400">
        <v>139623.450038004</v>
      </c>
      <c r="L400">
        <v>61972.29</v>
      </c>
      <c r="M400">
        <v>124971.74502762432</v>
      </c>
      <c r="N400">
        <v>129049.57</v>
      </c>
      <c r="O400">
        <v>124625.59417582399</v>
      </c>
      <c r="P400">
        <v>0</v>
      </c>
      <c r="Q400">
        <f t="shared" si="75"/>
        <v>124625.59417582399</v>
      </c>
      <c r="R400">
        <v>124625.59417582399</v>
      </c>
      <c r="S400">
        <f t="shared" si="76"/>
        <v>0</v>
      </c>
      <c r="T400">
        <v>0.04</v>
      </c>
      <c r="U400">
        <f t="shared" si="77"/>
        <v>4985.0237670329598</v>
      </c>
      <c r="V400">
        <f t="shared" si="78"/>
        <v>129610.61794285696</v>
      </c>
      <c r="W400">
        <f t="shared" si="79"/>
        <v>4985.0237670329661</v>
      </c>
      <c r="X400">
        <v>0</v>
      </c>
    </row>
    <row r="401" spans="1:24" x14ac:dyDescent="0.3">
      <c r="A401" t="s">
        <v>552</v>
      </c>
      <c r="B401" t="s">
        <v>573</v>
      </c>
      <c r="C401">
        <v>29657000</v>
      </c>
      <c r="D401" t="s">
        <v>130</v>
      </c>
      <c r="E401" t="s">
        <v>17</v>
      </c>
      <c r="F401" t="s">
        <v>1</v>
      </c>
      <c r="G401" t="s">
        <v>354</v>
      </c>
      <c r="H401" t="s">
        <v>188</v>
      </c>
      <c r="I401" t="s">
        <v>1</v>
      </c>
      <c r="J401">
        <v>2147.1799999999998</v>
      </c>
      <c r="K401">
        <v>1927.1299999998</v>
      </c>
      <c r="L401">
        <v>1784.51</v>
      </c>
      <c r="M401">
        <v>3598.5975138121544</v>
      </c>
      <c r="N401">
        <v>3004.08</v>
      </c>
      <c r="O401">
        <v>3598.5975138121998</v>
      </c>
      <c r="P401">
        <v>0</v>
      </c>
      <c r="Q401">
        <f t="shared" si="75"/>
        <v>3598.5975138121998</v>
      </c>
      <c r="R401">
        <v>3600</v>
      </c>
      <c r="S401">
        <f t="shared" si="76"/>
        <v>1.4024861878001502</v>
      </c>
      <c r="T401">
        <v>0.03</v>
      </c>
      <c r="U401">
        <f t="shared" si="77"/>
        <v>108</v>
      </c>
      <c r="V401">
        <f t="shared" si="78"/>
        <v>3708</v>
      </c>
      <c r="W401">
        <f t="shared" si="79"/>
        <v>109.40248618780015</v>
      </c>
      <c r="X401" t="s">
        <v>489</v>
      </c>
    </row>
    <row r="402" spans="1:24" x14ac:dyDescent="0.3">
      <c r="A402" t="s">
        <v>552</v>
      </c>
      <c r="B402" t="s">
        <v>573</v>
      </c>
      <c r="C402">
        <v>29657000</v>
      </c>
      <c r="D402" t="s">
        <v>130</v>
      </c>
      <c r="E402" t="s">
        <v>18</v>
      </c>
      <c r="F402" t="s">
        <v>1</v>
      </c>
      <c r="G402" t="s">
        <v>354</v>
      </c>
      <c r="H402" t="s">
        <v>189</v>
      </c>
      <c r="I402" t="s">
        <v>1</v>
      </c>
      <c r="J402">
        <v>782.83</v>
      </c>
      <c r="K402">
        <v>94.1849999999</v>
      </c>
      <c r="L402">
        <v>1784.14</v>
      </c>
      <c r="M402">
        <v>3597.8513812154702</v>
      </c>
      <c r="N402">
        <v>2496.0300000000002</v>
      </c>
      <c r="O402">
        <v>3597.8513812155002</v>
      </c>
      <c r="P402">
        <v>0</v>
      </c>
      <c r="Q402">
        <f t="shared" si="75"/>
        <v>3597.8513812155002</v>
      </c>
      <c r="R402">
        <v>3597.8513812155002</v>
      </c>
      <c r="S402">
        <f t="shared" si="76"/>
        <v>0</v>
      </c>
      <c r="T402">
        <v>3.5000000000000003E-2</v>
      </c>
      <c r="U402">
        <f t="shared" si="77"/>
        <v>125.92479834254252</v>
      </c>
      <c r="V402">
        <f t="shared" si="78"/>
        <v>3723.7761795580427</v>
      </c>
      <c r="W402">
        <f t="shared" si="79"/>
        <v>125.92479834254254</v>
      </c>
      <c r="X402" t="s">
        <v>490</v>
      </c>
    </row>
    <row r="403" spans="1:24" x14ac:dyDescent="0.3">
      <c r="A403" t="s">
        <v>552</v>
      </c>
      <c r="B403" t="s">
        <v>573</v>
      </c>
      <c r="C403">
        <v>29657000</v>
      </c>
      <c r="D403" t="s">
        <v>130</v>
      </c>
      <c r="E403" t="s">
        <v>19</v>
      </c>
      <c r="F403" t="s">
        <v>1</v>
      </c>
      <c r="G403" t="s">
        <v>354</v>
      </c>
      <c r="H403" t="s">
        <v>190</v>
      </c>
      <c r="I403" t="s">
        <v>1</v>
      </c>
      <c r="J403">
        <v>10003.32</v>
      </c>
      <c r="K403">
        <v>73.484999999899998</v>
      </c>
      <c r="L403">
        <v>3510.27</v>
      </c>
      <c r="M403">
        <v>7078.7212707182316</v>
      </c>
      <c r="N403">
        <v>13510.27</v>
      </c>
      <c r="O403">
        <v>7078.7212707181998</v>
      </c>
      <c r="P403">
        <v>0</v>
      </c>
      <c r="Q403">
        <f t="shared" si="75"/>
        <v>7078.7212707181998</v>
      </c>
      <c r="R403">
        <v>7078.7212707181998</v>
      </c>
      <c r="S403">
        <f t="shared" si="76"/>
        <v>0</v>
      </c>
      <c r="T403">
        <v>3.5000000000000003E-2</v>
      </c>
      <c r="U403">
        <f t="shared" si="77"/>
        <v>247.755244475137</v>
      </c>
      <c r="V403">
        <f t="shared" si="78"/>
        <v>7326.476515193337</v>
      </c>
      <c r="W403">
        <f t="shared" si="79"/>
        <v>247.75524447513726</v>
      </c>
      <c r="X403" t="s">
        <v>491</v>
      </c>
    </row>
    <row r="404" spans="1:24" x14ac:dyDescent="0.3">
      <c r="A404" t="s">
        <v>552</v>
      </c>
      <c r="B404" t="s">
        <v>573</v>
      </c>
      <c r="C404">
        <v>29657000</v>
      </c>
      <c r="D404" t="s">
        <v>130</v>
      </c>
      <c r="E404" t="s">
        <v>22</v>
      </c>
      <c r="F404" t="s">
        <v>1</v>
      </c>
      <c r="G404" t="s">
        <v>354</v>
      </c>
      <c r="H404" t="s">
        <v>193</v>
      </c>
      <c r="I404" t="s">
        <v>1</v>
      </c>
      <c r="J404">
        <v>2809.39</v>
      </c>
      <c r="K404">
        <v>765</v>
      </c>
      <c r="L404">
        <v>2500</v>
      </c>
      <c r="M404">
        <v>5041.4364640883978</v>
      </c>
      <c r="N404">
        <v>2500</v>
      </c>
      <c r="O404">
        <v>5000</v>
      </c>
      <c r="P404">
        <v>0</v>
      </c>
      <c r="Q404">
        <f t="shared" si="75"/>
        <v>5000</v>
      </c>
      <c r="R404">
        <v>5000</v>
      </c>
      <c r="S404">
        <f t="shared" si="76"/>
        <v>0</v>
      </c>
      <c r="U404">
        <f t="shared" si="77"/>
        <v>0</v>
      </c>
      <c r="V404">
        <f t="shared" si="78"/>
        <v>5000</v>
      </c>
      <c r="W404">
        <f t="shared" si="79"/>
        <v>0</v>
      </c>
      <c r="X404">
        <v>0</v>
      </c>
    </row>
    <row r="405" spans="1:24" x14ac:dyDescent="0.3">
      <c r="A405" t="s">
        <v>552</v>
      </c>
      <c r="B405" t="s">
        <v>573</v>
      </c>
      <c r="C405">
        <v>29657000</v>
      </c>
      <c r="D405" t="s">
        <v>130</v>
      </c>
      <c r="E405" t="s">
        <v>36</v>
      </c>
      <c r="F405" t="s">
        <v>1</v>
      </c>
      <c r="G405" t="s">
        <v>354</v>
      </c>
      <c r="H405" t="s">
        <v>207</v>
      </c>
      <c r="I405" t="s">
        <v>1</v>
      </c>
      <c r="J405">
        <v>4044.6</v>
      </c>
      <c r="K405">
        <v>4697.0000000004002</v>
      </c>
      <c r="L405">
        <v>1604.65</v>
      </c>
      <c r="M405">
        <v>3235.8964088397793</v>
      </c>
      <c r="N405">
        <v>3213.7599999999998</v>
      </c>
      <c r="O405">
        <v>3209.3</v>
      </c>
      <c r="P405">
        <v>0</v>
      </c>
      <c r="Q405">
        <f t="shared" si="75"/>
        <v>3209.3</v>
      </c>
      <c r="R405">
        <v>3209.3</v>
      </c>
      <c r="S405">
        <f t="shared" si="76"/>
        <v>0</v>
      </c>
      <c r="T405">
        <v>0.03</v>
      </c>
      <c r="U405">
        <f t="shared" si="77"/>
        <v>96.278999999999996</v>
      </c>
      <c r="V405">
        <f t="shared" si="78"/>
        <v>3305.5790000000002</v>
      </c>
      <c r="W405">
        <f t="shared" si="79"/>
        <v>96.278999999999996</v>
      </c>
      <c r="X405">
        <v>0</v>
      </c>
    </row>
    <row r="406" spans="1:24" x14ac:dyDescent="0.3">
      <c r="A406" t="s">
        <v>552</v>
      </c>
      <c r="B406" t="s">
        <v>573</v>
      </c>
      <c r="C406">
        <v>29657000</v>
      </c>
      <c r="D406" t="s">
        <v>130</v>
      </c>
      <c r="E406" t="s">
        <v>98</v>
      </c>
      <c r="F406" t="s">
        <v>1</v>
      </c>
      <c r="G406" t="s">
        <v>354</v>
      </c>
      <c r="H406" t="s">
        <v>304</v>
      </c>
      <c r="I406" t="s">
        <v>1</v>
      </c>
      <c r="J406">
        <v>16195.28</v>
      </c>
      <c r="K406">
        <v>14784</v>
      </c>
      <c r="L406">
        <v>7133.31</v>
      </c>
      <c r="M406">
        <v>14384.851657458565</v>
      </c>
      <c r="N406">
        <v>12909.699999999999</v>
      </c>
      <c r="O406">
        <v>14266.62</v>
      </c>
      <c r="P406">
        <v>0</v>
      </c>
      <c r="Q406">
        <f t="shared" si="75"/>
        <v>14266.62</v>
      </c>
      <c r="R406">
        <v>14266.62</v>
      </c>
      <c r="S406">
        <f t="shared" si="76"/>
        <v>0</v>
      </c>
      <c r="T406">
        <v>0.03</v>
      </c>
      <c r="U406">
        <f t="shared" si="77"/>
        <v>427.99860000000001</v>
      </c>
      <c r="V406">
        <f t="shared" si="78"/>
        <v>14694.618600000002</v>
      </c>
      <c r="W406">
        <f t="shared" si="79"/>
        <v>427.99860000000081</v>
      </c>
      <c r="X406" t="s">
        <v>492</v>
      </c>
    </row>
    <row r="407" spans="1:24" x14ac:dyDescent="0.3">
      <c r="A407" t="s">
        <v>552</v>
      </c>
      <c r="B407" t="s">
        <v>573</v>
      </c>
      <c r="C407">
        <v>29657000</v>
      </c>
      <c r="D407" t="s">
        <v>130</v>
      </c>
      <c r="E407" t="s">
        <v>101</v>
      </c>
      <c r="F407" t="s">
        <v>1</v>
      </c>
      <c r="G407" t="s">
        <v>354</v>
      </c>
      <c r="H407" t="s">
        <v>307</v>
      </c>
      <c r="I407" t="s">
        <v>1</v>
      </c>
      <c r="K407">
        <v>3276</v>
      </c>
      <c r="L407">
        <v>0</v>
      </c>
      <c r="M407">
        <v>0</v>
      </c>
      <c r="N407">
        <v>0</v>
      </c>
      <c r="P407">
        <v>0</v>
      </c>
      <c r="Q407">
        <f t="shared" si="75"/>
        <v>0</v>
      </c>
      <c r="R407">
        <v>0</v>
      </c>
      <c r="S407">
        <f t="shared" si="76"/>
        <v>0</v>
      </c>
      <c r="T407">
        <v>0.03</v>
      </c>
      <c r="U407">
        <f t="shared" si="77"/>
        <v>0</v>
      </c>
      <c r="V407">
        <f t="shared" si="78"/>
        <v>0</v>
      </c>
      <c r="W407">
        <f t="shared" si="79"/>
        <v>0</v>
      </c>
      <c r="X407">
        <v>0</v>
      </c>
    </row>
    <row r="408" spans="1:24" x14ac:dyDescent="0.3">
      <c r="A408" t="s">
        <v>552</v>
      </c>
      <c r="B408" t="s">
        <v>573</v>
      </c>
      <c r="C408">
        <v>29657000</v>
      </c>
      <c r="D408" t="s">
        <v>130</v>
      </c>
      <c r="E408" t="s">
        <v>41</v>
      </c>
      <c r="F408" t="s">
        <v>1</v>
      </c>
      <c r="G408" t="s">
        <v>354</v>
      </c>
      <c r="H408" t="s">
        <v>212</v>
      </c>
      <c r="I408" t="s">
        <v>1</v>
      </c>
      <c r="L408">
        <v>2735.23</v>
      </c>
      <c r="M408">
        <v>5515.7953038674032</v>
      </c>
      <c r="N408">
        <v>2735.23</v>
      </c>
      <c r="O408">
        <v>5470.46</v>
      </c>
      <c r="P408">
        <v>0</v>
      </c>
      <c r="Q408">
        <f t="shared" si="75"/>
        <v>5470.46</v>
      </c>
      <c r="R408">
        <v>5470.46</v>
      </c>
      <c r="S408">
        <f t="shared" si="76"/>
        <v>0</v>
      </c>
      <c r="T408">
        <v>0.03</v>
      </c>
      <c r="U408">
        <f t="shared" si="77"/>
        <v>164.1138</v>
      </c>
      <c r="V408">
        <f t="shared" si="78"/>
        <v>5634.5738000000001</v>
      </c>
      <c r="W408">
        <f t="shared" si="79"/>
        <v>164.11380000000008</v>
      </c>
      <c r="X408" t="s">
        <v>493</v>
      </c>
    </row>
    <row r="409" spans="1:24" x14ac:dyDescent="0.3">
      <c r="A409" t="s">
        <v>552</v>
      </c>
      <c r="B409" t="s">
        <v>573</v>
      </c>
      <c r="C409">
        <v>29657000</v>
      </c>
      <c r="D409" t="s">
        <v>130</v>
      </c>
      <c r="E409" t="s">
        <v>42</v>
      </c>
      <c r="F409" t="s">
        <v>1</v>
      </c>
      <c r="G409" t="s">
        <v>354</v>
      </c>
      <c r="H409" t="s">
        <v>213</v>
      </c>
      <c r="I409" t="s">
        <v>1</v>
      </c>
      <c r="J409">
        <v>923</v>
      </c>
      <c r="K409">
        <v>69.999999999600007</v>
      </c>
      <c r="L409">
        <v>0</v>
      </c>
      <c r="M409">
        <v>0</v>
      </c>
      <c r="N409">
        <v>888</v>
      </c>
      <c r="P409">
        <v>0</v>
      </c>
      <c r="Q409">
        <f t="shared" si="75"/>
        <v>0</v>
      </c>
      <c r="R409">
        <v>0</v>
      </c>
      <c r="S409">
        <f t="shared" si="76"/>
        <v>0</v>
      </c>
      <c r="T409">
        <v>0.03</v>
      </c>
      <c r="U409">
        <f t="shared" si="77"/>
        <v>0</v>
      </c>
      <c r="V409">
        <f t="shared" si="78"/>
        <v>0</v>
      </c>
      <c r="W409">
        <f t="shared" si="79"/>
        <v>0</v>
      </c>
      <c r="X409">
        <v>0</v>
      </c>
    </row>
    <row r="410" spans="1:24" x14ac:dyDescent="0.3">
      <c r="A410" t="s">
        <v>552</v>
      </c>
      <c r="B410" t="s">
        <v>573</v>
      </c>
      <c r="C410">
        <v>29657000</v>
      </c>
      <c r="D410" t="s">
        <v>130</v>
      </c>
      <c r="E410" t="s">
        <v>45</v>
      </c>
      <c r="F410" t="s">
        <v>45</v>
      </c>
      <c r="G410" t="s">
        <v>355</v>
      </c>
      <c r="J410">
        <v>896030.99999999988</v>
      </c>
      <c r="K410">
        <v>949977.63847520598</v>
      </c>
      <c r="L410">
        <v>535064.71000000008</v>
      </c>
      <c r="M410">
        <v>1078997.8958563539</v>
      </c>
      <c r="N410">
        <v>989246.57999999973</v>
      </c>
      <c r="O410">
        <v>1075754.4575283842</v>
      </c>
      <c r="P410">
        <f>SUMIF($F$390:$F$409,"&lt;&gt;EV_*",$P$390:$P$409)</f>
        <v>0</v>
      </c>
      <c r="Q410">
        <f>SUMIF($F$390:$F$409,"&lt;&gt;EV_*",$Q$390:$Q$409)</f>
        <v>1075754.4575283842</v>
      </c>
      <c r="R410">
        <f>SUMIF($F$390:$F$409,"&lt;&gt;EV_*",$R$390:$R$409)</f>
        <v>1073781.6424321539</v>
      </c>
      <c r="S410">
        <f>SUMIF($F$390:$F$409,"&lt;&gt;EV_*",$S$390:$S$409)</f>
        <v>-1972.8150962301804</v>
      </c>
      <c r="T410">
        <v>0</v>
      </c>
      <c r="U410">
        <f>SUMIF($F$390:$F$409,"&lt;&gt;EV_*",$U$390:$U$409)</f>
        <v>29847.569981828663</v>
      </c>
      <c r="V410">
        <f>SUMIF($F$390:$F$409,"&lt;&gt;EV_*",$V$390:$V$409)</f>
        <v>1103629.212413982</v>
      </c>
      <c r="W410">
        <f>SUMIF($F$390:$F$409,"&lt;&gt;EV_*",$W$390:$W$409)</f>
        <v>27874.754885598442</v>
      </c>
      <c r="X410">
        <f>SUMIF($F$390:$F$409,"&lt;&gt;EV_*",$X$390:$X$409)</f>
        <v>0</v>
      </c>
    </row>
    <row r="411" spans="1:24" x14ac:dyDescent="0.3">
      <c r="A411" t="s">
        <v>552</v>
      </c>
      <c r="B411" t="s">
        <v>574</v>
      </c>
      <c r="C411">
        <v>29661010</v>
      </c>
      <c r="D411" t="s">
        <v>131</v>
      </c>
      <c r="E411" t="s">
        <v>5</v>
      </c>
      <c r="F411" t="s">
        <v>5</v>
      </c>
      <c r="G411" t="s">
        <v>356</v>
      </c>
    </row>
    <row r="412" spans="1:24" x14ac:dyDescent="0.3">
      <c r="A412" t="s">
        <v>552</v>
      </c>
      <c r="B412" t="s">
        <v>574</v>
      </c>
      <c r="C412">
        <v>29661010</v>
      </c>
      <c r="D412" t="s">
        <v>131</v>
      </c>
      <c r="E412" t="s">
        <v>6</v>
      </c>
      <c r="F412" t="s">
        <v>1</v>
      </c>
      <c r="G412" t="s">
        <v>357</v>
      </c>
      <c r="H412" t="s">
        <v>177</v>
      </c>
      <c r="I412" t="s">
        <v>1</v>
      </c>
      <c r="J412">
        <v>5000</v>
      </c>
      <c r="L412">
        <v>0</v>
      </c>
      <c r="M412">
        <v>0</v>
      </c>
      <c r="N412">
        <v>5000</v>
      </c>
      <c r="P412">
        <v>0</v>
      </c>
      <c r="Q412">
        <f t="shared" ref="Q412:Q440" si="80">O412+P412</f>
        <v>0</v>
      </c>
      <c r="R412">
        <v>0</v>
      </c>
      <c r="S412">
        <f t="shared" ref="S412:S440" si="81">IF(OR(LEFT(E412,2)="A_",LEFT(D412,5)="Total"),R412-Q412,"")</f>
        <v>0</v>
      </c>
      <c r="U412">
        <f t="shared" ref="U412:U440" si="82">IFERROR(R412*T412,R412*0)</f>
        <v>0</v>
      </c>
      <c r="V412">
        <f t="shared" ref="V412:V440" si="83">IF(OR(LEFT(E412,2)="A_",LEFT(D412,5)="Total"),R412+U412,"")</f>
        <v>0</v>
      </c>
      <c r="W412">
        <f t="shared" ref="W412:W440" si="84">IF(OR(LEFT(E412,2)="A_",LEFT(D412,5)="Total"),V412-Q412,"")</f>
        <v>0</v>
      </c>
      <c r="X412">
        <v>0</v>
      </c>
    </row>
    <row r="413" spans="1:24" x14ac:dyDescent="0.3">
      <c r="A413" t="s">
        <v>552</v>
      </c>
      <c r="B413" t="s">
        <v>574</v>
      </c>
      <c r="C413">
        <v>29661010</v>
      </c>
      <c r="D413" t="s">
        <v>131</v>
      </c>
      <c r="E413" t="s">
        <v>8</v>
      </c>
      <c r="F413" t="s">
        <v>1</v>
      </c>
      <c r="G413" t="s">
        <v>357</v>
      </c>
      <c r="H413" t="s">
        <v>179</v>
      </c>
      <c r="I413" t="s">
        <v>1</v>
      </c>
      <c r="J413">
        <v>110</v>
      </c>
      <c r="K413">
        <v>1250.0003999999999</v>
      </c>
      <c r="L413">
        <v>0</v>
      </c>
      <c r="M413">
        <v>0</v>
      </c>
      <c r="N413">
        <v>0</v>
      </c>
      <c r="P413">
        <v>0</v>
      </c>
      <c r="Q413">
        <f t="shared" si="80"/>
        <v>0</v>
      </c>
      <c r="R413">
        <v>0</v>
      </c>
      <c r="S413">
        <f t="shared" si="81"/>
        <v>0</v>
      </c>
      <c r="U413">
        <f t="shared" si="82"/>
        <v>0</v>
      </c>
      <c r="V413">
        <f t="shared" si="83"/>
        <v>0</v>
      </c>
      <c r="W413">
        <f t="shared" si="84"/>
        <v>0</v>
      </c>
      <c r="X413">
        <v>0</v>
      </c>
    </row>
    <row r="414" spans="1:24" x14ac:dyDescent="0.3">
      <c r="A414" t="s">
        <v>552</v>
      </c>
      <c r="B414" t="s">
        <v>574</v>
      </c>
      <c r="C414">
        <v>29661010</v>
      </c>
      <c r="D414" t="s">
        <v>131</v>
      </c>
      <c r="E414" t="s">
        <v>10</v>
      </c>
      <c r="F414" t="s">
        <v>1</v>
      </c>
      <c r="G414" t="s">
        <v>357</v>
      </c>
      <c r="H414" t="s">
        <v>181</v>
      </c>
      <c r="I414" t="s">
        <v>1</v>
      </c>
      <c r="J414">
        <v>697593.93</v>
      </c>
      <c r="K414">
        <v>706164</v>
      </c>
      <c r="L414">
        <v>354847.35</v>
      </c>
      <c r="M414">
        <v>715576.14779005526</v>
      </c>
      <c r="N414">
        <v>707929.29</v>
      </c>
      <c r="O414">
        <v>709694.7</v>
      </c>
      <c r="P414">
        <v>0</v>
      </c>
      <c r="Q414">
        <f t="shared" si="80"/>
        <v>709694.7</v>
      </c>
      <c r="R414">
        <v>740077.39</v>
      </c>
      <c r="S414">
        <f t="shared" si="81"/>
        <v>30382.690000000061</v>
      </c>
      <c r="U414">
        <f t="shared" si="82"/>
        <v>0</v>
      </c>
      <c r="V414">
        <f t="shared" si="83"/>
        <v>740077.39</v>
      </c>
      <c r="W414">
        <f t="shared" si="84"/>
        <v>30382.690000000061</v>
      </c>
      <c r="X414" t="s">
        <v>494</v>
      </c>
    </row>
    <row r="415" spans="1:24" x14ac:dyDescent="0.3">
      <c r="A415" t="s">
        <v>552</v>
      </c>
      <c r="B415" t="s">
        <v>574</v>
      </c>
      <c r="C415">
        <v>29661010</v>
      </c>
      <c r="D415" t="s">
        <v>131</v>
      </c>
      <c r="E415" t="s">
        <v>12</v>
      </c>
      <c r="F415" t="s">
        <v>1</v>
      </c>
      <c r="G415" t="s">
        <v>357</v>
      </c>
      <c r="H415" t="s">
        <v>183</v>
      </c>
      <c r="I415" t="s">
        <v>1</v>
      </c>
      <c r="J415">
        <v>974.79</v>
      </c>
      <c r="K415">
        <v>868.31039999999996</v>
      </c>
      <c r="L415">
        <v>451.3</v>
      </c>
      <c r="M415">
        <v>910.08011049723757</v>
      </c>
      <c r="N415">
        <v>919.68000000000006</v>
      </c>
      <c r="O415">
        <v>902.6</v>
      </c>
      <c r="P415">
        <v>0</v>
      </c>
      <c r="Q415">
        <f t="shared" si="80"/>
        <v>902.6</v>
      </c>
      <c r="R415">
        <v>1800</v>
      </c>
      <c r="S415">
        <f t="shared" si="81"/>
        <v>897.4</v>
      </c>
      <c r="U415">
        <f t="shared" si="82"/>
        <v>0</v>
      </c>
      <c r="V415">
        <f t="shared" si="83"/>
        <v>1800</v>
      </c>
      <c r="W415">
        <f t="shared" si="84"/>
        <v>897.4</v>
      </c>
      <c r="X415" t="s">
        <v>495</v>
      </c>
    </row>
    <row r="416" spans="1:24" x14ac:dyDescent="0.3">
      <c r="A416" t="s">
        <v>552</v>
      </c>
      <c r="B416" t="s">
        <v>574</v>
      </c>
      <c r="C416">
        <v>29661010</v>
      </c>
      <c r="D416" t="s">
        <v>131</v>
      </c>
      <c r="E416" t="s">
        <v>13</v>
      </c>
      <c r="F416" t="s">
        <v>1</v>
      </c>
      <c r="G416" t="s">
        <v>357</v>
      </c>
      <c r="H416" t="s">
        <v>184</v>
      </c>
      <c r="I416" t="s">
        <v>1</v>
      </c>
      <c r="L416">
        <v>910.4</v>
      </c>
      <c r="M416">
        <v>1835.889502762431</v>
      </c>
      <c r="N416">
        <v>910.4</v>
      </c>
      <c r="O416">
        <v>1820.8</v>
      </c>
      <c r="P416">
        <v>0</v>
      </c>
      <c r="Q416">
        <f t="shared" si="80"/>
        <v>1820.8</v>
      </c>
      <c r="R416">
        <v>910.4</v>
      </c>
      <c r="S416">
        <f t="shared" si="81"/>
        <v>-910.4</v>
      </c>
      <c r="U416">
        <f t="shared" si="82"/>
        <v>0</v>
      </c>
      <c r="V416">
        <f t="shared" si="83"/>
        <v>910.4</v>
      </c>
      <c r="W416">
        <f t="shared" si="84"/>
        <v>-910.4</v>
      </c>
      <c r="X416" t="s">
        <v>496</v>
      </c>
    </row>
    <row r="417" spans="1:24" x14ac:dyDescent="0.3">
      <c r="A417" t="s">
        <v>552</v>
      </c>
      <c r="B417" t="s">
        <v>574</v>
      </c>
      <c r="C417">
        <v>29661010</v>
      </c>
      <c r="D417" t="s">
        <v>131</v>
      </c>
      <c r="E417" t="s">
        <v>14</v>
      </c>
      <c r="F417" t="s">
        <v>1</v>
      </c>
      <c r="G417" t="s">
        <v>357</v>
      </c>
      <c r="H417" t="s">
        <v>185</v>
      </c>
      <c r="I417" t="s">
        <v>1</v>
      </c>
      <c r="J417">
        <v>236.79</v>
      </c>
      <c r="L417">
        <v>68.66</v>
      </c>
      <c r="M417">
        <v>138.45801104972375</v>
      </c>
      <c r="N417">
        <v>305.45</v>
      </c>
      <c r="O417">
        <v>137.32</v>
      </c>
      <c r="P417">
        <v>0</v>
      </c>
      <c r="Q417">
        <f t="shared" si="80"/>
        <v>137.32</v>
      </c>
      <c r="R417">
        <v>212.28000000000003</v>
      </c>
      <c r="S417">
        <f t="shared" si="81"/>
        <v>74.960000000000036</v>
      </c>
      <c r="U417">
        <f t="shared" si="82"/>
        <v>0</v>
      </c>
      <c r="V417">
        <f t="shared" si="83"/>
        <v>212.28000000000003</v>
      </c>
      <c r="W417">
        <f t="shared" si="84"/>
        <v>74.960000000000036</v>
      </c>
      <c r="X417" t="s">
        <v>497</v>
      </c>
    </row>
    <row r="418" spans="1:24" x14ac:dyDescent="0.3">
      <c r="A418" t="s">
        <v>552</v>
      </c>
      <c r="B418" t="s">
        <v>574</v>
      </c>
      <c r="C418">
        <v>29661010</v>
      </c>
      <c r="D418" t="s">
        <v>131</v>
      </c>
      <c r="E418" t="s">
        <v>16</v>
      </c>
      <c r="F418" t="s">
        <v>1</v>
      </c>
      <c r="G418" t="s">
        <v>357</v>
      </c>
      <c r="H418" t="s">
        <v>187</v>
      </c>
      <c r="I418" t="s">
        <v>1</v>
      </c>
      <c r="K418">
        <v>152.99999999990001</v>
      </c>
      <c r="L418">
        <v>0</v>
      </c>
      <c r="M418">
        <v>0</v>
      </c>
      <c r="N418">
        <v>0</v>
      </c>
      <c r="P418">
        <v>0</v>
      </c>
      <c r="Q418">
        <f t="shared" si="80"/>
        <v>0</v>
      </c>
      <c r="R418">
        <v>0</v>
      </c>
      <c r="S418">
        <f t="shared" si="81"/>
        <v>0</v>
      </c>
      <c r="T418">
        <v>0.02</v>
      </c>
      <c r="U418">
        <f t="shared" si="82"/>
        <v>0</v>
      </c>
      <c r="V418">
        <f t="shared" si="83"/>
        <v>0</v>
      </c>
      <c r="W418">
        <f t="shared" si="84"/>
        <v>0</v>
      </c>
      <c r="X418">
        <v>0</v>
      </c>
    </row>
    <row r="419" spans="1:24" x14ac:dyDescent="0.3">
      <c r="A419" t="s">
        <v>552</v>
      </c>
      <c r="B419" t="s">
        <v>574</v>
      </c>
      <c r="C419">
        <v>29661010</v>
      </c>
      <c r="D419" t="s">
        <v>131</v>
      </c>
      <c r="E419" t="s">
        <v>53</v>
      </c>
      <c r="F419" t="s">
        <v>1</v>
      </c>
      <c r="G419" t="s">
        <v>357</v>
      </c>
      <c r="H419" t="s">
        <v>229</v>
      </c>
      <c r="I419" t="s">
        <v>1</v>
      </c>
      <c r="L419">
        <v>279</v>
      </c>
      <c r="M419">
        <v>562.62430939226522</v>
      </c>
      <c r="N419">
        <v>279</v>
      </c>
      <c r="O419">
        <v>561.06593406590002</v>
      </c>
      <c r="P419">
        <v>0</v>
      </c>
      <c r="Q419">
        <f t="shared" si="80"/>
        <v>561.06593406590002</v>
      </c>
      <c r="R419">
        <v>0</v>
      </c>
      <c r="S419">
        <f t="shared" si="81"/>
        <v>-561.06593406590002</v>
      </c>
      <c r="T419">
        <v>0.04</v>
      </c>
      <c r="U419">
        <f t="shared" si="82"/>
        <v>0</v>
      </c>
      <c r="V419">
        <f t="shared" si="83"/>
        <v>0</v>
      </c>
      <c r="W419">
        <f t="shared" si="84"/>
        <v>-561.06593406590002</v>
      </c>
      <c r="X419">
        <v>0</v>
      </c>
    </row>
    <row r="420" spans="1:24" x14ac:dyDescent="0.3">
      <c r="A420" t="s">
        <v>552</v>
      </c>
      <c r="B420" t="s">
        <v>574</v>
      </c>
      <c r="C420">
        <v>29661010</v>
      </c>
      <c r="D420" t="s">
        <v>131</v>
      </c>
      <c r="E420" t="s">
        <v>17</v>
      </c>
      <c r="F420" t="s">
        <v>1</v>
      </c>
      <c r="G420" t="s">
        <v>357</v>
      </c>
      <c r="H420" t="s">
        <v>188</v>
      </c>
      <c r="I420" t="s">
        <v>1</v>
      </c>
      <c r="J420">
        <v>151.22999999999999</v>
      </c>
      <c r="L420">
        <v>0</v>
      </c>
      <c r="M420">
        <v>0</v>
      </c>
      <c r="N420">
        <v>151.22999999999999</v>
      </c>
      <c r="P420">
        <v>0</v>
      </c>
      <c r="Q420">
        <f t="shared" si="80"/>
        <v>0</v>
      </c>
      <c r="R420">
        <v>0</v>
      </c>
      <c r="S420">
        <f t="shared" si="81"/>
        <v>0</v>
      </c>
      <c r="T420">
        <v>0.03</v>
      </c>
      <c r="U420">
        <f t="shared" si="82"/>
        <v>0</v>
      </c>
      <c r="V420">
        <f t="shared" si="83"/>
        <v>0</v>
      </c>
      <c r="W420">
        <f t="shared" si="84"/>
        <v>0</v>
      </c>
      <c r="X420">
        <v>0</v>
      </c>
    </row>
    <row r="421" spans="1:24" x14ac:dyDescent="0.3">
      <c r="A421" t="s">
        <v>552</v>
      </c>
      <c r="B421" t="s">
        <v>574</v>
      </c>
      <c r="C421">
        <v>29661010</v>
      </c>
      <c r="D421" t="s">
        <v>131</v>
      </c>
      <c r="E421" t="s">
        <v>18</v>
      </c>
      <c r="F421" t="s">
        <v>1</v>
      </c>
      <c r="G421" t="s">
        <v>357</v>
      </c>
      <c r="H421" t="s">
        <v>189</v>
      </c>
      <c r="I421" t="s">
        <v>1</v>
      </c>
      <c r="J421">
        <v>837.71</v>
      </c>
      <c r="K421">
        <v>517.50000000010004</v>
      </c>
      <c r="L421">
        <v>203.39</v>
      </c>
      <c r="M421">
        <v>410.15110497237566</v>
      </c>
      <c r="N421">
        <v>754.56999999999994</v>
      </c>
      <c r="O421">
        <v>410.15110497239999</v>
      </c>
      <c r="P421">
        <v>0</v>
      </c>
      <c r="Q421">
        <f t="shared" si="80"/>
        <v>410.15110497239999</v>
      </c>
      <c r="R421">
        <v>2400</v>
      </c>
      <c r="S421">
        <f t="shared" si="81"/>
        <v>1989.8488950276001</v>
      </c>
      <c r="T421">
        <v>3.5000000000000003E-2</v>
      </c>
      <c r="U421">
        <f t="shared" si="82"/>
        <v>84.000000000000014</v>
      </c>
      <c r="V421">
        <f t="shared" si="83"/>
        <v>2484</v>
      </c>
      <c r="W421">
        <f t="shared" si="84"/>
        <v>2073.8488950276001</v>
      </c>
      <c r="X421" t="s">
        <v>498</v>
      </c>
    </row>
    <row r="422" spans="1:24" x14ac:dyDescent="0.3">
      <c r="A422" t="s">
        <v>552</v>
      </c>
      <c r="B422" t="s">
        <v>574</v>
      </c>
      <c r="C422">
        <v>29661010</v>
      </c>
      <c r="D422" t="s">
        <v>131</v>
      </c>
      <c r="E422" t="s">
        <v>19</v>
      </c>
      <c r="F422" t="s">
        <v>1</v>
      </c>
      <c r="G422" t="s">
        <v>357</v>
      </c>
      <c r="H422" t="s">
        <v>190</v>
      </c>
      <c r="I422" t="s">
        <v>1</v>
      </c>
      <c r="L422">
        <v>1287</v>
      </c>
      <c r="M422">
        <v>2595.3314917127072</v>
      </c>
      <c r="N422">
        <v>1287</v>
      </c>
      <c r="O422">
        <v>2595.3314917127</v>
      </c>
      <c r="P422">
        <v>0</v>
      </c>
      <c r="Q422">
        <f t="shared" si="80"/>
        <v>2595.3314917127</v>
      </c>
      <c r="R422">
        <v>2595.3314917127</v>
      </c>
      <c r="S422">
        <f t="shared" si="81"/>
        <v>0</v>
      </c>
      <c r="T422">
        <v>3.5000000000000003E-2</v>
      </c>
      <c r="U422">
        <f t="shared" si="82"/>
        <v>90.836602209944502</v>
      </c>
      <c r="V422">
        <f t="shared" si="83"/>
        <v>2686.1680939226444</v>
      </c>
      <c r="W422">
        <f t="shared" si="84"/>
        <v>90.836602209944431</v>
      </c>
      <c r="X422" t="s">
        <v>499</v>
      </c>
    </row>
    <row r="423" spans="1:24" x14ac:dyDescent="0.3">
      <c r="A423" t="s">
        <v>552</v>
      </c>
      <c r="B423" t="s">
        <v>574</v>
      </c>
      <c r="C423">
        <v>29661010</v>
      </c>
      <c r="D423" t="s">
        <v>131</v>
      </c>
      <c r="E423" t="s">
        <v>20</v>
      </c>
      <c r="F423" t="s">
        <v>1</v>
      </c>
      <c r="G423" t="s">
        <v>357</v>
      </c>
      <c r="H423" t="s">
        <v>191</v>
      </c>
      <c r="I423" t="s">
        <v>1</v>
      </c>
      <c r="J423">
        <v>6622.32</v>
      </c>
      <c r="K423">
        <v>9600</v>
      </c>
      <c r="L423">
        <v>3053.03</v>
      </c>
      <c r="M423">
        <v>6156.6627071823204</v>
      </c>
      <c r="N423">
        <v>4857.130000000001</v>
      </c>
      <c r="O423">
        <v>6106.06</v>
      </c>
      <c r="P423">
        <v>0</v>
      </c>
      <c r="Q423">
        <f t="shared" si="80"/>
        <v>6106.06</v>
      </c>
      <c r="R423">
        <v>6100</v>
      </c>
      <c r="S423">
        <f t="shared" si="81"/>
        <v>-6.0600000000004002</v>
      </c>
      <c r="U423">
        <f t="shared" si="82"/>
        <v>0</v>
      </c>
      <c r="V423">
        <f t="shared" si="83"/>
        <v>6100</v>
      </c>
      <c r="W423">
        <f t="shared" si="84"/>
        <v>-6.0600000000004002</v>
      </c>
      <c r="X423" t="s">
        <v>500</v>
      </c>
    </row>
    <row r="424" spans="1:24" x14ac:dyDescent="0.3">
      <c r="A424" t="s">
        <v>552</v>
      </c>
      <c r="B424" t="s">
        <v>574</v>
      </c>
      <c r="C424">
        <v>29661010</v>
      </c>
      <c r="D424" t="s">
        <v>131</v>
      </c>
      <c r="E424" t="s">
        <v>21</v>
      </c>
      <c r="F424" t="s">
        <v>1</v>
      </c>
      <c r="G424" t="s">
        <v>357</v>
      </c>
      <c r="H424" t="s">
        <v>192</v>
      </c>
      <c r="I424" t="s">
        <v>1</v>
      </c>
      <c r="J424">
        <v>1497.84</v>
      </c>
      <c r="K424">
        <v>999.99959999999999</v>
      </c>
      <c r="L424">
        <v>83.62</v>
      </c>
      <c r="M424">
        <v>168.62596685082872</v>
      </c>
      <c r="N424">
        <v>340.95</v>
      </c>
      <c r="O424">
        <v>167.24</v>
      </c>
      <c r="P424">
        <v>0</v>
      </c>
      <c r="Q424">
        <f t="shared" si="80"/>
        <v>167.24</v>
      </c>
      <c r="R424">
        <v>167.24</v>
      </c>
      <c r="S424">
        <f t="shared" si="81"/>
        <v>0</v>
      </c>
      <c r="U424">
        <f t="shared" si="82"/>
        <v>0</v>
      </c>
      <c r="V424">
        <f t="shared" si="83"/>
        <v>167.24</v>
      </c>
      <c r="W424">
        <f t="shared" si="84"/>
        <v>0</v>
      </c>
      <c r="X424" t="s">
        <v>501</v>
      </c>
    </row>
    <row r="425" spans="1:24" x14ac:dyDescent="0.3">
      <c r="A425" t="s">
        <v>552</v>
      </c>
      <c r="B425" t="s">
        <v>574</v>
      </c>
      <c r="C425">
        <v>29661010</v>
      </c>
      <c r="D425" t="s">
        <v>131</v>
      </c>
      <c r="E425" t="s">
        <v>22</v>
      </c>
      <c r="F425" t="s">
        <v>1</v>
      </c>
      <c r="G425" t="s">
        <v>357</v>
      </c>
      <c r="H425" t="s">
        <v>193</v>
      </c>
      <c r="I425" t="s">
        <v>1</v>
      </c>
      <c r="J425">
        <v>4444.7</v>
      </c>
      <c r="K425">
        <v>21999.999599999999</v>
      </c>
      <c r="L425">
        <v>1242.0999999999999</v>
      </c>
      <c r="M425">
        <v>2504.7872928176794</v>
      </c>
      <c r="N425">
        <v>2987.1</v>
      </c>
      <c r="O425">
        <v>2484.1999999999998</v>
      </c>
      <c r="P425">
        <v>0</v>
      </c>
      <c r="Q425">
        <f t="shared" si="80"/>
        <v>2484.1999999999998</v>
      </c>
      <c r="R425">
        <v>20000</v>
      </c>
      <c r="S425">
        <f t="shared" si="81"/>
        <v>17515.8</v>
      </c>
      <c r="U425">
        <f t="shared" si="82"/>
        <v>0</v>
      </c>
      <c r="V425">
        <f t="shared" si="83"/>
        <v>20000</v>
      </c>
      <c r="W425">
        <f t="shared" si="84"/>
        <v>17515.8</v>
      </c>
      <c r="X425" t="s">
        <v>502</v>
      </c>
    </row>
    <row r="426" spans="1:24" x14ac:dyDescent="0.3">
      <c r="A426" t="s">
        <v>552</v>
      </c>
      <c r="B426" t="s">
        <v>574</v>
      </c>
      <c r="C426">
        <v>29661010</v>
      </c>
      <c r="D426" t="s">
        <v>131</v>
      </c>
      <c r="E426" t="s">
        <v>23</v>
      </c>
      <c r="F426" t="s">
        <v>1</v>
      </c>
      <c r="G426" t="s">
        <v>357</v>
      </c>
      <c r="H426" t="s">
        <v>194</v>
      </c>
      <c r="I426" t="s">
        <v>1</v>
      </c>
      <c r="J426">
        <v>222</v>
      </c>
      <c r="K426">
        <v>150</v>
      </c>
      <c r="L426">
        <v>0</v>
      </c>
      <c r="M426">
        <v>0</v>
      </c>
      <c r="N426">
        <v>148</v>
      </c>
      <c r="P426">
        <v>0</v>
      </c>
      <c r="Q426">
        <f t="shared" si="80"/>
        <v>0</v>
      </c>
      <c r="R426">
        <v>0</v>
      </c>
      <c r="S426">
        <f t="shared" si="81"/>
        <v>0</v>
      </c>
      <c r="U426">
        <f t="shared" si="82"/>
        <v>0</v>
      </c>
      <c r="V426">
        <f t="shared" si="83"/>
        <v>0</v>
      </c>
      <c r="W426">
        <f t="shared" si="84"/>
        <v>0</v>
      </c>
      <c r="X426">
        <v>0</v>
      </c>
    </row>
    <row r="427" spans="1:24" x14ac:dyDescent="0.3">
      <c r="A427" t="s">
        <v>552</v>
      </c>
      <c r="B427" t="s">
        <v>574</v>
      </c>
      <c r="C427">
        <v>29661010</v>
      </c>
      <c r="D427" t="s">
        <v>131</v>
      </c>
      <c r="E427" t="s">
        <v>24</v>
      </c>
      <c r="F427" t="s">
        <v>1</v>
      </c>
      <c r="G427" t="s">
        <v>357</v>
      </c>
      <c r="H427" t="s">
        <v>195</v>
      </c>
      <c r="I427" t="s">
        <v>1</v>
      </c>
      <c r="J427">
        <v>1082.5</v>
      </c>
      <c r="K427">
        <v>399.99959999999999</v>
      </c>
      <c r="L427">
        <v>150.19</v>
      </c>
      <c r="M427">
        <v>302.86933701657455</v>
      </c>
      <c r="N427">
        <v>932.69</v>
      </c>
      <c r="O427">
        <v>300.38</v>
      </c>
      <c r="P427">
        <v>0</v>
      </c>
      <c r="Q427">
        <f t="shared" si="80"/>
        <v>300.38</v>
      </c>
      <c r="R427">
        <v>300.38</v>
      </c>
      <c r="S427">
        <f t="shared" si="81"/>
        <v>0</v>
      </c>
      <c r="U427">
        <f t="shared" si="82"/>
        <v>0</v>
      </c>
      <c r="V427">
        <f t="shared" si="83"/>
        <v>300.38</v>
      </c>
      <c r="W427">
        <f t="shared" si="84"/>
        <v>0</v>
      </c>
      <c r="X427">
        <v>0</v>
      </c>
    </row>
    <row r="428" spans="1:24" x14ac:dyDescent="0.3">
      <c r="A428" t="s">
        <v>552</v>
      </c>
      <c r="B428" t="s">
        <v>574</v>
      </c>
      <c r="C428">
        <v>29661010</v>
      </c>
      <c r="D428" t="s">
        <v>131</v>
      </c>
      <c r="E428" t="s">
        <v>27</v>
      </c>
      <c r="F428" t="s">
        <v>1</v>
      </c>
      <c r="G428" t="s">
        <v>357</v>
      </c>
      <c r="H428" t="s">
        <v>198</v>
      </c>
      <c r="I428" t="s">
        <v>1</v>
      </c>
      <c r="J428">
        <v>281.39999999999998</v>
      </c>
      <c r="L428">
        <v>0</v>
      </c>
      <c r="M428">
        <v>0</v>
      </c>
      <c r="N428">
        <v>0</v>
      </c>
      <c r="P428">
        <v>0</v>
      </c>
      <c r="Q428">
        <f t="shared" si="80"/>
        <v>0</v>
      </c>
      <c r="R428">
        <v>0</v>
      </c>
      <c r="S428">
        <f t="shared" si="81"/>
        <v>0</v>
      </c>
      <c r="U428">
        <f t="shared" si="82"/>
        <v>0</v>
      </c>
      <c r="V428">
        <f t="shared" si="83"/>
        <v>0</v>
      </c>
      <c r="W428">
        <f t="shared" si="84"/>
        <v>0</v>
      </c>
      <c r="X428">
        <v>0</v>
      </c>
    </row>
    <row r="429" spans="1:24" x14ac:dyDescent="0.3">
      <c r="A429" t="s">
        <v>552</v>
      </c>
      <c r="B429" t="s">
        <v>574</v>
      </c>
      <c r="C429">
        <v>29661010</v>
      </c>
      <c r="D429" t="s">
        <v>131</v>
      </c>
      <c r="E429" t="s">
        <v>29</v>
      </c>
      <c r="F429" t="s">
        <v>1</v>
      </c>
      <c r="G429" t="s">
        <v>357</v>
      </c>
      <c r="H429" t="s">
        <v>200</v>
      </c>
      <c r="I429" t="s">
        <v>1</v>
      </c>
      <c r="J429">
        <v>1520.4</v>
      </c>
      <c r="K429">
        <v>1299.9996000000001</v>
      </c>
      <c r="L429">
        <v>819.79</v>
      </c>
      <c r="M429">
        <v>1653.1676795580111</v>
      </c>
      <c r="N429">
        <v>2340.19</v>
      </c>
      <c r="O429">
        <v>1639.58</v>
      </c>
      <c r="P429">
        <v>0</v>
      </c>
      <c r="Q429">
        <f t="shared" si="80"/>
        <v>1639.58</v>
      </c>
      <c r="R429">
        <v>1500</v>
      </c>
      <c r="S429">
        <f t="shared" si="81"/>
        <v>-139.57999999999993</v>
      </c>
      <c r="U429">
        <f t="shared" si="82"/>
        <v>0</v>
      </c>
      <c r="V429">
        <f t="shared" si="83"/>
        <v>1500</v>
      </c>
      <c r="W429">
        <f t="shared" si="84"/>
        <v>-139.57999999999993</v>
      </c>
      <c r="X429" t="s">
        <v>503</v>
      </c>
    </row>
    <row r="430" spans="1:24" x14ac:dyDescent="0.3">
      <c r="A430" t="s">
        <v>552</v>
      </c>
      <c r="B430" t="s">
        <v>574</v>
      </c>
      <c r="C430">
        <v>29661010</v>
      </c>
      <c r="D430" t="s">
        <v>131</v>
      </c>
      <c r="E430" t="s">
        <v>30</v>
      </c>
      <c r="F430" t="s">
        <v>1</v>
      </c>
      <c r="G430" t="s">
        <v>357</v>
      </c>
      <c r="H430" t="s">
        <v>201</v>
      </c>
      <c r="I430" t="s">
        <v>1</v>
      </c>
      <c r="J430">
        <v>2762.99</v>
      </c>
      <c r="K430">
        <v>3200.0003999999999</v>
      </c>
      <c r="L430">
        <v>264</v>
      </c>
      <c r="M430">
        <v>532.37569060773478</v>
      </c>
      <c r="N430">
        <v>2153.2300000000005</v>
      </c>
      <c r="O430">
        <v>528</v>
      </c>
      <c r="P430">
        <v>0</v>
      </c>
      <c r="Q430">
        <f t="shared" si="80"/>
        <v>528</v>
      </c>
      <c r="R430">
        <v>1000</v>
      </c>
      <c r="S430">
        <f t="shared" si="81"/>
        <v>472</v>
      </c>
      <c r="U430">
        <f t="shared" si="82"/>
        <v>0</v>
      </c>
      <c r="V430">
        <f t="shared" si="83"/>
        <v>1000</v>
      </c>
      <c r="W430">
        <f t="shared" si="84"/>
        <v>472</v>
      </c>
      <c r="X430">
        <v>0</v>
      </c>
    </row>
    <row r="431" spans="1:24" x14ac:dyDescent="0.3">
      <c r="A431" t="s">
        <v>552</v>
      </c>
      <c r="B431" t="s">
        <v>574</v>
      </c>
      <c r="C431">
        <v>29661010</v>
      </c>
      <c r="D431" t="s">
        <v>131</v>
      </c>
      <c r="E431" t="s">
        <v>31</v>
      </c>
      <c r="F431" t="s">
        <v>1</v>
      </c>
      <c r="G431" t="s">
        <v>357</v>
      </c>
      <c r="H431" t="s">
        <v>202</v>
      </c>
      <c r="I431" t="s">
        <v>1</v>
      </c>
      <c r="J431">
        <v>329.51</v>
      </c>
      <c r="K431">
        <v>2000.0003999999999</v>
      </c>
      <c r="L431">
        <v>0</v>
      </c>
      <c r="M431">
        <v>0</v>
      </c>
      <c r="N431">
        <v>329.51</v>
      </c>
      <c r="P431">
        <v>0</v>
      </c>
      <c r="Q431">
        <f t="shared" si="80"/>
        <v>0</v>
      </c>
      <c r="R431">
        <v>0</v>
      </c>
      <c r="S431">
        <f t="shared" si="81"/>
        <v>0</v>
      </c>
      <c r="U431">
        <f t="shared" si="82"/>
        <v>0</v>
      </c>
      <c r="V431">
        <f t="shared" si="83"/>
        <v>0</v>
      </c>
      <c r="W431">
        <f t="shared" si="84"/>
        <v>0</v>
      </c>
      <c r="X431">
        <v>0</v>
      </c>
    </row>
    <row r="432" spans="1:24" x14ac:dyDescent="0.3">
      <c r="A432" t="s">
        <v>552</v>
      </c>
      <c r="B432" t="s">
        <v>574</v>
      </c>
      <c r="C432">
        <v>29661010</v>
      </c>
      <c r="D432" t="s">
        <v>131</v>
      </c>
      <c r="E432" t="s">
        <v>35</v>
      </c>
      <c r="F432" t="s">
        <v>1</v>
      </c>
      <c r="G432" t="s">
        <v>357</v>
      </c>
      <c r="H432" t="s">
        <v>206</v>
      </c>
      <c r="I432" t="s">
        <v>1</v>
      </c>
      <c r="J432">
        <v>496.75</v>
      </c>
      <c r="L432">
        <v>0</v>
      </c>
      <c r="M432">
        <v>0</v>
      </c>
      <c r="N432">
        <v>0</v>
      </c>
      <c r="P432">
        <v>0</v>
      </c>
      <c r="Q432">
        <f t="shared" si="80"/>
        <v>0</v>
      </c>
      <c r="R432">
        <v>0</v>
      </c>
      <c r="S432">
        <f t="shared" si="81"/>
        <v>0</v>
      </c>
      <c r="T432">
        <v>0.03</v>
      </c>
      <c r="U432">
        <f t="shared" si="82"/>
        <v>0</v>
      </c>
      <c r="V432">
        <f t="shared" si="83"/>
        <v>0</v>
      </c>
      <c r="W432">
        <f t="shared" si="84"/>
        <v>0</v>
      </c>
      <c r="X432">
        <v>0</v>
      </c>
    </row>
    <row r="433" spans="1:24" x14ac:dyDescent="0.3">
      <c r="A433" t="s">
        <v>552</v>
      </c>
      <c r="B433" t="s">
        <v>574</v>
      </c>
      <c r="C433">
        <v>29661010</v>
      </c>
      <c r="D433" t="s">
        <v>131</v>
      </c>
      <c r="E433" t="s">
        <v>36</v>
      </c>
      <c r="F433" t="s">
        <v>1</v>
      </c>
      <c r="G433" t="s">
        <v>357</v>
      </c>
      <c r="H433" t="s">
        <v>207</v>
      </c>
      <c r="I433" t="s">
        <v>1</v>
      </c>
      <c r="J433">
        <v>19.989999999999998</v>
      </c>
      <c r="L433">
        <v>0</v>
      </c>
      <c r="M433">
        <v>0</v>
      </c>
      <c r="N433">
        <v>19.989999999999998</v>
      </c>
      <c r="P433">
        <v>0</v>
      </c>
      <c r="Q433">
        <f t="shared" si="80"/>
        <v>0</v>
      </c>
      <c r="R433">
        <v>0</v>
      </c>
      <c r="S433">
        <f t="shared" si="81"/>
        <v>0</v>
      </c>
      <c r="T433">
        <v>0.03</v>
      </c>
      <c r="U433">
        <f t="shared" si="82"/>
        <v>0</v>
      </c>
      <c r="V433">
        <f t="shared" si="83"/>
        <v>0</v>
      </c>
      <c r="W433">
        <f t="shared" si="84"/>
        <v>0</v>
      </c>
      <c r="X433">
        <v>0</v>
      </c>
    </row>
    <row r="434" spans="1:24" x14ac:dyDescent="0.3">
      <c r="A434" t="s">
        <v>552</v>
      </c>
      <c r="B434" t="s">
        <v>574</v>
      </c>
      <c r="C434">
        <v>29661010</v>
      </c>
      <c r="D434" t="s">
        <v>131</v>
      </c>
      <c r="E434" t="s">
        <v>37</v>
      </c>
      <c r="F434" t="s">
        <v>1</v>
      </c>
      <c r="G434" t="s">
        <v>357</v>
      </c>
      <c r="H434" t="s">
        <v>208</v>
      </c>
      <c r="I434" t="s">
        <v>1</v>
      </c>
      <c r="J434">
        <v>540.23</v>
      </c>
      <c r="K434">
        <v>999.99959999999999</v>
      </c>
      <c r="L434">
        <v>11.65</v>
      </c>
      <c r="M434">
        <v>23.493093922651937</v>
      </c>
      <c r="N434">
        <v>44.879999999999995</v>
      </c>
      <c r="O434">
        <v>23.3</v>
      </c>
      <c r="P434">
        <v>0</v>
      </c>
      <c r="Q434">
        <f t="shared" si="80"/>
        <v>23.3</v>
      </c>
      <c r="R434">
        <v>0</v>
      </c>
      <c r="S434">
        <f t="shared" si="81"/>
        <v>-23.3</v>
      </c>
      <c r="T434">
        <v>0.03</v>
      </c>
      <c r="U434">
        <f t="shared" si="82"/>
        <v>0</v>
      </c>
      <c r="V434">
        <f t="shared" si="83"/>
        <v>0</v>
      </c>
      <c r="W434">
        <f t="shared" si="84"/>
        <v>-23.3</v>
      </c>
      <c r="X434">
        <v>0</v>
      </c>
    </row>
    <row r="435" spans="1:24" x14ac:dyDescent="0.3">
      <c r="A435" t="s">
        <v>552</v>
      </c>
      <c r="B435" t="s">
        <v>574</v>
      </c>
      <c r="C435">
        <v>29661010</v>
      </c>
      <c r="D435" t="s">
        <v>131</v>
      </c>
      <c r="E435" t="s">
        <v>99</v>
      </c>
      <c r="F435" t="s">
        <v>1</v>
      </c>
      <c r="G435" t="s">
        <v>357</v>
      </c>
      <c r="H435" t="s">
        <v>305</v>
      </c>
      <c r="I435" t="s">
        <v>1</v>
      </c>
      <c r="J435">
        <v>1501</v>
      </c>
      <c r="K435">
        <v>3002.0003999999999</v>
      </c>
      <c r="L435">
        <v>2798</v>
      </c>
      <c r="M435">
        <v>5642.3756906077351</v>
      </c>
      <c r="N435">
        <v>2798</v>
      </c>
      <c r="O435">
        <v>5596</v>
      </c>
      <c r="P435">
        <v>0</v>
      </c>
      <c r="Q435">
        <f t="shared" si="80"/>
        <v>5596</v>
      </c>
      <c r="R435">
        <v>5596</v>
      </c>
      <c r="S435">
        <f t="shared" si="81"/>
        <v>0</v>
      </c>
      <c r="T435">
        <v>0.03</v>
      </c>
      <c r="U435">
        <f t="shared" si="82"/>
        <v>167.88</v>
      </c>
      <c r="V435">
        <f t="shared" si="83"/>
        <v>5763.88</v>
      </c>
      <c r="W435">
        <f t="shared" si="84"/>
        <v>167.88000000000011</v>
      </c>
      <c r="X435" t="s">
        <v>504</v>
      </c>
    </row>
    <row r="436" spans="1:24" x14ac:dyDescent="0.3">
      <c r="A436" t="s">
        <v>552</v>
      </c>
      <c r="B436" t="s">
        <v>574</v>
      </c>
      <c r="C436">
        <v>29661010</v>
      </c>
      <c r="D436" t="s">
        <v>131</v>
      </c>
      <c r="E436" t="s">
        <v>40</v>
      </c>
      <c r="F436" t="s">
        <v>1</v>
      </c>
      <c r="G436" t="s">
        <v>357</v>
      </c>
      <c r="H436" t="s">
        <v>211</v>
      </c>
      <c r="I436" t="s">
        <v>1</v>
      </c>
      <c r="J436">
        <v>6591.74</v>
      </c>
      <c r="K436">
        <v>9642.9995999999992</v>
      </c>
      <c r="L436">
        <v>4130.5600000000004</v>
      </c>
      <c r="M436">
        <v>8329.5823204419903</v>
      </c>
      <c r="N436">
        <v>5900.8000000000011</v>
      </c>
      <c r="O436">
        <v>8261.1200000000008</v>
      </c>
      <c r="P436">
        <v>0</v>
      </c>
      <c r="Q436">
        <f t="shared" si="80"/>
        <v>8261.1200000000008</v>
      </c>
      <c r="R436">
        <v>7080.9600000000009</v>
      </c>
      <c r="S436">
        <f t="shared" si="81"/>
        <v>-1180.1599999999999</v>
      </c>
      <c r="T436">
        <v>0.03</v>
      </c>
      <c r="U436">
        <f t="shared" si="82"/>
        <v>212.42880000000002</v>
      </c>
      <c r="V436">
        <f t="shared" si="83"/>
        <v>7293.3888000000006</v>
      </c>
      <c r="W436">
        <f t="shared" si="84"/>
        <v>-967.73120000000017</v>
      </c>
      <c r="X436" t="s">
        <v>505</v>
      </c>
    </row>
    <row r="437" spans="1:24" x14ac:dyDescent="0.3">
      <c r="A437" t="s">
        <v>552</v>
      </c>
      <c r="B437" t="s">
        <v>574</v>
      </c>
      <c r="C437">
        <v>29661010</v>
      </c>
      <c r="D437" t="s">
        <v>131</v>
      </c>
      <c r="E437" t="s">
        <v>41</v>
      </c>
      <c r="F437" t="s">
        <v>1</v>
      </c>
      <c r="G437" t="s">
        <v>357</v>
      </c>
      <c r="H437" t="s">
        <v>212</v>
      </c>
      <c r="I437" t="s">
        <v>1</v>
      </c>
      <c r="J437">
        <v>891.16</v>
      </c>
      <c r="K437">
        <v>329.00040000000001</v>
      </c>
      <c r="L437">
        <v>1.5</v>
      </c>
      <c r="M437">
        <v>3.0248618784530383</v>
      </c>
      <c r="N437">
        <v>728.08</v>
      </c>
      <c r="O437">
        <v>3</v>
      </c>
      <c r="P437">
        <v>0</v>
      </c>
      <c r="Q437">
        <f t="shared" si="80"/>
        <v>3</v>
      </c>
      <c r="R437">
        <v>80000</v>
      </c>
      <c r="S437">
        <f t="shared" si="81"/>
        <v>79997</v>
      </c>
      <c r="T437">
        <v>0.03</v>
      </c>
      <c r="U437">
        <f t="shared" si="82"/>
        <v>2400</v>
      </c>
      <c r="V437">
        <f t="shared" si="83"/>
        <v>82400</v>
      </c>
      <c r="W437">
        <f t="shared" si="84"/>
        <v>82397</v>
      </c>
      <c r="X437" t="s">
        <v>506</v>
      </c>
    </row>
    <row r="438" spans="1:24" x14ac:dyDescent="0.3">
      <c r="A438" t="s">
        <v>552</v>
      </c>
      <c r="B438" t="s">
        <v>574</v>
      </c>
      <c r="C438">
        <v>29661010</v>
      </c>
      <c r="D438" t="s">
        <v>131</v>
      </c>
      <c r="E438" t="s">
        <v>42</v>
      </c>
      <c r="F438" t="s">
        <v>1</v>
      </c>
      <c r="G438" t="s">
        <v>357</v>
      </c>
      <c r="H438" t="s">
        <v>213</v>
      </c>
      <c r="I438" t="s">
        <v>1</v>
      </c>
      <c r="J438">
        <v>6459.89</v>
      </c>
      <c r="K438">
        <v>9672.9995999999992</v>
      </c>
      <c r="L438">
        <v>3993</v>
      </c>
      <c r="M438">
        <v>8052.1823204419888</v>
      </c>
      <c r="N438">
        <v>5616.25</v>
      </c>
      <c r="O438">
        <v>7986</v>
      </c>
      <c r="P438">
        <v>0</v>
      </c>
      <c r="Q438">
        <f t="shared" si="80"/>
        <v>7986</v>
      </c>
      <c r="R438">
        <v>7986</v>
      </c>
      <c r="S438">
        <f t="shared" si="81"/>
        <v>0</v>
      </c>
      <c r="T438">
        <v>0.03</v>
      </c>
      <c r="U438">
        <f t="shared" si="82"/>
        <v>239.57999999999998</v>
      </c>
      <c r="V438">
        <f t="shared" si="83"/>
        <v>8225.58</v>
      </c>
      <c r="W438">
        <f t="shared" si="84"/>
        <v>239.57999999999993</v>
      </c>
      <c r="X438" t="s">
        <v>507</v>
      </c>
    </row>
    <row r="439" spans="1:24" x14ac:dyDescent="0.3">
      <c r="A439" t="s">
        <v>552</v>
      </c>
      <c r="B439" t="s">
        <v>574</v>
      </c>
      <c r="C439">
        <v>29661010</v>
      </c>
      <c r="D439" t="s">
        <v>131</v>
      </c>
      <c r="E439" t="s">
        <v>132</v>
      </c>
      <c r="F439" t="s">
        <v>1</v>
      </c>
      <c r="G439" t="s">
        <v>357</v>
      </c>
      <c r="H439" t="s">
        <v>358</v>
      </c>
      <c r="I439" t="s">
        <v>1</v>
      </c>
      <c r="J439">
        <v>15457.54</v>
      </c>
      <c r="K439">
        <v>-2.00000000018008E-3</v>
      </c>
      <c r="L439">
        <v>2442.85</v>
      </c>
      <c r="M439">
        <v>4926.1892265193364</v>
      </c>
      <c r="N439">
        <v>5495.9500000000007</v>
      </c>
      <c r="O439">
        <v>4926.1892265193001</v>
      </c>
      <c r="P439">
        <v>0</v>
      </c>
      <c r="Q439">
        <f t="shared" si="80"/>
        <v>4926.1892265193001</v>
      </c>
      <c r="R439">
        <v>4926.1892265193001</v>
      </c>
      <c r="S439">
        <f t="shared" si="81"/>
        <v>0</v>
      </c>
      <c r="U439">
        <f t="shared" si="82"/>
        <v>0</v>
      </c>
      <c r="V439">
        <f t="shared" si="83"/>
        <v>4926.1892265193001</v>
      </c>
      <c r="W439">
        <f t="shared" si="84"/>
        <v>0</v>
      </c>
      <c r="X439" t="s">
        <v>508</v>
      </c>
    </row>
    <row r="440" spans="1:24" x14ac:dyDescent="0.3">
      <c r="A440" t="s">
        <v>552</v>
      </c>
      <c r="B440" t="s">
        <v>574</v>
      </c>
      <c r="C440">
        <v>29661010</v>
      </c>
      <c r="D440" t="s">
        <v>131</v>
      </c>
      <c r="E440" t="s">
        <v>44</v>
      </c>
      <c r="F440" t="s">
        <v>1</v>
      </c>
      <c r="G440" t="s">
        <v>357</v>
      </c>
      <c r="H440" t="s">
        <v>215</v>
      </c>
      <c r="I440" t="s">
        <v>1</v>
      </c>
      <c r="J440">
        <v>14182.76</v>
      </c>
      <c r="K440">
        <v>13999.999900000001</v>
      </c>
      <c r="L440">
        <v>6882</v>
      </c>
      <c r="M440">
        <v>13878.066298342541</v>
      </c>
      <c r="N440">
        <v>14136</v>
      </c>
      <c r="O440">
        <v>13878.066298342501</v>
      </c>
      <c r="P440">
        <v>0</v>
      </c>
      <c r="Q440">
        <f t="shared" si="80"/>
        <v>13878.066298342501</v>
      </c>
      <c r="R440">
        <v>14019.96</v>
      </c>
      <c r="S440">
        <f t="shared" si="81"/>
        <v>141.89370165749824</v>
      </c>
      <c r="U440">
        <f t="shared" si="82"/>
        <v>0</v>
      </c>
      <c r="V440">
        <f t="shared" si="83"/>
        <v>14019.96</v>
      </c>
      <c r="W440">
        <f t="shared" si="84"/>
        <v>141.89370165749824</v>
      </c>
      <c r="X440" t="s">
        <v>509</v>
      </c>
    </row>
    <row r="441" spans="1:24" x14ac:dyDescent="0.3">
      <c r="A441" t="s">
        <v>552</v>
      </c>
      <c r="B441" t="s">
        <v>574</v>
      </c>
      <c r="C441">
        <v>29661010</v>
      </c>
      <c r="D441" t="s">
        <v>131</v>
      </c>
      <c r="E441" t="s">
        <v>45</v>
      </c>
      <c r="F441" t="s">
        <v>45</v>
      </c>
      <c r="G441" t="s">
        <v>359</v>
      </c>
      <c r="J441">
        <v>769809.17</v>
      </c>
      <c r="K441">
        <v>786249.8075</v>
      </c>
      <c r="L441">
        <v>383919.38999999996</v>
      </c>
      <c r="M441">
        <v>774202.08480662981</v>
      </c>
      <c r="N441">
        <v>766365.36999999976</v>
      </c>
      <c r="O441">
        <v>768021.1040556127</v>
      </c>
      <c r="P441">
        <f>SUMIF($F$411:$F$440,"&lt;&gt;EV_*",$P$411:$P$440)</f>
        <v>0</v>
      </c>
      <c r="Q441">
        <f>SUMIF($F$411:$F$440,"&lt;&gt;EV_*",$Q$411:$Q$440)</f>
        <v>768021.1040556127</v>
      </c>
      <c r="R441">
        <f>SUMIF($F$411:$F$440,"&lt;&gt;EV_*",$R$411:$R$440)</f>
        <v>896672.13071823202</v>
      </c>
      <c r="S441">
        <f>SUMIF($F$411:$F$440,"&lt;&gt;EV_*",$S$411:$S$440)</f>
        <v>128651.02666261925</v>
      </c>
      <c r="T441">
        <v>0</v>
      </c>
      <c r="U441">
        <f>SUMIF($F$411:$F$440,"&lt;&gt;EV_*",$U$411:$U$440)</f>
        <v>3194.7254022099446</v>
      </c>
      <c r="V441">
        <f>SUMIF($F$411:$F$440,"&lt;&gt;EV_*",$V$411:$V$440)</f>
        <v>899866.85612044192</v>
      </c>
      <c r="W441">
        <f>SUMIF($F$411:$F$440,"&lt;&gt;EV_*",$W$411:$W$440)</f>
        <v>131845.75206482917</v>
      </c>
      <c r="X441">
        <f>SUMIF($F$411:$F$440,"&lt;&gt;EV_*",$X$411:$X$440)</f>
        <v>0</v>
      </c>
    </row>
    <row r="442" spans="1:24" x14ac:dyDescent="0.3">
      <c r="A442" t="s">
        <v>552</v>
      </c>
      <c r="B442" t="s">
        <v>564</v>
      </c>
      <c r="C442">
        <v>29663000</v>
      </c>
      <c r="D442" t="s">
        <v>133</v>
      </c>
      <c r="E442" t="s">
        <v>5</v>
      </c>
      <c r="F442" t="s">
        <v>5</v>
      </c>
      <c r="G442" t="s">
        <v>360</v>
      </c>
    </row>
    <row r="443" spans="1:24" x14ac:dyDescent="0.3">
      <c r="A443" t="s">
        <v>552</v>
      </c>
      <c r="B443" t="s">
        <v>564</v>
      </c>
      <c r="C443">
        <v>29663000</v>
      </c>
      <c r="D443" t="s">
        <v>133</v>
      </c>
      <c r="E443" t="s">
        <v>12</v>
      </c>
      <c r="F443" t="s">
        <v>1</v>
      </c>
      <c r="G443" t="s">
        <v>361</v>
      </c>
      <c r="H443" t="s">
        <v>183</v>
      </c>
      <c r="I443" t="s">
        <v>1</v>
      </c>
      <c r="J443">
        <v>3964.84</v>
      </c>
      <c r="K443">
        <v>3666.9999999995998</v>
      </c>
      <c r="L443">
        <v>1739.78</v>
      </c>
      <c r="M443">
        <v>3508.3961325966852</v>
      </c>
      <c r="N443">
        <v>3860.52</v>
      </c>
      <c r="O443">
        <v>3479.56</v>
      </c>
      <c r="P443">
        <v>0</v>
      </c>
      <c r="Q443">
        <f t="shared" ref="Q443:Q454" si="85">O443+P443</f>
        <v>3479.56</v>
      </c>
      <c r="R443">
        <v>0</v>
      </c>
      <c r="S443">
        <f t="shared" ref="S443:S454" si="86">IF(OR(LEFT(E443,2)="A_",LEFT(D443,5)="Total"),R443-Q443,"")</f>
        <v>-3479.56</v>
      </c>
      <c r="U443">
        <f t="shared" ref="U443:U454" si="87">IFERROR(R443*T443,R443*0)</f>
        <v>0</v>
      </c>
      <c r="V443">
        <f t="shared" ref="V443:V454" si="88">IF(OR(LEFT(E443,2)="A_",LEFT(D443,5)="Total"),R443+U443,"")</f>
        <v>0</v>
      </c>
      <c r="W443">
        <f t="shared" ref="W443:W454" si="89">IF(OR(LEFT(E443,2)="A_",LEFT(D443,5)="Total"),V443-Q443,"")</f>
        <v>-3479.56</v>
      </c>
      <c r="X443">
        <v>0</v>
      </c>
    </row>
    <row r="444" spans="1:24" x14ac:dyDescent="0.3">
      <c r="A444" t="s">
        <v>552</v>
      </c>
      <c r="B444" t="s">
        <v>564</v>
      </c>
      <c r="C444">
        <v>29663000</v>
      </c>
      <c r="D444" t="s">
        <v>133</v>
      </c>
      <c r="E444" t="s">
        <v>17</v>
      </c>
      <c r="F444" t="s">
        <v>1</v>
      </c>
      <c r="G444" t="s">
        <v>361</v>
      </c>
      <c r="H444" t="s">
        <v>188</v>
      </c>
      <c r="I444" t="s">
        <v>1</v>
      </c>
      <c r="J444">
        <v>969.68</v>
      </c>
      <c r="K444">
        <v>1071.78</v>
      </c>
      <c r="L444">
        <v>0</v>
      </c>
      <c r="M444">
        <v>0</v>
      </c>
      <c r="N444">
        <v>392.90000000000003</v>
      </c>
      <c r="P444">
        <v>0</v>
      </c>
      <c r="Q444">
        <f t="shared" si="85"/>
        <v>0</v>
      </c>
      <c r="R444">
        <v>0</v>
      </c>
      <c r="S444">
        <f t="shared" si="86"/>
        <v>0</v>
      </c>
      <c r="T444">
        <v>0.03</v>
      </c>
      <c r="U444">
        <f t="shared" si="87"/>
        <v>0</v>
      </c>
      <c r="V444">
        <f t="shared" si="88"/>
        <v>0</v>
      </c>
      <c r="W444">
        <f t="shared" si="89"/>
        <v>0</v>
      </c>
      <c r="X444">
        <v>0</v>
      </c>
    </row>
    <row r="445" spans="1:24" x14ac:dyDescent="0.3">
      <c r="A445" t="s">
        <v>552</v>
      </c>
      <c r="B445" t="s">
        <v>564</v>
      </c>
      <c r="C445">
        <v>29663000</v>
      </c>
      <c r="D445" t="s">
        <v>133</v>
      </c>
      <c r="E445" t="s">
        <v>18</v>
      </c>
      <c r="F445" t="s">
        <v>1</v>
      </c>
      <c r="G445" t="s">
        <v>361</v>
      </c>
      <c r="H445" t="s">
        <v>189</v>
      </c>
      <c r="I445" t="s">
        <v>1</v>
      </c>
      <c r="J445">
        <v>698.04</v>
      </c>
      <c r="K445">
        <v>1280.2950000000999</v>
      </c>
      <c r="L445">
        <v>0</v>
      </c>
      <c r="M445">
        <v>0</v>
      </c>
      <c r="N445">
        <v>84.78</v>
      </c>
      <c r="P445">
        <v>0</v>
      </c>
      <c r="Q445">
        <f t="shared" si="85"/>
        <v>0</v>
      </c>
      <c r="R445">
        <v>0</v>
      </c>
      <c r="S445">
        <f t="shared" si="86"/>
        <v>0</v>
      </c>
      <c r="T445">
        <v>3.5000000000000003E-2</v>
      </c>
      <c r="U445">
        <f t="shared" si="87"/>
        <v>0</v>
      </c>
      <c r="V445">
        <f t="shared" si="88"/>
        <v>0</v>
      </c>
      <c r="W445">
        <f t="shared" si="89"/>
        <v>0</v>
      </c>
      <c r="X445">
        <v>0</v>
      </c>
    </row>
    <row r="446" spans="1:24" x14ac:dyDescent="0.3">
      <c r="A446" t="s">
        <v>552</v>
      </c>
      <c r="B446" t="s">
        <v>564</v>
      </c>
      <c r="C446">
        <v>29663000</v>
      </c>
      <c r="D446" t="s">
        <v>133</v>
      </c>
      <c r="E446" t="s">
        <v>20</v>
      </c>
      <c r="F446" t="s">
        <v>1</v>
      </c>
      <c r="G446" t="s">
        <v>361</v>
      </c>
      <c r="H446" t="s">
        <v>191</v>
      </c>
      <c r="I446" t="s">
        <v>1</v>
      </c>
      <c r="L446">
        <v>1545</v>
      </c>
      <c r="M446">
        <v>3115.6077348066297</v>
      </c>
      <c r="N446">
        <v>1545</v>
      </c>
      <c r="O446">
        <v>3090</v>
      </c>
      <c r="P446">
        <v>0</v>
      </c>
      <c r="Q446">
        <f t="shared" si="85"/>
        <v>3090</v>
      </c>
      <c r="R446">
        <v>0</v>
      </c>
      <c r="S446">
        <f t="shared" si="86"/>
        <v>-3090</v>
      </c>
      <c r="U446">
        <f t="shared" si="87"/>
        <v>0</v>
      </c>
      <c r="V446">
        <f t="shared" si="88"/>
        <v>0</v>
      </c>
      <c r="W446">
        <f t="shared" si="89"/>
        <v>-3090</v>
      </c>
      <c r="X446">
        <v>0</v>
      </c>
    </row>
    <row r="447" spans="1:24" x14ac:dyDescent="0.3">
      <c r="A447" t="s">
        <v>552</v>
      </c>
      <c r="B447" t="s">
        <v>564</v>
      </c>
      <c r="C447">
        <v>29663000</v>
      </c>
      <c r="D447" t="s">
        <v>133</v>
      </c>
      <c r="E447" t="s">
        <v>22</v>
      </c>
      <c r="F447" t="s">
        <v>1</v>
      </c>
      <c r="G447" t="s">
        <v>361</v>
      </c>
      <c r="H447" t="s">
        <v>193</v>
      </c>
      <c r="I447" t="s">
        <v>1</v>
      </c>
      <c r="L447">
        <v>1995</v>
      </c>
      <c r="M447">
        <v>4023.0662983425414</v>
      </c>
      <c r="N447">
        <v>1995</v>
      </c>
      <c r="O447">
        <v>3990</v>
      </c>
      <c r="P447">
        <v>0</v>
      </c>
      <c r="Q447">
        <f t="shared" si="85"/>
        <v>3990</v>
      </c>
      <c r="R447">
        <v>0</v>
      </c>
      <c r="S447">
        <f t="shared" si="86"/>
        <v>-3990</v>
      </c>
      <c r="U447">
        <f t="shared" si="87"/>
        <v>0</v>
      </c>
      <c r="V447">
        <f t="shared" si="88"/>
        <v>0</v>
      </c>
      <c r="W447">
        <f t="shared" si="89"/>
        <v>-3990</v>
      </c>
      <c r="X447">
        <v>0</v>
      </c>
    </row>
    <row r="448" spans="1:24" x14ac:dyDescent="0.3">
      <c r="A448" t="s">
        <v>552</v>
      </c>
      <c r="B448" t="s">
        <v>564</v>
      </c>
      <c r="C448">
        <v>29663000</v>
      </c>
      <c r="D448" t="s">
        <v>133</v>
      </c>
      <c r="E448" t="s">
        <v>23</v>
      </c>
      <c r="F448" t="s">
        <v>1</v>
      </c>
      <c r="G448" t="s">
        <v>361</v>
      </c>
      <c r="H448" t="s">
        <v>194</v>
      </c>
      <c r="I448" t="s">
        <v>1</v>
      </c>
      <c r="K448">
        <v>512.00000000039995</v>
      </c>
      <c r="L448">
        <v>0</v>
      </c>
      <c r="M448">
        <v>0</v>
      </c>
      <c r="N448">
        <v>0</v>
      </c>
      <c r="P448">
        <v>0</v>
      </c>
      <c r="Q448">
        <f t="shared" si="85"/>
        <v>0</v>
      </c>
      <c r="R448">
        <v>0</v>
      </c>
      <c r="S448">
        <f t="shared" si="86"/>
        <v>0</v>
      </c>
      <c r="U448">
        <f t="shared" si="87"/>
        <v>0</v>
      </c>
      <c r="V448">
        <f t="shared" si="88"/>
        <v>0</v>
      </c>
      <c r="W448">
        <f t="shared" si="89"/>
        <v>0</v>
      </c>
      <c r="X448">
        <v>0</v>
      </c>
    </row>
    <row r="449" spans="1:24" x14ac:dyDescent="0.3">
      <c r="A449" t="s">
        <v>552</v>
      </c>
      <c r="B449" t="s">
        <v>564</v>
      </c>
      <c r="C449">
        <v>29663000</v>
      </c>
      <c r="D449" t="s">
        <v>133</v>
      </c>
      <c r="E449" t="s">
        <v>29</v>
      </c>
      <c r="F449" t="s">
        <v>1</v>
      </c>
      <c r="G449" t="s">
        <v>361</v>
      </c>
      <c r="H449" t="s">
        <v>200</v>
      </c>
      <c r="I449" t="s">
        <v>1</v>
      </c>
      <c r="K449">
        <v>500.00000000040001</v>
      </c>
      <c r="L449">
        <v>0</v>
      </c>
      <c r="M449">
        <v>0</v>
      </c>
      <c r="N449">
        <v>0</v>
      </c>
      <c r="P449">
        <v>0</v>
      </c>
      <c r="Q449">
        <f t="shared" si="85"/>
        <v>0</v>
      </c>
      <c r="R449">
        <v>0</v>
      </c>
      <c r="S449">
        <f t="shared" si="86"/>
        <v>0</v>
      </c>
      <c r="U449">
        <f t="shared" si="87"/>
        <v>0</v>
      </c>
      <c r="V449">
        <f t="shared" si="88"/>
        <v>0</v>
      </c>
      <c r="W449">
        <f t="shared" si="89"/>
        <v>0</v>
      </c>
      <c r="X449">
        <v>0</v>
      </c>
    </row>
    <row r="450" spans="1:24" x14ac:dyDescent="0.3">
      <c r="A450" t="s">
        <v>552</v>
      </c>
      <c r="B450" t="s">
        <v>564</v>
      </c>
      <c r="C450">
        <v>29663000</v>
      </c>
      <c r="D450" t="s">
        <v>133</v>
      </c>
      <c r="E450" t="s">
        <v>30</v>
      </c>
      <c r="F450" t="s">
        <v>1</v>
      </c>
      <c r="G450" t="s">
        <v>361</v>
      </c>
      <c r="H450" t="s">
        <v>201</v>
      </c>
      <c r="I450" t="s">
        <v>1</v>
      </c>
      <c r="K450">
        <v>45</v>
      </c>
      <c r="L450">
        <v>150</v>
      </c>
      <c r="M450">
        <v>302.48618784530385</v>
      </c>
      <c r="N450">
        <v>150</v>
      </c>
      <c r="O450">
        <v>300</v>
      </c>
      <c r="P450">
        <v>0</v>
      </c>
      <c r="Q450">
        <f t="shared" si="85"/>
        <v>300</v>
      </c>
      <c r="R450">
        <v>0</v>
      </c>
      <c r="S450">
        <f t="shared" si="86"/>
        <v>-300</v>
      </c>
      <c r="U450">
        <f t="shared" si="87"/>
        <v>0</v>
      </c>
      <c r="V450">
        <f t="shared" si="88"/>
        <v>0</v>
      </c>
      <c r="W450">
        <f t="shared" si="89"/>
        <v>-300</v>
      </c>
      <c r="X450">
        <v>0</v>
      </c>
    </row>
    <row r="451" spans="1:24" x14ac:dyDescent="0.3">
      <c r="A451" t="s">
        <v>552</v>
      </c>
      <c r="B451" t="s">
        <v>564</v>
      </c>
      <c r="C451">
        <v>29663000</v>
      </c>
      <c r="D451" t="s">
        <v>133</v>
      </c>
      <c r="E451" t="s">
        <v>31</v>
      </c>
      <c r="F451" t="s">
        <v>1</v>
      </c>
      <c r="G451" t="s">
        <v>361</v>
      </c>
      <c r="H451" t="s">
        <v>202</v>
      </c>
      <c r="I451" t="s">
        <v>1</v>
      </c>
      <c r="K451">
        <v>270</v>
      </c>
      <c r="L451">
        <v>3302.42</v>
      </c>
      <c r="M451">
        <v>6659.5762430939221</v>
      </c>
      <c r="N451">
        <v>3302.42</v>
      </c>
      <c r="O451">
        <v>6604.84</v>
      </c>
      <c r="P451">
        <v>0</v>
      </c>
      <c r="Q451">
        <f t="shared" si="85"/>
        <v>6604.84</v>
      </c>
      <c r="R451">
        <v>0</v>
      </c>
      <c r="S451">
        <f t="shared" si="86"/>
        <v>-6604.84</v>
      </c>
      <c r="U451">
        <f t="shared" si="87"/>
        <v>0</v>
      </c>
      <c r="V451">
        <f t="shared" si="88"/>
        <v>0</v>
      </c>
      <c r="W451">
        <f t="shared" si="89"/>
        <v>-6604.84</v>
      </c>
      <c r="X451">
        <v>0</v>
      </c>
    </row>
    <row r="452" spans="1:24" x14ac:dyDescent="0.3">
      <c r="A452" t="s">
        <v>552</v>
      </c>
      <c r="B452" t="s">
        <v>564</v>
      </c>
      <c r="C452">
        <v>29663000</v>
      </c>
      <c r="D452" t="s">
        <v>133</v>
      </c>
      <c r="E452" t="s">
        <v>35</v>
      </c>
      <c r="F452" t="s">
        <v>1</v>
      </c>
      <c r="G452" t="s">
        <v>361</v>
      </c>
      <c r="H452" t="s">
        <v>206</v>
      </c>
      <c r="I452" t="s">
        <v>1</v>
      </c>
      <c r="J452">
        <v>12000</v>
      </c>
      <c r="L452">
        <v>4800</v>
      </c>
      <c r="M452">
        <v>9679.5580110497231</v>
      </c>
      <c r="N452">
        <v>16800</v>
      </c>
      <c r="O452">
        <v>9600</v>
      </c>
      <c r="P452">
        <v>0</v>
      </c>
      <c r="Q452">
        <f t="shared" si="85"/>
        <v>9600</v>
      </c>
      <c r="R452">
        <v>0</v>
      </c>
      <c r="S452">
        <f t="shared" si="86"/>
        <v>-9600</v>
      </c>
      <c r="T452">
        <v>0.03</v>
      </c>
      <c r="U452">
        <f t="shared" si="87"/>
        <v>0</v>
      </c>
      <c r="V452">
        <f t="shared" si="88"/>
        <v>0</v>
      </c>
      <c r="W452">
        <f t="shared" si="89"/>
        <v>-9600</v>
      </c>
      <c r="X452">
        <v>0</v>
      </c>
    </row>
    <row r="453" spans="1:24" x14ac:dyDescent="0.3">
      <c r="A453" t="s">
        <v>552</v>
      </c>
      <c r="B453" t="s">
        <v>564</v>
      </c>
      <c r="C453">
        <v>29663000</v>
      </c>
      <c r="D453" t="s">
        <v>133</v>
      </c>
      <c r="E453" t="s">
        <v>41</v>
      </c>
      <c r="F453" t="s">
        <v>1</v>
      </c>
      <c r="G453" t="s">
        <v>361</v>
      </c>
      <c r="H453" t="s">
        <v>212</v>
      </c>
      <c r="I453" t="s">
        <v>1</v>
      </c>
      <c r="J453">
        <v>11180.57</v>
      </c>
      <c r="K453">
        <v>5832.9999999995998</v>
      </c>
      <c r="L453">
        <v>0</v>
      </c>
      <c r="M453">
        <v>0</v>
      </c>
      <c r="N453">
        <v>8263.91</v>
      </c>
      <c r="P453">
        <v>0</v>
      </c>
      <c r="Q453">
        <f t="shared" si="85"/>
        <v>0</v>
      </c>
      <c r="R453">
        <v>0</v>
      </c>
      <c r="S453">
        <f t="shared" si="86"/>
        <v>0</v>
      </c>
      <c r="T453">
        <v>0.03</v>
      </c>
      <c r="U453">
        <f t="shared" si="87"/>
        <v>0</v>
      </c>
      <c r="V453">
        <f t="shared" si="88"/>
        <v>0</v>
      </c>
      <c r="W453">
        <f t="shared" si="89"/>
        <v>0</v>
      </c>
      <c r="X453">
        <v>0</v>
      </c>
    </row>
    <row r="454" spans="1:24" x14ac:dyDescent="0.3">
      <c r="A454" t="s">
        <v>552</v>
      </c>
      <c r="B454" t="s">
        <v>564</v>
      </c>
      <c r="C454">
        <v>29663000</v>
      </c>
      <c r="D454" t="s">
        <v>133</v>
      </c>
      <c r="E454" t="s">
        <v>43</v>
      </c>
      <c r="F454" t="s">
        <v>1</v>
      </c>
      <c r="G454" t="s">
        <v>361</v>
      </c>
      <c r="H454" t="s">
        <v>214</v>
      </c>
      <c r="I454" t="s">
        <v>1</v>
      </c>
      <c r="L454">
        <v>41.15</v>
      </c>
      <c r="M454">
        <v>82.982044198895025</v>
      </c>
      <c r="N454">
        <v>41.15</v>
      </c>
      <c r="O454">
        <v>82.3</v>
      </c>
      <c r="P454">
        <v>0</v>
      </c>
      <c r="Q454">
        <f t="shared" si="85"/>
        <v>82.3</v>
      </c>
      <c r="R454">
        <v>0</v>
      </c>
      <c r="S454">
        <f t="shared" si="86"/>
        <v>-82.3</v>
      </c>
      <c r="T454">
        <v>0.03</v>
      </c>
      <c r="U454">
        <f t="shared" si="87"/>
        <v>0</v>
      </c>
      <c r="V454">
        <f t="shared" si="88"/>
        <v>0</v>
      </c>
      <c r="W454">
        <f t="shared" si="89"/>
        <v>-82.3</v>
      </c>
      <c r="X454">
        <v>0</v>
      </c>
    </row>
    <row r="455" spans="1:24" x14ac:dyDescent="0.3">
      <c r="A455" t="s">
        <v>552</v>
      </c>
      <c r="B455" t="s">
        <v>564</v>
      </c>
      <c r="C455">
        <v>29663000</v>
      </c>
      <c r="D455" t="s">
        <v>133</v>
      </c>
      <c r="E455" t="s">
        <v>45</v>
      </c>
      <c r="F455" t="s">
        <v>45</v>
      </c>
      <c r="G455" t="s">
        <v>362</v>
      </c>
      <c r="J455">
        <v>28813.13</v>
      </c>
      <c r="K455">
        <v>13179.075000000099</v>
      </c>
      <c r="L455">
        <v>13573.35</v>
      </c>
      <c r="M455">
        <v>27371.672651933699</v>
      </c>
      <c r="N455">
        <v>36435.68</v>
      </c>
      <c r="O455">
        <v>27146.7</v>
      </c>
      <c r="P455">
        <f>SUMIF($F$442:$F$454,"&lt;&gt;EV_*",$P$442:$P$454)</f>
        <v>0</v>
      </c>
      <c r="Q455">
        <f>SUMIF($F$442:$F$454,"&lt;&gt;EV_*",$Q$442:$Q$454)</f>
        <v>27146.7</v>
      </c>
      <c r="R455">
        <f>SUMIF($F$442:$F$454,"&lt;&gt;EV_*",$R$442:$R$454)</f>
        <v>0</v>
      </c>
      <c r="S455">
        <f>SUMIF($F$442:$F$454,"&lt;&gt;EV_*",$S$442:$S$454)</f>
        <v>-27146.7</v>
      </c>
      <c r="T455">
        <v>0</v>
      </c>
      <c r="U455">
        <f>SUMIF($F$442:$F$454,"&lt;&gt;EV_*",$U$442:$U$454)</f>
        <v>0</v>
      </c>
      <c r="V455">
        <f>SUMIF($F$442:$F$454,"&lt;&gt;EV_*",$V$442:$V$454)</f>
        <v>0</v>
      </c>
      <c r="W455">
        <f>SUMIF($F$442:$F$454,"&lt;&gt;EV_*",$W$442:$W$454)</f>
        <v>-27146.7</v>
      </c>
      <c r="X455">
        <f>SUMIF($F$442:$F$454,"&lt;&gt;EV_*",$X$442:$X$454)</f>
        <v>0</v>
      </c>
    </row>
    <row r="456" spans="1:24" x14ac:dyDescent="0.3">
      <c r="A456" t="s">
        <v>552</v>
      </c>
      <c r="B456" t="s">
        <v>564</v>
      </c>
      <c r="C456">
        <v>29663010</v>
      </c>
      <c r="D456" t="s">
        <v>134</v>
      </c>
      <c r="E456" t="s">
        <v>5</v>
      </c>
      <c r="F456" t="s">
        <v>5</v>
      </c>
      <c r="G456" t="s">
        <v>363</v>
      </c>
    </row>
    <row r="457" spans="1:24" x14ac:dyDescent="0.3">
      <c r="A457" t="s">
        <v>552</v>
      </c>
      <c r="B457" t="s">
        <v>564</v>
      </c>
      <c r="C457">
        <v>29663010</v>
      </c>
      <c r="D457" t="s">
        <v>134</v>
      </c>
      <c r="E457" t="s">
        <v>17</v>
      </c>
      <c r="F457" t="s">
        <v>1</v>
      </c>
      <c r="G457" t="s">
        <v>364</v>
      </c>
      <c r="H457" t="s">
        <v>188</v>
      </c>
      <c r="I457" t="s">
        <v>1</v>
      </c>
      <c r="J457">
        <v>719.12</v>
      </c>
      <c r="K457">
        <v>764.89999999990005</v>
      </c>
      <c r="L457">
        <v>0</v>
      </c>
      <c r="M457">
        <v>0</v>
      </c>
      <c r="N457">
        <v>383.70000000000005</v>
      </c>
      <c r="P457">
        <v>0</v>
      </c>
      <c r="Q457">
        <f t="shared" ref="Q457:Q467" si="90">O457+P457</f>
        <v>0</v>
      </c>
      <c r="R457">
        <v>0</v>
      </c>
      <c r="S457">
        <f t="shared" ref="S457:S467" si="91">IF(OR(LEFT(E457,2)="A_",LEFT(D457,5)="Total"),R457-Q457,"")</f>
        <v>0</v>
      </c>
      <c r="T457">
        <v>0.03</v>
      </c>
      <c r="U457">
        <f t="shared" ref="U457:U467" si="92">IFERROR(R457*T457,R457*0)</f>
        <v>0</v>
      </c>
      <c r="V457">
        <f t="shared" ref="V457:V467" si="93">IF(OR(LEFT(E457,2)="A_",LEFT(D457,5)="Total"),R457+U457,"")</f>
        <v>0</v>
      </c>
      <c r="W457">
        <f t="shared" ref="W457:W467" si="94">IF(OR(LEFT(E457,2)="A_",LEFT(D457,5)="Total"),V457-Q457,"")</f>
        <v>0</v>
      </c>
      <c r="X457">
        <v>0</v>
      </c>
    </row>
    <row r="458" spans="1:24" x14ac:dyDescent="0.3">
      <c r="A458" t="s">
        <v>552</v>
      </c>
      <c r="B458" t="s">
        <v>564</v>
      </c>
      <c r="C458">
        <v>29663010</v>
      </c>
      <c r="D458" t="s">
        <v>134</v>
      </c>
      <c r="E458" t="s">
        <v>18</v>
      </c>
      <c r="F458" t="s">
        <v>1</v>
      </c>
      <c r="G458" t="s">
        <v>364</v>
      </c>
      <c r="H458" t="s">
        <v>189</v>
      </c>
      <c r="I458" t="s">
        <v>1</v>
      </c>
      <c r="J458">
        <v>212.73</v>
      </c>
      <c r="K458">
        <v>861.12000000010005</v>
      </c>
      <c r="L458">
        <v>0</v>
      </c>
      <c r="M458">
        <v>0</v>
      </c>
      <c r="N458">
        <v>32.75</v>
      </c>
      <c r="P458">
        <v>0</v>
      </c>
      <c r="Q458">
        <f t="shared" si="90"/>
        <v>0</v>
      </c>
      <c r="R458">
        <v>0</v>
      </c>
      <c r="S458">
        <f t="shared" si="91"/>
        <v>0</v>
      </c>
      <c r="T458">
        <v>3.5000000000000003E-2</v>
      </c>
      <c r="U458">
        <f t="shared" si="92"/>
        <v>0</v>
      </c>
      <c r="V458">
        <f t="shared" si="93"/>
        <v>0</v>
      </c>
      <c r="W458">
        <f t="shared" si="94"/>
        <v>0</v>
      </c>
      <c r="X458">
        <v>0</v>
      </c>
    </row>
    <row r="459" spans="1:24" x14ac:dyDescent="0.3">
      <c r="A459" t="s">
        <v>552</v>
      </c>
      <c r="B459" t="s">
        <v>564</v>
      </c>
      <c r="C459">
        <v>29663010</v>
      </c>
      <c r="D459" t="s">
        <v>134</v>
      </c>
      <c r="E459" t="s">
        <v>23</v>
      </c>
      <c r="F459" t="s">
        <v>1</v>
      </c>
      <c r="G459" t="s">
        <v>364</v>
      </c>
      <c r="H459" t="s">
        <v>194</v>
      </c>
      <c r="I459" t="s">
        <v>1</v>
      </c>
      <c r="J459">
        <v>1023.56</v>
      </c>
      <c r="K459">
        <v>467.00000000040001</v>
      </c>
      <c r="L459">
        <v>0</v>
      </c>
      <c r="M459">
        <v>0</v>
      </c>
      <c r="N459">
        <v>932.51</v>
      </c>
      <c r="P459">
        <v>0</v>
      </c>
      <c r="Q459">
        <f t="shared" si="90"/>
        <v>0</v>
      </c>
      <c r="R459">
        <v>0</v>
      </c>
      <c r="S459">
        <f t="shared" si="91"/>
        <v>0</v>
      </c>
      <c r="U459">
        <f t="shared" si="92"/>
        <v>0</v>
      </c>
      <c r="V459">
        <f t="shared" si="93"/>
        <v>0</v>
      </c>
      <c r="W459">
        <f t="shared" si="94"/>
        <v>0</v>
      </c>
      <c r="X459">
        <v>0</v>
      </c>
    </row>
    <row r="460" spans="1:24" x14ac:dyDescent="0.3">
      <c r="A460" t="s">
        <v>552</v>
      </c>
      <c r="B460" t="s">
        <v>564</v>
      </c>
      <c r="C460">
        <v>29663010</v>
      </c>
      <c r="D460" t="s">
        <v>134</v>
      </c>
      <c r="E460" t="s">
        <v>27</v>
      </c>
      <c r="F460" t="s">
        <v>1</v>
      </c>
      <c r="G460" t="s">
        <v>364</v>
      </c>
      <c r="H460" t="s">
        <v>198</v>
      </c>
      <c r="I460" t="s">
        <v>1</v>
      </c>
      <c r="J460">
        <v>575</v>
      </c>
      <c r="K460">
        <v>549.99999999960005</v>
      </c>
      <c r="L460">
        <v>0</v>
      </c>
      <c r="M460">
        <v>0</v>
      </c>
      <c r="N460">
        <v>575</v>
      </c>
      <c r="P460">
        <v>0</v>
      </c>
      <c r="Q460">
        <f t="shared" si="90"/>
        <v>0</v>
      </c>
      <c r="R460">
        <v>0</v>
      </c>
      <c r="S460">
        <f t="shared" si="91"/>
        <v>0</v>
      </c>
      <c r="U460">
        <f t="shared" si="92"/>
        <v>0</v>
      </c>
      <c r="V460">
        <f t="shared" si="93"/>
        <v>0</v>
      </c>
      <c r="W460">
        <f t="shared" si="94"/>
        <v>0</v>
      </c>
      <c r="X460">
        <v>0</v>
      </c>
    </row>
    <row r="461" spans="1:24" x14ac:dyDescent="0.3">
      <c r="A461" t="s">
        <v>552</v>
      </c>
      <c r="B461" t="s">
        <v>564</v>
      </c>
      <c r="C461">
        <v>29663010</v>
      </c>
      <c r="D461" t="s">
        <v>134</v>
      </c>
      <c r="E461" t="s">
        <v>29</v>
      </c>
      <c r="F461" t="s">
        <v>1</v>
      </c>
      <c r="G461" t="s">
        <v>364</v>
      </c>
      <c r="H461" t="s">
        <v>200</v>
      </c>
      <c r="I461" t="s">
        <v>1</v>
      </c>
      <c r="J461">
        <v>10905</v>
      </c>
      <c r="L461">
        <v>0</v>
      </c>
      <c r="M461">
        <v>0</v>
      </c>
      <c r="N461">
        <v>10905</v>
      </c>
      <c r="P461">
        <v>0</v>
      </c>
      <c r="Q461">
        <f t="shared" si="90"/>
        <v>0</v>
      </c>
      <c r="R461">
        <v>0</v>
      </c>
      <c r="S461">
        <f t="shared" si="91"/>
        <v>0</v>
      </c>
      <c r="U461">
        <f t="shared" si="92"/>
        <v>0</v>
      </c>
      <c r="V461">
        <f t="shared" si="93"/>
        <v>0</v>
      </c>
      <c r="W461">
        <f t="shared" si="94"/>
        <v>0</v>
      </c>
      <c r="X461">
        <v>0</v>
      </c>
    </row>
    <row r="462" spans="1:24" x14ac:dyDescent="0.3">
      <c r="A462" t="s">
        <v>552</v>
      </c>
      <c r="B462" t="s">
        <v>564</v>
      </c>
      <c r="C462">
        <v>29663010</v>
      </c>
      <c r="D462" t="s">
        <v>134</v>
      </c>
      <c r="E462" t="s">
        <v>30</v>
      </c>
      <c r="F462" t="s">
        <v>1</v>
      </c>
      <c r="G462" t="s">
        <v>364</v>
      </c>
      <c r="H462" t="s">
        <v>201</v>
      </c>
      <c r="I462" t="s">
        <v>1</v>
      </c>
      <c r="K462">
        <v>225</v>
      </c>
      <c r="L462">
        <v>0</v>
      </c>
      <c r="M462">
        <v>0</v>
      </c>
      <c r="N462">
        <v>0</v>
      </c>
      <c r="P462">
        <v>0</v>
      </c>
      <c r="Q462">
        <f t="shared" si="90"/>
        <v>0</v>
      </c>
      <c r="R462">
        <v>0</v>
      </c>
      <c r="S462">
        <f t="shared" si="91"/>
        <v>0</v>
      </c>
      <c r="U462">
        <f t="shared" si="92"/>
        <v>0</v>
      </c>
      <c r="V462">
        <f t="shared" si="93"/>
        <v>0</v>
      </c>
      <c r="W462">
        <f t="shared" si="94"/>
        <v>0</v>
      </c>
      <c r="X462">
        <v>0</v>
      </c>
    </row>
    <row r="463" spans="1:24" x14ac:dyDescent="0.3">
      <c r="A463" t="s">
        <v>552</v>
      </c>
      <c r="B463" t="s">
        <v>564</v>
      </c>
      <c r="C463">
        <v>29663010</v>
      </c>
      <c r="D463" t="s">
        <v>134</v>
      </c>
      <c r="E463" t="s">
        <v>31</v>
      </c>
      <c r="F463" t="s">
        <v>1</v>
      </c>
      <c r="G463" t="s">
        <v>364</v>
      </c>
      <c r="H463" t="s">
        <v>202</v>
      </c>
      <c r="I463" t="s">
        <v>1</v>
      </c>
      <c r="J463">
        <v>5512.51</v>
      </c>
      <c r="K463">
        <v>381</v>
      </c>
      <c r="L463">
        <v>0</v>
      </c>
      <c r="M463">
        <v>0</v>
      </c>
      <c r="N463">
        <v>4683.1000000000004</v>
      </c>
      <c r="P463">
        <v>0</v>
      </c>
      <c r="Q463">
        <f t="shared" si="90"/>
        <v>0</v>
      </c>
      <c r="R463">
        <v>0</v>
      </c>
      <c r="S463">
        <f t="shared" si="91"/>
        <v>0</v>
      </c>
      <c r="U463">
        <f t="shared" si="92"/>
        <v>0</v>
      </c>
      <c r="V463">
        <f t="shared" si="93"/>
        <v>0</v>
      </c>
      <c r="W463">
        <f t="shared" si="94"/>
        <v>0</v>
      </c>
      <c r="X463">
        <v>0</v>
      </c>
    </row>
    <row r="464" spans="1:24" x14ac:dyDescent="0.3">
      <c r="A464" t="s">
        <v>552</v>
      </c>
      <c r="B464" t="s">
        <v>564</v>
      </c>
      <c r="C464">
        <v>29663010</v>
      </c>
      <c r="D464" t="s">
        <v>134</v>
      </c>
      <c r="E464" t="s">
        <v>36</v>
      </c>
      <c r="F464" t="s">
        <v>1</v>
      </c>
      <c r="G464" t="s">
        <v>364</v>
      </c>
      <c r="H464" t="s">
        <v>207</v>
      </c>
      <c r="I464" t="s">
        <v>1</v>
      </c>
      <c r="J464">
        <v>44.54</v>
      </c>
      <c r="K464">
        <v>98.000000000399993</v>
      </c>
      <c r="L464">
        <v>0</v>
      </c>
      <c r="M464">
        <v>0</v>
      </c>
      <c r="N464">
        <v>44.54</v>
      </c>
      <c r="P464">
        <v>0</v>
      </c>
      <c r="Q464">
        <f t="shared" si="90"/>
        <v>0</v>
      </c>
      <c r="R464">
        <v>0</v>
      </c>
      <c r="S464">
        <f t="shared" si="91"/>
        <v>0</v>
      </c>
      <c r="T464">
        <v>0.03</v>
      </c>
      <c r="U464">
        <f t="shared" si="92"/>
        <v>0</v>
      </c>
      <c r="V464">
        <f t="shared" si="93"/>
        <v>0</v>
      </c>
      <c r="W464">
        <f t="shared" si="94"/>
        <v>0</v>
      </c>
      <c r="X464">
        <v>0</v>
      </c>
    </row>
    <row r="465" spans="1:24" x14ac:dyDescent="0.3">
      <c r="A465" t="s">
        <v>552</v>
      </c>
      <c r="B465" t="s">
        <v>564</v>
      </c>
      <c r="C465">
        <v>29663010</v>
      </c>
      <c r="D465" t="s">
        <v>134</v>
      </c>
      <c r="E465" t="s">
        <v>37</v>
      </c>
      <c r="F465" t="s">
        <v>1</v>
      </c>
      <c r="G465" t="s">
        <v>364</v>
      </c>
      <c r="H465" t="s">
        <v>208</v>
      </c>
      <c r="I465" t="s">
        <v>1</v>
      </c>
      <c r="J465">
        <v>45.45</v>
      </c>
      <c r="K465">
        <v>45</v>
      </c>
      <c r="L465">
        <v>31.05</v>
      </c>
      <c r="M465">
        <v>62.614640883977906</v>
      </c>
      <c r="N465">
        <v>53.850000000000009</v>
      </c>
      <c r="O465">
        <v>62.1</v>
      </c>
      <c r="P465">
        <v>0</v>
      </c>
      <c r="Q465">
        <f t="shared" si="90"/>
        <v>62.1</v>
      </c>
      <c r="R465">
        <v>0</v>
      </c>
      <c r="S465">
        <f t="shared" si="91"/>
        <v>-62.1</v>
      </c>
      <c r="T465">
        <v>0.03</v>
      </c>
      <c r="U465">
        <f t="shared" si="92"/>
        <v>0</v>
      </c>
      <c r="V465">
        <f t="shared" si="93"/>
        <v>0</v>
      </c>
      <c r="W465">
        <f t="shared" si="94"/>
        <v>-62.1</v>
      </c>
      <c r="X465">
        <v>0</v>
      </c>
    </row>
    <row r="466" spans="1:24" x14ac:dyDescent="0.3">
      <c r="A466" t="s">
        <v>552</v>
      </c>
      <c r="B466" t="s">
        <v>564</v>
      </c>
      <c r="C466">
        <v>29663010</v>
      </c>
      <c r="D466" t="s">
        <v>134</v>
      </c>
      <c r="E466" t="s">
        <v>41</v>
      </c>
      <c r="F466" t="s">
        <v>1</v>
      </c>
      <c r="G466" t="s">
        <v>364</v>
      </c>
      <c r="H466" t="s">
        <v>212</v>
      </c>
      <c r="I466" t="s">
        <v>1</v>
      </c>
      <c r="J466">
        <v>3.6</v>
      </c>
      <c r="L466">
        <v>75</v>
      </c>
      <c r="M466">
        <v>151.24309392265192</v>
      </c>
      <c r="N466">
        <v>75</v>
      </c>
      <c r="O466">
        <v>150</v>
      </c>
      <c r="P466">
        <v>0</v>
      </c>
      <c r="Q466">
        <f t="shared" si="90"/>
        <v>150</v>
      </c>
      <c r="R466">
        <v>0</v>
      </c>
      <c r="S466">
        <f t="shared" si="91"/>
        <v>-150</v>
      </c>
      <c r="T466">
        <v>0.03</v>
      </c>
      <c r="U466">
        <f t="shared" si="92"/>
        <v>0</v>
      </c>
      <c r="V466">
        <f t="shared" si="93"/>
        <v>0</v>
      </c>
      <c r="W466">
        <f t="shared" si="94"/>
        <v>-150</v>
      </c>
      <c r="X466">
        <v>0</v>
      </c>
    </row>
    <row r="467" spans="1:24" x14ac:dyDescent="0.3">
      <c r="A467" t="s">
        <v>552</v>
      </c>
      <c r="B467" t="s">
        <v>564</v>
      </c>
      <c r="C467">
        <v>29663010</v>
      </c>
      <c r="D467" t="s">
        <v>134</v>
      </c>
      <c r="E467" t="s">
        <v>44</v>
      </c>
      <c r="F467" t="s">
        <v>1</v>
      </c>
      <c r="G467" t="s">
        <v>364</v>
      </c>
      <c r="H467" t="s">
        <v>215</v>
      </c>
      <c r="I467" t="s">
        <v>1</v>
      </c>
      <c r="J467">
        <v>1212.96</v>
      </c>
      <c r="K467">
        <v>1504.0000000004</v>
      </c>
      <c r="L467">
        <v>157.57</v>
      </c>
      <c r="M467">
        <v>317.75165745856356</v>
      </c>
      <c r="N467">
        <v>773.31999999999982</v>
      </c>
      <c r="O467">
        <v>317.75165745859999</v>
      </c>
      <c r="P467">
        <v>0</v>
      </c>
      <c r="Q467">
        <f t="shared" si="90"/>
        <v>317.75165745859999</v>
      </c>
      <c r="R467">
        <v>0</v>
      </c>
      <c r="S467">
        <f t="shared" si="91"/>
        <v>-317.75165745859999</v>
      </c>
      <c r="U467">
        <f t="shared" si="92"/>
        <v>0</v>
      </c>
      <c r="V467">
        <f t="shared" si="93"/>
        <v>0</v>
      </c>
      <c r="W467">
        <f t="shared" si="94"/>
        <v>-317.75165745859999</v>
      </c>
      <c r="X467">
        <v>0</v>
      </c>
    </row>
    <row r="468" spans="1:24" x14ac:dyDescent="0.3">
      <c r="A468" t="s">
        <v>552</v>
      </c>
      <c r="B468" t="s">
        <v>564</v>
      </c>
      <c r="C468">
        <v>29663010</v>
      </c>
      <c r="D468" t="s">
        <v>134</v>
      </c>
      <c r="E468" t="s">
        <v>45</v>
      </c>
      <c r="F468" t="s">
        <v>45</v>
      </c>
      <c r="G468" t="s">
        <v>365</v>
      </c>
      <c r="J468">
        <v>20254.469999999998</v>
      </c>
      <c r="K468">
        <v>4896.0200000008008</v>
      </c>
      <c r="L468">
        <v>263.62</v>
      </c>
      <c r="M468">
        <v>531.60939226519338</v>
      </c>
      <c r="N468">
        <v>18458.769999999997</v>
      </c>
      <c r="O468">
        <v>529.85165745860002</v>
      </c>
      <c r="P468">
        <f>SUMIF($F$456:$F$467,"&lt;&gt;EV_*",$P$456:$P$467)</f>
        <v>0</v>
      </c>
      <c r="Q468">
        <f>SUMIF($F$456:$F$467,"&lt;&gt;EV_*",$Q$456:$Q$467)</f>
        <v>529.85165745860002</v>
      </c>
      <c r="R468">
        <f>SUMIF($F$456:$F$467,"&lt;&gt;EV_*",$R$456:$R$467)</f>
        <v>0</v>
      </c>
      <c r="S468">
        <f>SUMIF($F$456:$F$467,"&lt;&gt;EV_*",$S$456:$S$467)</f>
        <v>-529.85165745860002</v>
      </c>
      <c r="T468">
        <v>0</v>
      </c>
      <c r="U468">
        <f>SUMIF($F$456:$F$467,"&lt;&gt;EV_*",$U$456:$U$467)</f>
        <v>0</v>
      </c>
      <c r="V468">
        <f>SUMIF($F$456:$F$467,"&lt;&gt;EV_*",$V$456:$V$467)</f>
        <v>0</v>
      </c>
      <c r="W468">
        <f>SUMIF($F$456:$F$467,"&lt;&gt;EV_*",$W$456:$W$467)</f>
        <v>-529.85165745860002</v>
      </c>
      <c r="X468">
        <f>SUMIF($F$456:$F$467,"&lt;&gt;EV_*",$X$456:$X$467)</f>
        <v>0</v>
      </c>
    </row>
    <row r="469" spans="1:24" x14ac:dyDescent="0.3">
      <c r="A469" t="s">
        <v>552</v>
      </c>
      <c r="B469" t="s">
        <v>569</v>
      </c>
      <c r="C469">
        <v>29663400</v>
      </c>
      <c r="D469" t="s">
        <v>135</v>
      </c>
      <c r="E469" t="s">
        <v>5</v>
      </c>
      <c r="F469" t="s">
        <v>5</v>
      </c>
      <c r="G469" t="s">
        <v>366</v>
      </c>
    </row>
    <row r="470" spans="1:24" x14ac:dyDescent="0.3">
      <c r="A470" t="s">
        <v>552</v>
      </c>
      <c r="B470" t="s">
        <v>569</v>
      </c>
      <c r="C470">
        <v>29663400</v>
      </c>
      <c r="D470" t="s">
        <v>135</v>
      </c>
      <c r="E470" t="s">
        <v>136</v>
      </c>
      <c r="F470" t="s">
        <v>1</v>
      </c>
      <c r="G470" t="s">
        <v>367</v>
      </c>
      <c r="H470" t="s">
        <v>368</v>
      </c>
      <c r="I470" t="s">
        <v>1</v>
      </c>
      <c r="J470">
        <v>195580.29</v>
      </c>
      <c r="L470">
        <v>85980</v>
      </c>
      <c r="M470">
        <v>173385.08287292818</v>
      </c>
      <c r="N470">
        <v>184478</v>
      </c>
      <c r="O470">
        <v>171960</v>
      </c>
      <c r="P470">
        <v>0</v>
      </c>
      <c r="Q470">
        <f t="shared" ref="Q470:Q508" si="95">O470+P470</f>
        <v>171960</v>
      </c>
      <c r="R470">
        <v>0</v>
      </c>
      <c r="S470">
        <f t="shared" ref="S470:S508" si="96">IF(OR(LEFT(E470,2)="A_",LEFT(D470,5)="Total"),R470-Q470,"")</f>
        <v>-171960</v>
      </c>
      <c r="U470">
        <f t="shared" ref="U470:U508" si="97">IFERROR(R470*T470,R470*0)</f>
        <v>0</v>
      </c>
      <c r="V470">
        <f t="shared" ref="V470:V508" si="98">IF(OR(LEFT(E470,2)="A_",LEFT(D470,5)="Total"),R470+U470,"")</f>
        <v>0</v>
      </c>
      <c r="W470">
        <f t="shared" ref="W470:W508" si="99">IF(OR(LEFT(E470,2)="A_",LEFT(D470,5)="Total"),V470-Q470,"")</f>
        <v>-171960</v>
      </c>
      <c r="X470">
        <v>0</v>
      </c>
    </row>
    <row r="471" spans="1:24" x14ac:dyDescent="0.3">
      <c r="A471" t="s">
        <v>552</v>
      </c>
      <c r="B471" t="s">
        <v>569</v>
      </c>
      <c r="C471">
        <v>29663400</v>
      </c>
      <c r="D471" t="s">
        <v>135</v>
      </c>
      <c r="E471" t="s">
        <v>11</v>
      </c>
      <c r="F471" t="s">
        <v>1</v>
      </c>
      <c r="G471" t="s">
        <v>367</v>
      </c>
      <c r="H471" t="s">
        <v>182</v>
      </c>
      <c r="I471" t="s">
        <v>1</v>
      </c>
      <c r="J471">
        <v>2730</v>
      </c>
      <c r="K471">
        <v>2595</v>
      </c>
      <c r="L471">
        <v>1149.22</v>
      </c>
      <c r="M471">
        <v>2317.4878453038677</v>
      </c>
      <c r="N471">
        <v>2592.2199999999998</v>
      </c>
      <c r="O471">
        <v>2298.44</v>
      </c>
      <c r="P471">
        <v>0</v>
      </c>
      <c r="Q471">
        <f t="shared" si="95"/>
        <v>2298.44</v>
      </c>
      <c r="R471">
        <v>2808</v>
      </c>
      <c r="S471">
        <f t="shared" si="96"/>
        <v>509.55999999999995</v>
      </c>
      <c r="U471">
        <f t="shared" si="97"/>
        <v>0</v>
      </c>
      <c r="V471">
        <f t="shared" si="98"/>
        <v>2808</v>
      </c>
      <c r="W471">
        <f t="shared" si="99"/>
        <v>509.55999999999995</v>
      </c>
      <c r="X471" t="s">
        <v>510</v>
      </c>
    </row>
    <row r="472" spans="1:24" x14ac:dyDescent="0.3">
      <c r="A472" t="s">
        <v>552</v>
      </c>
      <c r="B472" t="s">
        <v>569</v>
      </c>
      <c r="C472">
        <v>29663400</v>
      </c>
      <c r="D472" t="s">
        <v>135</v>
      </c>
      <c r="E472" t="s">
        <v>12</v>
      </c>
      <c r="F472" t="s">
        <v>1</v>
      </c>
      <c r="G472" t="s">
        <v>367</v>
      </c>
      <c r="H472" t="s">
        <v>183</v>
      </c>
      <c r="I472" t="s">
        <v>1</v>
      </c>
      <c r="J472">
        <v>5420.93</v>
      </c>
      <c r="K472">
        <v>5682.9999999995998</v>
      </c>
      <c r="L472">
        <v>2618.1</v>
      </c>
      <c r="M472">
        <v>5279.5939226519331</v>
      </c>
      <c r="N472">
        <v>5220.93</v>
      </c>
      <c r="O472">
        <v>5236.2</v>
      </c>
      <c r="P472">
        <v>0</v>
      </c>
      <c r="Q472">
        <f t="shared" si="95"/>
        <v>5236.2</v>
      </c>
      <c r="R472">
        <v>5236.2</v>
      </c>
      <c r="S472">
        <f t="shared" si="96"/>
        <v>0</v>
      </c>
      <c r="U472">
        <f t="shared" si="97"/>
        <v>0</v>
      </c>
      <c r="V472">
        <f t="shared" si="98"/>
        <v>5236.2</v>
      </c>
      <c r="W472">
        <f t="shared" si="99"/>
        <v>0</v>
      </c>
      <c r="X472">
        <v>0</v>
      </c>
    </row>
    <row r="473" spans="1:24" x14ac:dyDescent="0.3">
      <c r="A473" t="s">
        <v>552</v>
      </c>
      <c r="B473" t="s">
        <v>569</v>
      </c>
      <c r="C473">
        <v>29663400</v>
      </c>
      <c r="D473" t="s">
        <v>135</v>
      </c>
      <c r="E473" t="s">
        <v>13</v>
      </c>
      <c r="F473" t="s">
        <v>1</v>
      </c>
      <c r="G473" t="s">
        <v>367</v>
      </c>
      <c r="H473" t="s">
        <v>184</v>
      </c>
      <c r="I473" t="s">
        <v>1</v>
      </c>
      <c r="L473">
        <v>236</v>
      </c>
      <c r="M473">
        <v>475.91160220994476</v>
      </c>
      <c r="N473">
        <v>236</v>
      </c>
      <c r="O473">
        <v>472</v>
      </c>
      <c r="P473">
        <v>0</v>
      </c>
      <c r="Q473">
        <f t="shared" si="95"/>
        <v>472</v>
      </c>
      <c r="R473">
        <v>472</v>
      </c>
      <c r="S473">
        <f t="shared" si="96"/>
        <v>0</v>
      </c>
      <c r="U473">
        <f t="shared" si="97"/>
        <v>0</v>
      </c>
      <c r="V473">
        <f t="shared" si="98"/>
        <v>472</v>
      </c>
      <c r="W473">
        <f t="shared" si="99"/>
        <v>0</v>
      </c>
      <c r="X473">
        <v>0</v>
      </c>
    </row>
    <row r="474" spans="1:24" x14ac:dyDescent="0.3">
      <c r="A474" t="s">
        <v>552</v>
      </c>
      <c r="B474" t="s">
        <v>569</v>
      </c>
      <c r="C474">
        <v>29663400</v>
      </c>
      <c r="D474" t="s">
        <v>135</v>
      </c>
      <c r="E474" t="s">
        <v>80</v>
      </c>
      <c r="F474" t="s">
        <v>1</v>
      </c>
      <c r="G474" t="s">
        <v>367</v>
      </c>
      <c r="H474" t="s">
        <v>286</v>
      </c>
      <c r="I474" t="s">
        <v>1</v>
      </c>
      <c r="J474">
        <v>-233</v>
      </c>
      <c r="L474">
        <v>-355.9</v>
      </c>
      <c r="M474">
        <v>-717.6988950276243</v>
      </c>
      <c r="N474">
        <v>-355.9</v>
      </c>
      <c r="O474">
        <v>-715.71098901100004</v>
      </c>
      <c r="P474">
        <v>0</v>
      </c>
      <c r="Q474">
        <f t="shared" si="95"/>
        <v>-715.71098901100004</v>
      </c>
      <c r="R474">
        <v>0</v>
      </c>
      <c r="S474">
        <f t="shared" si="96"/>
        <v>715.71098901100004</v>
      </c>
      <c r="U474">
        <f t="shared" si="97"/>
        <v>0</v>
      </c>
      <c r="V474">
        <f t="shared" si="98"/>
        <v>0</v>
      </c>
      <c r="W474">
        <f t="shared" si="99"/>
        <v>715.71098901100004</v>
      </c>
      <c r="X474">
        <v>0</v>
      </c>
    </row>
    <row r="475" spans="1:24" x14ac:dyDescent="0.3">
      <c r="A475" t="s">
        <v>552</v>
      </c>
      <c r="B475" t="s">
        <v>569</v>
      </c>
      <c r="C475">
        <v>29663400</v>
      </c>
      <c r="D475" t="s">
        <v>135</v>
      </c>
      <c r="E475" t="s">
        <v>15</v>
      </c>
      <c r="F475" t="s">
        <v>1</v>
      </c>
      <c r="G475" t="s">
        <v>367</v>
      </c>
      <c r="H475" t="s">
        <v>186</v>
      </c>
      <c r="I475" t="s">
        <v>1</v>
      </c>
      <c r="J475">
        <v>-6514.47</v>
      </c>
      <c r="K475">
        <v>-4929.9999999997999</v>
      </c>
      <c r="L475">
        <v>-5266.71</v>
      </c>
      <c r="M475">
        <v>-10620.713535911602</v>
      </c>
      <c r="N475">
        <v>-8146.6900000000005</v>
      </c>
      <c r="O475">
        <v>-10591.2959340659</v>
      </c>
      <c r="P475">
        <v>0</v>
      </c>
      <c r="Q475">
        <f t="shared" si="95"/>
        <v>-10591.2959340659</v>
      </c>
      <c r="R475">
        <v>-10591.2959340659</v>
      </c>
      <c r="S475">
        <f t="shared" si="96"/>
        <v>0</v>
      </c>
      <c r="U475">
        <f t="shared" si="97"/>
        <v>0</v>
      </c>
      <c r="V475">
        <f t="shared" si="98"/>
        <v>-10591.2959340659</v>
      </c>
      <c r="W475">
        <f t="shared" si="99"/>
        <v>0</v>
      </c>
      <c r="X475">
        <v>0</v>
      </c>
    </row>
    <row r="476" spans="1:24" x14ac:dyDescent="0.3">
      <c r="A476" t="s">
        <v>552</v>
      </c>
      <c r="B476" t="s">
        <v>569</v>
      </c>
      <c r="C476">
        <v>29663400</v>
      </c>
      <c r="D476" t="s">
        <v>135</v>
      </c>
      <c r="E476" t="s">
        <v>71</v>
      </c>
      <c r="F476" t="s">
        <v>1</v>
      </c>
      <c r="G476" t="s">
        <v>367</v>
      </c>
      <c r="H476" t="s">
        <v>273</v>
      </c>
      <c r="I476" t="s">
        <v>1</v>
      </c>
      <c r="J476">
        <v>6277.23</v>
      </c>
      <c r="K476">
        <v>7375.9621090314004</v>
      </c>
      <c r="L476">
        <v>3581.86</v>
      </c>
      <c r="M476">
        <v>7223.0878453038677</v>
      </c>
      <c r="N476">
        <v>6499.67</v>
      </c>
      <c r="O476">
        <v>7203.0810989010997</v>
      </c>
      <c r="P476">
        <v>0</v>
      </c>
      <c r="Q476">
        <f t="shared" si="95"/>
        <v>7203.0810989010997</v>
      </c>
      <c r="R476">
        <v>7203.0810989010997</v>
      </c>
      <c r="S476">
        <f t="shared" si="96"/>
        <v>0</v>
      </c>
      <c r="T476">
        <v>2.75E-2</v>
      </c>
      <c r="U476">
        <f t="shared" si="97"/>
        <v>198.08473021978025</v>
      </c>
      <c r="V476">
        <f t="shared" si="98"/>
        <v>7401.1658291208796</v>
      </c>
      <c r="W476">
        <f t="shared" si="99"/>
        <v>198.08473021977989</v>
      </c>
      <c r="X476">
        <v>0</v>
      </c>
    </row>
    <row r="477" spans="1:24" x14ac:dyDescent="0.3">
      <c r="A477" t="s">
        <v>552</v>
      </c>
      <c r="B477" t="s">
        <v>569</v>
      </c>
      <c r="C477">
        <v>29663400</v>
      </c>
      <c r="D477" t="s">
        <v>135</v>
      </c>
      <c r="E477" t="s">
        <v>72</v>
      </c>
      <c r="F477" t="s">
        <v>1</v>
      </c>
      <c r="G477" t="s">
        <v>367</v>
      </c>
      <c r="H477" t="s">
        <v>274</v>
      </c>
      <c r="I477" t="s">
        <v>1</v>
      </c>
      <c r="J477">
        <v>1916.73</v>
      </c>
      <c r="K477">
        <v>2419.8251591620001</v>
      </c>
      <c r="L477">
        <v>-23.27</v>
      </c>
      <c r="M477">
        <v>-46.925690607734808</v>
      </c>
      <c r="N477">
        <v>403.80000000000013</v>
      </c>
      <c r="O477">
        <v>-46.795714285700001</v>
      </c>
      <c r="P477">
        <v>0</v>
      </c>
      <c r="Q477">
        <f t="shared" si="95"/>
        <v>-46.795714285700001</v>
      </c>
      <c r="R477">
        <v>0</v>
      </c>
      <c r="S477">
        <f t="shared" si="96"/>
        <v>46.795714285700001</v>
      </c>
      <c r="T477">
        <v>2.2499999999999999E-2</v>
      </c>
      <c r="U477">
        <f t="shared" si="97"/>
        <v>0</v>
      </c>
      <c r="V477">
        <f t="shared" si="98"/>
        <v>0</v>
      </c>
      <c r="W477">
        <f t="shared" si="99"/>
        <v>46.795714285700001</v>
      </c>
      <c r="X477">
        <v>0</v>
      </c>
    </row>
    <row r="478" spans="1:24" x14ac:dyDescent="0.3">
      <c r="A478" t="s">
        <v>552</v>
      </c>
      <c r="B478" t="s">
        <v>569</v>
      </c>
      <c r="C478">
        <v>29663400</v>
      </c>
      <c r="D478" t="s">
        <v>135</v>
      </c>
      <c r="E478" t="s">
        <v>16</v>
      </c>
      <c r="F478" t="s">
        <v>1</v>
      </c>
      <c r="G478" t="s">
        <v>367</v>
      </c>
      <c r="H478" t="s">
        <v>187</v>
      </c>
      <c r="I478" t="s">
        <v>1</v>
      </c>
      <c r="J478">
        <v>48827.8</v>
      </c>
      <c r="K478">
        <v>50730.837689005297</v>
      </c>
      <c r="L478">
        <v>37509.86</v>
      </c>
      <c r="M478">
        <v>75641.430386740336</v>
      </c>
      <c r="N478">
        <v>61790.659999999996</v>
      </c>
      <c r="O478">
        <v>75431.916263736304</v>
      </c>
      <c r="P478">
        <v>0</v>
      </c>
      <c r="Q478">
        <f t="shared" si="95"/>
        <v>75431.916263736304</v>
      </c>
      <c r="R478">
        <v>75431.916263736304</v>
      </c>
      <c r="S478">
        <f t="shared" si="96"/>
        <v>0</v>
      </c>
      <c r="T478">
        <v>0.02</v>
      </c>
      <c r="U478">
        <f t="shared" si="97"/>
        <v>1508.6383252747262</v>
      </c>
      <c r="V478">
        <f t="shared" si="98"/>
        <v>76940.554589011037</v>
      </c>
      <c r="W478">
        <f t="shared" si="99"/>
        <v>1508.6383252747328</v>
      </c>
      <c r="X478">
        <v>0</v>
      </c>
    </row>
    <row r="479" spans="1:24" x14ac:dyDescent="0.3">
      <c r="A479" t="s">
        <v>552</v>
      </c>
      <c r="B479" t="s">
        <v>569</v>
      </c>
      <c r="C479">
        <v>29663400</v>
      </c>
      <c r="D479" t="s">
        <v>135</v>
      </c>
      <c r="E479" t="s">
        <v>87</v>
      </c>
      <c r="F479" t="s">
        <v>1</v>
      </c>
      <c r="G479" t="s">
        <v>367</v>
      </c>
      <c r="H479" t="s">
        <v>293</v>
      </c>
      <c r="I479" t="s">
        <v>1</v>
      </c>
      <c r="J479">
        <v>223546.59</v>
      </c>
      <c r="K479">
        <v>246268.472107068</v>
      </c>
      <c r="L479">
        <v>97961.91</v>
      </c>
      <c r="M479">
        <v>197547.49806629834</v>
      </c>
      <c r="N479">
        <v>215200.58000000002</v>
      </c>
      <c r="O479">
        <v>197000.32450549499</v>
      </c>
      <c r="P479">
        <v>0</v>
      </c>
      <c r="Q479">
        <f t="shared" si="95"/>
        <v>197000.32450549499</v>
      </c>
      <c r="R479">
        <v>197000.32450549499</v>
      </c>
      <c r="S479">
        <f t="shared" si="96"/>
        <v>0</v>
      </c>
      <c r="T479">
        <v>3.5000000000000003E-2</v>
      </c>
      <c r="U479">
        <f t="shared" si="97"/>
        <v>6895.0113576923259</v>
      </c>
      <c r="V479">
        <f t="shared" si="98"/>
        <v>203895.33586318733</v>
      </c>
      <c r="W479">
        <f t="shared" si="99"/>
        <v>6895.0113576923322</v>
      </c>
      <c r="X479">
        <v>0</v>
      </c>
    </row>
    <row r="480" spans="1:24" x14ac:dyDescent="0.3">
      <c r="A480" t="s">
        <v>552</v>
      </c>
      <c r="B480" t="s">
        <v>569</v>
      </c>
      <c r="C480">
        <v>29663400</v>
      </c>
      <c r="D480" t="s">
        <v>135</v>
      </c>
      <c r="E480" t="s">
        <v>53</v>
      </c>
      <c r="F480" t="s">
        <v>1</v>
      </c>
      <c r="G480" t="s">
        <v>367</v>
      </c>
      <c r="H480" t="s">
        <v>229</v>
      </c>
      <c r="I480" t="s">
        <v>1</v>
      </c>
      <c r="J480">
        <v>42100.69</v>
      </c>
      <c r="K480">
        <v>41496.700284816798</v>
      </c>
      <c r="L480">
        <v>21009.09</v>
      </c>
      <c r="M480">
        <v>42366.396961325969</v>
      </c>
      <c r="N480">
        <v>42964.61</v>
      </c>
      <c r="O480">
        <v>42249.049120879099</v>
      </c>
      <c r="P480">
        <v>0</v>
      </c>
      <c r="Q480">
        <f t="shared" si="95"/>
        <v>42249.049120879099</v>
      </c>
      <c r="R480">
        <v>42249.049120879099</v>
      </c>
      <c r="S480">
        <f t="shared" si="96"/>
        <v>0</v>
      </c>
      <c r="T480">
        <v>0.04</v>
      </c>
      <c r="U480">
        <f t="shared" si="97"/>
        <v>1689.9619648351641</v>
      </c>
      <c r="V480">
        <f t="shared" si="98"/>
        <v>43939.011085714264</v>
      </c>
      <c r="W480">
        <f t="shared" si="99"/>
        <v>1689.9619648351654</v>
      </c>
      <c r="X480">
        <v>0</v>
      </c>
    </row>
    <row r="481" spans="1:24" x14ac:dyDescent="0.3">
      <c r="A481" t="s">
        <v>552</v>
      </c>
      <c r="B481" t="s">
        <v>569</v>
      </c>
      <c r="C481">
        <v>29663400</v>
      </c>
      <c r="D481" t="s">
        <v>135</v>
      </c>
      <c r="E481" t="s">
        <v>17</v>
      </c>
      <c r="F481" t="s">
        <v>1</v>
      </c>
      <c r="G481" t="s">
        <v>367</v>
      </c>
      <c r="H481" t="s">
        <v>188</v>
      </c>
      <c r="I481" t="s">
        <v>1</v>
      </c>
      <c r="J481">
        <v>6576.71</v>
      </c>
      <c r="K481">
        <v>1029.9999999997001</v>
      </c>
      <c r="L481">
        <v>3614.86</v>
      </c>
      <c r="M481">
        <v>7289.6348066298342</v>
      </c>
      <c r="N481">
        <v>11297.810000000001</v>
      </c>
      <c r="O481">
        <v>7289.6348066297996</v>
      </c>
      <c r="P481">
        <v>0</v>
      </c>
      <c r="Q481">
        <f t="shared" si="95"/>
        <v>7289.6348066297996</v>
      </c>
      <c r="R481">
        <v>7289.6348066297996</v>
      </c>
      <c r="S481">
        <f t="shared" si="96"/>
        <v>0</v>
      </c>
      <c r="T481">
        <v>0.03</v>
      </c>
      <c r="U481">
        <f t="shared" si="97"/>
        <v>218.68904419889398</v>
      </c>
      <c r="V481">
        <f t="shared" si="98"/>
        <v>7508.323850828694</v>
      </c>
      <c r="W481">
        <f t="shared" si="99"/>
        <v>218.68904419889441</v>
      </c>
      <c r="X481">
        <v>0</v>
      </c>
    </row>
    <row r="482" spans="1:24" x14ac:dyDescent="0.3">
      <c r="A482" t="s">
        <v>552</v>
      </c>
      <c r="B482" t="s">
        <v>569</v>
      </c>
      <c r="C482">
        <v>29663400</v>
      </c>
      <c r="D482" t="s">
        <v>135</v>
      </c>
      <c r="E482" t="s">
        <v>64</v>
      </c>
      <c r="F482" t="s">
        <v>1</v>
      </c>
      <c r="G482" t="s">
        <v>367</v>
      </c>
      <c r="H482" t="s">
        <v>256</v>
      </c>
      <c r="I482" t="s">
        <v>1</v>
      </c>
      <c r="J482">
        <v>138.24</v>
      </c>
      <c r="L482">
        <v>183.39</v>
      </c>
      <c r="M482">
        <v>369.81961325966847</v>
      </c>
      <c r="N482">
        <v>183.39000000000001</v>
      </c>
      <c r="O482">
        <v>369.81961325970002</v>
      </c>
      <c r="P482">
        <v>0</v>
      </c>
      <c r="Q482">
        <f t="shared" si="95"/>
        <v>369.81961325970002</v>
      </c>
      <c r="R482">
        <v>369.81961325970002</v>
      </c>
      <c r="S482">
        <f t="shared" si="96"/>
        <v>0</v>
      </c>
      <c r="T482">
        <v>3.5000000000000003E-2</v>
      </c>
      <c r="U482">
        <f t="shared" si="97"/>
        <v>12.943686464089502</v>
      </c>
      <c r="V482">
        <f t="shared" si="98"/>
        <v>382.76329972378954</v>
      </c>
      <c r="W482">
        <f t="shared" si="99"/>
        <v>12.943686464089524</v>
      </c>
      <c r="X482">
        <v>0</v>
      </c>
    </row>
    <row r="483" spans="1:24" x14ac:dyDescent="0.3">
      <c r="A483" t="s">
        <v>552</v>
      </c>
      <c r="B483" t="s">
        <v>569</v>
      </c>
      <c r="C483">
        <v>29663400</v>
      </c>
      <c r="D483" t="s">
        <v>135</v>
      </c>
      <c r="E483" t="s">
        <v>18</v>
      </c>
      <c r="F483" t="s">
        <v>1</v>
      </c>
      <c r="G483" t="s">
        <v>367</v>
      </c>
      <c r="H483" t="s">
        <v>189</v>
      </c>
      <c r="I483" t="s">
        <v>1</v>
      </c>
      <c r="J483">
        <v>5141.87</v>
      </c>
      <c r="K483">
        <v>2024.46</v>
      </c>
      <c r="L483">
        <v>4744.32</v>
      </c>
      <c r="M483">
        <v>9567.2751381215458</v>
      </c>
      <c r="N483">
        <v>8930.41</v>
      </c>
      <c r="O483">
        <v>9567.2751381215003</v>
      </c>
      <c r="P483">
        <v>0</v>
      </c>
      <c r="Q483">
        <f t="shared" si="95"/>
        <v>9567.2751381215003</v>
      </c>
      <c r="R483">
        <v>3000</v>
      </c>
      <c r="S483">
        <f t="shared" si="96"/>
        <v>-6567.2751381215003</v>
      </c>
      <c r="T483">
        <v>3.5000000000000003E-2</v>
      </c>
      <c r="U483">
        <f t="shared" si="97"/>
        <v>105.00000000000001</v>
      </c>
      <c r="V483">
        <f t="shared" si="98"/>
        <v>3105</v>
      </c>
      <c r="W483">
        <f t="shared" si="99"/>
        <v>-6462.2751381215003</v>
      </c>
      <c r="X483">
        <v>0</v>
      </c>
    </row>
    <row r="484" spans="1:24" x14ac:dyDescent="0.3">
      <c r="A484" t="s">
        <v>552</v>
      </c>
      <c r="B484" t="s">
        <v>569</v>
      </c>
      <c r="C484">
        <v>29663400</v>
      </c>
      <c r="D484" t="s">
        <v>135</v>
      </c>
      <c r="E484" t="s">
        <v>19</v>
      </c>
      <c r="F484" t="s">
        <v>1</v>
      </c>
      <c r="G484" t="s">
        <v>367</v>
      </c>
      <c r="H484" t="s">
        <v>190</v>
      </c>
      <c r="I484" t="s">
        <v>1</v>
      </c>
      <c r="J484">
        <v>8583.9699999999993</v>
      </c>
      <c r="K484">
        <v>3287.1599999998002</v>
      </c>
      <c r="L484">
        <v>2988.35</v>
      </c>
      <c r="M484">
        <v>6026.2306629834247</v>
      </c>
      <c r="N484">
        <v>8396.65</v>
      </c>
      <c r="O484">
        <v>6026.2306629834002</v>
      </c>
      <c r="P484">
        <v>0</v>
      </c>
      <c r="Q484">
        <f t="shared" si="95"/>
        <v>6026.2306629834002</v>
      </c>
      <c r="R484">
        <v>3500</v>
      </c>
      <c r="S484">
        <f t="shared" si="96"/>
        <v>-2526.2306629834002</v>
      </c>
      <c r="T484">
        <v>3.5000000000000003E-2</v>
      </c>
      <c r="U484">
        <f t="shared" si="97"/>
        <v>122.50000000000001</v>
      </c>
      <c r="V484">
        <f t="shared" si="98"/>
        <v>3622.5</v>
      </c>
      <c r="W484">
        <f t="shared" si="99"/>
        <v>-2403.7306629834002</v>
      </c>
      <c r="X484">
        <v>0</v>
      </c>
    </row>
    <row r="485" spans="1:24" x14ac:dyDescent="0.3">
      <c r="A485" t="s">
        <v>552</v>
      </c>
      <c r="B485" t="s">
        <v>569</v>
      </c>
      <c r="C485">
        <v>29663400</v>
      </c>
      <c r="D485" t="s">
        <v>135</v>
      </c>
      <c r="E485" t="s">
        <v>20</v>
      </c>
      <c r="F485" t="s">
        <v>1</v>
      </c>
      <c r="G485" t="s">
        <v>367</v>
      </c>
      <c r="H485" t="s">
        <v>191</v>
      </c>
      <c r="I485" t="s">
        <v>1</v>
      </c>
      <c r="J485">
        <v>217</v>
      </c>
      <c r="L485">
        <v>269</v>
      </c>
      <c r="M485">
        <v>542.45856353591159</v>
      </c>
      <c r="N485">
        <v>486</v>
      </c>
      <c r="O485">
        <v>538</v>
      </c>
      <c r="P485">
        <v>0</v>
      </c>
      <c r="Q485">
        <f t="shared" si="95"/>
        <v>538</v>
      </c>
      <c r="R485">
        <v>300</v>
      </c>
      <c r="S485">
        <f t="shared" si="96"/>
        <v>-238</v>
      </c>
      <c r="U485">
        <f t="shared" si="97"/>
        <v>0</v>
      </c>
      <c r="V485">
        <f t="shared" si="98"/>
        <v>300</v>
      </c>
      <c r="W485">
        <f t="shared" si="99"/>
        <v>-238</v>
      </c>
      <c r="X485">
        <v>0</v>
      </c>
    </row>
    <row r="486" spans="1:24" x14ac:dyDescent="0.3">
      <c r="A486" t="s">
        <v>552</v>
      </c>
      <c r="B486" t="s">
        <v>569</v>
      </c>
      <c r="C486">
        <v>29663400</v>
      </c>
      <c r="D486" t="s">
        <v>135</v>
      </c>
      <c r="E486" t="s">
        <v>22</v>
      </c>
      <c r="F486" t="s">
        <v>1</v>
      </c>
      <c r="G486" t="s">
        <v>367</v>
      </c>
      <c r="H486" t="s">
        <v>193</v>
      </c>
      <c r="I486" t="s">
        <v>1</v>
      </c>
      <c r="J486">
        <v>781.49</v>
      </c>
      <c r="K486">
        <v>431.00000000040001</v>
      </c>
      <c r="L486">
        <v>45</v>
      </c>
      <c r="M486">
        <v>90.745856353591165</v>
      </c>
      <c r="N486">
        <v>395.28</v>
      </c>
      <c r="O486">
        <v>90</v>
      </c>
      <c r="P486">
        <v>0</v>
      </c>
      <c r="Q486">
        <f t="shared" si="95"/>
        <v>90</v>
      </c>
      <c r="R486">
        <v>400</v>
      </c>
      <c r="S486">
        <f t="shared" si="96"/>
        <v>310</v>
      </c>
      <c r="U486">
        <f t="shared" si="97"/>
        <v>0</v>
      </c>
      <c r="V486">
        <f t="shared" si="98"/>
        <v>400</v>
      </c>
      <c r="W486">
        <f t="shared" si="99"/>
        <v>310</v>
      </c>
      <c r="X486">
        <v>0</v>
      </c>
    </row>
    <row r="487" spans="1:24" x14ac:dyDescent="0.3">
      <c r="A487" t="s">
        <v>552</v>
      </c>
      <c r="B487" t="s">
        <v>569</v>
      </c>
      <c r="C487">
        <v>29663400</v>
      </c>
      <c r="D487" t="s">
        <v>135</v>
      </c>
      <c r="E487" t="s">
        <v>54</v>
      </c>
      <c r="F487" t="s">
        <v>1</v>
      </c>
      <c r="G487" t="s">
        <v>367</v>
      </c>
      <c r="H487" t="s">
        <v>230</v>
      </c>
      <c r="I487" t="s">
        <v>1</v>
      </c>
      <c r="J487">
        <v>9732.15</v>
      </c>
      <c r="K487">
        <v>8406.9999999995998</v>
      </c>
      <c r="L487">
        <v>1349.76</v>
      </c>
      <c r="M487">
        <v>2721.8917127071823</v>
      </c>
      <c r="N487">
        <v>7153.93</v>
      </c>
      <c r="O487">
        <v>2699.52</v>
      </c>
      <c r="P487">
        <v>0</v>
      </c>
      <c r="Q487">
        <f t="shared" si="95"/>
        <v>2699.52</v>
      </c>
      <c r="R487">
        <v>2700</v>
      </c>
      <c r="S487">
        <f t="shared" si="96"/>
        <v>0.48000000000001819</v>
      </c>
      <c r="U487">
        <f t="shared" si="97"/>
        <v>0</v>
      </c>
      <c r="V487">
        <f t="shared" si="98"/>
        <v>2700</v>
      </c>
      <c r="W487">
        <f t="shared" si="99"/>
        <v>0.48000000000001819</v>
      </c>
      <c r="X487">
        <v>0</v>
      </c>
    </row>
    <row r="488" spans="1:24" x14ac:dyDescent="0.3">
      <c r="A488" t="s">
        <v>552</v>
      </c>
      <c r="B488" t="s">
        <v>569</v>
      </c>
      <c r="C488">
        <v>29663400</v>
      </c>
      <c r="D488" t="s">
        <v>135</v>
      </c>
      <c r="E488" t="s">
        <v>23</v>
      </c>
      <c r="F488" t="s">
        <v>1</v>
      </c>
      <c r="G488" t="s">
        <v>367</v>
      </c>
      <c r="H488" t="s">
        <v>194</v>
      </c>
      <c r="I488" t="s">
        <v>1</v>
      </c>
      <c r="J488">
        <v>2972.96</v>
      </c>
      <c r="L488">
        <v>649.29999999999995</v>
      </c>
      <c r="M488">
        <v>1309.3618784530386</v>
      </c>
      <c r="N488">
        <v>3622.2600000000007</v>
      </c>
      <c r="O488">
        <v>1298.5999999999999</v>
      </c>
      <c r="P488">
        <v>0</v>
      </c>
      <c r="Q488">
        <f t="shared" si="95"/>
        <v>1298.5999999999999</v>
      </c>
      <c r="R488">
        <v>1300</v>
      </c>
      <c r="S488">
        <f t="shared" si="96"/>
        <v>1.4000000000000909</v>
      </c>
      <c r="U488">
        <f t="shared" si="97"/>
        <v>0</v>
      </c>
      <c r="V488">
        <f t="shared" si="98"/>
        <v>1300</v>
      </c>
      <c r="W488">
        <f t="shared" si="99"/>
        <v>1.4000000000000909</v>
      </c>
      <c r="X488">
        <v>0</v>
      </c>
    </row>
    <row r="489" spans="1:24" x14ac:dyDescent="0.3">
      <c r="A489" t="s">
        <v>552</v>
      </c>
      <c r="B489" t="s">
        <v>569</v>
      </c>
      <c r="C489">
        <v>29663400</v>
      </c>
      <c r="D489" t="s">
        <v>135</v>
      </c>
      <c r="E489" t="s">
        <v>24</v>
      </c>
      <c r="F489" t="s">
        <v>1</v>
      </c>
      <c r="G489" t="s">
        <v>367</v>
      </c>
      <c r="H489" t="s">
        <v>195</v>
      </c>
      <c r="I489" t="s">
        <v>1</v>
      </c>
      <c r="J489">
        <v>2788.16</v>
      </c>
      <c r="K489">
        <v>300</v>
      </c>
      <c r="L489">
        <v>0</v>
      </c>
      <c r="M489">
        <v>0</v>
      </c>
      <c r="N489">
        <v>0</v>
      </c>
      <c r="P489">
        <v>0</v>
      </c>
      <c r="Q489">
        <f t="shared" si="95"/>
        <v>0</v>
      </c>
      <c r="R489">
        <v>0</v>
      </c>
      <c r="S489">
        <f t="shared" si="96"/>
        <v>0</v>
      </c>
      <c r="U489">
        <f t="shared" si="97"/>
        <v>0</v>
      </c>
      <c r="V489">
        <f t="shared" si="98"/>
        <v>0</v>
      </c>
      <c r="W489">
        <f t="shared" si="99"/>
        <v>0</v>
      </c>
      <c r="X489">
        <v>0</v>
      </c>
    </row>
    <row r="490" spans="1:24" x14ac:dyDescent="0.3">
      <c r="A490" t="s">
        <v>552</v>
      </c>
      <c r="B490" t="s">
        <v>569</v>
      </c>
      <c r="C490">
        <v>29663400</v>
      </c>
      <c r="D490" t="s">
        <v>135</v>
      </c>
      <c r="E490" t="s">
        <v>27</v>
      </c>
      <c r="F490" t="s">
        <v>1</v>
      </c>
      <c r="G490" t="s">
        <v>367</v>
      </c>
      <c r="H490" t="s">
        <v>198</v>
      </c>
      <c r="I490" t="s">
        <v>1</v>
      </c>
      <c r="K490">
        <v>750</v>
      </c>
      <c r="L490">
        <v>0</v>
      </c>
      <c r="M490">
        <v>0</v>
      </c>
      <c r="N490">
        <v>0</v>
      </c>
      <c r="P490">
        <v>0</v>
      </c>
      <c r="Q490">
        <f t="shared" si="95"/>
        <v>0</v>
      </c>
      <c r="R490">
        <v>500</v>
      </c>
      <c r="S490">
        <f t="shared" si="96"/>
        <v>500</v>
      </c>
      <c r="U490">
        <f t="shared" si="97"/>
        <v>0</v>
      </c>
      <c r="V490">
        <f t="shared" si="98"/>
        <v>500</v>
      </c>
      <c r="W490">
        <f t="shared" si="99"/>
        <v>500</v>
      </c>
      <c r="X490">
        <v>0</v>
      </c>
    </row>
    <row r="491" spans="1:24" x14ac:dyDescent="0.3">
      <c r="A491" t="s">
        <v>552</v>
      </c>
      <c r="B491" t="s">
        <v>569</v>
      </c>
      <c r="C491">
        <v>29663400</v>
      </c>
      <c r="D491" t="s">
        <v>135</v>
      </c>
      <c r="E491" t="s">
        <v>29</v>
      </c>
      <c r="F491" t="s">
        <v>1</v>
      </c>
      <c r="G491" t="s">
        <v>367</v>
      </c>
      <c r="H491" t="s">
        <v>200</v>
      </c>
      <c r="I491" t="s">
        <v>1</v>
      </c>
      <c r="J491">
        <v>819.83</v>
      </c>
      <c r="K491">
        <v>999.99999999960005</v>
      </c>
      <c r="L491">
        <v>309.27</v>
      </c>
      <c r="M491">
        <v>623.66602209944745</v>
      </c>
      <c r="N491">
        <v>309.27</v>
      </c>
      <c r="O491">
        <v>618.54</v>
      </c>
      <c r="P491">
        <v>0</v>
      </c>
      <c r="Q491">
        <f t="shared" si="95"/>
        <v>618.54</v>
      </c>
      <c r="R491">
        <v>0</v>
      </c>
      <c r="S491">
        <f t="shared" si="96"/>
        <v>-618.54</v>
      </c>
      <c r="U491">
        <f t="shared" si="97"/>
        <v>0</v>
      </c>
      <c r="V491">
        <f t="shared" si="98"/>
        <v>0</v>
      </c>
      <c r="W491">
        <f t="shared" si="99"/>
        <v>-618.54</v>
      </c>
      <c r="X491">
        <v>0</v>
      </c>
    </row>
    <row r="492" spans="1:24" x14ac:dyDescent="0.3">
      <c r="A492" t="s">
        <v>552</v>
      </c>
      <c r="B492" t="s">
        <v>569</v>
      </c>
      <c r="C492">
        <v>29663400</v>
      </c>
      <c r="D492" t="s">
        <v>135</v>
      </c>
      <c r="E492" t="s">
        <v>30</v>
      </c>
      <c r="F492" t="s">
        <v>1</v>
      </c>
      <c r="G492" t="s">
        <v>367</v>
      </c>
      <c r="H492" t="s">
        <v>201</v>
      </c>
      <c r="I492" t="s">
        <v>1</v>
      </c>
      <c r="J492">
        <v>2340</v>
      </c>
      <c r="L492">
        <v>0</v>
      </c>
      <c r="M492">
        <v>0</v>
      </c>
      <c r="N492">
        <v>2340</v>
      </c>
      <c r="P492">
        <v>0</v>
      </c>
      <c r="Q492">
        <f t="shared" si="95"/>
        <v>0</v>
      </c>
      <c r="R492">
        <v>0</v>
      </c>
      <c r="S492">
        <f t="shared" si="96"/>
        <v>0</v>
      </c>
      <c r="U492">
        <f t="shared" si="97"/>
        <v>0</v>
      </c>
      <c r="V492">
        <f t="shared" si="98"/>
        <v>0</v>
      </c>
      <c r="W492">
        <f t="shared" si="99"/>
        <v>0</v>
      </c>
      <c r="X492">
        <v>0</v>
      </c>
    </row>
    <row r="493" spans="1:24" x14ac:dyDescent="0.3">
      <c r="A493" t="s">
        <v>552</v>
      </c>
      <c r="B493" t="s">
        <v>569</v>
      </c>
      <c r="C493">
        <v>29663400</v>
      </c>
      <c r="D493" t="s">
        <v>135</v>
      </c>
      <c r="E493" t="s">
        <v>31</v>
      </c>
      <c r="F493" t="s">
        <v>1</v>
      </c>
      <c r="G493" t="s">
        <v>367</v>
      </c>
      <c r="H493" t="s">
        <v>202</v>
      </c>
      <c r="I493" t="s">
        <v>1</v>
      </c>
      <c r="J493">
        <v>409.86</v>
      </c>
      <c r="K493">
        <v>450</v>
      </c>
      <c r="L493">
        <v>974.48</v>
      </c>
      <c r="M493">
        <v>1965.1116022099447</v>
      </c>
      <c r="N493">
        <v>1162.1600000000001</v>
      </c>
      <c r="O493">
        <v>1948.96</v>
      </c>
      <c r="P493">
        <v>0</v>
      </c>
      <c r="Q493">
        <f t="shared" si="95"/>
        <v>1948.96</v>
      </c>
      <c r="R493">
        <v>500</v>
      </c>
      <c r="S493">
        <f t="shared" si="96"/>
        <v>-1448.96</v>
      </c>
      <c r="U493">
        <f t="shared" si="97"/>
        <v>0</v>
      </c>
      <c r="V493">
        <f t="shared" si="98"/>
        <v>500</v>
      </c>
      <c r="W493">
        <f t="shared" si="99"/>
        <v>-1448.96</v>
      </c>
      <c r="X493">
        <v>0</v>
      </c>
    </row>
    <row r="494" spans="1:24" x14ac:dyDescent="0.3">
      <c r="A494" t="s">
        <v>552</v>
      </c>
      <c r="B494" t="s">
        <v>569</v>
      </c>
      <c r="C494">
        <v>29663400</v>
      </c>
      <c r="D494" t="s">
        <v>135</v>
      </c>
      <c r="E494" t="s">
        <v>33</v>
      </c>
      <c r="F494" t="s">
        <v>1</v>
      </c>
      <c r="G494" t="s">
        <v>367</v>
      </c>
      <c r="H494" t="s">
        <v>204</v>
      </c>
      <c r="I494" t="s">
        <v>1</v>
      </c>
      <c r="L494">
        <v>-1.6</v>
      </c>
      <c r="M494">
        <v>-3.2265193370165748</v>
      </c>
      <c r="N494">
        <v>-1.6</v>
      </c>
      <c r="O494">
        <v>-3.226519337</v>
      </c>
      <c r="P494">
        <v>0</v>
      </c>
      <c r="Q494">
        <f t="shared" si="95"/>
        <v>-3.226519337</v>
      </c>
      <c r="R494">
        <v>0</v>
      </c>
      <c r="S494">
        <f t="shared" si="96"/>
        <v>3.226519337</v>
      </c>
      <c r="U494">
        <f t="shared" si="97"/>
        <v>0</v>
      </c>
      <c r="V494">
        <f t="shared" si="98"/>
        <v>0</v>
      </c>
      <c r="W494">
        <f t="shared" si="99"/>
        <v>3.226519337</v>
      </c>
      <c r="X494">
        <v>0</v>
      </c>
    </row>
    <row r="495" spans="1:24" x14ac:dyDescent="0.3">
      <c r="A495" t="s">
        <v>552</v>
      </c>
      <c r="B495" t="s">
        <v>569</v>
      </c>
      <c r="C495">
        <v>29663400</v>
      </c>
      <c r="D495" t="s">
        <v>135</v>
      </c>
      <c r="E495" t="s">
        <v>110</v>
      </c>
      <c r="F495" t="s">
        <v>1</v>
      </c>
      <c r="G495" t="s">
        <v>367</v>
      </c>
      <c r="H495" t="s">
        <v>328</v>
      </c>
      <c r="I495" t="s">
        <v>1</v>
      </c>
      <c r="J495">
        <v>15053417.08</v>
      </c>
      <c r="K495">
        <v>16579405.956683399</v>
      </c>
      <c r="L495">
        <v>7375741.8799999999</v>
      </c>
      <c r="M495">
        <v>14873733.625414366</v>
      </c>
      <c r="N495">
        <v>15130393.510000004</v>
      </c>
      <c r="O495">
        <v>14873733.625414399</v>
      </c>
      <c r="P495">
        <v>0</v>
      </c>
      <c r="Q495">
        <f t="shared" si="95"/>
        <v>14873733.625414399</v>
      </c>
      <c r="R495">
        <v>14873733.625414399</v>
      </c>
      <c r="S495">
        <f t="shared" si="96"/>
        <v>0</v>
      </c>
      <c r="T495">
        <v>3.2500000000000001E-2</v>
      </c>
      <c r="U495">
        <f t="shared" si="97"/>
        <v>483396.34282596799</v>
      </c>
      <c r="V495">
        <f t="shared" si="98"/>
        <v>15357129.968240367</v>
      </c>
      <c r="W495">
        <f t="shared" si="99"/>
        <v>483396.34282596782</v>
      </c>
      <c r="X495">
        <v>0</v>
      </c>
    </row>
    <row r="496" spans="1:24" x14ac:dyDescent="0.3">
      <c r="A496" t="s">
        <v>552</v>
      </c>
      <c r="B496" t="s">
        <v>569</v>
      </c>
      <c r="C496">
        <v>29663400</v>
      </c>
      <c r="D496" t="s">
        <v>135</v>
      </c>
      <c r="E496" t="s">
        <v>111</v>
      </c>
      <c r="F496" t="s">
        <v>1</v>
      </c>
      <c r="G496" t="s">
        <v>367</v>
      </c>
      <c r="H496" t="s">
        <v>329</v>
      </c>
      <c r="I496" t="s">
        <v>1</v>
      </c>
      <c r="J496">
        <v>0</v>
      </c>
      <c r="L496">
        <v>0</v>
      </c>
      <c r="M496">
        <v>0</v>
      </c>
      <c r="N496">
        <v>-16.149999999999999</v>
      </c>
      <c r="P496">
        <v>0</v>
      </c>
      <c r="Q496">
        <f t="shared" si="95"/>
        <v>0</v>
      </c>
      <c r="R496">
        <v>0</v>
      </c>
      <c r="S496">
        <f t="shared" si="96"/>
        <v>0</v>
      </c>
      <c r="T496">
        <v>2.8000000000000001E-2</v>
      </c>
      <c r="U496">
        <f t="shared" si="97"/>
        <v>0</v>
      </c>
      <c r="V496">
        <f t="shared" si="98"/>
        <v>0</v>
      </c>
      <c r="W496">
        <f t="shared" si="99"/>
        <v>0</v>
      </c>
      <c r="X496">
        <v>0</v>
      </c>
    </row>
    <row r="497" spans="1:24" x14ac:dyDescent="0.3">
      <c r="A497" t="s">
        <v>552</v>
      </c>
      <c r="B497" t="s">
        <v>569</v>
      </c>
      <c r="C497">
        <v>29663400</v>
      </c>
      <c r="D497" t="s">
        <v>135</v>
      </c>
      <c r="E497" t="s">
        <v>113</v>
      </c>
      <c r="F497" t="s">
        <v>1</v>
      </c>
      <c r="G497" t="s">
        <v>367</v>
      </c>
      <c r="H497" t="s">
        <v>331</v>
      </c>
      <c r="I497" t="s">
        <v>1</v>
      </c>
      <c r="J497">
        <v>7546746.5999999996</v>
      </c>
      <c r="K497">
        <v>9761966.7510361206</v>
      </c>
      <c r="L497">
        <v>3878496.24</v>
      </c>
      <c r="M497">
        <v>7821276.9480662979</v>
      </c>
      <c r="N497">
        <v>7067310.5099999998</v>
      </c>
      <c r="O497">
        <v>7821276.9480662998</v>
      </c>
      <c r="P497">
        <v>0</v>
      </c>
      <c r="Q497">
        <f t="shared" si="95"/>
        <v>7821276.9480662998</v>
      </c>
      <c r="R497">
        <v>7821276.9480662998</v>
      </c>
      <c r="S497">
        <f t="shared" si="96"/>
        <v>0</v>
      </c>
      <c r="T497">
        <v>4.4999999999999998E-2</v>
      </c>
      <c r="U497">
        <f t="shared" si="97"/>
        <v>351957.46266298345</v>
      </c>
      <c r="V497">
        <f t="shared" si="98"/>
        <v>8173234.4107292835</v>
      </c>
      <c r="W497">
        <f t="shared" si="99"/>
        <v>351957.46266298369</v>
      </c>
      <c r="X497">
        <v>0</v>
      </c>
    </row>
    <row r="498" spans="1:24" x14ac:dyDescent="0.3">
      <c r="A498" t="s">
        <v>552</v>
      </c>
      <c r="B498" t="s">
        <v>569</v>
      </c>
      <c r="C498">
        <v>29663400</v>
      </c>
      <c r="D498" t="s">
        <v>135</v>
      </c>
      <c r="E498" t="s">
        <v>115</v>
      </c>
      <c r="F498" t="s">
        <v>1</v>
      </c>
      <c r="G498" t="s">
        <v>367</v>
      </c>
      <c r="H498" t="s">
        <v>333</v>
      </c>
      <c r="I498" t="s">
        <v>1</v>
      </c>
      <c r="J498">
        <v>242.39</v>
      </c>
      <c r="L498">
        <v>66.09</v>
      </c>
      <c r="M498">
        <v>133.27541436464088</v>
      </c>
      <c r="N498">
        <v>146.88999999999996</v>
      </c>
      <c r="O498">
        <v>133.27541436460001</v>
      </c>
      <c r="P498">
        <v>0</v>
      </c>
      <c r="Q498">
        <f t="shared" si="95"/>
        <v>133.27541436460001</v>
      </c>
      <c r="R498">
        <v>133.27541436460001</v>
      </c>
      <c r="S498">
        <f t="shared" si="96"/>
        <v>0</v>
      </c>
      <c r="T498">
        <v>2.5000000000000001E-2</v>
      </c>
      <c r="U498">
        <f t="shared" si="97"/>
        <v>3.3318853591150006</v>
      </c>
      <c r="V498">
        <f t="shared" si="98"/>
        <v>136.60729972371502</v>
      </c>
      <c r="W498">
        <f t="shared" si="99"/>
        <v>3.3318853591150059</v>
      </c>
      <c r="X498">
        <v>0</v>
      </c>
    </row>
    <row r="499" spans="1:24" x14ac:dyDescent="0.3">
      <c r="A499" t="s">
        <v>552</v>
      </c>
      <c r="B499" t="s">
        <v>569</v>
      </c>
      <c r="C499">
        <v>29663400</v>
      </c>
      <c r="D499" t="s">
        <v>135</v>
      </c>
      <c r="E499" t="s">
        <v>137</v>
      </c>
      <c r="F499" t="s">
        <v>1</v>
      </c>
      <c r="G499" t="s">
        <v>367</v>
      </c>
      <c r="H499" t="s">
        <v>369</v>
      </c>
      <c r="I499" t="s">
        <v>1</v>
      </c>
      <c r="J499">
        <v>19741.38</v>
      </c>
      <c r="K499">
        <v>18093.706350785698</v>
      </c>
      <c r="L499">
        <v>16211.74</v>
      </c>
      <c r="M499">
        <v>32692.182872928173</v>
      </c>
      <c r="N499">
        <v>28906.419999999995</v>
      </c>
      <c r="O499">
        <v>32692.182872928199</v>
      </c>
      <c r="P499">
        <v>0</v>
      </c>
      <c r="Q499">
        <f t="shared" si="95"/>
        <v>32692.182872928199</v>
      </c>
      <c r="R499">
        <v>32692.182872928199</v>
      </c>
      <c r="S499">
        <f t="shared" si="96"/>
        <v>0</v>
      </c>
      <c r="T499">
        <v>2.5000000000000001E-2</v>
      </c>
      <c r="U499">
        <f t="shared" si="97"/>
        <v>817.30457182320504</v>
      </c>
      <c r="V499">
        <f t="shared" si="98"/>
        <v>33509.487444751401</v>
      </c>
      <c r="W499">
        <f t="shared" si="99"/>
        <v>817.30457182320242</v>
      </c>
      <c r="X499">
        <v>0</v>
      </c>
    </row>
    <row r="500" spans="1:24" x14ac:dyDescent="0.3">
      <c r="A500" t="s">
        <v>552</v>
      </c>
      <c r="B500" t="s">
        <v>569</v>
      </c>
      <c r="C500">
        <v>29663400</v>
      </c>
      <c r="D500" t="s">
        <v>135</v>
      </c>
      <c r="E500" t="s">
        <v>120</v>
      </c>
      <c r="F500" t="s">
        <v>1</v>
      </c>
      <c r="G500" t="s">
        <v>367</v>
      </c>
      <c r="H500" t="s">
        <v>338</v>
      </c>
      <c r="I500" t="s">
        <v>1</v>
      </c>
      <c r="J500">
        <v>2548345.46</v>
      </c>
      <c r="K500">
        <v>2629807.1776535399</v>
      </c>
      <c r="L500">
        <v>1276907.3600000001</v>
      </c>
      <c r="M500">
        <v>2574978.9303867407</v>
      </c>
      <c r="N500">
        <v>2616408.0999999996</v>
      </c>
      <c r="O500">
        <v>2574978.9303867398</v>
      </c>
      <c r="P500">
        <v>0</v>
      </c>
      <c r="Q500">
        <f t="shared" si="95"/>
        <v>2574978.9303867398</v>
      </c>
      <c r="R500">
        <v>2574978.9303867398</v>
      </c>
      <c r="S500">
        <f t="shared" si="96"/>
        <v>0</v>
      </c>
      <c r="T500">
        <v>2.2499999999999999E-2</v>
      </c>
      <c r="U500">
        <f t="shared" si="97"/>
        <v>57937.02593370164</v>
      </c>
      <c r="V500">
        <f t="shared" si="98"/>
        <v>2632915.9563204413</v>
      </c>
      <c r="W500">
        <f t="shared" si="99"/>
        <v>57937.025933701545</v>
      </c>
      <c r="X500">
        <v>0</v>
      </c>
    </row>
    <row r="501" spans="1:24" x14ac:dyDescent="0.3">
      <c r="A501" t="s">
        <v>552</v>
      </c>
      <c r="B501" t="s">
        <v>569</v>
      </c>
      <c r="C501">
        <v>29663400</v>
      </c>
      <c r="D501" t="s">
        <v>135</v>
      </c>
      <c r="E501" t="s">
        <v>122</v>
      </c>
      <c r="F501" t="s">
        <v>1</v>
      </c>
      <c r="G501" t="s">
        <v>367</v>
      </c>
      <c r="H501" t="s">
        <v>340</v>
      </c>
      <c r="I501" t="s">
        <v>1</v>
      </c>
      <c r="J501">
        <v>1333.72</v>
      </c>
      <c r="K501">
        <v>1421.3447548429999</v>
      </c>
      <c r="L501">
        <v>0</v>
      </c>
      <c r="M501">
        <v>0</v>
      </c>
      <c r="N501">
        <v>881.11</v>
      </c>
      <c r="P501">
        <v>0</v>
      </c>
      <c r="Q501">
        <f t="shared" si="95"/>
        <v>0</v>
      </c>
      <c r="R501">
        <v>0</v>
      </c>
      <c r="S501">
        <f t="shared" si="96"/>
        <v>0</v>
      </c>
      <c r="T501">
        <v>2.2499999999999999E-2</v>
      </c>
      <c r="U501">
        <f t="shared" si="97"/>
        <v>0</v>
      </c>
      <c r="V501">
        <f t="shared" si="98"/>
        <v>0</v>
      </c>
      <c r="W501">
        <f t="shared" si="99"/>
        <v>0</v>
      </c>
      <c r="X501">
        <v>0</v>
      </c>
    </row>
    <row r="502" spans="1:24" x14ac:dyDescent="0.3">
      <c r="A502" t="s">
        <v>552</v>
      </c>
      <c r="B502" t="s">
        <v>569</v>
      </c>
      <c r="C502">
        <v>29663400</v>
      </c>
      <c r="D502" t="s">
        <v>135</v>
      </c>
      <c r="E502" t="s">
        <v>124</v>
      </c>
      <c r="F502" t="s">
        <v>1</v>
      </c>
      <c r="G502" t="s">
        <v>367</v>
      </c>
      <c r="H502" t="s">
        <v>342</v>
      </c>
      <c r="I502" t="s">
        <v>1</v>
      </c>
      <c r="J502">
        <v>1493401.85</v>
      </c>
      <c r="K502">
        <v>6391.2643246072003</v>
      </c>
      <c r="L502">
        <v>3365373.76</v>
      </c>
      <c r="M502">
        <v>6786527.195580109</v>
      </c>
      <c r="N502">
        <v>4855607.45</v>
      </c>
      <c r="O502">
        <v>6786527.19558011</v>
      </c>
      <c r="P502">
        <v>0</v>
      </c>
      <c r="Q502">
        <f t="shared" si="95"/>
        <v>6786527.19558011</v>
      </c>
      <c r="R502">
        <v>6786527.19558011</v>
      </c>
      <c r="S502">
        <f t="shared" si="96"/>
        <v>0</v>
      </c>
      <c r="T502">
        <v>0.03</v>
      </c>
      <c r="U502">
        <f t="shared" si="97"/>
        <v>203595.81586740329</v>
      </c>
      <c r="V502">
        <f t="shared" si="98"/>
        <v>6990123.0114475135</v>
      </c>
      <c r="W502">
        <f t="shared" si="99"/>
        <v>203595.81586740352</v>
      </c>
      <c r="X502">
        <v>0</v>
      </c>
    </row>
    <row r="503" spans="1:24" x14ac:dyDescent="0.3">
      <c r="A503" t="s">
        <v>552</v>
      </c>
      <c r="B503" t="s">
        <v>569</v>
      </c>
      <c r="C503">
        <v>29663400</v>
      </c>
      <c r="D503" t="s">
        <v>135</v>
      </c>
      <c r="E503" t="s">
        <v>36</v>
      </c>
      <c r="F503" t="s">
        <v>1</v>
      </c>
      <c r="G503" t="s">
        <v>367</v>
      </c>
      <c r="H503" t="s">
        <v>207</v>
      </c>
      <c r="I503" t="s">
        <v>1</v>
      </c>
      <c r="J503">
        <v>4987.5</v>
      </c>
      <c r="K503">
        <v>3048</v>
      </c>
      <c r="L503">
        <v>1652.23</v>
      </c>
      <c r="M503">
        <v>3331.8450276243093</v>
      </c>
      <c r="N503">
        <v>4936.04</v>
      </c>
      <c r="O503">
        <v>3304.46</v>
      </c>
      <c r="P503">
        <v>0</v>
      </c>
      <c r="Q503">
        <f t="shared" si="95"/>
        <v>3304.46</v>
      </c>
      <c r="R503">
        <v>3304.46</v>
      </c>
      <c r="S503">
        <f t="shared" si="96"/>
        <v>0</v>
      </c>
      <c r="T503">
        <v>0.03</v>
      </c>
      <c r="U503">
        <f t="shared" si="97"/>
        <v>99.133799999999994</v>
      </c>
      <c r="V503">
        <f t="shared" si="98"/>
        <v>3403.5938000000001</v>
      </c>
      <c r="W503">
        <f t="shared" si="99"/>
        <v>99.133800000000065</v>
      </c>
      <c r="X503">
        <v>0</v>
      </c>
    </row>
    <row r="504" spans="1:24" x14ac:dyDescent="0.3">
      <c r="A504" t="s">
        <v>552</v>
      </c>
      <c r="B504" t="s">
        <v>569</v>
      </c>
      <c r="C504">
        <v>29663400</v>
      </c>
      <c r="D504" t="s">
        <v>135</v>
      </c>
      <c r="E504" t="s">
        <v>37</v>
      </c>
      <c r="F504" t="s">
        <v>1</v>
      </c>
      <c r="G504" t="s">
        <v>367</v>
      </c>
      <c r="H504" t="s">
        <v>208</v>
      </c>
      <c r="I504" t="s">
        <v>1</v>
      </c>
      <c r="J504">
        <v>42289</v>
      </c>
      <c r="K504">
        <v>14208.9999999996</v>
      </c>
      <c r="L504">
        <v>3732.86</v>
      </c>
      <c r="M504">
        <v>7527.5906077348072</v>
      </c>
      <c r="N504">
        <v>31812.86</v>
      </c>
      <c r="O504">
        <v>7465.72</v>
      </c>
      <c r="P504">
        <v>0</v>
      </c>
      <c r="Q504">
        <f t="shared" si="95"/>
        <v>7465.72</v>
      </c>
      <c r="R504">
        <v>14040</v>
      </c>
      <c r="S504">
        <f t="shared" si="96"/>
        <v>6574.28</v>
      </c>
      <c r="T504">
        <v>0.03</v>
      </c>
      <c r="U504">
        <f t="shared" si="97"/>
        <v>421.2</v>
      </c>
      <c r="V504">
        <f t="shared" si="98"/>
        <v>14461.2</v>
      </c>
      <c r="W504">
        <f t="shared" si="99"/>
        <v>6995.4800000000005</v>
      </c>
      <c r="X504" t="s">
        <v>511</v>
      </c>
    </row>
    <row r="505" spans="1:24" x14ac:dyDescent="0.3">
      <c r="A505" t="s">
        <v>552</v>
      </c>
      <c r="B505" t="s">
        <v>569</v>
      </c>
      <c r="C505">
        <v>29663400</v>
      </c>
      <c r="D505" t="s">
        <v>135</v>
      </c>
      <c r="E505" t="s">
        <v>39</v>
      </c>
      <c r="F505" t="s">
        <v>1</v>
      </c>
      <c r="G505" t="s">
        <v>367</v>
      </c>
      <c r="H505" t="s">
        <v>210</v>
      </c>
      <c r="I505" t="s">
        <v>1</v>
      </c>
      <c r="J505">
        <v>13790</v>
      </c>
      <c r="L505">
        <v>0</v>
      </c>
      <c r="M505">
        <v>0</v>
      </c>
      <c r="N505">
        <v>985</v>
      </c>
      <c r="P505">
        <v>0</v>
      </c>
      <c r="Q505">
        <f t="shared" si="95"/>
        <v>0</v>
      </c>
      <c r="R505">
        <v>0</v>
      </c>
      <c r="S505">
        <f t="shared" si="96"/>
        <v>0</v>
      </c>
      <c r="T505">
        <v>0.03</v>
      </c>
      <c r="U505">
        <f t="shared" si="97"/>
        <v>0</v>
      </c>
      <c r="V505">
        <f t="shared" si="98"/>
        <v>0</v>
      </c>
      <c r="W505">
        <f t="shared" si="99"/>
        <v>0</v>
      </c>
      <c r="X505">
        <v>0</v>
      </c>
    </row>
    <row r="506" spans="1:24" x14ac:dyDescent="0.3">
      <c r="A506" t="s">
        <v>552</v>
      </c>
      <c r="B506" t="s">
        <v>569</v>
      </c>
      <c r="C506">
        <v>29663400</v>
      </c>
      <c r="D506" t="s">
        <v>135</v>
      </c>
      <c r="E506" t="s">
        <v>41</v>
      </c>
      <c r="F506" t="s">
        <v>1</v>
      </c>
      <c r="G506" t="s">
        <v>367</v>
      </c>
      <c r="H506" t="s">
        <v>212</v>
      </c>
      <c r="I506" t="s">
        <v>1</v>
      </c>
      <c r="J506">
        <v>2852.95</v>
      </c>
      <c r="K506">
        <v>2586.9999999995998</v>
      </c>
      <c r="L506">
        <v>64.98</v>
      </c>
      <c r="M506">
        <v>131.03701657458564</v>
      </c>
      <c r="N506">
        <v>230.41999999999996</v>
      </c>
      <c r="O506">
        <v>129.96</v>
      </c>
      <c r="P506">
        <v>0</v>
      </c>
      <c r="Q506">
        <f t="shared" si="95"/>
        <v>129.96</v>
      </c>
      <c r="R506">
        <v>129.96</v>
      </c>
      <c r="S506">
        <f t="shared" si="96"/>
        <v>0</v>
      </c>
      <c r="T506">
        <v>0.03</v>
      </c>
      <c r="U506">
        <f t="shared" si="97"/>
        <v>3.8988</v>
      </c>
      <c r="V506">
        <f t="shared" si="98"/>
        <v>133.8588</v>
      </c>
      <c r="W506">
        <f t="shared" si="99"/>
        <v>3.8987999999999943</v>
      </c>
      <c r="X506">
        <v>0</v>
      </c>
    </row>
    <row r="507" spans="1:24" x14ac:dyDescent="0.3">
      <c r="A507" t="s">
        <v>552</v>
      </c>
      <c r="B507" t="s">
        <v>569</v>
      </c>
      <c r="C507">
        <v>29663400</v>
      </c>
      <c r="D507" t="s">
        <v>135</v>
      </c>
      <c r="E507" t="s">
        <v>42</v>
      </c>
      <c r="F507" t="s">
        <v>1</v>
      </c>
      <c r="G507" t="s">
        <v>367</v>
      </c>
      <c r="H507" t="s">
        <v>213</v>
      </c>
      <c r="I507" t="s">
        <v>1</v>
      </c>
      <c r="J507">
        <v>1227</v>
      </c>
      <c r="K507">
        <v>750</v>
      </c>
      <c r="L507">
        <v>569.04</v>
      </c>
      <c r="M507">
        <v>1147.5116022099446</v>
      </c>
      <c r="N507">
        <v>908.04</v>
      </c>
      <c r="O507">
        <v>1138.08</v>
      </c>
      <c r="P507">
        <v>0</v>
      </c>
      <c r="Q507">
        <f t="shared" si="95"/>
        <v>1138.08</v>
      </c>
      <c r="R507">
        <v>500</v>
      </c>
      <c r="S507">
        <f t="shared" si="96"/>
        <v>-638.07999999999993</v>
      </c>
      <c r="T507">
        <v>0.03</v>
      </c>
      <c r="U507">
        <f t="shared" si="97"/>
        <v>15</v>
      </c>
      <c r="V507">
        <f t="shared" si="98"/>
        <v>515</v>
      </c>
      <c r="W507">
        <f t="shared" si="99"/>
        <v>-623.07999999999993</v>
      </c>
      <c r="X507">
        <v>0</v>
      </c>
    </row>
    <row r="508" spans="1:24" x14ac:dyDescent="0.3">
      <c r="A508" t="s">
        <v>552</v>
      </c>
      <c r="B508" t="s">
        <v>569</v>
      </c>
      <c r="C508">
        <v>29663400</v>
      </c>
      <c r="D508" t="s">
        <v>135</v>
      </c>
      <c r="E508" t="s">
        <v>44</v>
      </c>
      <c r="F508" t="s">
        <v>1</v>
      </c>
      <c r="G508" t="s">
        <v>367</v>
      </c>
      <c r="H508" t="s">
        <v>215</v>
      </c>
      <c r="I508" t="s">
        <v>1</v>
      </c>
      <c r="J508">
        <v>1590.97</v>
      </c>
      <c r="K508">
        <v>1587.9999999999</v>
      </c>
      <c r="L508">
        <v>865.32</v>
      </c>
      <c r="M508">
        <v>1744.9823204419893</v>
      </c>
      <c r="N508">
        <v>1668.9000000000003</v>
      </c>
      <c r="O508">
        <v>1744.9823204419999</v>
      </c>
      <c r="P508">
        <v>0</v>
      </c>
      <c r="Q508">
        <f t="shared" si="95"/>
        <v>1744.9823204419999</v>
      </c>
      <c r="R508">
        <v>1744.9823204419999</v>
      </c>
      <c r="S508">
        <f t="shared" si="96"/>
        <v>0</v>
      </c>
      <c r="U508">
        <f t="shared" si="97"/>
        <v>0</v>
      </c>
      <c r="V508">
        <f t="shared" si="98"/>
        <v>1744.9823204419999</v>
      </c>
      <c r="W508">
        <f t="shared" si="99"/>
        <v>0</v>
      </c>
      <c r="X508">
        <v>0</v>
      </c>
    </row>
    <row r="509" spans="1:24" x14ac:dyDescent="0.3">
      <c r="A509" t="s">
        <v>552</v>
      </c>
      <c r="B509" t="s">
        <v>569</v>
      </c>
      <c r="C509">
        <v>29663400</v>
      </c>
      <c r="D509" t="s">
        <v>135</v>
      </c>
      <c r="E509" t="s">
        <v>45</v>
      </c>
      <c r="F509" t="s">
        <v>45</v>
      </c>
      <c r="G509" t="s">
        <v>370</v>
      </c>
      <c r="J509">
        <v>27290120.93</v>
      </c>
      <c r="K509">
        <v>29388587.618152376</v>
      </c>
      <c r="L509">
        <v>16179207.789999999</v>
      </c>
      <c r="M509">
        <v>32626579.245027632</v>
      </c>
      <c r="N509">
        <v>30295338.540000003</v>
      </c>
      <c r="O509">
        <v>32624065.922108591</v>
      </c>
      <c r="P509">
        <f>SUMIF($F$469:$F$508,"&lt;&gt;EV_*",$P$469:$P$508)</f>
        <v>0</v>
      </c>
      <c r="Q509">
        <f>SUMIF($F$469:$F$508,"&lt;&gt;EV_*",$Q$469:$Q$508)</f>
        <v>32624065.922108591</v>
      </c>
      <c r="R509">
        <f>SUMIF($F$469:$F$508,"&lt;&gt;EV_*",$R$469:$R$508)</f>
        <v>32448730.289530125</v>
      </c>
      <c r="S509">
        <f>SUMIF($F$469:$F$508,"&lt;&gt;EV_*",$S$469:$S$508)</f>
        <v>-175335.63257847121</v>
      </c>
      <c r="T509">
        <v>0</v>
      </c>
      <c r="U509">
        <f>SUMIF($F$469:$F$508,"&lt;&gt;EV_*",$U$469:$U$508)</f>
        <v>1108997.3454559238</v>
      </c>
      <c r="V509">
        <f>SUMIF($F$469:$F$508,"&lt;&gt;EV_*",$V$469:$V$508)</f>
        <v>33557727.63498605</v>
      </c>
      <c r="W509">
        <f>SUMIF($F$469:$F$508,"&lt;&gt;EV_*",$W$469:$W$508)</f>
        <v>933661.71287745272</v>
      </c>
      <c r="X509">
        <f>SUMIF($F$469:$F$508,"&lt;&gt;EV_*",$X$469:$X$508)</f>
        <v>0</v>
      </c>
    </row>
    <row r="510" spans="1:24" x14ac:dyDescent="0.3">
      <c r="A510" t="s">
        <v>552</v>
      </c>
      <c r="B510" t="s">
        <v>575</v>
      </c>
      <c r="C510">
        <v>29663430</v>
      </c>
      <c r="D510" t="s">
        <v>138</v>
      </c>
      <c r="E510" t="s">
        <v>5</v>
      </c>
      <c r="F510" t="s">
        <v>5</v>
      </c>
      <c r="G510" t="s">
        <v>371</v>
      </c>
    </row>
    <row r="511" spans="1:24" x14ac:dyDescent="0.3">
      <c r="A511" t="s">
        <v>552</v>
      </c>
      <c r="B511" t="s">
        <v>575</v>
      </c>
      <c r="C511">
        <v>29663430</v>
      </c>
      <c r="D511" t="s">
        <v>138</v>
      </c>
      <c r="E511" t="s">
        <v>12</v>
      </c>
      <c r="F511" t="s">
        <v>1</v>
      </c>
      <c r="G511" t="s">
        <v>372</v>
      </c>
      <c r="H511" t="s">
        <v>183</v>
      </c>
      <c r="I511" t="s">
        <v>1</v>
      </c>
      <c r="J511">
        <v>6428.22</v>
      </c>
      <c r="K511">
        <v>6585.4899999995996</v>
      </c>
      <c r="L511">
        <v>2765.9</v>
      </c>
      <c r="M511">
        <v>5577.6436464088401</v>
      </c>
      <c r="N511">
        <v>5847.69</v>
      </c>
      <c r="O511">
        <v>5531.8</v>
      </c>
      <c r="P511">
        <v>0</v>
      </c>
      <c r="Q511">
        <f t="shared" ref="Q511:Q536" si="100">O511+P511</f>
        <v>5531.8</v>
      </c>
      <c r="R511">
        <v>5531.8</v>
      </c>
      <c r="S511">
        <f t="shared" ref="S511:S536" si="101">IF(OR(LEFT(E511,2)="A_",LEFT(D511,5)="Total"),R511-Q511,"")</f>
        <v>0</v>
      </c>
      <c r="U511">
        <f t="shared" ref="U511:U536" si="102">IFERROR(R511*T511,R511*0)</f>
        <v>0</v>
      </c>
      <c r="V511">
        <f t="shared" ref="V511:V536" si="103">IF(OR(LEFT(E511,2)="A_",LEFT(D511,5)="Total"),R511+U511,"")</f>
        <v>5531.8</v>
      </c>
      <c r="W511">
        <f t="shared" ref="W511:W536" si="104">IF(OR(LEFT(E511,2)="A_",LEFT(D511,5)="Total"),V511-Q511,"")</f>
        <v>0</v>
      </c>
      <c r="X511">
        <v>0</v>
      </c>
    </row>
    <row r="512" spans="1:24" x14ac:dyDescent="0.3">
      <c r="A512" t="s">
        <v>552</v>
      </c>
      <c r="B512" t="s">
        <v>575</v>
      </c>
      <c r="C512">
        <v>29663430</v>
      </c>
      <c r="D512" t="s">
        <v>138</v>
      </c>
      <c r="E512" t="s">
        <v>15</v>
      </c>
      <c r="F512" t="s">
        <v>1</v>
      </c>
      <c r="G512" t="s">
        <v>372</v>
      </c>
      <c r="H512" t="s">
        <v>186</v>
      </c>
      <c r="I512" t="s">
        <v>1</v>
      </c>
      <c r="J512">
        <v>-11.16</v>
      </c>
      <c r="K512">
        <v>-9.9999999997</v>
      </c>
      <c r="L512">
        <v>0</v>
      </c>
      <c r="M512">
        <v>0</v>
      </c>
      <c r="N512">
        <v>-8.16</v>
      </c>
      <c r="P512">
        <v>0</v>
      </c>
      <c r="Q512">
        <f t="shared" si="100"/>
        <v>0</v>
      </c>
      <c r="R512">
        <v>0</v>
      </c>
      <c r="S512">
        <f t="shared" si="101"/>
        <v>0</v>
      </c>
      <c r="U512">
        <f t="shared" si="102"/>
        <v>0</v>
      </c>
      <c r="V512">
        <f t="shared" si="103"/>
        <v>0</v>
      </c>
      <c r="W512">
        <f t="shared" si="104"/>
        <v>0</v>
      </c>
      <c r="X512">
        <v>0</v>
      </c>
    </row>
    <row r="513" spans="1:24" x14ac:dyDescent="0.3">
      <c r="A513" t="s">
        <v>552</v>
      </c>
      <c r="B513" t="s">
        <v>575</v>
      </c>
      <c r="C513">
        <v>29663430</v>
      </c>
      <c r="D513" t="s">
        <v>138</v>
      </c>
      <c r="E513" t="s">
        <v>71</v>
      </c>
      <c r="F513" t="s">
        <v>1</v>
      </c>
      <c r="G513" t="s">
        <v>372</v>
      </c>
      <c r="H513" t="s">
        <v>273</v>
      </c>
      <c r="I513" t="s">
        <v>1</v>
      </c>
      <c r="J513">
        <v>144.76</v>
      </c>
      <c r="L513">
        <v>239.74</v>
      </c>
      <c r="M513">
        <v>483.45359116022098</v>
      </c>
      <c r="N513">
        <v>384.5</v>
      </c>
      <c r="O513">
        <v>482.11450549450001</v>
      </c>
      <c r="P513">
        <v>0</v>
      </c>
      <c r="Q513">
        <f t="shared" si="100"/>
        <v>482.11450549450001</v>
      </c>
      <c r="R513">
        <v>482.11450549450001</v>
      </c>
      <c r="S513">
        <f t="shared" si="101"/>
        <v>0</v>
      </c>
      <c r="T513">
        <v>2.75E-2</v>
      </c>
      <c r="U513">
        <f t="shared" si="102"/>
        <v>13.25814890109875</v>
      </c>
      <c r="V513">
        <f t="shared" si="103"/>
        <v>495.37265439559877</v>
      </c>
      <c r="W513">
        <f t="shared" si="104"/>
        <v>13.258148901098764</v>
      </c>
      <c r="X513">
        <v>0</v>
      </c>
    </row>
    <row r="514" spans="1:24" x14ac:dyDescent="0.3">
      <c r="A514" t="s">
        <v>552</v>
      </c>
      <c r="B514" t="s">
        <v>575</v>
      </c>
      <c r="C514">
        <v>29663430</v>
      </c>
      <c r="D514" t="s">
        <v>138</v>
      </c>
      <c r="E514" t="s">
        <v>72</v>
      </c>
      <c r="F514" t="s">
        <v>1</v>
      </c>
      <c r="G514" t="s">
        <v>372</v>
      </c>
      <c r="H514" t="s">
        <v>274</v>
      </c>
      <c r="I514" t="s">
        <v>1</v>
      </c>
      <c r="J514">
        <v>497.07</v>
      </c>
      <c r="L514">
        <v>181.36</v>
      </c>
      <c r="M514">
        <v>365.72596685082874</v>
      </c>
      <c r="N514">
        <v>181.35999999999999</v>
      </c>
      <c r="O514">
        <v>364.71296703299998</v>
      </c>
      <c r="P514">
        <v>0</v>
      </c>
      <c r="Q514">
        <f t="shared" si="100"/>
        <v>364.71296703299998</v>
      </c>
      <c r="R514">
        <v>364.71296703299998</v>
      </c>
      <c r="S514">
        <f t="shared" si="101"/>
        <v>0</v>
      </c>
      <c r="T514">
        <v>2.2499999999999999E-2</v>
      </c>
      <c r="U514">
        <f t="shared" si="102"/>
        <v>8.2060417582424989</v>
      </c>
      <c r="V514">
        <f t="shared" si="103"/>
        <v>372.9190087912425</v>
      </c>
      <c r="W514">
        <f t="shared" si="104"/>
        <v>8.2060417582425202</v>
      </c>
      <c r="X514">
        <v>0</v>
      </c>
    </row>
    <row r="515" spans="1:24" x14ac:dyDescent="0.3">
      <c r="A515" t="s">
        <v>552</v>
      </c>
      <c r="B515" t="s">
        <v>575</v>
      </c>
      <c r="C515">
        <v>29663430</v>
      </c>
      <c r="D515" t="s">
        <v>138</v>
      </c>
      <c r="E515" t="s">
        <v>50</v>
      </c>
      <c r="F515" t="s">
        <v>1</v>
      </c>
      <c r="G515" t="s">
        <v>372</v>
      </c>
      <c r="H515" t="s">
        <v>226</v>
      </c>
      <c r="I515" t="s">
        <v>1</v>
      </c>
      <c r="J515">
        <v>33.9</v>
      </c>
      <c r="L515">
        <v>0</v>
      </c>
      <c r="M515">
        <v>0</v>
      </c>
      <c r="N515">
        <v>0</v>
      </c>
      <c r="P515">
        <v>0</v>
      </c>
      <c r="Q515">
        <f t="shared" si="100"/>
        <v>0</v>
      </c>
      <c r="R515">
        <v>0</v>
      </c>
      <c r="S515">
        <f t="shared" si="101"/>
        <v>0</v>
      </c>
      <c r="T515">
        <v>3.2500000000000001E-2</v>
      </c>
      <c r="U515">
        <f t="shared" si="102"/>
        <v>0</v>
      </c>
      <c r="V515">
        <f t="shared" si="103"/>
        <v>0</v>
      </c>
      <c r="W515">
        <f t="shared" si="104"/>
        <v>0</v>
      </c>
      <c r="X515">
        <v>0</v>
      </c>
    </row>
    <row r="516" spans="1:24" x14ac:dyDescent="0.3">
      <c r="A516" t="s">
        <v>552</v>
      </c>
      <c r="B516" t="s">
        <v>575</v>
      </c>
      <c r="C516">
        <v>29663430</v>
      </c>
      <c r="D516" t="s">
        <v>138</v>
      </c>
      <c r="E516" t="s">
        <v>16</v>
      </c>
      <c r="F516" t="s">
        <v>1</v>
      </c>
      <c r="G516" t="s">
        <v>372</v>
      </c>
      <c r="H516" t="s">
        <v>187</v>
      </c>
      <c r="I516" t="s">
        <v>1</v>
      </c>
      <c r="J516">
        <v>8473.39</v>
      </c>
      <c r="K516">
        <v>9772.5072962962004</v>
      </c>
      <c r="L516">
        <v>3816.09</v>
      </c>
      <c r="M516">
        <v>7695.4301104972383</v>
      </c>
      <c r="N516">
        <v>9264.1299999999992</v>
      </c>
      <c r="O516">
        <v>7674.1150549451004</v>
      </c>
      <c r="P516">
        <v>0</v>
      </c>
      <c r="Q516">
        <f t="shared" si="100"/>
        <v>7674.1150549451004</v>
      </c>
      <c r="R516">
        <v>8473.39</v>
      </c>
      <c r="S516">
        <f t="shared" si="101"/>
        <v>799.27494505489904</v>
      </c>
      <c r="T516">
        <v>0.02</v>
      </c>
      <c r="U516">
        <f t="shared" si="102"/>
        <v>169.46779999999998</v>
      </c>
      <c r="V516">
        <f t="shared" si="103"/>
        <v>8642.8577999999998</v>
      </c>
      <c r="W516">
        <f t="shared" si="104"/>
        <v>968.74274505489939</v>
      </c>
      <c r="X516">
        <v>0</v>
      </c>
    </row>
    <row r="517" spans="1:24" x14ac:dyDescent="0.3">
      <c r="A517" t="s">
        <v>552</v>
      </c>
      <c r="B517" t="s">
        <v>575</v>
      </c>
      <c r="C517">
        <v>29663430</v>
      </c>
      <c r="D517" t="s">
        <v>138</v>
      </c>
      <c r="E517" t="s">
        <v>68</v>
      </c>
      <c r="F517" t="s">
        <v>1</v>
      </c>
      <c r="G517" t="s">
        <v>372</v>
      </c>
      <c r="H517" t="s">
        <v>266</v>
      </c>
      <c r="I517" t="s">
        <v>1</v>
      </c>
      <c r="J517">
        <v>297.36</v>
      </c>
      <c r="L517">
        <v>-84.96</v>
      </c>
      <c r="M517">
        <v>-171.32817679558011</v>
      </c>
      <c r="N517">
        <v>0</v>
      </c>
      <c r="O517">
        <v>-170.85362637360001</v>
      </c>
      <c r="P517">
        <v>0</v>
      </c>
      <c r="Q517">
        <f t="shared" si="100"/>
        <v>-170.85362637360001</v>
      </c>
      <c r="R517">
        <v>0</v>
      </c>
      <c r="S517">
        <f t="shared" si="101"/>
        <v>170.85362637360001</v>
      </c>
      <c r="T517">
        <v>0.04</v>
      </c>
      <c r="U517">
        <f t="shared" si="102"/>
        <v>0</v>
      </c>
      <c r="V517">
        <f t="shared" si="103"/>
        <v>0</v>
      </c>
      <c r="W517">
        <f t="shared" si="104"/>
        <v>170.85362637360001</v>
      </c>
      <c r="X517">
        <v>0</v>
      </c>
    </row>
    <row r="518" spans="1:24" x14ac:dyDescent="0.3">
      <c r="A518" t="s">
        <v>552</v>
      </c>
      <c r="B518" t="s">
        <v>575</v>
      </c>
      <c r="C518">
        <v>29663430</v>
      </c>
      <c r="D518" t="s">
        <v>138</v>
      </c>
      <c r="E518" t="s">
        <v>86</v>
      </c>
      <c r="F518" t="s">
        <v>1</v>
      </c>
      <c r="G518" t="s">
        <v>372</v>
      </c>
      <c r="H518" t="s">
        <v>292</v>
      </c>
      <c r="I518" t="s">
        <v>1</v>
      </c>
      <c r="L518">
        <v>329.08</v>
      </c>
      <c r="M518">
        <v>663.61436464088399</v>
      </c>
      <c r="N518">
        <v>329.08</v>
      </c>
      <c r="O518">
        <v>661.77626373630005</v>
      </c>
      <c r="P518">
        <v>0</v>
      </c>
      <c r="Q518">
        <f t="shared" si="100"/>
        <v>661.77626373630005</v>
      </c>
      <c r="R518">
        <v>0</v>
      </c>
      <c r="S518">
        <f t="shared" si="101"/>
        <v>-661.77626373630005</v>
      </c>
      <c r="T518">
        <v>0.02</v>
      </c>
      <c r="U518">
        <f t="shared" si="102"/>
        <v>0</v>
      </c>
      <c r="V518">
        <f t="shared" si="103"/>
        <v>0</v>
      </c>
      <c r="W518">
        <f t="shared" si="104"/>
        <v>-661.77626373630005</v>
      </c>
      <c r="X518">
        <v>0</v>
      </c>
    </row>
    <row r="519" spans="1:24" x14ac:dyDescent="0.3">
      <c r="A519" t="s">
        <v>552</v>
      </c>
      <c r="B519" t="s">
        <v>575</v>
      </c>
      <c r="C519">
        <v>29663430</v>
      </c>
      <c r="D519" t="s">
        <v>138</v>
      </c>
      <c r="E519" t="s">
        <v>87</v>
      </c>
      <c r="F519" t="s">
        <v>1</v>
      </c>
      <c r="G519" t="s">
        <v>372</v>
      </c>
      <c r="H519" t="s">
        <v>293</v>
      </c>
      <c r="I519" t="s">
        <v>1</v>
      </c>
      <c r="L519">
        <v>133.66</v>
      </c>
      <c r="M519">
        <v>269.53535911602211</v>
      </c>
      <c r="N519">
        <v>133.66</v>
      </c>
      <c r="O519">
        <v>268.78879120879998</v>
      </c>
      <c r="P519">
        <v>0</v>
      </c>
      <c r="Q519">
        <f t="shared" si="100"/>
        <v>268.78879120879998</v>
      </c>
      <c r="R519">
        <v>268.78879120879998</v>
      </c>
      <c r="S519">
        <f t="shared" si="101"/>
        <v>0</v>
      </c>
      <c r="T519">
        <v>3.5000000000000003E-2</v>
      </c>
      <c r="U519">
        <f t="shared" si="102"/>
        <v>9.4076076923079999</v>
      </c>
      <c r="V519">
        <f t="shared" si="103"/>
        <v>278.19639890110795</v>
      </c>
      <c r="W519">
        <f t="shared" si="104"/>
        <v>9.4076076923079768</v>
      </c>
      <c r="X519">
        <v>0</v>
      </c>
    </row>
    <row r="520" spans="1:24" x14ac:dyDescent="0.3">
      <c r="A520" t="s">
        <v>552</v>
      </c>
      <c r="B520" t="s">
        <v>575</v>
      </c>
      <c r="C520">
        <v>29663430</v>
      </c>
      <c r="D520" t="s">
        <v>138</v>
      </c>
      <c r="E520" t="s">
        <v>53</v>
      </c>
      <c r="F520" t="s">
        <v>1</v>
      </c>
      <c r="G520" t="s">
        <v>372</v>
      </c>
      <c r="H520" t="s">
        <v>229</v>
      </c>
      <c r="I520" t="s">
        <v>1</v>
      </c>
      <c r="J520">
        <v>552.78</v>
      </c>
      <c r="L520">
        <v>1644.18</v>
      </c>
      <c r="M520">
        <v>3315.611602209945</v>
      </c>
      <c r="N520">
        <v>2083.5600000000004</v>
      </c>
      <c r="O520">
        <v>3306.4279120879</v>
      </c>
      <c r="P520">
        <v>0</v>
      </c>
      <c r="Q520">
        <f t="shared" si="100"/>
        <v>3306.4279120879</v>
      </c>
      <c r="R520">
        <v>3306.4279120879</v>
      </c>
      <c r="S520">
        <f t="shared" si="101"/>
        <v>0</v>
      </c>
      <c r="T520">
        <v>0.04</v>
      </c>
      <c r="U520">
        <f t="shared" si="102"/>
        <v>132.257116483516</v>
      </c>
      <c r="V520">
        <f t="shared" si="103"/>
        <v>3438.6850285714158</v>
      </c>
      <c r="W520">
        <f t="shared" si="104"/>
        <v>132.2571164835158</v>
      </c>
      <c r="X520" t="s">
        <v>512</v>
      </c>
    </row>
    <row r="521" spans="1:24" x14ac:dyDescent="0.3">
      <c r="A521" t="s">
        <v>552</v>
      </c>
      <c r="B521" t="s">
        <v>575</v>
      </c>
      <c r="C521">
        <v>29663430</v>
      </c>
      <c r="D521" t="s">
        <v>138</v>
      </c>
      <c r="E521" t="s">
        <v>17</v>
      </c>
      <c r="F521" t="s">
        <v>1</v>
      </c>
      <c r="G521" t="s">
        <v>372</v>
      </c>
      <c r="H521" t="s">
        <v>188</v>
      </c>
      <c r="I521" t="s">
        <v>1</v>
      </c>
      <c r="J521">
        <v>1936.56</v>
      </c>
      <c r="K521">
        <v>1474.4400000003</v>
      </c>
      <c r="L521">
        <v>824.75</v>
      </c>
      <c r="M521">
        <v>1663.1698895027625</v>
      </c>
      <c r="N521">
        <v>2025.79</v>
      </c>
      <c r="O521">
        <v>1663.1698895028001</v>
      </c>
      <c r="P521">
        <v>0</v>
      </c>
      <c r="Q521">
        <f t="shared" si="100"/>
        <v>1663.1698895028001</v>
      </c>
      <c r="R521">
        <v>1663.1698895028001</v>
      </c>
      <c r="S521">
        <f t="shared" si="101"/>
        <v>0</v>
      </c>
      <c r="T521">
        <v>0.03</v>
      </c>
      <c r="U521">
        <f t="shared" si="102"/>
        <v>49.895096685083999</v>
      </c>
      <c r="V521">
        <f t="shared" si="103"/>
        <v>1713.064986187884</v>
      </c>
      <c r="W521">
        <f t="shared" si="104"/>
        <v>49.8950966850839</v>
      </c>
      <c r="X521">
        <v>0</v>
      </c>
    </row>
    <row r="522" spans="1:24" x14ac:dyDescent="0.3">
      <c r="A522" t="s">
        <v>552</v>
      </c>
      <c r="B522" t="s">
        <v>575</v>
      </c>
      <c r="C522">
        <v>29663430</v>
      </c>
      <c r="D522" t="s">
        <v>138</v>
      </c>
      <c r="E522" t="s">
        <v>18</v>
      </c>
      <c r="F522" t="s">
        <v>1</v>
      </c>
      <c r="G522" t="s">
        <v>372</v>
      </c>
      <c r="H522" t="s">
        <v>189</v>
      </c>
      <c r="I522" t="s">
        <v>1</v>
      </c>
      <c r="J522">
        <v>3744.35</v>
      </c>
      <c r="K522">
        <v>3478.6350000000998</v>
      </c>
      <c r="L522">
        <v>1367.53</v>
      </c>
      <c r="M522">
        <v>2757.7262430939227</v>
      </c>
      <c r="N522">
        <v>3445.3499999999995</v>
      </c>
      <c r="O522">
        <v>2757.7262430938999</v>
      </c>
      <c r="P522">
        <v>0</v>
      </c>
      <c r="Q522">
        <f t="shared" si="100"/>
        <v>2757.7262430938999</v>
      </c>
      <c r="R522">
        <v>2757.7262430938999</v>
      </c>
      <c r="S522">
        <f t="shared" si="101"/>
        <v>0</v>
      </c>
      <c r="T522">
        <v>3.5000000000000003E-2</v>
      </c>
      <c r="U522">
        <f t="shared" si="102"/>
        <v>96.520418508286511</v>
      </c>
      <c r="V522">
        <f t="shared" si="103"/>
        <v>2854.2466616021866</v>
      </c>
      <c r="W522">
        <f t="shared" si="104"/>
        <v>96.520418508286639</v>
      </c>
      <c r="X522">
        <v>0</v>
      </c>
    </row>
    <row r="523" spans="1:24" x14ac:dyDescent="0.3">
      <c r="A523" t="s">
        <v>552</v>
      </c>
      <c r="B523" t="s">
        <v>575</v>
      </c>
      <c r="C523">
        <v>29663430</v>
      </c>
      <c r="D523" t="s">
        <v>138</v>
      </c>
      <c r="E523" t="s">
        <v>19</v>
      </c>
      <c r="F523" t="s">
        <v>1</v>
      </c>
      <c r="G523" t="s">
        <v>372</v>
      </c>
      <c r="H523" t="s">
        <v>190</v>
      </c>
      <c r="I523" t="s">
        <v>1</v>
      </c>
      <c r="J523">
        <v>573.41999999999996</v>
      </c>
      <c r="L523">
        <v>945.48</v>
      </c>
      <c r="M523">
        <v>1906.6309392265196</v>
      </c>
      <c r="N523">
        <v>1484.2</v>
      </c>
      <c r="O523">
        <v>1906.6309392265</v>
      </c>
      <c r="P523">
        <v>0</v>
      </c>
      <c r="Q523">
        <f t="shared" si="100"/>
        <v>1906.6309392265</v>
      </c>
      <c r="R523">
        <v>474.23</v>
      </c>
      <c r="S523">
        <f t="shared" si="101"/>
        <v>-1432.4009392265</v>
      </c>
      <c r="T523">
        <v>3.5000000000000003E-2</v>
      </c>
      <c r="U523">
        <f t="shared" si="102"/>
        <v>16.598050000000001</v>
      </c>
      <c r="V523">
        <f t="shared" si="103"/>
        <v>490.82805000000002</v>
      </c>
      <c r="W523">
        <f t="shared" si="104"/>
        <v>-1415.8028892264999</v>
      </c>
      <c r="X523" t="s">
        <v>513</v>
      </c>
    </row>
    <row r="524" spans="1:24" x14ac:dyDescent="0.3">
      <c r="A524" t="s">
        <v>552</v>
      </c>
      <c r="B524" t="s">
        <v>575</v>
      </c>
      <c r="C524">
        <v>29663430</v>
      </c>
      <c r="D524" t="s">
        <v>138</v>
      </c>
      <c r="E524" t="s">
        <v>54</v>
      </c>
      <c r="F524" t="s">
        <v>1</v>
      </c>
      <c r="G524" t="s">
        <v>372</v>
      </c>
      <c r="H524" t="s">
        <v>230</v>
      </c>
      <c r="I524" t="s">
        <v>1</v>
      </c>
      <c r="J524">
        <v>20.63</v>
      </c>
      <c r="L524">
        <v>0</v>
      </c>
      <c r="M524">
        <v>0</v>
      </c>
      <c r="N524">
        <v>0</v>
      </c>
      <c r="P524">
        <v>0</v>
      </c>
      <c r="Q524">
        <f t="shared" si="100"/>
        <v>0</v>
      </c>
      <c r="R524">
        <v>0</v>
      </c>
      <c r="S524">
        <f t="shared" si="101"/>
        <v>0</v>
      </c>
      <c r="U524">
        <f t="shared" si="102"/>
        <v>0</v>
      </c>
      <c r="V524">
        <f t="shared" si="103"/>
        <v>0</v>
      </c>
      <c r="W524">
        <f t="shared" si="104"/>
        <v>0</v>
      </c>
      <c r="X524">
        <v>0</v>
      </c>
    </row>
    <row r="525" spans="1:24" x14ac:dyDescent="0.3">
      <c r="A525" t="s">
        <v>552</v>
      </c>
      <c r="B525" t="s">
        <v>575</v>
      </c>
      <c r="C525">
        <v>29663430</v>
      </c>
      <c r="D525" t="s">
        <v>138</v>
      </c>
      <c r="E525" t="s">
        <v>23</v>
      </c>
      <c r="F525" t="s">
        <v>1</v>
      </c>
      <c r="G525" t="s">
        <v>372</v>
      </c>
      <c r="H525" t="s">
        <v>194</v>
      </c>
      <c r="I525" t="s">
        <v>1</v>
      </c>
      <c r="J525">
        <v>2747.87</v>
      </c>
      <c r="K525">
        <v>3174</v>
      </c>
      <c r="L525">
        <v>1851.43</v>
      </c>
      <c r="M525">
        <v>3733.546685082873</v>
      </c>
      <c r="N525">
        <v>3012.12</v>
      </c>
      <c r="O525">
        <v>3702.86</v>
      </c>
      <c r="P525">
        <v>0</v>
      </c>
      <c r="Q525">
        <f t="shared" si="100"/>
        <v>3702.86</v>
      </c>
      <c r="R525">
        <v>3702.86</v>
      </c>
      <c r="S525">
        <f t="shared" si="101"/>
        <v>0</v>
      </c>
      <c r="U525">
        <f t="shared" si="102"/>
        <v>0</v>
      </c>
      <c r="V525">
        <f t="shared" si="103"/>
        <v>3702.86</v>
      </c>
      <c r="W525">
        <f t="shared" si="104"/>
        <v>0</v>
      </c>
      <c r="X525">
        <v>0</v>
      </c>
    </row>
    <row r="526" spans="1:24" x14ac:dyDescent="0.3">
      <c r="A526" t="s">
        <v>552</v>
      </c>
      <c r="B526" t="s">
        <v>575</v>
      </c>
      <c r="C526">
        <v>29663430</v>
      </c>
      <c r="D526" t="s">
        <v>138</v>
      </c>
      <c r="E526" t="s">
        <v>29</v>
      </c>
      <c r="F526" t="s">
        <v>1</v>
      </c>
      <c r="G526" t="s">
        <v>372</v>
      </c>
      <c r="H526" t="s">
        <v>200</v>
      </c>
      <c r="I526" t="s">
        <v>1</v>
      </c>
      <c r="K526">
        <v>500.00000000040001</v>
      </c>
      <c r="L526">
        <v>57.7</v>
      </c>
      <c r="M526">
        <v>116.35635359116024</v>
      </c>
      <c r="N526">
        <v>57.7</v>
      </c>
      <c r="O526">
        <v>115.4</v>
      </c>
      <c r="P526">
        <v>0</v>
      </c>
      <c r="Q526">
        <f t="shared" si="100"/>
        <v>115.4</v>
      </c>
      <c r="R526">
        <v>500.00000000040001</v>
      </c>
      <c r="S526">
        <f t="shared" si="101"/>
        <v>384.60000000039997</v>
      </c>
      <c r="U526">
        <f t="shared" si="102"/>
        <v>0</v>
      </c>
      <c r="V526">
        <f t="shared" si="103"/>
        <v>500.00000000040001</v>
      </c>
      <c r="W526">
        <f t="shared" si="104"/>
        <v>384.60000000039997</v>
      </c>
      <c r="X526">
        <v>0</v>
      </c>
    </row>
    <row r="527" spans="1:24" x14ac:dyDescent="0.3">
      <c r="A527" t="s">
        <v>552</v>
      </c>
      <c r="B527" t="s">
        <v>575</v>
      </c>
      <c r="C527">
        <v>29663430</v>
      </c>
      <c r="D527" t="s">
        <v>138</v>
      </c>
      <c r="E527" t="s">
        <v>30</v>
      </c>
      <c r="F527" t="s">
        <v>1</v>
      </c>
      <c r="G527" t="s">
        <v>372</v>
      </c>
      <c r="H527" t="s">
        <v>201</v>
      </c>
      <c r="I527" t="s">
        <v>1</v>
      </c>
      <c r="K527">
        <v>753.99999999960005</v>
      </c>
      <c r="L527">
        <v>0</v>
      </c>
      <c r="M527">
        <v>0</v>
      </c>
      <c r="N527">
        <v>0</v>
      </c>
      <c r="P527">
        <v>0</v>
      </c>
      <c r="Q527">
        <f t="shared" si="100"/>
        <v>0</v>
      </c>
      <c r="R527">
        <v>753.99999999960005</v>
      </c>
      <c r="S527">
        <f t="shared" si="101"/>
        <v>753.99999999960005</v>
      </c>
      <c r="U527">
        <f t="shared" si="102"/>
        <v>0</v>
      </c>
      <c r="V527">
        <f t="shared" si="103"/>
        <v>753.99999999960005</v>
      </c>
      <c r="W527">
        <f t="shared" si="104"/>
        <v>753.99999999960005</v>
      </c>
      <c r="X527">
        <v>0</v>
      </c>
    </row>
    <row r="528" spans="1:24" x14ac:dyDescent="0.3">
      <c r="A528" t="s">
        <v>552</v>
      </c>
      <c r="B528" t="s">
        <v>575</v>
      </c>
      <c r="C528">
        <v>29663430</v>
      </c>
      <c r="D528" t="s">
        <v>138</v>
      </c>
      <c r="E528" t="s">
        <v>31</v>
      </c>
      <c r="F528" t="s">
        <v>1</v>
      </c>
      <c r="G528" t="s">
        <v>372</v>
      </c>
      <c r="H528" t="s">
        <v>202</v>
      </c>
      <c r="I528" t="s">
        <v>1</v>
      </c>
      <c r="J528">
        <v>43.53</v>
      </c>
      <c r="K528">
        <v>426.99999999959999</v>
      </c>
      <c r="L528">
        <v>0</v>
      </c>
      <c r="M528">
        <v>0</v>
      </c>
      <c r="N528">
        <v>43.53</v>
      </c>
      <c r="P528">
        <v>0</v>
      </c>
      <c r="Q528">
        <f t="shared" si="100"/>
        <v>0</v>
      </c>
      <c r="R528">
        <v>0</v>
      </c>
      <c r="S528">
        <f t="shared" si="101"/>
        <v>0</v>
      </c>
      <c r="U528">
        <f t="shared" si="102"/>
        <v>0</v>
      </c>
      <c r="V528">
        <f t="shared" si="103"/>
        <v>0</v>
      </c>
      <c r="W528">
        <f t="shared" si="104"/>
        <v>0</v>
      </c>
      <c r="X528">
        <v>0</v>
      </c>
    </row>
    <row r="529" spans="1:24" x14ac:dyDescent="0.3">
      <c r="A529" t="s">
        <v>552</v>
      </c>
      <c r="B529" t="s">
        <v>575</v>
      </c>
      <c r="C529">
        <v>29663430</v>
      </c>
      <c r="D529" t="s">
        <v>138</v>
      </c>
      <c r="E529" t="s">
        <v>33</v>
      </c>
      <c r="F529" t="s">
        <v>1</v>
      </c>
      <c r="G529" t="s">
        <v>372</v>
      </c>
      <c r="H529" t="s">
        <v>204</v>
      </c>
      <c r="I529" t="s">
        <v>1</v>
      </c>
      <c r="L529">
        <v>-2.5299999999999998</v>
      </c>
      <c r="M529">
        <v>-5.1019337016574582</v>
      </c>
      <c r="N529">
        <v>-2.5299999999999998</v>
      </c>
      <c r="O529">
        <v>-5.1019337017000002</v>
      </c>
      <c r="P529">
        <v>0</v>
      </c>
      <c r="Q529">
        <f t="shared" si="100"/>
        <v>-5.1019337017000002</v>
      </c>
      <c r="R529">
        <v>0</v>
      </c>
      <c r="S529">
        <f t="shared" si="101"/>
        <v>5.1019337017000002</v>
      </c>
      <c r="U529">
        <f t="shared" si="102"/>
        <v>0</v>
      </c>
      <c r="V529">
        <f t="shared" si="103"/>
        <v>0</v>
      </c>
      <c r="W529">
        <f t="shared" si="104"/>
        <v>5.1019337017000002</v>
      </c>
      <c r="X529">
        <v>0</v>
      </c>
    </row>
    <row r="530" spans="1:24" x14ac:dyDescent="0.3">
      <c r="A530" t="s">
        <v>552</v>
      </c>
      <c r="B530" t="s">
        <v>575</v>
      </c>
      <c r="C530">
        <v>29663430</v>
      </c>
      <c r="D530" t="s">
        <v>138</v>
      </c>
      <c r="E530" t="s">
        <v>110</v>
      </c>
      <c r="F530" t="s">
        <v>1</v>
      </c>
      <c r="G530" t="s">
        <v>372</v>
      </c>
      <c r="H530" t="s">
        <v>328</v>
      </c>
      <c r="I530" t="s">
        <v>1</v>
      </c>
      <c r="J530">
        <v>114.45</v>
      </c>
      <c r="L530">
        <v>496.3</v>
      </c>
      <c r="M530">
        <v>1000.8259668508288</v>
      </c>
      <c r="N530">
        <v>610.75</v>
      </c>
      <c r="O530">
        <v>1000.8259668508</v>
      </c>
      <c r="P530">
        <v>0</v>
      </c>
      <c r="Q530">
        <f t="shared" si="100"/>
        <v>1000.8259668508</v>
      </c>
      <c r="R530">
        <v>1000.8259668508</v>
      </c>
      <c r="S530">
        <f t="shared" si="101"/>
        <v>0</v>
      </c>
      <c r="T530">
        <v>3.2500000000000001E-2</v>
      </c>
      <c r="U530">
        <f t="shared" si="102"/>
        <v>32.526843922651004</v>
      </c>
      <c r="V530">
        <f t="shared" si="103"/>
        <v>1033.352810773451</v>
      </c>
      <c r="W530">
        <f t="shared" si="104"/>
        <v>32.526843922650983</v>
      </c>
      <c r="X530" t="s">
        <v>514</v>
      </c>
    </row>
    <row r="531" spans="1:24" x14ac:dyDescent="0.3">
      <c r="A531" t="s">
        <v>552</v>
      </c>
      <c r="B531" t="s">
        <v>575</v>
      </c>
      <c r="C531">
        <v>29663430</v>
      </c>
      <c r="D531" t="s">
        <v>138</v>
      </c>
      <c r="E531" t="s">
        <v>34</v>
      </c>
      <c r="F531" t="s">
        <v>1</v>
      </c>
      <c r="G531" t="s">
        <v>372</v>
      </c>
      <c r="H531" t="s">
        <v>205</v>
      </c>
      <c r="I531" t="s">
        <v>1</v>
      </c>
      <c r="J531">
        <v>108.71</v>
      </c>
      <c r="K531">
        <v>126</v>
      </c>
      <c r="L531">
        <v>73.260000000000005</v>
      </c>
      <c r="M531">
        <v>147.73425414364644</v>
      </c>
      <c r="N531">
        <v>128.82</v>
      </c>
      <c r="O531">
        <v>146.52000000000001</v>
      </c>
      <c r="P531">
        <v>0</v>
      </c>
      <c r="Q531">
        <f t="shared" si="100"/>
        <v>146.52000000000001</v>
      </c>
      <c r="R531">
        <v>146.52000000000001</v>
      </c>
      <c r="S531">
        <f t="shared" si="101"/>
        <v>0</v>
      </c>
      <c r="T531">
        <v>0.03</v>
      </c>
      <c r="U531">
        <f t="shared" si="102"/>
        <v>4.3956</v>
      </c>
      <c r="V531">
        <f t="shared" si="103"/>
        <v>150.91560000000001</v>
      </c>
      <c r="W531">
        <f t="shared" si="104"/>
        <v>4.3956000000000017</v>
      </c>
      <c r="X531" t="s">
        <v>515</v>
      </c>
    </row>
    <row r="532" spans="1:24" x14ac:dyDescent="0.3">
      <c r="A532" t="s">
        <v>552</v>
      </c>
      <c r="B532" t="s">
        <v>575</v>
      </c>
      <c r="C532">
        <v>29663430</v>
      </c>
      <c r="D532" t="s">
        <v>138</v>
      </c>
      <c r="E532" t="s">
        <v>36</v>
      </c>
      <c r="F532" t="s">
        <v>1</v>
      </c>
      <c r="G532" t="s">
        <v>372</v>
      </c>
      <c r="H532" t="s">
        <v>207</v>
      </c>
      <c r="I532" t="s">
        <v>1</v>
      </c>
      <c r="J532">
        <v>331.25</v>
      </c>
      <c r="L532">
        <v>87.16</v>
      </c>
      <c r="M532">
        <v>175.76464088397788</v>
      </c>
      <c r="N532">
        <v>195.83</v>
      </c>
      <c r="O532">
        <v>174.32</v>
      </c>
      <c r="P532">
        <v>0</v>
      </c>
      <c r="Q532">
        <f t="shared" si="100"/>
        <v>174.32</v>
      </c>
      <c r="R532">
        <v>174.32</v>
      </c>
      <c r="S532">
        <f t="shared" si="101"/>
        <v>0</v>
      </c>
      <c r="T532">
        <v>0.03</v>
      </c>
      <c r="U532">
        <f t="shared" si="102"/>
        <v>5.2295999999999996</v>
      </c>
      <c r="V532">
        <f t="shared" si="103"/>
        <v>179.5496</v>
      </c>
      <c r="W532">
        <f t="shared" si="104"/>
        <v>5.2296000000000049</v>
      </c>
      <c r="X532">
        <v>0</v>
      </c>
    </row>
    <row r="533" spans="1:24" x14ac:dyDescent="0.3">
      <c r="A533" t="s">
        <v>552</v>
      </c>
      <c r="B533" t="s">
        <v>575</v>
      </c>
      <c r="C533">
        <v>29663430</v>
      </c>
      <c r="D533" t="s">
        <v>138</v>
      </c>
      <c r="E533" t="s">
        <v>41</v>
      </c>
      <c r="F533" t="s">
        <v>1</v>
      </c>
      <c r="G533" t="s">
        <v>372</v>
      </c>
      <c r="H533" t="s">
        <v>212</v>
      </c>
      <c r="I533" t="s">
        <v>1</v>
      </c>
      <c r="J533">
        <v>1496.22</v>
      </c>
      <c r="K533">
        <v>2991.9999999995998</v>
      </c>
      <c r="L533">
        <v>3446.59</v>
      </c>
      <c r="M533">
        <v>6950.3058011049725</v>
      </c>
      <c r="N533">
        <v>3446.59</v>
      </c>
      <c r="O533">
        <v>6893.18</v>
      </c>
      <c r="P533">
        <v>0</v>
      </c>
      <c r="Q533">
        <f t="shared" si="100"/>
        <v>6893.18</v>
      </c>
      <c r="R533">
        <v>3446.59</v>
      </c>
      <c r="S533">
        <f t="shared" si="101"/>
        <v>-3446.59</v>
      </c>
      <c r="T533">
        <v>0.03</v>
      </c>
      <c r="U533">
        <f t="shared" si="102"/>
        <v>103.3977</v>
      </c>
      <c r="V533">
        <f t="shared" si="103"/>
        <v>3549.9877000000001</v>
      </c>
      <c r="W533">
        <f t="shared" si="104"/>
        <v>-3343.1923000000002</v>
      </c>
      <c r="X533" t="s">
        <v>513</v>
      </c>
    </row>
    <row r="534" spans="1:24" x14ac:dyDescent="0.3">
      <c r="A534" t="s">
        <v>552</v>
      </c>
      <c r="B534" t="s">
        <v>575</v>
      </c>
      <c r="C534">
        <v>29663430</v>
      </c>
      <c r="D534" t="s">
        <v>138</v>
      </c>
      <c r="E534" t="s">
        <v>42</v>
      </c>
      <c r="F534" t="s">
        <v>1</v>
      </c>
      <c r="G534" t="s">
        <v>372</v>
      </c>
      <c r="H534" t="s">
        <v>213</v>
      </c>
      <c r="I534" t="s">
        <v>1</v>
      </c>
      <c r="K534">
        <v>200.00000000040001</v>
      </c>
      <c r="L534">
        <v>0</v>
      </c>
      <c r="M534">
        <v>0</v>
      </c>
      <c r="N534">
        <v>0</v>
      </c>
      <c r="P534">
        <v>0</v>
      </c>
      <c r="Q534">
        <f t="shared" si="100"/>
        <v>0</v>
      </c>
      <c r="R534">
        <v>0</v>
      </c>
      <c r="S534">
        <f t="shared" si="101"/>
        <v>0</v>
      </c>
      <c r="T534">
        <v>0.03</v>
      </c>
      <c r="U534">
        <f t="shared" si="102"/>
        <v>0</v>
      </c>
      <c r="V534">
        <f t="shared" si="103"/>
        <v>0</v>
      </c>
      <c r="W534">
        <f t="shared" si="104"/>
        <v>0</v>
      </c>
      <c r="X534">
        <v>0</v>
      </c>
    </row>
    <row r="535" spans="1:24" x14ac:dyDescent="0.3">
      <c r="A535" t="s">
        <v>552</v>
      </c>
      <c r="B535" t="s">
        <v>575</v>
      </c>
      <c r="C535">
        <v>29663430</v>
      </c>
      <c r="D535" t="s">
        <v>138</v>
      </c>
      <c r="E535" t="s">
        <v>43</v>
      </c>
      <c r="F535" t="s">
        <v>1</v>
      </c>
      <c r="G535" t="s">
        <v>372</v>
      </c>
      <c r="H535" t="s">
        <v>214</v>
      </c>
      <c r="I535" t="s">
        <v>1</v>
      </c>
      <c r="K535">
        <v>24.9999999996</v>
      </c>
      <c r="L535">
        <v>0</v>
      </c>
      <c r="M535">
        <v>0</v>
      </c>
      <c r="N535">
        <v>0</v>
      </c>
      <c r="P535">
        <v>0</v>
      </c>
      <c r="Q535">
        <f t="shared" si="100"/>
        <v>0</v>
      </c>
      <c r="R535">
        <v>0</v>
      </c>
      <c r="S535">
        <f t="shared" si="101"/>
        <v>0</v>
      </c>
      <c r="T535">
        <v>0.03</v>
      </c>
      <c r="U535">
        <f t="shared" si="102"/>
        <v>0</v>
      </c>
      <c r="V535">
        <f t="shared" si="103"/>
        <v>0</v>
      </c>
      <c r="W535">
        <f t="shared" si="104"/>
        <v>0</v>
      </c>
      <c r="X535">
        <v>0</v>
      </c>
    </row>
    <row r="536" spans="1:24" x14ac:dyDescent="0.3">
      <c r="A536" t="s">
        <v>552</v>
      </c>
      <c r="B536" t="s">
        <v>575</v>
      </c>
      <c r="C536">
        <v>29663430</v>
      </c>
      <c r="D536" t="s">
        <v>138</v>
      </c>
      <c r="E536" t="s">
        <v>44</v>
      </c>
      <c r="F536" t="s">
        <v>1</v>
      </c>
      <c r="G536" t="s">
        <v>372</v>
      </c>
      <c r="H536" t="s">
        <v>215</v>
      </c>
      <c r="I536" t="s">
        <v>1</v>
      </c>
      <c r="J536">
        <v>360.41</v>
      </c>
      <c r="K536">
        <v>330.00000000009999</v>
      </c>
      <c r="L536">
        <v>196.59</v>
      </c>
      <c r="M536">
        <v>396.43839779005532</v>
      </c>
      <c r="N536">
        <v>393.16999999999996</v>
      </c>
      <c r="O536">
        <v>396.4383977901</v>
      </c>
      <c r="P536">
        <v>0</v>
      </c>
      <c r="Q536">
        <f t="shared" si="100"/>
        <v>396.4383977901</v>
      </c>
      <c r="R536">
        <v>396.4383977901</v>
      </c>
      <c r="S536">
        <f t="shared" si="101"/>
        <v>0</v>
      </c>
      <c r="U536">
        <f t="shared" si="102"/>
        <v>0</v>
      </c>
      <c r="V536">
        <f t="shared" si="103"/>
        <v>396.4383977901</v>
      </c>
      <c r="W536">
        <f t="shared" si="104"/>
        <v>0</v>
      </c>
      <c r="X536">
        <v>0</v>
      </c>
    </row>
    <row r="537" spans="1:24" x14ac:dyDescent="0.3">
      <c r="A537" t="s">
        <v>552</v>
      </c>
      <c r="B537" t="s">
        <v>575</v>
      </c>
      <c r="C537">
        <v>29663430</v>
      </c>
      <c r="D537" t="s">
        <v>138</v>
      </c>
      <c r="E537" t="s">
        <v>45</v>
      </c>
      <c r="F537" t="s">
        <v>45</v>
      </c>
      <c r="G537" t="s">
        <v>373</v>
      </c>
      <c r="J537">
        <v>27893.719999999998</v>
      </c>
      <c r="K537">
        <v>29829.072296295799</v>
      </c>
      <c r="L537">
        <v>18369.310000000001</v>
      </c>
      <c r="M537">
        <v>37043.083701657466</v>
      </c>
      <c r="N537">
        <v>33057.14</v>
      </c>
      <c r="O537">
        <v>36870.851370894408</v>
      </c>
      <c r="P537">
        <f>SUMIF($F$510:$F$536,"&lt;&gt;EV_*",$P$510:$P$536)</f>
        <v>0</v>
      </c>
      <c r="Q537">
        <f>SUMIF($F$510:$F$536,"&lt;&gt;EV_*",$Q$510:$Q$536)</f>
        <v>36870.851370894408</v>
      </c>
      <c r="R537">
        <f>SUMIF($F$510:$F$536,"&lt;&gt;EV_*",$R$510:$R$536)</f>
        <v>33443.914673061801</v>
      </c>
      <c r="S537">
        <f>SUMIF($F$510:$F$536,"&lt;&gt;EV_*",$S$510:$S$536)</f>
        <v>-3426.9366978326011</v>
      </c>
      <c r="T537">
        <v>0</v>
      </c>
      <c r="U537">
        <f>SUMIF($F$510:$F$536,"&lt;&gt;EV_*",$U$510:$U$536)</f>
        <v>641.16002395118676</v>
      </c>
      <c r="V537">
        <f>SUMIF($F$510:$F$536,"&lt;&gt;EV_*",$V$510:$V$536)</f>
        <v>34085.074697012984</v>
      </c>
      <c r="W537">
        <f>SUMIF($F$510:$F$536,"&lt;&gt;EV_*",$W$510:$W$536)</f>
        <v>-2785.7766738814144</v>
      </c>
      <c r="X537">
        <f>SUMIF($F$510:$F$536,"&lt;&gt;EV_*",$X$510:$X$536)</f>
        <v>0</v>
      </c>
    </row>
    <row r="538" spans="1:24" x14ac:dyDescent="0.3">
      <c r="A538" t="s">
        <v>552</v>
      </c>
      <c r="B538" t="s">
        <v>576</v>
      </c>
      <c r="C538">
        <v>29664000</v>
      </c>
      <c r="D538" t="s">
        <v>139</v>
      </c>
      <c r="E538" t="s">
        <v>5</v>
      </c>
      <c r="F538" t="s">
        <v>5</v>
      </c>
      <c r="G538" t="s">
        <v>374</v>
      </c>
    </row>
    <row r="539" spans="1:24" x14ac:dyDescent="0.3">
      <c r="A539" t="s">
        <v>552</v>
      </c>
      <c r="B539" t="s">
        <v>576</v>
      </c>
      <c r="C539">
        <v>29664000</v>
      </c>
      <c r="D539" t="s">
        <v>139</v>
      </c>
      <c r="E539" t="s">
        <v>14</v>
      </c>
      <c r="F539" t="s">
        <v>1</v>
      </c>
      <c r="G539" t="s">
        <v>375</v>
      </c>
      <c r="H539" t="s">
        <v>185</v>
      </c>
      <c r="I539" t="s">
        <v>1</v>
      </c>
      <c r="J539">
        <v>309.64999999999998</v>
      </c>
      <c r="L539">
        <v>173.76</v>
      </c>
      <c r="M539">
        <v>350.4</v>
      </c>
      <c r="N539">
        <v>483.40999999999997</v>
      </c>
      <c r="O539">
        <v>347.52</v>
      </c>
      <c r="P539">
        <v>0</v>
      </c>
      <c r="Q539">
        <f t="shared" ref="Q539:Q564" si="105">O539+P539</f>
        <v>347.52</v>
      </c>
      <c r="R539">
        <v>347.52</v>
      </c>
      <c r="S539">
        <f t="shared" ref="S539:S564" si="106">IF(OR(LEFT(E539,2)="A_",LEFT(D539,5)="Total"),R539-Q539,"")</f>
        <v>0</v>
      </c>
      <c r="U539">
        <f t="shared" ref="U539:U564" si="107">IFERROR(R539*T539,R539*0)</f>
        <v>0</v>
      </c>
      <c r="V539">
        <f t="shared" ref="V539:V564" si="108">IF(OR(LEFT(E539,2)="A_",LEFT(D539,5)="Total"),R539+U539,"")</f>
        <v>347.52</v>
      </c>
      <c r="W539">
        <f t="shared" ref="W539:W564" si="109">IF(OR(LEFT(E539,2)="A_",LEFT(D539,5)="Total"),V539-Q539,"")</f>
        <v>0</v>
      </c>
      <c r="X539">
        <v>0</v>
      </c>
    </row>
    <row r="540" spans="1:24" x14ac:dyDescent="0.3">
      <c r="A540" t="s">
        <v>552</v>
      </c>
      <c r="B540" t="s">
        <v>576</v>
      </c>
      <c r="C540">
        <v>29664000</v>
      </c>
      <c r="D540" t="s">
        <v>139</v>
      </c>
      <c r="E540" t="s">
        <v>15</v>
      </c>
      <c r="F540" t="s">
        <v>1</v>
      </c>
      <c r="G540" t="s">
        <v>375</v>
      </c>
      <c r="H540" t="s">
        <v>186</v>
      </c>
      <c r="I540" t="s">
        <v>1</v>
      </c>
      <c r="J540">
        <v>-3</v>
      </c>
      <c r="L540">
        <v>0</v>
      </c>
      <c r="M540">
        <v>0</v>
      </c>
      <c r="N540">
        <v>0</v>
      </c>
      <c r="P540">
        <v>0</v>
      </c>
      <c r="Q540">
        <f t="shared" si="105"/>
        <v>0</v>
      </c>
      <c r="R540">
        <v>0</v>
      </c>
      <c r="S540">
        <f t="shared" si="106"/>
        <v>0</v>
      </c>
      <c r="U540">
        <f t="shared" si="107"/>
        <v>0</v>
      </c>
      <c r="V540">
        <f t="shared" si="108"/>
        <v>0</v>
      </c>
      <c r="W540">
        <f t="shared" si="109"/>
        <v>0</v>
      </c>
      <c r="X540">
        <v>0</v>
      </c>
    </row>
    <row r="541" spans="1:24" x14ac:dyDescent="0.3">
      <c r="A541" t="s">
        <v>552</v>
      </c>
      <c r="B541" t="s">
        <v>576</v>
      </c>
      <c r="C541">
        <v>29664000</v>
      </c>
      <c r="D541" t="s">
        <v>139</v>
      </c>
      <c r="E541" t="s">
        <v>71</v>
      </c>
      <c r="F541" t="s">
        <v>1</v>
      </c>
      <c r="G541" t="s">
        <v>375</v>
      </c>
      <c r="H541" t="s">
        <v>273</v>
      </c>
      <c r="I541" t="s">
        <v>1</v>
      </c>
      <c r="L541">
        <v>34.89</v>
      </c>
      <c r="M541">
        <v>70.358287292817678</v>
      </c>
      <c r="N541">
        <v>34.89</v>
      </c>
      <c r="O541">
        <v>70.163406593399998</v>
      </c>
      <c r="P541">
        <v>0</v>
      </c>
      <c r="Q541">
        <f t="shared" si="105"/>
        <v>70.163406593399998</v>
      </c>
      <c r="R541">
        <v>70.163406593399998</v>
      </c>
      <c r="S541">
        <f t="shared" si="106"/>
        <v>0</v>
      </c>
      <c r="T541">
        <v>2.75E-2</v>
      </c>
      <c r="U541">
        <f t="shared" si="107"/>
        <v>1.9294936813185</v>
      </c>
      <c r="V541">
        <f t="shared" si="108"/>
        <v>72.092900274718502</v>
      </c>
      <c r="W541">
        <f t="shared" si="109"/>
        <v>1.9294936813185046</v>
      </c>
      <c r="X541">
        <v>0</v>
      </c>
    </row>
    <row r="542" spans="1:24" x14ac:dyDescent="0.3">
      <c r="A542" t="s">
        <v>552</v>
      </c>
      <c r="B542" t="s">
        <v>576</v>
      </c>
      <c r="C542">
        <v>29664000</v>
      </c>
      <c r="D542" t="s">
        <v>139</v>
      </c>
      <c r="E542" t="s">
        <v>50</v>
      </c>
      <c r="F542" t="s">
        <v>1</v>
      </c>
      <c r="G542" t="s">
        <v>375</v>
      </c>
      <c r="H542" t="s">
        <v>226</v>
      </c>
      <c r="I542" t="s">
        <v>1</v>
      </c>
      <c r="J542">
        <v>104.56</v>
      </c>
      <c r="L542">
        <v>52.45</v>
      </c>
      <c r="M542">
        <v>105.7693370165746</v>
      </c>
      <c r="N542">
        <v>52.45</v>
      </c>
      <c r="O542">
        <v>105.4763736264</v>
      </c>
      <c r="P542">
        <v>0</v>
      </c>
      <c r="Q542">
        <f t="shared" si="105"/>
        <v>105.4763736264</v>
      </c>
      <c r="R542">
        <v>105.4763736264</v>
      </c>
      <c r="S542">
        <f t="shared" si="106"/>
        <v>0</v>
      </c>
      <c r="T542">
        <v>3.2500000000000001E-2</v>
      </c>
      <c r="U542">
        <f t="shared" si="107"/>
        <v>3.4279821428580002</v>
      </c>
      <c r="V542">
        <f t="shared" si="108"/>
        <v>108.904355769258</v>
      </c>
      <c r="W542">
        <f t="shared" si="109"/>
        <v>3.4279821428579993</v>
      </c>
      <c r="X542">
        <v>0</v>
      </c>
    </row>
    <row r="543" spans="1:24" x14ac:dyDescent="0.3">
      <c r="A543" t="s">
        <v>552</v>
      </c>
      <c r="B543" t="s">
        <v>576</v>
      </c>
      <c r="C543">
        <v>29664000</v>
      </c>
      <c r="D543" t="s">
        <v>139</v>
      </c>
      <c r="E543" t="s">
        <v>16</v>
      </c>
      <c r="F543" t="s">
        <v>1</v>
      </c>
      <c r="G543" t="s">
        <v>375</v>
      </c>
      <c r="H543" t="s">
        <v>187</v>
      </c>
      <c r="I543" t="s">
        <v>1</v>
      </c>
      <c r="J543">
        <v>843.51</v>
      </c>
      <c r="K543">
        <v>862.67759201939998</v>
      </c>
      <c r="L543">
        <v>695.65</v>
      </c>
      <c r="M543">
        <v>1402.8301104972375</v>
      </c>
      <c r="N543">
        <v>700.89</v>
      </c>
      <c r="O543">
        <v>1398.9445054944999</v>
      </c>
      <c r="P543">
        <v>0</v>
      </c>
      <c r="Q543">
        <f t="shared" si="105"/>
        <v>1398.9445054944999</v>
      </c>
      <c r="R543">
        <v>3500</v>
      </c>
      <c r="S543">
        <f t="shared" si="106"/>
        <v>2101.0554945055001</v>
      </c>
      <c r="T543">
        <v>0.02</v>
      </c>
      <c r="U543">
        <f t="shared" si="107"/>
        <v>70</v>
      </c>
      <c r="V543">
        <f t="shared" si="108"/>
        <v>3570</v>
      </c>
      <c r="W543">
        <f t="shared" si="109"/>
        <v>2171.0554945055001</v>
      </c>
      <c r="X543" t="s">
        <v>516</v>
      </c>
    </row>
    <row r="544" spans="1:24" x14ac:dyDescent="0.3">
      <c r="A544" t="s">
        <v>552</v>
      </c>
      <c r="B544" t="s">
        <v>576</v>
      </c>
      <c r="C544">
        <v>29664000</v>
      </c>
      <c r="D544" t="s">
        <v>139</v>
      </c>
      <c r="E544" t="s">
        <v>89</v>
      </c>
      <c r="F544" t="s">
        <v>1</v>
      </c>
      <c r="G544" t="s">
        <v>375</v>
      </c>
      <c r="H544" t="s">
        <v>295</v>
      </c>
      <c r="I544" t="s">
        <v>1</v>
      </c>
      <c r="L544">
        <v>123.2</v>
      </c>
      <c r="M544">
        <v>248.44198895027625</v>
      </c>
      <c r="N544">
        <v>123.2</v>
      </c>
      <c r="O544">
        <v>247.7538461538</v>
      </c>
      <c r="P544">
        <v>0</v>
      </c>
      <c r="Q544">
        <f t="shared" si="105"/>
        <v>247.7538461538</v>
      </c>
      <c r="R544">
        <v>247.7538461538</v>
      </c>
      <c r="S544">
        <f t="shared" si="106"/>
        <v>0</v>
      </c>
      <c r="T544">
        <v>0.02</v>
      </c>
      <c r="U544">
        <f t="shared" si="107"/>
        <v>4.9550769230759997</v>
      </c>
      <c r="V544">
        <f t="shared" si="108"/>
        <v>252.708923076876</v>
      </c>
      <c r="W544">
        <f t="shared" si="109"/>
        <v>4.9550769230760068</v>
      </c>
      <c r="X544">
        <v>0</v>
      </c>
    </row>
    <row r="545" spans="1:24" x14ac:dyDescent="0.3">
      <c r="A545" t="s">
        <v>552</v>
      </c>
      <c r="B545" t="s">
        <v>576</v>
      </c>
      <c r="C545">
        <v>29664000</v>
      </c>
      <c r="D545" t="s">
        <v>139</v>
      </c>
      <c r="E545" t="s">
        <v>53</v>
      </c>
      <c r="F545" t="s">
        <v>1</v>
      </c>
      <c r="G545" t="s">
        <v>375</v>
      </c>
      <c r="H545" t="s">
        <v>229</v>
      </c>
      <c r="I545" t="s">
        <v>1</v>
      </c>
      <c r="J545">
        <v>250.94</v>
      </c>
      <c r="L545">
        <v>320.76</v>
      </c>
      <c r="M545">
        <v>646.83646408839775</v>
      </c>
      <c r="N545">
        <v>320.76</v>
      </c>
      <c r="O545">
        <v>645.04483516480002</v>
      </c>
      <c r="P545">
        <v>0</v>
      </c>
      <c r="Q545">
        <f t="shared" si="105"/>
        <v>645.04483516480002</v>
      </c>
      <c r="R545">
        <v>645.04483516480002</v>
      </c>
      <c r="S545">
        <f t="shared" si="106"/>
        <v>0</v>
      </c>
      <c r="T545">
        <v>0.04</v>
      </c>
      <c r="U545">
        <f t="shared" si="107"/>
        <v>25.801793406592001</v>
      </c>
      <c r="V545">
        <f t="shared" si="108"/>
        <v>670.84662857139199</v>
      </c>
      <c r="W545">
        <f t="shared" si="109"/>
        <v>25.801793406591969</v>
      </c>
      <c r="X545">
        <v>0</v>
      </c>
    </row>
    <row r="546" spans="1:24" x14ac:dyDescent="0.3">
      <c r="A546" t="s">
        <v>552</v>
      </c>
      <c r="B546" t="s">
        <v>576</v>
      </c>
      <c r="C546">
        <v>29664000</v>
      </c>
      <c r="D546" t="s">
        <v>139</v>
      </c>
      <c r="E546" t="s">
        <v>17</v>
      </c>
      <c r="F546" t="s">
        <v>1</v>
      </c>
      <c r="G546" t="s">
        <v>375</v>
      </c>
      <c r="H546" t="s">
        <v>188</v>
      </c>
      <c r="I546" t="s">
        <v>1</v>
      </c>
      <c r="L546">
        <v>41.36</v>
      </c>
      <c r="M546">
        <v>83.405524861878447</v>
      </c>
      <c r="N546">
        <v>41.36</v>
      </c>
      <c r="O546">
        <v>83.405524861900005</v>
      </c>
      <c r="P546">
        <v>0</v>
      </c>
      <c r="Q546">
        <f t="shared" si="105"/>
        <v>83.405524861900005</v>
      </c>
      <c r="R546">
        <v>83.405524861900005</v>
      </c>
      <c r="S546">
        <f t="shared" si="106"/>
        <v>0</v>
      </c>
      <c r="T546">
        <v>0.03</v>
      </c>
      <c r="U546">
        <f t="shared" si="107"/>
        <v>2.5021657458569999</v>
      </c>
      <c r="V546">
        <f t="shared" si="108"/>
        <v>85.907690607757004</v>
      </c>
      <c r="W546">
        <f t="shared" si="109"/>
        <v>2.502165745856999</v>
      </c>
      <c r="X546">
        <v>0</v>
      </c>
    </row>
    <row r="547" spans="1:24" x14ac:dyDescent="0.3">
      <c r="A547" t="s">
        <v>552</v>
      </c>
      <c r="B547" t="s">
        <v>576</v>
      </c>
      <c r="C547">
        <v>29664000</v>
      </c>
      <c r="D547" t="s">
        <v>139</v>
      </c>
      <c r="E547" t="s">
        <v>64</v>
      </c>
      <c r="F547" t="s">
        <v>1</v>
      </c>
      <c r="G547" t="s">
        <v>375</v>
      </c>
      <c r="H547" t="s">
        <v>256</v>
      </c>
      <c r="I547" t="s">
        <v>1</v>
      </c>
      <c r="J547">
        <v>27.29</v>
      </c>
      <c r="K547">
        <v>39.3239825502</v>
      </c>
      <c r="L547">
        <v>26.85</v>
      </c>
      <c r="M547">
        <v>54.1450276243094</v>
      </c>
      <c r="N547">
        <v>26.85</v>
      </c>
      <c r="O547">
        <v>54.145027624299999</v>
      </c>
      <c r="P547">
        <v>0</v>
      </c>
      <c r="Q547">
        <f t="shared" si="105"/>
        <v>54.145027624299999</v>
      </c>
      <c r="R547">
        <v>54.145027624299999</v>
      </c>
      <c r="S547">
        <f t="shared" si="106"/>
        <v>0</v>
      </c>
      <c r="T547">
        <v>3.5000000000000003E-2</v>
      </c>
      <c r="U547">
        <f t="shared" si="107"/>
        <v>1.8950759668505002</v>
      </c>
      <c r="V547">
        <f t="shared" si="108"/>
        <v>56.040103591150498</v>
      </c>
      <c r="W547">
        <f t="shared" si="109"/>
        <v>1.8950759668504986</v>
      </c>
      <c r="X547">
        <v>0</v>
      </c>
    </row>
    <row r="548" spans="1:24" x14ac:dyDescent="0.3">
      <c r="A548" t="s">
        <v>552</v>
      </c>
      <c r="B548" t="s">
        <v>576</v>
      </c>
      <c r="C548">
        <v>29664000</v>
      </c>
      <c r="D548" t="s">
        <v>139</v>
      </c>
      <c r="E548" t="s">
        <v>20</v>
      </c>
      <c r="F548" t="s">
        <v>1</v>
      </c>
      <c r="G548" t="s">
        <v>375</v>
      </c>
      <c r="H548" t="s">
        <v>191</v>
      </c>
      <c r="I548" t="s">
        <v>1</v>
      </c>
      <c r="J548">
        <v>225</v>
      </c>
      <c r="K548">
        <v>135.99630018240001</v>
      </c>
      <c r="L548">
        <v>0</v>
      </c>
      <c r="M548">
        <v>0</v>
      </c>
      <c r="N548">
        <v>225</v>
      </c>
      <c r="P548">
        <v>0</v>
      </c>
      <c r="Q548">
        <f t="shared" si="105"/>
        <v>0</v>
      </c>
      <c r="R548">
        <v>0</v>
      </c>
      <c r="S548">
        <f t="shared" si="106"/>
        <v>0</v>
      </c>
      <c r="U548">
        <f t="shared" si="107"/>
        <v>0</v>
      </c>
      <c r="V548">
        <f t="shared" si="108"/>
        <v>0</v>
      </c>
      <c r="W548">
        <f t="shared" si="109"/>
        <v>0</v>
      </c>
      <c r="X548">
        <v>0</v>
      </c>
    </row>
    <row r="549" spans="1:24" x14ac:dyDescent="0.3">
      <c r="A549" t="s">
        <v>552</v>
      </c>
      <c r="B549" t="s">
        <v>576</v>
      </c>
      <c r="C549">
        <v>29664000</v>
      </c>
      <c r="D549" t="s">
        <v>139</v>
      </c>
      <c r="E549" t="s">
        <v>21</v>
      </c>
      <c r="F549" t="s">
        <v>1</v>
      </c>
      <c r="G549" t="s">
        <v>375</v>
      </c>
      <c r="H549" t="s">
        <v>192</v>
      </c>
      <c r="I549" t="s">
        <v>1</v>
      </c>
      <c r="J549">
        <v>141.91999999999999</v>
      </c>
      <c r="L549">
        <v>0</v>
      </c>
      <c r="M549">
        <v>0</v>
      </c>
      <c r="N549">
        <v>0</v>
      </c>
      <c r="P549">
        <v>0</v>
      </c>
      <c r="Q549">
        <f t="shared" si="105"/>
        <v>0</v>
      </c>
      <c r="R549">
        <v>0</v>
      </c>
      <c r="S549">
        <f t="shared" si="106"/>
        <v>0</v>
      </c>
      <c r="U549">
        <f t="shared" si="107"/>
        <v>0</v>
      </c>
      <c r="V549">
        <f t="shared" si="108"/>
        <v>0</v>
      </c>
      <c r="W549">
        <f t="shared" si="109"/>
        <v>0</v>
      </c>
      <c r="X549">
        <v>0</v>
      </c>
    </row>
    <row r="550" spans="1:24" x14ac:dyDescent="0.3">
      <c r="A550" t="s">
        <v>552</v>
      </c>
      <c r="B550" t="s">
        <v>576</v>
      </c>
      <c r="C550">
        <v>29664000</v>
      </c>
      <c r="D550" t="s">
        <v>139</v>
      </c>
      <c r="E550" t="s">
        <v>22</v>
      </c>
      <c r="F550" t="s">
        <v>1</v>
      </c>
      <c r="G550" t="s">
        <v>375</v>
      </c>
      <c r="H550" t="s">
        <v>193</v>
      </c>
      <c r="I550" t="s">
        <v>1</v>
      </c>
      <c r="J550">
        <v>6100</v>
      </c>
      <c r="K550">
        <v>747.97965100199997</v>
      </c>
      <c r="L550">
        <v>1150</v>
      </c>
      <c r="M550">
        <v>2319.0607734806631</v>
      </c>
      <c r="N550">
        <v>6150</v>
      </c>
      <c r="O550">
        <v>2300</v>
      </c>
      <c r="P550">
        <v>0</v>
      </c>
      <c r="Q550">
        <f t="shared" si="105"/>
        <v>2300</v>
      </c>
      <c r="R550">
        <v>2500</v>
      </c>
      <c r="S550">
        <f t="shared" si="106"/>
        <v>200</v>
      </c>
      <c r="U550">
        <f t="shared" si="107"/>
        <v>0</v>
      </c>
      <c r="V550">
        <f t="shared" si="108"/>
        <v>2500</v>
      </c>
      <c r="W550">
        <f t="shared" si="109"/>
        <v>200</v>
      </c>
      <c r="X550" t="s">
        <v>517</v>
      </c>
    </row>
    <row r="551" spans="1:24" x14ac:dyDescent="0.3">
      <c r="A551" t="s">
        <v>552</v>
      </c>
      <c r="B551" t="s">
        <v>576</v>
      </c>
      <c r="C551">
        <v>29664000</v>
      </c>
      <c r="D551" t="s">
        <v>139</v>
      </c>
      <c r="E551" t="s">
        <v>54</v>
      </c>
      <c r="F551" t="s">
        <v>1</v>
      </c>
      <c r="G551" t="s">
        <v>375</v>
      </c>
      <c r="H551" t="s">
        <v>230</v>
      </c>
      <c r="I551" t="s">
        <v>1</v>
      </c>
      <c r="J551">
        <v>16.14</v>
      </c>
      <c r="L551">
        <v>51.09</v>
      </c>
      <c r="M551">
        <v>103.0267955801105</v>
      </c>
      <c r="N551">
        <v>51.09</v>
      </c>
      <c r="O551">
        <v>102.18</v>
      </c>
      <c r="P551">
        <v>0</v>
      </c>
      <c r="Q551">
        <f t="shared" si="105"/>
        <v>102.18</v>
      </c>
      <c r="R551">
        <v>102.18</v>
      </c>
      <c r="S551">
        <f t="shared" si="106"/>
        <v>0</v>
      </c>
      <c r="U551">
        <f t="shared" si="107"/>
        <v>0</v>
      </c>
      <c r="V551">
        <f t="shared" si="108"/>
        <v>102.18</v>
      </c>
      <c r="W551">
        <f t="shared" si="109"/>
        <v>0</v>
      </c>
      <c r="X551">
        <v>0</v>
      </c>
    </row>
    <row r="552" spans="1:24" x14ac:dyDescent="0.3">
      <c r="A552" t="s">
        <v>552</v>
      </c>
      <c r="B552" t="s">
        <v>576</v>
      </c>
      <c r="C552">
        <v>29664000</v>
      </c>
      <c r="D552" t="s">
        <v>139</v>
      </c>
      <c r="E552" t="s">
        <v>23</v>
      </c>
      <c r="F552" t="s">
        <v>1</v>
      </c>
      <c r="G552" t="s">
        <v>375</v>
      </c>
      <c r="H552" t="s">
        <v>194</v>
      </c>
      <c r="I552" t="s">
        <v>1</v>
      </c>
      <c r="K552">
        <v>322.99121293320002</v>
      </c>
      <c r="L552">
        <v>0</v>
      </c>
      <c r="M552">
        <v>0</v>
      </c>
      <c r="N552">
        <v>0</v>
      </c>
      <c r="P552">
        <v>0</v>
      </c>
      <c r="Q552">
        <f t="shared" si="105"/>
        <v>0</v>
      </c>
      <c r="R552">
        <v>0</v>
      </c>
      <c r="S552">
        <f t="shared" si="106"/>
        <v>0</v>
      </c>
      <c r="U552">
        <f t="shared" si="107"/>
        <v>0</v>
      </c>
      <c r="V552">
        <f t="shared" si="108"/>
        <v>0</v>
      </c>
      <c r="W552">
        <f t="shared" si="109"/>
        <v>0</v>
      </c>
      <c r="X552">
        <v>0</v>
      </c>
    </row>
    <row r="553" spans="1:24" x14ac:dyDescent="0.3">
      <c r="A553" t="s">
        <v>552</v>
      </c>
      <c r="B553" t="s">
        <v>576</v>
      </c>
      <c r="C553">
        <v>29664000</v>
      </c>
      <c r="D553" t="s">
        <v>139</v>
      </c>
      <c r="E553" t="s">
        <v>24</v>
      </c>
      <c r="F553" t="s">
        <v>1</v>
      </c>
      <c r="G553" t="s">
        <v>375</v>
      </c>
      <c r="H553" t="s">
        <v>195</v>
      </c>
      <c r="I553" t="s">
        <v>1</v>
      </c>
      <c r="L553">
        <v>97.5</v>
      </c>
      <c r="M553">
        <v>196.61602209944752</v>
      </c>
      <c r="N553">
        <v>97.5</v>
      </c>
      <c r="O553">
        <v>195</v>
      </c>
      <c r="P553">
        <v>0</v>
      </c>
      <c r="Q553">
        <f t="shared" si="105"/>
        <v>195</v>
      </c>
      <c r="R553">
        <v>195</v>
      </c>
      <c r="S553">
        <f t="shared" si="106"/>
        <v>0</v>
      </c>
      <c r="U553">
        <f t="shared" si="107"/>
        <v>0</v>
      </c>
      <c r="V553">
        <f t="shared" si="108"/>
        <v>195</v>
      </c>
      <c r="W553">
        <f t="shared" si="109"/>
        <v>0</v>
      </c>
      <c r="X553">
        <v>0</v>
      </c>
    </row>
    <row r="554" spans="1:24" x14ac:dyDescent="0.3">
      <c r="A554" t="s">
        <v>552</v>
      </c>
      <c r="B554" t="s">
        <v>576</v>
      </c>
      <c r="C554">
        <v>29664000</v>
      </c>
      <c r="D554" t="s">
        <v>139</v>
      </c>
      <c r="E554" t="s">
        <v>29</v>
      </c>
      <c r="F554" t="s">
        <v>1</v>
      </c>
      <c r="G554" t="s">
        <v>375</v>
      </c>
      <c r="H554" t="s">
        <v>200</v>
      </c>
      <c r="I554" t="s">
        <v>1</v>
      </c>
      <c r="J554">
        <v>526.9</v>
      </c>
      <c r="L554">
        <v>0</v>
      </c>
      <c r="M554">
        <v>0</v>
      </c>
      <c r="N554">
        <v>526.9</v>
      </c>
      <c r="P554">
        <v>0</v>
      </c>
      <c r="Q554">
        <f t="shared" si="105"/>
        <v>0</v>
      </c>
      <c r="R554">
        <v>526.9</v>
      </c>
      <c r="S554">
        <f t="shared" si="106"/>
        <v>526.9</v>
      </c>
      <c r="U554">
        <f t="shared" si="107"/>
        <v>0</v>
      </c>
      <c r="V554">
        <f t="shared" si="108"/>
        <v>526.9</v>
      </c>
      <c r="W554">
        <f t="shared" si="109"/>
        <v>526.9</v>
      </c>
      <c r="X554">
        <v>0</v>
      </c>
    </row>
    <row r="555" spans="1:24" x14ac:dyDescent="0.3">
      <c r="A555" t="s">
        <v>552</v>
      </c>
      <c r="B555" t="s">
        <v>576</v>
      </c>
      <c r="C555">
        <v>29664000</v>
      </c>
      <c r="D555" t="s">
        <v>139</v>
      </c>
      <c r="E555" t="s">
        <v>30</v>
      </c>
      <c r="F555" t="s">
        <v>1</v>
      </c>
      <c r="G555" t="s">
        <v>375</v>
      </c>
      <c r="H555" t="s">
        <v>201</v>
      </c>
      <c r="I555" t="s">
        <v>1</v>
      </c>
      <c r="J555">
        <v>2531.56</v>
      </c>
      <c r="L555">
        <v>338.12</v>
      </c>
      <c r="M555">
        <v>681.84419889502772</v>
      </c>
      <c r="N555">
        <v>2811.63</v>
      </c>
      <c r="O555">
        <v>676.24</v>
      </c>
      <c r="P555">
        <v>0</v>
      </c>
      <c r="Q555">
        <f t="shared" si="105"/>
        <v>676.24</v>
      </c>
      <c r="R555">
        <v>2811.63</v>
      </c>
      <c r="S555">
        <f t="shared" si="106"/>
        <v>2135.3900000000003</v>
      </c>
      <c r="U555">
        <f t="shared" si="107"/>
        <v>0</v>
      </c>
      <c r="V555">
        <f t="shared" si="108"/>
        <v>2811.63</v>
      </c>
      <c r="W555">
        <f t="shared" si="109"/>
        <v>2135.3900000000003</v>
      </c>
      <c r="X555">
        <v>0</v>
      </c>
    </row>
    <row r="556" spans="1:24" x14ac:dyDescent="0.3">
      <c r="A556" t="s">
        <v>552</v>
      </c>
      <c r="B556" t="s">
        <v>576</v>
      </c>
      <c r="C556">
        <v>29664000</v>
      </c>
      <c r="D556" t="s">
        <v>139</v>
      </c>
      <c r="E556" t="s">
        <v>31</v>
      </c>
      <c r="F556" t="s">
        <v>1</v>
      </c>
      <c r="G556" t="s">
        <v>375</v>
      </c>
      <c r="H556" t="s">
        <v>202</v>
      </c>
      <c r="I556" t="s">
        <v>1</v>
      </c>
      <c r="J556">
        <v>7388.65</v>
      </c>
      <c r="K556">
        <v>3488.9850811763999</v>
      </c>
      <c r="L556">
        <v>5588.03</v>
      </c>
      <c r="M556">
        <v>11268.679281767956</v>
      </c>
      <c r="N556">
        <v>8089.2099999999991</v>
      </c>
      <c r="O556">
        <v>11176.06</v>
      </c>
      <c r="P556">
        <v>0</v>
      </c>
      <c r="Q556">
        <f t="shared" si="105"/>
        <v>11176.06</v>
      </c>
      <c r="R556">
        <v>11176.06</v>
      </c>
      <c r="S556">
        <f t="shared" si="106"/>
        <v>0</v>
      </c>
      <c r="U556">
        <f t="shared" si="107"/>
        <v>0</v>
      </c>
      <c r="V556">
        <f t="shared" si="108"/>
        <v>11176.06</v>
      </c>
      <c r="W556">
        <f t="shared" si="109"/>
        <v>0</v>
      </c>
      <c r="X556">
        <v>0</v>
      </c>
    </row>
    <row r="557" spans="1:24" x14ac:dyDescent="0.3">
      <c r="A557" t="s">
        <v>552</v>
      </c>
      <c r="B557" t="s">
        <v>576</v>
      </c>
      <c r="C557">
        <v>29664000</v>
      </c>
      <c r="D557" t="s">
        <v>139</v>
      </c>
      <c r="E557" t="s">
        <v>110</v>
      </c>
      <c r="F557" t="s">
        <v>1</v>
      </c>
      <c r="G557" t="s">
        <v>375</v>
      </c>
      <c r="H557" t="s">
        <v>328</v>
      </c>
      <c r="I557" t="s">
        <v>1</v>
      </c>
      <c r="J557">
        <v>25350</v>
      </c>
      <c r="K557">
        <v>27129.272459087599</v>
      </c>
      <c r="L557">
        <v>2792</v>
      </c>
      <c r="M557">
        <v>5630.2762430939229</v>
      </c>
      <c r="N557">
        <v>2792</v>
      </c>
      <c r="O557">
        <v>5630.2762430939001</v>
      </c>
      <c r="P557">
        <v>0</v>
      </c>
      <c r="Q557">
        <f t="shared" si="105"/>
        <v>5630.2762430939001</v>
      </c>
      <c r="R557">
        <v>6000</v>
      </c>
      <c r="S557">
        <f t="shared" si="106"/>
        <v>369.72375690609988</v>
      </c>
      <c r="T557">
        <v>3.2500000000000001E-2</v>
      </c>
      <c r="U557">
        <f t="shared" si="107"/>
        <v>195</v>
      </c>
      <c r="V557">
        <f t="shared" si="108"/>
        <v>6195</v>
      </c>
      <c r="W557">
        <f t="shared" si="109"/>
        <v>564.72375690609988</v>
      </c>
      <c r="X557">
        <v>0</v>
      </c>
    </row>
    <row r="558" spans="1:24" x14ac:dyDescent="0.3">
      <c r="A558" t="s">
        <v>552</v>
      </c>
      <c r="B558" t="s">
        <v>576</v>
      </c>
      <c r="C558">
        <v>29664000</v>
      </c>
      <c r="D558" t="s">
        <v>139</v>
      </c>
      <c r="E558" t="s">
        <v>36</v>
      </c>
      <c r="F558" t="s">
        <v>1</v>
      </c>
      <c r="G558" t="s">
        <v>375</v>
      </c>
      <c r="H558" t="s">
        <v>207</v>
      </c>
      <c r="I558" t="s">
        <v>1</v>
      </c>
      <c r="J558">
        <v>16.46</v>
      </c>
      <c r="K558">
        <v>84.997687614</v>
      </c>
      <c r="L558">
        <v>13.63</v>
      </c>
      <c r="M558">
        <v>27.485911602209946</v>
      </c>
      <c r="N558">
        <v>13.63</v>
      </c>
      <c r="O558">
        <v>27.26</v>
      </c>
      <c r="P558">
        <v>0</v>
      </c>
      <c r="Q558">
        <f t="shared" si="105"/>
        <v>27.26</v>
      </c>
      <c r="R558">
        <v>84.997687614</v>
      </c>
      <c r="S558">
        <f t="shared" si="106"/>
        <v>57.737687613999995</v>
      </c>
      <c r="T558">
        <v>0.03</v>
      </c>
      <c r="U558">
        <f t="shared" si="107"/>
        <v>2.5499306284199998</v>
      </c>
      <c r="V558">
        <f t="shared" si="108"/>
        <v>87.54761824242</v>
      </c>
      <c r="W558">
        <f t="shared" si="109"/>
        <v>60.287618242419995</v>
      </c>
      <c r="X558">
        <v>0</v>
      </c>
    </row>
    <row r="559" spans="1:24" x14ac:dyDescent="0.3">
      <c r="A559" t="s">
        <v>552</v>
      </c>
      <c r="B559" t="s">
        <v>576</v>
      </c>
      <c r="C559">
        <v>29664000</v>
      </c>
      <c r="D559" t="s">
        <v>139</v>
      </c>
      <c r="E559" t="s">
        <v>37</v>
      </c>
      <c r="F559" t="s">
        <v>1</v>
      </c>
      <c r="G559" t="s">
        <v>375</v>
      </c>
      <c r="H559" t="s">
        <v>208</v>
      </c>
      <c r="I559" t="s">
        <v>1</v>
      </c>
      <c r="J559">
        <v>33.229999999999997</v>
      </c>
      <c r="L559">
        <v>23.3</v>
      </c>
      <c r="M559">
        <v>46.986187845303874</v>
      </c>
      <c r="N559">
        <v>56.53</v>
      </c>
      <c r="O559">
        <v>46.6</v>
      </c>
      <c r="P559">
        <v>0</v>
      </c>
      <c r="Q559">
        <f t="shared" si="105"/>
        <v>46.6</v>
      </c>
      <c r="R559">
        <v>46.6</v>
      </c>
      <c r="S559">
        <f t="shared" si="106"/>
        <v>0</v>
      </c>
      <c r="T559">
        <v>0.03</v>
      </c>
      <c r="U559">
        <f t="shared" si="107"/>
        <v>1.3979999999999999</v>
      </c>
      <c r="V559">
        <f t="shared" si="108"/>
        <v>47.998000000000005</v>
      </c>
      <c r="W559">
        <f t="shared" si="109"/>
        <v>1.3980000000000032</v>
      </c>
      <c r="X559">
        <v>0</v>
      </c>
    </row>
    <row r="560" spans="1:24" x14ac:dyDescent="0.3">
      <c r="A560" t="s">
        <v>552</v>
      </c>
      <c r="B560" t="s">
        <v>576</v>
      </c>
      <c r="C560">
        <v>29664000</v>
      </c>
      <c r="D560" t="s">
        <v>139</v>
      </c>
      <c r="E560" t="s">
        <v>39</v>
      </c>
      <c r="F560" t="s">
        <v>1</v>
      </c>
      <c r="G560" t="s">
        <v>375</v>
      </c>
      <c r="H560" t="s">
        <v>210</v>
      </c>
      <c r="I560" t="s">
        <v>1</v>
      </c>
      <c r="J560">
        <v>-453.75</v>
      </c>
      <c r="L560">
        <v>0</v>
      </c>
      <c r="M560">
        <v>0</v>
      </c>
      <c r="N560">
        <v>0</v>
      </c>
      <c r="P560">
        <v>0</v>
      </c>
      <c r="Q560">
        <f t="shared" si="105"/>
        <v>0</v>
      </c>
      <c r="R560">
        <v>0</v>
      </c>
      <c r="S560">
        <f t="shared" si="106"/>
        <v>0</v>
      </c>
      <c r="T560">
        <v>0.03</v>
      </c>
      <c r="U560">
        <f t="shared" si="107"/>
        <v>0</v>
      </c>
      <c r="V560">
        <f t="shared" si="108"/>
        <v>0</v>
      </c>
      <c r="W560">
        <f t="shared" si="109"/>
        <v>0</v>
      </c>
      <c r="X560">
        <v>0</v>
      </c>
    </row>
    <row r="561" spans="1:24" x14ac:dyDescent="0.3">
      <c r="A561" t="s">
        <v>552</v>
      </c>
      <c r="B561" t="s">
        <v>576</v>
      </c>
      <c r="C561">
        <v>29664000</v>
      </c>
      <c r="D561" t="s">
        <v>139</v>
      </c>
      <c r="E561" t="s">
        <v>101</v>
      </c>
      <c r="F561" t="s">
        <v>1</v>
      </c>
      <c r="G561" t="s">
        <v>375</v>
      </c>
      <c r="H561" t="s">
        <v>307</v>
      </c>
      <c r="I561" t="s">
        <v>1</v>
      </c>
      <c r="J561">
        <v>-131.25</v>
      </c>
      <c r="L561">
        <v>0</v>
      </c>
      <c r="M561">
        <v>0</v>
      </c>
      <c r="N561">
        <v>-131.25</v>
      </c>
      <c r="P561">
        <v>0</v>
      </c>
      <c r="Q561">
        <f t="shared" si="105"/>
        <v>0</v>
      </c>
      <c r="R561">
        <v>0</v>
      </c>
      <c r="S561">
        <f t="shared" si="106"/>
        <v>0</v>
      </c>
      <c r="T561">
        <v>0.03</v>
      </c>
      <c r="U561">
        <f t="shared" si="107"/>
        <v>0</v>
      </c>
      <c r="V561">
        <f t="shared" si="108"/>
        <v>0</v>
      </c>
      <c r="W561">
        <f t="shared" si="109"/>
        <v>0</v>
      </c>
      <c r="X561">
        <v>0</v>
      </c>
    </row>
    <row r="562" spans="1:24" x14ac:dyDescent="0.3">
      <c r="A562" t="s">
        <v>552</v>
      </c>
      <c r="B562" t="s">
        <v>576</v>
      </c>
      <c r="C562">
        <v>29664000</v>
      </c>
      <c r="D562" t="s">
        <v>139</v>
      </c>
      <c r="E562" t="s">
        <v>41</v>
      </c>
      <c r="F562" t="s">
        <v>1</v>
      </c>
      <c r="G562" t="s">
        <v>375</v>
      </c>
      <c r="H562" t="s">
        <v>212</v>
      </c>
      <c r="I562" t="s">
        <v>1</v>
      </c>
      <c r="J562">
        <v>351.28</v>
      </c>
      <c r="K562">
        <v>305.99167541039998</v>
      </c>
      <c r="L562">
        <v>55.82</v>
      </c>
      <c r="M562">
        <v>112.56519337016576</v>
      </c>
      <c r="N562">
        <v>75.430000000000007</v>
      </c>
      <c r="O562">
        <v>111.64</v>
      </c>
      <c r="P562">
        <v>0</v>
      </c>
      <c r="Q562">
        <f t="shared" si="105"/>
        <v>111.64</v>
      </c>
      <c r="R562">
        <v>111.64</v>
      </c>
      <c r="S562">
        <f t="shared" si="106"/>
        <v>0</v>
      </c>
      <c r="T562">
        <v>0.03</v>
      </c>
      <c r="U562">
        <f t="shared" si="107"/>
        <v>3.3491999999999997</v>
      </c>
      <c r="V562">
        <f t="shared" si="108"/>
        <v>114.9892</v>
      </c>
      <c r="W562">
        <f t="shared" si="109"/>
        <v>3.3491999999999962</v>
      </c>
      <c r="X562">
        <v>0</v>
      </c>
    </row>
    <row r="563" spans="1:24" x14ac:dyDescent="0.3">
      <c r="A563" t="s">
        <v>552</v>
      </c>
      <c r="B563" t="s">
        <v>576</v>
      </c>
      <c r="C563">
        <v>29664000</v>
      </c>
      <c r="D563" t="s">
        <v>139</v>
      </c>
      <c r="E563" t="s">
        <v>43</v>
      </c>
      <c r="F563" t="s">
        <v>1</v>
      </c>
      <c r="G563" t="s">
        <v>375</v>
      </c>
      <c r="H563" t="s">
        <v>214</v>
      </c>
      <c r="I563" t="s">
        <v>1</v>
      </c>
      <c r="J563">
        <v>34.33</v>
      </c>
      <c r="L563">
        <v>0</v>
      </c>
      <c r="M563">
        <v>0</v>
      </c>
      <c r="N563">
        <v>34.33</v>
      </c>
      <c r="P563">
        <v>0</v>
      </c>
      <c r="Q563">
        <f t="shared" si="105"/>
        <v>0</v>
      </c>
      <c r="R563">
        <v>0</v>
      </c>
      <c r="S563">
        <f t="shared" si="106"/>
        <v>0</v>
      </c>
      <c r="T563">
        <v>0.03</v>
      </c>
      <c r="U563">
        <f t="shared" si="107"/>
        <v>0</v>
      </c>
      <c r="V563">
        <f t="shared" si="108"/>
        <v>0</v>
      </c>
      <c r="W563">
        <f t="shared" si="109"/>
        <v>0</v>
      </c>
      <c r="X563">
        <v>0</v>
      </c>
    </row>
    <row r="564" spans="1:24" x14ac:dyDescent="0.3">
      <c r="A564" t="s">
        <v>552</v>
      </c>
      <c r="B564" t="s">
        <v>576</v>
      </c>
      <c r="C564">
        <v>29664000</v>
      </c>
      <c r="D564" t="s">
        <v>139</v>
      </c>
      <c r="E564" t="s">
        <v>44</v>
      </c>
      <c r="F564" t="s">
        <v>1</v>
      </c>
      <c r="G564" t="s">
        <v>375</v>
      </c>
      <c r="H564" t="s">
        <v>215</v>
      </c>
      <c r="I564" t="s">
        <v>1</v>
      </c>
      <c r="J564">
        <v>316.76</v>
      </c>
      <c r="L564">
        <v>270.12</v>
      </c>
      <c r="M564">
        <v>544.71712707182314</v>
      </c>
      <c r="N564">
        <v>586.88</v>
      </c>
      <c r="O564">
        <v>544.71712707179995</v>
      </c>
      <c r="P564">
        <v>0</v>
      </c>
      <c r="Q564">
        <f t="shared" si="105"/>
        <v>544.71712707179995</v>
      </c>
      <c r="R564">
        <v>544.71712707179995</v>
      </c>
      <c r="S564">
        <f t="shared" si="106"/>
        <v>0</v>
      </c>
      <c r="U564">
        <f t="shared" si="107"/>
        <v>0</v>
      </c>
      <c r="V564">
        <f t="shared" si="108"/>
        <v>544.71712707179995</v>
      </c>
      <c r="W564">
        <f t="shared" si="109"/>
        <v>0</v>
      </c>
      <c r="X564">
        <v>0</v>
      </c>
    </row>
    <row r="565" spans="1:24" x14ac:dyDescent="0.3">
      <c r="A565" t="s">
        <v>552</v>
      </c>
      <c r="B565" t="s">
        <v>576</v>
      </c>
      <c r="C565">
        <v>29664000</v>
      </c>
      <c r="D565" t="s">
        <v>139</v>
      </c>
      <c r="E565" t="s">
        <v>45</v>
      </c>
      <c r="F565" t="s">
        <v>45</v>
      </c>
      <c r="G565" t="s">
        <v>376</v>
      </c>
      <c r="J565">
        <v>43980.18</v>
      </c>
      <c r="K565">
        <v>33118.215641975599</v>
      </c>
      <c r="L565">
        <v>11848.529999999999</v>
      </c>
      <c r="M565">
        <v>23893.444475138123</v>
      </c>
      <c r="N565">
        <v>23162.690000000002</v>
      </c>
      <c r="O565">
        <v>23762.426889684797</v>
      </c>
      <c r="P565">
        <f>SUMIF($F$538:$F$564,"&lt;&gt;EV_*",$P$538:$P$564)</f>
        <v>0</v>
      </c>
      <c r="Q565">
        <f>SUMIF($F$538:$F$564,"&lt;&gt;EV_*",$Q$538:$Q$564)</f>
        <v>23762.426889684797</v>
      </c>
      <c r="R565">
        <f>SUMIF($F$538:$F$564,"&lt;&gt;EV_*",$R$538:$R$564)</f>
        <v>29153.233828710396</v>
      </c>
      <c r="S565">
        <f>SUMIF($F$538:$F$564,"&lt;&gt;EV_*",$S$538:$S$564)</f>
        <v>5390.8069390255996</v>
      </c>
      <c r="T565">
        <v>0</v>
      </c>
      <c r="U565">
        <f>SUMIF($F$538:$F$564,"&lt;&gt;EV_*",$U$538:$U$564)</f>
        <v>312.80871849497203</v>
      </c>
      <c r="V565">
        <f>SUMIF($F$538:$F$564,"&lt;&gt;EV_*",$V$538:$V$564)</f>
        <v>29466.042547205372</v>
      </c>
      <c r="W565">
        <f>SUMIF($F$538:$F$564,"&lt;&gt;EV_*",$W$538:$W$564)</f>
        <v>5703.6156575205723</v>
      </c>
      <c r="X565">
        <f>SUMIF($F$538:$F$564,"&lt;&gt;EV_*",$X$538:$X$564)</f>
        <v>0</v>
      </c>
    </row>
    <row r="566" spans="1:24" x14ac:dyDescent="0.3">
      <c r="A566" t="s">
        <v>552</v>
      </c>
      <c r="B566" t="s">
        <v>574</v>
      </c>
      <c r="C566">
        <v>29665200</v>
      </c>
      <c r="D566" t="s">
        <v>140</v>
      </c>
      <c r="E566" t="s">
        <v>5</v>
      </c>
      <c r="F566" t="s">
        <v>5</v>
      </c>
      <c r="G566" t="s">
        <v>377</v>
      </c>
    </row>
    <row r="567" spans="1:24" x14ac:dyDescent="0.3">
      <c r="A567" t="s">
        <v>552</v>
      </c>
      <c r="B567" t="s">
        <v>574</v>
      </c>
      <c r="C567">
        <v>29665200</v>
      </c>
      <c r="D567" t="s">
        <v>140</v>
      </c>
      <c r="E567" t="s">
        <v>16</v>
      </c>
      <c r="F567" t="s">
        <v>1</v>
      </c>
      <c r="G567" t="s">
        <v>378</v>
      </c>
      <c r="H567" t="s">
        <v>187</v>
      </c>
      <c r="I567" t="s">
        <v>1</v>
      </c>
      <c r="J567">
        <v>545</v>
      </c>
      <c r="L567">
        <v>0</v>
      </c>
      <c r="M567">
        <v>0</v>
      </c>
      <c r="N567">
        <v>285</v>
      </c>
      <c r="P567">
        <v>0</v>
      </c>
      <c r="Q567">
        <f t="shared" ref="Q567:Q577" si="110">O567+P567</f>
        <v>0</v>
      </c>
      <c r="R567">
        <v>0</v>
      </c>
      <c r="S567">
        <f t="shared" ref="S567:S577" si="111">IF(OR(LEFT(E567,2)="A_",LEFT(D567,5)="Total"),R567-Q567,"")</f>
        <v>0</v>
      </c>
      <c r="T567">
        <v>0.02</v>
      </c>
      <c r="U567">
        <f t="shared" ref="U567:U577" si="112">IFERROR(R567*T567,R567*0)</f>
        <v>0</v>
      </c>
      <c r="V567">
        <f t="shared" ref="V567:V577" si="113">IF(OR(LEFT(E567,2)="A_",LEFT(D567,5)="Total"),R567+U567,"")</f>
        <v>0</v>
      </c>
      <c r="W567">
        <f t="shared" ref="W567:W577" si="114">IF(OR(LEFT(E567,2)="A_",LEFT(D567,5)="Total"),V567-Q567,"")</f>
        <v>0</v>
      </c>
      <c r="X567">
        <v>0</v>
      </c>
    </row>
    <row r="568" spans="1:24" x14ac:dyDescent="0.3">
      <c r="A568" t="s">
        <v>552</v>
      </c>
      <c r="B568" t="s">
        <v>574</v>
      </c>
      <c r="C568">
        <v>29665200</v>
      </c>
      <c r="D568" t="s">
        <v>140</v>
      </c>
      <c r="E568" t="s">
        <v>19</v>
      </c>
      <c r="F568" t="s">
        <v>1</v>
      </c>
      <c r="G568" t="s">
        <v>378</v>
      </c>
      <c r="H568" t="s">
        <v>190</v>
      </c>
      <c r="I568" t="s">
        <v>1</v>
      </c>
      <c r="J568">
        <v>6872.11</v>
      </c>
      <c r="K568">
        <v>11902.4999999998</v>
      </c>
      <c r="L568">
        <v>4794.3</v>
      </c>
      <c r="M568">
        <v>9668.063535911604</v>
      </c>
      <c r="N568">
        <v>7643.95</v>
      </c>
      <c r="O568">
        <v>9668.0635359116004</v>
      </c>
      <c r="P568">
        <v>0</v>
      </c>
      <c r="Q568">
        <f t="shared" si="110"/>
        <v>9668.0635359116004</v>
      </c>
      <c r="R568">
        <v>15000</v>
      </c>
      <c r="S568">
        <f t="shared" si="111"/>
        <v>5331.9364640883996</v>
      </c>
      <c r="T568">
        <v>3.5000000000000003E-2</v>
      </c>
      <c r="U568">
        <f t="shared" si="112"/>
        <v>525</v>
      </c>
      <c r="V568">
        <f t="shared" si="113"/>
        <v>15525</v>
      </c>
      <c r="W568">
        <f t="shared" si="114"/>
        <v>5856.9364640883996</v>
      </c>
      <c r="X568" t="s">
        <v>518</v>
      </c>
    </row>
    <row r="569" spans="1:24" x14ac:dyDescent="0.3">
      <c r="A569" t="s">
        <v>552</v>
      </c>
      <c r="B569" t="s">
        <v>574</v>
      </c>
      <c r="C569">
        <v>29665200</v>
      </c>
      <c r="D569" t="s">
        <v>140</v>
      </c>
      <c r="E569" t="s">
        <v>20</v>
      </c>
      <c r="F569" t="s">
        <v>1</v>
      </c>
      <c r="G569" t="s">
        <v>378</v>
      </c>
      <c r="H569" t="s">
        <v>191</v>
      </c>
      <c r="I569" t="s">
        <v>1</v>
      </c>
      <c r="J569">
        <v>2054.2800000000002</v>
      </c>
      <c r="L569">
        <v>628</v>
      </c>
      <c r="M569">
        <v>1266.4088397790056</v>
      </c>
      <c r="N569">
        <v>628</v>
      </c>
      <c r="O569">
        <v>1256</v>
      </c>
      <c r="P569">
        <v>0</v>
      </c>
      <c r="Q569">
        <f t="shared" si="110"/>
        <v>1256</v>
      </c>
      <c r="R569">
        <v>0</v>
      </c>
      <c r="S569">
        <f t="shared" si="111"/>
        <v>-1256</v>
      </c>
      <c r="U569">
        <f t="shared" si="112"/>
        <v>0</v>
      </c>
      <c r="V569">
        <f t="shared" si="113"/>
        <v>0</v>
      </c>
      <c r="W569">
        <f t="shared" si="114"/>
        <v>-1256</v>
      </c>
      <c r="X569">
        <v>0</v>
      </c>
    </row>
    <row r="570" spans="1:24" x14ac:dyDescent="0.3">
      <c r="A570" t="s">
        <v>552</v>
      </c>
      <c r="B570" t="s">
        <v>574</v>
      </c>
      <c r="C570">
        <v>29665200</v>
      </c>
      <c r="D570" t="s">
        <v>140</v>
      </c>
      <c r="E570" t="s">
        <v>22</v>
      </c>
      <c r="F570" t="s">
        <v>1</v>
      </c>
      <c r="G570" t="s">
        <v>378</v>
      </c>
      <c r="H570" t="s">
        <v>193</v>
      </c>
      <c r="I570" t="s">
        <v>1</v>
      </c>
      <c r="K570">
        <v>1845.9999999996</v>
      </c>
      <c r="L570">
        <v>0</v>
      </c>
      <c r="M570">
        <v>0</v>
      </c>
      <c r="N570">
        <v>0</v>
      </c>
      <c r="P570">
        <v>0</v>
      </c>
      <c r="Q570">
        <f t="shared" si="110"/>
        <v>0</v>
      </c>
      <c r="R570">
        <v>0</v>
      </c>
      <c r="S570">
        <f t="shared" si="111"/>
        <v>0</v>
      </c>
      <c r="U570">
        <f t="shared" si="112"/>
        <v>0</v>
      </c>
      <c r="V570">
        <f t="shared" si="113"/>
        <v>0</v>
      </c>
      <c r="W570">
        <f t="shared" si="114"/>
        <v>0</v>
      </c>
      <c r="X570">
        <v>0</v>
      </c>
    </row>
    <row r="571" spans="1:24" x14ac:dyDescent="0.3">
      <c r="A571" t="s">
        <v>552</v>
      </c>
      <c r="B571" t="s">
        <v>574</v>
      </c>
      <c r="C571">
        <v>29665200</v>
      </c>
      <c r="D571" t="s">
        <v>140</v>
      </c>
      <c r="E571" t="s">
        <v>54</v>
      </c>
      <c r="F571" t="s">
        <v>1</v>
      </c>
      <c r="G571" t="s">
        <v>378</v>
      </c>
      <c r="H571" t="s">
        <v>230</v>
      </c>
      <c r="I571" t="s">
        <v>1</v>
      </c>
      <c r="J571">
        <v>2375.3000000000002</v>
      </c>
      <c r="K571">
        <v>2097</v>
      </c>
      <c r="L571">
        <v>0</v>
      </c>
      <c r="M571">
        <v>0</v>
      </c>
      <c r="N571">
        <v>0</v>
      </c>
      <c r="P571">
        <v>0</v>
      </c>
      <c r="Q571">
        <f t="shared" si="110"/>
        <v>0</v>
      </c>
      <c r="R571">
        <v>2000</v>
      </c>
      <c r="S571">
        <f t="shared" si="111"/>
        <v>2000</v>
      </c>
      <c r="U571">
        <f t="shared" si="112"/>
        <v>0</v>
      </c>
      <c r="V571">
        <f t="shared" si="113"/>
        <v>2000</v>
      </c>
      <c r="W571">
        <f t="shared" si="114"/>
        <v>2000</v>
      </c>
      <c r="X571" t="s">
        <v>519</v>
      </c>
    </row>
    <row r="572" spans="1:24" x14ac:dyDescent="0.3">
      <c r="A572" t="s">
        <v>552</v>
      </c>
      <c r="B572" t="s">
        <v>574</v>
      </c>
      <c r="C572">
        <v>29665200</v>
      </c>
      <c r="D572" t="s">
        <v>140</v>
      </c>
      <c r="E572" t="s">
        <v>27</v>
      </c>
      <c r="F572" t="s">
        <v>1</v>
      </c>
      <c r="G572" t="s">
        <v>378</v>
      </c>
      <c r="H572" t="s">
        <v>198</v>
      </c>
      <c r="I572" t="s">
        <v>1</v>
      </c>
      <c r="L572">
        <v>281.25</v>
      </c>
      <c r="M572">
        <v>567.1616022099447</v>
      </c>
      <c r="N572">
        <v>281.25</v>
      </c>
      <c r="O572">
        <v>562.5</v>
      </c>
      <c r="P572">
        <v>0</v>
      </c>
      <c r="Q572">
        <f t="shared" si="110"/>
        <v>562.5</v>
      </c>
      <c r="R572">
        <v>0</v>
      </c>
      <c r="S572">
        <f t="shared" si="111"/>
        <v>-562.5</v>
      </c>
      <c r="U572">
        <f t="shared" si="112"/>
        <v>0</v>
      </c>
      <c r="V572">
        <f t="shared" si="113"/>
        <v>0</v>
      </c>
      <c r="W572">
        <f t="shared" si="114"/>
        <v>-562.5</v>
      </c>
      <c r="X572">
        <v>0</v>
      </c>
    </row>
    <row r="573" spans="1:24" x14ac:dyDescent="0.3">
      <c r="A573" t="s">
        <v>552</v>
      </c>
      <c r="B573" t="s">
        <v>574</v>
      </c>
      <c r="C573">
        <v>29665200</v>
      </c>
      <c r="D573" t="s">
        <v>140</v>
      </c>
      <c r="E573" t="s">
        <v>30</v>
      </c>
      <c r="F573" t="s">
        <v>1</v>
      </c>
      <c r="G573" t="s">
        <v>378</v>
      </c>
      <c r="H573" t="s">
        <v>201</v>
      </c>
      <c r="I573" t="s">
        <v>1</v>
      </c>
      <c r="L573">
        <v>43.29</v>
      </c>
      <c r="M573">
        <v>87.297513812154705</v>
      </c>
      <c r="N573">
        <v>43.29</v>
      </c>
      <c r="O573">
        <v>86.58</v>
      </c>
      <c r="P573">
        <v>0</v>
      </c>
      <c r="Q573">
        <f t="shared" si="110"/>
        <v>86.58</v>
      </c>
      <c r="R573">
        <v>0</v>
      </c>
      <c r="S573">
        <f t="shared" si="111"/>
        <v>-86.58</v>
      </c>
      <c r="U573">
        <f t="shared" si="112"/>
        <v>0</v>
      </c>
      <c r="V573">
        <f t="shared" si="113"/>
        <v>0</v>
      </c>
      <c r="W573">
        <f t="shared" si="114"/>
        <v>-86.58</v>
      </c>
      <c r="X573">
        <v>0</v>
      </c>
    </row>
    <row r="574" spans="1:24" x14ac:dyDescent="0.3">
      <c r="A574" t="s">
        <v>552</v>
      </c>
      <c r="B574" t="s">
        <v>574</v>
      </c>
      <c r="C574">
        <v>29665200</v>
      </c>
      <c r="D574" t="s">
        <v>140</v>
      </c>
      <c r="E574" t="s">
        <v>31</v>
      </c>
      <c r="F574" t="s">
        <v>1</v>
      </c>
      <c r="G574" t="s">
        <v>378</v>
      </c>
      <c r="H574" t="s">
        <v>202</v>
      </c>
      <c r="I574" t="s">
        <v>1</v>
      </c>
      <c r="J574">
        <v>315.38</v>
      </c>
      <c r="K574">
        <v>150</v>
      </c>
      <c r="L574">
        <v>0</v>
      </c>
      <c r="M574">
        <v>0</v>
      </c>
      <c r="N574">
        <v>315.38</v>
      </c>
      <c r="P574">
        <v>0</v>
      </c>
      <c r="Q574">
        <f t="shared" si="110"/>
        <v>0</v>
      </c>
      <c r="R574">
        <v>150</v>
      </c>
      <c r="S574">
        <f t="shared" si="111"/>
        <v>150</v>
      </c>
      <c r="U574">
        <f t="shared" si="112"/>
        <v>0</v>
      </c>
      <c r="V574">
        <f t="shared" si="113"/>
        <v>150</v>
      </c>
      <c r="W574">
        <f t="shared" si="114"/>
        <v>150</v>
      </c>
      <c r="X574" t="s">
        <v>520</v>
      </c>
    </row>
    <row r="575" spans="1:24" x14ac:dyDescent="0.3">
      <c r="A575" t="s">
        <v>552</v>
      </c>
      <c r="B575" t="s">
        <v>574</v>
      </c>
      <c r="C575">
        <v>29665200</v>
      </c>
      <c r="D575" t="s">
        <v>140</v>
      </c>
      <c r="E575" t="s">
        <v>36</v>
      </c>
      <c r="F575" t="s">
        <v>1</v>
      </c>
      <c r="G575" t="s">
        <v>378</v>
      </c>
      <c r="H575" t="s">
        <v>207</v>
      </c>
      <c r="I575" t="s">
        <v>1</v>
      </c>
      <c r="J575">
        <v>148.63</v>
      </c>
      <c r="K575">
        <v>297</v>
      </c>
      <c r="L575">
        <v>133.15</v>
      </c>
      <c r="M575">
        <v>268.50690607734811</v>
      </c>
      <c r="N575">
        <v>133.14999999999998</v>
      </c>
      <c r="O575">
        <v>266.3</v>
      </c>
      <c r="P575">
        <v>0</v>
      </c>
      <c r="Q575">
        <f t="shared" si="110"/>
        <v>266.3</v>
      </c>
      <c r="R575">
        <v>297</v>
      </c>
      <c r="S575">
        <f t="shared" si="111"/>
        <v>30.699999999999989</v>
      </c>
      <c r="T575">
        <v>0.03</v>
      </c>
      <c r="U575">
        <f t="shared" si="112"/>
        <v>8.91</v>
      </c>
      <c r="V575">
        <f t="shared" si="113"/>
        <v>305.91000000000003</v>
      </c>
      <c r="W575">
        <f t="shared" si="114"/>
        <v>39.610000000000014</v>
      </c>
      <c r="X575">
        <v>0</v>
      </c>
    </row>
    <row r="576" spans="1:24" x14ac:dyDescent="0.3">
      <c r="A576" t="s">
        <v>552</v>
      </c>
      <c r="B576" t="s">
        <v>574</v>
      </c>
      <c r="C576">
        <v>29665200</v>
      </c>
      <c r="D576" t="s">
        <v>140</v>
      </c>
      <c r="E576" t="s">
        <v>41</v>
      </c>
      <c r="F576" t="s">
        <v>1</v>
      </c>
      <c r="G576" t="s">
        <v>378</v>
      </c>
      <c r="H576" t="s">
        <v>212</v>
      </c>
      <c r="I576" t="s">
        <v>1</v>
      </c>
      <c r="J576">
        <v>420</v>
      </c>
      <c r="L576">
        <v>0</v>
      </c>
      <c r="M576">
        <v>0</v>
      </c>
      <c r="N576">
        <v>0</v>
      </c>
      <c r="P576">
        <v>0</v>
      </c>
      <c r="Q576">
        <f t="shared" si="110"/>
        <v>0</v>
      </c>
      <c r="R576">
        <v>0</v>
      </c>
      <c r="S576">
        <f t="shared" si="111"/>
        <v>0</v>
      </c>
      <c r="T576">
        <v>0.03</v>
      </c>
      <c r="U576">
        <f t="shared" si="112"/>
        <v>0</v>
      </c>
      <c r="V576">
        <f t="shared" si="113"/>
        <v>0</v>
      </c>
      <c r="W576">
        <f t="shared" si="114"/>
        <v>0</v>
      </c>
      <c r="X576">
        <v>0</v>
      </c>
    </row>
    <row r="577" spans="1:24" x14ac:dyDescent="0.3">
      <c r="A577" t="s">
        <v>552</v>
      </c>
      <c r="B577" t="s">
        <v>574</v>
      </c>
      <c r="C577">
        <v>29665200</v>
      </c>
      <c r="D577" t="s">
        <v>140</v>
      </c>
      <c r="E577" t="s">
        <v>42</v>
      </c>
      <c r="F577" t="s">
        <v>1</v>
      </c>
      <c r="G577" t="s">
        <v>378</v>
      </c>
      <c r="H577" t="s">
        <v>213</v>
      </c>
      <c r="I577" t="s">
        <v>1</v>
      </c>
      <c r="J577">
        <v>239</v>
      </c>
      <c r="K577">
        <v>477.99999999959999</v>
      </c>
      <c r="L577">
        <v>75</v>
      </c>
      <c r="M577">
        <v>151.24309392265192</v>
      </c>
      <c r="N577">
        <v>75</v>
      </c>
      <c r="O577">
        <v>150</v>
      </c>
      <c r="P577">
        <v>0</v>
      </c>
      <c r="Q577">
        <f t="shared" si="110"/>
        <v>150</v>
      </c>
      <c r="R577">
        <v>100</v>
      </c>
      <c r="S577">
        <f t="shared" si="111"/>
        <v>-50</v>
      </c>
      <c r="T577">
        <v>0.03</v>
      </c>
      <c r="U577">
        <f t="shared" si="112"/>
        <v>3</v>
      </c>
      <c r="V577">
        <f t="shared" si="113"/>
        <v>103</v>
      </c>
      <c r="W577">
        <f t="shared" si="114"/>
        <v>-47</v>
      </c>
      <c r="X577" t="s">
        <v>521</v>
      </c>
    </row>
    <row r="578" spans="1:24" x14ac:dyDescent="0.3">
      <c r="A578" t="s">
        <v>552</v>
      </c>
      <c r="B578" t="s">
        <v>574</v>
      </c>
      <c r="C578">
        <v>29665200</v>
      </c>
      <c r="D578" t="s">
        <v>140</v>
      </c>
      <c r="E578" t="s">
        <v>45</v>
      </c>
      <c r="F578" t="s">
        <v>45</v>
      </c>
      <c r="G578" t="s">
        <v>379</v>
      </c>
      <c r="J578">
        <v>12969.699999999997</v>
      </c>
      <c r="K578">
        <v>16770.499999999</v>
      </c>
      <c r="L578">
        <v>5954.99</v>
      </c>
      <c r="M578">
        <v>12008.681491712709</v>
      </c>
      <c r="N578">
        <v>9405.02</v>
      </c>
      <c r="O578">
        <v>11989.4435359116</v>
      </c>
      <c r="P578">
        <f>SUMIF($F$566:$F$577,"&lt;&gt;EV_*",$P$566:$P$577)</f>
        <v>0</v>
      </c>
      <c r="Q578">
        <f>SUMIF($F$566:$F$577,"&lt;&gt;EV_*",$Q$566:$Q$577)</f>
        <v>11989.4435359116</v>
      </c>
      <c r="R578">
        <f>SUMIF($F$566:$F$577,"&lt;&gt;EV_*",$R$566:$R$577)</f>
        <v>17547</v>
      </c>
      <c r="S578">
        <f>SUMIF($F$566:$F$577,"&lt;&gt;EV_*",$S$566:$S$577)</f>
        <v>5557.5564640883995</v>
      </c>
      <c r="T578">
        <v>0</v>
      </c>
      <c r="U578">
        <f>SUMIF($F$566:$F$577,"&lt;&gt;EV_*",$U$566:$U$577)</f>
        <v>536.91</v>
      </c>
      <c r="V578">
        <f>SUMIF($F$566:$F$577,"&lt;&gt;EV_*",$V$566:$V$577)</f>
        <v>18083.91</v>
      </c>
      <c r="W578">
        <f>SUMIF($F$566:$F$577,"&lt;&gt;EV_*",$W$566:$W$577)</f>
        <v>6094.4664640883993</v>
      </c>
      <c r="X578">
        <f>SUMIF($F$566:$F$577,"&lt;&gt;EV_*",$X$566:$X$577)</f>
        <v>0</v>
      </c>
    </row>
    <row r="579" spans="1:24" x14ac:dyDescent="0.3">
      <c r="A579" t="s">
        <v>563</v>
      </c>
      <c r="B579" t="s">
        <v>567</v>
      </c>
      <c r="C579">
        <v>29666000</v>
      </c>
      <c r="D579" t="s">
        <v>141</v>
      </c>
      <c r="E579" t="s">
        <v>5</v>
      </c>
      <c r="F579" t="s">
        <v>5</v>
      </c>
      <c r="G579" t="s">
        <v>380</v>
      </c>
    </row>
    <row r="580" spans="1:24" x14ac:dyDescent="0.3">
      <c r="A580" t="s">
        <v>563</v>
      </c>
      <c r="B580" t="s">
        <v>567</v>
      </c>
      <c r="C580">
        <v>29666000</v>
      </c>
      <c r="D580" t="s">
        <v>141</v>
      </c>
      <c r="E580" t="s">
        <v>77</v>
      </c>
      <c r="F580" t="s">
        <v>1</v>
      </c>
      <c r="G580" t="s">
        <v>381</v>
      </c>
      <c r="H580" t="s">
        <v>283</v>
      </c>
      <c r="I580" t="s">
        <v>1</v>
      </c>
      <c r="J580">
        <v>6101.14</v>
      </c>
      <c r="K580">
        <v>6411.7200000001003</v>
      </c>
      <c r="L580">
        <v>2963.06</v>
      </c>
      <c r="M580">
        <v>5975.2314917127078</v>
      </c>
      <c r="N580">
        <v>5947.2099999999991</v>
      </c>
      <c r="O580">
        <v>5975.2314917126996</v>
      </c>
      <c r="P580">
        <v>0</v>
      </c>
      <c r="Q580">
        <f t="shared" ref="Q580:Q600" si="115">O580+P580</f>
        <v>5975.2314917126996</v>
      </c>
      <c r="R580">
        <v>5975.2314917126996</v>
      </c>
      <c r="S580">
        <f t="shared" ref="S580:S600" si="116">IF(OR(LEFT(E580,2)="A_",LEFT(D580,5)="Total"),R580-Q580,"")</f>
        <v>0</v>
      </c>
      <c r="T580">
        <v>0.02</v>
      </c>
      <c r="U580">
        <f t="shared" ref="U580:U600" si="117">IFERROR(R580*T580,R580*0)</f>
        <v>119.50462983425399</v>
      </c>
      <c r="V580">
        <f t="shared" ref="V580:V600" si="118">IF(OR(LEFT(E580,2)="A_",LEFT(D580,5)="Total"),R580+U580,"")</f>
        <v>6094.7361215469537</v>
      </c>
      <c r="W580">
        <f t="shared" ref="W580:W600" si="119">IF(OR(LEFT(E580,2)="A_",LEFT(D580,5)="Total"),V580-Q580,"")</f>
        <v>119.50462983425405</v>
      </c>
      <c r="X580">
        <v>0</v>
      </c>
    </row>
    <row r="581" spans="1:24" x14ac:dyDescent="0.3">
      <c r="A581" t="s">
        <v>563</v>
      </c>
      <c r="B581" t="s">
        <v>567</v>
      </c>
      <c r="C581">
        <v>29666000</v>
      </c>
      <c r="D581" t="s">
        <v>141</v>
      </c>
      <c r="E581" t="s">
        <v>12</v>
      </c>
      <c r="F581" t="s">
        <v>1</v>
      </c>
      <c r="G581" t="s">
        <v>381</v>
      </c>
      <c r="H581" t="s">
        <v>183</v>
      </c>
      <c r="I581" t="s">
        <v>1</v>
      </c>
      <c r="J581">
        <v>2755.43</v>
      </c>
      <c r="K581">
        <v>1540.6899999996001</v>
      </c>
      <c r="L581">
        <v>957.5</v>
      </c>
      <c r="M581">
        <v>1930.8701657458564</v>
      </c>
      <c r="N581">
        <v>2454.73</v>
      </c>
      <c r="O581">
        <v>1915</v>
      </c>
      <c r="P581">
        <v>0</v>
      </c>
      <c r="Q581">
        <f t="shared" si="115"/>
        <v>1915</v>
      </c>
      <c r="R581">
        <v>1915</v>
      </c>
      <c r="S581">
        <f t="shared" si="116"/>
        <v>0</v>
      </c>
      <c r="U581">
        <f t="shared" si="117"/>
        <v>0</v>
      </c>
      <c r="V581">
        <f t="shared" si="118"/>
        <v>1915</v>
      </c>
      <c r="W581">
        <f t="shared" si="119"/>
        <v>0</v>
      </c>
      <c r="X581">
        <v>0</v>
      </c>
    </row>
    <row r="582" spans="1:24" x14ac:dyDescent="0.3">
      <c r="A582" t="s">
        <v>563</v>
      </c>
      <c r="B582" t="s">
        <v>567</v>
      </c>
      <c r="C582">
        <v>29666000</v>
      </c>
      <c r="D582" t="s">
        <v>141</v>
      </c>
      <c r="E582" t="s">
        <v>80</v>
      </c>
      <c r="F582" t="s">
        <v>1</v>
      </c>
      <c r="G582" t="s">
        <v>381</v>
      </c>
      <c r="H582" t="s">
        <v>286</v>
      </c>
      <c r="I582" t="s">
        <v>1</v>
      </c>
      <c r="J582">
        <v>-233.55</v>
      </c>
      <c r="L582">
        <v>-127.85</v>
      </c>
      <c r="M582">
        <v>-257.81906077348066</v>
      </c>
      <c r="N582">
        <v>-217.4</v>
      </c>
      <c r="O582">
        <v>-257.10494505489999</v>
      </c>
      <c r="P582">
        <v>0</v>
      </c>
      <c r="Q582">
        <f t="shared" si="115"/>
        <v>-257.10494505489999</v>
      </c>
      <c r="R582">
        <v>0</v>
      </c>
      <c r="S582">
        <f t="shared" si="116"/>
        <v>257.10494505489999</v>
      </c>
      <c r="U582">
        <f t="shared" si="117"/>
        <v>0</v>
      </c>
      <c r="V582">
        <f t="shared" si="118"/>
        <v>0</v>
      </c>
      <c r="W582">
        <f t="shared" si="119"/>
        <v>257.10494505489999</v>
      </c>
      <c r="X582">
        <v>0</v>
      </c>
    </row>
    <row r="583" spans="1:24" x14ac:dyDescent="0.3">
      <c r="A583" t="s">
        <v>563</v>
      </c>
      <c r="B583" t="s">
        <v>567</v>
      </c>
      <c r="C583">
        <v>29666000</v>
      </c>
      <c r="D583" t="s">
        <v>141</v>
      </c>
      <c r="E583" t="s">
        <v>15</v>
      </c>
      <c r="F583" t="s">
        <v>1</v>
      </c>
      <c r="G583" t="s">
        <v>381</v>
      </c>
      <c r="H583" t="s">
        <v>186</v>
      </c>
      <c r="I583" t="s">
        <v>1</v>
      </c>
      <c r="J583">
        <v>-2243.6999999999998</v>
      </c>
      <c r="K583">
        <v>-1899.9999999995</v>
      </c>
      <c r="L583">
        <v>-600.4</v>
      </c>
      <c r="M583">
        <v>-1210.7513812154696</v>
      </c>
      <c r="N583">
        <v>-2253.64</v>
      </c>
      <c r="O583">
        <v>-1207.3978021978</v>
      </c>
      <c r="P583">
        <v>0</v>
      </c>
      <c r="Q583">
        <f t="shared" si="115"/>
        <v>-1207.3978021978</v>
      </c>
      <c r="R583">
        <v>-1207.3978021978</v>
      </c>
      <c r="S583">
        <f t="shared" si="116"/>
        <v>0</v>
      </c>
      <c r="U583">
        <f t="shared" si="117"/>
        <v>0</v>
      </c>
      <c r="V583">
        <f t="shared" si="118"/>
        <v>-1207.3978021978</v>
      </c>
      <c r="W583">
        <f t="shared" si="119"/>
        <v>0</v>
      </c>
      <c r="X583">
        <v>0</v>
      </c>
    </row>
    <row r="584" spans="1:24" x14ac:dyDescent="0.3">
      <c r="A584" t="s">
        <v>563</v>
      </c>
      <c r="B584" t="s">
        <v>567</v>
      </c>
      <c r="C584">
        <v>29666000</v>
      </c>
      <c r="D584" t="s">
        <v>141</v>
      </c>
      <c r="E584" t="s">
        <v>71</v>
      </c>
      <c r="F584" t="s">
        <v>1</v>
      </c>
      <c r="G584" t="s">
        <v>381</v>
      </c>
      <c r="H584" t="s">
        <v>273</v>
      </c>
      <c r="I584" t="s">
        <v>1</v>
      </c>
      <c r="J584">
        <v>3245.35</v>
      </c>
      <c r="K584">
        <v>3493.1047438270002</v>
      </c>
      <c r="L584">
        <v>1352.85</v>
      </c>
      <c r="M584">
        <v>2728.1229281767955</v>
      </c>
      <c r="N584">
        <v>2620.3999999999996</v>
      </c>
      <c r="O584">
        <v>2720.5664835164998</v>
      </c>
      <c r="P584">
        <v>0</v>
      </c>
      <c r="Q584">
        <f t="shared" si="115"/>
        <v>2720.5664835164998</v>
      </c>
      <c r="R584">
        <v>3000</v>
      </c>
      <c r="S584">
        <f t="shared" si="116"/>
        <v>279.43351648350017</v>
      </c>
      <c r="T584">
        <v>2.75E-2</v>
      </c>
      <c r="U584">
        <f t="shared" si="117"/>
        <v>82.5</v>
      </c>
      <c r="V584">
        <f t="shared" si="118"/>
        <v>3082.5</v>
      </c>
      <c r="W584">
        <f t="shared" si="119"/>
        <v>361.93351648350017</v>
      </c>
      <c r="X584">
        <v>0</v>
      </c>
    </row>
    <row r="585" spans="1:24" x14ac:dyDescent="0.3">
      <c r="A585" t="s">
        <v>563</v>
      </c>
      <c r="B585" t="s">
        <v>567</v>
      </c>
      <c r="C585">
        <v>29666000</v>
      </c>
      <c r="D585" t="s">
        <v>141</v>
      </c>
      <c r="E585" t="s">
        <v>72</v>
      </c>
      <c r="F585" t="s">
        <v>1</v>
      </c>
      <c r="G585" t="s">
        <v>381</v>
      </c>
      <c r="H585" t="s">
        <v>274</v>
      </c>
      <c r="I585" t="s">
        <v>1</v>
      </c>
      <c r="J585">
        <v>985.7</v>
      </c>
      <c r="L585">
        <v>1010.8</v>
      </c>
      <c r="M585">
        <v>2038.353591160221</v>
      </c>
      <c r="N585">
        <v>1671.56</v>
      </c>
      <c r="O585">
        <v>2032.7076923077</v>
      </c>
      <c r="P585">
        <v>0</v>
      </c>
      <c r="Q585">
        <f t="shared" si="115"/>
        <v>2032.7076923077</v>
      </c>
      <c r="R585">
        <v>1010.8</v>
      </c>
      <c r="S585">
        <f t="shared" si="116"/>
        <v>-1021.9076923077</v>
      </c>
      <c r="T585">
        <v>2.2499999999999999E-2</v>
      </c>
      <c r="U585">
        <f t="shared" si="117"/>
        <v>22.742999999999999</v>
      </c>
      <c r="V585">
        <f t="shared" si="118"/>
        <v>1033.5429999999999</v>
      </c>
      <c r="W585">
        <f t="shared" si="119"/>
        <v>-999.16469230770008</v>
      </c>
      <c r="X585">
        <v>0</v>
      </c>
    </row>
    <row r="586" spans="1:24" x14ac:dyDescent="0.3">
      <c r="A586" t="s">
        <v>563</v>
      </c>
      <c r="B586" t="s">
        <v>567</v>
      </c>
      <c r="C586">
        <v>29666000</v>
      </c>
      <c r="D586" t="s">
        <v>141</v>
      </c>
      <c r="E586" t="s">
        <v>16</v>
      </c>
      <c r="F586" t="s">
        <v>1</v>
      </c>
      <c r="G586" t="s">
        <v>381</v>
      </c>
      <c r="H586" t="s">
        <v>187</v>
      </c>
      <c r="I586" t="s">
        <v>1</v>
      </c>
      <c r="J586">
        <v>42462.93</v>
      </c>
      <c r="K586">
        <v>47855.360580246903</v>
      </c>
      <c r="L586">
        <v>18507.73</v>
      </c>
      <c r="M586">
        <v>37322.217955801105</v>
      </c>
      <c r="N586">
        <v>35980.210000000006</v>
      </c>
      <c r="O586">
        <v>37218.841648351598</v>
      </c>
      <c r="P586">
        <v>0</v>
      </c>
      <c r="Q586">
        <f t="shared" si="115"/>
        <v>37218.841648351598</v>
      </c>
      <c r="R586">
        <v>42462.93</v>
      </c>
      <c r="S586">
        <f t="shared" si="116"/>
        <v>5244.0883516484027</v>
      </c>
      <c r="T586">
        <v>0.02</v>
      </c>
      <c r="U586">
        <f t="shared" si="117"/>
        <v>849.2586</v>
      </c>
      <c r="V586">
        <f t="shared" si="118"/>
        <v>43312.188600000001</v>
      </c>
      <c r="W586">
        <f t="shared" si="119"/>
        <v>6093.3469516484038</v>
      </c>
      <c r="X586">
        <v>0</v>
      </c>
    </row>
    <row r="587" spans="1:24" x14ac:dyDescent="0.3">
      <c r="A587" t="s">
        <v>563</v>
      </c>
      <c r="B587" t="s">
        <v>567</v>
      </c>
      <c r="C587">
        <v>29666000</v>
      </c>
      <c r="D587" t="s">
        <v>141</v>
      </c>
      <c r="E587" t="s">
        <v>87</v>
      </c>
      <c r="F587" t="s">
        <v>1</v>
      </c>
      <c r="G587" t="s">
        <v>381</v>
      </c>
      <c r="H587" t="s">
        <v>293</v>
      </c>
      <c r="I587" t="s">
        <v>1</v>
      </c>
      <c r="J587">
        <v>4928.28</v>
      </c>
      <c r="K587">
        <v>5263.4088333335003</v>
      </c>
      <c r="L587">
        <v>3160.31</v>
      </c>
      <c r="M587">
        <v>6373.0008287292812</v>
      </c>
      <c r="N587">
        <v>5370.82</v>
      </c>
      <c r="O587">
        <v>6355.3486813187001</v>
      </c>
      <c r="P587">
        <v>0</v>
      </c>
      <c r="Q587">
        <f t="shared" si="115"/>
        <v>6355.3486813187001</v>
      </c>
      <c r="R587">
        <v>5370.82</v>
      </c>
      <c r="S587">
        <f t="shared" si="116"/>
        <v>-984.52868131870036</v>
      </c>
      <c r="T587">
        <v>3.5000000000000003E-2</v>
      </c>
      <c r="U587">
        <f t="shared" si="117"/>
        <v>187.9787</v>
      </c>
      <c r="V587">
        <f t="shared" si="118"/>
        <v>5558.7986999999994</v>
      </c>
      <c r="W587">
        <f t="shared" si="119"/>
        <v>-796.5499813187007</v>
      </c>
      <c r="X587">
        <v>0</v>
      </c>
    </row>
    <row r="588" spans="1:24" x14ac:dyDescent="0.3">
      <c r="A588" t="s">
        <v>563</v>
      </c>
      <c r="B588" t="s">
        <v>567</v>
      </c>
      <c r="C588">
        <v>29666000</v>
      </c>
      <c r="D588" t="s">
        <v>141</v>
      </c>
      <c r="E588" t="s">
        <v>53</v>
      </c>
      <c r="F588" t="s">
        <v>1</v>
      </c>
      <c r="G588" t="s">
        <v>381</v>
      </c>
      <c r="H588" t="s">
        <v>229</v>
      </c>
      <c r="I588" t="s">
        <v>1</v>
      </c>
      <c r="J588">
        <v>42914.69</v>
      </c>
      <c r="K588">
        <v>42191.493366255199</v>
      </c>
      <c r="L588">
        <v>23266.7</v>
      </c>
      <c r="M588">
        <v>46919.035911602208</v>
      </c>
      <c r="N588">
        <v>44193.79</v>
      </c>
      <c r="O588">
        <v>46789.078021977999</v>
      </c>
      <c r="P588">
        <v>0</v>
      </c>
      <c r="Q588">
        <f t="shared" si="115"/>
        <v>46789.078021977999</v>
      </c>
      <c r="R588">
        <v>46789.078021977999</v>
      </c>
      <c r="S588">
        <f t="shared" si="116"/>
        <v>0</v>
      </c>
      <c r="T588">
        <v>0.04</v>
      </c>
      <c r="U588">
        <f t="shared" si="117"/>
        <v>1871.5631208791201</v>
      </c>
      <c r="V588">
        <f t="shared" si="118"/>
        <v>48660.641142857115</v>
      </c>
      <c r="W588">
        <f t="shared" si="119"/>
        <v>1871.5631208791165</v>
      </c>
      <c r="X588">
        <v>0</v>
      </c>
    </row>
    <row r="589" spans="1:24" x14ac:dyDescent="0.3">
      <c r="A589" t="s">
        <v>563</v>
      </c>
      <c r="B589" t="s">
        <v>567</v>
      </c>
      <c r="C589">
        <v>29666000</v>
      </c>
      <c r="D589" t="s">
        <v>141</v>
      </c>
      <c r="E589" t="s">
        <v>17</v>
      </c>
      <c r="F589" t="s">
        <v>1</v>
      </c>
      <c r="G589" t="s">
        <v>381</v>
      </c>
      <c r="H589" t="s">
        <v>188</v>
      </c>
      <c r="I589" t="s">
        <v>1</v>
      </c>
      <c r="J589">
        <v>4513.59</v>
      </c>
      <c r="K589">
        <v>5595.9900000002999</v>
      </c>
      <c r="L589">
        <v>2604.39</v>
      </c>
      <c r="M589">
        <v>5251.9466850828721</v>
      </c>
      <c r="N589">
        <v>4516.58</v>
      </c>
      <c r="O589">
        <v>5251.9466850829003</v>
      </c>
      <c r="P589">
        <v>0</v>
      </c>
      <c r="Q589">
        <f t="shared" si="115"/>
        <v>5251.9466850829003</v>
      </c>
      <c r="R589">
        <v>5251.9466850829003</v>
      </c>
      <c r="S589">
        <f t="shared" si="116"/>
        <v>0</v>
      </c>
      <c r="T589">
        <v>0.03</v>
      </c>
      <c r="U589">
        <f t="shared" si="117"/>
        <v>157.558400552487</v>
      </c>
      <c r="V589">
        <f t="shared" si="118"/>
        <v>5409.5050856353873</v>
      </c>
      <c r="W589">
        <f t="shared" si="119"/>
        <v>157.558400552487</v>
      </c>
      <c r="X589">
        <v>0</v>
      </c>
    </row>
    <row r="590" spans="1:24" x14ac:dyDescent="0.3">
      <c r="A590" t="s">
        <v>563</v>
      </c>
      <c r="B590" t="s">
        <v>567</v>
      </c>
      <c r="C590">
        <v>29666000</v>
      </c>
      <c r="D590" t="s">
        <v>141</v>
      </c>
      <c r="E590" t="s">
        <v>18</v>
      </c>
      <c r="F590" t="s">
        <v>1</v>
      </c>
      <c r="G590" t="s">
        <v>381</v>
      </c>
      <c r="H590" t="s">
        <v>189</v>
      </c>
      <c r="I590" t="s">
        <v>1</v>
      </c>
      <c r="J590">
        <v>1037.17</v>
      </c>
      <c r="K590">
        <v>417.10500000010001</v>
      </c>
      <c r="L590">
        <v>1762.23</v>
      </c>
      <c r="M590">
        <v>3553.6682320441992</v>
      </c>
      <c r="N590">
        <v>2599.4799999999996</v>
      </c>
      <c r="O590">
        <v>3553.6682320442001</v>
      </c>
      <c r="P590">
        <v>0</v>
      </c>
      <c r="Q590">
        <f t="shared" si="115"/>
        <v>3553.6682320442001</v>
      </c>
      <c r="R590">
        <v>10000</v>
      </c>
      <c r="S590">
        <f t="shared" si="116"/>
        <v>6446.3317679558004</v>
      </c>
      <c r="T590">
        <v>3.5000000000000003E-2</v>
      </c>
      <c r="U590">
        <f t="shared" si="117"/>
        <v>350.00000000000006</v>
      </c>
      <c r="V590">
        <f t="shared" si="118"/>
        <v>10350</v>
      </c>
      <c r="W590">
        <f t="shared" si="119"/>
        <v>6796.3317679558004</v>
      </c>
      <c r="X590" t="s">
        <v>522</v>
      </c>
    </row>
    <row r="591" spans="1:24" x14ac:dyDescent="0.3">
      <c r="A591" t="s">
        <v>563</v>
      </c>
      <c r="B591" t="s">
        <v>567</v>
      </c>
      <c r="C591">
        <v>29666000</v>
      </c>
      <c r="D591" t="s">
        <v>141</v>
      </c>
      <c r="E591" t="s">
        <v>19</v>
      </c>
      <c r="F591" t="s">
        <v>1</v>
      </c>
      <c r="G591" t="s">
        <v>381</v>
      </c>
      <c r="H591" t="s">
        <v>190</v>
      </c>
      <c r="I591" t="s">
        <v>1</v>
      </c>
      <c r="J591">
        <v>6167.42</v>
      </c>
      <c r="K591">
        <v>1134.3600000000999</v>
      </c>
      <c r="L591">
        <v>893.16</v>
      </c>
      <c r="M591">
        <v>1801.1237569060772</v>
      </c>
      <c r="N591">
        <v>6090.37</v>
      </c>
      <c r="O591">
        <v>1801.1237569061</v>
      </c>
      <c r="P591">
        <v>0</v>
      </c>
      <c r="Q591">
        <f t="shared" si="115"/>
        <v>1801.1237569061</v>
      </c>
      <c r="R591">
        <v>1801.1237569061</v>
      </c>
      <c r="S591">
        <f t="shared" si="116"/>
        <v>0</v>
      </c>
      <c r="T591">
        <v>3.5000000000000003E-2</v>
      </c>
      <c r="U591">
        <f t="shared" si="117"/>
        <v>63.039331491713504</v>
      </c>
      <c r="V591">
        <f t="shared" si="118"/>
        <v>1864.1630883978135</v>
      </c>
      <c r="W591">
        <f t="shared" si="119"/>
        <v>63.039331491713483</v>
      </c>
      <c r="X591">
        <v>0</v>
      </c>
    </row>
    <row r="592" spans="1:24" x14ac:dyDescent="0.3">
      <c r="A592" t="s">
        <v>563</v>
      </c>
      <c r="B592" t="s">
        <v>567</v>
      </c>
      <c r="C592">
        <v>29666000</v>
      </c>
      <c r="D592" t="s">
        <v>141</v>
      </c>
      <c r="E592" t="s">
        <v>22</v>
      </c>
      <c r="F592" t="s">
        <v>1</v>
      </c>
      <c r="G592" t="s">
        <v>381</v>
      </c>
      <c r="H592" t="s">
        <v>193</v>
      </c>
      <c r="I592" t="s">
        <v>1</v>
      </c>
      <c r="L592">
        <v>85.12</v>
      </c>
      <c r="M592">
        <v>171.65082872928178</v>
      </c>
      <c r="N592">
        <v>85.12</v>
      </c>
      <c r="O592">
        <v>170.24</v>
      </c>
      <c r="P592">
        <v>0</v>
      </c>
      <c r="Q592">
        <f t="shared" si="115"/>
        <v>170.24</v>
      </c>
      <c r="R592">
        <v>0</v>
      </c>
      <c r="S592">
        <f t="shared" si="116"/>
        <v>-170.24</v>
      </c>
      <c r="U592">
        <f t="shared" si="117"/>
        <v>0</v>
      </c>
      <c r="V592">
        <f t="shared" si="118"/>
        <v>0</v>
      </c>
      <c r="W592">
        <f t="shared" si="119"/>
        <v>-170.24</v>
      </c>
      <c r="X592">
        <v>0</v>
      </c>
    </row>
    <row r="593" spans="1:24" x14ac:dyDescent="0.3">
      <c r="A593" t="s">
        <v>563</v>
      </c>
      <c r="B593" t="s">
        <v>567</v>
      </c>
      <c r="C593">
        <v>29666000</v>
      </c>
      <c r="D593" t="s">
        <v>141</v>
      </c>
      <c r="E593" t="s">
        <v>23</v>
      </c>
      <c r="F593" t="s">
        <v>1</v>
      </c>
      <c r="G593" t="s">
        <v>381</v>
      </c>
      <c r="H593" t="s">
        <v>194</v>
      </c>
      <c r="I593" t="s">
        <v>1</v>
      </c>
      <c r="J593">
        <v>13058.74</v>
      </c>
      <c r="K593">
        <v>16341</v>
      </c>
      <c r="L593">
        <v>827.07</v>
      </c>
      <c r="M593">
        <v>1667.8483425414365</v>
      </c>
      <c r="N593">
        <v>2828.32</v>
      </c>
      <c r="O593">
        <v>1654.14</v>
      </c>
      <c r="P593">
        <v>0</v>
      </c>
      <c r="Q593">
        <f t="shared" si="115"/>
        <v>1654.14</v>
      </c>
      <c r="R593">
        <v>1654.14</v>
      </c>
      <c r="S593">
        <f t="shared" si="116"/>
        <v>0</v>
      </c>
      <c r="U593">
        <f t="shared" si="117"/>
        <v>0</v>
      </c>
      <c r="V593">
        <f t="shared" si="118"/>
        <v>1654.14</v>
      </c>
      <c r="W593">
        <f t="shared" si="119"/>
        <v>0</v>
      </c>
      <c r="X593">
        <v>0</v>
      </c>
    </row>
    <row r="594" spans="1:24" x14ac:dyDescent="0.3">
      <c r="A594" t="s">
        <v>563</v>
      </c>
      <c r="B594" t="s">
        <v>567</v>
      </c>
      <c r="C594">
        <v>29666000</v>
      </c>
      <c r="D594" t="s">
        <v>141</v>
      </c>
      <c r="E594" t="s">
        <v>24</v>
      </c>
      <c r="F594" t="s">
        <v>1</v>
      </c>
      <c r="G594" t="s">
        <v>381</v>
      </c>
      <c r="H594" t="s">
        <v>195</v>
      </c>
      <c r="I594" t="s">
        <v>1</v>
      </c>
      <c r="J594">
        <v>4018.61</v>
      </c>
      <c r="K594">
        <v>4206</v>
      </c>
      <c r="L594">
        <v>1041.3699999999999</v>
      </c>
      <c r="M594">
        <v>2100.0002762430936</v>
      </c>
      <c r="N594">
        <v>2956.9600000000005</v>
      </c>
      <c r="O594">
        <v>2082.7399999999998</v>
      </c>
      <c r="P594">
        <v>0</v>
      </c>
      <c r="Q594">
        <f t="shared" si="115"/>
        <v>2082.7399999999998</v>
      </c>
      <c r="R594">
        <v>1500</v>
      </c>
      <c r="S594">
        <f t="shared" si="116"/>
        <v>-582.73999999999978</v>
      </c>
      <c r="U594">
        <f t="shared" si="117"/>
        <v>0</v>
      </c>
      <c r="V594">
        <f t="shared" si="118"/>
        <v>1500</v>
      </c>
      <c r="W594">
        <f t="shared" si="119"/>
        <v>-582.73999999999978</v>
      </c>
      <c r="X594" t="s">
        <v>523</v>
      </c>
    </row>
    <row r="595" spans="1:24" x14ac:dyDescent="0.3">
      <c r="A595" t="s">
        <v>563</v>
      </c>
      <c r="B595" t="s">
        <v>567</v>
      </c>
      <c r="C595">
        <v>29666000</v>
      </c>
      <c r="D595" t="s">
        <v>141</v>
      </c>
      <c r="E595" t="s">
        <v>27</v>
      </c>
      <c r="F595" t="s">
        <v>1</v>
      </c>
      <c r="G595" t="s">
        <v>381</v>
      </c>
      <c r="H595" t="s">
        <v>198</v>
      </c>
      <c r="I595" t="s">
        <v>1</v>
      </c>
      <c r="J595">
        <v>6210</v>
      </c>
      <c r="L595">
        <v>0</v>
      </c>
      <c r="M595">
        <v>0</v>
      </c>
      <c r="N595">
        <v>6210</v>
      </c>
      <c r="P595">
        <v>0</v>
      </c>
      <c r="Q595">
        <f t="shared" si="115"/>
        <v>0</v>
      </c>
      <c r="R595">
        <v>0</v>
      </c>
      <c r="S595">
        <f t="shared" si="116"/>
        <v>0</v>
      </c>
      <c r="U595">
        <f t="shared" si="117"/>
        <v>0</v>
      </c>
      <c r="V595">
        <f t="shared" si="118"/>
        <v>0</v>
      </c>
      <c r="W595">
        <f t="shared" si="119"/>
        <v>0</v>
      </c>
      <c r="X595">
        <v>0</v>
      </c>
    </row>
    <row r="596" spans="1:24" x14ac:dyDescent="0.3">
      <c r="A596" t="s">
        <v>563</v>
      </c>
      <c r="B596" t="s">
        <v>567</v>
      </c>
      <c r="C596">
        <v>29666000</v>
      </c>
      <c r="D596" t="s">
        <v>141</v>
      </c>
      <c r="E596" t="s">
        <v>31</v>
      </c>
      <c r="F596" t="s">
        <v>1</v>
      </c>
      <c r="G596" t="s">
        <v>381</v>
      </c>
      <c r="H596" t="s">
        <v>202</v>
      </c>
      <c r="I596" t="s">
        <v>1</v>
      </c>
      <c r="J596">
        <v>885.27</v>
      </c>
      <c r="K596">
        <v>600</v>
      </c>
      <c r="L596">
        <v>270.95</v>
      </c>
      <c r="M596">
        <v>546.39088397790056</v>
      </c>
      <c r="N596">
        <v>875.84</v>
      </c>
      <c r="O596">
        <v>541.9</v>
      </c>
      <c r="P596">
        <v>0</v>
      </c>
      <c r="Q596">
        <f t="shared" si="115"/>
        <v>541.9</v>
      </c>
      <c r="R596">
        <v>500</v>
      </c>
      <c r="S596">
        <f t="shared" si="116"/>
        <v>-41.899999999999977</v>
      </c>
      <c r="U596">
        <f t="shared" si="117"/>
        <v>0</v>
      </c>
      <c r="V596">
        <f t="shared" si="118"/>
        <v>500</v>
      </c>
      <c r="W596">
        <f t="shared" si="119"/>
        <v>-41.899999999999977</v>
      </c>
      <c r="X596">
        <v>0</v>
      </c>
    </row>
    <row r="597" spans="1:24" x14ac:dyDescent="0.3">
      <c r="A597" t="s">
        <v>563</v>
      </c>
      <c r="B597" t="s">
        <v>567</v>
      </c>
      <c r="C597">
        <v>29666000</v>
      </c>
      <c r="D597" t="s">
        <v>141</v>
      </c>
      <c r="E597" t="s">
        <v>97</v>
      </c>
      <c r="F597" t="s">
        <v>1</v>
      </c>
      <c r="G597" t="s">
        <v>381</v>
      </c>
      <c r="H597" t="s">
        <v>303</v>
      </c>
      <c r="I597" t="s">
        <v>1</v>
      </c>
      <c r="J597">
        <v>51125</v>
      </c>
      <c r="K597">
        <v>35000.000399999997</v>
      </c>
      <c r="L597">
        <v>10868</v>
      </c>
      <c r="M597">
        <v>21916.132596685085</v>
      </c>
      <c r="N597">
        <v>25673</v>
      </c>
      <c r="O597">
        <v>21736</v>
      </c>
      <c r="P597">
        <v>0</v>
      </c>
      <c r="Q597">
        <f t="shared" si="115"/>
        <v>21736</v>
      </c>
      <c r="R597">
        <v>0</v>
      </c>
      <c r="S597">
        <f t="shared" si="116"/>
        <v>-21736</v>
      </c>
      <c r="U597">
        <f t="shared" si="117"/>
        <v>0</v>
      </c>
      <c r="V597">
        <f t="shared" si="118"/>
        <v>0</v>
      </c>
      <c r="W597">
        <f t="shared" si="119"/>
        <v>-21736</v>
      </c>
      <c r="X597">
        <v>0</v>
      </c>
    </row>
    <row r="598" spans="1:24" x14ac:dyDescent="0.3">
      <c r="A598" t="s">
        <v>563</v>
      </c>
      <c r="B598" t="s">
        <v>567</v>
      </c>
      <c r="C598">
        <v>29666000</v>
      </c>
      <c r="D598" t="s">
        <v>141</v>
      </c>
      <c r="E598" t="s">
        <v>36</v>
      </c>
      <c r="F598" t="s">
        <v>1</v>
      </c>
      <c r="G598" t="s">
        <v>381</v>
      </c>
      <c r="H598" t="s">
        <v>207</v>
      </c>
      <c r="I598" t="s">
        <v>1</v>
      </c>
      <c r="J598">
        <v>3032.24</v>
      </c>
      <c r="K598">
        <v>2556</v>
      </c>
      <c r="L598">
        <v>1986.88</v>
      </c>
      <c r="M598">
        <v>4006.6917127071824</v>
      </c>
      <c r="N598">
        <v>3740.95</v>
      </c>
      <c r="O598">
        <v>3973.76</v>
      </c>
      <c r="P598">
        <v>0</v>
      </c>
      <c r="Q598">
        <f t="shared" si="115"/>
        <v>3973.76</v>
      </c>
      <c r="R598">
        <v>3000</v>
      </c>
      <c r="S598">
        <f t="shared" si="116"/>
        <v>-973.76000000000022</v>
      </c>
      <c r="T598">
        <v>0.03</v>
      </c>
      <c r="U598">
        <f t="shared" si="117"/>
        <v>90</v>
      </c>
      <c r="V598">
        <f t="shared" si="118"/>
        <v>3090</v>
      </c>
      <c r="W598">
        <f t="shared" si="119"/>
        <v>-883.76000000000022</v>
      </c>
      <c r="X598">
        <v>0</v>
      </c>
    </row>
    <row r="599" spans="1:24" x14ac:dyDescent="0.3">
      <c r="A599" t="s">
        <v>563</v>
      </c>
      <c r="B599" t="s">
        <v>567</v>
      </c>
      <c r="C599">
        <v>29666000</v>
      </c>
      <c r="D599" t="s">
        <v>141</v>
      </c>
      <c r="E599" t="s">
        <v>41</v>
      </c>
      <c r="F599" t="s">
        <v>1</v>
      </c>
      <c r="G599" t="s">
        <v>381</v>
      </c>
      <c r="H599" t="s">
        <v>212</v>
      </c>
      <c r="I599" t="s">
        <v>1</v>
      </c>
      <c r="J599">
        <v>3782.03</v>
      </c>
      <c r="L599">
        <v>0</v>
      </c>
      <c r="M599">
        <v>0</v>
      </c>
      <c r="N599">
        <v>2289.6</v>
      </c>
      <c r="P599">
        <v>0</v>
      </c>
      <c r="Q599">
        <f t="shared" si="115"/>
        <v>0</v>
      </c>
      <c r="R599">
        <v>0</v>
      </c>
      <c r="S599">
        <f t="shared" si="116"/>
        <v>0</v>
      </c>
      <c r="T599">
        <v>0.03</v>
      </c>
      <c r="U599">
        <f t="shared" si="117"/>
        <v>0</v>
      </c>
      <c r="V599">
        <f t="shared" si="118"/>
        <v>0</v>
      </c>
      <c r="W599">
        <f t="shared" si="119"/>
        <v>0</v>
      </c>
      <c r="X599">
        <v>0</v>
      </c>
    </row>
    <row r="600" spans="1:24" x14ac:dyDescent="0.3">
      <c r="A600" t="s">
        <v>563</v>
      </c>
      <c r="B600" t="s">
        <v>567</v>
      </c>
      <c r="C600">
        <v>29666000</v>
      </c>
      <c r="D600" t="s">
        <v>141</v>
      </c>
      <c r="E600" t="s">
        <v>44</v>
      </c>
      <c r="F600" t="s">
        <v>1</v>
      </c>
      <c r="G600" t="s">
        <v>381</v>
      </c>
      <c r="H600" t="s">
        <v>215</v>
      </c>
      <c r="I600" t="s">
        <v>1</v>
      </c>
      <c r="J600">
        <v>836.48</v>
      </c>
      <c r="K600">
        <v>727.00000000019998</v>
      </c>
      <c r="L600">
        <v>466.71</v>
      </c>
      <c r="M600">
        <v>941.15552486187846</v>
      </c>
      <c r="N600">
        <v>942.92</v>
      </c>
      <c r="O600">
        <v>941.15552486189995</v>
      </c>
      <c r="P600">
        <v>0</v>
      </c>
      <c r="Q600">
        <f t="shared" si="115"/>
        <v>941.15552486189995</v>
      </c>
      <c r="R600">
        <v>941.15552486189995</v>
      </c>
      <c r="S600">
        <f t="shared" si="116"/>
        <v>0</v>
      </c>
      <c r="U600">
        <f t="shared" si="117"/>
        <v>0</v>
      </c>
      <c r="V600">
        <f t="shared" si="118"/>
        <v>941.15552486189995</v>
      </c>
      <c r="W600">
        <f t="shared" si="119"/>
        <v>0</v>
      </c>
      <c r="X600">
        <v>0</v>
      </c>
    </row>
    <row r="601" spans="1:24" x14ac:dyDescent="0.3">
      <c r="A601" t="s">
        <v>563</v>
      </c>
      <c r="B601" t="s">
        <v>567</v>
      </c>
      <c r="C601">
        <v>29666000</v>
      </c>
      <c r="D601" t="s">
        <v>141</v>
      </c>
      <c r="E601" t="s">
        <v>45</v>
      </c>
      <c r="F601" t="s">
        <v>45</v>
      </c>
      <c r="G601" t="s">
        <v>382</v>
      </c>
      <c r="J601">
        <v>195582.81999999998</v>
      </c>
      <c r="K601">
        <v>171433.23292366351</v>
      </c>
      <c r="L601">
        <v>71296.580000000016</v>
      </c>
      <c r="M601">
        <v>143774.87127071826</v>
      </c>
      <c r="N601">
        <v>154576.82000000004</v>
      </c>
      <c r="O601">
        <v>143248.94547082763</v>
      </c>
      <c r="P601">
        <f>SUMIF($F$579:$F$600,"&lt;&gt;EV_*",$P$579:$P$600)</f>
        <v>0</v>
      </c>
      <c r="Q601">
        <f>SUMIF($F$579:$F$600,"&lt;&gt;EV_*",$Q$579:$Q$600)</f>
        <v>143248.94547082763</v>
      </c>
      <c r="R601">
        <f>SUMIF($F$579:$F$600,"&lt;&gt;EV_*",$R$579:$R$600)</f>
        <v>129964.82767834381</v>
      </c>
      <c r="S601">
        <f>SUMIF($F$579:$F$600,"&lt;&gt;EV_*",$S$579:$S$600)</f>
        <v>-13284.117792483798</v>
      </c>
      <c r="T601">
        <v>0</v>
      </c>
      <c r="U601">
        <f>SUMIF($F$579:$F$600,"&lt;&gt;EV_*",$U$579:$U$600)</f>
        <v>3794.145782757575</v>
      </c>
      <c r="V601">
        <f>SUMIF($F$579:$F$600,"&lt;&gt;EV_*",$V$579:$V$600)</f>
        <v>133758.97346110138</v>
      </c>
      <c r="W601">
        <f>SUMIF($F$579:$F$600,"&lt;&gt;EV_*",$W$579:$W$600)</f>
        <v>-9489.9720097262252</v>
      </c>
      <c r="X601">
        <f>SUMIF($F$579:$F$600,"&lt;&gt;EV_*",$X$579:$X$600)</f>
        <v>0</v>
      </c>
    </row>
    <row r="602" spans="1:24" x14ac:dyDescent="0.3">
      <c r="A602" t="s">
        <v>552</v>
      </c>
      <c r="B602" t="s">
        <v>577</v>
      </c>
      <c r="C602">
        <v>29690000</v>
      </c>
      <c r="D602" t="s">
        <v>142</v>
      </c>
      <c r="E602" t="s">
        <v>5</v>
      </c>
      <c r="F602" t="s">
        <v>5</v>
      </c>
      <c r="G602" t="s">
        <v>383</v>
      </c>
    </row>
    <row r="603" spans="1:24" x14ac:dyDescent="0.3">
      <c r="A603" t="s">
        <v>552</v>
      </c>
      <c r="B603" t="s">
        <v>577</v>
      </c>
      <c r="C603">
        <v>29690000</v>
      </c>
      <c r="D603" t="s">
        <v>142</v>
      </c>
      <c r="E603" t="s">
        <v>11</v>
      </c>
      <c r="F603" t="s">
        <v>1</v>
      </c>
      <c r="G603" t="s">
        <v>384</v>
      </c>
      <c r="H603" t="s">
        <v>182</v>
      </c>
      <c r="I603" t="s">
        <v>1</v>
      </c>
      <c r="J603">
        <v>5467.62</v>
      </c>
      <c r="L603">
        <v>3582.42</v>
      </c>
      <c r="M603">
        <v>7224.2171270718227</v>
      </c>
      <c r="N603">
        <v>9050.0400000000009</v>
      </c>
      <c r="O603">
        <v>7164.84</v>
      </c>
      <c r="P603">
        <v>0</v>
      </c>
      <c r="Q603">
        <f t="shared" ref="Q603:Q621" si="120">O603+P603</f>
        <v>7164.84</v>
      </c>
      <c r="R603">
        <v>7164.84</v>
      </c>
      <c r="S603">
        <f t="shared" ref="S603:S621" si="121">IF(OR(LEFT(E603,2)="A_",LEFT(D603,5)="Total"),R603-Q603,"")</f>
        <v>0</v>
      </c>
      <c r="U603">
        <f t="shared" ref="U603:U621" si="122">IFERROR(R603*T603,R603*0)</f>
        <v>0</v>
      </c>
      <c r="V603">
        <f t="shared" ref="V603:V621" si="123">IF(OR(LEFT(E603,2)="A_",LEFT(D603,5)="Total"),R603+U603,"")</f>
        <v>7164.84</v>
      </c>
      <c r="W603">
        <f t="shared" ref="W603:W621" si="124">IF(OR(LEFT(E603,2)="A_",LEFT(D603,5)="Total"),V603-Q603,"")</f>
        <v>0</v>
      </c>
      <c r="X603" t="s">
        <v>524</v>
      </c>
    </row>
    <row r="604" spans="1:24" x14ac:dyDescent="0.3">
      <c r="A604" t="s">
        <v>552</v>
      </c>
      <c r="B604" t="s">
        <v>577</v>
      </c>
      <c r="C604">
        <v>29690000</v>
      </c>
      <c r="D604" t="s">
        <v>142</v>
      </c>
      <c r="E604" t="s">
        <v>12</v>
      </c>
      <c r="F604" t="s">
        <v>1</v>
      </c>
      <c r="G604" t="s">
        <v>384</v>
      </c>
      <c r="H604" t="s">
        <v>183</v>
      </c>
      <c r="I604" t="s">
        <v>1</v>
      </c>
      <c r="J604">
        <v>1067.1099999999999</v>
      </c>
      <c r="K604">
        <v>881.82999999959998</v>
      </c>
      <c r="L604">
        <v>424.82</v>
      </c>
      <c r="M604">
        <v>856.68121546961322</v>
      </c>
      <c r="N604">
        <v>918.68000000000006</v>
      </c>
      <c r="O604">
        <v>849.64</v>
      </c>
      <c r="P604">
        <v>0</v>
      </c>
      <c r="Q604">
        <f t="shared" si="120"/>
        <v>849.64</v>
      </c>
      <c r="R604">
        <v>849.64</v>
      </c>
      <c r="S604">
        <f t="shared" si="121"/>
        <v>0</v>
      </c>
      <c r="U604">
        <f t="shared" si="122"/>
        <v>0</v>
      </c>
      <c r="V604">
        <f t="shared" si="123"/>
        <v>849.64</v>
      </c>
      <c r="W604">
        <f t="shared" si="124"/>
        <v>0</v>
      </c>
      <c r="X604">
        <v>0</v>
      </c>
    </row>
    <row r="605" spans="1:24" x14ac:dyDescent="0.3">
      <c r="A605" t="s">
        <v>552</v>
      </c>
      <c r="B605" t="s">
        <v>577</v>
      </c>
      <c r="C605">
        <v>29690000</v>
      </c>
      <c r="D605" t="s">
        <v>142</v>
      </c>
      <c r="E605" t="s">
        <v>15</v>
      </c>
      <c r="F605" t="s">
        <v>1</v>
      </c>
      <c r="G605" t="s">
        <v>384</v>
      </c>
      <c r="H605" t="s">
        <v>186</v>
      </c>
      <c r="I605" t="s">
        <v>1</v>
      </c>
      <c r="J605">
        <v>-5.5399999999999601</v>
      </c>
      <c r="K605">
        <v>-1790.0000000004</v>
      </c>
      <c r="L605">
        <v>-162.72</v>
      </c>
      <c r="M605">
        <v>-328.13701657458563</v>
      </c>
      <c r="N605">
        <v>667.52</v>
      </c>
      <c r="O605">
        <v>-327.22813186809998</v>
      </c>
      <c r="P605">
        <v>0</v>
      </c>
      <c r="Q605">
        <f t="shared" si="120"/>
        <v>-327.22813186809998</v>
      </c>
      <c r="R605">
        <v>-327.22813186809998</v>
      </c>
      <c r="S605">
        <f t="shared" si="121"/>
        <v>0</v>
      </c>
      <c r="U605">
        <f t="shared" si="122"/>
        <v>0</v>
      </c>
      <c r="V605">
        <f t="shared" si="123"/>
        <v>-327.22813186809998</v>
      </c>
      <c r="W605">
        <f t="shared" si="124"/>
        <v>0</v>
      </c>
      <c r="X605">
        <v>0</v>
      </c>
    </row>
    <row r="606" spans="1:24" x14ac:dyDescent="0.3">
      <c r="A606" t="s">
        <v>552</v>
      </c>
      <c r="B606" t="s">
        <v>577</v>
      </c>
      <c r="C606">
        <v>29690000</v>
      </c>
      <c r="D606" t="s">
        <v>142</v>
      </c>
      <c r="E606" t="s">
        <v>16</v>
      </c>
      <c r="F606" t="s">
        <v>1</v>
      </c>
      <c r="G606" t="s">
        <v>384</v>
      </c>
      <c r="H606" t="s">
        <v>187</v>
      </c>
      <c r="I606" t="s">
        <v>1</v>
      </c>
      <c r="J606">
        <v>101939.4</v>
      </c>
      <c r="K606">
        <v>151967.95728395099</v>
      </c>
      <c r="L606">
        <v>-376</v>
      </c>
      <c r="M606">
        <v>-758.23204419889498</v>
      </c>
      <c r="N606">
        <v>13374</v>
      </c>
      <c r="O606">
        <v>-756.13186813189998</v>
      </c>
      <c r="P606">
        <v>0</v>
      </c>
      <c r="Q606">
        <f t="shared" si="120"/>
        <v>-756.13186813189998</v>
      </c>
      <c r="R606">
        <v>0</v>
      </c>
      <c r="S606">
        <f t="shared" si="121"/>
        <v>756.13186813189998</v>
      </c>
      <c r="T606">
        <v>0.02</v>
      </c>
      <c r="U606">
        <f t="shared" si="122"/>
        <v>0</v>
      </c>
      <c r="V606">
        <f t="shared" si="123"/>
        <v>0</v>
      </c>
      <c r="W606">
        <f t="shared" si="124"/>
        <v>756.13186813189998</v>
      </c>
      <c r="X606">
        <v>0</v>
      </c>
    </row>
    <row r="607" spans="1:24" x14ac:dyDescent="0.3">
      <c r="A607" t="s">
        <v>552</v>
      </c>
      <c r="B607" t="s">
        <v>577</v>
      </c>
      <c r="C607">
        <v>29690000</v>
      </c>
      <c r="D607" t="s">
        <v>142</v>
      </c>
      <c r="E607" t="s">
        <v>53</v>
      </c>
      <c r="F607" t="s">
        <v>1</v>
      </c>
      <c r="G607" t="s">
        <v>384</v>
      </c>
      <c r="H607" t="s">
        <v>229</v>
      </c>
      <c r="I607" t="s">
        <v>1</v>
      </c>
      <c r="J607">
        <v>1822.7</v>
      </c>
      <c r="L607">
        <v>2386.0700000000002</v>
      </c>
      <c r="M607">
        <v>4811.6881215469612</v>
      </c>
      <c r="N607">
        <v>4208.7699999999995</v>
      </c>
      <c r="O607">
        <v>4798.3605494506</v>
      </c>
      <c r="P607">
        <v>0</v>
      </c>
      <c r="Q607">
        <f t="shared" si="120"/>
        <v>4798.3605494506</v>
      </c>
      <c r="R607">
        <v>0</v>
      </c>
      <c r="S607">
        <f t="shared" si="121"/>
        <v>-4798.3605494506</v>
      </c>
      <c r="T607">
        <v>0.04</v>
      </c>
      <c r="U607">
        <f t="shared" si="122"/>
        <v>0</v>
      </c>
      <c r="V607">
        <f t="shared" si="123"/>
        <v>0</v>
      </c>
      <c r="W607">
        <f t="shared" si="124"/>
        <v>-4798.3605494506</v>
      </c>
      <c r="X607" t="s">
        <v>525</v>
      </c>
    </row>
    <row r="608" spans="1:24" x14ac:dyDescent="0.3">
      <c r="A608" t="s">
        <v>552</v>
      </c>
      <c r="B608" t="s">
        <v>577</v>
      </c>
      <c r="C608">
        <v>29690000</v>
      </c>
      <c r="D608" t="s">
        <v>142</v>
      </c>
      <c r="E608" t="s">
        <v>17</v>
      </c>
      <c r="F608" t="s">
        <v>1</v>
      </c>
      <c r="G608" t="s">
        <v>384</v>
      </c>
      <c r="H608" t="s">
        <v>188</v>
      </c>
      <c r="I608" t="s">
        <v>1</v>
      </c>
      <c r="J608">
        <v>213299.58</v>
      </c>
      <c r="K608">
        <v>186321.14</v>
      </c>
      <c r="L608">
        <v>139351.06</v>
      </c>
      <c r="M608">
        <v>281011.80607734807</v>
      </c>
      <c r="N608">
        <v>244939.2</v>
      </c>
      <c r="O608">
        <v>281011.80607734801</v>
      </c>
      <c r="P608">
        <v>0</v>
      </c>
      <c r="Q608">
        <f t="shared" si="120"/>
        <v>281011.80607734801</v>
      </c>
      <c r="R608">
        <v>197000</v>
      </c>
      <c r="S608">
        <f t="shared" si="121"/>
        <v>-84011.80607734801</v>
      </c>
      <c r="T608">
        <v>0.03</v>
      </c>
      <c r="U608">
        <f t="shared" si="122"/>
        <v>5910</v>
      </c>
      <c r="V608">
        <f t="shared" si="123"/>
        <v>202910</v>
      </c>
      <c r="W608">
        <f t="shared" si="124"/>
        <v>-78101.80607734801</v>
      </c>
      <c r="X608">
        <v>0</v>
      </c>
    </row>
    <row r="609" spans="1:24" x14ac:dyDescent="0.3">
      <c r="A609" t="s">
        <v>552</v>
      </c>
      <c r="B609" t="s">
        <v>577</v>
      </c>
      <c r="C609">
        <v>29690000</v>
      </c>
      <c r="D609" t="s">
        <v>142</v>
      </c>
      <c r="E609" t="s">
        <v>18</v>
      </c>
      <c r="F609" t="s">
        <v>1</v>
      </c>
      <c r="G609" t="s">
        <v>384</v>
      </c>
      <c r="H609" t="s">
        <v>189</v>
      </c>
      <c r="I609" t="s">
        <v>1</v>
      </c>
      <c r="J609">
        <v>2632</v>
      </c>
      <c r="K609">
        <v>4826.2049999999999</v>
      </c>
      <c r="L609">
        <v>95.2</v>
      </c>
      <c r="M609">
        <v>191.9779005524862</v>
      </c>
      <c r="N609">
        <v>414.77</v>
      </c>
      <c r="O609">
        <v>191.97790055249999</v>
      </c>
      <c r="P609">
        <v>0</v>
      </c>
      <c r="Q609">
        <f t="shared" si="120"/>
        <v>191.97790055249999</v>
      </c>
      <c r="R609">
        <v>200</v>
      </c>
      <c r="S609">
        <f t="shared" si="121"/>
        <v>8.0220994475000111</v>
      </c>
      <c r="T609">
        <v>3.5000000000000003E-2</v>
      </c>
      <c r="U609">
        <f t="shared" si="122"/>
        <v>7.0000000000000009</v>
      </c>
      <c r="V609">
        <f t="shared" si="123"/>
        <v>207</v>
      </c>
      <c r="W609">
        <f t="shared" si="124"/>
        <v>15.022099447500011</v>
      </c>
      <c r="X609">
        <v>0</v>
      </c>
    </row>
    <row r="610" spans="1:24" x14ac:dyDescent="0.3">
      <c r="A610" t="s">
        <v>552</v>
      </c>
      <c r="B610" t="s">
        <v>577</v>
      </c>
      <c r="C610">
        <v>29690000</v>
      </c>
      <c r="D610" t="s">
        <v>142</v>
      </c>
      <c r="E610" t="s">
        <v>19</v>
      </c>
      <c r="F610" t="s">
        <v>1</v>
      </c>
      <c r="G610" t="s">
        <v>384</v>
      </c>
      <c r="H610" t="s">
        <v>190</v>
      </c>
      <c r="I610" t="s">
        <v>1</v>
      </c>
      <c r="J610">
        <v>11497.77</v>
      </c>
      <c r="K610">
        <v>8206.5149999998994</v>
      </c>
      <c r="L610">
        <v>6872.21</v>
      </c>
      <c r="M610">
        <v>13858.324033149171</v>
      </c>
      <c r="N610">
        <v>13192.089999999998</v>
      </c>
      <c r="O610">
        <v>13858.3240331492</v>
      </c>
      <c r="P610">
        <v>0</v>
      </c>
      <c r="Q610">
        <f t="shared" si="120"/>
        <v>13858.3240331492</v>
      </c>
      <c r="R610">
        <v>13858.3240331492</v>
      </c>
      <c r="S610">
        <f t="shared" si="121"/>
        <v>0</v>
      </c>
      <c r="T610">
        <v>3.5000000000000003E-2</v>
      </c>
      <c r="U610">
        <f t="shared" si="122"/>
        <v>485.04134116022203</v>
      </c>
      <c r="V610">
        <f t="shared" si="123"/>
        <v>14343.365374309422</v>
      </c>
      <c r="W610">
        <f t="shared" si="124"/>
        <v>485.04134116022215</v>
      </c>
      <c r="X610" t="s">
        <v>526</v>
      </c>
    </row>
    <row r="611" spans="1:24" x14ac:dyDescent="0.3">
      <c r="A611" t="s">
        <v>552</v>
      </c>
      <c r="B611" t="s">
        <v>577</v>
      </c>
      <c r="C611">
        <v>29690000</v>
      </c>
      <c r="D611" t="s">
        <v>142</v>
      </c>
      <c r="E611" t="s">
        <v>143</v>
      </c>
      <c r="F611" t="s">
        <v>1</v>
      </c>
      <c r="G611" t="s">
        <v>384</v>
      </c>
      <c r="H611" t="s">
        <v>385</v>
      </c>
      <c r="I611" t="s">
        <v>1</v>
      </c>
      <c r="J611">
        <v>-835.78</v>
      </c>
      <c r="L611">
        <v>0</v>
      </c>
      <c r="M611">
        <v>0</v>
      </c>
      <c r="N611">
        <v>-835.78</v>
      </c>
      <c r="P611">
        <v>0</v>
      </c>
      <c r="Q611">
        <f t="shared" si="120"/>
        <v>0</v>
      </c>
      <c r="R611">
        <v>0</v>
      </c>
      <c r="S611">
        <f t="shared" si="121"/>
        <v>0</v>
      </c>
      <c r="U611">
        <f t="shared" si="122"/>
        <v>0</v>
      </c>
      <c r="V611">
        <f t="shared" si="123"/>
        <v>0</v>
      </c>
      <c r="W611">
        <f t="shared" si="124"/>
        <v>0</v>
      </c>
      <c r="X611">
        <v>0</v>
      </c>
    </row>
    <row r="612" spans="1:24" x14ac:dyDescent="0.3">
      <c r="A612" t="s">
        <v>552</v>
      </c>
      <c r="B612" t="s">
        <v>577</v>
      </c>
      <c r="C612">
        <v>29690000</v>
      </c>
      <c r="D612" t="s">
        <v>142</v>
      </c>
      <c r="E612" t="s">
        <v>23</v>
      </c>
      <c r="F612" t="s">
        <v>1</v>
      </c>
      <c r="G612" t="s">
        <v>384</v>
      </c>
      <c r="H612" t="s">
        <v>194</v>
      </c>
      <c r="I612" t="s">
        <v>1</v>
      </c>
      <c r="J612">
        <v>959.66</v>
      </c>
      <c r="K612">
        <v>600</v>
      </c>
      <c r="L612">
        <v>0</v>
      </c>
      <c r="M612">
        <v>0</v>
      </c>
      <c r="N612">
        <v>603.56000000000006</v>
      </c>
      <c r="P612">
        <v>0</v>
      </c>
      <c r="Q612">
        <f t="shared" si="120"/>
        <v>0</v>
      </c>
      <c r="R612">
        <v>0</v>
      </c>
      <c r="S612">
        <f t="shared" si="121"/>
        <v>0</v>
      </c>
      <c r="U612">
        <f t="shared" si="122"/>
        <v>0</v>
      </c>
      <c r="V612">
        <f t="shared" si="123"/>
        <v>0</v>
      </c>
      <c r="W612">
        <f t="shared" si="124"/>
        <v>0</v>
      </c>
      <c r="X612">
        <v>0</v>
      </c>
    </row>
    <row r="613" spans="1:24" x14ac:dyDescent="0.3">
      <c r="A613" t="s">
        <v>552</v>
      </c>
      <c r="B613" t="s">
        <v>577</v>
      </c>
      <c r="C613">
        <v>29690000</v>
      </c>
      <c r="D613" t="s">
        <v>142</v>
      </c>
      <c r="E613" t="s">
        <v>27</v>
      </c>
      <c r="F613" t="s">
        <v>1</v>
      </c>
      <c r="G613" t="s">
        <v>384</v>
      </c>
      <c r="H613" t="s">
        <v>198</v>
      </c>
      <c r="I613" t="s">
        <v>1</v>
      </c>
      <c r="J613">
        <v>1844</v>
      </c>
      <c r="L613">
        <v>0</v>
      </c>
      <c r="M613">
        <v>0</v>
      </c>
      <c r="N613">
        <v>176</v>
      </c>
      <c r="P613">
        <v>0</v>
      </c>
      <c r="Q613">
        <f t="shared" si="120"/>
        <v>0</v>
      </c>
      <c r="R613">
        <v>0</v>
      </c>
      <c r="S613">
        <f t="shared" si="121"/>
        <v>0</v>
      </c>
      <c r="U613">
        <f t="shared" si="122"/>
        <v>0</v>
      </c>
      <c r="V613">
        <f t="shared" si="123"/>
        <v>0</v>
      </c>
      <c r="W613">
        <f t="shared" si="124"/>
        <v>0</v>
      </c>
      <c r="X613">
        <v>0</v>
      </c>
    </row>
    <row r="614" spans="1:24" x14ac:dyDescent="0.3">
      <c r="A614" t="s">
        <v>552</v>
      </c>
      <c r="B614" t="s">
        <v>577</v>
      </c>
      <c r="C614">
        <v>29690000</v>
      </c>
      <c r="D614" t="s">
        <v>142</v>
      </c>
      <c r="E614" t="s">
        <v>31</v>
      </c>
      <c r="F614" t="s">
        <v>1</v>
      </c>
      <c r="G614" t="s">
        <v>384</v>
      </c>
      <c r="H614" t="s">
        <v>202</v>
      </c>
      <c r="I614" t="s">
        <v>1</v>
      </c>
      <c r="J614">
        <v>140.6</v>
      </c>
      <c r="L614">
        <v>0</v>
      </c>
      <c r="M614">
        <v>0</v>
      </c>
      <c r="N614">
        <v>0</v>
      </c>
      <c r="P614">
        <v>0</v>
      </c>
      <c r="Q614">
        <f t="shared" si="120"/>
        <v>0</v>
      </c>
      <c r="R614">
        <v>0</v>
      </c>
      <c r="S614">
        <f t="shared" si="121"/>
        <v>0</v>
      </c>
      <c r="U614">
        <f t="shared" si="122"/>
        <v>0</v>
      </c>
      <c r="V614">
        <f t="shared" si="123"/>
        <v>0</v>
      </c>
      <c r="W614">
        <f t="shared" si="124"/>
        <v>0</v>
      </c>
      <c r="X614">
        <v>0</v>
      </c>
    </row>
    <row r="615" spans="1:24" x14ac:dyDescent="0.3">
      <c r="A615" t="s">
        <v>552</v>
      </c>
      <c r="B615" t="s">
        <v>577</v>
      </c>
      <c r="C615">
        <v>29690000</v>
      </c>
      <c r="D615" t="s">
        <v>142</v>
      </c>
      <c r="E615" t="s">
        <v>36</v>
      </c>
      <c r="F615" t="s">
        <v>1</v>
      </c>
      <c r="G615" t="s">
        <v>384</v>
      </c>
      <c r="H615" t="s">
        <v>207</v>
      </c>
      <c r="I615" t="s">
        <v>1</v>
      </c>
      <c r="J615">
        <v>712.26</v>
      </c>
      <c r="K615">
        <v>782.00000000039995</v>
      </c>
      <c r="L615">
        <v>366.89</v>
      </c>
      <c r="M615">
        <v>739.86104972375688</v>
      </c>
      <c r="N615">
        <v>691.59</v>
      </c>
      <c r="O615">
        <v>733.78</v>
      </c>
      <c r="P615">
        <v>0</v>
      </c>
      <c r="Q615">
        <f t="shared" si="120"/>
        <v>733.78</v>
      </c>
      <c r="R615">
        <v>733.78</v>
      </c>
      <c r="S615">
        <f t="shared" si="121"/>
        <v>0</v>
      </c>
      <c r="T615">
        <v>0.03</v>
      </c>
      <c r="U615">
        <f t="shared" si="122"/>
        <v>22.013399999999997</v>
      </c>
      <c r="V615">
        <f t="shared" si="123"/>
        <v>755.79340000000002</v>
      </c>
      <c r="W615">
        <f t="shared" si="124"/>
        <v>22.013400000000047</v>
      </c>
      <c r="X615">
        <v>0</v>
      </c>
    </row>
    <row r="616" spans="1:24" x14ac:dyDescent="0.3">
      <c r="A616" t="s">
        <v>552</v>
      </c>
      <c r="B616" t="s">
        <v>577</v>
      </c>
      <c r="C616">
        <v>29690000</v>
      </c>
      <c r="D616" t="s">
        <v>142</v>
      </c>
      <c r="E616" t="s">
        <v>39</v>
      </c>
      <c r="F616" t="s">
        <v>1</v>
      </c>
      <c r="G616" t="s">
        <v>384</v>
      </c>
      <c r="H616" t="s">
        <v>210</v>
      </c>
      <c r="I616" t="s">
        <v>1</v>
      </c>
      <c r="J616">
        <v>7206.27</v>
      </c>
      <c r="K616">
        <v>3500.0000000004002</v>
      </c>
      <c r="L616">
        <v>1014.44</v>
      </c>
      <c r="M616">
        <v>2045.6939226519337</v>
      </c>
      <c r="N616">
        <v>2947.43</v>
      </c>
      <c r="O616">
        <v>2028.88</v>
      </c>
      <c r="P616">
        <v>0</v>
      </c>
      <c r="Q616">
        <f t="shared" si="120"/>
        <v>2028.88</v>
      </c>
      <c r="R616">
        <v>2028.88</v>
      </c>
      <c r="S616">
        <f t="shared" si="121"/>
        <v>0</v>
      </c>
      <c r="T616">
        <v>0.03</v>
      </c>
      <c r="U616">
        <f t="shared" si="122"/>
        <v>60.866399999999999</v>
      </c>
      <c r="V616">
        <f t="shared" si="123"/>
        <v>2089.7464</v>
      </c>
      <c r="W616">
        <f t="shared" si="124"/>
        <v>60.866399999999885</v>
      </c>
      <c r="X616" t="s">
        <v>526</v>
      </c>
    </row>
    <row r="617" spans="1:24" x14ac:dyDescent="0.3">
      <c r="A617" t="s">
        <v>552</v>
      </c>
      <c r="B617" t="s">
        <v>577</v>
      </c>
      <c r="C617">
        <v>29690000</v>
      </c>
      <c r="D617" t="s">
        <v>142</v>
      </c>
      <c r="E617" t="s">
        <v>40</v>
      </c>
      <c r="F617" t="s">
        <v>1</v>
      </c>
      <c r="G617" t="s">
        <v>384</v>
      </c>
      <c r="H617" t="s">
        <v>211</v>
      </c>
      <c r="I617" t="s">
        <v>1</v>
      </c>
      <c r="J617">
        <v>0</v>
      </c>
      <c r="L617">
        <v>0</v>
      </c>
      <c r="M617">
        <v>0</v>
      </c>
      <c r="N617">
        <v>0</v>
      </c>
      <c r="P617">
        <v>0</v>
      </c>
      <c r="Q617">
        <f t="shared" si="120"/>
        <v>0</v>
      </c>
      <c r="R617">
        <v>0</v>
      </c>
      <c r="S617">
        <f t="shared" si="121"/>
        <v>0</v>
      </c>
      <c r="T617">
        <v>0.03</v>
      </c>
      <c r="U617">
        <f t="shared" si="122"/>
        <v>0</v>
      </c>
      <c r="V617">
        <f t="shared" si="123"/>
        <v>0</v>
      </c>
      <c r="W617">
        <f t="shared" si="124"/>
        <v>0</v>
      </c>
      <c r="X617">
        <v>0</v>
      </c>
    </row>
    <row r="618" spans="1:24" x14ac:dyDescent="0.3">
      <c r="A618" t="s">
        <v>552</v>
      </c>
      <c r="B618" t="s">
        <v>577</v>
      </c>
      <c r="C618">
        <v>29690000</v>
      </c>
      <c r="D618" t="s">
        <v>142</v>
      </c>
      <c r="E618" t="s">
        <v>41</v>
      </c>
      <c r="F618" t="s">
        <v>1</v>
      </c>
      <c r="G618" t="s">
        <v>384</v>
      </c>
      <c r="H618" t="s">
        <v>212</v>
      </c>
      <c r="I618" t="s">
        <v>1</v>
      </c>
      <c r="J618">
        <v>10515</v>
      </c>
      <c r="K618">
        <v>1269.9999999996</v>
      </c>
      <c r="L618">
        <v>15610.84</v>
      </c>
      <c r="M618">
        <v>31480.423204419891</v>
      </c>
      <c r="N618">
        <v>25490.839999999997</v>
      </c>
      <c r="O618">
        <v>31221.68</v>
      </c>
      <c r="P618">
        <v>0</v>
      </c>
      <c r="Q618">
        <f t="shared" si="120"/>
        <v>31221.68</v>
      </c>
      <c r="R618">
        <v>15000</v>
      </c>
      <c r="S618">
        <f t="shared" si="121"/>
        <v>-16221.68</v>
      </c>
      <c r="T618">
        <v>0.03</v>
      </c>
      <c r="U618">
        <f t="shared" si="122"/>
        <v>450</v>
      </c>
      <c r="V618">
        <f t="shared" si="123"/>
        <v>15450</v>
      </c>
      <c r="W618">
        <f t="shared" si="124"/>
        <v>-15771.68</v>
      </c>
      <c r="X618" t="s">
        <v>527</v>
      </c>
    </row>
    <row r="619" spans="1:24" x14ac:dyDescent="0.3">
      <c r="A619" t="s">
        <v>552</v>
      </c>
      <c r="B619" t="s">
        <v>577</v>
      </c>
      <c r="C619">
        <v>29690000</v>
      </c>
      <c r="D619" t="s">
        <v>142</v>
      </c>
      <c r="E619" t="s">
        <v>128</v>
      </c>
      <c r="F619" t="s">
        <v>1</v>
      </c>
      <c r="G619" t="s">
        <v>384</v>
      </c>
      <c r="H619" t="s">
        <v>348</v>
      </c>
      <c r="I619" t="s">
        <v>1</v>
      </c>
      <c r="J619">
        <v>13067.89</v>
      </c>
      <c r="K619">
        <v>14903.0000000004</v>
      </c>
      <c r="L619">
        <v>9909.74</v>
      </c>
      <c r="M619">
        <v>19983.729834254143</v>
      </c>
      <c r="N619">
        <v>16242.590000000002</v>
      </c>
      <c r="O619">
        <v>19819.48</v>
      </c>
      <c r="P619">
        <v>0</v>
      </c>
      <c r="Q619">
        <f t="shared" si="120"/>
        <v>19819.48</v>
      </c>
      <c r="R619">
        <v>15000</v>
      </c>
      <c r="S619">
        <f t="shared" si="121"/>
        <v>-4819.4799999999996</v>
      </c>
      <c r="T619">
        <v>0.03</v>
      </c>
      <c r="U619">
        <f t="shared" si="122"/>
        <v>450</v>
      </c>
      <c r="V619">
        <f t="shared" si="123"/>
        <v>15450</v>
      </c>
      <c r="W619">
        <f t="shared" si="124"/>
        <v>-4369.4799999999996</v>
      </c>
      <c r="X619" t="s">
        <v>528</v>
      </c>
    </row>
    <row r="620" spans="1:24" x14ac:dyDescent="0.3">
      <c r="A620" t="s">
        <v>552</v>
      </c>
      <c r="B620" t="s">
        <v>577</v>
      </c>
      <c r="C620">
        <v>29690000</v>
      </c>
      <c r="D620" t="s">
        <v>142</v>
      </c>
      <c r="E620" t="s">
        <v>126</v>
      </c>
      <c r="F620" t="s">
        <v>1</v>
      </c>
      <c r="G620" t="s">
        <v>384</v>
      </c>
      <c r="H620" t="s">
        <v>344</v>
      </c>
      <c r="I620" t="s">
        <v>1</v>
      </c>
      <c r="J620">
        <v>211234.7</v>
      </c>
      <c r="K620">
        <v>207612</v>
      </c>
      <c r="L620">
        <v>54761.58</v>
      </c>
      <c r="M620">
        <v>110430.81049723757</v>
      </c>
      <c r="N620">
        <v>159165.40000000002</v>
      </c>
      <c r="O620">
        <v>110430.810497238</v>
      </c>
      <c r="P620">
        <v>0</v>
      </c>
      <c r="Q620">
        <f t="shared" si="120"/>
        <v>110430.810497238</v>
      </c>
      <c r="R620">
        <v>155000</v>
      </c>
      <c r="S620">
        <f t="shared" si="121"/>
        <v>44569.189502762005</v>
      </c>
      <c r="U620">
        <f t="shared" si="122"/>
        <v>0</v>
      </c>
      <c r="V620">
        <f t="shared" si="123"/>
        <v>155000</v>
      </c>
      <c r="W620">
        <f t="shared" si="124"/>
        <v>44569.189502762005</v>
      </c>
      <c r="X620" t="s">
        <v>529</v>
      </c>
    </row>
    <row r="621" spans="1:24" x14ac:dyDescent="0.3">
      <c r="A621" t="s">
        <v>552</v>
      </c>
      <c r="B621" t="s">
        <v>577</v>
      </c>
      <c r="C621">
        <v>29690000</v>
      </c>
      <c r="D621" t="s">
        <v>142</v>
      </c>
      <c r="E621" t="s">
        <v>44</v>
      </c>
      <c r="F621" t="s">
        <v>1</v>
      </c>
      <c r="G621" t="s">
        <v>384</v>
      </c>
      <c r="H621" t="s">
        <v>215</v>
      </c>
      <c r="I621" t="s">
        <v>1</v>
      </c>
      <c r="J621">
        <v>1102.93</v>
      </c>
      <c r="K621">
        <v>1200.0000000001</v>
      </c>
      <c r="L621">
        <v>677.86</v>
      </c>
      <c r="M621">
        <v>1366.9552486187845</v>
      </c>
      <c r="N621">
        <v>1289.2999999999997</v>
      </c>
      <c r="O621">
        <v>1366.9552486187999</v>
      </c>
      <c r="P621">
        <v>0</v>
      </c>
      <c r="Q621">
        <f t="shared" si="120"/>
        <v>1366.9552486187999</v>
      </c>
      <c r="R621">
        <v>1366.9552486187999</v>
      </c>
      <c r="S621">
        <f t="shared" si="121"/>
        <v>0</v>
      </c>
      <c r="U621">
        <f t="shared" si="122"/>
        <v>0</v>
      </c>
      <c r="V621">
        <f t="shared" si="123"/>
        <v>1366.9552486187999</v>
      </c>
      <c r="W621">
        <f t="shared" si="124"/>
        <v>0</v>
      </c>
      <c r="X621">
        <v>0</v>
      </c>
    </row>
    <row r="622" spans="1:24" x14ac:dyDescent="0.3">
      <c r="A622" t="s">
        <v>552</v>
      </c>
      <c r="B622" t="s">
        <v>577</v>
      </c>
      <c r="C622">
        <v>29690000</v>
      </c>
      <c r="D622" t="s">
        <v>142</v>
      </c>
      <c r="E622" t="s">
        <v>45</v>
      </c>
      <c r="F622" t="s">
        <v>45</v>
      </c>
      <c r="G622" t="s">
        <v>386</v>
      </c>
      <c r="J622">
        <v>583668.17000000004</v>
      </c>
      <c r="K622">
        <v>580280.64728395105</v>
      </c>
      <c r="L622">
        <v>234514.40999999997</v>
      </c>
      <c r="M622">
        <v>472915.79917127074</v>
      </c>
      <c r="N622">
        <v>492536.00000000012</v>
      </c>
      <c r="O622">
        <v>472393.17430635716</v>
      </c>
      <c r="P622">
        <f>SUMIF($F$602:$F$621,"&lt;&gt;EV_*",$P$602:$P$621)</f>
        <v>0</v>
      </c>
      <c r="Q622">
        <f>SUMIF($F$602:$F$621,"&lt;&gt;EV_*",$Q$602:$Q$621)</f>
        <v>472393.17430635716</v>
      </c>
      <c r="R622">
        <f>SUMIF($F$602:$F$621,"&lt;&gt;EV_*",$R$602:$R$621)</f>
        <v>407875.19114989991</v>
      </c>
      <c r="S622">
        <f>SUMIF($F$602:$F$621,"&lt;&gt;EV_*",$S$602:$S$621)</f>
        <v>-64517.983156457194</v>
      </c>
      <c r="T622">
        <v>0</v>
      </c>
      <c r="U622">
        <f>SUMIF($F$602:$F$621,"&lt;&gt;EV_*",$U$602:$U$621)</f>
        <v>7384.9211411602219</v>
      </c>
      <c r="V622">
        <f>SUMIF($F$602:$F$621,"&lt;&gt;EV_*",$V$602:$V$621)</f>
        <v>415260.1122910601</v>
      </c>
      <c r="W622">
        <f>SUMIF($F$602:$F$621,"&lt;&gt;EV_*",$W$602:$W$621)</f>
        <v>-57133.062015296979</v>
      </c>
      <c r="X622">
        <f>SUMIF($F$602:$F$621,"&lt;&gt;EV_*",$X$602:$X$621)</f>
        <v>0</v>
      </c>
    </row>
    <row r="623" spans="1:24" x14ac:dyDescent="0.3">
      <c r="A623" t="s">
        <v>552</v>
      </c>
      <c r="B623" t="s">
        <v>578</v>
      </c>
      <c r="C623">
        <v>29690020</v>
      </c>
      <c r="D623" t="s">
        <v>144</v>
      </c>
      <c r="E623" t="s">
        <v>5</v>
      </c>
      <c r="F623" t="s">
        <v>5</v>
      </c>
      <c r="G623" t="s">
        <v>387</v>
      </c>
    </row>
    <row r="624" spans="1:24" x14ac:dyDescent="0.3">
      <c r="A624" t="s">
        <v>552</v>
      </c>
      <c r="B624" t="s">
        <v>578</v>
      </c>
      <c r="C624">
        <v>29690020</v>
      </c>
      <c r="D624" t="s">
        <v>144</v>
      </c>
      <c r="E624" t="s">
        <v>12</v>
      </c>
      <c r="F624" t="s">
        <v>1</v>
      </c>
      <c r="G624" t="s">
        <v>388</v>
      </c>
      <c r="H624" t="s">
        <v>183</v>
      </c>
      <c r="I624" t="s">
        <v>1</v>
      </c>
      <c r="J624">
        <v>1478.91</v>
      </c>
      <c r="K624">
        <v>1360.6100000004001</v>
      </c>
      <c r="L624">
        <v>701.9</v>
      </c>
      <c r="M624">
        <v>1415.4337016574586</v>
      </c>
      <c r="N624">
        <v>1428.0399999999997</v>
      </c>
      <c r="O624">
        <v>1403.8</v>
      </c>
      <c r="P624">
        <v>0</v>
      </c>
      <c r="Q624">
        <f t="shared" ref="Q624:Q630" si="125">O624+P624</f>
        <v>1403.8</v>
      </c>
      <c r="R624">
        <v>1404</v>
      </c>
      <c r="S624">
        <f t="shared" ref="S624:S630" si="126">IF(OR(LEFT(E624,2)="A_",LEFT(D624,5)="Total"),R624-Q624,"")</f>
        <v>0.20000000000004547</v>
      </c>
      <c r="U624">
        <f t="shared" ref="U624:U630" si="127">IFERROR(R624*T624,R624*0)</f>
        <v>0</v>
      </c>
      <c r="V624">
        <f t="shared" ref="V624:V630" si="128">IF(OR(LEFT(E624,2)="A_",LEFT(D624,5)="Total"),R624+U624,"")</f>
        <v>1404</v>
      </c>
      <c r="W624">
        <f t="shared" ref="W624:W630" si="129">IF(OR(LEFT(E624,2)="A_",LEFT(D624,5)="Total"),V624-Q624,"")</f>
        <v>0.20000000000004547</v>
      </c>
      <c r="X624" t="s">
        <v>530</v>
      </c>
    </row>
    <row r="625" spans="1:24" x14ac:dyDescent="0.3">
      <c r="A625" t="s">
        <v>552</v>
      </c>
      <c r="B625" t="s">
        <v>578</v>
      </c>
      <c r="C625">
        <v>29690020</v>
      </c>
      <c r="D625" t="s">
        <v>144</v>
      </c>
      <c r="E625" t="s">
        <v>15</v>
      </c>
      <c r="F625" t="s">
        <v>1</v>
      </c>
      <c r="G625" t="s">
        <v>388</v>
      </c>
      <c r="H625" t="s">
        <v>186</v>
      </c>
      <c r="I625" t="s">
        <v>1</v>
      </c>
      <c r="J625">
        <v>-381.08</v>
      </c>
      <c r="L625">
        <v>0</v>
      </c>
      <c r="M625">
        <v>0</v>
      </c>
      <c r="N625">
        <v>0</v>
      </c>
      <c r="P625">
        <v>0</v>
      </c>
      <c r="Q625">
        <f t="shared" si="125"/>
        <v>0</v>
      </c>
      <c r="R625">
        <v>0</v>
      </c>
      <c r="S625">
        <f t="shared" si="126"/>
        <v>0</v>
      </c>
      <c r="U625">
        <f t="shared" si="127"/>
        <v>0</v>
      </c>
      <c r="V625">
        <f t="shared" si="128"/>
        <v>0</v>
      </c>
      <c r="W625">
        <f t="shared" si="129"/>
        <v>0</v>
      </c>
      <c r="X625">
        <v>0</v>
      </c>
    </row>
    <row r="626" spans="1:24" x14ac:dyDescent="0.3">
      <c r="A626" t="s">
        <v>552</v>
      </c>
      <c r="B626" t="s">
        <v>578</v>
      </c>
      <c r="C626">
        <v>29690020</v>
      </c>
      <c r="D626" t="s">
        <v>144</v>
      </c>
      <c r="E626" t="s">
        <v>16</v>
      </c>
      <c r="F626" t="s">
        <v>1</v>
      </c>
      <c r="G626" t="s">
        <v>388</v>
      </c>
      <c r="H626" t="s">
        <v>187</v>
      </c>
      <c r="I626" t="s">
        <v>1</v>
      </c>
      <c r="J626">
        <v>949</v>
      </c>
      <c r="K626">
        <v>1453.9617283952</v>
      </c>
      <c r="L626">
        <v>0</v>
      </c>
      <c r="M626">
        <v>0</v>
      </c>
      <c r="N626">
        <v>949</v>
      </c>
      <c r="P626">
        <v>0</v>
      </c>
      <c r="Q626">
        <f t="shared" si="125"/>
        <v>0</v>
      </c>
      <c r="R626">
        <v>1195</v>
      </c>
      <c r="S626">
        <f t="shared" si="126"/>
        <v>1195</v>
      </c>
      <c r="T626">
        <v>0.02</v>
      </c>
      <c r="U626">
        <f t="shared" si="127"/>
        <v>23.900000000000002</v>
      </c>
      <c r="V626">
        <f t="shared" si="128"/>
        <v>1218.9000000000001</v>
      </c>
      <c r="W626">
        <f t="shared" si="129"/>
        <v>1218.9000000000001</v>
      </c>
      <c r="X626" t="s">
        <v>531</v>
      </c>
    </row>
    <row r="627" spans="1:24" x14ac:dyDescent="0.3">
      <c r="A627" t="s">
        <v>552</v>
      </c>
      <c r="B627" t="s">
        <v>578</v>
      </c>
      <c r="C627">
        <v>29690020</v>
      </c>
      <c r="D627" t="s">
        <v>144</v>
      </c>
      <c r="E627" t="s">
        <v>86</v>
      </c>
      <c r="F627" t="s">
        <v>1</v>
      </c>
      <c r="G627" t="s">
        <v>388</v>
      </c>
      <c r="H627" t="s">
        <v>292</v>
      </c>
      <c r="I627" t="s">
        <v>1</v>
      </c>
      <c r="J627">
        <v>4603.0600000000004</v>
      </c>
      <c r="K627">
        <v>6197.3088641978002</v>
      </c>
      <c r="L627">
        <v>2719.82</v>
      </c>
      <c r="M627">
        <v>5484.7198895027632</v>
      </c>
      <c r="N627">
        <v>4123.2</v>
      </c>
      <c r="O627">
        <v>5469.5281318681</v>
      </c>
      <c r="P627">
        <v>0</v>
      </c>
      <c r="Q627">
        <f t="shared" si="125"/>
        <v>5469.5281318681</v>
      </c>
      <c r="R627">
        <v>16720</v>
      </c>
      <c r="S627">
        <f t="shared" si="126"/>
        <v>11250.471868131899</v>
      </c>
      <c r="T627">
        <v>0.02</v>
      </c>
      <c r="U627">
        <f t="shared" si="127"/>
        <v>334.40000000000003</v>
      </c>
      <c r="V627">
        <f t="shared" si="128"/>
        <v>17054.400000000001</v>
      </c>
      <c r="W627">
        <f t="shared" si="129"/>
        <v>11584.871868131901</v>
      </c>
      <c r="X627" t="s">
        <v>532</v>
      </c>
    </row>
    <row r="628" spans="1:24" x14ac:dyDescent="0.3">
      <c r="A628" t="s">
        <v>552</v>
      </c>
      <c r="B628" t="s">
        <v>578</v>
      </c>
      <c r="C628">
        <v>29690020</v>
      </c>
      <c r="D628" t="s">
        <v>144</v>
      </c>
      <c r="E628" t="s">
        <v>36</v>
      </c>
      <c r="F628" t="s">
        <v>1</v>
      </c>
      <c r="G628" t="s">
        <v>388</v>
      </c>
      <c r="H628" t="s">
        <v>207</v>
      </c>
      <c r="I628" t="s">
        <v>1</v>
      </c>
      <c r="J628">
        <v>1713.68</v>
      </c>
      <c r="K628">
        <v>929.00000000039995</v>
      </c>
      <c r="L628">
        <v>154.65</v>
      </c>
      <c r="M628">
        <v>311.86325966850831</v>
      </c>
      <c r="N628">
        <v>244.55</v>
      </c>
      <c r="O628">
        <v>309.3</v>
      </c>
      <c r="P628">
        <v>0</v>
      </c>
      <c r="Q628">
        <f t="shared" si="125"/>
        <v>309.3</v>
      </c>
      <c r="R628">
        <v>309</v>
      </c>
      <c r="S628">
        <f t="shared" si="126"/>
        <v>-0.30000000000001137</v>
      </c>
      <c r="T628">
        <v>0.03</v>
      </c>
      <c r="U628">
        <f t="shared" si="127"/>
        <v>9.27</v>
      </c>
      <c r="V628">
        <f t="shared" si="128"/>
        <v>318.27</v>
      </c>
      <c r="W628">
        <f t="shared" si="129"/>
        <v>8.9699999999999704</v>
      </c>
      <c r="X628">
        <v>0</v>
      </c>
    </row>
    <row r="629" spans="1:24" x14ac:dyDescent="0.3">
      <c r="A629" t="s">
        <v>552</v>
      </c>
      <c r="B629" t="s">
        <v>578</v>
      </c>
      <c r="C629">
        <v>29690020</v>
      </c>
      <c r="D629" t="s">
        <v>144</v>
      </c>
      <c r="E629" t="s">
        <v>37</v>
      </c>
      <c r="F629" t="s">
        <v>1</v>
      </c>
      <c r="G629" t="s">
        <v>388</v>
      </c>
      <c r="H629" t="s">
        <v>208</v>
      </c>
      <c r="I629" t="s">
        <v>1</v>
      </c>
      <c r="J629">
        <v>1257.05</v>
      </c>
      <c r="K629">
        <v>1257</v>
      </c>
      <c r="L629">
        <v>1294.76</v>
      </c>
      <c r="M629">
        <v>2610.9801104972375</v>
      </c>
      <c r="N629">
        <v>1294.76</v>
      </c>
      <c r="O629">
        <v>2589.52</v>
      </c>
      <c r="P629">
        <v>0</v>
      </c>
      <c r="Q629">
        <f t="shared" si="125"/>
        <v>2589.52</v>
      </c>
      <c r="R629">
        <v>1295</v>
      </c>
      <c r="S629">
        <f t="shared" si="126"/>
        <v>-1294.52</v>
      </c>
      <c r="T629">
        <v>0.03</v>
      </c>
      <c r="U629">
        <f t="shared" si="127"/>
        <v>38.85</v>
      </c>
      <c r="V629">
        <f t="shared" si="128"/>
        <v>1333.85</v>
      </c>
      <c r="W629">
        <f t="shared" si="129"/>
        <v>-1255.67</v>
      </c>
      <c r="X629" t="s">
        <v>533</v>
      </c>
    </row>
    <row r="630" spans="1:24" x14ac:dyDescent="0.3">
      <c r="A630" t="s">
        <v>552</v>
      </c>
      <c r="B630" t="s">
        <v>578</v>
      </c>
      <c r="C630">
        <v>29690020</v>
      </c>
      <c r="D630" t="s">
        <v>144</v>
      </c>
      <c r="E630" t="s">
        <v>101</v>
      </c>
      <c r="F630" t="s">
        <v>1</v>
      </c>
      <c r="G630" t="s">
        <v>388</v>
      </c>
      <c r="H630" t="s">
        <v>307</v>
      </c>
      <c r="I630" t="s">
        <v>1</v>
      </c>
      <c r="J630">
        <v>-663.71</v>
      </c>
      <c r="K630">
        <v>2021.0000000004</v>
      </c>
      <c r="L630">
        <v>0</v>
      </c>
      <c r="M630">
        <v>0</v>
      </c>
      <c r="N630">
        <v>0</v>
      </c>
      <c r="P630">
        <v>0</v>
      </c>
      <c r="Q630">
        <f t="shared" si="125"/>
        <v>0</v>
      </c>
      <c r="R630">
        <v>5000</v>
      </c>
      <c r="S630">
        <f t="shared" si="126"/>
        <v>5000</v>
      </c>
      <c r="T630">
        <v>0.03</v>
      </c>
      <c r="U630">
        <f t="shared" si="127"/>
        <v>150</v>
      </c>
      <c r="V630">
        <f t="shared" si="128"/>
        <v>5150</v>
      </c>
      <c r="W630">
        <f t="shared" si="129"/>
        <v>5150</v>
      </c>
      <c r="X630" t="s">
        <v>534</v>
      </c>
    </row>
    <row r="631" spans="1:24" x14ac:dyDescent="0.3">
      <c r="A631" t="s">
        <v>552</v>
      </c>
      <c r="B631" t="s">
        <v>578</v>
      </c>
      <c r="C631">
        <v>29690020</v>
      </c>
      <c r="D631" t="s">
        <v>144</v>
      </c>
      <c r="E631" t="s">
        <v>45</v>
      </c>
      <c r="F631" t="s">
        <v>45</v>
      </c>
      <c r="G631" t="s">
        <v>389</v>
      </c>
      <c r="J631">
        <v>8956.91</v>
      </c>
      <c r="K631">
        <v>13218.8805925942</v>
      </c>
      <c r="L631">
        <v>4871.13</v>
      </c>
      <c r="M631">
        <v>9822.9969613259673</v>
      </c>
      <c r="N631">
        <v>8039.55</v>
      </c>
      <c r="O631">
        <v>9772.1481318680999</v>
      </c>
      <c r="P631">
        <f>SUMIF($F$623:$F$630,"&lt;&gt;EV_*",$P$623:$P$630)</f>
        <v>0</v>
      </c>
      <c r="Q631">
        <f>SUMIF($F$623:$F$630,"&lt;&gt;EV_*",$Q$623:$Q$630)</f>
        <v>9772.1481318680999</v>
      </c>
      <c r="R631">
        <f>SUMIF($F$623:$F$630,"&lt;&gt;EV_*",$R$623:$R$630)</f>
        <v>25923</v>
      </c>
      <c r="S631">
        <f>SUMIF($F$623:$F$630,"&lt;&gt;EV_*",$S$623:$S$630)</f>
        <v>16150.8518681319</v>
      </c>
      <c r="T631">
        <v>0</v>
      </c>
      <c r="U631">
        <f>SUMIF($F$623:$F$630,"&lt;&gt;EV_*",$U$623:$U$630)</f>
        <v>556.42000000000007</v>
      </c>
      <c r="V631">
        <f>SUMIF($F$623:$F$630,"&lt;&gt;EV_*",$V$623:$V$630)</f>
        <v>26479.420000000002</v>
      </c>
      <c r="W631">
        <f>SUMIF($F$623:$F$630,"&lt;&gt;EV_*",$W$623:$W$630)</f>
        <v>16707.271868131902</v>
      </c>
      <c r="X631">
        <f>SUMIF($F$623:$F$630,"&lt;&gt;EV_*",$X$623:$X$630)</f>
        <v>0</v>
      </c>
    </row>
    <row r="632" spans="1:24" x14ac:dyDescent="0.3">
      <c r="A632" t="s">
        <v>552</v>
      </c>
      <c r="B632" t="s">
        <v>579</v>
      </c>
      <c r="C632">
        <v>29690030</v>
      </c>
      <c r="D632" t="s">
        <v>145</v>
      </c>
      <c r="E632" t="s">
        <v>5</v>
      </c>
      <c r="F632" t="s">
        <v>5</v>
      </c>
      <c r="G632" t="s">
        <v>390</v>
      </c>
    </row>
    <row r="633" spans="1:24" x14ac:dyDescent="0.3">
      <c r="A633" t="s">
        <v>552</v>
      </c>
      <c r="B633" t="s">
        <v>579</v>
      </c>
      <c r="C633">
        <v>29690030</v>
      </c>
      <c r="D633" t="s">
        <v>145</v>
      </c>
      <c r="E633" t="s">
        <v>19</v>
      </c>
      <c r="F633" t="s">
        <v>1</v>
      </c>
      <c r="G633" t="s">
        <v>391</v>
      </c>
      <c r="H633" t="s">
        <v>190</v>
      </c>
      <c r="I633" t="s">
        <v>1</v>
      </c>
      <c r="L633">
        <v>164.2</v>
      </c>
      <c r="M633">
        <v>331.12154696132592</v>
      </c>
      <c r="N633">
        <v>164.2</v>
      </c>
      <c r="O633">
        <v>331.1215469613</v>
      </c>
      <c r="P633">
        <v>0</v>
      </c>
      <c r="Q633">
        <f>O633+P633</f>
        <v>331.1215469613</v>
      </c>
      <c r="R633">
        <v>0</v>
      </c>
      <c r="S633">
        <f>IF(OR(LEFT(E633,2)="A_",LEFT(D633,5)="Total"),R633-Q633,"")</f>
        <v>-331.1215469613</v>
      </c>
      <c r="T633">
        <v>3.5000000000000003E-2</v>
      </c>
      <c r="U633">
        <f>IFERROR(R633*T633,R633*0)</f>
        <v>0</v>
      </c>
      <c r="V633">
        <f>IF(OR(LEFT(E633,2)="A_",LEFT(D633,5)="Total"),R633+U633,"")</f>
        <v>0</v>
      </c>
      <c r="W633">
        <f>IF(OR(LEFT(E633,2)="A_",LEFT(D633,5)="Total"),V633-Q633,"")</f>
        <v>-331.1215469613</v>
      </c>
      <c r="X633" t="s">
        <v>535</v>
      </c>
    </row>
    <row r="634" spans="1:24" x14ac:dyDescent="0.3">
      <c r="A634" t="s">
        <v>552</v>
      </c>
      <c r="B634" t="s">
        <v>579</v>
      </c>
      <c r="C634">
        <v>29690030</v>
      </c>
      <c r="D634" t="s">
        <v>145</v>
      </c>
      <c r="E634" t="s">
        <v>41</v>
      </c>
      <c r="F634" t="s">
        <v>1</v>
      </c>
      <c r="G634" t="s">
        <v>391</v>
      </c>
      <c r="H634" t="s">
        <v>212</v>
      </c>
      <c r="I634" t="s">
        <v>1</v>
      </c>
      <c r="L634">
        <v>2645.33</v>
      </c>
      <c r="M634">
        <v>5334.5052486187842</v>
      </c>
      <c r="N634">
        <v>2645.33</v>
      </c>
      <c r="O634">
        <v>5290.66</v>
      </c>
      <c r="P634">
        <v>0</v>
      </c>
      <c r="Q634">
        <f>O634+P634</f>
        <v>5290.66</v>
      </c>
      <c r="R634">
        <v>5291</v>
      </c>
      <c r="S634">
        <f>IF(OR(LEFT(E634,2)="A_",LEFT(D634,5)="Total"),R634-Q634,"")</f>
        <v>0.34000000000014552</v>
      </c>
      <c r="T634">
        <v>0.03</v>
      </c>
      <c r="U634">
        <f>IFERROR(R634*T634,R634*0)</f>
        <v>158.72999999999999</v>
      </c>
      <c r="V634">
        <f>IF(OR(LEFT(E634,2)="A_",LEFT(D634,5)="Total"),R634+U634,"")</f>
        <v>5449.73</v>
      </c>
      <c r="W634">
        <f>IF(OR(LEFT(E634,2)="A_",LEFT(D634,5)="Total"),V634-Q634,"")</f>
        <v>159.06999999999971</v>
      </c>
      <c r="X634" t="s">
        <v>536</v>
      </c>
    </row>
    <row r="635" spans="1:24" x14ac:dyDescent="0.3">
      <c r="A635" t="s">
        <v>552</v>
      </c>
      <c r="B635" t="s">
        <v>579</v>
      </c>
      <c r="C635">
        <v>29690030</v>
      </c>
      <c r="D635" t="s">
        <v>145</v>
      </c>
      <c r="E635" t="s">
        <v>146</v>
      </c>
      <c r="F635" t="s">
        <v>1</v>
      </c>
      <c r="G635" t="s">
        <v>391</v>
      </c>
      <c r="H635" t="s">
        <v>392</v>
      </c>
      <c r="I635" t="s">
        <v>1</v>
      </c>
      <c r="J635">
        <v>1347.26</v>
      </c>
      <c r="L635">
        <v>12494.1</v>
      </c>
      <c r="M635">
        <v>25195.28453038674</v>
      </c>
      <c r="N635">
        <v>13841.36</v>
      </c>
      <c r="O635">
        <v>25195.2845303867</v>
      </c>
      <c r="P635">
        <v>0</v>
      </c>
      <c r="Q635">
        <f>O635+P635</f>
        <v>25195.2845303867</v>
      </c>
      <c r="R635">
        <v>20000</v>
      </c>
      <c r="S635">
        <f>IF(OR(LEFT(E635,2)="A_",LEFT(D635,5)="Total"),R635-Q635,"")</f>
        <v>-5195.2845303866998</v>
      </c>
      <c r="U635">
        <f>IFERROR(R635*T635,R635*0)</f>
        <v>0</v>
      </c>
      <c r="V635">
        <f>IF(OR(LEFT(E635,2)="A_",LEFT(D635,5)="Total"),R635+U635,"")</f>
        <v>20000</v>
      </c>
      <c r="W635">
        <f>IF(OR(LEFT(E635,2)="A_",LEFT(D635,5)="Total"),V635-Q635,"")</f>
        <v>-5195.2845303866998</v>
      </c>
      <c r="X635" t="s">
        <v>537</v>
      </c>
    </row>
    <row r="636" spans="1:24" x14ac:dyDescent="0.3">
      <c r="A636" t="s">
        <v>552</v>
      </c>
      <c r="B636" t="s">
        <v>579</v>
      </c>
      <c r="C636">
        <v>29690030</v>
      </c>
      <c r="D636" t="s">
        <v>145</v>
      </c>
      <c r="E636" t="s">
        <v>45</v>
      </c>
      <c r="F636" t="s">
        <v>45</v>
      </c>
      <c r="G636" t="s">
        <v>393</v>
      </c>
      <c r="J636">
        <v>1347.26</v>
      </c>
      <c r="K636">
        <v>0</v>
      </c>
      <c r="L636">
        <v>15303.630000000001</v>
      </c>
      <c r="M636">
        <v>30860.911325966852</v>
      </c>
      <c r="N636">
        <v>16650.89</v>
      </c>
      <c r="O636">
        <v>30817.066077347998</v>
      </c>
      <c r="P636">
        <f>SUMIF($F$632:$F$635,"&lt;&gt;EV_*",$P$632:$P$635)</f>
        <v>0</v>
      </c>
      <c r="Q636">
        <f>SUMIF($F$632:$F$635,"&lt;&gt;EV_*",$Q$632:$Q$635)</f>
        <v>30817.066077347998</v>
      </c>
      <c r="R636">
        <f>SUMIF($F$632:$F$635,"&lt;&gt;EV_*",$R$632:$R$635)</f>
        <v>25291</v>
      </c>
      <c r="S636">
        <f>SUMIF($F$632:$F$635,"&lt;&gt;EV_*",$S$632:$S$635)</f>
        <v>-5526.0660773479995</v>
      </c>
      <c r="T636">
        <v>0</v>
      </c>
      <c r="U636">
        <f>SUMIF($F$632:$F$635,"&lt;&gt;EV_*",$U$632:$U$635)</f>
        <v>158.72999999999999</v>
      </c>
      <c r="V636">
        <f>SUMIF($F$632:$F$635,"&lt;&gt;EV_*",$V$632:$V$635)</f>
        <v>25449.73</v>
      </c>
      <c r="W636">
        <f>SUMIF($F$632:$F$635,"&lt;&gt;EV_*",$W$632:$W$635)</f>
        <v>-5367.3360773479999</v>
      </c>
      <c r="X636">
        <f>SUMIF($F$632:$F$635,"&lt;&gt;EV_*",$X$632:$X$635)</f>
        <v>0</v>
      </c>
    </row>
    <row r="637" spans="1:24" x14ac:dyDescent="0.3">
      <c r="A637" t="s">
        <v>554</v>
      </c>
      <c r="B637" t="s">
        <v>555</v>
      </c>
      <c r="C637">
        <v>29690040</v>
      </c>
      <c r="D637" t="s">
        <v>147</v>
      </c>
      <c r="E637" t="s">
        <v>5</v>
      </c>
      <c r="F637" t="s">
        <v>5</v>
      </c>
      <c r="G637" t="s">
        <v>394</v>
      </c>
    </row>
    <row r="638" spans="1:24" x14ac:dyDescent="0.3">
      <c r="A638" t="s">
        <v>554</v>
      </c>
      <c r="B638" t="s">
        <v>555</v>
      </c>
      <c r="C638">
        <v>29690040</v>
      </c>
      <c r="D638" t="s">
        <v>147</v>
      </c>
      <c r="E638" t="s">
        <v>19</v>
      </c>
      <c r="F638" t="s">
        <v>1</v>
      </c>
      <c r="G638" t="s">
        <v>395</v>
      </c>
      <c r="H638" t="s">
        <v>190</v>
      </c>
      <c r="I638" t="s">
        <v>1</v>
      </c>
      <c r="J638">
        <v>375.75</v>
      </c>
      <c r="L638">
        <v>0</v>
      </c>
      <c r="M638">
        <v>0</v>
      </c>
      <c r="N638">
        <v>375.75</v>
      </c>
      <c r="P638">
        <v>0</v>
      </c>
      <c r="Q638">
        <f>O638+P638</f>
        <v>0</v>
      </c>
      <c r="R638">
        <v>0</v>
      </c>
      <c r="S638">
        <f>IF(OR(LEFT(E638,2)="A_",LEFT(D638,5)="Total"),R638-Q638,"")</f>
        <v>0</v>
      </c>
      <c r="T638">
        <v>3.5000000000000003E-2</v>
      </c>
      <c r="U638">
        <f>IFERROR(R638*T638,R638*0)</f>
        <v>0</v>
      </c>
      <c r="V638">
        <f>IF(OR(LEFT(E638,2)="A_",LEFT(D638,5)="Total"),R638+U638,"")</f>
        <v>0</v>
      </c>
      <c r="W638">
        <f>IF(OR(LEFT(E638,2)="A_",LEFT(D638,5)="Total"),V638-Q638,"")</f>
        <v>0</v>
      </c>
      <c r="X638">
        <v>0</v>
      </c>
    </row>
    <row r="639" spans="1:24" x14ac:dyDescent="0.3">
      <c r="A639" t="s">
        <v>554</v>
      </c>
      <c r="B639" t="s">
        <v>555</v>
      </c>
      <c r="C639">
        <v>29690040</v>
      </c>
      <c r="D639" t="s">
        <v>147</v>
      </c>
      <c r="E639" t="s">
        <v>41</v>
      </c>
      <c r="F639" t="s">
        <v>1</v>
      </c>
      <c r="G639" t="s">
        <v>395</v>
      </c>
      <c r="H639" t="s">
        <v>212</v>
      </c>
      <c r="I639" t="s">
        <v>1</v>
      </c>
      <c r="J639">
        <v>3046.4</v>
      </c>
      <c r="L639">
        <v>0</v>
      </c>
      <c r="M639">
        <v>0</v>
      </c>
      <c r="N639">
        <v>3046.4</v>
      </c>
      <c r="P639">
        <v>0</v>
      </c>
      <c r="Q639">
        <f>O639+P639</f>
        <v>0</v>
      </c>
      <c r="R639">
        <v>0</v>
      </c>
      <c r="S639">
        <f>IF(OR(LEFT(E639,2)="A_",LEFT(D639,5)="Total"),R639-Q639,"")</f>
        <v>0</v>
      </c>
      <c r="T639">
        <v>0.03</v>
      </c>
      <c r="U639">
        <f>IFERROR(R639*T639,R639*0)</f>
        <v>0</v>
      </c>
      <c r="V639">
        <f>IF(OR(LEFT(E639,2)="A_",LEFT(D639,5)="Total"),R639+U639,"")</f>
        <v>0</v>
      </c>
      <c r="W639">
        <f>IF(OR(LEFT(E639,2)="A_",LEFT(D639,5)="Total"),V639-Q639,"")</f>
        <v>0</v>
      </c>
      <c r="X639">
        <v>0</v>
      </c>
    </row>
    <row r="640" spans="1:24" x14ac:dyDescent="0.3">
      <c r="A640" t="s">
        <v>554</v>
      </c>
      <c r="B640" t="s">
        <v>555</v>
      </c>
      <c r="C640">
        <v>29690040</v>
      </c>
      <c r="D640" t="s">
        <v>147</v>
      </c>
      <c r="E640" t="s">
        <v>45</v>
      </c>
      <c r="F640" t="s">
        <v>45</v>
      </c>
      <c r="G640" t="s">
        <v>396</v>
      </c>
      <c r="J640">
        <v>3422.15</v>
      </c>
      <c r="K640">
        <v>0</v>
      </c>
      <c r="L640">
        <v>0</v>
      </c>
      <c r="M640">
        <v>0</v>
      </c>
      <c r="N640">
        <v>3422.15</v>
      </c>
      <c r="O640">
        <v>0</v>
      </c>
      <c r="P640">
        <f>SUMIF($F$637:$F$639,"&lt;&gt;EV_*",$P$637:$P$639)</f>
        <v>0</v>
      </c>
      <c r="Q640">
        <f>SUMIF($F$637:$F$639,"&lt;&gt;EV_*",$Q$637:$Q$639)</f>
        <v>0</v>
      </c>
      <c r="R640">
        <f>SUMIF($F$637:$F$639,"&lt;&gt;EV_*",$R$637:$R$639)</f>
        <v>0</v>
      </c>
      <c r="S640">
        <f>SUMIF($F$637:$F$639,"&lt;&gt;EV_*",$S$637:$S$639)</f>
        <v>0</v>
      </c>
      <c r="T640">
        <v>0</v>
      </c>
      <c r="U640">
        <f>SUMIF($F$637:$F$639,"&lt;&gt;EV_*",$U$637:$U$639)</f>
        <v>0</v>
      </c>
      <c r="V640">
        <f>SUMIF($F$637:$F$639,"&lt;&gt;EV_*",$V$637:$V$639)</f>
        <v>0</v>
      </c>
      <c r="W640">
        <f>SUMIF($F$637:$F$639,"&lt;&gt;EV_*",$W$637:$W$639)</f>
        <v>0</v>
      </c>
      <c r="X640">
        <f>SUMIF($F$637:$F$639,"&lt;&gt;EV_*",$X$637:$X$639)</f>
        <v>0</v>
      </c>
    </row>
    <row r="641" spans="1:24" x14ac:dyDescent="0.3">
      <c r="A641" t="s">
        <v>552</v>
      </c>
      <c r="B641" t="s">
        <v>579</v>
      </c>
      <c r="C641">
        <v>29690080</v>
      </c>
      <c r="D641" t="s">
        <v>148</v>
      </c>
      <c r="E641" t="s">
        <v>5</v>
      </c>
      <c r="F641" t="s">
        <v>5</v>
      </c>
      <c r="G641" t="s">
        <v>397</v>
      </c>
    </row>
    <row r="642" spans="1:24" x14ac:dyDescent="0.3">
      <c r="A642" t="s">
        <v>552</v>
      </c>
      <c r="B642" t="s">
        <v>579</v>
      </c>
      <c r="C642">
        <v>29690080</v>
      </c>
      <c r="D642" t="s">
        <v>148</v>
      </c>
      <c r="E642" t="s">
        <v>6</v>
      </c>
      <c r="F642" t="s">
        <v>1</v>
      </c>
      <c r="G642" t="s">
        <v>398</v>
      </c>
      <c r="H642" t="s">
        <v>177</v>
      </c>
      <c r="I642" t="s">
        <v>1</v>
      </c>
      <c r="J642">
        <v>16765</v>
      </c>
      <c r="L642">
        <v>0</v>
      </c>
      <c r="M642">
        <v>0</v>
      </c>
      <c r="N642">
        <v>15300</v>
      </c>
      <c r="P642">
        <v>0</v>
      </c>
      <c r="Q642">
        <f t="shared" ref="Q642:Q669" si="130">O642+P642</f>
        <v>0</v>
      </c>
      <c r="R642">
        <v>10000</v>
      </c>
      <c r="S642">
        <f t="shared" ref="S642:S669" si="131">IF(OR(LEFT(E642,2)="A_",LEFT(D642,5)="Total"),R642-Q642,"")</f>
        <v>10000</v>
      </c>
      <c r="U642">
        <f t="shared" ref="U642:U669" si="132">IFERROR(R642*T642,R642*0)</f>
        <v>0</v>
      </c>
      <c r="V642">
        <f t="shared" ref="V642:V669" si="133">IF(OR(LEFT(E642,2)="A_",LEFT(D642,5)="Total"),R642+U642,"")</f>
        <v>10000</v>
      </c>
      <c r="W642">
        <f t="shared" ref="W642:W669" si="134">IF(OR(LEFT(E642,2)="A_",LEFT(D642,5)="Total"),V642-Q642,"")</f>
        <v>10000</v>
      </c>
      <c r="X642">
        <v>0</v>
      </c>
    </row>
    <row r="643" spans="1:24" x14ac:dyDescent="0.3">
      <c r="A643" t="s">
        <v>552</v>
      </c>
      <c r="B643" t="s">
        <v>579</v>
      </c>
      <c r="C643">
        <v>29690080</v>
      </c>
      <c r="D643" t="s">
        <v>148</v>
      </c>
      <c r="E643" t="s">
        <v>12</v>
      </c>
      <c r="F643" t="s">
        <v>1</v>
      </c>
      <c r="G643" t="s">
        <v>398</v>
      </c>
      <c r="H643" t="s">
        <v>183</v>
      </c>
      <c r="I643" t="s">
        <v>1</v>
      </c>
      <c r="J643">
        <v>3195.89</v>
      </c>
      <c r="K643">
        <v>2698.8700000007998</v>
      </c>
      <c r="L643">
        <v>1344.98</v>
      </c>
      <c r="M643">
        <v>2712.2524861878455</v>
      </c>
      <c r="N643">
        <v>2829.8399999999997</v>
      </c>
      <c r="O643">
        <v>2689.96</v>
      </c>
      <c r="P643">
        <v>0</v>
      </c>
      <c r="Q643">
        <f t="shared" si="130"/>
        <v>2689.96</v>
      </c>
      <c r="R643">
        <v>2690</v>
      </c>
      <c r="S643">
        <f t="shared" si="131"/>
        <v>3.999999999996362E-2</v>
      </c>
      <c r="U643">
        <f t="shared" si="132"/>
        <v>0</v>
      </c>
      <c r="V643">
        <f t="shared" si="133"/>
        <v>2690</v>
      </c>
      <c r="W643">
        <f t="shared" si="134"/>
        <v>3.999999999996362E-2</v>
      </c>
      <c r="X643" t="s">
        <v>538</v>
      </c>
    </row>
    <row r="644" spans="1:24" x14ac:dyDescent="0.3">
      <c r="A644" t="s">
        <v>552</v>
      </c>
      <c r="B644" t="s">
        <v>579</v>
      </c>
      <c r="C644">
        <v>29690080</v>
      </c>
      <c r="D644" t="s">
        <v>148</v>
      </c>
      <c r="E644" t="s">
        <v>14</v>
      </c>
      <c r="F644" t="s">
        <v>1</v>
      </c>
      <c r="G644" t="s">
        <v>398</v>
      </c>
      <c r="H644" t="s">
        <v>185</v>
      </c>
      <c r="I644" t="s">
        <v>1</v>
      </c>
      <c r="J644">
        <v>4080</v>
      </c>
      <c r="K644">
        <v>4080</v>
      </c>
      <c r="L644">
        <v>0</v>
      </c>
      <c r="M644">
        <v>0</v>
      </c>
      <c r="N644">
        <v>0</v>
      </c>
      <c r="P644">
        <v>0</v>
      </c>
      <c r="Q644">
        <f t="shared" si="130"/>
        <v>0</v>
      </c>
      <c r="R644">
        <v>0</v>
      </c>
      <c r="S644">
        <f t="shared" si="131"/>
        <v>0</v>
      </c>
      <c r="U644">
        <f t="shared" si="132"/>
        <v>0</v>
      </c>
      <c r="V644">
        <f t="shared" si="133"/>
        <v>0</v>
      </c>
      <c r="W644">
        <f t="shared" si="134"/>
        <v>0</v>
      </c>
      <c r="X644">
        <v>0</v>
      </c>
    </row>
    <row r="645" spans="1:24" x14ac:dyDescent="0.3">
      <c r="A645" t="s">
        <v>552</v>
      </c>
      <c r="B645" t="s">
        <v>579</v>
      </c>
      <c r="C645">
        <v>29690080</v>
      </c>
      <c r="D645" t="s">
        <v>148</v>
      </c>
      <c r="E645" t="s">
        <v>80</v>
      </c>
      <c r="F645" t="s">
        <v>1</v>
      </c>
      <c r="G645" t="s">
        <v>398</v>
      </c>
      <c r="H645" t="s">
        <v>286</v>
      </c>
      <c r="I645" t="s">
        <v>1</v>
      </c>
      <c r="J645">
        <v>-18</v>
      </c>
      <c r="K645">
        <v>-27.039999999900001</v>
      </c>
      <c r="L645">
        <v>-63.29</v>
      </c>
      <c r="M645">
        <v>-127.62900552486187</v>
      </c>
      <c r="N645">
        <v>-63.29</v>
      </c>
      <c r="O645">
        <v>-127.27549450550001</v>
      </c>
      <c r="P645">
        <v>0</v>
      </c>
      <c r="Q645">
        <f t="shared" si="130"/>
        <v>-127.27549450550001</v>
      </c>
      <c r="R645">
        <v>0</v>
      </c>
      <c r="S645">
        <f t="shared" si="131"/>
        <v>127.27549450550001</v>
      </c>
      <c r="U645">
        <f t="shared" si="132"/>
        <v>0</v>
      </c>
      <c r="V645">
        <f t="shared" si="133"/>
        <v>0</v>
      </c>
      <c r="W645">
        <f t="shared" si="134"/>
        <v>127.27549450550001</v>
      </c>
      <c r="X645">
        <v>0</v>
      </c>
    </row>
    <row r="646" spans="1:24" x14ac:dyDescent="0.3">
      <c r="A646" t="s">
        <v>552</v>
      </c>
      <c r="B646" t="s">
        <v>579</v>
      </c>
      <c r="C646">
        <v>29690080</v>
      </c>
      <c r="D646" t="s">
        <v>148</v>
      </c>
      <c r="E646" t="s">
        <v>15</v>
      </c>
      <c r="F646" t="s">
        <v>1</v>
      </c>
      <c r="G646" t="s">
        <v>398</v>
      </c>
      <c r="H646" t="s">
        <v>186</v>
      </c>
      <c r="I646" t="s">
        <v>1</v>
      </c>
      <c r="J646">
        <v>-736.28</v>
      </c>
      <c r="L646">
        <v>-238.39</v>
      </c>
      <c r="M646">
        <v>-480.73121546961323</v>
      </c>
      <c r="N646">
        <v>-253.62</v>
      </c>
      <c r="O646">
        <v>-479.39967032969997</v>
      </c>
      <c r="P646">
        <v>0</v>
      </c>
      <c r="Q646">
        <f t="shared" si="130"/>
        <v>-479.39967032969997</v>
      </c>
      <c r="R646">
        <v>0</v>
      </c>
      <c r="S646">
        <f t="shared" si="131"/>
        <v>479.39967032969997</v>
      </c>
      <c r="U646">
        <f t="shared" si="132"/>
        <v>0</v>
      </c>
      <c r="V646">
        <f t="shared" si="133"/>
        <v>0</v>
      </c>
      <c r="W646">
        <f t="shared" si="134"/>
        <v>479.39967032969997</v>
      </c>
      <c r="X646">
        <v>0</v>
      </c>
    </row>
    <row r="647" spans="1:24" x14ac:dyDescent="0.3">
      <c r="A647" t="s">
        <v>552</v>
      </c>
      <c r="B647" t="s">
        <v>579</v>
      </c>
      <c r="C647">
        <v>29690080</v>
      </c>
      <c r="D647" t="s">
        <v>148</v>
      </c>
      <c r="E647" t="s">
        <v>16</v>
      </c>
      <c r="F647" t="s">
        <v>1</v>
      </c>
      <c r="G647" t="s">
        <v>398</v>
      </c>
      <c r="H647" t="s">
        <v>187</v>
      </c>
      <c r="I647" t="s">
        <v>1</v>
      </c>
      <c r="J647">
        <v>5697.87</v>
      </c>
      <c r="K647">
        <v>5368.1523333330997</v>
      </c>
      <c r="L647">
        <v>-200.51</v>
      </c>
      <c r="M647">
        <v>-404.34337016574585</v>
      </c>
      <c r="N647">
        <v>1993.5700000000002</v>
      </c>
      <c r="O647">
        <v>-403.2234065934</v>
      </c>
      <c r="P647">
        <v>0</v>
      </c>
      <c r="Q647">
        <f t="shared" si="130"/>
        <v>-403.2234065934</v>
      </c>
      <c r="R647">
        <v>0</v>
      </c>
      <c r="S647">
        <f t="shared" si="131"/>
        <v>403.2234065934</v>
      </c>
      <c r="T647">
        <v>0.02</v>
      </c>
      <c r="U647">
        <f t="shared" si="132"/>
        <v>0</v>
      </c>
      <c r="V647">
        <f t="shared" si="133"/>
        <v>0</v>
      </c>
      <c r="W647">
        <f t="shared" si="134"/>
        <v>403.2234065934</v>
      </c>
      <c r="X647">
        <v>0</v>
      </c>
    </row>
    <row r="648" spans="1:24" x14ac:dyDescent="0.3">
      <c r="A648" t="s">
        <v>552</v>
      </c>
      <c r="B648" t="s">
        <v>579</v>
      </c>
      <c r="C648">
        <v>29690080</v>
      </c>
      <c r="D648" t="s">
        <v>148</v>
      </c>
      <c r="E648" t="s">
        <v>84</v>
      </c>
      <c r="F648" t="s">
        <v>1</v>
      </c>
      <c r="G648" t="s">
        <v>398</v>
      </c>
      <c r="H648" t="s">
        <v>290</v>
      </c>
      <c r="I648" t="s">
        <v>1</v>
      </c>
      <c r="J648">
        <v>180</v>
      </c>
      <c r="L648">
        <v>0</v>
      </c>
      <c r="M648">
        <v>0</v>
      </c>
      <c r="N648">
        <v>0</v>
      </c>
      <c r="P648">
        <v>0</v>
      </c>
      <c r="Q648">
        <f t="shared" si="130"/>
        <v>0</v>
      </c>
      <c r="R648">
        <v>0</v>
      </c>
      <c r="S648">
        <f t="shared" si="131"/>
        <v>0</v>
      </c>
      <c r="T648">
        <v>0.04</v>
      </c>
      <c r="U648">
        <f t="shared" si="132"/>
        <v>0</v>
      </c>
      <c r="V648">
        <f t="shared" si="133"/>
        <v>0</v>
      </c>
      <c r="W648">
        <f t="shared" si="134"/>
        <v>0</v>
      </c>
      <c r="X648">
        <v>0</v>
      </c>
    </row>
    <row r="649" spans="1:24" x14ac:dyDescent="0.3">
      <c r="A649" t="s">
        <v>552</v>
      </c>
      <c r="B649" t="s">
        <v>579</v>
      </c>
      <c r="C649">
        <v>29690080</v>
      </c>
      <c r="D649" t="s">
        <v>148</v>
      </c>
      <c r="E649" t="s">
        <v>17</v>
      </c>
      <c r="F649" t="s">
        <v>1</v>
      </c>
      <c r="G649" t="s">
        <v>398</v>
      </c>
      <c r="H649" t="s">
        <v>188</v>
      </c>
      <c r="I649" t="s">
        <v>1</v>
      </c>
      <c r="J649">
        <v>881.38</v>
      </c>
      <c r="K649">
        <v>-99.09</v>
      </c>
      <c r="L649">
        <v>328.09</v>
      </c>
      <c r="M649">
        <v>661.61795580110493</v>
      </c>
      <c r="N649">
        <v>1121.4700000000003</v>
      </c>
      <c r="O649">
        <v>661.61795580110004</v>
      </c>
      <c r="P649">
        <v>0</v>
      </c>
      <c r="Q649">
        <f t="shared" si="130"/>
        <v>661.61795580110004</v>
      </c>
      <c r="R649">
        <v>1000</v>
      </c>
      <c r="S649">
        <f t="shared" si="131"/>
        <v>338.38204419889996</v>
      </c>
      <c r="T649">
        <v>0.03</v>
      </c>
      <c r="U649">
        <f t="shared" si="132"/>
        <v>30</v>
      </c>
      <c r="V649">
        <f t="shared" si="133"/>
        <v>1030</v>
      </c>
      <c r="W649">
        <f t="shared" si="134"/>
        <v>368.38204419889996</v>
      </c>
      <c r="X649" t="s">
        <v>539</v>
      </c>
    </row>
    <row r="650" spans="1:24" x14ac:dyDescent="0.3">
      <c r="A650" t="s">
        <v>552</v>
      </c>
      <c r="B650" t="s">
        <v>579</v>
      </c>
      <c r="C650">
        <v>29690080</v>
      </c>
      <c r="D650" t="s">
        <v>148</v>
      </c>
      <c r="E650" t="s">
        <v>18</v>
      </c>
      <c r="F650" t="s">
        <v>1</v>
      </c>
      <c r="G650" t="s">
        <v>398</v>
      </c>
      <c r="H650" t="s">
        <v>189</v>
      </c>
      <c r="I650" t="s">
        <v>1</v>
      </c>
      <c r="J650">
        <v>521.66</v>
      </c>
      <c r="L650">
        <v>798.91</v>
      </c>
      <c r="M650">
        <v>1611.0616022099448</v>
      </c>
      <c r="N650">
        <v>1307.54</v>
      </c>
      <c r="O650">
        <v>1611.0616022099</v>
      </c>
      <c r="P650">
        <v>0</v>
      </c>
      <c r="Q650">
        <f t="shared" si="130"/>
        <v>1611.0616022099</v>
      </c>
      <c r="R650">
        <v>1000</v>
      </c>
      <c r="S650">
        <f t="shared" si="131"/>
        <v>-611.0616022099</v>
      </c>
      <c r="T650">
        <v>3.5000000000000003E-2</v>
      </c>
      <c r="U650">
        <f t="shared" si="132"/>
        <v>35</v>
      </c>
      <c r="V650">
        <f t="shared" si="133"/>
        <v>1035</v>
      </c>
      <c r="W650">
        <f t="shared" si="134"/>
        <v>-576.0616022099</v>
      </c>
      <c r="X650" t="s">
        <v>540</v>
      </c>
    </row>
    <row r="651" spans="1:24" x14ac:dyDescent="0.3">
      <c r="A651" t="s">
        <v>552</v>
      </c>
      <c r="B651" t="s">
        <v>579</v>
      </c>
      <c r="C651">
        <v>29690080</v>
      </c>
      <c r="D651" t="s">
        <v>148</v>
      </c>
      <c r="E651" t="s">
        <v>19</v>
      </c>
      <c r="F651" t="s">
        <v>1</v>
      </c>
      <c r="G651" t="s">
        <v>398</v>
      </c>
      <c r="H651" t="s">
        <v>190</v>
      </c>
      <c r="I651" t="s">
        <v>1</v>
      </c>
      <c r="J651">
        <v>351316.34</v>
      </c>
      <c r="K651">
        <v>73984.904999999897</v>
      </c>
      <c r="L651">
        <v>134821.06</v>
      </c>
      <c r="M651">
        <v>271876.72320441989</v>
      </c>
      <c r="N651">
        <v>414653.98</v>
      </c>
      <c r="O651">
        <v>271876.72320442001</v>
      </c>
      <c r="P651">
        <v>0</v>
      </c>
      <c r="Q651">
        <f t="shared" si="130"/>
        <v>271876.72320442001</v>
      </c>
      <c r="R651">
        <v>350000</v>
      </c>
      <c r="S651">
        <f t="shared" si="131"/>
        <v>78123.276795579994</v>
      </c>
      <c r="T651">
        <v>3.5000000000000003E-2</v>
      </c>
      <c r="U651">
        <f t="shared" si="132"/>
        <v>12250.000000000002</v>
      </c>
      <c r="V651">
        <f t="shared" si="133"/>
        <v>362250</v>
      </c>
      <c r="W651">
        <f t="shared" si="134"/>
        <v>90373.276795579994</v>
      </c>
      <c r="X651" t="s">
        <v>541</v>
      </c>
    </row>
    <row r="652" spans="1:24" x14ac:dyDescent="0.3">
      <c r="A652" t="s">
        <v>552</v>
      </c>
      <c r="B652" t="s">
        <v>579</v>
      </c>
      <c r="C652">
        <v>29690080</v>
      </c>
      <c r="D652" t="s">
        <v>148</v>
      </c>
      <c r="E652" t="s">
        <v>143</v>
      </c>
      <c r="F652" t="s">
        <v>1</v>
      </c>
      <c r="G652" t="s">
        <v>398</v>
      </c>
      <c r="H652" t="s">
        <v>385</v>
      </c>
      <c r="I652" t="s">
        <v>1</v>
      </c>
      <c r="L652">
        <v>-947.75</v>
      </c>
      <c r="M652">
        <v>-1911.2085635359115</v>
      </c>
      <c r="N652">
        <v>-947.75</v>
      </c>
      <c r="O652">
        <v>-1911.2085635359001</v>
      </c>
      <c r="P652">
        <v>0</v>
      </c>
      <c r="Q652">
        <f t="shared" si="130"/>
        <v>-1911.2085635359001</v>
      </c>
      <c r="R652">
        <v>0</v>
      </c>
      <c r="S652">
        <f t="shared" si="131"/>
        <v>1911.2085635359001</v>
      </c>
      <c r="U652">
        <f t="shared" si="132"/>
        <v>0</v>
      </c>
      <c r="V652">
        <f t="shared" si="133"/>
        <v>0</v>
      </c>
      <c r="W652">
        <f t="shared" si="134"/>
        <v>1911.2085635359001</v>
      </c>
      <c r="X652">
        <v>0</v>
      </c>
    </row>
    <row r="653" spans="1:24" x14ac:dyDescent="0.3">
      <c r="A653" t="s">
        <v>552</v>
      </c>
      <c r="B653" t="s">
        <v>579</v>
      </c>
      <c r="C653">
        <v>29690080</v>
      </c>
      <c r="D653" t="s">
        <v>148</v>
      </c>
      <c r="E653" t="s">
        <v>23</v>
      </c>
      <c r="F653" t="s">
        <v>1</v>
      </c>
      <c r="G653" t="s">
        <v>398</v>
      </c>
      <c r="H653" t="s">
        <v>194</v>
      </c>
      <c r="I653" t="s">
        <v>1</v>
      </c>
      <c r="J653">
        <v>84.3</v>
      </c>
      <c r="L653">
        <v>0</v>
      </c>
      <c r="M653">
        <v>0</v>
      </c>
      <c r="N653">
        <v>20.3</v>
      </c>
      <c r="P653">
        <v>0</v>
      </c>
      <c r="Q653">
        <f t="shared" si="130"/>
        <v>0</v>
      </c>
      <c r="R653">
        <v>0</v>
      </c>
      <c r="S653">
        <f t="shared" si="131"/>
        <v>0</v>
      </c>
      <c r="U653">
        <f t="shared" si="132"/>
        <v>0</v>
      </c>
      <c r="V653">
        <f t="shared" si="133"/>
        <v>0</v>
      </c>
      <c r="W653">
        <f t="shared" si="134"/>
        <v>0</v>
      </c>
      <c r="X653">
        <v>0</v>
      </c>
    </row>
    <row r="654" spans="1:24" x14ac:dyDescent="0.3">
      <c r="A654" t="s">
        <v>552</v>
      </c>
      <c r="B654" t="s">
        <v>579</v>
      </c>
      <c r="C654">
        <v>29690080</v>
      </c>
      <c r="D654" t="s">
        <v>148</v>
      </c>
      <c r="E654" t="s">
        <v>34</v>
      </c>
      <c r="F654" t="s">
        <v>1</v>
      </c>
      <c r="G654" t="s">
        <v>398</v>
      </c>
      <c r="H654" t="s">
        <v>205</v>
      </c>
      <c r="I654" t="s">
        <v>1</v>
      </c>
      <c r="J654">
        <v>254586.36</v>
      </c>
      <c r="K654">
        <v>173130</v>
      </c>
      <c r="L654">
        <v>110520.33</v>
      </c>
      <c r="M654">
        <v>222872.48867403317</v>
      </c>
      <c r="N654">
        <v>241396.83000000002</v>
      </c>
      <c r="O654">
        <v>221040.66</v>
      </c>
      <c r="P654">
        <v>0</v>
      </c>
      <c r="Q654">
        <f t="shared" si="130"/>
        <v>221040.66</v>
      </c>
      <c r="R654">
        <v>190600</v>
      </c>
      <c r="S654">
        <f t="shared" si="131"/>
        <v>-30440.660000000003</v>
      </c>
      <c r="T654">
        <v>0.03</v>
      </c>
      <c r="U654">
        <f t="shared" si="132"/>
        <v>5718</v>
      </c>
      <c r="V654">
        <f t="shared" si="133"/>
        <v>196318</v>
      </c>
      <c r="W654">
        <f t="shared" si="134"/>
        <v>-24722.660000000003</v>
      </c>
      <c r="X654" t="s">
        <v>542</v>
      </c>
    </row>
    <row r="655" spans="1:24" x14ac:dyDescent="0.3">
      <c r="A655" t="s">
        <v>552</v>
      </c>
      <c r="B655" t="s">
        <v>579</v>
      </c>
      <c r="C655">
        <v>29690080</v>
      </c>
      <c r="D655" t="s">
        <v>148</v>
      </c>
      <c r="E655" t="s">
        <v>36</v>
      </c>
      <c r="F655" t="s">
        <v>1</v>
      </c>
      <c r="G655" t="s">
        <v>398</v>
      </c>
      <c r="H655" t="s">
        <v>207</v>
      </c>
      <c r="I655" t="s">
        <v>1</v>
      </c>
      <c r="J655">
        <v>7452.33</v>
      </c>
      <c r="K655">
        <v>6540.9999999995998</v>
      </c>
      <c r="L655">
        <v>7193.9</v>
      </c>
      <c r="M655">
        <v>14507.03591160221</v>
      </c>
      <c r="N655">
        <v>11375.62</v>
      </c>
      <c r="O655">
        <v>14387.8</v>
      </c>
      <c r="P655">
        <v>0</v>
      </c>
      <c r="Q655">
        <f t="shared" si="130"/>
        <v>14387.8</v>
      </c>
      <c r="R655">
        <v>14388</v>
      </c>
      <c r="S655">
        <f t="shared" si="131"/>
        <v>0.2000000000007276</v>
      </c>
      <c r="T655">
        <v>0.03</v>
      </c>
      <c r="U655">
        <f t="shared" si="132"/>
        <v>431.64</v>
      </c>
      <c r="V655">
        <f t="shared" si="133"/>
        <v>14819.64</v>
      </c>
      <c r="W655">
        <f t="shared" si="134"/>
        <v>431.84000000000015</v>
      </c>
      <c r="X655">
        <v>0</v>
      </c>
    </row>
    <row r="656" spans="1:24" x14ac:dyDescent="0.3">
      <c r="A656" t="s">
        <v>552</v>
      </c>
      <c r="B656" t="s">
        <v>579</v>
      </c>
      <c r="C656">
        <v>29690080</v>
      </c>
      <c r="D656" t="s">
        <v>148</v>
      </c>
      <c r="E656" t="s">
        <v>37</v>
      </c>
      <c r="F656" t="s">
        <v>1</v>
      </c>
      <c r="G656" t="s">
        <v>398</v>
      </c>
      <c r="H656" t="s">
        <v>208</v>
      </c>
      <c r="I656" t="s">
        <v>1</v>
      </c>
      <c r="J656">
        <v>1426.05</v>
      </c>
      <c r="K656">
        <v>1257</v>
      </c>
      <c r="L656">
        <v>1294.76</v>
      </c>
      <c r="M656">
        <v>2610.9801104972375</v>
      </c>
      <c r="N656">
        <v>1294.76</v>
      </c>
      <c r="O656">
        <v>2589.52</v>
      </c>
      <c r="P656">
        <v>0</v>
      </c>
      <c r="Q656">
        <f t="shared" si="130"/>
        <v>2589.52</v>
      </c>
      <c r="R656">
        <v>10350</v>
      </c>
      <c r="S656">
        <f t="shared" si="131"/>
        <v>7760.48</v>
      </c>
      <c r="T656">
        <v>0.03</v>
      </c>
      <c r="U656">
        <f t="shared" si="132"/>
        <v>310.5</v>
      </c>
      <c r="V656">
        <f t="shared" si="133"/>
        <v>10660.5</v>
      </c>
      <c r="W656">
        <f t="shared" si="134"/>
        <v>8070.98</v>
      </c>
      <c r="X656" t="s">
        <v>543</v>
      </c>
    </row>
    <row r="657" spans="1:24" x14ac:dyDescent="0.3">
      <c r="A657" t="s">
        <v>552</v>
      </c>
      <c r="B657" t="s">
        <v>579</v>
      </c>
      <c r="C657">
        <v>29690080</v>
      </c>
      <c r="D657" t="s">
        <v>148</v>
      </c>
      <c r="E657" t="s">
        <v>149</v>
      </c>
      <c r="F657" t="s">
        <v>1</v>
      </c>
      <c r="G657" t="s">
        <v>398</v>
      </c>
      <c r="H657" t="s">
        <v>399</v>
      </c>
      <c r="I657" t="s">
        <v>1</v>
      </c>
      <c r="J657">
        <v>10500</v>
      </c>
      <c r="K657">
        <v>24999.9999999996</v>
      </c>
      <c r="L657">
        <v>16945</v>
      </c>
      <c r="M657">
        <v>34170.85635359116</v>
      </c>
      <c r="N657">
        <v>20945</v>
      </c>
      <c r="O657">
        <v>33890</v>
      </c>
      <c r="P657">
        <v>0</v>
      </c>
      <c r="Q657">
        <f t="shared" si="130"/>
        <v>33890</v>
      </c>
      <c r="R657">
        <v>52580</v>
      </c>
      <c r="S657">
        <f t="shared" si="131"/>
        <v>18690</v>
      </c>
      <c r="T657">
        <v>0.03</v>
      </c>
      <c r="U657">
        <f t="shared" si="132"/>
        <v>1577.3999999999999</v>
      </c>
      <c r="V657">
        <f t="shared" si="133"/>
        <v>54157.4</v>
      </c>
      <c r="W657">
        <f t="shared" si="134"/>
        <v>20267.400000000001</v>
      </c>
      <c r="X657">
        <v>0</v>
      </c>
    </row>
    <row r="658" spans="1:24" x14ac:dyDescent="0.3">
      <c r="A658" t="s">
        <v>552</v>
      </c>
      <c r="B658" t="s">
        <v>579</v>
      </c>
      <c r="C658">
        <v>29690080</v>
      </c>
      <c r="D658" t="s">
        <v>148</v>
      </c>
      <c r="E658" t="s">
        <v>150</v>
      </c>
      <c r="F658" t="s">
        <v>1</v>
      </c>
      <c r="G658" t="s">
        <v>398</v>
      </c>
      <c r="H658" t="s">
        <v>400</v>
      </c>
      <c r="I658" t="s">
        <v>1</v>
      </c>
      <c r="J658">
        <v>100318.96</v>
      </c>
      <c r="K658">
        <v>113008</v>
      </c>
      <c r="L658">
        <v>29000</v>
      </c>
      <c r="M658">
        <v>58480.66298342542</v>
      </c>
      <c r="N658">
        <v>77764.42</v>
      </c>
      <c r="O658">
        <v>58000</v>
      </c>
      <c r="P658">
        <v>0</v>
      </c>
      <c r="Q658">
        <f t="shared" si="130"/>
        <v>58000</v>
      </c>
      <c r="R658">
        <v>75000</v>
      </c>
      <c r="S658">
        <f t="shared" si="131"/>
        <v>17000</v>
      </c>
      <c r="T658">
        <v>0.03</v>
      </c>
      <c r="U658">
        <f t="shared" si="132"/>
        <v>2250</v>
      </c>
      <c r="V658">
        <f t="shared" si="133"/>
        <v>77250</v>
      </c>
      <c r="W658">
        <f t="shared" si="134"/>
        <v>19250</v>
      </c>
      <c r="X658">
        <v>0</v>
      </c>
    </row>
    <row r="659" spans="1:24" x14ac:dyDescent="0.3">
      <c r="A659" t="s">
        <v>552</v>
      </c>
      <c r="B659" t="s">
        <v>579</v>
      </c>
      <c r="C659">
        <v>29690080</v>
      </c>
      <c r="D659" t="s">
        <v>148</v>
      </c>
      <c r="E659" t="s">
        <v>99</v>
      </c>
      <c r="F659" t="s">
        <v>1</v>
      </c>
      <c r="G659" t="s">
        <v>398</v>
      </c>
      <c r="H659" t="s">
        <v>305</v>
      </c>
      <c r="I659" t="s">
        <v>1</v>
      </c>
      <c r="J659">
        <v>143136.71</v>
      </c>
      <c r="K659">
        <v>121160</v>
      </c>
      <c r="L659">
        <v>58427.56</v>
      </c>
      <c r="M659">
        <v>117823.53259668509</v>
      </c>
      <c r="N659">
        <v>120887.51000000002</v>
      </c>
      <c r="O659">
        <v>116855.12</v>
      </c>
      <c r="P659">
        <v>0</v>
      </c>
      <c r="Q659">
        <f t="shared" si="130"/>
        <v>116855.12</v>
      </c>
      <c r="R659">
        <v>128000</v>
      </c>
      <c r="S659">
        <f t="shared" si="131"/>
        <v>11144.880000000005</v>
      </c>
      <c r="T659">
        <v>0.03</v>
      </c>
      <c r="U659">
        <f t="shared" si="132"/>
        <v>3840</v>
      </c>
      <c r="V659">
        <f t="shared" si="133"/>
        <v>131840</v>
      </c>
      <c r="W659">
        <f t="shared" si="134"/>
        <v>14984.880000000005</v>
      </c>
      <c r="X659">
        <v>0</v>
      </c>
    </row>
    <row r="660" spans="1:24" x14ac:dyDescent="0.3">
      <c r="A660" t="s">
        <v>552</v>
      </c>
      <c r="B660" t="s">
        <v>579</v>
      </c>
      <c r="C660">
        <v>29690080</v>
      </c>
      <c r="D660" t="s">
        <v>148</v>
      </c>
      <c r="E660" t="s">
        <v>39</v>
      </c>
      <c r="F660" t="s">
        <v>1</v>
      </c>
      <c r="G660" t="s">
        <v>398</v>
      </c>
      <c r="H660" t="s">
        <v>210</v>
      </c>
      <c r="I660" t="s">
        <v>1</v>
      </c>
      <c r="J660">
        <v>424164.36</v>
      </c>
      <c r="K660">
        <v>192843</v>
      </c>
      <c r="L660">
        <v>213067.21</v>
      </c>
      <c r="M660">
        <v>429665.92071823205</v>
      </c>
      <c r="N660">
        <v>574274.68000000005</v>
      </c>
      <c r="O660">
        <v>426134.42</v>
      </c>
      <c r="P660">
        <v>0</v>
      </c>
      <c r="Q660">
        <f t="shared" si="130"/>
        <v>426134.42</v>
      </c>
      <c r="R660">
        <v>434000</v>
      </c>
      <c r="S660">
        <f t="shared" si="131"/>
        <v>7865.5800000000163</v>
      </c>
      <c r="T660">
        <v>0.03</v>
      </c>
      <c r="U660">
        <f t="shared" si="132"/>
        <v>13020</v>
      </c>
      <c r="V660">
        <f t="shared" si="133"/>
        <v>447020</v>
      </c>
      <c r="W660">
        <f t="shared" si="134"/>
        <v>20885.580000000016</v>
      </c>
      <c r="X660" t="s">
        <v>544</v>
      </c>
    </row>
    <row r="661" spans="1:24" x14ac:dyDescent="0.3">
      <c r="A661" t="s">
        <v>552</v>
      </c>
      <c r="B661" t="s">
        <v>579</v>
      </c>
      <c r="C661">
        <v>29690080</v>
      </c>
      <c r="D661" t="s">
        <v>148</v>
      </c>
      <c r="E661" t="s">
        <v>100</v>
      </c>
      <c r="F661" t="s">
        <v>1</v>
      </c>
      <c r="G661" t="s">
        <v>398</v>
      </c>
      <c r="H661" t="s">
        <v>306</v>
      </c>
      <c r="I661" t="s">
        <v>1</v>
      </c>
      <c r="J661">
        <v>66606.87</v>
      </c>
      <c r="K661">
        <v>31538.0000000004</v>
      </c>
      <c r="L661">
        <v>33143.89</v>
      </c>
      <c r="M661">
        <v>66837.126243093924</v>
      </c>
      <c r="N661">
        <v>77228.88</v>
      </c>
      <c r="O661">
        <v>66287.78</v>
      </c>
      <c r="P661">
        <v>0</v>
      </c>
      <c r="Q661">
        <f t="shared" si="130"/>
        <v>66287.78</v>
      </c>
      <c r="R661">
        <v>66000</v>
      </c>
      <c r="S661">
        <f t="shared" si="131"/>
        <v>-287.77999999999884</v>
      </c>
      <c r="T661">
        <v>0.03</v>
      </c>
      <c r="U661">
        <f t="shared" si="132"/>
        <v>1980</v>
      </c>
      <c r="V661">
        <f t="shared" si="133"/>
        <v>67980</v>
      </c>
      <c r="W661">
        <f t="shared" si="134"/>
        <v>1692.2200000000012</v>
      </c>
      <c r="X661">
        <v>0</v>
      </c>
    </row>
    <row r="662" spans="1:24" x14ac:dyDescent="0.3">
      <c r="A662" t="s">
        <v>552</v>
      </c>
      <c r="B662" t="s">
        <v>579</v>
      </c>
      <c r="C662">
        <v>29690080</v>
      </c>
      <c r="D662" t="s">
        <v>148</v>
      </c>
      <c r="E662" t="s">
        <v>40</v>
      </c>
      <c r="F662" t="s">
        <v>1</v>
      </c>
      <c r="G662" t="s">
        <v>398</v>
      </c>
      <c r="H662" t="s">
        <v>211</v>
      </c>
      <c r="I662" t="s">
        <v>1</v>
      </c>
      <c r="J662">
        <v>160147.20000000001</v>
      </c>
      <c r="K662">
        <v>115000</v>
      </c>
      <c r="L662">
        <v>51282.96</v>
      </c>
      <c r="M662">
        <v>103415.91381215469</v>
      </c>
      <c r="N662">
        <v>173261.64</v>
      </c>
      <c r="O662">
        <v>102565.92</v>
      </c>
      <c r="P662">
        <v>0</v>
      </c>
      <c r="Q662">
        <f t="shared" si="130"/>
        <v>102565.92</v>
      </c>
      <c r="R662">
        <v>347400</v>
      </c>
      <c r="S662">
        <f t="shared" si="131"/>
        <v>244834.08000000002</v>
      </c>
      <c r="T662">
        <v>0.03</v>
      </c>
      <c r="U662">
        <f t="shared" si="132"/>
        <v>10422</v>
      </c>
      <c r="V662">
        <f t="shared" si="133"/>
        <v>357822</v>
      </c>
      <c r="W662">
        <f t="shared" si="134"/>
        <v>255256.08000000002</v>
      </c>
      <c r="X662" t="s">
        <v>545</v>
      </c>
    </row>
    <row r="663" spans="1:24" x14ac:dyDescent="0.3">
      <c r="A663" t="s">
        <v>552</v>
      </c>
      <c r="B663" t="s">
        <v>579</v>
      </c>
      <c r="C663">
        <v>29690080</v>
      </c>
      <c r="D663" t="s">
        <v>148</v>
      </c>
      <c r="E663" t="s">
        <v>151</v>
      </c>
      <c r="F663" t="s">
        <v>1</v>
      </c>
      <c r="G663" t="s">
        <v>398</v>
      </c>
      <c r="H663" t="s">
        <v>401</v>
      </c>
      <c r="I663" t="s">
        <v>1</v>
      </c>
      <c r="J663">
        <v>17722.23</v>
      </c>
      <c r="K663">
        <v>35444.0000000004</v>
      </c>
      <c r="L663">
        <v>0</v>
      </c>
      <c r="M663">
        <v>0</v>
      </c>
      <c r="N663">
        <v>0</v>
      </c>
      <c r="P663">
        <v>0</v>
      </c>
      <c r="Q663">
        <f t="shared" si="130"/>
        <v>0</v>
      </c>
      <c r="R663">
        <v>25000</v>
      </c>
      <c r="S663">
        <f t="shared" si="131"/>
        <v>25000</v>
      </c>
      <c r="T663">
        <v>0.03</v>
      </c>
      <c r="U663">
        <f t="shared" si="132"/>
        <v>750</v>
      </c>
      <c r="V663">
        <f t="shared" si="133"/>
        <v>25750</v>
      </c>
      <c r="W663">
        <f t="shared" si="134"/>
        <v>25750</v>
      </c>
      <c r="X663">
        <v>0</v>
      </c>
    </row>
    <row r="664" spans="1:24" x14ac:dyDescent="0.3">
      <c r="A664" t="s">
        <v>552</v>
      </c>
      <c r="B664" t="s">
        <v>579</v>
      </c>
      <c r="C664">
        <v>29690080</v>
      </c>
      <c r="D664" t="s">
        <v>148</v>
      </c>
      <c r="E664" t="s">
        <v>41</v>
      </c>
      <c r="F664" t="s">
        <v>1</v>
      </c>
      <c r="G664" t="s">
        <v>398</v>
      </c>
      <c r="H664" t="s">
        <v>212</v>
      </c>
      <c r="I664" t="s">
        <v>1</v>
      </c>
      <c r="J664">
        <v>51750.36</v>
      </c>
      <c r="K664">
        <v>34386</v>
      </c>
      <c r="L664">
        <v>14134.37</v>
      </c>
      <c r="M664">
        <v>28503.011325966851</v>
      </c>
      <c r="N664">
        <v>40638.44</v>
      </c>
      <c r="O664">
        <v>28268.74</v>
      </c>
      <c r="P664">
        <v>0</v>
      </c>
      <c r="Q664">
        <f t="shared" si="130"/>
        <v>28268.74</v>
      </c>
      <c r="R664">
        <v>27280</v>
      </c>
      <c r="S664">
        <f t="shared" si="131"/>
        <v>-988.7400000000016</v>
      </c>
      <c r="T664">
        <v>0.03</v>
      </c>
      <c r="U664">
        <f t="shared" si="132"/>
        <v>818.4</v>
      </c>
      <c r="V664">
        <f t="shared" si="133"/>
        <v>28098.400000000001</v>
      </c>
      <c r="W664">
        <f t="shared" si="134"/>
        <v>-170.34000000000015</v>
      </c>
      <c r="X664">
        <v>0</v>
      </c>
    </row>
    <row r="665" spans="1:24" x14ac:dyDescent="0.3">
      <c r="A665" t="s">
        <v>552</v>
      </c>
      <c r="B665" t="s">
        <v>579</v>
      </c>
      <c r="C665">
        <v>29690080</v>
      </c>
      <c r="D665" t="s">
        <v>148</v>
      </c>
      <c r="E665" t="s">
        <v>132</v>
      </c>
      <c r="F665" t="s">
        <v>1</v>
      </c>
      <c r="G665" t="s">
        <v>398</v>
      </c>
      <c r="H665" t="s">
        <v>358</v>
      </c>
      <c r="I665" t="s">
        <v>1</v>
      </c>
      <c r="J665">
        <v>1515725.05</v>
      </c>
      <c r="K665">
        <v>1650592.2512000001</v>
      </c>
      <c r="L665">
        <v>823772.46</v>
      </c>
      <c r="M665">
        <v>1661198.6071823204</v>
      </c>
      <c r="N665">
        <v>1625678.16</v>
      </c>
      <c r="O665">
        <v>1661198.60718232</v>
      </c>
      <c r="P665">
        <v>0</v>
      </c>
      <c r="Q665">
        <f t="shared" si="130"/>
        <v>1661198.60718232</v>
      </c>
      <c r="R665">
        <v>1661199</v>
      </c>
      <c r="S665">
        <f t="shared" si="131"/>
        <v>0.39281768002547324</v>
      </c>
      <c r="U665">
        <f t="shared" si="132"/>
        <v>0</v>
      </c>
      <c r="V665">
        <f t="shared" si="133"/>
        <v>1661199</v>
      </c>
      <c r="W665">
        <f t="shared" si="134"/>
        <v>0.39281768002547324</v>
      </c>
      <c r="X665">
        <v>0</v>
      </c>
    </row>
    <row r="666" spans="1:24" x14ac:dyDescent="0.3">
      <c r="A666" t="s">
        <v>552</v>
      </c>
      <c r="B666" t="s">
        <v>579</v>
      </c>
      <c r="C666">
        <v>29690080</v>
      </c>
      <c r="D666" t="s">
        <v>148</v>
      </c>
      <c r="E666" t="s">
        <v>152</v>
      </c>
      <c r="F666" t="s">
        <v>1</v>
      </c>
      <c r="G666" t="s">
        <v>398</v>
      </c>
      <c r="H666" t="s">
        <v>402</v>
      </c>
      <c r="I666" t="s">
        <v>1</v>
      </c>
      <c r="J666">
        <v>711211.96</v>
      </c>
      <c r="K666">
        <v>675000</v>
      </c>
      <c r="L666">
        <v>312017.68</v>
      </c>
      <c r="M666">
        <v>629206.92375690606</v>
      </c>
      <c r="N666">
        <v>660760.24</v>
      </c>
      <c r="O666">
        <v>629206.92375690595</v>
      </c>
      <c r="P666">
        <v>0</v>
      </c>
      <c r="Q666">
        <f t="shared" si="130"/>
        <v>629206.92375690595</v>
      </c>
      <c r="R666">
        <v>610000</v>
      </c>
      <c r="S666">
        <f t="shared" si="131"/>
        <v>-19206.923756905948</v>
      </c>
      <c r="U666">
        <f t="shared" si="132"/>
        <v>0</v>
      </c>
      <c r="V666">
        <f t="shared" si="133"/>
        <v>610000</v>
      </c>
      <c r="W666">
        <f t="shared" si="134"/>
        <v>-19206.923756905948</v>
      </c>
      <c r="X666">
        <v>0</v>
      </c>
    </row>
    <row r="667" spans="1:24" x14ac:dyDescent="0.3">
      <c r="A667" t="s">
        <v>552</v>
      </c>
      <c r="B667" t="s">
        <v>579</v>
      </c>
      <c r="C667">
        <v>29690080</v>
      </c>
      <c r="D667" t="s">
        <v>148</v>
      </c>
      <c r="E667" t="s">
        <v>44</v>
      </c>
      <c r="F667" t="s">
        <v>1</v>
      </c>
      <c r="G667" t="s">
        <v>398</v>
      </c>
      <c r="H667" t="s">
        <v>215</v>
      </c>
      <c r="I667" t="s">
        <v>1</v>
      </c>
      <c r="J667">
        <v>447.83</v>
      </c>
      <c r="K667">
        <v>263.99999999990001</v>
      </c>
      <c r="L667">
        <v>270.12</v>
      </c>
      <c r="M667">
        <v>544.71712707182314</v>
      </c>
      <c r="N667">
        <v>586.88</v>
      </c>
      <c r="O667">
        <v>544.71712707179995</v>
      </c>
      <c r="P667">
        <v>0</v>
      </c>
      <c r="Q667">
        <f t="shared" si="130"/>
        <v>544.71712707179995</v>
      </c>
      <c r="R667">
        <v>545</v>
      </c>
      <c r="S667">
        <f t="shared" si="131"/>
        <v>0.2828729282000495</v>
      </c>
      <c r="U667">
        <f t="shared" si="132"/>
        <v>0</v>
      </c>
      <c r="V667">
        <f t="shared" si="133"/>
        <v>545</v>
      </c>
      <c r="W667">
        <f t="shared" si="134"/>
        <v>0.2828729282000495</v>
      </c>
      <c r="X667">
        <v>0</v>
      </c>
    </row>
    <row r="668" spans="1:24" x14ac:dyDescent="0.3">
      <c r="A668" t="s">
        <v>552</v>
      </c>
      <c r="B668" t="s">
        <v>579</v>
      </c>
      <c r="C668">
        <v>29690080</v>
      </c>
      <c r="D668" t="s">
        <v>148</v>
      </c>
      <c r="E668" t="s">
        <v>153</v>
      </c>
      <c r="F668" t="s">
        <v>1</v>
      </c>
      <c r="G668" t="s">
        <v>398</v>
      </c>
      <c r="H668" t="s">
        <v>403</v>
      </c>
      <c r="I668" t="s">
        <v>1</v>
      </c>
      <c r="J668">
        <v>135.19</v>
      </c>
      <c r="K668">
        <v>68.000000000399993</v>
      </c>
      <c r="L668">
        <v>139.41</v>
      </c>
      <c r="M668">
        <v>281.1306629834254</v>
      </c>
      <c r="N668">
        <v>240.79000000000002</v>
      </c>
      <c r="O668">
        <v>281.13066298339999</v>
      </c>
      <c r="P668">
        <v>0</v>
      </c>
      <c r="Q668">
        <f t="shared" si="130"/>
        <v>281.13066298339999</v>
      </c>
      <c r="R668">
        <v>281</v>
      </c>
      <c r="S668">
        <f t="shared" si="131"/>
        <v>-0.13066298339998639</v>
      </c>
      <c r="U668">
        <f t="shared" si="132"/>
        <v>0</v>
      </c>
      <c r="V668">
        <f t="shared" si="133"/>
        <v>281</v>
      </c>
      <c r="W668">
        <f t="shared" si="134"/>
        <v>-0.13066298339998639</v>
      </c>
      <c r="X668">
        <v>0</v>
      </c>
    </row>
    <row r="669" spans="1:24" x14ac:dyDescent="0.3">
      <c r="A669" t="s">
        <v>552</v>
      </c>
      <c r="B669" t="s">
        <v>579</v>
      </c>
      <c r="C669">
        <v>29690080</v>
      </c>
      <c r="D669" t="s">
        <v>148</v>
      </c>
      <c r="E669" t="s">
        <v>154</v>
      </c>
      <c r="F669" t="s">
        <v>1</v>
      </c>
      <c r="G669" t="s">
        <v>398</v>
      </c>
      <c r="H669" t="s">
        <v>404</v>
      </c>
      <c r="I669" t="s">
        <v>1</v>
      </c>
      <c r="J669">
        <v>1537235.64</v>
      </c>
      <c r="K669">
        <v>1634999.9998000001</v>
      </c>
      <c r="L669">
        <v>1051641.1100000001</v>
      </c>
      <c r="M669">
        <v>2120712.7356353593</v>
      </c>
      <c r="N669">
        <v>1653599.8599999996</v>
      </c>
      <c r="O669">
        <v>2120712.7356353598</v>
      </c>
      <c r="P669">
        <v>0</v>
      </c>
      <c r="Q669">
        <f t="shared" si="130"/>
        <v>2120712.7356353598</v>
      </c>
      <c r="R669">
        <v>2120713</v>
      </c>
      <c r="S669">
        <f t="shared" si="131"/>
        <v>0.2643646402284503</v>
      </c>
      <c r="U669">
        <f t="shared" si="132"/>
        <v>0</v>
      </c>
      <c r="V669">
        <f t="shared" si="133"/>
        <v>2120713</v>
      </c>
      <c r="W669">
        <f t="shared" si="134"/>
        <v>0.2643646402284503</v>
      </c>
      <c r="X669">
        <v>0</v>
      </c>
    </row>
    <row r="670" spans="1:24" x14ac:dyDescent="0.3">
      <c r="A670" t="s">
        <v>552</v>
      </c>
      <c r="B670" t="s">
        <v>579</v>
      </c>
      <c r="C670">
        <v>29690080</v>
      </c>
      <c r="D670" t="s">
        <v>148</v>
      </c>
      <c r="E670" t="s">
        <v>45</v>
      </c>
      <c r="F670" t="s">
        <v>45</v>
      </c>
      <c r="G670" t="s">
        <v>405</v>
      </c>
      <c r="J670">
        <v>5384535.2599999998</v>
      </c>
      <c r="K670">
        <v>4896237.0483333347</v>
      </c>
      <c r="L670">
        <v>2858693.8600000003</v>
      </c>
      <c r="M670">
        <v>5764769.3861878458</v>
      </c>
      <c r="N670">
        <v>5715895.75</v>
      </c>
      <c r="O670">
        <v>5755882.3299921071</v>
      </c>
      <c r="P670">
        <f>SUMIF($F$641:$F$669,"&lt;&gt;EV_*",$P$641:$P$669)</f>
        <v>0</v>
      </c>
      <c r="Q670">
        <f>SUMIF($F$641:$F$669,"&lt;&gt;EV_*",$Q$641:$Q$669)</f>
        <v>5755882.3299921071</v>
      </c>
      <c r="R670">
        <f>SUMIF($F$641:$F$669,"&lt;&gt;EV_*",$R$641:$R$669)</f>
        <v>6128026</v>
      </c>
      <c r="S670">
        <f>SUMIF($F$641:$F$669,"&lt;&gt;EV_*",$S$641:$S$669)</f>
        <v>372143.67000789265</v>
      </c>
      <c r="T670">
        <v>0</v>
      </c>
      <c r="U670">
        <f>SUMIF($F$641:$F$669,"&lt;&gt;EV_*",$U$641:$U$669)</f>
        <v>53432.94</v>
      </c>
      <c r="V670">
        <f>SUMIF($F$641:$F$669,"&lt;&gt;EV_*",$V$641:$V$669)</f>
        <v>6181458.9399999995</v>
      </c>
      <c r="W670">
        <f>SUMIF($F$641:$F$669,"&lt;&gt;EV_*",$W$641:$W$669)</f>
        <v>425576.6100078926</v>
      </c>
      <c r="X670">
        <f>SUMIF($F$641:$F$669,"&lt;&gt;EV_*",$X$641:$X$669)</f>
        <v>0</v>
      </c>
    </row>
    <row r="671" spans="1:24" x14ac:dyDescent="0.3">
      <c r="A671" t="s">
        <v>552</v>
      </c>
      <c r="B671" t="s">
        <v>580</v>
      </c>
      <c r="C671">
        <v>29691010</v>
      </c>
      <c r="D671" t="s">
        <v>155</v>
      </c>
      <c r="E671" t="s">
        <v>5</v>
      </c>
      <c r="F671" t="s">
        <v>5</v>
      </c>
      <c r="G671" t="s">
        <v>406</v>
      </c>
    </row>
    <row r="672" spans="1:24" x14ac:dyDescent="0.3">
      <c r="A672" t="s">
        <v>552</v>
      </c>
      <c r="B672" t="s">
        <v>580</v>
      </c>
      <c r="C672">
        <v>29691010</v>
      </c>
      <c r="D672" t="s">
        <v>155</v>
      </c>
      <c r="E672" t="s">
        <v>156</v>
      </c>
      <c r="F672" t="s">
        <v>1</v>
      </c>
      <c r="G672" t="s">
        <v>407</v>
      </c>
      <c r="H672" t="s">
        <v>408</v>
      </c>
      <c r="I672" t="s">
        <v>1</v>
      </c>
      <c r="J672">
        <v>171.2</v>
      </c>
      <c r="K672">
        <v>357.9375</v>
      </c>
      <c r="L672">
        <v>303.35000000000002</v>
      </c>
      <c r="M672">
        <v>611.72790055248618</v>
      </c>
      <c r="N672">
        <v>303.35000000000002</v>
      </c>
      <c r="O672">
        <v>611.72790055250005</v>
      </c>
      <c r="P672">
        <v>0</v>
      </c>
      <c r="Q672">
        <f t="shared" ref="Q672:Q687" si="135">O672+P672</f>
        <v>611.72790055250005</v>
      </c>
      <c r="R672">
        <v>611.72790055250005</v>
      </c>
      <c r="S672">
        <f t="shared" ref="S672:S687" si="136">IF(OR(LEFT(E672,2)="A_",LEFT(D672,5)="Total"),R672-Q672,"")</f>
        <v>0</v>
      </c>
      <c r="T672">
        <v>3.7499999999999999E-2</v>
      </c>
      <c r="U672">
        <f t="shared" ref="U672:U687" si="137">IFERROR(R672*T672,R672*0)</f>
        <v>22.939796270718752</v>
      </c>
      <c r="V672">
        <f t="shared" ref="V672:V687" si="138">IF(OR(LEFT(E672,2)="A_",LEFT(D672,5)="Total"),R672+U672,"")</f>
        <v>634.66769682321876</v>
      </c>
      <c r="W672">
        <f t="shared" ref="W672:W687" si="139">IF(OR(LEFT(E672,2)="A_",LEFT(D672,5)="Total"),V672-Q672,"")</f>
        <v>22.939796270718716</v>
      </c>
      <c r="X672">
        <v>0</v>
      </c>
    </row>
    <row r="673" spans="1:24" x14ac:dyDescent="0.3">
      <c r="A673" t="s">
        <v>552</v>
      </c>
      <c r="B673" t="s">
        <v>580</v>
      </c>
      <c r="C673">
        <v>29691010</v>
      </c>
      <c r="D673" t="s">
        <v>155</v>
      </c>
      <c r="E673" t="s">
        <v>9</v>
      </c>
      <c r="F673" t="s">
        <v>1</v>
      </c>
      <c r="G673" t="s">
        <v>407</v>
      </c>
      <c r="H673" t="s">
        <v>180</v>
      </c>
      <c r="I673" t="s">
        <v>1</v>
      </c>
      <c r="J673">
        <v>81466.960000000006</v>
      </c>
      <c r="K673">
        <v>79909.146000000401</v>
      </c>
      <c r="L673">
        <v>40592.06</v>
      </c>
      <c r="M673">
        <v>81856.91657458563</v>
      </c>
      <c r="N673">
        <v>83846.569999999992</v>
      </c>
      <c r="O673">
        <v>81856.916574585601</v>
      </c>
      <c r="P673">
        <v>0</v>
      </c>
      <c r="Q673">
        <f t="shared" si="135"/>
        <v>81856.916574585601</v>
      </c>
      <c r="R673">
        <v>81856.916574585601</v>
      </c>
      <c r="S673">
        <f t="shared" si="136"/>
        <v>0</v>
      </c>
      <c r="T673">
        <v>3.6999999999999998E-2</v>
      </c>
      <c r="U673">
        <f t="shared" si="137"/>
        <v>3028.7059132596669</v>
      </c>
      <c r="V673">
        <f t="shared" si="138"/>
        <v>84885.622487845263</v>
      </c>
      <c r="W673">
        <f t="shared" si="139"/>
        <v>3028.7059132596623</v>
      </c>
      <c r="X673" t="s">
        <v>546</v>
      </c>
    </row>
    <row r="674" spans="1:24" x14ac:dyDescent="0.3">
      <c r="A674" t="s">
        <v>552</v>
      </c>
      <c r="B674" t="s">
        <v>580</v>
      </c>
      <c r="C674">
        <v>29691010</v>
      </c>
      <c r="D674" t="s">
        <v>155</v>
      </c>
      <c r="E674" t="s">
        <v>157</v>
      </c>
      <c r="F674" t="s">
        <v>1</v>
      </c>
      <c r="G674" t="s">
        <v>407</v>
      </c>
      <c r="H674" t="s">
        <v>409</v>
      </c>
      <c r="I674" t="s">
        <v>1</v>
      </c>
      <c r="J674">
        <v>197992.35</v>
      </c>
      <c r="K674">
        <v>198214.92</v>
      </c>
      <c r="L674">
        <v>106662.59</v>
      </c>
      <c r="M674">
        <v>215093.0682320442</v>
      </c>
      <c r="N674">
        <v>209685.83000000005</v>
      </c>
      <c r="O674">
        <v>215093.068232044</v>
      </c>
      <c r="P674">
        <v>0</v>
      </c>
      <c r="Q674">
        <f t="shared" si="135"/>
        <v>215093.068232044</v>
      </c>
      <c r="R674">
        <v>215093.068232044</v>
      </c>
      <c r="S674">
        <f t="shared" si="136"/>
        <v>0</v>
      </c>
      <c r="T674">
        <v>3.5000000000000003E-2</v>
      </c>
      <c r="U674">
        <f t="shared" si="137"/>
        <v>7528.2573881215403</v>
      </c>
      <c r="V674">
        <f t="shared" si="138"/>
        <v>222621.32562016553</v>
      </c>
      <c r="W674">
        <f t="shared" si="139"/>
        <v>7528.2573881215358</v>
      </c>
      <c r="X674">
        <v>0</v>
      </c>
    </row>
    <row r="675" spans="1:24" x14ac:dyDescent="0.3">
      <c r="A675" t="s">
        <v>552</v>
      </c>
      <c r="B675" t="s">
        <v>580</v>
      </c>
      <c r="C675">
        <v>29691010</v>
      </c>
      <c r="D675" t="s">
        <v>155</v>
      </c>
      <c r="E675" t="s">
        <v>158</v>
      </c>
      <c r="F675" t="s">
        <v>1</v>
      </c>
      <c r="G675" t="s">
        <v>407</v>
      </c>
      <c r="H675" t="s">
        <v>410</v>
      </c>
      <c r="I675" t="s">
        <v>1</v>
      </c>
      <c r="J675">
        <v>11598.06</v>
      </c>
      <c r="K675">
        <v>12474.9800000002</v>
      </c>
      <c r="L675">
        <v>6135.82</v>
      </c>
      <c r="M675">
        <v>12373.338674033148</v>
      </c>
      <c r="N675">
        <v>11518.339999999998</v>
      </c>
      <c r="O675">
        <v>12373.338674033101</v>
      </c>
      <c r="P675">
        <v>0</v>
      </c>
      <c r="Q675">
        <f t="shared" si="135"/>
        <v>12373.338674033101</v>
      </c>
      <c r="R675">
        <v>12373.338674033101</v>
      </c>
      <c r="S675">
        <f t="shared" si="136"/>
        <v>0</v>
      </c>
      <c r="T675">
        <v>3.5000000000000003E-2</v>
      </c>
      <c r="U675">
        <f t="shared" si="137"/>
        <v>433.06685359115858</v>
      </c>
      <c r="V675">
        <f t="shared" si="138"/>
        <v>12806.40552762426</v>
      </c>
      <c r="W675">
        <f t="shared" si="139"/>
        <v>433.06685359115909</v>
      </c>
      <c r="X675">
        <v>0</v>
      </c>
    </row>
    <row r="676" spans="1:24" x14ac:dyDescent="0.3">
      <c r="A676" t="s">
        <v>552</v>
      </c>
      <c r="B676" t="s">
        <v>580</v>
      </c>
      <c r="C676">
        <v>29691010</v>
      </c>
      <c r="D676" t="s">
        <v>155</v>
      </c>
      <c r="E676" t="s">
        <v>159</v>
      </c>
      <c r="F676" t="s">
        <v>1</v>
      </c>
      <c r="G676" t="s">
        <v>407</v>
      </c>
      <c r="H676" t="s">
        <v>411</v>
      </c>
      <c r="I676" t="s">
        <v>1</v>
      </c>
      <c r="J676">
        <v>69412.05</v>
      </c>
      <c r="K676">
        <v>74696.985000000001</v>
      </c>
      <c r="L676">
        <v>36982.25</v>
      </c>
      <c r="M676">
        <v>74577.465469613264</v>
      </c>
      <c r="N676">
        <v>70605.429999999993</v>
      </c>
      <c r="O676">
        <v>74577.465469613293</v>
      </c>
      <c r="P676">
        <v>0</v>
      </c>
      <c r="Q676">
        <f t="shared" si="135"/>
        <v>74577.465469613293</v>
      </c>
      <c r="R676">
        <v>74577.465469613293</v>
      </c>
      <c r="S676">
        <f t="shared" si="136"/>
        <v>0</v>
      </c>
      <c r="T676">
        <v>3.5000000000000003E-2</v>
      </c>
      <c r="U676">
        <f t="shared" si="137"/>
        <v>2610.2112914364657</v>
      </c>
      <c r="V676">
        <f t="shared" si="138"/>
        <v>77187.676761049763</v>
      </c>
      <c r="W676">
        <f t="shared" si="139"/>
        <v>2610.2112914364698</v>
      </c>
      <c r="X676">
        <v>0</v>
      </c>
    </row>
    <row r="677" spans="1:24" x14ac:dyDescent="0.3">
      <c r="A677" t="s">
        <v>552</v>
      </c>
      <c r="B677" t="s">
        <v>580</v>
      </c>
      <c r="C677">
        <v>29691010</v>
      </c>
      <c r="D677" t="s">
        <v>155</v>
      </c>
      <c r="E677" t="s">
        <v>160</v>
      </c>
      <c r="F677" t="s">
        <v>1</v>
      </c>
      <c r="G677" t="s">
        <v>407</v>
      </c>
      <c r="H677" t="s">
        <v>412</v>
      </c>
      <c r="I677" t="s">
        <v>1</v>
      </c>
      <c r="J677">
        <v>16003.23</v>
      </c>
      <c r="K677">
        <v>17822.3400000002</v>
      </c>
      <c r="L677">
        <v>8993.5400000000009</v>
      </c>
      <c r="M677">
        <v>18136.144198895028</v>
      </c>
      <c r="N677">
        <v>16479.189999999999</v>
      </c>
      <c r="O677">
        <v>18136.144198894999</v>
      </c>
      <c r="P677">
        <v>0</v>
      </c>
      <c r="Q677">
        <f t="shared" si="135"/>
        <v>18136.144198894999</v>
      </c>
      <c r="R677">
        <v>18136.144198894999</v>
      </c>
      <c r="S677">
        <f t="shared" si="136"/>
        <v>0</v>
      </c>
      <c r="T677">
        <v>0.04</v>
      </c>
      <c r="U677">
        <f t="shared" si="137"/>
        <v>725.44576795579997</v>
      </c>
      <c r="V677">
        <f t="shared" si="138"/>
        <v>18861.589966850799</v>
      </c>
      <c r="W677">
        <f t="shared" si="139"/>
        <v>725.44576795579997</v>
      </c>
      <c r="X677">
        <v>0</v>
      </c>
    </row>
    <row r="678" spans="1:24" x14ac:dyDescent="0.3">
      <c r="A678" t="s">
        <v>552</v>
      </c>
      <c r="B678" t="s">
        <v>580</v>
      </c>
      <c r="C678">
        <v>29691010</v>
      </c>
      <c r="D678" t="s">
        <v>155</v>
      </c>
      <c r="E678" t="s">
        <v>77</v>
      </c>
      <c r="F678" t="s">
        <v>1</v>
      </c>
      <c r="G678" t="s">
        <v>407</v>
      </c>
      <c r="H678" t="s">
        <v>283</v>
      </c>
      <c r="I678" t="s">
        <v>1</v>
      </c>
      <c r="J678">
        <v>29676.9</v>
      </c>
      <c r="K678">
        <v>26280.299999999901</v>
      </c>
      <c r="L678">
        <v>18420.3</v>
      </c>
      <c r="M678">
        <v>37145.908839779004</v>
      </c>
      <c r="N678">
        <v>35320.369999999995</v>
      </c>
      <c r="O678">
        <v>37145.908839778996</v>
      </c>
      <c r="P678">
        <v>0</v>
      </c>
      <c r="Q678">
        <f t="shared" si="135"/>
        <v>37145.908839778996</v>
      </c>
      <c r="R678">
        <v>26280.299999999901</v>
      </c>
      <c r="S678">
        <f t="shared" si="136"/>
        <v>-10865.608839779095</v>
      </c>
      <c r="T678">
        <v>0.02</v>
      </c>
      <c r="U678">
        <f t="shared" si="137"/>
        <v>525.60599999999806</v>
      </c>
      <c r="V678">
        <f t="shared" si="138"/>
        <v>26805.905999999901</v>
      </c>
      <c r="W678">
        <f t="shared" si="139"/>
        <v>-10340.002839779096</v>
      </c>
      <c r="X678">
        <v>0</v>
      </c>
    </row>
    <row r="679" spans="1:24" x14ac:dyDescent="0.3">
      <c r="A679" t="s">
        <v>552</v>
      </c>
      <c r="B679" t="s">
        <v>580</v>
      </c>
      <c r="C679">
        <v>29691010</v>
      </c>
      <c r="D679" t="s">
        <v>155</v>
      </c>
      <c r="E679" t="s">
        <v>161</v>
      </c>
      <c r="F679" t="s">
        <v>1</v>
      </c>
      <c r="G679" t="s">
        <v>407</v>
      </c>
      <c r="H679" t="s">
        <v>413</v>
      </c>
      <c r="I679" t="s">
        <v>1</v>
      </c>
      <c r="J679">
        <v>7892</v>
      </c>
      <c r="K679">
        <v>9156.1599999998998</v>
      </c>
      <c r="L679">
        <v>4214</v>
      </c>
      <c r="M679">
        <v>8497.8453038674033</v>
      </c>
      <c r="N679">
        <v>7740</v>
      </c>
      <c r="O679">
        <v>8497.8453038673997</v>
      </c>
      <c r="P679">
        <v>0</v>
      </c>
      <c r="Q679">
        <f t="shared" si="135"/>
        <v>8497.8453038673997</v>
      </c>
      <c r="R679">
        <v>8497.8453038673997</v>
      </c>
      <c r="S679">
        <f t="shared" si="136"/>
        <v>0</v>
      </c>
      <c r="T679">
        <v>0.04</v>
      </c>
      <c r="U679">
        <f t="shared" si="137"/>
        <v>339.91381215469602</v>
      </c>
      <c r="V679">
        <f t="shared" si="138"/>
        <v>8837.7591160220964</v>
      </c>
      <c r="W679">
        <f t="shared" si="139"/>
        <v>339.91381215469664</v>
      </c>
      <c r="X679">
        <v>0</v>
      </c>
    </row>
    <row r="680" spans="1:24" x14ac:dyDescent="0.3">
      <c r="A680" t="s">
        <v>552</v>
      </c>
      <c r="B680" t="s">
        <v>580</v>
      </c>
      <c r="C680">
        <v>29691010</v>
      </c>
      <c r="D680" t="s">
        <v>155</v>
      </c>
      <c r="E680" t="s">
        <v>162</v>
      </c>
      <c r="F680" t="s">
        <v>1</v>
      </c>
      <c r="G680" t="s">
        <v>407</v>
      </c>
      <c r="H680" t="s">
        <v>414</v>
      </c>
      <c r="I680" t="s">
        <v>1</v>
      </c>
      <c r="J680">
        <v>-6249.12</v>
      </c>
      <c r="L680">
        <v>-1473.97</v>
      </c>
      <c r="M680">
        <v>-2972.37044198895</v>
      </c>
      <c r="N680">
        <v>-7723.09</v>
      </c>
      <c r="O680">
        <v>-2972.370441989</v>
      </c>
      <c r="P680">
        <v>0</v>
      </c>
      <c r="Q680">
        <f t="shared" si="135"/>
        <v>-2972.370441989</v>
      </c>
      <c r="R680">
        <v>-2972.370441989</v>
      </c>
      <c r="S680">
        <f t="shared" si="136"/>
        <v>0</v>
      </c>
      <c r="U680">
        <f t="shared" si="137"/>
        <v>0</v>
      </c>
      <c r="V680">
        <f t="shared" si="138"/>
        <v>-2972.370441989</v>
      </c>
      <c r="W680">
        <f t="shared" si="139"/>
        <v>0</v>
      </c>
      <c r="X680">
        <v>0</v>
      </c>
    </row>
    <row r="681" spans="1:24" x14ac:dyDescent="0.3">
      <c r="A681" t="s">
        <v>552</v>
      </c>
      <c r="B681" t="s">
        <v>580</v>
      </c>
      <c r="C681">
        <v>29691010</v>
      </c>
      <c r="D681" t="s">
        <v>155</v>
      </c>
      <c r="E681" t="s">
        <v>17</v>
      </c>
      <c r="F681" t="s">
        <v>1</v>
      </c>
      <c r="G681" t="s">
        <v>407</v>
      </c>
      <c r="H681" t="s">
        <v>188</v>
      </c>
      <c r="I681" t="s">
        <v>1</v>
      </c>
      <c r="J681">
        <v>6363</v>
      </c>
      <c r="K681">
        <v>5951.3400000002002</v>
      </c>
      <c r="L681">
        <v>-8909.27</v>
      </c>
      <c r="M681">
        <v>-17966.207458563538</v>
      </c>
      <c r="N681">
        <v>-5411.7199999999993</v>
      </c>
      <c r="O681">
        <v>-17966.207458563498</v>
      </c>
      <c r="P681">
        <v>0</v>
      </c>
      <c r="Q681">
        <f t="shared" si="135"/>
        <v>-17966.207458563498</v>
      </c>
      <c r="R681">
        <v>-17966.207458563498</v>
      </c>
      <c r="S681">
        <f t="shared" si="136"/>
        <v>0</v>
      </c>
      <c r="T681">
        <v>0.03</v>
      </c>
      <c r="U681">
        <f t="shared" si="137"/>
        <v>-538.98622375690491</v>
      </c>
      <c r="V681">
        <f t="shared" si="138"/>
        <v>-18505.193682320401</v>
      </c>
      <c r="W681">
        <f t="shared" si="139"/>
        <v>-538.9862237569032</v>
      </c>
      <c r="X681">
        <v>0</v>
      </c>
    </row>
    <row r="682" spans="1:24" x14ac:dyDescent="0.3">
      <c r="A682" t="s">
        <v>552</v>
      </c>
      <c r="B682" t="s">
        <v>580</v>
      </c>
      <c r="C682">
        <v>29691010</v>
      </c>
      <c r="D682" t="s">
        <v>155</v>
      </c>
      <c r="E682" t="s">
        <v>18</v>
      </c>
      <c r="F682" t="s">
        <v>1</v>
      </c>
      <c r="G682" t="s">
        <v>407</v>
      </c>
      <c r="H682" t="s">
        <v>189</v>
      </c>
      <c r="I682" t="s">
        <v>1</v>
      </c>
      <c r="J682">
        <v>160</v>
      </c>
      <c r="K682">
        <v>900.4499999999</v>
      </c>
      <c r="L682">
        <v>172.8</v>
      </c>
      <c r="M682">
        <v>348.46408839779008</v>
      </c>
      <c r="N682">
        <v>172.8</v>
      </c>
      <c r="O682">
        <v>348.46408839780003</v>
      </c>
      <c r="P682">
        <v>0</v>
      </c>
      <c r="Q682">
        <f t="shared" si="135"/>
        <v>348.46408839780003</v>
      </c>
      <c r="R682">
        <v>500</v>
      </c>
      <c r="S682">
        <f t="shared" si="136"/>
        <v>151.53591160219997</v>
      </c>
      <c r="T682">
        <v>3.5000000000000003E-2</v>
      </c>
      <c r="U682">
        <f t="shared" si="137"/>
        <v>17.5</v>
      </c>
      <c r="V682">
        <f t="shared" si="138"/>
        <v>517.5</v>
      </c>
      <c r="W682">
        <f t="shared" si="139"/>
        <v>169.03591160219997</v>
      </c>
      <c r="X682">
        <v>0</v>
      </c>
    </row>
    <row r="683" spans="1:24" x14ac:dyDescent="0.3">
      <c r="A683" t="s">
        <v>552</v>
      </c>
      <c r="B683" t="s">
        <v>580</v>
      </c>
      <c r="C683">
        <v>29691010</v>
      </c>
      <c r="D683" t="s">
        <v>155</v>
      </c>
      <c r="E683" t="s">
        <v>19</v>
      </c>
      <c r="F683" t="s">
        <v>1</v>
      </c>
      <c r="G683" t="s">
        <v>407</v>
      </c>
      <c r="H683" t="s">
        <v>190</v>
      </c>
      <c r="I683" t="s">
        <v>1</v>
      </c>
      <c r="L683">
        <v>272</v>
      </c>
      <c r="M683">
        <v>548.50828729281761</v>
      </c>
      <c r="N683">
        <v>272</v>
      </c>
      <c r="O683">
        <v>548.50828729279999</v>
      </c>
      <c r="P683">
        <v>0</v>
      </c>
      <c r="Q683">
        <f t="shared" si="135"/>
        <v>548.50828729279999</v>
      </c>
      <c r="R683">
        <v>0</v>
      </c>
      <c r="S683">
        <f t="shared" si="136"/>
        <v>-548.50828729279999</v>
      </c>
      <c r="T683">
        <v>3.5000000000000003E-2</v>
      </c>
      <c r="U683">
        <f t="shared" si="137"/>
        <v>0</v>
      </c>
      <c r="V683">
        <f t="shared" si="138"/>
        <v>0</v>
      </c>
      <c r="W683">
        <f t="shared" si="139"/>
        <v>-548.50828729279999</v>
      </c>
      <c r="X683">
        <v>0</v>
      </c>
    </row>
    <row r="684" spans="1:24" x14ac:dyDescent="0.3">
      <c r="A684" t="s">
        <v>552</v>
      </c>
      <c r="B684" t="s">
        <v>580</v>
      </c>
      <c r="C684">
        <v>29691010</v>
      </c>
      <c r="D684" t="s">
        <v>155</v>
      </c>
      <c r="E684" t="s">
        <v>163</v>
      </c>
      <c r="F684" t="s">
        <v>1</v>
      </c>
      <c r="G684" t="s">
        <v>407</v>
      </c>
      <c r="H684" t="s">
        <v>415</v>
      </c>
      <c r="I684" t="s">
        <v>1</v>
      </c>
      <c r="J684">
        <v>4178.3</v>
      </c>
      <c r="K684">
        <v>-604</v>
      </c>
      <c r="L684">
        <v>0</v>
      </c>
      <c r="M684">
        <v>0</v>
      </c>
      <c r="N684">
        <v>0</v>
      </c>
      <c r="P684">
        <v>0</v>
      </c>
      <c r="Q684">
        <f t="shared" si="135"/>
        <v>0</v>
      </c>
      <c r="R684">
        <v>0</v>
      </c>
      <c r="S684">
        <f t="shared" si="136"/>
        <v>0</v>
      </c>
      <c r="T684">
        <v>3.5000000000000003E-2</v>
      </c>
      <c r="U684">
        <f t="shared" si="137"/>
        <v>0</v>
      </c>
      <c r="V684">
        <f t="shared" si="138"/>
        <v>0</v>
      </c>
      <c r="W684">
        <f t="shared" si="139"/>
        <v>0</v>
      </c>
      <c r="X684">
        <v>0</v>
      </c>
    </row>
    <row r="685" spans="1:24" x14ac:dyDescent="0.3">
      <c r="A685" t="s">
        <v>552</v>
      </c>
      <c r="B685" t="s">
        <v>580</v>
      </c>
      <c r="C685">
        <v>29691010</v>
      </c>
      <c r="D685" t="s">
        <v>155</v>
      </c>
      <c r="E685" t="s">
        <v>36</v>
      </c>
      <c r="F685" t="s">
        <v>1</v>
      </c>
      <c r="G685" t="s">
        <v>407</v>
      </c>
      <c r="H685" t="s">
        <v>207</v>
      </c>
      <c r="I685" t="s">
        <v>1</v>
      </c>
      <c r="J685">
        <v>5690.48</v>
      </c>
      <c r="K685">
        <v>1299.9999999996</v>
      </c>
      <c r="L685">
        <v>2683.71</v>
      </c>
      <c r="M685">
        <v>5411.9013812154699</v>
      </c>
      <c r="N685">
        <v>5406.3600000000006</v>
      </c>
      <c r="O685">
        <v>5367.42</v>
      </c>
      <c r="P685">
        <v>0</v>
      </c>
      <c r="Q685">
        <f t="shared" si="135"/>
        <v>5367.42</v>
      </c>
      <c r="R685">
        <v>5367.42</v>
      </c>
      <c r="S685">
        <f t="shared" si="136"/>
        <v>0</v>
      </c>
      <c r="T685">
        <v>0.03</v>
      </c>
      <c r="U685">
        <f t="shared" si="137"/>
        <v>161.02259999999998</v>
      </c>
      <c r="V685">
        <f t="shared" si="138"/>
        <v>5528.4426000000003</v>
      </c>
      <c r="W685">
        <f t="shared" si="139"/>
        <v>161.02260000000024</v>
      </c>
      <c r="X685">
        <v>0</v>
      </c>
    </row>
    <row r="686" spans="1:24" x14ac:dyDescent="0.3">
      <c r="A686" t="s">
        <v>552</v>
      </c>
      <c r="B686" t="s">
        <v>580</v>
      </c>
      <c r="C686">
        <v>29691010</v>
      </c>
      <c r="D686" t="s">
        <v>155</v>
      </c>
      <c r="E686" t="s">
        <v>41</v>
      </c>
      <c r="F686" t="s">
        <v>1</v>
      </c>
      <c r="G686" t="s">
        <v>407</v>
      </c>
      <c r="H686" t="s">
        <v>212</v>
      </c>
      <c r="I686" t="s">
        <v>1</v>
      </c>
      <c r="J686">
        <v>445.5</v>
      </c>
      <c r="L686">
        <v>0</v>
      </c>
      <c r="M686">
        <v>0</v>
      </c>
      <c r="N686">
        <v>445.5</v>
      </c>
      <c r="P686">
        <v>0</v>
      </c>
      <c r="Q686">
        <f t="shared" si="135"/>
        <v>0</v>
      </c>
      <c r="R686">
        <v>0</v>
      </c>
      <c r="S686">
        <f t="shared" si="136"/>
        <v>0</v>
      </c>
      <c r="T686">
        <v>0.03</v>
      </c>
      <c r="U686">
        <f t="shared" si="137"/>
        <v>0</v>
      </c>
      <c r="V686">
        <f t="shared" si="138"/>
        <v>0</v>
      </c>
      <c r="W686">
        <f t="shared" si="139"/>
        <v>0</v>
      </c>
      <c r="X686">
        <v>0</v>
      </c>
    </row>
    <row r="687" spans="1:24" x14ac:dyDescent="0.3">
      <c r="A687" t="s">
        <v>552</v>
      </c>
      <c r="B687" t="s">
        <v>580</v>
      </c>
      <c r="C687">
        <v>29691010</v>
      </c>
      <c r="D687" t="s">
        <v>155</v>
      </c>
      <c r="E687" t="s">
        <v>44</v>
      </c>
      <c r="F687" t="s">
        <v>1</v>
      </c>
      <c r="G687" t="s">
        <v>407</v>
      </c>
      <c r="H687" t="s">
        <v>215</v>
      </c>
      <c r="I687" t="s">
        <v>1</v>
      </c>
      <c r="J687">
        <v>360.41</v>
      </c>
      <c r="K687">
        <v>330.00000000009999</v>
      </c>
      <c r="L687">
        <v>196.59</v>
      </c>
      <c r="M687">
        <v>396.43839779005532</v>
      </c>
      <c r="N687">
        <v>393.16999999999996</v>
      </c>
      <c r="O687">
        <v>396.4383977901</v>
      </c>
      <c r="P687">
        <v>0</v>
      </c>
      <c r="Q687">
        <f t="shared" si="135"/>
        <v>396.4383977901</v>
      </c>
      <c r="R687">
        <v>396.4383977901</v>
      </c>
      <c r="S687">
        <f t="shared" si="136"/>
        <v>0</v>
      </c>
      <c r="U687">
        <f t="shared" si="137"/>
        <v>0</v>
      </c>
      <c r="V687">
        <f t="shared" si="138"/>
        <v>396.4383977901</v>
      </c>
      <c r="W687">
        <f t="shared" si="139"/>
        <v>0</v>
      </c>
      <c r="X687">
        <v>0</v>
      </c>
    </row>
    <row r="688" spans="1:24" x14ac:dyDescent="0.3">
      <c r="A688" t="s">
        <v>552</v>
      </c>
      <c r="B688" t="s">
        <v>580</v>
      </c>
      <c r="C688">
        <v>29691010</v>
      </c>
      <c r="D688" t="s">
        <v>155</v>
      </c>
      <c r="E688" t="s">
        <v>45</v>
      </c>
      <c r="F688" t="s">
        <v>45</v>
      </c>
      <c r="G688" t="s">
        <v>416</v>
      </c>
      <c r="J688">
        <v>425161.31999999995</v>
      </c>
      <c r="K688">
        <v>426790.55850000039</v>
      </c>
      <c r="L688">
        <v>215245.77</v>
      </c>
      <c r="M688">
        <v>434059.1494475138</v>
      </c>
      <c r="N688">
        <v>429054.10000000003</v>
      </c>
      <c r="O688">
        <v>434014.66806629812</v>
      </c>
      <c r="P688">
        <f>SUMIF($F$671:$F$687,"&lt;&gt;EV_*",$P$671:$P$687)</f>
        <v>0</v>
      </c>
      <c r="Q688">
        <f>SUMIF($F$671:$F$687,"&lt;&gt;EV_*",$Q$671:$Q$687)</f>
        <v>434014.66806629812</v>
      </c>
      <c r="R688">
        <f>SUMIF($F$671:$F$687,"&lt;&gt;EV_*",$R$671:$R$687)</f>
        <v>422752.08685082843</v>
      </c>
      <c r="S688">
        <f>SUMIF($F$671:$F$687,"&lt;&gt;EV_*",$S$671:$S$687)</f>
        <v>-11262.581215469696</v>
      </c>
      <c r="T688">
        <v>0</v>
      </c>
      <c r="U688">
        <f>SUMIF($F$671:$F$687,"&lt;&gt;EV_*",$U$671:$U$687)</f>
        <v>14853.683199033141</v>
      </c>
      <c r="V688">
        <f>SUMIF($F$671:$F$687,"&lt;&gt;EV_*",$V$671:$V$687)</f>
        <v>437605.77004986152</v>
      </c>
      <c r="W688">
        <f>SUMIF($F$671:$F$687,"&lt;&gt;EV_*",$W$671:$W$687)</f>
        <v>3591.1019835634438</v>
      </c>
      <c r="X688">
        <f>SUMIF($F$671:$F$687,"&lt;&gt;EV_*",$X$671:$X$687)</f>
        <v>0</v>
      </c>
    </row>
    <row r="689" spans="1:24" x14ac:dyDescent="0.3">
      <c r="A689" t="s">
        <v>552</v>
      </c>
      <c r="B689" t="s">
        <v>581</v>
      </c>
      <c r="C689">
        <v>29692010</v>
      </c>
      <c r="D689" t="s">
        <v>164</v>
      </c>
      <c r="E689" t="s">
        <v>5</v>
      </c>
      <c r="F689" t="s">
        <v>5</v>
      </c>
      <c r="G689" t="s">
        <v>417</v>
      </c>
    </row>
    <row r="690" spans="1:24" x14ac:dyDescent="0.3">
      <c r="A690" t="s">
        <v>552</v>
      </c>
      <c r="B690" t="s">
        <v>581</v>
      </c>
      <c r="C690">
        <v>29692010</v>
      </c>
      <c r="D690" t="s">
        <v>164</v>
      </c>
      <c r="E690" t="s">
        <v>7</v>
      </c>
      <c r="F690" t="s">
        <v>1</v>
      </c>
      <c r="G690" t="s">
        <v>418</v>
      </c>
      <c r="H690" t="s">
        <v>178</v>
      </c>
      <c r="I690" t="s">
        <v>1</v>
      </c>
      <c r="J690">
        <v>6705</v>
      </c>
      <c r="K690">
        <v>1800</v>
      </c>
      <c r="L690">
        <v>855</v>
      </c>
      <c r="M690">
        <v>1724.1712707182321</v>
      </c>
      <c r="N690">
        <v>6580</v>
      </c>
      <c r="O690">
        <v>1710</v>
      </c>
      <c r="P690">
        <v>0</v>
      </c>
      <c r="Q690">
        <f t="shared" ref="Q690:Q700" si="140">O690+P690</f>
        <v>1710</v>
      </c>
      <c r="R690">
        <v>0</v>
      </c>
      <c r="S690">
        <f t="shared" ref="S690:S700" si="141">IF(OR(LEFT(E690,2)="A_",LEFT(D690,5)="Total"),R690-Q690,"")</f>
        <v>-1710</v>
      </c>
      <c r="U690">
        <f t="shared" ref="U690:U700" si="142">IFERROR(R690*T690,R690*0)</f>
        <v>0</v>
      </c>
      <c r="V690">
        <f t="shared" ref="V690:V700" si="143">IF(OR(LEFT(E690,2)="A_",LEFT(D690,5)="Total"),R690+U690,"")</f>
        <v>0</v>
      </c>
      <c r="W690">
        <f t="shared" ref="W690:W700" si="144">IF(OR(LEFT(E690,2)="A_",LEFT(D690,5)="Total"),V690-Q690,"")</f>
        <v>-1710</v>
      </c>
      <c r="X690">
        <v>0</v>
      </c>
    </row>
    <row r="691" spans="1:24" x14ac:dyDescent="0.3">
      <c r="A691" t="s">
        <v>552</v>
      </c>
      <c r="B691" t="s">
        <v>581</v>
      </c>
      <c r="C691">
        <v>29692010</v>
      </c>
      <c r="D691" t="s">
        <v>164</v>
      </c>
      <c r="E691" t="s">
        <v>17</v>
      </c>
      <c r="F691" t="s">
        <v>1</v>
      </c>
      <c r="G691" t="s">
        <v>418</v>
      </c>
      <c r="H691" t="s">
        <v>188</v>
      </c>
      <c r="I691" t="s">
        <v>1</v>
      </c>
      <c r="J691">
        <v>353.67</v>
      </c>
      <c r="K691">
        <v>143.80000000019999</v>
      </c>
      <c r="L691">
        <v>185.5</v>
      </c>
      <c r="M691">
        <v>374.07458563535914</v>
      </c>
      <c r="N691">
        <v>442.38</v>
      </c>
      <c r="O691">
        <v>374.07458563540001</v>
      </c>
      <c r="P691">
        <v>0</v>
      </c>
      <c r="Q691">
        <f t="shared" si="140"/>
        <v>374.07458563540001</v>
      </c>
      <c r="R691">
        <v>374.07458563540001</v>
      </c>
      <c r="S691">
        <f t="shared" si="141"/>
        <v>0</v>
      </c>
      <c r="T691">
        <v>0.03</v>
      </c>
      <c r="U691">
        <f t="shared" si="142"/>
        <v>11.222237569061999</v>
      </c>
      <c r="V691">
        <f t="shared" si="143"/>
        <v>385.29682320446199</v>
      </c>
      <c r="W691">
        <f t="shared" si="144"/>
        <v>11.222237569061974</v>
      </c>
      <c r="X691">
        <v>0</v>
      </c>
    </row>
    <row r="692" spans="1:24" x14ac:dyDescent="0.3">
      <c r="A692" t="s">
        <v>552</v>
      </c>
      <c r="B692" t="s">
        <v>581</v>
      </c>
      <c r="C692">
        <v>29692010</v>
      </c>
      <c r="D692" t="s">
        <v>164</v>
      </c>
      <c r="E692" t="s">
        <v>18</v>
      </c>
      <c r="F692" t="s">
        <v>1</v>
      </c>
      <c r="G692" t="s">
        <v>418</v>
      </c>
      <c r="H692" t="s">
        <v>189</v>
      </c>
      <c r="I692" t="s">
        <v>1</v>
      </c>
      <c r="J692">
        <v>18482.07</v>
      </c>
      <c r="K692">
        <v>18230.68</v>
      </c>
      <c r="L692">
        <v>8006.45</v>
      </c>
      <c r="M692">
        <v>16145.603591160221</v>
      </c>
      <c r="N692">
        <v>17671.5</v>
      </c>
      <c r="O692">
        <v>16145.603591160199</v>
      </c>
      <c r="P692">
        <v>0</v>
      </c>
      <c r="Q692">
        <f t="shared" si="140"/>
        <v>16145.603591160199</v>
      </c>
      <c r="R692">
        <v>16145.603591160199</v>
      </c>
      <c r="S692">
        <f t="shared" si="141"/>
        <v>0</v>
      </c>
      <c r="T692">
        <v>3.5000000000000003E-2</v>
      </c>
      <c r="U692">
        <f t="shared" si="142"/>
        <v>565.09612569060698</v>
      </c>
      <c r="V692">
        <f t="shared" si="143"/>
        <v>16710.699716850806</v>
      </c>
      <c r="W692">
        <f t="shared" si="144"/>
        <v>565.09612569060664</v>
      </c>
      <c r="X692">
        <v>0</v>
      </c>
    </row>
    <row r="693" spans="1:24" x14ac:dyDescent="0.3">
      <c r="A693" t="s">
        <v>552</v>
      </c>
      <c r="B693" t="s">
        <v>581</v>
      </c>
      <c r="C693">
        <v>29692010</v>
      </c>
      <c r="D693" t="s">
        <v>164</v>
      </c>
      <c r="E693" t="s">
        <v>19</v>
      </c>
      <c r="F693" t="s">
        <v>1</v>
      </c>
      <c r="G693" t="s">
        <v>418</v>
      </c>
      <c r="H693" t="s">
        <v>190</v>
      </c>
      <c r="I693" t="s">
        <v>1</v>
      </c>
      <c r="L693">
        <v>750</v>
      </c>
      <c r="M693">
        <v>1512.4309392265195</v>
      </c>
      <c r="N693">
        <v>750</v>
      </c>
      <c r="O693">
        <v>1512.4309392265</v>
      </c>
      <c r="P693">
        <v>0</v>
      </c>
      <c r="Q693">
        <f t="shared" si="140"/>
        <v>1512.4309392265</v>
      </c>
      <c r="R693">
        <v>0</v>
      </c>
      <c r="S693">
        <f t="shared" si="141"/>
        <v>-1512.4309392265</v>
      </c>
      <c r="T693">
        <v>3.5000000000000003E-2</v>
      </c>
      <c r="U693">
        <f t="shared" si="142"/>
        <v>0</v>
      </c>
      <c r="V693">
        <f t="shared" si="143"/>
        <v>0</v>
      </c>
      <c r="W693">
        <f t="shared" si="144"/>
        <v>-1512.4309392265</v>
      </c>
      <c r="X693">
        <v>0</v>
      </c>
    </row>
    <row r="694" spans="1:24" x14ac:dyDescent="0.3">
      <c r="A694" t="s">
        <v>552</v>
      </c>
      <c r="B694" t="s">
        <v>581</v>
      </c>
      <c r="C694">
        <v>29692010</v>
      </c>
      <c r="D694" t="s">
        <v>164</v>
      </c>
      <c r="E694" t="s">
        <v>23</v>
      </c>
      <c r="F694" t="s">
        <v>1</v>
      </c>
      <c r="G694" t="s">
        <v>418</v>
      </c>
      <c r="H694" t="s">
        <v>194</v>
      </c>
      <c r="I694" t="s">
        <v>1</v>
      </c>
      <c r="J694">
        <v>80.58</v>
      </c>
      <c r="K694">
        <v>321</v>
      </c>
      <c r="L694">
        <v>280.39999999999998</v>
      </c>
      <c r="M694">
        <v>565.44751381215463</v>
      </c>
      <c r="N694">
        <v>360.97999999999996</v>
      </c>
      <c r="O694">
        <v>560.79999999999995</v>
      </c>
      <c r="P694">
        <v>0</v>
      </c>
      <c r="Q694">
        <f t="shared" si="140"/>
        <v>560.79999999999995</v>
      </c>
      <c r="R694">
        <v>560.79999999999995</v>
      </c>
      <c r="S694">
        <f t="shared" si="141"/>
        <v>0</v>
      </c>
      <c r="U694">
        <f t="shared" si="142"/>
        <v>0</v>
      </c>
      <c r="V694">
        <f t="shared" si="143"/>
        <v>560.79999999999995</v>
      </c>
      <c r="W694">
        <f t="shared" si="144"/>
        <v>0</v>
      </c>
      <c r="X694">
        <v>0</v>
      </c>
    </row>
    <row r="695" spans="1:24" x14ac:dyDescent="0.3">
      <c r="A695" t="s">
        <v>552</v>
      </c>
      <c r="B695" t="s">
        <v>581</v>
      </c>
      <c r="C695">
        <v>29692010</v>
      </c>
      <c r="D695" t="s">
        <v>164</v>
      </c>
      <c r="E695" t="s">
        <v>36</v>
      </c>
      <c r="F695" t="s">
        <v>1</v>
      </c>
      <c r="G695" t="s">
        <v>418</v>
      </c>
      <c r="H695" t="s">
        <v>207</v>
      </c>
      <c r="I695" t="s">
        <v>1</v>
      </c>
      <c r="K695">
        <v>600</v>
      </c>
      <c r="L695">
        <v>409.15</v>
      </c>
      <c r="M695">
        <v>825.08149171270725</v>
      </c>
      <c r="N695">
        <v>409.15</v>
      </c>
      <c r="O695">
        <v>818.3</v>
      </c>
      <c r="P695">
        <v>0</v>
      </c>
      <c r="Q695">
        <f t="shared" si="140"/>
        <v>818.3</v>
      </c>
      <c r="R695">
        <v>818.3</v>
      </c>
      <c r="S695">
        <f t="shared" si="141"/>
        <v>0</v>
      </c>
      <c r="T695">
        <v>0.03</v>
      </c>
      <c r="U695">
        <f t="shared" si="142"/>
        <v>24.548999999999999</v>
      </c>
      <c r="V695">
        <f t="shared" si="143"/>
        <v>842.84899999999993</v>
      </c>
      <c r="W695">
        <f t="shared" si="144"/>
        <v>24.548999999999978</v>
      </c>
      <c r="X695">
        <v>0</v>
      </c>
    </row>
    <row r="696" spans="1:24" x14ac:dyDescent="0.3">
      <c r="A696" t="s">
        <v>552</v>
      </c>
      <c r="B696" t="s">
        <v>581</v>
      </c>
      <c r="C696">
        <v>29692010</v>
      </c>
      <c r="D696" t="s">
        <v>164</v>
      </c>
      <c r="E696" t="s">
        <v>37</v>
      </c>
      <c r="F696" t="s">
        <v>1</v>
      </c>
      <c r="G696" t="s">
        <v>418</v>
      </c>
      <c r="H696" t="s">
        <v>208</v>
      </c>
      <c r="I696" t="s">
        <v>1</v>
      </c>
      <c r="J696">
        <v>36504.54</v>
      </c>
      <c r="K696">
        <v>36504.9999999996</v>
      </c>
      <c r="L696">
        <v>18918.509999999998</v>
      </c>
      <c r="M696">
        <v>38150.586464088396</v>
      </c>
      <c r="N696">
        <v>36542.250000000007</v>
      </c>
      <c r="O696">
        <v>37837.019999999997</v>
      </c>
      <c r="P696">
        <v>0</v>
      </c>
      <c r="Q696">
        <f t="shared" si="140"/>
        <v>37837.019999999997</v>
      </c>
      <c r="R696">
        <v>37837.019999999997</v>
      </c>
      <c r="S696">
        <f t="shared" si="141"/>
        <v>0</v>
      </c>
      <c r="T696">
        <v>0.03</v>
      </c>
      <c r="U696">
        <f t="shared" si="142"/>
        <v>1135.1105999999997</v>
      </c>
      <c r="V696">
        <f t="shared" si="143"/>
        <v>38972.130599999997</v>
      </c>
      <c r="W696">
        <f t="shared" si="144"/>
        <v>1135.1106</v>
      </c>
      <c r="X696" t="s">
        <v>547</v>
      </c>
    </row>
    <row r="697" spans="1:24" x14ac:dyDescent="0.3">
      <c r="A697" t="s">
        <v>552</v>
      </c>
      <c r="B697" t="s">
        <v>581</v>
      </c>
      <c r="C697">
        <v>29692010</v>
      </c>
      <c r="D697" t="s">
        <v>164</v>
      </c>
      <c r="E697" t="s">
        <v>39</v>
      </c>
      <c r="F697" t="s">
        <v>1</v>
      </c>
      <c r="G697" t="s">
        <v>418</v>
      </c>
      <c r="H697" t="s">
        <v>210</v>
      </c>
      <c r="I697" t="s">
        <v>1</v>
      </c>
      <c r="J697">
        <v>38195.660000000003</v>
      </c>
      <c r="K697">
        <v>18170.0000000004</v>
      </c>
      <c r="L697">
        <v>27233.31</v>
      </c>
      <c r="M697">
        <v>54918.000828729288</v>
      </c>
      <c r="N697">
        <v>59126.660000000011</v>
      </c>
      <c r="O697">
        <v>54466.62</v>
      </c>
      <c r="P697">
        <v>0</v>
      </c>
      <c r="Q697">
        <f t="shared" si="140"/>
        <v>54466.62</v>
      </c>
      <c r="R697">
        <v>45000</v>
      </c>
      <c r="S697">
        <f t="shared" si="141"/>
        <v>-9466.6200000000026</v>
      </c>
      <c r="T697">
        <v>0.03</v>
      </c>
      <c r="U697">
        <f t="shared" si="142"/>
        <v>1350</v>
      </c>
      <c r="V697">
        <f t="shared" si="143"/>
        <v>46350</v>
      </c>
      <c r="W697">
        <f t="shared" si="144"/>
        <v>-8116.6200000000026</v>
      </c>
      <c r="X697">
        <v>0</v>
      </c>
    </row>
    <row r="698" spans="1:24" x14ac:dyDescent="0.3">
      <c r="A698" t="s">
        <v>552</v>
      </c>
      <c r="B698" t="s">
        <v>581</v>
      </c>
      <c r="C698">
        <v>29692010</v>
      </c>
      <c r="D698" t="s">
        <v>164</v>
      </c>
      <c r="E698" t="s">
        <v>165</v>
      </c>
      <c r="F698" t="s">
        <v>1</v>
      </c>
      <c r="G698" t="s">
        <v>418</v>
      </c>
      <c r="H698" t="s">
        <v>419</v>
      </c>
      <c r="I698" t="s">
        <v>1</v>
      </c>
      <c r="J698">
        <v>1193156.8899999999</v>
      </c>
      <c r="K698">
        <v>1218672</v>
      </c>
      <c r="L698">
        <v>610958.41</v>
      </c>
      <c r="M698">
        <v>1232043.2024861879</v>
      </c>
      <c r="N698">
        <v>1216561.8399999999</v>
      </c>
      <c r="O698">
        <v>1221916.82</v>
      </c>
      <c r="P698">
        <v>0</v>
      </c>
      <c r="Q698">
        <f t="shared" si="140"/>
        <v>1221916.82</v>
      </c>
      <c r="R698">
        <v>1315942</v>
      </c>
      <c r="S698">
        <f t="shared" si="141"/>
        <v>94025.179999999935</v>
      </c>
      <c r="T698">
        <v>0.03</v>
      </c>
      <c r="U698">
        <f t="shared" si="142"/>
        <v>39478.26</v>
      </c>
      <c r="V698">
        <f t="shared" si="143"/>
        <v>1355420.26</v>
      </c>
      <c r="W698">
        <f t="shared" si="144"/>
        <v>133503.43999999994</v>
      </c>
      <c r="X698" t="s">
        <v>548</v>
      </c>
    </row>
    <row r="699" spans="1:24" x14ac:dyDescent="0.3">
      <c r="A699" t="s">
        <v>552</v>
      </c>
      <c r="B699" t="s">
        <v>581</v>
      </c>
      <c r="C699">
        <v>29692010</v>
      </c>
      <c r="D699" t="s">
        <v>164</v>
      </c>
      <c r="E699" t="s">
        <v>43</v>
      </c>
      <c r="F699" t="s">
        <v>1</v>
      </c>
      <c r="G699" t="s">
        <v>418</v>
      </c>
      <c r="H699" t="s">
        <v>214</v>
      </c>
      <c r="I699" t="s">
        <v>1</v>
      </c>
      <c r="J699">
        <v>253.69</v>
      </c>
      <c r="K699">
        <v>281.00000000040001</v>
      </c>
      <c r="L699">
        <v>144.93</v>
      </c>
      <c r="M699">
        <v>292.2621546961326</v>
      </c>
      <c r="N699">
        <v>258.33</v>
      </c>
      <c r="O699">
        <v>289.86</v>
      </c>
      <c r="P699">
        <v>0</v>
      </c>
      <c r="Q699">
        <f t="shared" si="140"/>
        <v>289.86</v>
      </c>
      <c r="R699">
        <v>289.86</v>
      </c>
      <c r="S699">
        <f t="shared" si="141"/>
        <v>0</v>
      </c>
      <c r="T699">
        <v>0.03</v>
      </c>
      <c r="U699">
        <f t="shared" si="142"/>
        <v>8.6958000000000002</v>
      </c>
      <c r="V699">
        <f t="shared" si="143"/>
        <v>298.55580000000003</v>
      </c>
      <c r="W699">
        <f t="shared" si="144"/>
        <v>8.6958000000000197</v>
      </c>
      <c r="X699">
        <v>0</v>
      </c>
    </row>
    <row r="700" spans="1:24" x14ac:dyDescent="0.3">
      <c r="A700" t="s">
        <v>552</v>
      </c>
      <c r="B700" t="s">
        <v>581</v>
      </c>
      <c r="C700">
        <v>29692010</v>
      </c>
      <c r="D700" t="s">
        <v>164</v>
      </c>
      <c r="E700" t="s">
        <v>44</v>
      </c>
      <c r="F700" t="s">
        <v>1</v>
      </c>
      <c r="G700" t="s">
        <v>418</v>
      </c>
      <c r="H700" t="s">
        <v>215</v>
      </c>
      <c r="I700" t="s">
        <v>1</v>
      </c>
      <c r="J700">
        <v>1907.88</v>
      </c>
      <c r="K700">
        <v>1924.0000000002001</v>
      </c>
      <c r="L700">
        <v>953.94</v>
      </c>
      <c r="M700">
        <v>1923.6911602209948</v>
      </c>
      <c r="N700">
        <v>1907.88</v>
      </c>
      <c r="O700">
        <v>1923.691160221</v>
      </c>
      <c r="P700">
        <v>0</v>
      </c>
      <c r="Q700">
        <f t="shared" si="140"/>
        <v>1923.691160221</v>
      </c>
      <c r="R700">
        <v>1923.691160221</v>
      </c>
      <c r="S700">
        <f t="shared" si="141"/>
        <v>0</v>
      </c>
      <c r="U700">
        <f t="shared" si="142"/>
        <v>0</v>
      </c>
      <c r="V700">
        <f t="shared" si="143"/>
        <v>1923.691160221</v>
      </c>
      <c r="W700">
        <f t="shared" si="144"/>
        <v>0</v>
      </c>
      <c r="X700">
        <v>0</v>
      </c>
    </row>
    <row r="701" spans="1:24" x14ac:dyDescent="0.3">
      <c r="A701" t="s">
        <v>552</v>
      </c>
      <c r="B701" t="s">
        <v>581</v>
      </c>
      <c r="C701">
        <v>29692010</v>
      </c>
      <c r="D701" t="s">
        <v>164</v>
      </c>
      <c r="E701" t="s">
        <v>45</v>
      </c>
      <c r="F701" t="s">
        <v>45</v>
      </c>
      <c r="G701" t="s">
        <v>420</v>
      </c>
      <c r="J701">
        <v>1295639.9799999997</v>
      </c>
      <c r="K701">
        <v>1296647.4800000009</v>
      </c>
      <c r="L701">
        <v>668695.6</v>
      </c>
      <c r="M701">
        <v>1348474.5524861878</v>
      </c>
      <c r="N701">
        <v>1340610.9699999997</v>
      </c>
      <c r="O701">
        <v>1337555.2202762431</v>
      </c>
      <c r="P701">
        <f>SUMIF($F$689:$F$700,"&lt;&gt;EV_*",$P$689:$P$700)</f>
        <v>0</v>
      </c>
      <c r="Q701">
        <f>SUMIF($F$689:$F$700,"&lt;&gt;EV_*",$Q$689:$Q$700)</f>
        <v>1337555.2202762431</v>
      </c>
      <c r="R701">
        <f>SUMIF($F$689:$F$700,"&lt;&gt;EV_*",$R$689:$R$700)</f>
        <v>1418891.3493370167</v>
      </c>
      <c r="S701">
        <f>SUMIF($F$689:$F$700,"&lt;&gt;EV_*",$S$689:$S$700)</f>
        <v>81336.129060773426</v>
      </c>
      <c r="T701">
        <v>0</v>
      </c>
      <c r="U701">
        <f>SUMIF($F$689:$F$700,"&lt;&gt;EV_*",$U$689:$U$700)</f>
        <v>42572.933763259673</v>
      </c>
      <c r="V701">
        <f>SUMIF($F$689:$F$700,"&lt;&gt;EV_*",$V$689:$V$700)</f>
        <v>1461464.2831002763</v>
      </c>
      <c r="W701">
        <f>SUMIF($F$689:$F$700,"&lt;&gt;EV_*",$W$689:$W$700)</f>
        <v>123909.06282403311</v>
      </c>
      <c r="X701">
        <f>SUMIF($F$689:$F$700,"&lt;&gt;EV_*",$X$689:$X$700)</f>
        <v>0</v>
      </c>
    </row>
    <row r="702" spans="1:24" x14ac:dyDescent="0.3">
      <c r="A702" t="s">
        <v>552</v>
      </c>
      <c r="B702" t="s">
        <v>577</v>
      </c>
      <c r="C702">
        <v>29693000</v>
      </c>
      <c r="D702" t="s">
        <v>166</v>
      </c>
      <c r="E702" t="s">
        <v>5</v>
      </c>
      <c r="F702" t="s">
        <v>5</v>
      </c>
      <c r="G702" t="s">
        <v>421</v>
      </c>
    </row>
    <row r="703" spans="1:24" x14ac:dyDescent="0.3">
      <c r="A703" t="s">
        <v>552</v>
      </c>
      <c r="B703" t="s">
        <v>577</v>
      </c>
      <c r="C703">
        <v>29693000</v>
      </c>
      <c r="D703" t="s">
        <v>166</v>
      </c>
      <c r="E703" t="s">
        <v>16</v>
      </c>
      <c r="F703" t="s">
        <v>1</v>
      </c>
      <c r="G703" t="s">
        <v>422</v>
      </c>
      <c r="H703" t="s">
        <v>187</v>
      </c>
      <c r="I703" t="s">
        <v>1</v>
      </c>
      <c r="J703">
        <v>68185</v>
      </c>
      <c r="K703">
        <v>22544.833333333299</v>
      </c>
      <c r="L703">
        <v>75156.13</v>
      </c>
      <c r="M703">
        <v>151557.94171270719</v>
      </c>
      <c r="N703">
        <v>143341.13</v>
      </c>
      <c r="O703">
        <v>151138.151538462</v>
      </c>
      <c r="P703">
        <v>0</v>
      </c>
      <c r="Q703">
        <f>O703+P703</f>
        <v>151138.151538462</v>
      </c>
      <c r="R703">
        <v>150312.25999999995</v>
      </c>
      <c r="S703">
        <f>IF(OR(LEFT(E703,2)="A_",LEFT(D703,5)="Total"),R703-Q703,"")</f>
        <v>-825.89153846204863</v>
      </c>
      <c r="T703">
        <v>0.02</v>
      </c>
      <c r="U703">
        <f>IFERROR(R703*T703,R703*0)</f>
        <v>3006.2451999999989</v>
      </c>
      <c r="V703">
        <f>IF(OR(LEFT(E703,2)="A_",LEFT(D703,5)="Total"),R703+U703,"")</f>
        <v>153318.50519999996</v>
      </c>
      <c r="W703">
        <f>IF(OR(LEFT(E703,2)="A_",LEFT(D703,5)="Total"),V703-Q703,"")</f>
        <v>2180.3536615379562</v>
      </c>
      <c r="X703" t="s">
        <v>549</v>
      </c>
    </row>
    <row r="704" spans="1:24" x14ac:dyDescent="0.3">
      <c r="A704" t="s">
        <v>552</v>
      </c>
      <c r="B704" t="s">
        <v>577</v>
      </c>
      <c r="C704">
        <v>29693000</v>
      </c>
      <c r="D704" t="s">
        <v>166</v>
      </c>
      <c r="E704" t="s">
        <v>17</v>
      </c>
      <c r="F704" t="s">
        <v>1</v>
      </c>
      <c r="G704" t="s">
        <v>422</v>
      </c>
      <c r="H704" t="s">
        <v>188</v>
      </c>
      <c r="I704" t="s">
        <v>1</v>
      </c>
      <c r="L704">
        <v>4950</v>
      </c>
      <c r="M704">
        <v>9982.0441988950279</v>
      </c>
      <c r="N704">
        <v>4950</v>
      </c>
      <c r="O704">
        <v>9982.0441988950006</v>
      </c>
      <c r="P704">
        <v>0</v>
      </c>
      <c r="Q704">
        <f>O704+P704</f>
        <v>9982.0441988950006</v>
      </c>
      <c r="R704">
        <v>0</v>
      </c>
      <c r="S704">
        <f>IF(OR(LEFT(E704,2)="A_",LEFT(D704,5)="Total"),R704-Q704,"")</f>
        <v>-9982.0441988950006</v>
      </c>
      <c r="T704">
        <v>0.03</v>
      </c>
      <c r="U704">
        <f>IFERROR(R704*T704,R704*0)</f>
        <v>0</v>
      </c>
      <c r="V704">
        <f>IF(OR(LEFT(E704,2)="A_",LEFT(D704,5)="Total"),R704+U704,"")</f>
        <v>0</v>
      </c>
      <c r="W704">
        <f>IF(OR(LEFT(E704,2)="A_",LEFT(D704,5)="Total"),V704-Q704,"")</f>
        <v>-9982.0441988950006</v>
      </c>
      <c r="X704" t="s">
        <v>550</v>
      </c>
    </row>
    <row r="705" spans="1:24" x14ac:dyDescent="0.3">
      <c r="A705" t="s">
        <v>552</v>
      </c>
      <c r="B705" t="s">
        <v>577</v>
      </c>
      <c r="C705">
        <v>29693000</v>
      </c>
      <c r="D705" t="s">
        <v>166</v>
      </c>
      <c r="E705" t="s">
        <v>34</v>
      </c>
      <c r="F705" t="s">
        <v>1</v>
      </c>
      <c r="G705" t="s">
        <v>422</v>
      </c>
      <c r="H705" t="s">
        <v>205</v>
      </c>
      <c r="I705" t="s">
        <v>1</v>
      </c>
      <c r="J705">
        <v>3281</v>
      </c>
      <c r="K705">
        <v>2489.0000000004002</v>
      </c>
      <c r="L705">
        <v>0</v>
      </c>
      <c r="M705">
        <v>0</v>
      </c>
      <c r="N705">
        <v>792</v>
      </c>
      <c r="P705">
        <v>0</v>
      </c>
      <c r="Q705">
        <f>O705+P705</f>
        <v>0</v>
      </c>
      <c r="R705">
        <v>0</v>
      </c>
      <c r="S705">
        <f>IF(OR(LEFT(E705,2)="A_",LEFT(D705,5)="Total"),R705-Q705,"")</f>
        <v>0</v>
      </c>
      <c r="T705">
        <v>0.03</v>
      </c>
      <c r="U705">
        <f>IFERROR(R705*T705,R705*0)</f>
        <v>0</v>
      </c>
      <c r="V705">
        <f>IF(OR(LEFT(E705,2)="A_",LEFT(D705,5)="Total"),R705+U705,"")</f>
        <v>0</v>
      </c>
      <c r="W705">
        <f>IF(OR(LEFT(E705,2)="A_",LEFT(D705,5)="Total"),V705-Q705,"")</f>
        <v>0</v>
      </c>
      <c r="X705">
        <v>0</v>
      </c>
    </row>
    <row r="706" spans="1:24" x14ac:dyDescent="0.3">
      <c r="A706" t="s">
        <v>552</v>
      </c>
      <c r="B706" t="s">
        <v>577</v>
      </c>
      <c r="C706">
        <v>29693000</v>
      </c>
      <c r="D706" t="s">
        <v>166</v>
      </c>
      <c r="E706" t="s">
        <v>128</v>
      </c>
      <c r="F706" t="s">
        <v>1</v>
      </c>
      <c r="G706" t="s">
        <v>422</v>
      </c>
      <c r="H706" t="s">
        <v>348</v>
      </c>
      <c r="I706" t="s">
        <v>1</v>
      </c>
      <c r="J706">
        <v>222380.44</v>
      </c>
      <c r="K706">
        <v>204971.49</v>
      </c>
      <c r="L706">
        <v>91112.03</v>
      </c>
      <c r="M706">
        <v>183734.20414364641</v>
      </c>
      <c r="N706">
        <v>203847.05</v>
      </c>
      <c r="O706">
        <v>182224.06</v>
      </c>
      <c r="P706">
        <v>0</v>
      </c>
      <c r="Q706">
        <f>O706+P706</f>
        <v>182224.06</v>
      </c>
      <c r="R706">
        <v>234000</v>
      </c>
      <c r="S706">
        <f>IF(OR(LEFT(E706,2)="A_",LEFT(D706,5)="Total"),R706-Q706,"")</f>
        <v>51775.94</v>
      </c>
      <c r="T706">
        <v>0.03</v>
      </c>
      <c r="U706">
        <f>IFERROR(R706*T706,R706*0)</f>
        <v>7020</v>
      </c>
      <c r="V706">
        <f>IF(OR(LEFT(E706,2)="A_",LEFT(D706,5)="Total"),R706+U706,"")</f>
        <v>241020</v>
      </c>
      <c r="W706">
        <f>IF(OR(LEFT(E706,2)="A_",LEFT(D706,5)="Total"),V706-Q706,"")</f>
        <v>58795.94</v>
      </c>
      <c r="X706" t="s">
        <v>551</v>
      </c>
    </row>
    <row r="707" spans="1:24" x14ac:dyDescent="0.3">
      <c r="A707" t="s">
        <v>552</v>
      </c>
      <c r="B707" t="s">
        <v>577</v>
      </c>
      <c r="C707">
        <v>29693000</v>
      </c>
      <c r="D707" t="s">
        <v>166</v>
      </c>
      <c r="E707" t="s">
        <v>45</v>
      </c>
      <c r="F707" t="s">
        <v>45</v>
      </c>
      <c r="G707" t="s">
        <v>423</v>
      </c>
      <c r="J707">
        <v>293846.44</v>
      </c>
      <c r="K707">
        <v>230005.32333333368</v>
      </c>
      <c r="L707">
        <v>171218.16</v>
      </c>
      <c r="M707">
        <v>345274.19005524862</v>
      </c>
      <c r="N707">
        <v>352930.18</v>
      </c>
      <c r="O707">
        <v>343344.25573735696</v>
      </c>
      <c r="P707">
        <f>SUMIF($F$702:$F$706,"&lt;&gt;EV_*",$P$702:$P$706)</f>
        <v>0</v>
      </c>
      <c r="Q707">
        <f>SUMIF($F$702:$F$706,"&lt;&gt;EV_*",$Q$702:$Q$706)</f>
        <v>343344.25573735696</v>
      </c>
      <c r="R707">
        <f>SUMIF($F$702:$F$706,"&lt;&gt;EV_*",$R$702:$R$706)</f>
        <v>384312.25999999995</v>
      </c>
      <c r="S707">
        <f>SUMIF($F$702:$F$706,"&lt;&gt;EV_*",$S$702:$S$706)</f>
        <v>40968.004262642949</v>
      </c>
      <c r="T707">
        <v>0</v>
      </c>
      <c r="U707">
        <f>SUMIF($F$702:$F$706,"&lt;&gt;EV_*",$U$702:$U$706)</f>
        <v>10026.245199999999</v>
      </c>
      <c r="V707">
        <f>SUMIF($F$702:$F$706,"&lt;&gt;EV_*",$V$702:$V$706)</f>
        <v>394338.50519999996</v>
      </c>
      <c r="W707">
        <f>SUMIF($F$702:$F$706,"&lt;&gt;EV_*",$W$702:$W$706)</f>
        <v>50994.249462642954</v>
      </c>
      <c r="X707">
        <f>SUMIF($F$702:$F$706,"&lt;&gt;EV_*",$X$702:$X$706)</f>
        <v>0</v>
      </c>
    </row>
    <row r="708" spans="1:24" x14ac:dyDescent="0.3">
      <c r="A708" t="s">
        <v>552</v>
      </c>
      <c r="B708" t="s">
        <v>552</v>
      </c>
      <c r="C708">
        <v>29693050</v>
      </c>
      <c r="D708" t="s">
        <v>167</v>
      </c>
      <c r="E708" t="s">
        <v>5</v>
      </c>
      <c r="F708" t="s">
        <v>5</v>
      </c>
      <c r="G708" t="s">
        <v>424</v>
      </c>
    </row>
    <row r="709" spans="1:24" x14ac:dyDescent="0.3">
      <c r="A709" t="s">
        <v>552</v>
      </c>
      <c r="B709" t="s">
        <v>552</v>
      </c>
      <c r="C709">
        <v>29693050</v>
      </c>
      <c r="D709" t="s">
        <v>167</v>
      </c>
      <c r="E709" t="s">
        <v>15</v>
      </c>
      <c r="F709" t="s">
        <v>1</v>
      </c>
      <c r="G709" t="s">
        <v>425</v>
      </c>
      <c r="H709" t="s">
        <v>186</v>
      </c>
      <c r="I709" t="s">
        <v>1</v>
      </c>
      <c r="J709">
        <v>-312.64</v>
      </c>
      <c r="L709">
        <v>-632.02</v>
      </c>
      <c r="M709">
        <v>-1274.5154696132597</v>
      </c>
      <c r="N709">
        <v>-944.65999999999985</v>
      </c>
      <c r="O709">
        <v>-1270.9852747253001</v>
      </c>
      <c r="P709">
        <v>0</v>
      </c>
      <c r="Q709">
        <f>O709+P709</f>
        <v>-1270.9852747253001</v>
      </c>
      <c r="R709">
        <v>-1270.9852747253001</v>
      </c>
      <c r="S709">
        <f>IF(OR(LEFT(E709,2)="A_",LEFT(D709,5)="Total"),R709-Q709,"")</f>
        <v>0</v>
      </c>
      <c r="U709">
        <f>IFERROR(R709*T709,R709*0)</f>
        <v>0</v>
      </c>
      <c r="V709">
        <f>IF(OR(LEFT(E709,2)="A_",LEFT(D709,5)="Total"),R709+U709,"")</f>
        <v>-1270.9852747253001</v>
      </c>
      <c r="W709">
        <f>IF(OR(LEFT(E709,2)="A_",LEFT(D709,5)="Total"),V709-Q709,"")</f>
        <v>0</v>
      </c>
      <c r="X709">
        <v>0</v>
      </c>
    </row>
    <row r="710" spans="1:24" x14ac:dyDescent="0.3">
      <c r="A710" t="s">
        <v>552</v>
      </c>
      <c r="B710" t="s">
        <v>552</v>
      </c>
      <c r="C710">
        <v>29693050</v>
      </c>
      <c r="D710" t="s">
        <v>167</v>
      </c>
      <c r="E710" t="s">
        <v>59</v>
      </c>
      <c r="F710" t="s">
        <v>1</v>
      </c>
      <c r="G710" t="s">
        <v>425</v>
      </c>
      <c r="H710" t="s">
        <v>243</v>
      </c>
      <c r="I710" t="s">
        <v>1</v>
      </c>
      <c r="J710">
        <v>62871.83</v>
      </c>
      <c r="K710">
        <v>53997.15</v>
      </c>
      <c r="L710">
        <v>27373.84</v>
      </c>
      <c r="M710">
        <v>55201.390055248616</v>
      </c>
      <c r="N710">
        <v>60507.450000000004</v>
      </c>
      <c r="O710">
        <v>54747.68</v>
      </c>
      <c r="P710">
        <v>0</v>
      </c>
      <c r="Q710">
        <f>O710+P710</f>
        <v>54747.68</v>
      </c>
      <c r="R710">
        <v>54747.68</v>
      </c>
      <c r="S710">
        <f>IF(OR(LEFT(E710,2)="A_",LEFT(D710,5)="Total"),R710-Q710,"")</f>
        <v>0</v>
      </c>
      <c r="T710">
        <v>0.03</v>
      </c>
      <c r="U710">
        <f>IFERROR(R710*T710,R710*0)</f>
        <v>1642.4304</v>
      </c>
      <c r="V710">
        <f>IF(OR(LEFT(E710,2)="A_",LEFT(D710,5)="Total"),R710+U710,"")</f>
        <v>56390.110399999998</v>
      </c>
      <c r="W710">
        <f>IF(OR(LEFT(E710,2)="A_",LEFT(D710,5)="Total"),V710-Q710,"")</f>
        <v>1642.4303999999975</v>
      </c>
      <c r="X710">
        <v>0</v>
      </c>
    </row>
    <row r="711" spans="1:24" x14ac:dyDescent="0.3">
      <c r="A711" t="s">
        <v>552</v>
      </c>
      <c r="B711" t="s">
        <v>552</v>
      </c>
      <c r="C711">
        <v>29693050</v>
      </c>
      <c r="D711" t="s">
        <v>167</v>
      </c>
      <c r="E711" t="s">
        <v>44</v>
      </c>
      <c r="F711" t="s">
        <v>1</v>
      </c>
      <c r="G711" t="s">
        <v>425</v>
      </c>
      <c r="H711" t="s">
        <v>215</v>
      </c>
      <c r="I711" t="s">
        <v>1</v>
      </c>
      <c r="J711">
        <v>2600</v>
      </c>
      <c r="K711">
        <v>18148.999999999902</v>
      </c>
      <c r="L711">
        <v>40800.44</v>
      </c>
      <c r="M711">
        <v>82277.130386740333</v>
      </c>
      <c r="N711">
        <v>34400.440000000031</v>
      </c>
      <c r="O711">
        <v>82277.130386740304</v>
      </c>
      <c r="P711">
        <v>0</v>
      </c>
      <c r="Q711">
        <f>O711+P711</f>
        <v>82277.130386740304</v>
      </c>
      <c r="R711">
        <v>82277.130386740304</v>
      </c>
      <c r="S711">
        <f>IF(OR(LEFT(E711,2)="A_",LEFT(D711,5)="Total"),R711-Q711,"")</f>
        <v>0</v>
      </c>
      <c r="U711">
        <f>IFERROR(R711*T711,R711*0)</f>
        <v>0</v>
      </c>
      <c r="V711">
        <f>IF(OR(LEFT(E711,2)="A_",LEFT(D711,5)="Total"),R711+U711,"")</f>
        <v>82277.130386740304</v>
      </c>
      <c r="W711">
        <f>IF(OR(LEFT(E711,2)="A_",LEFT(D711,5)="Total"),V711-Q711,"")</f>
        <v>0</v>
      </c>
      <c r="X711">
        <v>0</v>
      </c>
    </row>
    <row r="712" spans="1:24" x14ac:dyDescent="0.3">
      <c r="A712" t="s">
        <v>552</v>
      </c>
      <c r="B712" t="s">
        <v>552</v>
      </c>
      <c r="C712">
        <v>29693050</v>
      </c>
      <c r="D712" t="s">
        <v>167</v>
      </c>
      <c r="E712" t="s">
        <v>45</v>
      </c>
      <c r="F712" t="s">
        <v>45</v>
      </c>
      <c r="G712" t="s">
        <v>426</v>
      </c>
      <c r="J712">
        <v>65159.19</v>
      </c>
      <c r="K712">
        <v>72146.149999999907</v>
      </c>
      <c r="L712">
        <v>67542.260000000009</v>
      </c>
      <c r="M712">
        <v>136204.0049723757</v>
      </c>
      <c r="N712">
        <v>93963.23000000004</v>
      </c>
      <c r="O712">
        <v>135753.82511201501</v>
      </c>
      <c r="P712">
        <f>SUMIF($F$708:$F$711,"&lt;&gt;EV_*",$P$708:$P$711)</f>
        <v>0</v>
      </c>
      <c r="Q712">
        <f>SUMIF($F$708:$F$711,"&lt;&gt;EV_*",$Q$708:$Q$711)</f>
        <v>135753.82511201501</v>
      </c>
      <c r="R712">
        <f>SUMIF($F$708:$F$711,"&lt;&gt;EV_*",$R$708:$R$711)</f>
        <v>135753.82511201501</v>
      </c>
      <c r="S712">
        <f>SUMIF($F$708:$F$711,"&lt;&gt;EV_*",$S$708:$S$711)</f>
        <v>0</v>
      </c>
      <c r="T712">
        <v>0</v>
      </c>
      <c r="U712">
        <f>SUMIF($F$708:$F$711,"&lt;&gt;EV_*",$U$708:$U$711)</f>
        <v>1642.4304</v>
      </c>
      <c r="V712">
        <f>SUMIF($F$708:$F$711,"&lt;&gt;EV_*",$V$708:$V$711)</f>
        <v>137396.25551201499</v>
      </c>
      <c r="W712">
        <f>SUMIF($F$708:$F$711,"&lt;&gt;EV_*",$W$708:$W$711)</f>
        <v>1642.4303999999975</v>
      </c>
      <c r="X712">
        <f>SUMIF($F$708:$F$711,"&lt;&gt;EV_*",$X$708:$X$711)</f>
        <v>0</v>
      </c>
    </row>
    <row r="713" spans="1:24" x14ac:dyDescent="0.3">
      <c r="A713" t="s">
        <v>552</v>
      </c>
      <c r="B713" t="s">
        <v>552</v>
      </c>
      <c r="C713">
        <v>29699000</v>
      </c>
      <c r="D713" t="s">
        <v>168</v>
      </c>
      <c r="E713" t="s">
        <v>5</v>
      </c>
      <c r="F713" t="s">
        <v>5</v>
      </c>
      <c r="G713" t="s">
        <v>427</v>
      </c>
    </row>
    <row r="714" spans="1:24" x14ac:dyDescent="0.3">
      <c r="A714" t="s">
        <v>552</v>
      </c>
      <c r="B714" t="s">
        <v>552</v>
      </c>
      <c r="C714">
        <v>29699000</v>
      </c>
      <c r="D714" t="s">
        <v>168</v>
      </c>
      <c r="E714" t="s">
        <v>12</v>
      </c>
      <c r="F714" t="s">
        <v>1</v>
      </c>
      <c r="G714" t="s">
        <v>428</v>
      </c>
      <c r="H714" t="s">
        <v>183</v>
      </c>
      <c r="I714" t="s">
        <v>1</v>
      </c>
      <c r="J714">
        <v>300</v>
      </c>
      <c r="K714">
        <v>600</v>
      </c>
      <c r="L714">
        <v>-4116</v>
      </c>
      <c r="M714">
        <v>-8300.2209944751376</v>
      </c>
      <c r="N714">
        <v>-4116</v>
      </c>
      <c r="O714">
        <v>-8232</v>
      </c>
      <c r="P714">
        <v>0</v>
      </c>
      <c r="Q714">
        <f>O714+P714</f>
        <v>-8232</v>
      </c>
      <c r="R714">
        <v>0</v>
      </c>
      <c r="S714">
        <f>IF(OR(LEFT(E714,2)="A_",LEFT(D714,5)="Total"),R714-Q714,"")</f>
        <v>8232</v>
      </c>
      <c r="U714">
        <f>IFERROR(R714*T714,R714*0)</f>
        <v>0</v>
      </c>
      <c r="V714">
        <f>IF(OR(LEFT(E714,2)="A_",LEFT(D714,5)="Total"),R714+U714,"")</f>
        <v>0</v>
      </c>
      <c r="W714">
        <f>IF(OR(LEFT(E714,2)="A_",LEFT(D714,5)="Total"),V714-Q714,"")</f>
        <v>8232</v>
      </c>
      <c r="X714">
        <v>0</v>
      </c>
    </row>
    <row r="715" spans="1:24" x14ac:dyDescent="0.3">
      <c r="A715" t="s">
        <v>552</v>
      </c>
      <c r="B715" t="s">
        <v>552</v>
      </c>
      <c r="C715">
        <v>29699000</v>
      </c>
      <c r="D715" t="s">
        <v>168</v>
      </c>
      <c r="E715" t="s">
        <v>15</v>
      </c>
      <c r="F715" t="s">
        <v>1</v>
      </c>
      <c r="G715" t="s">
        <v>428</v>
      </c>
      <c r="H715" t="s">
        <v>186</v>
      </c>
      <c r="I715" t="s">
        <v>1</v>
      </c>
      <c r="L715">
        <v>0</v>
      </c>
      <c r="M715">
        <v>0</v>
      </c>
      <c r="N715">
        <v>0</v>
      </c>
      <c r="P715">
        <v>0</v>
      </c>
      <c r="Q715">
        <f>O715+P715</f>
        <v>0</v>
      </c>
      <c r="R715">
        <v>0</v>
      </c>
      <c r="S715">
        <f>IF(OR(LEFT(E715,2)="A_",LEFT(D715,5)="Total"),R715-Q715,"")</f>
        <v>0</v>
      </c>
      <c r="U715">
        <f>IFERROR(R715*T715,R715*0)</f>
        <v>0</v>
      </c>
      <c r="V715">
        <f>IF(OR(LEFT(E715,2)="A_",LEFT(D715,5)="Total"),R715+U715,"")</f>
        <v>0</v>
      </c>
      <c r="W715">
        <f>IF(OR(LEFT(E715,2)="A_",LEFT(D715,5)="Total"),V715-Q715,"")</f>
        <v>0</v>
      </c>
      <c r="X715">
        <v>0</v>
      </c>
    </row>
    <row r="716" spans="1:24" x14ac:dyDescent="0.3">
      <c r="A716" t="s">
        <v>552</v>
      </c>
      <c r="B716" t="s">
        <v>552</v>
      </c>
      <c r="C716">
        <v>29699000</v>
      </c>
      <c r="D716" t="s">
        <v>168</v>
      </c>
      <c r="E716" t="s">
        <v>18</v>
      </c>
      <c r="F716" t="s">
        <v>1</v>
      </c>
      <c r="G716" t="s">
        <v>428</v>
      </c>
      <c r="H716" t="s">
        <v>189</v>
      </c>
      <c r="I716" t="s">
        <v>1</v>
      </c>
      <c r="J716">
        <v>691.98</v>
      </c>
      <c r="L716">
        <v>0</v>
      </c>
      <c r="M716">
        <v>0</v>
      </c>
      <c r="N716">
        <v>0</v>
      </c>
      <c r="P716">
        <v>0</v>
      </c>
      <c r="Q716">
        <f>O716+P716</f>
        <v>0</v>
      </c>
      <c r="R716">
        <v>0</v>
      </c>
      <c r="S716">
        <f>IF(OR(LEFT(E716,2)="A_",LEFT(D716,5)="Total"),R716-Q716,"")</f>
        <v>0</v>
      </c>
      <c r="T716">
        <v>3.5000000000000003E-2</v>
      </c>
      <c r="U716">
        <f>IFERROR(R716*T716,R716*0)</f>
        <v>0</v>
      </c>
      <c r="V716">
        <f>IF(OR(LEFT(E716,2)="A_",LEFT(D716,5)="Total"),R716+U716,"")</f>
        <v>0</v>
      </c>
      <c r="W716">
        <f>IF(OR(LEFT(E716,2)="A_",LEFT(D716,5)="Total"),V716-Q716,"")</f>
        <v>0</v>
      </c>
      <c r="X716">
        <v>0</v>
      </c>
    </row>
    <row r="717" spans="1:24" x14ac:dyDescent="0.3">
      <c r="A717" t="s">
        <v>552</v>
      </c>
      <c r="B717" t="s">
        <v>552</v>
      </c>
      <c r="C717">
        <v>29699000</v>
      </c>
      <c r="D717" t="s">
        <v>168</v>
      </c>
      <c r="E717" t="s">
        <v>54</v>
      </c>
      <c r="F717" t="s">
        <v>1</v>
      </c>
      <c r="G717" t="s">
        <v>428</v>
      </c>
      <c r="H717" t="s">
        <v>230</v>
      </c>
      <c r="I717" t="s">
        <v>1</v>
      </c>
      <c r="K717">
        <v>-399.99999999959999</v>
      </c>
      <c r="L717">
        <v>0</v>
      </c>
      <c r="M717">
        <v>0</v>
      </c>
      <c r="N717">
        <v>0</v>
      </c>
      <c r="P717">
        <v>0</v>
      </c>
      <c r="Q717">
        <f>O717+P717</f>
        <v>0</v>
      </c>
      <c r="R717">
        <v>0</v>
      </c>
      <c r="S717">
        <f>IF(OR(LEFT(E717,2)="A_",LEFT(D717,5)="Total"),R717-Q717,"")</f>
        <v>0</v>
      </c>
      <c r="U717">
        <f>IFERROR(R717*T717,R717*0)</f>
        <v>0</v>
      </c>
      <c r="V717">
        <f>IF(OR(LEFT(E717,2)="A_",LEFT(D717,5)="Total"),R717+U717,"")</f>
        <v>0</v>
      </c>
      <c r="W717">
        <f>IF(OR(LEFT(E717,2)="A_",LEFT(D717,5)="Total"),V717-Q717,"")</f>
        <v>0</v>
      </c>
      <c r="X717">
        <v>0</v>
      </c>
    </row>
    <row r="718" spans="1:24" x14ac:dyDescent="0.3">
      <c r="A718" t="s">
        <v>552</v>
      </c>
      <c r="B718" t="s">
        <v>552</v>
      </c>
      <c r="C718">
        <v>29699000</v>
      </c>
      <c r="D718" t="s">
        <v>168</v>
      </c>
      <c r="E718" t="s">
        <v>23</v>
      </c>
      <c r="F718" t="s">
        <v>1</v>
      </c>
      <c r="G718" t="s">
        <v>428</v>
      </c>
      <c r="H718" t="s">
        <v>194</v>
      </c>
      <c r="I718" t="s">
        <v>1</v>
      </c>
      <c r="J718">
        <v>2564.88</v>
      </c>
      <c r="L718">
        <v>24645</v>
      </c>
      <c r="M718">
        <v>49698.480662983427</v>
      </c>
      <c r="N718">
        <v>24645</v>
      </c>
      <c r="O718">
        <v>49290</v>
      </c>
      <c r="P718">
        <v>0</v>
      </c>
      <c r="Q718">
        <f>O718+P718</f>
        <v>49290</v>
      </c>
      <c r="R718">
        <v>0</v>
      </c>
      <c r="S718">
        <f>IF(OR(LEFT(E718,2)="A_",LEFT(D718,5)="Total"),R718-Q718,"")</f>
        <v>-49290</v>
      </c>
      <c r="U718">
        <f>IFERROR(R718*T718,R718*0)</f>
        <v>0</v>
      </c>
      <c r="V718">
        <f>IF(OR(LEFT(E718,2)="A_",LEFT(D718,5)="Total"),R718+U718,"")</f>
        <v>0</v>
      </c>
      <c r="W718">
        <f>IF(OR(LEFT(E718,2)="A_",LEFT(D718,5)="Total"),V718-Q718,"")</f>
        <v>-49290</v>
      </c>
      <c r="X718">
        <v>0</v>
      </c>
    </row>
    <row r="719" spans="1:24" x14ac:dyDescent="0.3">
      <c r="A719" t="s">
        <v>552</v>
      </c>
      <c r="B719" t="s">
        <v>552</v>
      </c>
      <c r="C719">
        <v>29699000</v>
      </c>
      <c r="D719" t="s">
        <v>168</v>
      </c>
      <c r="E719" t="s">
        <v>45</v>
      </c>
      <c r="F719" t="s">
        <v>45</v>
      </c>
      <c r="G719" t="s">
        <v>429</v>
      </c>
      <c r="J719">
        <v>3556.86</v>
      </c>
      <c r="K719">
        <v>200.00000000040001</v>
      </c>
      <c r="L719">
        <v>20529</v>
      </c>
      <c r="M719">
        <v>41398.25966850829</v>
      </c>
      <c r="N719">
        <v>20529</v>
      </c>
      <c r="O719">
        <v>41058</v>
      </c>
      <c r="P719">
        <f>SUMIF($F$713:$F$718,"&lt;&gt;EV_*",$P$713:$P$718)</f>
        <v>0</v>
      </c>
      <c r="Q719">
        <f>SUMIF($F$713:$F$718,"&lt;&gt;EV_*",$Q$713:$Q$718)</f>
        <v>41058</v>
      </c>
      <c r="R719">
        <f>SUMIF($F$713:$F$718,"&lt;&gt;EV_*",$R$713:$R$718)</f>
        <v>0</v>
      </c>
      <c r="S719">
        <f>SUMIF($F$713:$F$718,"&lt;&gt;EV_*",$S$713:$S$718)</f>
        <v>-41058</v>
      </c>
      <c r="T719">
        <v>0</v>
      </c>
      <c r="U719">
        <f>SUMIF($F$713:$F$718,"&lt;&gt;EV_*",$U$713:$U$718)</f>
        <v>0</v>
      </c>
      <c r="V719">
        <f>SUMIF($F$713:$F$718,"&lt;&gt;EV_*",$V$713:$V$718)</f>
        <v>0</v>
      </c>
      <c r="W719">
        <f>SUMIF($F$713:$F$718,"&lt;&gt;EV_*",$W$713:$W$718)</f>
        <v>-41058</v>
      </c>
      <c r="X719">
        <f>SUMIF($F$713:$F$718,"&lt;&gt;EV_*",$X$713:$X$718)</f>
        <v>0</v>
      </c>
    </row>
    <row r="720" spans="1:24" x14ac:dyDescent="0.3">
      <c r="G720" t="s">
        <v>0</v>
      </c>
      <c r="J720">
        <v>73810695.709999979</v>
      </c>
      <c r="K720">
        <v>76297173.55397816</v>
      </c>
      <c r="L720">
        <v>41959169.450000003</v>
      </c>
      <c r="M720">
        <v>84613794.747237578</v>
      </c>
      <c r="N720">
        <v>79432152.159999996</v>
      </c>
      <c r="O720">
        <v>84445897.284020439</v>
      </c>
      <c r="P720">
        <f>SUMIF($E2:$E719,"EV_AFTER",P2:P719)</f>
        <v>0</v>
      </c>
      <c r="Q720">
        <f>SUMIF($E2:$E719,"EV_AFTER",Q2:Q719)</f>
        <v>84445897.284020439</v>
      </c>
      <c r="R720">
        <f>SUMIF($E2:$E719,"EV_AFTER",R2:R719)</f>
        <v>84175693.471642181</v>
      </c>
      <c r="S720">
        <f>SUMIF($E2:$E719,"EV_AFTER",S2:S719)</f>
        <v>-270203.81237825128</v>
      </c>
      <c r="U720">
        <f>SUMIF($E2:$E719,"EV_AFTER",U2:U719)</f>
        <v>2525459.9422386927</v>
      </c>
      <c r="V720">
        <f>SUMIF($E2:$E719,"EV_AFTER",V2:V719)</f>
        <v>86701153.413880885</v>
      </c>
      <c r="W720">
        <f>SUMIF($E2:$E719,"EV_AFTER",W2:W719)</f>
        <v>2255256.1298604431</v>
      </c>
    </row>
    <row r="723" spans="4:24" x14ac:dyDescent="0.3">
      <c r="G723" t="s">
        <v>169</v>
      </c>
    </row>
    <row r="724" spans="4:24" x14ac:dyDescent="0.3">
      <c r="G724" t="s">
        <v>170</v>
      </c>
      <c r="H724" t="s">
        <v>171</v>
      </c>
      <c r="I724" t="s">
        <v>172</v>
      </c>
      <c r="P724" t="e">
        <f>_xlfn.CONCAT(#REF!," Projection Adj")</f>
        <v>#REF!</v>
      </c>
      <c r="Q724" t="e">
        <f>_xlfn.CONCAT(#REF!," Final Projection")</f>
        <v>#REF!</v>
      </c>
      <c r="R724" t="e">
        <f>_xlfn.CONCAT(#REF!+1," Budget without Inflation")</f>
        <v>#REF!</v>
      </c>
      <c r="S724" t="s">
        <v>2</v>
      </c>
      <c r="V724" t="e">
        <f>_xlfn.CONCAT(#REF!+1," Budget")</f>
        <v>#REF!</v>
      </c>
      <c r="W724" t="s">
        <v>2</v>
      </c>
      <c r="X724" t="s">
        <v>3</v>
      </c>
    </row>
    <row r="725" spans="4:24" x14ac:dyDescent="0.3">
      <c r="D725" t="s">
        <v>430</v>
      </c>
      <c r="E725" t="s">
        <v>430</v>
      </c>
      <c r="F725" t="s">
        <v>1</v>
      </c>
      <c r="I725" t="s">
        <v>1</v>
      </c>
      <c r="Q725">
        <f>P725</f>
        <v>0</v>
      </c>
      <c r="S725">
        <f>R725-Q725</f>
        <v>0</v>
      </c>
      <c r="V725">
        <f>R725</f>
        <v>0</v>
      </c>
      <c r="W725">
        <f>V725-Q725</f>
        <v>0</v>
      </c>
    </row>
    <row r="726" spans="4:24" x14ac:dyDescent="0.3">
      <c r="D726" t="s">
        <v>430</v>
      </c>
      <c r="E726" t="s">
        <v>430</v>
      </c>
      <c r="F726" t="s">
        <v>1</v>
      </c>
      <c r="I726" t="s">
        <v>1</v>
      </c>
      <c r="Q726">
        <f t="shared" ref="Q726:Q734" si="145">P726</f>
        <v>0</v>
      </c>
      <c r="S726">
        <f t="shared" ref="S726:S734" si="146">R726-Q726</f>
        <v>0</v>
      </c>
      <c r="V726">
        <f t="shared" ref="V726:V734" si="147">R726</f>
        <v>0</v>
      </c>
      <c r="W726">
        <f t="shared" ref="W726:W734" si="148">V726-Q726</f>
        <v>0</v>
      </c>
    </row>
    <row r="727" spans="4:24" x14ac:dyDescent="0.3">
      <c r="D727" t="s">
        <v>430</v>
      </c>
      <c r="E727" t="s">
        <v>430</v>
      </c>
      <c r="F727" t="s">
        <v>1</v>
      </c>
      <c r="I727" t="s">
        <v>1</v>
      </c>
      <c r="Q727">
        <f t="shared" si="145"/>
        <v>0</v>
      </c>
      <c r="S727">
        <f>R727-Q727</f>
        <v>0</v>
      </c>
      <c r="V727">
        <f t="shared" si="147"/>
        <v>0</v>
      </c>
      <c r="W727">
        <f t="shared" si="148"/>
        <v>0</v>
      </c>
    </row>
    <row r="728" spans="4:24" x14ac:dyDescent="0.3">
      <c r="D728" t="s">
        <v>430</v>
      </c>
      <c r="E728" t="s">
        <v>430</v>
      </c>
      <c r="F728" t="s">
        <v>1</v>
      </c>
      <c r="I728" t="s">
        <v>1</v>
      </c>
      <c r="Q728">
        <f t="shared" si="145"/>
        <v>0</v>
      </c>
      <c r="S728">
        <f t="shared" si="146"/>
        <v>0</v>
      </c>
      <c r="V728">
        <f t="shared" si="147"/>
        <v>0</v>
      </c>
      <c r="W728">
        <f t="shared" si="148"/>
        <v>0</v>
      </c>
    </row>
    <row r="729" spans="4:24" x14ac:dyDescent="0.3">
      <c r="D729" t="s">
        <v>430</v>
      </c>
      <c r="E729" t="s">
        <v>430</v>
      </c>
      <c r="F729" t="s">
        <v>1</v>
      </c>
      <c r="I729" t="s">
        <v>1</v>
      </c>
      <c r="Q729">
        <f t="shared" si="145"/>
        <v>0</v>
      </c>
      <c r="S729">
        <f t="shared" si="146"/>
        <v>0</v>
      </c>
      <c r="V729">
        <f t="shared" si="147"/>
        <v>0</v>
      </c>
      <c r="W729">
        <f t="shared" si="148"/>
        <v>0</v>
      </c>
    </row>
    <row r="730" spans="4:24" x14ac:dyDescent="0.3">
      <c r="D730" t="s">
        <v>430</v>
      </c>
      <c r="E730" t="s">
        <v>430</v>
      </c>
      <c r="F730" t="s">
        <v>1</v>
      </c>
      <c r="I730" t="s">
        <v>1</v>
      </c>
      <c r="Q730">
        <f t="shared" si="145"/>
        <v>0</v>
      </c>
      <c r="S730">
        <f t="shared" si="146"/>
        <v>0</v>
      </c>
      <c r="V730">
        <f t="shared" si="147"/>
        <v>0</v>
      </c>
      <c r="W730">
        <f t="shared" si="148"/>
        <v>0</v>
      </c>
    </row>
    <row r="731" spans="4:24" x14ac:dyDescent="0.3">
      <c r="D731" t="s">
        <v>430</v>
      </c>
      <c r="E731" t="s">
        <v>430</v>
      </c>
      <c r="F731" t="s">
        <v>1</v>
      </c>
      <c r="I731" t="s">
        <v>1</v>
      </c>
      <c r="Q731">
        <f>P731</f>
        <v>0</v>
      </c>
      <c r="S731">
        <f t="shared" si="146"/>
        <v>0</v>
      </c>
      <c r="V731">
        <f t="shared" si="147"/>
        <v>0</v>
      </c>
      <c r="W731">
        <f t="shared" si="148"/>
        <v>0</v>
      </c>
    </row>
    <row r="732" spans="4:24" x14ac:dyDescent="0.3">
      <c r="D732" t="s">
        <v>430</v>
      </c>
      <c r="E732" t="s">
        <v>430</v>
      </c>
      <c r="F732" t="s">
        <v>1</v>
      </c>
      <c r="I732" t="s">
        <v>1</v>
      </c>
      <c r="Q732">
        <f t="shared" si="145"/>
        <v>0</v>
      </c>
      <c r="S732">
        <f t="shared" si="146"/>
        <v>0</v>
      </c>
      <c r="V732">
        <f t="shared" si="147"/>
        <v>0</v>
      </c>
      <c r="W732">
        <f t="shared" si="148"/>
        <v>0</v>
      </c>
    </row>
    <row r="733" spans="4:24" x14ac:dyDescent="0.3">
      <c r="D733" t="s">
        <v>430</v>
      </c>
      <c r="E733" t="s">
        <v>430</v>
      </c>
      <c r="F733" t="s">
        <v>1</v>
      </c>
      <c r="I733" t="s">
        <v>1</v>
      </c>
      <c r="Q733">
        <f t="shared" si="145"/>
        <v>0</v>
      </c>
      <c r="S733">
        <f t="shared" si="146"/>
        <v>0</v>
      </c>
      <c r="V733">
        <f t="shared" si="147"/>
        <v>0</v>
      </c>
      <c r="W733">
        <f t="shared" si="148"/>
        <v>0</v>
      </c>
    </row>
    <row r="734" spans="4:24" x14ac:dyDescent="0.3">
      <c r="D734" t="s">
        <v>430</v>
      </c>
      <c r="E734" t="s">
        <v>430</v>
      </c>
      <c r="F734" t="s">
        <v>1</v>
      </c>
      <c r="I734" t="s">
        <v>1</v>
      </c>
      <c r="Q734">
        <f t="shared" si="145"/>
        <v>0</v>
      </c>
      <c r="S734">
        <f t="shared" si="146"/>
        <v>0</v>
      </c>
      <c r="V734">
        <f t="shared" si="147"/>
        <v>0</v>
      </c>
      <c r="W734">
        <f t="shared" si="148"/>
        <v>0</v>
      </c>
    </row>
    <row r="735" spans="4:24" x14ac:dyDescent="0.3">
      <c r="G735" t="s">
        <v>173</v>
      </c>
      <c r="P735">
        <f>SUM(P725:P734)</f>
        <v>0</v>
      </c>
      <c r="Q735">
        <f>SUM(Q725:Q734)</f>
        <v>0</v>
      </c>
      <c r="R735">
        <f>SUM(R725:R734)</f>
        <v>0</v>
      </c>
      <c r="S735">
        <f>SUM(S725:S734)</f>
        <v>0</v>
      </c>
      <c r="V735">
        <f>SUM(V725:V734)</f>
        <v>0</v>
      </c>
      <c r="W735">
        <f>SUM(W725:W734)</f>
        <v>0</v>
      </c>
    </row>
    <row r="737" spans="7:23" x14ac:dyDescent="0.3">
      <c r="G737" t="s">
        <v>174</v>
      </c>
      <c r="J737">
        <v>73810695.709999979</v>
      </c>
      <c r="K737">
        <v>76297173.55397816</v>
      </c>
      <c r="L737">
        <v>41959169.450000003</v>
      </c>
      <c r="M737">
        <v>84613794.747237578</v>
      </c>
      <c r="N737">
        <v>79432152.159999996</v>
      </c>
      <c r="O737">
        <v>84445897.284020439</v>
      </c>
      <c r="P737">
        <f t="shared" ref="P737:W737" si="149">P720+P735</f>
        <v>0</v>
      </c>
      <c r="Q737">
        <f t="shared" si="149"/>
        <v>84445897.284020439</v>
      </c>
      <c r="R737">
        <f t="shared" si="149"/>
        <v>84175693.471642181</v>
      </c>
      <c r="S737">
        <f t="shared" si="149"/>
        <v>-270203.81237825128</v>
      </c>
      <c r="U737">
        <f t="shared" si="149"/>
        <v>2525459.9422386927</v>
      </c>
      <c r="V737">
        <f t="shared" si="149"/>
        <v>86701153.413880885</v>
      </c>
      <c r="W737">
        <f t="shared" si="149"/>
        <v>2255256.1298604431</v>
      </c>
    </row>
    <row r="1797" ht="17.25" customHeight="1" x14ac:dyDescent="0.3"/>
  </sheetData>
  <pageMargins left="0.75" right="0.75" top="1" bottom="1" header="0.5" footer="0.5"/>
  <pageSetup orientation="portrait" horizontalDpi="1200" verticalDpi="1200" r:id="rId1"/>
  <headerFooter alignWithMargins="0"/>
  <customProperties>
    <customPr name="EpmWorksheetKeyString_GUID" r:id="rId2"/>
  </customProperties>
  <drawing r:id="rId3"/>
  <legacyDrawing r:id="rId4"/>
  <controls>
    <mc:AlternateContent xmlns:mc="http://schemas.openxmlformats.org/markup-compatibility/2006">
      <mc:Choice Requires="x14">
        <control shapeId="1025" r:id="rId5" name="FPMExcelClientSheetOptionstb1">
          <controlPr defaultSize="0" autoLine="0" r:id="rId6">
            <anchor moveWithCells="1" siz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controlPr>
        </control>
      </mc:Choice>
      <mc:Fallback>
        <control shapeId="1025" r:id="rId5" name="FPMExcelClientSheetOptionstb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OTS Prepop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Gabrinowitz, Steven</dc:creator>
  <cp:lastModifiedBy>Bixby, Kate</cp:lastModifiedBy>
  <dcterms:created xsi:type="dcterms:W3CDTF">2026-07-22T17:05:30Z</dcterms:created>
  <dcterms:modified xsi:type="dcterms:W3CDTF">2026-08-28T16:14:19Z</dcterms:modified>
</cp:coreProperties>
</file>