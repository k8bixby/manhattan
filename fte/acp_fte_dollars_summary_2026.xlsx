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187" documentId="11_B6F9AEFDE28CDF0FC951C7F72B5BDA16B6CB99F3" xr6:coauthVersionLast="47" xr6:coauthVersionMax="47" xr10:uidLastSave="{92F12A72-74D3-468B-8AFA-46EC1DE287F1}"/>
  <bookViews>
    <workbookView xWindow="-120" yWindow="-120" windowWidth="29040" windowHeight="17520" xr2:uid="{00000000-000D-0000-FFFF-FFFF00000000}"/>
  </bookViews>
  <sheets>
    <sheet name="FTEs" sheetId="1" r:id="rId1"/>
    <sheet name="Dollars" sheetId="2" r:id="rId2"/>
  </sheets>
  <definedNames>
    <definedName name="_xlnm._FilterDatabase" localSheetId="1" hidden="1">Dollars!$C$6:$S$84</definedName>
    <definedName name="_xlnm._FilterDatabase" localSheetId="0" hidden="1">FTEs!$A$6:$S$84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4" i="1" l="1"/>
  <c r="Q84" i="1"/>
  <c r="P84" i="1"/>
  <c r="S84" i="1" s="1"/>
  <c r="R83" i="1"/>
  <c r="Q83" i="1"/>
  <c r="P83" i="1"/>
  <c r="S83" i="1" s="1"/>
  <c r="R82" i="1"/>
  <c r="Q82" i="1"/>
  <c r="P82" i="1"/>
  <c r="S82" i="1" s="1"/>
  <c r="R81" i="1"/>
  <c r="Q81" i="1"/>
  <c r="P81" i="1"/>
  <c r="S81" i="1" s="1"/>
  <c r="R80" i="1"/>
  <c r="Q80" i="1"/>
  <c r="P80" i="1"/>
  <c r="S80" i="1" s="1"/>
  <c r="R79" i="1"/>
  <c r="Q79" i="1"/>
  <c r="P79" i="1"/>
  <c r="S79" i="1" s="1"/>
  <c r="R78" i="1"/>
  <c r="Q78" i="1"/>
  <c r="P78" i="1"/>
  <c r="S78" i="1" s="1"/>
  <c r="R77" i="1"/>
  <c r="Q77" i="1"/>
  <c r="P77" i="1"/>
  <c r="S77" i="1" s="1"/>
  <c r="R76" i="1"/>
  <c r="Q76" i="1"/>
  <c r="P76" i="1"/>
  <c r="S76" i="1" s="1"/>
  <c r="R75" i="1"/>
  <c r="Q75" i="1"/>
  <c r="P75" i="1"/>
  <c r="S75" i="1" s="1"/>
  <c r="R74" i="1"/>
  <c r="Q74" i="1"/>
  <c r="P74" i="1"/>
  <c r="S74" i="1" s="1"/>
  <c r="R73" i="1"/>
  <c r="Q73" i="1"/>
  <c r="P73" i="1"/>
  <c r="S73" i="1" s="1"/>
  <c r="R72" i="1"/>
  <c r="Q72" i="1"/>
  <c r="P72" i="1"/>
  <c r="S72" i="1" s="1"/>
  <c r="R71" i="1"/>
  <c r="Q71" i="1"/>
  <c r="P71" i="1"/>
  <c r="S71" i="1" s="1"/>
  <c r="R70" i="1"/>
  <c r="Q70" i="1"/>
  <c r="P70" i="1"/>
  <c r="S70" i="1" s="1"/>
  <c r="R69" i="1"/>
  <c r="Q69" i="1"/>
  <c r="P69" i="1"/>
  <c r="S69" i="1" s="1"/>
  <c r="R68" i="1"/>
  <c r="Q68" i="1"/>
  <c r="P68" i="1"/>
  <c r="S68" i="1" s="1"/>
  <c r="R67" i="1"/>
  <c r="Q67" i="1"/>
  <c r="P67" i="1"/>
  <c r="S67" i="1" s="1"/>
  <c r="R66" i="1"/>
  <c r="Q66" i="1"/>
  <c r="P66" i="1"/>
  <c r="S66" i="1" s="1"/>
  <c r="R65" i="1"/>
  <c r="Q65" i="1"/>
  <c r="P65" i="1"/>
  <c r="S65" i="1" s="1"/>
  <c r="R64" i="1"/>
  <c r="Q64" i="1"/>
  <c r="P64" i="1"/>
  <c r="S64" i="1" s="1"/>
  <c r="R63" i="1"/>
  <c r="Q63" i="1"/>
  <c r="P63" i="1"/>
  <c r="S63" i="1" s="1"/>
  <c r="R62" i="1"/>
  <c r="Q62" i="1"/>
  <c r="P62" i="1"/>
  <c r="S62" i="1" s="1"/>
  <c r="R61" i="1"/>
  <c r="Q61" i="1"/>
  <c r="P61" i="1"/>
  <c r="S61" i="1" s="1"/>
  <c r="R60" i="1"/>
  <c r="Q60" i="1"/>
  <c r="P60" i="1"/>
  <c r="S60" i="1" s="1"/>
  <c r="R59" i="1"/>
  <c r="Q59" i="1"/>
  <c r="P59" i="1"/>
  <c r="S59" i="1" s="1"/>
  <c r="R58" i="1"/>
  <c r="Q58" i="1"/>
  <c r="P58" i="1"/>
  <c r="S58" i="1" s="1"/>
  <c r="R57" i="1"/>
  <c r="Q57" i="1"/>
  <c r="P57" i="1"/>
  <c r="S57" i="1" s="1"/>
  <c r="R56" i="1"/>
  <c r="Q56" i="1"/>
  <c r="P56" i="1"/>
  <c r="S56" i="1" s="1"/>
  <c r="R55" i="1"/>
  <c r="Q55" i="1"/>
  <c r="P55" i="1"/>
  <c r="S55" i="1" s="1"/>
  <c r="R54" i="1"/>
  <c r="Q54" i="1"/>
  <c r="P54" i="1"/>
  <c r="S54" i="1" s="1"/>
  <c r="R53" i="1"/>
  <c r="Q53" i="1"/>
  <c r="P53" i="1"/>
  <c r="S53" i="1" s="1"/>
  <c r="R52" i="1"/>
  <c r="Q52" i="1"/>
  <c r="P52" i="1"/>
  <c r="S52" i="1" s="1"/>
  <c r="R51" i="1"/>
  <c r="Q51" i="1"/>
  <c r="P51" i="1"/>
  <c r="S51" i="1" s="1"/>
  <c r="R50" i="1"/>
  <c r="Q50" i="1"/>
  <c r="P50" i="1"/>
  <c r="S50" i="1" s="1"/>
  <c r="R49" i="1"/>
  <c r="Q49" i="1"/>
  <c r="P49" i="1"/>
  <c r="S49" i="1" s="1"/>
  <c r="R48" i="1"/>
  <c r="Q48" i="1"/>
  <c r="P48" i="1"/>
  <c r="S48" i="1" s="1"/>
  <c r="R47" i="1"/>
  <c r="Q47" i="1"/>
  <c r="P47" i="1"/>
  <c r="S47" i="1" s="1"/>
  <c r="R46" i="1"/>
  <c r="Q46" i="1"/>
  <c r="P46" i="1"/>
  <c r="S46" i="1" s="1"/>
  <c r="R45" i="1"/>
  <c r="Q45" i="1"/>
  <c r="P45" i="1"/>
  <c r="S45" i="1" s="1"/>
  <c r="R44" i="1"/>
  <c r="Q44" i="1"/>
  <c r="P44" i="1"/>
  <c r="S44" i="1" s="1"/>
  <c r="R43" i="1"/>
  <c r="Q43" i="1"/>
  <c r="P43" i="1"/>
  <c r="S43" i="1" s="1"/>
  <c r="R42" i="1"/>
  <c r="Q42" i="1"/>
  <c r="P42" i="1"/>
  <c r="S42" i="1" s="1"/>
  <c r="R41" i="1"/>
  <c r="Q41" i="1"/>
  <c r="P41" i="1"/>
  <c r="S41" i="1" s="1"/>
  <c r="R40" i="1"/>
  <c r="Q40" i="1"/>
  <c r="P40" i="1"/>
  <c r="S40" i="1" s="1"/>
  <c r="R39" i="1"/>
  <c r="Q39" i="1"/>
  <c r="P39" i="1"/>
  <c r="S39" i="1" s="1"/>
  <c r="R38" i="1"/>
  <c r="Q38" i="1"/>
  <c r="P38" i="1"/>
  <c r="S38" i="1" s="1"/>
  <c r="R37" i="1"/>
  <c r="Q37" i="1"/>
  <c r="P37" i="1"/>
  <c r="S37" i="1" s="1"/>
  <c r="R36" i="1"/>
  <c r="Q36" i="1"/>
  <c r="P36" i="1"/>
  <c r="S36" i="1" s="1"/>
  <c r="R35" i="1"/>
  <c r="Q35" i="1"/>
  <c r="P35" i="1"/>
  <c r="S35" i="1" s="1"/>
  <c r="R34" i="1"/>
  <c r="Q34" i="1"/>
  <c r="P34" i="1"/>
  <c r="S34" i="1" s="1"/>
  <c r="R33" i="1"/>
  <c r="Q33" i="1"/>
  <c r="P33" i="1"/>
  <c r="S33" i="1" s="1"/>
  <c r="R32" i="1"/>
  <c r="Q32" i="1"/>
  <c r="P32" i="1"/>
  <c r="S32" i="1" s="1"/>
  <c r="R31" i="1"/>
  <c r="Q31" i="1"/>
  <c r="P31" i="1"/>
  <c r="S31" i="1" s="1"/>
  <c r="R30" i="1"/>
  <c r="Q30" i="1"/>
  <c r="P30" i="1"/>
  <c r="S30" i="1" s="1"/>
  <c r="R29" i="1"/>
  <c r="Q29" i="1"/>
  <c r="P29" i="1"/>
  <c r="S29" i="1" s="1"/>
  <c r="R28" i="1"/>
  <c r="Q28" i="1"/>
  <c r="P28" i="1"/>
  <c r="S28" i="1" s="1"/>
  <c r="R27" i="1"/>
  <c r="Q27" i="1"/>
  <c r="P27" i="1"/>
  <c r="S27" i="1" s="1"/>
  <c r="R26" i="1"/>
  <c r="Q26" i="1"/>
  <c r="P26" i="1"/>
  <c r="S26" i="1" s="1"/>
  <c r="R25" i="1"/>
  <c r="Q25" i="1"/>
  <c r="P25" i="1"/>
  <c r="S25" i="1" s="1"/>
  <c r="R24" i="1"/>
  <c r="Q24" i="1"/>
  <c r="P24" i="1"/>
  <c r="S24" i="1" s="1"/>
  <c r="R23" i="1"/>
  <c r="Q23" i="1"/>
  <c r="P23" i="1"/>
  <c r="S23" i="1" s="1"/>
  <c r="R22" i="1"/>
  <c r="Q22" i="1"/>
  <c r="P22" i="1"/>
  <c r="S22" i="1" s="1"/>
  <c r="R21" i="1"/>
  <c r="Q21" i="1"/>
  <c r="P21" i="1"/>
  <c r="S21" i="1" s="1"/>
  <c r="R20" i="1"/>
  <c r="Q20" i="1"/>
  <c r="P20" i="1"/>
  <c r="S20" i="1" s="1"/>
  <c r="R19" i="1"/>
  <c r="Q19" i="1"/>
  <c r="P19" i="1"/>
  <c r="S19" i="1" s="1"/>
  <c r="R18" i="1"/>
  <c r="Q18" i="1"/>
  <c r="P18" i="1"/>
  <c r="S18" i="1" s="1"/>
  <c r="R17" i="1"/>
  <c r="Q17" i="1"/>
  <c r="P17" i="1"/>
  <c r="S17" i="1" s="1"/>
  <c r="R16" i="1"/>
  <c r="Q16" i="1"/>
  <c r="P16" i="1"/>
  <c r="S16" i="1" s="1"/>
  <c r="R15" i="1"/>
  <c r="Q15" i="1"/>
  <c r="P15" i="1"/>
  <c r="S15" i="1" s="1"/>
  <c r="R14" i="1"/>
  <c r="Q14" i="1"/>
  <c r="P14" i="1"/>
  <c r="S14" i="1" s="1"/>
  <c r="R13" i="1"/>
  <c r="Q13" i="1"/>
  <c r="P13" i="1"/>
  <c r="S13" i="1" s="1"/>
  <c r="R12" i="1"/>
  <c r="Q12" i="1"/>
  <c r="P12" i="1"/>
  <c r="S12" i="1" s="1"/>
  <c r="R11" i="1"/>
  <c r="Q11" i="1"/>
  <c r="P11" i="1"/>
  <c r="S11" i="1" s="1"/>
  <c r="R10" i="1"/>
  <c r="Q10" i="1"/>
  <c r="P10" i="1"/>
  <c r="S10" i="1" s="1"/>
  <c r="R9" i="1"/>
  <c r="Q9" i="1"/>
  <c r="P9" i="1"/>
  <c r="S9" i="1" s="1"/>
  <c r="R8" i="1"/>
  <c r="Q8" i="1"/>
  <c r="P8" i="1"/>
  <c r="S8" i="1" s="1"/>
  <c r="R7" i="1"/>
  <c r="Q7" i="1"/>
  <c r="Q85" i="1" s="1"/>
  <c r="P7" i="1"/>
  <c r="S7" i="1" s="1"/>
  <c r="R84" i="2"/>
  <c r="Q84" i="2"/>
  <c r="P84" i="2"/>
  <c r="S84" i="2" s="1"/>
  <c r="R83" i="2"/>
  <c r="Q83" i="2"/>
  <c r="P83" i="2"/>
  <c r="S83" i="2" s="1"/>
  <c r="R82" i="2"/>
  <c r="Q82" i="2"/>
  <c r="P82" i="2"/>
  <c r="S82" i="2" s="1"/>
  <c r="R81" i="2"/>
  <c r="Q81" i="2"/>
  <c r="P81" i="2"/>
  <c r="S81" i="2" s="1"/>
  <c r="R80" i="2"/>
  <c r="Q80" i="2"/>
  <c r="P80" i="2"/>
  <c r="S80" i="2" s="1"/>
  <c r="R79" i="2"/>
  <c r="Q79" i="2"/>
  <c r="P79" i="2"/>
  <c r="S79" i="2" s="1"/>
  <c r="R78" i="2"/>
  <c r="Q78" i="2"/>
  <c r="P78" i="2"/>
  <c r="S78" i="2" s="1"/>
  <c r="R77" i="2"/>
  <c r="Q77" i="2"/>
  <c r="P77" i="2"/>
  <c r="S77" i="2" s="1"/>
  <c r="R76" i="2"/>
  <c r="Q76" i="2"/>
  <c r="P76" i="2"/>
  <c r="S76" i="2" s="1"/>
  <c r="R75" i="2"/>
  <c r="Q75" i="2"/>
  <c r="P75" i="2"/>
  <c r="S75" i="2" s="1"/>
  <c r="R74" i="2"/>
  <c r="Q74" i="2"/>
  <c r="P74" i="2"/>
  <c r="S74" i="2" s="1"/>
  <c r="R73" i="2"/>
  <c r="Q73" i="2"/>
  <c r="P73" i="2"/>
  <c r="S73" i="2" s="1"/>
  <c r="R72" i="2"/>
  <c r="Q72" i="2"/>
  <c r="P72" i="2"/>
  <c r="S72" i="2" s="1"/>
  <c r="R71" i="2"/>
  <c r="Q71" i="2"/>
  <c r="P71" i="2"/>
  <c r="S71" i="2" s="1"/>
  <c r="R70" i="2"/>
  <c r="Q70" i="2"/>
  <c r="P70" i="2"/>
  <c r="S70" i="2" s="1"/>
  <c r="R69" i="2"/>
  <c r="Q69" i="2"/>
  <c r="P69" i="2"/>
  <c r="S69" i="2" s="1"/>
  <c r="R68" i="2"/>
  <c r="Q68" i="2"/>
  <c r="P68" i="2"/>
  <c r="S68" i="2" s="1"/>
  <c r="R67" i="2"/>
  <c r="Q67" i="2"/>
  <c r="P67" i="2"/>
  <c r="S67" i="2" s="1"/>
  <c r="R66" i="2"/>
  <c r="Q66" i="2"/>
  <c r="P66" i="2"/>
  <c r="S66" i="2" s="1"/>
  <c r="R65" i="2"/>
  <c r="Q65" i="2"/>
  <c r="P65" i="2"/>
  <c r="S65" i="2" s="1"/>
  <c r="R64" i="2"/>
  <c r="Q64" i="2"/>
  <c r="P64" i="2"/>
  <c r="S64" i="2" s="1"/>
  <c r="R63" i="2"/>
  <c r="Q63" i="2"/>
  <c r="P63" i="2"/>
  <c r="S63" i="2" s="1"/>
  <c r="R62" i="2"/>
  <c r="Q62" i="2"/>
  <c r="P62" i="2"/>
  <c r="S62" i="2" s="1"/>
  <c r="R61" i="2"/>
  <c r="Q61" i="2"/>
  <c r="P61" i="2"/>
  <c r="S61" i="2" s="1"/>
  <c r="R60" i="2"/>
  <c r="Q60" i="2"/>
  <c r="P60" i="2"/>
  <c r="S60" i="2" s="1"/>
  <c r="R59" i="2"/>
  <c r="Q59" i="2"/>
  <c r="P59" i="2"/>
  <c r="S59" i="2" s="1"/>
  <c r="R58" i="2"/>
  <c r="Q58" i="2"/>
  <c r="P58" i="2"/>
  <c r="S58" i="2" s="1"/>
  <c r="R57" i="2"/>
  <c r="Q57" i="2"/>
  <c r="P57" i="2"/>
  <c r="S57" i="2" s="1"/>
  <c r="R56" i="2"/>
  <c r="Q56" i="2"/>
  <c r="P56" i="2"/>
  <c r="S56" i="2" s="1"/>
  <c r="R55" i="2"/>
  <c r="Q55" i="2"/>
  <c r="P55" i="2"/>
  <c r="S55" i="2" s="1"/>
  <c r="R54" i="2"/>
  <c r="Q54" i="2"/>
  <c r="P54" i="2"/>
  <c r="S54" i="2" s="1"/>
  <c r="R53" i="2"/>
  <c r="Q53" i="2"/>
  <c r="P53" i="2"/>
  <c r="S53" i="2" s="1"/>
  <c r="R52" i="2"/>
  <c r="Q52" i="2"/>
  <c r="P52" i="2"/>
  <c r="S52" i="2" s="1"/>
  <c r="R51" i="2"/>
  <c r="Q51" i="2"/>
  <c r="P51" i="2"/>
  <c r="S51" i="2" s="1"/>
  <c r="R50" i="2"/>
  <c r="Q50" i="2"/>
  <c r="P50" i="2"/>
  <c r="S50" i="2" s="1"/>
  <c r="R49" i="2"/>
  <c r="Q49" i="2"/>
  <c r="P49" i="2"/>
  <c r="S49" i="2" s="1"/>
  <c r="R48" i="2"/>
  <c r="Q48" i="2"/>
  <c r="P48" i="2"/>
  <c r="S48" i="2" s="1"/>
  <c r="R47" i="2"/>
  <c r="Q47" i="2"/>
  <c r="P47" i="2"/>
  <c r="S47" i="2" s="1"/>
  <c r="R46" i="2"/>
  <c r="Q46" i="2"/>
  <c r="P46" i="2"/>
  <c r="S46" i="2" s="1"/>
  <c r="R45" i="2"/>
  <c r="Q45" i="2"/>
  <c r="P45" i="2"/>
  <c r="S45" i="2" s="1"/>
  <c r="R44" i="2"/>
  <c r="Q44" i="2"/>
  <c r="P44" i="2"/>
  <c r="S44" i="2" s="1"/>
  <c r="R43" i="2"/>
  <c r="Q43" i="2"/>
  <c r="P43" i="2"/>
  <c r="S43" i="2" s="1"/>
  <c r="R42" i="2"/>
  <c r="Q42" i="2"/>
  <c r="P42" i="2"/>
  <c r="S42" i="2" s="1"/>
  <c r="R41" i="2"/>
  <c r="Q41" i="2"/>
  <c r="P41" i="2"/>
  <c r="S41" i="2" s="1"/>
  <c r="R40" i="2"/>
  <c r="Q40" i="2"/>
  <c r="P40" i="2"/>
  <c r="S40" i="2" s="1"/>
  <c r="R39" i="2"/>
  <c r="Q39" i="2"/>
  <c r="P39" i="2"/>
  <c r="S39" i="2" s="1"/>
  <c r="R38" i="2"/>
  <c r="Q38" i="2"/>
  <c r="P38" i="2"/>
  <c r="S38" i="2" s="1"/>
  <c r="R37" i="2"/>
  <c r="Q37" i="2"/>
  <c r="P37" i="2"/>
  <c r="S37" i="2" s="1"/>
  <c r="R36" i="2"/>
  <c r="Q36" i="2"/>
  <c r="P36" i="2"/>
  <c r="S36" i="2" s="1"/>
  <c r="R35" i="2"/>
  <c r="Q35" i="2"/>
  <c r="P35" i="2"/>
  <c r="S35" i="2" s="1"/>
  <c r="R34" i="2"/>
  <c r="Q34" i="2"/>
  <c r="P34" i="2"/>
  <c r="S34" i="2" s="1"/>
  <c r="R33" i="2"/>
  <c r="Q33" i="2"/>
  <c r="P33" i="2"/>
  <c r="S33" i="2" s="1"/>
  <c r="R32" i="2"/>
  <c r="Q32" i="2"/>
  <c r="P32" i="2"/>
  <c r="S32" i="2" s="1"/>
  <c r="R31" i="2"/>
  <c r="Q31" i="2"/>
  <c r="P31" i="2"/>
  <c r="S31" i="2" s="1"/>
  <c r="R30" i="2"/>
  <c r="Q30" i="2"/>
  <c r="P30" i="2"/>
  <c r="S30" i="2" s="1"/>
  <c r="R29" i="2"/>
  <c r="Q29" i="2"/>
  <c r="P29" i="2"/>
  <c r="S29" i="2" s="1"/>
  <c r="R28" i="2"/>
  <c r="Q28" i="2"/>
  <c r="P28" i="2"/>
  <c r="S28" i="2" s="1"/>
  <c r="R27" i="2"/>
  <c r="Q27" i="2"/>
  <c r="P27" i="2"/>
  <c r="S27" i="2" s="1"/>
  <c r="R26" i="2"/>
  <c r="Q26" i="2"/>
  <c r="P26" i="2"/>
  <c r="S26" i="2" s="1"/>
  <c r="R25" i="2"/>
  <c r="Q25" i="2"/>
  <c r="P25" i="2"/>
  <c r="S25" i="2" s="1"/>
  <c r="R24" i="2"/>
  <c r="Q24" i="2"/>
  <c r="P24" i="2"/>
  <c r="S24" i="2" s="1"/>
  <c r="R23" i="2"/>
  <c r="Q23" i="2"/>
  <c r="P23" i="2"/>
  <c r="S23" i="2" s="1"/>
  <c r="R22" i="2"/>
  <c r="Q22" i="2"/>
  <c r="P22" i="2"/>
  <c r="S22" i="2" s="1"/>
  <c r="R21" i="2"/>
  <c r="Q21" i="2"/>
  <c r="P21" i="2"/>
  <c r="S21" i="2" s="1"/>
  <c r="R20" i="2"/>
  <c r="Q20" i="2"/>
  <c r="P20" i="2"/>
  <c r="S20" i="2" s="1"/>
  <c r="R19" i="2"/>
  <c r="Q19" i="2"/>
  <c r="P19" i="2"/>
  <c r="S19" i="2" s="1"/>
  <c r="R18" i="2"/>
  <c r="Q18" i="2"/>
  <c r="P18" i="2"/>
  <c r="S18" i="2" s="1"/>
  <c r="R17" i="2"/>
  <c r="Q17" i="2"/>
  <c r="P17" i="2"/>
  <c r="S17" i="2" s="1"/>
  <c r="R16" i="2"/>
  <c r="Q16" i="2"/>
  <c r="P16" i="2"/>
  <c r="S16" i="2" s="1"/>
  <c r="R15" i="2"/>
  <c r="Q15" i="2"/>
  <c r="P15" i="2"/>
  <c r="S15" i="2" s="1"/>
  <c r="R14" i="2"/>
  <c r="Q14" i="2"/>
  <c r="P14" i="2"/>
  <c r="S14" i="2" s="1"/>
  <c r="R13" i="2"/>
  <c r="Q13" i="2"/>
  <c r="P13" i="2"/>
  <c r="S13" i="2" s="1"/>
  <c r="R12" i="2"/>
  <c r="Q12" i="2"/>
  <c r="P12" i="2"/>
  <c r="S12" i="2" s="1"/>
  <c r="R11" i="2"/>
  <c r="Q11" i="2"/>
  <c r="P11" i="2"/>
  <c r="S11" i="2" s="1"/>
  <c r="R10" i="2"/>
  <c r="Q10" i="2"/>
  <c r="P10" i="2"/>
  <c r="S10" i="2" s="1"/>
  <c r="R9" i="2"/>
  <c r="Q9" i="2"/>
  <c r="P9" i="2"/>
  <c r="S9" i="2" s="1"/>
  <c r="R8" i="2"/>
  <c r="Q8" i="2"/>
  <c r="P8" i="2"/>
  <c r="S8" i="2" s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5" i="1" s="1"/>
  <c r="O8" i="1"/>
  <c r="O7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S7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N76" i="2"/>
  <c r="J20" i="2"/>
  <c r="J30" i="2"/>
  <c r="J39" i="2"/>
  <c r="J46" i="2"/>
  <c r="J61" i="2"/>
  <c r="J65" i="2"/>
  <c r="J76" i="2"/>
  <c r="R7" i="2"/>
  <c r="Q7" i="2"/>
  <c r="P7" i="2"/>
  <c r="R85" i="1"/>
  <c r="N85" i="1"/>
  <c r="M85" i="1"/>
  <c r="L85" i="1"/>
  <c r="K85" i="1"/>
  <c r="J85" i="1"/>
  <c r="I85" i="1"/>
  <c r="H85" i="1"/>
  <c r="I85" i="2"/>
  <c r="L85" i="2"/>
  <c r="M85" i="2"/>
  <c r="N85" i="2"/>
  <c r="H85" i="2"/>
  <c r="P85" i="1" l="1"/>
  <c r="S85" i="1"/>
  <c r="O85" i="2"/>
  <c r="K85" i="2"/>
  <c r="Q85" i="2"/>
  <c r="J85" i="2"/>
  <c r="R85" i="2"/>
  <c r="P85" i="2"/>
  <c r="S85" i="2" l="1"/>
</calcChain>
</file>

<file path=xl/sharedStrings.xml><?xml version="1.0" encoding="utf-8"?>
<sst xmlns="http://schemas.openxmlformats.org/spreadsheetml/2006/main" count="832" uniqueCount="66">
  <si>
    <t>Levy, Elan</t>
  </si>
  <si>
    <t>LENOX</t>
  </si>
  <si>
    <t>NRSG - Neotat Nurse Practition</t>
  </si>
  <si>
    <t>Nurse Practitioner</t>
  </si>
  <si>
    <t>Nurse Practitioner - PD</t>
  </si>
  <si>
    <t>Physician Asst - Neonat</t>
  </si>
  <si>
    <t>Supervisor, Advanced Clinical Providers</t>
  </si>
  <si>
    <t>ACP Services – Neurology</t>
  </si>
  <si>
    <t>Physician Assistant</t>
  </si>
  <si>
    <t>Resident</t>
  </si>
  <si>
    <t>Fellow</t>
  </si>
  <si>
    <t>Chief Resident</t>
  </si>
  <si>
    <t>Physician Assistant - FlexStaff</t>
  </si>
  <si>
    <t>Nurse Practitioner - FlexStaff</t>
  </si>
  <si>
    <t>Senior Physician Assistant</t>
  </si>
  <si>
    <t>Senior Nurse Practitioner</t>
  </si>
  <si>
    <t>ACP Services - Neuro Surgery</t>
  </si>
  <si>
    <t>AVP, Operations</t>
  </si>
  <si>
    <t>Clinical Program Manager</t>
  </si>
  <si>
    <t>Physician Asst - Speclty (SO)</t>
  </si>
  <si>
    <t>Physician Assistant (1199)</t>
  </si>
  <si>
    <t>Nurse Practitioner (NYSNA)</t>
  </si>
  <si>
    <t>Manager, Advanced Clinical Providers</t>
  </si>
  <si>
    <t>ACP Administration</t>
  </si>
  <si>
    <t>Manager, Operations</t>
  </si>
  <si>
    <t>Senior Director, Advanced Clinical Providers</t>
  </si>
  <si>
    <t>ACP Services  - Surgery</t>
  </si>
  <si>
    <t>Senior Director, Operations</t>
  </si>
  <si>
    <t>Senior Manager, Advanced Clinical Providers</t>
  </si>
  <si>
    <t>Physician Asst (FH)</t>
  </si>
  <si>
    <t>Physician Asst (PLNV)</t>
  </si>
  <si>
    <t>ACP Services – OBGYN</t>
  </si>
  <si>
    <t>ACP Services  - Cardio Surgery</t>
  </si>
  <si>
    <t>ACP Services - Critical Care</t>
  </si>
  <si>
    <t>ACP Services  - Orthopedics</t>
  </si>
  <si>
    <t>PA Service-Interventional Card</t>
  </si>
  <si>
    <t>Resident (LJ,MN)</t>
  </si>
  <si>
    <t>Chief Resident (LJ,MN)</t>
  </si>
  <si>
    <t>Physician Assistant (1199)(GF)</t>
  </si>
  <si>
    <t>Physician Asst (LIJ) (GF)</t>
  </si>
  <si>
    <t>ACP Services  - Cardio EPS</t>
  </si>
  <si>
    <t>VP</t>
  </si>
  <si>
    <t>BU</t>
  </si>
  <si>
    <t>Dept ID</t>
  </si>
  <si>
    <t>Dept Name</t>
  </si>
  <si>
    <t>Job Code</t>
  </si>
  <si>
    <t>Job Code Description</t>
  </si>
  <si>
    <t>Reg</t>
  </si>
  <si>
    <t>OT</t>
  </si>
  <si>
    <t>Flex</t>
  </si>
  <si>
    <t>Total</t>
  </si>
  <si>
    <t>Actual</t>
  </si>
  <si>
    <t>Budget</t>
  </si>
  <si>
    <t>Variance</t>
  </si>
  <si>
    <t>Lenox Hill Hospital</t>
  </si>
  <si>
    <t>ACP FTEs</t>
  </si>
  <si>
    <t>2026 September YTD</t>
  </si>
  <si>
    <t>ACP Dollars</t>
  </si>
  <si>
    <t>NP</t>
  </si>
  <si>
    <t>PA</t>
  </si>
  <si>
    <t>Management</t>
  </si>
  <si>
    <t>PA Flex</t>
  </si>
  <si>
    <t>NP Flex</t>
  </si>
  <si>
    <t>Senior PA</t>
  </si>
  <si>
    <t>Senior NP</t>
  </si>
  <si>
    <t>Job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</si>
</sst>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* #,##0.0_);_(* \(#,##0.0\);_(* &quot;-&quot;??_);_(@_)"/>
    <numFmt numFmtId="169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Ebrima"/>
    </font>
    <font>
      <b/>
      <sz val="10"/>
      <color theme="1"/>
      <name val="Ebrima"/>
    </font>
    <font>
      <i/>
      <sz val="10"/>
      <color theme="1"/>
      <name val="Ebrim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66" fontId="2" fillId="0" borderId="4" xfId="1" applyNumberFormat="1" applyFont="1" applyBorder="1"/>
    <xf numFmtId="166" fontId="2" fillId="0" borderId="0" xfId="1" applyNumberFormat="1" applyFont="1" applyBorder="1"/>
    <xf numFmtId="166" fontId="2" fillId="0" borderId="5" xfId="1" applyNumberFormat="1" applyFont="1" applyBorder="1"/>
    <xf numFmtId="0" fontId="2" fillId="0" borderId="4" xfId="0" applyFont="1" applyBorder="1"/>
    <xf numFmtId="0" fontId="2" fillId="0" borderId="0" xfId="0" applyFont="1" applyBorder="1"/>
    <xf numFmtId="169" fontId="2" fillId="0" borderId="4" xfId="2" applyNumberFormat="1" applyFont="1" applyBorder="1"/>
    <xf numFmtId="169" fontId="2" fillId="0" borderId="0" xfId="2" applyNumberFormat="1" applyFont="1" applyBorder="1"/>
    <xf numFmtId="169" fontId="2" fillId="0" borderId="5" xfId="2" applyNumberFormat="1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3" fillId="0" borderId="2" xfId="0" applyFont="1" applyFill="1" applyBorder="1"/>
    <xf numFmtId="0" fontId="3" fillId="0" borderId="3" xfId="0" applyFont="1" applyBorder="1"/>
    <xf numFmtId="169" fontId="3" fillId="0" borderId="1" xfId="2" applyNumberFormat="1" applyFont="1" applyBorder="1"/>
    <xf numFmtId="169" fontId="3" fillId="0" borderId="2" xfId="2" applyNumberFormat="1" applyFont="1" applyBorder="1"/>
    <xf numFmtId="169" fontId="3" fillId="0" borderId="3" xfId="2" applyNumberFormat="1" applyFont="1" applyBorder="1"/>
    <xf numFmtId="0" fontId="4" fillId="0" borderId="0" xfId="0" applyFont="1"/>
    <xf numFmtId="166" fontId="3" fillId="0" borderId="1" xfId="1" applyNumberFormat="1" applyFont="1" applyBorder="1"/>
    <xf numFmtId="166" fontId="3" fillId="0" borderId="2" xfId="1" applyNumberFormat="1" applyFont="1" applyBorder="1"/>
    <xf numFmtId="166" fontId="3" fillId="0" borderId="3" xfId="1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P94" sqref="P94"/>
    </sheetView>
  </sheetViews>
  <sheetFormatPr defaultRowHeight="14.25" x14ac:dyDescent="0.25"/>
  <cols>
    <col min="1" max="2" width="9.140625" style="1"/>
    <col min="3" max="3" width="10.140625" style="1" bestFit="1" customWidth="1"/>
    <col min="4" max="4" width="28.85546875" style="1" bestFit="1" customWidth="1"/>
    <col min="5" max="5" width="11.42578125" style="1" bestFit="1" customWidth="1"/>
    <col min="6" max="6" width="41.28515625" style="1" bestFit="1" customWidth="1"/>
    <col min="7" max="7" width="12.140625" style="1" customWidth="1"/>
    <col min="8" max="19" width="9.28515625" style="1" bestFit="1" customWidth="1"/>
    <col min="20" max="16384" width="9.140625" style="1"/>
  </cols>
  <sheetData>
    <row r="1" spans="1:19" x14ac:dyDescent="0.25">
      <c r="A1" s="17" t="s">
        <v>54</v>
      </c>
    </row>
    <row r="2" spans="1:19" x14ac:dyDescent="0.25">
      <c r="A2" s="26" t="s">
        <v>55</v>
      </c>
    </row>
    <row r="3" spans="1:19" x14ac:dyDescent="0.25">
      <c r="A3" s="26" t="s">
        <v>56</v>
      </c>
    </row>
    <row r="4" spans="1:19" ht="15" thickBot="1" x14ac:dyDescent="0.3"/>
    <row r="5" spans="1:19" s="17" customFormat="1" ht="15" thickBot="1" x14ac:dyDescent="0.3">
      <c r="H5" s="18" t="s">
        <v>51</v>
      </c>
      <c r="I5" s="19"/>
      <c r="J5" s="19"/>
      <c r="K5" s="20"/>
      <c r="L5" s="18" t="s">
        <v>52</v>
      </c>
      <c r="M5" s="19"/>
      <c r="N5" s="19"/>
      <c r="O5" s="20"/>
      <c r="P5" s="18" t="s">
        <v>53</v>
      </c>
      <c r="Q5" s="19"/>
      <c r="R5" s="19"/>
      <c r="S5" s="20"/>
    </row>
    <row r="6" spans="1:19" s="17" customFormat="1" ht="15" thickBot="1" x14ac:dyDescent="0.3">
      <c r="A6" s="12" t="s">
        <v>41</v>
      </c>
      <c r="B6" s="13" t="s">
        <v>42</v>
      </c>
      <c r="C6" s="13" t="s">
        <v>43</v>
      </c>
      <c r="D6" s="13" t="s">
        <v>44</v>
      </c>
      <c r="E6" s="13" t="s">
        <v>45</v>
      </c>
      <c r="F6" s="13" t="s">
        <v>46</v>
      </c>
      <c r="G6" s="13" t="s">
        <v>65</v>
      </c>
      <c r="H6" s="14" t="s">
        <v>47</v>
      </c>
      <c r="I6" s="15" t="s">
        <v>48</v>
      </c>
      <c r="J6" s="15" t="s">
        <v>49</v>
      </c>
      <c r="K6" s="16" t="s">
        <v>50</v>
      </c>
      <c r="L6" s="14" t="s">
        <v>47</v>
      </c>
      <c r="M6" s="15" t="s">
        <v>48</v>
      </c>
      <c r="N6" s="15" t="s">
        <v>49</v>
      </c>
      <c r="O6" s="16" t="s">
        <v>50</v>
      </c>
      <c r="P6" s="14" t="s">
        <v>47</v>
      </c>
      <c r="Q6" s="15" t="s">
        <v>48</v>
      </c>
      <c r="R6" s="15" t="s">
        <v>49</v>
      </c>
      <c r="S6" s="16" t="s">
        <v>50</v>
      </c>
    </row>
    <row r="7" spans="1:19" x14ac:dyDescent="0.25">
      <c r="A7" s="1" t="s">
        <v>0</v>
      </c>
      <c r="B7" s="1" t="s">
        <v>1</v>
      </c>
      <c r="C7" s="1">
        <v>15612095</v>
      </c>
      <c r="D7" s="1" t="s">
        <v>2</v>
      </c>
      <c r="E7" s="1">
        <v>108106</v>
      </c>
      <c r="F7" s="1" t="s">
        <v>3</v>
      </c>
      <c r="G7" s="6" t="s">
        <v>58</v>
      </c>
      <c r="H7" s="2">
        <v>1.23</v>
      </c>
      <c r="I7" s="3">
        <v>0.04</v>
      </c>
      <c r="J7" s="3">
        <v>0</v>
      </c>
      <c r="K7" s="4">
        <f>SUM(H7:J7)</f>
        <v>1.27</v>
      </c>
      <c r="L7" s="2">
        <v>1.5</v>
      </c>
      <c r="M7" s="3">
        <v>0</v>
      </c>
      <c r="N7" s="3">
        <v>0</v>
      </c>
      <c r="O7" s="4">
        <f t="shared" ref="O7:O70" si="0">SUM(L7:N7)</f>
        <v>1.5</v>
      </c>
      <c r="P7" s="2">
        <f>L7-H7</f>
        <v>0.27</v>
      </c>
      <c r="Q7" s="3">
        <f t="shared" ref="Q7:R70" si="1">M7-I7</f>
        <v>-0.04</v>
      </c>
      <c r="R7" s="3">
        <f t="shared" si="1"/>
        <v>0</v>
      </c>
      <c r="S7" s="4">
        <f t="shared" ref="S7:S70" si="2">SUM(P7:R7)</f>
        <v>0.23</v>
      </c>
    </row>
    <row r="8" spans="1:19" x14ac:dyDescent="0.25">
      <c r="A8" s="1" t="s">
        <v>0</v>
      </c>
      <c r="B8" s="1" t="s">
        <v>1</v>
      </c>
      <c r="C8" s="1">
        <v>15612095</v>
      </c>
      <c r="D8" s="1" t="s">
        <v>2</v>
      </c>
      <c r="E8" s="1">
        <v>108107</v>
      </c>
      <c r="F8" s="1" t="s">
        <v>4</v>
      </c>
      <c r="G8" s="6" t="s">
        <v>58</v>
      </c>
      <c r="H8" s="2">
        <v>0.32</v>
      </c>
      <c r="I8" s="3">
        <v>0.03</v>
      </c>
      <c r="J8" s="3">
        <v>0</v>
      </c>
      <c r="K8" s="4">
        <f t="shared" ref="K8:K71" si="3">SUM(H8:J8)</f>
        <v>0.35</v>
      </c>
      <c r="L8" s="2">
        <v>0</v>
      </c>
      <c r="M8" s="3">
        <v>0</v>
      </c>
      <c r="N8" s="3">
        <v>0</v>
      </c>
      <c r="O8" s="4">
        <f t="shared" si="0"/>
        <v>0</v>
      </c>
      <c r="P8" s="2">
        <f>L8-H8</f>
        <v>-0.32</v>
      </c>
      <c r="Q8" s="3">
        <f t="shared" si="1"/>
        <v>-0.03</v>
      </c>
      <c r="R8" s="3">
        <f t="shared" si="1"/>
        <v>0</v>
      </c>
      <c r="S8" s="4">
        <f t="shared" si="2"/>
        <v>-0.35</v>
      </c>
    </row>
    <row r="9" spans="1:19" x14ac:dyDescent="0.25">
      <c r="A9" s="1" t="s">
        <v>0</v>
      </c>
      <c r="B9" s="1" t="s">
        <v>1</v>
      </c>
      <c r="C9" s="1">
        <v>15612095</v>
      </c>
      <c r="D9" s="1" t="s">
        <v>2</v>
      </c>
      <c r="E9" s="1">
        <v>108112</v>
      </c>
      <c r="F9" s="1" t="s">
        <v>5</v>
      </c>
      <c r="G9" s="6" t="s">
        <v>59</v>
      </c>
      <c r="H9" s="2">
        <v>5.52</v>
      </c>
      <c r="I9" s="3">
        <v>0.21</v>
      </c>
      <c r="J9" s="3">
        <v>0</v>
      </c>
      <c r="K9" s="4">
        <f t="shared" si="3"/>
        <v>5.7299999999999995</v>
      </c>
      <c r="L9" s="2">
        <v>5.5</v>
      </c>
      <c r="M9" s="3">
        <v>0</v>
      </c>
      <c r="N9" s="3">
        <v>0</v>
      </c>
      <c r="O9" s="4">
        <f t="shared" si="0"/>
        <v>5.5</v>
      </c>
      <c r="P9" s="2">
        <f>L9-H9</f>
        <v>-1.9999999999999574E-2</v>
      </c>
      <c r="Q9" s="3">
        <f t="shared" si="1"/>
        <v>-0.21</v>
      </c>
      <c r="R9" s="3">
        <f t="shared" si="1"/>
        <v>0</v>
      </c>
      <c r="S9" s="4">
        <f t="shared" si="2"/>
        <v>-0.22999999999999957</v>
      </c>
    </row>
    <row r="10" spans="1:19" x14ac:dyDescent="0.25">
      <c r="A10" s="1" t="s">
        <v>0</v>
      </c>
      <c r="B10" s="1" t="s">
        <v>1</v>
      </c>
      <c r="C10" s="1">
        <v>15612095</v>
      </c>
      <c r="D10" s="1" t="s">
        <v>2</v>
      </c>
      <c r="E10" s="1">
        <v>201256</v>
      </c>
      <c r="F10" s="1" t="s">
        <v>3</v>
      </c>
      <c r="G10" s="6" t="s">
        <v>58</v>
      </c>
      <c r="H10" s="2">
        <v>0.01</v>
      </c>
      <c r="I10" s="3">
        <v>0</v>
      </c>
      <c r="J10" s="3">
        <v>0</v>
      </c>
      <c r="K10" s="4">
        <f t="shared" si="3"/>
        <v>0.01</v>
      </c>
      <c r="L10" s="2">
        <v>0.2</v>
      </c>
      <c r="M10" s="3">
        <v>0</v>
      </c>
      <c r="N10" s="3">
        <v>0</v>
      </c>
      <c r="O10" s="4">
        <f t="shared" si="0"/>
        <v>0.2</v>
      </c>
      <c r="P10" s="2">
        <f>L10-H10</f>
        <v>0.19</v>
      </c>
      <c r="Q10" s="3">
        <f t="shared" si="1"/>
        <v>0</v>
      </c>
      <c r="R10" s="3">
        <f t="shared" si="1"/>
        <v>0</v>
      </c>
      <c r="S10" s="4">
        <f t="shared" si="2"/>
        <v>0.19</v>
      </c>
    </row>
    <row r="11" spans="1:19" x14ac:dyDescent="0.25">
      <c r="A11" s="1" t="s">
        <v>0</v>
      </c>
      <c r="B11" s="1" t="s">
        <v>1</v>
      </c>
      <c r="C11" s="1">
        <v>15612095</v>
      </c>
      <c r="D11" s="1" t="s">
        <v>2</v>
      </c>
      <c r="E11" s="1">
        <v>202833</v>
      </c>
      <c r="F11" s="1" t="s">
        <v>6</v>
      </c>
      <c r="G11" s="6" t="s">
        <v>60</v>
      </c>
      <c r="H11" s="2">
        <v>1.01</v>
      </c>
      <c r="I11" s="3">
        <v>0.04</v>
      </c>
      <c r="J11" s="3">
        <v>0</v>
      </c>
      <c r="K11" s="4">
        <f t="shared" si="3"/>
        <v>1.05</v>
      </c>
      <c r="L11" s="2">
        <v>1.1000000000000001</v>
      </c>
      <c r="M11" s="3">
        <v>0</v>
      </c>
      <c r="N11" s="3">
        <v>0</v>
      </c>
      <c r="O11" s="4">
        <f t="shared" si="0"/>
        <v>1.1000000000000001</v>
      </c>
      <c r="P11" s="2">
        <f>L11-H11</f>
        <v>9.000000000000008E-2</v>
      </c>
      <c r="Q11" s="3">
        <f t="shared" si="1"/>
        <v>-0.04</v>
      </c>
      <c r="R11" s="3">
        <f t="shared" si="1"/>
        <v>0</v>
      </c>
      <c r="S11" s="4">
        <f t="shared" si="2"/>
        <v>5.0000000000000079E-2</v>
      </c>
    </row>
    <row r="12" spans="1:19" x14ac:dyDescent="0.25">
      <c r="A12" s="1" t="s">
        <v>0</v>
      </c>
      <c r="B12" s="1" t="s">
        <v>1</v>
      </c>
      <c r="C12" s="1">
        <v>15624050</v>
      </c>
      <c r="D12" s="1" t="s">
        <v>7</v>
      </c>
      <c r="E12" s="1">
        <v>201335</v>
      </c>
      <c r="F12" s="1" t="s">
        <v>8</v>
      </c>
      <c r="G12" s="6" t="s">
        <v>59</v>
      </c>
      <c r="H12" s="2">
        <v>5.01</v>
      </c>
      <c r="I12" s="3">
        <v>7.0000000000000007E-2</v>
      </c>
      <c r="J12" s="3">
        <v>0</v>
      </c>
      <c r="K12" s="4">
        <f t="shared" si="3"/>
        <v>5.08</v>
      </c>
      <c r="L12" s="2">
        <v>6</v>
      </c>
      <c r="M12" s="3">
        <v>0</v>
      </c>
      <c r="N12" s="3">
        <v>0</v>
      </c>
      <c r="O12" s="4">
        <f t="shared" si="0"/>
        <v>6</v>
      </c>
      <c r="P12" s="2">
        <f>L12-H12</f>
        <v>0.99000000000000021</v>
      </c>
      <c r="Q12" s="3">
        <f t="shared" si="1"/>
        <v>-7.0000000000000007E-2</v>
      </c>
      <c r="R12" s="3">
        <f t="shared" si="1"/>
        <v>0</v>
      </c>
      <c r="S12" s="4">
        <f t="shared" si="2"/>
        <v>0.92000000000000015</v>
      </c>
    </row>
    <row r="13" spans="1:19" x14ac:dyDescent="0.25">
      <c r="A13" s="1" t="s">
        <v>0</v>
      </c>
      <c r="B13" s="1" t="s">
        <v>1</v>
      </c>
      <c r="C13" s="1">
        <v>15624050</v>
      </c>
      <c r="D13" s="1" t="s">
        <v>7</v>
      </c>
      <c r="E13" s="1">
        <v>201256</v>
      </c>
      <c r="F13" s="1" t="s">
        <v>3</v>
      </c>
      <c r="G13" s="6" t="s">
        <v>58</v>
      </c>
      <c r="H13" s="2">
        <v>2.44</v>
      </c>
      <c r="I13" s="3">
        <v>0.03</v>
      </c>
      <c r="J13" s="3">
        <v>0</v>
      </c>
      <c r="K13" s="4">
        <f t="shared" si="3"/>
        <v>2.4699999999999998</v>
      </c>
      <c r="L13" s="2">
        <v>3.4</v>
      </c>
      <c r="M13" s="3">
        <v>0</v>
      </c>
      <c r="N13" s="3">
        <v>0</v>
      </c>
      <c r="O13" s="4">
        <f t="shared" si="0"/>
        <v>3.4</v>
      </c>
      <c r="P13" s="2">
        <f>L13-H13</f>
        <v>0.96</v>
      </c>
      <c r="Q13" s="3">
        <f t="shared" si="1"/>
        <v>-0.03</v>
      </c>
      <c r="R13" s="3">
        <f t="shared" si="1"/>
        <v>0</v>
      </c>
      <c r="S13" s="4">
        <f t="shared" si="2"/>
        <v>0.92999999999999994</v>
      </c>
    </row>
    <row r="14" spans="1:19" x14ac:dyDescent="0.25">
      <c r="A14" s="1" t="s">
        <v>0</v>
      </c>
      <c r="B14" s="1" t="s">
        <v>1</v>
      </c>
      <c r="C14" s="1">
        <v>15624050</v>
      </c>
      <c r="D14" s="1" t="s">
        <v>7</v>
      </c>
      <c r="E14" s="1">
        <v>202833</v>
      </c>
      <c r="F14" s="1" t="s">
        <v>6</v>
      </c>
      <c r="G14" s="6" t="s">
        <v>60</v>
      </c>
      <c r="H14" s="2">
        <v>1.02</v>
      </c>
      <c r="I14" s="3">
        <v>0.01</v>
      </c>
      <c r="J14" s="3">
        <v>0</v>
      </c>
      <c r="K14" s="4">
        <f t="shared" si="3"/>
        <v>1.03</v>
      </c>
      <c r="L14" s="2">
        <v>1</v>
      </c>
      <c r="M14" s="3">
        <v>0</v>
      </c>
      <c r="N14" s="3">
        <v>0</v>
      </c>
      <c r="O14" s="4">
        <f t="shared" si="0"/>
        <v>1</v>
      </c>
      <c r="P14" s="2">
        <f>L14-H14</f>
        <v>-2.0000000000000018E-2</v>
      </c>
      <c r="Q14" s="3">
        <f t="shared" si="1"/>
        <v>-0.01</v>
      </c>
      <c r="R14" s="3">
        <f t="shared" si="1"/>
        <v>0</v>
      </c>
      <c r="S14" s="4">
        <f t="shared" si="2"/>
        <v>-3.000000000000002E-2</v>
      </c>
    </row>
    <row r="15" spans="1:19" x14ac:dyDescent="0.25">
      <c r="A15" s="1" t="s">
        <v>0</v>
      </c>
      <c r="B15" s="1" t="s">
        <v>1</v>
      </c>
      <c r="C15" s="1">
        <v>15624050</v>
      </c>
      <c r="D15" s="1" t="s">
        <v>7</v>
      </c>
      <c r="E15" s="1">
        <v>101023</v>
      </c>
      <c r="F15" s="1" t="s">
        <v>9</v>
      </c>
      <c r="G15" s="6" t="s">
        <v>9</v>
      </c>
      <c r="H15" s="2">
        <v>0.63</v>
      </c>
      <c r="I15" s="3">
        <v>0</v>
      </c>
      <c r="J15" s="3">
        <v>0</v>
      </c>
      <c r="K15" s="4">
        <f t="shared" si="3"/>
        <v>0.63</v>
      </c>
      <c r="L15" s="2">
        <v>0</v>
      </c>
      <c r="M15" s="3">
        <v>0</v>
      </c>
      <c r="N15" s="3">
        <v>0</v>
      </c>
      <c r="O15" s="4">
        <f t="shared" si="0"/>
        <v>0</v>
      </c>
      <c r="P15" s="2">
        <f>L15-H15</f>
        <v>-0.63</v>
      </c>
      <c r="Q15" s="3">
        <f t="shared" si="1"/>
        <v>0</v>
      </c>
      <c r="R15" s="3">
        <f t="shared" si="1"/>
        <v>0</v>
      </c>
      <c r="S15" s="4">
        <f t="shared" si="2"/>
        <v>-0.63</v>
      </c>
    </row>
    <row r="16" spans="1:19" x14ac:dyDescent="0.25">
      <c r="A16" s="1" t="s">
        <v>0</v>
      </c>
      <c r="B16" s="1" t="s">
        <v>1</v>
      </c>
      <c r="C16" s="1">
        <v>15624050</v>
      </c>
      <c r="D16" s="1" t="s">
        <v>7</v>
      </c>
      <c r="E16" s="1">
        <v>102954</v>
      </c>
      <c r="F16" s="1" t="s">
        <v>10</v>
      </c>
      <c r="G16" s="6" t="s">
        <v>9</v>
      </c>
      <c r="H16" s="2">
        <v>0.17</v>
      </c>
      <c r="I16" s="3">
        <v>0</v>
      </c>
      <c r="J16" s="3">
        <v>0</v>
      </c>
      <c r="K16" s="4">
        <f t="shared" si="3"/>
        <v>0.17</v>
      </c>
      <c r="L16" s="2">
        <v>0</v>
      </c>
      <c r="M16" s="3">
        <v>0</v>
      </c>
      <c r="N16" s="3">
        <v>0</v>
      </c>
      <c r="O16" s="4">
        <f t="shared" si="0"/>
        <v>0</v>
      </c>
      <c r="P16" s="2">
        <f>L16-H16</f>
        <v>-0.17</v>
      </c>
      <c r="Q16" s="3">
        <f t="shared" si="1"/>
        <v>0</v>
      </c>
      <c r="R16" s="3">
        <f t="shared" si="1"/>
        <v>0</v>
      </c>
      <c r="S16" s="4">
        <f t="shared" si="2"/>
        <v>-0.17</v>
      </c>
    </row>
    <row r="17" spans="1:19" x14ac:dyDescent="0.25">
      <c r="A17" s="1" t="s">
        <v>0</v>
      </c>
      <c r="B17" s="1" t="s">
        <v>1</v>
      </c>
      <c r="C17" s="1">
        <v>15624050</v>
      </c>
      <c r="D17" s="1" t="s">
        <v>7</v>
      </c>
      <c r="E17" s="1">
        <v>101024</v>
      </c>
      <c r="F17" s="1" t="s">
        <v>11</v>
      </c>
      <c r="G17" s="6" t="s">
        <v>9</v>
      </c>
      <c r="H17" s="2">
        <v>0.09</v>
      </c>
      <c r="I17" s="3">
        <v>0</v>
      </c>
      <c r="J17" s="3">
        <v>0</v>
      </c>
      <c r="K17" s="4">
        <f t="shared" si="3"/>
        <v>0.09</v>
      </c>
      <c r="L17" s="2">
        <v>0</v>
      </c>
      <c r="M17" s="3">
        <v>0</v>
      </c>
      <c r="N17" s="3">
        <v>0</v>
      </c>
      <c r="O17" s="4">
        <f t="shared" si="0"/>
        <v>0</v>
      </c>
      <c r="P17" s="2">
        <f>L17-H17</f>
        <v>-0.09</v>
      </c>
      <c r="Q17" s="3">
        <f t="shared" si="1"/>
        <v>0</v>
      </c>
      <c r="R17" s="3">
        <f t="shared" si="1"/>
        <v>0</v>
      </c>
      <c r="S17" s="4">
        <f t="shared" si="2"/>
        <v>-0.09</v>
      </c>
    </row>
    <row r="18" spans="1:19" x14ac:dyDescent="0.25">
      <c r="A18" s="1" t="s">
        <v>0</v>
      </c>
      <c r="B18" s="1" t="s">
        <v>1</v>
      </c>
      <c r="C18" s="1">
        <v>15624050</v>
      </c>
      <c r="D18" s="1" t="s">
        <v>7</v>
      </c>
      <c r="E18" s="1">
        <v>106652</v>
      </c>
      <c r="F18" s="1" t="s">
        <v>3</v>
      </c>
      <c r="G18" s="6" t="s">
        <v>58</v>
      </c>
      <c r="H18" s="2">
        <v>1.05</v>
      </c>
      <c r="I18" s="3">
        <v>0.16</v>
      </c>
      <c r="J18" s="3">
        <v>0</v>
      </c>
      <c r="K18" s="4">
        <f t="shared" si="3"/>
        <v>1.21</v>
      </c>
      <c r="L18" s="2">
        <v>1</v>
      </c>
      <c r="M18" s="3">
        <v>0</v>
      </c>
      <c r="N18" s="3">
        <v>0</v>
      </c>
      <c r="O18" s="4">
        <f t="shared" si="0"/>
        <v>1</v>
      </c>
      <c r="P18" s="2">
        <f>L18-H18</f>
        <v>-5.0000000000000044E-2</v>
      </c>
      <c r="Q18" s="3">
        <f t="shared" si="1"/>
        <v>-0.16</v>
      </c>
      <c r="R18" s="3">
        <f t="shared" si="1"/>
        <v>0</v>
      </c>
      <c r="S18" s="4">
        <f t="shared" si="2"/>
        <v>-0.21000000000000005</v>
      </c>
    </row>
    <row r="19" spans="1:19" x14ac:dyDescent="0.25">
      <c r="A19" s="1" t="s">
        <v>0</v>
      </c>
      <c r="B19" s="1" t="s">
        <v>1</v>
      </c>
      <c r="C19" s="1">
        <v>15624050</v>
      </c>
      <c r="D19" s="1" t="s">
        <v>7</v>
      </c>
      <c r="E19" s="1">
        <v>203139</v>
      </c>
      <c r="F19" s="1" t="s">
        <v>3</v>
      </c>
      <c r="G19" s="6" t="s">
        <v>58</v>
      </c>
      <c r="H19" s="2">
        <v>0.02</v>
      </c>
      <c r="I19" s="3">
        <v>0</v>
      </c>
      <c r="J19" s="3">
        <v>0</v>
      </c>
      <c r="K19" s="4">
        <f t="shared" si="3"/>
        <v>0.02</v>
      </c>
      <c r="L19" s="2">
        <v>0</v>
      </c>
      <c r="M19" s="3">
        <v>0</v>
      </c>
      <c r="N19" s="3">
        <v>0</v>
      </c>
      <c r="O19" s="4">
        <f t="shared" si="0"/>
        <v>0</v>
      </c>
      <c r="P19" s="2">
        <f>L19-H19</f>
        <v>-0.02</v>
      </c>
      <c r="Q19" s="3">
        <f t="shared" si="1"/>
        <v>0</v>
      </c>
      <c r="R19" s="3">
        <f t="shared" si="1"/>
        <v>0</v>
      </c>
      <c r="S19" s="4">
        <f t="shared" si="2"/>
        <v>-0.02</v>
      </c>
    </row>
    <row r="20" spans="1:19" x14ac:dyDescent="0.25">
      <c r="A20" s="1" t="s">
        <v>0</v>
      </c>
      <c r="B20" s="1" t="s">
        <v>1</v>
      </c>
      <c r="C20" s="1">
        <v>15624050</v>
      </c>
      <c r="D20" s="1" t="s">
        <v>7</v>
      </c>
      <c r="E20" s="1">
        <v>203224</v>
      </c>
      <c r="F20" s="1" t="s">
        <v>12</v>
      </c>
      <c r="G20" s="6" t="s">
        <v>61</v>
      </c>
      <c r="H20" s="2">
        <v>0</v>
      </c>
      <c r="I20" s="3">
        <v>0</v>
      </c>
      <c r="J20" s="3">
        <v>0.41</v>
      </c>
      <c r="K20" s="4">
        <f t="shared" si="3"/>
        <v>0.41</v>
      </c>
      <c r="L20" s="2">
        <v>0</v>
      </c>
      <c r="M20" s="3">
        <v>0</v>
      </c>
      <c r="N20" s="3">
        <v>0</v>
      </c>
      <c r="O20" s="4">
        <f t="shared" si="0"/>
        <v>0</v>
      </c>
      <c r="P20" s="2">
        <f>L20-H20</f>
        <v>0</v>
      </c>
      <c r="Q20" s="3">
        <f t="shared" si="1"/>
        <v>0</v>
      </c>
      <c r="R20" s="3">
        <f t="shared" si="1"/>
        <v>-0.41</v>
      </c>
      <c r="S20" s="4">
        <f t="shared" si="2"/>
        <v>-0.41</v>
      </c>
    </row>
    <row r="21" spans="1:19" x14ac:dyDescent="0.25">
      <c r="A21" s="1" t="s">
        <v>0</v>
      </c>
      <c r="B21" s="1" t="s">
        <v>1</v>
      </c>
      <c r="C21" s="1">
        <v>15624050</v>
      </c>
      <c r="D21" s="1" t="s">
        <v>7</v>
      </c>
      <c r="E21" s="1">
        <v>203225</v>
      </c>
      <c r="F21" s="1" t="s">
        <v>13</v>
      </c>
      <c r="G21" s="6" t="s">
        <v>62</v>
      </c>
      <c r="H21" s="2">
        <v>0</v>
      </c>
      <c r="I21" s="3">
        <v>0</v>
      </c>
      <c r="J21" s="3">
        <v>0.06</v>
      </c>
      <c r="K21" s="4">
        <f t="shared" si="3"/>
        <v>0.06</v>
      </c>
      <c r="L21" s="2">
        <v>0</v>
      </c>
      <c r="M21" s="3">
        <v>0</v>
      </c>
      <c r="N21" s="3">
        <v>0</v>
      </c>
      <c r="O21" s="4">
        <f t="shared" si="0"/>
        <v>0</v>
      </c>
      <c r="P21" s="2">
        <f>L21-H21</f>
        <v>0</v>
      </c>
      <c r="Q21" s="3">
        <f t="shared" si="1"/>
        <v>0</v>
      </c>
      <c r="R21" s="3">
        <f t="shared" si="1"/>
        <v>-0.06</v>
      </c>
      <c r="S21" s="4">
        <f t="shared" si="2"/>
        <v>-0.06</v>
      </c>
    </row>
    <row r="22" spans="1:19" x14ac:dyDescent="0.25">
      <c r="A22" s="1" t="s">
        <v>0</v>
      </c>
      <c r="B22" s="1" t="s">
        <v>1</v>
      </c>
      <c r="C22" s="1">
        <v>15624050</v>
      </c>
      <c r="D22" s="1" t="s">
        <v>7</v>
      </c>
      <c r="E22" s="1">
        <v>903431</v>
      </c>
      <c r="F22" s="1" t="s">
        <v>14</v>
      </c>
      <c r="G22" s="6" t="s">
        <v>63</v>
      </c>
      <c r="H22" s="2">
        <v>1.01</v>
      </c>
      <c r="I22" s="3">
        <v>0.02</v>
      </c>
      <c r="J22" s="3">
        <v>0</v>
      </c>
      <c r="K22" s="4">
        <f t="shared" si="3"/>
        <v>1.03</v>
      </c>
      <c r="L22" s="2">
        <v>1</v>
      </c>
      <c r="M22" s="3">
        <v>0</v>
      </c>
      <c r="N22" s="3">
        <v>0</v>
      </c>
      <c r="O22" s="4">
        <f t="shared" si="0"/>
        <v>1</v>
      </c>
      <c r="P22" s="2">
        <f>L22-H22</f>
        <v>-1.0000000000000009E-2</v>
      </c>
      <c r="Q22" s="3">
        <f t="shared" si="1"/>
        <v>-0.02</v>
      </c>
      <c r="R22" s="3">
        <f t="shared" si="1"/>
        <v>0</v>
      </c>
      <c r="S22" s="4">
        <f t="shared" si="2"/>
        <v>-3.0000000000000009E-2</v>
      </c>
    </row>
    <row r="23" spans="1:19" x14ac:dyDescent="0.25">
      <c r="A23" s="1" t="s">
        <v>0</v>
      </c>
      <c r="B23" s="1" t="s">
        <v>1</v>
      </c>
      <c r="C23" s="1">
        <v>15624050</v>
      </c>
      <c r="D23" s="1" t="s">
        <v>7</v>
      </c>
      <c r="E23" s="1">
        <v>904414</v>
      </c>
      <c r="F23" s="1" t="s">
        <v>15</v>
      </c>
      <c r="G23" s="6" t="s">
        <v>64</v>
      </c>
      <c r="H23" s="2">
        <v>1.01</v>
      </c>
      <c r="I23" s="3">
        <v>0</v>
      </c>
      <c r="J23" s="3">
        <v>0</v>
      </c>
      <c r="K23" s="4">
        <f t="shared" si="3"/>
        <v>1.01</v>
      </c>
      <c r="L23" s="2">
        <v>1</v>
      </c>
      <c r="M23" s="3">
        <v>0</v>
      </c>
      <c r="N23" s="3">
        <v>0</v>
      </c>
      <c r="O23" s="4">
        <f t="shared" si="0"/>
        <v>1</v>
      </c>
      <c r="P23" s="2">
        <f>L23-H23</f>
        <v>-1.0000000000000009E-2</v>
      </c>
      <c r="Q23" s="3">
        <f t="shared" si="1"/>
        <v>0</v>
      </c>
      <c r="R23" s="3">
        <f t="shared" si="1"/>
        <v>0</v>
      </c>
      <c r="S23" s="4">
        <f t="shared" si="2"/>
        <v>-1.0000000000000009E-2</v>
      </c>
    </row>
    <row r="24" spans="1:19" x14ac:dyDescent="0.25">
      <c r="A24" s="1" t="s">
        <v>0</v>
      </c>
      <c r="B24" s="1" t="s">
        <v>1</v>
      </c>
      <c r="C24" s="1">
        <v>15625045</v>
      </c>
      <c r="D24" s="1" t="s">
        <v>16</v>
      </c>
      <c r="E24" s="1">
        <v>201335</v>
      </c>
      <c r="F24" s="1" t="s">
        <v>8</v>
      </c>
      <c r="G24" s="6" t="s">
        <v>59</v>
      </c>
      <c r="H24" s="2">
        <v>10.47</v>
      </c>
      <c r="I24" s="3">
        <v>0.54</v>
      </c>
      <c r="J24" s="3">
        <v>0</v>
      </c>
      <c r="K24" s="4">
        <f t="shared" si="3"/>
        <v>11.010000000000002</v>
      </c>
      <c r="L24" s="2">
        <v>12</v>
      </c>
      <c r="M24" s="3">
        <v>0</v>
      </c>
      <c r="N24" s="3">
        <v>0</v>
      </c>
      <c r="O24" s="4">
        <f t="shared" si="0"/>
        <v>12</v>
      </c>
      <c r="P24" s="2">
        <f>L24-H24</f>
        <v>1.5299999999999994</v>
      </c>
      <c r="Q24" s="3">
        <f t="shared" si="1"/>
        <v>-0.54</v>
      </c>
      <c r="R24" s="3">
        <f t="shared" si="1"/>
        <v>0</v>
      </c>
      <c r="S24" s="4">
        <f t="shared" si="2"/>
        <v>0.98999999999999932</v>
      </c>
    </row>
    <row r="25" spans="1:19" x14ac:dyDescent="0.25">
      <c r="A25" s="1" t="s">
        <v>0</v>
      </c>
      <c r="B25" s="1" t="s">
        <v>1</v>
      </c>
      <c r="C25" s="1">
        <v>15625045</v>
      </c>
      <c r="D25" s="1" t="s">
        <v>16</v>
      </c>
      <c r="E25" s="1">
        <v>202127</v>
      </c>
      <c r="F25" s="1" t="s">
        <v>17</v>
      </c>
      <c r="G25" s="6" t="s">
        <v>60</v>
      </c>
      <c r="H25" s="2">
        <v>0.01</v>
      </c>
      <c r="I25" s="3">
        <v>0</v>
      </c>
      <c r="J25" s="3">
        <v>0</v>
      </c>
      <c r="K25" s="4">
        <f t="shared" si="3"/>
        <v>0.01</v>
      </c>
      <c r="L25" s="2">
        <v>0</v>
      </c>
      <c r="M25" s="3">
        <v>0</v>
      </c>
      <c r="N25" s="3">
        <v>0</v>
      </c>
      <c r="O25" s="4">
        <f t="shared" si="0"/>
        <v>0</v>
      </c>
      <c r="P25" s="2">
        <f>L25-H25</f>
        <v>-0.01</v>
      </c>
      <c r="Q25" s="3">
        <f t="shared" si="1"/>
        <v>0</v>
      </c>
      <c r="R25" s="3">
        <f t="shared" si="1"/>
        <v>0</v>
      </c>
      <c r="S25" s="4">
        <f t="shared" si="2"/>
        <v>-0.01</v>
      </c>
    </row>
    <row r="26" spans="1:19" x14ac:dyDescent="0.25">
      <c r="A26" s="1" t="s">
        <v>0</v>
      </c>
      <c r="B26" s="1" t="s">
        <v>1</v>
      </c>
      <c r="C26" s="1">
        <v>15625045</v>
      </c>
      <c r="D26" s="1" t="s">
        <v>16</v>
      </c>
      <c r="E26" s="1">
        <v>202971</v>
      </c>
      <c r="F26" s="1" t="s">
        <v>18</v>
      </c>
      <c r="G26" s="6" t="s">
        <v>60</v>
      </c>
      <c r="H26" s="2">
        <v>1.04</v>
      </c>
      <c r="I26" s="3">
        <v>0</v>
      </c>
      <c r="J26" s="3">
        <v>0</v>
      </c>
      <c r="K26" s="4">
        <f t="shared" si="3"/>
        <v>1.04</v>
      </c>
      <c r="L26" s="2">
        <v>1</v>
      </c>
      <c r="M26" s="3">
        <v>0</v>
      </c>
      <c r="N26" s="3">
        <v>0</v>
      </c>
      <c r="O26" s="4">
        <f t="shared" si="0"/>
        <v>1</v>
      </c>
      <c r="P26" s="2">
        <f>L26-H26</f>
        <v>-4.0000000000000036E-2</v>
      </c>
      <c r="Q26" s="3">
        <f t="shared" si="1"/>
        <v>0</v>
      </c>
      <c r="R26" s="3">
        <f t="shared" si="1"/>
        <v>0</v>
      </c>
      <c r="S26" s="4">
        <f t="shared" si="2"/>
        <v>-4.0000000000000036E-2</v>
      </c>
    </row>
    <row r="27" spans="1:19" x14ac:dyDescent="0.25">
      <c r="A27" s="1" t="s">
        <v>0</v>
      </c>
      <c r="B27" s="1" t="s">
        <v>1</v>
      </c>
      <c r="C27" s="1">
        <v>15625045</v>
      </c>
      <c r="D27" s="1" t="s">
        <v>16</v>
      </c>
      <c r="E27" s="1">
        <v>201256</v>
      </c>
      <c r="F27" s="1" t="s">
        <v>3</v>
      </c>
      <c r="G27" s="6" t="s">
        <v>58</v>
      </c>
      <c r="H27" s="2">
        <v>1.74</v>
      </c>
      <c r="I27" s="3">
        <v>0.21</v>
      </c>
      <c r="J27" s="3">
        <v>0</v>
      </c>
      <c r="K27" s="4">
        <f t="shared" si="3"/>
        <v>1.95</v>
      </c>
      <c r="L27" s="2">
        <v>0</v>
      </c>
      <c r="M27" s="3">
        <v>0</v>
      </c>
      <c r="N27" s="3">
        <v>0</v>
      </c>
      <c r="O27" s="4">
        <f t="shared" si="0"/>
        <v>0</v>
      </c>
      <c r="P27" s="2">
        <f>L27-H27</f>
        <v>-1.74</v>
      </c>
      <c r="Q27" s="3">
        <f t="shared" si="1"/>
        <v>-0.21</v>
      </c>
      <c r="R27" s="3">
        <f t="shared" si="1"/>
        <v>0</v>
      </c>
      <c r="S27" s="4">
        <f t="shared" si="2"/>
        <v>-1.95</v>
      </c>
    </row>
    <row r="28" spans="1:19" x14ac:dyDescent="0.25">
      <c r="A28" s="1" t="s">
        <v>0</v>
      </c>
      <c r="B28" s="1" t="s">
        <v>1</v>
      </c>
      <c r="C28" s="1">
        <v>15625045</v>
      </c>
      <c r="D28" s="1" t="s">
        <v>16</v>
      </c>
      <c r="E28" s="1">
        <v>202833</v>
      </c>
      <c r="F28" s="1" t="s">
        <v>6</v>
      </c>
      <c r="G28" s="6" t="s">
        <v>60</v>
      </c>
      <c r="H28" s="2">
        <v>2.17</v>
      </c>
      <c r="I28" s="3">
        <v>0.12</v>
      </c>
      <c r="J28" s="3">
        <v>0</v>
      </c>
      <c r="K28" s="4">
        <f t="shared" si="3"/>
        <v>2.29</v>
      </c>
      <c r="L28" s="2">
        <v>2</v>
      </c>
      <c r="M28" s="3">
        <v>0</v>
      </c>
      <c r="N28" s="3">
        <v>0</v>
      </c>
      <c r="O28" s="4">
        <f t="shared" si="0"/>
        <v>2</v>
      </c>
      <c r="P28" s="2">
        <f>L28-H28</f>
        <v>-0.16999999999999993</v>
      </c>
      <c r="Q28" s="3">
        <f t="shared" si="1"/>
        <v>-0.12</v>
      </c>
      <c r="R28" s="3">
        <f t="shared" si="1"/>
        <v>0</v>
      </c>
      <c r="S28" s="4">
        <f t="shared" si="2"/>
        <v>-0.28999999999999992</v>
      </c>
    </row>
    <row r="29" spans="1:19" x14ac:dyDescent="0.25">
      <c r="A29" s="1" t="s">
        <v>0</v>
      </c>
      <c r="B29" s="1" t="s">
        <v>1</v>
      </c>
      <c r="C29" s="1">
        <v>15625045</v>
      </c>
      <c r="D29" s="1" t="s">
        <v>16</v>
      </c>
      <c r="E29" s="1">
        <v>203139</v>
      </c>
      <c r="F29" s="1" t="s">
        <v>3</v>
      </c>
      <c r="G29" s="6" t="s">
        <v>58</v>
      </c>
      <c r="H29" s="2">
        <v>0.02</v>
      </c>
      <c r="I29" s="3">
        <v>0</v>
      </c>
      <c r="J29" s="3">
        <v>0</v>
      </c>
      <c r="K29" s="4">
        <f t="shared" si="3"/>
        <v>0.02</v>
      </c>
      <c r="L29" s="2">
        <v>0</v>
      </c>
      <c r="M29" s="3">
        <v>0</v>
      </c>
      <c r="N29" s="3">
        <v>0</v>
      </c>
      <c r="O29" s="4">
        <f t="shared" si="0"/>
        <v>0</v>
      </c>
      <c r="P29" s="2">
        <f>L29-H29</f>
        <v>-0.02</v>
      </c>
      <c r="Q29" s="3">
        <f t="shared" si="1"/>
        <v>0</v>
      </c>
      <c r="R29" s="3">
        <f t="shared" si="1"/>
        <v>0</v>
      </c>
      <c r="S29" s="4">
        <f t="shared" si="2"/>
        <v>-0.02</v>
      </c>
    </row>
    <row r="30" spans="1:19" x14ac:dyDescent="0.25">
      <c r="A30" s="1" t="s">
        <v>0</v>
      </c>
      <c r="B30" s="1" t="s">
        <v>1</v>
      </c>
      <c r="C30" s="1">
        <v>15625045</v>
      </c>
      <c r="D30" s="1" t="s">
        <v>16</v>
      </c>
      <c r="E30" s="1">
        <v>203224</v>
      </c>
      <c r="F30" s="1" t="s">
        <v>12</v>
      </c>
      <c r="G30" s="6" t="s">
        <v>61</v>
      </c>
      <c r="H30" s="2">
        <v>0</v>
      </c>
      <c r="I30" s="3">
        <v>0</v>
      </c>
      <c r="J30" s="3">
        <v>0.61</v>
      </c>
      <c r="K30" s="4">
        <f t="shared" si="3"/>
        <v>0.61</v>
      </c>
      <c r="L30" s="2">
        <v>0</v>
      </c>
      <c r="M30" s="3">
        <v>0</v>
      </c>
      <c r="N30" s="3">
        <v>0</v>
      </c>
      <c r="O30" s="4">
        <f t="shared" si="0"/>
        <v>0</v>
      </c>
      <c r="P30" s="2">
        <f>L30-H30</f>
        <v>0</v>
      </c>
      <c r="Q30" s="3">
        <f t="shared" si="1"/>
        <v>0</v>
      </c>
      <c r="R30" s="3">
        <f t="shared" si="1"/>
        <v>-0.61</v>
      </c>
      <c r="S30" s="4">
        <f t="shared" si="2"/>
        <v>-0.61</v>
      </c>
    </row>
    <row r="31" spans="1:19" x14ac:dyDescent="0.25">
      <c r="A31" s="1" t="s">
        <v>0</v>
      </c>
      <c r="B31" s="1" t="s">
        <v>1</v>
      </c>
      <c r="C31" s="1">
        <v>15625045</v>
      </c>
      <c r="D31" s="1" t="s">
        <v>16</v>
      </c>
      <c r="E31" s="1">
        <v>203225</v>
      </c>
      <c r="F31" s="1" t="s">
        <v>13</v>
      </c>
      <c r="G31" s="6" t="s">
        <v>62</v>
      </c>
      <c r="H31" s="2">
        <v>0</v>
      </c>
      <c r="I31" s="3">
        <v>0</v>
      </c>
      <c r="J31" s="3">
        <v>0.03</v>
      </c>
      <c r="K31" s="4">
        <f t="shared" si="3"/>
        <v>0.03</v>
      </c>
      <c r="L31" s="2">
        <v>0</v>
      </c>
      <c r="M31" s="3">
        <v>0</v>
      </c>
      <c r="N31" s="3">
        <v>0</v>
      </c>
      <c r="O31" s="4">
        <f t="shared" si="0"/>
        <v>0</v>
      </c>
      <c r="P31" s="2">
        <f>L31-H31</f>
        <v>0</v>
      </c>
      <c r="Q31" s="3">
        <f t="shared" si="1"/>
        <v>0</v>
      </c>
      <c r="R31" s="3">
        <f t="shared" si="1"/>
        <v>-0.03</v>
      </c>
      <c r="S31" s="4">
        <f t="shared" si="2"/>
        <v>-0.03</v>
      </c>
    </row>
    <row r="32" spans="1:19" x14ac:dyDescent="0.25">
      <c r="A32" s="1" t="s">
        <v>0</v>
      </c>
      <c r="B32" s="1" t="s">
        <v>1</v>
      </c>
      <c r="C32" s="1">
        <v>15625045</v>
      </c>
      <c r="D32" s="1" t="s">
        <v>16</v>
      </c>
      <c r="E32" s="1">
        <v>903431</v>
      </c>
      <c r="F32" s="1" t="s">
        <v>14</v>
      </c>
      <c r="G32" s="6" t="s">
        <v>63</v>
      </c>
      <c r="H32" s="2">
        <v>2.61</v>
      </c>
      <c r="I32" s="3">
        <v>0.03</v>
      </c>
      <c r="J32" s="3">
        <v>0</v>
      </c>
      <c r="K32" s="4">
        <f t="shared" si="3"/>
        <v>2.6399999999999997</v>
      </c>
      <c r="L32" s="2">
        <v>4</v>
      </c>
      <c r="M32" s="3">
        <v>0</v>
      </c>
      <c r="N32" s="3">
        <v>0</v>
      </c>
      <c r="O32" s="4">
        <f t="shared" si="0"/>
        <v>4</v>
      </c>
      <c r="P32" s="2">
        <f>L32-H32</f>
        <v>1.3900000000000001</v>
      </c>
      <c r="Q32" s="3">
        <f t="shared" si="1"/>
        <v>-0.03</v>
      </c>
      <c r="R32" s="3">
        <f t="shared" si="1"/>
        <v>0</v>
      </c>
      <c r="S32" s="4">
        <f t="shared" si="2"/>
        <v>1.36</v>
      </c>
    </row>
    <row r="33" spans="1:19" x14ac:dyDescent="0.25">
      <c r="A33" s="1" t="s">
        <v>0</v>
      </c>
      <c r="B33" s="1" t="s">
        <v>1</v>
      </c>
      <c r="C33" s="1">
        <v>15625045</v>
      </c>
      <c r="D33" s="1" t="s">
        <v>16</v>
      </c>
      <c r="E33" s="1">
        <v>110635</v>
      </c>
      <c r="F33" s="1" t="s">
        <v>19</v>
      </c>
      <c r="G33" s="6" t="s">
        <v>59</v>
      </c>
      <c r="H33" s="2">
        <v>0.05</v>
      </c>
      <c r="I33" s="3">
        <v>0</v>
      </c>
      <c r="J33" s="3">
        <v>0</v>
      </c>
      <c r="K33" s="4">
        <f t="shared" si="3"/>
        <v>0.05</v>
      </c>
      <c r="L33" s="2">
        <v>0</v>
      </c>
      <c r="M33" s="3">
        <v>0</v>
      </c>
      <c r="N33" s="3">
        <v>0</v>
      </c>
      <c r="O33" s="4">
        <f t="shared" si="0"/>
        <v>0</v>
      </c>
      <c r="P33" s="2">
        <f>L33-H33</f>
        <v>-0.05</v>
      </c>
      <c r="Q33" s="3">
        <f t="shared" si="1"/>
        <v>0</v>
      </c>
      <c r="R33" s="3">
        <f t="shared" si="1"/>
        <v>0</v>
      </c>
      <c r="S33" s="4">
        <f t="shared" si="2"/>
        <v>-0.05</v>
      </c>
    </row>
    <row r="34" spans="1:19" x14ac:dyDescent="0.25">
      <c r="A34" s="1" t="s">
        <v>0</v>
      </c>
      <c r="B34" s="1" t="s">
        <v>1</v>
      </c>
      <c r="C34" s="1">
        <v>15625045</v>
      </c>
      <c r="D34" s="1" t="s">
        <v>16</v>
      </c>
      <c r="E34" s="1">
        <v>203165</v>
      </c>
      <c r="F34" s="1" t="s">
        <v>20</v>
      </c>
      <c r="G34" s="6" t="s">
        <v>59</v>
      </c>
      <c r="H34" s="2">
        <v>0.01</v>
      </c>
      <c r="I34" s="3">
        <v>0</v>
      </c>
      <c r="J34" s="3">
        <v>0</v>
      </c>
      <c r="K34" s="4">
        <f t="shared" si="3"/>
        <v>0.01</v>
      </c>
      <c r="L34" s="2">
        <v>0</v>
      </c>
      <c r="M34" s="3">
        <v>0</v>
      </c>
      <c r="N34" s="3">
        <v>0</v>
      </c>
      <c r="O34" s="4">
        <f t="shared" si="0"/>
        <v>0</v>
      </c>
      <c r="P34" s="2">
        <f>L34-H34</f>
        <v>-0.01</v>
      </c>
      <c r="Q34" s="3">
        <f t="shared" si="1"/>
        <v>0</v>
      </c>
      <c r="R34" s="3">
        <f t="shared" si="1"/>
        <v>0</v>
      </c>
      <c r="S34" s="4">
        <f t="shared" si="2"/>
        <v>-0.01</v>
      </c>
    </row>
    <row r="35" spans="1:19" x14ac:dyDescent="0.25">
      <c r="A35" s="1" t="s">
        <v>0</v>
      </c>
      <c r="B35" s="1" t="s">
        <v>1</v>
      </c>
      <c r="C35" s="1">
        <v>15625045</v>
      </c>
      <c r="D35" s="1" t="s">
        <v>16</v>
      </c>
      <c r="E35" s="1">
        <v>203261</v>
      </c>
      <c r="F35" s="1" t="s">
        <v>21</v>
      </c>
      <c r="G35" s="6" t="s">
        <v>58</v>
      </c>
      <c r="H35" s="2">
        <v>0.02</v>
      </c>
      <c r="I35" s="3">
        <v>0</v>
      </c>
      <c r="J35" s="3">
        <v>0</v>
      </c>
      <c r="K35" s="4">
        <f t="shared" si="3"/>
        <v>0.02</v>
      </c>
      <c r="L35" s="2">
        <v>0</v>
      </c>
      <c r="M35" s="3">
        <v>0</v>
      </c>
      <c r="N35" s="3">
        <v>0</v>
      </c>
      <c r="O35" s="4">
        <f t="shared" si="0"/>
        <v>0</v>
      </c>
      <c r="P35" s="2">
        <f>L35-H35</f>
        <v>-0.02</v>
      </c>
      <c r="Q35" s="3">
        <f t="shared" si="1"/>
        <v>0</v>
      </c>
      <c r="R35" s="3">
        <f t="shared" si="1"/>
        <v>0</v>
      </c>
      <c r="S35" s="4">
        <f t="shared" si="2"/>
        <v>-0.02</v>
      </c>
    </row>
    <row r="36" spans="1:19" x14ac:dyDescent="0.25">
      <c r="A36" s="1" t="s">
        <v>0</v>
      </c>
      <c r="B36" s="1" t="s">
        <v>1</v>
      </c>
      <c r="C36" s="1">
        <v>15625045</v>
      </c>
      <c r="D36" s="1" t="s">
        <v>16</v>
      </c>
      <c r="E36" s="1">
        <v>904397</v>
      </c>
      <c r="F36" s="1" t="s">
        <v>22</v>
      </c>
      <c r="G36" s="6" t="s">
        <v>60</v>
      </c>
      <c r="H36" s="2">
        <v>1.03</v>
      </c>
      <c r="I36" s="3">
        <v>0</v>
      </c>
      <c r="J36" s="3">
        <v>0</v>
      </c>
      <c r="K36" s="4">
        <f t="shared" si="3"/>
        <v>1.03</v>
      </c>
      <c r="L36" s="2">
        <v>1</v>
      </c>
      <c r="M36" s="3">
        <v>0</v>
      </c>
      <c r="N36" s="3">
        <v>0</v>
      </c>
      <c r="O36" s="4">
        <f t="shared" si="0"/>
        <v>1</v>
      </c>
      <c r="P36" s="2">
        <f>L36-H36</f>
        <v>-3.0000000000000027E-2</v>
      </c>
      <c r="Q36" s="3">
        <f t="shared" si="1"/>
        <v>0</v>
      </c>
      <c r="R36" s="3">
        <f t="shared" si="1"/>
        <v>0</v>
      </c>
      <c r="S36" s="4">
        <f t="shared" si="2"/>
        <v>-3.0000000000000027E-2</v>
      </c>
    </row>
    <row r="37" spans="1:19" x14ac:dyDescent="0.25">
      <c r="A37" s="1" t="s">
        <v>0</v>
      </c>
      <c r="B37" s="1" t="s">
        <v>1</v>
      </c>
      <c r="C37" s="1">
        <v>15628030</v>
      </c>
      <c r="D37" s="1" t="s">
        <v>23</v>
      </c>
      <c r="E37" s="1">
        <v>201068</v>
      </c>
      <c r="F37" s="1" t="s">
        <v>24</v>
      </c>
      <c r="G37" s="6" t="s">
        <v>60</v>
      </c>
      <c r="H37" s="2">
        <v>1</v>
      </c>
      <c r="I37" s="3">
        <v>0</v>
      </c>
      <c r="J37" s="3">
        <v>0</v>
      </c>
      <c r="K37" s="4">
        <f t="shared" si="3"/>
        <v>1</v>
      </c>
      <c r="L37" s="2">
        <v>1</v>
      </c>
      <c r="M37" s="3">
        <v>0</v>
      </c>
      <c r="N37" s="3">
        <v>0</v>
      </c>
      <c r="O37" s="4">
        <f t="shared" si="0"/>
        <v>1</v>
      </c>
      <c r="P37" s="2">
        <f>L37-H37</f>
        <v>0</v>
      </c>
      <c r="Q37" s="3">
        <f t="shared" si="1"/>
        <v>0</v>
      </c>
      <c r="R37" s="3">
        <f t="shared" si="1"/>
        <v>0</v>
      </c>
      <c r="S37" s="4">
        <f t="shared" si="2"/>
        <v>0</v>
      </c>
    </row>
    <row r="38" spans="1:19" x14ac:dyDescent="0.25">
      <c r="A38" s="1" t="s">
        <v>0</v>
      </c>
      <c r="B38" s="1" t="s">
        <v>1</v>
      </c>
      <c r="C38" s="1">
        <v>15628030</v>
      </c>
      <c r="D38" s="1" t="s">
        <v>23</v>
      </c>
      <c r="E38" s="1">
        <v>201335</v>
      </c>
      <c r="F38" s="1" t="s">
        <v>8</v>
      </c>
      <c r="G38" s="6" t="s">
        <v>59</v>
      </c>
      <c r="H38" s="2">
        <v>2.68</v>
      </c>
      <c r="I38" s="3">
        <v>0.02</v>
      </c>
      <c r="J38" s="3">
        <v>0</v>
      </c>
      <c r="K38" s="4">
        <f t="shared" si="3"/>
        <v>2.7</v>
      </c>
      <c r="L38" s="2">
        <v>3.34</v>
      </c>
      <c r="M38" s="3">
        <v>0</v>
      </c>
      <c r="N38" s="3">
        <v>0</v>
      </c>
      <c r="O38" s="4">
        <f t="shared" si="0"/>
        <v>3.34</v>
      </c>
      <c r="P38" s="2">
        <f>L38-H38</f>
        <v>0.6599999999999997</v>
      </c>
      <c r="Q38" s="3">
        <f t="shared" si="1"/>
        <v>-0.02</v>
      </c>
      <c r="R38" s="3">
        <f t="shared" si="1"/>
        <v>0</v>
      </c>
      <c r="S38" s="4">
        <f t="shared" si="2"/>
        <v>0.63999999999999968</v>
      </c>
    </row>
    <row r="39" spans="1:19" x14ac:dyDescent="0.25">
      <c r="A39" s="1" t="s">
        <v>0</v>
      </c>
      <c r="B39" s="1" t="s">
        <v>1</v>
      </c>
      <c r="C39" s="1">
        <v>15628030</v>
      </c>
      <c r="D39" s="1" t="s">
        <v>23</v>
      </c>
      <c r="E39" s="1">
        <v>203224</v>
      </c>
      <c r="F39" s="1" t="s">
        <v>12</v>
      </c>
      <c r="G39" s="6" t="s">
        <v>61</v>
      </c>
      <c r="H39" s="2">
        <v>0</v>
      </c>
      <c r="I39" s="3">
        <v>0</v>
      </c>
      <c r="J39" s="3">
        <v>0.06</v>
      </c>
      <c r="K39" s="4">
        <f t="shared" si="3"/>
        <v>0.06</v>
      </c>
      <c r="L39" s="2">
        <v>0</v>
      </c>
      <c r="M39" s="3">
        <v>0</v>
      </c>
      <c r="N39" s="3">
        <v>0</v>
      </c>
      <c r="O39" s="4">
        <f t="shared" si="0"/>
        <v>0</v>
      </c>
      <c r="P39" s="2">
        <f>L39-H39</f>
        <v>0</v>
      </c>
      <c r="Q39" s="3">
        <f t="shared" si="1"/>
        <v>0</v>
      </c>
      <c r="R39" s="3">
        <f t="shared" si="1"/>
        <v>-0.06</v>
      </c>
      <c r="S39" s="4">
        <f t="shared" si="2"/>
        <v>-0.06</v>
      </c>
    </row>
    <row r="40" spans="1:19" x14ac:dyDescent="0.25">
      <c r="A40" s="1" t="s">
        <v>0</v>
      </c>
      <c r="B40" s="1" t="s">
        <v>1</v>
      </c>
      <c r="C40" s="1">
        <v>15628030</v>
      </c>
      <c r="D40" s="1" t="s">
        <v>23</v>
      </c>
      <c r="E40" s="1">
        <v>903431</v>
      </c>
      <c r="F40" s="1" t="s">
        <v>14</v>
      </c>
      <c r="G40" s="6" t="s">
        <v>63</v>
      </c>
      <c r="H40" s="2">
        <v>1.02</v>
      </c>
      <c r="I40" s="3">
        <v>0.02</v>
      </c>
      <c r="J40" s="3">
        <v>0</v>
      </c>
      <c r="K40" s="4">
        <f t="shared" si="3"/>
        <v>1.04</v>
      </c>
      <c r="L40" s="2">
        <v>1</v>
      </c>
      <c r="M40" s="3">
        <v>0</v>
      </c>
      <c r="N40" s="3">
        <v>0</v>
      </c>
      <c r="O40" s="4">
        <f t="shared" si="0"/>
        <v>1</v>
      </c>
      <c r="P40" s="2">
        <f>L40-H40</f>
        <v>-2.0000000000000018E-2</v>
      </c>
      <c r="Q40" s="3">
        <f t="shared" si="1"/>
        <v>-0.02</v>
      </c>
      <c r="R40" s="3">
        <f t="shared" si="1"/>
        <v>0</v>
      </c>
      <c r="S40" s="4">
        <f t="shared" si="2"/>
        <v>-4.0000000000000022E-2</v>
      </c>
    </row>
    <row r="41" spans="1:19" x14ac:dyDescent="0.25">
      <c r="A41" s="1" t="s">
        <v>0</v>
      </c>
      <c r="B41" s="1" t="s">
        <v>1</v>
      </c>
      <c r="C41" s="1">
        <v>15628030</v>
      </c>
      <c r="D41" s="1" t="s">
        <v>23</v>
      </c>
      <c r="E41" s="1">
        <v>903388</v>
      </c>
      <c r="F41" s="1" t="s">
        <v>25</v>
      </c>
      <c r="G41" s="6" t="s">
        <v>60</v>
      </c>
      <c r="H41" s="2">
        <v>1</v>
      </c>
      <c r="I41" s="3">
        <v>0</v>
      </c>
      <c r="J41" s="3">
        <v>0</v>
      </c>
      <c r="K41" s="4">
        <f t="shared" si="3"/>
        <v>1</v>
      </c>
      <c r="L41" s="2">
        <v>1</v>
      </c>
      <c r="M41" s="3">
        <v>0</v>
      </c>
      <c r="N41" s="3">
        <v>0</v>
      </c>
      <c r="O41" s="4">
        <f t="shared" si="0"/>
        <v>1</v>
      </c>
      <c r="P41" s="2">
        <f>L41-H41</f>
        <v>0</v>
      </c>
      <c r="Q41" s="3">
        <f t="shared" si="1"/>
        <v>0</v>
      </c>
      <c r="R41" s="3">
        <f t="shared" si="1"/>
        <v>0</v>
      </c>
      <c r="S41" s="4">
        <f t="shared" si="2"/>
        <v>0</v>
      </c>
    </row>
    <row r="42" spans="1:19" x14ac:dyDescent="0.25">
      <c r="A42" s="1" t="s">
        <v>0</v>
      </c>
      <c r="B42" s="1" t="s">
        <v>1</v>
      </c>
      <c r="C42" s="1">
        <v>15632045</v>
      </c>
      <c r="D42" s="1" t="s">
        <v>26</v>
      </c>
      <c r="E42" s="1">
        <v>903387</v>
      </c>
      <c r="F42" s="1" t="s">
        <v>27</v>
      </c>
      <c r="G42" s="6" t="s">
        <v>60</v>
      </c>
      <c r="H42" s="2">
        <v>0.01</v>
      </c>
      <c r="I42" s="3">
        <v>0</v>
      </c>
      <c r="J42" s="3">
        <v>0</v>
      </c>
      <c r="K42" s="4">
        <f t="shared" si="3"/>
        <v>0.01</v>
      </c>
      <c r="L42" s="2">
        <v>0</v>
      </c>
      <c r="M42" s="3">
        <v>0</v>
      </c>
      <c r="N42" s="3">
        <v>0</v>
      </c>
      <c r="O42" s="4">
        <f t="shared" si="0"/>
        <v>0</v>
      </c>
      <c r="P42" s="2">
        <f>L42-H42</f>
        <v>-0.01</v>
      </c>
      <c r="Q42" s="3">
        <f t="shared" si="1"/>
        <v>0</v>
      </c>
      <c r="R42" s="3">
        <f t="shared" si="1"/>
        <v>0</v>
      </c>
      <c r="S42" s="4">
        <f t="shared" si="2"/>
        <v>-0.01</v>
      </c>
    </row>
    <row r="43" spans="1:19" x14ac:dyDescent="0.25">
      <c r="A43" s="1" t="s">
        <v>0</v>
      </c>
      <c r="B43" s="1" t="s">
        <v>1</v>
      </c>
      <c r="C43" s="1">
        <v>15632045</v>
      </c>
      <c r="D43" s="1" t="s">
        <v>26</v>
      </c>
      <c r="E43" s="1">
        <v>201335</v>
      </c>
      <c r="F43" s="1" t="s">
        <v>8</v>
      </c>
      <c r="G43" s="6" t="s">
        <v>59</v>
      </c>
      <c r="H43" s="2">
        <v>18.260000000000002</v>
      </c>
      <c r="I43" s="3">
        <v>0.52</v>
      </c>
      <c r="J43" s="3">
        <v>0</v>
      </c>
      <c r="K43" s="4">
        <f t="shared" si="3"/>
        <v>18.78</v>
      </c>
      <c r="L43" s="2">
        <v>17</v>
      </c>
      <c r="M43" s="3">
        <v>0</v>
      </c>
      <c r="N43" s="3">
        <v>0</v>
      </c>
      <c r="O43" s="4">
        <f t="shared" si="0"/>
        <v>17</v>
      </c>
      <c r="P43" s="2">
        <f>L43-H43</f>
        <v>-1.2600000000000016</v>
      </c>
      <c r="Q43" s="3">
        <f t="shared" si="1"/>
        <v>-0.52</v>
      </c>
      <c r="R43" s="3">
        <f t="shared" si="1"/>
        <v>0</v>
      </c>
      <c r="S43" s="4">
        <f t="shared" si="2"/>
        <v>-1.7800000000000016</v>
      </c>
    </row>
    <row r="44" spans="1:19" x14ac:dyDescent="0.25">
      <c r="A44" s="1" t="s">
        <v>0</v>
      </c>
      <c r="B44" s="1" t="s">
        <v>1</v>
      </c>
      <c r="C44" s="1">
        <v>15632045</v>
      </c>
      <c r="D44" s="1" t="s">
        <v>26</v>
      </c>
      <c r="E44" s="1">
        <v>201256</v>
      </c>
      <c r="F44" s="1" t="s">
        <v>3</v>
      </c>
      <c r="G44" s="6" t="s">
        <v>58</v>
      </c>
      <c r="H44" s="2">
        <v>1.05</v>
      </c>
      <c r="I44" s="3">
        <v>0.06</v>
      </c>
      <c r="J44" s="3">
        <v>0</v>
      </c>
      <c r="K44" s="4">
        <f t="shared" si="3"/>
        <v>1.1100000000000001</v>
      </c>
      <c r="L44" s="2">
        <v>0</v>
      </c>
      <c r="M44" s="3">
        <v>0</v>
      </c>
      <c r="N44" s="3">
        <v>0</v>
      </c>
      <c r="O44" s="4">
        <f t="shared" si="0"/>
        <v>0</v>
      </c>
      <c r="P44" s="2">
        <f>L44-H44</f>
        <v>-1.05</v>
      </c>
      <c r="Q44" s="3">
        <f t="shared" si="1"/>
        <v>-0.06</v>
      </c>
      <c r="R44" s="3">
        <f t="shared" si="1"/>
        <v>0</v>
      </c>
      <c r="S44" s="4">
        <f t="shared" si="2"/>
        <v>-1.1100000000000001</v>
      </c>
    </row>
    <row r="45" spans="1:19" x14ac:dyDescent="0.25">
      <c r="A45" s="1" t="s">
        <v>0</v>
      </c>
      <c r="B45" s="1" t="s">
        <v>1</v>
      </c>
      <c r="C45" s="1">
        <v>15632045</v>
      </c>
      <c r="D45" s="1" t="s">
        <v>26</v>
      </c>
      <c r="E45" s="1">
        <v>202833</v>
      </c>
      <c r="F45" s="1" t="s">
        <v>6</v>
      </c>
      <c r="G45" s="6" t="s">
        <v>60</v>
      </c>
      <c r="H45" s="2">
        <v>3.39</v>
      </c>
      <c r="I45" s="3">
        <v>0.12</v>
      </c>
      <c r="J45" s="3">
        <v>0</v>
      </c>
      <c r="K45" s="4">
        <f t="shared" si="3"/>
        <v>3.5100000000000002</v>
      </c>
      <c r="L45" s="2">
        <v>4</v>
      </c>
      <c r="M45" s="3">
        <v>0</v>
      </c>
      <c r="N45" s="3">
        <v>0</v>
      </c>
      <c r="O45" s="4">
        <f t="shared" si="0"/>
        <v>4</v>
      </c>
      <c r="P45" s="2">
        <f>L45-H45</f>
        <v>0.60999999999999988</v>
      </c>
      <c r="Q45" s="3">
        <f t="shared" si="1"/>
        <v>-0.12</v>
      </c>
      <c r="R45" s="3">
        <f t="shared" si="1"/>
        <v>0</v>
      </c>
      <c r="S45" s="4">
        <f t="shared" si="2"/>
        <v>0.48999999999999988</v>
      </c>
    </row>
    <row r="46" spans="1:19" x14ac:dyDescent="0.25">
      <c r="A46" s="1" t="s">
        <v>0</v>
      </c>
      <c r="B46" s="1" t="s">
        <v>1</v>
      </c>
      <c r="C46" s="1">
        <v>15632045</v>
      </c>
      <c r="D46" s="1" t="s">
        <v>26</v>
      </c>
      <c r="E46" s="1">
        <v>203224</v>
      </c>
      <c r="F46" s="1" t="s">
        <v>12</v>
      </c>
      <c r="G46" s="6" t="s">
        <v>61</v>
      </c>
      <c r="H46" s="2">
        <v>0</v>
      </c>
      <c r="I46" s="3">
        <v>0</v>
      </c>
      <c r="J46" s="3">
        <v>0.69</v>
      </c>
      <c r="K46" s="4">
        <f t="shared" si="3"/>
        <v>0.69</v>
      </c>
      <c r="L46" s="2">
        <v>0</v>
      </c>
      <c r="M46" s="3">
        <v>0</v>
      </c>
      <c r="N46" s="3">
        <v>0</v>
      </c>
      <c r="O46" s="4">
        <f t="shared" si="0"/>
        <v>0</v>
      </c>
      <c r="P46" s="2">
        <f>L46-H46</f>
        <v>0</v>
      </c>
      <c r="Q46" s="3">
        <f t="shared" si="1"/>
        <v>0</v>
      </c>
      <c r="R46" s="3">
        <f t="shared" si="1"/>
        <v>-0.69</v>
      </c>
      <c r="S46" s="4">
        <f t="shared" si="2"/>
        <v>-0.69</v>
      </c>
    </row>
    <row r="47" spans="1:19" x14ac:dyDescent="0.25">
      <c r="A47" s="1" t="s">
        <v>0</v>
      </c>
      <c r="B47" s="1" t="s">
        <v>1</v>
      </c>
      <c r="C47" s="1">
        <v>15632045</v>
      </c>
      <c r="D47" s="1" t="s">
        <v>26</v>
      </c>
      <c r="E47" s="1">
        <v>903431</v>
      </c>
      <c r="F47" s="1" t="s">
        <v>14</v>
      </c>
      <c r="G47" s="6" t="s">
        <v>63</v>
      </c>
      <c r="H47" s="2">
        <v>4.2</v>
      </c>
      <c r="I47" s="3">
        <v>0.16</v>
      </c>
      <c r="J47" s="3">
        <v>0</v>
      </c>
      <c r="K47" s="4">
        <f t="shared" si="3"/>
        <v>4.3600000000000003</v>
      </c>
      <c r="L47" s="2">
        <v>4</v>
      </c>
      <c r="M47" s="3">
        <v>0</v>
      </c>
      <c r="N47" s="3">
        <v>0</v>
      </c>
      <c r="O47" s="4">
        <f t="shared" si="0"/>
        <v>4</v>
      </c>
      <c r="P47" s="2">
        <f>L47-H47</f>
        <v>-0.20000000000000018</v>
      </c>
      <c r="Q47" s="3">
        <f t="shared" si="1"/>
        <v>-0.16</v>
      </c>
      <c r="R47" s="3">
        <f t="shared" si="1"/>
        <v>0</v>
      </c>
      <c r="S47" s="4">
        <f t="shared" si="2"/>
        <v>-0.36000000000000021</v>
      </c>
    </row>
    <row r="48" spans="1:19" x14ac:dyDescent="0.25">
      <c r="A48" s="1" t="s">
        <v>0</v>
      </c>
      <c r="B48" s="1" t="s">
        <v>1</v>
      </c>
      <c r="C48" s="1">
        <v>15632045</v>
      </c>
      <c r="D48" s="1" t="s">
        <v>26</v>
      </c>
      <c r="E48" s="1">
        <v>203060</v>
      </c>
      <c r="F48" s="1" t="s">
        <v>28</v>
      </c>
      <c r="G48" s="6" t="s">
        <v>60</v>
      </c>
      <c r="H48" s="2">
        <v>1</v>
      </c>
      <c r="I48" s="3">
        <v>0</v>
      </c>
      <c r="J48" s="3">
        <v>0</v>
      </c>
      <c r="K48" s="4">
        <f t="shared" si="3"/>
        <v>1</v>
      </c>
      <c r="L48" s="2">
        <v>1</v>
      </c>
      <c r="M48" s="3">
        <v>0</v>
      </c>
      <c r="N48" s="3">
        <v>0</v>
      </c>
      <c r="O48" s="4">
        <f t="shared" si="0"/>
        <v>1</v>
      </c>
      <c r="P48" s="2">
        <f>L48-H48</f>
        <v>0</v>
      </c>
      <c r="Q48" s="3">
        <f t="shared" si="1"/>
        <v>0</v>
      </c>
      <c r="R48" s="3">
        <f t="shared" si="1"/>
        <v>0</v>
      </c>
      <c r="S48" s="4">
        <f t="shared" si="2"/>
        <v>0</v>
      </c>
    </row>
    <row r="49" spans="1:19" x14ac:dyDescent="0.25">
      <c r="A49" s="1" t="s">
        <v>0</v>
      </c>
      <c r="B49" s="1" t="s">
        <v>1</v>
      </c>
      <c r="C49" s="1">
        <v>15632045</v>
      </c>
      <c r="D49" s="1" t="s">
        <v>26</v>
      </c>
      <c r="E49" s="1">
        <v>101155</v>
      </c>
      <c r="F49" s="1" t="s">
        <v>29</v>
      </c>
      <c r="G49" s="6" t="s">
        <v>59</v>
      </c>
      <c r="H49" s="2">
        <v>0.18</v>
      </c>
      <c r="I49" s="3">
        <v>0</v>
      </c>
      <c r="J49" s="3">
        <v>0</v>
      </c>
      <c r="K49" s="4">
        <f t="shared" si="3"/>
        <v>0.18</v>
      </c>
      <c r="L49" s="2">
        <v>0</v>
      </c>
      <c r="M49" s="3">
        <v>0</v>
      </c>
      <c r="N49" s="3">
        <v>0</v>
      </c>
      <c r="O49" s="4">
        <f t="shared" si="0"/>
        <v>0</v>
      </c>
      <c r="P49" s="2">
        <f>L49-H49</f>
        <v>-0.18</v>
      </c>
      <c r="Q49" s="3">
        <f t="shared" si="1"/>
        <v>0</v>
      </c>
      <c r="R49" s="3">
        <f t="shared" si="1"/>
        <v>0</v>
      </c>
      <c r="S49" s="4">
        <f t="shared" si="2"/>
        <v>-0.18</v>
      </c>
    </row>
    <row r="50" spans="1:19" x14ac:dyDescent="0.25">
      <c r="A50" s="1" t="s">
        <v>0</v>
      </c>
      <c r="B50" s="1" t="s">
        <v>1</v>
      </c>
      <c r="C50" s="1">
        <v>15632045</v>
      </c>
      <c r="D50" s="1" t="s">
        <v>26</v>
      </c>
      <c r="E50" s="1">
        <v>204897</v>
      </c>
      <c r="F50" s="1" t="s">
        <v>30</v>
      </c>
      <c r="G50" s="6" t="s">
        <v>59</v>
      </c>
      <c r="H50" s="2">
        <v>0.08</v>
      </c>
      <c r="I50" s="3">
        <v>0</v>
      </c>
      <c r="J50" s="3">
        <v>0</v>
      </c>
      <c r="K50" s="4">
        <f t="shared" si="3"/>
        <v>0.08</v>
      </c>
      <c r="L50" s="2">
        <v>0</v>
      </c>
      <c r="M50" s="3">
        <v>0</v>
      </c>
      <c r="N50" s="3">
        <v>0</v>
      </c>
      <c r="O50" s="4">
        <f t="shared" si="0"/>
        <v>0</v>
      </c>
      <c r="P50" s="2">
        <f>L50-H50</f>
        <v>-0.08</v>
      </c>
      <c r="Q50" s="3">
        <f t="shared" si="1"/>
        <v>0</v>
      </c>
      <c r="R50" s="3">
        <f t="shared" si="1"/>
        <v>0</v>
      </c>
      <c r="S50" s="4">
        <f t="shared" si="2"/>
        <v>-0.08</v>
      </c>
    </row>
    <row r="51" spans="1:19" x14ac:dyDescent="0.25">
      <c r="A51" s="1" t="s">
        <v>0</v>
      </c>
      <c r="B51" s="1" t="s">
        <v>1</v>
      </c>
      <c r="C51" s="1">
        <v>15633025</v>
      </c>
      <c r="D51" s="1" t="s">
        <v>31</v>
      </c>
      <c r="E51" s="1">
        <v>201335</v>
      </c>
      <c r="F51" s="1" t="s">
        <v>8</v>
      </c>
      <c r="G51" s="6" t="s">
        <v>59</v>
      </c>
      <c r="H51" s="2">
        <v>4.6499999999999986</v>
      </c>
      <c r="I51" s="3">
        <v>0.03</v>
      </c>
      <c r="J51" s="3">
        <v>0</v>
      </c>
      <c r="K51" s="4">
        <f t="shared" si="3"/>
        <v>4.6799999999999988</v>
      </c>
      <c r="L51" s="2">
        <v>6</v>
      </c>
      <c r="M51" s="3">
        <v>0</v>
      </c>
      <c r="N51" s="3">
        <v>0</v>
      </c>
      <c r="O51" s="4">
        <f t="shared" si="0"/>
        <v>6</v>
      </c>
      <c r="P51" s="2">
        <f>L51-H51</f>
        <v>1.3500000000000014</v>
      </c>
      <c r="Q51" s="3">
        <f t="shared" si="1"/>
        <v>-0.03</v>
      </c>
      <c r="R51" s="3">
        <f t="shared" si="1"/>
        <v>0</v>
      </c>
      <c r="S51" s="4">
        <f t="shared" si="2"/>
        <v>1.3200000000000014</v>
      </c>
    </row>
    <row r="52" spans="1:19" x14ac:dyDescent="0.25">
      <c r="A52" s="1" t="s">
        <v>0</v>
      </c>
      <c r="B52" s="1" t="s">
        <v>1</v>
      </c>
      <c r="C52" s="1">
        <v>15633025</v>
      </c>
      <c r="D52" s="1" t="s">
        <v>31</v>
      </c>
      <c r="E52" s="1">
        <v>202833</v>
      </c>
      <c r="F52" s="1" t="s">
        <v>6</v>
      </c>
      <c r="G52" s="6" t="s">
        <v>60</v>
      </c>
      <c r="H52" s="2">
        <v>1.01</v>
      </c>
      <c r="I52" s="3">
        <v>0.02</v>
      </c>
      <c r="J52" s="3">
        <v>0</v>
      </c>
      <c r="K52" s="4">
        <f t="shared" si="3"/>
        <v>1.03</v>
      </c>
      <c r="L52" s="2">
        <v>1</v>
      </c>
      <c r="M52" s="3">
        <v>0</v>
      </c>
      <c r="N52" s="3">
        <v>0</v>
      </c>
      <c r="O52" s="4">
        <f t="shared" si="0"/>
        <v>1</v>
      </c>
      <c r="P52" s="2">
        <f>L52-H52</f>
        <v>-1.0000000000000009E-2</v>
      </c>
      <c r="Q52" s="3">
        <f t="shared" si="1"/>
        <v>-0.02</v>
      </c>
      <c r="R52" s="3">
        <f t="shared" si="1"/>
        <v>0</v>
      </c>
      <c r="S52" s="4">
        <f t="shared" si="2"/>
        <v>-3.0000000000000009E-2</v>
      </c>
    </row>
    <row r="53" spans="1:19" x14ac:dyDescent="0.25">
      <c r="A53" s="1" t="s">
        <v>0</v>
      </c>
      <c r="B53" s="1" t="s">
        <v>1</v>
      </c>
      <c r="C53" s="1">
        <v>15633025</v>
      </c>
      <c r="D53" s="1" t="s">
        <v>31</v>
      </c>
      <c r="E53" s="1">
        <v>903431</v>
      </c>
      <c r="F53" s="1" t="s">
        <v>14</v>
      </c>
      <c r="G53" s="6" t="s">
        <v>63</v>
      </c>
      <c r="H53" s="2">
        <v>1.01</v>
      </c>
      <c r="I53" s="3">
        <v>0</v>
      </c>
      <c r="J53" s="3">
        <v>0</v>
      </c>
      <c r="K53" s="4">
        <f t="shared" si="3"/>
        <v>1.01</v>
      </c>
      <c r="L53" s="2">
        <v>1</v>
      </c>
      <c r="M53" s="3">
        <v>0</v>
      </c>
      <c r="N53" s="3">
        <v>0</v>
      </c>
      <c r="O53" s="4">
        <f t="shared" si="0"/>
        <v>1</v>
      </c>
      <c r="P53" s="2">
        <f>L53-H53</f>
        <v>-1.0000000000000009E-2</v>
      </c>
      <c r="Q53" s="3">
        <f t="shared" si="1"/>
        <v>0</v>
      </c>
      <c r="R53" s="3">
        <f t="shared" si="1"/>
        <v>0</v>
      </c>
      <c r="S53" s="4">
        <f t="shared" si="2"/>
        <v>-1.0000000000000009E-2</v>
      </c>
    </row>
    <row r="54" spans="1:19" x14ac:dyDescent="0.25">
      <c r="A54" s="1" t="s">
        <v>0</v>
      </c>
      <c r="B54" s="1" t="s">
        <v>1</v>
      </c>
      <c r="C54" s="1">
        <v>15635545</v>
      </c>
      <c r="D54" s="1" t="s">
        <v>32</v>
      </c>
      <c r="E54" s="1">
        <v>201335</v>
      </c>
      <c r="F54" s="1" t="s">
        <v>8</v>
      </c>
      <c r="G54" s="6" t="s">
        <v>59</v>
      </c>
      <c r="H54" s="2">
        <v>18.59</v>
      </c>
      <c r="I54" s="3">
        <v>1.07</v>
      </c>
      <c r="J54" s="3">
        <v>0</v>
      </c>
      <c r="K54" s="4">
        <f t="shared" si="3"/>
        <v>19.66</v>
      </c>
      <c r="L54" s="2">
        <v>19</v>
      </c>
      <c r="M54" s="3">
        <v>0</v>
      </c>
      <c r="N54" s="3">
        <v>0</v>
      </c>
      <c r="O54" s="4">
        <f t="shared" si="0"/>
        <v>19</v>
      </c>
      <c r="P54" s="2">
        <f>L54-H54</f>
        <v>0.41000000000000014</v>
      </c>
      <c r="Q54" s="3">
        <f t="shared" si="1"/>
        <v>-1.07</v>
      </c>
      <c r="R54" s="3">
        <f t="shared" si="1"/>
        <v>0</v>
      </c>
      <c r="S54" s="4">
        <f t="shared" si="2"/>
        <v>-0.65999999999999992</v>
      </c>
    </row>
    <row r="55" spans="1:19" x14ac:dyDescent="0.25">
      <c r="A55" s="1" t="s">
        <v>0</v>
      </c>
      <c r="B55" s="1" t="s">
        <v>1</v>
      </c>
      <c r="C55" s="1">
        <v>15635545</v>
      </c>
      <c r="D55" s="1" t="s">
        <v>32</v>
      </c>
      <c r="E55" s="1">
        <v>201256</v>
      </c>
      <c r="F55" s="1" t="s">
        <v>3</v>
      </c>
      <c r="G55" s="6" t="s">
        <v>58</v>
      </c>
      <c r="H55" s="2">
        <v>0.22</v>
      </c>
      <c r="I55" s="3">
        <v>0</v>
      </c>
      <c r="J55" s="3">
        <v>0</v>
      </c>
      <c r="K55" s="4">
        <f t="shared" si="3"/>
        <v>0.22</v>
      </c>
      <c r="L55" s="2">
        <v>0</v>
      </c>
      <c r="M55" s="3">
        <v>0</v>
      </c>
      <c r="N55" s="3">
        <v>0</v>
      </c>
      <c r="O55" s="4">
        <f t="shared" si="0"/>
        <v>0</v>
      </c>
      <c r="P55" s="2">
        <f>L55-H55</f>
        <v>-0.22</v>
      </c>
      <c r="Q55" s="3">
        <f t="shared" si="1"/>
        <v>0</v>
      </c>
      <c r="R55" s="3">
        <f t="shared" si="1"/>
        <v>0</v>
      </c>
      <c r="S55" s="4">
        <f t="shared" si="2"/>
        <v>-0.22</v>
      </c>
    </row>
    <row r="56" spans="1:19" x14ac:dyDescent="0.25">
      <c r="A56" s="1" t="s">
        <v>0</v>
      </c>
      <c r="B56" s="1" t="s">
        <v>1</v>
      </c>
      <c r="C56" s="1">
        <v>15635545</v>
      </c>
      <c r="D56" s="1" t="s">
        <v>32</v>
      </c>
      <c r="E56" s="1">
        <v>202833</v>
      </c>
      <c r="F56" s="1" t="s">
        <v>6</v>
      </c>
      <c r="G56" s="6" t="s">
        <v>60</v>
      </c>
      <c r="H56" s="2">
        <v>1.63</v>
      </c>
      <c r="I56" s="3">
        <v>0.17</v>
      </c>
      <c r="J56" s="3">
        <v>0</v>
      </c>
      <c r="K56" s="4">
        <f t="shared" si="3"/>
        <v>1.7999999999999998</v>
      </c>
      <c r="L56" s="2">
        <v>2</v>
      </c>
      <c r="M56" s="3">
        <v>0</v>
      </c>
      <c r="N56" s="3">
        <v>0</v>
      </c>
      <c r="O56" s="4">
        <f t="shared" si="0"/>
        <v>2</v>
      </c>
      <c r="P56" s="2">
        <f>L56-H56</f>
        <v>0.37000000000000011</v>
      </c>
      <c r="Q56" s="3">
        <f t="shared" si="1"/>
        <v>-0.17</v>
      </c>
      <c r="R56" s="3">
        <f t="shared" si="1"/>
        <v>0</v>
      </c>
      <c r="S56" s="4">
        <f t="shared" si="2"/>
        <v>0.20000000000000009</v>
      </c>
    </row>
    <row r="57" spans="1:19" x14ac:dyDescent="0.25">
      <c r="A57" s="1" t="s">
        <v>0</v>
      </c>
      <c r="B57" s="1" t="s">
        <v>1</v>
      </c>
      <c r="C57" s="1">
        <v>15635545</v>
      </c>
      <c r="D57" s="1" t="s">
        <v>32</v>
      </c>
      <c r="E57" s="1">
        <v>903431</v>
      </c>
      <c r="F57" s="1" t="s">
        <v>14</v>
      </c>
      <c r="G57" s="6" t="s">
        <v>63</v>
      </c>
      <c r="H57" s="2">
        <v>4.88</v>
      </c>
      <c r="I57" s="3">
        <v>0.3</v>
      </c>
      <c r="J57" s="3">
        <v>0</v>
      </c>
      <c r="K57" s="4">
        <f t="shared" si="3"/>
        <v>5.18</v>
      </c>
      <c r="L57" s="2">
        <v>4</v>
      </c>
      <c r="M57" s="3">
        <v>0</v>
      </c>
      <c r="N57" s="3">
        <v>0</v>
      </c>
      <c r="O57" s="4">
        <f t="shared" si="0"/>
        <v>4</v>
      </c>
      <c r="P57" s="2">
        <f>L57-H57</f>
        <v>-0.87999999999999989</v>
      </c>
      <c r="Q57" s="3">
        <f t="shared" si="1"/>
        <v>-0.3</v>
      </c>
      <c r="R57" s="3">
        <f t="shared" si="1"/>
        <v>0</v>
      </c>
      <c r="S57" s="4">
        <f t="shared" si="2"/>
        <v>-1.18</v>
      </c>
    </row>
    <row r="58" spans="1:19" x14ac:dyDescent="0.25">
      <c r="A58" s="1" t="s">
        <v>0</v>
      </c>
      <c r="B58" s="1" t="s">
        <v>1</v>
      </c>
      <c r="C58" s="1">
        <v>15635550</v>
      </c>
      <c r="D58" s="1" t="s">
        <v>33</v>
      </c>
      <c r="E58" s="1">
        <v>201335</v>
      </c>
      <c r="F58" s="1" t="s">
        <v>8</v>
      </c>
      <c r="G58" s="6" t="s">
        <v>59</v>
      </c>
      <c r="H58" s="2">
        <v>3.3</v>
      </c>
      <c r="I58" s="3">
        <v>7.0000000000000007E-2</v>
      </c>
      <c r="J58" s="3">
        <v>0</v>
      </c>
      <c r="K58" s="4">
        <f t="shared" si="3"/>
        <v>3.3699999999999997</v>
      </c>
      <c r="L58" s="2">
        <v>0</v>
      </c>
      <c r="M58" s="3">
        <v>0</v>
      </c>
      <c r="N58" s="3">
        <v>0</v>
      </c>
      <c r="O58" s="4">
        <f t="shared" si="0"/>
        <v>0</v>
      </c>
      <c r="P58" s="2">
        <f>L58-H58</f>
        <v>-3.3</v>
      </c>
      <c r="Q58" s="3">
        <f t="shared" si="1"/>
        <v>-7.0000000000000007E-2</v>
      </c>
      <c r="R58" s="3">
        <f t="shared" si="1"/>
        <v>0</v>
      </c>
      <c r="S58" s="4">
        <f t="shared" si="2"/>
        <v>-3.3699999999999997</v>
      </c>
    </row>
    <row r="59" spans="1:19" x14ac:dyDescent="0.25">
      <c r="A59" s="1" t="s">
        <v>0</v>
      </c>
      <c r="B59" s="1" t="s">
        <v>1</v>
      </c>
      <c r="C59" s="1">
        <v>15635550</v>
      </c>
      <c r="D59" s="1" t="s">
        <v>33</v>
      </c>
      <c r="E59" s="1">
        <v>201256</v>
      </c>
      <c r="F59" s="1" t="s">
        <v>3</v>
      </c>
      <c r="G59" s="6" t="s">
        <v>58</v>
      </c>
      <c r="H59" s="2">
        <v>1.05</v>
      </c>
      <c r="I59" s="3">
        <v>0.01</v>
      </c>
      <c r="J59" s="3">
        <v>0</v>
      </c>
      <c r="K59" s="4">
        <f t="shared" si="3"/>
        <v>1.06</v>
      </c>
      <c r="L59" s="2">
        <v>4</v>
      </c>
      <c r="M59" s="3">
        <v>0</v>
      </c>
      <c r="N59" s="3">
        <v>0</v>
      </c>
      <c r="O59" s="4">
        <f t="shared" si="0"/>
        <v>4</v>
      </c>
      <c r="P59" s="2">
        <f>L59-H59</f>
        <v>2.95</v>
      </c>
      <c r="Q59" s="3">
        <f t="shared" si="1"/>
        <v>-0.01</v>
      </c>
      <c r="R59" s="3">
        <f t="shared" si="1"/>
        <v>0</v>
      </c>
      <c r="S59" s="4">
        <f t="shared" si="2"/>
        <v>2.9400000000000004</v>
      </c>
    </row>
    <row r="60" spans="1:19" x14ac:dyDescent="0.25">
      <c r="A60" s="1" t="s">
        <v>0</v>
      </c>
      <c r="B60" s="1" t="s">
        <v>1</v>
      </c>
      <c r="C60" s="1">
        <v>15635550</v>
      </c>
      <c r="D60" s="1" t="s">
        <v>33</v>
      </c>
      <c r="E60" s="1">
        <v>202833</v>
      </c>
      <c r="F60" s="1" t="s">
        <v>6</v>
      </c>
      <c r="G60" s="6" t="s">
        <v>60</v>
      </c>
      <c r="H60" s="2">
        <v>1</v>
      </c>
      <c r="I60" s="3">
        <v>0.01</v>
      </c>
      <c r="J60" s="3">
        <v>0</v>
      </c>
      <c r="K60" s="4">
        <f t="shared" si="3"/>
        <v>1.01</v>
      </c>
      <c r="L60" s="2">
        <v>1</v>
      </c>
      <c r="M60" s="3">
        <v>0</v>
      </c>
      <c r="N60" s="3">
        <v>0</v>
      </c>
      <c r="O60" s="4">
        <f t="shared" si="0"/>
        <v>1</v>
      </c>
      <c r="P60" s="2">
        <f>L60-H60</f>
        <v>0</v>
      </c>
      <c r="Q60" s="3">
        <f t="shared" si="1"/>
        <v>-0.01</v>
      </c>
      <c r="R60" s="3">
        <f t="shared" si="1"/>
        <v>0</v>
      </c>
      <c r="S60" s="4">
        <f t="shared" si="2"/>
        <v>-0.01</v>
      </c>
    </row>
    <row r="61" spans="1:19" x14ac:dyDescent="0.25">
      <c r="A61" s="1" t="s">
        <v>0</v>
      </c>
      <c r="B61" s="1" t="s">
        <v>1</v>
      </c>
      <c r="C61" s="1">
        <v>15635550</v>
      </c>
      <c r="D61" s="1" t="s">
        <v>33</v>
      </c>
      <c r="E61" s="1">
        <v>203225</v>
      </c>
      <c r="F61" s="1" t="s">
        <v>13</v>
      </c>
      <c r="G61" s="6" t="s">
        <v>62</v>
      </c>
      <c r="H61" s="2">
        <v>0</v>
      </c>
      <c r="I61" s="3">
        <v>0</v>
      </c>
      <c r="J61" s="3">
        <v>0.01</v>
      </c>
      <c r="K61" s="4">
        <f t="shared" si="3"/>
        <v>0.01</v>
      </c>
      <c r="L61" s="2">
        <v>0</v>
      </c>
      <c r="M61" s="3">
        <v>0</v>
      </c>
      <c r="N61" s="3">
        <v>0</v>
      </c>
      <c r="O61" s="4">
        <f t="shared" si="0"/>
        <v>0</v>
      </c>
      <c r="P61" s="2">
        <f>L61-H61</f>
        <v>0</v>
      </c>
      <c r="Q61" s="3">
        <f t="shared" si="1"/>
        <v>0</v>
      </c>
      <c r="R61" s="3">
        <f t="shared" si="1"/>
        <v>-0.01</v>
      </c>
      <c r="S61" s="4">
        <f t="shared" si="2"/>
        <v>-0.01</v>
      </c>
    </row>
    <row r="62" spans="1:19" x14ac:dyDescent="0.25">
      <c r="A62" s="1" t="s">
        <v>0</v>
      </c>
      <c r="B62" s="1" t="s">
        <v>1</v>
      </c>
      <c r="C62" s="1">
        <v>15638045</v>
      </c>
      <c r="D62" s="1" t="s">
        <v>34</v>
      </c>
      <c r="E62" s="1">
        <v>201335</v>
      </c>
      <c r="F62" s="1" t="s">
        <v>8</v>
      </c>
      <c r="G62" s="6" t="s">
        <v>59</v>
      </c>
      <c r="H62" s="2">
        <v>8.98</v>
      </c>
      <c r="I62" s="3">
        <v>0.33</v>
      </c>
      <c r="J62" s="3">
        <v>0</v>
      </c>
      <c r="K62" s="4">
        <f t="shared" si="3"/>
        <v>9.31</v>
      </c>
      <c r="L62" s="2">
        <v>8.4</v>
      </c>
      <c r="M62" s="3">
        <v>0</v>
      </c>
      <c r="N62" s="3">
        <v>0</v>
      </c>
      <c r="O62" s="4">
        <f t="shared" si="0"/>
        <v>8.4</v>
      </c>
      <c r="P62" s="2">
        <f>L62-H62</f>
        <v>-0.58000000000000007</v>
      </c>
      <c r="Q62" s="3">
        <f t="shared" si="1"/>
        <v>-0.33</v>
      </c>
      <c r="R62" s="3">
        <f t="shared" si="1"/>
        <v>0</v>
      </c>
      <c r="S62" s="4">
        <f t="shared" si="2"/>
        <v>-0.91000000000000014</v>
      </c>
    </row>
    <row r="63" spans="1:19" x14ac:dyDescent="0.25">
      <c r="A63" s="1" t="s">
        <v>0</v>
      </c>
      <c r="B63" s="1" t="s">
        <v>1</v>
      </c>
      <c r="C63" s="1">
        <v>15638045</v>
      </c>
      <c r="D63" s="1" t="s">
        <v>34</v>
      </c>
      <c r="E63" s="1">
        <v>201256</v>
      </c>
      <c r="F63" s="1" t="s">
        <v>3</v>
      </c>
      <c r="G63" s="6" t="s">
        <v>58</v>
      </c>
      <c r="H63" s="2">
        <v>2.09</v>
      </c>
      <c r="I63" s="3">
        <v>0.02</v>
      </c>
      <c r="J63" s="3">
        <v>0</v>
      </c>
      <c r="K63" s="4">
        <f t="shared" si="3"/>
        <v>2.11</v>
      </c>
      <c r="L63" s="2">
        <v>2</v>
      </c>
      <c r="M63" s="3">
        <v>0</v>
      </c>
      <c r="N63" s="3">
        <v>0</v>
      </c>
      <c r="O63" s="4">
        <f t="shared" si="0"/>
        <v>2</v>
      </c>
      <c r="P63" s="2">
        <f>L63-H63</f>
        <v>-8.9999999999999858E-2</v>
      </c>
      <c r="Q63" s="3">
        <f t="shared" si="1"/>
        <v>-0.02</v>
      </c>
      <c r="R63" s="3">
        <f t="shared" si="1"/>
        <v>0</v>
      </c>
      <c r="S63" s="4">
        <f t="shared" si="2"/>
        <v>-0.10999999999999986</v>
      </c>
    </row>
    <row r="64" spans="1:19" x14ac:dyDescent="0.25">
      <c r="A64" s="1" t="s">
        <v>0</v>
      </c>
      <c r="B64" s="1" t="s">
        <v>1</v>
      </c>
      <c r="C64" s="1">
        <v>15638045</v>
      </c>
      <c r="D64" s="1" t="s">
        <v>34</v>
      </c>
      <c r="E64" s="1">
        <v>202833</v>
      </c>
      <c r="F64" s="1" t="s">
        <v>6</v>
      </c>
      <c r="G64" s="6" t="s">
        <v>60</v>
      </c>
      <c r="H64" s="2">
        <v>0.99</v>
      </c>
      <c r="I64" s="3">
        <v>0.01</v>
      </c>
      <c r="J64" s="3">
        <v>0</v>
      </c>
      <c r="K64" s="4">
        <f t="shared" si="3"/>
        <v>1</v>
      </c>
      <c r="L64" s="2">
        <v>1</v>
      </c>
      <c r="M64" s="3">
        <v>0</v>
      </c>
      <c r="N64" s="3">
        <v>0</v>
      </c>
      <c r="O64" s="4">
        <f t="shared" si="0"/>
        <v>1</v>
      </c>
      <c r="P64" s="2">
        <f>L64-H64</f>
        <v>1.0000000000000009E-2</v>
      </c>
      <c r="Q64" s="3">
        <f t="shared" si="1"/>
        <v>-0.01</v>
      </c>
      <c r="R64" s="3">
        <f t="shared" si="1"/>
        <v>0</v>
      </c>
      <c r="S64" s="4">
        <f t="shared" si="2"/>
        <v>8.6736173798840355E-18</v>
      </c>
    </row>
    <row r="65" spans="1:19" x14ac:dyDescent="0.25">
      <c r="A65" s="1" t="s">
        <v>0</v>
      </c>
      <c r="B65" s="1" t="s">
        <v>1</v>
      </c>
      <c r="C65" s="1">
        <v>15638045</v>
      </c>
      <c r="D65" s="1" t="s">
        <v>34</v>
      </c>
      <c r="E65" s="1">
        <v>203224</v>
      </c>
      <c r="F65" s="1" t="s">
        <v>12</v>
      </c>
      <c r="G65" s="6" t="s">
        <v>61</v>
      </c>
      <c r="H65" s="2">
        <v>0</v>
      </c>
      <c r="I65" s="3">
        <v>0</v>
      </c>
      <c r="J65" s="3">
        <v>0.04</v>
      </c>
      <c r="K65" s="4">
        <f t="shared" si="3"/>
        <v>0.04</v>
      </c>
      <c r="L65" s="2">
        <v>0</v>
      </c>
      <c r="M65" s="3">
        <v>0</v>
      </c>
      <c r="N65" s="3">
        <v>0</v>
      </c>
      <c r="O65" s="4">
        <f t="shared" si="0"/>
        <v>0</v>
      </c>
      <c r="P65" s="2">
        <f>L65-H65</f>
        <v>0</v>
      </c>
      <c r="Q65" s="3">
        <f t="shared" si="1"/>
        <v>0</v>
      </c>
      <c r="R65" s="3">
        <f t="shared" si="1"/>
        <v>-0.04</v>
      </c>
      <c r="S65" s="4">
        <f t="shared" si="2"/>
        <v>-0.04</v>
      </c>
    </row>
    <row r="66" spans="1:19" x14ac:dyDescent="0.25">
      <c r="A66" s="1" t="s">
        <v>0</v>
      </c>
      <c r="B66" s="1" t="s">
        <v>1</v>
      </c>
      <c r="C66" s="1">
        <v>15638045</v>
      </c>
      <c r="D66" s="1" t="s">
        <v>34</v>
      </c>
      <c r="E66" s="1">
        <v>903431</v>
      </c>
      <c r="F66" s="1" t="s">
        <v>14</v>
      </c>
      <c r="G66" s="6" t="s">
        <v>63</v>
      </c>
      <c r="H66" s="2">
        <v>1.02</v>
      </c>
      <c r="I66" s="3">
        <v>0.04</v>
      </c>
      <c r="J66" s="3">
        <v>0</v>
      </c>
      <c r="K66" s="4">
        <f t="shared" si="3"/>
        <v>1.06</v>
      </c>
      <c r="L66" s="2">
        <v>1</v>
      </c>
      <c r="M66" s="3">
        <v>0</v>
      </c>
      <c r="N66" s="3">
        <v>0</v>
      </c>
      <c r="O66" s="4">
        <f t="shared" si="0"/>
        <v>1</v>
      </c>
      <c r="P66" s="2">
        <f>L66-H66</f>
        <v>-2.0000000000000018E-2</v>
      </c>
      <c r="Q66" s="3">
        <f t="shared" si="1"/>
        <v>-0.04</v>
      </c>
      <c r="R66" s="3">
        <f t="shared" si="1"/>
        <v>0</v>
      </c>
      <c r="S66" s="4">
        <f t="shared" si="2"/>
        <v>-6.0000000000000019E-2</v>
      </c>
    </row>
    <row r="67" spans="1:19" x14ac:dyDescent="0.25">
      <c r="A67" s="1" t="s">
        <v>0</v>
      </c>
      <c r="B67" s="1" t="s">
        <v>1</v>
      </c>
      <c r="C67" s="1">
        <v>15638045</v>
      </c>
      <c r="D67" s="1" t="s">
        <v>34</v>
      </c>
      <c r="E67" s="1">
        <v>203060</v>
      </c>
      <c r="F67" s="1" t="s">
        <v>28</v>
      </c>
      <c r="G67" s="6" t="s">
        <v>60</v>
      </c>
      <c r="H67" s="2">
        <v>1</v>
      </c>
      <c r="I67" s="3">
        <v>0</v>
      </c>
      <c r="J67" s="3">
        <v>0</v>
      </c>
      <c r="K67" s="4">
        <f t="shared" si="3"/>
        <v>1</v>
      </c>
      <c r="L67" s="2">
        <v>1</v>
      </c>
      <c r="M67" s="3">
        <v>0</v>
      </c>
      <c r="N67" s="3">
        <v>0</v>
      </c>
      <c r="O67" s="4">
        <f t="shared" si="0"/>
        <v>1</v>
      </c>
      <c r="P67" s="2">
        <f>L67-H67</f>
        <v>0</v>
      </c>
      <c r="Q67" s="3">
        <f t="shared" si="1"/>
        <v>0</v>
      </c>
      <c r="R67" s="3">
        <f t="shared" si="1"/>
        <v>0</v>
      </c>
      <c r="S67" s="4">
        <f t="shared" si="2"/>
        <v>0</v>
      </c>
    </row>
    <row r="68" spans="1:19" x14ac:dyDescent="0.25">
      <c r="A68" s="1" t="s">
        <v>0</v>
      </c>
      <c r="B68" s="1" t="s">
        <v>1</v>
      </c>
      <c r="C68" s="1">
        <v>15652045</v>
      </c>
      <c r="D68" s="1" t="s">
        <v>35</v>
      </c>
      <c r="E68" s="1">
        <v>201335</v>
      </c>
      <c r="F68" s="1" t="s">
        <v>8</v>
      </c>
      <c r="G68" s="6" t="s">
        <v>59</v>
      </c>
      <c r="H68" s="2">
        <v>16.98</v>
      </c>
      <c r="I68" s="3">
        <v>1.05</v>
      </c>
      <c r="J68" s="3">
        <v>0</v>
      </c>
      <c r="K68" s="4">
        <f t="shared" si="3"/>
        <v>18.03</v>
      </c>
      <c r="L68" s="2">
        <v>19</v>
      </c>
      <c r="M68" s="3">
        <v>0</v>
      </c>
      <c r="N68" s="3">
        <v>0</v>
      </c>
      <c r="O68" s="4">
        <f t="shared" si="0"/>
        <v>19</v>
      </c>
      <c r="P68" s="2">
        <f>L68-H68</f>
        <v>2.0199999999999996</v>
      </c>
      <c r="Q68" s="3">
        <f t="shared" si="1"/>
        <v>-1.05</v>
      </c>
      <c r="R68" s="3">
        <f t="shared" si="1"/>
        <v>0</v>
      </c>
      <c r="S68" s="4">
        <f t="shared" si="2"/>
        <v>0.96999999999999953</v>
      </c>
    </row>
    <row r="69" spans="1:19" x14ac:dyDescent="0.25">
      <c r="A69" s="1" t="s">
        <v>0</v>
      </c>
      <c r="B69" s="1" t="s">
        <v>1</v>
      </c>
      <c r="C69" s="1">
        <v>15652045</v>
      </c>
      <c r="D69" s="1" t="s">
        <v>35</v>
      </c>
      <c r="E69" s="1">
        <v>108106</v>
      </c>
      <c r="F69" s="1" t="s">
        <v>3</v>
      </c>
      <c r="G69" s="6" t="s">
        <v>58</v>
      </c>
      <c r="H69" s="2">
        <v>0.99</v>
      </c>
      <c r="I69" s="3">
        <v>0</v>
      </c>
      <c r="J69" s="3">
        <v>0</v>
      </c>
      <c r="K69" s="4">
        <f t="shared" si="3"/>
        <v>0.99</v>
      </c>
      <c r="L69" s="2">
        <v>1</v>
      </c>
      <c r="M69" s="3">
        <v>0</v>
      </c>
      <c r="N69" s="3">
        <v>0</v>
      </c>
      <c r="O69" s="4">
        <f t="shared" si="0"/>
        <v>1</v>
      </c>
      <c r="P69" s="2">
        <f>L69-H69</f>
        <v>1.0000000000000009E-2</v>
      </c>
      <c r="Q69" s="3">
        <f t="shared" si="1"/>
        <v>0</v>
      </c>
      <c r="R69" s="3">
        <f t="shared" si="1"/>
        <v>0</v>
      </c>
      <c r="S69" s="4">
        <f t="shared" si="2"/>
        <v>1.0000000000000009E-2</v>
      </c>
    </row>
    <row r="70" spans="1:19" x14ac:dyDescent="0.25">
      <c r="A70" s="1" t="s">
        <v>0</v>
      </c>
      <c r="B70" s="1" t="s">
        <v>1</v>
      </c>
      <c r="C70" s="1">
        <v>15652045</v>
      </c>
      <c r="D70" s="1" t="s">
        <v>35</v>
      </c>
      <c r="E70" s="1">
        <v>108107</v>
      </c>
      <c r="F70" s="1" t="s">
        <v>4</v>
      </c>
      <c r="G70" s="6" t="s">
        <v>58</v>
      </c>
      <c r="H70" s="2">
        <v>0</v>
      </c>
      <c r="I70" s="3">
        <v>0</v>
      </c>
      <c r="J70" s="3">
        <v>0</v>
      </c>
      <c r="K70" s="4">
        <f t="shared" si="3"/>
        <v>0</v>
      </c>
      <c r="L70" s="2">
        <v>0</v>
      </c>
      <c r="M70" s="3">
        <v>0</v>
      </c>
      <c r="N70" s="3">
        <v>0</v>
      </c>
      <c r="O70" s="4">
        <f t="shared" si="0"/>
        <v>0</v>
      </c>
      <c r="P70" s="2">
        <f>L70-H70</f>
        <v>0</v>
      </c>
      <c r="Q70" s="3">
        <f t="shared" si="1"/>
        <v>0</v>
      </c>
      <c r="R70" s="3">
        <f t="shared" si="1"/>
        <v>0</v>
      </c>
      <c r="S70" s="4">
        <f t="shared" si="2"/>
        <v>0</v>
      </c>
    </row>
    <row r="71" spans="1:19" x14ac:dyDescent="0.25">
      <c r="A71" s="1" t="s">
        <v>0</v>
      </c>
      <c r="B71" s="1" t="s">
        <v>1</v>
      </c>
      <c r="C71" s="1">
        <v>15652045</v>
      </c>
      <c r="D71" s="1" t="s">
        <v>35</v>
      </c>
      <c r="E71" s="1">
        <v>201256</v>
      </c>
      <c r="F71" s="1" t="s">
        <v>3</v>
      </c>
      <c r="G71" s="6" t="s">
        <v>58</v>
      </c>
      <c r="H71" s="2">
        <v>1.23</v>
      </c>
      <c r="I71" s="3">
        <v>0.12</v>
      </c>
      <c r="J71" s="3">
        <v>0</v>
      </c>
      <c r="K71" s="4">
        <f t="shared" si="3"/>
        <v>1.35</v>
      </c>
      <c r="L71" s="2">
        <v>1</v>
      </c>
      <c r="M71" s="3">
        <v>0</v>
      </c>
      <c r="N71" s="3">
        <v>0</v>
      </c>
      <c r="O71" s="4">
        <f t="shared" ref="O71:O84" si="4">SUM(L71:N71)</f>
        <v>1</v>
      </c>
      <c r="P71" s="2">
        <f>L71-H71</f>
        <v>-0.22999999999999998</v>
      </c>
      <c r="Q71" s="3">
        <f t="shared" ref="Q71:R84" si="5">M71-I71</f>
        <v>-0.12</v>
      </c>
      <c r="R71" s="3">
        <f t="shared" si="5"/>
        <v>0</v>
      </c>
      <c r="S71" s="4">
        <f t="shared" ref="S71:S84" si="6">SUM(P71:R71)</f>
        <v>-0.35</v>
      </c>
    </row>
    <row r="72" spans="1:19" x14ac:dyDescent="0.25">
      <c r="A72" s="1" t="s">
        <v>0</v>
      </c>
      <c r="B72" s="1" t="s">
        <v>1</v>
      </c>
      <c r="C72" s="1">
        <v>15652045</v>
      </c>
      <c r="D72" s="1" t="s">
        <v>35</v>
      </c>
      <c r="E72" s="1">
        <v>202833</v>
      </c>
      <c r="F72" s="1" t="s">
        <v>6</v>
      </c>
      <c r="G72" s="6" t="s">
        <v>60</v>
      </c>
      <c r="H72" s="2">
        <v>2.06</v>
      </c>
      <c r="I72" s="3">
        <v>0.24</v>
      </c>
      <c r="J72" s="3">
        <v>0</v>
      </c>
      <c r="K72" s="4">
        <f t="shared" ref="K72:K84" si="7">SUM(H72:J72)</f>
        <v>2.2999999999999998</v>
      </c>
      <c r="L72" s="2">
        <v>2.2000000000000002</v>
      </c>
      <c r="M72" s="3">
        <v>0</v>
      </c>
      <c r="N72" s="3">
        <v>0</v>
      </c>
      <c r="O72" s="4">
        <f t="shared" si="4"/>
        <v>2.2000000000000002</v>
      </c>
      <c r="P72" s="2">
        <f>L72-H72</f>
        <v>0.14000000000000012</v>
      </c>
      <c r="Q72" s="3">
        <f t="shared" si="5"/>
        <v>-0.24</v>
      </c>
      <c r="R72" s="3">
        <f t="shared" si="5"/>
        <v>0</v>
      </c>
      <c r="S72" s="4">
        <f t="shared" si="6"/>
        <v>-9.9999999999999867E-2</v>
      </c>
    </row>
    <row r="73" spans="1:19" x14ac:dyDescent="0.25">
      <c r="A73" s="1" t="s">
        <v>0</v>
      </c>
      <c r="B73" s="1" t="s">
        <v>1</v>
      </c>
      <c r="C73" s="1">
        <v>15652045</v>
      </c>
      <c r="D73" s="1" t="s">
        <v>35</v>
      </c>
      <c r="E73" s="1">
        <v>101023</v>
      </c>
      <c r="F73" s="1" t="s">
        <v>36</v>
      </c>
      <c r="G73" s="6" t="s">
        <v>9</v>
      </c>
      <c r="H73" s="2">
        <v>0.32</v>
      </c>
      <c r="I73" s="3">
        <v>0</v>
      </c>
      <c r="J73" s="3">
        <v>0</v>
      </c>
      <c r="K73" s="4">
        <f t="shared" si="7"/>
        <v>0.32</v>
      </c>
      <c r="L73" s="2">
        <v>0</v>
      </c>
      <c r="M73" s="3">
        <v>0</v>
      </c>
      <c r="N73" s="3">
        <v>0</v>
      </c>
      <c r="O73" s="4">
        <f t="shared" si="4"/>
        <v>0</v>
      </c>
      <c r="P73" s="2">
        <f>L73-H73</f>
        <v>-0.32</v>
      </c>
      <c r="Q73" s="3">
        <f t="shared" si="5"/>
        <v>0</v>
      </c>
      <c r="R73" s="3">
        <f t="shared" si="5"/>
        <v>0</v>
      </c>
      <c r="S73" s="4">
        <f t="shared" si="6"/>
        <v>-0.32</v>
      </c>
    </row>
    <row r="74" spans="1:19" x14ac:dyDescent="0.25">
      <c r="A74" s="1" t="s">
        <v>0</v>
      </c>
      <c r="B74" s="1" t="s">
        <v>1</v>
      </c>
      <c r="C74" s="1">
        <v>15652045</v>
      </c>
      <c r="D74" s="1" t="s">
        <v>35</v>
      </c>
      <c r="E74" s="1">
        <v>101024</v>
      </c>
      <c r="F74" s="1" t="s">
        <v>37</v>
      </c>
      <c r="G74" s="6" t="s">
        <v>9</v>
      </c>
      <c r="H74" s="2">
        <v>0.03</v>
      </c>
      <c r="I74" s="3">
        <v>0</v>
      </c>
      <c r="J74" s="3">
        <v>0</v>
      </c>
      <c r="K74" s="4">
        <f t="shared" si="7"/>
        <v>0.03</v>
      </c>
      <c r="L74" s="2">
        <v>0</v>
      </c>
      <c r="M74" s="3">
        <v>0</v>
      </c>
      <c r="N74" s="3">
        <v>0</v>
      </c>
      <c r="O74" s="4">
        <f t="shared" si="4"/>
        <v>0</v>
      </c>
      <c r="P74" s="2">
        <f>L74-H74</f>
        <v>-0.03</v>
      </c>
      <c r="Q74" s="3">
        <f t="shared" si="5"/>
        <v>0</v>
      </c>
      <c r="R74" s="3">
        <f t="shared" si="5"/>
        <v>0</v>
      </c>
      <c r="S74" s="4">
        <f t="shared" si="6"/>
        <v>-0.03</v>
      </c>
    </row>
    <row r="75" spans="1:19" x14ac:dyDescent="0.25">
      <c r="A75" s="1" t="s">
        <v>0</v>
      </c>
      <c r="B75" s="1" t="s">
        <v>1</v>
      </c>
      <c r="C75" s="1">
        <v>15652045</v>
      </c>
      <c r="D75" s="1" t="s">
        <v>35</v>
      </c>
      <c r="E75" s="1">
        <v>203139</v>
      </c>
      <c r="F75" s="1" t="s">
        <v>3</v>
      </c>
      <c r="G75" s="6" t="s">
        <v>58</v>
      </c>
      <c r="H75" s="2">
        <v>0.23</v>
      </c>
      <c r="I75" s="3">
        <v>0</v>
      </c>
      <c r="J75" s="3">
        <v>0</v>
      </c>
      <c r="K75" s="4">
        <f t="shared" si="7"/>
        <v>0.23</v>
      </c>
      <c r="L75" s="2">
        <v>0</v>
      </c>
      <c r="M75" s="3">
        <v>0</v>
      </c>
      <c r="N75" s="3">
        <v>0</v>
      </c>
      <c r="O75" s="4">
        <f t="shared" si="4"/>
        <v>0</v>
      </c>
      <c r="P75" s="2">
        <f>L75-H75</f>
        <v>-0.23</v>
      </c>
      <c r="Q75" s="3">
        <f t="shared" si="5"/>
        <v>0</v>
      </c>
      <c r="R75" s="3">
        <f t="shared" si="5"/>
        <v>0</v>
      </c>
      <c r="S75" s="4">
        <f t="shared" si="6"/>
        <v>-0.23</v>
      </c>
    </row>
    <row r="76" spans="1:19" x14ac:dyDescent="0.25">
      <c r="A76" s="1" t="s">
        <v>0</v>
      </c>
      <c r="B76" s="1" t="s">
        <v>1</v>
      </c>
      <c r="C76" s="1">
        <v>15652045</v>
      </c>
      <c r="D76" s="1" t="s">
        <v>35</v>
      </c>
      <c r="E76" s="1">
        <v>203224</v>
      </c>
      <c r="F76" s="1" t="s">
        <v>12</v>
      </c>
      <c r="G76" s="6" t="s">
        <v>61</v>
      </c>
      <c r="H76" s="2">
        <v>0</v>
      </c>
      <c r="I76" s="3">
        <v>0</v>
      </c>
      <c r="J76" s="3">
        <v>2.78</v>
      </c>
      <c r="K76" s="4">
        <f t="shared" si="7"/>
        <v>2.78</v>
      </c>
      <c r="L76" s="2">
        <v>0</v>
      </c>
      <c r="M76" s="3">
        <v>0</v>
      </c>
      <c r="N76" s="3">
        <v>1.5</v>
      </c>
      <c r="O76" s="4">
        <f t="shared" si="4"/>
        <v>1.5</v>
      </c>
      <c r="P76" s="2">
        <f>L76-H76</f>
        <v>0</v>
      </c>
      <c r="Q76" s="3">
        <f t="shared" si="5"/>
        <v>0</v>
      </c>
      <c r="R76" s="3">
        <f t="shared" si="5"/>
        <v>-1.2799999999999998</v>
      </c>
      <c r="S76" s="4">
        <f t="shared" si="6"/>
        <v>-1.2799999999999998</v>
      </c>
    </row>
    <row r="77" spans="1:19" x14ac:dyDescent="0.25">
      <c r="A77" s="1" t="s">
        <v>0</v>
      </c>
      <c r="B77" s="1" t="s">
        <v>1</v>
      </c>
      <c r="C77" s="1">
        <v>15652045</v>
      </c>
      <c r="D77" s="1" t="s">
        <v>35</v>
      </c>
      <c r="E77" s="1">
        <v>203225</v>
      </c>
      <c r="F77" s="1" t="s">
        <v>13</v>
      </c>
      <c r="G77" s="6" t="s">
        <v>62</v>
      </c>
      <c r="H77" s="2">
        <v>0</v>
      </c>
      <c r="I77" s="3">
        <v>0</v>
      </c>
      <c r="J77" s="3">
        <v>0.4</v>
      </c>
      <c r="K77" s="4">
        <f t="shared" si="7"/>
        <v>0.4</v>
      </c>
      <c r="L77" s="2">
        <v>0</v>
      </c>
      <c r="M77" s="3">
        <v>0</v>
      </c>
      <c r="N77" s="3">
        <v>0</v>
      </c>
      <c r="O77" s="4">
        <f t="shared" si="4"/>
        <v>0</v>
      </c>
      <c r="P77" s="2">
        <f>L77-H77</f>
        <v>0</v>
      </c>
      <c r="Q77" s="3">
        <f t="shared" si="5"/>
        <v>0</v>
      </c>
      <c r="R77" s="3">
        <f t="shared" si="5"/>
        <v>-0.4</v>
      </c>
      <c r="S77" s="4">
        <f t="shared" si="6"/>
        <v>-0.4</v>
      </c>
    </row>
    <row r="78" spans="1:19" x14ac:dyDescent="0.25">
      <c r="A78" s="1" t="s">
        <v>0</v>
      </c>
      <c r="B78" s="1" t="s">
        <v>1</v>
      </c>
      <c r="C78" s="1">
        <v>15652045</v>
      </c>
      <c r="D78" s="1" t="s">
        <v>35</v>
      </c>
      <c r="E78" s="1">
        <v>903431</v>
      </c>
      <c r="F78" s="1" t="s">
        <v>14</v>
      </c>
      <c r="G78" s="6" t="s">
        <v>63</v>
      </c>
      <c r="H78" s="2">
        <v>4.9800000000000004</v>
      </c>
      <c r="I78" s="3">
        <v>0.52</v>
      </c>
      <c r="J78" s="3">
        <v>0</v>
      </c>
      <c r="K78" s="4">
        <f t="shared" si="7"/>
        <v>5.5</v>
      </c>
      <c r="L78" s="2">
        <v>6.8</v>
      </c>
      <c r="M78" s="3">
        <v>0</v>
      </c>
      <c r="N78" s="3">
        <v>0</v>
      </c>
      <c r="O78" s="4">
        <f t="shared" si="4"/>
        <v>6.8</v>
      </c>
      <c r="P78" s="2">
        <f>L78-H78</f>
        <v>1.8199999999999994</v>
      </c>
      <c r="Q78" s="3">
        <f t="shared" si="5"/>
        <v>-0.52</v>
      </c>
      <c r="R78" s="3">
        <f t="shared" si="5"/>
        <v>0</v>
      </c>
      <c r="S78" s="4">
        <f t="shared" si="6"/>
        <v>1.2999999999999994</v>
      </c>
    </row>
    <row r="79" spans="1:19" x14ac:dyDescent="0.25">
      <c r="A79" s="1" t="s">
        <v>0</v>
      </c>
      <c r="B79" s="1" t="s">
        <v>1</v>
      </c>
      <c r="C79" s="1">
        <v>15652045</v>
      </c>
      <c r="D79" s="1" t="s">
        <v>35</v>
      </c>
      <c r="E79" s="1">
        <v>203164</v>
      </c>
      <c r="F79" s="1" t="s">
        <v>38</v>
      </c>
      <c r="G79" s="6" t="s">
        <v>59</v>
      </c>
      <c r="H79" s="2">
        <v>0.09</v>
      </c>
      <c r="I79" s="3">
        <v>0</v>
      </c>
      <c r="J79" s="3">
        <v>0</v>
      </c>
      <c r="K79" s="4">
        <f t="shared" si="7"/>
        <v>0.09</v>
      </c>
      <c r="L79" s="2">
        <v>0</v>
      </c>
      <c r="M79" s="3">
        <v>0</v>
      </c>
      <c r="N79" s="3">
        <v>0</v>
      </c>
      <c r="O79" s="4">
        <f t="shared" si="4"/>
        <v>0</v>
      </c>
      <c r="P79" s="2">
        <f>L79-H79</f>
        <v>-0.09</v>
      </c>
      <c r="Q79" s="3">
        <f t="shared" si="5"/>
        <v>0</v>
      </c>
      <c r="R79" s="3">
        <f t="shared" si="5"/>
        <v>0</v>
      </c>
      <c r="S79" s="4">
        <f t="shared" si="6"/>
        <v>-0.09</v>
      </c>
    </row>
    <row r="80" spans="1:19" x14ac:dyDescent="0.25">
      <c r="A80" s="1" t="s">
        <v>0</v>
      </c>
      <c r="B80" s="1" t="s">
        <v>1</v>
      </c>
      <c r="C80" s="1">
        <v>15652045</v>
      </c>
      <c r="D80" s="1" t="s">
        <v>35</v>
      </c>
      <c r="E80" s="1">
        <v>204891</v>
      </c>
      <c r="F80" s="1" t="s">
        <v>39</v>
      </c>
      <c r="G80" s="6" t="s">
        <v>59</v>
      </c>
      <c r="H80" s="2">
        <v>0.18</v>
      </c>
      <c r="I80" s="3">
        <v>0</v>
      </c>
      <c r="J80" s="3">
        <v>0</v>
      </c>
      <c r="K80" s="4">
        <f t="shared" si="7"/>
        <v>0.18</v>
      </c>
      <c r="L80" s="2">
        <v>0</v>
      </c>
      <c r="M80" s="3">
        <v>0</v>
      </c>
      <c r="N80" s="3">
        <v>0</v>
      </c>
      <c r="O80" s="4">
        <f t="shared" si="4"/>
        <v>0</v>
      </c>
      <c r="P80" s="2">
        <f>L80-H80</f>
        <v>-0.18</v>
      </c>
      <c r="Q80" s="3">
        <f t="shared" si="5"/>
        <v>0</v>
      </c>
      <c r="R80" s="3">
        <f t="shared" si="5"/>
        <v>0</v>
      </c>
      <c r="S80" s="4">
        <f t="shared" si="6"/>
        <v>-0.18</v>
      </c>
    </row>
    <row r="81" spans="1:19" x14ac:dyDescent="0.25">
      <c r="A81" s="1" t="s">
        <v>0</v>
      </c>
      <c r="B81" s="1" t="s">
        <v>1</v>
      </c>
      <c r="C81" s="1">
        <v>15652065</v>
      </c>
      <c r="D81" s="1" t="s">
        <v>40</v>
      </c>
      <c r="E81" s="1">
        <v>201335</v>
      </c>
      <c r="F81" s="1" t="s">
        <v>8</v>
      </c>
      <c r="G81" s="6" t="s">
        <v>59</v>
      </c>
      <c r="H81" s="2">
        <v>1.2</v>
      </c>
      <c r="I81" s="3">
        <v>0.01</v>
      </c>
      <c r="J81" s="3">
        <v>0</v>
      </c>
      <c r="K81" s="4">
        <f t="shared" si="7"/>
        <v>1.21</v>
      </c>
      <c r="L81" s="2">
        <v>2</v>
      </c>
      <c r="M81" s="3">
        <v>0</v>
      </c>
      <c r="N81" s="3">
        <v>0</v>
      </c>
      <c r="O81" s="4">
        <f t="shared" si="4"/>
        <v>2</v>
      </c>
      <c r="P81" s="2">
        <f>L81-H81</f>
        <v>0.8</v>
      </c>
      <c r="Q81" s="3">
        <f t="shared" si="5"/>
        <v>-0.01</v>
      </c>
      <c r="R81" s="3">
        <f t="shared" si="5"/>
        <v>0</v>
      </c>
      <c r="S81" s="4">
        <f t="shared" si="6"/>
        <v>0.79</v>
      </c>
    </row>
    <row r="82" spans="1:19" x14ac:dyDescent="0.25">
      <c r="A82" s="1" t="s">
        <v>0</v>
      </c>
      <c r="B82" s="1" t="s">
        <v>1</v>
      </c>
      <c r="C82" s="1">
        <v>15652065</v>
      </c>
      <c r="D82" s="1" t="s">
        <v>40</v>
      </c>
      <c r="E82" s="1">
        <v>201256</v>
      </c>
      <c r="F82" s="1" t="s">
        <v>3</v>
      </c>
      <c r="G82" s="6" t="s">
        <v>58</v>
      </c>
      <c r="H82" s="2">
        <v>1.57</v>
      </c>
      <c r="I82" s="3">
        <v>0.03</v>
      </c>
      <c r="J82" s="3">
        <v>0</v>
      </c>
      <c r="K82" s="4">
        <f t="shared" si="7"/>
        <v>1.6</v>
      </c>
      <c r="L82" s="2">
        <v>0.6</v>
      </c>
      <c r="M82" s="3">
        <v>0</v>
      </c>
      <c r="N82" s="3">
        <v>0</v>
      </c>
      <c r="O82" s="4">
        <f t="shared" si="4"/>
        <v>0.6</v>
      </c>
      <c r="P82" s="2">
        <f>L82-H82</f>
        <v>-0.97000000000000008</v>
      </c>
      <c r="Q82" s="3">
        <f t="shared" si="5"/>
        <v>-0.03</v>
      </c>
      <c r="R82" s="3">
        <f t="shared" si="5"/>
        <v>0</v>
      </c>
      <c r="S82" s="4">
        <f t="shared" si="6"/>
        <v>-1</v>
      </c>
    </row>
    <row r="83" spans="1:19" x14ac:dyDescent="0.25">
      <c r="A83" s="1" t="s">
        <v>0</v>
      </c>
      <c r="B83" s="1" t="s">
        <v>1</v>
      </c>
      <c r="C83" s="1">
        <v>15652065</v>
      </c>
      <c r="D83" s="1" t="s">
        <v>40</v>
      </c>
      <c r="E83" s="1">
        <v>202833</v>
      </c>
      <c r="F83" s="1" t="s">
        <v>6</v>
      </c>
      <c r="G83" s="6" t="s">
        <v>60</v>
      </c>
      <c r="H83" s="2">
        <v>1.01</v>
      </c>
      <c r="I83" s="3">
        <v>0.03</v>
      </c>
      <c r="J83" s="3">
        <v>0</v>
      </c>
      <c r="K83" s="4">
        <f t="shared" si="7"/>
        <v>1.04</v>
      </c>
      <c r="L83" s="2">
        <v>1</v>
      </c>
      <c r="M83" s="3">
        <v>0</v>
      </c>
      <c r="N83" s="3">
        <v>0</v>
      </c>
      <c r="O83" s="4">
        <f t="shared" si="4"/>
        <v>1</v>
      </c>
      <c r="P83" s="2">
        <f>L83-H83</f>
        <v>-1.0000000000000009E-2</v>
      </c>
      <c r="Q83" s="3">
        <f t="shared" si="5"/>
        <v>-0.03</v>
      </c>
      <c r="R83" s="3">
        <f t="shared" si="5"/>
        <v>0</v>
      </c>
      <c r="S83" s="4">
        <f t="shared" si="6"/>
        <v>-4.0000000000000008E-2</v>
      </c>
    </row>
    <row r="84" spans="1:19" ht="15" thickBot="1" x14ac:dyDescent="0.3">
      <c r="A84" s="1" t="s">
        <v>0</v>
      </c>
      <c r="B84" s="1" t="s">
        <v>1</v>
      </c>
      <c r="C84" s="1">
        <v>15652065</v>
      </c>
      <c r="D84" s="1" t="s">
        <v>40</v>
      </c>
      <c r="E84" s="1">
        <v>903431</v>
      </c>
      <c r="F84" s="1" t="s">
        <v>14</v>
      </c>
      <c r="G84" s="6" t="s">
        <v>63</v>
      </c>
      <c r="H84" s="2">
        <v>1.01</v>
      </c>
      <c r="I84" s="3">
        <v>0</v>
      </c>
      <c r="J84" s="3">
        <v>0</v>
      </c>
      <c r="K84" s="4">
        <f t="shared" si="7"/>
        <v>1.01</v>
      </c>
      <c r="L84" s="2">
        <v>1</v>
      </c>
      <c r="M84" s="3">
        <v>0</v>
      </c>
      <c r="N84" s="3">
        <v>0</v>
      </c>
      <c r="O84" s="4">
        <f t="shared" si="4"/>
        <v>1</v>
      </c>
      <c r="P84" s="2">
        <f>L84-H84</f>
        <v>-1.0000000000000009E-2</v>
      </c>
      <c r="Q84" s="3">
        <f t="shared" si="5"/>
        <v>0</v>
      </c>
      <c r="R84" s="3">
        <f t="shared" si="5"/>
        <v>0</v>
      </c>
      <c r="S84" s="4">
        <f t="shared" si="6"/>
        <v>-1.0000000000000009E-2</v>
      </c>
    </row>
    <row r="85" spans="1:19" s="17" customFormat="1" ht="15" thickBot="1" x14ac:dyDescent="0.3">
      <c r="A85" s="12"/>
      <c r="B85" s="13"/>
      <c r="C85" s="13"/>
      <c r="D85" s="21" t="s">
        <v>50</v>
      </c>
      <c r="E85" s="13"/>
      <c r="F85" s="13"/>
      <c r="G85" s="13"/>
      <c r="H85" s="27">
        <f>SUBTOTAL(9,H7:H84)</f>
        <v>156.87999999999997</v>
      </c>
      <c r="I85" s="28">
        <f t="shared" ref="I85:S85" si="8">SUBTOTAL(9,I7:I84)</f>
        <v>6.49</v>
      </c>
      <c r="J85" s="28">
        <f t="shared" si="8"/>
        <v>5.09</v>
      </c>
      <c r="K85" s="29">
        <f t="shared" si="8"/>
        <v>168.46000000000004</v>
      </c>
      <c r="L85" s="27">
        <f t="shared" si="8"/>
        <v>160.04</v>
      </c>
      <c r="M85" s="28">
        <f t="shared" si="8"/>
        <v>0</v>
      </c>
      <c r="N85" s="28">
        <f t="shared" si="8"/>
        <v>1.5</v>
      </c>
      <c r="O85" s="29">
        <f t="shared" si="8"/>
        <v>161.54</v>
      </c>
      <c r="P85" s="27">
        <f t="shared" si="8"/>
        <v>3.16</v>
      </c>
      <c r="Q85" s="28">
        <f t="shared" si="8"/>
        <v>-6.49</v>
      </c>
      <c r="R85" s="28">
        <f t="shared" si="8"/>
        <v>-3.59</v>
      </c>
      <c r="S85" s="29">
        <f t="shared" si="8"/>
        <v>-6.9200000000000017</v>
      </c>
    </row>
  </sheetData>
  <autoFilter ref="A6:S84" xr:uid="{00000000-0001-0000-0000-000000000000}"/>
  <pageMargins left="0.75" right="0.75" top="1" bottom="1" header="0.5" footer="0.5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"/>
  <sheetViews>
    <sheetView workbookViewId="0">
      <pane xSplit="7" ySplit="6" topLeftCell="H47" activePane="bottomRight" state="frozen"/>
      <selection pane="topRight" activeCell="H1" sqref="H1"/>
      <selection pane="bottomLeft" activeCell="A7" sqref="A7"/>
      <selection pane="bottomRight" activeCell="P7" sqref="P7:S84"/>
    </sheetView>
  </sheetViews>
  <sheetFormatPr defaultRowHeight="14.25" x14ac:dyDescent="0.25"/>
  <cols>
    <col min="1" max="2" width="9.140625" style="1"/>
    <col min="3" max="3" width="10.140625" style="1" bestFit="1" customWidth="1"/>
    <col min="4" max="4" width="28.85546875" style="1" bestFit="1" customWidth="1"/>
    <col min="5" max="5" width="11.42578125" style="1" bestFit="1" customWidth="1"/>
    <col min="6" max="6" width="41.28515625" style="1" bestFit="1" customWidth="1"/>
    <col min="7" max="7" width="12" style="1" bestFit="1" customWidth="1"/>
    <col min="8" max="8" width="12.5703125" style="1" bestFit="1" customWidth="1"/>
    <col min="9" max="9" width="11.5703125" style="1" bestFit="1" customWidth="1"/>
    <col min="10" max="10" width="13.140625" style="1" bestFit="1" customWidth="1"/>
    <col min="11" max="12" width="12.5703125" style="1" bestFit="1" customWidth="1"/>
    <col min="13" max="13" width="8.140625" style="1" bestFit="1" customWidth="1"/>
    <col min="14" max="14" width="10" style="1" bestFit="1" customWidth="1"/>
    <col min="15" max="15" width="12.5703125" style="1" bestFit="1" customWidth="1"/>
    <col min="16" max="16" width="11.5703125" style="1" bestFit="1" customWidth="1"/>
    <col min="17" max="17" width="12.28515625" style="1" bestFit="1" customWidth="1"/>
    <col min="18" max="19" width="10.7109375" style="1" bestFit="1" customWidth="1"/>
    <col min="20" max="16384" width="9.140625" style="1"/>
  </cols>
  <sheetData>
    <row r="1" spans="1:19" x14ac:dyDescent="0.25">
      <c r="A1" s="17" t="s">
        <v>54</v>
      </c>
    </row>
    <row r="2" spans="1:19" x14ac:dyDescent="0.25">
      <c r="A2" s="26" t="s">
        <v>57</v>
      </c>
    </row>
    <row r="3" spans="1:19" x14ac:dyDescent="0.25">
      <c r="A3" s="26" t="s">
        <v>56</v>
      </c>
    </row>
    <row r="4" spans="1:19" ht="15" thickBot="1" x14ac:dyDescent="0.3"/>
    <row r="5" spans="1:19" s="17" customFormat="1" ht="15" thickBot="1" x14ac:dyDescent="0.3">
      <c r="H5" s="18" t="s">
        <v>51</v>
      </c>
      <c r="I5" s="19"/>
      <c r="J5" s="19"/>
      <c r="K5" s="20"/>
      <c r="L5" s="18" t="s">
        <v>52</v>
      </c>
      <c r="M5" s="19"/>
      <c r="N5" s="19"/>
      <c r="O5" s="20"/>
      <c r="P5" s="18" t="s">
        <v>53</v>
      </c>
      <c r="Q5" s="19"/>
      <c r="R5" s="19"/>
      <c r="S5" s="20"/>
    </row>
    <row r="6" spans="1:19" s="17" customFormat="1" ht="15" thickBot="1" x14ac:dyDescent="0.3">
      <c r="A6" s="12" t="s">
        <v>41</v>
      </c>
      <c r="B6" s="13" t="s">
        <v>42</v>
      </c>
      <c r="C6" s="13" t="s">
        <v>43</v>
      </c>
      <c r="D6" s="13" t="s">
        <v>44</v>
      </c>
      <c r="E6" s="13" t="s">
        <v>45</v>
      </c>
      <c r="F6" s="13" t="s">
        <v>46</v>
      </c>
      <c r="G6" s="13" t="s">
        <v>65</v>
      </c>
      <c r="H6" s="14" t="s">
        <v>47</v>
      </c>
      <c r="I6" s="15" t="s">
        <v>48</v>
      </c>
      <c r="J6" s="15" t="s">
        <v>49</v>
      </c>
      <c r="K6" s="16" t="s">
        <v>50</v>
      </c>
      <c r="L6" s="14" t="s">
        <v>47</v>
      </c>
      <c r="M6" s="15" t="s">
        <v>48</v>
      </c>
      <c r="N6" s="15" t="s">
        <v>49</v>
      </c>
      <c r="O6" s="16" t="s">
        <v>50</v>
      </c>
      <c r="P6" s="14" t="s">
        <v>47</v>
      </c>
      <c r="Q6" s="15" t="s">
        <v>48</v>
      </c>
      <c r="R6" s="15" t="s">
        <v>49</v>
      </c>
      <c r="S6" s="16" t="s">
        <v>50</v>
      </c>
    </row>
    <row r="7" spans="1:19" x14ac:dyDescent="0.25">
      <c r="A7" s="5" t="s">
        <v>0</v>
      </c>
      <c r="B7" s="6" t="s">
        <v>1</v>
      </c>
      <c r="C7" s="6">
        <v>15612095</v>
      </c>
      <c r="D7" s="6" t="s">
        <v>2</v>
      </c>
      <c r="E7" s="6">
        <v>108106</v>
      </c>
      <c r="F7" s="6" t="s">
        <v>3</v>
      </c>
      <c r="G7" s="6" t="s">
        <v>58</v>
      </c>
      <c r="H7" s="7">
        <v>167292.57999999999</v>
      </c>
      <c r="I7" s="8">
        <v>7862.21</v>
      </c>
      <c r="J7" s="8">
        <v>0</v>
      </c>
      <c r="K7" s="9">
        <f>SUM(H7:J7)</f>
        <v>175154.78999999998</v>
      </c>
      <c r="L7" s="7">
        <v>206075.88</v>
      </c>
      <c r="M7" s="8">
        <v>0</v>
      </c>
      <c r="N7" s="8">
        <v>0</v>
      </c>
      <c r="O7" s="9">
        <f>SUM(L7:N7)</f>
        <v>206075.88</v>
      </c>
      <c r="P7" s="7">
        <f>L7-H7</f>
        <v>38783.300000000017</v>
      </c>
      <c r="Q7" s="8">
        <f t="shared" ref="Q7:S22" si="0">M7-I7</f>
        <v>-7862.21</v>
      </c>
      <c r="R7" s="8">
        <f t="shared" si="0"/>
        <v>0</v>
      </c>
      <c r="S7" s="9">
        <f t="shared" ref="S7:S70" si="1">SUM(P7:R7)</f>
        <v>30921.090000000018</v>
      </c>
    </row>
    <row r="8" spans="1:19" x14ac:dyDescent="0.25">
      <c r="A8" s="5" t="s">
        <v>0</v>
      </c>
      <c r="B8" s="6" t="s">
        <v>1</v>
      </c>
      <c r="C8" s="6">
        <v>15612095</v>
      </c>
      <c r="D8" s="6" t="s">
        <v>2</v>
      </c>
      <c r="E8" s="6">
        <v>108107</v>
      </c>
      <c r="F8" s="6" t="s">
        <v>4</v>
      </c>
      <c r="G8" s="6" t="s">
        <v>58</v>
      </c>
      <c r="H8" s="7">
        <v>44711.360000000001</v>
      </c>
      <c r="I8" s="8">
        <v>6248.25</v>
      </c>
      <c r="J8" s="8">
        <v>0</v>
      </c>
      <c r="K8" s="9">
        <f t="shared" ref="K8:K71" si="2">SUM(H8:J8)</f>
        <v>50959.61</v>
      </c>
      <c r="L8" s="7">
        <v>0</v>
      </c>
      <c r="M8" s="8">
        <v>0</v>
      </c>
      <c r="N8" s="8">
        <v>0</v>
      </c>
      <c r="O8" s="9">
        <f t="shared" ref="O8:O71" si="3">SUM(L8:N8)</f>
        <v>0</v>
      </c>
      <c r="P8" s="7">
        <f t="shared" ref="P8:P71" si="4">L8-H8</f>
        <v>-44711.360000000001</v>
      </c>
      <c r="Q8" s="8">
        <f t="shared" ref="Q8:Q71" si="5">M8-I8</f>
        <v>-6248.25</v>
      </c>
      <c r="R8" s="8">
        <f t="shared" ref="R8:R71" si="6">N8-J8</f>
        <v>0</v>
      </c>
      <c r="S8" s="9">
        <f t="shared" ref="S8:S71" si="7">SUM(P8:R8)</f>
        <v>-50959.61</v>
      </c>
    </row>
    <row r="9" spans="1:19" x14ac:dyDescent="0.25">
      <c r="A9" s="5" t="s">
        <v>0</v>
      </c>
      <c r="B9" s="6" t="s">
        <v>1</v>
      </c>
      <c r="C9" s="6">
        <v>15612095</v>
      </c>
      <c r="D9" s="6" t="s">
        <v>2</v>
      </c>
      <c r="E9" s="6">
        <v>108112</v>
      </c>
      <c r="F9" s="6" t="s">
        <v>5</v>
      </c>
      <c r="G9" s="6" t="s">
        <v>59</v>
      </c>
      <c r="H9" s="7">
        <v>666320.4800000001</v>
      </c>
      <c r="I9" s="8">
        <v>36926.160000000003</v>
      </c>
      <c r="J9" s="8">
        <v>0</v>
      </c>
      <c r="K9" s="9">
        <f t="shared" si="2"/>
        <v>703246.64000000013</v>
      </c>
      <c r="L9" s="7">
        <v>675057.1</v>
      </c>
      <c r="M9" s="8">
        <v>0</v>
      </c>
      <c r="N9" s="8">
        <v>0</v>
      </c>
      <c r="O9" s="9">
        <f t="shared" si="3"/>
        <v>675057.1</v>
      </c>
      <c r="P9" s="7">
        <f t="shared" si="4"/>
        <v>8736.6199999998789</v>
      </c>
      <c r="Q9" s="8">
        <f t="shared" si="5"/>
        <v>-36926.160000000003</v>
      </c>
      <c r="R9" s="8">
        <f t="shared" si="6"/>
        <v>0</v>
      </c>
      <c r="S9" s="9">
        <f t="shared" si="7"/>
        <v>-28189.540000000125</v>
      </c>
    </row>
    <row r="10" spans="1:19" x14ac:dyDescent="0.25">
      <c r="A10" s="5" t="s">
        <v>0</v>
      </c>
      <c r="B10" s="6" t="s">
        <v>1</v>
      </c>
      <c r="C10" s="6">
        <v>15612095</v>
      </c>
      <c r="D10" s="6" t="s">
        <v>2</v>
      </c>
      <c r="E10" s="6">
        <v>201256</v>
      </c>
      <c r="F10" s="6" t="s">
        <v>3</v>
      </c>
      <c r="G10" s="6" t="s">
        <v>58</v>
      </c>
      <c r="H10" s="7">
        <v>1417.5</v>
      </c>
      <c r="I10" s="8">
        <v>0</v>
      </c>
      <c r="J10" s="8">
        <v>0</v>
      </c>
      <c r="K10" s="9">
        <f t="shared" si="2"/>
        <v>1417.5</v>
      </c>
      <c r="L10" s="7">
        <v>26324.47</v>
      </c>
      <c r="M10" s="8">
        <v>0</v>
      </c>
      <c r="N10" s="8">
        <v>0</v>
      </c>
      <c r="O10" s="9">
        <f t="shared" si="3"/>
        <v>26324.47</v>
      </c>
      <c r="P10" s="7">
        <f t="shared" si="4"/>
        <v>24906.97</v>
      </c>
      <c r="Q10" s="8">
        <f t="shared" si="5"/>
        <v>0</v>
      </c>
      <c r="R10" s="8">
        <f t="shared" si="6"/>
        <v>0</v>
      </c>
      <c r="S10" s="9">
        <f t="shared" si="7"/>
        <v>24906.97</v>
      </c>
    </row>
    <row r="11" spans="1:19" x14ac:dyDescent="0.25">
      <c r="A11" s="5" t="s">
        <v>0</v>
      </c>
      <c r="B11" s="6" t="s">
        <v>1</v>
      </c>
      <c r="C11" s="6">
        <v>15612095</v>
      </c>
      <c r="D11" s="6" t="s">
        <v>2</v>
      </c>
      <c r="E11" s="6">
        <v>202833</v>
      </c>
      <c r="F11" s="6" t="s">
        <v>6</v>
      </c>
      <c r="G11" s="6" t="s">
        <v>60</v>
      </c>
      <c r="H11" s="7">
        <v>146569.38</v>
      </c>
      <c r="I11" s="8">
        <v>9065.76</v>
      </c>
      <c r="J11" s="8">
        <v>0</v>
      </c>
      <c r="K11" s="9">
        <f t="shared" si="2"/>
        <v>155635.14000000001</v>
      </c>
      <c r="L11" s="7">
        <v>166743.04000000001</v>
      </c>
      <c r="M11" s="8">
        <v>0</v>
      </c>
      <c r="N11" s="8">
        <v>0</v>
      </c>
      <c r="O11" s="9">
        <f t="shared" si="3"/>
        <v>166743.04000000001</v>
      </c>
      <c r="P11" s="7">
        <f t="shared" si="4"/>
        <v>20173.660000000003</v>
      </c>
      <c r="Q11" s="8">
        <f t="shared" si="5"/>
        <v>-9065.76</v>
      </c>
      <c r="R11" s="8">
        <f t="shared" si="6"/>
        <v>0</v>
      </c>
      <c r="S11" s="9">
        <f t="shared" si="7"/>
        <v>11107.900000000003</v>
      </c>
    </row>
    <row r="12" spans="1:19" x14ac:dyDescent="0.25">
      <c r="A12" s="5" t="s">
        <v>0</v>
      </c>
      <c r="B12" s="6" t="s">
        <v>1</v>
      </c>
      <c r="C12" s="6">
        <v>15624050</v>
      </c>
      <c r="D12" s="6" t="s">
        <v>7</v>
      </c>
      <c r="E12" s="6">
        <v>201335</v>
      </c>
      <c r="F12" s="6" t="s">
        <v>8</v>
      </c>
      <c r="G12" s="6" t="s">
        <v>59</v>
      </c>
      <c r="H12" s="7">
        <v>509312.77</v>
      </c>
      <c r="I12" s="8">
        <v>10834.56</v>
      </c>
      <c r="J12" s="8">
        <v>0</v>
      </c>
      <c r="K12" s="9">
        <f t="shared" si="2"/>
        <v>520147.33</v>
      </c>
      <c r="L12" s="7">
        <v>665380.98</v>
      </c>
      <c r="M12" s="8">
        <v>0</v>
      </c>
      <c r="N12" s="8">
        <v>0</v>
      </c>
      <c r="O12" s="9">
        <f t="shared" si="3"/>
        <v>665380.98</v>
      </c>
      <c r="P12" s="7">
        <f t="shared" si="4"/>
        <v>156068.20999999996</v>
      </c>
      <c r="Q12" s="8">
        <f t="shared" si="5"/>
        <v>-10834.56</v>
      </c>
      <c r="R12" s="8">
        <f t="shared" si="6"/>
        <v>0</v>
      </c>
      <c r="S12" s="9">
        <f t="shared" si="7"/>
        <v>145233.64999999997</v>
      </c>
    </row>
    <row r="13" spans="1:19" x14ac:dyDescent="0.25">
      <c r="A13" s="5" t="s">
        <v>0</v>
      </c>
      <c r="B13" s="6" t="s">
        <v>1</v>
      </c>
      <c r="C13" s="6">
        <v>15624050</v>
      </c>
      <c r="D13" s="6" t="s">
        <v>7</v>
      </c>
      <c r="E13" s="6">
        <v>201256</v>
      </c>
      <c r="F13" s="6" t="s">
        <v>3</v>
      </c>
      <c r="G13" s="6" t="s">
        <v>58</v>
      </c>
      <c r="H13" s="7">
        <v>260521.08</v>
      </c>
      <c r="I13" s="8">
        <v>4681.1000000000004</v>
      </c>
      <c r="J13" s="8">
        <v>0</v>
      </c>
      <c r="K13" s="9">
        <f t="shared" si="2"/>
        <v>265202.18</v>
      </c>
      <c r="L13" s="7">
        <v>388492.99</v>
      </c>
      <c r="M13" s="8">
        <v>0</v>
      </c>
      <c r="N13" s="8">
        <v>0</v>
      </c>
      <c r="O13" s="9">
        <f t="shared" si="3"/>
        <v>388492.99</v>
      </c>
      <c r="P13" s="7">
        <f t="shared" si="4"/>
        <v>127971.91</v>
      </c>
      <c r="Q13" s="8">
        <f t="shared" si="5"/>
        <v>-4681.1000000000004</v>
      </c>
      <c r="R13" s="8">
        <f t="shared" si="6"/>
        <v>0</v>
      </c>
      <c r="S13" s="9">
        <f t="shared" si="7"/>
        <v>123290.81</v>
      </c>
    </row>
    <row r="14" spans="1:19" x14ac:dyDescent="0.25">
      <c r="A14" s="5" t="s">
        <v>0</v>
      </c>
      <c r="B14" s="6" t="s">
        <v>1</v>
      </c>
      <c r="C14" s="6">
        <v>15624050</v>
      </c>
      <c r="D14" s="6" t="s">
        <v>7</v>
      </c>
      <c r="E14" s="6">
        <v>202833</v>
      </c>
      <c r="F14" s="6" t="s">
        <v>6</v>
      </c>
      <c r="G14" s="6" t="s">
        <v>60</v>
      </c>
      <c r="H14" s="7">
        <v>138143.25</v>
      </c>
      <c r="I14" s="8">
        <v>2209.2800000000002</v>
      </c>
      <c r="J14" s="8">
        <v>0</v>
      </c>
      <c r="K14" s="9">
        <f t="shared" si="2"/>
        <v>140352.53</v>
      </c>
      <c r="L14" s="7">
        <v>140863.04000000001</v>
      </c>
      <c r="M14" s="8">
        <v>0</v>
      </c>
      <c r="N14" s="8">
        <v>0</v>
      </c>
      <c r="O14" s="9">
        <f t="shared" si="3"/>
        <v>140863.04000000001</v>
      </c>
      <c r="P14" s="7">
        <f t="shared" si="4"/>
        <v>2719.7900000000081</v>
      </c>
      <c r="Q14" s="8">
        <f t="shared" si="5"/>
        <v>-2209.2800000000002</v>
      </c>
      <c r="R14" s="8">
        <f t="shared" si="6"/>
        <v>0</v>
      </c>
      <c r="S14" s="9">
        <f t="shared" si="7"/>
        <v>510.51000000000795</v>
      </c>
    </row>
    <row r="15" spans="1:19" x14ac:dyDescent="0.25">
      <c r="A15" s="5" t="s">
        <v>0</v>
      </c>
      <c r="B15" s="6" t="s">
        <v>1</v>
      </c>
      <c r="C15" s="6">
        <v>15624050</v>
      </c>
      <c r="D15" s="6" t="s">
        <v>7</v>
      </c>
      <c r="E15" s="6">
        <v>101023</v>
      </c>
      <c r="F15" s="6" t="s">
        <v>9</v>
      </c>
      <c r="G15" s="6" t="s">
        <v>9</v>
      </c>
      <c r="H15" s="7">
        <v>97900</v>
      </c>
      <c r="I15" s="8">
        <v>0</v>
      </c>
      <c r="J15" s="8">
        <v>0</v>
      </c>
      <c r="K15" s="9">
        <f t="shared" si="2"/>
        <v>97900</v>
      </c>
      <c r="L15" s="7">
        <v>0</v>
      </c>
      <c r="M15" s="8">
        <v>0</v>
      </c>
      <c r="N15" s="8">
        <v>0</v>
      </c>
      <c r="O15" s="9">
        <f t="shared" si="3"/>
        <v>0</v>
      </c>
      <c r="P15" s="7">
        <f t="shared" si="4"/>
        <v>-97900</v>
      </c>
      <c r="Q15" s="8">
        <f t="shared" si="5"/>
        <v>0</v>
      </c>
      <c r="R15" s="8">
        <f t="shared" si="6"/>
        <v>0</v>
      </c>
      <c r="S15" s="9">
        <f t="shared" si="7"/>
        <v>-97900</v>
      </c>
    </row>
    <row r="16" spans="1:19" x14ac:dyDescent="0.25">
      <c r="A16" s="5" t="s">
        <v>0</v>
      </c>
      <c r="B16" s="6" t="s">
        <v>1</v>
      </c>
      <c r="C16" s="6">
        <v>15624050</v>
      </c>
      <c r="D16" s="6" t="s">
        <v>7</v>
      </c>
      <c r="E16" s="6">
        <v>102954</v>
      </c>
      <c r="F16" s="6" t="s">
        <v>10</v>
      </c>
      <c r="G16" s="6" t="s">
        <v>9</v>
      </c>
      <c r="H16" s="7">
        <v>24176.560000000001</v>
      </c>
      <c r="I16" s="8">
        <v>0</v>
      </c>
      <c r="J16" s="8">
        <v>0</v>
      </c>
      <c r="K16" s="9">
        <f t="shared" si="2"/>
        <v>24176.560000000001</v>
      </c>
      <c r="L16" s="7">
        <v>0</v>
      </c>
      <c r="M16" s="8">
        <v>0</v>
      </c>
      <c r="N16" s="8">
        <v>0</v>
      </c>
      <c r="O16" s="9">
        <f t="shared" si="3"/>
        <v>0</v>
      </c>
      <c r="P16" s="7">
        <f t="shared" si="4"/>
        <v>-24176.560000000001</v>
      </c>
      <c r="Q16" s="8">
        <f t="shared" si="5"/>
        <v>0</v>
      </c>
      <c r="R16" s="8">
        <f t="shared" si="6"/>
        <v>0</v>
      </c>
      <c r="S16" s="9">
        <f t="shared" si="7"/>
        <v>-24176.560000000001</v>
      </c>
    </row>
    <row r="17" spans="1:19" x14ac:dyDescent="0.25">
      <c r="A17" s="5" t="s">
        <v>0</v>
      </c>
      <c r="B17" s="6" t="s">
        <v>1</v>
      </c>
      <c r="C17" s="6">
        <v>15624050</v>
      </c>
      <c r="D17" s="6" t="s">
        <v>7</v>
      </c>
      <c r="E17" s="6">
        <v>101024</v>
      </c>
      <c r="F17" s="6" t="s">
        <v>11</v>
      </c>
      <c r="G17" s="6" t="s">
        <v>9</v>
      </c>
      <c r="H17" s="7">
        <v>13900</v>
      </c>
      <c r="I17" s="8">
        <v>0</v>
      </c>
      <c r="J17" s="8">
        <v>0</v>
      </c>
      <c r="K17" s="9">
        <f t="shared" si="2"/>
        <v>13900</v>
      </c>
      <c r="L17" s="7">
        <v>0</v>
      </c>
      <c r="M17" s="8">
        <v>0</v>
      </c>
      <c r="N17" s="8">
        <v>0</v>
      </c>
      <c r="O17" s="9">
        <f t="shared" si="3"/>
        <v>0</v>
      </c>
      <c r="P17" s="7">
        <f t="shared" si="4"/>
        <v>-13900</v>
      </c>
      <c r="Q17" s="8">
        <f t="shared" si="5"/>
        <v>0</v>
      </c>
      <c r="R17" s="8">
        <f t="shared" si="6"/>
        <v>0</v>
      </c>
      <c r="S17" s="9">
        <f t="shared" si="7"/>
        <v>-13900</v>
      </c>
    </row>
    <row r="18" spans="1:19" x14ac:dyDescent="0.25">
      <c r="A18" s="5" t="s">
        <v>0</v>
      </c>
      <c r="B18" s="6" t="s">
        <v>1</v>
      </c>
      <c r="C18" s="6">
        <v>15624050</v>
      </c>
      <c r="D18" s="6" t="s">
        <v>7</v>
      </c>
      <c r="E18" s="6">
        <v>106652</v>
      </c>
      <c r="F18" s="6" t="s">
        <v>3</v>
      </c>
      <c r="G18" s="6" t="s">
        <v>58</v>
      </c>
      <c r="H18" s="7">
        <v>143660.51</v>
      </c>
      <c r="I18" s="8">
        <v>33951.019999999997</v>
      </c>
      <c r="J18" s="8">
        <v>0</v>
      </c>
      <c r="K18" s="9">
        <f t="shared" si="2"/>
        <v>177611.53</v>
      </c>
      <c r="L18" s="7">
        <v>133424.32000000001</v>
      </c>
      <c r="M18" s="8">
        <v>0</v>
      </c>
      <c r="N18" s="8">
        <v>0</v>
      </c>
      <c r="O18" s="9">
        <f t="shared" si="3"/>
        <v>133424.32000000001</v>
      </c>
      <c r="P18" s="7">
        <f t="shared" si="4"/>
        <v>-10236.190000000002</v>
      </c>
      <c r="Q18" s="8">
        <f t="shared" si="5"/>
        <v>-33951.019999999997</v>
      </c>
      <c r="R18" s="8">
        <f t="shared" si="6"/>
        <v>0</v>
      </c>
      <c r="S18" s="9">
        <f t="shared" si="7"/>
        <v>-44187.21</v>
      </c>
    </row>
    <row r="19" spans="1:19" x14ac:dyDescent="0.25">
      <c r="A19" s="5" t="s">
        <v>0</v>
      </c>
      <c r="B19" s="6" t="s">
        <v>1</v>
      </c>
      <c r="C19" s="6">
        <v>15624050</v>
      </c>
      <c r="D19" s="6" t="s">
        <v>7</v>
      </c>
      <c r="E19" s="6">
        <v>203139</v>
      </c>
      <c r="F19" s="6" t="s">
        <v>3</v>
      </c>
      <c r="G19" s="6" t="s">
        <v>58</v>
      </c>
      <c r="H19" s="7">
        <v>2280</v>
      </c>
      <c r="I19" s="8">
        <v>0</v>
      </c>
      <c r="J19" s="8">
        <v>0</v>
      </c>
      <c r="K19" s="9">
        <f t="shared" si="2"/>
        <v>2280</v>
      </c>
      <c r="L19" s="7">
        <v>0</v>
      </c>
      <c r="M19" s="8">
        <v>0</v>
      </c>
      <c r="N19" s="8">
        <v>0</v>
      </c>
      <c r="O19" s="9">
        <f t="shared" si="3"/>
        <v>0</v>
      </c>
      <c r="P19" s="7">
        <f t="shared" si="4"/>
        <v>-2280</v>
      </c>
      <c r="Q19" s="8">
        <f t="shared" si="5"/>
        <v>0</v>
      </c>
      <c r="R19" s="8">
        <f t="shared" si="6"/>
        <v>0</v>
      </c>
      <c r="S19" s="9">
        <f t="shared" si="7"/>
        <v>-2280</v>
      </c>
    </row>
    <row r="20" spans="1:19" x14ac:dyDescent="0.25">
      <c r="A20" s="5" t="s">
        <v>0</v>
      </c>
      <c r="B20" s="6" t="s">
        <v>1</v>
      </c>
      <c r="C20" s="6">
        <v>15624050</v>
      </c>
      <c r="D20" s="6" t="s">
        <v>7</v>
      </c>
      <c r="E20" s="6">
        <v>203224</v>
      </c>
      <c r="F20" s="6" t="s">
        <v>12</v>
      </c>
      <c r="G20" s="6" t="s">
        <v>61</v>
      </c>
      <c r="H20" s="7">
        <v>0</v>
      </c>
      <c r="I20" s="8">
        <v>0</v>
      </c>
      <c r="J20" s="8">
        <f>9594+64345.5</f>
        <v>73939.5</v>
      </c>
      <c r="K20" s="9">
        <f t="shared" si="2"/>
        <v>73939.5</v>
      </c>
      <c r="L20" s="7">
        <v>0</v>
      </c>
      <c r="M20" s="8">
        <v>0</v>
      </c>
      <c r="N20" s="8">
        <v>0</v>
      </c>
      <c r="O20" s="9">
        <f t="shared" si="3"/>
        <v>0</v>
      </c>
      <c r="P20" s="7">
        <f t="shared" si="4"/>
        <v>0</v>
      </c>
      <c r="Q20" s="8">
        <f t="shared" si="5"/>
        <v>0</v>
      </c>
      <c r="R20" s="8">
        <f t="shared" si="6"/>
        <v>-73939.5</v>
      </c>
      <c r="S20" s="9">
        <f t="shared" si="7"/>
        <v>-73939.5</v>
      </c>
    </row>
    <row r="21" spans="1:19" x14ac:dyDescent="0.25">
      <c r="A21" s="5" t="s">
        <v>0</v>
      </c>
      <c r="B21" s="6" t="s">
        <v>1</v>
      </c>
      <c r="C21" s="6">
        <v>15624050</v>
      </c>
      <c r="D21" s="6" t="s">
        <v>7</v>
      </c>
      <c r="E21" s="6">
        <v>203225</v>
      </c>
      <c r="F21" s="6" t="s">
        <v>13</v>
      </c>
      <c r="G21" s="6" t="s">
        <v>62</v>
      </c>
      <c r="H21" s="7">
        <v>0</v>
      </c>
      <c r="I21" s="8">
        <v>0</v>
      </c>
      <c r="J21" s="8">
        <v>7576.32</v>
      </c>
      <c r="K21" s="9">
        <f t="shared" si="2"/>
        <v>7576.32</v>
      </c>
      <c r="L21" s="7">
        <v>0</v>
      </c>
      <c r="M21" s="8">
        <v>0</v>
      </c>
      <c r="N21" s="8">
        <v>0</v>
      </c>
      <c r="O21" s="9">
        <f t="shared" si="3"/>
        <v>0</v>
      </c>
      <c r="P21" s="7">
        <f t="shared" si="4"/>
        <v>0</v>
      </c>
      <c r="Q21" s="8">
        <f t="shared" si="5"/>
        <v>0</v>
      </c>
      <c r="R21" s="8">
        <f t="shared" si="6"/>
        <v>-7576.32</v>
      </c>
      <c r="S21" s="9">
        <f t="shared" si="7"/>
        <v>-7576.32</v>
      </c>
    </row>
    <row r="22" spans="1:19" x14ac:dyDescent="0.25">
      <c r="A22" s="5" t="s">
        <v>0</v>
      </c>
      <c r="B22" s="6" t="s">
        <v>1</v>
      </c>
      <c r="C22" s="6">
        <v>15624050</v>
      </c>
      <c r="D22" s="6" t="s">
        <v>7</v>
      </c>
      <c r="E22" s="6">
        <v>903431</v>
      </c>
      <c r="F22" s="6" t="s">
        <v>14</v>
      </c>
      <c r="G22" s="6" t="s">
        <v>63</v>
      </c>
      <c r="H22" s="7">
        <v>129516.45</v>
      </c>
      <c r="I22" s="8">
        <v>3339.05</v>
      </c>
      <c r="J22" s="8">
        <v>0</v>
      </c>
      <c r="K22" s="9">
        <f t="shared" si="2"/>
        <v>132855.5</v>
      </c>
      <c r="L22" s="7">
        <v>122414.84</v>
      </c>
      <c r="M22" s="8">
        <v>0</v>
      </c>
      <c r="N22" s="8">
        <v>0</v>
      </c>
      <c r="O22" s="9">
        <f t="shared" si="3"/>
        <v>122414.84</v>
      </c>
      <c r="P22" s="7">
        <f t="shared" si="4"/>
        <v>-7101.6100000000006</v>
      </c>
      <c r="Q22" s="8">
        <f t="shared" si="5"/>
        <v>-3339.05</v>
      </c>
      <c r="R22" s="8">
        <f t="shared" si="6"/>
        <v>0</v>
      </c>
      <c r="S22" s="9">
        <f t="shared" si="7"/>
        <v>-10440.66</v>
      </c>
    </row>
    <row r="23" spans="1:19" x14ac:dyDescent="0.25">
      <c r="A23" s="5" t="s">
        <v>0</v>
      </c>
      <c r="B23" s="6" t="s">
        <v>1</v>
      </c>
      <c r="C23" s="6">
        <v>15624050</v>
      </c>
      <c r="D23" s="6" t="s">
        <v>7</v>
      </c>
      <c r="E23" s="6">
        <v>904414</v>
      </c>
      <c r="F23" s="6" t="s">
        <v>15</v>
      </c>
      <c r="G23" s="6" t="s">
        <v>64</v>
      </c>
      <c r="H23" s="7">
        <v>135122.56</v>
      </c>
      <c r="I23" s="8">
        <v>0</v>
      </c>
      <c r="J23" s="8">
        <v>0</v>
      </c>
      <c r="K23" s="9">
        <f t="shared" si="2"/>
        <v>135122.56</v>
      </c>
      <c r="L23" s="7">
        <v>138598.94</v>
      </c>
      <c r="M23" s="8">
        <v>0</v>
      </c>
      <c r="N23" s="8">
        <v>0</v>
      </c>
      <c r="O23" s="9">
        <f t="shared" si="3"/>
        <v>138598.94</v>
      </c>
      <c r="P23" s="7">
        <f t="shared" si="4"/>
        <v>3476.3800000000047</v>
      </c>
      <c r="Q23" s="8">
        <f t="shared" si="5"/>
        <v>0</v>
      </c>
      <c r="R23" s="8">
        <f t="shared" si="6"/>
        <v>0</v>
      </c>
      <c r="S23" s="9">
        <f t="shared" si="7"/>
        <v>3476.3800000000047</v>
      </c>
    </row>
    <row r="24" spans="1:19" x14ac:dyDescent="0.25">
      <c r="A24" s="5" t="s">
        <v>0</v>
      </c>
      <c r="B24" s="6" t="s">
        <v>1</v>
      </c>
      <c r="C24" s="6">
        <v>15625045</v>
      </c>
      <c r="D24" s="6" t="s">
        <v>16</v>
      </c>
      <c r="E24" s="6">
        <v>201335</v>
      </c>
      <c r="F24" s="6" t="s">
        <v>8</v>
      </c>
      <c r="G24" s="6" t="s">
        <v>59</v>
      </c>
      <c r="H24" s="7">
        <v>1192753.8899999999</v>
      </c>
      <c r="I24" s="8">
        <v>89011.86</v>
      </c>
      <c r="J24" s="8">
        <v>0</v>
      </c>
      <c r="K24" s="9">
        <f t="shared" si="2"/>
        <v>1281765.75</v>
      </c>
      <c r="L24" s="7">
        <v>1425746.82</v>
      </c>
      <c r="M24" s="8">
        <v>0</v>
      </c>
      <c r="N24" s="8">
        <v>0</v>
      </c>
      <c r="O24" s="9">
        <f t="shared" si="3"/>
        <v>1425746.82</v>
      </c>
      <c r="P24" s="7">
        <f t="shared" si="4"/>
        <v>232992.93000000017</v>
      </c>
      <c r="Q24" s="8">
        <f t="shared" si="5"/>
        <v>-89011.86</v>
      </c>
      <c r="R24" s="8">
        <f t="shared" si="6"/>
        <v>0</v>
      </c>
      <c r="S24" s="9">
        <f t="shared" si="7"/>
        <v>143981.07000000018</v>
      </c>
    </row>
    <row r="25" spans="1:19" x14ac:dyDescent="0.25">
      <c r="A25" s="5" t="s">
        <v>0</v>
      </c>
      <c r="B25" s="6" t="s">
        <v>1</v>
      </c>
      <c r="C25" s="6">
        <v>15625045</v>
      </c>
      <c r="D25" s="6" t="s">
        <v>16</v>
      </c>
      <c r="E25" s="6">
        <v>202127</v>
      </c>
      <c r="F25" s="6" t="s">
        <v>17</v>
      </c>
      <c r="G25" s="6" t="s">
        <v>60</v>
      </c>
      <c r="H25" s="7">
        <v>2368.75</v>
      </c>
      <c r="I25" s="8">
        <v>0</v>
      </c>
      <c r="J25" s="8">
        <v>0</v>
      </c>
      <c r="K25" s="9">
        <f t="shared" si="2"/>
        <v>2368.75</v>
      </c>
      <c r="L25" s="7">
        <v>0</v>
      </c>
      <c r="M25" s="8">
        <v>0</v>
      </c>
      <c r="N25" s="8">
        <v>0</v>
      </c>
      <c r="O25" s="9">
        <f t="shared" si="3"/>
        <v>0</v>
      </c>
      <c r="P25" s="7">
        <f t="shared" si="4"/>
        <v>-2368.75</v>
      </c>
      <c r="Q25" s="8">
        <f t="shared" si="5"/>
        <v>0</v>
      </c>
      <c r="R25" s="8">
        <f t="shared" si="6"/>
        <v>0</v>
      </c>
      <c r="S25" s="9">
        <f t="shared" si="7"/>
        <v>-2368.75</v>
      </c>
    </row>
    <row r="26" spans="1:19" x14ac:dyDescent="0.25">
      <c r="A26" s="5" t="s">
        <v>0</v>
      </c>
      <c r="B26" s="6" t="s">
        <v>1</v>
      </c>
      <c r="C26" s="6">
        <v>15625045</v>
      </c>
      <c r="D26" s="6" t="s">
        <v>16</v>
      </c>
      <c r="E26" s="6">
        <v>202971</v>
      </c>
      <c r="F26" s="6" t="s">
        <v>18</v>
      </c>
      <c r="G26" s="6" t="s">
        <v>60</v>
      </c>
      <c r="H26" s="7">
        <v>182029.8</v>
      </c>
      <c r="I26" s="8">
        <v>0</v>
      </c>
      <c r="J26" s="8">
        <v>0</v>
      </c>
      <c r="K26" s="9">
        <f t="shared" si="2"/>
        <v>182029.8</v>
      </c>
      <c r="L26" s="7">
        <v>168462.14</v>
      </c>
      <c r="M26" s="8">
        <v>0</v>
      </c>
      <c r="N26" s="8">
        <v>0</v>
      </c>
      <c r="O26" s="9">
        <f t="shared" si="3"/>
        <v>168462.14</v>
      </c>
      <c r="P26" s="7">
        <f t="shared" si="4"/>
        <v>-13567.659999999974</v>
      </c>
      <c r="Q26" s="8">
        <f t="shared" si="5"/>
        <v>0</v>
      </c>
      <c r="R26" s="8">
        <f t="shared" si="6"/>
        <v>0</v>
      </c>
      <c r="S26" s="9">
        <f t="shared" si="7"/>
        <v>-13567.659999999974</v>
      </c>
    </row>
    <row r="27" spans="1:19" x14ac:dyDescent="0.25">
      <c r="A27" s="5" t="s">
        <v>0</v>
      </c>
      <c r="B27" s="6" t="s">
        <v>1</v>
      </c>
      <c r="C27" s="6">
        <v>15625045</v>
      </c>
      <c r="D27" s="6" t="s">
        <v>16</v>
      </c>
      <c r="E27" s="6">
        <v>201256</v>
      </c>
      <c r="F27" s="6" t="s">
        <v>3</v>
      </c>
      <c r="G27" s="6" t="s">
        <v>58</v>
      </c>
      <c r="H27" s="7">
        <v>188324.96</v>
      </c>
      <c r="I27" s="8">
        <v>32496.799999999999</v>
      </c>
      <c r="J27" s="8">
        <v>0</v>
      </c>
      <c r="K27" s="9">
        <f t="shared" si="2"/>
        <v>220821.75999999998</v>
      </c>
      <c r="L27" s="7">
        <v>0</v>
      </c>
      <c r="M27" s="8">
        <v>0</v>
      </c>
      <c r="N27" s="8">
        <v>0</v>
      </c>
      <c r="O27" s="9">
        <f t="shared" si="3"/>
        <v>0</v>
      </c>
      <c r="P27" s="7">
        <f t="shared" si="4"/>
        <v>-188324.96</v>
      </c>
      <c r="Q27" s="8">
        <f t="shared" si="5"/>
        <v>-32496.799999999999</v>
      </c>
      <c r="R27" s="8">
        <f t="shared" si="6"/>
        <v>0</v>
      </c>
      <c r="S27" s="9">
        <f t="shared" si="7"/>
        <v>-220821.75999999998</v>
      </c>
    </row>
    <row r="28" spans="1:19" x14ac:dyDescent="0.25">
      <c r="A28" s="5" t="s">
        <v>0</v>
      </c>
      <c r="B28" s="6" t="s">
        <v>1</v>
      </c>
      <c r="C28" s="6">
        <v>15625045</v>
      </c>
      <c r="D28" s="6" t="s">
        <v>16</v>
      </c>
      <c r="E28" s="6">
        <v>202833</v>
      </c>
      <c r="F28" s="6" t="s">
        <v>6</v>
      </c>
      <c r="G28" s="6" t="s">
        <v>60</v>
      </c>
      <c r="H28" s="7">
        <v>305827.59999999998</v>
      </c>
      <c r="I28" s="8">
        <v>23890.400000000001</v>
      </c>
      <c r="J28" s="8">
        <v>0</v>
      </c>
      <c r="K28" s="9">
        <f t="shared" si="2"/>
        <v>329718</v>
      </c>
      <c r="L28" s="7">
        <v>306578.53999999998</v>
      </c>
      <c r="M28" s="8">
        <v>0</v>
      </c>
      <c r="N28" s="8">
        <v>0</v>
      </c>
      <c r="O28" s="9">
        <f t="shared" si="3"/>
        <v>306578.53999999998</v>
      </c>
      <c r="P28" s="7">
        <f t="shared" si="4"/>
        <v>750.94000000000233</v>
      </c>
      <c r="Q28" s="8">
        <f t="shared" si="5"/>
        <v>-23890.400000000001</v>
      </c>
      <c r="R28" s="8">
        <f t="shared" si="6"/>
        <v>0</v>
      </c>
      <c r="S28" s="9">
        <f t="shared" si="7"/>
        <v>-23139.46</v>
      </c>
    </row>
    <row r="29" spans="1:19" x14ac:dyDescent="0.25">
      <c r="A29" s="5" t="s">
        <v>0</v>
      </c>
      <c r="B29" s="6" t="s">
        <v>1</v>
      </c>
      <c r="C29" s="6">
        <v>15625045</v>
      </c>
      <c r="D29" s="6" t="s">
        <v>16</v>
      </c>
      <c r="E29" s="6">
        <v>203139</v>
      </c>
      <c r="F29" s="6" t="s">
        <v>3</v>
      </c>
      <c r="G29" s="6" t="s">
        <v>58</v>
      </c>
      <c r="H29" s="7">
        <v>3467.5</v>
      </c>
      <c r="I29" s="8">
        <v>0</v>
      </c>
      <c r="J29" s="8">
        <v>0</v>
      </c>
      <c r="K29" s="9">
        <f t="shared" si="2"/>
        <v>3467.5</v>
      </c>
      <c r="L29" s="7">
        <v>0</v>
      </c>
      <c r="M29" s="8">
        <v>0</v>
      </c>
      <c r="N29" s="8">
        <v>0</v>
      </c>
      <c r="O29" s="9">
        <f t="shared" si="3"/>
        <v>0</v>
      </c>
      <c r="P29" s="7">
        <f t="shared" si="4"/>
        <v>-3467.5</v>
      </c>
      <c r="Q29" s="8">
        <f t="shared" si="5"/>
        <v>0</v>
      </c>
      <c r="R29" s="8">
        <f t="shared" si="6"/>
        <v>0</v>
      </c>
      <c r="S29" s="9">
        <f t="shared" si="7"/>
        <v>-3467.5</v>
      </c>
    </row>
    <row r="30" spans="1:19" x14ac:dyDescent="0.25">
      <c r="A30" s="5" t="s">
        <v>0</v>
      </c>
      <c r="B30" s="6" t="s">
        <v>1</v>
      </c>
      <c r="C30" s="6">
        <v>15625045</v>
      </c>
      <c r="D30" s="6" t="s">
        <v>16</v>
      </c>
      <c r="E30" s="6">
        <v>203224</v>
      </c>
      <c r="F30" s="6" t="s">
        <v>12</v>
      </c>
      <c r="G30" s="6" t="s">
        <v>61</v>
      </c>
      <c r="H30" s="7">
        <v>0</v>
      </c>
      <c r="I30" s="8">
        <v>0</v>
      </c>
      <c r="J30" s="8">
        <f>9495+95454.97</f>
        <v>104949.97</v>
      </c>
      <c r="K30" s="9">
        <f t="shared" si="2"/>
        <v>104949.97</v>
      </c>
      <c r="L30" s="7">
        <v>0</v>
      </c>
      <c r="M30" s="8">
        <v>0</v>
      </c>
      <c r="N30" s="8">
        <v>0</v>
      </c>
      <c r="O30" s="9">
        <f t="shared" si="3"/>
        <v>0</v>
      </c>
      <c r="P30" s="7">
        <f t="shared" si="4"/>
        <v>0</v>
      </c>
      <c r="Q30" s="8">
        <f t="shared" si="5"/>
        <v>0</v>
      </c>
      <c r="R30" s="8">
        <f t="shared" si="6"/>
        <v>-104949.97</v>
      </c>
      <c r="S30" s="9">
        <f t="shared" si="7"/>
        <v>-104949.97</v>
      </c>
    </row>
    <row r="31" spans="1:19" x14ac:dyDescent="0.25">
      <c r="A31" s="5" t="s">
        <v>0</v>
      </c>
      <c r="B31" s="6" t="s">
        <v>1</v>
      </c>
      <c r="C31" s="6">
        <v>15625045</v>
      </c>
      <c r="D31" s="6" t="s">
        <v>16</v>
      </c>
      <c r="E31" s="6">
        <v>203225</v>
      </c>
      <c r="F31" s="6" t="s">
        <v>13</v>
      </c>
      <c r="G31" s="6" t="s">
        <v>62</v>
      </c>
      <c r="H31" s="7">
        <v>0</v>
      </c>
      <c r="I31" s="8">
        <v>0</v>
      </c>
      <c r="J31" s="8">
        <v>5290</v>
      </c>
      <c r="K31" s="9">
        <f t="shared" si="2"/>
        <v>5290</v>
      </c>
      <c r="L31" s="7">
        <v>0</v>
      </c>
      <c r="M31" s="8">
        <v>0</v>
      </c>
      <c r="N31" s="8">
        <v>0</v>
      </c>
      <c r="O31" s="9">
        <f t="shared" si="3"/>
        <v>0</v>
      </c>
      <c r="P31" s="7">
        <f t="shared" si="4"/>
        <v>0</v>
      </c>
      <c r="Q31" s="8">
        <f t="shared" si="5"/>
        <v>0</v>
      </c>
      <c r="R31" s="8">
        <f t="shared" si="6"/>
        <v>-5290</v>
      </c>
      <c r="S31" s="9">
        <f t="shared" si="7"/>
        <v>-5290</v>
      </c>
    </row>
    <row r="32" spans="1:19" x14ac:dyDescent="0.25">
      <c r="A32" s="5" t="s">
        <v>0</v>
      </c>
      <c r="B32" s="6" t="s">
        <v>1</v>
      </c>
      <c r="C32" s="6">
        <v>15625045</v>
      </c>
      <c r="D32" s="6" t="s">
        <v>16</v>
      </c>
      <c r="E32" s="6">
        <v>903431</v>
      </c>
      <c r="F32" s="6" t="s">
        <v>14</v>
      </c>
      <c r="G32" s="6" t="s">
        <v>63</v>
      </c>
      <c r="H32" s="7">
        <v>342330.38</v>
      </c>
      <c r="I32" s="8">
        <v>5216.58</v>
      </c>
      <c r="J32" s="8">
        <v>0</v>
      </c>
      <c r="K32" s="9">
        <f t="shared" si="2"/>
        <v>347546.96</v>
      </c>
      <c r="L32" s="7">
        <v>546202.68000000005</v>
      </c>
      <c r="M32" s="8">
        <v>0</v>
      </c>
      <c r="N32" s="8">
        <v>0</v>
      </c>
      <c r="O32" s="9">
        <f t="shared" si="3"/>
        <v>546202.68000000005</v>
      </c>
      <c r="P32" s="7">
        <f t="shared" si="4"/>
        <v>203872.30000000005</v>
      </c>
      <c r="Q32" s="8">
        <f t="shared" si="5"/>
        <v>-5216.58</v>
      </c>
      <c r="R32" s="8">
        <f t="shared" si="6"/>
        <v>0</v>
      </c>
      <c r="S32" s="9">
        <f t="shared" si="7"/>
        <v>198655.72000000006</v>
      </c>
    </row>
    <row r="33" spans="1:19" x14ac:dyDescent="0.25">
      <c r="A33" s="5" t="s">
        <v>0</v>
      </c>
      <c r="B33" s="6" t="s">
        <v>1</v>
      </c>
      <c r="C33" s="6">
        <v>15625045</v>
      </c>
      <c r="D33" s="6" t="s">
        <v>16</v>
      </c>
      <c r="E33" s="6">
        <v>110635</v>
      </c>
      <c r="F33" s="6" t="s">
        <v>19</v>
      </c>
      <c r="G33" s="6" t="s">
        <v>59</v>
      </c>
      <c r="H33" s="7">
        <v>7739.25</v>
      </c>
      <c r="I33" s="8">
        <v>0</v>
      </c>
      <c r="J33" s="8">
        <v>0</v>
      </c>
      <c r="K33" s="9">
        <f t="shared" si="2"/>
        <v>7739.25</v>
      </c>
      <c r="L33" s="7">
        <v>0</v>
      </c>
      <c r="M33" s="8">
        <v>0</v>
      </c>
      <c r="N33" s="8">
        <v>0</v>
      </c>
      <c r="O33" s="9">
        <f t="shared" si="3"/>
        <v>0</v>
      </c>
      <c r="P33" s="7">
        <f t="shared" si="4"/>
        <v>-7739.25</v>
      </c>
      <c r="Q33" s="8">
        <f t="shared" si="5"/>
        <v>0</v>
      </c>
      <c r="R33" s="8">
        <f t="shared" si="6"/>
        <v>0</v>
      </c>
      <c r="S33" s="9">
        <f t="shared" si="7"/>
        <v>-7739.25</v>
      </c>
    </row>
    <row r="34" spans="1:19" x14ac:dyDescent="0.25">
      <c r="A34" s="5" t="s">
        <v>0</v>
      </c>
      <c r="B34" s="6" t="s">
        <v>1</v>
      </c>
      <c r="C34" s="6">
        <v>15625045</v>
      </c>
      <c r="D34" s="6" t="s">
        <v>16</v>
      </c>
      <c r="E34" s="6">
        <v>203165</v>
      </c>
      <c r="F34" s="6" t="s">
        <v>20</v>
      </c>
      <c r="G34" s="6" t="s">
        <v>59</v>
      </c>
      <c r="H34" s="7">
        <v>1140</v>
      </c>
      <c r="I34" s="8">
        <v>0</v>
      </c>
      <c r="J34" s="8">
        <v>0</v>
      </c>
      <c r="K34" s="9">
        <f t="shared" si="2"/>
        <v>1140</v>
      </c>
      <c r="L34" s="7">
        <v>0</v>
      </c>
      <c r="M34" s="8">
        <v>0</v>
      </c>
      <c r="N34" s="8">
        <v>0</v>
      </c>
      <c r="O34" s="9">
        <f t="shared" si="3"/>
        <v>0</v>
      </c>
      <c r="P34" s="7">
        <f t="shared" si="4"/>
        <v>-1140</v>
      </c>
      <c r="Q34" s="8">
        <f t="shared" si="5"/>
        <v>0</v>
      </c>
      <c r="R34" s="8">
        <f t="shared" si="6"/>
        <v>0</v>
      </c>
      <c r="S34" s="9">
        <f t="shared" si="7"/>
        <v>-1140</v>
      </c>
    </row>
    <row r="35" spans="1:19" x14ac:dyDescent="0.25">
      <c r="A35" s="5" t="s">
        <v>0</v>
      </c>
      <c r="B35" s="6" t="s">
        <v>1</v>
      </c>
      <c r="C35" s="6">
        <v>15625045</v>
      </c>
      <c r="D35" s="6" t="s">
        <v>16</v>
      </c>
      <c r="E35" s="6">
        <v>203261</v>
      </c>
      <c r="F35" s="6" t="s">
        <v>21</v>
      </c>
      <c r="G35" s="6" t="s">
        <v>58</v>
      </c>
      <c r="H35" s="7">
        <v>2673.75</v>
      </c>
      <c r="I35" s="8">
        <v>0</v>
      </c>
      <c r="J35" s="8">
        <v>0</v>
      </c>
      <c r="K35" s="9">
        <f t="shared" si="2"/>
        <v>2673.75</v>
      </c>
      <c r="L35" s="7">
        <v>0</v>
      </c>
      <c r="M35" s="8">
        <v>0</v>
      </c>
      <c r="N35" s="8">
        <v>0</v>
      </c>
      <c r="O35" s="9">
        <f t="shared" si="3"/>
        <v>0</v>
      </c>
      <c r="P35" s="7">
        <f t="shared" si="4"/>
        <v>-2673.75</v>
      </c>
      <c r="Q35" s="8">
        <f t="shared" si="5"/>
        <v>0</v>
      </c>
      <c r="R35" s="8">
        <f t="shared" si="6"/>
        <v>0</v>
      </c>
      <c r="S35" s="9">
        <f t="shared" si="7"/>
        <v>-2673.75</v>
      </c>
    </row>
    <row r="36" spans="1:19" x14ac:dyDescent="0.25">
      <c r="A36" s="5" t="s">
        <v>0</v>
      </c>
      <c r="B36" s="6" t="s">
        <v>1</v>
      </c>
      <c r="C36" s="6">
        <v>15625045</v>
      </c>
      <c r="D36" s="6" t="s">
        <v>16</v>
      </c>
      <c r="E36" s="6">
        <v>904397</v>
      </c>
      <c r="F36" s="6" t="s">
        <v>22</v>
      </c>
      <c r="G36" s="6" t="s">
        <v>60</v>
      </c>
      <c r="H36" s="7">
        <v>203237.73</v>
      </c>
      <c r="I36" s="8">
        <v>0</v>
      </c>
      <c r="J36" s="8">
        <v>0</v>
      </c>
      <c r="K36" s="9">
        <f t="shared" si="2"/>
        <v>203237.73</v>
      </c>
      <c r="L36" s="7">
        <v>197163.1</v>
      </c>
      <c r="M36" s="8">
        <v>0</v>
      </c>
      <c r="N36" s="8">
        <v>0</v>
      </c>
      <c r="O36" s="9">
        <f t="shared" si="3"/>
        <v>197163.1</v>
      </c>
      <c r="P36" s="7">
        <f t="shared" si="4"/>
        <v>-6074.6300000000047</v>
      </c>
      <c r="Q36" s="8">
        <f t="shared" si="5"/>
        <v>0</v>
      </c>
      <c r="R36" s="8">
        <f t="shared" si="6"/>
        <v>0</v>
      </c>
      <c r="S36" s="9">
        <f t="shared" si="7"/>
        <v>-6074.6300000000047</v>
      </c>
    </row>
    <row r="37" spans="1:19" x14ac:dyDescent="0.25">
      <c r="A37" s="5" t="s">
        <v>0</v>
      </c>
      <c r="B37" s="6" t="s">
        <v>1</v>
      </c>
      <c r="C37" s="6">
        <v>15628030</v>
      </c>
      <c r="D37" s="6" t="s">
        <v>23</v>
      </c>
      <c r="E37" s="6">
        <v>201068</v>
      </c>
      <c r="F37" s="6" t="s">
        <v>24</v>
      </c>
      <c r="G37" s="6" t="s">
        <v>60</v>
      </c>
      <c r="H37" s="7">
        <v>77229.06</v>
      </c>
      <c r="I37" s="8">
        <v>0</v>
      </c>
      <c r="J37" s="8">
        <v>0</v>
      </c>
      <c r="K37" s="9">
        <f t="shared" si="2"/>
        <v>77229.06</v>
      </c>
      <c r="L37" s="7">
        <v>77061.62</v>
      </c>
      <c r="M37" s="8">
        <v>0</v>
      </c>
      <c r="N37" s="8">
        <v>0</v>
      </c>
      <c r="O37" s="9">
        <f t="shared" si="3"/>
        <v>77061.62</v>
      </c>
      <c r="P37" s="7">
        <f t="shared" si="4"/>
        <v>-167.44000000000233</v>
      </c>
      <c r="Q37" s="8">
        <f t="shared" si="5"/>
        <v>0</v>
      </c>
      <c r="R37" s="8">
        <f t="shared" si="6"/>
        <v>0</v>
      </c>
      <c r="S37" s="9">
        <f t="shared" si="7"/>
        <v>-167.44000000000233</v>
      </c>
    </row>
    <row r="38" spans="1:19" x14ac:dyDescent="0.25">
      <c r="A38" s="5" t="s">
        <v>0</v>
      </c>
      <c r="B38" s="6" t="s">
        <v>1</v>
      </c>
      <c r="C38" s="6">
        <v>15628030</v>
      </c>
      <c r="D38" s="6" t="s">
        <v>23</v>
      </c>
      <c r="E38" s="6">
        <v>201335</v>
      </c>
      <c r="F38" s="6" t="s">
        <v>8</v>
      </c>
      <c r="G38" s="6" t="s">
        <v>59</v>
      </c>
      <c r="H38" s="7">
        <v>325642.61</v>
      </c>
      <c r="I38" s="8">
        <v>4063.95</v>
      </c>
      <c r="J38" s="8">
        <v>0</v>
      </c>
      <c r="K38" s="9">
        <f t="shared" si="2"/>
        <v>329706.56</v>
      </c>
      <c r="L38" s="7">
        <v>416055.2</v>
      </c>
      <c r="M38" s="8">
        <v>0</v>
      </c>
      <c r="N38" s="8">
        <v>0</v>
      </c>
      <c r="O38" s="9">
        <f t="shared" si="3"/>
        <v>416055.2</v>
      </c>
      <c r="P38" s="7">
        <f t="shared" si="4"/>
        <v>90412.590000000026</v>
      </c>
      <c r="Q38" s="8">
        <f t="shared" si="5"/>
        <v>-4063.95</v>
      </c>
      <c r="R38" s="8">
        <f t="shared" si="6"/>
        <v>0</v>
      </c>
      <c r="S38" s="9">
        <f t="shared" si="7"/>
        <v>86348.640000000029</v>
      </c>
    </row>
    <row r="39" spans="1:19" x14ac:dyDescent="0.25">
      <c r="A39" s="5" t="s">
        <v>0</v>
      </c>
      <c r="B39" s="6" t="s">
        <v>1</v>
      </c>
      <c r="C39" s="6">
        <v>15628030</v>
      </c>
      <c r="D39" s="6" t="s">
        <v>23</v>
      </c>
      <c r="E39" s="6">
        <v>203224</v>
      </c>
      <c r="F39" s="6" t="s">
        <v>12</v>
      </c>
      <c r="G39" s="6" t="s">
        <v>61</v>
      </c>
      <c r="H39" s="7">
        <v>0</v>
      </c>
      <c r="I39" s="8">
        <v>0</v>
      </c>
      <c r="J39" s="8">
        <f>932+121+9262.5</f>
        <v>10315.5</v>
      </c>
      <c r="K39" s="9">
        <f t="shared" si="2"/>
        <v>10315.5</v>
      </c>
      <c r="L39" s="7">
        <v>0</v>
      </c>
      <c r="M39" s="8">
        <v>0</v>
      </c>
      <c r="N39" s="8">
        <v>0</v>
      </c>
      <c r="O39" s="9">
        <f t="shared" si="3"/>
        <v>0</v>
      </c>
      <c r="P39" s="7">
        <f t="shared" si="4"/>
        <v>0</v>
      </c>
      <c r="Q39" s="8">
        <f t="shared" si="5"/>
        <v>0</v>
      </c>
      <c r="R39" s="8">
        <f t="shared" si="6"/>
        <v>-10315.5</v>
      </c>
      <c r="S39" s="9">
        <f t="shared" si="7"/>
        <v>-10315.5</v>
      </c>
    </row>
    <row r="40" spans="1:19" x14ac:dyDescent="0.25">
      <c r="A40" s="5" t="s">
        <v>0</v>
      </c>
      <c r="B40" s="6" t="s">
        <v>1</v>
      </c>
      <c r="C40" s="6">
        <v>15628030</v>
      </c>
      <c r="D40" s="6" t="s">
        <v>23</v>
      </c>
      <c r="E40" s="6">
        <v>903431</v>
      </c>
      <c r="F40" s="6" t="s">
        <v>14</v>
      </c>
      <c r="G40" s="6" t="s">
        <v>63</v>
      </c>
      <c r="H40" s="7">
        <v>127021.37</v>
      </c>
      <c r="I40" s="8">
        <v>4061.08</v>
      </c>
      <c r="J40" s="8">
        <v>0</v>
      </c>
      <c r="K40" s="9">
        <f t="shared" si="2"/>
        <v>131082.44999999998</v>
      </c>
      <c r="L40" s="7">
        <v>130672.04</v>
      </c>
      <c r="M40" s="8">
        <v>0</v>
      </c>
      <c r="N40" s="8">
        <v>0</v>
      </c>
      <c r="O40" s="9">
        <f t="shared" si="3"/>
        <v>130672.04</v>
      </c>
      <c r="P40" s="7">
        <f t="shared" si="4"/>
        <v>3650.6699999999983</v>
      </c>
      <c r="Q40" s="8">
        <f t="shared" si="5"/>
        <v>-4061.08</v>
      </c>
      <c r="R40" s="8">
        <f t="shared" si="6"/>
        <v>0</v>
      </c>
      <c r="S40" s="9">
        <f t="shared" si="7"/>
        <v>-410.41000000000167</v>
      </c>
    </row>
    <row r="41" spans="1:19" x14ac:dyDescent="0.25">
      <c r="A41" s="5" t="s">
        <v>0</v>
      </c>
      <c r="B41" s="6" t="s">
        <v>1</v>
      </c>
      <c r="C41" s="6">
        <v>15628030</v>
      </c>
      <c r="D41" s="6" t="s">
        <v>23</v>
      </c>
      <c r="E41" s="6">
        <v>903388</v>
      </c>
      <c r="F41" s="6" t="s">
        <v>25</v>
      </c>
      <c r="G41" s="6" t="s">
        <v>60</v>
      </c>
      <c r="H41" s="7">
        <v>199690</v>
      </c>
      <c r="I41" s="8">
        <v>0</v>
      </c>
      <c r="J41" s="8">
        <v>0</v>
      </c>
      <c r="K41" s="9">
        <f t="shared" si="2"/>
        <v>199690</v>
      </c>
      <c r="L41" s="7">
        <v>192280</v>
      </c>
      <c r="M41" s="8">
        <v>0</v>
      </c>
      <c r="N41" s="8">
        <v>0</v>
      </c>
      <c r="O41" s="9">
        <f t="shared" si="3"/>
        <v>192280</v>
      </c>
      <c r="P41" s="7">
        <f t="shared" si="4"/>
        <v>-7410</v>
      </c>
      <c r="Q41" s="8">
        <f t="shared" si="5"/>
        <v>0</v>
      </c>
      <c r="R41" s="8">
        <f t="shared" si="6"/>
        <v>0</v>
      </c>
      <c r="S41" s="9">
        <f t="shared" si="7"/>
        <v>-7410</v>
      </c>
    </row>
    <row r="42" spans="1:19" x14ac:dyDescent="0.25">
      <c r="A42" s="5" t="s">
        <v>0</v>
      </c>
      <c r="B42" s="6" t="s">
        <v>1</v>
      </c>
      <c r="C42" s="6">
        <v>15632045</v>
      </c>
      <c r="D42" s="6" t="s">
        <v>26</v>
      </c>
      <c r="E42" s="6">
        <v>903387</v>
      </c>
      <c r="F42" s="6" t="s">
        <v>27</v>
      </c>
      <c r="G42" s="6" t="s">
        <v>60</v>
      </c>
      <c r="H42" s="7">
        <v>1140</v>
      </c>
      <c r="I42" s="8">
        <v>0</v>
      </c>
      <c r="J42" s="8">
        <v>0</v>
      </c>
      <c r="K42" s="9">
        <f t="shared" si="2"/>
        <v>1140</v>
      </c>
      <c r="L42" s="7">
        <v>0</v>
      </c>
      <c r="M42" s="8">
        <v>0</v>
      </c>
      <c r="N42" s="8">
        <v>0</v>
      </c>
      <c r="O42" s="9">
        <f t="shared" si="3"/>
        <v>0</v>
      </c>
      <c r="P42" s="7">
        <f t="shared" si="4"/>
        <v>-1140</v>
      </c>
      <c r="Q42" s="8">
        <f t="shared" si="5"/>
        <v>0</v>
      </c>
      <c r="R42" s="8">
        <f t="shared" si="6"/>
        <v>0</v>
      </c>
      <c r="S42" s="9">
        <f t="shared" si="7"/>
        <v>-1140</v>
      </c>
    </row>
    <row r="43" spans="1:19" x14ac:dyDescent="0.25">
      <c r="A43" s="5" t="s">
        <v>0</v>
      </c>
      <c r="B43" s="6" t="s">
        <v>1</v>
      </c>
      <c r="C43" s="6">
        <v>15632045</v>
      </c>
      <c r="D43" s="6" t="s">
        <v>26</v>
      </c>
      <c r="E43" s="6">
        <v>201335</v>
      </c>
      <c r="F43" s="6" t="s">
        <v>8</v>
      </c>
      <c r="G43" s="6" t="s">
        <v>59</v>
      </c>
      <c r="H43" s="7">
        <v>2158660.34</v>
      </c>
      <c r="I43" s="8">
        <v>87171.17</v>
      </c>
      <c r="J43" s="8">
        <v>0</v>
      </c>
      <c r="K43" s="9">
        <f t="shared" si="2"/>
        <v>2245831.5099999998</v>
      </c>
      <c r="L43" s="7">
        <v>2124096.89</v>
      </c>
      <c r="M43" s="8">
        <v>0</v>
      </c>
      <c r="N43" s="8">
        <v>0</v>
      </c>
      <c r="O43" s="9">
        <f t="shared" si="3"/>
        <v>2124096.89</v>
      </c>
      <c r="P43" s="7">
        <f t="shared" si="4"/>
        <v>-34563.449999999721</v>
      </c>
      <c r="Q43" s="8">
        <f t="shared" si="5"/>
        <v>-87171.17</v>
      </c>
      <c r="R43" s="8">
        <f t="shared" si="6"/>
        <v>0</v>
      </c>
      <c r="S43" s="9">
        <f t="shared" si="7"/>
        <v>-121734.61999999972</v>
      </c>
    </row>
    <row r="44" spans="1:19" x14ac:dyDescent="0.25">
      <c r="A44" s="5" t="s">
        <v>0</v>
      </c>
      <c r="B44" s="6" t="s">
        <v>1</v>
      </c>
      <c r="C44" s="6">
        <v>15632045</v>
      </c>
      <c r="D44" s="6" t="s">
        <v>26</v>
      </c>
      <c r="E44" s="6">
        <v>201256</v>
      </c>
      <c r="F44" s="6" t="s">
        <v>3</v>
      </c>
      <c r="G44" s="6" t="s">
        <v>58</v>
      </c>
      <c r="H44" s="7">
        <v>116098.22</v>
      </c>
      <c r="I44" s="8">
        <v>10574.84</v>
      </c>
      <c r="J44" s="8">
        <v>0</v>
      </c>
      <c r="K44" s="9">
        <f t="shared" si="2"/>
        <v>126673.06</v>
      </c>
      <c r="L44" s="7">
        <v>19598.060000000001</v>
      </c>
      <c r="M44" s="8">
        <v>0</v>
      </c>
      <c r="N44" s="8">
        <v>0</v>
      </c>
      <c r="O44" s="9">
        <f t="shared" si="3"/>
        <v>19598.060000000001</v>
      </c>
      <c r="P44" s="7">
        <f t="shared" si="4"/>
        <v>-96500.160000000003</v>
      </c>
      <c r="Q44" s="8">
        <f t="shared" si="5"/>
        <v>-10574.84</v>
      </c>
      <c r="R44" s="8">
        <f t="shared" si="6"/>
        <v>0</v>
      </c>
      <c r="S44" s="9">
        <f t="shared" si="7"/>
        <v>-107075</v>
      </c>
    </row>
    <row r="45" spans="1:19" x14ac:dyDescent="0.25">
      <c r="A45" s="5" t="s">
        <v>0</v>
      </c>
      <c r="B45" s="6" t="s">
        <v>1</v>
      </c>
      <c r="C45" s="6">
        <v>15632045</v>
      </c>
      <c r="D45" s="6" t="s">
        <v>26</v>
      </c>
      <c r="E45" s="6">
        <v>202833</v>
      </c>
      <c r="F45" s="6" t="s">
        <v>6</v>
      </c>
      <c r="G45" s="6" t="s">
        <v>60</v>
      </c>
      <c r="H45" s="7">
        <v>494150.86</v>
      </c>
      <c r="I45" s="8">
        <v>23589.59</v>
      </c>
      <c r="J45" s="8">
        <v>0</v>
      </c>
      <c r="K45" s="9">
        <f t="shared" si="2"/>
        <v>517740.45</v>
      </c>
      <c r="L45" s="7">
        <v>613727.6</v>
      </c>
      <c r="M45" s="8">
        <v>0</v>
      </c>
      <c r="N45" s="8">
        <v>0</v>
      </c>
      <c r="O45" s="9">
        <f t="shared" si="3"/>
        <v>613727.6</v>
      </c>
      <c r="P45" s="7">
        <f t="shared" si="4"/>
        <v>119576.73999999999</v>
      </c>
      <c r="Q45" s="8">
        <f t="shared" si="5"/>
        <v>-23589.59</v>
      </c>
      <c r="R45" s="8">
        <f t="shared" si="6"/>
        <v>0</v>
      </c>
      <c r="S45" s="9">
        <f t="shared" si="7"/>
        <v>95987.15</v>
      </c>
    </row>
    <row r="46" spans="1:19" x14ac:dyDescent="0.25">
      <c r="A46" s="5" t="s">
        <v>0</v>
      </c>
      <c r="B46" s="6" t="s">
        <v>1</v>
      </c>
      <c r="C46" s="6">
        <v>15632045</v>
      </c>
      <c r="D46" s="6" t="s">
        <v>26</v>
      </c>
      <c r="E46" s="6">
        <v>203224</v>
      </c>
      <c r="F46" s="6" t="s">
        <v>12</v>
      </c>
      <c r="G46" s="6" t="s">
        <v>61</v>
      </c>
      <c r="H46" s="7">
        <v>0</v>
      </c>
      <c r="I46" s="8">
        <v>0</v>
      </c>
      <c r="J46" s="8">
        <f>12970+101768.75</f>
        <v>114738.75</v>
      </c>
      <c r="K46" s="9">
        <f t="shared" si="2"/>
        <v>114738.75</v>
      </c>
      <c r="L46" s="7">
        <v>0</v>
      </c>
      <c r="M46" s="8">
        <v>0</v>
      </c>
      <c r="N46" s="8">
        <v>0</v>
      </c>
      <c r="O46" s="9">
        <f t="shared" si="3"/>
        <v>0</v>
      </c>
      <c r="P46" s="7">
        <f t="shared" si="4"/>
        <v>0</v>
      </c>
      <c r="Q46" s="8">
        <f t="shared" si="5"/>
        <v>0</v>
      </c>
      <c r="R46" s="8">
        <f t="shared" si="6"/>
        <v>-114738.75</v>
      </c>
      <c r="S46" s="9">
        <f t="shared" si="7"/>
        <v>-114738.75</v>
      </c>
    </row>
    <row r="47" spans="1:19" x14ac:dyDescent="0.25">
      <c r="A47" s="5" t="s">
        <v>0</v>
      </c>
      <c r="B47" s="6" t="s">
        <v>1</v>
      </c>
      <c r="C47" s="6">
        <v>15632045</v>
      </c>
      <c r="D47" s="6" t="s">
        <v>26</v>
      </c>
      <c r="E47" s="6">
        <v>903431</v>
      </c>
      <c r="F47" s="6" t="s">
        <v>14</v>
      </c>
      <c r="G47" s="6" t="s">
        <v>63</v>
      </c>
      <c r="H47" s="7">
        <v>537930.32000000007</v>
      </c>
      <c r="I47" s="8">
        <v>28642.5</v>
      </c>
      <c r="J47" s="8">
        <v>0</v>
      </c>
      <c r="K47" s="9">
        <f t="shared" si="2"/>
        <v>566572.82000000007</v>
      </c>
      <c r="L47" s="7">
        <v>533389.74</v>
      </c>
      <c r="M47" s="8">
        <v>0</v>
      </c>
      <c r="N47" s="8">
        <v>0</v>
      </c>
      <c r="O47" s="9">
        <f t="shared" si="3"/>
        <v>533389.74</v>
      </c>
      <c r="P47" s="7">
        <f t="shared" si="4"/>
        <v>-4540.5800000000745</v>
      </c>
      <c r="Q47" s="8">
        <f t="shared" si="5"/>
        <v>-28642.5</v>
      </c>
      <c r="R47" s="8">
        <f t="shared" si="6"/>
        <v>0</v>
      </c>
      <c r="S47" s="9">
        <f t="shared" si="7"/>
        <v>-33183.080000000075</v>
      </c>
    </row>
    <row r="48" spans="1:19" x14ac:dyDescent="0.25">
      <c r="A48" s="5" t="s">
        <v>0</v>
      </c>
      <c r="B48" s="6" t="s">
        <v>1</v>
      </c>
      <c r="C48" s="6">
        <v>15632045</v>
      </c>
      <c r="D48" s="6" t="s">
        <v>26</v>
      </c>
      <c r="E48" s="6">
        <v>203060</v>
      </c>
      <c r="F48" s="6" t="s">
        <v>28</v>
      </c>
      <c r="G48" s="6" t="s">
        <v>60</v>
      </c>
      <c r="H48" s="7">
        <v>202369.91</v>
      </c>
      <c r="I48" s="8">
        <v>0</v>
      </c>
      <c r="J48" s="8">
        <v>0</v>
      </c>
      <c r="K48" s="9">
        <f t="shared" si="2"/>
        <v>202369.91</v>
      </c>
      <c r="L48" s="7">
        <v>189980</v>
      </c>
      <c r="M48" s="8">
        <v>0</v>
      </c>
      <c r="N48" s="8">
        <v>0</v>
      </c>
      <c r="O48" s="9">
        <f t="shared" si="3"/>
        <v>189980</v>
      </c>
      <c r="P48" s="7">
        <f t="shared" si="4"/>
        <v>-12389.910000000003</v>
      </c>
      <c r="Q48" s="8">
        <f t="shared" si="5"/>
        <v>0</v>
      </c>
      <c r="R48" s="8">
        <f t="shared" si="6"/>
        <v>0</v>
      </c>
      <c r="S48" s="9">
        <f t="shared" si="7"/>
        <v>-12389.910000000003</v>
      </c>
    </row>
    <row r="49" spans="1:19" x14ac:dyDescent="0.25">
      <c r="A49" s="5" t="s">
        <v>0</v>
      </c>
      <c r="B49" s="6" t="s">
        <v>1</v>
      </c>
      <c r="C49" s="6">
        <v>15632045</v>
      </c>
      <c r="D49" s="6" t="s">
        <v>26</v>
      </c>
      <c r="E49" s="6">
        <v>101155</v>
      </c>
      <c r="F49" s="6" t="s">
        <v>29</v>
      </c>
      <c r="G49" s="6" t="s">
        <v>59</v>
      </c>
      <c r="H49" s="7">
        <v>24296.25</v>
      </c>
      <c r="I49" s="8">
        <v>0</v>
      </c>
      <c r="J49" s="8">
        <v>0</v>
      </c>
      <c r="K49" s="9">
        <f t="shared" si="2"/>
        <v>24296.25</v>
      </c>
      <c r="L49" s="7">
        <v>0</v>
      </c>
      <c r="M49" s="8">
        <v>0</v>
      </c>
      <c r="N49" s="8">
        <v>0</v>
      </c>
      <c r="O49" s="9">
        <f t="shared" si="3"/>
        <v>0</v>
      </c>
      <c r="P49" s="7">
        <f t="shared" si="4"/>
        <v>-24296.25</v>
      </c>
      <c r="Q49" s="8">
        <f t="shared" si="5"/>
        <v>0</v>
      </c>
      <c r="R49" s="8">
        <f t="shared" si="6"/>
        <v>0</v>
      </c>
      <c r="S49" s="9">
        <f t="shared" si="7"/>
        <v>-24296.25</v>
      </c>
    </row>
    <row r="50" spans="1:19" x14ac:dyDescent="0.25">
      <c r="A50" s="5" t="s">
        <v>0</v>
      </c>
      <c r="B50" s="6" t="s">
        <v>1</v>
      </c>
      <c r="C50" s="6">
        <v>15632045</v>
      </c>
      <c r="D50" s="6" t="s">
        <v>26</v>
      </c>
      <c r="E50" s="6">
        <v>204897</v>
      </c>
      <c r="F50" s="6" t="s">
        <v>30</v>
      </c>
      <c r="G50" s="6" t="s">
        <v>59</v>
      </c>
      <c r="H50" s="7">
        <v>10830</v>
      </c>
      <c r="I50" s="8">
        <v>0</v>
      </c>
      <c r="J50" s="8">
        <v>0</v>
      </c>
      <c r="K50" s="9">
        <f t="shared" si="2"/>
        <v>10830</v>
      </c>
      <c r="L50" s="7">
        <v>0</v>
      </c>
      <c r="M50" s="8">
        <v>0</v>
      </c>
      <c r="N50" s="8">
        <v>0</v>
      </c>
      <c r="O50" s="9">
        <f t="shared" si="3"/>
        <v>0</v>
      </c>
      <c r="P50" s="7">
        <f t="shared" si="4"/>
        <v>-10830</v>
      </c>
      <c r="Q50" s="8">
        <f t="shared" si="5"/>
        <v>0</v>
      </c>
      <c r="R50" s="8">
        <f t="shared" si="6"/>
        <v>0</v>
      </c>
      <c r="S50" s="9">
        <f t="shared" si="7"/>
        <v>-10830</v>
      </c>
    </row>
    <row r="51" spans="1:19" x14ac:dyDescent="0.25">
      <c r="A51" s="5" t="s">
        <v>0</v>
      </c>
      <c r="B51" s="6" t="s">
        <v>1</v>
      </c>
      <c r="C51" s="6">
        <v>15633025</v>
      </c>
      <c r="D51" s="6" t="s">
        <v>31</v>
      </c>
      <c r="E51" s="6">
        <v>201335</v>
      </c>
      <c r="F51" s="6" t="s">
        <v>8</v>
      </c>
      <c r="G51" s="6" t="s">
        <v>59</v>
      </c>
      <c r="H51" s="7">
        <v>524610.23</v>
      </c>
      <c r="I51" s="8">
        <v>5320.14</v>
      </c>
      <c r="J51" s="8">
        <v>0</v>
      </c>
      <c r="K51" s="9">
        <f t="shared" si="2"/>
        <v>529930.37</v>
      </c>
      <c r="L51" s="7">
        <v>705865.28</v>
      </c>
      <c r="M51" s="8">
        <v>0</v>
      </c>
      <c r="N51" s="8">
        <v>0</v>
      </c>
      <c r="O51" s="9">
        <f t="shared" si="3"/>
        <v>705865.28</v>
      </c>
      <c r="P51" s="7">
        <f t="shared" si="4"/>
        <v>181255.05000000005</v>
      </c>
      <c r="Q51" s="8">
        <f t="shared" si="5"/>
        <v>-5320.14</v>
      </c>
      <c r="R51" s="8">
        <f t="shared" si="6"/>
        <v>0</v>
      </c>
      <c r="S51" s="9">
        <f t="shared" si="7"/>
        <v>175934.91000000003</v>
      </c>
    </row>
    <row r="52" spans="1:19" x14ac:dyDescent="0.25">
      <c r="A52" s="5" t="s">
        <v>0</v>
      </c>
      <c r="B52" s="6" t="s">
        <v>1</v>
      </c>
      <c r="C52" s="6">
        <v>15633025</v>
      </c>
      <c r="D52" s="6" t="s">
        <v>31</v>
      </c>
      <c r="E52" s="6">
        <v>202833</v>
      </c>
      <c r="F52" s="6" t="s">
        <v>6</v>
      </c>
      <c r="G52" s="6" t="s">
        <v>60</v>
      </c>
      <c r="H52" s="7">
        <v>174380.33</v>
      </c>
      <c r="I52" s="8">
        <v>4783.5200000000004</v>
      </c>
      <c r="J52" s="8">
        <v>0</v>
      </c>
      <c r="K52" s="9">
        <f t="shared" si="2"/>
        <v>179163.84999999998</v>
      </c>
      <c r="L52" s="7">
        <v>176703.18</v>
      </c>
      <c r="M52" s="8">
        <v>0</v>
      </c>
      <c r="N52" s="8">
        <v>0</v>
      </c>
      <c r="O52" s="9">
        <f t="shared" si="3"/>
        <v>176703.18</v>
      </c>
      <c r="P52" s="7">
        <f t="shared" si="4"/>
        <v>2322.8500000000058</v>
      </c>
      <c r="Q52" s="8">
        <f t="shared" si="5"/>
        <v>-4783.5200000000004</v>
      </c>
      <c r="R52" s="8">
        <f t="shared" si="6"/>
        <v>0</v>
      </c>
      <c r="S52" s="9">
        <f t="shared" si="7"/>
        <v>-2460.6699999999946</v>
      </c>
    </row>
    <row r="53" spans="1:19" x14ac:dyDescent="0.25">
      <c r="A53" s="5" t="s">
        <v>0</v>
      </c>
      <c r="B53" s="6" t="s">
        <v>1</v>
      </c>
      <c r="C53" s="6">
        <v>15633025</v>
      </c>
      <c r="D53" s="6" t="s">
        <v>31</v>
      </c>
      <c r="E53" s="6">
        <v>903431</v>
      </c>
      <c r="F53" s="6" t="s">
        <v>14</v>
      </c>
      <c r="G53" s="6" t="s">
        <v>63</v>
      </c>
      <c r="H53" s="7">
        <v>132934.15</v>
      </c>
      <c r="I53" s="8">
        <v>0</v>
      </c>
      <c r="J53" s="8">
        <v>0</v>
      </c>
      <c r="K53" s="9">
        <f t="shared" si="2"/>
        <v>132934.15</v>
      </c>
      <c r="L53" s="7">
        <v>137047.42000000001</v>
      </c>
      <c r="M53" s="8">
        <v>0</v>
      </c>
      <c r="N53" s="8">
        <v>0</v>
      </c>
      <c r="O53" s="9">
        <f t="shared" si="3"/>
        <v>137047.42000000001</v>
      </c>
      <c r="P53" s="7">
        <f t="shared" si="4"/>
        <v>4113.2700000000186</v>
      </c>
      <c r="Q53" s="8">
        <f t="shared" si="5"/>
        <v>0</v>
      </c>
      <c r="R53" s="8">
        <f t="shared" si="6"/>
        <v>0</v>
      </c>
      <c r="S53" s="9">
        <f t="shared" si="7"/>
        <v>4113.2700000000186</v>
      </c>
    </row>
    <row r="54" spans="1:19" x14ac:dyDescent="0.25">
      <c r="A54" s="5" t="s">
        <v>0</v>
      </c>
      <c r="B54" s="6" t="s">
        <v>1</v>
      </c>
      <c r="C54" s="6">
        <v>15635545</v>
      </c>
      <c r="D54" s="6" t="s">
        <v>32</v>
      </c>
      <c r="E54" s="6">
        <v>201335</v>
      </c>
      <c r="F54" s="6" t="s">
        <v>8</v>
      </c>
      <c r="G54" s="6" t="s">
        <v>59</v>
      </c>
      <c r="H54" s="7">
        <v>2476707.5499999998</v>
      </c>
      <c r="I54" s="8">
        <v>224160.71</v>
      </c>
      <c r="J54" s="8">
        <v>0</v>
      </c>
      <c r="K54" s="9">
        <f t="shared" si="2"/>
        <v>2700868.26</v>
      </c>
      <c r="L54" s="7">
        <v>2745234.18</v>
      </c>
      <c r="M54" s="8">
        <v>0</v>
      </c>
      <c r="N54" s="8">
        <v>0</v>
      </c>
      <c r="O54" s="9">
        <f t="shared" si="3"/>
        <v>2745234.18</v>
      </c>
      <c r="P54" s="7">
        <f t="shared" si="4"/>
        <v>268526.63000000035</v>
      </c>
      <c r="Q54" s="8">
        <f t="shared" si="5"/>
        <v>-224160.71</v>
      </c>
      <c r="R54" s="8">
        <f t="shared" si="6"/>
        <v>0</v>
      </c>
      <c r="S54" s="9">
        <f t="shared" si="7"/>
        <v>44365.920000000362</v>
      </c>
    </row>
    <row r="55" spans="1:19" x14ac:dyDescent="0.25">
      <c r="A55" s="5" t="s">
        <v>0</v>
      </c>
      <c r="B55" s="6" t="s">
        <v>1</v>
      </c>
      <c r="C55" s="6">
        <v>15635545</v>
      </c>
      <c r="D55" s="6" t="s">
        <v>32</v>
      </c>
      <c r="E55" s="6">
        <v>201256</v>
      </c>
      <c r="F55" s="6" t="s">
        <v>3</v>
      </c>
      <c r="G55" s="6" t="s">
        <v>58</v>
      </c>
      <c r="H55" s="7">
        <v>28300.560000000001</v>
      </c>
      <c r="I55" s="8">
        <v>810</v>
      </c>
      <c r="J55" s="8">
        <v>0</v>
      </c>
      <c r="K55" s="9">
        <f t="shared" si="2"/>
        <v>29110.560000000001</v>
      </c>
      <c r="L55" s="7">
        <v>0</v>
      </c>
      <c r="M55" s="8">
        <v>0</v>
      </c>
      <c r="N55" s="8">
        <v>0</v>
      </c>
      <c r="O55" s="9">
        <f t="shared" si="3"/>
        <v>0</v>
      </c>
      <c r="P55" s="7">
        <f t="shared" si="4"/>
        <v>-28300.560000000001</v>
      </c>
      <c r="Q55" s="8">
        <f t="shared" si="5"/>
        <v>-810</v>
      </c>
      <c r="R55" s="8">
        <f t="shared" si="6"/>
        <v>0</v>
      </c>
      <c r="S55" s="9">
        <f t="shared" si="7"/>
        <v>-29110.560000000001</v>
      </c>
    </row>
    <row r="56" spans="1:19" x14ac:dyDescent="0.25">
      <c r="A56" s="5" t="s">
        <v>0</v>
      </c>
      <c r="B56" s="6" t="s">
        <v>1</v>
      </c>
      <c r="C56" s="6">
        <v>15635545</v>
      </c>
      <c r="D56" s="6" t="s">
        <v>32</v>
      </c>
      <c r="E56" s="6">
        <v>202833</v>
      </c>
      <c r="F56" s="6" t="s">
        <v>6</v>
      </c>
      <c r="G56" s="6" t="s">
        <v>60</v>
      </c>
      <c r="H56" s="7">
        <v>274472.2</v>
      </c>
      <c r="I56" s="8">
        <v>42381.15</v>
      </c>
      <c r="J56" s="8">
        <v>0</v>
      </c>
      <c r="K56" s="9">
        <f t="shared" si="2"/>
        <v>316853.35000000003</v>
      </c>
      <c r="L56" s="7">
        <v>340510.62</v>
      </c>
      <c r="M56" s="8">
        <v>0</v>
      </c>
      <c r="N56" s="8">
        <v>0</v>
      </c>
      <c r="O56" s="9">
        <f t="shared" si="3"/>
        <v>340510.62</v>
      </c>
      <c r="P56" s="7">
        <f t="shared" si="4"/>
        <v>66038.419999999984</v>
      </c>
      <c r="Q56" s="8">
        <f t="shared" si="5"/>
        <v>-42381.15</v>
      </c>
      <c r="R56" s="8">
        <f t="shared" si="6"/>
        <v>0</v>
      </c>
      <c r="S56" s="9">
        <f t="shared" si="7"/>
        <v>23657.269999999982</v>
      </c>
    </row>
    <row r="57" spans="1:19" x14ac:dyDescent="0.25">
      <c r="A57" s="5" t="s">
        <v>0</v>
      </c>
      <c r="B57" s="6" t="s">
        <v>1</v>
      </c>
      <c r="C57" s="6">
        <v>15635545</v>
      </c>
      <c r="D57" s="6" t="s">
        <v>32</v>
      </c>
      <c r="E57" s="6">
        <v>903431</v>
      </c>
      <c r="F57" s="6" t="s">
        <v>14</v>
      </c>
      <c r="G57" s="6" t="s">
        <v>63</v>
      </c>
      <c r="H57" s="7">
        <v>802714.67</v>
      </c>
      <c r="I57" s="8">
        <v>75970.61</v>
      </c>
      <c r="J57" s="8">
        <v>0</v>
      </c>
      <c r="K57" s="9">
        <f t="shared" si="2"/>
        <v>878685.28</v>
      </c>
      <c r="L57" s="7">
        <v>683195.3</v>
      </c>
      <c r="M57" s="8">
        <v>0</v>
      </c>
      <c r="N57" s="8">
        <v>0</v>
      </c>
      <c r="O57" s="9">
        <f t="shared" si="3"/>
        <v>683195.3</v>
      </c>
      <c r="P57" s="7">
        <f t="shared" si="4"/>
        <v>-119519.37</v>
      </c>
      <c r="Q57" s="8">
        <f t="shared" si="5"/>
        <v>-75970.61</v>
      </c>
      <c r="R57" s="8">
        <f t="shared" si="6"/>
        <v>0</v>
      </c>
      <c r="S57" s="9">
        <f t="shared" si="7"/>
        <v>-195489.97999999998</v>
      </c>
    </row>
    <row r="58" spans="1:19" x14ac:dyDescent="0.25">
      <c r="A58" s="5" t="s">
        <v>0</v>
      </c>
      <c r="B58" s="6" t="s">
        <v>1</v>
      </c>
      <c r="C58" s="6">
        <v>15635550</v>
      </c>
      <c r="D58" s="6" t="s">
        <v>33</v>
      </c>
      <c r="E58" s="6">
        <v>201335</v>
      </c>
      <c r="F58" s="6" t="s">
        <v>8</v>
      </c>
      <c r="G58" s="6" t="s">
        <v>59</v>
      </c>
      <c r="H58" s="7">
        <v>437583.42</v>
      </c>
      <c r="I58" s="8">
        <v>11502.45</v>
      </c>
      <c r="J58" s="8">
        <v>0</v>
      </c>
      <c r="K58" s="9">
        <f t="shared" si="2"/>
        <v>449085.87</v>
      </c>
      <c r="L58" s="7">
        <v>107252.34</v>
      </c>
      <c r="M58" s="8">
        <v>0</v>
      </c>
      <c r="N58" s="8">
        <v>0</v>
      </c>
      <c r="O58" s="9">
        <f t="shared" si="3"/>
        <v>107252.34</v>
      </c>
      <c r="P58" s="7">
        <f t="shared" si="4"/>
        <v>-330331.07999999996</v>
      </c>
      <c r="Q58" s="8">
        <f t="shared" si="5"/>
        <v>-11502.45</v>
      </c>
      <c r="R58" s="8">
        <f t="shared" si="6"/>
        <v>0</v>
      </c>
      <c r="S58" s="9">
        <f t="shared" si="7"/>
        <v>-341833.52999999997</v>
      </c>
    </row>
    <row r="59" spans="1:19" x14ac:dyDescent="0.25">
      <c r="A59" s="5" t="s">
        <v>0</v>
      </c>
      <c r="B59" s="6" t="s">
        <v>1</v>
      </c>
      <c r="C59" s="6">
        <v>15635550</v>
      </c>
      <c r="D59" s="6" t="s">
        <v>33</v>
      </c>
      <c r="E59" s="6">
        <v>201256</v>
      </c>
      <c r="F59" s="6" t="s">
        <v>3</v>
      </c>
      <c r="G59" s="6" t="s">
        <v>58</v>
      </c>
      <c r="H59" s="7">
        <v>132017.04</v>
      </c>
      <c r="I59" s="8">
        <v>1634.33</v>
      </c>
      <c r="J59" s="8">
        <v>0</v>
      </c>
      <c r="K59" s="9">
        <f t="shared" si="2"/>
        <v>133651.37</v>
      </c>
      <c r="L59" s="7">
        <v>518184.84</v>
      </c>
      <c r="M59" s="8">
        <v>0</v>
      </c>
      <c r="N59" s="8">
        <v>0</v>
      </c>
      <c r="O59" s="9">
        <f t="shared" si="3"/>
        <v>518184.84</v>
      </c>
      <c r="P59" s="7">
        <f t="shared" si="4"/>
        <v>386167.80000000005</v>
      </c>
      <c r="Q59" s="8">
        <f t="shared" si="5"/>
        <v>-1634.33</v>
      </c>
      <c r="R59" s="8">
        <f t="shared" si="6"/>
        <v>0</v>
      </c>
      <c r="S59" s="9">
        <f t="shared" si="7"/>
        <v>384533.47000000003</v>
      </c>
    </row>
    <row r="60" spans="1:19" x14ac:dyDescent="0.25">
      <c r="A60" s="5" t="s">
        <v>0</v>
      </c>
      <c r="B60" s="6" t="s">
        <v>1</v>
      </c>
      <c r="C60" s="6">
        <v>15635550</v>
      </c>
      <c r="D60" s="6" t="s">
        <v>33</v>
      </c>
      <c r="E60" s="6">
        <v>202833</v>
      </c>
      <c r="F60" s="6" t="s">
        <v>6</v>
      </c>
      <c r="G60" s="6" t="s">
        <v>60</v>
      </c>
      <c r="H60" s="7">
        <v>183105.07</v>
      </c>
      <c r="I60" s="8">
        <v>1395.31</v>
      </c>
      <c r="J60" s="8">
        <v>0</v>
      </c>
      <c r="K60" s="9">
        <f t="shared" si="2"/>
        <v>184500.38</v>
      </c>
      <c r="L60" s="7">
        <v>185573.42</v>
      </c>
      <c r="M60" s="8">
        <v>0</v>
      </c>
      <c r="N60" s="8">
        <v>0</v>
      </c>
      <c r="O60" s="9">
        <f t="shared" si="3"/>
        <v>185573.42</v>
      </c>
      <c r="P60" s="7">
        <f t="shared" si="4"/>
        <v>2468.3500000000058</v>
      </c>
      <c r="Q60" s="8">
        <f t="shared" si="5"/>
        <v>-1395.31</v>
      </c>
      <c r="R60" s="8">
        <f t="shared" si="6"/>
        <v>0</v>
      </c>
      <c r="S60" s="9">
        <f t="shared" si="7"/>
        <v>1073.0400000000059</v>
      </c>
    </row>
    <row r="61" spans="1:19" x14ac:dyDescent="0.25">
      <c r="A61" s="5" t="s">
        <v>0</v>
      </c>
      <c r="B61" s="6" t="s">
        <v>1</v>
      </c>
      <c r="C61" s="6">
        <v>15635550</v>
      </c>
      <c r="D61" s="6" t="s">
        <v>33</v>
      </c>
      <c r="E61" s="6">
        <v>203225</v>
      </c>
      <c r="F61" s="6" t="s">
        <v>13</v>
      </c>
      <c r="G61" s="6" t="s">
        <v>62</v>
      </c>
      <c r="H61" s="7">
        <v>0</v>
      </c>
      <c r="I61" s="8">
        <v>0</v>
      </c>
      <c r="J61" s="8">
        <f>123+1260</f>
        <v>1383</v>
      </c>
      <c r="K61" s="9">
        <f t="shared" si="2"/>
        <v>1383</v>
      </c>
      <c r="L61" s="7">
        <v>0</v>
      </c>
      <c r="M61" s="8">
        <v>0</v>
      </c>
      <c r="N61" s="8">
        <v>0</v>
      </c>
      <c r="O61" s="9">
        <f t="shared" si="3"/>
        <v>0</v>
      </c>
      <c r="P61" s="7">
        <f t="shared" si="4"/>
        <v>0</v>
      </c>
      <c r="Q61" s="8">
        <f t="shared" si="5"/>
        <v>0</v>
      </c>
      <c r="R61" s="8">
        <f t="shared" si="6"/>
        <v>-1383</v>
      </c>
      <c r="S61" s="9">
        <f t="shared" si="7"/>
        <v>-1383</v>
      </c>
    </row>
    <row r="62" spans="1:19" x14ac:dyDescent="0.25">
      <c r="A62" s="5" t="s">
        <v>0</v>
      </c>
      <c r="B62" s="6" t="s">
        <v>1</v>
      </c>
      <c r="C62" s="6">
        <v>15638045</v>
      </c>
      <c r="D62" s="6" t="s">
        <v>34</v>
      </c>
      <c r="E62" s="6">
        <v>201335</v>
      </c>
      <c r="F62" s="6" t="s">
        <v>8</v>
      </c>
      <c r="G62" s="6" t="s">
        <v>59</v>
      </c>
      <c r="H62" s="7">
        <v>1041072.65</v>
      </c>
      <c r="I62" s="8">
        <v>57766.98</v>
      </c>
      <c r="J62" s="8">
        <v>0</v>
      </c>
      <c r="K62" s="9">
        <f t="shared" si="2"/>
        <v>1098839.6300000001</v>
      </c>
      <c r="L62" s="7">
        <v>1031112.4</v>
      </c>
      <c r="M62" s="8">
        <v>0</v>
      </c>
      <c r="N62" s="8">
        <v>0</v>
      </c>
      <c r="O62" s="9">
        <f t="shared" si="3"/>
        <v>1031112.4</v>
      </c>
      <c r="P62" s="7">
        <f t="shared" si="4"/>
        <v>-9960.25</v>
      </c>
      <c r="Q62" s="8">
        <f t="shared" si="5"/>
        <v>-57766.98</v>
      </c>
      <c r="R62" s="8">
        <f t="shared" si="6"/>
        <v>0</v>
      </c>
      <c r="S62" s="9">
        <f t="shared" si="7"/>
        <v>-67727.23000000001</v>
      </c>
    </row>
    <row r="63" spans="1:19" x14ac:dyDescent="0.25">
      <c r="A63" s="5" t="s">
        <v>0</v>
      </c>
      <c r="B63" s="6" t="s">
        <v>1</v>
      </c>
      <c r="C63" s="6">
        <v>15638045</v>
      </c>
      <c r="D63" s="6" t="s">
        <v>34</v>
      </c>
      <c r="E63" s="6">
        <v>201256</v>
      </c>
      <c r="F63" s="6" t="s">
        <v>3</v>
      </c>
      <c r="G63" s="6" t="s">
        <v>58</v>
      </c>
      <c r="H63" s="7">
        <v>275102.84000000003</v>
      </c>
      <c r="I63" s="8">
        <v>4171.37</v>
      </c>
      <c r="J63" s="8">
        <v>0</v>
      </c>
      <c r="K63" s="9">
        <f t="shared" si="2"/>
        <v>279274.21000000002</v>
      </c>
      <c r="L63" s="7">
        <v>275374.40000000002</v>
      </c>
      <c r="M63" s="8">
        <v>0</v>
      </c>
      <c r="N63" s="8">
        <v>0</v>
      </c>
      <c r="O63" s="9">
        <f t="shared" si="3"/>
        <v>275374.40000000002</v>
      </c>
      <c r="P63" s="7">
        <f t="shared" si="4"/>
        <v>271.55999999999767</v>
      </c>
      <c r="Q63" s="8">
        <f t="shared" si="5"/>
        <v>-4171.37</v>
      </c>
      <c r="R63" s="8">
        <f t="shared" si="6"/>
        <v>0</v>
      </c>
      <c r="S63" s="9">
        <f t="shared" si="7"/>
        <v>-3899.8100000000022</v>
      </c>
    </row>
    <row r="64" spans="1:19" x14ac:dyDescent="0.25">
      <c r="A64" s="5" t="s">
        <v>0</v>
      </c>
      <c r="B64" s="6" t="s">
        <v>1</v>
      </c>
      <c r="C64" s="6">
        <v>15638045</v>
      </c>
      <c r="D64" s="6" t="s">
        <v>34</v>
      </c>
      <c r="E64" s="6">
        <v>202833</v>
      </c>
      <c r="F64" s="6" t="s">
        <v>6</v>
      </c>
      <c r="G64" s="6" t="s">
        <v>60</v>
      </c>
      <c r="H64" s="7">
        <v>159435.72</v>
      </c>
      <c r="I64" s="8">
        <v>1578.83</v>
      </c>
      <c r="J64" s="8">
        <v>0</v>
      </c>
      <c r="K64" s="9">
        <f t="shared" si="2"/>
        <v>161014.54999999999</v>
      </c>
      <c r="L64" s="7">
        <v>168974.02</v>
      </c>
      <c r="M64" s="8">
        <v>0</v>
      </c>
      <c r="N64" s="8">
        <v>0</v>
      </c>
      <c r="O64" s="9">
        <f t="shared" si="3"/>
        <v>168974.02</v>
      </c>
      <c r="P64" s="7">
        <f t="shared" si="4"/>
        <v>9538.2999999999884</v>
      </c>
      <c r="Q64" s="8">
        <f t="shared" si="5"/>
        <v>-1578.83</v>
      </c>
      <c r="R64" s="8">
        <f t="shared" si="6"/>
        <v>0</v>
      </c>
      <c r="S64" s="9">
        <f t="shared" si="7"/>
        <v>7959.4699999999884</v>
      </c>
    </row>
    <row r="65" spans="1:19" x14ac:dyDescent="0.25">
      <c r="A65" s="5" t="s">
        <v>0</v>
      </c>
      <c r="B65" s="6" t="s">
        <v>1</v>
      </c>
      <c r="C65" s="6">
        <v>15638045</v>
      </c>
      <c r="D65" s="6" t="s">
        <v>34</v>
      </c>
      <c r="E65" s="6">
        <v>203224</v>
      </c>
      <c r="F65" s="6" t="s">
        <v>12</v>
      </c>
      <c r="G65" s="6" t="s">
        <v>61</v>
      </c>
      <c r="H65" s="7">
        <v>0</v>
      </c>
      <c r="I65" s="8">
        <v>0</v>
      </c>
      <c r="J65" s="8">
        <f>958+5702.18</f>
        <v>6660.18</v>
      </c>
      <c r="K65" s="9">
        <f t="shared" si="2"/>
        <v>6660.18</v>
      </c>
      <c r="L65" s="7">
        <v>0</v>
      </c>
      <c r="M65" s="8">
        <v>0</v>
      </c>
      <c r="N65" s="8">
        <v>0</v>
      </c>
      <c r="O65" s="9">
        <f t="shared" si="3"/>
        <v>0</v>
      </c>
      <c r="P65" s="7">
        <f t="shared" si="4"/>
        <v>0</v>
      </c>
      <c r="Q65" s="8">
        <f t="shared" si="5"/>
        <v>0</v>
      </c>
      <c r="R65" s="8">
        <f t="shared" si="6"/>
        <v>-6660.18</v>
      </c>
      <c r="S65" s="9">
        <f t="shared" si="7"/>
        <v>-6660.18</v>
      </c>
    </row>
    <row r="66" spans="1:19" x14ac:dyDescent="0.25">
      <c r="A66" s="5" t="s">
        <v>0</v>
      </c>
      <c r="B66" s="6" t="s">
        <v>1</v>
      </c>
      <c r="C66" s="6">
        <v>15638045</v>
      </c>
      <c r="D66" s="6" t="s">
        <v>34</v>
      </c>
      <c r="E66" s="6">
        <v>903431</v>
      </c>
      <c r="F66" s="6" t="s">
        <v>14</v>
      </c>
      <c r="G66" s="6" t="s">
        <v>63</v>
      </c>
      <c r="H66" s="7">
        <v>147222.21</v>
      </c>
      <c r="I66" s="8">
        <v>7852.64</v>
      </c>
      <c r="J66" s="8">
        <v>0</v>
      </c>
      <c r="K66" s="9">
        <f t="shared" si="2"/>
        <v>155074.85</v>
      </c>
      <c r="L66" s="7">
        <v>149555.01999999999</v>
      </c>
      <c r="M66" s="8">
        <v>0</v>
      </c>
      <c r="N66" s="8">
        <v>0</v>
      </c>
      <c r="O66" s="9">
        <f t="shared" si="3"/>
        <v>149555.01999999999</v>
      </c>
      <c r="P66" s="7">
        <f t="shared" si="4"/>
        <v>2332.8099999999977</v>
      </c>
      <c r="Q66" s="8">
        <f t="shared" si="5"/>
        <v>-7852.64</v>
      </c>
      <c r="R66" s="8">
        <f t="shared" si="6"/>
        <v>0</v>
      </c>
      <c r="S66" s="9">
        <f t="shared" si="7"/>
        <v>-5519.8300000000027</v>
      </c>
    </row>
    <row r="67" spans="1:19" x14ac:dyDescent="0.25">
      <c r="A67" s="5" t="s">
        <v>0</v>
      </c>
      <c r="B67" s="6" t="s">
        <v>1</v>
      </c>
      <c r="C67" s="6">
        <v>15638045</v>
      </c>
      <c r="D67" s="6" t="s">
        <v>34</v>
      </c>
      <c r="E67" s="6">
        <v>203060</v>
      </c>
      <c r="F67" s="6" t="s">
        <v>28</v>
      </c>
      <c r="G67" s="6" t="s">
        <v>60</v>
      </c>
      <c r="H67" s="7">
        <v>194259.25</v>
      </c>
      <c r="I67" s="8">
        <v>0</v>
      </c>
      <c r="J67" s="8">
        <v>0</v>
      </c>
      <c r="K67" s="9">
        <f t="shared" si="2"/>
        <v>194259.25</v>
      </c>
      <c r="L67" s="7">
        <v>187729.54</v>
      </c>
      <c r="M67" s="8">
        <v>0</v>
      </c>
      <c r="N67" s="8">
        <v>0</v>
      </c>
      <c r="O67" s="9">
        <f t="shared" si="3"/>
        <v>187729.54</v>
      </c>
      <c r="P67" s="7">
        <f t="shared" si="4"/>
        <v>-6529.7099999999919</v>
      </c>
      <c r="Q67" s="8">
        <f t="shared" si="5"/>
        <v>0</v>
      </c>
      <c r="R67" s="8">
        <f t="shared" si="6"/>
        <v>0</v>
      </c>
      <c r="S67" s="9">
        <f t="shared" si="7"/>
        <v>-6529.7099999999919</v>
      </c>
    </row>
    <row r="68" spans="1:19" x14ac:dyDescent="0.25">
      <c r="A68" s="5" t="s">
        <v>0</v>
      </c>
      <c r="B68" s="6" t="s">
        <v>1</v>
      </c>
      <c r="C68" s="6">
        <v>15652045</v>
      </c>
      <c r="D68" s="6" t="s">
        <v>35</v>
      </c>
      <c r="E68" s="6">
        <v>201335</v>
      </c>
      <c r="F68" s="6" t="s">
        <v>8</v>
      </c>
      <c r="G68" s="6" t="s">
        <v>59</v>
      </c>
      <c r="H68" s="7">
        <v>1828663.92</v>
      </c>
      <c r="I68" s="8">
        <v>180800.86</v>
      </c>
      <c r="J68" s="8">
        <v>0</v>
      </c>
      <c r="K68" s="9">
        <f t="shared" si="2"/>
        <v>2009464.7799999998</v>
      </c>
      <c r="L68" s="7">
        <v>2156865.7200000002</v>
      </c>
      <c r="M68" s="8">
        <v>0</v>
      </c>
      <c r="N68" s="8">
        <v>0</v>
      </c>
      <c r="O68" s="9">
        <f t="shared" si="3"/>
        <v>2156865.7200000002</v>
      </c>
      <c r="P68" s="7">
        <f t="shared" si="4"/>
        <v>328201.80000000028</v>
      </c>
      <c r="Q68" s="8">
        <f t="shared" si="5"/>
        <v>-180800.86</v>
      </c>
      <c r="R68" s="8">
        <f t="shared" si="6"/>
        <v>0</v>
      </c>
      <c r="S68" s="9">
        <f t="shared" si="7"/>
        <v>147400.94000000029</v>
      </c>
    </row>
    <row r="69" spans="1:19" x14ac:dyDescent="0.25">
      <c r="A69" s="5" t="s">
        <v>0</v>
      </c>
      <c r="B69" s="6" t="s">
        <v>1</v>
      </c>
      <c r="C69" s="6">
        <v>15652045</v>
      </c>
      <c r="D69" s="6" t="s">
        <v>35</v>
      </c>
      <c r="E69" s="6">
        <v>108106</v>
      </c>
      <c r="F69" s="6" t="s">
        <v>3</v>
      </c>
      <c r="G69" s="6" t="s">
        <v>58</v>
      </c>
      <c r="H69" s="7">
        <v>135657</v>
      </c>
      <c r="I69" s="8">
        <v>797.99</v>
      </c>
      <c r="J69" s="8">
        <v>0</v>
      </c>
      <c r="K69" s="9">
        <f t="shared" si="2"/>
        <v>136454.99</v>
      </c>
      <c r="L69" s="7">
        <v>125299.87</v>
      </c>
      <c r="M69" s="8">
        <v>0</v>
      </c>
      <c r="N69" s="8">
        <v>0</v>
      </c>
      <c r="O69" s="9">
        <f t="shared" si="3"/>
        <v>125299.87</v>
      </c>
      <c r="P69" s="7">
        <f t="shared" si="4"/>
        <v>-10357.130000000005</v>
      </c>
      <c r="Q69" s="8">
        <f t="shared" si="5"/>
        <v>-797.99</v>
      </c>
      <c r="R69" s="8">
        <f t="shared" si="6"/>
        <v>0</v>
      </c>
      <c r="S69" s="9">
        <f t="shared" si="7"/>
        <v>-11155.120000000004</v>
      </c>
    </row>
    <row r="70" spans="1:19" x14ac:dyDescent="0.25">
      <c r="A70" s="5" t="s">
        <v>0</v>
      </c>
      <c r="B70" s="6" t="s">
        <v>1</v>
      </c>
      <c r="C70" s="6">
        <v>15652045</v>
      </c>
      <c r="D70" s="6" t="s">
        <v>35</v>
      </c>
      <c r="E70" s="6">
        <v>108107</v>
      </c>
      <c r="F70" s="6" t="s">
        <v>4</v>
      </c>
      <c r="G70" s="6" t="s">
        <v>58</v>
      </c>
      <c r="H70" s="7">
        <v>70</v>
      </c>
      <c r="I70" s="8">
        <v>0</v>
      </c>
      <c r="J70" s="8">
        <v>0</v>
      </c>
      <c r="K70" s="9">
        <f t="shared" si="2"/>
        <v>70</v>
      </c>
      <c r="L70" s="7">
        <v>0</v>
      </c>
      <c r="M70" s="8">
        <v>0</v>
      </c>
      <c r="N70" s="8">
        <v>0</v>
      </c>
      <c r="O70" s="9">
        <f t="shared" si="3"/>
        <v>0</v>
      </c>
      <c r="P70" s="7">
        <f t="shared" si="4"/>
        <v>-70</v>
      </c>
      <c r="Q70" s="8">
        <f t="shared" si="5"/>
        <v>0</v>
      </c>
      <c r="R70" s="8">
        <f t="shared" si="6"/>
        <v>0</v>
      </c>
      <c r="S70" s="9">
        <f t="shared" si="7"/>
        <v>-70</v>
      </c>
    </row>
    <row r="71" spans="1:19" x14ac:dyDescent="0.25">
      <c r="A71" s="5" t="s">
        <v>0</v>
      </c>
      <c r="B71" s="6" t="s">
        <v>1</v>
      </c>
      <c r="C71" s="6">
        <v>15652045</v>
      </c>
      <c r="D71" s="6" t="s">
        <v>35</v>
      </c>
      <c r="E71" s="6">
        <v>201256</v>
      </c>
      <c r="F71" s="6" t="s">
        <v>3</v>
      </c>
      <c r="G71" s="6" t="s">
        <v>58</v>
      </c>
      <c r="H71" s="7">
        <v>165936.54</v>
      </c>
      <c r="I71" s="8">
        <v>23833.77</v>
      </c>
      <c r="J71" s="8">
        <v>0</v>
      </c>
      <c r="K71" s="9">
        <f t="shared" si="2"/>
        <v>189770.31</v>
      </c>
      <c r="L71" s="7">
        <v>122070.8</v>
      </c>
      <c r="M71" s="8">
        <v>0</v>
      </c>
      <c r="N71" s="8">
        <v>0</v>
      </c>
      <c r="O71" s="9">
        <f t="shared" si="3"/>
        <v>122070.8</v>
      </c>
      <c r="P71" s="7">
        <f t="shared" si="4"/>
        <v>-43865.740000000005</v>
      </c>
      <c r="Q71" s="8">
        <f t="shared" si="5"/>
        <v>-23833.77</v>
      </c>
      <c r="R71" s="8">
        <f t="shared" si="6"/>
        <v>0</v>
      </c>
      <c r="S71" s="9">
        <f t="shared" si="7"/>
        <v>-67699.510000000009</v>
      </c>
    </row>
    <row r="72" spans="1:19" x14ac:dyDescent="0.25">
      <c r="A72" s="5" t="s">
        <v>0</v>
      </c>
      <c r="B72" s="6" t="s">
        <v>1</v>
      </c>
      <c r="C72" s="6">
        <v>15652045</v>
      </c>
      <c r="D72" s="6" t="s">
        <v>35</v>
      </c>
      <c r="E72" s="6">
        <v>202833</v>
      </c>
      <c r="F72" s="6" t="s">
        <v>6</v>
      </c>
      <c r="G72" s="6" t="s">
        <v>60</v>
      </c>
      <c r="H72" s="7">
        <v>368125.97</v>
      </c>
      <c r="I72" s="8">
        <v>63303.12</v>
      </c>
      <c r="J72" s="8">
        <v>0</v>
      </c>
      <c r="K72" s="9">
        <f t="shared" ref="K72:K84" si="8">SUM(H72:J72)</f>
        <v>431429.08999999997</v>
      </c>
      <c r="L72" s="7">
        <v>389063.24</v>
      </c>
      <c r="M72" s="8">
        <v>0</v>
      </c>
      <c r="N72" s="8">
        <v>0</v>
      </c>
      <c r="O72" s="9">
        <f t="shared" ref="O72:O84" si="9">SUM(L72:N72)</f>
        <v>389063.24</v>
      </c>
      <c r="P72" s="7">
        <f t="shared" ref="P72:P84" si="10">L72-H72</f>
        <v>20937.270000000019</v>
      </c>
      <c r="Q72" s="8">
        <f t="shared" ref="Q72:Q84" si="11">M72-I72</f>
        <v>-63303.12</v>
      </c>
      <c r="R72" s="8">
        <f t="shared" ref="R72:R84" si="12">N72-J72</f>
        <v>0</v>
      </c>
      <c r="S72" s="9">
        <f t="shared" ref="S72:S84" si="13">SUM(P72:R72)</f>
        <v>-42365.849999999984</v>
      </c>
    </row>
    <row r="73" spans="1:19" x14ac:dyDescent="0.25">
      <c r="A73" s="5" t="s">
        <v>0</v>
      </c>
      <c r="B73" s="6" t="s">
        <v>1</v>
      </c>
      <c r="C73" s="6">
        <v>15652045</v>
      </c>
      <c r="D73" s="6" t="s">
        <v>35</v>
      </c>
      <c r="E73" s="6">
        <v>101023</v>
      </c>
      <c r="F73" s="6" t="s">
        <v>36</v>
      </c>
      <c r="G73" s="6" t="s">
        <v>9</v>
      </c>
      <c r="H73" s="7">
        <v>46250</v>
      </c>
      <c r="I73" s="8">
        <v>0</v>
      </c>
      <c r="J73" s="8">
        <v>0</v>
      </c>
      <c r="K73" s="9">
        <f t="shared" si="8"/>
        <v>46250</v>
      </c>
      <c r="L73" s="7">
        <v>0</v>
      </c>
      <c r="M73" s="8">
        <v>0</v>
      </c>
      <c r="N73" s="8">
        <v>0</v>
      </c>
      <c r="O73" s="9">
        <f t="shared" si="9"/>
        <v>0</v>
      </c>
      <c r="P73" s="7">
        <f t="shared" si="10"/>
        <v>-46250</v>
      </c>
      <c r="Q73" s="8">
        <f t="shared" si="11"/>
        <v>0</v>
      </c>
      <c r="R73" s="8">
        <f t="shared" si="12"/>
        <v>0</v>
      </c>
      <c r="S73" s="9">
        <f t="shared" si="13"/>
        <v>-46250</v>
      </c>
    </row>
    <row r="74" spans="1:19" x14ac:dyDescent="0.25">
      <c r="A74" s="5" t="s">
        <v>0</v>
      </c>
      <c r="B74" s="6" t="s">
        <v>1</v>
      </c>
      <c r="C74" s="6">
        <v>15652045</v>
      </c>
      <c r="D74" s="6" t="s">
        <v>35</v>
      </c>
      <c r="E74" s="6">
        <v>101024</v>
      </c>
      <c r="F74" s="6" t="s">
        <v>37</v>
      </c>
      <c r="G74" s="6" t="s">
        <v>9</v>
      </c>
      <c r="H74" s="7">
        <v>3900</v>
      </c>
      <c r="I74" s="8">
        <v>0</v>
      </c>
      <c r="J74" s="8">
        <v>0</v>
      </c>
      <c r="K74" s="9">
        <f t="shared" si="8"/>
        <v>3900</v>
      </c>
      <c r="L74" s="7">
        <v>0</v>
      </c>
      <c r="M74" s="8">
        <v>0</v>
      </c>
      <c r="N74" s="8">
        <v>0</v>
      </c>
      <c r="O74" s="9">
        <f t="shared" si="9"/>
        <v>0</v>
      </c>
      <c r="P74" s="7">
        <f t="shared" si="10"/>
        <v>-3900</v>
      </c>
      <c r="Q74" s="8">
        <f t="shared" si="11"/>
        <v>0</v>
      </c>
      <c r="R74" s="8">
        <f t="shared" si="12"/>
        <v>0</v>
      </c>
      <c r="S74" s="9">
        <f t="shared" si="13"/>
        <v>-3900</v>
      </c>
    </row>
    <row r="75" spans="1:19" x14ac:dyDescent="0.25">
      <c r="A75" s="5" t="s">
        <v>0</v>
      </c>
      <c r="B75" s="6" t="s">
        <v>1</v>
      </c>
      <c r="C75" s="6">
        <v>15652045</v>
      </c>
      <c r="D75" s="6" t="s">
        <v>35</v>
      </c>
      <c r="E75" s="6">
        <v>203139</v>
      </c>
      <c r="F75" s="6" t="s">
        <v>3</v>
      </c>
      <c r="G75" s="6" t="s">
        <v>58</v>
      </c>
      <c r="H75" s="7">
        <v>35700</v>
      </c>
      <c r="I75" s="8">
        <v>0</v>
      </c>
      <c r="J75" s="8">
        <v>0</v>
      </c>
      <c r="K75" s="9">
        <f t="shared" si="8"/>
        <v>35700</v>
      </c>
      <c r="L75" s="7">
        <v>0</v>
      </c>
      <c r="M75" s="8">
        <v>0</v>
      </c>
      <c r="N75" s="8">
        <v>0</v>
      </c>
      <c r="O75" s="9">
        <f t="shared" si="9"/>
        <v>0</v>
      </c>
      <c r="P75" s="7">
        <f t="shared" si="10"/>
        <v>-35700</v>
      </c>
      <c r="Q75" s="8">
        <f t="shared" si="11"/>
        <v>0</v>
      </c>
      <c r="R75" s="8">
        <f t="shared" si="12"/>
        <v>0</v>
      </c>
      <c r="S75" s="9">
        <f t="shared" si="13"/>
        <v>-35700</v>
      </c>
    </row>
    <row r="76" spans="1:19" x14ac:dyDescent="0.25">
      <c r="A76" s="5" t="s">
        <v>0</v>
      </c>
      <c r="B76" s="6" t="s">
        <v>1</v>
      </c>
      <c r="C76" s="6">
        <v>15652045</v>
      </c>
      <c r="D76" s="6" t="s">
        <v>35</v>
      </c>
      <c r="E76" s="6">
        <v>203224</v>
      </c>
      <c r="F76" s="6" t="s">
        <v>12</v>
      </c>
      <c r="G76" s="6" t="s">
        <v>61</v>
      </c>
      <c r="H76" s="7">
        <v>0</v>
      </c>
      <c r="I76" s="8">
        <v>0</v>
      </c>
      <c r="J76" s="8">
        <f>55813+469983.55</f>
        <v>525796.55000000005</v>
      </c>
      <c r="K76" s="9">
        <f t="shared" si="8"/>
        <v>525796.55000000005</v>
      </c>
      <c r="L76" s="7">
        <v>0</v>
      </c>
      <c r="M76" s="8">
        <v>0</v>
      </c>
      <c r="N76" s="8">
        <f>81221+275528.14</f>
        <v>356749.14</v>
      </c>
      <c r="O76" s="9">
        <f t="shared" si="9"/>
        <v>356749.14</v>
      </c>
      <c r="P76" s="7">
        <f t="shared" si="10"/>
        <v>0</v>
      </c>
      <c r="Q76" s="8">
        <f t="shared" si="11"/>
        <v>0</v>
      </c>
      <c r="R76" s="8">
        <f t="shared" si="12"/>
        <v>-169047.41000000003</v>
      </c>
      <c r="S76" s="9">
        <f t="shared" si="13"/>
        <v>-169047.41000000003</v>
      </c>
    </row>
    <row r="77" spans="1:19" x14ac:dyDescent="0.25">
      <c r="A77" s="5" t="s">
        <v>0</v>
      </c>
      <c r="B77" s="6" t="s">
        <v>1</v>
      </c>
      <c r="C77" s="6">
        <v>15652045</v>
      </c>
      <c r="D77" s="6" t="s">
        <v>35</v>
      </c>
      <c r="E77" s="6">
        <v>203225</v>
      </c>
      <c r="F77" s="6" t="s">
        <v>13</v>
      </c>
      <c r="G77" s="6" t="s">
        <v>62</v>
      </c>
      <c r="H77" s="7">
        <v>0</v>
      </c>
      <c r="I77" s="8">
        <v>0</v>
      </c>
      <c r="J77" s="8">
        <v>65193.75</v>
      </c>
      <c r="K77" s="9">
        <f t="shared" si="8"/>
        <v>65193.75</v>
      </c>
      <c r="L77" s="7">
        <v>0</v>
      </c>
      <c r="M77" s="8">
        <v>0</v>
      </c>
      <c r="N77" s="8">
        <v>0</v>
      </c>
      <c r="O77" s="9">
        <f t="shared" si="9"/>
        <v>0</v>
      </c>
      <c r="P77" s="7">
        <f t="shared" si="10"/>
        <v>0</v>
      </c>
      <c r="Q77" s="8">
        <f t="shared" si="11"/>
        <v>0</v>
      </c>
      <c r="R77" s="8">
        <f t="shared" si="12"/>
        <v>-65193.75</v>
      </c>
      <c r="S77" s="9">
        <f t="shared" si="13"/>
        <v>-65193.75</v>
      </c>
    </row>
    <row r="78" spans="1:19" x14ac:dyDescent="0.25">
      <c r="A78" s="5" t="s">
        <v>0</v>
      </c>
      <c r="B78" s="6" t="s">
        <v>1</v>
      </c>
      <c r="C78" s="6">
        <v>15652045</v>
      </c>
      <c r="D78" s="6" t="s">
        <v>35</v>
      </c>
      <c r="E78" s="6">
        <v>903431</v>
      </c>
      <c r="F78" s="6" t="s">
        <v>14</v>
      </c>
      <c r="G78" s="6" t="s">
        <v>63</v>
      </c>
      <c r="H78" s="7">
        <v>725622.68</v>
      </c>
      <c r="I78" s="8">
        <v>113682.54</v>
      </c>
      <c r="J78" s="8">
        <v>0</v>
      </c>
      <c r="K78" s="9">
        <f t="shared" si="8"/>
        <v>839305.22000000009</v>
      </c>
      <c r="L78" s="7">
        <v>1046454.14</v>
      </c>
      <c r="M78" s="8">
        <v>0</v>
      </c>
      <c r="N78" s="8">
        <v>0</v>
      </c>
      <c r="O78" s="9">
        <f t="shared" si="9"/>
        <v>1046454.14</v>
      </c>
      <c r="P78" s="7">
        <f t="shared" si="10"/>
        <v>320831.45999999996</v>
      </c>
      <c r="Q78" s="8">
        <f t="shared" si="11"/>
        <v>-113682.54</v>
      </c>
      <c r="R78" s="8">
        <f t="shared" si="12"/>
        <v>0</v>
      </c>
      <c r="S78" s="9">
        <f t="shared" si="13"/>
        <v>207148.91999999998</v>
      </c>
    </row>
    <row r="79" spans="1:19" x14ac:dyDescent="0.25">
      <c r="A79" s="5" t="s">
        <v>0</v>
      </c>
      <c r="B79" s="6" t="s">
        <v>1</v>
      </c>
      <c r="C79" s="6">
        <v>15652045</v>
      </c>
      <c r="D79" s="6" t="s">
        <v>35</v>
      </c>
      <c r="E79" s="6">
        <v>203164</v>
      </c>
      <c r="F79" s="6" t="s">
        <v>38</v>
      </c>
      <c r="G79" s="6" t="s">
        <v>59</v>
      </c>
      <c r="H79" s="7">
        <v>14441.25</v>
      </c>
      <c r="I79" s="8">
        <v>0</v>
      </c>
      <c r="J79" s="8">
        <v>0</v>
      </c>
      <c r="K79" s="9">
        <f t="shared" si="8"/>
        <v>14441.25</v>
      </c>
      <c r="L79" s="7">
        <v>0</v>
      </c>
      <c r="M79" s="8">
        <v>0</v>
      </c>
      <c r="N79" s="8">
        <v>0</v>
      </c>
      <c r="O79" s="9">
        <f t="shared" si="9"/>
        <v>0</v>
      </c>
      <c r="P79" s="7">
        <f t="shared" si="10"/>
        <v>-14441.25</v>
      </c>
      <c r="Q79" s="8">
        <f t="shared" si="11"/>
        <v>0</v>
      </c>
      <c r="R79" s="8">
        <f t="shared" si="12"/>
        <v>0</v>
      </c>
      <c r="S79" s="9">
        <f t="shared" si="13"/>
        <v>-14441.25</v>
      </c>
    </row>
    <row r="80" spans="1:19" x14ac:dyDescent="0.25">
      <c r="A80" s="5" t="s">
        <v>0</v>
      </c>
      <c r="B80" s="6" t="s">
        <v>1</v>
      </c>
      <c r="C80" s="6">
        <v>15652045</v>
      </c>
      <c r="D80" s="6" t="s">
        <v>35</v>
      </c>
      <c r="E80" s="6">
        <v>204891</v>
      </c>
      <c r="F80" s="6" t="s">
        <v>39</v>
      </c>
      <c r="G80" s="6" t="s">
        <v>59</v>
      </c>
      <c r="H80" s="7">
        <v>28406.25</v>
      </c>
      <c r="I80" s="8">
        <v>0</v>
      </c>
      <c r="J80" s="8">
        <v>0</v>
      </c>
      <c r="K80" s="9">
        <f t="shared" si="8"/>
        <v>28406.25</v>
      </c>
      <c r="L80" s="7">
        <v>0</v>
      </c>
      <c r="M80" s="8">
        <v>0</v>
      </c>
      <c r="N80" s="8">
        <v>0</v>
      </c>
      <c r="O80" s="9">
        <f t="shared" si="9"/>
        <v>0</v>
      </c>
      <c r="P80" s="7">
        <f t="shared" si="10"/>
        <v>-28406.25</v>
      </c>
      <c r="Q80" s="8">
        <f t="shared" si="11"/>
        <v>0</v>
      </c>
      <c r="R80" s="8">
        <f t="shared" si="12"/>
        <v>0</v>
      </c>
      <c r="S80" s="9">
        <f t="shared" si="13"/>
        <v>-28406.25</v>
      </c>
    </row>
    <row r="81" spans="1:19" x14ac:dyDescent="0.25">
      <c r="A81" s="5" t="s">
        <v>0</v>
      </c>
      <c r="B81" s="6" t="s">
        <v>1</v>
      </c>
      <c r="C81" s="6">
        <v>15652065</v>
      </c>
      <c r="D81" s="6" t="s">
        <v>40</v>
      </c>
      <c r="E81" s="6">
        <v>201335</v>
      </c>
      <c r="F81" s="6" t="s">
        <v>8</v>
      </c>
      <c r="G81" s="6" t="s">
        <v>59</v>
      </c>
      <c r="H81" s="7">
        <v>188889.33</v>
      </c>
      <c r="I81" s="8">
        <v>2034.19</v>
      </c>
      <c r="J81" s="8">
        <v>0</v>
      </c>
      <c r="K81" s="9">
        <f t="shared" si="8"/>
        <v>190923.51999999999</v>
      </c>
      <c r="L81" s="7">
        <v>297757.06</v>
      </c>
      <c r="M81" s="8">
        <v>0</v>
      </c>
      <c r="N81" s="8">
        <v>0</v>
      </c>
      <c r="O81" s="9">
        <f t="shared" si="9"/>
        <v>297757.06</v>
      </c>
      <c r="P81" s="7">
        <f t="shared" si="10"/>
        <v>108867.73000000001</v>
      </c>
      <c r="Q81" s="8">
        <f t="shared" si="11"/>
        <v>-2034.19</v>
      </c>
      <c r="R81" s="8">
        <f t="shared" si="12"/>
        <v>0</v>
      </c>
      <c r="S81" s="9">
        <f t="shared" si="13"/>
        <v>106833.54000000001</v>
      </c>
    </row>
    <row r="82" spans="1:19" x14ac:dyDescent="0.25">
      <c r="A82" s="5" t="s">
        <v>0</v>
      </c>
      <c r="B82" s="6" t="s">
        <v>1</v>
      </c>
      <c r="C82" s="6">
        <v>15652065</v>
      </c>
      <c r="D82" s="6" t="s">
        <v>40</v>
      </c>
      <c r="E82" s="6">
        <v>201256</v>
      </c>
      <c r="F82" s="6" t="s">
        <v>3</v>
      </c>
      <c r="G82" s="6" t="s">
        <v>58</v>
      </c>
      <c r="H82" s="7">
        <v>170599.03</v>
      </c>
      <c r="I82" s="8">
        <v>4061.09</v>
      </c>
      <c r="J82" s="8">
        <v>0</v>
      </c>
      <c r="K82" s="9">
        <f t="shared" si="8"/>
        <v>174660.12</v>
      </c>
      <c r="L82" s="7">
        <v>80446.97</v>
      </c>
      <c r="M82" s="8">
        <v>0</v>
      </c>
      <c r="N82" s="8">
        <v>0</v>
      </c>
      <c r="O82" s="9">
        <f t="shared" si="9"/>
        <v>80446.97</v>
      </c>
      <c r="P82" s="7">
        <f t="shared" si="10"/>
        <v>-90152.06</v>
      </c>
      <c r="Q82" s="8">
        <f t="shared" si="11"/>
        <v>-4061.09</v>
      </c>
      <c r="R82" s="8">
        <f t="shared" si="12"/>
        <v>0</v>
      </c>
      <c r="S82" s="9">
        <f t="shared" si="13"/>
        <v>-94213.15</v>
      </c>
    </row>
    <row r="83" spans="1:19" x14ac:dyDescent="0.25">
      <c r="A83" s="5" t="s">
        <v>0</v>
      </c>
      <c r="B83" s="6" t="s">
        <v>1</v>
      </c>
      <c r="C83" s="6">
        <v>15652065</v>
      </c>
      <c r="D83" s="6" t="s">
        <v>40</v>
      </c>
      <c r="E83" s="6">
        <v>202833</v>
      </c>
      <c r="F83" s="6" t="s">
        <v>6</v>
      </c>
      <c r="G83" s="6" t="s">
        <v>60</v>
      </c>
      <c r="H83" s="7">
        <v>163784.07999999999</v>
      </c>
      <c r="I83" s="8">
        <v>6210.19</v>
      </c>
      <c r="J83" s="8">
        <v>0</v>
      </c>
      <c r="K83" s="9">
        <f t="shared" si="8"/>
        <v>169994.27</v>
      </c>
      <c r="L83" s="7">
        <v>168274.64</v>
      </c>
      <c r="M83" s="8">
        <v>0</v>
      </c>
      <c r="N83" s="8">
        <v>0</v>
      </c>
      <c r="O83" s="9">
        <f t="shared" si="9"/>
        <v>168274.64</v>
      </c>
      <c r="P83" s="7">
        <f t="shared" si="10"/>
        <v>4490.5600000000268</v>
      </c>
      <c r="Q83" s="8">
        <f t="shared" si="11"/>
        <v>-6210.19</v>
      </c>
      <c r="R83" s="8">
        <f t="shared" si="12"/>
        <v>0</v>
      </c>
      <c r="S83" s="9">
        <f t="shared" si="13"/>
        <v>-1719.6299999999728</v>
      </c>
    </row>
    <row r="84" spans="1:19" ht="15" thickBot="1" x14ac:dyDescent="0.3">
      <c r="A84" s="10" t="s">
        <v>0</v>
      </c>
      <c r="B84" s="11" t="s">
        <v>1</v>
      </c>
      <c r="C84" s="6">
        <v>15652065</v>
      </c>
      <c r="D84" s="6" t="s">
        <v>40</v>
      </c>
      <c r="E84" s="6">
        <v>903431</v>
      </c>
      <c r="F84" s="6" t="s">
        <v>14</v>
      </c>
      <c r="G84" s="6" t="s">
        <v>63</v>
      </c>
      <c r="H84" s="7">
        <v>167840.62</v>
      </c>
      <c r="I84" s="8">
        <v>0</v>
      </c>
      <c r="J84" s="8">
        <v>0</v>
      </c>
      <c r="K84" s="9">
        <f t="shared" si="8"/>
        <v>167840.62</v>
      </c>
      <c r="L84" s="7">
        <v>165830.04</v>
      </c>
      <c r="M84" s="8">
        <v>0</v>
      </c>
      <c r="N84" s="8">
        <v>0</v>
      </c>
      <c r="O84" s="9">
        <f t="shared" si="9"/>
        <v>165830.04</v>
      </c>
      <c r="P84" s="7">
        <f t="shared" si="10"/>
        <v>-2010.5799999999872</v>
      </c>
      <c r="Q84" s="8">
        <f t="shared" si="11"/>
        <v>0</v>
      </c>
      <c r="R84" s="8">
        <f t="shared" si="12"/>
        <v>0</v>
      </c>
      <c r="S84" s="9">
        <f t="shared" si="13"/>
        <v>-2010.5799999999872</v>
      </c>
    </row>
    <row r="85" spans="1:19" s="17" customFormat="1" ht="15" thickBot="1" x14ac:dyDescent="0.3">
      <c r="A85" s="12"/>
      <c r="B85" s="13"/>
      <c r="C85" s="13"/>
      <c r="D85" s="21" t="s">
        <v>50</v>
      </c>
      <c r="E85" s="13"/>
      <c r="F85" s="22"/>
      <c r="G85" s="13"/>
      <c r="H85" s="23">
        <f>SUBTOTAL(9,H7:H84)</f>
        <v>20215601.59</v>
      </c>
      <c r="I85" s="24">
        <f t="shared" ref="I85:S85" si="14">SUBTOTAL(9,I7:I84)</f>
        <v>1257887.95</v>
      </c>
      <c r="J85" s="24">
        <f t="shared" si="14"/>
        <v>915843.52</v>
      </c>
      <c r="K85" s="25">
        <f t="shared" si="14"/>
        <v>22389333.059999999</v>
      </c>
      <c r="L85" s="23">
        <f t="shared" si="14"/>
        <v>21568764.469999995</v>
      </c>
      <c r="M85" s="24">
        <f t="shared" si="14"/>
        <v>0</v>
      </c>
      <c r="N85" s="24">
        <f t="shared" si="14"/>
        <v>356749.14</v>
      </c>
      <c r="O85" s="25">
        <f t="shared" si="14"/>
        <v>21925513.609999996</v>
      </c>
      <c r="P85" s="23">
        <f t="shared" si="14"/>
        <v>1353162.8800000011</v>
      </c>
      <c r="Q85" s="24">
        <f t="shared" si="14"/>
        <v>-1257887.95</v>
      </c>
      <c r="R85" s="24">
        <f t="shared" si="14"/>
        <v>-559094.38000000012</v>
      </c>
      <c r="S85" s="25">
        <f t="shared" si="14"/>
        <v>-463819.44999999891</v>
      </c>
    </row>
  </sheetData>
  <autoFilter ref="C6:S84" xr:uid="{00000000-0001-0000-0100-000000000000}"/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FTEs</vt:lpstr>
      <vt:lpstr>Dollars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2026-10-09T18:52:25Z</dcterms:created>
  <dcterms:modified xsi:type="dcterms:W3CDTF">2026-10-09T19:20:37Z</dcterms:modified>
</cp:coreProperties>
</file>